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24226"/>
  <mc:AlternateContent xmlns:mc="http://schemas.openxmlformats.org/markup-compatibility/2006">
    <mc:Choice Requires="x15">
      <x15ac:absPath xmlns:x15ac="http://schemas.microsoft.com/office/spreadsheetml/2010/11/ac" url="\\vmware-host\Shared Folders\ubuntu_host\"/>
    </mc:Choice>
  </mc:AlternateContent>
  <xr:revisionPtr revIDLastSave="0" documentId="13_ncr:1_{E7C57A4C-12CE-4133-A818-050EC9FA4119}" xr6:coauthVersionLast="47" xr6:coauthVersionMax="47" xr10:uidLastSave="{00000000-0000-0000-0000-000000000000}"/>
  <bookViews>
    <workbookView xWindow="-120" yWindow="-120" windowWidth="28260" windowHeight="13920" tabRatio="761" activeTab="1" xr2:uid="{00000000-000D-0000-FFFF-FFFF00000000}"/>
  </bookViews>
  <sheets>
    <sheet name="Customer-Readme" sheetId="18" r:id="rId1"/>
    <sheet name="Jetson_Xavier_NX_Module" sheetId="88" r:id="rId2"/>
  </sheets>
  <definedNames>
    <definedName name="_xlnm._FilterDatabase" localSheetId="1" hidden="1">Jetson_Xavier_NX_Module!$AQ$1:$AQ$1169</definedName>
    <definedName name="a" localSheetId="1">#REF!</definedName>
    <definedName name="a">#REF!</definedName>
    <definedName name="aa" localSheetId="1">#REF!</definedName>
    <definedName name="aa">#REF!</definedName>
    <definedName name="ab" localSheetId="1">#REF!</definedName>
    <definedName name="ab">#REF!</definedName>
    <definedName name="ac" localSheetId="1">#REF!</definedName>
    <definedName name="ac">#REF!</definedName>
    <definedName name="ad" localSheetId="1">#REF!</definedName>
    <definedName name="ad">#REF!</definedName>
    <definedName name="ae" localSheetId="1">#REF!</definedName>
    <definedName name="ae">#REF!</definedName>
    <definedName name="ah" localSheetId="1">#REF!</definedName>
    <definedName name="ah">#REF!</definedName>
    <definedName name="ai" localSheetId="1">#REF!</definedName>
    <definedName name="ai">#REF!</definedName>
    <definedName name="aj" localSheetId="1">#REF!</definedName>
    <definedName name="aj">#REF!</definedName>
    <definedName name="ak" localSheetId="1">#REF!</definedName>
    <definedName name="ak">#REF!</definedName>
    <definedName name="al" localSheetId="1">#REF!</definedName>
    <definedName name="al">#REF!</definedName>
    <definedName name="AllowedPinDirection_GPIO" localSheetId="1">Jetson_Xavier_NX_Module!$L$7</definedName>
    <definedName name="AllowedPinDirection_SFIO0" localSheetId="1">Jetson_Xavier_NX_Module!$M$7</definedName>
    <definedName name="AllowedPinDirection_SFIO1" localSheetId="1">Jetson_Xavier_NX_Module!$N$7</definedName>
    <definedName name="AllowedPinDirection_SFIO2" localSheetId="1">Jetson_Xavier_NX_Module!$O$7</definedName>
    <definedName name="AllowedPinDirection_SFIO3" localSheetId="1">Jetson_Xavier_NX_Module!$P$7</definedName>
    <definedName name="am" localSheetId="1">#REF!</definedName>
    <definedName name="am">#REF!</definedName>
    <definedName name="an" localSheetId="1">#REF!</definedName>
    <definedName name="an">#REF!</definedName>
    <definedName name="ao" localSheetId="1">#REF!</definedName>
    <definedName name="ao">#REF!</definedName>
    <definedName name="ap" localSheetId="1">#REF!</definedName>
    <definedName name="ap">#REF!</definedName>
    <definedName name="aq" localSheetId="1">#REF!</definedName>
    <definedName name="aq">#REF!</definedName>
    <definedName name="as" localSheetId="1">#REF!</definedName>
    <definedName name="as">#REF!</definedName>
    <definedName name="at" localSheetId="1">#REF!</definedName>
    <definedName name="at">#REF!</definedName>
    <definedName name="au" localSheetId="1">#REF!</definedName>
    <definedName name="au">#REF!</definedName>
    <definedName name="av" localSheetId="1">#REF!</definedName>
    <definedName name="av">#REF!</definedName>
    <definedName name="aw" localSheetId="1">#REF!</definedName>
    <definedName name="aw">#REF!</definedName>
    <definedName name="ay" localSheetId="1">#REF!</definedName>
    <definedName name="ay">#REF!</definedName>
    <definedName name="az" localSheetId="1">#REF!</definedName>
    <definedName name="az">#REF!</definedName>
    <definedName name="b" localSheetId="1">#REF!</definedName>
    <definedName name="b">#REF!</definedName>
    <definedName name="ConfigFirstCell" localSheetId="1">Jetson_Xavier_NX_Module!$AD$10</definedName>
    <definedName name="ConfigLastCell" localSheetId="1">Jetson_Xavier_NX_Module!$AI$264</definedName>
    <definedName name="Customer_Usage" localSheetId="1">Jetson_Xavier_NX_Module!$AQ$7</definedName>
    <definedName name="Customer_Usage_Checker" localSheetId="1">Jetson_Xavier_NX_Module!$AJ$7</definedName>
    <definedName name="E_Input" localSheetId="1">Jetson_Xavier_NX_Module!$AH$7</definedName>
    <definedName name="EQOS_LPBK_Enable" localSheetId="1">Jetson_Xavier_NX_Module!$AY$7</definedName>
    <definedName name="Error_Check" localSheetId="1">Jetson_Xavier_NX_Module!$AP$7</definedName>
    <definedName name="Ext_Pull_Down" localSheetId="1">Jetson_Xavier_NX_Module!$BA$7</definedName>
    <definedName name="Ext_Pull_Up" localSheetId="1">Jetson_Xavier_NX_Module!$AZ$7</definedName>
    <definedName name="FirstMPIO" localSheetId="1">Jetson_Xavier_NX_Module!$C$9</definedName>
    <definedName name="FirstPadVoltageConfig" localSheetId="1">Jetson_Xavier_NX_Module!$BD$1037</definedName>
    <definedName name="FirstPinMuxingOption" localSheetId="1">Jetson_Xavier_NX_Module!$G$10</definedName>
    <definedName name="Function_0" localSheetId="1">Jetson_Xavier_NX_Module!$Q$7</definedName>
    <definedName name="Function_Safe" localSheetId="1">Jetson_Xavier_NX_Module!$U$7</definedName>
    <definedName name="Galen" localSheetId="1">#REF!</definedName>
    <definedName name="Galen">#REF!</definedName>
    <definedName name="GPIO_Init_Value" localSheetId="1">Jetson_Xavier_NX_Module!$AI$7</definedName>
    <definedName name="Initial_State" localSheetId="1">Jetson_Xavier_NX_Module!$AS$7</definedName>
    <definedName name="Initial_State_Checker" localSheetId="1">Jetson_Xavier_NX_Module!$AK$7</definedName>
    <definedName name="LastMPIO" localSheetId="1">Jetson_Xavier_NX_Module!$C$264</definedName>
    <definedName name="LastPadVoltageConfig" localSheetId="1">Jetson_Xavier_NX_Module!$BD$1044</definedName>
    <definedName name="LastSignameRow" localSheetId="1">#REF!</definedName>
    <definedName name="LastSignameRow">#REF!</definedName>
    <definedName name="Lock" localSheetId="1">Jetson_Xavier_NX_Module!$AU$7</definedName>
    <definedName name="LPDR_Enable" localSheetId="1">Jetson_Xavier_NX_Module!$AX$7</definedName>
    <definedName name="MPIOName" localSheetId="1">Jetson_Xavier_NX_Module!$V$7</definedName>
    <definedName name="P2888_CVM_A00" localSheetId="1">#REF!</definedName>
    <definedName name="P2888_CVM_A00">#REF!</definedName>
    <definedName name="PadVoltageConfig" localSheetId="1">Jetson_Xavier_NX_Module!$BE$1036</definedName>
    <definedName name="Pin_Direction" localSheetId="1">Jetson_Xavier_NX_Module!$AR$7</definedName>
    <definedName name="Pin_Direction_Checker" localSheetId="1">Jetson_Xavier_NX_Module!$AL$7</definedName>
    <definedName name="Pin_Group" localSheetId="1">Jetson_Xavier_NX_Module!$AD$7</definedName>
    <definedName name="Pinmux_GPIO" localSheetId="1">Jetson_Xavier_NX_Module!$G$7</definedName>
    <definedName name="Pinmux_SFIO0" localSheetId="1">Jetson_Xavier_NX_Module!$H$7</definedName>
    <definedName name="Pinmux_SFIO1" localSheetId="1">Jetson_Xavier_NX_Module!$I$7</definedName>
    <definedName name="Pinmux_SFIO2" localSheetId="1">Jetson_Xavier_NX_Module!$J$7</definedName>
    <definedName name="Pinmux_SFIO3" localSheetId="1">Jetson_Xavier_NX_Module!$K$7</definedName>
    <definedName name="Pinmux_Unused" localSheetId="1">Jetson_Xavier_NX_Module!$F$7</definedName>
    <definedName name="PUPD" localSheetId="1">Jetson_Xavier_NX_Module!$AF$7</definedName>
    <definedName name="RCV_SEL" localSheetId="1">Jetson_Xavier_NX_Module!$AW$7</definedName>
    <definedName name="RCV_SEL_Checker" localSheetId="1">Jetson_Xavier_NX_Module!$AO$7</definedName>
    <definedName name="Resistor_Checker" localSheetId="1">Jetson_Xavier_NX_Module!$AN$7</definedName>
    <definedName name="REVISION_NO" localSheetId="1">Jetson_Xavier_NX_Module!$B$3</definedName>
    <definedName name="REVISION_NUMBER" localSheetId="1">Jetson_Xavier_NX_Module!$I$1035</definedName>
    <definedName name="REVISION_NUMBER">#REF!</definedName>
    <definedName name="sd" localSheetId="1">#REF!</definedName>
    <definedName name="sd">#REF!</definedName>
    <definedName name="temnp19" localSheetId="1">#REF!</definedName>
    <definedName name="temnp19">#REF!</definedName>
    <definedName name="temp" localSheetId="1">#REF!</definedName>
    <definedName name="temp">#REF!</definedName>
    <definedName name="temp1" localSheetId="1">#REF!</definedName>
    <definedName name="temp1">#REF!</definedName>
    <definedName name="temp10" localSheetId="1">#REF!</definedName>
    <definedName name="temp10">#REF!</definedName>
    <definedName name="temp11" localSheetId="1">#REF!</definedName>
    <definedName name="temp11">#REF!</definedName>
    <definedName name="temp12" localSheetId="1">#REF!</definedName>
    <definedName name="temp12">#REF!</definedName>
    <definedName name="temp13" localSheetId="1">#REF!</definedName>
    <definedName name="temp13">#REF!</definedName>
    <definedName name="temp14" localSheetId="1">#REF!</definedName>
    <definedName name="temp14">#REF!</definedName>
    <definedName name="temp15" localSheetId="1">#REF!</definedName>
    <definedName name="temp15">#REF!</definedName>
    <definedName name="temp16" localSheetId="1">#REF!</definedName>
    <definedName name="temp16">#REF!</definedName>
    <definedName name="temp17" localSheetId="1">#REF!</definedName>
    <definedName name="temp17">#REF!</definedName>
    <definedName name="temp18" localSheetId="1">#REF!</definedName>
    <definedName name="temp18">#REF!</definedName>
    <definedName name="temp2" localSheetId="1">#REF!</definedName>
    <definedName name="temp2">#REF!</definedName>
    <definedName name="temp3" localSheetId="1">#REF!</definedName>
    <definedName name="temp3">#REF!</definedName>
    <definedName name="temp4" localSheetId="1">#REF!</definedName>
    <definedName name="temp4">#REF!</definedName>
    <definedName name="temp5" localSheetId="1">#REF!</definedName>
    <definedName name="temp5">#REF!</definedName>
    <definedName name="temp6" localSheetId="1">#REF!</definedName>
    <definedName name="temp6">#REF!</definedName>
    <definedName name="temp7" localSheetId="1">#REF!</definedName>
    <definedName name="temp7">#REF!</definedName>
    <definedName name="temp8" localSheetId="1">#REF!</definedName>
    <definedName name="temp8">#REF!</definedName>
    <definedName name="temp9" localSheetId="1">#REF!</definedName>
    <definedName name="temp9">#REF!</definedName>
    <definedName name="Tristate" localSheetId="1">Jetson_Xavier_NX_Module!$AG$7</definedName>
    <definedName name="Wake_Checker" localSheetId="1">Jetson_Xavier_NX_Module!$AM$7</definedName>
    <definedName name="Wake_Pin" localSheetId="1">Jetson_Xavier_NX_Module!$AT$7</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E1044" i="88" l="1"/>
  <c r="BE1043" i="88"/>
  <c r="BE1042" i="88"/>
  <c r="BE1041" i="88"/>
  <c r="BE1040" i="88"/>
  <c r="BE1039" i="88"/>
  <c r="BE1038" i="88"/>
  <c r="BE1037" i="88"/>
  <c r="AP263" i="88"/>
  <c r="AI263" i="88"/>
  <c r="AH263" i="88"/>
  <c r="AG263" i="88"/>
  <c r="AF263" i="88"/>
  <c r="AD263" i="88"/>
  <c r="AP262" i="88"/>
  <c r="AI262" i="88"/>
  <c r="AH262" i="88"/>
  <c r="AG262" i="88"/>
  <c r="AF262" i="88"/>
  <c r="AD262" i="88"/>
  <c r="AP261" i="88"/>
  <c r="AI261" i="88"/>
  <c r="AH261" i="88"/>
  <c r="AG261" i="88"/>
  <c r="AF261" i="88"/>
  <c r="AD261" i="88"/>
  <c r="AP260" i="88"/>
  <c r="AI260" i="88"/>
  <c r="AH260" i="88"/>
  <c r="AG260" i="88"/>
  <c r="AF260" i="88"/>
  <c r="AD260" i="88"/>
  <c r="AP259" i="88"/>
  <c r="AI259" i="88"/>
  <c r="AH259" i="88"/>
  <c r="AG259" i="88"/>
  <c r="AF259" i="88"/>
  <c r="AD259" i="88"/>
  <c r="AP258" i="88"/>
  <c r="AI258" i="88"/>
  <c r="AH258" i="88"/>
  <c r="AG258" i="88"/>
  <c r="AF258" i="88"/>
  <c r="AD258" i="88"/>
  <c r="AP257" i="88"/>
  <c r="AI257" i="88"/>
  <c r="AH257" i="88"/>
  <c r="AG257" i="88"/>
  <c r="AF257" i="88"/>
  <c r="AD257" i="88"/>
  <c r="AP256" i="88"/>
  <c r="AI256" i="88"/>
  <c r="AH256" i="88"/>
  <c r="AG256" i="88"/>
  <c r="AF256" i="88"/>
  <c r="AD256" i="88"/>
  <c r="AP255" i="88"/>
  <c r="AI255" i="88"/>
  <c r="AH255" i="88"/>
  <c r="AG255" i="88"/>
  <c r="AF255" i="88"/>
  <c r="AP254" i="88"/>
  <c r="AI254" i="88"/>
  <c r="AH254" i="88"/>
  <c r="AG254" i="88"/>
  <c r="AF254" i="88"/>
  <c r="AP253" i="88"/>
  <c r="AI253" i="88"/>
  <c r="AH253" i="88"/>
  <c r="AG253" i="88"/>
  <c r="AF253" i="88"/>
  <c r="AD253" i="88"/>
  <c r="AP252" i="88"/>
  <c r="AI252" i="88"/>
  <c r="AH252" i="88"/>
  <c r="AG252" i="88"/>
  <c r="AF252" i="88"/>
  <c r="AP251" i="88"/>
  <c r="AI251" i="88"/>
  <c r="AH251" i="88"/>
  <c r="AG251" i="88"/>
  <c r="AF251" i="88"/>
  <c r="AP250" i="88"/>
  <c r="AI250" i="88"/>
  <c r="AH250" i="88"/>
  <c r="AG250" i="88"/>
  <c r="AF250" i="88"/>
  <c r="AD250" i="88"/>
  <c r="AP249" i="88"/>
  <c r="AI249" i="88"/>
  <c r="AH249" i="88"/>
  <c r="AG249" i="88"/>
  <c r="AF249" i="88"/>
  <c r="AP248" i="88"/>
  <c r="AI248" i="88"/>
  <c r="AH248" i="88"/>
  <c r="AG248" i="88"/>
  <c r="AF248" i="88"/>
  <c r="AP247" i="88"/>
  <c r="AI247" i="88"/>
  <c r="AH247" i="88"/>
  <c r="AG247" i="88"/>
  <c r="AF247" i="88"/>
  <c r="AD247" i="88"/>
  <c r="AP246" i="88"/>
  <c r="AI246" i="88"/>
  <c r="AH246" i="88"/>
  <c r="AG246" i="88"/>
  <c r="AF246" i="88"/>
  <c r="AP245" i="88"/>
  <c r="AI245" i="88"/>
  <c r="AH245" i="88"/>
  <c r="AG245" i="88"/>
  <c r="AF245" i="88"/>
  <c r="AP243" i="88"/>
  <c r="AI243" i="88"/>
  <c r="AH243" i="88"/>
  <c r="AG243" i="88"/>
  <c r="AF243" i="88"/>
  <c r="AP242" i="88"/>
  <c r="AI242" i="88"/>
  <c r="AH242" i="88"/>
  <c r="AG242" i="88"/>
  <c r="AF242" i="88"/>
  <c r="AP240" i="88"/>
  <c r="AI240" i="88"/>
  <c r="AH240" i="88"/>
  <c r="AG240" i="88"/>
  <c r="AF240" i="88"/>
  <c r="AP239" i="88"/>
  <c r="AI239" i="88"/>
  <c r="AH239" i="88"/>
  <c r="AG239" i="88"/>
  <c r="AF239" i="88"/>
  <c r="AP238" i="88"/>
  <c r="AI238" i="88"/>
  <c r="AH238" i="88"/>
  <c r="AG238" i="88"/>
  <c r="AF238" i="88"/>
  <c r="AP237" i="88"/>
  <c r="AI237" i="88"/>
  <c r="AH237" i="88"/>
  <c r="AG237" i="88"/>
  <c r="AF237" i="88"/>
  <c r="AP236" i="88"/>
  <c r="AI236" i="88"/>
  <c r="AH236" i="88"/>
  <c r="AG236" i="88"/>
  <c r="AF236" i="88"/>
  <c r="AP235" i="88"/>
  <c r="AI235" i="88"/>
  <c r="AH235" i="88"/>
  <c r="AG235" i="88"/>
  <c r="AF235" i="88"/>
  <c r="AP234" i="88"/>
  <c r="AI234" i="88"/>
  <c r="AH234" i="88"/>
  <c r="AG234" i="88"/>
  <c r="AF234" i="88"/>
  <c r="AP233" i="88"/>
  <c r="AI233" i="88"/>
  <c r="AH233" i="88"/>
  <c r="AG233" i="88"/>
  <c r="AF233" i="88"/>
  <c r="AP232" i="88"/>
  <c r="AI232" i="88"/>
  <c r="AH232" i="88"/>
  <c r="AG232" i="88"/>
  <c r="AF232" i="88"/>
  <c r="AP231" i="88"/>
  <c r="AI231" i="88"/>
  <c r="AH231" i="88"/>
  <c r="AG231" i="88"/>
  <c r="AF231" i="88"/>
  <c r="AP229" i="88"/>
  <c r="AI229" i="88"/>
  <c r="AH229" i="88"/>
  <c r="AG229" i="88"/>
  <c r="AF229" i="88"/>
  <c r="AD229" i="88"/>
  <c r="AP228" i="88"/>
  <c r="AI228" i="88"/>
  <c r="AH228" i="88"/>
  <c r="AG228" i="88"/>
  <c r="AF228" i="88"/>
  <c r="AD228" i="88"/>
  <c r="AP226" i="88"/>
  <c r="AI226" i="88"/>
  <c r="AH226" i="88"/>
  <c r="AG226" i="88"/>
  <c r="AF226" i="88"/>
  <c r="AD226" i="88"/>
  <c r="AP225" i="88"/>
  <c r="AI225" i="88"/>
  <c r="AH225" i="88"/>
  <c r="AG225" i="88"/>
  <c r="AF225" i="88"/>
  <c r="AD225" i="88"/>
  <c r="AP224" i="88"/>
  <c r="AI224" i="88"/>
  <c r="AH224" i="88"/>
  <c r="AG224" i="88"/>
  <c r="AF224" i="88"/>
  <c r="AD224" i="88"/>
  <c r="AP223" i="88"/>
  <c r="AI223" i="88"/>
  <c r="AH223" i="88"/>
  <c r="AG223" i="88"/>
  <c r="AF223" i="88"/>
  <c r="AD223" i="88"/>
  <c r="AP222" i="88"/>
  <c r="AI222" i="88"/>
  <c r="AH222" i="88"/>
  <c r="AG222" i="88"/>
  <c r="AF222" i="88"/>
  <c r="AD222" i="88"/>
  <c r="AP221" i="88"/>
  <c r="AI221" i="88"/>
  <c r="AH221" i="88"/>
  <c r="AG221" i="88"/>
  <c r="AF221" i="88"/>
  <c r="AD221" i="88"/>
  <c r="AP220" i="88"/>
  <c r="AI220" i="88"/>
  <c r="AH220" i="88"/>
  <c r="AG220" i="88"/>
  <c r="AF220" i="88"/>
  <c r="AD220" i="88"/>
  <c r="AP219" i="88"/>
  <c r="AI219" i="88"/>
  <c r="AH219" i="88"/>
  <c r="AG219" i="88"/>
  <c r="AF219" i="88"/>
  <c r="AD219" i="88"/>
  <c r="AP218" i="88"/>
  <c r="AI218" i="88"/>
  <c r="AH218" i="88"/>
  <c r="AG218" i="88"/>
  <c r="AF218" i="88"/>
  <c r="AD218" i="88"/>
  <c r="AP217" i="88"/>
  <c r="AI217" i="88"/>
  <c r="AH217" i="88"/>
  <c r="AG217" i="88"/>
  <c r="AF217" i="88"/>
  <c r="AD217" i="88"/>
  <c r="AP216" i="88"/>
  <c r="AI216" i="88"/>
  <c r="AH216" i="88"/>
  <c r="AG216" i="88"/>
  <c r="AF216" i="88"/>
  <c r="AD216" i="88"/>
  <c r="AP215" i="88"/>
  <c r="AI215" i="88"/>
  <c r="AH215" i="88"/>
  <c r="AG215" i="88"/>
  <c r="AF215" i="88"/>
  <c r="AD215" i="88"/>
  <c r="AP213" i="88"/>
  <c r="AI213" i="88"/>
  <c r="AH213" i="88"/>
  <c r="AG213" i="88"/>
  <c r="AF213" i="88"/>
  <c r="AD213" i="88"/>
  <c r="AP212" i="88"/>
  <c r="AI212" i="88"/>
  <c r="AH212" i="88"/>
  <c r="AG212" i="88"/>
  <c r="AF212" i="88"/>
  <c r="AD212" i="88"/>
  <c r="AP210" i="88"/>
  <c r="AI210" i="88"/>
  <c r="AH210" i="88"/>
  <c r="AG210" i="88"/>
  <c r="AF210" i="88"/>
  <c r="AD210" i="88"/>
  <c r="AP209" i="88"/>
  <c r="AI209" i="88"/>
  <c r="AH209" i="88"/>
  <c r="AG209" i="88"/>
  <c r="AF209" i="88"/>
  <c r="AD209" i="88"/>
  <c r="AP207" i="88"/>
  <c r="AI207" i="88"/>
  <c r="AH207" i="88"/>
  <c r="AG207" i="88"/>
  <c r="AF207" i="88"/>
  <c r="AD207" i="88"/>
  <c r="AP206" i="88"/>
  <c r="AI206" i="88"/>
  <c r="AH206" i="88"/>
  <c r="AG206" i="88"/>
  <c r="AF206" i="88"/>
  <c r="AD206" i="88"/>
  <c r="AP205" i="88"/>
  <c r="AI205" i="88"/>
  <c r="AH205" i="88"/>
  <c r="AG205" i="88"/>
  <c r="AF205" i="88"/>
  <c r="AD205" i="88"/>
  <c r="AP204" i="88"/>
  <c r="AI204" i="88"/>
  <c r="AH204" i="88"/>
  <c r="AG204" i="88"/>
  <c r="AF204" i="88"/>
  <c r="AD204" i="88"/>
  <c r="AP203" i="88"/>
  <c r="AI203" i="88"/>
  <c r="AH203" i="88"/>
  <c r="AG203" i="88"/>
  <c r="AF203" i="88"/>
  <c r="AD203" i="88"/>
  <c r="AP202" i="88"/>
  <c r="AI202" i="88"/>
  <c r="AH202" i="88"/>
  <c r="AG202" i="88"/>
  <c r="AF202" i="88"/>
  <c r="AD202" i="88"/>
  <c r="AP201" i="88"/>
  <c r="AI201" i="88"/>
  <c r="AH201" i="88"/>
  <c r="AG201" i="88"/>
  <c r="AF201" i="88"/>
  <c r="AD201" i="88"/>
  <c r="AP200" i="88"/>
  <c r="AI200" i="88"/>
  <c r="AH200" i="88"/>
  <c r="AG200" i="88"/>
  <c r="AF200" i="88"/>
  <c r="AD200" i="88"/>
  <c r="AP198" i="88"/>
  <c r="AI198" i="88"/>
  <c r="AH198" i="88"/>
  <c r="AG198" i="88"/>
  <c r="AF198" i="88"/>
  <c r="AD198" i="88"/>
  <c r="AP197" i="88"/>
  <c r="AI197" i="88"/>
  <c r="AH197" i="88"/>
  <c r="AG197" i="88"/>
  <c r="AF197" i="88"/>
  <c r="AD197" i="88"/>
  <c r="AP196" i="88"/>
  <c r="AI196" i="88"/>
  <c r="AH196" i="88"/>
  <c r="AG196" i="88"/>
  <c r="AF196" i="88"/>
  <c r="AD196" i="88"/>
  <c r="AP195" i="88"/>
  <c r="AI195" i="88"/>
  <c r="AH195" i="88"/>
  <c r="AG195" i="88"/>
  <c r="AF195" i="88"/>
  <c r="AD195" i="88"/>
  <c r="AP194" i="88"/>
  <c r="AI194" i="88"/>
  <c r="AH194" i="88"/>
  <c r="AG194" i="88"/>
  <c r="AF194" i="88"/>
  <c r="AD194" i="88"/>
  <c r="AP193" i="88"/>
  <c r="AI193" i="88"/>
  <c r="AH193" i="88"/>
  <c r="AG193" i="88"/>
  <c r="AF193" i="88"/>
  <c r="AD193" i="88"/>
  <c r="AP192" i="88"/>
  <c r="AI192" i="88"/>
  <c r="AH192" i="88"/>
  <c r="AG192" i="88"/>
  <c r="AF192" i="88"/>
  <c r="AD192" i="88"/>
  <c r="AP191" i="88"/>
  <c r="AI191" i="88"/>
  <c r="AH191" i="88"/>
  <c r="AG191" i="88"/>
  <c r="AF191" i="88"/>
  <c r="AD191" i="88"/>
  <c r="AP190" i="88"/>
  <c r="AI190" i="88"/>
  <c r="AH190" i="88"/>
  <c r="AG190" i="88"/>
  <c r="AF190" i="88"/>
  <c r="AD190" i="88"/>
  <c r="AP189" i="88"/>
  <c r="AI189" i="88"/>
  <c r="AH189" i="88"/>
  <c r="AG189" i="88"/>
  <c r="AF189" i="88"/>
  <c r="AD189" i="88"/>
  <c r="AP188" i="88"/>
  <c r="AI188" i="88"/>
  <c r="AH188" i="88"/>
  <c r="AG188" i="88"/>
  <c r="AF188" i="88"/>
  <c r="AD188" i="88"/>
  <c r="AP187" i="88"/>
  <c r="AI187" i="88"/>
  <c r="AH187" i="88"/>
  <c r="AG187" i="88"/>
  <c r="AF187" i="88"/>
  <c r="AD187" i="88"/>
  <c r="AP186" i="88"/>
  <c r="AI186" i="88"/>
  <c r="AH186" i="88"/>
  <c r="AG186" i="88"/>
  <c r="AF186" i="88"/>
  <c r="AD186" i="88"/>
  <c r="AP185" i="88"/>
  <c r="AI185" i="88"/>
  <c r="AH185" i="88"/>
  <c r="AG185" i="88"/>
  <c r="AF185" i="88"/>
  <c r="AD185" i="88"/>
  <c r="AP184" i="88"/>
  <c r="AI184" i="88"/>
  <c r="AH184" i="88"/>
  <c r="AG184" i="88"/>
  <c r="AF184" i="88"/>
  <c r="AD184" i="88"/>
  <c r="AP183" i="88"/>
  <c r="AI183" i="88"/>
  <c r="AH183" i="88"/>
  <c r="AG183" i="88"/>
  <c r="AF183" i="88"/>
  <c r="AD183" i="88"/>
  <c r="AP182" i="88"/>
  <c r="AI182" i="88"/>
  <c r="AH182" i="88"/>
  <c r="AG182" i="88"/>
  <c r="AF182" i="88"/>
  <c r="AD182" i="88"/>
  <c r="AP181" i="88"/>
  <c r="AI181" i="88"/>
  <c r="AH181" i="88"/>
  <c r="AG181" i="88"/>
  <c r="AF181" i="88"/>
  <c r="AD181" i="88"/>
  <c r="AP180" i="88"/>
  <c r="AI180" i="88"/>
  <c r="AH180" i="88"/>
  <c r="AG180" i="88"/>
  <c r="AF180" i="88"/>
  <c r="AD180" i="88"/>
  <c r="AP179" i="88"/>
  <c r="AI179" i="88"/>
  <c r="AH179" i="88"/>
  <c r="AG179" i="88"/>
  <c r="AF179" i="88"/>
  <c r="AD179" i="88"/>
  <c r="AP178" i="88"/>
  <c r="AI178" i="88"/>
  <c r="AH178" i="88"/>
  <c r="AG178" i="88"/>
  <c r="AF178" i="88"/>
  <c r="AD178" i="88"/>
  <c r="AP177" i="88"/>
  <c r="AI177" i="88"/>
  <c r="AH177" i="88"/>
  <c r="AG177" i="88"/>
  <c r="AF177" i="88"/>
  <c r="AD177" i="88"/>
  <c r="AP175" i="88"/>
  <c r="AI175" i="88"/>
  <c r="AH175" i="88"/>
  <c r="AG175" i="88"/>
  <c r="AF175" i="88"/>
  <c r="AD175" i="88"/>
  <c r="AP174" i="88"/>
  <c r="AI174" i="88"/>
  <c r="AH174" i="88"/>
  <c r="AG174" i="88"/>
  <c r="AF174" i="88"/>
  <c r="AD174" i="88"/>
  <c r="AP173" i="88"/>
  <c r="AI173" i="88"/>
  <c r="AH173" i="88"/>
  <c r="AG173" i="88"/>
  <c r="AF173" i="88"/>
  <c r="AD173" i="88"/>
  <c r="AP172" i="88"/>
  <c r="AI172" i="88"/>
  <c r="AH172" i="88"/>
  <c r="AG172" i="88"/>
  <c r="AF172" i="88"/>
  <c r="AD172" i="88"/>
  <c r="AP171" i="88"/>
  <c r="AI171" i="88"/>
  <c r="AH171" i="88"/>
  <c r="AG171" i="88"/>
  <c r="AF171" i="88"/>
  <c r="AD171" i="88"/>
  <c r="AP170" i="88"/>
  <c r="AI170" i="88"/>
  <c r="AH170" i="88"/>
  <c r="AG170" i="88"/>
  <c r="AF170" i="88"/>
  <c r="AD170" i="88"/>
  <c r="AP169" i="88"/>
  <c r="AI169" i="88"/>
  <c r="AH169" i="88"/>
  <c r="AG169" i="88"/>
  <c r="AF169" i="88"/>
  <c r="AD169" i="88"/>
  <c r="AP168" i="88"/>
  <c r="AI168" i="88"/>
  <c r="AH168" i="88"/>
  <c r="AG168" i="88"/>
  <c r="AF168" i="88"/>
  <c r="AD168" i="88"/>
  <c r="AP167" i="88"/>
  <c r="AI167" i="88"/>
  <c r="AH167" i="88"/>
  <c r="AG167" i="88"/>
  <c r="AF167" i="88"/>
  <c r="AD167" i="88"/>
  <c r="AP166" i="88"/>
  <c r="AI166" i="88"/>
  <c r="AH166" i="88"/>
  <c r="AG166" i="88"/>
  <c r="AF166" i="88"/>
  <c r="AD166" i="88"/>
  <c r="AP165" i="88"/>
  <c r="AI165" i="88"/>
  <c r="AH165" i="88"/>
  <c r="AG165" i="88"/>
  <c r="AF165" i="88"/>
  <c r="AD165" i="88"/>
  <c r="AP163" i="88"/>
  <c r="AI163" i="88"/>
  <c r="AH163" i="88"/>
  <c r="AG163" i="88"/>
  <c r="AF163" i="88"/>
  <c r="AD163" i="88"/>
  <c r="AP162" i="88"/>
  <c r="AI162" i="88"/>
  <c r="AH162" i="88"/>
  <c r="AG162" i="88"/>
  <c r="AF162" i="88"/>
  <c r="AD162" i="88"/>
  <c r="AP161" i="88"/>
  <c r="AI161" i="88"/>
  <c r="AH161" i="88"/>
  <c r="AG161" i="88"/>
  <c r="AF161" i="88"/>
  <c r="AD161" i="88"/>
  <c r="AP160" i="88"/>
  <c r="AI160" i="88"/>
  <c r="AH160" i="88"/>
  <c r="AG160" i="88"/>
  <c r="AF160" i="88"/>
  <c r="AD160" i="88"/>
  <c r="AP159" i="88"/>
  <c r="AI159" i="88"/>
  <c r="AH159" i="88"/>
  <c r="AG159" i="88"/>
  <c r="AF159" i="88"/>
  <c r="AD159" i="88"/>
  <c r="AP158" i="88"/>
  <c r="AI158" i="88"/>
  <c r="AH158" i="88"/>
  <c r="AG158" i="88"/>
  <c r="AF158" i="88"/>
  <c r="AD158" i="88"/>
  <c r="AP157" i="88"/>
  <c r="AI157" i="88"/>
  <c r="AH157" i="88"/>
  <c r="AG157" i="88"/>
  <c r="AF157" i="88"/>
  <c r="AD157" i="88"/>
  <c r="AP156" i="88"/>
  <c r="AI156" i="88"/>
  <c r="AH156" i="88"/>
  <c r="AG156" i="88"/>
  <c r="AF156" i="88"/>
  <c r="AD156" i="88"/>
  <c r="AP155" i="88"/>
  <c r="AI155" i="88"/>
  <c r="AH155" i="88"/>
  <c r="AG155" i="88"/>
  <c r="AF155" i="88"/>
  <c r="AD155" i="88"/>
  <c r="AP154" i="88"/>
  <c r="AI154" i="88"/>
  <c r="AH154" i="88"/>
  <c r="AG154" i="88"/>
  <c r="AF154" i="88"/>
  <c r="AD154" i="88"/>
  <c r="AP153" i="88"/>
  <c r="AI153" i="88"/>
  <c r="AH153" i="88"/>
  <c r="AG153" i="88"/>
  <c r="AF153" i="88"/>
  <c r="AD153" i="88"/>
  <c r="AP152" i="88"/>
  <c r="AI152" i="88"/>
  <c r="AH152" i="88"/>
  <c r="AG152" i="88"/>
  <c r="AF152" i="88"/>
  <c r="AD152" i="88"/>
  <c r="AP150" i="88"/>
  <c r="AI150" i="88"/>
  <c r="AH150" i="88"/>
  <c r="AG150" i="88"/>
  <c r="AF150" i="88"/>
  <c r="AP149" i="88"/>
  <c r="AI149" i="88"/>
  <c r="AH149" i="88"/>
  <c r="AG149" i="88"/>
  <c r="AF149" i="88"/>
  <c r="AP148" i="88"/>
  <c r="AI148" i="88"/>
  <c r="AH148" i="88"/>
  <c r="AG148" i="88"/>
  <c r="AF148" i="88"/>
  <c r="AD148" i="88"/>
  <c r="AP147" i="88"/>
  <c r="AI147" i="88"/>
  <c r="AH147" i="88"/>
  <c r="AG147" i="88"/>
  <c r="AF147" i="88"/>
  <c r="AP146" i="88"/>
  <c r="AI146" i="88"/>
  <c r="AH146" i="88"/>
  <c r="AG146" i="88"/>
  <c r="AF146" i="88"/>
  <c r="AD146" i="88"/>
  <c r="AP145" i="88"/>
  <c r="AI145" i="88"/>
  <c r="AH145" i="88"/>
  <c r="AG145" i="88"/>
  <c r="AF145" i="88"/>
  <c r="AD145" i="88"/>
  <c r="AP144" i="88"/>
  <c r="AI144" i="88"/>
  <c r="AH144" i="88"/>
  <c r="AG144" i="88"/>
  <c r="AF144" i="88"/>
  <c r="AP143" i="88"/>
  <c r="AI143" i="88"/>
  <c r="AH143" i="88"/>
  <c r="AG143" i="88"/>
  <c r="AF143" i="88"/>
  <c r="AP142" i="88"/>
  <c r="AI142" i="88"/>
  <c r="AH142" i="88"/>
  <c r="AG142" i="88"/>
  <c r="AF142" i="88"/>
  <c r="AD142" i="88"/>
  <c r="AP141" i="88"/>
  <c r="AI141" i="88"/>
  <c r="AH141" i="88"/>
  <c r="AG141" i="88"/>
  <c r="AF141" i="88"/>
  <c r="AD141" i="88"/>
  <c r="AP140" i="88"/>
  <c r="AI140" i="88"/>
  <c r="AH140" i="88"/>
  <c r="AG140" i="88"/>
  <c r="AF140" i="88"/>
  <c r="AD140" i="88"/>
  <c r="AP139" i="88"/>
  <c r="AI139" i="88"/>
  <c r="AH139" i="88"/>
  <c r="AG139" i="88"/>
  <c r="AF139" i="88"/>
  <c r="AD139" i="88"/>
  <c r="AP138" i="88"/>
  <c r="AI138" i="88"/>
  <c r="AH138" i="88"/>
  <c r="AG138" i="88"/>
  <c r="AF138" i="88"/>
  <c r="AD138" i="88"/>
  <c r="AP137" i="88"/>
  <c r="AI137" i="88"/>
  <c r="AH137" i="88"/>
  <c r="AG137" i="88"/>
  <c r="AF137" i="88"/>
  <c r="AP135" i="88"/>
  <c r="AI135" i="88"/>
  <c r="AH135" i="88"/>
  <c r="AG135" i="88"/>
  <c r="AF135" i="88"/>
  <c r="AD135" i="88"/>
  <c r="AP134" i="88"/>
  <c r="AI134" i="88"/>
  <c r="AH134" i="88"/>
  <c r="AG134" i="88"/>
  <c r="AF134" i="88"/>
  <c r="AD134" i="88"/>
  <c r="AP133" i="88"/>
  <c r="AI133" i="88"/>
  <c r="AH133" i="88"/>
  <c r="AG133" i="88"/>
  <c r="AF133" i="88"/>
  <c r="AD133" i="88"/>
  <c r="AP132" i="88"/>
  <c r="AI132" i="88"/>
  <c r="AH132" i="88"/>
  <c r="AG132" i="88"/>
  <c r="AF132" i="88"/>
  <c r="AD132" i="88"/>
  <c r="AP131" i="88"/>
  <c r="AI131" i="88"/>
  <c r="AH131" i="88"/>
  <c r="AG131" i="88"/>
  <c r="AF131" i="88"/>
  <c r="AD131" i="88"/>
  <c r="AP130" i="88"/>
  <c r="AI130" i="88"/>
  <c r="AH130" i="88"/>
  <c r="AG130" i="88"/>
  <c r="AF130" i="88"/>
  <c r="AD130" i="88"/>
  <c r="AP129" i="88"/>
  <c r="AI129" i="88"/>
  <c r="AH129" i="88"/>
  <c r="AG129" i="88"/>
  <c r="AF129" i="88"/>
  <c r="AD129" i="88"/>
  <c r="AP128" i="88"/>
  <c r="AI128" i="88"/>
  <c r="AH128" i="88"/>
  <c r="AG128" i="88"/>
  <c r="AF128" i="88"/>
  <c r="AD128" i="88"/>
  <c r="AP127" i="88"/>
  <c r="AI127" i="88"/>
  <c r="AH127" i="88"/>
  <c r="AG127" i="88"/>
  <c r="AF127" i="88"/>
  <c r="AD127" i="88"/>
  <c r="AP126" i="88"/>
  <c r="AI126" i="88"/>
  <c r="AH126" i="88"/>
  <c r="AG126" i="88"/>
  <c r="AF126" i="88"/>
  <c r="AD126" i="88"/>
  <c r="AP125" i="88"/>
  <c r="AI125" i="88"/>
  <c r="AH125" i="88"/>
  <c r="AG125" i="88"/>
  <c r="AF125" i="88"/>
  <c r="AD125" i="88"/>
  <c r="AP124" i="88"/>
  <c r="AI124" i="88"/>
  <c r="AH124" i="88"/>
  <c r="AG124" i="88"/>
  <c r="AF124" i="88"/>
  <c r="AD124" i="88"/>
  <c r="AP123" i="88"/>
  <c r="AI123" i="88"/>
  <c r="AH123" i="88"/>
  <c r="AG123" i="88"/>
  <c r="AF123" i="88"/>
  <c r="AD123" i="88"/>
  <c r="AP122" i="88"/>
  <c r="AI122" i="88"/>
  <c r="AH122" i="88"/>
  <c r="AG122" i="88"/>
  <c r="AF122" i="88"/>
  <c r="AD122" i="88"/>
  <c r="AP121" i="88"/>
  <c r="AI121" i="88"/>
  <c r="AH121" i="88"/>
  <c r="AG121" i="88"/>
  <c r="AF121" i="88"/>
  <c r="AD121" i="88"/>
  <c r="AP120" i="88"/>
  <c r="AI120" i="88"/>
  <c r="AH120" i="88"/>
  <c r="AG120" i="88"/>
  <c r="AF120" i="88"/>
  <c r="AD120" i="88"/>
  <c r="AP119" i="88"/>
  <c r="AI119" i="88"/>
  <c r="AH119" i="88"/>
  <c r="AG119" i="88"/>
  <c r="AF119" i="88"/>
  <c r="AD119" i="88"/>
  <c r="AP118" i="88"/>
  <c r="AI118" i="88"/>
  <c r="AH118" i="88"/>
  <c r="AG118" i="88"/>
  <c r="AF118" i="88"/>
  <c r="AD118" i="88"/>
  <c r="AP117" i="88"/>
  <c r="AI117" i="88"/>
  <c r="AH117" i="88"/>
  <c r="AG117" i="88"/>
  <c r="AF117" i="88"/>
  <c r="AD117" i="88"/>
  <c r="AP116" i="88"/>
  <c r="AI116" i="88"/>
  <c r="AH116" i="88"/>
  <c r="AG116" i="88"/>
  <c r="AF116" i="88"/>
  <c r="AD116" i="88"/>
  <c r="AP115" i="88"/>
  <c r="AI115" i="88"/>
  <c r="AH115" i="88"/>
  <c r="AG115" i="88"/>
  <c r="AF115" i="88"/>
  <c r="AD115" i="88"/>
  <c r="AP114" i="88"/>
  <c r="AI114" i="88"/>
  <c r="AH114" i="88"/>
  <c r="AG114" i="88"/>
  <c r="AF114" i="88"/>
  <c r="AD114" i="88"/>
  <c r="AP113" i="88"/>
  <c r="AI113" i="88"/>
  <c r="AH113" i="88"/>
  <c r="AG113" i="88"/>
  <c r="AF113" i="88"/>
  <c r="AD113" i="88"/>
  <c r="AP112" i="88"/>
  <c r="AI112" i="88"/>
  <c r="AH112" i="88"/>
  <c r="AG112" i="88"/>
  <c r="AF112" i="88"/>
  <c r="AD112" i="88"/>
  <c r="AP110" i="88"/>
  <c r="AI110" i="88"/>
  <c r="AH110" i="88"/>
  <c r="AG110" i="88"/>
  <c r="AF110" i="88"/>
  <c r="AP109" i="88"/>
  <c r="AI109" i="88"/>
  <c r="AH109" i="88"/>
  <c r="AG109" i="88"/>
  <c r="AF109" i="88"/>
  <c r="AP108" i="88"/>
  <c r="AI108" i="88"/>
  <c r="AH108" i="88"/>
  <c r="AG108" i="88"/>
  <c r="AF108" i="88"/>
  <c r="AP107" i="88"/>
  <c r="AI107" i="88"/>
  <c r="AH107" i="88"/>
  <c r="AG107" i="88"/>
  <c r="AF107" i="88"/>
  <c r="AP106" i="88"/>
  <c r="AI106" i="88"/>
  <c r="AH106" i="88"/>
  <c r="AG106" i="88"/>
  <c r="AF106" i="88"/>
  <c r="AP105" i="88"/>
  <c r="AI105" i="88"/>
  <c r="AH105" i="88"/>
  <c r="AG105" i="88"/>
  <c r="AF105" i="88"/>
  <c r="AP104" i="88"/>
  <c r="AI104" i="88"/>
  <c r="AH104" i="88"/>
  <c r="AG104" i="88"/>
  <c r="AF104" i="88"/>
  <c r="AP102" i="88"/>
  <c r="AI102" i="88"/>
  <c r="AH102" i="88"/>
  <c r="AG102" i="88"/>
  <c r="AF102" i="88"/>
  <c r="AD102" i="88"/>
  <c r="AP101" i="88"/>
  <c r="AI101" i="88"/>
  <c r="AH101" i="88"/>
  <c r="AG101" i="88"/>
  <c r="AF101" i="88"/>
  <c r="AD101" i="88"/>
  <c r="AP100" i="88"/>
  <c r="AI100" i="88"/>
  <c r="AH100" i="88"/>
  <c r="AG100" i="88"/>
  <c r="AF100" i="88"/>
  <c r="AD100" i="88"/>
  <c r="AP99" i="88"/>
  <c r="AI99" i="88"/>
  <c r="AH99" i="88"/>
  <c r="AG99" i="88"/>
  <c r="AF99" i="88"/>
  <c r="AD99" i="88"/>
  <c r="AP98" i="88"/>
  <c r="AI98" i="88"/>
  <c r="AH98" i="88"/>
  <c r="AG98" i="88"/>
  <c r="AF98" i="88"/>
  <c r="AD98" i="88"/>
  <c r="AP97" i="88"/>
  <c r="AI97" i="88"/>
  <c r="AH97" i="88"/>
  <c r="AG97" i="88"/>
  <c r="AF97" i="88"/>
  <c r="AD97" i="88"/>
  <c r="AP96" i="88"/>
  <c r="AI96" i="88"/>
  <c r="AH96" i="88"/>
  <c r="AG96" i="88"/>
  <c r="AF96" i="88"/>
  <c r="AD96" i="88"/>
  <c r="AP95" i="88"/>
  <c r="AI95" i="88"/>
  <c r="AH95" i="88"/>
  <c r="AG95" i="88"/>
  <c r="AF95" i="88"/>
  <c r="AD95" i="88"/>
  <c r="AP94" i="88"/>
  <c r="AI94" i="88"/>
  <c r="AH94" i="88"/>
  <c r="AG94" i="88"/>
  <c r="AF94" i="88"/>
  <c r="AD94" i="88"/>
  <c r="AP93" i="88"/>
  <c r="AI93" i="88"/>
  <c r="AH93" i="88"/>
  <c r="AG93" i="88"/>
  <c r="AF93" i="88"/>
  <c r="AD93" i="88"/>
  <c r="AP92" i="88"/>
  <c r="AI92" i="88"/>
  <c r="AH92" i="88"/>
  <c r="AG92" i="88"/>
  <c r="AF92" i="88"/>
  <c r="AD92" i="88"/>
  <c r="AP91" i="88"/>
  <c r="AI91" i="88"/>
  <c r="AH91" i="88"/>
  <c r="AG91" i="88"/>
  <c r="AF91" i="88"/>
  <c r="AD91" i="88"/>
  <c r="AP90" i="88"/>
  <c r="AI90" i="88"/>
  <c r="AH90" i="88"/>
  <c r="AG90" i="88"/>
  <c r="AF90" i="88"/>
  <c r="AD90" i="88"/>
  <c r="AP89" i="88"/>
  <c r="AI89" i="88"/>
  <c r="AH89" i="88"/>
  <c r="AG89" i="88"/>
  <c r="AF89" i="88"/>
  <c r="AD89" i="88"/>
  <c r="AP88" i="88"/>
  <c r="AI88" i="88"/>
  <c r="AH88" i="88"/>
  <c r="AG88" i="88"/>
  <c r="AF88" i="88"/>
  <c r="AD88" i="88"/>
  <c r="AP87" i="88"/>
  <c r="AI87" i="88"/>
  <c r="AH87" i="88"/>
  <c r="AG87" i="88"/>
  <c r="AF87" i="88"/>
  <c r="AD87" i="88"/>
  <c r="AP86" i="88"/>
  <c r="AI86" i="88"/>
  <c r="AH86" i="88"/>
  <c r="AG86" i="88"/>
  <c r="AF86" i="88"/>
  <c r="AD86" i="88"/>
  <c r="AP85" i="88"/>
  <c r="AI85" i="88"/>
  <c r="AH85" i="88"/>
  <c r="AG85" i="88"/>
  <c r="AF85" i="88"/>
  <c r="AD85" i="88"/>
  <c r="AP84" i="88"/>
  <c r="AI84" i="88"/>
  <c r="AH84" i="88"/>
  <c r="AG84" i="88"/>
  <c r="AF84" i="88"/>
  <c r="AD84" i="88"/>
  <c r="AP83" i="88"/>
  <c r="AI83" i="88"/>
  <c r="AH83" i="88"/>
  <c r="AG83" i="88"/>
  <c r="AF83" i="88"/>
  <c r="AD83" i="88"/>
  <c r="AP82" i="88"/>
  <c r="AI82" i="88"/>
  <c r="AH82" i="88"/>
  <c r="AG82" i="88"/>
  <c r="AF82" i="88"/>
  <c r="AD82" i="88"/>
  <c r="AP80" i="88"/>
  <c r="AI80" i="88"/>
  <c r="AH80" i="88"/>
  <c r="AG80" i="88"/>
  <c r="AF80" i="88"/>
  <c r="AD80" i="88"/>
  <c r="AP79" i="88"/>
  <c r="AI79" i="88"/>
  <c r="AH79" i="88"/>
  <c r="AG79" i="88"/>
  <c r="AF79" i="88"/>
  <c r="AD79" i="88"/>
  <c r="AP78" i="88"/>
  <c r="AI78" i="88"/>
  <c r="AH78" i="88"/>
  <c r="AG78" i="88"/>
  <c r="AF78" i="88"/>
  <c r="AD78" i="88"/>
  <c r="AP77" i="88"/>
  <c r="AI77" i="88"/>
  <c r="AH77" i="88"/>
  <c r="AG77" i="88"/>
  <c r="AF77" i="88"/>
  <c r="AD77" i="88"/>
  <c r="AP76" i="88"/>
  <c r="AI76" i="88"/>
  <c r="AH76" i="88"/>
  <c r="AG76" i="88"/>
  <c r="AF76" i="88"/>
  <c r="AD76" i="88"/>
  <c r="AP75" i="88"/>
  <c r="AI75" i="88"/>
  <c r="AH75" i="88"/>
  <c r="AG75" i="88"/>
  <c r="AF75" i="88"/>
  <c r="AD75" i="88"/>
  <c r="AP74" i="88"/>
  <c r="AI74" i="88"/>
  <c r="AH74" i="88"/>
  <c r="AG74" i="88"/>
  <c r="AF74" i="88"/>
  <c r="AD74" i="88"/>
  <c r="AP73" i="88"/>
  <c r="AI73" i="88"/>
  <c r="AH73" i="88"/>
  <c r="AG73" i="88"/>
  <c r="AF73" i="88"/>
  <c r="AD73" i="88"/>
  <c r="AP72" i="88"/>
  <c r="AI72" i="88"/>
  <c r="AH72" i="88"/>
  <c r="AG72" i="88"/>
  <c r="AF72" i="88"/>
  <c r="AD72" i="88"/>
  <c r="AP71" i="88"/>
  <c r="AI71" i="88"/>
  <c r="AH71" i="88"/>
  <c r="AG71" i="88"/>
  <c r="AF71" i="88"/>
  <c r="AD71" i="88"/>
  <c r="AP70" i="88"/>
  <c r="AI70" i="88"/>
  <c r="AH70" i="88"/>
  <c r="AG70" i="88"/>
  <c r="AF70" i="88"/>
  <c r="AD70" i="88"/>
  <c r="AP68" i="88"/>
  <c r="AI68" i="88"/>
  <c r="AH68" i="88"/>
  <c r="AG68" i="88"/>
  <c r="AF68" i="88"/>
  <c r="AD68" i="88"/>
  <c r="AP67" i="88"/>
  <c r="AI67" i="88"/>
  <c r="AH67" i="88"/>
  <c r="AG67" i="88"/>
  <c r="AF67" i="88"/>
  <c r="AD67" i="88"/>
  <c r="AP66" i="88"/>
  <c r="AI66" i="88"/>
  <c r="AH66" i="88"/>
  <c r="AG66" i="88"/>
  <c r="AF66" i="88"/>
  <c r="AD66" i="88"/>
  <c r="AP65" i="88"/>
  <c r="AI65" i="88"/>
  <c r="AH65" i="88"/>
  <c r="AG65" i="88"/>
  <c r="AF65" i="88"/>
  <c r="AD65" i="88"/>
  <c r="AP64" i="88"/>
  <c r="AI64" i="88"/>
  <c r="AH64" i="88"/>
  <c r="AG64" i="88"/>
  <c r="AF64" i="88"/>
  <c r="AD64" i="88"/>
  <c r="AP63" i="88"/>
  <c r="AI63" i="88"/>
  <c r="AH63" i="88"/>
  <c r="AG63" i="88"/>
  <c r="AF63" i="88"/>
  <c r="AD63" i="88"/>
  <c r="AP62" i="88"/>
  <c r="AI62" i="88"/>
  <c r="AH62" i="88"/>
  <c r="AG62" i="88"/>
  <c r="AF62" i="88"/>
  <c r="AD62" i="88"/>
  <c r="AP61" i="88"/>
  <c r="AI61" i="88"/>
  <c r="AH61" i="88"/>
  <c r="AG61" i="88"/>
  <c r="AF61" i="88"/>
  <c r="AD61" i="88"/>
  <c r="AP60" i="88"/>
  <c r="AI60" i="88"/>
  <c r="AH60" i="88"/>
  <c r="AG60" i="88"/>
  <c r="AF60" i="88"/>
  <c r="AD60" i="88"/>
  <c r="AP59" i="88"/>
  <c r="AI59" i="88"/>
  <c r="AH59" i="88"/>
  <c r="AG59" i="88"/>
  <c r="AF59" i="88"/>
  <c r="AD59" i="88"/>
  <c r="AP58" i="88"/>
  <c r="AI58" i="88"/>
  <c r="AH58" i="88"/>
  <c r="AG58" i="88"/>
  <c r="AF58" i="88"/>
  <c r="AD58" i="88"/>
  <c r="AP57" i="88"/>
  <c r="AI57" i="88"/>
  <c r="AH57" i="88"/>
  <c r="AG57" i="88"/>
  <c r="AF57" i="88"/>
  <c r="AD57" i="88"/>
  <c r="AP55" i="88"/>
  <c r="AI55" i="88"/>
  <c r="AH55" i="88"/>
  <c r="AG55" i="88"/>
  <c r="AF55" i="88"/>
  <c r="AD55" i="88"/>
  <c r="AP54" i="88"/>
  <c r="AI54" i="88"/>
  <c r="AH54" i="88"/>
  <c r="AG54" i="88"/>
  <c r="AF54" i="88"/>
  <c r="AD54" i="88"/>
  <c r="AP53" i="88"/>
  <c r="AI53" i="88"/>
  <c r="AH53" i="88"/>
  <c r="AG53" i="88"/>
  <c r="AF53" i="88"/>
  <c r="AD53" i="88"/>
  <c r="AP52" i="88"/>
  <c r="AI52" i="88"/>
  <c r="AH52" i="88"/>
  <c r="AG52" i="88"/>
  <c r="AF52" i="88"/>
  <c r="AD52" i="88"/>
  <c r="AP51" i="88"/>
  <c r="AI51" i="88"/>
  <c r="AH51" i="88"/>
  <c r="AG51" i="88"/>
  <c r="AF51" i="88"/>
  <c r="AD51" i="88"/>
  <c r="AP50" i="88"/>
  <c r="AI50" i="88"/>
  <c r="AH50" i="88"/>
  <c r="AG50" i="88"/>
  <c r="AF50" i="88"/>
  <c r="AD50" i="88"/>
  <c r="AP49" i="88"/>
  <c r="AI49" i="88"/>
  <c r="AH49" i="88"/>
  <c r="AG49" i="88"/>
  <c r="AF49" i="88"/>
  <c r="AD49" i="88"/>
  <c r="AP48" i="88"/>
  <c r="AI48" i="88"/>
  <c r="AH48" i="88"/>
  <c r="AG48" i="88"/>
  <c r="AF48" i="88"/>
  <c r="AD48" i="88"/>
  <c r="AP47" i="88"/>
  <c r="AI47" i="88"/>
  <c r="AH47" i="88"/>
  <c r="AG47" i="88"/>
  <c r="AF47" i="88"/>
  <c r="AD47" i="88"/>
  <c r="AP46" i="88"/>
  <c r="AI46" i="88"/>
  <c r="AH46" i="88"/>
  <c r="AG46" i="88"/>
  <c r="AF46" i="88"/>
  <c r="AD46" i="88"/>
  <c r="AP45" i="88"/>
  <c r="AI45" i="88"/>
  <c r="AH45" i="88"/>
  <c r="AG45" i="88"/>
  <c r="AF45" i="88"/>
  <c r="AD45" i="88"/>
  <c r="AP44" i="88"/>
  <c r="AI44" i="88"/>
  <c r="AH44" i="88"/>
  <c r="AG44" i="88"/>
  <c r="AF44" i="88"/>
  <c r="AD44" i="88"/>
  <c r="AP43" i="88"/>
  <c r="AI43" i="88"/>
  <c r="AH43" i="88"/>
  <c r="AG43" i="88"/>
  <c r="AF43" i="88"/>
  <c r="AD43" i="88"/>
  <c r="AP42" i="88"/>
  <c r="AI42" i="88"/>
  <c r="AH42" i="88"/>
  <c r="AG42" i="88"/>
  <c r="AF42" i="88"/>
  <c r="AD42" i="88"/>
  <c r="AP40" i="88"/>
  <c r="AI40" i="88"/>
  <c r="AH40" i="88"/>
  <c r="AG40" i="88"/>
  <c r="AF40" i="88"/>
  <c r="AD40" i="88"/>
  <c r="AP39" i="88"/>
  <c r="AI39" i="88"/>
  <c r="AH39" i="88"/>
  <c r="AG39" i="88"/>
  <c r="AF39" i="88"/>
  <c r="AD39" i="88"/>
  <c r="AP38" i="88"/>
  <c r="AI38" i="88"/>
  <c r="AH38" i="88"/>
  <c r="AG38" i="88"/>
  <c r="AF38" i="88"/>
  <c r="AD38" i="88"/>
  <c r="AP37" i="88"/>
  <c r="AI37" i="88"/>
  <c r="AH37" i="88"/>
  <c r="AG37" i="88"/>
  <c r="AF37" i="88"/>
  <c r="AD37" i="88"/>
  <c r="AP36" i="88"/>
  <c r="AI36" i="88"/>
  <c r="AH36" i="88"/>
  <c r="AG36" i="88"/>
  <c r="AF36" i="88"/>
  <c r="AD36" i="88"/>
  <c r="AP35" i="88"/>
  <c r="AI35" i="88"/>
  <c r="AH35" i="88"/>
  <c r="AG35" i="88"/>
  <c r="AF35" i="88"/>
  <c r="AD35" i="88"/>
  <c r="AP33" i="88"/>
  <c r="AI33" i="88"/>
  <c r="AH33" i="88"/>
  <c r="AG33" i="88"/>
  <c r="AF33" i="88"/>
  <c r="AD33" i="88"/>
  <c r="AP32" i="88"/>
  <c r="AI32" i="88"/>
  <c r="AH32" i="88"/>
  <c r="AG32" i="88"/>
  <c r="AF32" i="88"/>
  <c r="AD32" i="88"/>
  <c r="AP31" i="88"/>
  <c r="AI31" i="88"/>
  <c r="AH31" i="88"/>
  <c r="AG31" i="88"/>
  <c r="AF31" i="88"/>
  <c r="AD31" i="88"/>
  <c r="AP30" i="88"/>
  <c r="AI30" i="88"/>
  <c r="AH30" i="88"/>
  <c r="AG30" i="88"/>
  <c r="AF30" i="88"/>
  <c r="AD30" i="88"/>
  <c r="AP29" i="88"/>
  <c r="AI29" i="88"/>
  <c r="AH29" i="88"/>
  <c r="AG29" i="88"/>
  <c r="AF29" i="88"/>
  <c r="AD29" i="88"/>
  <c r="AP28" i="88"/>
  <c r="AI28" i="88"/>
  <c r="AH28" i="88"/>
  <c r="AG28" i="88"/>
  <c r="AF28" i="88"/>
  <c r="AD28" i="88"/>
  <c r="AP26" i="88"/>
  <c r="AI26" i="88"/>
  <c r="AH26" i="88"/>
  <c r="AG26" i="88"/>
  <c r="AF26" i="88"/>
  <c r="AD26" i="88"/>
  <c r="AP25" i="88"/>
  <c r="AI25" i="88"/>
  <c r="AH25" i="88"/>
  <c r="AG25" i="88"/>
  <c r="AF25" i="88"/>
  <c r="AD25" i="88"/>
  <c r="AP24" i="88"/>
  <c r="AI24" i="88"/>
  <c r="AH24" i="88"/>
  <c r="AG24" i="88"/>
  <c r="AF24" i="88"/>
  <c r="AD24" i="88"/>
  <c r="AP23" i="88"/>
  <c r="AI23" i="88"/>
  <c r="AH23" i="88"/>
  <c r="AG23" i="88"/>
  <c r="AF23" i="88"/>
  <c r="AD23" i="88"/>
  <c r="AP22" i="88"/>
  <c r="AI22" i="88"/>
  <c r="AH22" i="88"/>
  <c r="AG22" i="88"/>
  <c r="AF22" i="88"/>
  <c r="AD22" i="88"/>
  <c r="AP21" i="88"/>
  <c r="AI21" i="88"/>
  <c r="AH21" i="88"/>
  <c r="AG21" i="88"/>
  <c r="AF21" i="88"/>
  <c r="AD21" i="88"/>
  <c r="AP20" i="88"/>
  <c r="AI20" i="88"/>
  <c r="AH20" i="88"/>
  <c r="AG20" i="88"/>
  <c r="AF20" i="88"/>
  <c r="AD20" i="88"/>
  <c r="AP19" i="88"/>
  <c r="AI19" i="88"/>
  <c r="AH19" i="88"/>
  <c r="AG19" i="88"/>
  <c r="AF19" i="88"/>
  <c r="AD19" i="88"/>
  <c r="AP18" i="88"/>
  <c r="AI18" i="88"/>
  <c r="AH18" i="88"/>
  <c r="AG18" i="88"/>
  <c r="AF18" i="88"/>
  <c r="AD18" i="88"/>
  <c r="AP17" i="88"/>
  <c r="AI17" i="88"/>
  <c r="AH17" i="88"/>
  <c r="AG17" i="88"/>
  <c r="AF17" i="88"/>
  <c r="AD17" i="88"/>
  <c r="AP16" i="88"/>
  <c r="AI16" i="88"/>
  <c r="AH16" i="88"/>
  <c r="AG16" i="88"/>
  <c r="AF16" i="88"/>
  <c r="AD16" i="88"/>
  <c r="AP15" i="88"/>
  <c r="AI15" i="88"/>
  <c r="AH15" i="88"/>
  <c r="AG15" i="88"/>
  <c r="AF15" i="88"/>
  <c r="AD15" i="88"/>
  <c r="AP14" i="88"/>
  <c r="AI14" i="88"/>
  <c r="AH14" i="88"/>
  <c r="AG14" i="88"/>
  <c r="AF14" i="88"/>
  <c r="AD14" i="88"/>
  <c r="AP13" i="88"/>
  <c r="AI13" i="88"/>
  <c r="AH13" i="88"/>
  <c r="AG13" i="88"/>
  <c r="AF13" i="88"/>
  <c r="AD13" i="88"/>
  <c r="AP12" i="88"/>
  <c r="AI12" i="88"/>
  <c r="AH12" i="88"/>
  <c r="AG12" i="88"/>
  <c r="AF12" i="88"/>
  <c r="AD12" i="88"/>
  <c r="AP11" i="88"/>
  <c r="AI11" i="88"/>
  <c r="AH11" i="88"/>
  <c r="AG11" i="88"/>
  <c r="AF11" i="88"/>
  <c r="AD11" i="88"/>
  <c r="AP10" i="88"/>
  <c r="AI10" i="88"/>
  <c r="AH10" i="88"/>
  <c r="AG10" i="88"/>
  <c r="AF10" i="88"/>
  <c r="AD10" i="88"/>
  <c r="B10" i="18" l="1"/>
  <c r="B3" i="88"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Lee</author>
  </authors>
  <commentList>
    <comment ref="AQ7" authorId="0" shapeId="0" xr:uid="{E3AB8071-58CF-4F2D-B116-68EECFE11C93}">
      <text>
        <r>
          <rPr>
            <sz val="9"/>
            <color indexed="81"/>
            <rFont val="Tahoma"/>
            <family val="2"/>
          </rPr>
          <t xml:space="preserve">Select the pin configuration from the pulldown menu
</t>
        </r>
      </text>
    </comment>
    <comment ref="AR7" authorId="0" shapeId="0" xr:uid="{7E581056-CF14-4590-94E6-4A2491679011}">
      <text>
        <r>
          <rPr>
            <sz val="9"/>
            <color indexed="81"/>
            <rFont val="Tahoma"/>
            <family val="2"/>
          </rPr>
          <t>If a pin is used as GPIO, select the pin direction from the following list:
Input
Output
Bidirectional
Open-Drain
N/A</t>
        </r>
      </text>
    </comment>
    <comment ref="AS7" authorId="0" shapeId="0" xr:uid="{8BDBEE81-C882-424A-AC67-94997C120A14}">
      <text>
        <r>
          <rPr>
            <sz val="9"/>
            <color indexed="81"/>
            <rFont val="Tahoma"/>
            <family val="2"/>
          </rPr>
          <t xml:space="preserve">If pin selected to be GPIO, select what state the pin should be in when first configured from the dropdown list. Options are:
- Z Tristate output
- Int PU Tristate output &amp; internal pull-up enabled
- Int PD Tristate output &amp; internal pull-down enabled
- Drive 0 Not tristate, output set low
- Drive 1 Not tristate, output set high
- N/A State not critical (true for inputs, or where initial output state is don't care)
</t>
        </r>
      </text>
    </comment>
    <comment ref="AT7" authorId="0" shapeId="0" xr:uid="{E144DE6E-EF84-4253-B063-081AE379EB99}">
      <text>
        <r>
          <rPr>
            <b/>
            <sz val="9"/>
            <color indexed="81"/>
            <rFont val="Tahoma"/>
            <family val="2"/>
          </rPr>
          <t>Some pins are wake-capable. For the wake capable pins, select Yes or No to determine if the pin will be used as a wake source.</t>
        </r>
        <r>
          <rPr>
            <sz val="9"/>
            <color indexed="81"/>
            <rFont val="Tahoma"/>
            <family val="2"/>
          </rPr>
          <t xml:space="preserve">
</t>
        </r>
      </text>
    </comment>
    <comment ref="AZ7" authorId="0" shapeId="0" xr:uid="{4B9FA43B-A77F-4A76-BD2A-52F8E8DDFC82}">
      <text>
        <r>
          <rPr>
            <sz val="9"/>
            <color indexed="81"/>
            <rFont val="Tahoma"/>
            <family val="2"/>
          </rPr>
          <t xml:space="preserve">If an external pull up on the platform, list the value in this column
</t>
        </r>
      </text>
    </comment>
    <comment ref="BA7" authorId="0" shapeId="0" xr:uid="{675F171C-F30E-4C7C-9E56-7312AA66F528}">
      <text>
        <r>
          <rPr>
            <b/>
            <sz val="9"/>
            <color indexed="81"/>
            <rFont val="Tahoma"/>
            <family val="2"/>
          </rPr>
          <t>If an external pull down on the platform, list the value in this column</t>
        </r>
        <r>
          <rPr>
            <sz val="9"/>
            <color indexed="81"/>
            <rFont val="Tahoma"/>
            <family val="2"/>
          </rPr>
          <t xml:space="preserve">
</t>
        </r>
      </text>
    </comment>
    <comment ref="BB7" authorId="0" shapeId="0" xr:uid="{7D194A1F-9C96-40CC-A6FE-713DD9CA1C3C}">
      <text>
        <r>
          <rPr>
            <b/>
            <sz val="9"/>
            <color indexed="81"/>
            <rFont val="Tahoma"/>
            <family val="2"/>
          </rPr>
          <t>If pin selected to be GPIO, select what state the pin should be in from dropdown list when system is in Deep Sleep mode. Options are:
- Z Tristate output
- Int PU Tristate output &amp; internal pull-up enabled
- Int PD Tristate output &amp; internal pull-down enabled
- Drive 0 Not tristate, output set low
- Drive 1 Not tristate, output set high
- N/A State not critical (true for inputs, or where initial output state is don't care)
Note the entry in the Deep Sleep "After Wake" column which indicates whether the pin will retain the state selected above, or will revert to the POR state.  If the entry in "After Wake" is hold, the pin will hold its state even after Deep Sleep is exited.  If the entry is reset, the pin will go back to POR state when Deep Sleep is exited before software has control.  If the POR state is different than desired, then do not use a pin that has reset in the "After Wake" column.</t>
        </r>
        <r>
          <rPr>
            <sz val="9"/>
            <color indexed="81"/>
            <rFont val="Tahoma"/>
            <family val="2"/>
          </rPr>
          <t xml:space="preserve">
</t>
        </r>
      </text>
    </comment>
  </commentList>
</comments>
</file>

<file path=xl/sharedStrings.xml><?xml version="1.0" encoding="utf-8"?>
<sst xmlns="http://schemas.openxmlformats.org/spreadsheetml/2006/main" count="22745" uniqueCount="5702">
  <si>
    <t>General</t>
  </si>
  <si>
    <t>Ball Name</t>
  </si>
  <si>
    <t>SFIO1</t>
  </si>
  <si>
    <t>SFIO2</t>
  </si>
  <si>
    <t>SFIO3</t>
  </si>
  <si>
    <t>PUPD</t>
  </si>
  <si>
    <t>Pin State</t>
  </si>
  <si>
    <t>DAP1_DIN</t>
  </si>
  <si>
    <t>DAP1_DOUT</t>
  </si>
  <si>
    <t>DAP1_FS</t>
  </si>
  <si>
    <t>DAP1_SCLK</t>
  </si>
  <si>
    <t>DAP2_DIN</t>
  </si>
  <si>
    <t>DAP2_DOUT</t>
  </si>
  <si>
    <t>DAP2_FS</t>
  </si>
  <si>
    <t>DAP2_SCLK</t>
  </si>
  <si>
    <t>CAM_I2C_SCL</t>
  </si>
  <si>
    <t>CAM_I2C_SDA</t>
  </si>
  <si>
    <t>PEX_L0_CLKREQ_N</t>
  </si>
  <si>
    <t>PEX_L0_RST_N</t>
  </si>
  <si>
    <t>PEX_L1_CLKREQ_N</t>
  </si>
  <si>
    <t>PEX_L1_RST_N</t>
  </si>
  <si>
    <t>PEX_WAKE_N</t>
  </si>
  <si>
    <t>SDMMC1_CLK</t>
  </si>
  <si>
    <t>SDMMC1_CMD</t>
  </si>
  <si>
    <t>SDMMC1_DAT0</t>
  </si>
  <si>
    <t>SDMMC1_DAT1</t>
  </si>
  <si>
    <t>SDMMC1_DAT2</t>
  </si>
  <si>
    <t>SDMMC1_DAT3</t>
  </si>
  <si>
    <t>SDMMC3_CLK</t>
  </si>
  <si>
    <t>SDMMC3_CMD</t>
  </si>
  <si>
    <t>SDMMC3_DAT0</t>
  </si>
  <si>
    <t>SDMMC3_DAT1</t>
  </si>
  <si>
    <t>SDMMC3_DAT2</t>
  </si>
  <si>
    <t>SDMMC3_DAT3</t>
  </si>
  <si>
    <t>SDMMC4_CMD</t>
  </si>
  <si>
    <t>SDMMC4_DAT0</t>
  </si>
  <si>
    <t>SDMMC4_DAT1</t>
  </si>
  <si>
    <t>SDMMC4_DAT2</t>
  </si>
  <si>
    <t>SDMMC4_DAT3</t>
  </si>
  <si>
    <t>SDMMC4_DAT4</t>
  </si>
  <si>
    <t>SDMMC4_DAT5</t>
  </si>
  <si>
    <t>SDMMC4_DAT6</t>
  </si>
  <si>
    <t>SDMMC4_DAT7</t>
  </si>
  <si>
    <t>HDMI_CEC</t>
  </si>
  <si>
    <t>PWR_I2C_SCL</t>
  </si>
  <si>
    <t>PWR_I2C_SDA</t>
  </si>
  <si>
    <t>DAP4_DIN</t>
  </si>
  <si>
    <t>DAP4_DOUT</t>
  </si>
  <si>
    <t>DAP4_FS</t>
  </si>
  <si>
    <t>DAP4_SCLK</t>
  </si>
  <si>
    <t>GEN1_I2C_SCL</t>
  </si>
  <si>
    <t>GEN1_I2C_SDA</t>
  </si>
  <si>
    <t>1) failure to select a pinmux option for a given ball</t>
  </si>
  <si>
    <t>2) bringing out the same signal on more than one ball</t>
  </si>
  <si>
    <t>3) bringing out signals from more than one interface for a single controller</t>
  </si>
  <si>
    <t>README</t>
  </si>
  <si>
    <t>This spreadsheet automatically highlights many kinds of pinmux configuration problem.  Errors are highlighted in pinkish-red on the MPIO, Signals, or Controllers worksheets.  This spreadsheet highlights the following problems:</t>
  </si>
  <si>
    <t>The only cells that need to be edited are the orange highlighted cells on the MPIO worksheet.</t>
  </si>
  <si>
    <t>Wake</t>
  </si>
  <si>
    <t>1.8V</t>
  </si>
  <si>
    <t>3.3V</t>
  </si>
  <si>
    <t>AUDIO</t>
  </si>
  <si>
    <t>CAM</t>
  </si>
  <si>
    <t>UART</t>
  </si>
  <si>
    <t>SYS</t>
  </si>
  <si>
    <t>SDMMC4</t>
  </si>
  <si>
    <t>SDMMC3</t>
  </si>
  <si>
    <t>SDMMC1</t>
  </si>
  <si>
    <t>PEX_CTL</t>
  </si>
  <si>
    <t>USB_VBUS_EN0</t>
  </si>
  <si>
    <t>USB_VBUS_EN1</t>
  </si>
  <si>
    <t>POR</t>
  </si>
  <si>
    <t>Revision</t>
  </si>
  <si>
    <t>Description</t>
  </si>
  <si>
    <t>DP_AUX_CH0_P</t>
  </si>
  <si>
    <t>DP_AUX_CH0_N</t>
  </si>
  <si>
    <t>SDMMC4_CLK</t>
  </si>
  <si>
    <t>Pad Type</t>
  </si>
  <si>
    <t>Req. Initial State</t>
  </si>
  <si>
    <t>Not Assigned</t>
  </si>
  <si>
    <t>SFIO</t>
  </si>
  <si>
    <t>GPIO</t>
  </si>
  <si>
    <t>STRAP</t>
  </si>
  <si>
    <t>UNUSED</t>
  </si>
  <si>
    <t>Ball Locations</t>
  </si>
  <si>
    <t>Pin Muxing</t>
  </si>
  <si>
    <t>Allowed Pin Direction</t>
  </si>
  <si>
    <t>Pin Groups</t>
  </si>
  <si>
    <t>Customer Configuration</t>
  </si>
  <si>
    <t>Error Check</t>
  </si>
  <si>
    <t>Filled in by Customers</t>
  </si>
  <si>
    <t>Unused</t>
  </si>
  <si>
    <t>SFIO0</t>
  </si>
  <si>
    <t>F0</t>
  </si>
  <si>
    <t>F1</t>
  </si>
  <si>
    <t>F2</t>
  </si>
  <si>
    <t>F3</t>
  </si>
  <si>
    <t>FS</t>
  </si>
  <si>
    <t>Power Rail</t>
  </si>
  <si>
    <t>Pin Group</t>
  </si>
  <si>
    <t>SDMMC DAT/CMD</t>
  </si>
  <si>
    <t>Tristate</t>
  </si>
  <si>
    <t>E_Input</t>
  </si>
  <si>
    <t>GPIO Init Value</t>
  </si>
  <si>
    <t>Pin Direction Checker</t>
  </si>
  <si>
    <t>Customer Usage</t>
  </si>
  <si>
    <t>Pin Direction</t>
  </si>
  <si>
    <t>Wake Pin</t>
  </si>
  <si>
    <t>Lock</t>
  </si>
  <si>
    <t>Req. Deep Sleep State</t>
  </si>
  <si>
    <t>Customer Usage    Description or Net Names</t>
  </si>
  <si>
    <t>MPIO</t>
  </si>
  <si>
    <t>RSVD2</t>
  </si>
  <si>
    <t>RSVD3</t>
  </si>
  <si>
    <t xml:space="preserve"> </t>
  </si>
  <si>
    <t>unused_DAP1_DIN</t>
  </si>
  <si>
    <t>unused_DAP1_DOUT</t>
  </si>
  <si>
    <t>No</t>
  </si>
  <si>
    <t>unused_DAP1_FS</t>
  </si>
  <si>
    <t>I2S1</t>
  </si>
  <si>
    <t>unused_DAP2_DIN</t>
  </si>
  <si>
    <t>unused_DAP2_DOUT</t>
  </si>
  <si>
    <t>unused_DAP2_FS</t>
  </si>
  <si>
    <t>unused_DAP2_SCLK</t>
  </si>
  <si>
    <t>SPI1</t>
  </si>
  <si>
    <t>SPI2</t>
  </si>
  <si>
    <t>RSVD1</t>
  </si>
  <si>
    <t>I2C1</t>
  </si>
  <si>
    <t>I2S2</t>
  </si>
  <si>
    <t>USB</t>
  </si>
  <si>
    <t>UARTD</t>
  </si>
  <si>
    <t>SPI3</t>
  </si>
  <si>
    <t>UARTA</t>
  </si>
  <si>
    <t>VGP1</t>
  </si>
  <si>
    <t>I2C3</t>
  </si>
  <si>
    <t>unused_CAM_I2C_SCL</t>
  </si>
  <si>
    <t>Disable</t>
  </si>
  <si>
    <t>VGP2</t>
  </si>
  <si>
    <t>unused_CAM_I2C_SDA</t>
  </si>
  <si>
    <t>VGP3</t>
  </si>
  <si>
    <t>VGP4</t>
  </si>
  <si>
    <t>VGP5</t>
  </si>
  <si>
    <t>VGP6</t>
  </si>
  <si>
    <t>SOC</t>
  </si>
  <si>
    <t>unused_SDMMC1_CLK</t>
  </si>
  <si>
    <t>unused_SDMMC1_CMD</t>
  </si>
  <si>
    <t>unused_SDMMC1_DAT0</t>
  </si>
  <si>
    <t>unused_SDMMC1_DAT1</t>
  </si>
  <si>
    <t>unused_SDMMC1_DAT2</t>
  </si>
  <si>
    <t>unused_SDMMC1_DAT3</t>
  </si>
  <si>
    <t>unused_SDMMC3_CLK</t>
  </si>
  <si>
    <t>unused_SDMMC3_CMD</t>
  </si>
  <si>
    <t>unused_SDMMC3_DAT0</t>
  </si>
  <si>
    <t>unused_SDMMC3_DAT1</t>
  </si>
  <si>
    <t>unused_SDMMC3_DAT2</t>
  </si>
  <si>
    <t>unused_SDMMC3_DAT3</t>
  </si>
  <si>
    <t>unused_SDMMC4_CLK</t>
  </si>
  <si>
    <t>unused_SDMMC4_CMD</t>
  </si>
  <si>
    <t>unused_SDMMC4_DAT0</t>
  </si>
  <si>
    <t>unused_SDMMC4_DAT1</t>
  </si>
  <si>
    <t>unused_SDMMC4_DAT2</t>
  </si>
  <si>
    <t>unused_SDMMC4_DAT3</t>
  </si>
  <si>
    <t>unused_SDMMC4_DAT4</t>
  </si>
  <si>
    <t>unused_SDMMC4_DAT5</t>
  </si>
  <si>
    <t>unused_SDMMC4_DAT6</t>
  </si>
  <si>
    <t>unused_SDMMC4_DAT7</t>
  </si>
  <si>
    <t>unused_PWR_I2C_SCL</t>
  </si>
  <si>
    <t>unused_PWR_I2C_SDA</t>
  </si>
  <si>
    <t>JTAG_TRST_N</t>
  </si>
  <si>
    <t>JTAG_TDO</t>
  </si>
  <si>
    <t>JTAG_TMS</t>
  </si>
  <si>
    <t>JTAG_TCK</t>
  </si>
  <si>
    <t>JTAG_TDI</t>
  </si>
  <si>
    <t>SYS_RESET_N</t>
  </si>
  <si>
    <t>CLK_32K_IN</t>
  </si>
  <si>
    <t>EXTPERIPH3</t>
  </si>
  <si>
    <t>I2S3</t>
  </si>
  <si>
    <t>unused_DAP4_DIN</t>
  </si>
  <si>
    <t>unused_DAP4_DOUT</t>
  </si>
  <si>
    <t>unused_DAP4_FS</t>
  </si>
  <si>
    <t>unused_DAP4_SCLK</t>
  </si>
  <si>
    <t>unused_GEN1_I2C_SCL</t>
  </si>
  <si>
    <t>unused_GEN1_I2C_SDA</t>
  </si>
  <si>
    <t>UARTB</t>
  </si>
  <si>
    <t>UARTC</t>
  </si>
  <si>
    <t>unused_HDMI_CEC</t>
  </si>
  <si>
    <t>unused_USB_VBUS_EN0</t>
  </si>
  <si>
    <t>unused_USB_VBUS_EN1</t>
  </si>
  <si>
    <t>Dedicated SFIOs</t>
  </si>
  <si>
    <t>CSI_A_CLK_N</t>
  </si>
  <si>
    <t>unused_CSI_A_CLK_N</t>
  </si>
  <si>
    <t>CSI_A_CLK_P</t>
  </si>
  <si>
    <t>unused_CSI_A_CLK_P</t>
  </si>
  <si>
    <t>CSI_A_D0_N</t>
  </si>
  <si>
    <t>unused_CSI_A_D0_N</t>
  </si>
  <si>
    <t>CSI_A_D0_P</t>
  </si>
  <si>
    <t>unused_CSI_A_D0_P</t>
  </si>
  <si>
    <t>CSI_A_D1_N</t>
  </si>
  <si>
    <t>unused_CSI_A_D1_N</t>
  </si>
  <si>
    <t>CSI_A_D1_P</t>
  </si>
  <si>
    <t>unused_CSI_A_D1_P</t>
  </si>
  <si>
    <t>CSI_B_D0_N</t>
  </si>
  <si>
    <t>unused_CSI_B_D0_N</t>
  </si>
  <si>
    <t>CSI_B_D0_P</t>
  </si>
  <si>
    <t>unused_CSI_B_D0_P</t>
  </si>
  <si>
    <t>CSI_B_D1_N</t>
  </si>
  <si>
    <t>unused_CSI_B_D1_N</t>
  </si>
  <si>
    <t>CSI_B_D1_P</t>
  </si>
  <si>
    <t>unused_CSI_B_D1_P</t>
  </si>
  <si>
    <t>CSI_E_CLK_N</t>
  </si>
  <si>
    <t>CSI_E_CLK_P</t>
  </si>
  <si>
    <t>CSI_E_D0_N</t>
  </si>
  <si>
    <t>CSI_E_D0_P</t>
  </si>
  <si>
    <t>HDMI</t>
  </si>
  <si>
    <t>USB1_DN</t>
  </si>
  <si>
    <t>USB1_DP</t>
  </si>
  <si>
    <t>THERM_DP</t>
  </si>
  <si>
    <t>unused_THERM_DP</t>
  </si>
  <si>
    <t>THERM_DN</t>
  </si>
  <si>
    <t>unused_THERM_DN</t>
  </si>
  <si>
    <t>XTAL</t>
  </si>
  <si>
    <t>XTAL_IN</t>
  </si>
  <si>
    <t>XTAL_OUT</t>
  </si>
  <si>
    <t>unused_DP_AUX_CH0_P</t>
  </si>
  <si>
    <t>unused_DP_AUX_CH0_N</t>
  </si>
  <si>
    <t>USB0_DN</t>
  </si>
  <si>
    <t>USB0_DP</t>
  </si>
  <si>
    <t>USB2_DN</t>
  </si>
  <si>
    <t>USB2_DP</t>
  </si>
  <si>
    <t>USB 2.0</t>
  </si>
  <si>
    <t>PEX_RX2N</t>
  </si>
  <si>
    <t>PEX_RX2P</t>
  </si>
  <si>
    <t>PEX_TX2N</t>
  </si>
  <si>
    <t>PEX_TX2P</t>
  </si>
  <si>
    <t>PEX_RX3N</t>
  </si>
  <si>
    <t>PEX_RX3P</t>
  </si>
  <si>
    <t>PEX_TX3N</t>
  </si>
  <si>
    <t>PEX_TX3P</t>
  </si>
  <si>
    <t>PEX_RX4N</t>
  </si>
  <si>
    <t>PEX_RX4P</t>
  </si>
  <si>
    <t>PEX_TX4N</t>
  </si>
  <si>
    <t>PEX_TX4P</t>
  </si>
  <si>
    <t>unused_PEX_TX4P</t>
  </si>
  <si>
    <t>unused_PEX_TX4N</t>
  </si>
  <si>
    <t>unused_PEX_RX4P</t>
  </si>
  <si>
    <t>unused_PEX_RX4N</t>
  </si>
  <si>
    <t>unused_PEX_TX3P</t>
  </si>
  <si>
    <t>unused_PEX_TX3N</t>
  </si>
  <si>
    <t>unused_PEX_RX3P</t>
  </si>
  <si>
    <t>unused_PEX_RX3N</t>
  </si>
  <si>
    <t>unused_PEX_TX2P</t>
  </si>
  <si>
    <t>unused_PEX_TX2N</t>
  </si>
  <si>
    <t>unused_PEX_RX2P</t>
  </si>
  <si>
    <t>unused_PEX_RX2N</t>
  </si>
  <si>
    <t>unused_USB1_DN</t>
  </si>
  <si>
    <t>unused_USB1_DP</t>
  </si>
  <si>
    <t>unused_USB2_DN</t>
  </si>
  <si>
    <t>unused_USB2_DP</t>
  </si>
  <si>
    <t>unused_USB0_DN</t>
  </si>
  <si>
    <t>unused_USB0_DP</t>
  </si>
  <si>
    <t>AUD_MCLK</t>
  </si>
  <si>
    <t>TOUCH_CLK</t>
  </si>
  <si>
    <t>UART2_CTS</t>
  </si>
  <si>
    <t>UART2_RTS</t>
  </si>
  <si>
    <t>UART4_CTS</t>
  </si>
  <si>
    <t>UART4_RTS</t>
  </si>
  <si>
    <t>SOC_PWR_REQ</t>
  </si>
  <si>
    <t>IO Block Voltage</t>
  </si>
  <si>
    <t>1.2V</t>
  </si>
  <si>
    <r>
      <t>Ext Pull Up Value (</t>
    </r>
    <r>
      <rPr>
        <b/>
        <sz val="10"/>
        <color theme="1"/>
        <rFont val="Calibri"/>
        <family val="2"/>
      </rPr>
      <t>Ω</t>
    </r>
    <r>
      <rPr>
        <b/>
        <sz val="8.5"/>
        <color theme="1"/>
        <rFont val="Calibri"/>
        <family val="2"/>
      </rPr>
      <t>)</t>
    </r>
  </si>
  <si>
    <r>
      <t>Ext Pull Down Value (</t>
    </r>
    <r>
      <rPr>
        <b/>
        <sz val="10"/>
        <color theme="1"/>
        <rFont val="Calibri"/>
        <family val="2"/>
      </rPr>
      <t>Ω</t>
    </r>
    <r>
      <rPr>
        <b/>
        <sz val="8.5"/>
        <color theme="1"/>
        <rFont val="Calibri"/>
        <family val="2"/>
      </rPr>
      <t>)</t>
    </r>
  </si>
  <si>
    <t>Revision History</t>
  </si>
  <si>
    <t>Date</t>
  </si>
  <si>
    <t>Notice</t>
  </si>
  <si>
    <t xml:space="preserve">ALL NVIDIA DESIGN SPECIFICATIONS, REFERENCE BOARDS, FILES, DRAWINGS, DIAGNOSTICS, LISTS, AND OTHER DOCUMENTS (TOGETHER AND SEPARATELY, “MATERIALS”) ARE BEING PROVIDED “AS IS.” NVIDIA MAKES NO WARRANTIES, EXPRESSED, IMPLIED, STATUTORY, OR OTHERWISE WITH RESPECT TO THE MATERIALS, AND EXPRESSLY DISCLAIMS ALL IMPLIED WARRANTIES OF NONINFRINGEMENT, MERCHANTABILITY, AND FITNESS FOR A PARTICULAR PURPOSE.
Information furnished is believed to be accurate and reliable. However, NVIDIA Corporation assumes no responsibility for the consequences of use of such information or for any infringement of patents or other rights of third parties that may result from its use. No license is granted by implication or otherwise under any patent or patent rights of NVIDIA Corporation. Specifications mentioned in this publication are subject to change without notice. This publication supersedes and replaces all information previously supplied. NVIDIA Corporation products are not authorized for use as critical components in life support devices or systems without express written approval of NVIDIA Corporation.
</t>
  </si>
  <si>
    <t>SDMMC4_DQS</t>
  </si>
  <si>
    <t>UART4_TX</t>
  </si>
  <si>
    <t>UART4_RX</t>
  </si>
  <si>
    <t>UART2_TX</t>
  </si>
  <si>
    <t>UART2_RX</t>
  </si>
  <si>
    <t>UART3_TX</t>
  </si>
  <si>
    <t>UART3_RX</t>
  </si>
  <si>
    <t>DEBUG</t>
  </si>
  <si>
    <t>UART1_TX</t>
  </si>
  <si>
    <t>UART1_RX</t>
  </si>
  <si>
    <t>UART1_RTS</t>
  </si>
  <si>
    <t>UART1_CTS</t>
  </si>
  <si>
    <t>POWER_ON</t>
  </si>
  <si>
    <t>PEX_CLK1P</t>
  </si>
  <si>
    <t>PEX_CLK1N</t>
  </si>
  <si>
    <t>PEX_CLK2P</t>
  </si>
  <si>
    <t>PEX_CLK2N</t>
  </si>
  <si>
    <t>AUDIO_HV</t>
  </si>
  <si>
    <t>DP_AUX_CH1_P</t>
  </si>
  <si>
    <t>DP_AUX_CH1_N</t>
  </si>
  <si>
    <t>CSI_D_CLK_P</t>
  </si>
  <si>
    <t>CSI_D_CLK_N</t>
  </si>
  <si>
    <t>CSI_B_CLK_N</t>
  </si>
  <si>
    <t>CSI_B_CLK_P</t>
  </si>
  <si>
    <t>CSI_E_D1_N</t>
  </si>
  <si>
    <t>CSI_E_D1_P</t>
  </si>
  <si>
    <t>CSI_F_CLK_N</t>
  </si>
  <si>
    <t>CSI_F_CLK_P</t>
  </si>
  <si>
    <t>CSI_F_D0_N</t>
  </si>
  <si>
    <t>CSI_F_D0_P</t>
  </si>
  <si>
    <t>CSI_F_D1_N</t>
  </si>
  <si>
    <t>CSI_F_D1_P</t>
  </si>
  <si>
    <t>PEX_RX0N</t>
  </si>
  <si>
    <t>PEX_RX1P</t>
  </si>
  <si>
    <t>PEX_TX0N</t>
  </si>
  <si>
    <t>PEX_TX1N</t>
  </si>
  <si>
    <t>PEX_RX0P</t>
  </si>
  <si>
    <t>PEX_TX0P</t>
  </si>
  <si>
    <t>PEX_RX1N</t>
  </si>
  <si>
    <t>PEX_TX1P</t>
  </si>
  <si>
    <t>PEX_RX5N</t>
  </si>
  <si>
    <t>PEX_RX5P</t>
  </si>
  <si>
    <t>PEX_TX5N</t>
  </si>
  <si>
    <t>PEX_TX5P</t>
  </si>
  <si>
    <t>CSI_C_CLK_N</t>
  </si>
  <si>
    <t>CSI_C_CLK_P</t>
  </si>
  <si>
    <t>CSI_C_D0_N</t>
  </si>
  <si>
    <t>CSI_C_D0_P</t>
  </si>
  <si>
    <t>CSI_C_D1_N</t>
  </si>
  <si>
    <t>CSI_C_D1_P</t>
  </si>
  <si>
    <t>CSI_D_D0_N</t>
  </si>
  <si>
    <t>CSI_D_D0_P</t>
  </si>
  <si>
    <t>CSI_D_D1_N</t>
  </si>
  <si>
    <t>CSI_D_D1_P</t>
  </si>
  <si>
    <t>Strap</t>
  </si>
  <si>
    <t>Color Code</t>
  </si>
  <si>
    <t xml:space="preserve">Note: 1) Please check with Nvidia before using functions that end with a '*' </t>
  </si>
  <si>
    <t>Error</t>
  </si>
  <si>
    <t>Warning</t>
  </si>
  <si>
    <t>DDR_XM0_B0D0</t>
  </si>
  <si>
    <t>DDR_XM0_B0D1</t>
  </si>
  <si>
    <t>DDR_XM0_B0D2</t>
  </si>
  <si>
    <t>DDR_XM0_B0D3</t>
  </si>
  <si>
    <t>DDR_XM0_B0D4</t>
  </si>
  <si>
    <t>DDR_XM0_B0D5</t>
  </si>
  <si>
    <t>DDR_XM0_B0D6</t>
  </si>
  <si>
    <t>DDR_XM0_B0D7</t>
  </si>
  <si>
    <t>DDR_XM0_B0D8</t>
  </si>
  <si>
    <t>DDR_XM0_B0DIFFN</t>
  </si>
  <si>
    <t>DDR_XM0_B0DIFFP</t>
  </si>
  <si>
    <t>DDR_XM0_B0C</t>
  </si>
  <si>
    <t>DDR_XM0_B1D0</t>
  </si>
  <si>
    <t>DDR_XM0_B1D1</t>
  </si>
  <si>
    <t>DDR_XM0_B1D2</t>
  </si>
  <si>
    <t>DDR_XM0_B1D3</t>
  </si>
  <si>
    <t>DDR_XM0_B1D4</t>
  </si>
  <si>
    <t>DDR_XM0_B1D5</t>
  </si>
  <si>
    <t>DDR_XM0_B1D6</t>
  </si>
  <si>
    <t>DDR_XM0_B1D7</t>
  </si>
  <si>
    <t>DDR_XM0_B1D8</t>
  </si>
  <si>
    <t>DDR_XM0_B1DIFFN</t>
  </si>
  <si>
    <t>DDR_XM0_B1DIFFP</t>
  </si>
  <si>
    <t>DDR_XM0_B1C</t>
  </si>
  <si>
    <t>DDR_XM0_B2D0</t>
  </si>
  <si>
    <t>DDR_XM0_B2D1</t>
  </si>
  <si>
    <t>DDR_XM0_B2D2</t>
  </si>
  <si>
    <t>DDR_XM0_B2D3</t>
  </si>
  <si>
    <t>DDR_XM0_B2D4</t>
  </si>
  <si>
    <t>DDR_XM0_B2D5</t>
  </si>
  <si>
    <t>DDR_XM0_B2D6</t>
  </si>
  <si>
    <t>DDR_XM0_B2D7</t>
  </si>
  <si>
    <t>DDR_XM0_B2D8</t>
  </si>
  <si>
    <t>DDR_XM0_B2DIFFN</t>
  </si>
  <si>
    <t>DDR_XM0_B2DIFFP</t>
  </si>
  <si>
    <t>DDR_XM0_B2C</t>
  </si>
  <si>
    <t>DDR_XM0_B3D0</t>
  </si>
  <si>
    <t>DDR_XM0_B3D1</t>
  </si>
  <si>
    <t>DDR_XM0_B3D2</t>
  </si>
  <si>
    <t>DDR_XM0_B3D3</t>
  </si>
  <si>
    <t>DDR_XM0_B3D4</t>
  </si>
  <si>
    <t>DDR_XM0_B3D5</t>
  </si>
  <si>
    <t>DDR_XM0_B3D6</t>
  </si>
  <si>
    <t>DDR_XM0_B3D7</t>
  </si>
  <si>
    <t>DDR_XM0_B3D8</t>
  </si>
  <si>
    <t>DDR_XM0_B3DIFFN</t>
  </si>
  <si>
    <t>DDR_XM0_B3DIFFP</t>
  </si>
  <si>
    <t>DDR_XM0_B3C</t>
  </si>
  <si>
    <t>DDR_XM0_B4D0</t>
  </si>
  <si>
    <t>DDR_XM0_B4D1</t>
  </si>
  <si>
    <t>DDR_XM0_B4D2</t>
  </si>
  <si>
    <t>DDR_XM0_B4D3</t>
  </si>
  <si>
    <t>DDR_XM0_B4D4</t>
  </si>
  <si>
    <t>DDR_XM0_B4D5</t>
  </si>
  <si>
    <t>DDR_XM0_B4D6</t>
  </si>
  <si>
    <t>DDR_XM0_B4D7</t>
  </si>
  <si>
    <t>DDR_XM0_B4D8</t>
  </si>
  <si>
    <t>DDR_XM0_B4DIFFN</t>
  </si>
  <si>
    <t>DDR_XM0_B4DIFFP</t>
  </si>
  <si>
    <t>DDR_XM0_B4C</t>
  </si>
  <si>
    <t>DDR_XM0_B5D0</t>
  </si>
  <si>
    <t>DDR_XM0_B5D1</t>
  </si>
  <si>
    <t>DDR_XM0_B5D2</t>
  </si>
  <si>
    <t>DDR_XM0_B5D3</t>
  </si>
  <si>
    <t>DDR_XM0_B5D4</t>
  </si>
  <si>
    <t>DDR_XM0_B5D5</t>
  </si>
  <si>
    <t>DDR_XM0_B5D6</t>
  </si>
  <si>
    <t>DDR_XM0_B5D7</t>
  </si>
  <si>
    <t>DDR_XM0_B5D8</t>
  </si>
  <si>
    <t>DDR_XM0_B5DIFFN</t>
  </si>
  <si>
    <t>DDR_XM0_B5DIFFP</t>
  </si>
  <si>
    <t>DDR_XM0_B5C</t>
  </si>
  <si>
    <t>DDR_XM0_B6D0</t>
  </si>
  <si>
    <t>DDR_XM0_B6D1</t>
  </si>
  <si>
    <t>DDR_XM0_B6D2</t>
  </si>
  <si>
    <t>DDR_XM0_B6D3</t>
  </si>
  <si>
    <t>DDR_XM0_B6D4</t>
  </si>
  <si>
    <t>DDR_XM0_B6D5</t>
  </si>
  <si>
    <t>DDR_XM0_B6D6</t>
  </si>
  <si>
    <t>DDR_XM0_B6D7</t>
  </si>
  <si>
    <t>DDR_XM0_B6D8</t>
  </si>
  <si>
    <t>DDR_XM0_B6DIFFN</t>
  </si>
  <si>
    <t>DDR_XM0_B6DIFFP</t>
  </si>
  <si>
    <t>DDR_XM0_B6C</t>
  </si>
  <si>
    <t>DDR_XM0_B7D0</t>
  </si>
  <si>
    <t>DDR_XM0_B7D1</t>
  </si>
  <si>
    <t>DDR_XM0_B7D2</t>
  </si>
  <si>
    <t>DDR_XM0_B7D3</t>
  </si>
  <si>
    <t>DDR_XM0_B7D4</t>
  </si>
  <si>
    <t>DDR_XM0_B7D5</t>
  </si>
  <si>
    <t>DDR_XM0_B7D6</t>
  </si>
  <si>
    <t>DDR_XM0_B7D7</t>
  </si>
  <si>
    <t>DDR_XM0_B7D8</t>
  </si>
  <si>
    <t>DDR_XM0_B7DIFFN</t>
  </si>
  <si>
    <t>DDR_XM0_B7DIFFP</t>
  </si>
  <si>
    <t>DDR_XM0_B7C</t>
  </si>
  <si>
    <t>DDR_XM0_B8D0</t>
  </si>
  <si>
    <t>DDR_XM0_B8D1</t>
  </si>
  <si>
    <t>DDR_XM0_B8D2</t>
  </si>
  <si>
    <t>DDR_XM0_B8D3</t>
  </si>
  <si>
    <t>DDR_XM0_B8D4</t>
  </si>
  <si>
    <t>DDR_XM0_B8D5</t>
  </si>
  <si>
    <t>DDR_XM0_B8D6</t>
  </si>
  <si>
    <t>DDR_XM0_B8D7</t>
  </si>
  <si>
    <t>DDR_XM0_B8D8</t>
  </si>
  <si>
    <t>DDR_XM0_B8DIFFN</t>
  </si>
  <si>
    <t>DDR_XM0_B8DIFFP</t>
  </si>
  <si>
    <t>DDR_XM0_B8C</t>
  </si>
  <si>
    <t>DDR_XM0_B9D0</t>
  </si>
  <si>
    <t>DDR_XM0_B9D1</t>
  </si>
  <si>
    <t>DDR_XM0_B9D2</t>
  </si>
  <si>
    <t>DDR_XM0_B9D3</t>
  </si>
  <si>
    <t>DDR_XM0_B9D4</t>
  </si>
  <si>
    <t>DDR_XM0_B9D5</t>
  </si>
  <si>
    <t>DDR_XM0_B9D6</t>
  </si>
  <si>
    <t>DDR_XM0_B9D7</t>
  </si>
  <si>
    <t>DDR_XM0_B9D8</t>
  </si>
  <si>
    <t>DDR_XM0_B9DIFFN</t>
  </si>
  <si>
    <t>DDR_XM0_B9DIFFP</t>
  </si>
  <si>
    <t>DDR_XM0_B9C</t>
  </si>
  <si>
    <t>DDR_XM0_B10D0</t>
  </si>
  <si>
    <t>DDR_XM0_B10D1</t>
  </si>
  <si>
    <t>DDR_XM0_B10D2</t>
  </si>
  <si>
    <t>DDR_XM0_B10D3</t>
  </si>
  <si>
    <t>DDR_XM0_B10D4</t>
  </si>
  <si>
    <t>DDR_XM0_B10D5</t>
  </si>
  <si>
    <t>DDR_XM0_B10D6</t>
  </si>
  <si>
    <t>DDR_XM0_B10D7</t>
  </si>
  <si>
    <t>DDR_XM0_B10D8</t>
  </si>
  <si>
    <t>DDR_XM0_B10DIFFN</t>
  </si>
  <si>
    <t>DDR_XM0_B10DIFFP</t>
  </si>
  <si>
    <t>DDR_XM0_B10C</t>
  </si>
  <si>
    <t>DDR_XM0_B11D0</t>
  </si>
  <si>
    <t>DDR_XM0_B11D1</t>
  </si>
  <si>
    <t>DDR_XM0_B11D2</t>
  </si>
  <si>
    <t>DDR_XM0_B11D3</t>
  </si>
  <si>
    <t>DDR_XM0_B11D4</t>
  </si>
  <si>
    <t>DDR_XM0_B11D5</t>
  </si>
  <si>
    <t>DDR_XM0_B11D6</t>
  </si>
  <si>
    <t>DDR_XM0_B11D7</t>
  </si>
  <si>
    <t>DDR_XM0_B11D8</t>
  </si>
  <si>
    <t>DDR_XM0_B11DIFFN</t>
  </si>
  <si>
    <t>DDR_XM0_B11DIFFP</t>
  </si>
  <si>
    <t>DDR_XM0_B11C</t>
  </si>
  <si>
    <t>1.1V</t>
  </si>
  <si>
    <t>unused_PEX_L0_CLKREQ_N</t>
  </si>
  <si>
    <t>unused_PEX_L0_RST_N</t>
  </si>
  <si>
    <t>unused_PEX_L1_CLKREQ_N</t>
  </si>
  <si>
    <t>unused_PEX_L1_RST_N</t>
  </si>
  <si>
    <t>unused_PEX_WAKE_N</t>
  </si>
  <si>
    <t>unused_PEX_CLK1P</t>
  </si>
  <si>
    <t>unused_PEX_CLK1N</t>
  </si>
  <si>
    <t>unused_PEX_CLK2P</t>
  </si>
  <si>
    <t>unused_PEX_CLK2N</t>
  </si>
  <si>
    <t>unused_SDMMC4_DQS</t>
  </si>
  <si>
    <t>unused_TOUCH_CLK</t>
  </si>
  <si>
    <t>unused_SYS_RESET_N</t>
  </si>
  <si>
    <t>unused_CLK_32K_IN</t>
  </si>
  <si>
    <t>unused_UART2_TX</t>
  </si>
  <si>
    <t>unused_UART2_RTS</t>
  </si>
  <si>
    <t>unused_UART2_CTS</t>
  </si>
  <si>
    <t>unused_UART1_TX</t>
  </si>
  <si>
    <t>unused_UART1_RX</t>
  </si>
  <si>
    <t>unused_UART1_RTS</t>
  </si>
  <si>
    <t>unused_UART1_CTS</t>
  </si>
  <si>
    <t>unused_JTAG_TDO</t>
  </si>
  <si>
    <t>unused_JTAG_TMS</t>
  </si>
  <si>
    <t>unused_JTAG_TCK</t>
  </si>
  <si>
    <t>unused_JTAG_TDI</t>
  </si>
  <si>
    <t>unused_UART3_TX</t>
  </si>
  <si>
    <t>unused_UART3_RX</t>
  </si>
  <si>
    <t>unused_UART4_TX</t>
  </si>
  <si>
    <t>unused_UART4_RX</t>
  </si>
  <si>
    <t>unused_UART4_RTS</t>
  </si>
  <si>
    <t>unused_UART4_CTS</t>
  </si>
  <si>
    <t>unused_DP_AUX_CH1_P</t>
  </si>
  <si>
    <t>unused_DP_AUX_CH1_N</t>
  </si>
  <si>
    <t>3.3V Tolerance Enable</t>
  </si>
  <si>
    <t>unused_CSI_B_CLK_N</t>
  </si>
  <si>
    <t>unused_CSI_B_CLK_P</t>
  </si>
  <si>
    <t>unused_CSI_C_CLK_N</t>
  </si>
  <si>
    <t>unused_CSI_C_CLK_P</t>
  </si>
  <si>
    <t>unused_CSI_C_D0_N</t>
  </si>
  <si>
    <t>unused_CSI_C_D0_P</t>
  </si>
  <si>
    <t>unused_CSI_C_D1_N</t>
  </si>
  <si>
    <t>unused_CSI_C_D1_P</t>
  </si>
  <si>
    <t>unused_CSI_D_CLK_N</t>
  </si>
  <si>
    <t>unused_CSI_D_CLK_P</t>
  </si>
  <si>
    <t>unused_CSI_D_D0_N</t>
  </si>
  <si>
    <t>unused_CSI_D_D0_P</t>
  </si>
  <si>
    <t>unused_CSI_D_D1_N</t>
  </si>
  <si>
    <t>unused_CSI_D_D1_P</t>
  </si>
  <si>
    <t>unused_CSI_F_CLK_N</t>
  </si>
  <si>
    <t>unused_CSI_F_CLK_P</t>
  </si>
  <si>
    <t>unused_PEX_RX0N</t>
  </si>
  <si>
    <t>unused_PEX_RX0P</t>
  </si>
  <si>
    <t>unused_PEX_TX0N</t>
  </si>
  <si>
    <t>unused_PEX_TX0P</t>
  </si>
  <si>
    <t>unused_PEX_RX1N</t>
  </si>
  <si>
    <t>unused_PEX_RX1P</t>
  </si>
  <si>
    <t>unused_PEX_TX1N</t>
  </si>
  <si>
    <t>unused_PEX_TX1P</t>
  </si>
  <si>
    <t>unused_PEX_RX5N</t>
  </si>
  <si>
    <t>unused_PEX_RX5P</t>
  </si>
  <si>
    <t>unused_PEX_TX5N</t>
  </si>
  <si>
    <t>unused_PEX_TX5P</t>
  </si>
  <si>
    <t>unused_DAP1_SCLK</t>
  </si>
  <si>
    <t>AUD</t>
  </si>
  <si>
    <t>DMIC1</t>
  </si>
  <si>
    <t>DMIC2</t>
  </si>
  <si>
    <t>DMIC3</t>
  </si>
  <si>
    <t>PE0</t>
  </si>
  <si>
    <t>PE1</t>
  </si>
  <si>
    <t>TOUCH</t>
  </si>
  <si>
    <t>CCLA</t>
  </si>
  <si>
    <t>I2C2</t>
  </si>
  <si>
    <t>IQC1</t>
  </si>
  <si>
    <t>QSPI</t>
  </si>
  <si>
    <t>RSVD0</t>
  </si>
  <si>
    <t>Error Checker</t>
  </si>
  <si>
    <t>Customer Usage Checker</t>
  </si>
  <si>
    <t>Initial State Checker</t>
  </si>
  <si>
    <t>Wake Checker</t>
  </si>
  <si>
    <t>Resistor Checker</t>
  </si>
  <si>
    <t>3.3V Tolerance Enable Checker</t>
  </si>
  <si>
    <t>unused_AUD_MCLK</t>
  </si>
  <si>
    <t>unused_UART2_RX</t>
  </si>
  <si>
    <t>EDP</t>
  </si>
  <si>
    <t>MID</t>
  </si>
  <si>
    <t>DDR0</t>
  </si>
  <si>
    <t>DDR1</t>
  </si>
  <si>
    <t>DDR_XM1_B0D0</t>
  </si>
  <si>
    <t>DDR_XM1_B0D1</t>
  </si>
  <si>
    <t>DDR_XM1_B0D2</t>
  </si>
  <si>
    <t>DDR_XM1_B0D3</t>
  </si>
  <si>
    <t>DDR_XM1_B0D4</t>
  </si>
  <si>
    <t>DDR_XM1_B0D5</t>
  </si>
  <si>
    <t>DDR_XM1_B0D6</t>
  </si>
  <si>
    <t>DDR_XM1_B0D7</t>
  </si>
  <si>
    <t>DDR_XM1_B0D8</t>
  </si>
  <si>
    <t>DDR_XM1_B0DIFFN</t>
  </si>
  <si>
    <t>DDR_XM1_B0DIFFP</t>
  </si>
  <si>
    <t>DDR_XM1_B0C</t>
  </si>
  <si>
    <t>DDR_XM1_B1D0</t>
  </si>
  <si>
    <t>DDR_XM1_B1D1</t>
  </si>
  <si>
    <t>DDR_XM1_B1D2</t>
  </si>
  <si>
    <t>DDR_XM1_B1D3</t>
  </si>
  <si>
    <t>DDR_XM1_B1D4</t>
  </si>
  <si>
    <t>DDR_XM1_B1D5</t>
  </si>
  <si>
    <t>DDR_XM1_B1D6</t>
  </si>
  <si>
    <t>DDR_XM1_B1D7</t>
  </si>
  <si>
    <t>DDR_XM1_B1D8</t>
  </si>
  <si>
    <t>DDR_XM1_B1DIFFN</t>
  </si>
  <si>
    <t>DDR_XM1_B1DIFFP</t>
  </si>
  <si>
    <t>DDR_XM1_B1C</t>
  </si>
  <si>
    <t>DDR_XM1_B2D0</t>
  </si>
  <si>
    <t>DDR_XM1_B2D1</t>
  </si>
  <si>
    <t>DDR_XM1_B2D2</t>
  </si>
  <si>
    <t>DDR_XM1_B2D3</t>
  </si>
  <si>
    <t>DDR_XM1_B2D4</t>
  </si>
  <si>
    <t>DDR_XM1_B2D5</t>
  </si>
  <si>
    <t>DDR_XM1_B2D6</t>
  </si>
  <si>
    <t>DDR_XM1_B2D7</t>
  </si>
  <si>
    <t>DDR_XM1_B2D8</t>
  </si>
  <si>
    <t>DDR_XM1_B2DIFFN</t>
  </si>
  <si>
    <t>DDR_XM1_B2DIFFP</t>
  </si>
  <si>
    <t>DDR_XM1_B2C</t>
  </si>
  <si>
    <t>DDR_XM1_B3D0</t>
  </si>
  <si>
    <t>DDR_XM1_B3D1</t>
  </si>
  <si>
    <t>DDR_XM1_B3D2</t>
  </si>
  <si>
    <t>DDR_XM1_B3D3</t>
  </si>
  <si>
    <t>DDR_XM1_B3D4</t>
  </si>
  <si>
    <t>DDR_XM1_B3D5</t>
  </si>
  <si>
    <t>DDR_XM1_B3D6</t>
  </si>
  <si>
    <t>DDR_XM1_B3D7</t>
  </si>
  <si>
    <t>DDR_XM1_B3D8</t>
  </si>
  <si>
    <t>DDR_XM1_B3DIFFN</t>
  </si>
  <si>
    <t>DDR_XM1_B3DIFFP</t>
  </si>
  <si>
    <t>DDR_XM1_B3C</t>
  </si>
  <si>
    <t>DDR_XM1_B4D0</t>
  </si>
  <si>
    <t>DDR_XM1_B4D1</t>
  </si>
  <si>
    <t>DDR_XM1_B4D2</t>
  </si>
  <si>
    <t>DDR_XM1_B4D3</t>
  </si>
  <si>
    <t>DDR_XM1_B4D4</t>
  </si>
  <si>
    <t>DDR_XM1_B4D5</t>
  </si>
  <si>
    <t>DDR_XM1_B4D6</t>
  </si>
  <si>
    <t>DDR_XM1_B4D7</t>
  </si>
  <si>
    <t>DDR_XM1_B4D8</t>
  </si>
  <si>
    <t>DDR_XM1_B4DIFFN</t>
  </si>
  <si>
    <t>DDR_XM1_B4DIFFP</t>
  </si>
  <si>
    <t>DDR_XM1_B4C</t>
  </si>
  <si>
    <t>DDR_XM1_B5D0</t>
  </si>
  <si>
    <t>DDR_XM1_B5D1</t>
  </si>
  <si>
    <t>DDR_XM1_B5D2</t>
  </si>
  <si>
    <t>DDR_XM1_B5D3</t>
  </si>
  <si>
    <t>DDR_XM1_B5D4</t>
  </si>
  <si>
    <t>DDR_XM1_B5D5</t>
  </si>
  <si>
    <t>DDR_XM1_B5D6</t>
  </si>
  <si>
    <t>DDR_XM1_B5D7</t>
  </si>
  <si>
    <t>DDR_XM1_B5D8</t>
  </si>
  <si>
    <t>DDR_XM1_B5DIFFN</t>
  </si>
  <si>
    <t>DDR_XM1_B5DIFFP</t>
  </si>
  <si>
    <t>DDR_XM1_B5C</t>
  </si>
  <si>
    <t>DDR_XM1_B6D0</t>
  </si>
  <si>
    <t>DDR_XM1_B6D1</t>
  </si>
  <si>
    <t>DDR_XM1_B6D2</t>
  </si>
  <si>
    <t>DDR_XM1_B6D3</t>
  </si>
  <si>
    <t>DDR_XM1_B6D4</t>
  </si>
  <si>
    <t>DDR_XM1_B6D5</t>
  </si>
  <si>
    <t>DDR_XM1_B6D6</t>
  </si>
  <si>
    <t>DDR_XM1_B6D7</t>
  </si>
  <si>
    <t>DDR_XM1_B6D8</t>
  </si>
  <si>
    <t>DDR_XM1_B6DIFFN</t>
  </si>
  <si>
    <t>DDR_XM1_B6DIFFP</t>
  </si>
  <si>
    <t>DDR_XM1_B6C</t>
  </si>
  <si>
    <t>DDR_XM1_B7D0</t>
  </si>
  <si>
    <t>DDR_XM1_B7D1</t>
  </si>
  <si>
    <t>DDR_XM1_B7D2</t>
  </si>
  <si>
    <t>DDR_XM1_B7D3</t>
  </si>
  <si>
    <t>DDR_XM1_B7D4</t>
  </si>
  <si>
    <t>DDR_XM1_B7D5</t>
  </si>
  <si>
    <t>DDR_XM1_B7D6</t>
  </si>
  <si>
    <t>DDR_XM1_B7D7</t>
  </si>
  <si>
    <t>DDR_XM1_B7D8</t>
  </si>
  <si>
    <t>DDR_XM1_B7DIFFN</t>
  </si>
  <si>
    <t>DDR_XM1_B7DIFFP</t>
  </si>
  <si>
    <t>DDR_XM1_B7C</t>
  </si>
  <si>
    <t>DDR_XM1_B8D0</t>
  </si>
  <si>
    <t>DDR_XM1_B8D1</t>
  </si>
  <si>
    <t>DDR_XM1_B8D2</t>
  </si>
  <si>
    <t>DDR_XM1_B8D3</t>
  </si>
  <si>
    <t>DDR_XM1_B8D4</t>
  </si>
  <si>
    <t>DDR_XM1_B8D5</t>
  </si>
  <si>
    <t>DDR_XM1_B8D6</t>
  </si>
  <si>
    <t>DDR_XM1_B8D7</t>
  </si>
  <si>
    <t>DDR_XM1_B8D8</t>
  </si>
  <si>
    <t>DDR_XM1_B8DIFFN</t>
  </si>
  <si>
    <t>DDR_XM1_B8DIFFP</t>
  </si>
  <si>
    <t>DDR_XM1_B8C</t>
  </si>
  <si>
    <t>DDR_XM1_B9D0</t>
  </si>
  <si>
    <t>DDR_XM1_B9D1</t>
  </si>
  <si>
    <t>DDR_XM1_B9D2</t>
  </si>
  <si>
    <t>DDR_XM1_B9D3</t>
  </si>
  <si>
    <t>DDR_XM1_B9D4</t>
  </si>
  <si>
    <t>DDR_XM1_B9D5</t>
  </si>
  <si>
    <t>DDR_XM1_B9D6</t>
  </si>
  <si>
    <t>DDR_XM1_B9D7</t>
  </si>
  <si>
    <t>DDR_XM1_B9D8</t>
  </si>
  <si>
    <t>DDR_XM1_B9DIFFN</t>
  </si>
  <si>
    <t>DDR_XM1_B9DIFFP</t>
  </si>
  <si>
    <t>DDR_XM1_B9C</t>
  </si>
  <si>
    <t>DDR_XM1_B10D0</t>
  </si>
  <si>
    <t>DDR_XM1_B10D1</t>
  </si>
  <si>
    <t>DDR_XM1_B10D2</t>
  </si>
  <si>
    <t>DDR_XM1_B10D3</t>
  </si>
  <si>
    <t>DDR_XM1_B10D4</t>
  </si>
  <si>
    <t>DDR_XM1_B10D5</t>
  </si>
  <si>
    <t>DDR_XM1_B10D6</t>
  </si>
  <si>
    <t>DDR_XM1_B10D7</t>
  </si>
  <si>
    <t>DDR_XM1_B10D8</t>
  </si>
  <si>
    <t>DDR_XM1_B10DIFFN</t>
  </si>
  <si>
    <t>DDR_XM1_B10DIFFP</t>
  </si>
  <si>
    <t>DDR_XM1_B10C</t>
  </si>
  <si>
    <t>DDR_XM1_B11D0</t>
  </si>
  <si>
    <t>DDR_XM1_B11D1</t>
  </si>
  <si>
    <t>DDR_XM1_B11D2</t>
  </si>
  <si>
    <t>DDR_XM1_B11D3</t>
  </si>
  <si>
    <t>DDR_XM1_B11D4</t>
  </si>
  <si>
    <t>DDR_XM1_B11D5</t>
  </si>
  <si>
    <t>DDR_XM1_B11D6</t>
  </si>
  <si>
    <t>DDR_XM1_B11D7</t>
  </si>
  <si>
    <t>DDR_XM1_B11D8</t>
  </si>
  <si>
    <t>DDR_XM1_B11DIFFN</t>
  </si>
  <si>
    <t>DDR_XM1_B11DIFFP</t>
  </si>
  <si>
    <t>DDR_XM1_B11C</t>
  </si>
  <si>
    <t>EQOS_TXC</t>
  </si>
  <si>
    <t>EQOS_TD0</t>
  </si>
  <si>
    <t>EQOS_TD1</t>
  </si>
  <si>
    <t>EQOS_TD2</t>
  </si>
  <si>
    <t>EQOS_TD3</t>
  </si>
  <si>
    <t>EQOS_TX_CTL</t>
  </si>
  <si>
    <t>EQOS_RD0</t>
  </si>
  <si>
    <t>EQOS_RD1</t>
  </si>
  <si>
    <t>EQOS_RD2</t>
  </si>
  <si>
    <t>EQOS_RD3</t>
  </si>
  <si>
    <t>EQOS_RX_CTL</t>
  </si>
  <si>
    <t>EQOS_RXC</t>
  </si>
  <si>
    <t>CONN</t>
  </si>
  <si>
    <t>EXTPERIPH1_CLK</t>
  </si>
  <si>
    <t>EXTPERIPH2_CLK</t>
  </si>
  <si>
    <t>PMU_INT_N</t>
  </si>
  <si>
    <t>SAFE_STATE</t>
  </si>
  <si>
    <t>VCOMP_ALERT</t>
  </si>
  <si>
    <t>BATT_OC</t>
  </si>
  <si>
    <t>AO</t>
  </si>
  <si>
    <t>GEN8_I2C_SCL</t>
  </si>
  <si>
    <t>GEN8_I2C_SDA</t>
  </si>
  <si>
    <t>AO_HV</t>
  </si>
  <si>
    <t>CAN1_DOUT</t>
  </si>
  <si>
    <t>CAN1_DIN</t>
  </si>
  <si>
    <t>CAN0_DOUT</t>
  </si>
  <si>
    <t>CAN0_DIN</t>
  </si>
  <si>
    <t>UART5_TX</t>
  </si>
  <si>
    <t>UART5_RX</t>
  </si>
  <si>
    <t>UART5_RTS</t>
  </si>
  <si>
    <t>UART5_CTS</t>
  </si>
  <si>
    <t>GPU_PWR_REQ</t>
  </si>
  <si>
    <t>GP_PWM6</t>
  </si>
  <si>
    <t>GP_PWM7</t>
  </si>
  <si>
    <t>NVJTAG_SEL</t>
  </si>
  <si>
    <t>PEX_L2_RST_N</t>
  </si>
  <si>
    <t>PEX_L2_CLKREQ_N</t>
  </si>
  <si>
    <t>DP_AUX_CH0_HPD</t>
  </si>
  <si>
    <t>DP_AUX_CH1_HPD</t>
  </si>
  <si>
    <t>HDMI_DP0</t>
  </si>
  <si>
    <t>HDMI_DP0_TXDP0</t>
  </si>
  <si>
    <t>HDMI_DP0_TXDN0</t>
  </si>
  <si>
    <t>HDMI_DP0_TXDP1</t>
  </si>
  <si>
    <t>HDMI_DP0_TXDN1</t>
  </si>
  <si>
    <t>HDMI_DP0_TXDP2</t>
  </si>
  <si>
    <t>HDMI_DP0_TXDN2</t>
  </si>
  <si>
    <t>HDMI_DP0_TXDP3</t>
  </si>
  <si>
    <t>HDMI_DP0_TXDN3</t>
  </si>
  <si>
    <t>HDMI_DP1</t>
  </si>
  <si>
    <t>HDMI_DP1_TXDP0</t>
  </si>
  <si>
    <t>HDMI_DP1_TXDN0</t>
  </si>
  <si>
    <t>HDMI_DP1_TXDP1</t>
  </si>
  <si>
    <t>HDMI_DP1_TXDN1</t>
  </si>
  <si>
    <t>HDMI_DP1_TXDP2</t>
  </si>
  <si>
    <t>HDMI_DP1_TXDN2</t>
  </si>
  <si>
    <t>HDMI_DP1_TXDP3</t>
  </si>
  <si>
    <t>HDMI_DP1_TXDN3</t>
  </si>
  <si>
    <t>UFS</t>
  </si>
  <si>
    <t>UFS0_REF_CLK</t>
  </si>
  <si>
    <t>UFS0_RST</t>
  </si>
  <si>
    <t>UPHY</t>
  </si>
  <si>
    <t>PEX_REFCLK1P</t>
  </si>
  <si>
    <t>PEX_REFCLK1N</t>
  </si>
  <si>
    <t>PEX_CLK</t>
  </si>
  <si>
    <t>unused_EXTPERIPH1_CLK</t>
  </si>
  <si>
    <t>unused_EXTPERIPH2_CLK</t>
  </si>
  <si>
    <t>unused_PEX_L2_RST_N</t>
  </si>
  <si>
    <t>unused_PEX_L2_CLKREQ_N</t>
  </si>
  <si>
    <t>unused_EQOS_TXC</t>
  </si>
  <si>
    <t>unused_EQOS_TD0</t>
  </si>
  <si>
    <t>unused_EQOS_TD1</t>
  </si>
  <si>
    <t>unused_EQOS_TD2</t>
  </si>
  <si>
    <t>unused_EQOS_TD3</t>
  </si>
  <si>
    <t>unused_EQOS_TX_CTL</t>
  </si>
  <si>
    <t>unused_EQOS_RD0</t>
  </si>
  <si>
    <t>unused_EQOS_RD1</t>
  </si>
  <si>
    <t>unused_EQOS_RD2</t>
  </si>
  <si>
    <t>unused_EQOS_RD3</t>
  </si>
  <si>
    <t>unused_EQOS_RX_CTL</t>
  </si>
  <si>
    <t>unused_EQOS_RXC</t>
  </si>
  <si>
    <t>unused_POWER_ON</t>
  </si>
  <si>
    <t>unused_SAFE_STATE</t>
  </si>
  <si>
    <t>unused_VCOMP_ALERT</t>
  </si>
  <si>
    <t>unused_BATT_OC</t>
  </si>
  <si>
    <t>unused_SOC_PWR_REQ</t>
  </si>
  <si>
    <t>unused_PMU_INT_N</t>
  </si>
  <si>
    <t>unused_UART5_TX</t>
  </si>
  <si>
    <t>unused_UART5_RX</t>
  </si>
  <si>
    <t>unused_UART5_RTS</t>
  </si>
  <si>
    <t>unused_UART5_CTS</t>
  </si>
  <si>
    <t>unused_GPU_PWR_REQ</t>
  </si>
  <si>
    <t>unused_NVJTAG_SEL</t>
  </si>
  <si>
    <t>unused_GEN8_I2C_SCL</t>
  </si>
  <si>
    <t>unused_GEN8_I2C_SDA</t>
  </si>
  <si>
    <t>unused_CAN1_DOUT</t>
  </si>
  <si>
    <t>unused_CAN1_DIN</t>
  </si>
  <si>
    <t>unused_CAN0_DOUT</t>
  </si>
  <si>
    <t>unused_CAN0_DIN</t>
  </si>
  <si>
    <t>unused_DP_AUX_CH0_HPD</t>
  </si>
  <si>
    <t>unused_DP_AUX_CH1_HPD</t>
  </si>
  <si>
    <t>unused_HDMI_DP0_TXDP0</t>
  </si>
  <si>
    <t>unused_HDMI_DP0_TXDN0</t>
  </si>
  <si>
    <t>unused_HDMI_DP0_TXDP1</t>
  </si>
  <si>
    <t>unused_HDMI_DP0_TXDN1</t>
  </si>
  <si>
    <t>unused_HDMI_DP0_TXDP2</t>
  </si>
  <si>
    <t>unused_HDMI_DP0_TXDN2</t>
  </si>
  <si>
    <t>unused_HDMI_DP0_TXDP3</t>
  </si>
  <si>
    <t>unused_HDMI_DP0_TXDN3</t>
  </si>
  <si>
    <t>unused_HDMI_DP1_TXDP0</t>
  </si>
  <si>
    <t>unused_HDMI_DP1_TXDN0</t>
  </si>
  <si>
    <t>unused_HDMI_DP1_TXDP1</t>
  </si>
  <si>
    <t>unused_HDMI_DP1_TXDN1</t>
  </si>
  <si>
    <t>unused_HDMI_DP1_TXDP2</t>
  </si>
  <si>
    <t>unused_HDMI_DP1_TXDN2</t>
  </si>
  <si>
    <t>unused_HDMI_DP1_TXDP3</t>
  </si>
  <si>
    <t>unused_HDMI_DP1_TXDN3</t>
  </si>
  <si>
    <t>unused_PEX_REFCLK1N</t>
  </si>
  <si>
    <t>unused_PEX_REFCLK1P</t>
  </si>
  <si>
    <t>unused_UFS0_REF_CLK</t>
  </si>
  <si>
    <t>unused_UFS0_RST</t>
  </si>
  <si>
    <t>1.8V/3.3V</t>
  </si>
  <si>
    <t>AO_HV (3.3V Capable)</t>
  </si>
  <si>
    <t>DSPK1</t>
  </si>
  <si>
    <t>DMIC4</t>
  </si>
  <si>
    <t>DSPK0</t>
  </si>
  <si>
    <t>I2S4</t>
  </si>
  <si>
    <t>I2S6</t>
  </si>
  <si>
    <t>EXTPERIPH1</t>
  </si>
  <si>
    <t>EXTPERIPH2</t>
  </si>
  <si>
    <t>EXTPERIPH4</t>
  </si>
  <si>
    <t>PE2</t>
  </si>
  <si>
    <t>EQOS</t>
  </si>
  <si>
    <t>SCE</t>
  </si>
  <si>
    <t>I2C5</t>
  </si>
  <si>
    <t>UARTE</t>
  </si>
  <si>
    <t>NV</t>
  </si>
  <si>
    <t>I2S5</t>
  </si>
  <si>
    <t>I2C8</t>
  </si>
  <si>
    <t>UARTG</t>
  </si>
  <si>
    <t>WDT</t>
  </si>
  <si>
    <t>CAN1</t>
  </si>
  <si>
    <t>CAN0</t>
  </si>
  <si>
    <t>DMIC5</t>
  </si>
  <si>
    <t>UFS0</t>
  </si>
  <si>
    <t>PEX_CLK3P</t>
  </si>
  <si>
    <t>PEX_CLK3N</t>
  </si>
  <si>
    <t>DCB</t>
  </si>
  <si>
    <t>DCA</t>
  </si>
  <si>
    <t>DP</t>
  </si>
  <si>
    <t>SDMMC1_HV (3.3V Capable)</t>
  </si>
  <si>
    <t>SDMMC3_HV (3.3V Capable)</t>
  </si>
  <si>
    <t>Bidirectional</t>
  </si>
  <si>
    <t>Output</t>
  </si>
  <si>
    <t>Input</t>
  </si>
  <si>
    <t>Yes</t>
  </si>
  <si>
    <t>I2S3_LRCK</t>
  </si>
  <si>
    <t>I2S3_SCLK</t>
  </si>
  <si>
    <t>I2S3_SDATA_OUT</t>
  </si>
  <si>
    <t>I2S6_SCLK</t>
  </si>
  <si>
    <t>I2S6_SDATA_OUT</t>
  </si>
  <si>
    <t>I2S6_SDATA_IN</t>
  </si>
  <si>
    <t>I2S6_LRCK</t>
  </si>
  <si>
    <t>EXTPERIPH3_CLK</t>
  </si>
  <si>
    <t>Enable</t>
  </si>
  <si>
    <t>Int PU</t>
  </si>
  <si>
    <t>Drive 0</t>
  </si>
  <si>
    <t>Int PD</t>
  </si>
  <si>
    <t>JTAG</t>
  </si>
  <si>
    <t>PMICINTR</t>
  </si>
  <si>
    <t>Drive 1</t>
  </si>
  <si>
    <t>Device Tree Pin Name</t>
  </si>
  <si>
    <t>Voltage Configuration</t>
  </si>
  <si>
    <t>Voltage Rail</t>
  </si>
  <si>
    <t>Voltage Setting</t>
  </si>
  <si>
    <t>SDMMC1_HV</t>
  </si>
  <si>
    <t>SDMMC3_HV</t>
  </si>
  <si>
    <t>DDR_XM0_RESET</t>
  </si>
  <si>
    <t>DDR_XM1_RESET</t>
  </si>
  <si>
    <t>PE1_CLKREQ_L</t>
  </si>
  <si>
    <t>UA3_TXD</t>
  </si>
  <si>
    <t>UA3_RXD</t>
  </si>
  <si>
    <t>PEX1_RX0P</t>
  </si>
  <si>
    <t>PEX1_RX0N</t>
  </si>
  <si>
    <t>PEX1_TX0P</t>
  </si>
  <si>
    <t>PEX1_TX0N</t>
  </si>
  <si>
    <t>Pad Category</t>
  </si>
  <si>
    <t>Z</t>
  </si>
  <si>
    <t>Pad Info</t>
  </si>
  <si>
    <t>Pull Strength</t>
  </si>
  <si>
    <t>LPDR Enable</t>
  </si>
  <si>
    <t>EQOS LPBK Enable</t>
  </si>
  <si>
    <t>N/A</t>
  </si>
  <si>
    <t>I2S2_SCLK</t>
  </si>
  <si>
    <t>I2S2_SDATA_OUT</t>
  </si>
  <si>
    <t>I2S2_SDATA_IN</t>
  </si>
  <si>
    <t>I2S2_LRCK</t>
  </si>
  <si>
    <t>I2C1_CLK</t>
  </si>
  <si>
    <t>I2C1_DAT</t>
  </si>
  <si>
    <t>I2S1_SCLK</t>
  </si>
  <si>
    <t>I2S1_SDATA_OUT</t>
  </si>
  <si>
    <t>I2S1_SDATA_IN</t>
  </si>
  <si>
    <t>I2S1_LRCK</t>
  </si>
  <si>
    <t>GPIO3_PM.05</t>
  </si>
  <si>
    <t>I2S4_SCLK</t>
  </si>
  <si>
    <t>I2S4_SDATA_OUT</t>
  </si>
  <si>
    <t>I2S4_SDATA_IN</t>
  </si>
  <si>
    <t>I2S4_LRCK</t>
  </si>
  <si>
    <t>GPIO3_PN.00</t>
  </si>
  <si>
    <t>GPIO3_PN.02</t>
  </si>
  <si>
    <t>I2C3_CLK</t>
  </si>
  <si>
    <t>I2C3_DAT</t>
  </si>
  <si>
    <t>PE1_RST_L</t>
  </si>
  <si>
    <t>PEX_CLK_OUT_2_P</t>
  </si>
  <si>
    <t>PEX_CLK_OUT_2_N</t>
  </si>
  <si>
    <t>RESET</t>
  </si>
  <si>
    <t>I2C5_CLK</t>
  </si>
  <si>
    <t>I2C5_DAT</t>
  </si>
  <si>
    <t>UB3_TXD</t>
  </si>
  <si>
    <t>UB3_RXD</t>
  </si>
  <si>
    <t>SPI3_SCK</t>
  </si>
  <si>
    <t>SPI3_DIN</t>
  </si>
  <si>
    <t>SPI3_CS0</t>
  </si>
  <si>
    <t>SPI3_DOUT</t>
  </si>
  <si>
    <t>SPI1_CS1</t>
  </si>
  <si>
    <t>GPIO3_PH.06</t>
  </si>
  <si>
    <t>SPI1_SCK</t>
  </si>
  <si>
    <t>SPI1_DIN</t>
  </si>
  <si>
    <t>SPI1_DOUT</t>
  </si>
  <si>
    <t>SPI1_CS0</t>
  </si>
  <si>
    <t>UA3_RTS</t>
  </si>
  <si>
    <t>UA3_CTS</t>
  </si>
  <si>
    <t>UC3_TXD</t>
  </si>
  <si>
    <t>UC3_RXD</t>
  </si>
  <si>
    <t>I2C8_CLK</t>
  </si>
  <si>
    <t>I2C8_DAT</t>
  </si>
  <si>
    <t>SPI2_SCK</t>
  </si>
  <si>
    <t>SPI2_CS0</t>
  </si>
  <si>
    <t>I2C2_CLK</t>
  </si>
  <si>
    <t>I2C2_DAT</t>
  </si>
  <si>
    <t>GPIO3_PEE.02</t>
  </si>
  <si>
    <t>GPIO3_PAA.04</t>
  </si>
  <si>
    <t>GPIO3_PAA.05</t>
  </si>
  <si>
    <t>GPIO3_PAA.06</t>
  </si>
  <si>
    <t>GPIO3_PAA.07</t>
  </si>
  <si>
    <t>GPIO3_PP.04</t>
  </si>
  <si>
    <t>GPIO3_PP.05</t>
  </si>
  <si>
    <t>GPIO3_PP.06</t>
  </si>
  <si>
    <t>1.0V</t>
  </si>
  <si>
    <t>SDMMC1_CD</t>
  </si>
  <si>
    <t>GP_PWM2</t>
  </si>
  <si>
    <t>GP_PWM1</t>
  </si>
  <si>
    <t>SOC_GPIO30</t>
  </si>
  <si>
    <t>SOC_GPIO31</t>
  </si>
  <si>
    <t>SOC_GPIO32</t>
  </si>
  <si>
    <t>SOC_GPIO33</t>
  </si>
  <si>
    <t>DAP3_SCLK</t>
  </si>
  <si>
    <t>DAP3_DOUT</t>
  </si>
  <si>
    <t>DAP3_DIN</t>
  </si>
  <si>
    <t>DAP3_FS</t>
  </si>
  <si>
    <t>DAP5_SCLK</t>
  </si>
  <si>
    <t>DAP5_DOUT</t>
  </si>
  <si>
    <t>DAP5_DIN</t>
  </si>
  <si>
    <t>DAP5_FS</t>
  </si>
  <si>
    <t>EQOS_SMA_MDIO</t>
  </si>
  <si>
    <t>EQOS_SMA_MDC</t>
  </si>
  <si>
    <t>QSPI0_SCK</t>
  </si>
  <si>
    <t>QSPI0_CS_N</t>
  </si>
  <si>
    <t>QSPI0_IO0</t>
  </si>
  <si>
    <t>QSPI0_IO1</t>
  </si>
  <si>
    <t>QSPI0_IO2</t>
  </si>
  <si>
    <t>QSPI0_IO3</t>
  </si>
  <si>
    <t>QSPI1_SCK</t>
  </si>
  <si>
    <t>QSPI1_CS_N</t>
  </si>
  <si>
    <t>QSPI1_IO0</t>
  </si>
  <si>
    <t>QSPI1_IO1</t>
  </si>
  <si>
    <t>QSPI1_IO2</t>
  </si>
  <si>
    <t>QSPI1_IO3</t>
  </si>
  <si>
    <t>SOC_GPIO00</t>
  </si>
  <si>
    <t>SOC_GPIO01</t>
  </si>
  <si>
    <t>SOC_GPIO02</t>
  </si>
  <si>
    <t>SOC_GPIO03</t>
  </si>
  <si>
    <t>SOC_GPIO08</t>
  </si>
  <si>
    <t>SOC_GPIO09</t>
  </si>
  <si>
    <t>SOC_GPIO10</t>
  </si>
  <si>
    <t>SOC_GPIO11</t>
  </si>
  <si>
    <t>SOC_GPIO12</t>
  </si>
  <si>
    <t>SOC_GPIO13</t>
  </si>
  <si>
    <t>SOC_GPIO14</t>
  </si>
  <si>
    <t>NVDBG_SEL</t>
  </si>
  <si>
    <t>JTAG_TRST_</t>
  </si>
  <si>
    <t>CV_PWR_REQ</t>
  </si>
  <si>
    <t>GP_PWM3</t>
  </si>
  <si>
    <t>SPI3_MISO</t>
  </si>
  <si>
    <t>SPI3_MOSI</t>
  </si>
  <si>
    <t>SPI3_CS1</t>
  </si>
  <si>
    <t>SPI1_MISO</t>
  </si>
  <si>
    <t>SPI1_MOSI</t>
  </si>
  <si>
    <t>SHUTDOWN_N</t>
  </si>
  <si>
    <t>AO_RETENTION_N</t>
  </si>
  <si>
    <t>CAN0_STB</t>
  </si>
  <si>
    <t>CAN0_EN</t>
  </si>
  <si>
    <t>CAN0_WAKE</t>
  </si>
  <si>
    <t>CAN0_ERR</t>
  </si>
  <si>
    <t>CAN1_STB</t>
  </si>
  <si>
    <t>CAN1_EN</t>
  </si>
  <si>
    <t>CAN1_WAKE</t>
  </si>
  <si>
    <t>CAN1_ERR</t>
  </si>
  <si>
    <t>SPI2_MISO</t>
  </si>
  <si>
    <t>SPI2_MOSI</t>
  </si>
  <si>
    <t>GEN2_I2C_SCL</t>
  </si>
  <si>
    <t>GEN2_I2C_SDA</t>
  </si>
  <si>
    <t>SOC_GPIO04</t>
  </si>
  <si>
    <t>SOC_GPIO05</t>
  </si>
  <si>
    <t>SOC_GPIO06</t>
  </si>
  <si>
    <t>SOC_GPIO07</t>
  </si>
  <si>
    <t>SOC_GPIO20</t>
  </si>
  <si>
    <t>SOC_GPIO21</t>
  </si>
  <si>
    <t>SOC_GPIO22</t>
  </si>
  <si>
    <t>SOC_GPIO23</t>
  </si>
  <si>
    <t>SOC_GPIO40</t>
  </si>
  <si>
    <t>SOC_GPIO41</t>
  </si>
  <si>
    <t>SOC_GPIO42</t>
  </si>
  <si>
    <t>SOC_GPIO43</t>
  </si>
  <si>
    <t>SOC_GPIO44</t>
  </si>
  <si>
    <t>SOC_GPIO45</t>
  </si>
  <si>
    <t>DAP6_SCLK</t>
  </si>
  <si>
    <t>DAP6_DOUT</t>
  </si>
  <si>
    <t>DAP6_DIN</t>
  </si>
  <si>
    <t>DAP6_FS</t>
  </si>
  <si>
    <t>CPU_PWR_REQ_0</t>
  </si>
  <si>
    <t>CPU_PWR_REQ_1</t>
  </si>
  <si>
    <t>PWR_CTL</t>
  </si>
  <si>
    <t>PEX_L3_CLKREQ_N</t>
  </si>
  <si>
    <t>PEX_L3_RST_N</t>
  </si>
  <si>
    <t>PEX_L4_CLKREQ_N</t>
  </si>
  <si>
    <t>PEX_L4_RST_N</t>
  </si>
  <si>
    <t>SATA_DEV_SLP</t>
  </si>
  <si>
    <t>PEX_CLK5P</t>
  </si>
  <si>
    <t>PEX_CLK5N</t>
  </si>
  <si>
    <t>PEX_CLK0P</t>
  </si>
  <si>
    <t>PEX_CLK0N</t>
  </si>
  <si>
    <t>PEX_CLK4P</t>
  </si>
  <si>
    <t>PEX_CLK4N</t>
  </si>
  <si>
    <t>DP_AUX_CH2_P</t>
  </si>
  <si>
    <t>DP_AUX_CH2_N</t>
  </si>
  <si>
    <t>DP_AUX_CH2_HPD</t>
  </si>
  <si>
    <t>DP_AUX_CH3_P</t>
  </si>
  <si>
    <t>DP_AUX_CH3_N</t>
  </si>
  <si>
    <t>DP_AUX_CH3_HPD</t>
  </si>
  <si>
    <t>SOC_GPIO50</t>
  </si>
  <si>
    <t>SOC_GPIO51</t>
  </si>
  <si>
    <t>SOC_GPIO52</t>
  </si>
  <si>
    <t>SOC_GPIO53</t>
  </si>
  <si>
    <t>SOC_GPIO54</t>
  </si>
  <si>
    <t>SOC_GPIO55</t>
  </si>
  <si>
    <t>CSI</t>
  </si>
  <si>
    <t>CSI_G_CLK_N</t>
  </si>
  <si>
    <t>CSI_G_CLK_P</t>
  </si>
  <si>
    <t>CSI_G_D0_N</t>
  </si>
  <si>
    <t>CSI_G_D0_P</t>
  </si>
  <si>
    <t>CSI_G_D1_N</t>
  </si>
  <si>
    <t>CSI_G_D1_P</t>
  </si>
  <si>
    <t>CSI_H_CLK_N</t>
  </si>
  <si>
    <t>CSI_H_CLK_P</t>
  </si>
  <si>
    <t>CSI_H_D0_N</t>
  </si>
  <si>
    <t>CSI_H_D0_P</t>
  </si>
  <si>
    <t>CSI_H_D1_N</t>
  </si>
  <si>
    <t>CSI_H_D1_P</t>
  </si>
  <si>
    <t>HDMI_DP2</t>
  </si>
  <si>
    <t>HDMI_DP3</t>
  </si>
  <si>
    <t>HDMI_DP2_TXDP0</t>
  </si>
  <si>
    <t>HDMI_DP2_TXDN0</t>
  </si>
  <si>
    <t>HDMI_DP2_TXDP1</t>
  </si>
  <si>
    <t>HDMI_DP2_TXDN1</t>
  </si>
  <si>
    <t>HDMI_DP2_TXDP2</t>
  </si>
  <si>
    <t>HDMI_DP2_TXDN2</t>
  </si>
  <si>
    <t>HDMI_DP2_TXDP3</t>
  </si>
  <si>
    <t>HDMI_DP2_TXDN3</t>
  </si>
  <si>
    <t>HDMI_DP3_TXDP0</t>
  </si>
  <si>
    <t>HDMI_DP3_TXDN0</t>
  </si>
  <si>
    <t>HDMI_DP3_TXDP1</t>
  </si>
  <si>
    <t>HDMI_DP3_TXDN1</t>
  </si>
  <si>
    <t>HDMI_DP3_TXDP2</t>
  </si>
  <si>
    <t>HDMI_DP3_TXDN2</t>
  </si>
  <si>
    <t>HDMI_DP3_TXDP3</t>
  </si>
  <si>
    <t>HDMI_DP3_TXDN3</t>
  </si>
  <si>
    <t>USB3_DP</t>
  </si>
  <si>
    <t>USB3_DN</t>
  </si>
  <si>
    <t>PEX_REFCLK2P</t>
  </si>
  <si>
    <t>PEX_REFCLK2N</t>
  </si>
  <si>
    <t>PEX_RX6P</t>
  </si>
  <si>
    <t>PEX_RX6N</t>
  </si>
  <si>
    <t>PEX_TX6P</t>
  </si>
  <si>
    <t>PEX_TX6N</t>
  </si>
  <si>
    <t>PEX_RX7P</t>
  </si>
  <si>
    <t>PEX_RX7N</t>
  </si>
  <si>
    <t>PEX_TX7P</t>
  </si>
  <si>
    <t>PEX_TX7N</t>
  </si>
  <si>
    <t>PEX_RX8P</t>
  </si>
  <si>
    <t>PEX_RX8N</t>
  </si>
  <si>
    <t>PEX_TX8P</t>
  </si>
  <si>
    <t>PEX_TX8N</t>
  </si>
  <si>
    <t>PEX_RX9P</t>
  </si>
  <si>
    <t>PEX_RX9N</t>
  </si>
  <si>
    <t>PEX_TX9P</t>
  </si>
  <si>
    <t>PEX_TX9N</t>
  </si>
  <si>
    <t>PEX_RX10P</t>
  </si>
  <si>
    <t>PEX_RX10N</t>
  </si>
  <si>
    <t>PEX_TX10P</t>
  </si>
  <si>
    <t>PEX_TX10N</t>
  </si>
  <si>
    <t>PEX_RX11P</t>
  </si>
  <si>
    <t>PEX_RX11N</t>
  </si>
  <si>
    <t>PEX_TX11P</t>
  </si>
  <si>
    <t>PEX_TX11N</t>
  </si>
  <si>
    <t>NVHS0_REFCLK_P</t>
  </si>
  <si>
    <t>NVHS0_REFCLK_N</t>
  </si>
  <si>
    <t>NVHS0_RX0_P</t>
  </si>
  <si>
    <t>NVHS0_RX0_N</t>
  </si>
  <si>
    <t>NVHS0_TX0_P</t>
  </si>
  <si>
    <t>NVHS0_TX0_N</t>
  </si>
  <si>
    <t>NVHS0_RX1_P</t>
  </si>
  <si>
    <t>NVHS0_RX1_N</t>
  </si>
  <si>
    <t>NVHS0_TX1_P</t>
  </si>
  <si>
    <t>NVHS0_TX1_N</t>
  </si>
  <si>
    <t>NVHS0_RX2_P</t>
  </si>
  <si>
    <t>NVHS0_RX2_N</t>
  </si>
  <si>
    <t>NVHS0_TX2_P</t>
  </si>
  <si>
    <t>NVHS0_TX2_N</t>
  </si>
  <si>
    <t>NVHS0_RX3_P</t>
  </si>
  <si>
    <t>NVHS0_RX3_N</t>
  </si>
  <si>
    <t>NVHS0_TX3_P</t>
  </si>
  <si>
    <t>NVHS0_TX3_N</t>
  </si>
  <si>
    <t>NVHS0_RX4_P</t>
  </si>
  <si>
    <t>NVHS0_RX4_N</t>
  </si>
  <si>
    <t>NVHS0_TX4_P</t>
  </si>
  <si>
    <t>NVHS0_TX4_N</t>
  </si>
  <si>
    <t>NVHS0_RX5_P</t>
  </si>
  <si>
    <t>NVHS0_RX5_N</t>
  </si>
  <si>
    <t>NVHS0_TX5_P</t>
  </si>
  <si>
    <t>NVHS0_TX5_N</t>
  </si>
  <si>
    <t>NVHS0_RX6_P</t>
  </si>
  <si>
    <t>NVHS0_RX6_N</t>
  </si>
  <si>
    <t>NVHS0_TX6_P</t>
  </si>
  <si>
    <t>NVHS0_TX6_N</t>
  </si>
  <si>
    <t>NVHS0_RX7_P</t>
  </si>
  <si>
    <t>NVHS0_RX7_N</t>
  </si>
  <si>
    <t>NVHS0_TX7_P</t>
  </si>
  <si>
    <t>NVHS0_TX7_N</t>
  </si>
  <si>
    <t>XM0_B0D0</t>
  </si>
  <si>
    <t>XM0_B0D1</t>
  </si>
  <si>
    <t>XM0_B0D2</t>
  </si>
  <si>
    <t>XM0_B0D3</t>
  </si>
  <si>
    <t>XM0_B0D4</t>
  </si>
  <si>
    <t>XM0_B0D5</t>
  </si>
  <si>
    <t>XM0_B0D6</t>
  </si>
  <si>
    <t>XM0_B0D7</t>
  </si>
  <si>
    <t>XM0_B0D8</t>
  </si>
  <si>
    <t>XM0_B0DIFFN</t>
  </si>
  <si>
    <t>XM0_B0DIFFP</t>
  </si>
  <si>
    <t>XM0_B0C</t>
  </si>
  <si>
    <t>XM0_B1D0</t>
  </si>
  <si>
    <t>XM0_B1D1</t>
  </si>
  <si>
    <t>XM0_B1D2</t>
  </si>
  <si>
    <t>XM0_B1D3</t>
  </si>
  <si>
    <t>XM0_B1D4</t>
  </si>
  <si>
    <t>XM0_B1D5</t>
  </si>
  <si>
    <t>XM0_B1D6</t>
  </si>
  <si>
    <t>XM0_B1D7</t>
  </si>
  <si>
    <t>XM0_B1D8</t>
  </si>
  <si>
    <t>XM0_B1DIFFN</t>
  </si>
  <si>
    <t>XM0_B1DIFFP</t>
  </si>
  <si>
    <t>XM0_B1C</t>
  </si>
  <si>
    <t>XM0_B2D0</t>
  </si>
  <si>
    <t>XM0_B2D1</t>
  </si>
  <si>
    <t>XM0_B2D2</t>
  </si>
  <si>
    <t>XM0_B2D3</t>
  </si>
  <si>
    <t>XM0_B2D4</t>
  </si>
  <si>
    <t>XM0_B2D5</t>
  </si>
  <si>
    <t>XM0_B2D6</t>
  </si>
  <si>
    <t>XM0_B2D7</t>
  </si>
  <si>
    <t>XM0_B2D8</t>
  </si>
  <si>
    <t>XM0_B2DIFFN</t>
  </si>
  <si>
    <t>XM0_B2DIFFP</t>
  </si>
  <si>
    <t>XM0_B2C</t>
  </si>
  <si>
    <t>XM0_B3D0</t>
  </si>
  <si>
    <t>XM0_B3D1</t>
  </si>
  <si>
    <t>XM0_B3D2</t>
  </si>
  <si>
    <t>XM0_B3D3</t>
  </si>
  <si>
    <t>XM0_B3D4</t>
  </si>
  <si>
    <t>XM0_B3D5</t>
  </si>
  <si>
    <t>XM0_B3D6</t>
  </si>
  <si>
    <t>XM0_B3D7</t>
  </si>
  <si>
    <t>XM0_B3D8</t>
  </si>
  <si>
    <t>XM0_B3DIFFN</t>
  </si>
  <si>
    <t>XM0_B3DIFFP</t>
  </si>
  <si>
    <t>XM0_B3C</t>
  </si>
  <si>
    <t>XM0_B4D0</t>
  </si>
  <si>
    <t>XM0_B4D1</t>
  </si>
  <si>
    <t>XM0_B4D2</t>
  </si>
  <si>
    <t>XM0_B4D3</t>
  </si>
  <si>
    <t>XM0_B4D4</t>
  </si>
  <si>
    <t>XM0_B4D5</t>
  </si>
  <si>
    <t>XM0_B4D6</t>
  </si>
  <si>
    <t>XM0_B4D7</t>
  </si>
  <si>
    <t>XM0_B4D8</t>
  </si>
  <si>
    <t>XM0_B4DIFFN</t>
  </si>
  <si>
    <t>XM0_B4DIFFP</t>
  </si>
  <si>
    <t>XM0_B4C</t>
  </si>
  <si>
    <t>XM0_B5D0</t>
  </si>
  <si>
    <t>XM0_B5D1</t>
  </si>
  <si>
    <t>XM0_B5D2</t>
  </si>
  <si>
    <t>XM0_B5D3</t>
  </si>
  <si>
    <t>XM0_B5D4</t>
  </si>
  <si>
    <t>XM0_B5D5</t>
  </si>
  <si>
    <t>XM0_B5D6</t>
  </si>
  <si>
    <t>XM0_B5D7</t>
  </si>
  <si>
    <t>XM0_B5D8</t>
  </si>
  <si>
    <t>XM0_B5DIFFN</t>
  </si>
  <si>
    <t>XM0_B5DIFFP</t>
  </si>
  <si>
    <t>XM0_B5C</t>
  </si>
  <si>
    <t>XM0_B6D0</t>
  </si>
  <si>
    <t>XM0_B6D1</t>
  </si>
  <si>
    <t>XM0_B6D2</t>
  </si>
  <si>
    <t>XM0_B6D3</t>
  </si>
  <si>
    <t>XM0_B6D4</t>
  </si>
  <si>
    <t>XM0_B6D5</t>
  </si>
  <si>
    <t>XM0_B6D6</t>
  </si>
  <si>
    <t>XM0_B6D7</t>
  </si>
  <si>
    <t>XM0_B6D8</t>
  </si>
  <si>
    <t>XM0_B6DIFFN</t>
  </si>
  <si>
    <t>XM0_B6DIFFP</t>
  </si>
  <si>
    <t>XM0_B6C</t>
  </si>
  <si>
    <t>XM0_B7D0</t>
  </si>
  <si>
    <t>XM0_B7D1</t>
  </si>
  <si>
    <t>XM0_B7D2</t>
  </si>
  <si>
    <t>XM0_B7D3</t>
  </si>
  <si>
    <t>XM0_B7D4</t>
  </si>
  <si>
    <t>XM0_B7D5</t>
  </si>
  <si>
    <t>XM0_B7D6</t>
  </si>
  <si>
    <t>XM0_B7D7</t>
  </si>
  <si>
    <t>XM0_B7D8</t>
  </si>
  <si>
    <t>XM0_B7DIFFN</t>
  </si>
  <si>
    <t>XM0_B7DIFFP</t>
  </si>
  <si>
    <t>XM0_B7C</t>
  </si>
  <si>
    <t>XM0_B8D0</t>
  </si>
  <si>
    <t>XM0_B8D1</t>
  </si>
  <si>
    <t>XM0_B8D2</t>
  </si>
  <si>
    <t>XM0_B8D3</t>
  </si>
  <si>
    <t>XM0_B8D4</t>
  </si>
  <si>
    <t>XM0_B8D5</t>
  </si>
  <si>
    <t>XM0_B8D6</t>
  </si>
  <si>
    <t>XM0_B8D7</t>
  </si>
  <si>
    <t>XM0_B8D8</t>
  </si>
  <si>
    <t>XM0_B8DIFFN</t>
  </si>
  <si>
    <t>XM0_B8DIFFP</t>
  </si>
  <si>
    <t>XM0_B8C</t>
  </si>
  <si>
    <t>XM0_B9D0</t>
  </si>
  <si>
    <t>XM0_B9D1</t>
  </si>
  <si>
    <t>XM0_B9D2</t>
  </si>
  <si>
    <t>XM0_B9D3</t>
  </si>
  <si>
    <t>XM0_B9D4</t>
  </si>
  <si>
    <t>XM0_B9D5</t>
  </si>
  <si>
    <t>XM0_B9D6</t>
  </si>
  <si>
    <t>XM0_B9D7</t>
  </si>
  <si>
    <t>XM0_B9D8</t>
  </si>
  <si>
    <t>XM0_B9DIFFN</t>
  </si>
  <si>
    <t>XM0_B9DIFFP</t>
  </si>
  <si>
    <t>XM0_B9C</t>
  </si>
  <si>
    <t>XM0_B10D0</t>
  </si>
  <si>
    <t>XM0_B10D1</t>
  </si>
  <si>
    <t>XM0_B10D2</t>
  </si>
  <si>
    <t>XM0_B10D3</t>
  </si>
  <si>
    <t>XM0_B10D4</t>
  </si>
  <si>
    <t>XM0_B10D5</t>
  </si>
  <si>
    <t>XM0_B10D6</t>
  </si>
  <si>
    <t>XM0_B10D7</t>
  </si>
  <si>
    <t>XM0_B10D8</t>
  </si>
  <si>
    <t>XM0_B10DIFFN</t>
  </si>
  <si>
    <t>XM0_B10DIFFP</t>
  </si>
  <si>
    <t>XM0_B10C</t>
  </si>
  <si>
    <t>XM0_B11D0</t>
  </si>
  <si>
    <t>XM0_B11D1</t>
  </si>
  <si>
    <t>XM0_B11D2</t>
  </si>
  <si>
    <t>XM0_B11D3</t>
  </si>
  <si>
    <t>XM0_B11D4</t>
  </si>
  <si>
    <t>XM0_B11D5</t>
  </si>
  <si>
    <t>XM0_B11D6</t>
  </si>
  <si>
    <t>XM0_B11D7</t>
  </si>
  <si>
    <t>XM0_B11D8</t>
  </si>
  <si>
    <t>XM0_B11DIFFN</t>
  </si>
  <si>
    <t>XM0_B11DIFFP</t>
  </si>
  <si>
    <t>XM0_B11C</t>
  </si>
  <si>
    <t>XM1_B0D0</t>
  </si>
  <si>
    <t>XM1_B0D1</t>
  </si>
  <si>
    <t>XM1_B0D2</t>
  </si>
  <si>
    <t>XM1_B0D3</t>
  </si>
  <si>
    <t>XM1_B0D4</t>
  </si>
  <si>
    <t>XM1_B0D5</t>
  </si>
  <si>
    <t>XM1_B0D6</t>
  </si>
  <si>
    <t>XM1_B0D7</t>
  </si>
  <si>
    <t>XM1_B0D8</t>
  </si>
  <si>
    <t>XM1_B0DIFFN</t>
  </si>
  <si>
    <t>XM1_B0DIFFP</t>
  </si>
  <si>
    <t>XM1_B0C</t>
  </si>
  <si>
    <t>XM1_B1D0</t>
  </si>
  <si>
    <t>XM1_B1D1</t>
  </si>
  <si>
    <t>XM1_B1D2</t>
  </si>
  <si>
    <t>XM1_B1D3</t>
  </si>
  <si>
    <t>XM1_B1D4</t>
  </si>
  <si>
    <t>XM1_B1D5</t>
  </si>
  <si>
    <t>XM1_B1D6</t>
  </si>
  <si>
    <t>XM1_B1D7</t>
  </si>
  <si>
    <t>XM1_B1D8</t>
  </si>
  <si>
    <t>XM1_B1DIFFN</t>
  </si>
  <si>
    <t>XM1_B1DIFFP</t>
  </si>
  <si>
    <t>XM1_B1C</t>
  </si>
  <si>
    <t>XM1_B2D0</t>
  </si>
  <si>
    <t>XM1_B2D1</t>
  </si>
  <si>
    <t>XM1_B2D2</t>
  </si>
  <si>
    <t>XM1_B2D3</t>
  </si>
  <si>
    <t>XM1_B2D4</t>
  </si>
  <si>
    <t>XM1_B2D5</t>
  </si>
  <si>
    <t>XM1_B2D6</t>
  </si>
  <si>
    <t>XM1_B2D7</t>
  </si>
  <si>
    <t>XM1_B2D8</t>
  </si>
  <si>
    <t>XM1_B2DIFFN</t>
  </si>
  <si>
    <t>XM1_B2DIFFP</t>
  </si>
  <si>
    <t>XM1_B2C</t>
  </si>
  <si>
    <t>XM1_B3D0</t>
  </si>
  <si>
    <t>XM1_B3D1</t>
  </si>
  <si>
    <t>XM1_B3D2</t>
  </si>
  <si>
    <t>XM1_B3D3</t>
  </si>
  <si>
    <t>XM1_B3D4</t>
  </si>
  <si>
    <t>XM1_B3D5</t>
  </si>
  <si>
    <t>XM1_B3D6</t>
  </si>
  <si>
    <t>XM1_B3D7</t>
  </si>
  <si>
    <t>XM1_B3D8</t>
  </si>
  <si>
    <t>XM1_B3DIFFN</t>
  </si>
  <si>
    <t>XM1_B3DIFFP</t>
  </si>
  <si>
    <t>XM1_B3C</t>
  </si>
  <si>
    <t>XM1_B4D0</t>
  </si>
  <si>
    <t>XM1_B4D1</t>
  </si>
  <si>
    <t>XM1_B4D2</t>
  </si>
  <si>
    <t>XM1_B4D3</t>
  </si>
  <si>
    <t>XM1_B4D4</t>
  </si>
  <si>
    <t>XM1_B4D5</t>
  </si>
  <si>
    <t>XM1_B4D6</t>
  </si>
  <si>
    <t>XM1_B4D7</t>
  </si>
  <si>
    <t>XM1_B4D8</t>
  </si>
  <si>
    <t>XM1_B4DIFFN</t>
  </si>
  <si>
    <t>XM1_B4DIFFP</t>
  </si>
  <si>
    <t>XM1_B4C</t>
  </si>
  <si>
    <t>XM1_B5D0</t>
  </si>
  <si>
    <t>XM1_B5D1</t>
  </si>
  <si>
    <t>XM1_B5D2</t>
  </si>
  <si>
    <t>XM1_B5D3</t>
  </si>
  <si>
    <t>XM1_B5D4</t>
  </si>
  <si>
    <t>XM1_B5D5</t>
  </si>
  <si>
    <t>XM1_B5D6</t>
  </si>
  <si>
    <t>XM1_B5D7</t>
  </si>
  <si>
    <t>XM1_B5D8</t>
  </si>
  <si>
    <t>XM1_B5DIFFN</t>
  </si>
  <si>
    <t>XM1_B5DIFFP</t>
  </si>
  <si>
    <t>XM1_B5C</t>
  </si>
  <si>
    <t>XM1_B6D0</t>
  </si>
  <si>
    <t>XM1_B6D1</t>
  </si>
  <si>
    <t>XM1_B6D2</t>
  </si>
  <si>
    <t>XM1_B6D3</t>
  </si>
  <si>
    <t>XM1_B6D4</t>
  </si>
  <si>
    <t>XM1_B6D5</t>
  </si>
  <si>
    <t>XM1_B6D6</t>
  </si>
  <si>
    <t>XM1_B6D7</t>
  </si>
  <si>
    <t>XM1_B6D8</t>
  </si>
  <si>
    <t>XM1_B6DIFFN</t>
  </si>
  <si>
    <t>XM1_B6DIFFP</t>
  </si>
  <si>
    <t>XM1_B6C</t>
  </si>
  <si>
    <t>XM1_B7D0</t>
  </si>
  <si>
    <t>XM1_B7D1</t>
  </si>
  <si>
    <t>XM1_B7D2</t>
  </si>
  <si>
    <t>XM1_B7D3</t>
  </si>
  <si>
    <t>XM1_B7D4</t>
  </si>
  <si>
    <t>XM1_B7D5</t>
  </si>
  <si>
    <t>XM1_B7D6</t>
  </si>
  <si>
    <t>XM1_B7D7</t>
  </si>
  <si>
    <t>XM1_B7D8</t>
  </si>
  <si>
    <t>XM1_B7DIFFN</t>
  </si>
  <si>
    <t>XM1_B7DIFFP</t>
  </si>
  <si>
    <t>XM1_B7C</t>
  </si>
  <si>
    <t>XM1_B8D0</t>
  </si>
  <si>
    <t>XM1_B8D1</t>
  </si>
  <si>
    <t>XM1_B8D2</t>
  </si>
  <si>
    <t>XM1_B8D3</t>
  </si>
  <si>
    <t>XM1_B8D4</t>
  </si>
  <si>
    <t>XM1_B8D5</t>
  </si>
  <si>
    <t>XM1_B8D6</t>
  </si>
  <si>
    <t>XM1_B8D7</t>
  </si>
  <si>
    <t>XM1_B8D8</t>
  </si>
  <si>
    <t>XM1_B8DIFFN</t>
  </si>
  <si>
    <t>XM1_B8DIFFP</t>
  </si>
  <si>
    <t>XM1_B8C</t>
  </si>
  <si>
    <t>XM1_B9D0</t>
  </si>
  <si>
    <t>XM1_B9D1</t>
  </si>
  <si>
    <t>XM1_B9D2</t>
  </si>
  <si>
    <t>XM1_B9D3</t>
  </si>
  <si>
    <t>XM1_B9D4</t>
  </si>
  <si>
    <t>XM1_B9D5</t>
  </si>
  <si>
    <t>XM1_B9D6</t>
  </si>
  <si>
    <t>XM1_B9D7</t>
  </si>
  <si>
    <t>XM1_B9D8</t>
  </si>
  <si>
    <t>XM1_B9DIFFN</t>
  </si>
  <si>
    <t>XM1_B9DIFFP</t>
  </si>
  <si>
    <t>XM1_B9C</t>
  </si>
  <si>
    <t>XM1_B10D0</t>
  </si>
  <si>
    <t>XM1_B10D1</t>
  </si>
  <si>
    <t>XM1_B10D2</t>
  </si>
  <si>
    <t>XM1_B10D3</t>
  </si>
  <si>
    <t>XM1_B10D4</t>
  </si>
  <si>
    <t>XM1_B10D5</t>
  </si>
  <si>
    <t>XM1_B10D6</t>
  </si>
  <si>
    <t>XM1_B10D7</t>
  </si>
  <si>
    <t>XM1_B10D8</t>
  </si>
  <si>
    <t>XM1_B10DIFFN</t>
  </si>
  <si>
    <t>XM1_B10DIFFP</t>
  </si>
  <si>
    <t>XM1_B10C</t>
  </si>
  <si>
    <t>XM1_B11D0</t>
  </si>
  <si>
    <t>XM1_B11D1</t>
  </si>
  <si>
    <t>XM1_B11D2</t>
  </si>
  <si>
    <t>XM1_B11D3</t>
  </si>
  <si>
    <t>XM1_B11D4</t>
  </si>
  <si>
    <t>XM1_B11D5</t>
  </si>
  <si>
    <t>XM1_B11D6</t>
  </si>
  <si>
    <t>XM1_B11D7</t>
  </si>
  <si>
    <t>XM1_B11D8</t>
  </si>
  <si>
    <t>XM1_B11DIFFN</t>
  </si>
  <si>
    <t>XM1_B11DIFFP</t>
  </si>
  <si>
    <t>XM1_B11C</t>
  </si>
  <si>
    <t>XM3_B0D0</t>
  </si>
  <si>
    <t>XM3_B0D1</t>
  </si>
  <si>
    <t>XM3_B0D2</t>
  </si>
  <si>
    <t>XM3_B0D3</t>
  </si>
  <si>
    <t>XM3_B0D4</t>
  </si>
  <si>
    <t>XM3_B0D5</t>
  </si>
  <si>
    <t>XM3_B0D6</t>
  </si>
  <si>
    <t>XM3_B0D7</t>
  </si>
  <si>
    <t>XM3_B0D8</t>
  </si>
  <si>
    <t>XM3_B0DIFFN</t>
  </si>
  <si>
    <t>XM3_B0DIFFP</t>
  </si>
  <si>
    <t>XM3_B0C</t>
  </si>
  <si>
    <t>XM3_B1D0</t>
  </si>
  <si>
    <t>XM3_B1D1</t>
  </si>
  <si>
    <t>XM3_B1D2</t>
  </si>
  <si>
    <t>XM3_B1D3</t>
  </si>
  <si>
    <t>XM3_B1D4</t>
  </si>
  <si>
    <t>XM3_B1D5</t>
  </si>
  <si>
    <t>XM3_B1D6</t>
  </si>
  <si>
    <t>XM3_B1D7</t>
  </si>
  <si>
    <t>XM3_B1D8</t>
  </si>
  <si>
    <t>XM3_B1DIFFN</t>
  </si>
  <si>
    <t>XM3_B1DIFFP</t>
  </si>
  <si>
    <t>XM3_B1C</t>
  </si>
  <si>
    <t>XM3_B2D0</t>
  </si>
  <si>
    <t>XM3_B2D1</t>
  </si>
  <si>
    <t>XM3_B2D2</t>
  </si>
  <si>
    <t>XM3_B2D3</t>
  </si>
  <si>
    <t>XM3_B2D4</t>
  </si>
  <si>
    <t>XM3_B2D5</t>
  </si>
  <si>
    <t>XM3_B2D6</t>
  </si>
  <si>
    <t>XM3_B2D7</t>
  </si>
  <si>
    <t>XM3_B2D8</t>
  </si>
  <si>
    <t>XM3_B2DIFFN</t>
  </si>
  <si>
    <t>XM3_B2DIFFP</t>
  </si>
  <si>
    <t>XM3_B2C</t>
  </si>
  <si>
    <t>XM3_B3D0</t>
  </si>
  <si>
    <t>XM3_B3D1</t>
  </si>
  <si>
    <t>XM3_B3D2</t>
  </si>
  <si>
    <t>XM3_B3D3</t>
  </si>
  <si>
    <t>XM3_B3D4</t>
  </si>
  <si>
    <t>XM3_B3D5</t>
  </si>
  <si>
    <t>XM3_B3D6</t>
  </si>
  <si>
    <t>XM3_B3D7</t>
  </si>
  <si>
    <t>XM3_B3D8</t>
  </si>
  <si>
    <t>XM3_B3DIFFN</t>
  </si>
  <si>
    <t>XM3_B3DIFFP</t>
  </si>
  <si>
    <t>XM3_B3C</t>
  </si>
  <si>
    <t>XM3_B4D0</t>
  </si>
  <si>
    <t>XM3_B4D1</t>
  </si>
  <si>
    <t>XM3_B4D2</t>
  </si>
  <si>
    <t>XM3_B4D3</t>
  </si>
  <si>
    <t>XM3_B4D4</t>
  </si>
  <si>
    <t>XM3_B4D5</t>
  </si>
  <si>
    <t>XM3_B4D6</t>
  </si>
  <si>
    <t>XM3_B4D7</t>
  </si>
  <si>
    <t>XM3_B4D8</t>
  </si>
  <si>
    <t>XM3_B4DIFFN</t>
  </si>
  <si>
    <t>XM3_B4DIFFP</t>
  </si>
  <si>
    <t>XM3_B4C</t>
  </si>
  <si>
    <t>XM3_B5D0</t>
  </si>
  <si>
    <t>XM3_B5D1</t>
  </si>
  <si>
    <t>XM3_B5D2</t>
  </si>
  <si>
    <t>XM3_B5D3</t>
  </si>
  <si>
    <t>XM3_B5D4</t>
  </si>
  <si>
    <t>XM3_B5D5</t>
  </si>
  <si>
    <t>XM3_B5D6</t>
  </si>
  <si>
    <t>XM3_B5D7</t>
  </si>
  <si>
    <t>XM3_B5D8</t>
  </si>
  <si>
    <t>XM3_B5DIFFN</t>
  </si>
  <si>
    <t>XM3_B5DIFFP</t>
  </si>
  <si>
    <t>XM3_B5C</t>
  </si>
  <si>
    <t>XM3_B6D0</t>
  </si>
  <si>
    <t>XM3_B6D1</t>
  </si>
  <si>
    <t>XM3_B6D2</t>
  </si>
  <si>
    <t>XM3_B6D3</t>
  </si>
  <si>
    <t>XM3_B6D4</t>
  </si>
  <si>
    <t>XM3_B6D5</t>
  </si>
  <si>
    <t>XM3_B6D6</t>
  </si>
  <si>
    <t>XM3_B6D7</t>
  </si>
  <si>
    <t>XM3_B6D8</t>
  </si>
  <si>
    <t>XM3_B6DIFFN</t>
  </si>
  <si>
    <t>XM3_B6DIFFP</t>
  </si>
  <si>
    <t>XM3_B6C</t>
  </si>
  <si>
    <t>XM3_B7D0</t>
  </si>
  <si>
    <t>XM3_B7D1</t>
  </si>
  <si>
    <t>XM3_B7D2</t>
  </si>
  <si>
    <t>XM3_B7D3</t>
  </si>
  <si>
    <t>XM3_B7D4</t>
  </si>
  <si>
    <t>XM3_B7D5</t>
  </si>
  <si>
    <t>XM3_B7D6</t>
  </si>
  <si>
    <t>XM3_B7D7</t>
  </si>
  <si>
    <t>XM3_B7D8</t>
  </si>
  <si>
    <t>XM3_B7DIFFN</t>
  </si>
  <si>
    <t>XM3_B7DIFFP</t>
  </si>
  <si>
    <t>XM3_B7C</t>
  </si>
  <si>
    <t>XM3_B8D0</t>
  </si>
  <si>
    <t>XM3_B8D1</t>
  </si>
  <si>
    <t>XM3_B8D2</t>
  </si>
  <si>
    <t>XM3_B8D3</t>
  </si>
  <si>
    <t>XM3_B8D4</t>
  </si>
  <si>
    <t>XM3_B8D5</t>
  </si>
  <si>
    <t>XM3_B8D6</t>
  </si>
  <si>
    <t>XM3_B8D7</t>
  </si>
  <si>
    <t>XM3_B8D8</t>
  </si>
  <si>
    <t>XM3_B8DIFFN</t>
  </si>
  <si>
    <t>XM3_B8DIFFP</t>
  </si>
  <si>
    <t>XM3_B8C</t>
  </si>
  <si>
    <t>XM3_B9D0</t>
  </si>
  <si>
    <t>XM3_B9D1</t>
  </si>
  <si>
    <t>XM3_B9D2</t>
  </si>
  <si>
    <t>XM3_B9D3</t>
  </si>
  <si>
    <t>XM3_B9D4</t>
  </si>
  <si>
    <t>XM3_B9D5</t>
  </si>
  <si>
    <t>XM3_B9D6</t>
  </si>
  <si>
    <t>XM3_B9D7</t>
  </si>
  <si>
    <t>XM3_B9D8</t>
  </si>
  <si>
    <t>XM3_B9DIFFN</t>
  </si>
  <si>
    <t>XM3_B9DIFFP</t>
  </si>
  <si>
    <t>XM3_B9C</t>
  </si>
  <si>
    <t>XM3_B10D0</t>
  </si>
  <si>
    <t>XM3_B10D1</t>
  </si>
  <si>
    <t>XM3_B10D2</t>
  </si>
  <si>
    <t>XM3_B10D3</t>
  </si>
  <si>
    <t>XM3_B10D4</t>
  </si>
  <si>
    <t>XM3_B10D5</t>
  </si>
  <si>
    <t>XM3_B10D6</t>
  </si>
  <si>
    <t>XM3_B10D7</t>
  </si>
  <si>
    <t>XM3_B10D8</t>
  </si>
  <si>
    <t>XM3_B10DIFFN</t>
  </si>
  <si>
    <t>XM3_B10DIFFP</t>
  </si>
  <si>
    <t>XM3_B10C</t>
  </si>
  <si>
    <t>XM3_B11D0</t>
  </si>
  <si>
    <t>XM3_B11D1</t>
  </si>
  <si>
    <t>XM3_B11D2</t>
  </si>
  <si>
    <t>XM3_B11D3</t>
  </si>
  <si>
    <t>XM3_B11D4</t>
  </si>
  <si>
    <t>XM3_B11D5</t>
  </si>
  <si>
    <t>XM3_B11D6</t>
  </si>
  <si>
    <t>XM3_B11D7</t>
  </si>
  <si>
    <t>XM3_B11D8</t>
  </si>
  <si>
    <t>XM3_B11DIFFN</t>
  </si>
  <si>
    <t>XM3_B11DIFFP</t>
  </si>
  <si>
    <t>XM3_B11C</t>
  </si>
  <si>
    <t>XM2_B0D0</t>
  </si>
  <si>
    <t>XM2_B0D1</t>
  </si>
  <si>
    <t>XM2_B0D2</t>
  </si>
  <si>
    <t>XM2_B0D3</t>
  </si>
  <si>
    <t>XM2_B0D4</t>
  </si>
  <si>
    <t>XM2_B0D5</t>
  </si>
  <si>
    <t>XM2_B0D6</t>
  </si>
  <si>
    <t>XM2_B0D7</t>
  </si>
  <si>
    <t>XM2_B0D8</t>
  </si>
  <si>
    <t>XM2_B0DIFFN</t>
  </si>
  <si>
    <t>XM2_B0DIFFP</t>
  </si>
  <si>
    <t>XM2_B0C</t>
  </si>
  <si>
    <t>XM2_B1D0</t>
  </si>
  <si>
    <t>XM2_B1D1</t>
  </si>
  <si>
    <t>XM2_B1D2</t>
  </si>
  <si>
    <t>XM2_B1D3</t>
  </si>
  <si>
    <t>XM2_B1D4</t>
  </si>
  <si>
    <t>XM2_B1D5</t>
  </si>
  <si>
    <t>XM2_B1D6</t>
  </si>
  <si>
    <t>XM2_B1D7</t>
  </si>
  <si>
    <t>XM2_B1D8</t>
  </si>
  <si>
    <t>XM2_B1DIFFN</t>
  </si>
  <si>
    <t>XM2_B1DIFFP</t>
  </si>
  <si>
    <t>XM2_B1C</t>
  </si>
  <si>
    <t>XM2_B2D0</t>
  </si>
  <si>
    <t>XM2_B2D1</t>
  </si>
  <si>
    <t>XM2_B2D2</t>
  </si>
  <si>
    <t>XM2_B2D3</t>
  </si>
  <si>
    <t>XM2_B2D4</t>
  </si>
  <si>
    <t>XM2_B2D5</t>
  </si>
  <si>
    <t>XM2_B2D6</t>
  </si>
  <si>
    <t>XM2_B2D7</t>
  </si>
  <si>
    <t>XM2_B2D8</t>
  </si>
  <si>
    <t>XM2_B2DIFFN</t>
  </si>
  <si>
    <t>XM2_B2DIFFP</t>
  </si>
  <si>
    <t>XM2_B2C</t>
  </si>
  <si>
    <t>XM2_B3D0</t>
  </si>
  <si>
    <t>XM2_B3D1</t>
  </si>
  <si>
    <t>XM2_B3D2</t>
  </si>
  <si>
    <t>XM2_B3D3</t>
  </si>
  <si>
    <t>XM2_B3D4</t>
  </si>
  <si>
    <t>XM2_B3D5</t>
  </si>
  <si>
    <t>XM2_B3D6</t>
  </si>
  <si>
    <t>XM2_B3D7</t>
  </si>
  <si>
    <t>XM2_B3D8</t>
  </si>
  <si>
    <t>XM2_B3DIFFN</t>
  </si>
  <si>
    <t>XM2_B3DIFFP</t>
  </si>
  <si>
    <t>XM2_B3C</t>
  </si>
  <si>
    <t>XM2_B4D0</t>
  </si>
  <si>
    <t>XM2_B4D1</t>
  </si>
  <si>
    <t>XM2_B4D2</t>
  </si>
  <si>
    <t>XM2_B4D3</t>
  </si>
  <si>
    <t>XM2_B4D4</t>
  </si>
  <si>
    <t>XM2_B4D5</t>
  </si>
  <si>
    <t>XM2_B4D6</t>
  </si>
  <si>
    <t>XM2_B4D7</t>
  </si>
  <si>
    <t>XM2_B4D8</t>
  </si>
  <si>
    <t>XM2_B4DIFFN</t>
  </si>
  <si>
    <t>XM2_B4DIFFP</t>
  </si>
  <si>
    <t>XM2_B4C</t>
  </si>
  <si>
    <t>XM2_B5D0</t>
  </si>
  <si>
    <t>XM2_B5D1</t>
  </si>
  <si>
    <t>XM2_B5D2</t>
  </si>
  <si>
    <t>XM2_B5D3</t>
  </si>
  <si>
    <t>XM2_B5D4</t>
  </si>
  <si>
    <t>XM2_B5D5</t>
  </si>
  <si>
    <t>XM2_B5D6</t>
  </si>
  <si>
    <t>XM2_B5D7</t>
  </si>
  <si>
    <t>XM2_B5D8</t>
  </si>
  <si>
    <t>XM2_B5DIFFN</t>
  </si>
  <si>
    <t>XM2_B5DIFFP</t>
  </si>
  <si>
    <t>XM2_B5C</t>
  </si>
  <si>
    <t>XM2_B6D0</t>
  </si>
  <si>
    <t>XM2_B6D1</t>
  </si>
  <si>
    <t>XM2_B6D2</t>
  </si>
  <si>
    <t>XM2_B6D3</t>
  </si>
  <si>
    <t>XM2_B6D4</t>
  </si>
  <si>
    <t>XM2_B6D5</t>
  </si>
  <si>
    <t>XM2_B6D6</t>
  </si>
  <si>
    <t>XM2_B6D7</t>
  </si>
  <si>
    <t>XM2_B6D8</t>
  </si>
  <si>
    <t>XM2_B6DIFFN</t>
  </si>
  <si>
    <t>XM2_B6DIFFP</t>
  </si>
  <si>
    <t>XM2_B6C</t>
  </si>
  <si>
    <t>XM2_B7D0</t>
  </si>
  <si>
    <t>XM2_B7D1</t>
  </si>
  <si>
    <t>XM2_B7D2</t>
  </si>
  <si>
    <t>XM2_B7D3</t>
  </si>
  <si>
    <t>XM2_B7D4</t>
  </si>
  <si>
    <t>XM2_B7D5</t>
  </si>
  <si>
    <t>XM2_B7D6</t>
  </si>
  <si>
    <t>XM2_B7D7</t>
  </si>
  <si>
    <t>XM2_B7D8</t>
  </si>
  <si>
    <t>XM2_B7DIFFN</t>
  </si>
  <si>
    <t>XM2_B7DIFFP</t>
  </si>
  <si>
    <t>XM2_B7C</t>
  </si>
  <si>
    <t>XM2_B8D0</t>
  </si>
  <si>
    <t>XM2_B8D1</t>
  </si>
  <si>
    <t>XM2_B8D2</t>
  </si>
  <si>
    <t>XM2_B8D3</t>
  </si>
  <si>
    <t>XM2_B8D4</t>
  </si>
  <si>
    <t>XM2_B8D5</t>
  </si>
  <si>
    <t>XM2_B8D6</t>
  </si>
  <si>
    <t>XM2_B8D7</t>
  </si>
  <si>
    <t>XM2_B8D8</t>
  </si>
  <si>
    <t>XM2_B8DIFFN</t>
  </si>
  <si>
    <t>XM2_B8DIFFP</t>
  </si>
  <si>
    <t>XM2_B8C</t>
  </si>
  <si>
    <t>XM2_B9D0</t>
  </si>
  <si>
    <t>XM2_B9D1</t>
  </si>
  <si>
    <t>XM2_B9D2</t>
  </si>
  <si>
    <t>XM2_B9D3</t>
  </si>
  <si>
    <t>XM2_B9D4</t>
  </si>
  <si>
    <t>XM2_B9D5</t>
  </si>
  <si>
    <t>XM2_B9D6</t>
  </si>
  <si>
    <t>XM2_B9D7</t>
  </si>
  <si>
    <t>XM2_B9D8</t>
  </si>
  <si>
    <t>XM2_B9DIFFN</t>
  </si>
  <si>
    <t>XM2_B9DIFFP</t>
  </si>
  <si>
    <t>XM2_B9C</t>
  </si>
  <si>
    <t>XM2_B10D0</t>
  </si>
  <si>
    <t>XM2_B10D1</t>
  </si>
  <si>
    <t>XM2_B10D2</t>
  </si>
  <si>
    <t>XM2_B10D3</t>
  </si>
  <si>
    <t>XM2_B10D4</t>
  </si>
  <si>
    <t>XM2_B10D5</t>
  </si>
  <si>
    <t>XM2_B10D6</t>
  </si>
  <si>
    <t>XM2_B10D7</t>
  </si>
  <si>
    <t>XM2_B10D8</t>
  </si>
  <si>
    <t>XM2_B10DIFFN</t>
  </si>
  <si>
    <t>XM2_B10DIFFP</t>
  </si>
  <si>
    <t>XM2_B10C</t>
  </si>
  <si>
    <t>XM2_B11D0</t>
  </si>
  <si>
    <t>XM2_B11D1</t>
  </si>
  <si>
    <t>XM2_B11D2</t>
  </si>
  <si>
    <t>XM2_B11D3</t>
  </si>
  <si>
    <t>XM2_B11D4</t>
  </si>
  <si>
    <t>XM2_B11D5</t>
  </si>
  <si>
    <t>XM2_B11D6</t>
  </si>
  <si>
    <t>XM2_B11D7</t>
  </si>
  <si>
    <t>XM2_B11D8</t>
  </si>
  <si>
    <t>XM2_B11DIFFN</t>
  </si>
  <si>
    <t>XM2_B11DIFFP</t>
  </si>
  <si>
    <t>XM2_B11C</t>
  </si>
  <si>
    <t>XM0_RESET</t>
  </si>
  <si>
    <t>DDR0/1_RESET</t>
  </si>
  <si>
    <t>DDR2</t>
  </si>
  <si>
    <t>DDR3</t>
  </si>
  <si>
    <t>DDR2/3_RESET</t>
  </si>
  <si>
    <t>XM1_RESET</t>
  </si>
  <si>
    <t>PEX_CLK2</t>
  </si>
  <si>
    <t>PEX_L5_CLKREQ_N</t>
  </si>
  <si>
    <t>PEX_L5_RST_N</t>
  </si>
  <si>
    <t>PEX_CTL_2</t>
  </si>
  <si>
    <t>unused_SOC_GPIO30</t>
  </si>
  <si>
    <t>unused_SOC_GPIO31</t>
  </si>
  <si>
    <t>unused_SOC_GPIO32</t>
  </si>
  <si>
    <t>unused_SOC_GPIO33</t>
  </si>
  <si>
    <t>unused_DAP3_SCLK</t>
  </si>
  <si>
    <t>unused_DAP3_DOUT</t>
  </si>
  <si>
    <t>unused_DAP3_DIN</t>
  </si>
  <si>
    <t>unused_DAP3_FS</t>
  </si>
  <si>
    <t>unused_DAP5_SCLK</t>
  </si>
  <si>
    <t>unused_DAP5_DOUT</t>
  </si>
  <si>
    <t>unused_DAP5_DIN</t>
  </si>
  <si>
    <t>unused_DAP5_FS</t>
  </si>
  <si>
    <t>unused_EQOS_SMA_MDIO</t>
  </si>
  <si>
    <t>unused_EQOS_SMA_MDC</t>
  </si>
  <si>
    <t>unused_QSPI0_SCK</t>
  </si>
  <si>
    <t>unused_QSPI0_CS_N</t>
  </si>
  <si>
    <t>unused_QSPI0_IO0</t>
  </si>
  <si>
    <t>unused_QSPI0_IO1</t>
  </si>
  <si>
    <t>unused_QSPI0_IO2</t>
  </si>
  <si>
    <t>unused_QSPI0_IO3</t>
  </si>
  <si>
    <t>unused_QSPI1_SCK</t>
  </si>
  <si>
    <t>unused_QSPI1_IO0</t>
  </si>
  <si>
    <t>unused_QSPI1_CS_N</t>
  </si>
  <si>
    <t>unused_QSPI1_IO1</t>
  </si>
  <si>
    <t>unused_QSPI1_IO2</t>
  </si>
  <si>
    <t>unused_QSPI1_IO3</t>
  </si>
  <si>
    <t>unused_SOC_GPIO00</t>
  </si>
  <si>
    <t>unused_SOC_GPIO01</t>
  </si>
  <si>
    <t>unused_SOC_GPIO02</t>
  </si>
  <si>
    <t>unused_SOC_GPIO03</t>
  </si>
  <si>
    <t>unused_SOC_GPIO08</t>
  </si>
  <si>
    <t>unused_SOC_GPIO09</t>
  </si>
  <si>
    <t>unused_SOC_GPIO10</t>
  </si>
  <si>
    <t>unused_SOC_GPIO11</t>
  </si>
  <si>
    <t>unused_SOC_GPIO12</t>
  </si>
  <si>
    <t>unused_SOC_GPIO13</t>
  </si>
  <si>
    <t>unused_SOC_GPIO14</t>
  </si>
  <si>
    <t>unused_SOC_GPIO55</t>
  </si>
  <si>
    <t>unused_SOC_GPIO54</t>
  </si>
  <si>
    <t>unused_SOC_GPIO53</t>
  </si>
  <si>
    <t>unused_SOC_GPIO52</t>
  </si>
  <si>
    <t>unused_SOC_GPIO51</t>
  </si>
  <si>
    <t>unused_SOC_GPIO50</t>
  </si>
  <si>
    <t>unused_DP_AUX_CH3_HPD</t>
  </si>
  <si>
    <t>unused_DP_AUX_CH3_N</t>
  </si>
  <si>
    <t>unused_DP_AUX_CH3_P</t>
  </si>
  <si>
    <t>unused_DP_AUX_CH2_HPD</t>
  </si>
  <si>
    <t>unused_DP_AUX_CH2_N</t>
  </si>
  <si>
    <t>unused_DP_AUX_CH2_P</t>
  </si>
  <si>
    <t>unused_PEX_CLK5N</t>
  </si>
  <si>
    <t>unused_PEX_CLK5P</t>
  </si>
  <si>
    <t>unused_PEX_CLK0P</t>
  </si>
  <si>
    <t>unused_PEX_CLK0N</t>
  </si>
  <si>
    <t>unused_PEX_CLK3P</t>
  </si>
  <si>
    <t>unused_PEX_CLK3N</t>
  </si>
  <si>
    <t>unused_PEX_CLK4P</t>
  </si>
  <si>
    <t>unused_PEX_CLK4N</t>
  </si>
  <si>
    <t>unused_PEX_L5_CLKREQ_N</t>
  </si>
  <si>
    <t>unused_PEX_L5_RST_N</t>
  </si>
  <si>
    <t>unused_SATA_DEV_SLP</t>
  </si>
  <si>
    <t>unused_PEX_L4_RST_N</t>
  </si>
  <si>
    <t>unused_PEX_L4_CLKREQ_N</t>
  </si>
  <si>
    <t>unused_PEX_L3_RST_N</t>
  </si>
  <si>
    <t>unused_PEX_L3_CLKREQ_N</t>
  </si>
  <si>
    <t>unused_CPU_PWR_REQ_1</t>
  </si>
  <si>
    <t>unused_CPU_PWR_REQ_0</t>
  </si>
  <si>
    <t>unused_DAP6_FS</t>
  </si>
  <si>
    <t>unused_DAP6_DIN</t>
  </si>
  <si>
    <t>unused_DAP6_DOUT</t>
  </si>
  <si>
    <t>unused_DAP6_SCLK</t>
  </si>
  <si>
    <t>unused_NVDBG_SEL</t>
  </si>
  <si>
    <t>unused_JTAG_TRST_</t>
  </si>
  <si>
    <t>unused_CV_PWR_REQ</t>
  </si>
  <si>
    <t>unused_GP_PWM2</t>
  </si>
  <si>
    <t>unused_GP_PWM3</t>
  </si>
  <si>
    <t>unused_SPI3_SCK</t>
  </si>
  <si>
    <t>unused_SPI3_MISO</t>
  </si>
  <si>
    <t>unused_SPI3_MOSI</t>
  </si>
  <si>
    <t>unused_SPI3_CS0</t>
  </si>
  <si>
    <t>unused_SPI3_CS1</t>
  </si>
  <si>
    <t>unused_SPI1_SCK</t>
  </si>
  <si>
    <t>unused_SPI1_MISO</t>
  </si>
  <si>
    <t>unused_SPI1_MOSI</t>
  </si>
  <si>
    <t>unused_SPI1_CS0</t>
  </si>
  <si>
    <t>unused_SPI1_CS1</t>
  </si>
  <si>
    <t>unused_SHUTDOWN_N</t>
  </si>
  <si>
    <t>unused_AO_RETENTION_N</t>
  </si>
  <si>
    <t>unused_CAN0_STB</t>
  </si>
  <si>
    <t>unused_CAN0_EN</t>
  </si>
  <si>
    <t>unused_CAN0_WAKE</t>
  </si>
  <si>
    <t>unused_CAN0_ERR</t>
  </si>
  <si>
    <t>unused_CAN1_STB</t>
  </si>
  <si>
    <t>unused_CAN1_EN</t>
  </si>
  <si>
    <t>unused_CAN1_WAKE</t>
  </si>
  <si>
    <t>unused_CAN1_ERR</t>
  </si>
  <si>
    <t>unused_SOC_GPIO04</t>
  </si>
  <si>
    <t>unused_SOC_GPIO05</t>
  </si>
  <si>
    <t>unused_SOC_GPIO06</t>
  </si>
  <si>
    <t>unused_SOC_GPIO07</t>
  </si>
  <si>
    <t>unused_SOC_GPIO20</t>
  </si>
  <si>
    <t>unused_SOC_GPIO21</t>
  </si>
  <si>
    <t>unused_SOC_GPIO22</t>
  </si>
  <si>
    <t>unused_SOC_GPIO23</t>
  </si>
  <si>
    <t>unused_SOC_GPIO40</t>
  </si>
  <si>
    <t>unused_SOC_GPIO41</t>
  </si>
  <si>
    <t>unused_SOC_GPIO42</t>
  </si>
  <si>
    <t>unused_SOC_GPIO43</t>
  </si>
  <si>
    <t>unused_SOC_GPIO44</t>
  </si>
  <si>
    <t>unused_SOC_GPIO45</t>
  </si>
  <si>
    <t>MIPI</t>
  </si>
  <si>
    <t>SLVS</t>
  </si>
  <si>
    <t>IGPU</t>
  </si>
  <si>
    <t>IQC2</t>
  </si>
  <si>
    <t>PE3</t>
  </si>
  <si>
    <t>PE4</t>
  </si>
  <si>
    <t>DGPU</t>
  </si>
  <si>
    <t>DDR_XM2_B0D0</t>
  </si>
  <si>
    <t>DDR_XM2_B0D1</t>
  </si>
  <si>
    <t>DDR_XM2_B0D2</t>
  </si>
  <si>
    <t>DDR_XM2_B0D3</t>
  </si>
  <si>
    <t>DDR_XM2_B0D4</t>
  </si>
  <si>
    <t>DDR_XM2_B0D5</t>
  </si>
  <si>
    <t>DDR_XM2_B0D6</t>
  </si>
  <si>
    <t>DDR_XM2_B0D7</t>
  </si>
  <si>
    <t>DDR_XM2_B0D8</t>
  </si>
  <si>
    <t>DDR_XM2_B0DIFFN</t>
  </si>
  <si>
    <t>DDR_XM2_B0DIFFP</t>
  </si>
  <si>
    <t>DDR_XM2_B0C</t>
  </si>
  <si>
    <t>DDR_XM2_B1D0</t>
  </si>
  <si>
    <t>DDR_XM2_B1D1</t>
  </si>
  <si>
    <t>DDR_XM2_B1D2</t>
  </si>
  <si>
    <t>DDR_XM2_B1D3</t>
  </si>
  <si>
    <t>DDR_XM2_B1D4</t>
  </si>
  <si>
    <t>DDR_XM2_B1D5</t>
  </si>
  <si>
    <t>DDR_XM2_B1D6</t>
  </si>
  <si>
    <t>DDR_XM2_B1D7</t>
  </si>
  <si>
    <t>DDR_XM2_B1D8</t>
  </si>
  <si>
    <t>DDR_XM2_B1DIFFN</t>
  </si>
  <si>
    <t>DDR_XM2_B1DIFFP</t>
  </si>
  <si>
    <t>DDR_XM2_B1C</t>
  </si>
  <si>
    <t>DDR_XM2_B2D0</t>
  </si>
  <si>
    <t>DDR_XM2_B2D1</t>
  </si>
  <si>
    <t>DDR_XM2_B2D2</t>
  </si>
  <si>
    <t>DDR_XM2_B2D3</t>
  </si>
  <si>
    <t>DDR_XM2_B2D4</t>
  </si>
  <si>
    <t>DDR_XM2_B2D5</t>
  </si>
  <si>
    <t>DDR_XM2_B2D6</t>
  </si>
  <si>
    <t>DDR_XM2_B2D7</t>
  </si>
  <si>
    <t>DDR_XM2_B2D8</t>
  </si>
  <si>
    <t>DDR_XM2_B2DIFFN</t>
  </si>
  <si>
    <t>DDR_XM2_B2DIFFP</t>
  </si>
  <si>
    <t>DDR_XM2_B2C</t>
  </si>
  <si>
    <t>DDR_XM2_B3D0</t>
  </si>
  <si>
    <t>DDR_XM2_B3D1</t>
  </si>
  <si>
    <t>DDR_XM2_B3D2</t>
  </si>
  <si>
    <t>DDR_XM2_B3D3</t>
  </si>
  <si>
    <t>DDR_XM2_B3D4</t>
  </si>
  <si>
    <t>DDR_XM2_B3D5</t>
  </si>
  <si>
    <t>DDR_XM2_B3D6</t>
  </si>
  <si>
    <t>DDR_XM2_B3D7</t>
  </si>
  <si>
    <t>DDR_XM2_B3D8</t>
  </si>
  <si>
    <t>DDR_XM2_B3DIFFN</t>
  </si>
  <si>
    <t>DDR_XM2_B3DIFFP</t>
  </si>
  <si>
    <t>DDR_XM2_B3C</t>
  </si>
  <si>
    <t>DDR_XM2_B4D0</t>
  </si>
  <si>
    <t>DDR_XM2_B4D1</t>
  </si>
  <si>
    <t>DDR_XM2_B4D2</t>
  </si>
  <si>
    <t>DDR_XM2_B4D3</t>
  </si>
  <si>
    <t>DDR_XM2_B4D4</t>
  </si>
  <si>
    <t>DDR_XM2_B4D5</t>
  </si>
  <si>
    <t>DDR_XM2_B4D6</t>
  </si>
  <si>
    <t>DDR_XM2_B4D7</t>
  </si>
  <si>
    <t>DDR_XM2_B4D8</t>
  </si>
  <si>
    <t>DDR_XM2_B4DIFFN</t>
  </si>
  <si>
    <t>DDR_XM2_B4DIFFP</t>
  </si>
  <si>
    <t>DDR_XM2_B4C</t>
  </si>
  <si>
    <t>DDR_XM2_B5D0</t>
  </si>
  <si>
    <t>DDR_XM2_B5D1</t>
  </si>
  <si>
    <t>DDR_XM2_B5D2</t>
  </si>
  <si>
    <t>DDR_XM2_B5D3</t>
  </si>
  <si>
    <t>DDR_XM2_B5D4</t>
  </si>
  <si>
    <t>DDR_XM2_B5D5</t>
  </si>
  <si>
    <t>DDR_XM2_B5D6</t>
  </si>
  <si>
    <t>DDR_XM2_B5D7</t>
  </si>
  <si>
    <t>DDR_XM2_B5D8</t>
  </si>
  <si>
    <t>DDR_XM2_B5DIFFN</t>
  </si>
  <si>
    <t>DDR_XM2_B5DIFFP</t>
  </si>
  <si>
    <t>DDR_XM2_B5C</t>
  </si>
  <si>
    <t>DDR_XM2_B6D0</t>
  </si>
  <si>
    <t>DDR_XM2_B6D1</t>
  </si>
  <si>
    <t>DDR_XM2_B6D2</t>
  </si>
  <si>
    <t>DDR_XM2_B6D3</t>
  </si>
  <si>
    <t>DDR_XM2_B6D4</t>
  </si>
  <si>
    <t>DDR_XM2_B6D5</t>
  </si>
  <si>
    <t>DDR_XM2_B6D6</t>
  </si>
  <si>
    <t>DDR_XM2_B6D7</t>
  </si>
  <si>
    <t>DDR_XM2_B6D8</t>
  </si>
  <si>
    <t>DDR_XM2_B6DIFFN</t>
  </si>
  <si>
    <t>DDR_XM2_B6DIFFP</t>
  </si>
  <si>
    <t>DDR_XM2_B6C</t>
  </si>
  <si>
    <t>DDR_XM2_B7D0</t>
  </si>
  <si>
    <t>DDR_XM2_B7D1</t>
  </si>
  <si>
    <t>DDR_XM2_B7D2</t>
  </si>
  <si>
    <t>DDR_XM2_B7D3</t>
  </si>
  <si>
    <t>DDR_XM2_B7D4</t>
  </si>
  <si>
    <t>DDR_XM2_B7D5</t>
  </si>
  <si>
    <t>DDR_XM2_B7D6</t>
  </si>
  <si>
    <t>DDR_XM2_B7D7</t>
  </si>
  <si>
    <t>DDR_XM2_B7D8</t>
  </si>
  <si>
    <t>DDR_XM2_B7DIFFN</t>
  </si>
  <si>
    <t>DDR_XM2_B7DIFFP</t>
  </si>
  <si>
    <t>DDR_XM2_B7C</t>
  </si>
  <si>
    <t>DDR_XM2_B8D0</t>
  </si>
  <si>
    <t>DDR_XM2_B8D1</t>
  </si>
  <si>
    <t>DDR_XM2_B8D2</t>
  </si>
  <si>
    <t>DDR_XM2_B8D3</t>
  </si>
  <si>
    <t>DDR_XM2_B8D4</t>
  </si>
  <si>
    <t>DDR_XM2_B8D5</t>
  </si>
  <si>
    <t>DDR_XM2_B8D6</t>
  </si>
  <si>
    <t>DDR_XM2_B8D7</t>
  </si>
  <si>
    <t>DDR_XM2_B8D8</t>
  </si>
  <si>
    <t>DDR_XM2_B8DIFFN</t>
  </si>
  <si>
    <t>DDR_XM2_B8DIFFP</t>
  </si>
  <si>
    <t>DDR_XM2_B8C</t>
  </si>
  <si>
    <t>DDR_XM2_B9D0</t>
  </si>
  <si>
    <t>DDR_XM2_B9D1</t>
  </si>
  <si>
    <t>DDR_XM2_B9D2</t>
  </si>
  <si>
    <t>DDR_XM2_B9D3</t>
  </si>
  <si>
    <t>DDR_XM2_B9D4</t>
  </si>
  <si>
    <t>DDR_XM2_B9D5</t>
  </si>
  <si>
    <t>DDR_XM2_B9D6</t>
  </si>
  <si>
    <t>DDR_XM2_B9D7</t>
  </si>
  <si>
    <t>DDR_XM2_B9D8</t>
  </si>
  <si>
    <t>DDR_XM2_B9DIFFN</t>
  </si>
  <si>
    <t>DDR_XM2_B9DIFFP</t>
  </si>
  <si>
    <t>DDR_XM2_B9C</t>
  </si>
  <si>
    <t>DDR_XM2_B10D0</t>
  </si>
  <si>
    <t>DDR_XM2_B10D1</t>
  </si>
  <si>
    <t>DDR_XM2_B10D2</t>
  </si>
  <si>
    <t>DDR_XM2_B10D3</t>
  </si>
  <si>
    <t>DDR_XM2_B10D4</t>
  </si>
  <si>
    <t>DDR_XM2_B10D5</t>
  </si>
  <si>
    <t>DDR_XM2_B10D6</t>
  </si>
  <si>
    <t>DDR_XM2_B10D7</t>
  </si>
  <si>
    <t>DDR_XM2_B10D8</t>
  </si>
  <si>
    <t>DDR_XM2_B10DIFFN</t>
  </si>
  <si>
    <t>DDR_XM2_B10DIFFP</t>
  </si>
  <si>
    <t>DDR_XM2_B10C</t>
  </si>
  <si>
    <t>DDR_XM2_B11D0</t>
  </si>
  <si>
    <t>DDR_XM2_B11D1</t>
  </si>
  <si>
    <t>DDR_XM2_B11D2</t>
  </si>
  <si>
    <t>DDR_XM2_B11D3</t>
  </si>
  <si>
    <t>DDR_XM2_B11D4</t>
  </si>
  <si>
    <t>DDR_XM2_B11D5</t>
  </si>
  <si>
    <t>DDR_XM2_B11D6</t>
  </si>
  <si>
    <t>DDR_XM2_B11D7</t>
  </si>
  <si>
    <t>DDR_XM2_B11D8</t>
  </si>
  <si>
    <t>DDR_XM2_B11DIFFN</t>
  </si>
  <si>
    <t>DDR_XM2_B11DIFFP</t>
  </si>
  <si>
    <t>DDR_XM2_B11C</t>
  </si>
  <si>
    <t>DDR_XM3_B0D0</t>
  </si>
  <si>
    <t>DDR_XM3_B0D1</t>
  </si>
  <si>
    <t>DDR_XM3_B0D2</t>
  </si>
  <si>
    <t>DDR_XM3_B0D3</t>
  </si>
  <si>
    <t>DDR_XM3_B0D4</t>
  </si>
  <si>
    <t>DDR_XM3_B0D5</t>
  </si>
  <si>
    <t>DDR_XM3_B0D6</t>
  </si>
  <si>
    <t>DDR_XM3_B0D7</t>
  </si>
  <si>
    <t>DDR_XM3_B0D8</t>
  </si>
  <si>
    <t>DDR_XM3_B0DIFFN</t>
  </si>
  <si>
    <t>DDR_XM3_B0DIFFP</t>
  </si>
  <si>
    <t>DDR_XM3_B0C</t>
  </si>
  <si>
    <t>DDR_XM3_B1D0</t>
  </si>
  <si>
    <t>DDR_XM3_B1D1</t>
  </si>
  <si>
    <t>DDR_XM3_B1D2</t>
  </si>
  <si>
    <t>DDR_XM3_B1D3</t>
  </si>
  <si>
    <t>DDR_XM3_B1D4</t>
  </si>
  <si>
    <t>DDR_XM3_B1D5</t>
  </si>
  <si>
    <t>DDR_XM3_B1D6</t>
  </si>
  <si>
    <t>DDR_XM3_B1D7</t>
  </si>
  <si>
    <t>DDR_XM3_B1D8</t>
  </si>
  <si>
    <t>DDR_XM3_B1DIFFN</t>
  </si>
  <si>
    <t>DDR_XM3_B1DIFFP</t>
  </si>
  <si>
    <t>DDR_XM3_B1C</t>
  </si>
  <si>
    <t>DDR_XM3_B2D0</t>
  </si>
  <si>
    <t>DDR_XM3_B2D1</t>
  </si>
  <si>
    <t>DDR_XM3_B2D2</t>
  </si>
  <si>
    <t>DDR_XM3_B2D3</t>
  </si>
  <si>
    <t>DDR_XM3_B2D4</t>
  </si>
  <si>
    <t>DDR_XM3_B2D5</t>
  </si>
  <si>
    <t>DDR_XM3_B2D6</t>
  </si>
  <si>
    <t>DDR_XM3_B2D7</t>
  </si>
  <si>
    <t>DDR_XM3_B2D8</t>
  </si>
  <si>
    <t>DDR_XM3_B2DIFFN</t>
  </si>
  <si>
    <t>DDR_XM3_B2DIFFP</t>
  </si>
  <si>
    <t>DDR_XM3_B2C</t>
  </si>
  <si>
    <t>DDR_XM3_B3D0</t>
  </si>
  <si>
    <t>DDR_XM3_B3D1</t>
  </si>
  <si>
    <t>DDR_XM3_B3D2</t>
  </si>
  <si>
    <t>DDR_XM3_B3D3</t>
  </si>
  <si>
    <t>DDR_XM3_B3D4</t>
  </si>
  <si>
    <t>DDR_XM3_B3D5</t>
  </si>
  <si>
    <t>DDR_XM3_B3D6</t>
  </si>
  <si>
    <t>DDR_XM3_B3D7</t>
  </si>
  <si>
    <t>DDR_XM3_B3D8</t>
  </si>
  <si>
    <t>DDR_XM3_B3DIFFN</t>
  </si>
  <si>
    <t>DDR_XM3_B3DIFFP</t>
  </si>
  <si>
    <t>DDR_XM3_B3C</t>
  </si>
  <si>
    <t>DDR_XM3_B4D0</t>
  </si>
  <si>
    <t>DDR_XM3_B4D1</t>
  </si>
  <si>
    <t>DDR_XM3_B4D2</t>
  </si>
  <si>
    <t>DDR_XM3_B4D3</t>
  </si>
  <si>
    <t>DDR_XM3_B4D4</t>
  </si>
  <si>
    <t>DDR_XM3_B4D5</t>
  </si>
  <si>
    <t>DDR_XM3_B4D6</t>
  </si>
  <si>
    <t>DDR_XM3_B4D7</t>
  </si>
  <si>
    <t>DDR_XM3_B4D8</t>
  </si>
  <si>
    <t>DDR_XM3_B4DIFFN</t>
  </si>
  <si>
    <t>DDR_XM3_B4DIFFP</t>
  </si>
  <si>
    <t>DDR_XM3_B4C</t>
  </si>
  <si>
    <t>DDR_XM3_B5D0</t>
  </si>
  <si>
    <t>DDR_XM3_B5D1</t>
  </si>
  <si>
    <t>DDR_XM3_B5D2</t>
  </si>
  <si>
    <t>DDR_XM3_B5D3</t>
  </si>
  <si>
    <t>DDR_XM3_B5D4</t>
  </si>
  <si>
    <t>DDR_XM3_B5D5</t>
  </si>
  <si>
    <t>DDR_XM3_B5D6</t>
  </si>
  <si>
    <t>DDR_XM3_B5D7</t>
  </si>
  <si>
    <t>DDR_XM3_B5D8</t>
  </si>
  <si>
    <t>DDR_XM3_B5DIFFN</t>
  </si>
  <si>
    <t>DDR_XM3_B5DIFFP</t>
  </si>
  <si>
    <t>DDR_XM3_B5C</t>
  </si>
  <si>
    <t>DDR_XM3_B6D0</t>
  </si>
  <si>
    <t>DDR_XM3_B6D1</t>
  </si>
  <si>
    <t>DDR_XM3_B6D2</t>
  </si>
  <si>
    <t>DDR_XM3_B6D3</t>
  </si>
  <si>
    <t>DDR_XM3_B6D4</t>
  </si>
  <si>
    <t>DDR_XM3_B6D5</t>
  </si>
  <si>
    <t>DDR_XM3_B6D6</t>
  </si>
  <si>
    <t>DDR_XM3_B6D7</t>
  </si>
  <si>
    <t>DDR_XM3_B6D8</t>
  </si>
  <si>
    <t>DDR_XM3_B6DIFFN</t>
  </si>
  <si>
    <t>DDR_XM3_B6DIFFP</t>
  </si>
  <si>
    <t>DDR_XM3_B6C</t>
  </si>
  <si>
    <t>DDR_XM3_B7D0</t>
  </si>
  <si>
    <t>DDR_XM3_B7D1</t>
  </si>
  <si>
    <t>DDR_XM3_B7D2</t>
  </si>
  <si>
    <t>DDR_XM3_B7D3</t>
  </si>
  <si>
    <t>DDR_XM3_B7D4</t>
  </si>
  <si>
    <t>DDR_XM3_B7D5</t>
  </si>
  <si>
    <t>DDR_XM3_B7D6</t>
  </si>
  <si>
    <t>DDR_XM3_B7D7</t>
  </si>
  <si>
    <t>DDR_XM3_B7D8</t>
  </si>
  <si>
    <t>DDR_XM3_B7DIFFN</t>
  </si>
  <si>
    <t>DDR_XM3_B7DIFFP</t>
  </si>
  <si>
    <t>DDR_XM3_B7C</t>
  </si>
  <si>
    <t>DDR_XM3_B8D0</t>
  </si>
  <si>
    <t>DDR_XM3_B8D1</t>
  </si>
  <si>
    <t>DDR_XM3_B8D2</t>
  </si>
  <si>
    <t>DDR_XM3_B8D3</t>
  </si>
  <si>
    <t>DDR_XM3_B8D4</t>
  </si>
  <si>
    <t>DDR_XM3_B8D5</t>
  </si>
  <si>
    <t>DDR_XM3_B8D6</t>
  </si>
  <si>
    <t>DDR_XM3_B8D7</t>
  </si>
  <si>
    <t>DDR_XM3_B8D8</t>
  </si>
  <si>
    <t>DDR_XM3_B8DIFFN</t>
  </si>
  <si>
    <t>DDR_XM3_B8DIFFP</t>
  </si>
  <si>
    <t>DDR_XM3_B8C</t>
  </si>
  <si>
    <t>DDR_XM3_B9D0</t>
  </si>
  <si>
    <t>DDR_XM3_B9D1</t>
  </si>
  <si>
    <t>DDR_XM3_B9D2</t>
  </si>
  <si>
    <t>DDR_XM3_B9D3</t>
  </si>
  <si>
    <t>DDR_XM3_B9D4</t>
  </si>
  <si>
    <t>DDR_XM3_B9D5</t>
  </si>
  <si>
    <t>DDR_XM3_B9D6</t>
  </si>
  <si>
    <t>DDR_XM3_B9D7</t>
  </si>
  <si>
    <t>DDR_XM3_B9D8</t>
  </si>
  <si>
    <t>DDR_XM3_B9DIFFN</t>
  </si>
  <si>
    <t>DDR_XM3_B9DIFFP</t>
  </si>
  <si>
    <t>DDR_XM3_B9C</t>
  </si>
  <si>
    <t>DDR_XM3_B10D0</t>
  </si>
  <si>
    <t>DDR_XM3_B10D1</t>
  </si>
  <si>
    <t>DDR_XM3_B10D2</t>
  </si>
  <si>
    <t>DDR_XM3_B10D3</t>
  </si>
  <si>
    <t>DDR_XM3_B10D4</t>
  </si>
  <si>
    <t>DDR_XM3_B10D5</t>
  </si>
  <si>
    <t>DDR_XM3_B10D6</t>
  </si>
  <si>
    <t>DDR_XM3_B10D7</t>
  </si>
  <si>
    <t>DDR_XM3_B10D8</t>
  </si>
  <si>
    <t>DDR_XM3_B10DIFFN</t>
  </si>
  <si>
    <t>DDR_XM3_B10DIFFP</t>
  </si>
  <si>
    <t>DDR_XM3_B10C</t>
  </si>
  <si>
    <t>DDR_XM3_B11D0</t>
  </si>
  <si>
    <t>DDR_XM3_B11D1</t>
  </si>
  <si>
    <t>DDR_XM3_B11D2</t>
  </si>
  <si>
    <t>DDR_XM3_B11D3</t>
  </si>
  <si>
    <t>DDR_XM3_B11D4</t>
  </si>
  <si>
    <t>DDR_XM3_B11D5</t>
  </si>
  <si>
    <t>DDR_XM3_B11D6</t>
  </si>
  <si>
    <t>DDR_XM3_B11D7</t>
  </si>
  <si>
    <t>DDR_XM3_B11D8</t>
  </si>
  <si>
    <t>DDR_XM3_B11DIFFN</t>
  </si>
  <si>
    <t>DDR_XM3_B11DIFFP</t>
  </si>
  <si>
    <t>DDR_XM3_B11C</t>
  </si>
  <si>
    <t>unused_SPI2_SCK</t>
  </si>
  <si>
    <t>unused_SPI2_MISO</t>
  </si>
  <si>
    <t>unused_SPI2_MOSI</t>
  </si>
  <si>
    <t>unused_SPI2_CS0</t>
  </si>
  <si>
    <t>unused_GEN2_I2C_SCL</t>
  </si>
  <si>
    <t>unused_GEN2_I2C_SDA</t>
  </si>
  <si>
    <t>0.6V</t>
  </si>
  <si>
    <t>GPIO3_PS.05</t>
  </si>
  <si>
    <t>SDMMC1_WP</t>
  </si>
  <si>
    <t>QSPI0_IO2:</t>
  </si>
  <si>
    <t>QSPI1_IO2:</t>
  </si>
  <si>
    <t>GPIO3_PG.00</t>
  </si>
  <si>
    <t>GPIO3_PG.01</t>
  </si>
  <si>
    <t>GPIO3_PG.02</t>
  </si>
  <si>
    <t>GPIO3_PG.03</t>
  </si>
  <si>
    <t>GPIO3_PG.04</t>
  </si>
  <si>
    <t>GPIO3_PG.05</t>
  </si>
  <si>
    <t>GP_PWM5</t>
  </si>
  <si>
    <t>GPIO3_PH.02</t>
  </si>
  <si>
    <t>GPIO3_PX.00</t>
  </si>
  <si>
    <t>GPIO3_PX.01</t>
  </si>
  <si>
    <t>UB3_RTS</t>
  </si>
  <si>
    <t>UB3_CTS</t>
  </si>
  <si>
    <t>UE3_TXD</t>
  </si>
  <si>
    <t>UE3_RXD</t>
  </si>
  <si>
    <t>UE3_RTS</t>
  </si>
  <si>
    <t>UE3_CTS</t>
  </si>
  <si>
    <t>GPIO3_PEE.00</t>
  </si>
  <si>
    <t>GPIO3_PEE.01</t>
  </si>
  <si>
    <t>GPIO3_PEE.03</t>
  </si>
  <si>
    <t>GPIO3_PEE.04</t>
  </si>
  <si>
    <t>GPIO3_PBB.00</t>
  </si>
  <si>
    <t>GPIO3_PBB.02</t>
  </si>
  <si>
    <t>GPIO3_PBB.03</t>
  </si>
  <si>
    <t>GP_PWM4</t>
  </si>
  <si>
    <t>GPIO3_PP.07</t>
  </si>
  <si>
    <t>GPIO3_PQ.00</t>
  </si>
  <si>
    <t>GPIO3_PQ.01</t>
  </si>
  <si>
    <t>NV_THERM_FAN_TACH</t>
  </si>
  <si>
    <t>WDT_RESET_OUTA</t>
  </si>
  <si>
    <t>GPIO3_PQ.04</t>
  </si>
  <si>
    <t>GPIO3_PQ.07</t>
  </si>
  <si>
    <t>GP_PWM8</t>
  </si>
  <si>
    <t>GPIO3_PR.01</t>
  </si>
  <si>
    <t>GPIO3_PB.00</t>
  </si>
  <si>
    <t>GPIO3_PB.01</t>
  </si>
  <si>
    <t>PE0_CLKREQ_L</t>
  </si>
  <si>
    <t>PE0_RST_L</t>
  </si>
  <si>
    <t>PE2_CLKREQ_L</t>
  </si>
  <si>
    <t>PE2_RST_L</t>
  </si>
  <si>
    <t>PE3_CLKREQ_L</t>
  </si>
  <si>
    <t>PE3_RST_L</t>
  </si>
  <si>
    <t>PE4_CLKREQ_L</t>
  </si>
  <si>
    <t>PE4_RST_L</t>
  </si>
  <si>
    <t>GPIO3_PL.02</t>
  </si>
  <si>
    <t>GPIO3_PL.03</t>
  </si>
  <si>
    <t>PE5_CLKREQ_L</t>
  </si>
  <si>
    <t>PE5_RST_L</t>
  </si>
  <si>
    <t>PEX_CLK_OUT_0_N</t>
  </si>
  <si>
    <t>PEX_CLK_OUT_1_P</t>
  </si>
  <si>
    <t>PEX_CLK_OUT_1_N</t>
  </si>
  <si>
    <t>PEX_CLK_OUT_3_P</t>
  </si>
  <si>
    <t>PEX_CLK_OUT_3_N</t>
  </si>
  <si>
    <t>PEX_CLK_OUT_4_P</t>
  </si>
  <si>
    <t>PEX_CLK_OUT_4_N</t>
  </si>
  <si>
    <t>GPIO3_PM.06</t>
  </si>
  <si>
    <t>GPIO3_PM.07</t>
  </si>
  <si>
    <t>Revision #</t>
  </si>
  <si>
    <t>PEX_CLK_OUT_0_P</t>
  </si>
  <si>
    <t xml:space="preserve"> LPDDR4 / LPDDR4x</t>
  </si>
  <si>
    <t>DDR RESET</t>
  </si>
  <si>
    <t>CVM only</t>
  </si>
  <si>
    <t>Debug Select</t>
  </si>
  <si>
    <t>JTAG Select</t>
  </si>
  <si>
    <t>Master Slave Mode</t>
  </si>
  <si>
    <t>Master</t>
  </si>
  <si>
    <t>unused_HDMI_DP3_TXDP0</t>
  </si>
  <si>
    <t>unused_HDMI_DP3_TXDN0</t>
  </si>
  <si>
    <t>unused_HDMI_DP3_TXDP1</t>
  </si>
  <si>
    <t>unused_HDMI_DP3_TXDN1</t>
  </si>
  <si>
    <t>unused_HDMI_DP3_TXDP2</t>
  </si>
  <si>
    <t>unused_HDMI_DP3_TXDN2</t>
  </si>
  <si>
    <t>unused_HDMI_DP3_TXDP3</t>
  </si>
  <si>
    <t>unused_HDMI_DP3_TXDN3</t>
  </si>
  <si>
    <t>DP0_HPD</t>
  </si>
  <si>
    <t>DP1_HPD</t>
  </si>
  <si>
    <t>FORCE_RECOVERY_N</t>
  </si>
  <si>
    <t>HDMI CEC</t>
  </si>
  <si>
    <t>GPIO3_PT.05</t>
  </si>
  <si>
    <t>GPIO3_PT.06</t>
  </si>
  <si>
    <t>GPIO3_PS.07</t>
  </si>
  <si>
    <t>CVM only, RDC_DET</t>
  </si>
  <si>
    <t>GPIO3_PH.03</t>
  </si>
  <si>
    <t>GPIO3_PH.05</t>
  </si>
  <si>
    <t>GPIO3_PR.02</t>
  </si>
  <si>
    <t>unused_CSI_E_D0_P</t>
  </si>
  <si>
    <t>unused_CSI_E_CLK_N</t>
  </si>
  <si>
    <t>unused_CSI_E_CLK_P</t>
  </si>
  <si>
    <t>unused_CSI_E_D0_N</t>
  </si>
  <si>
    <t>unused_CSI_E_D1_N</t>
  </si>
  <si>
    <t>unused_CSI_E_D1_P</t>
  </si>
  <si>
    <t>unused_CSI_F_D0_N</t>
  </si>
  <si>
    <t>unused_CSI_F_D0_P</t>
  </si>
  <si>
    <t>unused_CSI_F_D1_N</t>
  </si>
  <si>
    <t>unused_CSI_F_D1_P</t>
  </si>
  <si>
    <t>unused_CSI_G_CLK_N</t>
  </si>
  <si>
    <t>unused_CSI_G_CLK_P</t>
  </si>
  <si>
    <t>unused_CSI_G_D0_N</t>
  </si>
  <si>
    <t>unused_CSI_G_D0_P</t>
  </si>
  <si>
    <t>unused_CSI_G_D1_N</t>
  </si>
  <si>
    <t>unused_CSI_G_D1_P</t>
  </si>
  <si>
    <t>unused_CSI_H_CLK_N</t>
  </si>
  <si>
    <t>unused_CSI_H_CLK_P</t>
  </si>
  <si>
    <t>unused_CSI_H_D0_N</t>
  </si>
  <si>
    <t>unused_CSI_H_D0_P</t>
  </si>
  <si>
    <t>unused_HDMI_DP2_TXDN1</t>
  </si>
  <si>
    <t>unused_HDMI_DP2_TXDP2</t>
  </si>
  <si>
    <t>unused_HDMI_DP2_TXDN2</t>
  </si>
  <si>
    <t>unused_HDMI_DP2_TXDP3</t>
  </si>
  <si>
    <t>unused_HDMI_DP2_TXDN3</t>
  </si>
  <si>
    <t>unused_USB3_DN</t>
  </si>
  <si>
    <t>unused_PEX_REFCLK2P</t>
  </si>
  <si>
    <t>unused_PEX_REFCLK2N</t>
  </si>
  <si>
    <t>unused_PEX_RX6P</t>
  </si>
  <si>
    <t>unused_PEX_RX6N</t>
  </si>
  <si>
    <t>unused_PEX_TX6P</t>
  </si>
  <si>
    <t>unused_PEX_TX6N</t>
  </si>
  <si>
    <t>unused_PEX_RX7P</t>
  </si>
  <si>
    <t>unused_PEX_RX7N</t>
  </si>
  <si>
    <t>unused_PEX_TX7P</t>
  </si>
  <si>
    <t>unused_PEX_TX7N</t>
  </si>
  <si>
    <t>unused_PEX_RX8P</t>
  </si>
  <si>
    <t>unused_PEX_RX8N</t>
  </si>
  <si>
    <t>unused_PEX_TX8P</t>
  </si>
  <si>
    <t>unused_PEX_TX8N</t>
  </si>
  <si>
    <t>unused_PEX_RX9P</t>
  </si>
  <si>
    <t>unused_PEX_RX9N</t>
  </si>
  <si>
    <t>unused_PEX_TX9P</t>
  </si>
  <si>
    <t>unused_PEX_TX9N</t>
  </si>
  <si>
    <t>unused_PEX_RX10P</t>
  </si>
  <si>
    <t>unused_PEX_RX10N</t>
  </si>
  <si>
    <t>unused_PEX_TX10P</t>
  </si>
  <si>
    <t>unused_PEX_TX10N</t>
  </si>
  <si>
    <t>unused_PEX_RX11P</t>
  </si>
  <si>
    <t>unused_PEX_RX11N</t>
  </si>
  <si>
    <t>unused_PEX_TX11P</t>
  </si>
  <si>
    <t>unused_PEX_TX11N</t>
  </si>
  <si>
    <t>unused_NVHS0_REFCLK_P</t>
  </si>
  <si>
    <t>unused_NVHS0_REFCLK_N</t>
  </si>
  <si>
    <t>unused_NVHS0_RX0_P</t>
  </si>
  <si>
    <t>unused_NVHS0_RX0_N</t>
  </si>
  <si>
    <t>unused_NVHS0_TX0_P</t>
  </si>
  <si>
    <t>unused_NVHS0_TX0_N</t>
  </si>
  <si>
    <t>unused_NVHS0_RX1_P</t>
  </si>
  <si>
    <t>unused_NVHS0_RX1_N</t>
  </si>
  <si>
    <t>unused_NVHS0_TX1_P</t>
  </si>
  <si>
    <t>unused_NVHS0_TX1_N</t>
  </si>
  <si>
    <t>unused_NVHS0_RX2_P</t>
  </si>
  <si>
    <t>unused_NVHS0_RX2_N</t>
  </si>
  <si>
    <t>unused_NVHS0_TX2_P</t>
  </si>
  <si>
    <t>unused_NVHS0_TX2_N</t>
  </si>
  <si>
    <t>unused_NVHS0_RX3_P</t>
  </si>
  <si>
    <t>unused_NVHS0_RX3_N</t>
  </si>
  <si>
    <t>unused_NVHS0_TX3_P</t>
  </si>
  <si>
    <t>unused_NVHS0_TX3_N</t>
  </si>
  <si>
    <t>unused_NVHS0_RX4_P</t>
  </si>
  <si>
    <t>unused_NVHS0_RX4_N</t>
  </si>
  <si>
    <t>unused_NVHS0_TX4_P</t>
  </si>
  <si>
    <t>unused_NVHS0_TX4_N</t>
  </si>
  <si>
    <t>unused_NVHS0_TX5_P</t>
  </si>
  <si>
    <t>unused_NVHS0_RX5_P</t>
  </si>
  <si>
    <t>unused_NVHS0_RX5_N</t>
  </si>
  <si>
    <t>unused_NVHS0_TX5_N</t>
  </si>
  <si>
    <t>unused_NVHS0_RX6_P</t>
  </si>
  <si>
    <t>unused_NVHS0_RX6_N</t>
  </si>
  <si>
    <t>unused_NVHS0_TX6_P</t>
  </si>
  <si>
    <t>unused_NVHS0_TX6_N</t>
  </si>
  <si>
    <t>unused_NVHS0_RX7_P</t>
  </si>
  <si>
    <t>unused_NVHS0_RX7_N</t>
  </si>
  <si>
    <t>unused_NVHS0_TX7_P</t>
  </si>
  <si>
    <t>unused_NVHS0_TX7_N</t>
  </si>
  <si>
    <t>unused_CSI_H_D1_N</t>
  </si>
  <si>
    <t>unused_CSI_H_D1_P</t>
  </si>
  <si>
    <t>unused_HDMI_DP2_TXDP0</t>
  </si>
  <si>
    <t>unused_HDMI_DP2_TXDN0</t>
  </si>
  <si>
    <t>unused_HDMI_DP2_TXDP1</t>
  </si>
  <si>
    <t>unused_USB3_DP</t>
  </si>
  <si>
    <t>USB3_RX2P</t>
  </si>
  <si>
    <t>USB3_RX2N</t>
  </si>
  <si>
    <t>USB3_TX2P</t>
  </si>
  <si>
    <t>USB3_TX2N</t>
  </si>
  <si>
    <t>PEX0_RX0P</t>
  </si>
  <si>
    <t>PEX0_RX0N</t>
  </si>
  <si>
    <t>PEX0_TX0P</t>
  </si>
  <si>
    <t>PEX0_TX0N</t>
  </si>
  <si>
    <t>PEX0_RX1P</t>
  </si>
  <si>
    <t>PEX0_RX1N</t>
  </si>
  <si>
    <t>PEX0_TX1P</t>
  </si>
  <si>
    <t>PEX0_TX1N</t>
  </si>
  <si>
    <t>PEX0_RX2P</t>
  </si>
  <si>
    <t>PEX0_RX2N</t>
  </si>
  <si>
    <t>PEX0_TX2P</t>
  </si>
  <si>
    <t>PEX0_TX2N</t>
  </si>
  <si>
    <t>PEX0_RX3P</t>
  </si>
  <si>
    <t>PEX0_RX3N</t>
  </si>
  <si>
    <t>PEX0_TX3P</t>
  </si>
  <si>
    <t>PEX0_TX3N</t>
  </si>
  <si>
    <t>USB3_RX0P</t>
  </si>
  <si>
    <t>USB3_RX0N</t>
  </si>
  <si>
    <t>USB3_TX0P</t>
  </si>
  <si>
    <t>USB3_TX0N</t>
  </si>
  <si>
    <t>PEX3_RX0P</t>
  </si>
  <si>
    <t>PEX3_RX0N</t>
  </si>
  <si>
    <t>PEX3_TX0P</t>
  </si>
  <si>
    <t>PEX3_TX0N</t>
  </si>
  <si>
    <t>PEX4_RX0P</t>
  </si>
  <si>
    <t>PEX4_RX0N</t>
  </si>
  <si>
    <t>PEX4_TX0P</t>
  </si>
  <si>
    <t>PEX4_TX0N</t>
  </si>
  <si>
    <t>PEX4_RX1P</t>
  </si>
  <si>
    <t>PEX4_RX1N</t>
  </si>
  <si>
    <t>PEX4_TX1P</t>
  </si>
  <si>
    <t>PEX4_TX1N</t>
  </si>
  <si>
    <t>UFS_L0_RXP</t>
  </si>
  <si>
    <t>UFS_L0_RXN</t>
  </si>
  <si>
    <t>UFS_L0_TXP</t>
  </si>
  <si>
    <t>UFS_L0_TXN</t>
  </si>
  <si>
    <t>PEX4_RX2P</t>
  </si>
  <si>
    <t>PEX4_RX2N</t>
  </si>
  <si>
    <t>PEX4_TX2P</t>
  </si>
  <si>
    <t>PEX4_TX2N</t>
  </si>
  <si>
    <t>PEX4_RX3P</t>
  </si>
  <si>
    <t>PEX4_RX3N</t>
  </si>
  <si>
    <t>PEX4_TX3P</t>
  </si>
  <si>
    <t>PEX4_TX3N</t>
  </si>
  <si>
    <t>GPIO3_PT.00</t>
  </si>
  <si>
    <t>GPIO3_PM.03</t>
  </si>
  <si>
    <t>GPIO3_PT.07</t>
  </si>
  <si>
    <t>GPIO3_PU.00</t>
  </si>
  <si>
    <t>GPIO3_PR.04</t>
  </si>
  <si>
    <t>EXTPERIPH4_CLK</t>
  </si>
  <si>
    <t>O</t>
  </si>
  <si>
    <t>B</t>
  </si>
  <si>
    <t>GPIO3_PS.06</t>
  </si>
  <si>
    <t>I2S3_SDATA_IN</t>
  </si>
  <si>
    <t>GPIO3_PG.07</t>
  </si>
  <si>
    <t>100k</t>
  </si>
  <si>
    <t>GPIO3_PY.05</t>
  </si>
  <si>
    <t>GPIO3_PY.07</t>
  </si>
  <si>
    <t>SHUTDOWN_N:</t>
  </si>
  <si>
    <t>GPIO3_PQ.03</t>
  </si>
  <si>
    <t>GPIO3_PQ.05</t>
  </si>
  <si>
    <t>GPIO3_PQ.06</t>
  </si>
  <si>
    <t>GPIO3_PA.00</t>
  </si>
  <si>
    <t>GPIO3_PA.01</t>
  </si>
  <si>
    <t>GPIO3_PA.02</t>
  </si>
  <si>
    <t>GPIO3_PA.03</t>
  </si>
  <si>
    <t>GPIO3_PA.05</t>
  </si>
  <si>
    <t>GPIO3_PA.06</t>
  </si>
  <si>
    <t>GPIO3_PA.07</t>
  </si>
  <si>
    <t>I2C6_CLK</t>
  </si>
  <si>
    <t>I2C6_DAT</t>
  </si>
  <si>
    <t>I2C4_CLK</t>
  </si>
  <si>
    <t>I2C4_DAT</t>
  </si>
  <si>
    <t>I2C7_CLK</t>
  </si>
  <si>
    <t>I2C7_DAT</t>
  </si>
  <si>
    <t>I2C9_CLK</t>
  </si>
  <si>
    <t>I2C9_DAT</t>
  </si>
  <si>
    <t>GPIO3_PN.01</t>
  </si>
  <si>
    <t>UFS_L1_RXP</t>
  </si>
  <si>
    <t>UFS_L1_RXN</t>
  </si>
  <si>
    <t>UFS_L1_TXP</t>
  </si>
  <si>
    <t>UFS_L1_TXN</t>
  </si>
  <si>
    <t>GPIO3_PM.00</t>
  </si>
  <si>
    <t>GPIO3_PM.01</t>
  </si>
  <si>
    <t>GPIO3_PM.02</t>
  </si>
  <si>
    <t>DMIC3_DAT</t>
  </si>
  <si>
    <t>DMIC3_CLK</t>
  </si>
  <si>
    <t>GP</t>
  </si>
  <si>
    <t>QSPI0</t>
  </si>
  <si>
    <t>QSPI1</t>
  </si>
  <si>
    <t>DMIC1_DAT</t>
  </si>
  <si>
    <t>DMIC1_CLK</t>
  </si>
  <si>
    <t>DMIC2_DAT</t>
  </si>
  <si>
    <t>DMIC2_CLK</t>
  </si>
  <si>
    <t>I2S5_SCLK</t>
  </si>
  <si>
    <t>I2S5_SDATA_IN</t>
  </si>
  <si>
    <t>GPIO3_PO.00</t>
  </si>
  <si>
    <t>GPIO3_PO.04</t>
  </si>
  <si>
    <t>GPIO3_PO.05</t>
  </si>
  <si>
    <t>GPIO3_PE.00</t>
  </si>
  <si>
    <t>GPIO3_PE.01</t>
  </si>
  <si>
    <t>GPIO3_PE.02</t>
  </si>
  <si>
    <t>GPIO3_PE.03</t>
  </si>
  <si>
    <t>GPIO3_PE.04</t>
  </si>
  <si>
    <t>GPIO3_PE.05</t>
  </si>
  <si>
    <t>GPIO3_PE.06</t>
  </si>
  <si>
    <t>GPIO3_PE.07</t>
  </si>
  <si>
    <t>GPIO3_PF.00</t>
  </si>
  <si>
    <t>GPIO3_PF.01</t>
  </si>
  <si>
    <t>GPIO3_PF.02</t>
  </si>
  <si>
    <t>GPIO3_PF.03</t>
  </si>
  <si>
    <t>GPIO3_PF.04</t>
  </si>
  <si>
    <t>GPIO3_PF.05</t>
  </si>
  <si>
    <t>GPIO3_PZ.07</t>
  </si>
  <si>
    <t>GPIO3_PAA.00</t>
  </si>
  <si>
    <t>GPIO3_PAA.01</t>
  </si>
  <si>
    <t>GPIO3_PAA.02</t>
  </si>
  <si>
    <t>GPIO3_PAA.03</t>
  </si>
  <si>
    <t>DMIC5_DAT</t>
  </si>
  <si>
    <t>DMIC5_CLK</t>
  </si>
  <si>
    <t>GPIO3_PCC.02</t>
  </si>
  <si>
    <t>GPIO3_PP.01</t>
  </si>
  <si>
    <t>GPIO3_PQ.02</t>
  </si>
  <si>
    <t>4.7K</t>
  </si>
  <si>
    <t>Signal Name</t>
  </si>
  <si>
    <t>Pin #</t>
  </si>
  <si>
    <t>I2S5_SDATA_OUT</t>
  </si>
  <si>
    <t>I2S5_LRCK</t>
  </si>
  <si>
    <t>I2S1_FS</t>
  </si>
  <si>
    <t>I2S3_FS</t>
  </si>
  <si>
    <t>PEX_CLK_OUT_5_P</t>
  </si>
  <si>
    <t>PEX_CLK_OUT_5_N</t>
  </si>
  <si>
    <t>SLVS_HSYNC</t>
  </si>
  <si>
    <t>GPIO3_PT.03</t>
  </si>
  <si>
    <t>GPIO3_PT.04</t>
  </si>
  <si>
    <t>GPIO3_PY.01</t>
  </si>
  <si>
    <t>GPIO3_PY.02</t>
  </si>
  <si>
    <t>SLVS_VSYNC</t>
  </si>
  <si>
    <t>SD_POWER_SW_ON</t>
  </si>
  <si>
    <t>GPIO3_PZ.01</t>
  </si>
  <si>
    <t>GPIO3_PZ.02</t>
  </si>
  <si>
    <t>GPIO3_PCC.00</t>
  </si>
  <si>
    <t>GPIO3_PCC.01</t>
  </si>
  <si>
    <t>GPIO3_PCC.03</t>
  </si>
  <si>
    <t>GPIO3_PR.05</t>
  </si>
  <si>
    <t>GPIO3_PO.01</t>
  </si>
  <si>
    <t>UPHY_REFCLK1_P</t>
  </si>
  <si>
    <t>UPHY_REFCLK1_N</t>
  </si>
  <si>
    <t>UPHY_REFCLK2_P</t>
  </si>
  <si>
    <t>UPHY_REFCLK2_N</t>
  </si>
  <si>
    <t>GPIO3_PR.00</t>
  </si>
  <si>
    <t>100K</t>
  </si>
  <si>
    <t>DISPLAYB</t>
  </si>
  <si>
    <t>DISPLAYA</t>
  </si>
  <si>
    <t>GPIO3_PH.07</t>
  </si>
  <si>
    <t>GPIO3_PI.00</t>
  </si>
  <si>
    <t>GPIO3_PI.01</t>
  </si>
  <si>
    <t>GPIO3_PBB.01</t>
  </si>
  <si>
    <t>GPIO3_PK.07</t>
  </si>
  <si>
    <t>GPIO3_PH.00</t>
  </si>
  <si>
    <t>GPIO3_PZ.05</t>
  </si>
  <si>
    <t>GPIO3_PZ.04</t>
  </si>
  <si>
    <t>GPIO3_PZ.03</t>
  </si>
  <si>
    <t>GPIO3_PZ.06</t>
  </si>
  <si>
    <t>GPIO3_PI.02</t>
  </si>
  <si>
    <t>GPIO3_PY.00</t>
  </si>
  <si>
    <t>GPIO3_PY.03</t>
  </si>
  <si>
    <t>GPIO3_PY.04</t>
  </si>
  <si>
    <t>SOC_THERM_OC3</t>
  </si>
  <si>
    <t>SOC_THERM_OC2</t>
  </si>
  <si>
    <t>CAM0_PWDN</t>
  </si>
  <si>
    <t>M5</t>
  </si>
  <si>
    <t>GPIO3_PS.00</t>
  </si>
  <si>
    <t/>
  </si>
  <si>
    <t>dap1_sclk_ps0</t>
  </si>
  <si>
    <t>vddio_audio</t>
  </si>
  <si>
    <t>ST</t>
  </si>
  <si>
    <t>BDPGLP_JFCR90M14L_VXVDP1P1P1</t>
  </si>
  <si>
    <t>pd</t>
  </si>
  <si>
    <t>L6</t>
  </si>
  <si>
    <t>GPIO3_PS.01</t>
  </si>
  <si>
    <t>E</t>
  </si>
  <si>
    <t>dap1_dout_ps1</t>
  </si>
  <si>
    <t>M4</t>
  </si>
  <si>
    <t>GPIO3_PS.02</t>
  </si>
  <si>
    <t>I</t>
  </si>
  <si>
    <t>dap1_din_ps2</t>
  </si>
  <si>
    <t>C7</t>
  </si>
  <si>
    <t>L7</t>
  </si>
  <si>
    <t>GPIO3_PS.03</t>
  </si>
  <si>
    <t>dap1_fs_ps3</t>
  </si>
  <si>
    <t>BDPGLP_JFCM14L_VXVDP1P1P1</t>
  </si>
  <si>
    <t>H9</t>
  </si>
  <si>
    <t>L4</t>
  </si>
  <si>
    <t>GPIO3_PS.04</t>
  </si>
  <si>
    <t>aud_mclk_ps4</t>
  </si>
  <si>
    <t>GPIO11</t>
  </si>
  <si>
    <t>K5</t>
  </si>
  <si>
    <t>soc_gpio30_ps5</t>
  </si>
  <si>
    <t>wake12</t>
  </si>
  <si>
    <t>BDPGLP_JFCM14L_VDVXP1P1P1</t>
  </si>
  <si>
    <t>K4</t>
  </si>
  <si>
    <t>soc_gpio31_ps6</t>
  </si>
  <si>
    <t>wake13</t>
  </si>
  <si>
    <t>K6</t>
  </si>
  <si>
    <t>soc_gpio32_ps7</t>
  </si>
  <si>
    <t>GPIO12</t>
  </si>
  <si>
    <t>K10</t>
  </si>
  <si>
    <t>soc_gpio33_pt0</t>
  </si>
  <si>
    <t>wake15</t>
  </si>
  <si>
    <t>pu</t>
  </si>
  <si>
    <t>M1</t>
  </si>
  <si>
    <t>GPIO3_PT.01</t>
  </si>
  <si>
    <t>dap3_sclk_pt1</t>
  </si>
  <si>
    <t>M3</t>
  </si>
  <si>
    <t>GPIO3_PT.02</t>
  </si>
  <si>
    <t>dap3_dout_pt2</t>
  </si>
  <si>
    <t>GPIO13</t>
  </si>
  <si>
    <t>L1</t>
  </si>
  <si>
    <t>dap3_din_pt3</t>
  </si>
  <si>
    <t>GPIO14</t>
  </si>
  <si>
    <t>L3</t>
  </si>
  <si>
    <t>dap3_fs_pt4</t>
  </si>
  <si>
    <t>F10</t>
  </si>
  <si>
    <t>L9</t>
  </si>
  <si>
    <t>DSPK0_DAT</t>
  </si>
  <si>
    <t>dap5_sclk_pt5</t>
  </si>
  <si>
    <t>F9</t>
  </si>
  <si>
    <t>L8</t>
  </si>
  <si>
    <t>DSPK0_CLK</t>
  </si>
  <si>
    <t>dap5_dout_pt6</t>
  </si>
  <si>
    <t>K7</t>
  </si>
  <si>
    <t>DMIC4_DAT</t>
  </si>
  <si>
    <t>DSPK1_DAT</t>
  </si>
  <si>
    <t>dap5_din_pt7</t>
  </si>
  <si>
    <t>K8</t>
  </si>
  <si>
    <t>DMIC4_CLK</t>
  </si>
  <si>
    <t>DSPK1_CLK</t>
  </si>
  <si>
    <t>dap5_fs_pu0</t>
  </si>
  <si>
    <t>SDCARD_CLK</t>
  </si>
  <si>
    <t>N8</t>
  </si>
  <si>
    <t>GPIO3_PJ.00</t>
  </si>
  <si>
    <t>sdmmc1_clk_pj0</t>
  </si>
  <si>
    <t>vddio_sdmmc1_hv</t>
  </si>
  <si>
    <t>CZ</t>
  </si>
  <si>
    <t>BDSDMEM_DFCR90M14L_VXVDP1P1P1VC</t>
  </si>
  <si>
    <t>19.5K +/- 35%</t>
  </si>
  <si>
    <t>SDCARD_CMD</t>
  </si>
  <si>
    <t>A5</t>
  </si>
  <si>
    <t>N7</t>
  </si>
  <si>
    <t>GPIO3_PJ.01</t>
  </si>
  <si>
    <t>sdmmc1_cmd_pj1</t>
  </si>
  <si>
    <t>SDCARD_D0</t>
  </si>
  <si>
    <t>M9</t>
  </si>
  <si>
    <t>GPIO3_PJ.02</t>
  </si>
  <si>
    <t>sdmmc1_dat0_pj2</t>
  </si>
  <si>
    <t>SDCARD_D1</t>
  </si>
  <si>
    <t>F8</t>
  </si>
  <si>
    <t>M10</t>
  </si>
  <si>
    <t>GPIO3_PJ.03</t>
  </si>
  <si>
    <t>sdmmc1_dat1_pj3</t>
  </si>
  <si>
    <t>wake3</t>
  </si>
  <si>
    <t>SDCARD_D2</t>
  </si>
  <si>
    <t>N4</t>
  </si>
  <si>
    <t>GPIO3_PJ.04</t>
  </si>
  <si>
    <t>sdmmc1_dat2_pj4</t>
  </si>
  <si>
    <t>SDCARD_D3</t>
  </si>
  <si>
    <t>N5</t>
  </si>
  <si>
    <t>GPIO3_PJ.05</t>
  </si>
  <si>
    <t>sdmmc1_dat3_pj5</t>
  </si>
  <si>
    <t>P3</t>
  </si>
  <si>
    <t>sdmmc3_clk_po0</t>
  </si>
  <si>
    <t>vddio_sdmmc3_hv</t>
  </si>
  <si>
    <t>P4</t>
  </si>
  <si>
    <t>sdmmc3_cmd_po1</t>
  </si>
  <si>
    <t>P9</t>
  </si>
  <si>
    <t>GPIO3_PO.02</t>
  </si>
  <si>
    <t>sdmmc3_dat0_po2</t>
  </si>
  <si>
    <t>P8</t>
  </si>
  <si>
    <t>GPIO3_PO.03</t>
  </si>
  <si>
    <t>sdmmc3_dat1_po3</t>
  </si>
  <si>
    <t>wake5</t>
  </si>
  <si>
    <t>P7</t>
  </si>
  <si>
    <t>sdmmc3_dat2_po4</t>
  </si>
  <si>
    <t>P6</t>
  </si>
  <si>
    <t>sdmmc3_dat3_po5</t>
  </si>
  <si>
    <t>RGMII_TXC</t>
  </si>
  <si>
    <t>R7</t>
  </si>
  <si>
    <t>eqos_txc_pe0</t>
  </si>
  <si>
    <t>vddio_eqos</t>
  </si>
  <si>
    <t>LV_CZ</t>
  </si>
  <si>
    <t>BDSDMEMLV_CFCR90M14L_VXVDP1P1P1</t>
  </si>
  <si>
    <t>18k +/- 30%</t>
  </si>
  <si>
    <t>z</t>
  </si>
  <si>
    <t>RGMII_TD0</t>
  </si>
  <si>
    <t>J6</t>
  </si>
  <si>
    <t>R4</t>
  </si>
  <si>
    <t>eqos_td0_pe1</t>
  </si>
  <si>
    <t>RGMII_TD1</t>
  </si>
  <si>
    <t>G5</t>
  </si>
  <si>
    <t>R3</t>
  </si>
  <si>
    <t>eqos_td1_pe2</t>
  </si>
  <si>
    <t>RGMII_TD2</t>
  </si>
  <si>
    <t>J7</t>
  </si>
  <si>
    <t>R1</t>
  </si>
  <si>
    <t>eqos_td2_pe3</t>
  </si>
  <si>
    <t>RGMII_TD3</t>
  </si>
  <si>
    <t>G6</t>
  </si>
  <si>
    <t>P1</t>
  </si>
  <si>
    <t>eqos_td3_pe4</t>
  </si>
  <si>
    <t>RGMII_TX_CTL</t>
  </si>
  <si>
    <t>R5</t>
  </si>
  <si>
    <t>eqos_tx_ctl_pe5</t>
  </si>
  <si>
    <t>RGMII_RD0</t>
  </si>
  <si>
    <t>C4</t>
  </si>
  <si>
    <t>T5</t>
  </si>
  <si>
    <t>eqos_rd0_pe6</t>
  </si>
  <si>
    <t>RGMII_RD1</t>
  </si>
  <si>
    <t>U1</t>
  </si>
  <si>
    <t>eqos_rd1_pe7</t>
  </si>
  <si>
    <t>RGMII_RD2</t>
  </si>
  <si>
    <t>H6</t>
  </si>
  <si>
    <t>U3</t>
  </si>
  <si>
    <t>eqos_rd2_pf0</t>
  </si>
  <si>
    <t>RGMII_RD3</t>
  </si>
  <si>
    <t>T4</t>
  </si>
  <si>
    <t>eqos_rd3_pf1</t>
  </si>
  <si>
    <t>RGMII_RX_CTL</t>
  </si>
  <si>
    <t>T7</t>
  </si>
  <si>
    <t>eqos_rx_ctl_pf2</t>
  </si>
  <si>
    <t>wake28</t>
  </si>
  <si>
    <t>RGMII_RXC</t>
  </si>
  <si>
    <t>C5</t>
  </si>
  <si>
    <t>R6</t>
  </si>
  <si>
    <t>eqos_rxc_pf3</t>
  </si>
  <si>
    <t>RGMII_SMA_MDIO</t>
  </si>
  <si>
    <t>R9</t>
  </si>
  <si>
    <t>eqos_sma_mdio_pf4</t>
  </si>
  <si>
    <t>wake17</t>
  </si>
  <si>
    <t>RGMII_SMA_MDC</t>
  </si>
  <si>
    <t>R10</t>
  </si>
  <si>
    <t>eqos_sma_mdc_pf5</t>
  </si>
  <si>
    <t>V3</t>
  </si>
  <si>
    <t>GPIO3_PC.00</t>
  </si>
  <si>
    <t>qspi0_sck_pc0</t>
  </si>
  <si>
    <t>vddio_qspi</t>
  </si>
  <si>
    <t>U4</t>
  </si>
  <si>
    <t>GPIO3_PC.01</t>
  </si>
  <si>
    <t>qspi0_cs_n_pc1</t>
  </si>
  <si>
    <t>wake23</t>
  </si>
  <si>
    <t>V5</t>
  </si>
  <si>
    <t>GPIO3_PC.02</t>
  </si>
  <si>
    <t>qspi0_io0_pc2</t>
  </si>
  <si>
    <t>V4</t>
  </si>
  <si>
    <t>GPIO3_PC.03</t>
  </si>
  <si>
    <t>qspi0_io1_pc3</t>
  </si>
  <si>
    <t>V1</t>
  </si>
  <si>
    <t>GPIO3_PC.04</t>
  </si>
  <si>
    <t>qspi0_io2_pc4</t>
  </si>
  <si>
    <t>U6</t>
  </si>
  <si>
    <t>GPIO3_PC.05</t>
  </si>
  <si>
    <t>qspi0_io3_pc5</t>
  </si>
  <si>
    <t>wake11</t>
  </si>
  <si>
    <t>U7</t>
  </si>
  <si>
    <t>GPIO3_PC.06</t>
  </si>
  <si>
    <t>qspi1_sck_pc6</t>
  </si>
  <si>
    <t>V7</t>
  </si>
  <si>
    <t>GPIO3_PC.07</t>
  </si>
  <si>
    <t>qspi1_cs_n_pc7</t>
  </si>
  <si>
    <t>wake18</t>
  </si>
  <si>
    <t>V6</t>
  </si>
  <si>
    <t>GPIO3_PD.00</t>
  </si>
  <si>
    <t>qspi1_io0_pd0</t>
  </si>
  <si>
    <t>U8</t>
  </si>
  <si>
    <t>GPIO3_PD.01</t>
  </si>
  <si>
    <t>qspi1_io1_pd1</t>
  </si>
  <si>
    <t>U9</t>
  </si>
  <si>
    <t>GPIO3_PD.02</t>
  </si>
  <si>
    <t>qspi1_io2_pd2</t>
  </si>
  <si>
    <t>V9</t>
  </si>
  <si>
    <t>GPIO3_PD.03</t>
  </si>
  <si>
    <t>qspi1_io3_pd3</t>
  </si>
  <si>
    <t>wake19</t>
  </si>
  <si>
    <t>AB4</t>
  </si>
  <si>
    <t>sdmmc4_clk</t>
  </si>
  <si>
    <t>vddio_sdmmc4</t>
  </si>
  <si>
    <t>ST_MEM</t>
  </si>
  <si>
    <t>BDEMMC_IOBRICK_DFCR90M14L</t>
  </si>
  <si>
    <t>15k</t>
  </si>
  <si>
    <t>AB10</t>
  </si>
  <si>
    <t>sdmmc4_cmd</t>
  </si>
  <si>
    <t>AC6</t>
  </si>
  <si>
    <t>sdmmc4_dat0</t>
  </si>
  <si>
    <t>AC3</t>
  </si>
  <si>
    <t>sdmmc4_dat1</t>
  </si>
  <si>
    <t>wake6</t>
  </si>
  <si>
    <t>AC1</t>
  </si>
  <si>
    <t>sdmmc4_dat2</t>
  </si>
  <si>
    <t>AD1</t>
  </si>
  <si>
    <t>sdmmc4_dat3</t>
  </si>
  <si>
    <t>AD5</t>
  </si>
  <si>
    <t>sdmmc4_dat4</t>
  </si>
  <si>
    <t>AC4</t>
  </si>
  <si>
    <t>sdmmc4_dat5</t>
  </si>
  <si>
    <t>AB7</t>
  </si>
  <si>
    <t>sdmmc4_dat6</t>
  </si>
  <si>
    <t>AB8</t>
  </si>
  <si>
    <t>sdmmc4_dat7</t>
  </si>
  <si>
    <t>AB5</t>
  </si>
  <si>
    <t>sdmmc4_dqs</t>
  </si>
  <si>
    <t>Y3</t>
  </si>
  <si>
    <t>soc_gpio00_pg0</t>
  </si>
  <si>
    <t>vddio_conn</t>
  </si>
  <si>
    <t>wake67</t>
  </si>
  <si>
    <t>rcm_0</t>
  </si>
  <si>
    <t>BDPGLP_JFCR90M14L_VDVXP1P1P1</t>
  </si>
  <si>
    <t>Y4</t>
  </si>
  <si>
    <t>soc_gpio01_pg1</t>
  </si>
  <si>
    <t>wake68</t>
  </si>
  <si>
    <t>rcm_1</t>
  </si>
  <si>
    <t>AA5</t>
  </si>
  <si>
    <t>soc_gpio02_pg2</t>
  </si>
  <si>
    <t>wake69</t>
  </si>
  <si>
    <t>GPIO01</t>
  </si>
  <si>
    <t>J4</t>
  </si>
  <si>
    <t>AA6</t>
  </si>
  <si>
    <t>soc_gpio03_pg3</t>
  </si>
  <si>
    <t>wake30</t>
  </si>
  <si>
    <t>rcm_2</t>
  </si>
  <si>
    <t>J5</t>
  </si>
  <si>
    <t>AA7</t>
  </si>
  <si>
    <t>soc_gpio08_pg4</t>
  </si>
  <si>
    <t>wake20</t>
  </si>
  <si>
    <t>Y7</t>
  </si>
  <si>
    <t>soc_gpio09_pg5</t>
  </si>
  <si>
    <t>AA4</t>
  </si>
  <si>
    <t>GPIO3_PG.06</t>
  </si>
  <si>
    <t>soc_gpio10_pg6</t>
  </si>
  <si>
    <t>GPIO02</t>
  </si>
  <si>
    <t>AA3</t>
  </si>
  <si>
    <t>soc_gpio11_pg7</t>
  </si>
  <si>
    <t>wake8</t>
  </si>
  <si>
    <t>L50</t>
  </si>
  <si>
    <t>AA10</t>
  </si>
  <si>
    <t>soc_gpio12_ph0</t>
  </si>
  <si>
    <t>AA9</t>
  </si>
  <si>
    <t>GPIO3_PH.01</t>
  </si>
  <si>
    <t>soc_gpio13_ph1</t>
  </si>
  <si>
    <t>wake9</t>
  </si>
  <si>
    <t>Y6</t>
  </si>
  <si>
    <t>soc_gpio14_ph2</t>
  </si>
  <si>
    <t>W10</t>
  </si>
  <si>
    <t>uart4_tx_ph3</t>
  </si>
  <si>
    <t>boot_sel1</t>
  </si>
  <si>
    <t>L48</t>
  </si>
  <si>
    <t>W11</t>
  </si>
  <si>
    <t>uart4_rx_ph4</t>
  </si>
  <si>
    <t>Y8</t>
  </si>
  <si>
    <t>uart4_rts_ph5</t>
  </si>
  <si>
    <t>boot_sel0</t>
  </si>
  <si>
    <t>L49</t>
  </si>
  <si>
    <t>Y9</t>
  </si>
  <si>
    <t>uart4_cts_ph6</t>
  </si>
  <si>
    <t>wake7</t>
  </si>
  <si>
    <t>G4</t>
  </si>
  <si>
    <t>W4</t>
  </si>
  <si>
    <t>dap2_sclk_ph7</t>
  </si>
  <si>
    <t>F5</t>
  </si>
  <si>
    <t>W7</t>
  </si>
  <si>
    <t>dap2_dout_pi0</t>
  </si>
  <si>
    <t>F6</t>
  </si>
  <si>
    <t>W8</t>
  </si>
  <si>
    <t>dap2_din_pi1</t>
  </si>
  <si>
    <t>E4</t>
  </si>
  <si>
    <t>W5</t>
  </si>
  <si>
    <t>dap2_fs_pi2</t>
  </si>
  <si>
    <t>Y1</t>
  </si>
  <si>
    <t>GPIO3_PI.03</t>
  </si>
  <si>
    <t>gen1_i2c_scl_pi3</t>
  </si>
  <si>
    <t>DD</t>
  </si>
  <si>
    <t>BDPGLPHVIN_EFCR90M14L_VDVXP1P1P1</t>
  </si>
  <si>
    <t>AA1</t>
  </si>
  <si>
    <t>GPIO3_PI.04</t>
  </si>
  <si>
    <t>gen1_i2c_sda_pi4</t>
  </si>
  <si>
    <t>wake31</t>
  </si>
  <si>
    <t>unused_DEBUG</t>
  </si>
  <si>
    <t>vddio_debug</t>
  </si>
  <si>
    <t>V52</t>
  </si>
  <si>
    <t>nvdbg_sel</t>
  </si>
  <si>
    <t>wake14</t>
  </si>
  <si>
    <t>JT_RST</t>
  </si>
  <si>
    <t>BILPRST_DFCR90M14L_VDP1P1P1</t>
  </si>
  <si>
    <t>V49</t>
  </si>
  <si>
    <t>jtag_trst_</t>
  </si>
  <si>
    <t>V45</t>
  </si>
  <si>
    <t>jtag_tdo</t>
  </si>
  <si>
    <t>BDPGLP_JFCR90M14L_VDP1P1P1</t>
  </si>
  <si>
    <t>V44</t>
  </si>
  <si>
    <t>jtag_tms</t>
  </si>
  <si>
    <t>V47</t>
  </si>
  <si>
    <t>jtag_tck</t>
  </si>
  <si>
    <t>V46</t>
  </si>
  <si>
    <t>jtag_tdi</t>
  </si>
  <si>
    <t>U52</t>
  </si>
  <si>
    <t>nvjtag_sel</t>
  </si>
  <si>
    <t>unused_UART</t>
  </si>
  <si>
    <t>M50</t>
  </si>
  <si>
    <t>gpu_pwr_req_px0</t>
  </si>
  <si>
    <t>vddio_uart</t>
  </si>
  <si>
    <t>N49</t>
  </si>
  <si>
    <t>cv_pwr_req_px1</t>
  </si>
  <si>
    <t>M52</t>
  </si>
  <si>
    <t>GPIO3_PX.02</t>
  </si>
  <si>
    <t>gp_pwm2_px2</t>
  </si>
  <si>
    <t>N48</t>
  </si>
  <si>
    <t>GPIO3_PX.03</t>
  </si>
  <si>
    <t>gp_pwm3_px3</t>
  </si>
  <si>
    <t>P46</t>
  </si>
  <si>
    <t>GPIO3_PX.04</t>
  </si>
  <si>
    <t>uart2_tx_px4</t>
  </si>
  <si>
    <t>ram_code3</t>
  </si>
  <si>
    <t>BDPGLPHVIN_EFCR90M14L_VXVDP1P1P1</t>
  </si>
  <si>
    <t>N46</t>
  </si>
  <si>
    <t>GPIO3_PX.05</t>
  </si>
  <si>
    <t>uart2_rx_px5</t>
  </si>
  <si>
    <t>P48</t>
  </si>
  <si>
    <t>GPIO3_PX.06</t>
  </si>
  <si>
    <t>uart2_rts_px6</t>
  </si>
  <si>
    <t>ram_code2</t>
  </si>
  <si>
    <t>P47</t>
  </si>
  <si>
    <t>GPIO3_PX.07</t>
  </si>
  <si>
    <t>uart2_cts_px7</t>
  </si>
  <si>
    <t>wake52</t>
  </si>
  <si>
    <t>N43</t>
  </si>
  <si>
    <t>spi3_sck_py0</t>
  </si>
  <si>
    <t>wake44</t>
  </si>
  <si>
    <t>N42</t>
  </si>
  <si>
    <t>spi3_miso_py1</t>
  </si>
  <si>
    <t>P44</t>
  </si>
  <si>
    <t>spi3_mosi_py2</t>
  </si>
  <si>
    <t>N45</t>
  </si>
  <si>
    <t>spi3_cs0_py3</t>
  </si>
  <si>
    <t>wake56</t>
  </si>
  <si>
    <t>P43</t>
  </si>
  <si>
    <t>spi3_cs1_py4</t>
  </si>
  <si>
    <t>wake58</t>
  </si>
  <si>
    <t>P52</t>
  </si>
  <si>
    <t>uart5_tx_py5</t>
  </si>
  <si>
    <t>ram_code1</t>
  </si>
  <si>
    <t>R52</t>
  </si>
  <si>
    <t>GPIO3_PY.06</t>
  </si>
  <si>
    <t>uart5_rx_py6</t>
  </si>
  <si>
    <t>P50</t>
  </si>
  <si>
    <t>uart5_rts_py7</t>
  </si>
  <si>
    <t>ram_code0</t>
  </si>
  <si>
    <t>P49</t>
  </si>
  <si>
    <t>GPIO3_PZ.00</t>
  </si>
  <si>
    <t>uart5_cts_pz0</t>
  </si>
  <si>
    <t>wake53</t>
  </si>
  <si>
    <t>L43</t>
  </si>
  <si>
    <t>usb_vbus_en0_pz1</t>
  </si>
  <si>
    <t>wake61</t>
  </si>
  <si>
    <t>L44</t>
  </si>
  <si>
    <t>usb_vbus_en1_pz2</t>
  </si>
  <si>
    <t>wake62</t>
  </si>
  <si>
    <t>M49</t>
  </si>
  <si>
    <t>spi1_sck_pz3</t>
  </si>
  <si>
    <t>M46</t>
  </si>
  <si>
    <t>spi1_miso_pz4</t>
  </si>
  <si>
    <t>M44</t>
  </si>
  <si>
    <t>spi1_mosi_pz5</t>
  </si>
  <si>
    <t>M45</t>
  </si>
  <si>
    <t>spi1_cs0_pz6</t>
  </si>
  <si>
    <t>wake45</t>
  </si>
  <si>
    <t>M47</t>
  </si>
  <si>
    <t>spi1_cs1_pz7</t>
  </si>
  <si>
    <t>wake50</t>
  </si>
  <si>
    <t>Y52</t>
  </si>
  <si>
    <t>sys_reset_n</t>
  </si>
  <si>
    <t>vddio_sys</t>
  </si>
  <si>
    <t>AA52</t>
  </si>
  <si>
    <t>shutdown_n</t>
  </si>
  <si>
    <t>BDPGLPHVIN_EFCR90M14L_VDP1P1P1</t>
  </si>
  <si>
    <t>V50</t>
  </si>
  <si>
    <t>safe_state_pee0</t>
  </si>
  <si>
    <t>wake25</t>
  </si>
  <si>
    <t>Y49</t>
  </si>
  <si>
    <t>SOC_THERM_OC1</t>
  </si>
  <si>
    <t>vcomp_alert_pee1</t>
  </si>
  <si>
    <t>wake26</t>
  </si>
  <si>
    <t>W46</t>
  </si>
  <si>
    <t>GPIO3_PEE.05</t>
  </si>
  <si>
    <t>pwr_i2c_scl_pee5</t>
  </si>
  <si>
    <t>W45</t>
  </si>
  <si>
    <t>GPIO3_PEE.06</t>
  </si>
  <si>
    <t>pwr_i2c_sda_pee6</t>
  </si>
  <si>
    <t>wake27</t>
  </si>
  <si>
    <t>W49</t>
  </si>
  <si>
    <t>pmu_int_n</t>
  </si>
  <si>
    <t>wake24</t>
  </si>
  <si>
    <t>Y50</t>
  </si>
  <si>
    <t>soc_pwr_req</t>
  </si>
  <si>
    <t>Y48</t>
  </si>
  <si>
    <t>GPIO_AO_RET</t>
  </si>
  <si>
    <t>ao_retention_n_pee2</t>
  </si>
  <si>
    <t>wake2</t>
  </si>
  <si>
    <t>Y46</t>
  </si>
  <si>
    <t>batt_oc_pee3</t>
  </si>
  <si>
    <t>wake10</t>
  </si>
  <si>
    <t>Y47</t>
  </si>
  <si>
    <t>clk_32k_in</t>
  </si>
  <si>
    <t>W48</t>
  </si>
  <si>
    <t>power_on_pee4</t>
  </si>
  <si>
    <t>wake29</t>
  </si>
  <si>
    <t>Y44</t>
  </si>
  <si>
    <t>P</t>
  </si>
  <si>
    <t>therm_dp</t>
  </si>
  <si>
    <t>TDIODE_FFCR90M14L</t>
  </si>
  <si>
    <t>Y43</t>
  </si>
  <si>
    <t>N</t>
  </si>
  <si>
    <t>therm_dn</t>
  </si>
  <si>
    <t>AA49</t>
  </si>
  <si>
    <t>can1_dout_paa0</t>
  </si>
  <si>
    <t>vddio_ao_hv</t>
  </si>
  <si>
    <t>BDSDMEM_DFCR90M14L_VDP1P1P1VC</t>
  </si>
  <si>
    <t>AA47</t>
  </si>
  <si>
    <t>can1_din_paa1</t>
  </si>
  <si>
    <t>wake42</t>
  </si>
  <si>
    <t>AB42</t>
  </si>
  <si>
    <t>can0_dout_paa2</t>
  </si>
  <si>
    <t>AB43</t>
  </si>
  <si>
    <t>can0_din_paa3</t>
  </si>
  <si>
    <t>wake43</t>
  </si>
  <si>
    <t>AB46</t>
  </si>
  <si>
    <t>WDT_RESET_OUTB</t>
  </si>
  <si>
    <t>can0_stb_paa4</t>
  </si>
  <si>
    <t>GPIO06</t>
  </si>
  <si>
    <t>AB45</t>
  </si>
  <si>
    <t>can0_en_paa5</t>
  </si>
  <si>
    <t>GPIO07</t>
  </si>
  <si>
    <t>AC44</t>
  </si>
  <si>
    <t>can0_wake_paa6</t>
  </si>
  <si>
    <t>wake46</t>
  </si>
  <si>
    <t>AC43</t>
  </si>
  <si>
    <t>can0_err_paa7</t>
  </si>
  <si>
    <t>wake49</t>
  </si>
  <si>
    <t>GPIO08</t>
  </si>
  <si>
    <t>AB49</t>
  </si>
  <si>
    <t>can1_stb_pbb0</t>
  </si>
  <si>
    <t>GPIO09</t>
  </si>
  <si>
    <t>AB48</t>
  </si>
  <si>
    <t>can1_en_pbb1</t>
  </si>
  <si>
    <t>GPIO10</t>
  </si>
  <si>
    <t>AA46</t>
  </si>
  <si>
    <t>can1_wake_pbb2</t>
  </si>
  <si>
    <t>wake48</t>
  </si>
  <si>
    <t>AA50</t>
  </si>
  <si>
    <t>can1_err_pbb3</t>
  </si>
  <si>
    <t>wake47</t>
  </si>
  <si>
    <t>AD46</t>
  </si>
  <si>
    <t>spi2_sck_pcc0</t>
  </si>
  <si>
    <t>vddio_ao</t>
  </si>
  <si>
    <t>AD47</t>
  </si>
  <si>
    <t>spi2_miso_pcc1</t>
  </si>
  <si>
    <t>AD45</t>
  </si>
  <si>
    <t>spi2_mosi_pcc2</t>
  </si>
  <si>
    <t>AD44</t>
  </si>
  <si>
    <t>spi2_cs0_pcc3</t>
  </si>
  <si>
    <t>wake39</t>
  </si>
  <si>
    <t>AD52</t>
  </si>
  <si>
    <t>GPIO3_PCC.04</t>
  </si>
  <si>
    <t>touch_clk_pcc4</t>
  </si>
  <si>
    <t>AC52</t>
  </si>
  <si>
    <t>GPIO3_PCC.05</t>
  </si>
  <si>
    <t>uart3_tx_pcc5</t>
  </si>
  <si>
    <t>AC50</t>
  </si>
  <si>
    <t>GPIO3_PCC.06</t>
  </si>
  <si>
    <t>uart3_rx_pcc6</t>
  </si>
  <si>
    <t>AC49</t>
  </si>
  <si>
    <t>GPIO3_PCC.07</t>
  </si>
  <si>
    <t>gen2_i2c_scl_pcc7</t>
  </si>
  <si>
    <t>AC48</t>
  </si>
  <si>
    <t>GPIO3_PDD.00</t>
  </si>
  <si>
    <t>gen2_i2c_sda_pdd0</t>
  </si>
  <si>
    <t>wake41</t>
  </si>
  <si>
    <t>AC46</t>
  </si>
  <si>
    <t>GPIO3_PDD.01</t>
  </si>
  <si>
    <t>gen8_i2c_scl_pdd1</t>
  </si>
  <si>
    <t>AC47</t>
  </si>
  <si>
    <t>GPIO3_PDD.02</t>
  </si>
  <si>
    <t>gen8_i2c_sda_pdd2</t>
  </si>
  <si>
    <t>wake21</t>
  </si>
  <si>
    <t>H48</t>
  </si>
  <si>
    <t>GPIO3_PP.00</t>
  </si>
  <si>
    <t>extperiph1_clk_pp0</t>
  </si>
  <si>
    <t>vddio_cam</t>
  </si>
  <si>
    <t>H49</t>
  </si>
  <si>
    <t>extperiph2_clk_pp1</t>
  </si>
  <si>
    <t>K44</t>
  </si>
  <si>
    <t>GPIO3_PP.02</t>
  </si>
  <si>
    <t>cam_i2c_scl_pp2</t>
  </si>
  <si>
    <t>J44</t>
  </si>
  <si>
    <t>GPIO3_PP.03</t>
  </si>
  <si>
    <t>cam_i2c_sda_pp3</t>
  </si>
  <si>
    <t>wake22</t>
  </si>
  <si>
    <t>J49</t>
  </si>
  <si>
    <t>soc_gpio04_pp4</t>
  </si>
  <si>
    <t>wake34</t>
  </si>
  <si>
    <t>J47</t>
  </si>
  <si>
    <t>soc_gpio05_pp5</t>
  </si>
  <si>
    <t>wake36</t>
  </si>
  <si>
    <t>L47</t>
  </si>
  <si>
    <t>soc_gpio06_pp6</t>
  </si>
  <si>
    <t>wake37</t>
  </si>
  <si>
    <t>K48</t>
  </si>
  <si>
    <t>soc_gpio07_pp7</t>
  </si>
  <si>
    <t>K45</t>
  </si>
  <si>
    <t>soc_gpio20_pq0</t>
  </si>
  <si>
    <t>wake35</t>
  </si>
  <si>
    <t>J46</t>
  </si>
  <si>
    <t>soc_gpio21_pq1</t>
  </si>
  <si>
    <t>wake40</t>
  </si>
  <si>
    <t>J45</t>
  </si>
  <si>
    <t>soc_gpio22_pq2</t>
  </si>
  <si>
    <t>wake51</t>
  </si>
  <si>
    <t>K46</t>
  </si>
  <si>
    <t>soc_gpio23_pq3</t>
  </si>
  <si>
    <t>wake38</t>
  </si>
  <si>
    <t>L46</t>
  </si>
  <si>
    <t>soc_gpio40_pq4</t>
  </si>
  <si>
    <t>soc_gpio41_pq5</t>
  </si>
  <si>
    <t>L52</t>
  </si>
  <si>
    <t>soc_gpio42_pq6</t>
  </si>
  <si>
    <t>soc_gpio43_pq7</t>
  </si>
  <si>
    <t>soc_gpio44_pr0</t>
  </si>
  <si>
    <t>K49</t>
  </si>
  <si>
    <t>soc_gpio45_pr1</t>
  </si>
  <si>
    <t>H50</t>
  </si>
  <si>
    <t>uart1_tx_pr2</t>
  </si>
  <si>
    <t>boot_sel2</t>
  </si>
  <si>
    <t>J50</t>
  </si>
  <si>
    <t>GPIO3_PR.03</t>
  </si>
  <si>
    <t>uart1_rx_pr3</t>
  </si>
  <si>
    <t>H52</t>
  </si>
  <si>
    <t>uart1_rts_pr4</t>
  </si>
  <si>
    <t>ufs_sel</t>
  </si>
  <si>
    <t>J52</t>
  </si>
  <si>
    <t>uart1_cts_pr5</t>
  </si>
  <si>
    <t>wake33</t>
  </si>
  <si>
    <t>R45</t>
  </si>
  <si>
    <t>dap6_sclk_pa0</t>
  </si>
  <si>
    <t>vddio_audio_hv</t>
  </si>
  <si>
    <t>GPIO05</t>
  </si>
  <si>
    <t>T43</t>
  </si>
  <si>
    <t>dap6_dout_pa1</t>
  </si>
  <si>
    <t>GPIO04</t>
  </si>
  <si>
    <t>T42</t>
  </si>
  <si>
    <t>dap6_din_pa2</t>
  </si>
  <si>
    <t>R44</t>
  </si>
  <si>
    <t>dap6_fs_pa3</t>
  </si>
  <si>
    <t>R47</t>
  </si>
  <si>
    <t>GPIO3_PA.04</t>
  </si>
  <si>
    <t>dap4_sclk_pa4</t>
  </si>
  <si>
    <t>R50</t>
  </si>
  <si>
    <t>dap4_dout_pa5</t>
  </si>
  <si>
    <t>R49</t>
  </si>
  <si>
    <t>dap4_din_pa6</t>
  </si>
  <si>
    <t>R46</t>
  </si>
  <si>
    <t>dap4_fs_pa7</t>
  </si>
  <si>
    <t>AD7</t>
  </si>
  <si>
    <t>cpu_pwr_req_0_pb0</t>
  </si>
  <si>
    <t>AC7</t>
  </si>
  <si>
    <t>cpu_pwr_req_1_pb1</t>
  </si>
  <si>
    <t>A6</t>
  </si>
  <si>
    <t>M7</t>
  </si>
  <si>
    <t>GPIO3_PFF.00</t>
  </si>
  <si>
    <t>ufs0_ref_clk_pff0</t>
  </si>
  <si>
    <t>vddio_ufs</t>
  </si>
  <si>
    <t>M6</t>
  </si>
  <si>
    <t>GPIO3_PFF.01</t>
  </si>
  <si>
    <t>ufs0_rst_pff1</t>
  </si>
  <si>
    <t>E11</t>
  </si>
  <si>
    <t>GPIO3_PK.00</t>
  </si>
  <si>
    <t>pex_l0_clkreq_n_pk0</t>
  </si>
  <si>
    <t>vddio_pex_ctl</t>
  </si>
  <si>
    <t>BDPGLPHVIN_EFCM14L_VDVXP1P1P1</t>
  </si>
  <si>
    <t>GPIO3_PK.01</t>
  </si>
  <si>
    <t>pex_l0_rst_n_pk1</t>
  </si>
  <si>
    <t>GPIO3_PK.02</t>
  </si>
  <si>
    <t>pex_l1_clkreq_n_pk2</t>
  </si>
  <si>
    <t>wake54</t>
  </si>
  <si>
    <t>H7</t>
  </si>
  <si>
    <t>GPIO3_PK.03</t>
  </si>
  <si>
    <t>pex_l1_rst_n_pk3</t>
  </si>
  <si>
    <t>H4</t>
  </si>
  <si>
    <t>GPIO3_PK.04</t>
  </si>
  <si>
    <t>pex_l2_clkreq_n_pk4</t>
  </si>
  <si>
    <t>wake0</t>
  </si>
  <si>
    <t>H3</t>
  </si>
  <si>
    <t>GPIO3_PK.05</t>
  </si>
  <si>
    <t>pex_l2_rst_n_pk5</t>
  </si>
  <si>
    <t>J10</t>
  </si>
  <si>
    <t>H1</t>
  </si>
  <si>
    <t>GPIO3_PK.06</t>
  </si>
  <si>
    <t>pex_l3_clkreq_n_pk6</t>
  </si>
  <si>
    <t>wake65</t>
  </si>
  <si>
    <t>J1</t>
  </si>
  <si>
    <t>pex_l3_rst_n_pk7</t>
  </si>
  <si>
    <t>G8</t>
  </si>
  <si>
    <t>GPIO3_PL.00</t>
  </si>
  <si>
    <t>pex_l4_clkreq_n_pl0</t>
  </si>
  <si>
    <t>wake55</t>
  </si>
  <si>
    <t>J9</t>
  </si>
  <si>
    <t>J3</t>
  </si>
  <si>
    <t>GPIO3_PL.01</t>
  </si>
  <si>
    <t>pex_l4_rst_n_pl1</t>
  </si>
  <si>
    <t>A8</t>
  </si>
  <si>
    <t>pex_wake_n_pl2</t>
  </si>
  <si>
    <t>wake1</t>
  </si>
  <si>
    <t>sata_dev_slp_pl3</t>
  </si>
  <si>
    <t>wake57</t>
  </si>
  <si>
    <t>pex_l5_clkreq_n</t>
  </si>
  <si>
    <t>vddio_pex_ctl_2</t>
  </si>
  <si>
    <t>wake32</t>
  </si>
  <si>
    <t>H10</t>
  </si>
  <si>
    <t>pex_l5_rst_n</t>
  </si>
  <si>
    <t>E15</t>
  </si>
  <si>
    <t>pex_clk0p</t>
  </si>
  <si>
    <t>vddio_pex_clk</t>
  </si>
  <si>
    <t>BOPEXCLKX3_JFCM14L_VXVDP1P1NCP1</t>
  </si>
  <si>
    <t>pex_clk0n</t>
  </si>
  <si>
    <t>F16</t>
  </si>
  <si>
    <t>pex_clk1p</t>
  </si>
  <si>
    <t>F17</t>
  </si>
  <si>
    <t>pex_clk1n</t>
  </si>
  <si>
    <t>E19</t>
  </si>
  <si>
    <t>H12</t>
  </si>
  <si>
    <t>pex_clk2p</t>
  </si>
  <si>
    <t>J12</t>
  </si>
  <si>
    <t>pex_clk2n</t>
  </si>
  <si>
    <t>H13</t>
  </si>
  <si>
    <t>pex_clk3p</t>
  </si>
  <si>
    <t>F21</t>
  </si>
  <si>
    <t>J13</t>
  </si>
  <si>
    <t>pex_clk3n</t>
  </si>
  <si>
    <t>H15</t>
  </si>
  <si>
    <t>pex_clk4p</t>
  </si>
  <si>
    <t>E22</t>
  </si>
  <si>
    <t>J15</t>
  </si>
  <si>
    <t>pex_clk4n</t>
  </si>
  <si>
    <t>F24</t>
  </si>
  <si>
    <t>H16</t>
  </si>
  <si>
    <t>pex_clk5p</t>
  </si>
  <si>
    <t>vddio_pex_clk_2</t>
  </si>
  <si>
    <t>BOPEXCLKX1_JFCM14L_VXVDP1P1NCP1</t>
  </si>
  <si>
    <t>F25</t>
  </si>
  <si>
    <t>J16</t>
  </si>
  <si>
    <t>pex_clk5n</t>
  </si>
  <si>
    <t>F52</t>
  </si>
  <si>
    <t>E50</t>
  </si>
  <si>
    <t>dp_aux_ch0_p</t>
  </si>
  <si>
    <t>vddio_edp</t>
  </si>
  <si>
    <t>DP_AUX</t>
  </si>
  <si>
    <t>BDDPAUX_F4FCM14L_VD181818NC</t>
  </si>
  <si>
    <t>E49</t>
  </si>
  <si>
    <t>dp_aux_ch0_n</t>
  </si>
  <si>
    <t>F48</t>
  </si>
  <si>
    <t>dp_aux_ch0_hpd_pm0</t>
  </si>
  <si>
    <t>wake60</t>
  </si>
  <si>
    <t>E52</t>
  </si>
  <si>
    <t>dp_aux_ch1_p</t>
  </si>
  <si>
    <t>dp_aux_ch1_n</t>
  </si>
  <si>
    <t>C48</t>
  </si>
  <si>
    <t>dp_aux_ch1_hpd_pm1</t>
  </si>
  <si>
    <t>wake63</t>
  </si>
  <si>
    <t>F50</t>
  </si>
  <si>
    <t>dp_aux_ch2_p</t>
  </si>
  <si>
    <t>F49</t>
  </si>
  <si>
    <t>dp_aux_ch2_n</t>
  </si>
  <si>
    <t>E47</t>
  </si>
  <si>
    <t>dp_aux_ch2_hpd_pm2</t>
  </si>
  <si>
    <t>wake71</t>
  </si>
  <si>
    <t>G49</t>
  </si>
  <si>
    <t>dp_aux_ch3_p</t>
  </si>
  <si>
    <t>G48</t>
  </si>
  <si>
    <t>dp_aux_ch3_n</t>
  </si>
  <si>
    <t>D48</t>
  </si>
  <si>
    <t>dp_aux_ch3_hpd_pm3</t>
  </si>
  <si>
    <t>wake66</t>
  </si>
  <si>
    <t>A48</t>
  </si>
  <si>
    <t>GPIO3_PM.04</t>
  </si>
  <si>
    <t>hdmi_cec_pm4</t>
  </si>
  <si>
    <t>wake70</t>
  </si>
  <si>
    <t>A47</t>
  </si>
  <si>
    <t>DCA_VSYNC</t>
  </si>
  <si>
    <t>soc_gpio50_pm5</t>
  </si>
  <si>
    <t>C49</t>
  </si>
  <si>
    <t>DCA_HSYNC</t>
  </si>
  <si>
    <t>soc_gpio51_pm6</t>
  </si>
  <si>
    <t>GPIO03</t>
  </si>
  <si>
    <t>H46</t>
  </si>
  <si>
    <t>DCB_VSYNC</t>
  </si>
  <si>
    <t>soc_gpio52_pm7</t>
  </si>
  <si>
    <t>wake59</t>
  </si>
  <si>
    <t>H47</t>
  </si>
  <si>
    <t>DCB_HSYNC</t>
  </si>
  <si>
    <t>soc_gpio53_pn0</t>
  </si>
  <si>
    <t>D50</t>
  </si>
  <si>
    <t>SDMMC3_WP</t>
  </si>
  <si>
    <t>soc_gpio54_pn1</t>
  </si>
  <si>
    <t>wake4</t>
  </si>
  <si>
    <t>G47</t>
  </si>
  <si>
    <t>SDMMC3_CD</t>
  </si>
  <si>
    <t>soc_gpio55_pn2</t>
  </si>
  <si>
    <t>wake64</t>
  </si>
  <si>
    <t>CSI0_CLK_N</t>
  </si>
  <si>
    <t>F42</t>
  </si>
  <si>
    <t>H33</t>
  </si>
  <si>
    <t>csi_a_clk_n</t>
  </si>
  <si>
    <t>avdd_csi</t>
  </si>
  <si>
    <t>BDMIPI4X_FFCM14L160P79B</t>
  </si>
  <si>
    <t>CSI0_CLK_P</t>
  </si>
  <si>
    <t>J33</t>
  </si>
  <si>
    <t>csi_a_clk_p</t>
  </si>
  <si>
    <t>CSI0_D0_N</t>
  </si>
  <si>
    <t>K34</t>
  </si>
  <si>
    <t>csi_a_d0_n</t>
  </si>
  <si>
    <t>CSI0_D0_P</t>
  </si>
  <si>
    <t>L34</t>
  </si>
  <si>
    <t>csi_a_d0_p</t>
  </si>
  <si>
    <t>CSI0_D1_N</t>
  </si>
  <si>
    <t>K32</t>
  </si>
  <si>
    <t>csi_a_d1_n</t>
  </si>
  <si>
    <t>CSI0_D1_P</t>
  </si>
  <si>
    <t>J32</t>
  </si>
  <si>
    <t>csi_a_d1_p</t>
  </si>
  <si>
    <t>CSI1_CLK_N</t>
  </si>
  <si>
    <t>H42</t>
  </si>
  <si>
    <t>A35</t>
  </si>
  <si>
    <t>csi_b_clk_n</t>
  </si>
  <si>
    <t>CSI1_CLK_P</t>
  </si>
  <si>
    <t>H43</t>
  </si>
  <si>
    <t>A36</t>
  </si>
  <si>
    <t>csi_b_clk_p</t>
  </si>
  <si>
    <t>CSI1_D0_N</t>
  </si>
  <si>
    <t>G42</t>
  </si>
  <si>
    <t>D36</t>
  </si>
  <si>
    <t>csi_b_d0_n</t>
  </si>
  <si>
    <t>CSI1_D0_P</t>
  </si>
  <si>
    <t>G41</t>
  </si>
  <si>
    <t>C36</t>
  </si>
  <si>
    <t>csi_b_d0_p</t>
  </si>
  <si>
    <t>CSI1_D1_N</t>
  </si>
  <si>
    <t>J42</t>
  </si>
  <si>
    <t>C35</t>
  </si>
  <si>
    <t>csi_b_d1_n</t>
  </si>
  <si>
    <t>CSI1_D1_P</t>
  </si>
  <si>
    <t>J41</t>
  </si>
  <si>
    <t>D35</t>
  </si>
  <si>
    <t>csi_b_d1_p</t>
  </si>
  <si>
    <t>CSI2_CLK_N</t>
  </si>
  <si>
    <t>F32</t>
  </si>
  <si>
    <t>csi_c_clk_n</t>
  </si>
  <si>
    <t>CSI2_CLK_P</t>
  </si>
  <si>
    <t>G32</t>
  </si>
  <si>
    <t>csi_c_clk_p</t>
  </si>
  <si>
    <t>CSI2_D0_N</t>
  </si>
  <si>
    <t>A42</t>
  </si>
  <si>
    <t>G33</t>
  </si>
  <si>
    <t>csi_c_d0_n</t>
  </si>
  <si>
    <t>CSI2_D0_P</t>
  </si>
  <si>
    <t>A41</t>
  </si>
  <si>
    <t>F33</t>
  </si>
  <si>
    <t>csi_c_d0_p</t>
  </si>
  <si>
    <t>CSI2_D1_N</t>
  </si>
  <si>
    <t>G31</t>
  </si>
  <si>
    <t>csi_c_d1_n</t>
  </si>
  <si>
    <t>CSI2_D1_P</t>
  </si>
  <si>
    <t>C42</t>
  </si>
  <si>
    <t>H31</t>
  </si>
  <si>
    <t>csi_c_d1_p</t>
  </si>
  <si>
    <t>CSI3_CLK_N</t>
  </si>
  <si>
    <t>F45</t>
  </si>
  <si>
    <t>H36</t>
  </si>
  <si>
    <t>csi_d_clk_n</t>
  </si>
  <si>
    <t>CSI3_CLK_P</t>
  </si>
  <si>
    <t>J36</t>
  </si>
  <si>
    <t>csi_d_clk_p</t>
  </si>
  <si>
    <t>CSI3_D0_N</t>
  </si>
  <si>
    <t>K37</t>
  </si>
  <si>
    <t>csi_d_d0_n</t>
  </si>
  <si>
    <t>CSI3_D0_P</t>
  </si>
  <si>
    <t>L37</t>
  </si>
  <si>
    <t>csi_d_d0_p</t>
  </si>
  <si>
    <t>CSI3_D1_N</t>
  </si>
  <si>
    <t>G45</t>
  </si>
  <si>
    <t>J35</t>
  </si>
  <si>
    <t>csi_d_d1_n</t>
  </si>
  <si>
    <t>CSI3_D1_P</t>
  </si>
  <si>
    <t>G44</t>
  </si>
  <si>
    <t>K35</t>
  </si>
  <si>
    <t>csi_d_d1_p</t>
  </si>
  <si>
    <t>CSI4_CLK_N</t>
  </si>
  <si>
    <t>H39</t>
  </si>
  <si>
    <t>csi_e_clk_n</t>
  </si>
  <si>
    <t>CSI4_CLK_P</t>
  </si>
  <si>
    <t>J39</t>
  </si>
  <si>
    <t>csi_e_clk_p</t>
  </si>
  <si>
    <t>CSI4_D0_N</t>
  </si>
  <si>
    <t>K38</t>
  </si>
  <si>
    <t>csi_e_d0_n</t>
  </si>
  <si>
    <t>CSI4_D0_P</t>
  </si>
  <si>
    <t>J38</t>
  </si>
  <si>
    <t>csi_e_d0_p</t>
  </si>
  <si>
    <t>CSI4_D1_N</t>
  </si>
  <si>
    <t>L40</t>
  </si>
  <si>
    <t>csi_e_d1_n</t>
  </si>
  <si>
    <t>CSI4_D1_P</t>
  </si>
  <si>
    <t>K40</t>
  </si>
  <si>
    <t>csi_e_d1_p</t>
  </si>
  <si>
    <t>C45</t>
  </si>
  <si>
    <t>F35</t>
  </si>
  <si>
    <t>csi_f_clk_n</t>
  </si>
  <si>
    <t>C44</t>
  </si>
  <si>
    <t>G35</t>
  </si>
  <si>
    <t>csi_f_clk_p</t>
  </si>
  <si>
    <t>D43</t>
  </si>
  <si>
    <t>H34</t>
  </si>
  <si>
    <t>csi_f_d0_n</t>
  </si>
  <si>
    <t>D42</t>
  </si>
  <si>
    <t>G34</t>
  </si>
  <si>
    <t>csi_f_d0_p</t>
  </si>
  <si>
    <t>D45</t>
  </si>
  <si>
    <t>F36</t>
  </si>
  <si>
    <t>csi_f_d1_n</t>
  </si>
  <si>
    <t>D46</t>
  </si>
  <si>
    <t>G36</t>
  </si>
  <si>
    <t>csi_f_d1_p</t>
  </si>
  <si>
    <t>A39</t>
  </si>
  <si>
    <t>csi_g_clk_n</t>
  </si>
  <si>
    <t>A38</t>
  </si>
  <si>
    <t>csi_g_clk_p</t>
  </si>
  <si>
    <t>D38</t>
  </si>
  <si>
    <t>csi_g_d0_n</t>
  </si>
  <si>
    <t>C38</t>
  </si>
  <si>
    <t>csi_g_d0_p</t>
  </si>
  <si>
    <t>C39</t>
  </si>
  <si>
    <t>csi_g_d1_n</t>
  </si>
  <si>
    <t>D39</t>
  </si>
  <si>
    <t>csi_g_d1_p</t>
  </si>
  <si>
    <t>G38</t>
  </si>
  <si>
    <t>csi_h_clk_n</t>
  </si>
  <si>
    <t>F38</t>
  </si>
  <si>
    <t>csi_h_clk_p</t>
  </si>
  <si>
    <t>A45</t>
  </si>
  <si>
    <t>H37</t>
  </si>
  <si>
    <t>csi_h_d0_n</t>
  </si>
  <si>
    <t>A44</t>
  </si>
  <si>
    <t>G37</t>
  </si>
  <si>
    <t>csi_h_d0_p</t>
  </si>
  <si>
    <t>G39</t>
  </si>
  <si>
    <t>csi_h_d1_n</t>
  </si>
  <si>
    <t>C47</t>
  </si>
  <si>
    <t>F39</t>
  </si>
  <si>
    <t>csi_h_d1_p</t>
  </si>
  <si>
    <t>hdmi_dp0_txdp0</t>
  </si>
  <si>
    <t>avddio_hdmi_dp0</t>
  </si>
  <si>
    <t>DP_SINGLE_IFCM14L160P79B</t>
  </si>
  <si>
    <t>D44</t>
  </si>
  <si>
    <t>hdmi_dp0_txdn0</t>
  </si>
  <si>
    <t>hdmi_dp0_txdp1</t>
  </si>
  <si>
    <t>E43</t>
  </si>
  <si>
    <t>hdmi_dp0_txdn1</t>
  </si>
  <si>
    <t>hdmi_dp0_txdp2</t>
  </si>
  <si>
    <t>hdmi_dp0_txdn2</t>
  </si>
  <si>
    <t>hdmi_dp0_txdp3</t>
  </si>
  <si>
    <t>hdmi_dp0_txdn3</t>
  </si>
  <si>
    <t>F41</t>
  </si>
  <si>
    <t>hdmi_dp1_txdp0</t>
  </si>
  <si>
    <t>avddio_hdmi_dp1</t>
  </si>
  <si>
    <t>hdmi_dp1_txdn0</t>
  </si>
  <si>
    <t>H40</t>
  </si>
  <si>
    <t>hdmi_dp1_txdp1</t>
  </si>
  <si>
    <t>G40</t>
  </si>
  <si>
    <t>hdmi_dp1_txdn1</t>
  </si>
  <si>
    <t>hdmi_dp1_txdp2</t>
  </si>
  <si>
    <t>K41</t>
  </si>
  <si>
    <t>hdmi_dp1_txdn2</t>
  </si>
  <si>
    <t>hdmi_dp1_txdp3</t>
  </si>
  <si>
    <t>hdmi_dp1_txdn3</t>
  </si>
  <si>
    <t>hdmi_dp2_txdp0</t>
  </si>
  <si>
    <t>avddio_hdmi_dp2</t>
  </si>
  <si>
    <t>hdmi_dp2_txdn0</t>
  </si>
  <si>
    <t>F44</t>
  </si>
  <si>
    <t>hdmi_dp2_txdp1</t>
  </si>
  <si>
    <t>hdmi_dp2_txdn1</t>
  </si>
  <si>
    <t>hdmi_dp2_txdp2</t>
  </si>
  <si>
    <t>G43</t>
  </si>
  <si>
    <t>hdmi_dp2_txdn2</t>
  </si>
  <si>
    <t>hdmi_dp2_txdp3</t>
  </si>
  <si>
    <t>hdmi_dp2_txdn3</t>
  </si>
  <si>
    <t>hdmi_dp3_txdp0</t>
  </si>
  <si>
    <t>avddio_hdmi_dp3</t>
  </si>
  <si>
    <t>hdmi_dp3_txdn0</t>
  </si>
  <si>
    <t>hdmi_dp3_txdp1</t>
  </si>
  <si>
    <t>hdmi_dp3_txdn1</t>
  </si>
  <si>
    <t>hdmi_dp3_txdp2</t>
  </si>
  <si>
    <t>E46</t>
  </si>
  <si>
    <t>hdmi_dp3_txdn2</t>
  </si>
  <si>
    <t>hdmi_dp3_txdp3</t>
  </si>
  <si>
    <t>D47</t>
  </si>
  <si>
    <t>hdmi_dp3_txdn3</t>
  </si>
  <si>
    <t>F13</t>
  </si>
  <si>
    <t>usb0_dn</t>
  </si>
  <si>
    <t>avdd_usb</t>
  </si>
  <si>
    <t>BDUSB2_LFCM14L_VXVDP1VC</t>
  </si>
  <si>
    <t>F12</t>
  </si>
  <si>
    <t>E3</t>
  </si>
  <si>
    <t>usb0_dp</t>
  </si>
  <si>
    <t>C10</t>
  </si>
  <si>
    <t>F4</t>
  </si>
  <si>
    <t>usb1_dn</t>
  </si>
  <si>
    <t>usb1_dp</t>
  </si>
  <si>
    <t>A11</t>
  </si>
  <si>
    <t>usb2_dn</t>
  </si>
  <si>
    <t>usb2_dp</t>
  </si>
  <si>
    <t>G10</t>
  </si>
  <si>
    <t>usb3_dn</t>
  </si>
  <si>
    <t>E1</t>
  </si>
  <si>
    <t>usb3_dp</t>
  </si>
  <si>
    <t>E27</t>
  </si>
  <si>
    <t>H18</t>
  </si>
  <si>
    <t>pex_refclk1p</t>
  </si>
  <si>
    <t>vddio_uphy</t>
  </si>
  <si>
    <t>UPHYDS_PLL4DS12_E2FCM14L180P79B</t>
  </si>
  <si>
    <t>E26</t>
  </si>
  <si>
    <t>J18</t>
  </si>
  <si>
    <t>pex_refclk1n</t>
  </si>
  <si>
    <t>F28</t>
  </si>
  <si>
    <t>H19</t>
  </si>
  <si>
    <t>pex_refclk2p</t>
  </si>
  <si>
    <t>F29</t>
  </si>
  <si>
    <t>J19</t>
  </si>
  <si>
    <t>pex_refclk2n</t>
  </si>
  <si>
    <t>pex_rx0p</t>
  </si>
  <si>
    <t>A23</t>
  </si>
  <si>
    <t>F19</t>
  </si>
  <si>
    <t>pex_rx0n</t>
  </si>
  <si>
    <t>A20</t>
  </si>
  <si>
    <t>pex_tx0p</t>
  </si>
  <si>
    <t>A21</t>
  </si>
  <si>
    <t>pex_tx0n</t>
  </si>
  <si>
    <t>G18</t>
  </si>
  <si>
    <t>pex_rx1p</t>
  </si>
  <si>
    <t>C22</t>
  </si>
  <si>
    <t>F18</t>
  </si>
  <si>
    <t>pex_rx1n</t>
  </si>
  <si>
    <t>G23</t>
  </si>
  <si>
    <t>C19</t>
  </si>
  <si>
    <t>pex_tx1p</t>
  </si>
  <si>
    <t>C18</t>
  </si>
  <si>
    <t>pex_tx1n</t>
  </si>
  <si>
    <t>pex_rx2p</t>
  </si>
  <si>
    <t>E17</t>
  </si>
  <si>
    <t>pex_rx2n</t>
  </si>
  <si>
    <t>A18</t>
  </si>
  <si>
    <t>pex_tx2p</t>
  </si>
  <si>
    <t>A17</t>
  </si>
  <si>
    <t>pex_tx2n</t>
  </si>
  <si>
    <t>pex_rx3p</t>
  </si>
  <si>
    <t>G16</t>
  </si>
  <si>
    <t>pex_rx3n</t>
  </si>
  <si>
    <t>C15</t>
  </si>
  <si>
    <t>pex_tx3p</t>
  </si>
  <si>
    <t>C16</t>
  </si>
  <si>
    <t>pex_tx3n</t>
  </si>
  <si>
    <t>USB3_RX1P</t>
  </si>
  <si>
    <t>pex_rx4p</t>
  </si>
  <si>
    <t>F15</t>
  </si>
  <si>
    <t>USB3_RX1N</t>
  </si>
  <si>
    <t>pex_rx4n</t>
  </si>
  <si>
    <t>A14</t>
  </si>
  <si>
    <t>USB3_TX1P</t>
  </si>
  <si>
    <t>pex_tx4p</t>
  </si>
  <si>
    <t>A15</t>
  </si>
  <si>
    <t>USB3_TX1N</t>
  </si>
  <si>
    <t>pex_tx4n</t>
  </si>
  <si>
    <t>G14</t>
  </si>
  <si>
    <t>PEX2_RX0P</t>
  </si>
  <si>
    <t>pex_rx5p</t>
  </si>
  <si>
    <t>F14</t>
  </si>
  <si>
    <t>PEX2_RX0N</t>
  </si>
  <si>
    <t>pex_rx5n</t>
  </si>
  <si>
    <t>C13</t>
  </si>
  <si>
    <t>PEX2_TX0P</t>
  </si>
  <si>
    <t>pex_tx5p</t>
  </si>
  <si>
    <t>C12</t>
  </si>
  <si>
    <t>PEX2_TX0N</t>
  </si>
  <si>
    <t>pex_tx5n</t>
  </si>
  <si>
    <t>E13</t>
  </si>
  <si>
    <t>PEX0_RX4P</t>
  </si>
  <si>
    <t>pex_rx6p</t>
  </si>
  <si>
    <t>PEX0_RX4N</t>
  </si>
  <si>
    <t>pex_rx6n</t>
  </si>
  <si>
    <t>A12</t>
  </si>
  <si>
    <t>PEX0_TX4P</t>
  </si>
  <si>
    <t>pex_tx6p</t>
  </si>
  <si>
    <t>PEX0_TX4N</t>
  </si>
  <si>
    <t>pex_tx6n</t>
  </si>
  <si>
    <t>PEX0_RX5P</t>
  </si>
  <si>
    <t>pex_rx7p</t>
  </si>
  <si>
    <t>G12</t>
  </si>
  <si>
    <t>PEX0_RX5N</t>
  </si>
  <si>
    <t>pex_rx7n</t>
  </si>
  <si>
    <t>C9</t>
  </si>
  <si>
    <t>PEX0_TX5P</t>
  </si>
  <si>
    <t>pex_tx7p</t>
  </si>
  <si>
    <t>PEX0_TX5N</t>
  </si>
  <si>
    <t>pex_tx7n</t>
  </si>
  <si>
    <t>F11</t>
  </si>
  <si>
    <t>PEX0_RX6P</t>
  </si>
  <si>
    <t>pex_rx8p</t>
  </si>
  <si>
    <t>PEX0_RX6N</t>
  </si>
  <si>
    <t>pex_rx8n</t>
  </si>
  <si>
    <t>PEX0_TX6P</t>
  </si>
  <si>
    <t>pex_tx8p</t>
  </si>
  <si>
    <t>A9</t>
  </si>
  <si>
    <t>PEX0_TX6N</t>
  </si>
  <si>
    <t>pex_tx8n</t>
  </si>
  <si>
    <t>PEX0_RX7P</t>
  </si>
  <si>
    <t>pex_rx9p</t>
  </si>
  <si>
    <t>PEX0_RX7N</t>
  </si>
  <si>
    <t>pex_rx9n</t>
  </si>
  <si>
    <t>PEX0_TX7P</t>
  </si>
  <si>
    <t>pex_tx9p</t>
  </si>
  <si>
    <t>D7</t>
  </si>
  <si>
    <t>PEX0_TX7N</t>
  </si>
  <si>
    <t>pex_tx9n</t>
  </si>
  <si>
    <t>E9</t>
  </si>
  <si>
    <t>pex_rx10p</t>
  </si>
  <si>
    <t>pex_rx10n</t>
  </si>
  <si>
    <t>pex_tx10p</t>
  </si>
  <si>
    <t>pex_tx10n</t>
  </si>
  <si>
    <t>pex_rx11p</t>
  </si>
  <si>
    <t>pex_rx11n</t>
  </si>
  <si>
    <t>pex_tx11p</t>
  </si>
  <si>
    <t>pex_tx11n</t>
  </si>
  <si>
    <t>NVHS0_SLVS_REFCLK0_P</t>
  </si>
  <si>
    <t>E30</t>
  </si>
  <si>
    <t>nvhs0_refclk_p</t>
  </si>
  <si>
    <t>dvddio_nvhs0</t>
  </si>
  <si>
    <t>UPHYDS_PLL1DS8_E2FCM14L180P79B</t>
  </si>
  <si>
    <t>NVHS0_SLVS_REFCLK0_N</t>
  </si>
  <si>
    <t>E31</t>
  </si>
  <si>
    <t>G25</t>
  </si>
  <si>
    <t>nvhs0_refclk_n</t>
  </si>
  <si>
    <t>nvhs0_rx0_p</t>
  </si>
  <si>
    <t>G21</t>
  </si>
  <si>
    <t>nvhs0_rx0_n</t>
  </si>
  <si>
    <t>C21</t>
  </si>
  <si>
    <t>nvhs0_tx0_p</t>
  </si>
  <si>
    <t>nvhs0_tx0_n</t>
  </si>
  <si>
    <t>F22</t>
  </si>
  <si>
    <t>nvhs0_rx1_p</t>
  </si>
  <si>
    <t>nvhs0_rx1_n</t>
  </si>
  <si>
    <t>A24</t>
  </si>
  <si>
    <t>nvhs0_tx1_p</t>
  </si>
  <si>
    <t>nvhs0_tx1_n</t>
  </si>
  <si>
    <t>C27</t>
  </si>
  <si>
    <t>nvhs0_rx2_p</t>
  </si>
  <si>
    <t>F23</t>
  </si>
  <si>
    <t>nvhs0_rx2_n</t>
  </si>
  <si>
    <t>G27</t>
  </si>
  <si>
    <t>C25</t>
  </si>
  <si>
    <t>nvhs0_tx2_p</t>
  </si>
  <si>
    <t>C24</t>
  </si>
  <si>
    <t>nvhs0_tx2_n</t>
  </si>
  <si>
    <t>A26</t>
  </si>
  <si>
    <t>E24</t>
  </si>
  <si>
    <t>nvhs0_rx3_p</t>
  </si>
  <si>
    <t>A27</t>
  </si>
  <si>
    <t>nvhs0_rx3_n</t>
  </si>
  <si>
    <t>nvhs0_tx3_p</t>
  </si>
  <si>
    <t>nvhs0_tx3_n</t>
  </si>
  <si>
    <t>SLVS_RX4P</t>
  </si>
  <si>
    <t>nvhs0_rx4_p</t>
  </si>
  <si>
    <t>F26</t>
  </si>
  <si>
    <t>SLVS_RX4N</t>
  </si>
  <si>
    <t>nvhs0_rx4_n</t>
  </si>
  <si>
    <t>nvhs0_tx4_p</t>
  </si>
  <si>
    <t>C28</t>
  </si>
  <si>
    <t>nvhs0_tx4_n</t>
  </si>
  <si>
    <t>SLVS_RX5P</t>
  </si>
  <si>
    <t>nvhs0_rx5_p</t>
  </si>
  <si>
    <t>F27</t>
  </si>
  <si>
    <t>SLVS_RX5N</t>
  </si>
  <si>
    <t>nvhs0_rx5_n</t>
  </si>
  <si>
    <t>A30</t>
  </si>
  <si>
    <t>nvhs0_tx5_p</t>
  </si>
  <si>
    <t>A29</t>
  </si>
  <si>
    <t>nvhs0_tx5_n</t>
  </si>
  <si>
    <t>C31</t>
  </si>
  <si>
    <t>SLVS_RX6P</t>
  </si>
  <si>
    <t>nvhs0_rx6_p</t>
  </si>
  <si>
    <t>C30</t>
  </si>
  <si>
    <t>E28</t>
  </si>
  <si>
    <t>SLVS_RX6N</t>
  </si>
  <si>
    <t>nvhs0_rx6_n</t>
  </si>
  <si>
    <t>nvhs0_tx6_p</t>
  </si>
  <si>
    <t>nvhs0_tx6_n</t>
  </si>
  <si>
    <t>SLVS_RX7P</t>
  </si>
  <si>
    <t>nvhs0_rx7_p</t>
  </si>
  <si>
    <t>G29</t>
  </si>
  <si>
    <t>SLVS_RX7N</t>
  </si>
  <si>
    <t>nvhs0_rx7_n</t>
  </si>
  <si>
    <t>A32</t>
  </si>
  <si>
    <t>nvhs0_tx7_p</t>
  </si>
  <si>
    <t>A33</t>
  </si>
  <si>
    <t>nvhs0_tx7_n</t>
  </si>
  <si>
    <t>AF50</t>
  </si>
  <si>
    <t>unused_XM0_B0D0</t>
  </si>
  <si>
    <t>xm0_b0d0</t>
  </si>
  <si>
    <t>vddio_ddr0</t>
  </si>
  <si>
    <t>LP4X_IOBRICK_ESD_CFCR90M14L</t>
  </si>
  <si>
    <t>AF49</t>
  </si>
  <si>
    <t>unused_XM0_B0D1</t>
  </si>
  <si>
    <t>xm0_b0d1</t>
  </si>
  <si>
    <t>AF43</t>
  </si>
  <si>
    <t>unused_XM0_B0D2</t>
  </si>
  <si>
    <t>xm0_b0d2</t>
  </si>
  <si>
    <t>AF47</t>
  </si>
  <si>
    <t>unused_XM0_B0D3</t>
  </si>
  <si>
    <t>xm0_b0d3</t>
  </si>
  <si>
    <t>AE49</t>
  </si>
  <si>
    <t>unused_XM0_B0D4</t>
  </si>
  <si>
    <t>xm0_b0d4</t>
  </si>
  <si>
    <t>AF46</t>
  </si>
  <si>
    <t>unused_XM0_B0D5</t>
  </si>
  <si>
    <t>xm0_b0d5</t>
  </si>
  <si>
    <t>AD50</t>
  </si>
  <si>
    <t>unused_XM0_B0D6</t>
  </si>
  <si>
    <t>xm0_b0d6</t>
  </si>
  <si>
    <t>AF44</t>
  </si>
  <si>
    <t>unused_XM0_B0D7</t>
  </si>
  <si>
    <t>xm0_b0d7</t>
  </si>
  <si>
    <t>AD49</t>
  </si>
  <si>
    <t>unused_XM0_B0D8</t>
  </si>
  <si>
    <t>xm0_b0d8</t>
  </si>
  <si>
    <t>AE46</t>
  </si>
  <si>
    <t>unused_XM0_B0DIFFN</t>
  </si>
  <si>
    <t>xm0_b0diffn</t>
  </si>
  <si>
    <t>AE45</t>
  </si>
  <si>
    <t>unused_XM0_B0DIFFP</t>
  </si>
  <si>
    <t>xm0_b0diffp</t>
  </si>
  <si>
    <t>AE48</t>
  </si>
  <si>
    <t>unused_XM0_B0C</t>
  </si>
  <si>
    <t>xm0_b0c</t>
  </si>
  <si>
    <t>AG49</t>
  </si>
  <si>
    <t>unused_XM0_B1D0</t>
  </si>
  <si>
    <t>xm0_b1d0</t>
  </si>
  <si>
    <t>AG47</t>
  </si>
  <si>
    <t>unused_XM0_B1D1</t>
  </si>
  <si>
    <t>xm0_b1d1</t>
  </si>
  <si>
    <t>AG46</t>
  </si>
  <si>
    <t>unused_XM0_B1D2</t>
  </si>
  <si>
    <t>xm0_b1d2</t>
  </si>
  <si>
    <t>AG45</t>
  </si>
  <si>
    <t>unused_XM0_B1D3</t>
  </si>
  <si>
    <t>xm0_b1d3</t>
  </si>
  <si>
    <t>AF48</t>
  </si>
  <si>
    <t>unused_XM0_B1D4</t>
  </si>
  <si>
    <t>xm0_b1d4</t>
  </si>
  <si>
    <t>AG52</t>
  </si>
  <si>
    <t>unused_XM0_B1D5</t>
  </si>
  <si>
    <t>xm0_b1d5</t>
  </si>
  <si>
    <t>AG50</t>
  </si>
  <si>
    <t>unused_XM0_B1D6</t>
  </si>
  <si>
    <t>xm0_b1d6</t>
  </si>
  <si>
    <t>AF52</t>
  </si>
  <si>
    <t>unused_XM0_B1D7</t>
  </si>
  <si>
    <t>xm0_b1d7</t>
  </si>
  <si>
    <t>AG44</t>
  </si>
  <si>
    <t>unused_XM0_B1D8</t>
  </si>
  <si>
    <t>xm0_b1d8</t>
  </si>
  <si>
    <t>AH48</t>
  </si>
  <si>
    <t>unused_XM0_B1DIFFN</t>
  </si>
  <si>
    <t>xm0_b1diffn</t>
  </si>
  <si>
    <t>AH49</t>
  </si>
  <si>
    <t>unused_XM0_B1DIFFP</t>
  </si>
  <si>
    <t>xm0_b1diffp</t>
  </si>
  <si>
    <t>AH46</t>
  </si>
  <si>
    <t>unused_XM0_B1C</t>
  </si>
  <si>
    <t>xm0_b1c</t>
  </si>
  <si>
    <t>AH43</t>
  </si>
  <si>
    <t>unused_XM0_B2D0</t>
  </si>
  <si>
    <t>xm0_b2d0</t>
  </si>
  <si>
    <t>AK52</t>
  </si>
  <si>
    <t>unused_XM0_B2D1</t>
  </si>
  <si>
    <t>xm0_b2d1</t>
  </si>
  <si>
    <t>AJ48</t>
  </si>
  <si>
    <t>unused_XM0_B2D2</t>
  </si>
  <si>
    <t>xm0_b2d2</t>
  </si>
  <si>
    <t>AJ52</t>
  </si>
  <si>
    <t>unused_XM0_B2D3</t>
  </si>
  <si>
    <t>xm0_b2d3</t>
  </si>
  <si>
    <t>AH45</t>
  </si>
  <si>
    <t>unused_XM0_B2D4</t>
  </si>
  <si>
    <t>xm0_b2d4</t>
  </si>
  <si>
    <t>AK47</t>
  </si>
  <si>
    <t>unused_XM0_B2D5</t>
  </si>
  <si>
    <t>xm0_b2d5</t>
  </si>
  <si>
    <t>AJ46</t>
  </si>
  <si>
    <t>unused_XM0_B2D6</t>
  </si>
  <si>
    <t>xm0_b2d6</t>
  </si>
  <si>
    <t>AJ47</t>
  </si>
  <si>
    <t>unused_XM0_B2D7</t>
  </si>
  <si>
    <t>xm0_b2d7</t>
  </si>
  <si>
    <t>AH42</t>
  </si>
  <si>
    <t>unused_XM0_B2D8</t>
  </si>
  <si>
    <t>xm0_b2d8</t>
  </si>
  <si>
    <t>AJ49</t>
  </si>
  <si>
    <t>unused_XM0_B2DIFFN</t>
  </si>
  <si>
    <t>xm0_b2diffn</t>
  </si>
  <si>
    <t>AJ50</t>
  </si>
  <si>
    <t>unused_XM0_B2DIFFP</t>
  </si>
  <si>
    <t>xm0_b2diffp</t>
  </si>
  <si>
    <t>AK46</t>
  </si>
  <si>
    <t>unused_XM0_B2C</t>
  </si>
  <si>
    <t>xm0_b2c</t>
  </si>
  <si>
    <t>AK44</t>
  </si>
  <si>
    <t>unused_XM0_B3D0</t>
  </si>
  <si>
    <t>xm0_b3d0</t>
  </si>
  <si>
    <t>AK45</t>
  </si>
  <si>
    <t>unused_XM0_B3D1</t>
  </si>
  <si>
    <t>xm0_b3d1</t>
  </si>
  <si>
    <t>AJ43</t>
  </si>
  <si>
    <t>unused_XM0_B3D2</t>
  </si>
  <si>
    <t>xm0_b3d2</t>
  </si>
  <si>
    <t>AJ44</t>
  </si>
  <si>
    <t>unused_XM0_B3D3</t>
  </si>
  <si>
    <t>xm0_b3d3</t>
  </si>
  <si>
    <t>AK49</t>
  </si>
  <si>
    <t>unused_XM0_B3D4</t>
  </si>
  <si>
    <t>xm0_b3d4</t>
  </si>
  <si>
    <t>AM49</t>
  </si>
  <si>
    <t>unused_XM0_B3D5</t>
  </si>
  <si>
    <t>xm0_b3d5</t>
  </si>
  <si>
    <t>AM50</t>
  </si>
  <si>
    <t>unused_XM0_B3D6</t>
  </si>
  <si>
    <t>xm0_b3d6</t>
  </si>
  <si>
    <t>AK50</t>
  </si>
  <si>
    <t>unused_XM0_B3D7</t>
  </si>
  <si>
    <t>xm0_b3d7</t>
  </si>
  <si>
    <t>AL49</t>
  </si>
  <si>
    <t>unused_XM0_B3D8</t>
  </si>
  <si>
    <t>xm0_b3d8</t>
  </si>
  <si>
    <t>AL46</t>
  </si>
  <si>
    <t>unused_XM0_B3DIFFN</t>
  </si>
  <si>
    <t>xm0_b3diffn</t>
  </si>
  <si>
    <t>AL45</t>
  </si>
  <si>
    <t>unused_XM0_B3DIFFP</t>
  </si>
  <si>
    <t>xm0_b3diffp</t>
  </si>
  <si>
    <t>AL48</t>
  </si>
  <si>
    <t>unused_XM0_B3C</t>
  </si>
  <si>
    <t>xm0_b3c</t>
  </si>
  <si>
    <t>AL42</t>
  </si>
  <si>
    <t>unused_XM0_B4D0</t>
  </si>
  <si>
    <t>xm0_b4d0</t>
  </si>
  <si>
    <t>AL43</t>
  </si>
  <si>
    <t>unused_XM0_B4D1</t>
  </si>
  <si>
    <t>xm0_b4d1</t>
  </si>
  <si>
    <t>AN52</t>
  </si>
  <si>
    <t>unused_XM0_B4D2</t>
  </si>
  <si>
    <t>xm0_b4d2</t>
  </si>
  <si>
    <t>AM52</t>
  </si>
  <si>
    <t>unused_XM0_B4D3</t>
  </si>
  <si>
    <t>xm0_b4d3</t>
  </si>
  <si>
    <t>AM47</t>
  </si>
  <si>
    <t>unused_XM0_B4D4</t>
  </si>
  <si>
    <t>xm0_b4d4</t>
  </si>
  <si>
    <t>AN47</t>
  </si>
  <si>
    <t>unused_XM0_B4D5</t>
  </si>
  <si>
    <t>xm0_b4d5</t>
  </si>
  <si>
    <t>AM48</t>
  </si>
  <si>
    <t>unused_XM0_B4D6</t>
  </si>
  <si>
    <t>xm0_b4d6</t>
  </si>
  <si>
    <t>AM43</t>
  </si>
  <si>
    <t>unused_XM0_B4D7</t>
  </si>
  <si>
    <t>xm0_b4d7</t>
  </si>
  <si>
    <t>AM44</t>
  </si>
  <si>
    <t>unused_XM0_B4D8</t>
  </si>
  <si>
    <t>xm0_b4d8</t>
  </si>
  <si>
    <t>AN49</t>
  </si>
  <si>
    <t>unused_XM0_B4DIFFN</t>
  </si>
  <si>
    <t>xm0_b4diffn</t>
  </si>
  <si>
    <t>AN50</t>
  </si>
  <si>
    <t>unused_XM0_B4DIFFP</t>
  </si>
  <si>
    <t>xm0_b4diffp</t>
  </si>
  <si>
    <t>AM46</t>
  </si>
  <si>
    <t>unused_XM0_B4C</t>
  </si>
  <si>
    <t>xm0_b4c</t>
  </si>
  <si>
    <t>AP42</t>
  </si>
  <si>
    <t>unused_XM0_B5D0</t>
  </si>
  <si>
    <t>xm0_b5d0</t>
  </si>
  <si>
    <t>AP43</t>
  </si>
  <si>
    <t>unused_XM0_B5D1</t>
  </si>
  <si>
    <t>xm0_b5d1</t>
  </si>
  <si>
    <t>AR49</t>
  </si>
  <si>
    <t>unused_XM0_B5D2</t>
  </si>
  <si>
    <t>xm0_b5d2</t>
  </si>
  <si>
    <t>AN44</t>
  </si>
  <si>
    <t>unused_XM0_B5D3</t>
  </si>
  <si>
    <t>xm0_b5d3</t>
  </si>
  <si>
    <t>AN45</t>
  </si>
  <si>
    <t>unused_XM0_B5D4</t>
  </si>
  <si>
    <t>xm0_b5d4</t>
  </si>
  <si>
    <t>AR52</t>
  </si>
  <si>
    <t>unused_XM0_B5D5</t>
  </si>
  <si>
    <t>xm0_b5d5</t>
  </si>
  <si>
    <t>AR50</t>
  </si>
  <si>
    <t>unused_XM0_B5D6</t>
  </si>
  <si>
    <t>xm0_b5d6</t>
  </si>
  <si>
    <t>AP49</t>
  </si>
  <si>
    <t>unused_XM0_B5D7</t>
  </si>
  <si>
    <t>xm0_b5d7</t>
  </si>
  <si>
    <t>AP48</t>
  </si>
  <si>
    <t>unused_XM0_B5D8</t>
  </si>
  <si>
    <t>xm0_b5d8</t>
  </si>
  <si>
    <t>AP45</t>
  </si>
  <si>
    <t>unused_XM0_B5DIFFN</t>
  </si>
  <si>
    <t>xm0_b5diffn</t>
  </si>
  <si>
    <t>AP46</t>
  </si>
  <si>
    <t>unused_XM0_B5DIFFP</t>
  </si>
  <si>
    <t>xm0_b5diffp</t>
  </si>
  <si>
    <t>AN46</t>
  </si>
  <si>
    <t>unused_XM0_B5C</t>
  </si>
  <si>
    <t>xm0_b5c</t>
  </si>
  <si>
    <t>AR48</t>
  </si>
  <si>
    <t>unused_XM0_B6D0</t>
  </si>
  <si>
    <t>xm0_b6d0</t>
  </si>
  <si>
    <t>AU48</t>
  </si>
  <si>
    <t>unused_XM0_B6D1</t>
  </si>
  <si>
    <t>xm0_b6d1</t>
  </si>
  <si>
    <t>AT44</t>
  </si>
  <si>
    <t>unused_XM0_B6D2</t>
  </si>
  <si>
    <t>xm0_b6d2</t>
  </si>
  <si>
    <t>AT50</t>
  </si>
  <si>
    <t>unused_XM0_B6D3</t>
  </si>
  <si>
    <t>xm0_b6d3</t>
  </si>
  <si>
    <t>AR47</t>
  </si>
  <si>
    <t>unused_XM0_B6D4</t>
  </si>
  <si>
    <t>xm0_b6d4</t>
  </si>
  <si>
    <t>AT49</t>
  </si>
  <si>
    <t>unused_XM0_B6D5</t>
  </si>
  <si>
    <t>xm0_b6d5</t>
  </si>
  <si>
    <t>AT45</t>
  </si>
  <si>
    <t>unused_XM0_B6D6</t>
  </si>
  <si>
    <t>xm0_b6d6</t>
  </si>
  <si>
    <t>AT52</t>
  </si>
  <si>
    <t>unused_XM0_B6D7</t>
  </si>
  <si>
    <t>xm0_b6d7</t>
  </si>
  <si>
    <t>AU49</t>
  </si>
  <si>
    <t>unused_XM0_B6D8</t>
  </si>
  <si>
    <t>xm0_b6d8</t>
  </si>
  <si>
    <t>AT46</t>
  </si>
  <si>
    <t>unused_XM0_B6DIFFN</t>
  </si>
  <si>
    <t>xm0_b6diffn</t>
  </si>
  <si>
    <t>AT47</t>
  </si>
  <si>
    <t>unused_XM0_B6DIFFP</t>
  </si>
  <si>
    <t>xm0_b6diffp</t>
  </si>
  <si>
    <t>AR46</t>
  </si>
  <si>
    <t>unused_XM0_B6C</t>
  </si>
  <si>
    <t>xm0_b6c</t>
  </si>
  <si>
    <t>AV43</t>
  </si>
  <si>
    <t>unused_XM0_B7D0</t>
  </si>
  <si>
    <t>xm0_b7d0</t>
  </si>
  <si>
    <t>AU42</t>
  </si>
  <si>
    <t>unused_XM0_B7D1</t>
  </si>
  <si>
    <t>xm0_b7d1</t>
  </si>
  <si>
    <t>AV48</t>
  </si>
  <si>
    <t>unused_XM0_B7D2</t>
  </si>
  <si>
    <t>xm0_b7d2</t>
  </si>
  <si>
    <t>AU43</t>
  </si>
  <si>
    <t>unused_XM0_B7D3</t>
  </si>
  <si>
    <t>xm0_b7d3</t>
  </si>
  <si>
    <t>AV52</t>
  </si>
  <si>
    <t>unused_XM0_B7D4</t>
  </si>
  <si>
    <t>xm0_b7d4</t>
  </si>
  <si>
    <t>AV47</t>
  </si>
  <si>
    <t>unused_XM0_B7D5</t>
  </si>
  <si>
    <t>xm0_b7d5</t>
  </si>
  <si>
    <t>AW52</t>
  </si>
  <si>
    <t>unused_XM0_B7D6</t>
  </si>
  <si>
    <t>xm0_b7d6</t>
  </si>
  <si>
    <t>AV50</t>
  </si>
  <si>
    <t>unused_XM0_B7D7</t>
  </si>
  <si>
    <t>xm0_b7d7</t>
  </si>
  <si>
    <t>AV49</t>
  </si>
  <si>
    <t>unused_XM0_B7D8</t>
  </si>
  <si>
    <t>xm0_b7d8</t>
  </si>
  <si>
    <t>AU46</t>
  </si>
  <si>
    <t>unused_XM0_B7DIFFN</t>
  </si>
  <si>
    <t>xm0_b7diffn</t>
  </si>
  <si>
    <t>AU45</t>
  </si>
  <si>
    <t>unused_XM0_B7DIFFP</t>
  </si>
  <si>
    <t>xm0_b7diffp</t>
  </si>
  <si>
    <t>AV46</t>
  </si>
  <si>
    <t>unused_XM0_B7C</t>
  </si>
  <si>
    <t>xm0_b7c</t>
  </si>
  <si>
    <t>AV44</t>
  </si>
  <si>
    <t>unused_XM0_B8D0</t>
  </si>
  <si>
    <t>xm0_b8d0</t>
  </si>
  <si>
    <t>AY42</t>
  </si>
  <si>
    <t>unused_XM0_B8D1</t>
  </si>
  <si>
    <t>xm0_b8d1</t>
  </si>
  <si>
    <t>AY43</t>
  </si>
  <si>
    <t>unused_XM0_B8D2</t>
  </si>
  <si>
    <t>xm0_b8d2</t>
  </si>
  <si>
    <t>AY48</t>
  </si>
  <si>
    <t>unused_XM0_B8D3</t>
  </si>
  <si>
    <t>xm0_b8d3</t>
  </si>
  <si>
    <t>AW45</t>
  </si>
  <si>
    <t>unused_XM0_B8D4</t>
  </si>
  <si>
    <t>xm0_b8d4</t>
  </si>
  <si>
    <t>AW47</t>
  </si>
  <si>
    <t>unused_XM0_B8D5</t>
  </si>
  <si>
    <t>xm0_b8d5</t>
  </si>
  <si>
    <t>AY49</t>
  </si>
  <si>
    <t>unused_XM0_B8D6</t>
  </si>
  <si>
    <t>xm0_b8d6</t>
  </si>
  <si>
    <t>AW46</t>
  </si>
  <si>
    <t>unused_XM0_B8D7</t>
  </si>
  <si>
    <t>xm0_b8d7</t>
  </si>
  <si>
    <t>AW44</t>
  </si>
  <si>
    <t>unused_XM0_B8D8</t>
  </si>
  <si>
    <t>xm0_b8d8</t>
  </si>
  <si>
    <t>AW50</t>
  </si>
  <si>
    <t>unused_XM0_B8DIFFN</t>
  </si>
  <si>
    <t>xm0_b8diffn</t>
  </si>
  <si>
    <t>AW49</t>
  </si>
  <si>
    <t>unused_XM0_B8DIFFP</t>
  </si>
  <si>
    <t>xm0_b8diffp</t>
  </si>
  <si>
    <t>BA49</t>
  </si>
  <si>
    <t>unused_XM0_B8C</t>
  </si>
  <si>
    <t>xm0_b8c</t>
  </si>
  <si>
    <t>BB45</t>
  </si>
  <si>
    <t>unused_XM0_B9D0</t>
  </si>
  <si>
    <t>xm0_b9d0</t>
  </si>
  <si>
    <t>BA50</t>
  </si>
  <si>
    <t>unused_XM0_B9D1</t>
  </si>
  <si>
    <t>xm0_b9d1</t>
  </si>
  <si>
    <t>BA46</t>
  </si>
  <si>
    <t>unused_XM0_B9D2</t>
  </si>
  <si>
    <t>xm0_b9d2</t>
  </si>
  <si>
    <t>BB44</t>
  </si>
  <si>
    <t>unused_XM0_B9D3</t>
  </si>
  <si>
    <t>xm0_b9d3</t>
  </si>
  <si>
    <t>BA52</t>
  </si>
  <si>
    <t>unused_XM0_B9D4</t>
  </si>
  <si>
    <t>xm0_b9d4</t>
  </si>
  <si>
    <t>BA43</t>
  </si>
  <si>
    <t>unused_XM0_B9D5</t>
  </si>
  <si>
    <t>xm0_b9d5</t>
  </si>
  <si>
    <t>BA48</t>
  </si>
  <si>
    <t>unused_XM0_B9D6</t>
  </si>
  <si>
    <t>xm0_b9d6</t>
  </si>
  <si>
    <t>BA47</t>
  </si>
  <si>
    <t>unused_XM0_B9D7</t>
  </si>
  <si>
    <t>xm0_b9d7</t>
  </si>
  <si>
    <t>BA44</t>
  </si>
  <si>
    <t>unused_XM0_B9D8</t>
  </si>
  <si>
    <t>xm0_b9d8</t>
  </si>
  <si>
    <t>AY46</t>
  </si>
  <si>
    <t>unused_XM0_B9DIFFN</t>
  </si>
  <si>
    <t>xm0_b9diffn</t>
  </si>
  <si>
    <t>AY45</t>
  </si>
  <si>
    <t>unused_XM0_B9DIFFP</t>
  </si>
  <si>
    <t>xm0_b9diffp</t>
  </si>
  <si>
    <t>BB52</t>
  </si>
  <si>
    <t>unused_XM0_B9C</t>
  </si>
  <si>
    <t>xm0_b9c</t>
  </si>
  <si>
    <t>BD52</t>
  </si>
  <si>
    <t>unused_XM0_B10D0</t>
  </si>
  <si>
    <t>xm0_b10d0</t>
  </si>
  <si>
    <t>BD50</t>
  </si>
  <si>
    <t>unused_XM0_B10D1</t>
  </si>
  <si>
    <t>xm0_b10d1</t>
  </si>
  <si>
    <t>BD49</t>
  </si>
  <si>
    <t>unused_XM0_B10D2</t>
  </si>
  <si>
    <t>xm0_b10d2</t>
  </si>
  <si>
    <t>BC49</t>
  </si>
  <si>
    <t>unused_XM0_B10D3</t>
  </si>
  <si>
    <t>xm0_b10d3</t>
  </si>
  <si>
    <t>BC45</t>
  </si>
  <si>
    <t>unused_XM0_B10D4</t>
  </si>
  <si>
    <t>xm0_b10d4</t>
  </si>
  <si>
    <t>BB47</t>
  </si>
  <si>
    <t>unused_XM0_B10D5</t>
  </si>
  <si>
    <t>xm0_b10d5</t>
  </si>
  <si>
    <t>BD48</t>
  </si>
  <si>
    <t>unused_XM0_B10D6</t>
  </si>
  <si>
    <t>xm0_b10d6</t>
  </si>
  <si>
    <t>BC48</t>
  </si>
  <si>
    <t>unused_XM0_B10D7</t>
  </si>
  <si>
    <t>xm0_b10d7</t>
  </si>
  <si>
    <t>BB46</t>
  </si>
  <si>
    <t>unused_XM0_B10D8</t>
  </si>
  <si>
    <t>xm0_b10d8</t>
  </si>
  <si>
    <t>BB49</t>
  </si>
  <si>
    <t>unused_XM0_B10DIFFN</t>
  </si>
  <si>
    <t>xm0_b10diffn</t>
  </si>
  <si>
    <t>BB50</t>
  </si>
  <si>
    <t>unused_XM0_B10DIFFP</t>
  </si>
  <si>
    <t>xm0_b10diffp</t>
  </si>
  <si>
    <t>BC46</t>
  </si>
  <si>
    <t>unused_XM0_B10C</t>
  </si>
  <si>
    <t>xm0_b10c</t>
  </si>
  <si>
    <t>BG52</t>
  </si>
  <si>
    <t>unused_XM0_B11D0</t>
  </si>
  <si>
    <t>xm0_b11d0</t>
  </si>
  <si>
    <t>BG50</t>
  </si>
  <si>
    <t>unused_XM0_B11D1</t>
  </si>
  <si>
    <t>xm0_b11d1</t>
  </si>
  <si>
    <t>BE49</t>
  </si>
  <si>
    <t>unused_XM0_B11D2</t>
  </si>
  <si>
    <t>xm0_b11d2</t>
  </si>
  <si>
    <t>BE50</t>
  </si>
  <si>
    <t>unused_XM0_B11D3</t>
  </si>
  <si>
    <t>xm0_b11d3</t>
  </si>
  <si>
    <t>BG49</t>
  </si>
  <si>
    <t>unused_XM0_B11D4</t>
  </si>
  <si>
    <t>xm0_b11d4</t>
  </si>
  <si>
    <t>BE47</t>
  </si>
  <si>
    <t>unused_XM0_B11D5</t>
  </si>
  <si>
    <t>xm0_b11d5</t>
  </si>
  <si>
    <t>BF49</t>
  </si>
  <si>
    <t>unused_XM0_B11D6</t>
  </si>
  <si>
    <t>xm0_b11d6</t>
  </si>
  <si>
    <t>BF48</t>
  </si>
  <si>
    <t>unused_XM0_B11D7</t>
  </si>
  <si>
    <t>xm0_b11d7</t>
  </si>
  <si>
    <t>BE46</t>
  </si>
  <si>
    <t>unused_XM0_B11D8</t>
  </si>
  <si>
    <t>xm0_b11d8</t>
  </si>
  <si>
    <t>BD46</t>
  </si>
  <si>
    <t>unused_XM0_B11DIFFN</t>
  </si>
  <si>
    <t>xm0_b11diffn</t>
  </si>
  <si>
    <t>BD47</t>
  </si>
  <si>
    <t>unused_XM0_B11DIFFP</t>
  </si>
  <si>
    <t>xm0_b11diffp</t>
  </si>
  <si>
    <t>BE52</t>
  </si>
  <si>
    <t>unused_XM0_B11C</t>
  </si>
  <si>
    <t>xm0_b11c</t>
  </si>
  <si>
    <t>AE5</t>
  </si>
  <si>
    <t>unused_XM1_B0D0</t>
  </si>
  <si>
    <t>xm1_b0d0</t>
  </si>
  <si>
    <t>vddio_ddr1</t>
  </si>
  <si>
    <t>AE4</t>
  </si>
  <si>
    <t>unused_XM1_B0D1</t>
  </si>
  <si>
    <t>xm1_b0d1</t>
  </si>
  <si>
    <t>AD3</t>
  </si>
  <si>
    <t>unused_XM1_B0D2</t>
  </si>
  <si>
    <t>xm1_b0d2</t>
  </si>
  <si>
    <t>AF8</t>
  </si>
  <si>
    <t>unused_XM1_B0D3</t>
  </si>
  <si>
    <t>xm1_b0d3</t>
  </si>
  <si>
    <t>AE7</t>
  </si>
  <si>
    <t>unused_XM1_B0D4</t>
  </si>
  <si>
    <t>xm1_b0d4</t>
  </si>
  <si>
    <t>AD6</t>
  </si>
  <si>
    <t>unused_XM1_B0D5</t>
  </si>
  <si>
    <t>xm1_b0d5</t>
  </si>
  <si>
    <t>AE11</t>
  </si>
  <si>
    <t>unused_XM1_B0D6</t>
  </si>
  <si>
    <t>xm1_b0d6</t>
  </si>
  <si>
    <t>AE10</t>
  </si>
  <si>
    <t>unused_XM1_B0D7</t>
  </si>
  <si>
    <t>xm1_b0d7</t>
  </si>
  <si>
    <t>AE8</t>
  </si>
  <si>
    <t>unused_XM1_B0D8</t>
  </si>
  <si>
    <t>xm1_b0d8</t>
  </si>
  <si>
    <t>AF7</t>
  </si>
  <si>
    <t>unused_XM1_B0DIFFN</t>
  </si>
  <si>
    <t>xm1_b0diffn</t>
  </si>
  <si>
    <t>AF6</t>
  </si>
  <si>
    <t>unused_XM1_B0DIFFP</t>
  </si>
  <si>
    <t>xm1_b0diffp</t>
  </si>
  <si>
    <t>AD4</t>
  </si>
  <si>
    <t>unused_XM1_B0C</t>
  </si>
  <si>
    <t>xm1_b0c</t>
  </si>
  <si>
    <t>AG1</t>
  </si>
  <si>
    <t>unused_XM1_B1D0</t>
  </si>
  <si>
    <t>xm1_b1d0</t>
  </si>
  <si>
    <t>AG5</t>
  </si>
  <si>
    <t>unused_XM1_B1D1</t>
  </si>
  <si>
    <t>xm1_b1d1</t>
  </si>
  <si>
    <t>AF3</t>
  </si>
  <si>
    <t>unused_XM1_B1D2</t>
  </si>
  <si>
    <t>xm1_b1d2</t>
  </si>
  <si>
    <t>AF4</t>
  </si>
  <si>
    <t>unused_XM1_B1D3</t>
  </si>
  <si>
    <t>xm1_b1d3</t>
  </si>
  <si>
    <t>AG7</t>
  </si>
  <si>
    <t>unused_XM1_B1D4</t>
  </si>
  <si>
    <t>xm1_b1d4</t>
  </si>
  <si>
    <t>AF1</t>
  </si>
  <si>
    <t>unused_XM1_B1D5</t>
  </si>
  <si>
    <t>xm1_b1d5</t>
  </si>
  <si>
    <t>AG9</t>
  </si>
  <si>
    <t>unused_XM1_B1D6</t>
  </si>
  <si>
    <t>xm1_b1d6</t>
  </si>
  <si>
    <t>AG10</t>
  </si>
  <si>
    <t>unused_XM1_B1D7</t>
  </si>
  <si>
    <t>xm1_b1d7</t>
  </si>
  <si>
    <t>AF9</t>
  </si>
  <si>
    <t>unused_XM1_B1D8</t>
  </si>
  <si>
    <t>xm1_b1d8</t>
  </si>
  <si>
    <t>AG3</t>
  </si>
  <si>
    <t>unused_XM1_B1DIFFN</t>
  </si>
  <si>
    <t>xm1_b1diffn</t>
  </si>
  <si>
    <t>AG4</t>
  </si>
  <si>
    <t>unused_XM1_B1DIFFP</t>
  </si>
  <si>
    <t>xm1_b1diffp</t>
  </si>
  <si>
    <t>AG6</t>
  </si>
  <si>
    <t>unused_XM1_B1C</t>
  </si>
  <si>
    <t>xm1_b1c</t>
  </si>
  <si>
    <t>AH11</t>
  </si>
  <si>
    <t>unused_XM1_B2D0</t>
  </si>
  <si>
    <t>xm1_b2d0</t>
  </si>
  <si>
    <t>AH4</t>
  </si>
  <si>
    <t>unused_XM1_B2D1</t>
  </si>
  <si>
    <t>xm1_b2d1</t>
  </si>
  <si>
    <t>AH5</t>
  </si>
  <si>
    <t>unused_XM1_B2D2</t>
  </si>
  <si>
    <t>xm1_b2d2</t>
  </si>
  <si>
    <t>AH7</t>
  </si>
  <si>
    <t>unused_XM1_B2D3</t>
  </si>
  <si>
    <t>xm1_b2d3</t>
  </si>
  <si>
    <t>AJ4</t>
  </si>
  <si>
    <t>unused_XM1_B2D4</t>
  </si>
  <si>
    <t>xm1_b2d4</t>
  </si>
  <si>
    <t>AJ8</t>
  </si>
  <si>
    <t>unused_XM1_B2D5</t>
  </si>
  <si>
    <t>xm1_b2d5</t>
  </si>
  <si>
    <t>AH10</t>
  </si>
  <si>
    <t>unused_XM1_B2D6</t>
  </si>
  <si>
    <t>xm1_b2d6</t>
  </si>
  <si>
    <t>AJ3</t>
  </si>
  <si>
    <t>unused_XM1_B2D7</t>
  </si>
  <si>
    <t>xm1_b2d7</t>
  </si>
  <si>
    <t>AJ1</t>
  </si>
  <si>
    <t>unused_XM1_B2D8</t>
  </si>
  <si>
    <t>xm1_b2d8</t>
  </si>
  <si>
    <t>AJ6</t>
  </si>
  <si>
    <t>unused_XM1_B2DIFFN</t>
  </si>
  <si>
    <t>xm1_b2diffn</t>
  </si>
  <si>
    <t>AJ7</t>
  </si>
  <si>
    <t>unused_XM1_B2DIFFP</t>
  </si>
  <si>
    <t>xm1_b2diffp</t>
  </si>
  <si>
    <t>AH8</t>
  </si>
  <si>
    <t>unused_XM1_B2C</t>
  </si>
  <si>
    <t>xm1_b2c</t>
  </si>
  <si>
    <t>AL11</t>
  </si>
  <si>
    <t>unused_XM1_B3D0</t>
  </si>
  <si>
    <t>xm1_b3d0</t>
  </si>
  <si>
    <t>AJ9</t>
  </si>
  <si>
    <t>unused_XM1_B3D1</t>
  </si>
  <si>
    <t>xm1_b3d1</t>
  </si>
  <si>
    <t>AK5</t>
  </si>
  <si>
    <t>unused_XM1_B3D2</t>
  </si>
  <si>
    <t>xm1_b3d2</t>
  </si>
  <si>
    <t>AK1</t>
  </si>
  <si>
    <t>unused_XM1_B3D3</t>
  </si>
  <si>
    <t>xm1_b3d3</t>
  </si>
  <si>
    <t>AL8</t>
  </si>
  <si>
    <t>unused_XM1_B3D4</t>
  </si>
  <si>
    <t>xm1_b3d4</t>
  </si>
  <si>
    <t>AL7</t>
  </si>
  <si>
    <t>unused_XM1_B3D5</t>
  </si>
  <si>
    <t>xm1_b3d5</t>
  </si>
  <si>
    <t>AK7</t>
  </si>
  <si>
    <t>unused_XM1_B3D6</t>
  </si>
  <si>
    <t>xm1_b3d6</t>
  </si>
  <si>
    <t>AK6</t>
  </si>
  <si>
    <t>unused_XM1_B3D7</t>
  </si>
  <si>
    <t>xm1_b3d7</t>
  </si>
  <si>
    <t>AK10</t>
  </si>
  <si>
    <t>unused_XM1_B3D8</t>
  </si>
  <si>
    <t>xm1_b3d8</t>
  </si>
  <si>
    <t>AK3</t>
  </si>
  <si>
    <t>unused_XM1_B3DIFFN</t>
  </si>
  <si>
    <t>xm1_b3diffn</t>
  </si>
  <si>
    <t>AK4</t>
  </si>
  <si>
    <t>unused_XM1_B3DIFFP</t>
  </si>
  <si>
    <t>xm1_b3diffp</t>
  </si>
  <si>
    <t>AK9</t>
  </si>
  <si>
    <t>unused_XM1_B3C</t>
  </si>
  <si>
    <t>xm1_b3c</t>
  </si>
  <si>
    <t>AN9</t>
  </si>
  <si>
    <t>unused_XM1_B4D0</t>
  </si>
  <si>
    <t>xm1_b4d0</t>
  </si>
  <si>
    <t>AL10</t>
  </si>
  <si>
    <t>unused_XM1_B4D1</t>
  </si>
  <si>
    <t>xm1_b4d1</t>
  </si>
  <si>
    <t>AM9</t>
  </si>
  <si>
    <t>unused_XM1_B4D2</t>
  </si>
  <si>
    <t>xm1_b4d2</t>
  </si>
  <si>
    <t>AN5</t>
  </si>
  <si>
    <t>unused_XM1_B4D3</t>
  </si>
  <si>
    <t>xm1_b4d3</t>
  </si>
  <si>
    <t>AM3</t>
  </si>
  <si>
    <t>unused_XM1_B4D4</t>
  </si>
  <si>
    <t>xm1_b4d4</t>
  </si>
  <si>
    <t>AL5</t>
  </si>
  <si>
    <t>unused_XM1_B4D5</t>
  </si>
  <si>
    <t>xm1_b4d5</t>
  </si>
  <si>
    <t>AL4</t>
  </si>
  <si>
    <t>unused_XM1_B4D6</t>
  </si>
  <si>
    <t>xm1_b4d6</t>
  </si>
  <si>
    <t>AM4</t>
  </si>
  <si>
    <t>unused_XM1_B4D7</t>
  </si>
  <si>
    <t>xm1_b4d7</t>
  </si>
  <si>
    <t>AM1</t>
  </si>
  <si>
    <t>unused_XM1_B4D8</t>
  </si>
  <si>
    <t>xm1_b4d8</t>
  </si>
  <si>
    <t>AM7</t>
  </si>
  <si>
    <t>unused_XM1_B4DIFFN</t>
  </si>
  <si>
    <t>xm1_b4diffn</t>
  </si>
  <si>
    <t>AM6</t>
  </si>
  <si>
    <t>unused_XM1_B4DIFFP</t>
  </si>
  <si>
    <t>xm1_b4diffp</t>
  </si>
  <si>
    <t>AM8</t>
  </si>
  <si>
    <t>unused_XM1_B4C</t>
  </si>
  <si>
    <t>xm1_b4c</t>
  </si>
  <si>
    <t>AP11</t>
  </si>
  <si>
    <t>unused_XM1_B5D0</t>
  </si>
  <si>
    <t>xm1_b5d0</t>
  </si>
  <si>
    <t>AN7</t>
  </si>
  <si>
    <t>unused_XM1_B5D1</t>
  </si>
  <si>
    <t>xm1_b5d1</t>
  </si>
  <si>
    <t>AP10</t>
  </si>
  <si>
    <t>unused_XM1_B5D2</t>
  </si>
  <si>
    <t>xm1_b5d2</t>
  </si>
  <si>
    <t>AN10</t>
  </si>
  <si>
    <t>unused_XM1_B5D3</t>
  </si>
  <si>
    <t>xm1_b5d3</t>
  </si>
  <si>
    <t>AN3</t>
  </si>
  <si>
    <t>unused_XM1_B5D4</t>
  </si>
  <si>
    <t>xm1_b5d4</t>
  </si>
  <si>
    <t>AN4</t>
  </si>
  <si>
    <t>unused_XM1_B5D5</t>
  </si>
  <si>
    <t>xm1_b5d5</t>
  </si>
  <si>
    <t>AP4</t>
  </si>
  <si>
    <t>unused_XM1_B5D6</t>
  </si>
  <si>
    <t>xm1_b5d6</t>
  </si>
  <si>
    <t>AP5</t>
  </si>
  <si>
    <t>unused_XM1_B5D7</t>
  </si>
  <si>
    <t>xm1_b5d7</t>
  </si>
  <si>
    <t>AN1</t>
  </si>
  <si>
    <t>unused_XM1_B5D8</t>
  </si>
  <si>
    <t>xm1_b5d8</t>
  </si>
  <si>
    <t>AP7</t>
  </si>
  <si>
    <t>unused_XM1_B5DIFFN</t>
  </si>
  <si>
    <t>xm1_b5diffn</t>
  </si>
  <si>
    <t>AP8</t>
  </si>
  <si>
    <t>unused_XM1_B5DIFFP</t>
  </si>
  <si>
    <t>xm1_b5diffp</t>
  </si>
  <si>
    <t>AN6</t>
  </si>
  <si>
    <t>unused_XM1_B5C</t>
  </si>
  <si>
    <t>xm1_b5c</t>
  </si>
  <si>
    <t>AT9</t>
  </si>
  <si>
    <t>unused_XM1_B6D0</t>
  </si>
  <si>
    <t>xm1_b6d0</t>
  </si>
  <si>
    <t>AT3</t>
  </si>
  <si>
    <t>unused_XM1_B6D1</t>
  </si>
  <si>
    <t>xm1_b6d1</t>
  </si>
  <si>
    <t>AR1</t>
  </si>
  <si>
    <t>unused_XM1_B6D2</t>
  </si>
  <si>
    <t>xm1_b6d2</t>
  </si>
  <si>
    <t>AT1</t>
  </si>
  <si>
    <t>unused_XM1_B6D3</t>
  </si>
  <si>
    <t>xm1_b6d3</t>
  </si>
  <si>
    <t>AR3</t>
  </si>
  <si>
    <t>unused_XM1_B6D4</t>
  </si>
  <si>
    <t>xm1_b6d4</t>
  </si>
  <si>
    <t>AU11</t>
  </si>
  <si>
    <t>unused_XM1_B6D5</t>
  </si>
  <si>
    <t>xm1_b6d5</t>
  </si>
  <si>
    <t>AT10</t>
  </si>
  <si>
    <t>unused_XM1_B6D6</t>
  </si>
  <si>
    <t>xm1_b6d6</t>
  </si>
  <si>
    <t>AR4</t>
  </si>
  <si>
    <t>unused_XM1_B6D7</t>
  </si>
  <si>
    <t>xm1_b6d7</t>
  </si>
  <si>
    <t>AT5</t>
  </si>
  <si>
    <t>unused_XM1_B6D8</t>
  </si>
  <si>
    <t>xm1_b6d8</t>
  </si>
  <si>
    <t>AR7</t>
  </si>
  <si>
    <t>unused_XM1_B6DIFFN</t>
  </si>
  <si>
    <t>xm1_b6diffn</t>
  </si>
  <si>
    <t>AR6</t>
  </si>
  <si>
    <t>unused_XM1_B6DIFFP</t>
  </si>
  <si>
    <t>xm1_b6diffp</t>
  </si>
  <si>
    <t>AT4</t>
  </si>
  <si>
    <t>unused_XM1_B6C</t>
  </si>
  <si>
    <t>xm1_b6c</t>
  </si>
  <si>
    <t>AU4</t>
  </si>
  <si>
    <t>unused_XM1_B7D0</t>
  </si>
  <si>
    <t>xm1_b7d0</t>
  </si>
  <si>
    <t>AV1</t>
  </si>
  <si>
    <t>unused_XM1_B7D1</t>
  </si>
  <si>
    <t>xm1_b7d1</t>
  </si>
  <si>
    <t>AU7</t>
  </si>
  <si>
    <t>unused_XM1_B7D2</t>
  </si>
  <si>
    <t>xm1_b7d2</t>
  </si>
  <si>
    <t>AT7</t>
  </si>
  <si>
    <t>unused_XM1_B7D3</t>
  </si>
  <si>
    <t>xm1_b7d3</t>
  </si>
  <si>
    <t>AU10</t>
  </si>
  <si>
    <t>unused_XM1_B7D4</t>
  </si>
  <si>
    <t>xm1_b7d4</t>
  </si>
  <si>
    <t>AV9</t>
  </si>
  <si>
    <t>unused_XM1_B7D5</t>
  </si>
  <si>
    <t>xm1_b7d5</t>
  </si>
  <si>
    <t>AV8</t>
  </si>
  <si>
    <t>unused_XM1_B7D6</t>
  </si>
  <si>
    <t>xm1_b7d6</t>
  </si>
  <si>
    <t>AU8</t>
  </si>
  <si>
    <t>unused_XM1_B7D7</t>
  </si>
  <si>
    <t>xm1_b7d7</t>
  </si>
  <si>
    <t>AT6</t>
  </si>
  <si>
    <t>unused_XM1_B7D8</t>
  </si>
  <si>
    <t>xm1_b7d8</t>
  </si>
  <si>
    <t>AV4</t>
  </si>
  <si>
    <t>unused_XM1_B7DIFFN</t>
  </si>
  <si>
    <t>xm1_b7diffn</t>
  </si>
  <si>
    <t>AV3</t>
  </si>
  <si>
    <t>unused_XM1_B7DIFFP</t>
  </si>
  <si>
    <t>xm1_b7diffp</t>
  </si>
  <si>
    <t>AU5</t>
  </si>
  <si>
    <t>unused_XM1_B7C</t>
  </si>
  <si>
    <t>xm1_b7c</t>
  </si>
  <si>
    <t>AW7</t>
  </si>
  <si>
    <t>unused_XM1_B8D0</t>
  </si>
  <si>
    <t>xm1_b8d0</t>
  </si>
  <si>
    <t>AW1</t>
  </si>
  <si>
    <t>unused_XM1_B8D1</t>
  </si>
  <si>
    <t>xm1_b8d1</t>
  </si>
  <si>
    <t>AW10</t>
  </si>
  <si>
    <t>unused_XM1_B8D2</t>
  </si>
  <si>
    <t>xm1_b8d2</t>
  </si>
  <si>
    <t>AW9</t>
  </si>
  <si>
    <t>unused_XM1_B8D3</t>
  </si>
  <si>
    <t>xm1_b8d3</t>
  </si>
  <si>
    <t>AY8</t>
  </si>
  <si>
    <t>unused_XM1_B8D4</t>
  </si>
  <si>
    <t>xm1_b8d4</t>
  </si>
  <si>
    <t>AW4</t>
  </si>
  <si>
    <t>unused_XM1_B8D5</t>
  </si>
  <si>
    <t>xm1_b8d5</t>
  </si>
  <si>
    <t>AW3</t>
  </si>
  <si>
    <t>unused_XM1_B8D6</t>
  </si>
  <si>
    <t>xm1_b8d6</t>
  </si>
  <si>
    <t>AW5</t>
  </si>
  <si>
    <t>unused_XM1_B8D7</t>
  </si>
  <si>
    <t>xm1_b8d7</t>
  </si>
  <si>
    <t>AW6</t>
  </si>
  <si>
    <t>unused_XM1_B8D8</t>
  </si>
  <si>
    <t>xm1_b8d8</t>
  </si>
  <si>
    <t>AV6</t>
  </si>
  <si>
    <t>unused_XM1_B8DIFFN</t>
  </si>
  <si>
    <t>xm1_b8diffn</t>
  </si>
  <si>
    <t>AV7</t>
  </si>
  <si>
    <t>unused_XM1_B8DIFFP</t>
  </si>
  <si>
    <t>xm1_b8diffp</t>
  </si>
  <si>
    <t>AY7</t>
  </si>
  <si>
    <t>unused_XM1_B8C</t>
  </si>
  <si>
    <t>xm1_b8c</t>
  </si>
  <si>
    <t>AY11</t>
  </si>
  <si>
    <t>unused_XM1_B9D0</t>
  </si>
  <si>
    <t>xm1_b9d0</t>
  </si>
  <si>
    <t>AY10</t>
  </si>
  <si>
    <t>unused_XM1_B9D1</t>
  </si>
  <si>
    <t>xm1_b9d1</t>
  </si>
  <si>
    <t>BA9</t>
  </si>
  <si>
    <t>unused_XM1_B9D2</t>
  </si>
  <si>
    <t>xm1_b9d2</t>
  </si>
  <si>
    <t>BA8</t>
  </si>
  <si>
    <t>unused_XM1_B9D3</t>
  </si>
  <si>
    <t>xm1_b9d3</t>
  </si>
  <si>
    <t>BA6</t>
  </si>
  <si>
    <t>unused_XM1_B9D4</t>
  </si>
  <si>
    <t>xm1_b9d4</t>
  </si>
  <si>
    <t>BA7</t>
  </si>
  <si>
    <t>unused_XM1_B9D5</t>
  </si>
  <si>
    <t>xm1_b9d5</t>
  </si>
  <si>
    <t>BA1</t>
  </si>
  <si>
    <t>unused_XM1_B9D6</t>
  </si>
  <si>
    <t>xm1_b9d6</t>
  </si>
  <si>
    <t>AY4</t>
  </si>
  <si>
    <t>unused_XM1_B9D7</t>
  </si>
  <si>
    <t>xm1_b9d7</t>
  </si>
  <si>
    <t>BB7</t>
  </si>
  <si>
    <t>unused_XM1_B9D8</t>
  </si>
  <si>
    <t>xm1_b9d8</t>
  </si>
  <si>
    <t>BA4</t>
  </si>
  <si>
    <t>unused_XM1_B9DIFFN</t>
  </si>
  <si>
    <t>xm1_b9diffn</t>
  </si>
  <si>
    <t>BA3</t>
  </si>
  <si>
    <t>unused_XM1_B9DIFFP</t>
  </si>
  <si>
    <t>xm1_b9diffp</t>
  </si>
  <si>
    <t>AY5</t>
  </si>
  <si>
    <t>unused_XM1_B9C</t>
  </si>
  <si>
    <t>xm1_b9c</t>
  </si>
  <si>
    <t>BB10</t>
  </si>
  <si>
    <t>unused_XM1_B10D0</t>
  </si>
  <si>
    <t>xm1_b10d0</t>
  </si>
  <si>
    <t>BB6</t>
  </si>
  <si>
    <t>unused_XM1_B10D1</t>
  </si>
  <si>
    <t>xm1_b10d1</t>
  </si>
  <si>
    <t>BC8</t>
  </si>
  <si>
    <t>unused_XM1_B10D2</t>
  </si>
  <si>
    <t>xm1_b10d2</t>
  </si>
  <si>
    <t>BB9</t>
  </si>
  <si>
    <t>unused_XM1_B10D3</t>
  </si>
  <si>
    <t>xm1_b10d3</t>
  </si>
  <si>
    <t>BD7</t>
  </si>
  <si>
    <t>unused_XM1_B10D4</t>
  </si>
  <si>
    <t>xm1_b10d4</t>
  </si>
  <si>
    <t>BB5</t>
  </si>
  <si>
    <t>unused_XM1_B10D5</t>
  </si>
  <si>
    <t>xm1_b10d5</t>
  </si>
  <si>
    <t>BB4</t>
  </si>
  <si>
    <t>unused_XM1_B10D6</t>
  </si>
  <si>
    <t>xm1_b10d6</t>
  </si>
  <si>
    <t>BB1</t>
  </si>
  <si>
    <t>unused_XM1_B10D7</t>
  </si>
  <si>
    <t>xm1_b10d7</t>
  </si>
  <si>
    <t>BB3</t>
  </si>
  <si>
    <t>unused_XM1_B10D8</t>
  </si>
  <si>
    <t>xm1_b10d8</t>
  </si>
  <si>
    <t>BC5</t>
  </si>
  <si>
    <t>unused_XM1_B10DIFFN</t>
  </si>
  <si>
    <t>xm1_b10diffn</t>
  </si>
  <si>
    <t>BC4</t>
  </si>
  <si>
    <t>unused_XM1_B10DIFFP</t>
  </si>
  <si>
    <t>xm1_b10diffp</t>
  </si>
  <si>
    <t>BD6</t>
  </si>
  <si>
    <t>unused_XM1_B10C</t>
  </si>
  <si>
    <t>xm1_b10c</t>
  </si>
  <si>
    <t>BD4</t>
  </si>
  <si>
    <t>unused_XM1_B11D0</t>
  </si>
  <si>
    <t>xm1_b11d0</t>
  </si>
  <si>
    <t>BD3</t>
  </si>
  <si>
    <t>unused_XM1_B11D1</t>
  </si>
  <si>
    <t>xm1_b11d1</t>
  </si>
  <si>
    <t>BD1</t>
  </si>
  <si>
    <t>unused_XM1_B11D2</t>
  </si>
  <si>
    <t>xm1_b11d2</t>
  </si>
  <si>
    <t>BE3</t>
  </si>
  <si>
    <t>unused_XM1_B11D3</t>
  </si>
  <si>
    <t>xm1_b11d3</t>
  </si>
  <si>
    <t>BE1</t>
  </si>
  <si>
    <t>unused_XM1_B11D4</t>
  </si>
  <si>
    <t>xm1_b11d4</t>
  </si>
  <si>
    <t>BE6</t>
  </si>
  <si>
    <t>unused_XM1_B11D5</t>
  </si>
  <si>
    <t>xm1_b11d5</t>
  </si>
  <si>
    <t>BD8</t>
  </si>
  <si>
    <t>unused_XM1_B11D6</t>
  </si>
  <si>
    <t>xm1_b11d6</t>
  </si>
  <si>
    <t>BE7</t>
  </si>
  <si>
    <t>unused_XM1_B11D7</t>
  </si>
  <si>
    <t>xm1_b11d7</t>
  </si>
  <si>
    <t>BF6</t>
  </si>
  <si>
    <t>unused_XM1_B11D8</t>
  </si>
  <si>
    <t>xm1_b11d8</t>
  </si>
  <si>
    <t>BE5</t>
  </si>
  <si>
    <t>unused_XM1_B11DIFFN</t>
  </si>
  <si>
    <t>xm1_b11diffn</t>
  </si>
  <si>
    <t>BE4</t>
  </si>
  <si>
    <t>unused_XM1_B11DIFFP</t>
  </si>
  <si>
    <t>xm1_b11diffp</t>
  </si>
  <si>
    <t>BC7</t>
  </si>
  <si>
    <t>unused_XM1_B11C</t>
  </si>
  <si>
    <t>xm1_b11c</t>
  </si>
  <si>
    <t>BF47</t>
  </si>
  <si>
    <t>unused_XM0_RESET</t>
  </si>
  <si>
    <t>xm0_reset</t>
  </si>
  <si>
    <t>vddio_vdd2_ddr0</t>
  </si>
  <si>
    <t>LP4X_RESET_BFCR90M14L</t>
  </si>
  <si>
    <t>BM47</t>
  </si>
  <si>
    <t>unused_XM2_B0D0</t>
  </si>
  <si>
    <t>xm2_b0d0</t>
  </si>
  <si>
    <t>vddio_ddr2</t>
  </si>
  <si>
    <t>LP4X_IOBRICK_ESD_CFCM14L</t>
  </si>
  <si>
    <t>BJ47</t>
  </si>
  <si>
    <t>unused_XM2_B0D1</t>
  </si>
  <si>
    <t>xm2_b0d1</t>
  </si>
  <si>
    <t>BK47</t>
  </si>
  <si>
    <t>unused_XM2_B0D2</t>
  </si>
  <si>
    <t>xm2_b0d2</t>
  </si>
  <si>
    <t>BJ48</t>
  </si>
  <si>
    <t>unused_XM2_B0D3</t>
  </si>
  <si>
    <t>xm2_b0d3</t>
  </si>
  <si>
    <t>BH50</t>
  </si>
  <si>
    <t>unused_XM2_B0D4</t>
  </si>
  <si>
    <t>xm2_b0d4</t>
  </si>
  <si>
    <t>BH49</t>
  </si>
  <si>
    <t>unused_XM2_B0D5</t>
  </si>
  <si>
    <t>xm2_b0d5</t>
  </si>
  <si>
    <t>BH52</t>
  </si>
  <si>
    <t>unused_XM2_B0D6</t>
  </si>
  <si>
    <t>xm2_b0d6</t>
  </si>
  <si>
    <t>BM48</t>
  </si>
  <si>
    <t>unused_XM2_B0D7</t>
  </si>
  <si>
    <t>xm2_b0d7</t>
  </si>
  <si>
    <t>BJ50</t>
  </si>
  <si>
    <t>unused_XM2_B0D8</t>
  </si>
  <si>
    <t>xm2_b0d8</t>
  </si>
  <si>
    <t>BK49</t>
  </si>
  <si>
    <t>unused_XM2_B0DIFFN</t>
  </si>
  <si>
    <t>xm2_b0diffn</t>
  </si>
  <si>
    <t>BK48</t>
  </si>
  <si>
    <t>unused_XM2_B0DIFFP</t>
  </si>
  <si>
    <t>xm2_b0diffp</t>
  </si>
  <si>
    <t>BG48</t>
  </si>
  <si>
    <t>unused_XM2_B0C</t>
  </si>
  <si>
    <t>xm2_b0c</t>
  </si>
  <si>
    <t>BJ45</t>
  </si>
  <si>
    <t>unused_XM2_B1D0</t>
  </si>
  <si>
    <t>xm2_b1d0</t>
  </si>
  <si>
    <t>BK44</t>
  </si>
  <si>
    <t>unused_XM2_B1D1</t>
  </si>
  <si>
    <t>xm2_b1d1</t>
  </si>
  <si>
    <t>BK45</t>
  </si>
  <si>
    <t>unused_XM2_B1D2</t>
  </si>
  <si>
    <t>xm2_b1d2</t>
  </si>
  <si>
    <t>BG45</t>
  </si>
  <si>
    <t>unused_XM2_B1D3</t>
  </si>
  <si>
    <t>xm2_b1d3</t>
  </si>
  <si>
    <t>BM45</t>
  </si>
  <si>
    <t>unused_XM2_B1D4</t>
  </si>
  <si>
    <t>xm2_b1d4</t>
  </si>
  <si>
    <t>BF45</t>
  </si>
  <si>
    <t>unused_XM2_B1D5</t>
  </si>
  <si>
    <t>xm2_b1d5</t>
  </si>
  <si>
    <t>BG46</t>
  </si>
  <si>
    <t>unused_XM2_B1D6</t>
  </si>
  <si>
    <t>xm2_b1d6</t>
  </si>
  <si>
    <t>BH45</t>
  </si>
  <si>
    <t>unused_XM2_B1D7</t>
  </si>
  <si>
    <t>xm2_b1d7</t>
  </si>
  <si>
    <t>BM44</t>
  </si>
  <si>
    <t>unused_XM2_B1D8</t>
  </si>
  <si>
    <t>xm2_b1d8</t>
  </si>
  <si>
    <t>BH46</t>
  </si>
  <si>
    <t>unused_XM2_B1DIFFN</t>
  </si>
  <si>
    <t>xm2_b1diffn</t>
  </si>
  <si>
    <t>BJ46</t>
  </si>
  <si>
    <t>unused_XM2_B1DIFFP</t>
  </si>
  <si>
    <t>xm2_b1diffp</t>
  </si>
  <si>
    <t>BH47</t>
  </si>
  <si>
    <t>unused_XM2_B1C</t>
  </si>
  <si>
    <t>xm2_b1c</t>
  </si>
  <si>
    <t>BH43</t>
  </si>
  <si>
    <t>unused_XM2_B2D0</t>
  </si>
  <si>
    <t>xm2_b2d0</t>
  </si>
  <si>
    <t>BH42</t>
  </si>
  <si>
    <t>unused_XM2_B2D1</t>
  </si>
  <si>
    <t>xm2_b2d1</t>
  </si>
  <si>
    <t>BM42</t>
  </si>
  <si>
    <t>unused_XM2_B2D2</t>
  </si>
  <si>
    <t>xm2_b2d2</t>
  </si>
  <si>
    <t>BG44</t>
  </si>
  <si>
    <t>unused_XM2_B2D3</t>
  </si>
  <si>
    <t>xm2_b2d3</t>
  </si>
  <si>
    <t>BE44</t>
  </si>
  <si>
    <t>unused_XM2_B2D4</t>
  </si>
  <si>
    <t>xm2_b2d4</t>
  </si>
  <si>
    <t>BE43</t>
  </si>
  <si>
    <t>unused_XM2_B2D5</t>
  </si>
  <si>
    <t>xm2_b2d5</t>
  </si>
  <si>
    <t>BF44</t>
  </si>
  <si>
    <t>unused_XM2_B2D6</t>
  </si>
  <si>
    <t>xm2_b2d6</t>
  </si>
  <si>
    <t>BF43</t>
  </si>
  <si>
    <t>unused_XM2_B2D7</t>
  </si>
  <si>
    <t>xm2_b2d7</t>
  </si>
  <si>
    <t>BJ44</t>
  </si>
  <si>
    <t>unused_XM2_B2D8</t>
  </si>
  <si>
    <t>xm2_b2d8</t>
  </si>
  <si>
    <t>BJ42</t>
  </si>
  <si>
    <t>unused_XM2_B2DIFFN</t>
  </si>
  <si>
    <t>xm2_b2diffn</t>
  </si>
  <si>
    <t>BK42</t>
  </si>
  <si>
    <t>unused_XM2_B2DIFFP</t>
  </si>
  <si>
    <t>xm2_b2diffp</t>
  </si>
  <si>
    <t>BJ43</t>
  </si>
  <si>
    <t>unused_XM2_B2C</t>
  </si>
  <si>
    <t>xm2_b2c</t>
  </si>
  <si>
    <t>BK41</t>
  </si>
  <si>
    <t>unused_XM2_B3D0</t>
  </si>
  <si>
    <t>xm2_b3d0</t>
  </si>
  <si>
    <t>BM41</t>
  </si>
  <si>
    <t>unused_XM2_B3D1</t>
  </si>
  <si>
    <t>xm2_b3d1</t>
  </si>
  <si>
    <t>BD41</t>
  </si>
  <si>
    <t>unused_XM2_B3D2</t>
  </si>
  <si>
    <t>xm2_b3d2</t>
  </si>
  <si>
    <t>BH40</t>
  </si>
  <si>
    <t>unused_XM2_B3D3</t>
  </si>
  <si>
    <t>xm2_b3d3</t>
  </si>
  <si>
    <t>BJ41</t>
  </si>
  <si>
    <t>unused_XM2_B3D4</t>
  </si>
  <si>
    <t>xm2_b3d4</t>
  </si>
  <si>
    <t>BD42</t>
  </si>
  <si>
    <t>unused_XM2_B3D5</t>
  </si>
  <si>
    <t>xm2_b3d5</t>
  </si>
  <si>
    <t>BC42</t>
  </si>
  <si>
    <t>unused_XM2_B3D6</t>
  </si>
  <si>
    <t>xm2_b3d6</t>
  </si>
  <si>
    <t>BF42</t>
  </si>
  <si>
    <t>unused_XM2_B3D7</t>
  </si>
  <si>
    <t>xm2_b3d7</t>
  </si>
  <si>
    <t>BG42</t>
  </si>
  <si>
    <t>unused_XM2_B3D8</t>
  </si>
  <si>
    <t>xm2_b3d8</t>
  </si>
  <si>
    <t>BG41</t>
  </si>
  <si>
    <t>unused_XM2_B3DIFFN</t>
  </si>
  <si>
    <t>xm2_b3diffn</t>
  </si>
  <si>
    <t>BF41</t>
  </si>
  <si>
    <t>unused_XM2_B3DIFFP</t>
  </si>
  <si>
    <t>xm2_b3diffp</t>
  </si>
  <si>
    <t>BE41</t>
  </si>
  <si>
    <t>unused_XM2_B3C</t>
  </si>
  <si>
    <t>xm2_b3c</t>
  </si>
  <si>
    <t>BD39</t>
  </si>
  <si>
    <t>unused_XM2_B4D0</t>
  </si>
  <si>
    <t>xm2_b4d0</t>
  </si>
  <si>
    <t>BB40</t>
  </si>
  <si>
    <t>unused_XM2_B4D1</t>
  </si>
  <si>
    <t>xm2_b4d1</t>
  </si>
  <si>
    <t>BC39</t>
  </si>
  <si>
    <t>unused_XM2_B4D2</t>
  </si>
  <si>
    <t>xm2_b4d2</t>
  </si>
  <si>
    <t>BG39</t>
  </si>
  <si>
    <t>unused_XM2_B4D3</t>
  </si>
  <si>
    <t>xm2_b4d3</t>
  </si>
  <si>
    <t>BC40</t>
  </si>
  <si>
    <t>unused_XM2_B4D4</t>
  </si>
  <si>
    <t>xm2_b4d4</t>
  </si>
  <si>
    <t>BE40</t>
  </si>
  <si>
    <t>unused_XM2_B4D5</t>
  </si>
  <si>
    <t>xm2_b4d5</t>
  </si>
  <si>
    <t>BF40</t>
  </si>
  <si>
    <t>unused_XM2_B4D6</t>
  </si>
  <si>
    <t>xm2_b4d6</t>
  </si>
  <si>
    <t>BF39</t>
  </si>
  <si>
    <t>unused_XM2_B4D7</t>
  </si>
  <si>
    <t>xm2_b4d7</t>
  </si>
  <si>
    <t>BJ40</t>
  </si>
  <si>
    <t>unused_XM2_B4D8</t>
  </si>
  <si>
    <t>xm2_b4d8</t>
  </si>
  <si>
    <t>BK39</t>
  </si>
  <si>
    <t>unused_XM2_B4DIFFN</t>
  </si>
  <si>
    <t>xm2_b4diffn</t>
  </si>
  <si>
    <t>BJ39</t>
  </si>
  <si>
    <t>unused_XM2_B4DIFFP</t>
  </si>
  <si>
    <t>xm2_b4diffp</t>
  </si>
  <si>
    <t>BM39</t>
  </si>
  <si>
    <t>unused_XM2_B4C</t>
  </si>
  <si>
    <t>xm2_b4c</t>
  </si>
  <si>
    <t>BC37</t>
  </si>
  <si>
    <t>unused_XM2_B5D0</t>
  </si>
  <si>
    <t>xm2_b5d0</t>
  </si>
  <si>
    <t>BH37</t>
  </si>
  <si>
    <t>unused_XM2_B5D1</t>
  </si>
  <si>
    <t>xm2_b5d1</t>
  </si>
  <si>
    <t>BJ37</t>
  </si>
  <si>
    <t>unused_XM2_B5D2</t>
  </si>
  <si>
    <t>xm2_b5d2</t>
  </si>
  <si>
    <t>BM38</t>
  </si>
  <si>
    <t>unused_XM2_B5D3</t>
  </si>
  <si>
    <t>xm2_b5d3</t>
  </si>
  <si>
    <t>BB37</t>
  </si>
  <si>
    <t>unused_XM2_B5D4</t>
  </si>
  <si>
    <t>xm2_b5d4</t>
  </si>
  <si>
    <t>BE38</t>
  </si>
  <si>
    <t>unused_XM2_B5D5</t>
  </si>
  <si>
    <t>xm2_b5d5</t>
  </si>
  <si>
    <t>BD38</t>
  </si>
  <si>
    <t>unused_XM2_B5D6</t>
  </si>
  <si>
    <t>xm2_b5d6</t>
  </si>
  <si>
    <t>BK38</t>
  </si>
  <si>
    <t>unused_XM2_B5D7</t>
  </si>
  <si>
    <t>xm2_b5d7</t>
  </si>
  <si>
    <t>BJ38</t>
  </si>
  <si>
    <t>unused_XM2_B5D8</t>
  </si>
  <si>
    <t>xm2_b5d8</t>
  </si>
  <si>
    <t>BF38</t>
  </si>
  <si>
    <t>unused_XM2_B5DIFFN</t>
  </si>
  <si>
    <t>xm2_b5diffn</t>
  </si>
  <si>
    <t>BG38</t>
  </si>
  <si>
    <t>unused_XM2_B5DIFFP</t>
  </si>
  <si>
    <t>xm2_b5diffp</t>
  </si>
  <si>
    <t>BH39</t>
  </si>
  <si>
    <t>unused_XM2_B5C</t>
  </si>
  <si>
    <t>xm2_b5c</t>
  </si>
  <si>
    <t>BF37</t>
  </si>
  <si>
    <t>unused_XM2_B6D0</t>
  </si>
  <si>
    <t>xm2_b6d0</t>
  </si>
  <si>
    <t>BE37</t>
  </si>
  <si>
    <t>unused_XM2_B6D1</t>
  </si>
  <si>
    <t>xm2_b6d1</t>
  </si>
  <si>
    <t>BD36</t>
  </si>
  <si>
    <t>unused_XM2_B6D2</t>
  </si>
  <si>
    <t>xm2_b6d2</t>
  </si>
  <si>
    <t>BG35</t>
  </si>
  <si>
    <t>unused_XM2_B6D3</t>
  </si>
  <si>
    <t>xm2_b6d3</t>
  </si>
  <si>
    <t>BC36</t>
  </si>
  <si>
    <t>unused_XM2_B6D4</t>
  </si>
  <si>
    <t>xm2_b6d4</t>
  </si>
  <si>
    <t>BH36</t>
  </si>
  <si>
    <t>unused_XM2_B6D5</t>
  </si>
  <si>
    <t>xm2_b6d5</t>
  </si>
  <si>
    <t>BM36</t>
  </si>
  <si>
    <t>unused_XM2_B6D6</t>
  </si>
  <si>
    <t>xm2_b6d6</t>
  </si>
  <si>
    <t>BK36</t>
  </si>
  <si>
    <t>unused_XM2_B6D7</t>
  </si>
  <si>
    <t>xm2_b6d7</t>
  </si>
  <si>
    <t>BJ36</t>
  </si>
  <si>
    <t>unused_XM2_B6D8</t>
  </si>
  <si>
    <t>xm2_b6d8</t>
  </si>
  <si>
    <t>BG36</t>
  </si>
  <si>
    <t>unused_XM2_B6DIFFN</t>
  </si>
  <si>
    <t>xm2_b6diffn</t>
  </si>
  <si>
    <t>BF36</t>
  </si>
  <si>
    <t>unused_XM2_B6DIFFP</t>
  </si>
  <si>
    <t>xm2_b6diffp</t>
  </si>
  <si>
    <t>BF35</t>
  </si>
  <si>
    <t>unused_XM2_B6C</t>
  </si>
  <si>
    <t>xm2_b6c</t>
  </si>
  <si>
    <t>BC34</t>
  </si>
  <si>
    <t>unused_XM2_B7D0</t>
  </si>
  <si>
    <t>xm2_b7d0</t>
  </si>
  <si>
    <t>BB34</t>
  </si>
  <si>
    <t>unused_XM2_B7D1</t>
  </si>
  <si>
    <t>xm2_b7d1</t>
  </si>
  <si>
    <t>BF34</t>
  </si>
  <si>
    <t>unused_XM2_B7D2</t>
  </si>
  <si>
    <t>xm2_b7d2</t>
  </si>
  <si>
    <t>BD33</t>
  </si>
  <si>
    <t>unused_XM2_B7D3</t>
  </si>
  <si>
    <t>xm2_b7d3</t>
  </si>
  <si>
    <t>BM35</t>
  </si>
  <si>
    <t>unused_XM2_B7D4</t>
  </si>
  <si>
    <t>xm2_b7d4</t>
  </si>
  <si>
    <t>BG33</t>
  </si>
  <si>
    <t>unused_XM2_B7D5</t>
  </si>
  <si>
    <t>xm2_b7d5</t>
  </si>
  <si>
    <t>BC33</t>
  </si>
  <si>
    <t>unused_XM2_B7D6</t>
  </si>
  <si>
    <t>xm2_b7d6</t>
  </si>
  <si>
    <t>BJ35</t>
  </si>
  <si>
    <t>unused_XM2_B7D7</t>
  </si>
  <si>
    <t>xm2_b7d7</t>
  </si>
  <si>
    <t>BK35</t>
  </si>
  <si>
    <t>unused_XM2_B7D8</t>
  </si>
  <si>
    <t>xm2_b7d8</t>
  </si>
  <si>
    <t>BJ34</t>
  </si>
  <si>
    <t>unused_XM2_B7DIFFN</t>
  </si>
  <si>
    <t>xm2_b7diffn</t>
  </si>
  <si>
    <t>BH34</t>
  </si>
  <si>
    <t>unused_XM2_B7DIFFP</t>
  </si>
  <si>
    <t>xm2_b7diffp</t>
  </si>
  <si>
    <t>BE34</t>
  </si>
  <si>
    <t>unused_XM2_B7C</t>
  </si>
  <si>
    <t>xm2_b7c</t>
  </si>
  <si>
    <t>BK32</t>
  </si>
  <si>
    <t>unused_XM2_B8D0</t>
  </si>
  <si>
    <t>xm2_b8d0</t>
  </si>
  <si>
    <t>BF33</t>
  </si>
  <si>
    <t>unused_XM2_B8D1</t>
  </si>
  <si>
    <t>xm2_b8d1</t>
  </si>
  <si>
    <t>BM32</t>
  </si>
  <si>
    <t>unused_XM2_B8D2</t>
  </si>
  <si>
    <t>xm2_b8d2</t>
  </si>
  <si>
    <t>BM33</t>
  </si>
  <si>
    <t>unused_XM2_B8D3</t>
  </si>
  <si>
    <t>xm2_b8d3</t>
  </si>
  <si>
    <t>BG32</t>
  </si>
  <si>
    <t>unused_XM2_B8D4</t>
  </si>
  <si>
    <t>xm2_b8d4</t>
  </si>
  <si>
    <t>BD32</t>
  </si>
  <si>
    <t>unused_XM2_B8D5</t>
  </si>
  <si>
    <t>xm2_b8d5</t>
  </si>
  <si>
    <t>BE32</t>
  </si>
  <si>
    <t>unused_XM2_B8D6</t>
  </si>
  <si>
    <t>xm2_b8d6</t>
  </si>
  <si>
    <t>BJ32</t>
  </si>
  <si>
    <t>unused_XM2_B8D7</t>
  </si>
  <si>
    <t>xm2_b8d7</t>
  </si>
  <si>
    <t>BH33</t>
  </si>
  <si>
    <t>unused_XM2_B8D8</t>
  </si>
  <si>
    <t>xm2_b8d8</t>
  </si>
  <si>
    <t>BJ33</t>
  </si>
  <si>
    <t>unused_XM2_B8DIFFN</t>
  </si>
  <si>
    <t>xm2_b8diffn</t>
  </si>
  <si>
    <t>BK33</t>
  </si>
  <si>
    <t>unused_XM2_B8DIFFP</t>
  </si>
  <si>
    <t>xm2_b8diffp</t>
  </si>
  <si>
    <t>BF32</t>
  </si>
  <si>
    <t>unused_XM2_B8C</t>
  </si>
  <si>
    <t>xm2_b8c</t>
  </si>
  <si>
    <t>BC31</t>
  </si>
  <si>
    <t>unused_XM2_B9D0</t>
  </si>
  <si>
    <t>xm2_b9d0</t>
  </si>
  <si>
    <t>BJ31</t>
  </si>
  <si>
    <t>unused_XM2_B9D1</t>
  </si>
  <si>
    <t>xm2_b9d1</t>
  </si>
  <si>
    <t>BH31</t>
  </si>
  <si>
    <t>unused_XM2_B9D2</t>
  </si>
  <si>
    <t>xm2_b9d2</t>
  </si>
  <si>
    <t>BG30</t>
  </si>
  <si>
    <t>unused_XM2_B9D3</t>
  </si>
  <si>
    <t>xm2_b9d3</t>
  </si>
  <si>
    <t>BK30</t>
  </si>
  <si>
    <t>unused_XM2_B9D4</t>
  </si>
  <si>
    <t>xm2_b9d4</t>
  </si>
  <si>
    <t>BH30</t>
  </si>
  <si>
    <t>unused_XM2_B9D5</t>
  </si>
  <si>
    <t>xm2_b9d5</t>
  </si>
  <si>
    <t>BF30</t>
  </si>
  <si>
    <t>unused_XM2_B9D6</t>
  </si>
  <si>
    <t>xm2_b9d6</t>
  </si>
  <si>
    <t>BM30</t>
  </si>
  <si>
    <t>unused_XM2_B9D7</t>
  </si>
  <si>
    <t>xm2_b9d7</t>
  </si>
  <si>
    <t>BJ30</t>
  </si>
  <si>
    <t>unused_XM2_B9D8</t>
  </si>
  <si>
    <t>xm2_b9d8</t>
  </si>
  <si>
    <t>BE31</t>
  </si>
  <si>
    <t>unused_XM2_B9DIFFN</t>
  </si>
  <si>
    <t>xm2_b9diffn</t>
  </si>
  <si>
    <t>BF31</t>
  </si>
  <si>
    <t>unused_XM2_B9DIFFP</t>
  </si>
  <si>
    <t>xm2_b9diffp</t>
  </si>
  <si>
    <t>BB31</t>
  </si>
  <si>
    <t>unused_XM2_B9C</t>
  </si>
  <si>
    <t>xm2_b9c</t>
  </si>
  <si>
    <t>BG29</t>
  </si>
  <si>
    <t>unused_XM2_B10D0</t>
  </si>
  <si>
    <t>xm2_b10d0</t>
  </si>
  <si>
    <t>BD30</t>
  </si>
  <si>
    <t>unused_XM2_B10D1</t>
  </si>
  <si>
    <t>xm2_b10d1</t>
  </si>
  <si>
    <t>BM29</t>
  </si>
  <si>
    <t>unused_XM2_B10D2</t>
  </si>
  <si>
    <t>xm2_b10d2</t>
  </si>
  <si>
    <t>BJ28</t>
  </si>
  <si>
    <t>unused_XM2_B10D3</t>
  </si>
  <si>
    <t>xm2_b10d3</t>
  </si>
  <si>
    <t>BH28</t>
  </si>
  <si>
    <t>unused_XM2_B10D4</t>
  </si>
  <si>
    <t>xm2_b10d4</t>
  </si>
  <si>
    <t>BD29</t>
  </si>
  <si>
    <t>unused_XM2_B10D5</t>
  </si>
  <si>
    <t>xm2_b10d5</t>
  </si>
  <si>
    <t>BF28</t>
  </si>
  <si>
    <t>unused_XM2_B10D6</t>
  </si>
  <si>
    <t>xm2_b10d6</t>
  </si>
  <si>
    <t>BF29</t>
  </si>
  <si>
    <t>unused_XM2_B10D7</t>
  </si>
  <si>
    <t>xm2_b10d7</t>
  </si>
  <si>
    <t>BE29</t>
  </si>
  <si>
    <t>unused_XM2_B10D8</t>
  </si>
  <si>
    <t>xm2_b10d8</t>
  </si>
  <si>
    <t>BJ29</t>
  </si>
  <si>
    <t>unused_XM2_B10DIFFN</t>
  </si>
  <si>
    <t>xm2_b10diffn</t>
  </si>
  <si>
    <t>BK29</t>
  </si>
  <si>
    <t>unused_XM2_B10DIFFP</t>
  </si>
  <si>
    <t>xm2_b10diffp</t>
  </si>
  <si>
    <t>BC30</t>
  </si>
  <si>
    <t>unused_XM2_B10C</t>
  </si>
  <si>
    <t>xm2_b10c</t>
  </si>
  <si>
    <t>BM27</t>
  </si>
  <si>
    <t>unused_XM2_B11D0</t>
  </si>
  <si>
    <t>xm2_b11d0</t>
  </si>
  <si>
    <t>BB28</t>
  </si>
  <si>
    <t>unused_XM2_B11D1</t>
  </si>
  <si>
    <t>xm2_b11d1</t>
  </si>
  <si>
    <t>BC28</t>
  </si>
  <si>
    <t>unused_XM2_B11D2</t>
  </si>
  <si>
    <t>xm2_b11d2</t>
  </si>
  <si>
    <t>BE28</t>
  </si>
  <si>
    <t>unused_XM2_B11D3</t>
  </si>
  <si>
    <t>xm2_b11d3</t>
  </si>
  <si>
    <t>BC27</t>
  </si>
  <si>
    <t>unused_XM2_B11D4</t>
  </si>
  <si>
    <t>xm2_b11d4</t>
  </si>
  <si>
    <t>BH27</t>
  </si>
  <si>
    <t>unused_XM2_B11D5</t>
  </si>
  <si>
    <t>xm2_b11d5</t>
  </si>
  <si>
    <t>BD27</t>
  </si>
  <si>
    <t>unused_XM2_B11D6</t>
  </si>
  <si>
    <t>xm2_b11d6</t>
  </si>
  <si>
    <t>BK27</t>
  </si>
  <si>
    <t>unused_XM2_B11D7</t>
  </si>
  <si>
    <t>xm2_b11d7</t>
  </si>
  <si>
    <t>BM26</t>
  </si>
  <si>
    <t>unused_XM2_B11D8</t>
  </si>
  <si>
    <t>xm2_b11d8</t>
  </si>
  <si>
    <t>BF27</t>
  </si>
  <si>
    <t>unused_XM2_B11DIFFN</t>
  </si>
  <si>
    <t>xm2_b11diffn</t>
  </si>
  <si>
    <t>BG27</t>
  </si>
  <si>
    <t>unused_XM2_B11DIFFP</t>
  </si>
  <si>
    <t>xm2_b11diffp</t>
  </si>
  <si>
    <t>BJ27</t>
  </si>
  <si>
    <t>unused_XM2_B11C</t>
  </si>
  <si>
    <t>xm2_b11c</t>
  </si>
  <si>
    <t>BG4</t>
  </si>
  <si>
    <t>unused_XM3_B0D0</t>
  </si>
  <si>
    <t>xm3_b0d0</t>
  </si>
  <si>
    <t>vddio_ddr3</t>
  </si>
  <si>
    <t>BH3</t>
  </si>
  <si>
    <t>unused_XM3_B0D1</t>
  </si>
  <si>
    <t>xm3_b0d1</t>
  </si>
  <si>
    <t>BH1</t>
  </si>
  <si>
    <t>unused_XM3_B0D2</t>
  </si>
  <si>
    <t>xm3_b0d2</t>
  </si>
  <si>
    <t>BK4</t>
  </si>
  <si>
    <t>unused_XM3_B0D3</t>
  </si>
  <si>
    <t>xm3_b0d3</t>
  </si>
  <si>
    <t>BH4</t>
  </si>
  <si>
    <t>unused_XM3_B0D4</t>
  </si>
  <si>
    <t>xm3_b0d4</t>
  </si>
  <si>
    <t>BG1</t>
  </si>
  <si>
    <t>unused_XM3_B0D5</t>
  </si>
  <si>
    <t>xm3_b0d5</t>
  </si>
  <si>
    <t>BF5</t>
  </si>
  <si>
    <t>unused_XM3_B0D6</t>
  </si>
  <si>
    <t>xm3_b0d6</t>
  </si>
  <si>
    <t>BG3</t>
  </si>
  <si>
    <t>unused_XM3_B0D7</t>
  </si>
  <si>
    <t>xm3_b0d7</t>
  </si>
  <si>
    <t>BG5</t>
  </si>
  <si>
    <t>unused_XM3_B0D8</t>
  </si>
  <si>
    <t>xm3_b0d8</t>
  </si>
  <si>
    <t>BJ5</t>
  </si>
  <si>
    <t>unused_XM3_B0DIFFN</t>
  </si>
  <si>
    <t>xm3_b0diffn</t>
  </si>
  <si>
    <t>BK5</t>
  </si>
  <si>
    <t>unused_XM3_B0DIFFP</t>
  </si>
  <si>
    <t>xm3_b0diffp</t>
  </si>
  <si>
    <t>BJ3</t>
  </si>
  <si>
    <t>unused_XM3_B0C</t>
  </si>
  <si>
    <t>xm3_b0c</t>
  </si>
  <si>
    <t>BH7</t>
  </si>
  <si>
    <t>unused_XM3_B1D0</t>
  </si>
  <si>
    <t>xm3_b1d0</t>
  </si>
  <si>
    <t>BG8</t>
  </si>
  <si>
    <t>unused_XM3_B1D1</t>
  </si>
  <si>
    <t>xm3_b1d1</t>
  </si>
  <si>
    <t>BF8</t>
  </si>
  <si>
    <t>unused_XM3_B1D2</t>
  </si>
  <si>
    <t>xm3_b1d2</t>
  </si>
  <si>
    <t>BJ6</t>
  </si>
  <si>
    <t>unused_XM3_B1D3</t>
  </si>
  <si>
    <t>xm3_b1d3</t>
  </si>
  <si>
    <t>BM6</t>
  </si>
  <si>
    <t>unused_XM3_B1D4</t>
  </si>
  <si>
    <t>xm3_b1d4</t>
  </si>
  <si>
    <t>BK6</t>
  </si>
  <si>
    <t>unused_XM3_B1D5</t>
  </si>
  <si>
    <t>xm3_b1d5</t>
  </si>
  <si>
    <t>BM5</t>
  </si>
  <si>
    <t>unused_XM3_B1D6</t>
  </si>
  <si>
    <t>xm3_b1d6</t>
  </si>
  <si>
    <t>BG7</t>
  </si>
  <si>
    <t>unused_XM3_B1D7</t>
  </si>
  <si>
    <t>xm3_b1d7</t>
  </si>
  <si>
    <t>BH6</t>
  </si>
  <si>
    <t>unused_XM3_B1D8</t>
  </si>
  <si>
    <t>xm3_b1d8</t>
  </si>
  <si>
    <t>BJ8</t>
  </si>
  <si>
    <t>unused_XM3_B1DIFFN</t>
  </si>
  <si>
    <t>xm3_b1diffn</t>
  </si>
  <si>
    <t>BK8</t>
  </si>
  <si>
    <t>unused_XM3_B1DIFFP</t>
  </si>
  <si>
    <t>xm3_b1diffp</t>
  </si>
  <si>
    <t>BJ7</t>
  </si>
  <si>
    <t>unused_XM3_B1C</t>
  </si>
  <si>
    <t>xm3_b1c</t>
  </si>
  <si>
    <t>BH9</t>
  </si>
  <si>
    <t>unused_XM3_B2D0</t>
  </si>
  <si>
    <t>xm3_b2d0</t>
  </si>
  <si>
    <t>BM8</t>
  </si>
  <si>
    <t>unused_XM3_B2D1</t>
  </si>
  <si>
    <t>xm3_b2d1</t>
  </si>
  <si>
    <t>BK9</t>
  </si>
  <si>
    <t>unused_XM3_B2D2</t>
  </si>
  <si>
    <t>xm3_b2d2</t>
  </si>
  <si>
    <t>BG9</t>
  </si>
  <si>
    <t>unused_XM3_B2D3</t>
  </si>
  <si>
    <t>xm3_b2d3</t>
  </si>
  <si>
    <t>BM9</t>
  </si>
  <si>
    <t>unused_XM3_B2D4</t>
  </si>
  <si>
    <t>xm3_b2d4</t>
  </si>
  <si>
    <t>BF9</t>
  </si>
  <si>
    <t>unused_XM3_B2D5</t>
  </si>
  <si>
    <t>xm3_b2d5</t>
  </si>
  <si>
    <t>BE10</t>
  </si>
  <si>
    <t>unused_XM3_B2D6</t>
  </si>
  <si>
    <t>xm3_b2d6</t>
  </si>
  <si>
    <t>BF10</t>
  </si>
  <si>
    <t>unused_XM3_B2D7</t>
  </si>
  <si>
    <t>xm3_b2d7</t>
  </si>
  <si>
    <t>BJ9</t>
  </si>
  <si>
    <t>unused_XM3_B2D8</t>
  </si>
  <si>
    <t>xm3_b2d8</t>
  </si>
  <si>
    <t>BH10</t>
  </si>
  <si>
    <t>unused_XM3_B2DIFFN</t>
  </si>
  <si>
    <t>xm3_b2diffn</t>
  </si>
  <si>
    <t>BJ10</t>
  </si>
  <si>
    <t>unused_XM3_B2DIFFP</t>
  </si>
  <si>
    <t>xm3_b2diffp</t>
  </si>
  <si>
    <t>BE11</t>
  </si>
  <si>
    <t>unused_XM3_B2C</t>
  </si>
  <si>
    <t>xm3_b2c</t>
  </si>
  <si>
    <t>BM11</t>
  </si>
  <si>
    <t>unused_XM3_B3D0</t>
  </si>
  <si>
    <t>xm3_b3d0</t>
  </si>
  <si>
    <t>BH12</t>
  </si>
  <si>
    <t>unused_XM3_B3D1</t>
  </si>
  <si>
    <t>xm3_b3d1</t>
  </si>
  <si>
    <t>BM12</t>
  </si>
  <si>
    <t>unused_XM3_B3D2</t>
  </si>
  <si>
    <t>xm3_b3d2</t>
  </si>
  <si>
    <t>BG12</t>
  </si>
  <si>
    <t>unused_XM3_B3D3</t>
  </si>
  <si>
    <t>xm3_b3d3</t>
  </si>
  <si>
    <t>BC12</t>
  </si>
  <si>
    <t>unused_XM3_B3D4</t>
  </si>
  <si>
    <t>xm3_b3d4</t>
  </si>
  <si>
    <t>BD12</t>
  </si>
  <si>
    <t>unused_XM3_B3D5</t>
  </si>
  <si>
    <t>xm3_b3d5</t>
  </si>
  <si>
    <t>BF11</t>
  </si>
  <si>
    <t>unused_XM3_B3D6</t>
  </si>
  <si>
    <t>xm3_b3d6</t>
  </si>
  <si>
    <t>BG11</t>
  </si>
  <si>
    <t>unused_XM3_B3D7</t>
  </si>
  <si>
    <t>xm3_b3d7</t>
  </si>
  <si>
    <t>BF12</t>
  </si>
  <si>
    <t>unused_XM3_B3D8</t>
  </si>
  <si>
    <t>xm3_b3d8</t>
  </si>
  <si>
    <t>BK11</t>
  </si>
  <si>
    <t>unused_XM3_B3DIFFN</t>
  </si>
  <si>
    <t>xm3_b3diffn</t>
  </si>
  <si>
    <t>BJ11</t>
  </si>
  <si>
    <t>unused_XM3_B3DIFFP</t>
  </si>
  <si>
    <t>xm3_b3diffp</t>
  </si>
  <si>
    <t>BD11</t>
  </si>
  <si>
    <t>unused_XM3_B3C</t>
  </si>
  <si>
    <t>xm3_b3c</t>
  </si>
  <si>
    <t>BF13</t>
  </si>
  <si>
    <t>unused_XM3_B4D0</t>
  </si>
  <si>
    <t>xm3_b4d0</t>
  </si>
  <si>
    <t>BM14</t>
  </si>
  <si>
    <t>unused_XM3_B4D1</t>
  </si>
  <si>
    <t>xm3_b4d1</t>
  </si>
  <si>
    <t>BK14</t>
  </si>
  <si>
    <t>unused_XM3_B4D2</t>
  </si>
  <si>
    <t>xm3_b4d2</t>
  </si>
  <si>
    <t>BB13</t>
  </si>
  <si>
    <t>unused_XM3_B4D3</t>
  </si>
  <si>
    <t>xm3_b4d3</t>
  </si>
  <si>
    <t>BJ14</t>
  </si>
  <si>
    <t>unused_XM3_B4D4</t>
  </si>
  <si>
    <t>xm3_b4d4</t>
  </si>
  <si>
    <t>BE13</t>
  </si>
  <si>
    <t>unused_XM3_B4D5</t>
  </si>
  <si>
    <t>xm3_b4d5</t>
  </si>
  <si>
    <t>BC13</t>
  </si>
  <si>
    <t>unused_XM3_B4D6</t>
  </si>
  <si>
    <t>xm3_b4d6</t>
  </si>
  <si>
    <t>BJ12</t>
  </si>
  <si>
    <t>unused_XM3_B4D7</t>
  </si>
  <si>
    <t>xm3_b4d7</t>
  </si>
  <si>
    <t>BK12</t>
  </si>
  <si>
    <t>unused_XM3_B4D8</t>
  </si>
  <si>
    <t>xm3_b4d8</t>
  </si>
  <si>
    <t>BJ13</t>
  </si>
  <si>
    <t>unused_XM3_B4DIFFN</t>
  </si>
  <si>
    <t>xm3_b4diffn</t>
  </si>
  <si>
    <t>BH13</t>
  </si>
  <si>
    <t>unused_XM3_B4DIFFP</t>
  </si>
  <si>
    <t>xm3_b4diffp</t>
  </si>
  <si>
    <t>BF14</t>
  </si>
  <si>
    <t>unused_XM3_B4C</t>
  </si>
  <si>
    <t>xm3_b4c</t>
  </si>
  <si>
    <t>BH15</t>
  </si>
  <si>
    <t>unused_XM3_B5D0</t>
  </si>
  <si>
    <t>xm3_b5d0</t>
  </si>
  <si>
    <t>BM15</t>
  </si>
  <si>
    <t>unused_XM3_B5D1</t>
  </si>
  <si>
    <t>xm3_b5d1</t>
  </si>
  <si>
    <t>BK15</t>
  </si>
  <si>
    <t>unused_XM3_B5D2</t>
  </si>
  <si>
    <t>xm3_b5d2</t>
  </si>
  <si>
    <t>BG14</t>
  </si>
  <si>
    <t>unused_XM3_B5D3</t>
  </si>
  <si>
    <t>xm3_b5d3</t>
  </si>
  <si>
    <t>BD14</t>
  </si>
  <si>
    <t>unused_XM3_B5D4</t>
  </si>
  <si>
    <t>xm3_b5d4</t>
  </si>
  <si>
    <t>BD15</t>
  </si>
  <si>
    <t>unused_XM3_B5D5</t>
  </si>
  <si>
    <t>xm3_b5d5</t>
  </si>
  <si>
    <t>BC15</t>
  </si>
  <si>
    <t>unused_XM3_B5D6</t>
  </si>
  <si>
    <t>xm3_b5d6</t>
  </si>
  <si>
    <t>BE14</t>
  </si>
  <si>
    <t>unused_XM3_B5D7</t>
  </si>
  <si>
    <t>xm3_b5d7</t>
  </si>
  <si>
    <t>BJ15</t>
  </si>
  <si>
    <t>unused_XM3_B5D8</t>
  </si>
  <si>
    <t>xm3_b5d8</t>
  </si>
  <si>
    <t>BG15</t>
  </si>
  <si>
    <t>unused_XM3_B5DIFFN</t>
  </si>
  <si>
    <t>xm3_b5diffn</t>
  </si>
  <si>
    <t>BF15</t>
  </si>
  <si>
    <t>unused_XM3_B5DIFFP</t>
  </si>
  <si>
    <t>xm3_b5diffp</t>
  </si>
  <si>
    <t>BB16</t>
  </si>
  <si>
    <t>unused_XM3_B5C</t>
  </si>
  <si>
    <t>xm3_b5c</t>
  </si>
  <si>
    <t>BF16</t>
  </si>
  <si>
    <t>unused_XM3_B6D0</t>
  </si>
  <si>
    <t>xm3_b6d0</t>
  </si>
  <si>
    <t>BD17</t>
  </si>
  <si>
    <t>unused_XM3_B6D1</t>
  </si>
  <si>
    <t>xm3_b6d1</t>
  </si>
  <si>
    <t>BE16</t>
  </si>
  <si>
    <t>unused_XM3_B6D2</t>
  </si>
  <si>
    <t>xm3_b6d2</t>
  </si>
  <si>
    <t>BG17</t>
  </si>
  <si>
    <t>unused_XM3_B6D3</t>
  </si>
  <si>
    <t>xm3_b6d3</t>
  </si>
  <si>
    <t>BE17</t>
  </si>
  <si>
    <t>unused_XM3_B6D4</t>
  </si>
  <si>
    <t>xm3_b6d4</t>
  </si>
  <si>
    <t>BK17</t>
  </si>
  <si>
    <t>unused_XM3_B6D5</t>
  </si>
  <si>
    <t>xm3_b6d5</t>
  </si>
  <si>
    <t>BJ17</t>
  </si>
  <si>
    <t>unused_XM3_B6D6</t>
  </si>
  <si>
    <t>xm3_b6d6</t>
  </si>
  <si>
    <t>BF17</t>
  </si>
  <si>
    <t>unused_XM3_B6D7</t>
  </si>
  <si>
    <t>xm3_b6d7</t>
  </si>
  <si>
    <t>BC16</t>
  </si>
  <si>
    <t>unused_XM3_B6D8</t>
  </si>
  <si>
    <t>xm3_b6d8</t>
  </si>
  <si>
    <t>BJ16</t>
  </si>
  <si>
    <t>unused_XM3_B6DIFFN</t>
  </si>
  <si>
    <t>xm3_b6diffn</t>
  </si>
  <si>
    <t>BH16</t>
  </si>
  <si>
    <t>unused_XM3_B6DIFFP</t>
  </si>
  <si>
    <t>xm3_b6diffp</t>
  </si>
  <si>
    <t>BM17</t>
  </si>
  <si>
    <t>unused_XM3_B6C</t>
  </si>
  <si>
    <t>xm3_b6c</t>
  </si>
  <si>
    <t>BG18</t>
  </si>
  <si>
    <t>unused_XM3_B7D0</t>
  </si>
  <si>
    <t>xm3_b7d0</t>
  </si>
  <si>
    <t>BC19</t>
  </si>
  <si>
    <t>unused_XM3_B7D1</t>
  </si>
  <si>
    <t>xm3_b7d1</t>
  </si>
  <si>
    <t>BF18</t>
  </si>
  <si>
    <t>unused_XM3_B7D2</t>
  </si>
  <si>
    <t>xm3_b7d2</t>
  </si>
  <si>
    <t>BJ19</t>
  </si>
  <si>
    <t>unused_XM3_B7D3</t>
  </si>
  <si>
    <t>xm3_b7d3</t>
  </si>
  <si>
    <t>BE19</t>
  </si>
  <si>
    <t>unused_XM3_B7D4</t>
  </si>
  <si>
    <t>xm3_b7d4</t>
  </si>
  <si>
    <t>BB19</t>
  </si>
  <si>
    <t>unused_XM3_B7D5</t>
  </si>
  <si>
    <t>xm3_b7d5</t>
  </si>
  <si>
    <t>BH19</t>
  </si>
  <si>
    <t>unused_XM3_B7D6</t>
  </si>
  <si>
    <t>xm3_b7d6</t>
  </si>
  <si>
    <t>BH18</t>
  </si>
  <si>
    <t>unused_XM3_B7D7</t>
  </si>
  <si>
    <t>xm3_b7d7</t>
  </si>
  <si>
    <t>BM18</t>
  </si>
  <si>
    <t>unused_XM3_B7D8</t>
  </si>
  <si>
    <t>xm3_b7d8</t>
  </si>
  <si>
    <t>BK18</t>
  </si>
  <si>
    <t>unused_XM3_B7DIFFN</t>
  </si>
  <si>
    <t>xm3_b7diffn</t>
  </si>
  <si>
    <t>BJ18</t>
  </si>
  <si>
    <t>unused_XM3_B7DIFFP</t>
  </si>
  <si>
    <t>xm3_b7diffp</t>
  </si>
  <si>
    <t>BF19</t>
  </si>
  <si>
    <t>unused_XM3_B7C</t>
  </si>
  <si>
    <t>xm3_b7c</t>
  </si>
  <si>
    <t>BM20</t>
  </si>
  <si>
    <t>unused_XM3_B8D0</t>
  </si>
  <si>
    <t>xm3_b8d0</t>
  </si>
  <si>
    <t>BD20</t>
  </si>
  <si>
    <t>unused_XM3_B8D1</t>
  </si>
  <si>
    <t>xm3_b8d1</t>
  </si>
  <si>
    <t>BK20</t>
  </si>
  <si>
    <t>unused_XM3_B8D2</t>
  </si>
  <si>
    <t>xm3_b8d2</t>
  </si>
  <si>
    <t>BE20</t>
  </si>
  <si>
    <t>unused_XM3_B8D3</t>
  </si>
  <si>
    <t>xm3_b8d3</t>
  </si>
  <si>
    <t>BH21</t>
  </si>
  <si>
    <t>unused_XM3_B8D4</t>
  </si>
  <si>
    <t>xm3_b8d4</t>
  </si>
  <si>
    <t>BK21</t>
  </si>
  <si>
    <t>unused_XM3_B8D5</t>
  </si>
  <si>
    <t>xm3_b8d5</t>
  </si>
  <si>
    <t>BJ21</t>
  </si>
  <si>
    <t>unused_XM3_B8D6</t>
  </si>
  <si>
    <t>xm3_b8d6</t>
  </si>
  <si>
    <t>BF21</t>
  </si>
  <si>
    <t>unused_XM3_B8D7</t>
  </si>
  <si>
    <t>xm3_b8d7</t>
  </si>
  <si>
    <t>BM21</t>
  </si>
  <si>
    <t>unused_XM3_B8D8</t>
  </si>
  <si>
    <t>xm3_b8d8</t>
  </si>
  <si>
    <t>BG20</t>
  </si>
  <si>
    <t>unused_XM3_B8DIFFN</t>
  </si>
  <si>
    <t>xm3_b8diffn</t>
  </si>
  <si>
    <t>BF20</t>
  </si>
  <si>
    <t>unused_XM3_B8DIFFP</t>
  </si>
  <si>
    <t>xm3_b8diffp</t>
  </si>
  <si>
    <t>BJ20</t>
  </si>
  <si>
    <t>unused_XM3_B8C</t>
  </si>
  <si>
    <t>xm3_b8c</t>
  </si>
  <si>
    <t>BC22</t>
  </si>
  <si>
    <t>unused_XM3_B9D0</t>
  </si>
  <si>
    <t>xm3_b9d0</t>
  </si>
  <si>
    <t>BC21</t>
  </si>
  <si>
    <t>unused_XM3_B9D1</t>
  </si>
  <si>
    <t>xm3_b9d1</t>
  </si>
  <si>
    <t>BD21</t>
  </si>
  <si>
    <t>unused_XM3_B9D2</t>
  </si>
  <si>
    <t>xm3_b9d2</t>
  </si>
  <si>
    <t>BM23</t>
  </si>
  <si>
    <t>unused_XM3_B9D3</t>
  </si>
  <si>
    <t>xm3_b9d3</t>
  </si>
  <si>
    <t>BH22</t>
  </si>
  <si>
    <t>unused_XM3_B9D4</t>
  </si>
  <si>
    <t>xm3_b9d4</t>
  </si>
  <si>
    <t>BE22</t>
  </si>
  <si>
    <t>unused_XM3_B9D5</t>
  </si>
  <si>
    <t>xm3_b9d5</t>
  </si>
  <si>
    <t>BB22</t>
  </si>
  <si>
    <t>unused_XM3_B9D6</t>
  </si>
  <si>
    <t>xm3_b9d6</t>
  </si>
  <si>
    <t>BG21</t>
  </si>
  <si>
    <t>unused_XM3_B9D7</t>
  </si>
  <si>
    <t>xm3_b9d7</t>
  </si>
  <si>
    <t>BJ22</t>
  </si>
  <si>
    <t>unused_XM3_B9D8</t>
  </si>
  <si>
    <t>xm3_b9d8</t>
  </si>
  <si>
    <t>BK23</t>
  </si>
  <si>
    <t>unused_XM3_B9DIFFN</t>
  </si>
  <si>
    <t>xm3_b9diffn</t>
  </si>
  <si>
    <t>BJ23</t>
  </si>
  <si>
    <t>unused_XM3_B9DIFFP</t>
  </si>
  <si>
    <t>xm3_b9diffp</t>
  </si>
  <si>
    <t>BF22</t>
  </si>
  <si>
    <t>unused_XM3_B9C</t>
  </si>
  <si>
    <t>xm3_b9c</t>
  </si>
  <si>
    <t>BC24</t>
  </si>
  <si>
    <t>unused_XM3_B10D0</t>
  </si>
  <si>
    <t>xm3_b10d0</t>
  </si>
  <si>
    <t>BD23</t>
  </si>
  <si>
    <t>unused_XM3_B10D1</t>
  </si>
  <si>
    <t>xm3_b10d1</t>
  </si>
  <si>
    <t>BE23</t>
  </si>
  <si>
    <t>unused_XM3_B10D2</t>
  </si>
  <si>
    <t>xm3_b10d2</t>
  </si>
  <si>
    <t>BD24</t>
  </si>
  <si>
    <t>unused_XM3_B10D3</t>
  </si>
  <si>
    <t>xm3_b10d3</t>
  </si>
  <si>
    <t>BK24</t>
  </si>
  <si>
    <t>unused_XM3_B10D4</t>
  </si>
  <si>
    <t>xm3_b10d4</t>
  </si>
  <si>
    <t>BJ24</t>
  </si>
  <si>
    <t>unused_XM3_B10D5</t>
  </si>
  <si>
    <t>xm3_b10d5</t>
  </si>
  <si>
    <t>BM24</t>
  </si>
  <si>
    <t>unused_XM3_B10D6</t>
  </si>
  <si>
    <t>xm3_b10d6</t>
  </si>
  <si>
    <t>BF24</t>
  </si>
  <si>
    <t>unused_XM3_B10D7</t>
  </si>
  <si>
    <t>xm3_b10d7</t>
  </si>
  <si>
    <t>BH24</t>
  </si>
  <si>
    <t>unused_XM3_B10D8</t>
  </si>
  <si>
    <t>xm3_b10d8</t>
  </si>
  <si>
    <t>BG23</t>
  </si>
  <si>
    <t>unused_XM3_B10DIFFN</t>
  </si>
  <si>
    <t>xm3_b10diffn</t>
  </si>
  <si>
    <t>BF23</t>
  </si>
  <si>
    <t>unused_XM3_B10DIFFP</t>
  </si>
  <si>
    <t>xm3_b10diffp</t>
  </si>
  <si>
    <t>BG24</t>
  </si>
  <si>
    <t>unused_XM3_B10C</t>
  </si>
  <si>
    <t>xm3_b10c</t>
  </si>
  <si>
    <t>BB25</t>
  </si>
  <si>
    <t>unused_XM3_B11D0</t>
  </si>
  <si>
    <t>xm3_b11d0</t>
  </si>
  <si>
    <t>BC25</t>
  </si>
  <si>
    <t>unused_XM3_B11D1</t>
  </si>
  <si>
    <t>xm3_b11d1</t>
  </si>
  <si>
    <t>BE25</t>
  </si>
  <si>
    <t>unused_XM3_B11D2</t>
  </si>
  <si>
    <t>xm3_b11d2</t>
  </si>
  <si>
    <t>BF25</t>
  </si>
  <si>
    <t>unused_XM3_B11D3</t>
  </si>
  <si>
    <t>xm3_b11d3</t>
  </si>
  <si>
    <t>BF26</t>
  </si>
  <si>
    <t>unused_XM3_B11D4</t>
  </si>
  <si>
    <t>xm3_b11d4</t>
  </si>
  <si>
    <t>BJ26</t>
  </si>
  <si>
    <t>unused_XM3_B11D5</t>
  </si>
  <si>
    <t>xm3_b11d5</t>
  </si>
  <si>
    <t>BK26</t>
  </si>
  <si>
    <t>unused_XM3_B11D6</t>
  </si>
  <si>
    <t>xm3_b11d6</t>
  </si>
  <si>
    <t>BE26</t>
  </si>
  <si>
    <t>unused_XM3_B11D7</t>
  </si>
  <si>
    <t>xm3_b11d7</t>
  </si>
  <si>
    <t>BD26</t>
  </si>
  <si>
    <t>unused_XM3_B11D8</t>
  </si>
  <si>
    <t>xm3_b11d8</t>
  </si>
  <si>
    <t>BH25</t>
  </si>
  <si>
    <t>unused_XM3_B11DIFFN</t>
  </si>
  <si>
    <t>xm3_b11diffn</t>
  </si>
  <si>
    <t>BJ25</t>
  </si>
  <si>
    <t>unused_XM3_B11DIFFP</t>
  </si>
  <si>
    <t>xm3_b11diffp</t>
  </si>
  <si>
    <t>BG26</t>
  </si>
  <si>
    <t>unused_XM3_B11C</t>
  </si>
  <si>
    <t>xm3_b11c</t>
  </si>
  <si>
    <t>BF4</t>
  </si>
  <si>
    <t>unused_XM1_RESET</t>
  </si>
  <si>
    <t>xm1_reset</t>
  </si>
  <si>
    <t>vddio_vdd2_ddr1</t>
  </si>
  <si>
    <t>AA45</t>
  </si>
  <si>
    <t>unused_XTAL_IN</t>
  </si>
  <si>
    <t>OSCFI</t>
  </si>
  <si>
    <t>xtal_in</t>
  </si>
  <si>
    <t>avdd_osc</t>
  </si>
  <si>
    <t>OSCI27LP_EFCR90M14L_VDNCP1NCNC</t>
  </si>
  <si>
    <t>T</t>
  </si>
  <si>
    <t>AA44</t>
  </si>
  <si>
    <t>unused_XTAL_OUT</t>
  </si>
  <si>
    <t>OSCFO</t>
  </si>
  <si>
    <t>xtal_out</t>
  </si>
  <si>
    <t>zt</t>
  </si>
  <si>
    <t>NVHS</t>
  </si>
  <si>
    <t>NCHS</t>
  </si>
  <si>
    <t>XTAL (CVM Only)</t>
  </si>
  <si>
    <t>SHUTDOWN</t>
  </si>
  <si>
    <t>PE5</t>
  </si>
  <si>
    <t>I2S0_SCLK</t>
  </si>
  <si>
    <t>I2S0_FS</t>
  </si>
  <si>
    <t>I2S0_DOUT</t>
  </si>
  <si>
    <t>I2S0_DIN</t>
  </si>
  <si>
    <t>I2S1_DOUT</t>
  </si>
  <si>
    <t>I2S1_DIN</t>
  </si>
  <si>
    <t>CAM0_MCLK</t>
  </si>
  <si>
    <t>CAN_TX</t>
  </si>
  <si>
    <t>CAN_RX</t>
  </si>
  <si>
    <t>CSI4_D2_N</t>
  </si>
  <si>
    <t>CSI4_D2_P</t>
  </si>
  <si>
    <t>CSI4_D3_N</t>
  </si>
  <si>
    <t>CSI4_D3_P</t>
  </si>
  <si>
    <t>DP0_TXD0_N</t>
  </si>
  <si>
    <t>DP0_TXD0_P</t>
  </si>
  <si>
    <t>DP0_TXD1_N</t>
  </si>
  <si>
    <t>DP0_TXD1_P</t>
  </si>
  <si>
    <t>DP0_TXD2_N</t>
  </si>
  <si>
    <t>DP0_TXD2_P</t>
  </si>
  <si>
    <t>DP0_TXD3_N</t>
  </si>
  <si>
    <t>DP0_TXD3_P</t>
  </si>
  <si>
    <t>DP0_AUX_N</t>
  </si>
  <si>
    <t>DP0_AUX_P</t>
  </si>
  <si>
    <t>DP1_TXD0_P</t>
  </si>
  <si>
    <t>DP1_TXD0_N</t>
  </si>
  <si>
    <t>DP1_TXD1_P</t>
  </si>
  <si>
    <t>DP1_TXD1_N</t>
  </si>
  <si>
    <t>DP1_TXD2_P</t>
  </si>
  <si>
    <t>DP1_TXD2_N</t>
  </si>
  <si>
    <t>DP1_TXD3_P</t>
  </si>
  <si>
    <t>DP1_TXD3_N</t>
  </si>
  <si>
    <t>DP1_AUX_N</t>
  </si>
  <si>
    <t>DP1_AUX_P</t>
  </si>
  <si>
    <t>GPIO00</t>
  </si>
  <si>
    <t>I2C0_SCL</t>
  </si>
  <si>
    <t>I2C0_SDA</t>
  </si>
  <si>
    <t>I2C1_SCL</t>
  </si>
  <si>
    <t>I2C1_SDA</t>
  </si>
  <si>
    <t>I2C2_SCL</t>
  </si>
  <si>
    <t>I2C2_SDA</t>
  </si>
  <si>
    <t>PCIE0_RX0_N</t>
  </si>
  <si>
    <t>PCIE0_RX0_P</t>
  </si>
  <si>
    <t>PCIE0_RX1_P</t>
  </si>
  <si>
    <t>PCIE0_RX1_N</t>
  </si>
  <si>
    <t>PCIE0_RX2_P</t>
  </si>
  <si>
    <t>PCIE0_RX2_N</t>
  </si>
  <si>
    <t>PCIE0_RX3_P</t>
  </si>
  <si>
    <t>PCIE0_RX3_N</t>
  </si>
  <si>
    <t>PCIE0_TX0_P</t>
  </si>
  <si>
    <t>PCIE0_TX0_N</t>
  </si>
  <si>
    <t>PCIE0_TX1_P</t>
  </si>
  <si>
    <t>PCIE0_TX1_N</t>
  </si>
  <si>
    <t>PCIE0_TX2_P</t>
  </si>
  <si>
    <t>PCIE0_TX2_N</t>
  </si>
  <si>
    <t>PCIE0_TX3_P</t>
  </si>
  <si>
    <t>PCIE0_TX3_N</t>
  </si>
  <si>
    <t>PCIE0_RST*</t>
  </si>
  <si>
    <t>PCIE0_CLKREQ*</t>
  </si>
  <si>
    <t>PCIE0_CLK_N</t>
  </si>
  <si>
    <t>PCIE0_CLK_P</t>
  </si>
  <si>
    <t>PCIE1_RX0_P</t>
  </si>
  <si>
    <t>PCIE1_RX0_N</t>
  </si>
  <si>
    <t>PCIE1_TX0_P</t>
  </si>
  <si>
    <t>PCIE1_TX0_N</t>
  </si>
  <si>
    <t>PCIE1_RST_N</t>
  </si>
  <si>
    <t>PCIE1_CLKREQ_N</t>
  </si>
  <si>
    <t>PCIE1_CLK_P</t>
  </si>
  <si>
    <t>PCIE1_CLK_N</t>
  </si>
  <si>
    <t>SDMMC_CLK</t>
  </si>
  <si>
    <t>SDMMC_CMD</t>
  </si>
  <si>
    <t>SDMMC_DAT0</t>
  </si>
  <si>
    <t>SDMMC_DAT1</t>
  </si>
  <si>
    <t>SDMMC_DAT2</t>
  </si>
  <si>
    <t>SDMMC_DAT3</t>
  </si>
  <si>
    <t>SPI0_MISO</t>
  </si>
  <si>
    <t>SPI0_MOSI</t>
  </si>
  <si>
    <t>SYS_RESET*</t>
  </si>
  <si>
    <t>FORCE_RECOVERY*</t>
  </si>
  <si>
    <t>SLEEP/WAKE*</t>
  </si>
  <si>
    <t>UART0_TXD</t>
  </si>
  <si>
    <t>UART0_RXD</t>
  </si>
  <si>
    <t>UART0_RTS*</t>
  </si>
  <si>
    <t>UART0_CTS*</t>
  </si>
  <si>
    <t>UART1_TXD</t>
  </si>
  <si>
    <t>UART1_RXD</t>
  </si>
  <si>
    <t>UART1_RTS*</t>
  </si>
  <si>
    <t>UART1_CTS*</t>
  </si>
  <si>
    <t>UART2_TXD</t>
  </si>
  <si>
    <t>UART2_RXD</t>
  </si>
  <si>
    <t>USB0_D_N</t>
  </si>
  <si>
    <t>USB0_D_P</t>
  </si>
  <si>
    <t>USB1_D_N</t>
  </si>
  <si>
    <t>USB1_D_P</t>
  </si>
  <si>
    <t>USB2_D_N</t>
  </si>
  <si>
    <t>USB2_D_P</t>
  </si>
  <si>
    <t>USBSS_RX_N</t>
  </si>
  <si>
    <t>USBSS_RX_P</t>
  </si>
  <si>
    <t>USBSS_TX_N</t>
  </si>
  <si>
    <t>USBSS_TX_P</t>
  </si>
  <si>
    <t>DSI_CLK_N</t>
  </si>
  <si>
    <t>DSI_CLK_P</t>
  </si>
  <si>
    <t>DSI_D0_N</t>
  </si>
  <si>
    <t>DSI_D0_P</t>
  </si>
  <si>
    <t>DSI_D1_N</t>
  </si>
  <si>
    <t>DSI_D1_P</t>
  </si>
  <si>
    <t>Baseboard 40 Pin Header CLK</t>
  </si>
  <si>
    <t>Baseboard M.2 Connector</t>
  </si>
  <si>
    <t>Baseboard 40 Pin Header I2S</t>
  </si>
  <si>
    <t>Baseboard SDMMC</t>
  </si>
  <si>
    <t>Module SPI Flash</t>
  </si>
  <si>
    <t>QSPI_SCK_AP</t>
  </si>
  <si>
    <t>QSPI_CS_AP*</t>
  </si>
  <si>
    <t>QSPI_IO0_AP</t>
  </si>
  <si>
    <t>QSPI_IO1_AP</t>
  </si>
  <si>
    <t>QSPI_WP_AP*</t>
  </si>
  <si>
    <t>QSPI_RST_AP*</t>
  </si>
  <si>
    <t>eMMC SDMMC</t>
  </si>
  <si>
    <t>RGMII Ethernet</t>
  </si>
  <si>
    <t>Module Enable VDD to SDCARD</t>
  </si>
  <si>
    <t>Force Recovery</t>
  </si>
  <si>
    <t>Ethernet PHY Interrupt to AP</t>
  </si>
  <si>
    <t>Module SOC OVR VID</t>
  </si>
  <si>
    <t>Module SDCARD Detect</t>
  </si>
  <si>
    <t>Baseboard FAN PWM</t>
  </si>
  <si>
    <t>Module Boot SEL1</t>
  </si>
  <si>
    <t>Module Boot SEL0</t>
  </si>
  <si>
    <t>Baseboard I2C Bus</t>
  </si>
  <si>
    <t>2.2K</t>
  </si>
  <si>
    <t>Module GPU Power Request</t>
  </si>
  <si>
    <t>Module GPU OVR VID</t>
  </si>
  <si>
    <t>Baseboard M.2 UART</t>
  </si>
  <si>
    <t>Baseboard 40 Pin Header SPI</t>
  </si>
  <si>
    <t>Module Ramcode 1</t>
  </si>
  <si>
    <t>Module Ramcode 0</t>
  </si>
  <si>
    <t>Baseboard USB VBUS Detect</t>
  </si>
  <si>
    <t>GPIO09 (AUD_MCLK)</t>
  </si>
  <si>
    <t>RDC_DET</t>
  </si>
  <si>
    <t>I2S3_SDOUT</t>
  </si>
  <si>
    <t>I2S3_SDIN</t>
  </si>
  <si>
    <t>I2S5_CLK</t>
  </si>
  <si>
    <t>I2S5_SDOUT</t>
  </si>
  <si>
    <t>I2S5_SDIN</t>
  </si>
  <si>
    <t>I2S5_FS</t>
  </si>
  <si>
    <t>1.5K</t>
  </si>
  <si>
    <t>ETH_INT</t>
  </si>
  <si>
    <t>SOC_OVR_VID</t>
  </si>
  <si>
    <t>GPIO2_SD_DET</t>
  </si>
  <si>
    <t>GPIO14 (PWM)</t>
  </si>
  <si>
    <t>BOOT_STRAP1</t>
  </si>
  <si>
    <t>BOOT_STRAP0</t>
  </si>
  <si>
    <t>GPU_OVR_VID</t>
  </si>
  <si>
    <t>UART0_TX</t>
  </si>
  <si>
    <t>UART0_RX</t>
  </si>
  <si>
    <t>UART5_RTS_N</t>
  </si>
  <si>
    <t>GPIO0 (USB_VBUS_EN0)</t>
  </si>
  <si>
    <t>SPI0_SCK</t>
  </si>
  <si>
    <t>SPI0_CS0</t>
  </si>
  <si>
    <t>SPI0_CS1</t>
  </si>
  <si>
    <t>CVM_SYS_RESET_N</t>
  </si>
  <si>
    <t>Module AP Reset</t>
  </si>
  <si>
    <t>SYS_SHUTDOWN_N</t>
  </si>
  <si>
    <t>AP Shutdown Request</t>
  </si>
  <si>
    <t>GPIO31_SAFESTATE</t>
  </si>
  <si>
    <t>SOC_THERM_N</t>
  </si>
  <si>
    <t>Module Current Monitor</t>
  </si>
  <si>
    <t>Module Power I2C</t>
  </si>
  <si>
    <t>PMIC_PWR_INT_N</t>
  </si>
  <si>
    <t>Module PMIC Interrupt</t>
  </si>
  <si>
    <t>Module SOC Power Request</t>
  </si>
  <si>
    <t>COMP_SOC_THERM_N</t>
  </si>
  <si>
    <t>Module Vin Monitor</t>
  </si>
  <si>
    <t>PMIC_CLK32K</t>
  </si>
  <si>
    <t>32KHz Input Clock</t>
  </si>
  <si>
    <t>SLEEP/WAKE_N</t>
  </si>
  <si>
    <t>Button Signal from Baseboard</t>
  </si>
  <si>
    <t>CAN Output</t>
  </si>
  <si>
    <t>CAN Input</t>
  </si>
  <si>
    <t>REFCLK_SELECT</t>
  </si>
  <si>
    <t>Select between PCIE and SLVS in CLK mux</t>
  </si>
  <si>
    <t>GPIO3</t>
  </si>
  <si>
    <t>Baseboard BT Enable</t>
  </si>
  <si>
    <t>GPIO4</t>
  </si>
  <si>
    <t>Baseboard Power LED Control</t>
  </si>
  <si>
    <t>GPIO5</t>
  </si>
  <si>
    <t>Baseboard Wifi Disable Control</t>
  </si>
  <si>
    <t>GPIO6</t>
  </si>
  <si>
    <t>Baseboard CAM MUX Sel</t>
  </si>
  <si>
    <t>Baseboard 40 Pin Header PWM</t>
  </si>
  <si>
    <t>UART2_TX (DEBUG)</t>
  </si>
  <si>
    <t>Debug UART</t>
  </si>
  <si>
    <t>UART2_RX (DEBUG)</t>
  </si>
  <si>
    <t>Baseboard 40 Pin Header ID I2C (3.3V)</t>
  </si>
  <si>
    <t>I2C_GP8_CLK</t>
  </si>
  <si>
    <t>Module 3.3V I2C to INA</t>
  </si>
  <si>
    <t>I2C_GP8_DAT</t>
  </si>
  <si>
    <t>Baseboard Camera CLK</t>
  </si>
  <si>
    <t>CAM1_MCLK</t>
  </si>
  <si>
    <t>I2C_CAM_SCL</t>
  </si>
  <si>
    <t>Baseboard Camera I2C (3.3V)</t>
  </si>
  <si>
    <t>I2C_CAM_SDA</t>
  </si>
  <si>
    <t>Baseboard Camera PWDN</t>
  </si>
  <si>
    <t>CAM1_PWDN</t>
  </si>
  <si>
    <t>THERM1_WARN_N</t>
  </si>
  <si>
    <t>Module INA Warning</t>
  </si>
  <si>
    <t>Baseboard M.2 Alert</t>
  </si>
  <si>
    <t>GPIO08 (SDMMC_CD)/FAN_TACH</t>
  </si>
  <si>
    <t>Baseboard FAN TACH</t>
  </si>
  <si>
    <t>Baseboard M.2 Wake Request to AP</t>
  </si>
  <si>
    <t>SLVS HSYNC</t>
  </si>
  <si>
    <t>GPIO01 (CLK)</t>
  </si>
  <si>
    <t>Baseboard 40 Pin GPIO</t>
  </si>
  <si>
    <t>GPIO011 (CLK)</t>
  </si>
  <si>
    <t>SLVS VSYNC</t>
  </si>
  <si>
    <t>GPIO07 (PWM)</t>
  </si>
  <si>
    <t>ETH_RST</t>
  </si>
  <si>
    <t>Ethernet PHY Reset</t>
  </si>
  <si>
    <t>Baseboard 40 Pin Header UART</t>
  </si>
  <si>
    <t>UART1_RTS_N</t>
  </si>
  <si>
    <t>UART1_CTS_N</t>
  </si>
  <si>
    <t>OFF</t>
  </si>
  <si>
    <t>CPU_PWR_REQ</t>
  </si>
  <si>
    <t>Module CPU Rail PWR REQ</t>
  </si>
  <si>
    <t>PEX Wake</t>
  </si>
  <si>
    <t>PEX Controller 5 CLKREQ</t>
  </si>
  <si>
    <t>PEX Controller 5 RST</t>
  </si>
  <si>
    <t>DP AUX CH0</t>
  </si>
  <si>
    <t>HPD CH0</t>
  </si>
  <si>
    <t>DP AUX CH1</t>
  </si>
  <si>
    <t>HPD CH1</t>
  </si>
  <si>
    <t>Baseboard 40 Pin I2C (3.3V)</t>
  </si>
  <si>
    <t>GPIO13 (PWM)</t>
  </si>
  <si>
    <t>Baseboard 40 Pin Header</t>
  </si>
  <si>
    <t>CSI_F_D2_N</t>
  </si>
  <si>
    <t>CSI_F_D2_P</t>
  </si>
  <si>
    <t>CSI_F_D3_N</t>
  </si>
  <si>
    <t>CSI_F_D3_P</t>
  </si>
  <si>
    <t>HDMI_DP0_TXD0_P</t>
  </si>
  <si>
    <t>HDMI_DP0_TXD0_N</t>
  </si>
  <si>
    <t>HDMI_DP0_TXD1_P</t>
  </si>
  <si>
    <t>HDMI_DP0_TXD1_N</t>
  </si>
  <si>
    <t>HDMI_DP0_TXD2_P</t>
  </si>
  <si>
    <t>HDMI_DP0_TXD2_N</t>
  </si>
  <si>
    <t>HDMI_DP0_TXD3_P</t>
  </si>
  <si>
    <t>HDMI_DP0_TXD3_N</t>
  </si>
  <si>
    <t>HDMI_DP1_TXD0_P</t>
  </si>
  <si>
    <t>HDMI_DP1_TXD0_N</t>
  </si>
  <si>
    <t>HDMI_DP1_TXD1_P</t>
  </si>
  <si>
    <t>HDMI_DP1_TXD1_N</t>
  </si>
  <si>
    <t>HDMI_DP1_TXD2_P</t>
  </si>
  <si>
    <t>HDMI_DP1_TXD2_N</t>
  </si>
  <si>
    <t>HDMI_DP1_TXD3_P</t>
  </si>
  <si>
    <t>HDMI_DP1_TXD3_N</t>
  </si>
  <si>
    <t>DP_HDMI 1</t>
  </si>
  <si>
    <t>DP_HDMI 2</t>
  </si>
  <si>
    <t>USB0</t>
  </si>
  <si>
    <t>USB1</t>
  </si>
  <si>
    <t>USB2</t>
  </si>
  <si>
    <t>PCIe x1 to Baseboard</t>
  </si>
  <si>
    <t>USB SS to Baseboard</t>
  </si>
  <si>
    <t>PCIe x4 to Baseboard</t>
  </si>
  <si>
    <t>SPI1_CS0*</t>
  </si>
  <si>
    <t>SPI1_CS1*</t>
  </si>
  <si>
    <t>SPI0_CS0*</t>
  </si>
  <si>
    <t>SPI0_CS1*</t>
  </si>
  <si>
    <t>MOD_SLEEP*</t>
  </si>
  <si>
    <t>PCIE_WAKE*</t>
  </si>
  <si>
    <t>This spreadsheet is a companion to the Jetson Xavier NX Module datasheet, and is designed to help system designers specify the pinmux configuration for each new system design.  This spreadsheet illustrates how SoC Ball names map and configure to the module Pin names, and enables Device Tree generation.  Please see Configuring Pinmux, GPIO and PAD  in the L4T Documentation for more details.</t>
  </si>
  <si>
    <t>Jetson Xavier NX Signal Name</t>
  </si>
  <si>
    <t>Sample Usage</t>
  </si>
  <si>
    <t>Unstuffed SD Card slot</t>
  </si>
  <si>
    <t>Preliminary information: Initial Release</t>
  </si>
  <si>
    <t>Change PCIe x 1 controller from C1 to C4 and associated sideband signals</t>
  </si>
  <si>
    <t>PEX Controller 4 CLKREQ</t>
  </si>
  <si>
    <t>PEX Controller 4 RST</t>
  </si>
  <si>
    <t>PEX_CLK4_P</t>
  </si>
  <si>
    <t>PEX_CLK4_N</t>
  </si>
  <si>
    <t>PEX C4 REFCLK Output</t>
  </si>
  <si>
    <t>PEX_CLK5_P</t>
  </si>
  <si>
    <t>PEX C5 REFCLK Output</t>
  </si>
  <si>
    <t>PEX_CLK5_N</t>
  </si>
  <si>
    <t>Change CAM_I2C LPDR setting from "ENABLE" to "DISABLE" to increase drive strength</t>
  </si>
  <si>
    <t>Change PCIE1_CLKREQ_N and PCIE1_RST_N confogurations</t>
  </si>
  <si>
    <t>Change 40-pin header signals previously configured as "un-used" to GPIO</t>
  </si>
  <si>
    <t>Change GPIO04 from "input" to "output"</t>
  </si>
  <si>
    <t>Change SOC_GPIO11 to GPIO from SFIO for SDCard Detect by the module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</si>
</sst>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m/d/yy;@"/>
    <numFmt numFmtId="165" formatCode="0.00_)"/>
  </numFmts>
  <fonts count="68">
    <font>
      <sz val="11"/>
      <color theme="1"/>
      <name val="Calibri"/>
      <family val="2"/>
      <scheme val="minor"/>
    </font>
    <font>
      <sz val="8"/>
      <color theme="1"/>
      <name val="Calibri"/>
      <family val="2"/>
      <scheme val="minor"/>
    </font>
    <font>
      <b/>
      <sz val="18"/>
      <color theme="1"/>
      <name val="Calibri"/>
      <family val="2"/>
      <scheme val="minor"/>
    </font>
    <font>
      <sz val="11"/>
      <color rgb="FF9C0006"/>
      <name val="Calibri"/>
      <family val="2"/>
      <scheme val="minor"/>
    </font>
    <font>
      <sz val="9"/>
      <color indexed="81"/>
      <name val="Tahoma"/>
      <family val="2"/>
    </font>
    <font>
      <b/>
      <sz val="9"/>
      <color indexed="81"/>
      <name val="Tahoma"/>
      <family val="2"/>
    </font>
    <font>
      <sz val="10"/>
      <name val="Arial"/>
      <family val="2"/>
    </font>
    <font>
      <sz val="10"/>
      <color theme="1"/>
      <name val="Calibri"/>
      <family val="2"/>
      <scheme val="minor"/>
    </font>
    <font>
      <sz val="11"/>
      <color rgb="FF3F3F76"/>
      <name val="Calibri"/>
      <family val="2"/>
      <scheme val="minor"/>
    </font>
    <font>
      <b/>
      <sz val="10"/>
      <color theme="1"/>
      <name val="Calibri"/>
      <family val="2"/>
      <scheme val="minor"/>
    </font>
    <font>
      <b/>
      <sz val="10"/>
      <color theme="1"/>
      <name val="Calibri"/>
      <family val="2"/>
    </font>
    <font>
      <b/>
      <sz val="8.5"/>
      <color theme="1"/>
      <name val="Calibri"/>
      <family val="2"/>
    </font>
    <font>
      <b/>
      <sz val="12"/>
      <color theme="1"/>
      <name val="Calibri"/>
      <family val="2"/>
      <scheme val="minor"/>
    </font>
    <font>
      <sz val="12"/>
      <color theme="1"/>
      <name val="Calibri"/>
      <family val="2"/>
      <scheme val="minor"/>
    </font>
    <font>
      <sz val="11"/>
      <color theme="1"/>
      <name val="Calibri"/>
      <family val="2"/>
      <scheme val="minor"/>
    </font>
    <font>
      <b/>
      <sz val="12"/>
      <name val="Arial"/>
      <family val="2"/>
    </font>
    <font>
      <b/>
      <sz val="10"/>
      <name val="Arial"/>
      <family val="2"/>
    </font>
    <font>
      <sz val="10"/>
      <color theme="1"/>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u/>
      <sz val="10"/>
      <color theme="10"/>
      <name val="Arial"/>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11"/>
      <color rgb="FF9C6500"/>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u/>
      <sz val="10"/>
      <color indexed="12"/>
      <name val="Arial"/>
      <family val="2"/>
    </font>
    <font>
      <sz val="8"/>
      <name val="Arial"/>
      <family val="2"/>
    </font>
    <font>
      <sz val="11"/>
      <color indexed="36"/>
      <name val="Calibri"/>
      <family val="2"/>
    </font>
    <font>
      <b/>
      <sz val="15"/>
      <color indexed="62"/>
      <name val="Calibri"/>
      <family val="2"/>
    </font>
    <font>
      <b/>
      <sz val="13"/>
      <color indexed="62"/>
      <name val="Calibri"/>
      <family val="2"/>
    </font>
    <font>
      <b/>
      <sz val="11"/>
      <color indexed="62"/>
      <name val="Calibri"/>
      <family val="2"/>
    </font>
    <font>
      <b/>
      <i/>
      <sz val="16"/>
      <name val="Helv"/>
    </font>
    <font>
      <b/>
      <sz val="18"/>
      <color indexed="62"/>
      <name val="Cambria"/>
      <family val="2"/>
    </font>
    <font>
      <sz val="11"/>
      <name val="ＭＳ Ｐゴシック"/>
      <family val="3"/>
      <charset val="128"/>
    </font>
    <font>
      <sz val="10"/>
      <color rgb="FF000000"/>
      <name val="Times New Roman"/>
      <family val="1"/>
    </font>
    <font>
      <sz val="11"/>
      <color theme="1"/>
      <name val="ＭＳ Ｐゴシック"/>
      <family val="3"/>
    </font>
    <font>
      <b/>
      <sz val="13"/>
      <color indexed="62"/>
      <name val="Calibri"/>
      <family val="2"/>
      <scheme val="minor"/>
    </font>
    <font>
      <b/>
      <sz val="15"/>
      <color indexed="62"/>
      <name val="Calibri"/>
      <family val="2"/>
      <scheme val="minor"/>
    </font>
    <font>
      <b/>
      <sz val="11"/>
      <color indexed="62"/>
      <name val="Calibri"/>
      <family val="2"/>
      <scheme val="minor"/>
    </font>
    <font>
      <b/>
      <sz val="18"/>
      <color indexed="62"/>
      <name val="Cambria"/>
      <family val="2"/>
      <scheme val="major"/>
    </font>
    <font>
      <sz val="11"/>
      <color rgb="FF000000"/>
      <name val="Calibri"/>
      <family val="2"/>
    </font>
    <font>
      <sz val="11"/>
      <name val="Calibri"/>
      <family val="2"/>
      <scheme val="minor"/>
    </font>
  </fonts>
  <fills count="93">
    <fill>
      <patternFill patternType="none"/>
    </fill>
    <fill>
      <patternFill patternType="gray125"/>
    </fill>
    <fill>
      <patternFill patternType="solid">
        <fgColor rgb="FF00B050"/>
        <bgColor indexed="64"/>
      </patternFill>
    </fill>
    <fill>
      <patternFill patternType="solid">
        <fgColor theme="0" tint="-0.34998626667073579"/>
        <bgColor indexed="64"/>
      </patternFill>
    </fill>
    <fill>
      <patternFill patternType="solid">
        <fgColor rgb="FFFFC7CE"/>
      </patternFill>
    </fill>
    <fill>
      <patternFill patternType="solid">
        <fgColor rgb="FFFFFF00"/>
        <bgColor indexed="64"/>
      </patternFill>
    </fill>
    <fill>
      <patternFill patternType="solid">
        <fgColor rgb="FFFFCC99"/>
      </patternFill>
    </fill>
    <fill>
      <patternFill patternType="solid">
        <fgColor rgb="FF66FFFF"/>
        <bgColor indexed="64"/>
      </patternFill>
    </fill>
    <fill>
      <patternFill patternType="solid">
        <fgColor theme="9" tint="0.79998168889431442"/>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rgb="FFFFCC99"/>
        <bgColor indexed="64"/>
      </patternFill>
    </fill>
    <fill>
      <patternFill patternType="solid">
        <fgColor theme="0" tint="-0.24994659260841701"/>
        <bgColor indexed="64"/>
      </patternFill>
    </fill>
    <fill>
      <patternFill patternType="solid">
        <fgColor indexed="45"/>
        <bgColor indexed="29"/>
      </patternFill>
    </fill>
    <fill>
      <patternFill patternType="solid">
        <fgColor indexed="42"/>
        <bgColor indexed="27"/>
      </patternFill>
    </fill>
    <fill>
      <patternFill patternType="solid">
        <fgColor indexed="46"/>
        <bgColor indexed="24"/>
      </patternFill>
    </fill>
    <fill>
      <patternFill patternType="solid">
        <fgColor indexed="27"/>
        <bgColor indexed="41"/>
      </patternFill>
    </fill>
    <fill>
      <patternFill patternType="solid">
        <fgColor indexed="47"/>
        <bgColor indexed="22"/>
      </patternFill>
    </fill>
    <fill>
      <patternFill patternType="solid">
        <fgColor indexed="44"/>
        <bgColor indexed="31"/>
      </patternFill>
    </fill>
    <fill>
      <patternFill patternType="solid">
        <fgColor indexed="29"/>
        <bgColor indexed="45"/>
      </patternFill>
    </fill>
    <fill>
      <patternFill patternType="solid">
        <fgColor indexed="11"/>
        <bgColor indexed="49"/>
      </patternFill>
    </fill>
    <fill>
      <patternFill patternType="solid">
        <fgColor indexed="51"/>
        <bgColor indexed="13"/>
      </patternFill>
    </fill>
    <fill>
      <patternFill patternType="solid">
        <fgColor indexed="30"/>
        <bgColor indexed="21"/>
      </patternFill>
    </fill>
    <fill>
      <patternFill patternType="solid">
        <fgColor indexed="20"/>
        <bgColor indexed="36"/>
      </patternFill>
    </fill>
    <fill>
      <patternFill patternType="solid">
        <fgColor indexed="49"/>
        <bgColor indexed="40"/>
      </patternFill>
    </fill>
    <fill>
      <patternFill patternType="solid">
        <fgColor indexed="52"/>
        <bgColor indexed="51"/>
      </patternFill>
    </fill>
    <fill>
      <patternFill patternType="solid">
        <fgColor indexed="62"/>
        <bgColor indexed="56"/>
      </patternFill>
    </fill>
    <fill>
      <patternFill patternType="solid">
        <fgColor indexed="10"/>
        <bgColor indexed="60"/>
      </patternFill>
    </fill>
    <fill>
      <patternFill patternType="solid">
        <fgColor indexed="57"/>
        <bgColor indexed="21"/>
      </patternFill>
    </fill>
    <fill>
      <patternFill patternType="solid">
        <fgColor indexed="53"/>
        <bgColor indexed="52"/>
      </patternFill>
    </fill>
    <fill>
      <patternFill patternType="solid">
        <fgColor indexed="22"/>
        <bgColor indexed="3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rgb="FFFFEB9C"/>
      </patternFill>
    </fill>
    <fill>
      <patternFill patternType="solid">
        <fgColor rgb="FFC6EFCE"/>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bgColor indexed="64"/>
      </patternFill>
    </fill>
    <fill>
      <patternFill patternType="solid">
        <fgColor indexed="31"/>
      </patternFill>
    </fill>
    <fill>
      <patternFill patternType="solid">
        <fgColor indexed="9"/>
      </patternFill>
    </fill>
    <fill>
      <patternFill patternType="solid">
        <fgColor indexed="45"/>
      </patternFill>
    </fill>
    <fill>
      <patternFill patternType="solid">
        <fgColor indexed="47"/>
      </patternFill>
    </fill>
    <fill>
      <patternFill patternType="solid">
        <fgColor indexed="42"/>
      </patternFill>
    </fill>
    <fill>
      <patternFill patternType="solid">
        <fgColor indexed="26"/>
      </patternFill>
    </fill>
    <fill>
      <patternFill patternType="solid">
        <fgColor indexed="46"/>
      </patternFill>
    </fill>
    <fill>
      <patternFill patternType="solid">
        <fgColor indexed="27"/>
      </patternFill>
    </fill>
    <fill>
      <patternFill patternType="solid">
        <fgColor indexed="44"/>
      </patternFill>
    </fill>
    <fill>
      <patternFill patternType="solid">
        <fgColor indexed="22"/>
      </patternFill>
    </fill>
    <fill>
      <patternFill patternType="solid">
        <fgColor indexed="29"/>
      </patternFill>
    </fill>
    <fill>
      <patternFill patternType="solid">
        <fgColor indexed="11"/>
      </patternFill>
    </fill>
    <fill>
      <patternFill patternType="solid">
        <fgColor indexed="50"/>
      </patternFill>
    </fill>
    <fill>
      <patternFill patternType="solid">
        <fgColor indexed="51"/>
      </patternFill>
    </fill>
    <fill>
      <patternFill patternType="solid">
        <fgColor indexed="30"/>
      </patternFill>
    </fill>
    <fill>
      <patternFill patternType="solid">
        <fgColor indexed="54"/>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55"/>
      </patternFill>
    </fill>
    <fill>
      <patternFill patternType="solid">
        <fgColor indexed="22"/>
        <bgColor indexed="64"/>
      </patternFill>
    </fill>
    <fill>
      <patternFill patternType="solid">
        <fgColor indexed="26"/>
        <bgColor indexed="64"/>
      </patternFill>
    </fill>
    <fill>
      <patternFill patternType="solid">
        <fgColor indexed="43"/>
      </patternFill>
    </fill>
    <fill>
      <patternFill patternType="solid">
        <fgColor theme="2" tint="-0.499984740745262"/>
        <bgColor indexed="64"/>
      </patternFill>
    </fill>
    <fill>
      <patternFill patternType="solid">
        <fgColor rgb="FFFF0000"/>
        <bgColor indexed="64"/>
      </patternFill>
    </fill>
  </fills>
  <borders count="71">
    <border>
      <left/>
      <right/>
      <top/>
      <bottom/>
      <diagonal/>
    </border>
    <border>
      <left style="thin">
        <color indexed="64"/>
      </left>
      <right/>
      <top/>
      <bottom/>
      <diagonal/>
    </border>
    <border>
      <left/>
      <right/>
      <top/>
      <bottom style="thin">
        <color indexed="64"/>
      </bottom>
      <diagonal/>
    </border>
    <border>
      <left style="thin">
        <color indexed="64"/>
      </left>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top style="thin">
        <color indexed="64"/>
      </top>
      <bottom/>
      <diagonal/>
    </border>
    <border>
      <left/>
      <right style="thin">
        <color indexed="64"/>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style="thin">
        <color indexed="64"/>
      </bottom>
      <diagonal/>
    </border>
    <border>
      <left style="thin">
        <color theme="0" tint="-0.499984740745262"/>
      </left>
      <right style="thin">
        <color theme="0" tint="-0.499984740745262"/>
      </right>
      <top style="thin">
        <color indexed="64"/>
      </top>
      <bottom style="thin">
        <color theme="0" tint="-0.499984740745262"/>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thin">
        <color indexed="64"/>
      </right>
      <top style="thin">
        <color theme="0" tint="-0.499984740745262"/>
      </top>
      <bottom style="thin">
        <color theme="0" tint="-0.499984740745262"/>
      </bottom>
      <diagonal/>
    </border>
    <border>
      <left style="thin">
        <color theme="0" tint="-0.499984740745262"/>
      </left>
      <right style="thin">
        <color theme="0" tint="-0.499984740745262"/>
      </right>
      <top style="thin">
        <color theme="0" tint="-0.499984740745262"/>
      </top>
      <bottom style="thin">
        <color indexed="64"/>
      </bottom>
      <diagonal/>
    </border>
    <border>
      <left style="thin">
        <color theme="0" tint="-0.499984740745262"/>
      </left>
      <right/>
      <top style="thin">
        <color theme="0" tint="-0.499984740745262"/>
      </top>
      <bottom style="thin">
        <color theme="0" tint="-0.499984740745262"/>
      </bottom>
      <diagonal/>
    </border>
    <border>
      <left/>
      <right/>
      <top/>
      <bottom style="thin">
        <color theme="0" tint="-0.499984740745262"/>
      </bottom>
      <diagonal/>
    </border>
    <border>
      <left/>
      <right/>
      <top style="thin">
        <color theme="0" tint="-0.499984740745262"/>
      </top>
      <bottom style="thin">
        <color theme="0" tint="-0.499984740745262"/>
      </bottom>
      <diagonal/>
    </border>
    <border>
      <left/>
      <right/>
      <top/>
      <bottom style="thin">
        <color rgb="FF7F7F7F"/>
      </bottom>
      <diagonal/>
    </border>
    <border>
      <left/>
      <right style="thin">
        <color rgb="FF7F7F7F"/>
      </right>
      <top style="thin">
        <color rgb="FF7F7F7F"/>
      </top>
      <bottom style="thin">
        <color rgb="FF7F7F7F"/>
      </bottom>
      <diagonal/>
    </border>
    <border>
      <left/>
      <right/>
      <top style="thin">
        <color indexed="64"/>
      </top>
      <bottom style="thin">
        <color theme="0" tint="-0.499984740745262"/>
      </bottom>
      <diagonal/>
    </border>
    <border>
      <left/>
      <right/>
      <top style="thin">
        <color theme="0" tint="-0.499984740745262"/>
      </top>
      <bottom style="thin">
        <color indexed="64"/>
      </bottom>
      <diagonal/>
    </border>
    <border>
      <left style="thin">
        <color theme="0" tint="-0.499984740745262"/>
      </left>
      <right style="thin">
        <color theme="0" tint="-0.499984740745262"/>
      </right>
      <top style="thin">
        <color theme="0" tint="-0.499984740745262"/>
      </top>
      <bottom/>
      <diagonal/>
    </border>
    <border>
      <left/>
      <right style="thin">
        <color indexed="64"/>
      </right>
      <top style="thin">
        <color theme="0" tint="-0.499984740745262"/>
      </top>
      <bottom style="thin">
        <color theme="0" tint="-0.499984740745262"/>
      </bottom>
      <diagonal/>
    </border>
    <border>
      <left/>
      <right style="thin">
        <color indexed="64"/>
      </right>
      <top style="thin">
        <color theme="0" tint="-0.499984740745262"/>
      </top>
      <bottom style="thin">
        <color indexed="64"/>
      </bottom>
      <diagonal/>
    </border>
    <border>
      <left/>
      <right style="thin">
        <color indexed="64"/>
      </right>
      <top style="thin">
        <color theme="0" tint="-0.499984740745262"/>
      </top>
      <bottom/>
      <diagonal/>
    </border>
    <border>
      <left style="thin">
        <color theme="0" tint="-0.499984740745262"/>
      </left>
      <right/>
      <top style="thin">
        <color indexed="64"/>
      </top>
      <bottom style="thin">
        <color theme="0" tint="-0.499984740745262"/>
      </bottom>
      <diagonal/>
    </border>
    <border>
      <left style="thin">
        <color theme="0" tint="-0.499984740745262"/>
      </left>
      <right/>
      <top style="thin">
        <color theme="0" tint="-0.499984740745262"/>
      </top>
      <bottom style="thin">
        <color indexed="64"/>
      </bottom>
      <diagonal/>
    </border>
    <border>
      <left style="thin">
        <color theme="0" tint="-0.499984740745262"/>
      </left>
      <right/>
      <top style="thin">
        <color theme="0" tint="-0.499984740745262"/>
      </top>
      <bottom/>
      <diagonal/>
    </border>
    <border>
      <left/>
      <right style="thin">
        <color auto="1"/>
      </right>
      <top style="thin">
        <color indexed="64"/>
      </top>
      <bottom style="thin">
        <color theme="0" tint="-0.499984740745262"/>
      </bottom>
      <diagonal/>
    </border>
    <border>
      <left style="thin">
        <color theme="0" tint="-0.499984740745262"/>
      </left>
      <right style="thin">
        <color theme="0" tint="-0.499984740745262"/>
      </right>
      <top/>
      <bottom style="thin">
        <color theme="0" tint="-0.499984740745262"/>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theme="0" tint="-0.499984740745262"/>
      </right>
      <top style="thin">
        <color theme="0" tint="-0.499984740745262"/>
      </top>
      <bottom style="thin">
        <color theme="0" tint="-0.499984740745262"/>
      </bottom>
      <diagonal/>
    </border>
    <border>
      <left style="thin">
        <color auto="1"/>
      </left>
      <right style="thin">
        <color theme="0" tint="-0.499984740745262"/>
      </right>
      <top style="thin">
        <color rgb="FF7F7F7F"/>
      </top>
      <bottom style="thin">
        <color rgb="FF7F7F7F"/>
      </bottom>
      <diagonal/>
    </border>
    <border>
      <left style="thin">
        <color indexed="64"/>
      </left>
      <right style="thin">
        <color theme="0" tint="-0.499984740745262"/>
      </right>
      <top style="thin">
        <color indexed="64"/>
      </top>
      <bottom style="thin">
        <color rgb="FF7F7F7F"/>
      </bottom>
      <diagonal/>
    </border>
    <border>
      <left style="thin">
        <color indexed="64"/>
      </left>
      <right style="thin">
        <color theme="0" tint="-0.499984740745262"/>
      </right>
      <top style="thin">
        <color indexed="64"/>
      </top>
      <bottom style="thin">
        <color theme="0" tint="-0.499984740745262"/>
      </bottom>
      <diagonal/>
    </border>
    <border>
      <left style="thin">
        <color indexed="64"/>
      </left>
      <right style="thin">
        <color theme="0" tint="-0.499984740745262"/>
      </right>
      <top style="thin">
        <color rgb="FF7F7F7F"/>
      </top>
      <bottom/>
      <diagonal/>
    </border>
    <border>
      <left style="thin">
        <color auto="1"/>
      </left>
      <right style="thin">
        <color theme="0" tint="-0.499984740745262"/>
      </right>
      <top style="thin">
        <color theme="0" tint="-0.499984740745262"/>
      </top>
      <bottom style="thin">
        <color rgb="FF7F7F7F"/>
      </bottom>
      <diagonal/>
    </border>
    <border>
      <left style="thin">
        <color indexed="64"/>
      </left>
      <right style="thin">
        <color theme="0" tint="-0.499984740745262"/>
      </right>
      <top/>
      <bottom style="thin">
        <color rgb="FF7F7F7F"/>
      </bottom>
      <diagonal/>
    </border>
    <border>
      <left style="thin">
        <color theme="0" tint="-0.499984740745262"/>
      </left>
      <right/>
      <top/>
      <bottom style="thin">
        <color theme="0" tint="-0.499984740745262"/>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medium">
        <color indexed="54"/>
      </bottom>
      <diagonal/>
    </border>
    <border>
      <left/>
      <right/>
      <top/>
      <bottom style="thick">
        <color indexed="49"/>
      </bottom>
      <diagonal/>
    </border>
    <border>
      <left/>
      <right/>
      <top/>
      <bottom style="medium">
        <color indexed="49"/>
      </bottom>
      <diagonal/>
    </border>
    <border>
      <left/>
      <right/>
      <top style="thin">
        <color indexed="49"/>
      </top>
      <bottom style="double">
        <color indexed="49"/>
      </bottom>
      <diagonal/>
    </border>
    <border>
      <left style="thin">
        <color indexed="64"/>
      </left>
      <right style="thin">
        <color theme="0" tint="-0.499984740745262"/>
      </right>
      <top/>
      <bottom style="thin">
        <color theme="0" tint="-0.499984740745262"/>
      </bottom>
      <diagonal/>
    </border>
    <border>
      <left/>
      <right style="thin">
        <color auto="1"/>
      </right>
      <top/>
      <bottom style="thin">
        <color theme="0" tint="-0.499984740745262"/>
      </bottom>
      <diagonal/>
    </border>
  </borders>
  <cellStyleXfs count="53471">
    <xf numFmtId="0" fontId="0" fillId="0" borderId="0"/>
    <xf numFmtId="0" fontId="3" fillId="4" borderId="0" applyNumberFormat="0" applyBorder="0" applyAlignment="0" applyProtection="0"/>
    <xf numFmtId="0" fontId="6" fillId="0" borderId="0"/>
    <xf numFmtId="0" fontId="8" fillId="6" borderId="13" applyNumberFormat="0" applyAlignment="0" applyProtection="0"/>
    <xf numFmtId="0" fontId="18" fillId="13" borderId="0" applyNumberFormat="0" applyAlignment="0" applyProtection="0"/>
    <xf numFmtId="0" fontId="18" fillId="13" borderId="0" applyNumberFormat="0" applyAlignment="0" applyProtection="0"/>
    <xf numFmtId="0" fontId="18" fillId="13" borderId="0" applyNumberFormat="0" applyAlignment="0" applyProtection="0"/>
    <xf numFmtId="0" fontId="18" fillId="14" borderId="0" applyNumberFormat="0" applyAlignment="0" applyProtection="0"/>
    <xf numFmtId="0" fontId="18" fillId="14" borderId="0" applyNumberFormat="0" applyAlignment="0" applyProtection="0"/>
    <xf numFmtId="0" fontId="18" fillId="14" borderId="0" applyNumberFormat="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9" borderId="0" applyNumberFormat="0" applyAlignment="0" applyProtection="0"/>
    <xf numFmtId="0" fontId="18" fillId="19" borderId="0" applyNumberFormat="0" applyAlignment="0" applyProtection="0"/>
    <xf numFmtId="0" fontId="18" fillId="19" borderId="0" applyNumberFormat="0" applyAlignment="0" applyProtection="0"/>
    <xf numFmtId="0" fontId="18" fillId="20" borderId="0" applyNumberFormat="0" applyAlignment="0" applyProtection="0"/>
    <xf numFmtId="0" fontId="18" fillId="20" borderId="0" applyNumberFormat="0" applyAlignment="0" applyProtection="0"/>
    <xf numFmtId="0" fontId="18" fillId="20" borderId="0" applyNumberFormat="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21" borderId="0" applyNumberFormat="0" applyAlignment="0" applyProtection="0"/>
    <xf numFmtId="0" fontId="18" fillId="21" borderId="0" applyNumberFormat="0" applyAlignment="0" applyProtection="0"/>
    <xf numFmtId="0" fontId="18" fillId="21" borderId="0" applyNumberFormat="0" applyAlignment="0" applyProtection="0"/>
    <xf numFmtId="0" fontId="19" fillId="22" borderId="0" applyNumberFormat="0" applyAlignment="0" applyProtection="0"/>
    <xf numFmtId="0" fontId="19" fillId="22" borderId="0" applyNumberFormat="0" applyAlignment="0" applyProtection="0"/>
    <xf numFmtId="0" fontId="19" fillId="22" borderId="0" applyNumberFormat="0" applyAlignment="0" applyProtection="0"/>
    <xf numFmtId="0" fontId="19" fillId="19" borderId="0" applyNumberFormat="0" applyAlignment="0" applyProtection="0"/>
    <xf numFmtId="0" fontId="19" fillId="19" borderId="0" applyNumberFormat="0" applyAlignment="0" applyProtection="0"/>
    <xf numFmtId="0" fontId="19" fillId="19" borderId="0" applyNumberFormat="0" applyAlignment="0" applyProtection="0"/>
    <xf numFmtId="0" fontId="19" fillId="20" borderId="0" applyNumberFormat="0" applyAlignment="0" applyProtection="0"/>
    <xf numFmtId="0" fontId="19" fillId="20" borderId="0" applyNumberFormat="0" applyAlignment="0" applyProtection="0"/>
    <xf numFmtId="0" fontId="19" fillId="20" borderId="0" applyNumberFormat="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25" borderId="0" applyNumberFormat="0" applyAlignment="0" applyProtection="0"/>
    <xf numFmtId="0" fontId="19" fillId="25" borderId="0" applyNumberFormat="0" applyAlignment="0" applyProtection="0"/>
    <xf numFmtId="0" fontId="19" fillId="25" borderId="0" applyNumberFormat="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19" fillId="28" borderId="0" applyNumberFormat="0" applyAlignment="0" applyProtection="0"/>
    <xf numFmtId="0" fontId="19" fillId="28" borderId="0" applyNumberFormat="0" applyAlignment="0" applyProtection="0"/>
    <xf numFmtId="0" fontId="19" fillId="28" borderId="0" applyNumberFormat="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29" borderId="0" applyNumberFormat="0" applyAlignment="0" applyProtection="0"/>
    <xf numFmtId="0" fontId="19" fillId="29" borderId="0" applyNumberFormat="0" applyAlignment="0" applyProtection="0"/>
    <xf numFmtId="0" fontId="19" fillId="29" borderId="0" applyNumberFormat="0" applyAlignment="0" applyProtection="0"/>
    <xf numFmtId="0" fontId="20" fillId="13" borderId="0" applyNumberFormat="0" applyAlignment="0" applyProtection="0"/>
    <xf numFmtId="0" fontId="20" fillId="13" borderId="0" applyNumberFormat="0" applyAlignment="0" applyProtection="0"/>
    <xf numFmtId="0" fontId="20" fillId="13" borderId="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2" fillId="31" borderId="41" applyNumberFormat="0" applyAlignment="0" applyProtection="0"/>
    <xf numFmtId="0" fontId="22" fillId="31" borderId="41" applyNumberFormat="0" applyAlignment="0" applyProtection="0"/>
    <xf numFmtId="0" fontId="22" fillId="31" borderId="41" applyNumberFormat="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25" fillId="0" borderId="42" applyNumberFormat="0" applyFill="0" applyAlignment="0" applyProtection="0"/>
    <xf numFmtId="0" fontId="25" fillId="0" borderId="42" applyNumberFormat="0" applyFill="0" applyAlignment="0" applyProtection="0"/>
    <xf numFmtId="0" fontId="25" fillId="0" borderId="42" applyNumberFormat="0" applyFill="0" applyAlignment="0" applyProtection="0"/>
    <xf numFmtId="0" fontId="26" fillId="0" borderId="43" applyNumberFormat="0" applyFill="0" applyAlignment="0" applyProtection="0"/>
    <xf numFmtId="0" fontId="26" fillId="0" borderId="43" applyNumberFormat="0" applyFill="0" applyAlignment="0" applyProtection="0"/>
    <xf numFmtId="0" fontId="26" fillId="0" borderId="43" applyNumberFormat="0" applyFill="0" applyAlignment="0" applyProtection="0"/>
    <xf numFmtId="0" fontId="27" fillId="0" borderId="44" applyNumberFormat="0" applyFill="0" applyAlignment="0" applyProtection="0"/>
    <xf numFmtId="0" fontId="27" fillId="0" borderId="44" applyNumberFormat="0" applyFill="0" applyAlignment="0" applyProtection="0"/>
    <xf numFmtId="0" fontId="27" fillId="0" borderId="44" applyNumberFormat="0" applyFill="0" applyAlignment="0" applyProtection="0"/>
    <xf numFmtId="0" fontId="27" fillId="0" borderId="44" applyNumberFormat="0" applyFill="0" applyAlignment="0" applyProtection="0"/>
    <xf numFmtId="0" fontId="27" fillId="0" borderId="44" applyNumberFormat="0" applyFill="0" applyAlignment="0" applyProtection="0"/>
    <xf numFmtId="0" fontId="27" fillId="0" borderId="44" applyNumberFormat="0" applyFill="0" applyAlignment="0" applyProtection="0"/>
    <xf numFmtId="0" fontId="27" fillId="0" borderId="44" applyNumberFormat="0" applyFill="0" applyAlignment="0" applyProtection="0"/>
    <xf numFmtId="0" fontId="27" fillId="0" borderId="0" applyNumberFormat="0" applyFill="0" applyAlignment="0" applyProtection="0"/>
    <xf numFmtId="0" fontId="27" fillId="0" borderId="0" applyNumberFormat="0" applyFill="0" applyAlignment="0" applyProtection="0"/>
    <xf numFmtId="0" fontId="27" fillId="0" borderId="0" applyNumberFormat="0" applyFill="0" applyAlignment="0" applyProtection="0"/>
    <xf numFmtId="0" fontId="28" fillId="0" borderId="0" applyNumberFormat="0" applyFill="0" applyBorder="0" applyAlignment="0" applyProtection="0">
      <alignment vertical="top"/>
      <protection locked="0"/>
    </xf>
    <xf numFmtId="0" fontId="28" fillId="0" borderId="0" applyNumberFormat="0" applyFill="0" applyBorder="0" applyAlignment="0" applyProtection="0">
      <alignment vertical="top"/>
      <protection locked="0"/>
    </xf>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30" fillId="0" borderId="45" applyNumberFormat="0" applyFill="0" applyAlignment="0" applyProtection="0"/>
    <xf numFmtId="0" fontId="30" fillId="0" borderId="45" applyNumberFormat="0" applyFill="0" applyAlignment="0" applyProtection="0"/>
    <xf numFmtId="0" fontId="30" fillId="0" borderId="45" applyNumberFormat="0" applyFill="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33"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3" fillId="0" borderId="0" applyNumberFormat="0" applyFill="0" applyAlignment="0" applyProtection="0"/>
    <xf numFmtId="0" fontId="33" fillId="0" borderId="0" applyNumberFormat="0" applyFill="0" applyAlignment="0" applyProtection="0"/>
    <xf numFmtId="0" fontId="33" fillId="0" borderId="0"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6" fillId="34" borderId="0" applyNumberFormat="0" applyBorder="0" applyAlignment="0" applyProtection="0"/>
    <xf numFmtId="0" fontId="37" fillId="0" borderId="0" applyNumberFormat="0" applyFill="0" applyBorder="0" applyAlignment="0" applyProtection="0"/>
    <xf numFmtId="0" fontId="38" fillId="0" borderId="57" applyNumberFormat="0" applyFill="0" applyAlignment="0" applyProtection="0"/>
    <xf numFmtId="0" fontId="39" fillId="0" borderId="58" applyNumberFormat="0" applyFill="0" applyAlignment="0" applyProtection="0"/>
    <xf numFmtId="0" fontId="40" fillId="0" borderId="59" applyNumberFormat="0" applyFill="0" applyAlignment="0" applyProtection="0"/>
    <xf numFmtId="0" fontId="40" fillId="0" borderId="0" applyNumberFormat="0" applyFill="0" applyBorder="0" applyAlignment="0" applyProtection="0"/>
    <xf numFmtId="0" fontId="41" fillId="35" borderId="0" applyNumberFormat="0" applyBorder="0" applyAlignment="0" applyProtection="0"/>
    <xf numFmtId="0" fontId="42" fillId="36" borderId="60" applyNumberFormat="0" applyAlignment="0" applyProtection="0"/>
    <xf numFmtId="0" fontId="43" fillId="36" borderId="13" applyNumberFormat="0" applyAlignment="0" applyProtection="0"/>
    <xf numFmtId="0" fontId="44" fillId="0" borderId="61" applyNumberFormat="0" applyFill="0" applyAlignment="0" applyProtection="0"/>
    <xf numFmtId="0" fontId="45" fillId="37" borderId="62" applyNumberFormat="0" applyAlignment="0" applyProtection="0"/>
    <xf numFmtId="0" fontId="46" fillId="0" borderId="0" applyNumberFormat="0" applyFill="0" applyBorder="0" applyAlignment="0" applyProtection="0"/>
    <xf numFmtId="0" fontId="14" fillId="38" borderId="63" applyNumberFormat="0" applyFont="0" applyAlignment="0" applyProtection="0"/>
    <xf numFmtId="0" fontId="47" fillId="0" borderId="0" applyNumberFormat="0" applyFill="0" applyBorder="0" applyAlignment="0" applyProtection="0"/>
    <xf numFmtId="0" fontId="48" fillId="0" borderId="64" applyNumberFormat="0" applyFill="0" applyAlignment="0" applyProtection="0"/>
    <xf numFmtId="0" fontId="49" fillId="39" borderId="0" applyNumberFormat="0" applyBorder="0" applyAlignment="0" applyProtection="0"/>
    <xf numFmtId="0" fontId="14" fillId="40" borderId="0" applyNumberFormat="0" applyBorder="0" applyAlignment="0" applyProtection="0"/>
    <xf numFmtId="0" fontId="14" fillId="41" borderId="0" applyNumberFormat="0" applyBorder="0" applyAlignment="0" applyProtection="0"/>
    <xf numFmtId="0" fontId="49" fillId="42" borderId="0" applyNumberFormat="0" applyBorder="0" applyAlignment="0" applyProtection="0"/>
    <xf numFmtId="0" fontId="49" fillId="43" borderId="0" applyNumberFormat="0" applyBorder="0" applyAlignment="0" applyProtection="0"/>
    <xf numFmtId="0" fontId="14" fillId="44" borderId="0" applyNumberFormat="0" applyBorder="0" applyAlignment="0" applyProtection="0"/>
    <xf numFmtId="0" fontId="14" fillId="45" borderId="0" applyNumberFormat="0" applyBorder="0" applyAlignment="0" applyProtection="0"/>
    <xf numFmtId="0" fontId="49" fillId="46" borderId="0" applyNumberFormat="0" applyBorder="0" applyAlignment="0" applyProtection="0"/>
    <xf numFmtId="0" fontId="49" fillId="47" borderId="0" applyNumberFormat="0" applyBorder="0" applyAlignment="0" applyProtection="0"/>
    <xf numFmtId="0" fontId="14" fillId="48" borderId="0" applyNumberFormat="0" applyBorder="0" applyAlignment="0" applyProtection="0"/>
    <xf numFmtId="0" fontId="14" fillId="49" borderId="0" applyNumberFormat="0" applyBorder="0" applyAlignment="0" applyProtection="0"/>
    <xf numFmtId="0" fontId="49" fillId="50" borderId="0" applyNumberFormat="0" applyBorder="0" applyAlignment="0" applyProtection="0"/>
    <xf numFmtId="0" fontId="49" fillId="51" borderId="0" applyNumberFormat="0" applyBorder="0" applyAlignment="0" applyProtection="0"/>
    <xf numFmtId="0" fontId="14" fillId="52" borderId="0" applyNumberFormat="0" applyBorder="0" applyAlignment="0" applyProtection="0"/>
    <xf numFmtId="0" fontId="14" fillId="53" borderId="0" applyNumberFormat="0" applyBorder="0" applyAlignment="0" applyProtection="0"/>
    <xf numFmtId="0" fontId="49" fillId="54" borderId="0" applyNumberFormat="0" applyBorder="0" applyAlignment="0" applyProtection="0"/>
    <xf numFmtId="0" fontId="49" fillId="55" borderId="0" applyNumberFormat="0" applyBorder="0" applyAlignment="0" applyProtection="0"/>
    <xf numFmtId="0" fontId="14" fillId="56" borderId="0" applyNumberFormat="0" applyBorder="0" applyAlignment="0" applyProtection="0"/>
    <xf numFmtId="0" fontId="14" fillId="57" borderId="0" applyNumberFormat="0" applyBorder="0" applyAlignment="0" applyProtection="0"/>
    <xf numFmtId="0" fontId="49" fillId="58" borderId="0" applyNumberFormat="0" applyBorder="0" applyAlignment="0" applyProtection="0"/>
    <xf numFmtId="0" fontId="49" fillId="59" borderId="0" applyNumberFormat="0" applyBorder="0" applyAlignment="0" applyProtection="0"/>
    <xf numFmtId="0" fontId="14" fillId="60" borderId="0" applyNumberFormat="0" applyBorder="0" applyAlignment="0" applyProtection="0"/>
    <xf numFmtId="0" fontId="14" fillId="61" borderId="0" applyNumberFormat="0" applyBorder="0" applyAlignment="0" applyProtection="0"/>
    <xf numFmtId="0" fontId="49" fillId="62" borderId="0" applyNumberFormat="0" applyBorder="0" applyAlignment="0" applyProtection="0"/>
    <xf numFmtId="0" fontId="18"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8" fillId="66" borderId="0" applyNumberFormat="0" applyBorder="0" applyAlignment="0" applyProtection="0"/>
    <xf numFmtId="0" fontId="18"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8" fillId="67" borderId="0" applyNumberFormat="0" applyBorder="0" applyAlignment="0" applyProtection="0"/>
    <xf numFmtId="0" fontId="18" fillId="13"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67" borderId="0" applyNumberFormat="0" applyBorder="0" applyAlignment="0" applyProtection="0"/>
    <xf numFmtId="0" fontId="18" fillId="13"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13"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13" borderId="0" applyNumberFormat="0" applyAlignment="0" applyProtection="0"/>
    <xf numFmtId="0" fontId="18" fillId="13" borderId="0" applyNumberFormat="0" applyAlignment="0" applyProtection="0"/>
    <xf numFmtId="0" fontId="18" fillId="13" borderId="0" applyNumberFormat="0" applyAlignment="0" applyProtection="0"/>
    <xf numFmtId="0" fontId="18" fillId="13" borderId="0" applyNumberFormat="0" applyAlignment="0" applyProtection="0"/>
    <xf numFmtId="0" fontId="18" fillId="13" borderId="0" applyNumberFormat="0" applyAlignment="0" applyProtection="0"/>
    <xf numFmtId="0" fontId="18" fillId="13" borderId="0" applyNumberFormat="0" applyAlignment="0" applyProtection="0"/>
    <xf numFmtId="0" fontId="18" fillId="13" borderId="0" applyNumberFormat="0" applyAlignment="0" applyProtection="0"/>
    <xf numFmtId="0" fontId="18" fillId="66" borderId="0" applyNumberFormat="0" applyBorder="0" applyAlignment="0" applyProtection="0"/>
    <xf numFmtId="0" fontId="18" fillId="13" borderId="0" applyNumberFormat="0" applyAlignment="0" applyProtection="0"/>
    <xf numFmtId="0" fontId="18" fillId="66" borderId="0" applyNumberFormat="0" applyBorder="0" applyAlignment="0" applyProtection="0"/>
    <xf numFmtId="0" fontId="18" fillId="66" borderId="0" applyNumberFormat="0" applyBorder="0" applyAlignment="0" applyProtection="0"/>
    <xf numFmtId="0" fontId="18" fillId="66" borderId="0" applyNumberFormat="0" applyBorder="0" applyAlignment="0" applyProtection="0"/>
    <xf numFmtId="0" fontId="18" fillId="13" borderId="0" applyNumberFormat="0" applyAlignment="0" applyProtection="0"/>
    <xf numFmtId="0" fontId="18" fillId="13" borderId="0" applyNumberFormat="0" applyAlignment="0" applyProtection="0"/>
    <xf numFmtId="0" fontId="18" fillId="66" borderId="0" applyNumberFormat="0" applyBorder="0" applyAlignment="0" applyProtection="0"/>
    <xf numFmtId="0" fontId="18" fillId="13" borderId="0" applyNumberFormat="0" applyAlignment="0" applyProtection="0"/>
    <xf numFmtId="0" fontId="18" fillId="66" borderId="0" applyNumberFormat="0" applyBorder="0" applyAlignment="0" applyProtection="0"/>
    <xf numFmtId="0" fontId="18" fillId="66" borderId="0" applyNumberFormat="0" applyBorder="0" applyAlignment="0" applyProtection="0"/>
    <xf numFmtId="0" fontId="18" fillId="13" borderId="0" applyNumberFormat="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8" fillId="68" borderId="0" applyNumberFormat="0" applyBorder="0" applyAlignment="0" applyProtection="0"/>
    <xf numFmtId="0" fontId="18"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8" fillId="69" borderId="0" applyNumberFormat="0" applyBorder="0" applyAlignment="0" applyProtection="0"/>
    <xf numFmtId="0" fontId="18" fillId="14" borderId="0" applyNumberFormat="0" applyAlignment="0" applyProtection="0"/>
    <xf numFmtId="0" fontId="18" fillId="69" borderId="0" applyNumberFormat="0" applyBorder="0" applyAlignment="0" applyProtection="0"/>
    <xf numFmtId="0" fontId="18" fillId="69" borderId="0" applyNumberFormat="0" applyBorder="0" applyAlignment="0" applyProtection="0"/>
    <xf numFmtId="0" fontId="18" fillId="69" borderId="0" applyNumberFormat="0" applyBorder="0" applyAlignment="0" applyProtection="0"/>
    <xf numFmtId="0" fontId="18" fillId="14" borderId="0" applyNumberFormat="0" applyAlignment="0" applyProtection="0"/>
    <xf numFmtId="0" fontId="18" fillId="69" borderId="0" applyNumberFormat="0" applyBorder="0" applyAlignment="0" applyProtection="0"/>
    <xf numFmtId="0" fontId="18" fillId="69" borderId="0" applyNumberFormat="0" applyBorder="0" applyAlignment="0" applyProtection="0"/>
    <xf numFmtId="0" fontId="18" fillId="14" borderId="0" applyNumberFormat="0" applyAlignment="0" applyProtection="0"/>
    <xf numFmtId="0" fontId="18" fillId="69" borderId="0" applyNumberFormat="0" applyBorder="0" applyAlignment="0" applyProtection="0"/>
    <xf numFmtId="0" fontId="18" fillId="69" borderId="0" applyNumberFormat="0" applyBorder="0" applyAlignment="0" applyProtection="0"/>
    <xf numFmtId="0" fontId="18" fillId="14" borderId="0" applyNumberFormat="0" applyAlignment="0" applyProtection="0"/>
    <xf numFmtId="0" fontId="18" fillId="14" borderId="0" applyNumberFormat="0" applyAlignment="0" applyProtection="0"/>
    <xf numFmtId="0" fontId="18" fillId="14" borderId="0" applyNumberFormat="0" applyAlignment="0" applyProtection="0"/>
    <xf numFmtId="0" fontId="18" fillId="14" borderId="0" applyNumberFormat="0" applyAlignment="0" applyProtection="0"/>
    <xf numFmtId="0" fontId="18" fillId="14" borderId="0" applyNumberFormat="0" applyAlignment="0" applyProtection="0"/>
    <xf numFmtId="0" fontId="18" fillId="14" borderId="0" applyNumberFormat="0" applyAlignment="0" applyProtection="0"/>
    <xf numFmtId="0" fontId="18" fillId="14" borderId="0" applyNumberFormat="0" applyAlignment="0" applyProtection="0"/>
    <xf numFmtId="0" fontId="18" fillId="68" borderId="0" applyNumberFormat="0" applyBorder="0" applyAlignment="0" applyProtection="0"/>
    <xf numFmtId="0" fontId="18" fillId="14" borderId="0" applyNumberFormat="0" applyAlignment="0" applyProtection="0"/>
    <xf numFmtId="0" fontId="18" fillId="68" borderId="0" applyNumberFormat="0" applyBorder="0" applyAlignment="0" applyProtection="0"/>
    <xf numFmtId="0" fontId="18" fillId="68" borderId="0" applyNumberFormat="0" applyBorder="0" applyAlignment="0" applyProtection="0"/>
    <xf numFmtId="0" fontId="18" fillId="68" borderId="0" applyNumberFormat="0" applyBorder="0" applyAlignment="0" applyProtection="0"/>
    <xf numFmtId="0" fontId="18" fillId="14" borderId="0" applyNumberFormat="0" applyAlignment="0" applyProtection="0"/>
    <xf numFmtId="0" fontId="18" fillId="14" borderId="0" applyNumberFormat="0" applyAlignment="0" applyProtection="0"/>
    <xf numFmtId="0" fontId="18" fillId="68" borderId="0" applyNumberFormat="0" applyBorder="0" applyAlignment="0" applyProtection="0"/>
    <xf numFmtId="0" fontId="18" fillId="14" borderId="0" applyNumberFormat="0" applyAlignment="0" applyProtection="0"/>
    <xf numFmtId="0" fontId="18" fillId="68" borderId="0" applyNumberFormat="0" applyBorder="0" applyAlignment="0" applyProtection="0"/>
    <xf numFmtId="0" fontId="18" fillId="68" borderId="0" applyNumberFormat="0" applyBorder="0" applyAlignment="0" applyProtection="0"/>
    <xf numFmtId="0" fontId="18" fillId="14" borderId="0" applyNumberFormat="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8" fillId="70" borderId="0" applyNumberFormat="0" applyBorder="0" applyAlignment="0" applyProtection="0"/>
    <xf numFmtId="0" fontId="18"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8" fillId="65" borderId="0" applyNumberFormat="0" applyBorder="0" applyAlignment="0" applyProtection="0"/>
    <xf numFmtId="0" fontId="18" fillId="15" borderId="0" applyNumberFormat="0" applyAlignment="0" applyProtection="0"/>
    <xf numFmtId="0" fontId="18" fillId="65" borderId="0" applyNumberFormat="0" applyBorder="0" applyAlignment="0" applyProtection="0"/>
    <xf numFmtId="0" fontId="18" fillId="65" borderId="0" applyNumberFormat="0" applyBorder="0" applyAlignment="0" applyProtection="0"/>
    <xf numFmtId="0" fontId="18" fillId="65" borderId="0" applyNumberFormat="0" applyBorder="0" applyAlignment="0" applyProtection="0"/>
    <xf numFmtId="0" fontId="18" fillId="15" borderId="0" applyNumberFormat="0" applyAlignment="0" applyProtection="0"/>
    <xf numFmtId="0" fontId="18" fillId="65" borderId="0" applyNumberFormat="0" applyBorder="0" applyAlignment="0" applyProtection="0"/>
    <xf numFmtId="0" fontId="18" fillId="65" borderId="0" applyNumberFormat="0" applyBorder="0" applyAlignment="0" applyProtection="0"/>
    <xf numFmtId="0" fontId="18" fillId="15" borderId="0" applyNumberFormat="0" applyAlignment="0" applyProtection="0"/>
    <xf numFmtId="0" fontId="18" fillId="65" borderId="0" applyNumberFormat="0" applyBorder="0" applyAlignment="0" applyProtection="0"/>
    <xf numFmtId="0" fontId="18" fillId="65" borderId="0" applyNumberFormat="0" applyBorder="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70" borderId="0" applyNumberFormat="0" applyBorder="0" applyAlignment="0" applyProtection="0"/>
    <xf numFmtId="0" fontId="18" fillId="15" borderId="0" applyNumberFormat="0" applyAlignment="0" applyProtection="0"/>
    <xf numFmtId="0" fontId="18" fillId="70" borderId="0" applyNumberFormat="0" applyBorder="0" applyAlignment="0" applyProtection="0"/>
    <xf numFmtId="0" fontId="18" fillId="70" borderId="0" applyNumberFormat="0" applyBorder="0" applyAlignment="0" applyProtection="0"/>
    <xf numFmtId="0" fontId="18" fillId="70" borderId="0" applyNumberFormat="0" applyBorder="0" applyAlignment="0" applyProtection="0"/>
    <xf numFmtId="0" fontId="18" fillId="15" borderId="0" applyNumberFormat="0" applyAlignment="0" applyProtection="0"/>
    <xf numFmtId="0" fontId="18" fillId="15" borderId="0" applyNumberFormat="0" applyAlignment="0" applyProtection="0"/>
    <xf numFmtId="0" fontId="18" fillId="70" borderId="0" applyNumberFormat="0" applyBorder="0" applyAlignment="0" applyProtection="0"/>
    <xf numFmtId="0" fontId="18" fillId="15" borderId="0" applyNumberFormat="0" applyAlignment="0" applyProtection="0"/>
    <xf numFmtId="0" fontId="18" fillId="70" borderId="0" applyNumberFormat="0" applyBorder="0" applyAlignment="0" applyProtection="0"/>
    <xf numFmtId="0" fontId="18" fillId="70" borderId="0" applyNumberFormat="0" applyBorder="0" applyAlignment="0" applyProtection="0"/>
    <xf numFmtId="0" fontId="18" fillId="15" borderId="0" applyNumberFormat="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8" fillId="71" borderId="0" applyNumberFormat="0" applyBorder="0" applyAlignment="0" applyProtection="0"/>
    <xf numFmtId="0" fontId="18" fillId="16" borderId="0" applyNumberFormat="0" applyAlignment="0" applyProtection="0"/>
    <xf numFmtId="0" fontId="18" fillId="71" borderId="0" applyNumberFormat="0" applyBorder="0" applyAlignment="0" applyProtection="0"/>
    <xf numFmtId="0" fontId="18" fillId="71" borderId="0" applyNumberFormat="0" applyBorder="0" applyAlignment="0" applyProtection="0"/>
    <xf numFmtId="0" fontId="18" fillId="71" borderId="0" applyNumberFormat="0" applyBorder="0" applyAlignment="0" applyProtection="0"/>
    <xf numFmtId="0" fontId="18" fillId="16" borderId="0" applyNumberFormat="0" applyAlignment="0" applyProtection="0"/>
    <xf numFmtId="0" fontId="18" fillId="71" borderId="0" applyNumberFormat="0" applyBorder="0" applyAlignment="0" applyProtection="0"/>
    <xf numFmtId="0" fontId="18" fillId="71" borderId="0" applyNumberFormat="0" applyBorder="0" applyAlignment="0" applyProtection="0"/>
    <xf numFmtId="0" fontId="18" fillId="16" borderId="0" applyNumberFormat="0" applyAlignment="0" applyProtection="0"/>
    <xf numFmtId="0" fontId="18" fillId="71" borderId="0" applyNumberFormat="0" applyBorder="0" applyAlignment="0" applyProtection="0"/>
    <xf numFmtId="0" fontId="18" fillId="71" borderId="0" applyNumberFormat="0" applyBorder="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4" fillId="56" borderId="0" applyNumberFormat="0" applyBorder="0" applyAlignment="0" applyProtection="0"/>
    <xf numFmtId="0" fontId="18" fillId="67" borderId="0" applyNumberFormat="0" applyBorder="0" applyAlignment="0" applyProtection="0"/>
    <xf numFmtId="0" fontId="18" fillId="17"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67" borderId="0" applyNumberFormat="0" applyBorder="0" applyAlignment="0" applyProtection="0"/>
    <xf numFmtId="0" fontId="18" fillId="17"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17"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4" fillId="60" borderId="0" applyNumberFormat="0" applyBorder="0" applyAlignment="0" applyProtection="0"/>
    <xf numFmtId="0" fontId="18" fillId="72" borderId="0" applyNumberFormat="0" applyBorder="0" applyAlignment="0" applyProtection="0"/>
    <xf numFmtId="0" fontId="18" fillId="72"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8" fillId="73" borderId="0" applyNumberFormat="0" applyBorder="0" applyAlignment="0" applyProtection="0"/>
    <xf numFmtId="0" fontId="18" fillId="18" borderId="0" applyNumberFormat="0" applyAlignment="0" applyProtection="0"/>
    <xf numFmtId="0" fontId="18" fillId="73" borderId="0" applyNumberFormat="0" applyBorder="0" applyAlignment="0" applyProtection="0"/>
    <xf numFmtId="0" fontId="18" fillId="73" borderId="0" applyNumberFormat="0" applyBorder="0" applyAlignment="0" applyProtection="0"/>
    <xf numFmtId="0" fontId="18" fillId="73" borderId="0" applyNumberFormat="0" applyBorder="0" applyAlignment="0" applyProtection="0"/>
    <xf numFmtId="0" fontId="18" fillId="18" borderId="0" applyNumberFormat="0" applyAlignment="0" applyProtection="0"/>
    <xf numFmtId="0" fontId="18" fillId="73" borderId="0" applyNumberFormat="0" applyBorder="0" applyAlignment="0" applyProtection="0"/>
    <xf numFmtId="0" fontId="18" fillId="73" borderId="0" applyNumberFormat="0" applyBorder="0" applyAlignment="0" applyProtection="0"/>
    <xf numFmtId="0" fontId="18" fillId="18" borderId="0" applyNumberFormat="0" applyAlignment="0" applyProtection="0"/>
    <xf numFmtId="0" fontId="18" fillId="73" borderId="0" applyNumberFormat="0" applyBorder="0" applyAlignment="0" applyProtection="0"/>
    <xf numFmtId="0" fontId="18" fillId="73" borderId="0" applyNumberFormat="0" applyBorder="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72" borderId="0" applyNumberFormat="0" applyBorder="0" applyAlignment="0" applyProtection="0"/>
    <xf numFmtId="0" fontId="18" fillId="18" borderId="0" applyNumberFormat="0" applyAlignment="0" applyProtection="0"/>
    <xf numFmtId="0" fontId="18" fillId="72" borderId="0" applyNumberFormat="0" applyBorder="0" applyAlignment="0" applyProtection="0"/>
    <xf numFmtId="0" fontId="18" fillId="72" borderId="0" applyNumberFormat="0" applyBorder="0" applyAlignment="0" applyProtection="0"/>
    <xf numFmtId="0" fontId="18" fillId="72" borderId="0" applyNumberFormat="0" applyBorder="0" applyAlignment="0" applyProtection="0"/>
    <xf numFmtId="0" fontId="18" fillId="18" borderId="0" applyNumberFormat="0" applyAlignment="0" applyProtection="0"/>
    <xf numFmtId="0" fontId="18" fillId="18" borderId="0" applyNumberFormat="0" applyAlignment="0" applyProtection="0"/>
    <xf numFmtId="0" fontId="18" fillId="72" borderId="0" applyNumberFormat="0" applyBorder="0" applyAlignment="0" applyProtection="0"/>
    <xf numFmtId="0" fontId="18" fillId="18" borderId="0" applyNumberFormat="0" applyAlignment="0" applyProtection="0"/>
    <xf numFmtId="0" fontId="18" fillId="72" borderId="0" applyNumberFormat="0" applyBorder="0" applyAlignment="0" applyProtection="0"/>
    <xf numFmtId="0" fontId="18" fillId="72" borderId="0" applyNumberFormat="0" applyBorder="0" applyAlignment="0" applyProtection="0"/>
    <xf numFmtId="0" fontId="18" fillId="18" borderId="0" applyNumberFormat="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8" fillId="74" borderId="0" applyNumberFormat="0" applyBorder="0" applyAlignment="0" applyProtection="0"/>
    <xf numFmtId="0" fontId="18" fillId="74"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8" fillId="67" borderId="0" applyNumberFormat="0" applyBorder="0" applyAlignment="0" applyProtection="0"/>
    <xf numFmtId="0" fontId="18" fillId="19"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67" borderId="0" applyNumberFormat="0" applyBorder="0" applyAlignment="0" applyProtection="0"/>
    <xf numFmtId="0" fontId="18" fillId="19"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19"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19" borderId="0" applyNumberFormat="0" applyAlignment="0" applyProtection="0"/>
    <xf numFmtId="0" fontId="18" fillId="19" borderId="0" applyNumberFormat="0" applyAlignment="0" applyProtection="0"/>
    <xf numFmtId="0" fontId="18" fillId="19" borderId="0" applyNumberFormat="0" applyAlignment="0" applyProtection="0"/>
    <xf numFmtId="0" fontId="18" fillId="19" borderId="0" applyNumberFormat="0" applyAlignment="0" applyProtection="0"/>
    <xf numFmtId="0" fontId="18" fillId="19" borderId="0" applyNumberFormat="0" applyAlignment="0" applyProtection="0"/>
    <xf numFmtId="0" fontId="18" fillId="19" borderId="0" applyNumberFormat="0" applyAlignment="0" applyProtection="0"/>
    <xf numFmtId="0" fontId="18" fillId="19" borderId="0" applyNumberFormat="0" applyAlignment="0" applyProtection="0"/>
    <xf numFmtId="0" fontId="18" fillId="74" borderId="0" applyNumberFormat="0" applyBorder="0" applyAlignment="0" applyProtection="0"/>
    <xf numFmtId="0" fontId="18" fillId="19" borderId="0" applyNumberFormat="0" applyAlignment="0" applyProtection="0"/>
    <xf numFmtId="0" fontId="18" fillId="74" borderId="0" applyNumberFormat="0" applyBorder="0" applyAlignment="0" applyProtection="0"/>
    <xf numFmtId="0" fontId="18" fillId="74" borderId="0" applyNumberFormat="0" applyBorder="0" applyAlignment="0" applyProtection="0"/>
    <xf numFmtId="0" fontId="18" fillId="74" borderId="0" applyNumberFormat="0" applyBorder="0" applyAlignment="0" applyProtection="0"/>
    <xf numFmtId="0" fontId="18" fillId="19" borderId="0" applyNumberFormat="0" applyAlignment="0" applyProtection="0"/>
    <xf numFmtId="0" fontId="18" fillId="19" borderId="0" applyNumberFormat="0" applyAlignment="0" applyProtection="0"/>
    <xf numFmtId="0" fontId="18" fillId="74" borderId="0" applyNumberFormat="0" applyBorder="0" applyAlignment="0" applyProtection="0"/>
    <xf numFmtId="0" fontId="18" fillId="19" borderId="0" applyNumberFormat="0" applyAlignment="0" applyProtection="0"/>
    <xf numFmtId="0" fontId="18" fillId="74" borderId="0" applyNumberFormat="0" applyBorder="0" applyAlignment="0" applyProtection="0"/>
    <xf numFmtId="0" fontId="18" fillId="74" borderId="0" applyNumberFormat="0" applyBorder="0" applyAlignment="0" applyProtection="0"/>
    <xf numFmtId="0" fontId="18" fillId="19" borderId="0" applyNumberFormat="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8" fillId="75" borderId="0" applyNumberFormat="0" applyBorder="0" applyAlignment="0" applyProtection="0"/>
    <xf numFmtId="0" fontId="18"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8" fillId="76" borderId="0" applyNumberFormat="0" applyBorder="0" applyAlignment="0" applyProtection="0"/>
    <xf numFmtId="0" fontId="18" fillId="20" borderId="0" applyNumberFormat="0" applyAlignment="0" applyProtection="0"/>
    <xf numFmtId="0" fontId="18" fillId="76" borderId="0" applyNumberFormat="0" applyBorder="0" applyAlignment="0" applyProtection="0"/>
    <xf numFmtId="0" fontId="18" fillId="76" borderId="0" applyNumberFormat="0" applyBorder="0" applyAlignment="0" applyProtection="0"/>
    <xf numFmtId="0" fontId="18" fillId="76" borderId="0" applyNumberFormat="0" applyBorder="0" applyAlignment="0" applyProtection="0"/>
    <xf numFmtId="0" fontId="18" fillId="20" borderId="0" applyNumberFormat="0" applyAlignment="0" applyProtection="0"/>
    <xf numFmtId="0" fontId="18" fillId="76" borderId="0" applyNumberFormat="0" applyBorder="0" applyAlignment="0" applyProtection="0"/>
    <xf numFmtId="0" fontId="18" fillId="76" borderId="0" applyNumberFormat="0" applyBorder="0" applyAlignment="0" applyProtection="0"/>
    <xf numFmtId="0" fontId="18" fillId="20" borderId="0" applyNumberFormat="0" applyAlignment="0" applyProtection="0"/>
    <xf numFmtId="0" fontId="18" fillId="76" borderId="0" applyNumberFormat="0" applyBorder="0" applyAlignment="0" applyProtection="0"/>
    <xf numFmtId="0" fontId="18" fillId="76" borderId="0" applyNumberFormat="0" applyBorder="0" applyAlignment="0" applyProtection="0"/>
    <xf numFmtId="0" fontId="18" fillId="20" borderId="0" applyNumberFormat="0" applyAlignment="0" applyProtection="0"/>
    <xf numFmtId="0" fontId="18" fillId="20" borderId="0" applyNumberFormat="0" applyAlignment="0" applyProtection="0"/>
    <xf numFmtId="0" fontId="18" fillId="20" borderId="0" applyNumberFormat="0" applyAlignment="0" applyProtection="0"/>
    <xf numFmtId="0" fontId="18" fillId="20" borderId="0" applyNumberFormat="0" applyAlignment="0" applyProtection="0"/>
    <xf numFmtId="0" fontId="18" fillId="20" borderId="0" applyNumberFormat="0" applyAlignment="0" applyProtection="0"/>
    <xf numFmtId="0" fontId="18" fillId="20" borderId="0" applyNumberFormat="0" applyAlignment="0" applyProtection="0"/>
    <xf numFmtId="0" fontId="18" fillId="20" borderId="0" applyNumberFormat="0" applyAlignment="0" applyProtection="0"/>
    <xf numFmtId="0" fontId="18" fillId="75" borderId="0" applyNumberFormat="0" applyBorder="0" applyAlignment="0" applyProtection="0"/>
    <xf numFmtId="0" fontId="18" fillId="20" borderId="0" applyNumberFormat="0" applyAlignment="0" applyProtection="0"/>
    <xf numFmtId="0" fontId="18" fillId="75" borderId="0" applyNumberFormat="0" applyBorder="0" applyAlignment="0" applyProtection="0"/>
    <xf numFmtId="0" fontId="18" fillId="75" borderId="0" applyNumberFormat="0" applyBorder="0" applyAlignment="0" applyProtection="0"/>
    <xf numFmtId="0" fontId="18" fillId="75" borderId="0" applyNumberFormat="0" applyBorder="0" applyAlignment="0" applyProtection="0"/>
    <xf numFmtId="0" fontId="18" fillId="20" borderId="0" applyNumberFormat="0" applyAlignment="0" applyProtection="0"/>
    <xf numFmtId="0" fontId="18" fillId="20" borderId="0" applyNumberFormat="0" applyAlignment="0" applyProtection="0"/>
    <xf numFmtId="0" fontId="18" fillId="75" borderId="0" applyNumberFormat="0" applyBorder="0" applyAlignment="0" applyProtection="0"/>
    <xf numFmtId="0" fontId="18" fillId="20" borderId="0" applyNumberFormat="0" applyAlignment="0" applyProtection="0"/>
    <xf numFmtId="0" fontId="18" fillId="75" borderId="0" applyNumberFormat="0" applyBorder="0" applyAlignment="0" applyProtection="0"/>
    <xf numFmtId="0" fontId="18" fillId="75" borderId="0" applyNumberFormat="0" applyBorder="0" applyAlignment="0" applyProtection="0"/>
    <xf numFmtId="0" fontId="18" fillId="20" borderId="0" applyNumberFormat="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8" fillId="70" borderId="0" applyNumberFormat="0" applyBorder="0" applyAlignment="0" applyProtection="0"/>
    <xf numFmtId="0" fontId="18"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8" fillId="73" borderId="0" applyNumberFormat="0" applyBorder="0" applyAlignment="0" applyProtection="0"/>
    <xf numFmtId="0" fontId="18" fillId="15" borderId="0" applyNumberFormat="0" applyAlignment="0" applyProtection="0"/>
    <xf numFmtId="0" fontId="18" fillId="73" borderId="0" applyNumberFormat="0" applyBorder="0" applyAlignment="0" applyProtection="0"/>
    <xf numFmtId="0" fontId="18" fillId="73" borderId="0" applyNumberFormat="0" applyBorder="0" applyAlignment="0" applyProtection="0"/>
    <xf numFmtId="0" fontId="18" fillId="73" borderId="0" applyNumberFormat="0" applyBorder="0" applyAlignment="0" applyProtection="0"/>
    <xf numFmtId="0" fontId="18" fillId="15" borderId="0" applyNumberFormat="0" applyAlignment="0" applyProtection="0"/>
    <xf numFmtId="0" fontId="18" fillId="73" borderId="0" applyNumberFormat="0" applyBorder="0" applyAlignment="0" applyProtection="0"/>
    <xf numFmtId="0" fontId="18" fillId="73" borderId="0" applyNumberFormat="0" applyBorder="0" applyAlignment="0" applyProtection="0"/>
    <xf numFmtId="0" fontId="18" fillId="15" borderId="0" applyNumberFormat="0" applyAlignment="0" applyProtection="0"/>
    <xf numFmtId="0" fontId="18" fillId="73" borderId="0" applyNumberFormat="0" applyBorder="0" applyAlignment="0" applyProtection="0"/>
    <xf numFmtId="0" fontId="18" fillId="73" borderId="0" applyNumberFormat="0" applyBorder="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70" borderId="0" applyNumberFormat="0" applyBorder="0" applyAlignment="0" applyProtection="0"/>
    <xf numFmtId="0" fontId="18" fillId="15" borderId="0" applyNumberFormat="0" applyAlignment="0" applyProtection="0"/>
    <xf numFmtId="0" fontId="18" fillId="70" borderId="0" applyNumberFormat="0" applyBorder="0" applyAlignment="0" applyProtection="0"/>
    <xf numFmtId="0" fontId="18" fillId="70" borderId="0" applyNumberFormat="0" applyBorder="0" applyAlignment="0" applyProtection="0"/>
    <xf numFmtId="0" fontId="18" fillId="70" borderId="0" applyNumberFormat="0" applyBorder="0" applyAlignment="0" applyProtection="0"/>
    <xf numFmtId="0" fontId="18" fillId="15" borderId="0" applyNumberFormat="0" applyAlignment="0" applyProtection="0"/>
    <xf numFmtId="0" fontId="18" fillId="15" borderId="0" applyNumberFormat="0" applyAlignment="0" applyProtection="0"/>
    <xf numFmtId="0" fontId="18" fillId="70" borderId="0" applyNumberFormat="0" applyBorder="0" applyAlignment="0" applyProtection="0"/>
    <xf numFmtId="0" fontId="18" fillId="15" borderId="0" applyNumberFormat="0" applyAlignment="0" applyProtection="0"/>
    <xf numFmtId="0" fontId="18" fillId="70" borderId="0" applyNumberFormat="0" applyBorder="0" applyAlignment="0" applyProtection="0"/>
    <xf numFmtId="0" fontId="18" fillId="70" borderId="0" applyNumberFormat="0" applyBorder="0" applyAlignment="0" applyProtection="0"/>
    <xf numFmtId="0" fontId="18" fillId="15" borderId="0" applyNumberFormat="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8" fillId="72" borderId="0" applyNumberFormat="0" applyBorder="0" applyAlignment="0" applyProtection="0"/>
    <xf numFmtId="0" fontId="18" fillId="18" borderId="0" applyNumberFormat="0" applyAlignment="0" applyProtection="0"/>
    <xf numFmtId="0" fontId="18" fillId="72" borderId="0" applyNumberFormat="0" applyBorder="0" applyAlignment="0" applyProtection="0"/>
    <xf numFmtId="0" fontId="18" fillId="72" borderId="0" applyNumberFormat="0" applyBorder="0" applyAlignment="0" applyProtection="0"/>
    <xf numFmtId="0" fontId="18" fillId="72" borderId="0" applyNumberFormat="0" applyBorder="0" applyAlignment="0" applyProtection="0"/>
    <xf numFmtId="0" fontId="18" fillId="18" borderId="0" applyNumberFormat="0" applyAlignment="0" applyProtection="0"/>
    <xf numFmtId="0" fontId="18" fillId="72" borderId="0" applyNumberFormat="0" applyBorder="0" applyAlignment="0" applyProtection="0"/>
    <xf numFmtId="0" fontId="18" fillId="72" borderId="0" applyNumberFormat="0" applyBorder="0" applyAlignment="0" applyProtection="0"/>
    <xf numFmtId="0" fontId="18" fillId="18" borderId="0" applyNumberFormat="0" applyAlignment="0" applyProtection="0"/>
    <xf numFmtId="0" fontId="18" fillId="72" borderId="0" applyNumberFormat="0" applyBorder="0" applyAlignment="0" applyProtection="0"/>
    <xf numFmtId="0" fontId="18" fillId="72" borderId="0" applyNumberFormat="0" applyBorder="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4" fillId="57" borderId="0" applyNumberFormat="0" applyBorder="0" applyAlignment="0" applyProtection="0"/>
    <xf numFmtId="0" fontId="18" fillId="77" borderId="0" applyNumberFormat="0" applyBorder="0" applyAlignment="0" applyProtection="0"/>
    <xf numFmtId="0" fontId="18" fillId="7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8" fillId="67" borderId="0" applyNumberFormat="0" applyBorder="0" applyAlignment="0" applyProtection="0"/>
    <xf numFmtId="0" fontId="18" fillId="21"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67" borderId="0" applyNumberFormat="0" applyBorder="0" applyAlignment="0" applyProtection="0"/>
    <xf numFmtId="0" fontId="18" fillId="21"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21"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21" borderId="0" applyNumberFormat="0" applyAlignment="0" applyProtection="0"/>
    <xf numFmtId="0" fontId="18" fillId="21" borderId="0" applyNumberFormat="0" applyAlignment="0" applyProtection="0"/>
    <xf numFmtId="0" fontId="18" fillId="21" borderId="0" applyNumberFormat="0" applyAlignment="0" applyProtection="0"/>
    <xf numFmtId="0" fontId="18" fillId="21" borderId="0" applyNumberFormat="0" applyAlignment="0" applyProtection="0"/>
    <xf numFmtId="0" fontId="18" fillId="21" borderId="0" applyNumberFormat="0" applyAlignment="0" applyProtection="0"/>
    <xf numFmtId="0" fontId="18" fillId="21" borderId="0" applyNumberFormat="0" applyAlignment="0" applyProtection="0"/>
    <xf numFmtId="0" fontId="18" fillId="21" borderId="0" applyNumberFormat="0" applyAlignment="0" applyProtection="0"/>
    <xf numFmtId="0" fontId="18" fillId="77" borderId="0" applyNumberFormat="0" applyBorder="0" applyAlignment="0" applyProtection="0"/>
    <xf numFmtId="0" fontId="18" fillId="21" borderId="0" applyNumberFormat="0" applyAlignment="0" applyProtection="0"/>
    <xf numFmtId="0" fontId="18" fillId="77" borderId="0" applyNumberFormat="0" applyBorder="0" applyAlignment="0" applyProtection="0"/>
    <xf numFmtId="0" fontId="18" fillId="77" borderId="0" applyNumberFormat="0" applyBorder="0" applyAlignment="0" applyProtection="0"/>
    <xf numFmtId="0" fontId="18" fillId="77" borderId="0" applyNumberFormat="0" applyBorder="0" applyAlignment="0" applyProtection="0"/>
    <xf numFmtId="0" fontId="18" fillId="21" borderId="0" applyNumberFormat="0" applyAlignment="0" applyProtection="0"/>
    <xf numFmtId="0" fontId="18" fillId="21" borderId="0" applyNumberFormat="0" applyAlignment="0" applyProtection="0"/>
    <xf numFmtId="0" fontId="18" fillId="77" borderId="0" applyNumberFormat="0" applyBorder="0" applyAlignment="0" applyProtection="0"/>
    <xf numFmtId="0" fontId="18" fillId="21" borderId="0" applyNumberFormat="0" applyAlignment="0" applyProtection="0"/>
    <xf numFmtId="0" fontId="18" fillId="77" borderId="0" applyNumberFormat="0" applyBorder="0" applyAlignment="0" applyProtection="0"/>
    <xf numFmtId="0" fontId="18" fillId="77" borderId="0" applyNumberFormat="0" applyBorder="0" applyAlignment="0" applyProtection="0"/>
    <xf numFmtId="0" fontId="18" fillId="21" borderId="0" applyNumberFormat="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9" fillId="78" borderId="0" applyNumberFormat="0" applyBorder="0" applyAlignment="0" applyProtection="0"/>
    <xf numFmtId="0" fontId="19" fillId="78" borderId="0" applyNumberFormat="0" applyBorder="0" applyAlignment="0" applyProtection="0"/>
    <xf numFmtId="0" fontId="49" fillId="42" borderId="0" applyNumberFormat="0" applyBorder="0" applyAlignment="0" applyProtection="0"/>
    <xf numFmtId="0" fontId="49" fillId="42" borderId="0" applyNumberFormat="0" applyBorder="0" applyAlignment="0" applyProtection="0"/>
    <xf numFmtId="0" fontId="19" fillId="79" borderId="0" applyNumberFormat="0" applyBorder="0" applyAlignment="0" applyProtection="0"/>
    <xf numFmtId="0" fontId="19" fillId="22" borderId="0" applyNumberFormat="0" applyAlignment="0" applyProtection="0"/>
    <xf numFmtId="0" fontId="19" fillId="79" borderId="0" applyNumberFormat="0" applyBorder="0" applyAlignment="0" applyProtection="0"/>
    <xf numFmtId="0" fontId="19" fillId="79" borderId="0" applyNumberFormat="0" applyBorder="0" applyAlignment="0" applyProtection="0"/>
    <xf numFmtId="0" fontId="19" fillId="79" borderId="0" applyNumberFormat="0" applyBorder="0" applyAlignment="0" applyProtection="0"/>
    <xf numFmtId="0" fontId="19" fillId="22" borderId="0" applyNumberFormat="0" applyAlignment="0" applyProtection="0"/>
    <xf numFmtId="0" fontId="19" fillId="79" borderId="0" applyNumberFormat="0" applyBorder="0" applyAlignment="0" applyProtection="0"/>
    <xf numFmtId="0" fontId="19" fillId="79" borderId="0" applyNumberFormat="0" applyBorder="0" applyAlignment="0" applyProtection="0"/>
    <xf numFmtId="0" fontId="19" fillId="22" borderId="0" applyNumberFormat="0" applyAlignment="0" applyProtection="0"/>
    <xf numFmtId="0" fontId="19" fillId="79" borderId="0" applyNumberFormat="0" applyBorder="0" applyAlignment="0" applyProtection="0"/>
    <xf numFmtId="0" fontId="19" fillId="79" borderId="0" applyNumberFormat="0" applyBorder="0" applyAlignment="0" applyProtection="0"/>
    <xf numFmtId="0" fontId="19" fillId="22" borderId="0" applyNumberFormat="0" applyAlignment="0" applyProtection="0"/>
    <xf numFmtId="0" fontId="19" fillId="22" borderId="0" applyNumberFormat="0" applyAlignment="0" applyProtection="0"/>
    <xf numFmtId="0" fontId="19" fillId="22" borderId="0" applyNumberFormat="0" applyAlignment="0" applyProtection="0"/>
    <xf numFmtId="0" fontId="19" fillId="22" borderId="0" applyNumberFormat="0" applyAlignment="0" applyProtection="0"/>
    <xf numFmtId="0" fontId="19" fillId="22" borderId="0" applyNumberFormat="0" applyAlignment="0" applyProtection="0"/>
    <xf numFmtId="0" fontId="19" fillId="22" borderId="0" applyNumberFormat="0" applyAlignment="0" applyProtection="0"/>
    <xf numFmtId="0" fontId="19" fillId="22" borderId="0" applyNumberFormat="0" applyAlignment="0" applyProtection="0"/>
    <xf numFmtId="0" fontId="19" fillId="78" borderId="0" applyNumberFormat="0" applyBorder="0" applyAlignment="0" applyProtection="0"/>
    <xf numFmtId="0" fontId="19" fillId="22" borderId="0" applyNumberFormat="0" applyAlignment="0" applyProtection="0"/>
    <xf numFmtId="0" fontId="19" fillId="78" borderId="0" applyNumberFormat="0" applyBorder="0" applyAlignment="0" applyProtection="0"/>
    <xf numFmtId="0" fontId="19" fillId="78" borderId="0" applyNumberFormat="0" applyBorder="0" applyAlignment="0" applyProtection="0"/>
    <xf numFmtId="0" fontId="19" fillId="78" borderId="0" applyNumberFormat="0" applyBorder="0" applyAlignment="0" applyProtection="0"/>
    <xf numFmtId="0" fontId="19" fillId="22" borderId="0" applyNumberFormat="0" applyAlignment="0" applyProtection="0"/>
    <xf numFmtId="0" fontId="19" fillId="22" borderId="0" applyNumberFormat="0" applyAlignment="0" applyProtection="0"/>
    <xf numFmtId="0" fontId="19" fillId="78" borderId="0" applyNumberFormat="0" applyBorder="0" applyAlignment="0" applyProtection="0"/>
    <xf numFmtId="0" fontId="19" fillId="22" borderId="0" applyNumberFormat="0" applyAlignment="0" applyProtection="0"/>
    <xf numFmtId="0" fontId="19" fillId="78" borderId="0" applyNumberFormat="0" applyBorder="0" applyAlignment="0" applyProtection="0"/>
    <xf numFmtId="0" fontId="19" fillId="78" borderId="0" applyNumberFormat="0" applyBorder="0" applyAlignment="0" applyProtection="0"/>
    <xf numFmtId="0" fontId="19" fillId="22" borderId="0" applyNumberFormat="0" applyAlignment="0" applyProtection="0"/>
    <xf numFmtId="0" fontId="49" fillId="42" borderId="0" applyNumberFormat="0" applyBorder="0" applyAlignment="0" applyProtection="0"/>
    <xf numFmtId="0" fontId="49" fillId="42" borderId="0" applyNumberFormat="0" applyBorder="0" applyAlignment="0" applyProtection="0"/>
    <xf numFmtId="0" fontId="49" fillId="42" borderId="0" applyNumberFormat="0" applyBorder="0" applyAlignment="0" applyProtection="0"/>
    <xf numFmtId="0" fontId="49" fillId="42" borderId="0" applyNumberFormat="0" applyBorder="0" applyAlignment="0" applyProtection="0"/>
    <xf numFmtId="0" fontId="49" fillId="42" borderId="0" applyNumberFormat="0" applyBorder="0" applyAlignment="0" applyProtection="0"/>
    <xf numFmtId="0" fontId="19" fillId="74" borderId="0" applyNumberFormat="0" applyBorder="0" applyAlignment="0" applyProtection="0"/>
    <xf numFmtId="0" fontId="19" fillId="74" borderId="0" applyNumberFormat="0" applyBorder="0" applyAlignment="0" applyProtection="0"/>
    <xf numFmtId="0" fontId="49" fillId="46" borderId="0" applyNumberFormat="0" applyBorder="0" applyAlignment="0" applyProtection="0"/>
    <xf numFmtId="0" fontId="49" fillId="46" borderId="0" applyNumberFormat="0" applyBorder="0" applyAlignment="0" applyProtection="0"/>
    <xf numFmtId="0" fontId="19" fillId="67" borderId="0" applyNumberFormat="0" applyBorder="0" applyAlignment="0" applyProtection="0"/>
    <xf numFmtId="0" fontId="19" fillId="19" borderId="0" applyNumberFormat="0" applyAlignment="0" applyProtection="0"/>
    <xf numFmtId="0" fontId="19" fillId="67" borderId="0" applyNumberFormat="0" applyBorder="0" applyAlignment="0" applyProtection="0"/>
    <xf numFmtId="0" fontId="19" fillId="67" borderId="0" applyNumberFormat="0" applyBorder="0" applyAlignment="0" applyProtection="0"/>
    <xf numFmtId="0" fontId="19" fillId="67" borderId="0" applyNumberFormat="0" applyBorder="0" applyAlignment="0" applyProtection="0"/>
    <xf numFmtId="0" fontId="19" fillId="19" borderId="0" applyNumberFormat="0" applyAlignment="0" applyProtection="0"/>
    <xf numFmtId="0" fontId="19" fillId="67" borderId="0" applyNumberFormat="0" applyBorder="0" applyAlignment="0" applyProtection="0"/>
    <xf numFmtId="0" fontId="19" fillId="67" borderId="0" applyNumberFormat="0" applyBorder="0" applyAlignment="0" applyProtection="0"/>
    <xf numFmtId="0" fontId="19" fillId="19" borderId="0" applyNumberFormat="0" applyAlignment="0" applyProtection="0"/>
    <xf numFmtId="0" fontId="19" fillId="67" borderId="0" applyNumberFormat="0" applyBorder="0" applyAlignment="0" applyProtection="0"/>
    <xf numFmtId="0" fontId="19" fillId="67" borderId="0" applyNumberFormat="0" applyBorder="0" applyAlignment="0" applyProtection="0"/>
    <xf numFmtId="0" fontId="19" fillId="19" borderId="0" applyNumberFormat="0" applyAlignment="0" applyProtection="0"/>
    <xf numFmtId="0" fontId="19" fillId="19" borderId="0" applyNumberFormat="0" applyAlignment="0" applyProtection="0"/>
    <xf numFmtId="0" fontId="19" fillId="19" borderId="0" applyNumberFormat="0" applyAlignment="0" applyProtection="0"/>
    <xf numFmtId="0" fontId="19" fillId="19" borderId="0" applyNumberFormat="0" applyAlignment="0" applyProtection="0"/>
    <xf numFmtId="0" fontId="19" fillId="19" borderId="0" applyNumberFormat="0" applyAlignment="0" applyProtection="0"/>
    <xf numFmtId="0" fontId="19" fillId="19" borderId="0" applyNumberFormat="0" applyAlignment="0" applyProtection="0"/>
    <xf numFmtId="0" fontId="19" fillId="19" borderId="0" applyNumberFormat="0" applyAlignment="0" applyProtection="0"/>
    <xf numFmtId="0" fontId="19" fillId="74" borderId="0" applyNumberFormat="0" applyBorder="0" applyAlignment="0" applyProtection="0"/>
    <xf numFmtId="0" fontId="19" fillId="19" borderId="0" applyNumberFormat="0" applyAlignment="0" applyProtection="0"/>
    <xf numFmtId="0" fontId="19" fillId="74" borderId="0" applyNumberFormat="0" applyBorder="0" applyAlignment="0" applyProtection="0"/>
    <xf numFmtId="0" fontId="19" fillId="74" borderId="0" applyNumberFormat="0" applyBorder="0" applyAlignment="0" applyProtection="0"/>
    <xf numFmtId="0" fontId="19" fillId="74" borderId="0" applyNumberFormat="0" applyBorder="0" applyAlignment="0" applyProtection="0"/>
    <xf numFmtId="0" fontId="19" fillId="19" borderId="0" applyNumberFormat="0" applyAlignment="0" applyProtection="0"/>
    <xf numFmtId="0" fontId="19" fillId="19" borderId="0" applyNumberFormat="0" applyAlignment="0" applyProtection="0"/>
    <xf numFmtId="0" fontId="19" fillId="74" borderId="0" applyNumberFormat="0" applyBorder="0" applyAlignment="0" applyProtection="0"/>
    <xf numFmtId="0" fontId="19" fillId="19" borderId="0" applyNumberFormat="0" applyAlignment="0" applyProtection="0"/>
    <xf numFmtId="0" fontId="19" fillId="74" borderId="0" applyNumberFormat="0" applyBorder="0" applyAlignment="0" applyProtection="0"/>
    <xf numFmtId="0" fontId="19" fillId="74" borderId="0" applyNumberFormat="0" applyBorder="0" applyAlignment="0" applyProtection="0"/>
    <xf numFmtId="0" fontId="19" fillId="19" borderId="0" applyNumberFormat="0" applyAlignment="0" applyProtection="0"/>
    <xf numFmtId="0" fontId="49" fillId="46" borderId="0" applyNumberFormat="0" applyBorder="0" applyAlignment="0" applyProtection="0"/>
    <xf numFmtId="0" fontId="49" fillId="46" borderId="0" applyNumberFormat="0" applyBorder="0" applyAlignment="0" applyProtection="0"/>
    <xf numFmtId="0" fontId="49" fillId="46" borderId="0" applyNumberFormat="0" applyBorder="0" applyAlignment="0" applyProtection="0"/>
    <xf numFmtId="0" fontId="49" fillId="46" borderId="0" applyNumberFormat="0" applyBorder="0" applyAlignment="0" applyProtection="0"/>
    <xf numFmtId="0" fontId="49" fillId="46" borderId="0" applyNumberFormat="0" applyBorder="0" applyAlignment="0" applyProtection="0"/>
    <xf numFmtId="0" fontId="19" fillId="75" borderId="0" applyNumberFormat="0" applyBorder="0" applyAlignment="0" applyProtection="0"/>
    <xf numFmtId="0" fontId="19" fillId="75" borderId="0" applyNumberFormat="0" applyBorder="0" applyAlignment="0" applyProtection="0"/>
    <xf numFmtId="0" fontId="49" fillId="75" borderId="0" applyNumberFormat="0" applyBorder="0" applyAlignment="0" applyProtection="0"/>
    <xf numFmtId="0" fontId="49" fillId="50"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50" borderId="0" applyNumberFormat="0" applyBorder="0" applyAlignment="0" applyProtection="0"/>
    <xf numFmtId="0" fontId="49" fillId="50" borderId="0" applyNumberFormat="0" applyBorder="0" applyAlignment="0" applyProtection="0"/>
    <xf numFmtId="0" fontId="19" fillId="76" borderId="0" applyNumberFormat="0" applyBorder="0" applyAlignment="0" applyProtection="0"/>
    <xf numFmtId="0" fontId="19" fillId="20" borderId="0" applyNumberFormat="0" applyAlignment="0" applyProtection="0"/>
    <xf numFmtId="0" fontId="19" fillId="76" borderId="0" applyNumberFormat="0" applyBorder="0" applyAlignment="0" applyProtection="0"/>
    <xf numFmtId="0" fontId="19" fillId="76" borderId="0" applyNumberFormat="0" applyBorder="0" applyAlignment="0" applyProtection="0"/>
    <xf numFmtId="0" fontId="19" fillId="76" borderId="0" applyNumberFormat="0" applyBorder="0" applyAlignment="0" applyProtection="0"/>
    <xf numFmtId="0" fontId="19" fillId="20" borderId="0" applyNumberFormat="0" applyAlignment="0" applyProtection="0"/>
    <xf numFmtId="0" fontId="19" fillId="76" borderId="0" applyNumberFormat="0" applyBorder="0" applyAlignment="0" applyProtection="0"/>
    <xf numFmtId="0" fontId="19" fillId="76" borderId="0" applyNumberFormat="0" applyBorder="0" applyAlignment="0" applyProtection="0"/>
    <xf numFmtId="0" fontId="19" fillId="20" borderId="0" applyNumberFormat="0" applyAlignment="0" applyProtection="0"/>
    <xf numFmtId="0" fontId="19" fillId="76" borderId="0" applyNumberFormat="0" applyBorder="0" applyAlignment="0" applyProtection="0"/>
    <xf numFmtId="0" fontId="19" fillId="76" borderId="0" applyNumberFormat="0" applyBorder="0" applyAlignment="0" applyProtection="0"/>
    <xf numFmtId="0" fontId="19" fillId="20" borderId="0" applyNumberFormat="0" applyAlignment="0" applyProtection="0"/>
    <xf numFmtId="0" fontId="19" fillId="20" borderId="0" applyNumberFormat="0" applyAlignment="0" applyProtection="0"/>
    <xf numFmtId="0" fontId="19" fillId="20" borderId="0" applyNumberFormat="0" applyAlignment="0" applyProtection="0"/>
    <xf numFmtId="0" fontId="19" fillId="20" borderId="0" applyNumberFormat="0" applyAlignment="0" applyProtection="0"/>
    <xf numFmtId="0" fontId="19" fillId="20" borderId="0" applyNumberFormat="0" applyAlignment="0" applyProtection="0"/>
    <xf numFmtId="0" fontId="19" fillId="20" borderId="0" applyNumberFormat="0" applyAlignment="0" applyProtection="0"/>
    <xf numFmtId="0" fontId="19" fillId="20" borderId="0" applyNumberFormat="0" applyAlignment="0" applyProtection="0"/>
    <xf numFmtId="0" fontId="19" fillId="75" borderId="0" applyNumberFormat="0" applyBorder="0" applyAlignment="0" applyProtection="0"/>
    <xf numFmtId="0" fontId="19" fillId="20" borderId="0" applyNumberFormat="0" applyAlignment="0" applyProtection="0"/>
    <xf numFmtId="0" fontId="19" fillId="75" borderId="0" applyNumberFormat="0" applyBorder="0" applyAlignment="0" applyProtection="0"/>
    <xf numFmtId="0" fontId="19" fillId="75" borderId="0" applyNumberFormat="0" applyBorder="0" applyAlignment="0" applyProtection="0"/>
    <xf numFmtId="0" fontId="19" fillId="75" borderId="0" applyNumberFormat="0" applyBorder="0" applyAlignment="0" applyProtection="0"/>
    <xf numFmtId="0" fontId="19" fillId="20" borderId="0" applyNumberFormat="0" applyAlignment="0" applyProtection="0"/>
    <xf numFmtId="0" fontId="19" fillId="20" borderId="0" applyNumberFormat="0" applyAlignment="0" applyProtection="0"/>
    <xf numFmtId="0" fontId="19" fillId="75" borderId="0" applyNumberFormat="0" applyBorder="0" applyAlignment="0" applyProtection="0"/>
    <xf numFmtId="0" fontId="19" fillId="20" borderId="0" applyNumberFormat="0" applyAlignment="0" applyProtection="0"/>
    <xf numFmtId="0" fontId="19" fillId="75" borderId="0" applyNumberFormat="0" applyBorder="0" applyAlignment="0" applyProtection="0"/>
    <xf numFmtId="0" fontId="19" fillId="75" borderId="0" applyNumberFormat="0" applyBorder="0" applyAlignment="0" applyProtection="0"/>
    <xf numFmtId="0" fontId="19" fillId="20" borderId="0" applyNumberFormat="0" applyAlignment="0" applyProtection="0"/>
    <xf numFmtId="0" fontId="49" fillId="50"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50" borderId="0" applyNumberFormat="0" applyBorder="0" applyAlignment="0" applyProtection="0"/>
    <xf numFmtId="0" fontId="49" fillId="50"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50" borderId="0" applyNumberFormat="0" applyBorder="0" applyAlignment="0" applyProtection="0"/>
    <xf numFmtId="0" fontId="49" fillId="50"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50" borderId="0" applyNumberFormat="0" applyBorder="0" applyAlignment="0" applyProtection="0"/>
    <xf numFmtId="0" fontId="49" fillId="50"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50" borderId="0" applyNumberFormat="0" applyBorder="0" applyAlignment="0" applyProtection="0"/>
    <xf numFmtId="0" fontId="49" fillId="50"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50" borderId="0" applyNumberFormat="0" applyBorder="0" applyAlignment="0" applyProtection="0"/>
    <xf numFmtId="0" fontId="19" fillId="80" borderId="0" applyNumberFormat="0" applyBorder="0" applyAlignment="0" applyProtection="0"/>
    <xf numFmtId="0" fontId="19" fillId="80" borderId="0" applyNumberFormat="0" applyBorder="0" applyAlignment="0" applyProtection="0"/>
    <xf numFmtId="0" fontId="49" fillId="80" borderId="0" applyNumberFormat="0" applyBorder="0" applyAlignment="0" applyProtection="0"/>
    <xf numFmtId="0" fontId="49" fillId="54"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54" borderId="0" applyNumberFormat="0" applyBorder="0" applyAlignment="0" applyProtection="0"/>
    <xf numFmtId="0" fontId="49" fillId="54" borderId="0" applyNumberFormat="0" applyBorder="0" applyAlignment="0" applyProtection="0"/>
    <xf numFmtId="0" fontId="19" fillId="73" borderId="0" applyNumberFormat="0" applyBorder="0" applyAlignment="0" applyProtection="0"/>
    <xf numFmtId="0" fontId="19" fillId="23" borderId="0" applyNumberFormat="0" applyAlignment="0" applyProtection="0"/>
    <xf numFmtId="0" fontId="19" fillId="73" borderId="0" applyNumberFormat="0" applyBorder="0" applyAlignment="0" applyProtection="0"/>
    <xf numFmtId="0" fontId="19" fillId="73" borderId="0" applyNumberFormat="0" applyBorder="0" applyAlignment="0" applyProtection="0"/>
    <xf numFmtId="0" fontId="19" fillId="73" borderId="0" applyNumberFormat="0" applyBorder="0" applyAlignment="0" applyProtection="0"/>
    <xf numFmtId="0" fontId="19" fillId="23" borderId="0" applyNumberFormat="0" applyAlignment="0" applyProtection="0"/>
    <xf numFmtId="0" fontId="19" fillId="73" borderId="0" applyNumberFormat="0" applyBorder="0" applyAlignment="0" applyProtection="0"/>
    <xf numFmtId="0" fontId="19" fillId="73" borderId="0" applyNumberFormat="0" applyBorder="0" applyAlignment="0" applyProtection="0"/>
    <xf numFmtId="0" fontId="19" fillId="23" borderId="0" applyNumberFormat="0" applyAlignment="0" applyProtection="0"/>
    <xf numFmtId="0" fontId="19" fillId="73" borderId="0" applyNumberFormat="0" applyBorder="0" applyAlignment="0" applyProtection="0"/>
    <xf numFmtId="0" fontId="19" fillId="73" borderId="0" applyNumberFormat="0" applyBorder="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80" borderId="0" applyNumberFormat="0" applyBorder="0" applyAlignment="0" applyProtection="0"/>
    <xf numFmtId="0" fontId="19" fillId="23" borderId="0" applyNumberFormat="0" applyAlignment="0" applyProtection="0"/>
    <xf numFmtId="0" fontId="19" fillId="80" borderId="0" applyNumberFormat="0" applyBorder="0" applyAlignment="0" applyProtection="0"/>
    <xf numFmtId="0" fontId="19" fillId="80" borderId="0" applyNumberFormat="0" applyBorder="0" applyAlignment="0" applyProtection="0"/>
    <xf numFmtId="0" fontId="19" fillId="80" borderId="0" applyNumberFormat="0" applyBorder="0" applyAlignment="0" applyProtection="0"/>
    <xf numFmtId="0" fontId="19" fillId="23" borderId="0" applyNumberFormat="0" applyAlignment="0" applyProtection="0"/>
    <xf numFmtId="0" fontId="19" fillId="23" borderId="0" applyNumberFormat="0" applyAlignment="0" applyProtection="0"/>
    <xf numFmtId="0" fontId="19" fillId="80" borderId="0" applyNumberFormat="0" applyBorder="0" applyAlignment="0" applyProtection="0"/>
    <xf numFmtId="0" fontId="19" fillId="23" borderId="0" applyNumberFormat="0" applyAlignment="0" applyProtection="0"/>
    <xf numFmtId="0" fontId="19" fillId="80" borderId="0" applyNumberFormat="0" applyBorder="0" applyAlignment="0" applyProtection="0"/>
    <xf numFmtId="0" fontId="19" fillId="80" borderId="0" applyNumberFormat="0" applyBorder="0" applyAlignment="0" applyProtection="0"/>
    <xf numFmtId="0" fontId="19" fillId="23" borderId="0" applyNumberFormat="0" applyAlignment="0" applyProtection="0"/>
    <xf numFmtId="0" fontId="49" fillId="54"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54" borderId="0" applyNumberFormat="0" applyBorder="0" applyAlignment="0" applyProtection="0"/>
    <xf numFmtId="0" fontId="49" fillId="54"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54" borderId="0" applyNumberFormat="0" applyBorder="0" applyAlignment="0" applyProtection="0"/>
    <xf numFmtId="0" fontId="49" fillId="54"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54" borderId="0" applyNumberFormat="0" applyBorder="0" applyAlignment="0" applyProtection="0"/>
    <xf numFmtId="0" fontId="49" fillId="54"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54" borderId="0" applyNumberFormat="0" applyBorder="0" applyAlignment="0" applyProtection="0"/>
    <xf numFmtId="0" fontId="49" fillId="54"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54" borderId="0" applyNumberFormat="0" applyBorder="0" applyAlignment="0" applyProtection="0"/>
    <xf numFmtId="0" fontId="19" fillId="81" borderId="0" applyNumberFormat="0" applyBorder="0" applyAlignment="0" applyProtection="0"/>
    <xf numFmtId="0" fontId="19" fillId="81" borderId="0" applyNumberFormat="0" applyBorder="0" applyAlignment="0" applyProtection="0"/>
    <xf numFmtId="0" fontId="49" fillId="58" borderId="0" applyNumberFormat="0" applyBorder="0" applyAlignment="0" applyProtection="0"/>
    <xf numFmtId="0" fontId="49" fillId="58" borderId="0" applyNumberFormat="0" applyBorder="0" applyAlignment="0" applyProtection="0"/>
    <xf numFmtId="0" fontId="19" fillId="72" borderId="0" applyNumberFormat="0" applyBorder="0" applyAlignment="0" applyProtection="0"/>
    <xf numFmtId="0" fontId="19" fillId="24" borderId="0" applyNumberFormat="0" applyAlignment="0" applyProtection="0"/>
    <xf numFmtId="0" fontId="19" fillId="72" borderId="0" applyNumberFormat="0" applyBorder="0" applyAlignment="0" applyProtection="0"/>
    <xf numFmtId="0" fontId="19" fillId="72" borderId="0" applyNumberFormat="0" applyBorder="0" applyAlignment="0" applyProtection="0"/>
    <xf numFmtId="0" fontId="19" fillId="72" borderId="0" applyNumberFormat="0" applyBorder="0" applyAlignment="0" applyProtection="0"/>
    <xf numFmtId="0" fontId="19" fillId="24" borderId="0" applyNumberFormat="0" applyAlignment="0" applyProtection="0"/>
    <xf numFmtId="0" fontId="19" fillId="72" borderId="0" applyNumberFormat="0" applyBorder="0" applyAlignment="0" applyProtection="0"/>
    <xf numFmtId="0" fontId="19" fillId="72" borderId="0" applyNumberFormat="0" applyBorder="0" applyAlignment="0" applyProtection="0"/>
    <xf numFmtId="0" fontId="19" fillId="24" borderId="0" applyNumberFormat="0" applyAlignment="0" applyProtection="0"/>
    <xf numFmtId="0" fontId="19" fillId="72" borderId="0" applyNumberFormat="0" applyBorder="0" applyAlignment="0" applyProtection="0"/>
    <xf numFmtId="0" fontId="19" fillId="72" borderId="0" applyNumberFormat="0" applyBorder="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81" borderId="0" applyNumberFormat="0" applyBorder="0" applyAlignment="0" applyProtection="0"/>
    <xf numFmtId="0" fontId="19" fillId="24" borderId="0" applyNumberFormat="0" applyAlignment="0" applyProtection="0"/>
    <xf numFmtId="0" fontId="19" fillId="81" borderId="0" applyNumberFormat="0" applyBorder="0" applyAlignment="0" applyProtection="0"/>
    <xf numFmtId="0" fontId="19" fillId="81" borderId="0" applyNumberFormat="0" applyBorder="0" applyAlignment="0" applyProtection="0"/>
    <xf numFmtId="0" fontId="19" fillId="81" borderId="0" applyNumberFormat="0" applyBorder="0" applyAlignment="0" applyProtection="0"/>
    <xf numFmtId="0" fontId="19" fillId="24" borderId="0" applyNumberFormat="0" applyAlignment="0" applyProtection="0"/>
    <xf numFmtId="0" fontId="19" fillId="24" borderId="0" applyNumberFormat="0" applyAlignment="0" applyProtection="0"/>
    <xf numFmtId="0" fontId="19" fillId="81" borderId="0" applyNumberFormat="0" applyBorder="0" applyAlignment="0" applyProtection="0"/>
    <xf numFmtId="0" fontId="19" fillId="24" borderId="0" applyNumberFormat="0" applyAlignment="0" applyProtection="0"/>
    <xf numFmtId="0" fontId="19" fillId="81" borderId="0" applyNumberFormat="0" applyBorder="0" applyAlignment="0" applyProtection="0"/>
    <xf numFmtId="0" fontId="19" fillId="81" borderId="0" applyNumberFormat="0" applyBorder="0" applyAlignment="0" applyProtection="0"/>
    <xf numFmtId="0" fontId="19" fillId="24" borderId="0" applyNumberFormat="0" applyAlignment="0" applyProtection="0"/>
    <xf numFmtId="0" fontId="49" fillId="58" borderId="0" applyNumberFormat="0" applyBorder="0" applyAlignment="0" applyProtection="0"/>
    <xf numFmtId="0" fontId="49" fillId="58" borderId="0" applyNumberFormat="0" applyBorder="0" applyAlignment="0" applyProtection="0"/>
    <xf numFmtId="0" fontId="49" fillId="58" borderId="0" applyNumberFormat="0" applyBorder="0" applyAlignment="0" applyProtection="0"/>
    <xf numFmtId="0" fontId="49" fillId="58" borderId="0" applyNumberFormat="0" applyBorder="0" applyAlignment="0" applyProtection="0"/>
    <xf numFmtId="0" fontId="49" fillId="58" borderId="0" applyNumberFormat="0" applyBorder="0" applyAlignment="0" applyProtection="0"/>
    <xf numFmtId="0" fontId="19" fillId="82" borderId="0" applyNumberFormat="0" applyBorder="0" applyAlignment="0" applyProtection="0"/>
    <xf numFmtId="0" fontId="19" fillId="82" borderId="0" applyNumberFormat="0" applyBorder="0" applyAlignment="0" applyProtection="0"/>
    <xf numFmtId="0" fontId="49" fillId="82" borderId="0" applyNumberFormat="0" applyBorder="0" applyAlignment="0" applyProtection="0"/>
    <xf numFmtId="0" fontId="49" fillId="6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62" borderId="0" applyNumberFormat="0" applyBorder="0" applyAlignment="0" applyProtection="0"/>
    <xf numFmtId="0" fontId="49" fillId="62" borderId="0" applyNumberFormat="0" applyBorder="0" applyAlignment="0" applyProtection="0"/>
    <xf numFmtId="0" fontId="19" fillId="67" borderId="0" applyNumberFormat="0" applyBorder="0" applyAlignment="0" applyProtection="0"/>
    <xf numFmtId="0" fontId="19" fillId="25" borderId="0" applyNumberFormat="0" applyAlignment="0" applyProtection="0"/>
    <xf numFmtId="0" fontId="19" fillId="67" borderId="0" applyNumberFormat="0" applyBorder="0" applyAlignment="0" applyProtection="0"/>
    <xf numFmtId="0" fontId="19" fillId="67" borderId="0" applyNumberFormat="0" applyBorder="0" applyAlignment="0" applyProtection="0"/>
    <xf numFmtId="0" fontId="19" fillId="67" borderId="0" applyNumberFormat="0" applyBorder="0" applyAlignment="0" applyProtection="0"/>
    <xf numFmtId="0" fontId="19" fillId="25" borderId="0" applyNumberFormat="0" applyAlignment="0" applyProtection="0"/>
    <xf numFmtId="0" fontId="19" fillId="67" borderId="0" applyNumberFormat="0" applyBorder="0" applyAlignment="0" applyProtection="0"/>
    <xf numFmtId="0" fontId="19" fillId="67" borderId="0" applyNumberFormat="0" applyBorder="0" applyAlignment="0" applyProtection="0"/>
    <xf numFmtId="0" fontId="19" fillId="25" borderId="0" applyNumberFormat="0" applyAlignment="0" applyProtection="0"/>
    <xf numFmtId="0" fontId="19" fillId="67" borderId="0" applyNumberFormat="0" applyBorder="0" applyAlignment="0" applyProtection="0"/>
    <xf numFmtId="0" fontId="19" fillId="67" borderId="0" applyNumberFormat="0" applyBorder="0" applyAlignment="0" applyProtection="0"/>
    <xf numFmtId="0" fontId="19" fillId="25" borderId="0" applyNumberFormat="0" applyAlignment="0" applyProtection="0"/>
    <xf numFmtId="0" fontId="19" fillId="25" borderId="0" applyNumberFormat="0" applyAlignment="0" applyProtection="0"/>
    <xf numFmtId="0" fontId="19" fillId="25" borderId="0" applyNumberFormat="0" applyAlignment="0" applyProtection="0"/>
    <xf numFmtId="0" fontId="19" fillId="25" borderId="0" applyNumberFormat="0" applyAlignment="0" applyProtection="0"/>
    <xf numFmtId="0" fontId="19" fillId="25" borderId="0" applyNumberFormat="0" applyAlignment="0" applyProtection="0"/>
    <xf numFmtId="0" fontId="19" fillId="25" borderId="0" applyNumberFormat="0" applyAlignment="0" applyProtection="0"/>
    <xf numFmtId="0" fontId="19" fillId="25" borderId="0" applyNumberFormat="0" applyAlignment="0" applyProtection="0"/>
    <xf numFmtId="0" fontId="19" fillId="82" borderId="0" applyNumberFormat="0" applyBorder="0" applyAlignment="0" applyProtection="0"/>
    <xf numFmtId="0" fontId="19" fillId="25" borderId="0" applyNumberFormat="0" applyAlignment="0" applyProtection="0"/>
    <xf numFmtId="0" fontId="19" fillId="82" borderId="0" applyNumberFormat="0" applyBorder="0" applyAlignment="0" applyProtection="0"/>
    <xf numFmtId="0" fontId="19" fillId="82" borderId="0" applyNumberFormat="0" applyBorder="0" applyAlignment="0" applyProtection="0"/>
    <xf numFmtId="0" fontId="19" fillId="82" borderId="0" applyNumberFormat="0" applyBorder="0" applyAlignment="0" applyProtection="0"/>
    <xf numFmtId="0" fontId="19" fillId="25" borderId="0" applyNumberFormat="0" applyAlignment="0" applyProtection="0"/>
    <xf numFmtId="0" fontId="19" fillId="25" borderId="0" applyNumberFormat="0" applyAlignment="0" applyProtection="0"/>
    <xf numFmtId="0" fontId="19" fillId="82" borderId="0" applyNumberFormat="0" applyBorder="0" applyAlignment="0" applyProtection="0"/>
    <xf numFmtId="0" fontId="19" fillId="25" borderId="0" applyNumberFormat="0" applyAlignment="0" applyProtection="0"/>
    <xf numFmtId="0" fontId="19" fillId="82" borderId="0" applyNumberFormat="0" applyBorder="0" applyAlignment="0" applyProtection="0"/>
    <xf numFmtId="0" fontId="19" fillId="82" borderId="0" applyNumberFormat="0" applyBorder="0" applyAlignment="0" applyProtection="0"/>
    <xf numFmtId="0" fontId="19" fillId="25" borderId="0" applyNumberFormat="0" applyAlignment="0" applyProtection="0"/>
    <xf numFmtId="0" fontId="49" fillId="6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62" borderId="0" applyNumberFormat="0" applyBorder="0" applyAlignment="0" applyProtection="0"/>
    <xf numFmtId="0" fontId="49" fillId="6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62" borderId="0" applyNumberFormat="0" applyBorder="0" applyAlignment="0" applyProtection="0"/>
    <xf numFmtId="0" fontId="49" fillId="6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62" borderId="0" applyNumberFormat="0" applyBorder="0" applyAlignment="0" applyProtection="0"/>
    <xf numFmtId="0" fontId="49" fillId="6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62" borderId="0" applyNumberFormat="0" applyBorder="0" applyAlignment="0" applyProtection="0"/>
    <xf numFmtId="0" fontId="49" fillId="6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62" borderId="0" applyNumberFormat="0" applyBorder="0" applyAlignment="0" applyProtection="0"/>
    <xf numFmtId="0" fontId="19" fillId="83" borderId="0" applyNumberFormat="0" applyBorder="0" applyAlignment="0" applyProtection="0"/>
    <xf numFmtId="0" fontId="19" fillId="26" borderId="0" applyNumberFormat="0" applyAlignment="0" applyProtection="0"/>
    <xf numFmtId="0" fontId="19" fillId="83" borderId="0" applyNumberFormat="0" applyBorder="0" applyAlignment="0" applyProtection="0"/>
    <xf numFmtId="0" fontId="19" fillId="83" borderId="0" applyNumberFormat="0" applyBorder="0" applyAlignment="0" applyProtection="0"/>
    <xf numFmtId="0" fontId="19" fillId="83" borderId="0" applyNumberFormat="0" applyBorder="0" applyAlignment="0" applyProtection="0"/>
    <xf numFmtId="0" fontId="19" fillId="26" borderId="0" applyNumberFormat="0" applyAlignment="0" applyProtection="0"/>
    <xf numFmtId="0" fontId="19" fillId="83" borderId="0" applyNumberFormat="0" applyBorder="0" applyAlignment="0" applyProtection="0"/>
    <xf numFmtId="0" fontId="19" fillId="83" borderId="0" applyNumberFormat="0" applyBorder="0" applyAlignment="0" applyProtection="0"/>
    <xf numFmtId="0" fontId="19" fillId="26" borderId="0" applyNumberFormat="0" applyAlignment="0" applyProtection="0"/>
    <xf numFmtId="0" fontId="19" fillId="83" borderId="0" applyNumberFormat="0" applyBorder="0" applyAlignment="0" applyProtection="0"/>
    <xf numFmtId="0" fontId="19" fillId="83" borderId="0" applyNumberFormat="0" applyBorder="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49" fillId="39" borderId="0" applyNumberFormat="0" applyBorder="0" applyAlignment="0" applyProtection="0"/>
    <xf numFmtId="0" fontId="19" fillId="84" borderId="0" applyNumberFormat="0" applyBorder="0" applyAlignment="0" applyProtection="0"/>
    <xf numFmtId="0" fontId="19" fillId="27" borderId="0" applyNumberFormat="0" applyAlignment="0" applyProtection="0"/>
    <xf numFmtId="0" fontId="19" fillId="84" borderId="0" applyNumberFormat="0" applyBorder="0" applyAlignment="0" applyProtection="0"/>
    <xf numFmtId="0" fontId="19" fillId="84" borderId="0" applyNumberFormat="0" applyBorder="0" applyAlignment="0" applyProtection="0"/>
    <xf numFmtId="0" fontId="19" fillId="84" borderId="0" applyNumberFormat="0" applyBorder="0" applyAlignment="0" applyProtection="0"/>
    <xf numFmtId="0" fontId="19" fillId="27" borderId="0" applyNumberFormat="0" applyAlignment="0" applyProtection="0"/>
    <xf numFmtId="0" fontId="19" fillId="84" borderId="0" applyNumberFormat="0" applyBorder="0" applyAlignment="0" applyProtection="0"/>
    <xf numFmtId="0" fontId="19" fillId="84" borderId="0" applyNumberFormat="0" applyBorder="0" applyAlignment="0" applyProtection="0"/>
    <xf numFmtId="0" fontId="19" fillId="27" borderId="0" applyNumberFormat="0" applyAlignment="0" applyProtection="0"/>
    <xf numFmtId="0" fontId="19" fillId="84" borderId="0" applyNumberFormat="0" applyBorder="0" applyAlignment="0" applyProtection="0"/>
    <xf numFmtId="0" fontId="19" fillId="84" borderId="0" applyNumberFormat="0" applyBorder="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49" fillId="43" borderId="0" applyNumberFormat="0" applyBorder="0" applyAlignment="0" applyProtection="0"/>
    <xf numFmtId="0" fontId="19" fillId="85" borderId="0" applyNumberFormat="0" applyBorder="0" applyAlignment="0" applyProtection="0"/>
    <xf numFmtId="0" fontId="19" fillId="85" borderId="0" applyNumberFormat="0" applyBorder="0" applyAlignment="0" applyProtection="0"/>
    <xf numFmtId="0" fontId="49" fillId="47" borderId="0" applyNumberFormat="0" applyBorder="0" applyAlignment="0" applyProtection="0"/>
    <xf numFmtId="0" fontId="49" fillId="47" borderId="0" applyNumberFormat="0" applyBorder="0" applyAlignment="0" applyProtection="0"/>
    <xf numFmtId="0" fontId="19" fillId="76" borderId="0" applyNumberFormat="0" applyBorder="0" applyAlignment="0" applyProtection="0"/>
    <xf numFmtId="0" fontId="19" fillId="28" borderId="0" applyNumberFormat="0" applyAlignment="0" applyProtection="0"/>
    <xf numFmtId="0" fontId="19" fillId="76" borderId="0" applyNumberFormat="0" applyBorder="0" applyAlignment="0" applyProtection="0"/>
    <xf numFmtId="0" fontId="19" fillId="76" borderId="0" applyNumberFormat="0" applyBorder="0" applyAlignment="0" applyProtection="0"/>
    <xf numFmtId="0" fontId="19" fillId="76" borderId="0" applyNumberFormat="0" applyBorder="0" applyAlignment="0" applyProtection="0"/>
    <xf numFmtId="0" fontId="19" fillId="28" borderId="0" applyNumberFormat="0" applyAlignment="0" applyProtection="0"/>
    <xf numFmtId="0" fontId="19" fillId="76" borderId="0" applyNumberFormat="0" applyBorder="0" applyAlignment="0" applyProtection="0"/>
    <xf numFmtId="0" fontId="19" fillId="76" borderId="0" applyNumberFormat="0" applyBorder="0" applyAlignment="0" applyProtection="0"/>
    <xf numFmtId="0" fontId="19" fillId="28" borderId="0" applyNumberFormat="0" applyAlignment="0" applyProtection="0"/>
    <xf numFmtId="0" fontId="19" fillId="76" borderId="0" applyNumberFormat="0" applyBorder="0" applyAlignment="0" applyProtection="0"/>
    <xf numFmtId="0" fontId="19" fillId="76" borderId="0" applyNumberFormat="0" applyBorder="0" applyAlignment="0" applyProtection="0"/>
    <xf numFmtId="0" fontId="19" fillId="28" borderId="0" applyNumberFormat="0" applyAlignment="0" applyProtection="0"/>
    <xf numFmtId="0" fontId="19" fillId="28" borderId="0" applyNumberFormat="0" applyAlignment="0" applyProtection="0"/>
    <xf numFmtId="0" fontId="19" fillId="28" borderId="0" applyNumberFormat="0" applyAlignment="0" applyProtection="0"/>
    <xf numFmtId="0" fontId="19" fillId="28" borderId="0" applyNumberFormat="0" applyAlignment="0" applyProtection="0"/>
    <xf numFmtId="0" fontId="19" fillId="28" borderId="0" applyNumberFormat="0" applyAlignment="0" applyProtection="0"/>
    <xf numFmtId="0" fontId="19" fillId="28" borderId="0" applyNumberFormat="0" applyAlignment="0" applyProtection="0"/>
    <xf numFmtId="0" fontId="19" fillId="28" borderId="0" applyNumberFormat="0" applyAlignment="0" applyProtection="0"/>
    <xf numFmtId="0" fontId="19" fillId="85" borderId="0" applyNumberFormat="0" applyBorder="0" applyAlignment="0" applyProtection="0"/>
    <xf numFmtId="0" fontId="19" fillId="28" borderId="0" applyNumberFormat="0" applyAlignment="0" applyProtection="0"/>
    <xf numFmtId="0" fontId="19" fillId="85" borderId="0" applyNumberFormat="0" applyBorder="0" applyAlignment="0" applyProtection="0"/>
    <xf numFmtId="0" fontId="19" fillId="85" borderId="0" applyNumberFormat="0" applyBorder="0" applyAlignment="0" applyProtection="0"/>
    <xf numFmtId="0" fontId="19" fillId="85" borderId="0" applyNumberFormat="0" applyBorder="0" applyAlignment="0" applyProtection="0"/>
    <xf numFmtId="0" fontId="19" fillId="28" borderId="0" applyNumberFormat="0" applyAlignment="0" applyProtection="0"/>
    <xf numFmtId="0" fontId="19" fillId="28" borderId="0" applyNumberFormat="0" applyAlignment="0" applyProtection="0"/>
    <xf numFmtId="0" fontId="19" fillId="85" borderId="0" applyNumberFormat="0" applyBorder="0" applyAlignment="0" applyProtection="0"/>
    <xf numFmtId="0" fontId="19" fillId="28" borderId="0" applyNumberFormat="0" applyAlignment="0" applyProtection="0"/>
    <xf numFmtId="0" fontId="19" fillId="85" borderId="0" applyNumberFormat="0" applyBorder="0" applyAlignment="0" applyProtection="0"/>
    <xf numFmtId="0" fontId="19" fillId="85" borderId="0" applyNumberFormat="0" applyBorder="0" applyAlignment="0" applyProtection="0"/>
    <xf numFmtId="0" fontId="19" fillId="28" borderId="0" applyNumberFormat="0" applyAlignment="0" applyProtection="0"/>
    <xf numFmtId="0" fontId="49" fillId="47" borderId="0" applyNumberFormat="0" applyBorder="0" applyAlignment="0" applyProtection="0"/>
    <xf numFmtId="0" fontId="49" fillId="47" borderId="0" applyNumberFormat="0" applyBorder="0" applyAlignment="0" applyProtection="0"/>
    <xf numFmtId="0" fontId="49" fillId="47" borderId="0" applyNumberFormat="0" applyBorder="0" applyAlignment="0" applyProtection="0"/>
    <xf numFmtId="0" fontId="49" fillId="47" borderId="0" applyNumberFormat="0" applyBorder="0" applyAlignment="0" applyProtection="0"/>
    <xf numFmtId="0" fontId="49" fillId="47" borderId="0" applyNumberFormat="0" applyBorder="0" applyAlignment="0" applyProtection="0"/>
    <xf numFmtId="0" fontId="19" fillId="80" borderId="0" applyNumberFormat="0" applyBorder="0" applyAlignment="0" applyProtection="0"/>
    <xf numFmtId="0" fontId="19" fillId="80" borderId="0" applyNumberFormat="0" applyBorder="0" applyAlignment="0" applyProtection="0"/>
    <xf numFmtId="0" fontId="49" fillId="51" borderId="0" applyNumberFormat="0" applyBorder="0" applyAlignment="0" applyProtection="0"/>
    <xf numFmtId="0" fontId="49" fillId="51" borderId="0" applyNumberFormat="0" applyBorder="0" applyAlignment="0" applyProtection="0"/>
    <xf numFmtId="0" fontId="19" fillId="79" borderId="0" applyNumberFormat="0" applyBorder="0" applyAlignment="0" applyProtection="0"/>
    <xf numFmtId="0" fontId="19" fillId="23" borderId="0" applyNumberFormat="0" applyAlignment="0" applyProtection="0"/>
    <xf numFmtId="0" fontId="19" fillId="79" borderId="0" applyNumberFormat="0" applyBorder="0" applyAlignment="0" applyProtection="0"/>
    <xf numFmtId="0" fontId="19" fillId="79" borderId="0" applyNumberFormat="0" applyBorder="0" applyAlignment="0" applyProtection="0"/>
    <xf numFmtId="0" fontId="19" fillId="79" borderId="0" applyNumberFormat="0" applyBorder="0" applyAlignment="0" applyProtection="0"/>
    <xf numFmtId="0" fontId="19" fillId="23" borderId="0" applyNumberFormat="0" applyAlignment="0" applyProtection="0"/>
    <xf numFmtId="0" fontId="19" fillId="79" borderId="0" applyNumberFormat="0" applyBorder="0" applyAlignment="0" applyProtection="0"/>
    <xf numFmtId="0" fontId="19" fillId="79" borderId="0" applyNumberFormat="0" applyBorder="0" applyAlignment="0" applyProtection="0"/>
    <xf numFmtId="0" fontId="19" fillId="23" borderId="0" applyNumberFormat="0" applyAlignment="0" applyProtection="0"/>
    <xf numFmtId="0" fontId="19" fillId="79" borderId="0" applyNumberFormat="0" applyBorder="0" applyAlignment="0" applyProtection="0"/>
    <xf numFmtId="0" fontId="19" fillId="79" borderId="0" applyNumberFormat="0" applyBorder="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80" borderId="0" applyNumberFormat="0" applyBorder="0" applyAlignment="0" applyProtection="0"/>
    <xf numFmtId="0" fontId="19" fillId="23" borderId="0" applyNumberFormat="0" applyAlignment="0" applyProtection="0"/>
    <xf numFmtId="0" fontId="19" fillId="80" borderId="0" applyNumberFormat="0" applyBorder="0" applyAlignment="0" applyProtection="0"/>
    <xf numFmtId="0" fontId="19" fillId="80" borderId="0" applyNumberFormat="0" applyBorder="0" applyAlignment="0" applyProtection="0"/>
    <xf numFmtId="0" fontId="19" fillId="80" borderId="0" applyNumberFormat="0" applyBorder="0" applyAlignment="0" applyProtection="0"/>
    <xf numFmtId="0" fontId="19" fillId="23" borderId="0" applyNumberFormat="0" applyAlignment="0" applyProtection="0"/>
    <xf numFmtId="0" fontId="19" fillId="23" borderId="0" applyNumberFormat="0" applyAlignment="0" applyProtection="0"/>
    <xf numFmtId="0" fontId="19" fillId="80" borderId="0" applyNumberFormat="0" applyBorder="0" applyAlignment="0" applyProtection="0"/>
    <xf numFmtId="0" fontId="19" fillId="23" borderId="0" applyNumberFormat="0" applyAlignment="0" applyProtection="0"/>
    <xf numFmtId="0" fontId="19" fillId="80" borderId="0" applyNumberFormat="0" applyBorder="0" applyAlignment="0" applyProtection="0"/>
    <xf numFmtId="0" fontId="19" fillId="80" borderId="0" applyNumberFormat="0" applyBorder="0" applyAlignment="0" applyProtection="0"/>
    <xf numFmtId="0" fontId="19" fillId="23" borderId="0" applyNumberFormat="0" applyAlignment="0" applyProtection="0"/>
    <xf numFmtId="0" fontId="49" fillId="51" borderId="0" applyNumberFormat="0" applyBorder="0" applyAlignment="0" applyProtection="0"/>
    <xf numFmtId="0" fontId="49" fillId="51" borderId="0" applyNumberFormat="0" applyBorder="0" applyAlignment="0" applyProtection="0"/>
    <xf numFmtId="0" fontId="49" fillId="51" borderId="0" applyNumberFormat="0" applyBorder="0" applyAlignment="0" applyProtection="0"/>
    <xf numFmtId="0" fontId="49" fillId="51" borderId="0" applyNumberFormat="0" applyBorder="0" applyAlignment="0" applyProtection="0"/>
    <xf numFmtId="0" fontId="49" fillId="51" borderId="0" applyNumberFormat="0" applyBorder="0" applyAlignment="0" applyProtection="0"/>
    <xf numFmtId="0" fontId="19" fillId="81" borderId="0" applyNumberFormat="0" applyBorder="0" applyAlignment="0" applyProtection="0"/>
    <xf numFmtId="0" fontId="19" fillId="81" borderId="0" applyNumberFormat="0" applyBorder="0" applyAlignment="0" applyProtection="0"/>
    <xf numFmtId="0" fontId="49" fillId="55" borderId="0" applyNumberFormat="0" applyBorder="0" applyAlignment="0" applyProtection="0"/>
    <xf numFmtId="0" fontId="49" fillId="55" borderId="0" applyNumberFormat="0" applyBorder="0" applyAlignment="0" applyProtection="0"/>
    <xf numFmtId="0" fontId="19" fillId="85" borderId="0" applyNumberFormat="0" applyBorder="0" applyAlignment="0" applyProtection="0"/>
    <xf numFmtId="0" fontId="19" fillId="24" borderId="0" applyNumberFormat="0" applyAlignment="0" applyProtection="0"/>
    <xf numFmtId="0" fontId="19" fillId="85" borderId="0" applyNumberFormat="0" applyBorder="0" applyAlignment="0" applyProtection="0"/>
    <xf numFmtId="0" fontId="19" fillId="85" borderId="0" applyNumberFormat="0" applyBorder="0" applyAlignment="0" applyProtection="0"/>
    <xf numFmtId="0" fontId="19" fillId="85" borderId="0" applyNumberFormat="0" applyBorder="0" applyAlignment="0" applyProtection="0"/>
    <xf numFmtId="0" fontId="19" fillId="24" borderId="0" applyNumberFormat="0" applyAlignment="0" applyProtection="0"/>
    <xf numFmtId="0" fontId="19" fillId="85" borderId="0" applyNumberFormat="0" applyBorder="0" applyAlignment="0" applyProtection="0"/>
    <xf numFmtId="0" fontId="19" fillId="85" borderId="0" applyNumberFormat="0" applyBorder="0" applyAlignment="0" applyProtection="0"/>
    <xf numFmtId="0" fontId="19" fillId="24" borderId="0" applyNumberFormat="0" applyAlignment="0" applyProtection="0"/>
    <xf numFmtId="0" fontId="19" fillId="85" borderId="0" applyNumberFormat="0" applyBorder="0" applyAlignment="0" applyProtection="0"/>
    <xf numFmtId="0" fontId="19" fillId="85" borderId="0" applyNumberFormat="0" applyBorder="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81" borderId="0" applyNumberFormat="0" applyBorder="0" applyAlignment="0" applyProtection="0"/>
    <xf numFmtId="0" fontId="19" fillId="24" borderId="0" applyNumberFormat="0" applyAlignment="0" applyProtection="0"/>
    <xf numFmtId="0" fontId="19" fillId="81" borderId="0" applyNumberFormat="0" applyBorder="0" applyAlignment="0" applyProtection="0"/>
    <xf numFmtId="0" fontId="19" fillId="81" borderId="0" applyNumberFormat="0" applyBorder="0" applyAlignment="0" applyProtection="0"/>
    <xf numFmtId="0" fontId="19" fillId="81" borderId="0" applyNumberFormat="0" applyBorder="0" applyAlignment="0" applyProtection="0"/>
    <xf numFmtId="0" fontId="19" fillId="24" borderId="0" applyNumberFormat="0" applyAlignment="0" applyProtection="0"/>
    <xf numFmtId="0" fontId="19" fillId="24" borderId="0" applyNumberFormat="0" applyAlignment="0" applyProtection="0"/>
    <xf numFmtId="0" fontId="19" fillId="81" borderId="0" applyNumberFormat="0" applyBorder="0" applyAlignment="0" applyProtection="0"/>
    <xf numFmtId="0" fontId="19" fillId="24" borderId="0" applyNumberFormat="0" applyAlignment="0" applyProtection="0"/>
    <xf numFmtId="0" fontId="19" fillId="81" borderId="0" applyNumberFormat="0" applyBorder="0" applyAlignment="0" applyProtection="0"/>
    <xf numFmtId="0" fontId="19" fillId="81" borderId="0" applyNumberFormat="0" applyBorder="0" applyAlignment="0" applyProtection="0"/>
    <xf numFmtId="0" fontId="19" fillId="24" borderId="0" applyNumberFormat="0" applyAlignment="0" applyProtection="0"/>
    <xf numFmtId="0" fontId="49" fillId="55" borderId="0" applyNumberFormat="0" applyBorder="0" applyAlignment="0" applyProtection="0"/>
    <xf numFmtId="0" fontId="49" fillId="55" borderId="0" applyNumberFormat="0" applyBorder="0" applyAlignment="0" applyProtection="0"/>
    <xf numFmtId="0" fontId="49" fillId="55" borderId="0" applyNumberFormat="0" applyBorder="0" applyAlignment="0" applyProtection="0"/>
    <xf numFmtId="0" fontId="49" fillId="55" borderId="0" applyNumberFormat="0" applyBorder="0" applyAlignment="0" applyProtection="0"/>
    <xf numFmtId="0" fontId="49" fillId="55" borderId="0" applyNumberFormat="0" applyBorder="0" applyAlignment="0" applyProtection="0"/>
    <xf numFmtId="0" fontId="19" fillId="86" borderId="0" applyNumberFormat="0" applyBorder="0" applyAlignment="0" applyProtection="0"/>
    <xf numFmtId="0" fontId="19" fillId="86" borderId="0" applyNumberFormat="0" applyBorder="0" applyAlignment="0" applyProtection="0"/>
    <xf numFmtId="0" fontId="49" fillId="59" borderId="0" applyNumberFormat="0" applyBorder="0" applyAlignment="0" applyProtection="0"/>
    <xf numFmtId="0" fontId="49" fillId="59" borderId="0" applyNumberFormat="0" applyBorder="0" applyAlignment="0" applyProtection="0"/>
    <xf numFmtId="0" fontId="19" fillId="74" borderId="0" applyNumberFormat="0" applyBorder="0" applyAlignment="0" applyProtection="0"/>
    <xf numFmtId="0" fontId="19" fillId="29" borderId="0" applyNumberFormat="0" applyAlignment="0" applyProtection="0"/>
    <xf numFmtId="0" fontId="19" fillId="74" borderId="0" applyNumberFormat="0" applyBorder="0" applyAlignment="0" applyProtection="0"/>
    <xf numFmtId="0" fontId="19" fillId="74" borderId="0" applyNumberFormat="0" applyBorder="0" applyAlignment="0" applyProtection="0"/>
    <xf numFmtId="0" fontId="19" fillId="74" borderId="0" applyNumberFormat="0" applyBorder="0" applyAlignment="0" applyProtection="0"/>
    <xf numFmtId="0" fontId="19" fillId="29" borderId="0" applyNumberFormat="0" applyAlignment="0" applyProtection="0"/>
    <xf numFmtId="0" fontId="19" fillId="74" borderId="0" applyNumberFormat="0" applyBorder="0" applyAlignment="0" applyProtection="0"/>
    <xf numFmtId="0" fontId="19" fillId="74" borderId="0" applyNumberFormat="0" applyBorder="0" applyAlignment="0" applyProtection="0"/>
    <xf numFmtId="0" fontId="19" fillId="29" borderId="0" applyNumberFormat="0" applyAlignment="0" applyProtection="0"/>
    <xf numFmtId="0" fontId="19" fillId="74" borderId="0" applyNumberFormat="0" applyBorder="0" applyAlignment="0" applyProtection="0"/>
    <xf numFmtId="0" fontId="19" fillId="74" borderId="0" applyNumberFormat="0" applyBorder="0" applyAlignment="0" applyProtection="0"/>
    <xf numFmtId="0" fontId="19" fillId="29" borderId="0" applyNumberFormat="0" applyAlignment="0" applyProtection="0"/>
    <xf numFmtId="0" fontId="19" fillId="29" borderId="0" applyNumberFormat="0" applyAlignment="0" applyProtection="0"/>
    <xf numFmtId="0" fontId="19" fillId="29" borderId="0" applyNumberFormat="0" applyAlignment="0" applyProtection="0"/>
    <xf numFmtId="0" fontId="19" fillId="29" borderId="0" applyNumberFormat="0" applyAlignment="0" applyProtection="0"/>
    <xf numFmtId="0" fontId="19" fillId="29" borderId="0" applyNumberFormat="0" applyAlignment="0" applyProtection="0"/>
    <xf numFmtId="0" fontId="19" fillId="29" borderId="0" applyNumberFormat="0" applyAlignment="0" applyProtection="0"/>
    <xf numFmtId="0" fontId="19" fillId="29" borderId="0" applyNumberFormat="0" applyAlignment="0" applyProtection="0"/>
    <xf numFmtId="0" fontId="19" fillId="86" borderId="0" applyNumberFormat="0" applyBorder="0" applyAlignment="0" applyProtection="0"/>
    <xf numFmtId="0" fontId="19" fillId="29" borderId="0" applyNumberFormat="0" applyAlignment="0" applyProtection="0"/>
    <xf numFmtId="0" fontId="19" fillId="86" borderId="0" applyNumberFormat="0" applyBorder="0" applyAlignment="0" applyProtection="0"/>
    <xf numFmtId="0" fontId="19" fillId="86" borderId="0" applyNumberFormat="0" applyBorder="0" applyAlignment="0" applyProtection="0"/>
    <xf numFmtId="0" fontId="19" fillId="86" borderId="0" applyNumberFormat="0" applyBorder="0" applyAlignment="0" applyProtection="0"/>
    <xf numFmtId="0" fontId="19" fillId="29" borderId="0" applyNumberFormat="0" applyAlignment="0" applyProtection="0"/>
    <xf numFmtId="0" fontId="19" fillId="29" borderId="0" applyNumberFormat="0" applyAlignment="0" applyProtection="0"/>
    <xf numFmtId="0" fontId="19" fillId="86" borderId="0" applyNumberFormat="0" applyBorder="0" applyAlignment="0" applyProtection="0"/>
    <xf numFmtId="0" fontId="19" fillId="29" borderId="0" applyNumberFormat="0" applyAlignment="0" applyProtection="0"/>
    <xf numFmtId="0" fontId="19" fillId="86" borderId="0" applyNumberFormat="0" applyBorder="0" applyAlignment="0" applyProtection="0"/>
    <xf numFmtId="0" fontId="19" fillId="86" borderId="0" applyNumberFormat="0" applyBorder="0" applyAlignment="0" applyProtection="0"/>
    <xf numFmtId="0" fontId="19" fillId="29" borderId="0" applyNumberFormat="0" applyAlignment="0" applyProtection="0"/>
    <xf numFmtId="0" fontId="49" fillId="59" borderId="0" applyNumberFormat="0" applyBorder="0" applyAlignment="0" applyProtection="0"/>
    <xf numFmtId="0" fontId="49" fillId="59" borderId="0" applyNumberFormat="0" applyBorder="0" applyAlignment="0" applyProtection="0"/>
    <xf numFmtId="0" fontId="49" fillId="59" borderId="0" applyNumberFormat="0" applyBorder="0" applyAlignment="0" applyProtection="0"/>
    <xf numFmtId="0" fontId="49" fillId="59" borderId="0" applyNumberFormat="0" applyBorder="0" applyAlignment="0" applyProtection="0"/>
    <xf numFmtId="0" fontId="49" fillId="59" borderId="0" applyNumberFormat="0" applyBorder="0" applyAlignment="0" applyProtection="0"/>
    <xf numFmtId="0" fontId="20" fillId="66" borderId="0" applyNumberFormat="0" applyBorder="0" applyAlignment="0" applyProtection="0"/>
    <xf numFmtId="0" fontId="3" fillId="4" borderId="0" applyNumberFormat="0" applyBorder="0" applyAlignment="0" applyProtection="0"/>
    <xf numFmtId="0" fontId="53" fillId="66" borderId="0" applyNumberFormat="0" applyBorder="0" applyAlignment="0" applyProtection="0"/>
    <xf numFmtId="0" fontId="20" fillId="13" borderId="0" applyNumberFormat="0" applyAlignment="0" applyProtection="0"/>
    <xf numFmtId="0" fontId="53" fillId="66" borderId="0" applyNumberFormat="0" applyBorder="0" applyAlignment="0" applyProtection="0"/>
    <xf numFmtId="0" fontId="53" fillId="66" borderId="0" applyNumberFormat="0" applyBorder="0" applyAlignment="0" applyProtection="0"/>
    <xf numFmtId="0" fontId="53" fillId="66" borderId="0" applyNumberFormat="0" applyBorder="0" applyAlignment="0" applyProtection="0"/>
    <xf numFmtId="0" fontId="20" fillId="13" borderId="0" applyNumberFormat="0" applyAlignment="0" applyProtection="0"/>
    <xf numFmtId="0" fontId="20" fillId="13" borderId="0" applyNumberFormat="0" applyAlignment="0" applyProtection="0"/>
    <xf numFmtId="0" fontId="20" fillId="66" borderId="0" applyNumberFormat="0" applyBorder="0" applyAlignment="0" applyProtection="0"/>
    <xf numFmtId="0" fontId="20" fillId="13" borderId="0" applyNumberFormat="0" applyAlignment="0" applyProtection="0"/>
    <xf numFmtId="0" fontId="20" fillId="66" borderId="0" applyNumberFormat="0" applyBorder="0" applyAlignment="0" applyProtection="0"/>
    <xf numFmtId="0" fontId="20" fillId="66" borderId="0" applyNumberFormat="0" applyBorder="0" applyAlignment="0" applyProtection="0"/>
    <xf numFmtId="0" fontId="20" fillId="66" borderId="0" applyNumberFormat="0" applyBorder="0" applyAlignment="0" applyProtection="0"/>
    <xf numFmtId="0" fontId="20" fillId="13" borderId="0" applyNumberFormat="0" applyAlignment="0" applyProtection="0"/>
    <xf numFmtId="0" fontId="20" fillId="13" borderId="0" applyNumberFormat="0" applyAlignment="0" applyProtection="0"/>
    <xf numFmtId="0" fontId="3" fillId="4" borderId="0" applyNumberFormat="0" applyBorder="0" applyAlignment="0" applyProtection="0"/>
    <xf numFmtId="0" fontId="20" fillId="13" borderId="0" applyNumberFormat="0" applyAlignment="0" applyProtection="0"/>
    <xf numFmtId="0" fontId="3" fillId="4" borderId="0" applyNumberFormat="0" applyBorder="0" applyAlignment="0" applyProtection="0"/>
    <xf numFmtId="0" fontId="3" fillId="4" borderId="0" applyNumberFormat="0" applyBorder="0" applyAlignment="0" applyProtection="0"/>
    <xf numFmtId="0" fontId="20" fillId="13" borderId="0" applyNumberFormat="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20" fillId="66" borderId="0" applyNumberFormat="0" applyBorder="0" applyAlignment="0" applyProtection="0"/>
    <xf numFmtId="0" fontId="20" fillId="66" borderId="0" applyNumberFormat="0" applyBorder="0" applyAlignment="0" applyProtection="0"/>
    <xf numFmtId="0" fontId="3" fillId="4" borderId="0" applyNumberFormat="0" applyBorder="0" applyAlignment="0" applyProtection="0"/>
    <xf numFmtId="0" fontId="20" fillId="66" borderId="0" applyNumberFormat="0" applyBorder="0" applyAlignment="0" applyProtection="0"/>
    <xf numFmtId="0" fontId="20" fillId="66" borderId="0" applyNumberFormat="0" applyBorder="0" applyAlignment="0" applyProtection="0"/>
    <xf numFmtId="0" fontId="3" fillId="4" borderId="0" applyNumberFormat="0" applyBorder="0" applyAlignment="0" applyProtection="0"/>
    <xf numFmtId="0" fontId="21" fillId="73" borderId="40" applyNumberFormat="0" applyAlignment="0" applyProtection="0"/>
    <xf numFmtId="0" fontId="21" fillId="73" borderId="40" applyNumberFormat="0" applyAlignment="0" applyProtection="0"/>
    <xf numFmtId="0" fontId="43" fillId="36" borderId="13" applyNumberFormat="0" applyAlignment="0" applyProtection="0"/>
    <xf numFmtId="0" fontId="43" fillId="36" borderId="13"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43" fillId="36" borderId="13" applyNumberFormat="0" applyAlignment="0" applyProtection="0"/>
    <xf numFmtId="0" fontId="43" fillId="36" borderId="13" applyNumberFormat="0" applyAlignment="0" applyProtection="0"/>
    <xf numFmtId="0" fontId="43" fillId="36" borderId="13" applyNumberFormat="0" applyAlignment="0" applyProtection="0"/>
    <xf numFmtId="0" fontId="43" fillId="36" borderId="13" applyNumberFormat="0" applyAlignment="0" applyProtection="0"/>
    <xf numFmtId="0" fontId="43" fillId="36" borderId="13" applyNumberFormat="0" applyAlignment="0" applyProtection="0"/>
    <xf numFmtId="0" fontId="22" fillId="87" borderId="41" applyNumberFormat="0" applyAlignment="0" applyProtection="0"/>
    <xf numFmtId="0" fontId="22" fillId="31" borderId="41" applyNumberFormat="0" applyAlignment="0" applyProtection="0"/>
    <xf numFmtId="0" fontId="22" fillId="87" borderId="41" applyNumberFormat="0" applyAlignment="0" applyProtection="0"/>
    <xf numFmtId="0" fontId="22" fillId="87" borderId="41" applyNumberFormat="0" applyAlignment="0" applyProtection="0"/>
    <xf numFmtId="0" fontId="22" fillId="87" borderId="41" applyNumberFormat="0" applyAlignment="0" applyProtection="0"/>
    <xf numFmtId="0" fontId="22" fillId="31" borderId="41" applyNumberFormat="0" applyAlignment="0" applyProtection="0"/>
    <xf numFmtId="0" fontId="22" fillId="87" borderId="41" applyNumberFormat="0" applyAlignment="0" applyProtection="0"/>
    <xf numFmtId="0" fontId="22" fillId="87" borderId="41" applyNumberFormat="0" applyAlignment="0" applyProtection="0"/>
    <xf numFmtId="0" fontId="22" fillId="31" borderId="41" applyNumberFormat="0" applyAlignment="0" applyProtection="0"/>
    <xf numFmtId="0" fontId="22" fillId="87" borderId="41" applyNumberFormat="0" applyAlignment="0" applyProtection="0"/>
    <xf numFmtId="0" fontId="22" fillId="87" borderId="41" applyNumberFormat="0" applyAlignment="0" applyProtection="0"/>
    <xf numFmtId="0" fontId="22" fillId="31" borderId="41" applyNumberFormat="0" applyAlignment="0" applyProtection="0"/>
    <xf numFmtId="0" fontId="22" fillId="31" borderId="41" applyNumberFormat="0" applyAlignment="0" applyProtection="0"/>
    <xf numFmtId="0" fontId="22" fillId="31" borderId="41" applyNumberFormat="0" applyAlignment="0" applyProtection="0"/>
    <xf numFmtId="0" fontId="22" fillId="31" borderId="41" applyNumberFormat="0" applyAlignment="0" applyProtection="0"/>
    <xf numFmtId="0" fontId="22" fillId="31" borderId="41" applyNumberFormat="0" applyAlignment="0" applyProtection="0"/>
    <xf numFmtId="0" fontId="22" fillId="31" borderId="41" applyNumberFormat="0" applyAlignment="0" applyProtection="0"/>
    <xf numFmtId="0" fontId="22" fillId="31" borderId="41" applyNumberFormat="0" applyAlignment="0" applyProtection="0"/>
    <xf numFmtId="0" fontId="22" fillId="31" borderId="41" applyNumberFormat="0" applyAlignment="0" applyProtection="0"/>
    <xf numFmtId="0" fontId="22" fillId="31" borderId="41" applyNumberFormat="0" applyAlignment="0" applyProtection="0"/>
    <xf numFmtId="0" fontId="22" fillId="31" borderId="41" applyNumberFormat="0" applyAlignment="0" applyProtection="0"/>
    <xf numFmtId="0" fontId="22" fillId="31" borderId="41" applyNumberFormat="0" applyAlignment="0" applyProtection="0"/>
    <xf numFmtId="0" fontId="45" fillId="37" borderId="62" applyNumberFormat="0" applyAlignment="0" applyProtection="0"/>
    <xf numFmtId="0" fontId="23" fillId="0" borderId="0" applyNumberFormat="0" applyFill="0" applyBorder="0" applyAlignment="0" applyProtection="0"/>
    <xf numFmtId="0" fontId="23" fillId="0" borderId="0" applyNumberFormat="0" applyFill="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47" fillId="0" borderId="0" applyNumberFormat="0" applyFill="0" applyBorder="0" applyAlignment="0" applyProtection="0"/>
    <xf numFmtId="0" fontId="24" fillId="68" borderId="0" applyNumberFormat="0" applyBorder="0" applyAlignment="0" applyProtection="0"/>
    <xf numFmtId="0" fontId="24" fillId="14" borderId="0" applyNumberFormat="0" applyAlignment="0" applyProtection="0"/>
    <xf numFmtId="0" fontId="24" fillId="68" borderId="0" applyNumberFormat="0" applyBorder="0" applyAlignment="0" applyProtection="0"/>
    <xf numFmtId="0" fontId="24" fillId="68" borderId="0" applyNumberFormat="0" applyBorder="0" applyAlignment="0" applyProtection="0"/>
    <xf numFmtId="0" fontId="24" fillId="68" borderId="0" applyNumberFormat="0" applyBorder="0" applyAlignment="0" applyProtection="0"/>
    <xf numFmtId="0" fontId="24" fillId="14" borderId="0" applyNumberFormat="0" applyAlignment="0" applyProtection="0"/>
    <xf numFmtId="0" fontId="24" fillId="68" borderId="0" applyNumberFormat="0" applyBorder="0" applyAlignment="0" applyProtection="0"/>
    <xf numFmtId="0" fontId="24" fillId="68" borderId="0" applyNumberFormat="0" applyBorder="0" applyAlignment="0" applyProtection="0"/>
    <xf numFmtId="0" fontId="24" fillId="14" borderId="0" applyNumberFormat="0" applyAlignment="0" applyProtection="0"/>
    <xf numFmtId="0" fontId="24" fillId="68" borderId="0" applyNumberFormat="0" applyBorder="0" applyAlignment="0" applyProtection="0"/>
    <xf numFmtId="0" fontId="24" fillId="68" borderId="0" applyNumberFormat="0" applyBorder="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41" fillId="35" borderId="0" applyNumberFormat="0" applyBorder="0" applyAlignment="0" applyProtection="0"/>
    <xf numFmtId="38" fontId="52" fillId="88" borderId="0" applyNumberFormat="0" applyBorder="0" applyAlignment="0" applyProtection="0"/>
    <xf numFmtId="38" fontId="52" fillId="88" borderId="0" applyNumberFormat="0" applyBorder="0" applyAlignment="0" applyProtection="0"/>
    <xf numFmtId="38" fontId="52" fillId="88" borderId="0" applyNumberFormat="0" applyBorder="0" applyAlignment="0" applyProtection="0"/>
    <xf numFmtId="38" fontId="52" fillId="88" borderId="0" applyNumberFormat="0" applyBorder="0" applyAlignment="0" applyProtection="0"/>
    <xf numFmtId="38" fontId="52" fillId="88" borderId="0" applyNumberFormat="0" applyBorder="0" applyAlignment="0" applyProtection="0"/>
    <xf numFmtId="38" fontId="52" fillId="88" borderId="0" applyNumberFormat="0" applyBorder="0" applyAlignment="0" applyProtection="0"/>
    <xf numFmtId="38" fontId="52" fillId="88" borderId="0" applyNumberFormat="0" applyBorder="0" applyAlignment="0" applyProtection="0"/>
    <xf numFmtId="38" fontId="52" fillId="88" borderId="0" applyNumberFormat="0" applyBorder="0" applyAlignment="0" applyProtection="0"/>
    <xf numFmtId="38" fontId="52" fillId="88" borderId="0" applyNumberFormat="0" applyBorder="0" applyAlignment="0" applyProtection="0"/>
    <xf numFmtId="38" fontId="52" fillId="88" borderId="0" applyNumberFormat="0" applyBorder="0" applyAlignment="0" applyProtection="0"/>
    <xf numFmtId="38" fontId="52" fillId="88" borderId="0" applyNumberFormat="0" applyBorder="0" applyAlignment="0" applyProtection="0"/>
    <xf numFmtId="38" fontId="52" fillId="88" borderId="0" applyNumberFormat="0" applyBorder="0" applyAlignment="0" applyProtection="0"/>
    <xf numFmtId="38" fontId="52" fillId="88" borderId="0" applyNumberFormat="0" applyBorder="0" applyAlignment="0" applyProtection="0"/>
    <xf numFmtId="38" fontId="52" fillId="88" borderId="0" applyNumberFormat="0" applyBorder="0" applyAlignment="0" applyProtection="0"/>
    <xf numFmtId="38" fontId="52" fillId="88" borderId="0" applyNumberFormat="0" applyBorder="0" applyAlignment="0" applyProtection="0"/>
    <xf numFmtId="38" fontId="52" fillId="88" borderId="0" applyNumberFormat="0" applyBorder="0" applyAlignment="0" applyProtection="0"/>
    <xf numFmtId="38" fontId="52" fillId="88" borderId="0" applyNumberFormat="0" applyBorder="0" applyAlignment="0" applyProtection="0"/>
    <xf numFmtId="38" fontId="52" fillId="88" borderId="0" applyNumberFormat="0" applyBorder="0" applyAlignment="0" applyProtection="0"/>
    <xf numFmtId="38" fontId="52" fillId="88" borderId="0" applyNumberFormat="0" applyBorder="0" applyAlignment="0" applyProtection="0"/>
    <xf numFmtId="38" fontId="52" fillId="88" borderId="0" applyNumberFormat="0" applyBorder="0" applyAlignment="0" applyProtection="0"/>
    <xf numFmtId="38" fontId="52" fillId="88" borderId="0" applyNumberFormat="0" applyBorder="0" applyAlignment="0" applyProtection="0"/>
    <xf numFmtId="0" fontId="38" fillId="0" borderId="57" applyNumberFormat="0" applyFill="0" applyAlignment="0" applyProtection="0"/>
    <xf numFmtId="0" fontId="54" fillId="0" borderId="42" applyNumberFormat="0" applyFill="0" applyAlignment="0" applyProtection="0"/>
    <xf numFmtId="0" fontId="25" fillId="0" borderId="42" applyNumberFormat="0" applyFill="0" applyAlignment="0" applyProtection="0"/>
    <xf numFmtId="0" fontId="54" fillId="0" borderId="42" applyNumberFormat="0" applyFill="0" applyAlignment="0" applyProtection="0"/>
    <xf numFmtId="0" fontId="54" fillId="0" borderId="42" applyNumberFormat="0" applyFill="0" applyAlignment="0" applyProtection="0"/>
    <xf numFmtId="0" fontId="54" fillId="0" borderId="42" applyNumberFormat="0" applyFill="0" applyAlignment="0" applyProtection="0"/>
    <xf numFmtId="0" fontId="25" fillId="0" borderId="42" applyNumberFormat="0" applyFill="0" applyAlignment="0" applyProtection="0"/>
    <xf numFmtId="0" fontId="25" fillId="0" borderId="42" applyNumberFormat="0" applyFill="0" applyAlignment="0" applyProtection="0"/>
    <xf numFmtId="0" fontId="25" fillId="0" borderId="42" applyNumberFormat="0" applyFill="0" applyAlignment="0" applyProtection="0"/>
    <xf numFmtId="0" fontId="25" fillId="0" borderId="42" applyNumberFormat="0" applyFill="0" applyAlignment="0" applyProtection="0"/>
    <xf numFmtId="0" fontId="38" fillId="0" borderId="57" applyNumberFormat="0" applyFill="0" applyAlignment="0" applyProtection="0"/>
    <xf numFmtId="0" fontId="25" fillId="0" borderId="42" applyNumberFormat="0" applyFill="0" applyAlignment="0" applyProtection="0"/>
    <xf numFmtId="0" fontId="38" fillId="0" borderId="57" applyNumberFormat="0" applyFill="0" applyAlignment="0" applyProtection="0"/>
    <xf numFmtId="0" fontId="38" fillId="0" borderId="57" applyNumberFormat="0" applyFill="0" applyAlignment="0" applyProtection="0"/>
    <xf numFmtId="0" fontId="25" fillId="0" borderId="42" applyNumberFormat="0" applyFill="0" applyAlignment="0" applyProtection="0"/>
    <xf numFmtId="0" fontId="38" fillId="0" borderId="57" applyNumberFormat="0" applyFill="0" applyAlignment="0" applyProtection="0"/>
    <xf numFmtId="0" fontId="38" fillId="0" borderId="57" applyNumberFormat="0" applyFill="0" applyAlignment="0" applyProtection="0"/>
    <xf numFmtId="0" fontId="38" fillId="0" borderId="57" applyNumberFormat="0" applyFill="0" applyAlignment="0" applyProtection="0"/>
    <xf numFmtId="0" fontId="38" fillId="0" borderId="57" applyNumberFormat="0" applyFill="0" applyAlignment="0" applyProtection="0"/>
    <xf numFmtId="0" fontId="38" fillId="0" borderId="57" applyNumberFormat="0" applyFill="0" applyAlignment="0" applyProtection="0"/>
    <xf numFmtId="0" fontId="39" fillId="0" borderId="58" applyNumberFormat="0" applyFill="0" applyAlignment="0" applyProtection="0"/>
    <xf numFmtId="0" fontId="55" fillId="0" borderId="43" applyNumberFormat="0" applyFill="0" applyAlignment="0" applyProtection="0"/>
    <xf numFmtId="0" fontId="26" fillId="0" borderId="43" applyNumberFormat="0" applyFill="0" applyAlignment="0" applyProtection="0"/>
    <xf numFmtId="0" fontId="55" fillId="0" borderId="43" applyNumberFormat="0" applyFill="0" applyAlignment="0" applyProtection="0"/>
    <xf numFmtId="0" fontId="55" fillId="0" borderId="43" applyNumberFormat="0" applyFill="0" applyAlignment="0" applyProtection="0"/>
    <xf numFmtId="0" fontId="55" fillId="0" borderId="43" applyNumberFormat="0" applyFill="0" applyAlignment="0" applyProtection="0"/>
    <xf numFmtId="0" fontId="26" fillId="0" borderId="43" applyNumberFormat="0" applyFill="0" applyAlignment="0" applyProtection="0"/>
    <xf numFmtId="0" fontId="26" fillId="0" borderId="43" applyNumberFormat="0" applyFill="0" applyAlignment="0" applyProtection="0"/>
    <xf numFmtId="0" fontId="26" fillId="0" borderId="43" applyNumberFormat="0" applyFill="0" applyAlignment="0" applyProtection="0"/>
    <xf numFmtId="0" fontId="26" fillId="0" borderId="43" applyNumberFormat="0" applyFill="0" applyAlignment="0" applyProtection="0"/>
    <xf numFmtId="0" fontId="39" fillId="0" borderId="58" applyNumberFormat="0" applyFill="0" applyAlignment="0" applyProtection="0"/>
    <xf numFmtId="0" fontId="26" fillId="0" borderId="43" applyNumberFormat="0" applyFill="0" applyAlignment="0" applyProtection="0"/>
    <xf numFmtId="0" fontId="39" fillId="0" borderId="58" applyNumberFormat="0" applyFill="0" applyAlignment="0" applyProtection="0"/>
    <xf numFmtId="0" fontId="39" fillId="0" borderId="58" applyNumberFormat="0" applyFill="0" applyAlignment="0" applyProtection="0"/>
    <xf numFmtId="0" fontId="26" fillId="0" borderId="43" applyNumberFormat="0" applyFill="0" applyAlignment="0" applyProtection="0"/>
    <xf numFmtId="0" fontId="39" fillId="0" borderId="58" applyNumberFormat="0" applyFill="0" applyAlignment="0" applyProtection="0"/>
    <xf numFmtId="0" fontId="39" fillId="0" borderId="58" applyNumberFormat="0" applyFill="0" applyAlignment="0" applyProtection="0"/>
    <xf numFmtId="0" fontId="39" fillId="0" borderId="58" applyNumberFormat="0" applyFill="0" applyAlignment="0" applyProtection="0"/>
    <xf numFmtId="0" fontId="39" fillId="0" borderId="58" applyNumberFormat="0" applyFill="0" applyAlignment="0" applyProtection="0"/>
    <xf numFmtId="0" fontId="39" fillId="0" borderId="58" applyNumberFormat="0" applyFill="0" applyAlignment="0" applyProtection="0"/>
    <xf numFmtId="0" fontId="40" fillId="0" borderId="59" applyNumberFormat="0" applyFill="0" applyAlignment="0" applyProtection="0"/>
    <xf numFmtId="0" fontId="27" fillId="0" borderId="44" applyNumberFormat="0" applyFill="0" applyAlignment="0" applyProtection="0"/>
    <xf numFmtId="0" fontId="27" fillId="0" borderId="44" applyNumberFormat="0" applyFill="0" applyAlignment="0" applyProtection="0"/>
    <xf numFmtId="0" fontId="27" fillId="0" borderId="44" applyNumberFormat="0" applyFill="0" applyAlignment="0" applyProtection="0"/>
    <xf numFmtId="0" fontId="27" fillId="0" borderId="44" applyNumberFormat="0" applyFill="0" applyAlignment="0" applyProtection="0"/>
    <xf numFmtId="0" fontId="27" fillId="0" borderId="44" applyNumberFormat="0" applyFill="0" applyAlignment="0" applyProtection="0"/>
    <xf numFmtId="0" fontId="27" fillId="0" borderId="44" applyNumberFormat="0" applyFill="0" applyAlignment="0" applyProtection="0"/>
    <xf numFmtId="0" fontId="27" fillId="0" borderId="44" applyNumberFormat="0" applyFill="0" applyAlignment="0" applyProtection="0"/>
    <xf numFmtId="0" fontId="27" fillId="0" borderId="44" applyNumberFormat="0" applyFill="0" applyAlignment="0" applyProtection="0"/>
    <xf numFmtId="0" fontId="27" fillId="0" borderId="44" applyNumberFormat="0" applyFill="0" applyAlignment="0" applyProtection="0"/>
    <xf numFmtId="0" fontId="56" fillId="0" borderId="65" applyNumberFormat="0" applyFill="0" applyAlignment="0" applyProtection="0"/>
    <xf numFmtId="0" fontId="56" fillId="0" borderId="65" applyNumberFormat="0" applyFill="0" applyAlignment="0" applyProtection="0"/>
    <xf numFmtId="0" fontId="56" fillId="0" borderId="65" applyNumberFormat="0" applyFill="0" applyAlignment="0" applyProtection="0"/>
    <xf numFmtId="0" fontId="56" fillId="0" borderId="65" applyNumberFormat="0" applyFill="0" applyAlignment="0" applyProtection="0"/>
    <xf numFmtId="0" fontId="27" fillId="0" borderId="44" applyNumberFormat="0" applyFill="0" applyAlignment="0" applyProtection="0"/>
    <xf numFmtId="0" fontId="27" fillId="0" borderId="44" applyNumberFormat="0" applyFill="0" applyAlignment="0" applyProtection="0"/>
    <xf numFmtId="0" fontId="27" fillId="0" borderId="44" applyNumberFormat="0" applyFill="0" applyAlignment="0" applyProtection="0"/>
    <xf numFmtId="0" fontId="27" fillId="0" borderId="44" applyNumberFormat="0" applyFill="0" applyAlignment="0" applyProtection="0"/>
    <xf numFmtId="0" fontId="40" fillId="0" borderId="59" applyNumberFormat="0" applyFill="0" applyAlignment="0" applyProtection="0"/>
    <xf numFmtId="0" fontId="40" fillId="0" borderId="59" applyNumberFormat="0" applyFill="0" applyAlignment="0" applyProtection="0"/>
    <xf numFmtId="0" fontId="40" fillId="0" borderId="59" applyNumberFormat="0" applyFill="0" applyAlignment="0" applyProtection="0"/>
    <xf numFmtId="0" fontId="27" fillId="0" borderId="44" applyNumberFormat="0" applyFill="0" applyAlignment="0" applyProtection="0"/>
    <xf numFmtId="0" fontId="40" fillId="0" borderId="59" applyNumberFormat="0" applyFill="0" applyAlignment="0" applyProtection="0"/>
    <xf numFmtId="0" fontId="27" fillId="0" borderId="44" applyNumberFormat="0" applyFill="0" applyAlignment="0" applyProtection="0"/>
    <xf numFmtId="0" fontId="27" fillId="0" borderId="44" applyNumberFormat="0" applyFill="0" applyAlignment="0" applyProtection="0"/>
    <xf numFmtId="0" fontId="40" fillId="0" borderId="59" applyNumberFormat="0" applyFill="0" applyAlignment="0" applyProtection="0"/>
    <xf numFmtId="0" fontId="27" fillId="0" borderId="0" applyNumberFormat="0" applyFill="0" applyBorder="0" applyAlignment="0" applyProtection="0"/>
    <xf numFmtId="0" fontId="40"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56" fillId="0" borderId="0" applyNumberFormat="0" applyFill="0" applyBorder="0" applyAlignment="0" applyProtection="0"/>
    <xf numFmtId="0" fontId="27" fillId="0" borderId="0" applyNumberFormat="0" applyFill="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27" fillId="0" borderId="0" applyNumberFormat="0" applyFill="0" applyAlignment="0" applyProtection="0"/>
    <xf numFmtId="0" fontId="27" fillId="0" borderId="0" applyNumberFormat="0" applyFill="0" applyAlignment="0" applyProtection="0"/>
    <xf numFmtId="0" fontId="27" fillId="0" borderId="0" applyNumberFormat="0" applyFill="0" applyAlignment="0" applyProtection="0"/>
    <xf numFmtId="0" fontId="27" fillId="0" borderId="0" applyNumberFormat="0" applyFill="0" applyAlignment="0" applyProtection="0"/>
    <xf numFmtId="0" fontId="40" fillId="0" borderId="0" applyNumberFormat="0" applyFill="0" applyBorder="0" applyAlignment="0" applyProtection="0"/>
    <xf numFmtId="0" fontId="27" fillId="0" borderId="0" applyNumberFormat="0" applyFill="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27" fillId="0" borderId="0" applyNumberFormat="0" applyFill="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27" fillId="0" borderId="0" applyNumberFormat="0" applyFill="0" applyBorder="0" applyAlignment="0" applyProtection="0"/>
    <xf numFmtId="0" fontId="40"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27" fillId="0" borderId="0" applyNumberFormat="0" applyFill="0" applyBorder="0" applyAlignment="0" applyProtection="0"/>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28"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8" fillId="6" borderId="13"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0" fillId="0" borderId="45" applyNumberFormat="0" applyFill="0" applyAlignment="0" applyProtection="0"/>
    <xf numFmtId="0" fontId="30" fillId="0" borderId="45" applyNumberFormat="0" applyFill="0" applyAlignment="0" applyProtection="0"/>
    <xf numFmtId="0" fontId="30" fillId="0" borderId="45" applyNumberFormat="0" applyFill="0" applyAlignment="0" applyProtection="0"/>
    <xf numFmtId="0" fontId="30" fillId="0" borderId="45" applyNumberFormat="0" applyFill="0" applyAlignment="0" applyProtection="0"/>
    <xf numFmtId="0" fontId="30" fillId="0" borderId="45" applyNumberFormat="0" applyFill="0" applyAlignment="0" applyProtection="0"/>
    <xf numFmtId="0" fontId="30" fillId="0" borderId="45" applyNumberFormat="0" applyFill="0" applyAlignment="0" applyProtection="0"/>
    <xf numFmtId="0" fontId="30" fillId="0" borderId="45" applyNumberFormat="0" applyFill="0" applyAlignment="0" applyProtection="0"/>
    <xf numFmtId="0" fontId="30" fillId="0" borderId="45" applyNumberFormat="0" applyFill="0" applyAlignment="0" applyProtection="0"/>
    <xf numFmtId="0" fontId="30" fillId="0" borderId="45" applyNumberFormat="0" applyFill="0" applyAlignment="0" applyProtection="0"/>
    <xf numFmtId="0" fontId="30" fillId="0" borderId="45" applyNumberFormat="0" applyFill="0" applyAlignment="0" applyProtection="0"/>
    <xf numFmtId="0" fontId="44" fillId="0" borderId="61" applyNumberFormat="0" applyFill="0" applyAlignment="0" applyProtection="0"/>
    <xf numFmtId="0" fontId="31" fillId="90" borderId="0" applyNumberFormat="0" applyBorder="0" applyAlignment="0" applyProtection="0"/>
    <xf numFmtId="0" fontId="31" fillId="32" borderId="0" applyNumberFormat="0" applyAlignment="0" applyProtection="0"/>
    <xf numFmtId="0" fontId="31" fillId="90" borderId="0" applyNumberFormat="0" applyBorder="0" applyAlignment="0" applyProtection="0"/>
    <xf numFmtId="0" fontId="31" fillId="90" borderId="0" applyNumberFormat="0" applyBorder="0" applyAlignment="0" applyProtection="0"/>
    <xf numFmtId="0" fontId="31" fillId="90" borderId="0" applyNumberFormat="0" applyBorder="0" applyAlignment="0" applyProtection="0"/>
    <xf numFmtId="0" fontId="31" fillId="32" borderId="0" applyNumberFormat="0" applyAlignment="0" applyProtection="0"/>
    <xf numFmtId="0" fontId="31" fillId="90" borderId="0" applyNumberFormat="0" applyBorder="0" applyAlignment="0" applyProtection="0"/>
    <xf numFmtId="0" fontId="31" fillId="90" borderId="0" applyNumberFormat="0" applyBorder="0" applyAlignment="0" applyProtection="0"/>
    <xf numFmtId="0" fontId="31" fillId="32" borderId="0" applyNumberFormat="0" applyAlignment="0" applyProtection="0"/>
    <xf numFmtId="0" fontId="31" fillId="90" borderId="0" applyNumberFormat="0" applyBorder="0" applyAlignment="0" applyProtection="0"/>
    <xf numFmtId="0" fontId="31" fillId="90" borderId="0" applyNumberFormat="0" applyBorder="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36" fillId="34" borderId="0" applyNumberFormat="0" applyBorder="0" applyAlignment="0" applyProtection="0"/>
    <xf numFmtId="165" fontId="57" fillId="0" borderId="0"/>
    <xf numFmtId="0" fontId="6" fillId="0" borderId="0"/>
    <xf numFmtId="0" fontId="6"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14" fillId="0" borderId="0"/>
    <xf numFmtId="0" fontId="14"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4" fillId="0" borderId="0"/>
    <xf numFmtId="0" fontId="14" fillId="0" borderId="0"/>
    <xf numFmtId="0" fontId="14"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6" fillId="0" borderId="0"/>
    <xf numFmtId="0" fontId="6" fillId="0" borderId="0"/>
    <xf numFmtId="0" fontId="14"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6"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14" fillId="0" borderId="0"/>
    <xf numFmtId="0" fontId="14" fillId="0" borderId="0"/>
    <xf numFmtId="0" fontId="18" fillId="0" borderId="0"/>
    <xf numFmtId="0" fontId="14" fillId="0" borderId="0"/>
    <xf numFmtId="0" fontId="14" fillId="0" borderId="0"/>
    <xf numFmtId="0" fontId="14" fillId="0" borderId="0"/>
    <xf numFmtId="0" fontId="14" fillId="0" borderId="0"/>
    <xf numFmtId="0" fontId="18" fillId="0" borderId="0"/>
    <xf numFmtId="0" fontId="6" fillId="0" borderId="0"/>
    <xf numFmtId="0" fontId="14"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6" fillId="0" borderId="0"/>
    <xf numFmtId="0" fontId="6"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14" fillId="0" borderId="0"/>
    <xf numFmtId="0" fontId="6"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8" fillId="0" borderId="0"/>
    <xf numFmtId="0" fontId="6"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6" fillId="0" borderId="0"/>
    <xf numFmtId="0" fontId="6" fillId="0" borderId="0"/>
    <xf numFmtId="0" fontId="14" fillId="0" borderId="0"/>
    <xf numFmtId="0" fontId="14" fillId="0" borderId="0"/>
    <xf numFmtId="0" fontId="14" fillId="0" borderId="0"/>
    <xf numFmtId="0" fontId="6" fillId="0" borderId="0"/>
    <xf numFmtId="0" fontId="6" fillId="0" borderId="0"/>
    <xf numFmtId="0" fontId="6" fillId="0" borderId="0"/>
    <xf numFmtId="0" fontId="14" fillId="0" borderId="0"/>
    <xf numFmtId="0" fontId="14" fillId="0" borderId="0"/>
    <xf numFmtId="0" fontId="6" fillId="0" borderId="0"/>
    <xf numFmtId="0" fontId="6" fillId="0" borderId="0"/>
    <xf numFmtId="0" fontId="14" fillId="0" borderId="0"/>
    <xf numFmtId="0" fontId="6" fillId="0" borderId="0"/>
    <xf numFmtId="0" fontId="6" fillId="0" borderId="0"/>
    <xf numFmtId="0" fontId="14" fillId="0" borderId="0"/>
    <xf numFmtId="0" fontId="6" fillId="0" borderId="0"/>
    <xf numFmtId="0" fontId="14"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18" fillId="0" borderId="0"/>
    <xf numFmtId="0" fontId="6" fillId="0" borderId="0"/>
    <xf numFmtId="0" fontId="18" fillId="0" borderId="0"/>
    <xf numFmtId="0" fontId="18" fillId="0" borderId="0"/>
    <xf numFmtId="0" fontId="6" fillId="0" borderId="0"/>
    <xf numFmtId="0" fontId="6" fillId="0" borderId="0"/>
    <xf numFmtId="0" fontId="6"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6" fillId="0" borderId="0"/>
    <xf numFmtId="0" fontId="6" fillId="0" borderId="0"/>
    <xf numFmtId="0" fontId="6" fillId="0" borderId="0"/>
    <xf numFmtId="0" fontId="6"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18"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4" fillId="38" borderId="63"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6" fillId="33" borderId="46"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32" fillId="73" borderId="47" applyNumberFormat="0" applyAlignment="0" applyProtection="0"/>
    <xf numFmtId="0" fontId="32" fillId="73" borderId="47" applyNumberFormat="0" applyAlignment="0" applyProtection="0"/>
    <xf numFmtId="0" fontId="42" fillId="36" borderId="60" applyNumberFormat="0" applyAlignment="0" applyProtection="0"/>
    <xf numFmtId="0" fontId="42" fillId="36" borderId="60"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42" fillId="36" borderId="60" applyNumberFormat="0" applyAlignment="0" applyProtection="0"/>
    <xf numFmtId="0" fontId="42" fillId="36" borderId="60" applyNumberFormat="0" applyAlignment="0" applyProtection="0"/>
    <xf numFmtId="0" fontId="42" fillId="36" borderId="60" applyNumberFormat="0" applyAlignment="0" applyProtection="0"/>
    <xf numFmtId="0" fontId="42" fillId="36" borderId="60" applyNumberFormat="0" applyAlignment="0" applyProtection="0"/>
    <xf numFmtId="0" fontId="42" fillId="36" borderId="60" applyNumberFormat="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0" fontId="33" fillId="0" borderId="0" applyNumberFormat="0" applyFill="0" applyBorder="0" applyAlignment="0" applyProtection="0"/>
    <xf numFmtId="0" fontId="37"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58" fillId="0" borderId="0" applyNumberFormat="0" applyFill="0" applyBorder="0" applyAlignment="0" applyProtection="0"/>
    <xf numFmtId="0" fontId="33" fillId="0" borderId="0" applyNumberFormat="0" applyFill="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33" fillId="0" borderId="0" applyNumberFormat="0" applyFill="0" applyAlignment="0" applyProtection="0"/>
    <xf numFmtId="0" fontId="33" fillId="0" borderId="0" applyNumberFormat="0" applyFill="0" applyAlignment="0" applyProtection="0"/>
    <xf numFmtId="0" fontId="33" fillId="0" borderId="0" applyNumberFormat="0" applyFill="0" applyAlignment="0" applyProtection="0"/>
    <xf numFmtId="0" fontId="33" fillId="0" borderId="0" applyNumberFormat="0" applyFill="0" applyAlignment="0" applyProtection="0"/>
    <xf numFmtId="0" fontId="37" fillId="0" borderId="0" applyNumberFormat="0" applyFill="0" applyBorder="0" applyAlignment="0" applyProtection="0"/>
    <xf numFmtId="0" fontId="33" fillId="0" borderId="0" applyNumberFormat="0" applyFill="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3" fillId="0" borderId="0" applyNumberFormat="0" applyFill="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3" fillId="0" borderId="0" applyNumberFormat="0" applyFill="0" applyBorder="0" applyAlignment="0" applyProtection="0"/>
    <xf numFmtId="0" fontId="37"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3" fillId="0" borderId="0" applyNumberFormat="0" applyFill="0" applyBorder="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48" fillId="0" borderId="64" applyNumberFormat="0" applyFill="0" applyAlignment="0" applyProtection="0"/>
    <xf numFmtId="0" fontId="35" fillId="0" borderId="0" applyNumberFormat="0" applyFill="0" applyBorder="0" applyAlignment="0" applyProtection="0"/>
    <xf numFmtId="0" fontId="35" fillId="0" borderId="0" applyNumberFormat="0" applyFill="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46" fillId="0" borderId="0" applyNumberFormat="0" applyFill="0" applyBorder="0" applyAlignment="0" applyProtection="0"/>
    <xf numFmtId="0" fontId="6" fillId="0" borderId="0"/>
    <xf numFmtId="0" fontId="6" fillId="0" borderId="0"/>
    <xf numFmtId="0" fontId="14" fillId="0" borderId="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6"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8" fillId="13"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67" borderId="0" applyNumberFormat="0" applyBorder="0" applyAlignment="0" applyProtection="0"/>
    <xf numFmtId="0" fontId="18" fillId="67" borderId="0" applyNumberFormat="0" applyBorder="0" applyAlignment="0" applyProtection="0"/>
    <xf numFmtId="0" fontId="18" fillId="13" borderId="0" applyNumberFormat="0" applyAlignment="0" applyProtection="0"/>
    <xf numFmtId="0" fontId="18" fillId="66" borderId="0" applyNumberFormat="0" applyBorder="0" applyAlignment="0" applyProtection="0"/>
    <xf numFmtId="0" fontId="18" fillId="66" borderId="0" applyNumberFormat="0" applyBorder="0" applyAlignment="0" applyProtection="0"/>
    <xf numFmtId="0" fontId="18" fillId="13" borderId="0" applyNumberFormat="0" applyAlignment="0" applyProtection="0"/>
    <xf numFmtId="0" fontId="18" fillId="66" borderId="0" applyNumberFormat="0" applyBorder="0" applyAlignment="0" applyProtection="0"/>
    <xf numFmtId="0" fontId="18"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8" fillId="13" borderId="0" applyNumberFormat="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8" fillId="14" borderId="0" applyNumberFormat="0" applyAlignment="0" applyProtection="0"/>
    <xf numFmtId="0" fontId="18" fillId="69" borderId="0" applyNumberFormat="0" applyBorder="0" applyAlignment="0" applyProtection="0"/>
    <xf numFmtId="0" fontId="18" fillId="69" borderId="0" applyNumberFormat="0" applyBorder="0" applyAlignment="0" applyProtection="0"/>
    <xf numFmtId="0" fontId="18" fillId="69" borderId="0" applyNumberFormat="0" applyBorder="0" applyAlignment="0" applyProtection="0"/>
    <xf numFmtId="0" fontId="18" fillId="69" borderId="0" applyNumberFormat="0" applyBorder="0" applyAlignment="0" applyProtection="0"/>
    <xf numFmtId="0" fontId="18" fillId="14" borderId="0" applyNumberFormat="0" applyAlignment="0" applyProtection="0"/>
    <xf numFmtId="0" fontId="18" fillId="68" borderId="0" applyNumberFormat="0" applyBorder="0" applyAlignment="0" applyProtection="0"/>
    <xf numFmtId="0" fontId="18" fillId="68" borderId="0" applyNumberFormat="0" applyBorder="0" applyAlignment="0" applyProtection="0"/>
    <xf numFmtId="0" fontId="18" fillId="14" borderId="0" applyNumberFormat="0" applyAlignment="0" applyProtection="0"/>
    <xf numFmtId="0" fontId="18" fillId="68" borderId="0" applyNumberFormat="0" applyBorder="0" applyAlignment="0" applyProtection="0"/>
    <xf numFmtId="0" fontId="18"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8" fillId="14" borderId="0" applyNumberFormat="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8" fillId="15" borderId="0" applyNumberFormat="0" applyAlignment="0" applyProtection="0"/>
    <xf numFmtId="0" fontId="18" fillId="65" borderId="0" applyNumberFormat="0" applyBorder="0" applyAlignment="0" applyProtection="0"/>
    <xf numFmtId="0" fontId="18" fillId="65" borderId="0" applyNumberFormat="0" applyBorder="0" applyAlignment="0" applyProtection="0"/>
    <xf numFmtId="0" fontId="18" fillId="65" borderId="0" applyNumberFormat="0" applyBorder="0" applyAlignment="0" applyProtection="0"/>
    <xf numFmtId="0" fontId="18" fillId="65" borderId="0" applyNumberFormat="0" applyBorder="0" applyAlignment="0" applyProtection="0"/>
    <xf numFmtId="0" fontId="18" fillId="15" borderId="0" applyNumberFormat="0" applyAlignment="0" applyProtection="0"/>
    <xf numFmtId="0" fontId="18" fillId="70" borderId="0" applyNumberFormat="0" applyBorder="0" applyAlignment="0" applyProtection="0"/>
    <xf numFmtId="0" fontId="18" fillId="70" borderId="0" applyNumberFormat="0" applyBorder="0" applyAlignment="0" applyProtection="0"/>
    <xf numFmtId="0" fontId="18" fillId="15" borderId="0" applyNumberFormat="0" applyAlignment="0" applyProtection="0"/>
    <xf numFmtId="0" fontId="18" fillId="70" borderId="0" applyNumberFormat="0" applyBorder="0" applyAlignment="0" applyProtection="0"/>
    <xf numFmtId="0" fontId="18"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8" fillId="15" borderId="0" applyNumberFormat="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8" fillId="16" borderId="0" applyNumberFormat="0" applyAlignment="0" applyProtection="0"/>
    <xf numFmtId="0" fontId="18" fillId="71" borderId="0" applyNumberFormat="0" applyBorder="0" applyAlignment="0" applyProtection="0"/>
    <xf numFmtId="0" fontId="18" fillId="71" borderId="0" applyNumberFormat="0" applyBorder="0" applyAlignment="0" applyProtection="0"/>
    <xf numFmtId="0" fontId="18" fillId="71" borderId="0" applyNumberFormat="0" applyBorder="0" applyAlignment="0" applyProtection="0"/>
    <xf numFmtId="0" fontId="18" fillId="71" borderId="0" applyNumberFormat="0" applyBorder="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4" fillId="56" borderId="0" applyNumberFormat="0" applyBorder="0" applyAlignment="0" applyProtection="0"/>
    <xf numFmtId="0" fontId="14" fillId="56" borderId="0" applyNumberFormat="0" applyBorder="0" applyAlignment="0" applyProtection="0"/>
    <xf numFmtId="0" fontId="18" fillId="16" borderId="0" applyNumberFormat="0" applyAlignment="0" applyProtection="0"/>
    <xf numFmtId="0" fontId="18" fillId="17"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67" borderId="0" applyNumberFormat="0" applyBorder="0" applyAlignment="0" applyProtection="0"/>
    <xf numFmtId="0" fontId="18" fillId="67" borderId="0" applyNumberFormat="0" applyBorder="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4" fillId="60" borderId="0" applyNumberFormat="0" applyBorder="0" applyAlignment="0" applyProtection="0"/>
    <xf numFmtId="0" fontId="14" fillId="60" borderId="0" applyNumberFormat="0" applyBorder="0" applyAlignment="0" applyProtection="0"/>
    <xf numFmtId="0" fontId="18" fillId="17" borderId="0" applyNumberFormat="0" applyAlignment="0" applyProtection="0"/>
    <xf numFmtId="0" fontId="14" fillId="41" borderId="0" applyNumberFormat="0" applyBorder="0" applyAlignment="0" applyProtection="0"/>
    <xf numFmtId="0" fontId="18" fillId="18" borderId="0" applyNumberFormat="0" applyAlignment="0" applyProtection="0"/>
    <xf numFmtId="0" fontId="18" fillId="73" borderId="0" applyNumberFormat="0" applyBorder="0" applyAlignment="0" applyProtection="0"/>
    <xf numFmtId="0" fontId="18" fillId="73" borderId="0" applyNumberFormat="0" applyBorder="0" applyAlignment="0" applyProtection="0"/>
    <xf numFmtId="0" fontId="18" fillId="73" borderId="0" applyNumberFormat="0" applyBorder="0" applyAlignment="0" applyProtection="0"/>
    <xf numFmtId="0" fontId="18" fillId="73" borderId="0" applyNumberFormat="0" applyBorder="0" applyAlignment="0" applyProtection="0"/>
    <xf numFmtId="0" fontId="18" fillId="18" borderId="0" applyNumberFormat="0" applyAlignment="0" applyProtection="0"/>
    <xf numFmtId="0" fontId="18" fillId="72" borderId="0" applyNumberFormat="0" applyBorder="0" applyAlignment="0" applyProtection="0"/>
    <xf numFmtId="0" fontId="18" fillId="72" borderId="0" applyNumberFormat="0" applyBorder="0" applyAlignment="0" applyProtection="0"/>
    <xf numFmtId="0" fontId="18" fillId="18" borderId="0" applyNumberFormat="0" applyAlignment="0" applyProtection="0"/>
    <xf numFmtId="0" fontId="18" fillId="72" borderId="0" applyNumberFormat="0" applyBorder="0" applyAlignment="0" applyProtection="0"/>
    <xf numFmtId="0" fontId="18" fillId="72"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8" fillId="18" borderId="0" applyNumberFormat="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8" fillId="19"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67" borderId="0" applyNumberFormat="0" applyBorder="0" applyAlignment="0" applyProtection="0"/>
    <xf numFmtId="0" fontId="18" fillId="67" borderId="0" applyNumberFormat="0" applyBorder="0" applyAlignment="0" applyProtection="0"/>
    <xf numFmtId="0" fontId="18" fillId="19" borderId="0" applyNumberFormat="0" applyAlignment="0" applyProtection="0"/>
    <xf numFmtId="0" fontId="18" fillId="74" borderId="0" applyNumberFormat="0" applyBorder="0" applyAlignment="0" applyProtection="0"/>
    <xf numFmtId="0" fontId="18" fillId="74" borderId="0" applyNumberFormat="0" applyBorder="0" applyAlignment="0" applyProtection="0"/>
    <xf numFmtId="0" fontId="18" fillId="19" borderId="0" applyNumberFormat="0" applyAlignment="0" applyProtection="0"/>
    <xf numFmtId="0" fontId="18" fillId="74" borderId="0" applyNumberFormat="0" applyBorder="0" applyAlignment="0" applyProtection="0"/>
    <xf numFmtId="0" fontId="18" fillId="74"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8" fillId="19" borderId="0" applyNumberFormat="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8" fillId="20" borderId="0" applyNumberFormat="0" applyAlignment="0" applyProtection="0"/>
    <xf numFmtId="0" fontId="18" fillId="76" borderId="0" applyNumberFormat="0" applyBorder="0" applyAlignment="0" applyProtection="0"/>
    <xf numFmtId="0" fontId="18" fillId="76" borderId="0" applyNumberFormat="0" applyBorder="0" applyAlignment="0" applyProtection="0"/>
    <xf numFmtId="0" fontId="18" fillId="76" borderId="0" applyNumberFormat="0" applyBorder="0" applyAlignment="0" applyProtection="0"/>
    <xf numFmtId="0" fontId="18" fillId="76" borderId="0" applyNumberFormat="0" applyBorder="0" applyAlignment="0" applyProtection="0"/>
    <xf numFmtId="0" fontId="18" fillId="20" borderId="0" applyNumberFormat="0" applyAlignment="0" applyProtection="0"/>
    <xf numFmtId="0" fontId="18" fillId="75" borderId="0" applyNumberFormat="0" applyBorder="0" applyAlignment="0" applyProtection="0"/>
    <xf numFmtId="0" fontId="18" fillId="75" borderId="0" applyNumberFormat="0" applyBorder="0" applyAlignment="0" applyProtection="0"/>
    <xf numFmtId="0" fontId="18" fillId="20" borderId="0" applyNumberFormat="0" applyAlignment="0" applyProtection="0"/>
    <xf numFmtId="0" fontId="18" fillId="75" borderId="0" applyNumberFormat="0" applyBorder="0" applyAlignment="0" applyProtection="0"/>
    <xf numFmtId="0" fontId="18"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8" fillId="20" borderId="0" applyNumberFormat="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8" fillId="15" borderId="0" applyNumberFormat="0" applyAlignment="0" applyProtection="0"/>
    <xf numFmtId="0" fontId="18" fillId="73" borderId="0" applyNumberFormat="0" applyBorder="0" applyAlignment="0" applyProtection="0"/>
    <xf numFmtId="0" fontId="18" fillId="73" borderId="0" applyNumberFormat="0" applyBorder="0" applyAlignment="0" applyProtection="0"/>
    <xf numFmtId="0" fontId="18" fillId="73" borderId="0" applyNumberFormat="0" applyBorder="0" applyAlignment="0" applyProtection="0"/>
    <xf numFmtId="0" fontId="18" fillId="73" borderId="0" applyNumberFormat="0" applyBorder="0" applyAlignment="0" applyProtection="0"/>
    <xf numFmtId="0" fontId="18" fillId="15" borderId="0" applyNumberFormat="0" applyAlignment="0" applyProtection="0"/>
    <xf numFmtId="0" fontId="18" fillId="70" borderId="0" applyNumberFormat="0" applyBorder="0" applyAlignment="0" applyProtection="0"/>
    <xf numFmtId="0" fontId="18" fillId="70" borderId="0" applyNumberFormat="0" applyBorder="0" applyAlignment="0" applyProtection="0"/>
    <xf numFmtId="0" fontId="18" fillId="15" borderId="0" applyNumberFormat="0" applyAlignment="0" applyProtection="0"/>
    <xf numFmtId="0" fontId="18" fillId="70" borderId="0" applyNumberFormat="0" applyBorder="0" applyAlignment="0" applyProtection="0"/>
    <xf numFmtId="0" fontId="18"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8" fillId="15" borderId="0" applyNumberFormat="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8" fillId="18" borderId="0" applyNumberFormat="0" applyAlignment="0" applyProtection="0"/>
    <xf numFmtId="0" fontId="18" fillId="72" borderId="0" applyNumberFormat="0" applyBorder="0" applyAlignment="0" applyProtection="0"/>
    <xf numFmtId="0" fontId="18" fillId="72" borderId="0" applyNumberFormat="0" applyBorder="0" applyAlignment="0" applyProtection="0"/>
    <xf numFmtId="0" fontId="18" fillId="72" borderId="0" applyNumberFormat="0" applyBorder="0" applyAlignment="0" applyProtection="0"/>
    <xf numFmtId="0" fontId="18" fillId="72" borderId="0" applyNumberFormat="0" applyBorder="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4" fillId="57" borderId="0" applyNumberFormat="0" applyBorder="0" applyAlignment="0" applyProtection="0"/>
    <xf numFmtId="0" fontId="14" fillId="57" borderId="0" applyNumberFormat="0" applyBorder="0" applyAlignment="0" applyProtection="0"/>
    <xf numFmtId="0" fontId="18" fillId="18" borderId="0" applyNumberFormat="0" applyAlignment="0" applyProtection="0"/>
    <xf numFmtId="0" fontId="14" fillId="61" borderId="0" applyNumberFormat="0" applyBorder="0" applyAlignment="0" applyProtection="0"/>
    <xf numFmtId="0" fontId="18" fillId="21"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67" borderId="0" applyNumberFormat="0" applyBorder="0" applyAlignment="0" applyProtection="0"/>
    <xf numFmtId="0" fontId="18" fillId="67" borderId="0" applyNumberFormat="0" applyBorder="0" applyAlignment="0" applyProtection="0"/>
    <xf numFmtId="0" fontId="18" fillId="21" borderId="0" applyNumberFormat="0" applyAlignment="0" applyProtection="0"/>
    <xf numFmtId="0" fontId="18" fillId="77" borderId="0" applyNumberFormat="0" applyBorder="0" applyAlignment="0" applyProtection="0"/>
    <xf numFmtId="0" fontId="18" fillId="77" borderId="0" applyNumberFormat="0" applyBorder="0" applyAlignment="0" applyProtection="0"/>
    <xf numFmtId="0" fontId="18" fillId="21" borderId="0" applyNumberFormat="0" applyAlignment="0" applyProtection="0"/>
    <xf numFmtId="0" fontId="18" fillId="77" borderId="0" applyNumberFormat="0" applyBorder="0" applyAlignment="0" applyProtection="0"/>
    <xf numFmtId="0" fontId="18" fillId="7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8" fillId="21" borderId="0" applyNumberFormat="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9" fillId="22" borderId="0" applyNumberFormat="0" applyAlignment="0" applyProtection="0"/>
    <xf numFmtId="0" fontId="19" fillId="79" borderId="0" applyNumberFormat="0" applyBorder="0" applyAlignment="0" applyProtection="0"/>
    <xf numFmtId="0" fontId="19" fillId="79" borderId="0" applyNumberFormat="0" applyBorder="0" applyAlignment="0" applyProtection="0"/>
    <xf numFmtId="0" fontId="19" fillId="79" borderId="0" applyNumberFormat="0" applyBorder="0" applyAlignment="0" applyProtection="0"/>
    <xf numFmtId="0" fontId="19" fillId="79" borderId="0" applyNumberFormat="0" applyBorder="0" applyAlignment="0" applyProtection="0"/>
    <xf numFmtId="0" fontId="19" fillId="22" borderId="0" applyNumberFormat="0" applyAlignment="0" applyProtection="0"/>
    <xf numFmtId="0" fontId="19" fillId="78" borderId="0" applyNumberFormat="0" applyBorder="0" applyAlignment="0" applyProtection="0"/>
    <xf numFmtId="0" fontId="19" fillId="78" borderId="0" applyNumberFormat="0" applyBorder="0" applyAlignment="0" applyProtection="0"/>
    <xf numFmtId="0" fontId="19" fillId="22" borderId="0" applyNumberFormat="0" applyAlignment="0" applyProtection="0"/>
    <xf numFmtId="0" fontId="19" fillId="78" borderId="0" applyNumberFormat="0" applyBorder="0" applyAlignment="0" applyProtection="0"/>
    <xf numFmtId="0" fontId="19" fillId="78" borderId="0" applyNumberFormat="0" applyBorder="0" applyAlignment="0" applyProtection="0"/>
    <xf numFmtId="0" fontId="49" fillId="42" borderId="0" applyNumberFormat="0" applyBorder="0" applyAlignment="0" applyProtection="0"/>
    <xf numFmtId="0" fontId="19" fillId="22" borderId="0" applyNumberFormat="0" applyAlignment="0" applyProtection="0"/>
    <xf numFmtId="0" fontId="19" fillId="19" borderId="0" applyNumberFormat="0" applyAlignment="0" applyProtection="0"/>
    <xf numFmtId="0" fontId="19" fillId="67" borderId="0" applyNumberFormat="0" applyBorder="0" applyAlignment="0" applyProtection="0"/>
    <xf numFmtId="0" fontId="19" fillId="67" borderId="0" applyNumberFormat="0" applyBorder="0" applyAlignment="0" applyProtection="0"/>
    <xf numFmtId="0" fontId="19" fillId="67" borderId="0" applyNumberFormat="0" applyBorder="0" applyAlignment="0" applyProtection="0"/>
    <xf numFmtId="0" fontId="19" fillId="67" borderId="0" applyNumberFormat="0" applyBorder="0" applyAlignment="0" applyProtection="0"/>
    <xf numFmtId="0" fontId="19" fillId="19" borderId="0" applyNumberFormat="0" applyAlignment="0" applyProtection="0"/>
    <xf numFmtId="0" fontId="19" fillId="74" borderId="0" applyNumberFormat="0" applyBorder="0" applyAlignment="0" applyProtection="0"/>
    <xf numFmtId="0" fontId="19" fillId="74" borderId="0" applyNumberFormat="0" applyBorder="0" applyAlignment="0" applyProtection="0"/>
    <xf numFmtId="0" fontId="19" fillId="19" borderId="0" applyNumberFormat="0" applyAlignment="0" applyProtection="0"/>
    <xf numFmtId="0" fontId="19" fillId="74" borderId="0" applyNumberFormat="0" applyBorder="0" applyAlignment="0" applyProtection="0"/>
    <xf numFmtId="0" fontId="19" fillId="74" borderId="0" applyNumberFormat="0" applyBorder="0" applyAlignment="0" applyProtection="0"/>
    <xf numFmtId="0" fontId="49" fillId="46" borderId="0" applyNumberFormat="0" applyBorder="0" applyAlignment="0" applyProtection="0"/>
    <xf numFmtId="0" fontId="19" fillId="19" borderId="0" applyNumberFormat="0" applyAlignment="0" applyProtection="0"/>
    <xf numFmtId="0" fontId="49" fillId="75" borderId="0" applyNumberFormat="0" applyBorder="0" applyAlignment="0" applyProtection="0"/>
    <xf numFmtId="0" fontId="49" fillId="75" borderId="0" applyNumberFormat="0" applyBorder="0" applyAlignment="0" applyProtection="0"/>
    <xf numFmtId="0" fontId="49" fillId="50" borderId="0" applyNumberFormat="0" applyBorder="0" applyAlignment="0" applyProtection="0"/>
    <xf numFmtId="0" fontId="49" fillId="50" borderId="0" applyNumberFormat="0" applyBorder="0" applyAlignment="0" applyProtection="0"/>
    <xf numFmtId="0" fontId="19" fillId="20" borderId="0" applyNumberFormat="0" applyAlignment="0" applyProtection="0"/>
    <xf numFmtId="0" fontId="19" fillId="76" borderId="0" applyNumberFormat="0" applyBorder="0" applyAlignment="0" applyProtection="0"/>
    <xf numFmtId="0" fontId="19" fillId="76" borderId="0" applyNumberFormat="0" applyBorder="0" applyAlignment="0" applyProtection="0"/>
    <xf numFmtId="0" fontId="19" fillId="76" borderId="0" applyNumberFormat="0" applyBorder="0" applyAlignment="0" applyProtection="0"/>
    <xf numFmtId="0" fontId="19" fillId="76" borderId="0" applyNumberFormat="0" applyBorder="0" applyAlignment="0" applyProtection="0"/>
    <xf numFmtId="0" fontId="19" fillId="20" borderId="0" applyNumberFormat="0" applyAlignment="0" applyProtection="0"/>
    <xf numFmtId="0" fontId="19" fillId="75" borderId="0" applyNumberFormat="0" applyBorder="0" applyAlignment="0" applyProtection="0"/>
    <xf numFmtId="0" fontId="19" fillId="75" borderId="0" applyNumberFormat="0" applyBorder="0" applyAlignment="0" applyProtection="0"/>
    <xf numFmtId="0" fontId="19" fillId="20" borderId="0" applyNumberFormat="0" applyAlignment="0" applyProtection="0"/>
    <xf numFmtId="0" fontId="19" fillId="75" borderId="0" applyNumberFormat="0" applyBorder="0" applyAlignment="0" applyProtection="0"/>
    <xf numFmtId="0" fontId="19" fillId="75" borderId="0" applyNumberFormat="0" applyBorder="0" applyAlignment="0" applyProtection="0"/>
    <xf numFmtId="0" fontId="49" fillId="50"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50" borderId="0" applyNumberFormat="0" applyBorder="0" applyAlignment="0" applyProtection="0"/>
    <xf numFmtId="0" fontId="19" fillId="20" borderId="0" applyNumberFormat="0" applyAlignment="0" applyProtection="0"/>
    <xf numFmtId="0" fontId="49" fillId="75" borderId="0" applyNumberFormat="0" applyBorder="0" applyAlignment="0" applyProtection="0"/>
    <xf numFmtId="0" fontId="49" fillId="75" borderId="0" applyNumberFormat="0" applyBorder="0" applyAlignment="0" applyProtection="0"/>
    <xf numFmtId="0" fontId="49" fillId="50" borderId="0" applyNumberFormat="0" applyBorder="0" applyAlignment="0" applyProtection="0"/>
    <xf numFmtId="0" fontId="49" fillId="50"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50" borderId="0" applyNumberFormat="0" applyBorder="0" applyAlignment="0" applyProtection="0"/>
    <xf numFmtId="0" fontId="49" fillId="50"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50" borderId="0" applyNumberFormat="0" applyBorder="0" applyAlignment="0" applyProtection="0"/>
    <xf numFmtId="0" fontId="49" fillId="50"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50" borderId="0" applyNumberFormat="0" applyBorder="0" applyAlignment="0" applyProtection="0"/>
    <xf numFmtId="0" fontId="49" fillId="5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54" borderId="0" applyNumberFormat="0" applyBorder="0" applyAlignment="0" applyProtection="0"/>
    <xf numFmtId="0" fontId="49" fillId="54" borderId="0" applyNumberFormat="0" applyBorder="0" applyAlignment="0" applyProtection="0"/>
    <xf numFmtId="0" fontId="19" fillId="23" borderId="0" applyNumberFormat="0" applyAlignment="0" applyProtection="0"/>
    <xf numFmtId="0" fontId="19" fillId="73" borderId="0" applyNumberFormat="0" applyBorder="0" applyAlignment="0" applyProtection="0"/>
    <xf numFmtId="0" fontId="19" fillId="73" borderId="0" applyNumberFormat="0" applyBorder="0" applyAlignment="0" applyProtection="0"/>
    <xf numFmtId="0" fontId="19" fillId="73" borderId="0" applyNumberFormat="0" applyBorder="0" applyAlignment="0" applyProtection="0"/>
    <xf numFmtId="0" fontId="19" fillId="73" borderId="0" applyNumberFormat="0" applyBorder="0" applyAlignment="0" applyProtection="0"/>
    <xf numFmtId="0" fontId="19" fillId="23" borderId="0" applyNumberFormat="0" applyAlignment="0" applyProtection="0"/>
    <xf numFmtId="0" fontId="19" fillId="80" borderId="0" applyNumberFormat="0" applyBorder="0" applyAlignment="0" applyProtection="0"/>
    <xf numFmtId="0" fontId="19" fillId="80" borderId="0" applyNumberFormat="0" applyBorder="0" applyAlignment="0" applyProtection="0"/>
    <xf numFmtId="0" fontId="19" fillId="23" borderId="0" applyNumberFormat="0" applyAlignment="0" applyProtection="0"/>
    <xf numFmtId="0" fontId="19" fillId="80" borderId="0" applyNumberFormat="0" applyBorder="0" applyAlignment="0" applyProtection="0"/>
    <xf numFmtId="0" fontId="19" fillId="80" borderId="0" applyNumberFormat="0" applyBorder="0" applyAlignment="0" applyProtection="0"/>
    <xf numFmtId="0" fontId="49" fillId="54"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54" borderId="0" applyNumberFormat="0" applyBorder="0" applyAlignment="0" applyProtection="0"/>
    <xf numFmtId="0" fontId="19" fillId="23" borderId="0" applyNumberFormat="0" applyAlignment="0" applyProtection="0"/>
    <xf numFmtId="0" fontId="49" fillId="80" borderId="0" applyNumberFormat="0" applyBorder="0" applyAlignment="0" applyProtection="0"/>
    <xf numFmtId="0" fontId="49" fillId="80" borderId="0" applyNumberFormat="0" applyBorder="0" applyAlignment="0" applyProtection="0"/>
    <xf numFmtId="0" fontId="49" fillId="54" borderId="0" applyNumberFormat="0" applyBorder="0" applyAlignment="0" applyProtection="0"/>
    <xf numFmtId="0" fontId="49" fillId="54"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54" borderId="0" applyNumberFormat="0" applyBorder="0" applyAlignment="0" applyProtection="0"/>
    <xf numFmtId="0" fontId="49" fillId="54"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54" borderId="0" applyNumberFormat="0" applyBorder="0" applyAlignment="0" applyProtection="0"/>
    <xf numFmtId="0" fontId="49" fillId="54"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54" borderId="0" applyNumberFormat="0" applyBorder="0" applyAlignment="0" applyProtection="0"/>
    <xf numFmtId="0" fontId="49" fillId="54" borderId="0" applyNumberFormat="0" applyBorder="0" applyAlignment="0" applyProtection="0"/>
    <xf numFmtId="0" fontId="19" fillId="24" borderId="0" applyNumberFormat="0" applyAlignment="0" applyProtection="0"/>
    <xf numFmtId="0" fontId="19" fillId="72" borderId="0" applyNumberFormat="0" applyBorder="0" applyAlignment="0" applyProtection="0"/>
    <xf numFmtId="0" fontId="19" fillId="72" borderId="0" applyNumberFormat="0" applyBorder="0" applyAlignment="0" applyProtection="0"/>
    <xf numFmtId="0" fontId="19" fillId="72" borderId="0" applyNumberFormat="0" applyBorder="0" applyAlignment="0" applyProtection="0"/>
    <xf numFmtId="0" fontId="19" fillId="72" borderId="0" applyNumberFormat="0" applyBorder="0" applyAlignment="0" applyProtection="0"/>
    <xf numFmtId="0" fontId="19" fillId="24" borderId="0" applyNumberFormat="0" applyAlignment="0" applyProtection="0"/>
    <xf numFmtId="0" fontId="19" fillId="81" borderId="0" applyNumberFormat="0" applyBorder="0" applyAlignment="0" applyProtection="0"/>
    <xf numFmtId="0" fontId="19" fillId="81" borderId="0" applyNumberFormat="0" applyBorder="0" applyAlignment="0" applyProtection="0"/>
    <xf numFmtId="0" fontId="19" fillId="24" borderId="0" applyNumberFormat="0" applyAlignment="0" applyProtection="0"/>
    <xf numFmtId="0" fontId="19" fillId="81" borderId="0" applyNumberFormat="0" applyBorder="0" applyAlignment="0" applyProtection="0"/>
    <xf numFmtId="0" fontId="19" fillId="81" borderId="0" applyNumberFormat="0" applyBorder="0" applyAlignment="0" applyProtection="0"/>
    <xf numFmtId="0" fontId="49" fillId="58" borderId="0" applyNumberFormat="0" applyBorder="0" applyAlignment="0" applyProtection="0"/>
    <xf numFmtId="0" fontId="19" fillId="24" borderId="0" applyNumberFormat="0" applyAlignment="0" applyProtection="0"/>
    <xf numFmtId="0" fontId="49" fillId="82" borderId="0" applyNumberFormat="0" applyBorder="0" applyAlignment="0" applyProtection="0"/>
    <xf numFmtId="0" fontId="49" fillId="82" borderId="0" applyNumberFormat="0" applyBorder="0" applyAlignment="0" applyProtection="0"/>
    <xf numFmtId="0" fontId="49" fillId="62" borderId="0" applyNumberFormat="0" applyBorder="0" applyAlignment="0" applyProtection="0"/>
    <xf numFmtId="0" fontId="49" fillId="62" borderId="0" applyNumberFormat="0" applyBorder="0" applyAlignment="0" applyProtection="0"/>
    <xf numFmtId="0" fontId="19" fillId="25" borderId="0" applyNumberFormat="0" applyAlignment="0" applyProtection="0"/>
    <xf numFmtId="0" fontId="19" fillId="67" borderId="0" applyNumberFormat="0" applyBorder="0" applyAlignment="0" applyProtection="0"/>
    <xf numFmtId="0" fontId="19" fillId="67" borderId="0" applyNumberFormat="0" applyBorder="0" applyAlignment="0" applyProtection="0"/>
    <xf numFmtId="0" fontId="19" fillId="67" borderId="0" applyNumberFormat="0" applyBorder="0" applyAlignment="0" applyProtection="0"/>
    <xf numFmtId="0" fontId="19" fillId="67" borderId="0" applyNumberFormat="0" applyBorder="0" applyAlignment="0" applyProtection="0"/>
    <xf numFmtId="0" fontId="19" fillId="25" borderId="0" applyNumberFormat="0" applyAlignment="0" applyProtection="0"/>
    <xf numFmtId="0" fontId="19" fillId="82" borderId="0" applyNumberFormat="0" applyBorder="0" applyAlignment="0" applyProtection="0"/>
    <xf numFmtId="0" fontId="19" fillId="82" borderId="0" applyNumberFormat="0" applyBorder="0" applyAlignment="0" applyProtection="0"/>
    <xf numFmtId="0" fontId="19" fillId="25" borderId="0" applyNumberFormat="0" applyAlignment="0" applyProtection="0"/>
    <xf numFmtId="0" fontId="19" fillId="82" borderId="0" applyNumberFormat="0" applyBorder="0" applyAlignment="0" applyProtection="0"/>
    <xf numFmtId="0" fontId="19" fillId="82" borderId="0" applyNumberFormat="0" applyBorder="0" applyAlignment="0" applyProtection="0"/>
    <xf numFmtId="0" fontId="49" fillId="6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62" borderId="0" applyNumberFormat="0" applyBorder="0" applyAlignment="0" applyProtection="0"/>
    <xf numFmtId="0" fontId="19" fillId="25" borderId="0" applyNumberFormat="0" applyAlignment="0" applyProtection="0"/>
    <xf numFmtId="0" fontId="49" fillId="82" borderId="0" applyNumberFormat="0" applyBorder="0" applyAlignment="0" applyProtection="0"/>
    <xf numFmtId="0" fontId="49" fillId="82" borderId="0" applyNumberFormat="0" applyBorder="0" applyAlignment="0" applyProtection="0"/>
    <xf numFmtId="0" fontId="49" fillId="62" borderId="0" applyNumberFormat="0" applyBorder="0" applyAlignment="0" applyProtection="0"/>
    <xf numFmtId="0" fontId="49" fillId="6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62" borderId="0" applyNumberFormat="0" applyBorder="0" applyAlignment="0" applyProtection="0"/>
    <xf numFmtId="0" fontId="49" fillId="6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62" borderId="0" applyNumberFormat="0" applyBorder="0" applyAlignment="0" applyProtection="0"/>
    <xf numFmtId="0" fontId="49" fillId="6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62" borderId="0" applyNumberFormat="0" applyBorder="0" applyAlignment="0" applyProtection="0"/>
    <xf numFmtId="0" fontId="49" fillId="62" borderId="0" applyNumberFormat="0" applyBorder="0" applyAlignment="0" applyProtection="0"/>
    <xf numFmtId="0" fontId="19" fillId="26" borderId="0" applyNumberFormat="0" applyAlignment="0" applyProtection="0"/>
    <xf numFmtId="0" fontId="19" fillId="83" borderId="0" applyNumberFormat="0" applyBorder="0" applyAlignment="0" applyProtection="0"/>
    <xf numFmtId="0" fontId="19" fillId="83" borderId="0" applyNumberFormat="0" applyBorder="0" applyAlignment="0" applyProtection="0"/>
    <xf numFmtId="0" fontId="19" fillId="83" borderId="0" applyNumberFormat="0" applyBorder="0" applyAlignment="0" applyProtection="0"/>
    <xf numFmtId="0" fontId="19" fillId="83" borderId="0" applyNumberFormat="0" applyBorder="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49" fillId="39" borderId="0" applyNumberFormat="0" applyBorder="0" applyAlignment="0" applyProtection="0"/>
    <xf numFmtId="0" fontId="19" fillId="26" borderId="0" applyNumberFormat="0" applyAlignment="0" applyProtection="0"/>
    <xf numFmtId="0" fontId="19" fillId="27" borderId="0" applyNumberFormat="0" applyAlignment="0" applyProtection="0"/>
    <xf numFmtId="0" fontId="19" fillId="84" borderId="0" applyNumberFormat="0" applyBorder="0" applyAlignment="0" applyProtection="0"/>
    <xf numFmtId="0" fontId="19" fillId="84" borderId="0" applyNumberFormat="0" applyBorder="0" applyAlignment="0" applyProtection="0"/>
    <xf numFmtId="0" fontId="19" fillId="84" borderId="0" applyNumberFormat="0" applyBorder="0" applyAlignment="0" applyProtection="0"/>
    <xf numFmtId="0" fontId="19" fillId="84" borderId="0" applyNumberFormat="0" applyBorder="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49" fillId="43" borderId="0" applyNumberFormat="0" applyBorder="0" applyAlignment="0" applyProtection="0"/>
    <xf numFmtId="0" fontId="19" fillId="27" borderId="0" applyNumberFormat="0" applyAlignment="0" applyProtection="0"/>
    <xf numFmtId="0" fontId="19" fillId="28" borderId="0" applyNumberFormat="0" applyAlignment="0" applyProtection="0"/>
    <xf numFmtId="0" fontId="19" fillId="76" borderId="0" applyNumberFormat="0" applyBorder="0" applyAlignment="0" applyProtection="0"/>
    <xf numFmtId="0" fontId="19" fillId="76" borderId="0" applyNumberFormat="0" applyBorder="0" applyAlignment="0" applyProtection="0"/>
    <xf numFmtId="0" fontId="19" fillId="76" borderId="0" applyNumberFormat="0" applyBorder="0" applyAlignment="0" applyProtection="0"/>
    <xf numFmtId="0" fontId="19" fillId="76" borderId="0" applyNumberFormat="0" applyBorder="0" applyAlignment="0" applyProtection="0"/>
    <xf numFmtId="0" fontId="19" fillId="28" borderId="0" applyNumberFormat="0" applyAlignment="0" applyProtection="0"/>
    <xf numFmtId="0" fontId="19" fillId="85" borderId="0" applyNumberFormat="0" applyBorder="0" applyAlignment="0" applyProtection="0"/>
    <xf numFmtId="0" fontId="19" fillId="85" borderId="0" applyNumberFormat="0" applyBorder="0" applyAlignment="0" applyProtection="0"/>
    <xf numFmtId="0" fontId="19" fillId="28" borderId="0" applyNumberFormat="0" applyAlignment="0" applyProtection="0"/>
    <xf numFmtId="0" fontId="19" fillId="85" borderId="0" applyNumberFormat="0" applyBorder="0" applyAlignment="0" applyProtection="0"/>
    <xf numFmtId="0" fontId="19" fillId="85" borderId="0" applyNumberFormat="0" applyBorder="0" applyAlignment="0" applyProtection="0"/>
    <xf numFmtId="0" fontId="49" fillId="47" borderId="0" applyNumberFormat="0" applyBorder="0" applyAlignment="0" applyProtection="0"/>
    <xf numFmtId="0" fontId="19" fillId="28" borderId="0" applyNumberFormat="0" applyAlignment="0" applyProtection="0"/>
    <xf numFmtId="0" fontId="19" fillId="23" borderId="0" applyNumberFormat="0" applyAlignment="0" applyProtection="0"/>
    <xf numFmtId="0" fontId="19" fillId="79" borderId="0" applyNumberFormat="0" applyBorder="0" applyAlignment="0" applyProtection="0"/>
    <xf numFmtId="0" fontId="19" fillId="79" borderId="0" applyNumberFormat="0" applyBorder="0" applyAlignment="0" applyProtection="0"/>
    <xf numFmtId="0" fontId="19" fillId="79" borderId="0" applyNumberFormat="0" applyBorder="0" applyAlignment="0" applyProtection="0"/>
    <xf numFmtId="0" fontId="19" fillId="79" borderId="0" applyNumberFormat="0" applyBorder="0" applyAlignment="0" applyProtection="0"/>
    <xf numFmtId="0" fontId="19" fillId="23" borderId="0" applyNumberFormat="0" applyAlignment="0" applyProtection="0"/>
    <xf numFmtId="0" fontId="19" fillId="80" borderId="0" applyNumberFormat="0" applyBorder="0" applyAlignment="0" applyProtection="0"/>
    <xf numFmtId="0" fontId="19" fillId="80" borderId="0" applyNumberFormat="0" applyBorder="0" applyAlignment="0" applyProtection="0"/>
    <xf numFmtId="0" fontId="19" fillId="23" borderId="0" applyNumberFormat="0" applyAlignment="0" applyProtection="0"/>
    <xf numFmtId="0" fontId="19" fillId="80" borderId="0" applyNumberFormat="0" applyBorder="0" applyAlignment="0" applyProtection="0"/>
    <xf numFmtId="0" fontId="19" fillId="80" borderId="0" applyNumberFormat="0" applyBorder="0" applyAlignment="0" applyProtection="0"/>
    <xf numFmtId="0" fontId="49" fillId="51" borderId="0" applyNumberFormat="0" applyBorder="0" applyAlignment="0" applyProtection="0"/>
    <xf numFmtId="0" fontId="19" fillId="23" borderId="0" applyNumberFormat="0" applyAlignment="0" applyProtection="0"/>
    <xf numFmtId="0" fontId="19" fillId="24" borderId="0" applyNumberFormat="0" applyAlignment="0" applyProtection="0"/>
    <xf numFmtId="0" fontId="19" fillId="85" borderId="0" applyNumberFormat="0" applyBorder="0" applyAlignment="0" applyProtection="0"/>
    <xf numFmtId="0" fontId="19" fillId="85" borderId="0" applyNumberFormat="0" applyBorder="0" applyAlignment="0" applyProtection="0"/>
    <xf numFmtId="0" fontId="19" fillId="85" borderId="0" applyNumberFormat="0" applyBorder="0" applyAlignment="0" applyProtection="0"/>
    <xf numFmtId="0" fontId="19" fillId="85" borderId="0" applyNumberFormat="0" applyBorder="0" applyAlignment="0" applyProtection="0"/>
    <xf numFmtId="0" fontId="19" fillId="24" borderId="0" applyNumberFormat="0" applyAlignment="0" applyProtection="0"/>
    <xf numFmtId="0" fontId="19" fillId="81" borderId="0" applyNumberFormat="0" applyBorder="0" applyAlignment="0" applyProtection="0"/>
    <xf numFmtId="0" fontId="19" fillId="81" borderId="0" applyNumberFormat="0" applyBorder="0" applyAlignment="0" applyProtection="0"/>
    <xf numFmtId="0" fontId="19" fillId="24" borderId="0" applyNumberFormat="0" applyAlignment="0" applyProtection="0"/>
    <xf numFmtId="0" fontId="19" fillId="81" borderId="0" applyNumberFormat="0" applyBorder="0" applyAlignment="0" applyProtection="0"/>
    <xf numFmtId="0" fontId="19" fillId="81" borderId="0" applyNumberFormat="0" applyBorder="0" applyAlignment="0" applyProtection="0"/>
    <xf numFmtId="0" fontId="49" fillId="55" borderId="0" applyNumberFormat="0" applyBorder="0" applyAlignment="0" applyProtection="0"/>
    <xf numFmtId="0" fontId="19" fillId="24" borderId="0" applyNumberFormat="0" applyAlignment="0" applyProtection="0"/>
    <xf numFmtId="0" fontId="19" fillId="29" borderId="0" applyNumberFormat="0" applyAlignment="0" applyProtection="0"/>
    <xf numFmtId="0" fontId="19" fillId="74" borderId="0" applyNumberFormat="0" applyBorder="0" applyAlignment="0" applyProtection="0"/>
    <xf numFmtId="0" fontId="19" fillId="74" borderId="0" applyNumberFormat="0" applyBorder="0" applyAlignment="0" applyProtection="0"/>
    <xf numFmtId="0" fontId="19" fillId="74" borderId="0" applyNumberFormat="0" applyBorder="0" applyAlignment="0" applyProtection="0"/>
    <xf numFmtId="0" fontId="19" fillId="74" borderId="0" applyNumberFormat="0" applyBorder="0" applyAlignment="0" applyProtection="0"/>
    <xf numFmtId="0" fontId="19" fillId="29" borderId="0" applyNumberFormat="0" applyAlignment="0" applyProtection="0"/>
    <xf numFmtId="0" fontId="19" fillId="86" borderId="0" applyNumberFormat="0" applyBorder="0" applyAlignment="0" applyProtection="0"/>
    <xf numFmtId="0" fontId="19" fillId="86" borderId="0" applyNumberFormat="0" applyBorder="0" applyAlignment="0" applyProtection="0"/>
    <xf numFmtId="0" fontId="19" fillId="29" borderId="0" applyNumberFormat="0" applyAlignment="0" applyProtection="0"/>
    <xf numFmtId="0" fontId="19" fillId="86" borderId="0" applyNumberFormat="0" applyBorder="0" applyAlignment="0" applyProtection="0"/>
    <xf numFmtId="0" fontId="19" fillId="86" borderId="0" applyNumberFormat="0" applyBorder="0" applyAlignment="0" applyProtection="0"/>
    <xf numFmtId="0" fontId="49" fillId="59" borderId="0" applyNumberFormat="0" applyBorder="0" applyAlignment="0" applyProtection="0"/>
    <xf numFmtId="0" fontId="19" fillId="29" borderId="0" applyNumberFormat="0" applyAlignment="0" applyProtection="0"/>
    <xf numFmtId="0" fontId="20" fillId="13" borderId="0" applyNumberFormat="0" applyAlignment="0" applyProtection="0"/>
    <xf numFmtId="0" fontId="53" fillId="66" borderId="0" applyNumberFormat="0" applyBorder="0" applyAlignment="0" applyProtection="0"/>
    <xf numFmtId="0" fontId="53" fillId="66" borderId="0" applyNumberFormat="0" applyBorder="0" applyAlignment="0" applyProtection="0"/>
    <xf numFmtId="0" fontId="20" fillId="13" borderId="0" applyNumberFormat="0" applyAlignment="0" applyProtection="0"/>
    <xf numFmtId="0" fontId="20" fillId="66" borderId="0" applyNumberFormat="0" applyBorder="0" applyAlignment="0" applyProtection="0"/>
    <xf numFmtId="0" fontId="20" fillId="66" borderId="0" applyNumberFormat="0" applyBorder="0" applyAlignment="0" applyProtection="0"/>
    <xf numFmtId="0" fontId="20" fillId="13" borderId="0" applyNumberFormat="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20" fillId="13" borderId="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43" fillId="36" borderId="13" applyNumberFormat="0" applyAlignment="0" applyProtection="0"/>
    <xf numFmtId="0" fontId="21" fillId="30" borderId="40" applyNumberFormat="0" applyAlignment="0" applyProtection="0"/>
    <xf numFmtId="0" fontId="22" fillId="31" borderId="41" applyNumberFormat="0" applyAlignment="0" applyProtection="0"/>
    <xf numFmtId="0" fontId="22" fillId="87" borderId="41" applyNumberFormat="0" applyAlignment="0" applyProtection="0"/>
    <xf numFmtId="0" fontId="22" fillId="87" borderId="41" applyNumberFormat="0" applyAlignment="0" applyProtection="0"/>
    <xf numFmtId="0" fontId="22" fillId="87" borderId="41" applyNumberFormat="0" applyAlignment="0" applyProtection="0"/>
    <xf numFmtId="0" fontId="22" fillId="87" borderId="41" applyNumberFormat="0" applyAlignment="0" applyProtection="0"/>
    <xf numFmtId="0" fontId="22" fillId="31" borderId="41" applyNumberFormat="0" applyAlignment="0" applyProtection="0"/>
    <xf numFmtId="0" fontId="22" fillId="31" borderId="41" applyNumberFormat="0" applyAlignment="0" applyProtection="0"/>
    <xf numFmtId="0" fontId="22" fillId="31" borderId="41" applyNumberFormat="0" applyAlignment="0" applyProtection="0"/>
    <xf numFmtId="0" fontId="45" fillId="37" borderId="62" applyNumberFormat="0" applyAlignment="0" applyProtection="0"/>
    <xf numFmtId="0" fontId="22" fillId="31" borderId="41" applyNumberFormat="0" applyAlignment="0" applyProtection="0"/>
    <xf numFmtId="0" fontId="23" fillId="0" borderId="0" applyNumberFormat="0" applyFill="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47" fillId="0" borderId="0" applyNumberFormat="0" applyFill="0" applyBorder="0" applyAlignment="0" applyProtection="0"/>
    <xf numFmtId="0" fontId="23" fillId="0" borderId="0" applyNumberFormat="0" applyFill="0" applyAlignment="0" applyProtection="0"/>
    <xf numFmtId="0" fontId="24" fillId="14" borderId="0" applyNumberFormat="0" applyAlignment="0" applyProtection="0"/>
    <xf numFmtId="0" fontId="24" fillId="68" borderId="0" applyNumberFormat="0" applyBorder="0" applyAlignment="0" applyProtection="0"/>
    <xf numFmtId="0" fontId="24" fillId="68" borderId="0" applyNumberFormat="0" applyBorder="0" applyAlignment="0" applyProtection="0"/>
    <xf numFmtId="0" fontId="24" fillId="68" borderId="0" applyNumberFormat="0" applyBorder="0" applyAlignment="0" applyProtection="0"/>
    <xf numFmtId="0" fontId="24" fillId="68" borderId="0" applyNumberFormat="0" applyBorder="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41" fillId="35" borderId="0" applyNumberFormat="0" applyBorder="0" applyAlignment="0" applyProtection="0"/>
    <xf numFmtId="0" fontId="24" fillId="14" borderId="0" applyNumberFormat="0" applyAlignment="0" applyProtection="0"/>
    <xf numFmtId="0" fontId="25" fillId="0" borderId="42" applyNumberFormat="0" applyFill="0" applyAlignment="0" applyProtection="0"/>
    <xf numFmtId="0" fontId="54" fillId="0" borderId="42" applyNumberFormat="0" applyFill="0" applyAlignment="0" applyProtection="0"/>
    <xf numFmtId="0" fontId="54" fillId="0" borderId="42" applyNumberFormat="0" applyFill="0" applyAlignment="0" applyProtection="0"/>
    <xf numFmtId="0" fontId="25" fillId="0" borderId="42" applyNumberFormat="0" applyFill="0" applyAlignment="0" applyProtection="0"/>
    <xf numFmtId="0" fontId="25" fillId="0" borderId="42" applyNumberFormat="0" applyFill="0" applyAlignment="0" applyProtection="0"/>
    <xf numFmtId="0" fontId="38" fillId="0" borderId="57" applyNumberFormat="0" applyFill="0" applyAlignment="0" applyProtection="0"/>
    <xf numFmtId="0" fontId="38" fillId="0" borderId="57" applyNumberFormat="0" applyFill="0" applyAlignment="0" applyProtection="0"/>
    <xf numFmtId="0" fontId="38" fillId="0" borderId="57" applyNumberFormat="0" applyFill="0" applyAlignment="0" applyProtection="0"/>
    <xf numFmtId="0" fontId="25" fillId="0" borderId="42" applyNumberFormat="0" applyFill="0" applyAlignment="0" applyProtection="0"/>
    <xf numFmtId="0" fontId="26" fillId="0" borderId="43" applyNumberFormat="0" applyFill="0" applyAlignment="0" applyProtection="0"/>
    <xf numFmtId="0" fontId="55" fillId="0" borderId="43" applyNumberFormat="0" applyFill="0" applyAlignment="0" applyProtection="0"/>
    <xf numFmtId="0" fontId="55" fillId="0" borderId="43" applyNumberFormat="0" applyFill="0" applyAlignment="0" applyProtection="0"/>
    <xf numFmtId="0" fontId="26" fillId="0" borderId="43" applyNumberFormat="0" applyFill="0" applyAlignment="0" applyProtection="0"/>
    <xf numFmtId="0" fontId="26" fillId="0" borderId="43" applyNumberFormat="0" applyFill="0" applyAlignment="0" applyProtection="0"/>
    <xf numFmtId="0" fontId="39" fillId="0" borderId="58" applyNumberFormat="0" applyFill="0" applyAlignment="0" applyProtection="0"/>
    <xf numFmtId="0" fontId="39" fillId="0" borderId="58" applyNumberFormat="0" applyFill="0" applyAlignment="0" applyProtection="0"/>
    <xf numFmtId="0" fontId="39" fillId="0" borderId="58" applyNumberFormat="0" applyFill="0" applyAlignment="0" applyProtection="0"/>
    <xf numFmtId="0" fontId="26" fillId="0" borderId="43" applyNumberFormat="0" applyFill="0" applyAlignment="0" applyProtection="0"/>
    <xf numFmtId="0" fontId="27" fillId="0" borderId="44" applyNumberFormat="0" applyFill="0" applyAlignment="0" applyProtection="0"/>
    <xf numFmtId="0" fontId="56" fillId="0" borderId="65" applyNumberFormat="0" applyFill="0" applyAlignment="0" applyProtection="0"/>
    <xf numFmtId="0" fontId="56" fillId="0" borderId="65" applyNumberFormat="0" applyFill="0" applyAlignment="0" applyProtection="0"/>
    <xf numFmtId="0" fontId="27" fillId="0" borderId="44" applyNumberFormat="0" applyFill="0" applyAlignment="0" applyProtection="0"/>
    <xf numFmtId="0" fontId="27" fillId="0" borderId="44" applyNumberFormat="0" applyFill="0" applyAlignment="0" applyProtection="0"/>
    <xf numFmtId="0" fontId="27" fillId="0" borderId="44" applyNumberFormat="0" applyFill="0" applyAlignment="0" applyProtection="0"/>
    <xf numFmtId="0" fontId="40" fillId="0" borderId="59" applyNumberFormat="0" applyFill="0" applyAlignment="0" applyProtection="0"/>
    <xf numFmtId="0" fontId="27" fillId="0" borderId="44" applyNumberFormat="0" applyFill="0" applyAlignment="0" applyProtection="0"/>
    <xf numFmtId="0" fontId="27" fillId="0" borderId="0" applyNumberFormat="0" applyFill="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27" fillId="0" borderId="0" applyNumberFormat="0" applyFill="0" applyAlignment="0" applyProtection="0"/>
    <xf numFmtId="0" fontId="27" fillId="0" borderId="0" applyNumberFormat="0" applyFill="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27" fillId="0" borderId="0" applyNumberFormat="0" applyFill="0" applyAlignment="0" applyProtection="0"/>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30" fillId="0" borderId="45" applyNumberFormat="0" applyFill="0" applyAlignment="0" applyProtection="0"/>
    <xf numFmtId="0" fontId="30" fillId="0" borderId="45" applyNumberFormat="0" applyFill="0" applyAlignment="0" applyProtection="0"/>
    <xf numFmtId="0" fontId="30" fillId="0" borderId="45" applyNumberFormat="0" applyFill="0" applyAlignment="0" applyProtection="0"/>
    <xf numFmtId="0" fontId="30" fillId="0" borderId="45" applyNumberFormat="0" applyFill="0" applyAlignment="0" applyProtection="0"/>
    <xf numFmtId="0" fontId="44" fillId="0" borderId="61" applyNumberFormat="0" applyFill="0" applyAlignment="0" applyProtection="0"/>
    <xf numFmtId="0" fontId="30" fillId="0" borderId="45" applyNumberFormat="0" applyFill="0" applyAlignment="0" applyProtection="0"/>
    <xf numFmtId="0" fontId="31" fillId="32" borderId="0" applyNumberFormat="0" applyAlignment="0" applyProtection="0"/>
    <xf numFmtId="0" fontId="31" fillId="90" borderId="0" applyNumberFormat="0" applyBorder="0" applyAlignment="0" applyProtection="0"/>
    <xf numFmtId="0" fontId="31" fillId="90" borderId="0" applyNumberFormat="0" applyBorder="0" applyAlignment="0" applyProtection="0"/>
    <xf numFmtId="0" fontId="31" fillId="90" borderId="0" applyNumberFormat="0" applyBorder="0" applyAlignment="0" applyProtection="0"/>
    <xf numFmtId="0" fontId="31" fillId="90" borderId="0" applyNumberFormat="0" applyBorder="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36" fillId="34" borderId="0" applyNumberFormat="0" applyBorder="0" applyAlignment="0" applyProtection="0"/>
    <xf numFmtId="0" fontId="31" fillId="32" borderId="0" applyNumberFormat="0" applyAlignment="0" applyProtection="0"/>
    <xf numFmtId="0" fontId="6" fillId="0" borderId="0"/>
    <xf numFmtId="0" fontId="6"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14" fillId="0" borderId="0"/>
    <xf numFmtId="0" fontId="18" fillId="0" borderId="0"/>
    <xf numFmtId="0" fontId="18" fillId="0" borderId="0"/>
    <xf numFmtId="0" fontId="18"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14" fillId="0" borderId="0"/>
    <xf numFmtId="0" fontId="6"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14" fillId="0" borderId="0"/>
    <xf numFmtId="0" fontId="6"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6" fillId="0" borderId="0"/>
    <xf numFmtId="0" fontId="14" fillId="0" borderId="0"/>
    <xf numFmtId="0" fontId="14" fillId="0" borderId="0"/>
    <xf numFmtId="0" fontId="6" fillId="0" borderId="0"/>
    <xf numFmtId="0" fontId="14" fillId="0" borderId="0"/>
    <xf numFmtId="0" fontId="6"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6" fillId="0" borderId="0"/>
    <xf numFmtId="0" fontId="14" fillId="0" borderId="0"/>
    <xf numFmtId="0" fontId="6" fillId="0" borderId="0"/>
    <xf numFmtId="0" fontId="14" fillId="0" borderId="0"/>
    <xf numFmtId="0" fontId="6" fillId="0" borderId="0"/>
    <xf numFmtId="0" fontId="14" fillId="0" borderId="0"/>
    <xf numFmtId="0" fontId="14" fillId="0" borderId="0"/>
    <xf numFmtId="0" fontId="14" fillId="0" borderId="0"/>
    <xf numFmtId="0" fontId="6"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14" fillId="0" borderId="0"/>
    <xf numFmtId="0" fontId="6" fillId="0" borderId="0"/>
    <xf numFmtId="0" fontId="6"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6" fillId="0" borderId="0"/>
    <xf numFmtId="0" fontId="14" fillId="0" borderId="0"/>
    <xf numFmtId="0" fontId="14" fillId="0" borderId="0"/>
    <xf numFmtId="0" fontId="6" fillId="0" borderId="0"/>
    <xf numFmtId="0" fontId="6" fillId="0" borderId="0"/>
    <xf numFmtId="0" fontId="14" fillId="0" borderId="0"/>
    <xf numFmtId="0" fontId="6" fillId="0" borderId="0"/>
    <xf numFmtId="0" fontId="14"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6" fillId="0" borderId="0"/>
    <xf numFmtId="0" fontId="6" fillId="0" borderId="0"/>
    <xf numFmtId="0" fontId="6" fillId="0" borderId="0"/>
    <xf numFmtId="0" fontId="6" fillId="0" borderId="0"/>
    <xf numFmtId="0" fontId="18" fillId="0" borderId="0"/>
    <xf numFmtId="0" fontId="6" fillId="0" borderId="0"/>
    <xf numFmtId="0" fontId="6" fillId="0" borderId="0"/>
    <xf numFmtId="0" fontId="18" fillId="0" borderId="0"/>
    <xf numFmtId="0" fontId="6" fillId="0" borderId="0"/>
    <xf numFmtId="0" fontId="6" fillId="0" borderId="0"/>
    <xf numFmtId="0" fontId="6" fillId="0" borderId="0"/>
    <xf numFmtId="0" fontId="18" fillId="0" borderId="0"/>
    <xf numFmtId="0" fontId="6" fillId="0" borderId="0"/>
    <xf numFmtId="0" fontId="6"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14"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42" fillId="36" borderId="60" applyNumberFormat="0" applyAlignment="0" applyProtection="0"/>
    <xf numFmtId="0" fontId="32" fillId="30" borderId="47" applyNumberFormat="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0" fontId="33" fillId="0" borderId="0" applyNumberFormat="0" applyFill="0" applyAlignment="0" applyProtection="0"/>
    <xf numFmtId="0" fontId="58" fillId="0" borderId="0" applyNumberFormat="0" applyFill="0" applyBorder="0" applyAlignment="0" applyProtection="0"/>
    <xf numFmtId="0" fontId="33" fillId="0" borderId="0" applyNumberFormat="0" applyFill="0" applyAlignment="0" applyProtection="0"/>
    <xf numFmtId="0" fontId="33" fillId="0" borderId="0" applyNumberFormat="0" applyFill="0" applyAlignment="0" applyProtection="0"/>
    <xf numFmtId="0" fontId="37" fillId="0" borderId="0" applyNumberFormat="0" applyFill="0" applyBorder="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5" fillId="0" borderId="0" applyNumberFormat="0" applyFill="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Alignment="0" applyProtection="0"/>
    <xf numFmtId="0" fontId="35" fillId="0" borderId="0" applyNumberFormat="0" applyFill="0" applyAlignment="0" applyProtection="0"/>
    <xf numFmtId="0" fontId="6"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14" fillId="0" borderId="0"/>
    <xf numFmtId="0" fontId="14" fillId="38" borderId="63" applyNumberFormat="0" applyFont="0" applyAlignment="0" applyProtection="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6" fillId="0" borderId="0"/>
    <xf numFmtId="0" fontId="6"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2" fillId="73" borderId="47" applyNumberFormat="0" applyAlignment="0" applyProtection="0"/>
    <xf numFmtId="0" fontId="6" fillId="0" borderId="0"/>
    <xf numFmtId="0" fontId="14" fillId="0" borderId="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1" fillId="65" borderId="40" applyNumberFormat="0" applyAlignment="0" applyProtection="0"/>
    <xf numFmtId="0" fontId="21" fillId="65"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65" borderId="47"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73" borderId="47" applyNumberFormat="0" applyAlignment="0" applyProtection="0"/>
    <xf numFmtId="0" fontId="21" fillId="65" borderId="40" applyNumberFormat="0" applyAlignment="0" applyProtection="0"/>
    <xf numFmtId="0" fontId="21" fillId="65"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65" borderId="47"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29" fillId="67" borderId="40" applyNumberFormat="0" applyAlignment="0" applyProtection="0"/>
    <xf numFmtId="0" fontId="6" fillId="33" borderId="46" applyNumberFormat="0" applyFont="0" applyAlignment="0" applyProtection="0"/>
    <xf numFmtId="0" fontId="29" fillId="17" borderId="40" applyNumberFormat="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21" fillId="73" borderId="40" applyNumberFormat="0" applyAlignment="0" applyProtection="0"/>
    <xf numFmtId="0" fontId="29" fillId="17" borderId="40" applyNumberFormat="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6" borderId="0"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60" borderId="0" applyNumberFormat="0" applyBorder="0" applyAlignment="0" applyProtection="0"/>
    <xf numFmtId="0" fontId="14" fillId="41" borderId="0" applyNumberFormat="0" applyBorder="0" applyAlignment="0" applyProtection="0"/>
    <xf numFmtId="0" fontId="29" fillId="67" borderId="40" applyNumberFormat="0" applyAlignment="0" applyProtection="0"/>
    <xf numFmtId="0" fontId="14" fillId="41" borderId="0"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1" fillId="73" borderId="40" applyNumberFormat="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32" fillId="65"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6" fillId="33" borderId="46" applyNumberFormat="0" applyFont="0" applyAlignment="0" applyProtection="0"/>
    <xf numFmtId="10" fontId="52" fillId="89" borderId="7" applyNumberFormat="0" applyBorder="0" applyAlignment="0" applyProtection="0"/>
    <xf numFmtId="0" fontId="29" fillId="67" borderId="40" applyNumberFormat="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6" fillId="69" borderId="46" applyNumberFormat="0" applyFon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9" fillId="17" borderId="40" applyNumberFormat="0" applyAlignment="0" applyProtection="0"/>
    <xf numFmtId="0" fontId="29" fillId="67"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6" fillId="33" borderId="46" applyNumberFormat="0" applyFont="0" applyAlignment="0" applyProtection="0"/>
    <xf numFmtId="0" fontId="6" fillId="69" borderId="46" applyNumberFormat="0" applyFont="0" applyAlignment="0" applyProtection="0"/>
    <xf numFmtId="0" fontId="21" fillId="73"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32" fillId="30" borderId="47" applyNumberFormat="0" applyAlignment="0" applyProtection="0"/>
    <xf numFmtId="0" fontId="29" fillId="17" borderId="40" applyNumberFormat="0" applyAlignment="0" applyProtection="0"/>
    <xf numFmtId="0" fontId="6" fillId="33"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0" fontId="32" fillId="73"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65"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1" fillId="73"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65"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6" fillId="33" borderId="46" applyNumberFormat="0" applyFont="0" applyAlignment="0" applyProtection="0"/>
    <xf numFmtId="10" fontId="52" fillId="89" borderId="7" applyNumberFormat="0" applyBorder="0" applyAlignment="0" applyProtection="0"/>
    <xf numFmtId="0" fontId="29" fillId="67" borderId="40" applyNumberFormat="0" applyAlignment="0" applyProtection="0"/>
    <xf numFmtId="0" fontId="34" fillId="0" borderId="48" applyNumberFormat="0" applyFill="0" applyAlignment="0" applyProtection="0"/>
    <xf numFmtId="0" fontId="32" fillId="73"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0" fontId="32" fillId="30" borderId="47"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32" fillId="65"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65"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6" fillId="33" borderId="46" applyNumberFormat="0" applyFon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32" fillId="30" borderId="47" applyNumberFormat="0" applyAlignment="0" applyProtection="0"/>
    <xf numFmtId="0" fontId="29" fillId="67" borderId="40" applyNumberFormat="0" applyAlignment="0" applyProtection="0"/>
    <xf numFmtId="0" fontId="21" fillId="65" borderId="40" applyNumberFormat="0" applyAlignment="0" applyProtection="0"/>
    <xf numFmtId="0" fontId="32" fillId="73" borderId="47" applyNumberFormat="0" applyAlignment="0" applyProtection="0"/>
    <xf numFmtId="0" fontId="29" fillId="67" borderId="40" applyNumberFormat="0" applyAlignment="0" applyProtection="0"/>
    <xf numFmtId="0" fontId="6" fillId="69" borderId="46" applyNumberFormat="0" applyFont="0" applyAlignment="0" applyProtection="0"/>
    <xf numFmtId="0" fontId="21" fillId="30" borderId="40" applyNumberFormat="0" applyAlignment="0" applyProtection="0"/>
    <xf numFmtId="0" fontId="32" fillId="30" borderId="47" applyNumberFormat="0" applyAlignment="0" applyProtection="0"/>
    <xf numFmtId="0" fontId="29" fillId="1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34" fillId="0" borderId="48" applyNumberFormat="0" applyFill="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1" fillId="30" borderId="40" applyNumberFormat="0" applyAlignment="0" applyProtection="0"/>
    <xf numFmtId="10" fontId="52" fillId="89" borderId="7" applyNumberFormat="0" applyBorder="0" applyAlignment="0" applyProtection="0"/>
    <xf numFmtId="0" fontId="32" fillId="73" borderId="47" applyNumberFormat="0" applyAlignment="0" applyProtection="0"/>
    <xf numFmtId="0" fontId="34" fillId="0" borderId="48" applyNumberFormat="0" applyFill="0" applyAlignment="0" applyProtection="0"/>
    <xf numFmtId="10" fontId="52" fillId="89" borderId="7" applyNumberFormat="0" applyBorder="0" applyAlignment="0" applyProtection="0"/>
    <xf numFmtId="0" fontId="29" fillId="67" borderId="40" applyNumberFormat="0" applyAlignment="0" applyProtection="0"/>
    <xf numFmtId="0" fontId="21" fillId="73"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1" fillId="73" borderId="40" applyNumberFormat="0" applyAlignment="0" applyProtection="0"/>
    <xf numFmtId="0" fontId="21" fillId="30"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14" fillId="0" borderId="0"/>
    <xf numFmtId="0" fontId="14" fillId="0" borderId="0"/>
    <xf numFmtId="0" fontId="14" fillId="0" borderId="0"/>
    <xf numFmtId="0" fontId="14" fillId="0" borderId="0"/>
    <xf numFmtId="0" fontId="21" fillId="73" borderId="40" applyNumberFormat="0" applyAlignment="0" applyProtection="0"/>
    <xf numFmtId="0" fontId="32" fillId="65" borderId="47"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32" fillId="65" borderId="47" applyNumberFormat="0" applyAlignment="0" applyProtection="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14" fillId="0" borderId="0"/>
    <xf numFmtId="0" fontId="14" fillId="0" borderId="0"/>
    <xf numFmtId="0" fontId="29" fillId="67" borderId="40" applyNumberFormat="0" applyAlignment="0" applyProtection="0"/>
    <xf numFmtId="0" fontId="14" fillId="0" borderId="0"/>
    <xf numFmtId="0" fontId="29" fillId="67" borderId="40" applyNumberFormat="0" applyAlignment="0" applyProtection="0"/>
    <xf numFmtId="0" fontId="6" fillId="69" borderId="46" applyNumberFormat="0" applyFont="0" applyAlignment="0" applyProtection="0"/>
    <xf numFmtId="0" fontId="6" fillId="69" borderId="46" applyNumberFormat="0" applyFont="0" applyAlignment="0" applyProtection="0"/>
    <xf numFmtId="0" fontId="32" fillId="65" borderId="47" applyNumberFormat="0" applyAlignment="0" applyProtection="0"/>
    <xf numFmtId="0" fontId="14" fillId="0" borderId="0"/>
    <xf numFmtId="0" fontId="14" fillId="0" borderId="0"/>
    <xf numFmtId="0" fontId="14" fillId="0" borderId="0"/>
    <xf numFmtId="0" fontId="32" fillId="73" borderId="47" applyNumberFormat="0" applyAlignment="0" applyProtection="0"/>
    <xf numFmtId="0" fontId="14" fillId="0" borderId="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29" fillId="67" borderId="40" applyNumberFormat="0" applyAlignment="0" applyProtection="0"/>
    <xf numFmtId="0" fontId="14" fillId="0" borderId="0"/>
    <xf numFmtId="0" fontId="29" fillId="67" borderId="40" applyNumberFormat="0" applyAlignment="0" applyProtection="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30"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0" borderId="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0" borderId="0"/>
    <xf numFmtId="0" fontId="29" fillId="67" borderId="40" applyNumberFormat="0" applyAlignment="0" applyProtection="0"/>
    <xf numFmtId="0" fontId="14" fillId="0" borderId="0"/>
    <xf numFmtId="0" fontId="14" fillId="0" borderId="0"/>
    <xf numFmtId="10" fontId="52" fillId="89" borderId="7" applyNumberFormat="0" applyBorder="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14" fillId="0" borderId="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17" borderId="40" applyNumberFormat="0" applyAlignment="0" applyProtection="0"/>
    <xf numFmtId="0" fontId="14" fillId="0" borderId="0"/>
    <xf numFmtId="0" fontId="32" fillId="73" borderId="47"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1" fillId="30"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30" borderId="40" applyNumberFormat="0" applyAlignment="0" applyProtection="0"/>
    <xf numFmtId="0" fontId="29" fillId="1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10" fontId="52" fillId="89" borderId="7" applyNumberFormat="0" applyBorder="0" applyAlignment="0" applyProtection="0"/>
    <xf numFmtId="0" fontId="21" fillId="73"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73"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33" borderId="46" applyNumberFormat="0" applyFon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14" fillId="0" borderId="0"/>
    <xf numFmtId="0" fontId="14" fillId="0" borderId="0"/>
    <xf numFmtId="0" fontId="14" fillId="0" borderId="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1" fillId="30" borderId="40" applyNumberFormat="0" applyAlignment="0" applyProtection="0"/>
    <xf numFmtId="0" fontId="6" fillId="69" borderId="46" applyNumberFormat="0" applyFont="0" applyAlignment="0" applyProtection="0"/>
    <xf numFmtId="0" fontId="14" fillId="0" borderId="0"/>
    <xf numFmtId="10" fontId="52" fillId="89" borderId="7" applyNumberFormat="0" applyBorder="0" applyAlignment="0" applyProtection="0"/>
    <xf numFmtId="0" fontId="21" fillId="73"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0" borderId="0"/>
    <xf numFmtId="0" fontId="32" fillId="65"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14" fillId="0" borderId="0"/>
    <xf numFmtId="0" fontId="29" fillId="1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14" fillId="0" borderId="0"/>
    <xf numFmtId="0" fontId="21" fillId="65" borderId="40" applyNumberFormat="0" applyAlignment="0" applyProtection="0"/>
    <xf numFmtId="0" fontId="21" fillId="30" borderId="40" applyNumberFormat="0" applyAlignment="0" applyProtection="0"/>
    <xf numFmtId="0" fontId="29" fillId="67" borderId="40" applyNumberFormat="0" applyAlignment="0" applyProtection="0"/>
    <xf numFmtId="0" fontId="14" fillId="0" borderId="0"/>
    <xf numFmtId="0" fontId="14" fillId="0" borderId="0"/>
    <xf numFmtId="0" fontId="29" fillId="67" borderId="40" applyNumberFormat="0" applyAlignment="0" applyProtection="0"/>
    <xf numFmtId="0" fontId="14" fillId="0" borderId="0"/>
    <xf numFmtId="0" fontId="29" fillId="67" borderId="40" applyNumberFormat="0" applyAlignment="0" applyProtection="0"/>
    <xf numFmtId="0" fontId="14" fillId="0" borderId="0"/>
    <xf numFmtId="0" fontId="29" fillId="67" borderId="40" applyNumberFormat="0" applyAlignment="0" applyProtection="0"/>
    <xf numFmtId="0" fontId="14" fillId="0" borderId="0"/>
    <xf numFmtId="0" fontId="34" fillId="0" borderId="48" applyNumberFormat="0" applyFill="0" applyAlignment="0" applyProtection="0"/>
    <xf numFmtId="0" fontId="14" fillId="0" borderId="0"/>
    <xf numFmtId="0" fontId="14" fillId="0" borderId="0"/>
    <xf numFmtId="0" fontId="29" fillId="67" borderId="40" applyNumberFormat="0" applyAlignment="0" applyProtection="0"/>
    <xf numFmtId="0" fontId="14" fillId="0" borderId="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21" fillId="65"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34" fillId="0" borderId="48" applyNumberFormat="0" applyFill="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34" fillId="0" borderId="48" applyNumberFormat="0" applyFill="0" applyAlignment="0" applyProtection="0"/>
    <xf numFmtId="0" fontId="21" fillId="65"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0" borderId="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29" fillId="67" borderId="40" applyNumberFormat="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29" fillId="67" borderId="40" applyNumberFormat="0" applyAlignment="0" applyProtection="0"/>
    <xf numFmtId="0" fontId="29" fillId="67" borderId="40" applyNumberFormat="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29" fillId="17" borderId="40" applyNumberFormat="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29" fillId="67" borderId="40" applyNumberFormat="0" applyAlignment="0" applyProtection="0"/>
    <xf numFmtId="0" fontId="21" fillId="73" borderId="40" applyNumberFormat="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56" borderId="0" applyNumberFormat="0" applyBorder="0" applyAlignment="0" applyProtection="0"/>
    <xf numFmtId="0" fontId="14" fillId="56" borderId="0"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14" fillId="60" borderId="0" applyNumberFormat="0" applyBorder="0" applyAlignment="0" applyProtection="0"/>
    <xf numFmtId="0" fontId="14" fillId="60" borderId="0" applyNumberFormat="0" applyBorder="0" applyAlignment="0" applyProtection="0"/>
    <xf numFmtId="0" fontId="29" fillId="67" borderId="40" applyNumberFormat="0" applyAlignment="0" applyProtection="0"/>
    <xf numFmtId="0" fontId="14" fillId="41" borderId="0" applyNumberFormat="0" applyBorder="0" applyAlignment="0" applyProtection="0"/>
    <xf numFmtId="0" fontId="14" fillId="41" borderId="0"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10" fontId="52" fillId="89" borderId="7" applyNumberFormat="0" applyBorder="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32" fillId="73" borderId="47" applyNumberFormat="0" applyAlignment="0" applyProtection="0"/>
    <xf numFmtId="0" fontId="21" fillId="65" borderId="40" applyNumberFormat="0" applyAlignment="0" applyProtection="0"/>
    <xf numFmtId="0" fontId="29" fillId="67" borderId="40" applyNumberFormat="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29" fillId="67" borderId="40" applyNumberFormat="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29" fillId="17" borderId="40" applyNumberFormat="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1" fillId="65" borderId="40" applyNumberFormat="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9" fillId="17" borderId="40" applyNumberFormat="0" applyAlignment="0" applyProtection="0"/>
    <xf numFmtId="0" fontId="29" fillId="17" borderId="40" applyNumberFormat="0" applyAlignment="0" applyProtection="0"/>
    <xf numFmtId="0" fontId="21" fillId="65"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1" fillId="73"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32" fillId="65" borderId="47" applyNumberFormat="0" applyAlignment="0" applyProtection="0"/>
    <xf numFmtId="0" fontId="6" fillId="69" borderId="46" applyNumberFormat="0" applyFont="0" applyAlignment="0" applyProtection="0"/>
    <xf numFmtId="0" fontId="34" fillId="0" borderId="48" applyNumberFormat="0" applyFill="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1" fillId="30"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0" fontId="32" fillId="73"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6" fillId="69" borderId="46" applyNumberFormat="0" applyFont="0" applyAlignment="0" applyProtection="0"/>
    <xf numFmtId="0" fontId="32" fillId="65" borderId="47" applyNumberFormat="0" applyAlignment="0" applyProtection="0"/>
    <xf numFmtId="0" fontId="6" fillId="33" borderId="46" applyNumberFormat="0" applyFont="0" applyAlignment="0" applyProtection="0"/>
    <xf numFmtId="0" fontId="6" fillId="69" borderId="46" applyNumberFormat="0" applyFon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34" fillId="0" borderId="48" applyNumberFormat="0" applyFill="0" applyAlignment="0" applyProtection="0"/>
    <xf numFmtId="10" fontId="52" fillId="89" borderId="7" applyNumberFormat="0" applyBorder="0" applyAlignment="0" applyProtection="0"/>
    <xf numFmtId="0" fontId="29" fillId="67" borderId="40" applyNumberFormat="0" applyAlignment="0" applyProtection="0"/>
    <xf numFmtId="0" fontId="32" fillId="30" borderId="47"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0" fontId="34" fillId="0" borderId="48" applyNumberFormat="0" applyFill="0" applyAlignment="0" applyProtection="0"/>
    <xf numFmtId="0" fontId="21" fillId="30"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30" borderId="47" applyNumberFormat="0" applyAlignment="0" applyProtection="0"/>
    <xf numFmtId="0" fontId="34" fillId="0" borderId="48" applyNumberFormat="0" applyFill="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1" fillId="65" borderId="40" applyNumberFormat="0" applyAlignment="0" applyProtection="0"/>
    <xf numFmtId="0" fontId="14" fillId="0" borderId="0"/>
    <xf numFmtId="0" fontId="14" fillId="0" borderId="0"/>
    <xf numFmtId="0" fontId="14" fillId="0" borderId="0"/>
    <xf numFmtId="0" fontId="14" fillId="0" borderId="0"/>
    <xf numFmtId="0" fontId="29" fillId="67" borderId="40" applyNumberFormat="0" applyAlignment="0" applyProtection="0"/>
    <xf numFmtId="0" fontId="6" fillId="69" borderId="46" applyNumberFormat="0" applyFont="0" applyAlignment="0" applyProtection="0"/>
    <xf numFmtId="0" fontId="34" fillId="0" borderId="48" applyNumberFormat="0" applyFill="0" applyAlignment="0" applyProtection="0"/>
    <xf numFmtId="0" fontId="29" fillId="67" borderId="40" applyNumberFormat="0" applyAlignment="0" applyProtection="0"/>
    <xf numFmtId="10" fontId="52" fillId="89" borderId="7"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10" fontId="52" fillId="89" borderId="7" applyNumberFormat="0" applyBorder="0" applyAlignment="0" applyProtection="0"/>
    <xf numFmtId="0" fontId="14" fillId="0" borderId="0"/>
    <xf numFmtId="0" fontId="29" fillId="67" borderId="40" applyNumberFormat="0" applyAlignment="0" applyProtection="0"/>
    <xf numFmtId="0" fontId="29" fillId="67" borderId="40" applyNumberFormat="0" applyAlignment="0" applyProtection="0"/>
    <xf numFmtId="0" fontId="14" fillId="0" borderId="0"/>
    <xf numFmtId="0" fontId="6" fillId="69" borderId="46" applyNumberFormat="0" applyFont="0" applyAlignment="0" applyProtection="0"/>
    <xf numFmtId="0" fontId="6" fillId="33" borderId="46" applyNumberFormat="0" applyFont="0" applyAlignment="0" applyProtection="0"/>
    <xf numFmtId="0" fontId="32" fillId="65" borderId="47"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0" borderId="0"/>
    <xf numFmtId="0" fontId="29" fillId="67" borderId="40" applyNumberFormat="0" applyAlignment="0" applyProtection="0"/>
    <xf numFmtId="0" fontId="14" fillId="0" borderId="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30"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14" fillId="0" borderId="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14" fillId="0" borderId="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34" fillId="0" borderId="48" applyNumberFormat="0" applyFill="0" applyAlignment="0" applyProtection="0"/>
    <xf numFmtId="0" fontId="29" fillId="17" borderId="40" applyNumberFormat="0" applyAlignment="0" applyProtection="0"/>
    <xf numFmtId="0" fontId="32" fillId="73" borderId="47"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14" fillId="0" borderId="0"/>
    <xf numFmtId="0" fontId="6" fillId="33" borderId="46" applyNumberFormat="0" applyFont="0" applyAlignment="0" applyProtection="0"/>
    <xf numFmtId="0" fontId="29" fillId="67" borderId="40" applyNumberFormat="0" applyAlignment="0" applyProtection="0"/>
    <xf numFmtId="0" fontId="21" fillId="30"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14" fillId="0" borderId="0"/>
    <xf numFmtId="10" fontId="52" fillId="89" borderId="7" applyNumberFormat="0" applyBorder="0" applyAlignment="0" applyProtection="0"/>
    <xf numFmtId="0" fontId="32" fillId="30" borderId="47"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2" fillId="65" borderId="47" applyNumberFormat="0" applyAlignment="0" applyProtection="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29" fillId="17" borderId="40" applyNumberFormat="0" applyAlignment="0" applyProtection="0"/>
    <xf numFmtId="0" fontId="14" fillId="0" borderId="0"/>
    <xf numFmtId="0" fontId="29" fillId="17" borderId="40" applyNumberFormat="0" applyAlignment="0" applyProtection="0"/>
    <xf numFmtId="0" fontId="14" fillId="0" borderId="0"/>
    <xf numFmtId="0" fontId="14" fillId="0" borderId="0"/>
    <xf numFmtId="0" fontId="14" fillId="0" borderId="0"/>
    <xf numFmtId="0" fontId="14" fillId="0" borderId="0"/>
    <xf numFmtId="0" fontId="32" fillId="30" borderId="47"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2" fillId="30" borderId="47"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73"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14" fillId="0" borderId="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14" fillId="0" borderId="0"/>
    <xf numFmtId="0" fontId="14" fillId="0" borderId="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14" fillId="0" borderId="0"/>
    <xf numFmtId="0" fontId="14" fillId="0" borderId="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2" fillId="73" borderId="47" applyNumberFormat="0" applyAlignment="0" applyProtection="0"/>
    <xf numFmtId="0" fontId="29" fillId="67" borderId="40" applyNumberFormat="0" applyAlignment="0" applyProtection="0"/>
    <xf numFmtId="0" fontId="6" fillId="69" borderId="46" applyNumberFormat="0" applyFon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73" borderId="40"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6" fillId="33" borderId="46" applyNumberFormat="0" applyFont="0" applyAlignment="0" applyProtection="0"/>
    <xf numFmtId="0" fontId="32" fillId="65" borderId="47" applyNumberFormat="0" applyAlignment="0" applyProtection="0"/>
    <xf numFmtId="0" fontId="21" fillId="30"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1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14" fillId="41" borderId="0" applyNumberFormat="0" applyBorder="0" applyAlignment="0" applyProtection="0"/>
    <xf numFmtId="0" fontId="14" fillId="44" borderId="0" applyNumberFormat="0" applyBorder="0" applyAlignment="0" applyProtection="0"/>
    <xf numFmtId="0" fontId="14" fillId="45" borderId="0" applyNumberFormat="0" applyBorder="0" applyAlignment="0" applyProtection="0"/>
    <xf numFmtId="0" fontId="14" fillId="48" borderId="0" applyNumberFormat="0" applyBorder="0" applyAlignment="0" applyProtection="0"/>
    <xf numFmtId="0" fontId="14" fillId="49" borderId="0" applyNumberFormat="0" applyBorder="0" applyAlignment="0" applyProtection="0"/>
    <xf numFmtId="0" fontId="14" fillId="52" borderId="0" applyNumberFormat="0" applyBorder="0" applyAlignment="0" applyProtection="0"/>
    <xf numFmtId="0" fontId="14" fillId="53" borderId="0" applyNumberFormat="0" applyBorder="0" applyAlignment="0" applyProtection="0"/>
    <xf numFmtId="0" fontId="21" fillId="30" borderId="40" applyNumberFormat="0" applyAlignment="0" applyProtection="0"/>
    <xf numFmtId="0" fontId="32" fillId="73" borderId="47" applyNumberFormat="0" applyAlignment="0" applyProtection="0"/>
    <xf numFmtId="0" fontId="14" fillId="61" borderId="0" applyNumberFormat="0" applyBorder="0" applyAlignment="0" applyProtection="0"/>
    <xf numFmtId="0" fontId="6" fillId="69" borderId="46" applyNumberFormat="0" applyFont="0" applyAlignment="0" applyProtection="0"/>
    <xf numFmtId="0" fontId="14" fillId="0" borderId="0"/>
    <xf numFmtId="0" fontId="14" fillId="38" borderId="63" applyNumberFormat="0" applyFont="0" applyAlignment="0" applyProtection="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2" fillId="73" borderId="47" applyNumberFormat="0" applyAlignment="0" applyProtection="0"/>
    <xf numFmtId="0" fontId="14" fillId="0" borderId="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1" fillId="65" borderId="40" applyNumberFormat="0" applyAlignment="0" applyProtection="0"/>
    <xf numFmtId="0" fontId="21" fillId="65"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65" borderId="47"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73" borderId="47" applyNumberFormat="0" applyAlignment="0" applyProtection="0"/>
    <xf numFmtId="0" fontId="21" fillId="65" borderId="40" applyNumberFormat="0" applyAlignment="0" applyProtection="0"/>
    <xf numFmtId="0" fontId="21" fillId="65"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65" borderId="47"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14" fillId="0" borderId="0"/>
    <xf numFmtId="0" fontId="14" fillId="38" borderId="63" applyNumberFormat="0" applyFont="0" applyAlignment="0" applyProtection="0"/>
    <xf numFmtId="0" fontId="14" fillId="41" borderId="0" applyNumberFormat="0" applyBorder="0" applyAlignment="0" applyProtection="0"/>
    <xf numFmtId="0" fontId="14" fillId="44" borderId="0" applyNumberFormat="0" applyBorder="0" applyAlignment="0" applyProtection="0"/>
    <xf numFmtId="0" fontId="14" fillId="45" borderId="0" applyNumberFormat="0" applyBorder="0" applyAlignment="0" applyProtection="0"/>
    <xf numFmtId="0" fontId="14" fillId="48" borderId="0" applyNumberFormat="0" applyBorder="0" applyAlignment="0" applyProtection="0"/>
    <xf numFmtId="0" fontId="14" fillId="49" borderId="0" applyNumberFormat="0" applyBorder="0" applyAlignment="0" applyProtection="0"/>
    <xf numFmtId="0" fontId="14" fillId="52" borderId="0" applyNumberFormat="0" applyBorder="0" applyAlignment="0" applyProtection="0"/>
    <xf numFmtId="0" fontId="14" fillId="53" borderId="0" applyNumberFormat="0" applyBorder="0" applyAlignment="0" applyProtection="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1" borderId="0"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32" fillId="73" borderId="47"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30" borderId="47"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65" borderId="40" applyNumberFormat="0" applyAlignment="0" applyProtection="0"/>
    <xf numFmtId="0" fontId="32" fillId="73" borderId="47" applyNumberFormat="0" applyAlignment="0" applyProtection="0"/>
    <xf numFmtId="0" fontId="21" fillId="65" borderId="40" applyNumberFormat="0" applyAlignment="0" applyProtection="0"/>
    <xf numFmtId="0" fontId="32" fillId="73" borderId="47" applyNumberFormat="0" applyAlignment="0" applyProtection="0"/>
    <xf numFmtId="0" fontId="32" fillId="65" borderId="47"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32" fillId="30" borderId="47" applyNumberFormat="0" applyAlignment="0" applyProtection="0"/>
    <xf numFmtId="0" fontId="21" fillId="65"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1" fillId="65"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1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17" borderId="40" applyNumberFormat="0" applyAlignment="0" applyProtection="0"/>
    <xf numFmtId="0" fontId="29" fillId="67" borderId="40" applyNumberFormat="0" applyAlignment="0" applyProtection="0"/>
    <xf numFmtId="0" fontId="21" fillId="65"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29" fillId="17"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1" fillId="65" borderId="40" applyNumberFormat="0" applyAlignment="0" applyProtection="0"/>
    <xf numFmtId="0" fontId="21" fillId="30" borderId="40" applyNumberFormat="0" applyAlignment="0" applyProtection="0"/>
    <xf numFmtId="0" fontId="6" fillId="69"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65" borderId="40" applyNumberFormat="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0" fontId="21" fillId="65" borderId="40" applyNumberFormat="0" applyAlignment="0" applyProtection="0"/>
    <xf numFmtId="0" fontId="29" fillId="67" borderId="40" applyNumberFormat="0" applyAlignment="0" applyProtection="0"/>
    <xf numFmtId="0" fontId="21" fillId="73"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2" fillId="73" borderId="47" applyNumberFormat="0" applyAlignment="0" applyProtection="0"/>
    <xf numFmtId="0" fontId="32" fillId="65"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73"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34" fillId="0" borderId="48" applyNumberFormat="0" applyFill="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32" fillId="30"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32" fillId="65" borderId="47"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6" fillId="33" borderId="46" applyNumberFormat="0" applyFont="0" applyAlignment="0" applyProtection="0"/>
    <xf numFmtId="0" fontId="32" fillId="65" borderId="47"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65" borderId="40" applyNumberFormat="0" applyAlignment="0" applyProtection="0"/>
    <xf numFmtId="0" fontId="32" fillId="73" borderId="47" applyNumberFormat="0" applyAlignment="0" applyProtection="0"/>
    <xf numFmtId="0" fontId="6" fillId="33" borderId="46" applyNumberFormat="0" applyFont="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6" fillId="69" borderId="46" applyNumberFormat="0" applyFont="0" applyAlignment="0" applyProtection="0"/>
    <xf numFmtId="0" fontId="29" fillId="1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6" fillId="33" borderId="46" applyNumberFormat="0" applyFon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6" fillId="33" borderId="46" applyNumberFormat="0" applyFont="0" applyAlignment="0" applyProtection="0"/>
    <xf numFmtId="0" fontId="34" fillId="0" borderId="48" applyNumberFormat="0" applyFill="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32" fillId="73" borderId="47"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65" borderId="40" applyNumberFormat="0" applyAlignment="0" applyProtection="0"/>
    <xf numFmtId="0" fontId="21" fillId="65"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32" fillId="30" borderId="47" applyNumberFormat="0" applyAlignment="0" applyProtection="0"/>
    <xf numFmtId="0" fontId="29" fillId="67" borderId="40" applyNumberFormat="0" applyAlignment="0" applyProtection="0"/>
    <xf numFmtId="0" fontId="32" fillId="65" borderId="47"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32" fillId="65" borderId="47" applyNumberFormat="0" applyAlignment="0" applyProtection="0"/>
    <xf numFmtId="0" fontId="29" fillId="17" borderId="40" applyNumberFormat="0" applyAlignment="0" applyProtection="0"/>
    <xf numFmtId="10" fontId="52" fillId="89" borderId="7" applyNumberFormat="0" applyBorder="0" applyAlignment="0" applyProtection="0"/>
    <xf numFmtId="0" fontId="21" fillId="65"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30" borderId="47"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10" fontId="52" fillId="89" borderId="7" applyNumberFormat="0" applyBorder="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17" borderId="40"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65" borderId="47" applyNumberFormat="0" applyAlignment="0" applyProtection="0"/>
    <xf numFmtId="0" fontId="34" fillId="0" borderId="48" applyNumberFormat="0" applyFill="0" applyAlignment="0" applyProtection="0"/>
    <xf numFmtId="0" fontId="32" fillId="73" borderId="47" applyNumberFormat="0" applyAlignment="0" applyProtection="0"/>
    <xf numFmtId="0" fontId="32" fillId="73" borderId="47" applyNumberFormat="0" applyAlignment="0" applyProtection="0"/>
    <xf numFmtId="0" fontId="32" fillId="65" borderId="47" applyNumberFormat="0" applyAlignment="0" applyProtection="0"/>
    <xf numFmtId="0" fontId="32" fillId="73" borderId="47" applyNumberFormat="0" applyAlignment="0" applyProtection="0"/>
    <xf numFmtId="0" fontId="6" fillId="69" borderId="46" applyNumberFormat="0" applyFont="0" applyAlignment="0" applyProtection="0"/>
    <xf numFmtId="0" fontId="32" fillId="73" borderId="47"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0" fontId="32" fillId="30" borderId="47" applyNumberFormat="0" applyAlignment="0" applyProtection="0"/>
    <xf numFmtId="0" fontId="6" fillId="69" borderId="46" applyNumberFormat="0" applyFont="0" applyAlignment="0" applyProtection="0"/>
    <xf numFmtId="0" fontId="32" fillId="73"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30" borderId="47" applyNumberFormat="0" applyAlignment="0" applyProtection="0"/>
    <xf numFmtId="0" fontId="32" fillId="30" borderId="47" applyNumberFormat="0" applyAlignment="0" applyProtection="0"/>
    <xf numFmtId="0" fontId="29" fillId="17" borderId="40" applyNumberFormat="0" applyAlignment="0" applyProtection="0"/>
    <xf numFmtId="0" fontId="32" fillId="73" borderId="47" applyNumberFormat="0" applyAlignment="0" applyProtection="0"/>
    <xf numFmtId="0" fontId="34" fillId="0" borderId="48" applyNumberFormat="0" applyFill="0" applyAlignment="0" applyProtection="0"/>
    <xf numFmtId="0" fontId="32" fillId="30"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1" fillId="73" borderId="40" applyNumberFormat="0" applyAlignment="0" applyProtection="0"/>
    <xf numFmtId="0" fontId="21" fillId="65"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29" fillId="67" borderId="40" applyNumberFormat="0" applyAlignment="0" applyProtection="0"/>
    <xf numFmtId="0" fontId="32" fillId="30"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65"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1" fillId="73" borderId="40" applyNumberFormat="0" applyAlignment="0" applyProtection="0"/>
    <xf numFmtId="0" fontId="32" fillId="73"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6" fillId="69"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6" fillId="69"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32" fillId="73" borderId="47" applyNumberFormat="0" applyAlignment="0" applyProtection="0"/>
    <xf numFmtId="0" fontId="32" fillId="30" borderId="47" applyNumberFormat="0" applyAlignment="0" applyProtection="0"/>
    <xf numFmtId="0" fontId="32" fillId="65" borderId="47" applyNumberFormat="0" applyAlignment="0" applyProtection="0"/>
    <xf numFmtId="0" fontId="6" fillId="33" borderId="46" applyNumberFormat="0" applyFont="0" applyAlignment="0" applyProtection="0"/>
    <xf numFmtId="10" fontId="52" fillId="89" borderId="7" applyNumberFormat="0" applyBorder="0" applyAlignment="0" applyProtection="0"/>
    <xf numFmtId="0" fontId="29" fillId="17" borderId="40"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33" borderId="46" applyNumberFormat="0" applyFont="0" applyAlignment="0" applyProtection="0"/>
    <xf numFmtId="10" fontId="52" fillId="89" borderId="7" applyNumberFormat="0" applyBorder="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1" fillId="30"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65" borderId="47"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0" fontId="32" fillId="73" borderId="47" applyNumberFormat="0" applyAlignment="0" applyProtection="0"/>
    <xf numFmtId="0" fontId="32" fillId="65" borderId="47" applyNumberForma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29" fillId="1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32" fillId="73"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65" borderId="47" applyNumberFormat="0" applyAlignment="0" applyProtection="0"/>
    <xf numFmtId="0" fontId="29" fillId="67" borderId="40" applyNumberFormat="0" applyAlignment="0" applyProtection="0"/>
    <xf numFmtId="0" fontId="21" fillId="65" borderId="40" applyNumberFormat="0" applyAlignment="0" applyProtection="0"/>
    <xf numFmtId="0" fontId="6" fillId="69" borderId="46" applyNumberFormat="0" applyFont="0" applyAlignment="0" applyProtection="0"/>
    <xf numFmtId="0" fontId="32" fillId="30" borderId="47"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73"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1" fillId="30" borderId="40" applyNumberFormat="0" applyAlignment="0" applyProtection="0"/>
    <xf numFmtId="0" fontId="32" fillId="65" borderId="47"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32" fillId="30" borderId="47"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6" fillId="69"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1" fillId="30"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65"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1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21" fillId="65"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2" fillId="30" borderId="47" applyNumberFormat="0" applyAlignment="0" applyProtection="0"/>
    <xf numFmtId="0" fontId="32" fillId="73" borderId="47" applyNumberFormat="0" applyAlignment="0" applyProtection="0"/>
    <xf numFmtId="0" fontId="6" fillId="69" borderId="46" applyNumberFormat="0" applyFon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73"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32" fillId="30"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9" fillId="67" borderId="40" applyNumberFormat="0" applyAlignment="0" applyProtection="0"/>
    <xf numFmtId="0" fontId="34" fillId="0" borderId="48" applyNumberFormat="0" applyFill="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69" borderId="46" applyNumberFormat="0" applyFont="0" applyAlignment="0" applyProtection="0"/>
    <xf numFmtId="0" fontId="34" fillId="0" borderId="48" applyNumberFormat="0" applyFill="0" applyAlignment="0" applyProtection="0"/>
    <xf numFmtId="0" fontId="29" fillId="17" borderId="40" applyNumberFormat="0" applyAlignment="0" applyProtection="0"/>
    <xf numFmtId="10" fontId="52" fillId="89" borderId="7" applyNumberFormat="0" applyBorder="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32" fillId="65"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2" fillId="73" borderId="47" applyNumberFormat="0" applyAlignment="0" applyProtection="0"/>
    <xf numFmtId="0" fontId="32" fillId="65" borderId="47" applyNumberFormat="0" applyAlignment="0" applyProtection="0"/>
    <xf numFmtId="0" fontId="32" fillId="65"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9" fillId="67" borderId="40" applyNumberFormat="0" applyAlignment="0" applyProtection="0"/>
    <xf numFmtId="0" fontId="21" fillId="73" borderId="40" applyNumberFormat="0" applyAlignment="0" applyProtection="0"/>
    <xf numFmtId="0" fontId="21" fillId="73"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65" borderId="47" applyNumberFormat="0" applyAlignment="0" applyProtection="0"/>
    <xf numFmtId="0" fontId="21" fillId="73" borderId="40"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33" borderId="46" applyNumberFormat="0" applyFon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32" fillId="73" borderId="47"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73" borderId="47" applyNumberFormat="0" applyAlignment="0" applyProtection="0"/>
    <xf numFmtId="0" fontId="6" fillId="69" borderId="46" applyNumberFormat="0" applyFont="0" applyAlignment="0" applyProtection="0"/>
    <xf numFmtId="0" fontId="32" fillId="65"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73" borderId="40" applyNumberFormat="0" applyAlignment="0" applyProtection="0"/>
    <xf numFmtId="0" fontId="21" fillId="65" borderId="40" applyNumberFormat="0" applyAlignment="0" applyProtection="0"/>
    <xf numFmtId="0" fontId="32" fillId="73" borderId="47"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6" fillId="33" borderId="46" applyNumberFormat="0" applyFont="0" applyAlignment="0" applyProtection="0"/>
    <xf numFmtId="0" fontId="29" fillId="1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6" fillId="69" borderId="46" applyNumberFormat="0" applyFont="0" applyAlignment="0" applyProtection="0"/>
    <xf numFmtId="10" fontId="52" fillId="89" borderId="7" applyNumberFormat="0" applyBorder="0" applyAlignment="0" applyProtection="0"/>
    <xf numFmtId="10" fontId="52" fillId="89" borderId="7" applyNumberFormat="0" applyBorder="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29" fillId="17" borderId="40" applyNumberFormat="0" applyAlignment="0" applyProtection="0"/>
    <xf numFmtId="0" fontId="6" fillId="69" borderId="46" applyNumberFormat="0" applyFon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32" fillId="65"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6" fillId="69" borderId="46" applyNumberFormat="0" applyFont="0" applyAlignment="0" applyProtection="0"/>
    <xf numFmtId="0" fontId="32" fillId="30" borderId="47"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32" fillId="65" borderId="47" applyNumberFormat="0" applyAlignment="0" applyProtection="0"/>
    <xf numFmtId="0" fontId="32" fillId="73" borderId="47" applyNumberFormat="0" applyAlignment="0" applyProtection="0"/>
    <xf numFmtId="0" fontId="32" fillId="65" borderId="47" applyNumberFormat="0" applyAlignment="0" applyProtection="0"/>
    <xf numFmtId="0" fontId="32" fillId="65" borderId="47"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29" fillId="67" borderId="40" applyNumberFormat="0" applyAlignment="0" applyProtection="0"/>
    <xf numFmtId="0" fontId="32" fillId="30"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32" fillId="65" borderId="47" applyNumberFormat="0" applyAlignment="0" applyProtection="0"/>
    <xf numFmtId="0" fontId="29" fillId="17" borderId="40" applyNumberFormat="0" applyAlignment="0" applyProtection="0"/>
    <xf numFmtId="10" fontId="52" fillId="89" borderId="7" applyNumberFormat="0" applyBorder="0" applyAlignment="0" applyProtection="0"/>
    <xf numFmtId="0" fontId="21" fillId="65"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0" fontId="21" fillId="30"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32" fillId="73"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32" fillId="30" borderId="47" applyNumberFormat="0" applyAlignment="0" applyProtection="0"/>
    <xf numFmtId="10" fontId="52" fillId="89" borderId="7" applyNumberFormat="0" applyBorder="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21" fillId="73"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9" fillId="17" borderId="40" applyNumberFormat="0" applyAlignment="0" applyProtection="0"/>
    <xf numFmtId="0" fontId="34" fillId="0" borderId="48" applyNumberFormat="0" applyFill="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6" fillId="33" borderId="46" applyNumberFormat="0" applyFont="0" applyAlignment="0" applyProtection="0"/>
    <xf numFmtId="0" fontId="32" fillId="65" borderId="47" applyNumberFormat="0" applyAlignment="0" applyProtection="0"/>
    <xf numFmtId="0" fontId="29" fillId="67" borderId="40" applyNumberFormat="0" applyAlignment="0" applyProtection="0"/>
    <xf numFmtId="0" fontId="21" fillId="30" borderId="40" applyNumberFormat="0" applyAlignment="0" applyProtection="0"/>
    <xf numFmtId="0" fontId="29" fillId="17" borderId="40" applyNumberFormat="0" applyAlignment="0" applyProtection="0"/>
    <xf numFmtId="0" fontId="21" fillId="65"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4" fillId="0" borderId="48" applyNumberFormat="0" applyFill="0" applyAlignment="0" applyProtection="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32" fillId="30" borderId="47" applyNumberFormat="0" applyAlignment="0" applyProtection="0"/>
    <xf numFmtId="0" fontId="29" fillId="67" borderId="40" applyNumberFormat="0" applyAlignment="0" applyProtection="0"/>
    <xf numFmtId="0" fontId="32" fillId="65"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1" fillId="30" borderId="40" applyNumberFormat="0" applyAlignment="0" applyProtection="0"/>
    <xf numFmtId="0" fontId="32" fillId="30" borderId="47" applyNumberFormat="0" applyAlignment="0" applyProtection="0"/>
    <xf numFmtId="0" fontId="32" fillId="73"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17" borderId="40" applyNumberFormat="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34" fillId="0" borderId="48" applyNumberFormat="0" applyFill="0" applyAlignment="0" applyProtection="0"/>
    <xf numFmtId="0" fontId="29" fillId="1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32" fillId="65" borderId="47"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32" fillId="65" borderId="47" applyNumberFormat="0" applyAlignment="0" applyProtection="0"/>
    <xf numFmtId="10" fontId="52" fillId="89" borderId="7" applyNumberFormat="0" applyBorder="0" applyAlignment="0" applyProtection="0"/>
    <xf numFmtId="0" fontId="6" fillId="69" borderId="46" applyNumberFormat="0" applyFont="0" applyAlignment="0" applyProtection="0"/>
    <xf numFmtId="10" fontId="52" fillId="89" borderId="7" applyNumberFormat="0" applyBorder="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21" fillId="65"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65" borderId="40" applyNumberFormat="0" applyAlignment="0" applyProtection="0"/>
    <xf numFmtId="0" fontId="6" fillId="69" borderId="46" applyNumberFormat="0" applyFon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1" fillId="73" borderId="40" applyNumberFormat="0" applyAlignment="0" applyProtection="0"/>
    <xf numFmtId="0" fontId="6" fillId="69" borderId="46" applyNumberFormat="0" applyFont="0" applyAlignment="0" applyProtection="0"/>
    <xf numFmtId="0" fontId="21" fillId="30" borderId="40" applyNumberFormat="0" applyAlignment="0" applyProtection="0"/>
    <xf numFmtId="0" fontId="32" fillId="65" borderId="47"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30" borderId="47"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32" fillId="65"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29" fillId="17" borderId="40" applyNumberFormat="0" applyAlignment="0" applyProtection="0"/>
    <xf numFmtId="0" fontId="21" fillId="65" borderId="40"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6" fillId="69" borderId="46" applyNumberFormat="0" applyFon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32" fillId="65" borderId="47"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6" fillId="69" borderId="46" applyNumberFormat="0" applyFont="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6" fillId="33" borderId="46" applyNumberFormat="0" applyFont="0" applyAlignment="0" applyProtection="0"/>
    <xf numFmtId="10" fontId="52" fillId="89" borderId="7" applyNumberFormat="0" applyBorder="0" applyAlignment="0" applyProtection="0"/>
    <xf numFmtId="0" fontId="34" fillId="0" borderId="48" applyNumberFormat="0" applyFill="0" applyAlignment="0" applyProtection="0"/>
    <xf numFmtId="0" fontId="29" fillId="67" borderId="40" applyNumberFormat="0" applyAlignment="0" applyProtection="0"/>
    <xf numFmtId="0" fontId="32" fillId="65"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34" fillId="0" borderId="48" applyNumberFormat="0" applyFill="0" applyAlignment="0" applyProtection="0"/>
    <xf numFmtId="10" fontId="52" fillId="89" borderId="7" applyNumberFormat="0" applyBorder="0" applyAlignment="0" applyProtection="0"/>
    <xf numFmtId="0" fontId="32" fillId="30" borderId="47"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6" fillId="69" borderId="46" applyNumberFormat="0" applyFont="0" applyAlignment="0" applyProtection="0"/>
    <xf numFmtId="0" fontId="32" fillId="30" borderId="47" applyNumberFormat="0" applyAlignment="0" applyProtection="0"/>
    <xf numFmtId="0" fontId="29" fillId="1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30" borderId="47"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32" fillId="65" borderId="47" applyNumberFormat="0" applyAlignment="0" applyProtection="0"/>
    <xf numFmtId="0" fontId="34" fillId="0" borderId="48" applyNumberFormat="0" applyFill="0" applyAlignment="0" applyProtection="0"/>
    <xf numFmtId="0" fontId="32" fillId="30"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32" fillId="73" borderId="47" applyNumberFormat="0" applyAlignment="0" applyProtection="0"/>
    <xf numFmtId="0" fontId="29" fillId="67" borderId="40" applyNumberFormat="0" applyAlignment="0" applyProtection="0"/>
    <xf numFmtId="0" fontId="32" fillId="65" borderId="47" applyNumberFormat="0" applyAlignment="0" applyProtection="0"/>
    <xf numFmtId="0" fontId="21" fillId="30"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73" borderId="47" applyNumberFormat="0" applyAlignment="0" applyProtection="0"/>
    <xf numFmtId="0" fontId="21" fillId="65" borderId="40" applyNumberFormat="0" applyAlignment="0" applyProtection="0"/>
    <xf numFmtId="0" fontId="21" fillId="65"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65" borderId="47"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73" borderId="47" applyNumberFormat="0" applyAlignment="0" applyProtection="0"/>
    <xf numFmtId="0" fontId="21" fillId="65" borderId="40" applyNumberFormat="0" applyAlignment="0" applyProtection="0"/>
    <xf numFmtId="0" fontId="21" fillId="65"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65" borderId="47"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14" fillId="0" borderId="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40"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0" borderId="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6" fillId="0" borderId="0"/>
    <xf numFmtId="0" fontId="6" fillId="0" borderId="0"/>
    <xf numFmtId="0" fontId="27" fillId="0" borderId="44" applyNumberFormat="0" applyFill="0" applyAlignment="0" applyProtection="0"/>
    <xf numFmtId="0" fontId="27" fillId="0" borderId="0" applyNumberFormat="0" applyFill="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59" fillId="0" borderId="0"/>
    <xf numFmtId="0" fontId="60" fillId="0" borderId="0"/>
    <xf numFmtId="0" fontId="60" fillId="0" borderId="0"/>
    <xf numFmtId="0" fontId="60" fillId="0" borderId="0"/>
    <xf numFmtId="0" fontId="60" fillId="0" borderId="0"/>
    <xf numFmtId="0" fontId="60" fillId="0" borderId="0"/>
    <xf numFmtId="0" fontId="14" fillId="0" borderId="0"/>
    <xf numFmtId="0" fontId="61" fillId="0" borderId="0">
      <alignment vertical="center"/>
    </xf>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3" fillId="0" borderId="0" applyNumberFormat="0" applyFill="0" applyBorder="0" applyAlignment="0" applyProtection="0"/>
    <xf numFmtId="0" fontId="59" fillId="0" borderId="0">
      <alignment vertical="center"/>
    </xf>
    <xf numFmtId="0" fontId="33" fillId="0" borderId="0" applyNumberFormat="0" applyFill="0" applyBorder="0" applyAlignment="0" applyProtection="0"/>
    <xf numFmtId="0" fontId="27" fillId="0" borderId="0" applyNumberFormat="0" applyFill="0" applyBorder="0" applyAlignment="0" applyProtection="0"/>
    <xf numFmtId="0" fontId="60" fillId="0" borderId="0"/>
    <xf numFmtId="0" fontId="60" fillId="0" borderId="0"/>
    <xf numFmtId="0" fontId="60" fillId="0" borderId="0"/>
    <xf numFmtId="0" fontId="60" fillId="0" borderId="0"/>
    <xf numFmtId="0" fontId="60" fillId="0" borderId="0"/>
    <xf numFmtId="0" fontId="60" fillId="0" borderId="0"/>
    <xf numFmtId="0" fontId="14"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 fillId="0" borderId="0"/>
    <xf numFmtId="0" fontId="60" fillId="0" borderId="0"/>
    <xf numFmtId="0" fontId="60" fillId="0" borderId="0"/>
    <xf numFmtId="0" fontId="60" fillId="0" borderId="0"/>
    <xf numFmtId="0" fontId="60" fillId="0" borderId="0"/>
    <xf numFmtId="0" fontId="60" fillId="0" borderId="0"/>
    <xf numFmtId="0" fontId="6" fillId="0" borderId="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8" fillId="13" borderId="0" applyNumberFormat="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8" fillId="13" borderId="0" applyNumberFormat="0" applyAlignment="0" applyProtection="0"/>
    <xf numFmtId="0" fontId="18" fillId="13" borderId="0" applyNumberFormat="0" applyAlignment="0" applyProtection="0"/>
    <xf numFmtId="0" fontId="18" fillId="66" borderId="0" applyNumberFormat="0" applyBorder="0" applyAlignment="0" applyProtection="0"/>
    <xf numFmtId="0" fontId="18" fillId="66"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8" fillId="14" borderId="0" applyNumberFormat="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8" fillId="14" borderId="0" applyNumberFormat="0" applyAlignment="0" applyProtection="0"/>
    <xf numFmtId="0" fontId="18" fillId="14" borderId="0" applyNumberFormat="0" applyAlignment="0" applyProtection="0"/>
    <xf numFmtId="0" fontId="18" fillId="68" borderId="0" applyNumberFormat="0" applyBorder="0" applyAlignment="0" applyProtection="0"/>
    <xf numFmtId="0" fontId="18" fillId="68"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8" fillId="15" borderId="0" applyNumberFormat="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8" fillId="15" borderId="0" applyNumberFormat="0" applyAlignment="0" applyProtection="0"/>
    <xf numFmtId="0" fontId="18" fillId="15" borderId="0" applyNumberFormat="0" applyAlignment="0" applyProtection="0"/>
    <xf numFmtId="0" fontId="18" fillId="70" borderId="0" applyNumberFormat="0" applyBorder="0" applyAlignment="0" applyProtection="0"/>
    <xf numFmtId="0" fontId="18" fillId="70"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8" fillId="16" borderId="0" applyNumberFormat="0" applyAlignment="0" applyProtection="0"/>
    <xf numFmtId="0" fontId="18" fillId="71" borderId="0" applyNumberFormat="0" applyBorder="0" applyAlignment="0" applyProtection="0"/>
    <xf numFmtId="0" fontId="18" fillId="71" borderId="0" applyNumberFormat="0" applyBorder="0" applyAlignment="0" applyProtection="0"/>
    <xf numFmtId="0" fontId="14" fillId="56" borderId="0" applyNumberFormat="0" applyBorder="0" applyAlignment="0" applyProtection="0"/>
    <xf numFmtId="0" fontId="18" fillId="16" borderId="0" applyNumberFormat="0" applyAlignment="0" applyProtection="0"/>
    <xf numFmtId="0" fontId="18" fillId="17" borderId="0" applyNumberFormat="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8" fillId="17"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8" fillId="18" borderId="0" applyNumberFormat="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8" fillId="18" borderId="0" applyNumberFormat="0" applyAlignment="0" applyProtection="0"/>
    <xf numFmtId="0" fontId="18" fillId="18" borderId="0" applyNumberFormat="0" applyAlignment="0" applyProtection="0"/>
    <xf numFmtId="0" fontId="18" fillId="72" borderId="0" applyNumberFormat="0" applyBorder="0" applyAlignment="0" applyProtection="0"/>
    <xf numFmtId="0" fontId="18" fillId="72"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8" fillId="19" borderId="0" applyNumberFormat="0" applyAlignment="0" applyProtection="0"/>
    <xf numFmtId="0" fontId="18" fillId="19" borderId="0" applyNumberFormat="0" applyAlignment="0" applyProtection="0"/>
    <xf numFmtId="0" fontId="18" fillId="74" borderId="0" applyNumberFormat="0" applyBorder="0" applyAlignment="0" applyProtection="0"/>
    <xf numFmtId="0" fontId="18" fillId="74" borderId="0" applyNumberFormat="0" applyBorder="0" applyAlignment="0" applyProtection="0"/>
    <xf numFmtId="0" fontId="14" fillId="45" borderId="0" applyNumberFormat="0" applyBorder="0" applyAlignment="0" applyProtection="0"/>
    <xf numFmtId="0" fontId="18" fillId="19" borderId="0" applyNumberFormat="0" applyAlignment="0" applyProtection="0"/>
    <xf numFmtId="0" fontId="18" fillId="20" borderId="0" applyNumberFormat="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8" fillId="20" borderId="0" applyNumberFormat="0" applyAlignment="0" applyProtection="0"/>
    <xf numFmtId="0" fontId="18" fillId="20" borderId="0" applyNumberFormat="0" applyAlignment="0" applyProtection="0"/>
    <xf numFmtId="0" fontId="18" fillId="75" borderId="0" applyNumberFormat="0" applyBorder="0" applyAlignment="0" applyProtection="0"/>
    <xf numFmtId="0" fontId="18" fillId="75"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8" fillId="15" borderId="0" applyNumberFormat="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8" fillId="15" borderId="0" applyNumberFormat="0" applyAlignment="0" applyProtection="0"/>
    <xf numFmtId="0" fontId="18" fillId="15" borderId="0" applyNumberFormat="0" applyAlignment="0" applyProtection="0"/>
    <xf numFmtId="0" fontId="18" fillId="70" borderId="0" applyNumberFormat="0" applyBorder="0" applyAlignment="0" applyProtection="0"/>
    <xf numFmtId="0" fontId="18" fillId="70"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8" fillId="18" borderId="0" applyNumberFormat="0" applyAlignment="0" applyProtection="0"/>
    <xf numFmtId="0" fontId="18" fillId="72" borderId="0" applyNumberFormat="0" applyBorder="0" applyAlignment="0" applyProtection="0"/>
    <xf numFmtId="0" fontId="18" fillId="72" borderId="0" applyNumberFormat="0" applyBorder="0" applyAlignment="0" applyProtection="0"/>
    <xf numFmtId="0" fontId="14" fillId="57" borderId="0" applyNumberFormat="0" applyBorder="0" applyAlignment="0" applyProtection="0"/>
    <xf numFmtId="0" fontId="18" fillId="18" borderId="0" applyNumberFormat="0" applyAlignment="0" applyProtection="0"/>
    <xf numFmtId="0" fontId="18" fillId="21" borderId="0" applyNumberFormat="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8" fillId="21" borderId="0" applyNumberFormat="0" applyAlignment="0" applyProtection="0"/>
    <xf numFmtId="0" fontId="18" fillId="21" borderId="0" applyNumberFormat="0" applyAlignment="0" applyProtection="0"/>
    <xf numFmtId="0" fontId="18" fillId="77" borderId="0" applyNumberFormat="0" applyBorder="0" applyAlignment="0" applyProtection="0"/>
    <xf numFmtId="0" fontId="18" fillId="77"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9" fillId="22" borderId="0" applyNumberFormat="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19" fillId="22" borderId="0" applyNumberFormat="0" applyAlignment="0" applyProtection="0"/>
    <xf numFmtId="0" fontId="19" fillId="22" borderId="0" applyNumberFormat="0" applyAlignment="0" applyProtection="0"/>
    <xf numFmtId="0" fontId="19" fillId="78" borderId="0" applyNumberFormat="0" applyBorder="0" applyAlignment="0" applyProtection="0"/>
    <xf numFmtId="0" fontId="19" fillId="78"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19" fillId="19" borderId="0" applyNumberFormat="0" applyAlignment="0" applyProtection="0"/>
    <xf numFmtId="0" fontId="19" fillId="19" borderId="0" applyNumberFormat="0" applyAlignment="0" applyProtection="0"/>
    <xf numFmtId="0" fontId="19" fillId="74" borderId="0" applyNumberFormat="0" applyBorder="0" applyAlignment="0" applyProtection="0"/>
    <xf numFmtId="0" fontId="19" fillId="74" borderId="0" applyNumberFormat="0" applyBorder="0" applyAlignment="0" applyProtection="0"/>
    <xf numFmtId="0" fontId="19" fillId="19" borderId="0" applyNumberFormat="0" applyAlignment="0" applyProtection="0"/>
    <xf numFmtId="0" fontId="19" fillId="20" borderId="0" applyNumberFormat="0" applyAlignment="0" applyProtection="0"/>
    <xf numFmtId="0" fontId="49" fillId="90" borderId="0" applyNumberFormat="0" applyBorder="0" applyAlignment="0" applyProtection="0"/>
    <xf numFmtId="0" fontId="49" fillId="90" borderId="0" applyNumberFormat="0" applyBorder="0" applyAlignment="0" applyProtection="0"/>
    <xf numFmtId="0" fontId="49" fillId="90" borderId="0" applyNumberFormat="0" applyBorder="0" applyAlignment="0" applyProtection="0"/>
    <xf numFmtId="0" fontId="49" fillId="90" borderId="0" applyNumberFormat="0" applyBorder="0" applyAlignment="0" applyProtection="0"/>
    <xf numFmtId="0" fontId="49" fillId="90" borderId="0" applyNumberFormat="0" applyBorder="0" applyAlignment="0" applyProtection="0"/>
    <xf numFmtId="0" fontId="19" fillId="20" borderId="0" applyNumberFormat="0" applyAlignment="0" applyProtection="0"/>
    <xf numFmtId="0" fontId="19" fillId="20" borderId="0" applyNumberFormat="0" applyAlignment="0" applyProtection="0"/>
    <xf numFmtId="0" fontId="19" fillId="75" borderId="0" applyNumberFormat="0" applyBorder="0" applyAlignment="0" applyProtection="0"/>
    <xf numFmtId="0" fontId="19" fillId="75" borderId="0" applyNumberFormat="0" applyBorder="0" applyAlignment="0" applyProtection="0"/>
    <xf numFmtId="0" fontId="49" fillId="90" borderId="0" applyNumberFormat="0" applyBorder="0" applyAlignment="0" applyProtection="0"/>
    <xf numFmtId="0" fontId="49" fillId="90" borderId="0" applyNumberFormat="0" applyBorder="0" applyAlignment="0" applyProtection="0"/>
    <xf numFmtId="0" fontId="49" fillId="90" borderId="0" applyNumberFormat="0" applyBorder="0" applyAlignment="0" applyProtection="0"/>
    <xf numFmtId="0" fontId="49" fillId="90" borderId="0" applyNumberFormat="0" applyBorder="0" applyAlignment="0" applyProtection="0"/>
    <xf numFmtId="0" fontId="19" fillId="23" borderId="0" applyNumberFormat="0" applyAlignment="0" applyProtection="0"/>
    <xf numFmtId="0" fontId="49" fillId="73" borderId="0" applyNumberFormat="0" applyBorder="0" applyAlignment="0" applyProtection="0"/>
    <xf numFmtId="0" fontId="49" fillId="73" borderId="0" applyNumberFormat="0" applyBorder="0" applyAlignment="0" applyProtection="0"/>
    <xf numFmtId="0" fontId="49" fillId="73" borderId="0" applyNumberFormat="0" applyBorder="0" applyAlignment="0" applyProtection="0"/>
    <xf numFmtId="0" fontId="49" fillId="73" borderId="0" applyNumberFormat="0" applyBorder="0" applyAlignment="0" applyProtection="0"/>
    <xf numFmtId="0" fontId="49" fillId="73" borderId="0" applyNumberFormat="0" applyBorder="0" applyAlignment="0" applyProtection="0"/>
    <xf numFmtId="0" fontId="19" fillId="23" borderId="0" applyNumberFormat="0" applyAlignment="0" applyProtection="0"/>
    <xf numFmtId="0" fontId="19" fillId="23" borderId="0" applyNumberFormat="0" applyAlignment="0" applyProtection="0"/>
    <xf numFmtId="0" fontId="19" fillId="80" borderId="0" applyNumberFormat="0" applyBorder="0" applyAlignment="0" applyProtection="0"/>
    <xf numFmtId="0" fontId="19" fillId="80" borderId="0" applyNumberFormat="0" applyBorder="0" applyAlignment="0" applyProtection="0"/>
    <xf numFmtId="0" fontId="49" fillId="73" borderId="0" applyNumberFormat="0" applyBorder="0" applyAlignment="0" applyProtection="0"/>
    <xf numFmtId="0" fontId="49" fillId="73" borderId="0" applyNumberFormat="0" applyBorder="0" applyAlignment="0" applyProtection="0"/>
    <xf numFmtId="0" fontId="49" fillId="73" borderId="0" applyNumberFormat="0" applyBorder="0" applyAlignment="0" applyProtection="0"/>
    <xf numFmtId="0" fontId="49" fillId="73" borderId="0" applyNumberFormat="0" applyBorder="0" applyAlignment="0" applyProtection="0"/>
    <xf numFmtId="0" fontId="19" fillId="24" borderId="0" applyNumberFormat="0" applyAlignment="0" applyProtection="0"/>
    <xf numFmtId="0" fontId="19" fillId="24" borderId="0" applyNumberFormat="0" applyAlignment="0" applyProtection="0"/>
    <xf numFmtId="0" fontId="19" fillId="81" borderId="0" applyNumberFormat="0" applyBorder="0" applyAlignment="0" applyProtection="0"/>
    <xf numFmtId="0" fontId="19" fillId="81" borderId="0" applyNumberFormat="0" applyBorder="0" applyAlignment="0" applyProtection="0"/>
    <xf numFmtId="0" fontId="19" fillId="24" borderId="0" applyNumberFormat="0" applyAlignment="0" applyProtection="0"/>
    <xf numFmtId="0" fontId="19" fillId="25" borderId="0" applyNumberFormat="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19" fillId="25" borderId="0" applyNumberFormat="0" applyAlignment="0" applyProtection="0"/>
    <xf numFmtId="0" fontId="19" fillId="25" borderId="0" applyNumberFormat="0" applyAlignment="0" applyProtection="0"/>
    <xf numFmtId="0" fontId="19" fillId="82" borderId="0" applyNumberFormat="0" applyBorder="0" applyAlignment="0" applyProtection="0"/>
    <xf numFmtId="0" fontId="19" fillId="82"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19" fillId="26" borderId="0" applyNumberFormat="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19" fillId="26" borderId="0" applyNumberFormat="0" applyAlignment="0" applyProtection="0"/>
    <xf numFmtId="0" fontId="19" fillId="83" borderId="0" applyNumberFormat="0" applyBorder="0" applyAlignment="0" applyProtection="0"/>
    <xf numFmtId="0" fontId="19" fillId="83"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19" fillId="27" borderId="0" applyNumberFormat="0" applyAlignment="0" applyProtection="0"/>
    <xf numFmtId="0" fontId="49" fillId="43" borderId="0" applyNumberFormat="0" applyBorder="0" applyAlignment="0" applyProtection="0"/>
    <xf numFmtId="0" fontId="19" fillId="84" borderId="0" applyNumberFormat="0" applyBorder="0" applyAlignment="0" applyProtection="0"/>
    <xf numFmtId="0" fontId="19" fillId="84" borderId="0" applyNumberFormat="0" applyBorder="0" applyAlignment="0" applyProtection="0"/>
    <xf numFmtId="0" fontId="19" fillId="27" borderId="0" applyNumberFormat="0" applyAlignment="0" applyProtection="0"/>
    <xf numFmtId="0" fontId="19" fillId="28" borderId="0" applyNumberFormat="0" applyAlignment="0" applyProtection="0"/>
    <xf numFmtId="0" fontId="19" fillId="28" borderId="0" applyNumberFormat="0" applyAlignment="0" applyProtection="0"/>
    <xf numFmtId="0" fontId="19" fillId="85" borderId="0" applyNumberFormat="0" applyBorder="0" applyAlignment="0" applyProtection="0"/>
    <xf numFmtId="0" fontId="19" fillId="85" borderId="0" applyNumberFormat="0" applyBorder="0" applyAlignment="0" applyProtection="0"/>
    <xf numFmtId="0" fontId="19" fillId="28" borderId="0" applyNumberFormat="0" applyAlignment="0" applyProtection="0"/>
    <xf numFmtId="0" fontId="19" fillId="23" borderId="0" applyNumberFormat="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19" fillId="23" borderId="0" applyNumberFormat="0" applyAlignment="0" applyProtection="0"/>
    <xf numFmtId="0" fontId="19" fillId="23" borderId="0" applyNumberFormat="0" applyAlignment="0" applyProtection="0"/>
    <xf numFmtId="0" fontId="19" fillId="80" borderId="0" applyNumberFormat="0" applyBorder="0" applyAlignment="0" applyProtection="0"/>
    <xf numFmtId="0" fontId="19" fillId="80"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19" fillId="24" borderId="0" applyNumberFormat="0" applyAlignment="0" applyProtection="0"/>
    <xf numFmtId="0" fontId="19" fillId="24" borderId="0" applyNumberFormat="0" applyAlignment="0" applyProtection="0"/>
    <xf numFmtId="0" fontId="19" fillId="81" borderId="0" applyNumberFormat="0" applyBorder="0" applyAlignment="0" applyProtection="0"/>
    <xf numFmtId="0" fontId="19" fillId="81" borderId="0" applyNumberFormat="0" applyBorder="0" applyAlignment="0" applyProtection="0"/>
    <xf numFmtId="0" fontId="19" fillId="24" borderId="0" applyNumberFormat="0" applyAlignment="0" applyProtection="0"/>
    <xf numFmtId="0" fontId="19" fillId="29" borderId="0" applyNumberFormat="0" applyAlignment="0" applyProtection="0"/>
    <xf numFmtId="0" fontId="19" fillId="29" borderId="0" applyNumberFormat="0" applyAlignment="0" applyProtection="0"/>
    <xf numFmtId="0" fontId="19" fillId="86" borderId="0" applyNumberFormat="0" applyBorder="0" applyAlignment="0" applyProtection="0"/>
    <xf numFmtId="0" fontId="19" fillId="86" borderId="0" applyNumberFormat="0" applyBorder="0" applyAlignment="0" applyProtection="0"/>
    <xf numFmtId="0" fontId="19" fillId="29" borderId="0" applyNumberFormat="0" applyAlignment="0" applyProtection="0"/>
    <xf numFmtId="0" fontId="20" fillId="13" borderId="0" applyNumberFormat="0" applyAlignment="0" applyProtection="0"/>
    <xf numFmtId="0" fontId="3" fillId="4" borderId="0" applyNumberFormat="0" applyBorder="0" applyAlignment="0" applyProtection="0"/>
    <xf numFmtId="0" fontId="3" fillId="4" borderId="0" applyNumberFormat="0" applyBorder="0" applyAlignment="0" applyProtection="0"/>
    <xf numFmtId="0" fontId="6" fillId="0" borderId="0"/>
    <xf numFmtId="0" fontId="3" fillId="4" borderId="0" applyNumberFormat="0" applyBorder="0" applyAlignment="0" applyProtection="0"/>
    <xf numFmtId="0" fontId="20" fillId="13" borderId="0" applyNumberFormat="0" applyAlignment="0" applyProtection="0"/>
    <xf numFmtId="0" fontId="20" fillId="13" borderId="0" applyNumberFormat="0" applyAlignment="0" applyProtection="0"/>
    <xf numFmtId="0" fontId="20" fillId="66" borderId="0" applyNumberFormat="0" applyBorder="0" applyAlignment="0" applyProtection="0"/>
    <xf numFmtId="0" fontId="20" fillId="66" borderId="0" applyNumberFormat="0" applyBorder="0" applyAlignment="0" applyProtection="0"/>
    <xf numFmtId="0" fontId="20" fillId="13" borderId="0" applyNumberFormat="0" applyAlignment="0" applyProtection="0"/>
    <xf numFmtId="0" fontId="21" fillId="30" borderId="40" applyNumberFormat="0" applyAlignment="0" applyProtection="0"/>
    <xf numFmtId="0" fontId="43" fillId="65" borderId="13" applyNumberFormat="0" applyAlignment="0" applyProtection="0"/>
    <xf numFmtId="0" fontId="43" fillId="65" borderId="13" applyNumberFormat="0" applyAlignment="0" applyProtection="0"/>
    <xf numFmtId="0" fontId="43" fillId="65" borderId="13" applyNumberFormat="0" applyAlignment="0" applyProtection="0"/>
    <xf numFmtId="0" fontId="43" fillId="65" borderId="13" applyNumberFormat="0" applyAlignment="0" applyProtection="0"/>
    <xf numFmtId="0" fontId="43" fillId="65" borderId="13" applyNumberFormat="0" applyAlignment="0" applyProtection="0"/>
    <xf numFmtId="0" fontId="21" fillId="30" borderId="40" applyNumberFormat="0" applyAlignment="0" applyProtection="0"/>
    <xf numFmtId="0" fontId="21" fillId="30" borderId="40" applyNumberFormat="0" applyAlignment="0" applyProtection="0"/>
    <xf numFmtId="0" fontId="6" fillId="0" borderId="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43" fillId="65" borderId="13" applyNumberFormat="0" applyAlignment="0" applyProtection="0"/>
    <xf numFmtId="0" fontId="43" fillId="65" borderId="13" applyNumberFormat="0" applyAlignment="0" applyProtection="0"/>
    <xf numFmtId="0" fontId="43" fillId="65" borderId="13" applyNumberFormat="0" applyAlignment="0" applyProtection="0"/>
    <xf numFmtId="0" fontId="43" fillId="65" borderId="13" applyNumberFormat="0" applyAlignment="0" applyProtection="0"/>
    <xf numFmtId="0" fontId="22" fillId="31" borderId="41" applyNumberFormat="0" applyAlignment="0" applyProtection="0"/>
    <xf numFmtId="0" fontId="45" fillId="37" borderId="62" applyNumberFormat="0" applyAlignment="0" applyProtection="0"/>
    <xf numFmtId="0" fontId="22" fillId="87" borderId="41" applyNumberFormat="0" applyAlignment="0" applyProtection="0"/>
    <xf numFmtId="0" fontId="22" fillId="87" borderId="41" applyNumberFormat="0" applyAlignment="0" applyProtection="0"/>
    <xf numFmtId="0" fontId="22" fillId="31" borderId="41" applyNumberFormat="0" applyAlignment="0" applyProtection="0"/>
    <xf numFmtId="0" fontId="23" fillId="0" borderId="0" applyNumberFormat="0" applyFill="0" applyAlignment="0" applyProtection="0"/>
    <xf numFmtId="0" fontId="47" fillId="0" borderId="0" applyNumberFormat="0" applyFill="0" applyBorder="0" applyAlignment="0" applyProtection="0"/>
    <xf numFmtId="0" fontId="23" fillId="0" borderId="0" applyNumberFormat="0" applyFill="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Alignment="0" applyProtection="0"/>
    <xf numFmtId="0" fontId="24" fillId="14" borderId="0" applyNumberFormat="0" applyAlignment="0" applyProtection="0"/>
    <xf numFmtId="0" fontId="41" fillId="35" borderId="0" applyNumberFormat="0" applyBorder="0" applyAlignment="0" applyProtection="0"/>
    <xf numFmtId="0" fontId="24" fillId="68" borderId="0" applyNumberFormat="0" applyBorder="0" applyAlignment="0" applyProtection="0"/>
    <xf numFmtId="0" fontId="24" fillId="68" borderId="0" applyNumberFormat="0" applyBorder="0" applyAlignment="0" applyProtection="0"/>
    <xf numFmtId="0" fontId="24" fillId="14" borderId="0" applyNumberFormat="0" applyAlignment="0" applyProtection="0"/>
    <xf numFmtId="0" fontId="14" fillId="0" borderId="0"/>
    <xf numFmtId="0" fontId="25" fillId="0" borderId="42"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25" fillId="0" borderId="42"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25" fillId="0" borderId="42"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25" fillId="0" borderId="42" applyNumberFormat="0" applyFill="0" applyAlignment="0" applyProtection="0"/>
    <xf numFmtId="0" fontId="25" fillId="0" borderId="42"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26" fillId="0" borderId="43" applyNumberFormat="0" applyFill="0" applyAlignment="0" applyProtection="0"/>
    <xf numFmtId="0" fontId="62" fillId="0" borderId="58" applyNumberFormat="0" applyFill="0" applyAlignment="0" applyProtection="0"/>
    <xf numFmtId="0" fontId="62" fillId="0" borderId="58" applyNumberFormat="0" applyFill="0" applyAlignment="0" applyProtection="0"/>
    <xf numFmtId="0" fontId="62" fillId="0" borderId="58" applyNumberFormat="0" applyFill="0" applyAlignment="0" applyProtection="0"/>
    <xf numFmtId="0" fontId="62" fillId="0" borderId="58" applyNumberFormat="0" applyFill="0" applyAlignment="0" applyProtection="0"/>
    <xf numFmtId="0" fontId="62" fillId="0" borderId="58" applyNumberFormat="0" applyFill="0" applyAlignment="0" applyProtection="0"/>
    <xf numFmtId="0" fontId="26" fillId="0" borderId="43" applyNumberFormat="0" applyFill="0" applyAlignment="0" applyProtection="0"/>
    <xf numFmtId="0" fontId="26" fillId="0" borderId="43" applyNumberFormat="0" applyFill="0" applyAlignment="0" applyProtection="0"/>
    <xf numFmtId="0" fontId="26" fillId="0" borderId="43" applyNumberFormat="0" applyFill="0" applyAlignment="0" applyProtection="0"/>
    <xf numFmtId="0" fontId="62" fillId="0" borderId="58" applyNumberFormat="0" applyFill="0" applyAlignment="0" applyProtection="0"/>
    <xf numFmtId="0" fontId="62" fillId="0" borderId="58" applyNumberFormat="0" applyFill="0" applyAlignment="0" applyProtection="0"/>
    <xf numFmtId="0" fontId="62" fillId="0" borderId="58" applyNumberFormat="0" applyFill="0" applyAlignment="0" applyProtection="0"/>
    <xf numFmtId="0" fontId="62" fillId="0" borderId="58"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6" fillId="0" borderId="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27" fillId="0" borderId="0" applyNumberFormat="0" applyFill="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27" fillId="0" borderId="0" applyNumberFormat="0" applyFill="0" applyAlignment="0" applyProtection="0"/>
    <xf numFmtId="0" fontId="6" fillId="0" borderId="0"/>
    <xf numFmtId="0" fontId="27" fillId="0" borderId="0" applyNumberFormat="0" applyFill="0" applyAlignment="0" applyProtection="0"/>
    <xf numFmtId="0" fontId="6" fillId="0" borderId="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0" fillId="0" borderId="0" applyNumberFormat="0" applyFill="0" applyBorder="0" applyAlignment="0" applyProtection="0"/>
    <xf numFmtId="0" fontId="29" fillId="17" borderId="40"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29" fillId="17" borderId="40"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30" fillId="0" borderId="45" applyNumberFormat="0" applyFill="0" applyAlignment="0" applyProtection="0"/>
    <xf numFmtId="0" fontId="30" fillId="0" borderId="45" applyNumberFormat="0" applyFill="0" applyAlignment="0" applyProtection="0"/>
    <xf numFmtId="0" fontId="44" fillId="0" borderId="61" applyNumberFormat="0" applyFill="0" applyAlignment="0" applyProtection="0"/>
    <xf numFmtId="0" fontId="30" fillId="0" borderId="45" applyNumberFormat="0" applyFill="0" applyAlignment="0" applyProtection="0"/>
    <xf numFmtId="0" fontId="31" fillId="32" borderId="0" applyNumberFormat="0" applyAlignment="0" applyProtection="0"/>
    <xf numFmtId="0" fontId="36" fillId="34" borderId="0" applyNumberFormat="0" applyBorder="0" applyAlignment="0" applyProtection="0"/>
    <xf numFmtId="0" fontId="31" fillId="90" borderId="0" applyNumberFormat="0" applyBorder="0" applyAlignment="0" applyProtection="0"/>
    <xf numFmtId="0" fontId="31" fillId="90" borderId="0" applyNumberFormat="0" applyBorder="0" applyAlignment="0" applyProtection="0"/>
    <xf numFmtId="0" fontId="31" fillId="32" borderId="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14" fillId="0" borderId="0"/>
    <xf numFmtId="0" fontId="14" fillId="0" borderId="0"/>
    <xf numFmtId="0" fontId="6" fillId="33" borderId="46"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6" fillId="33" borderId="46"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6" fillId="33" borderId="46"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69" borderId="46" applyNumberFormat="0" applyFont="0" applyAlignment="0" applyProtection="0"/>
    <xf numFmtId="0" fontId="18" fillId="69" borderId="46" applyNumberFormat="0" applyFont="0" applyAlignment="0" applyProtection="0"/>
    <xf numFmtId="0" fontId="32" fillId="30" borderId="47" applyNumberFormat="0" applyAlignment="0" applyProtection="0"/>
    <xf numFmtId="0" fontId="42" fillId="65" borderId="60" applyNumberFormat="0" applyAlignment="0" applyProtection="0"/>
    <xf numFmtId="0" fontId="42" fillId="65" borderId="60" applyNumberFormat="0" applyAlignment="0" applyProtection="0"/>
    <xf numFmtId="0" fontId="42" fillId="65" borderId="60" applyNumberFormat="0" applyAlignment="0" applyProtection="0"/>
    <xf numFmtId="0" fontId="42" fillId="65" borderId="60" applyNumberFormat="0" applyAlignment="0" applyProtection="0"/>
    <xf numFmtId="0" fontId="42" fillId="65" borderId="60"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42" fillId="65" borderId="60" applyNumberFormat="0" applyAlignment="0" applyProtection="0"/>
    <xf numFmtId="0" fontId="42" fillId="65" borderId="60" applyNumberFormat="0" applyAlignment="0" applyProtection="0"/>
    <xf numFmtId="0" fontId="42" fillId="65" borderId="60" applyNumberFormat="0" applyAlignment="0" applyProtection="0"/>
    <xf numFmtId="0" fontId="42" fillId="65" borderId="60" applyNumberFormat="0" applyAlignment="0" applyProtection="0"/>
    <xf numFmtId="0" fontId="33" fillId="0" borderId="0" applyNumberFormat="0" applyFill="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33" fillId="0" borderId="0" applyNumberFormat="0" applyFill="0" applyAlignment="0" applyProtection="0"/>
    <xf numFmtId="0" fontId="33" fillId="0" borderId="0" applyNumberFormat="0" applyFill="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34" fillId="0" borderId="4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35" fillId="0" borderId="0" applyNumberFormat="0" applyFill="0" applyAlignment="0" applyProtection="0"/>
    <xf numFmtId="0" fontId="14" fillId="0" borderId="0"/>
    <xf numFmtId="0" fontId="35" fillId="0" borderId="0" applyNumberFormat="0" applyFill="0" applyBorder="0" applyAlignment="0" applyProtection="0"/>
    <xf numFmtId="0" fontId="35" fillId="0" borderId="0" applyNumberFormat="0" applyFill="0" applyBorder="0" applyAlignment="0" applyProtection="0"/>
    <xf numFmtId="0" fontId="46" fillId="0" borderId="0" applyNumberFormat="0" applyFill="0" applyBorder="0" applyAlignment="0" applyProtection="0"/>
    <xf numFmtId="0" fontId="35" fillId="0" borderId="0" applyNumberFormat="0" applyFill="0" applyAlignment="0" applyProtection="0"/>
    <xf numFmtId="0" fontId="14" fillId="0" borderId="0"/>
    <xf numFmtId="0" fontId="37" fillId="0" borderId="0" applyNumberFormat="0" applyFill="0" applyBorder="0" applyAlignment="0" applyProtection="0"/>
    <xf numFmtId="0" fontId="38" fillId="0" borderId="57" applyNumberFormat="0" applyFill="0" applyAlignment="0" applyProtection="0"/>
    <xf numFmtId="0" fontId="39" fillId="0" borderId="58" applyNumberFormat="0" applyFill="0" applyAlignment="0" applyProtection="0"/>
    <xf numFmtId="0" fontId="40" fillId="0" borderId="59" applyNumberFormat="0" applyFill="0" applyAlignment="0" applyProtection="0"/>
    <xf numFmtId="0" fontId="40" fillId="0" borderId="0" applyNumberFormat="0" applyFill="0" applyBorder="0" applyAlignment="0" applyProtection="0"/>
    <xf numFmtId="0" fontId="8" fillId="6" borderId="13" applyNumberFormat="0" applyAlignment="0" applyProtection="0"/>
    <xf numFmtId="0" fontId="42" fillId="36" borderId="60" applyNumberFormat="0" applyAlignment="0" applyProtection="0"/>
    <xf numFmtId="0" fontId="43" fillId="36" borderId="13" applyNumberFormat="0" applyAlignment="0" applyProtection="0"/>
    <xf numFmtId="0" fontId="14" fillId="38" borderId="63" applyNumberFormat="0" applyFont="0" applyAlignment="0" applyProtection="0"/>
    <xf numFmtId="0" fontId="48" fillId="0" borderId="64" applyNumberFormat="0" applyFill="0" applyAlignment="0" applyProtection="0"/>
    <xf numFmtId="0" fontId="49" fillId="39" borderId="0" applyNumberFormat="0" applyBorder="0" applyAlignment="0" applyProtection="0"/>
    <xf numFmtId="0" fontId="14" fillId="41" borderId="0" applyNumberFormat="0" applyBorder="0" applyAlignment="0" applyProtection="0"/>
    <xf numFmtId="0" fontId="49" fillId="42" borderId="0" applyNumberFormat="0" applyBorder="0" applyAlignment="0" applyProtection="0"/>
    <xf numFmtId="0" fontId="14" fillId="44" borderId="0" applyNumberFormat="0" applyBorder="0" applyAlignment="0" applyProtection="0"/>
    <xf numFmtId="0" fontId="14" fillId="45" borderId="0" applyNumberFormat="0" applyBorder="0" applyAlignment="0" applyProtection="0"/>
    <xf numFmtId="0" fontId="14" fillId="48" borderId="0" applyNumberFormat="0" applyBorder="0" applyAlignment="0" applyProtection="0"/>
    <xf numFmtId="0" fontId="14" fillId="49" borderId="0" applyNumberFormat="0" applyBorder="0" applyAlignment="0" applyProtection="0"/>
    <xf numFmtId="0" fontId="49" fillId="50" borderId="0" applyNumberFormat="0" applyBorder="0" applyAlignment="0" applyProtection="0"/>
    <xf numFmtId="0" fontId="49" fillId="51" borderId="0" applyNumberFormat="0" applyBorder="0" applyAlignment="0" applyProtection="0"/>
    <xf numFmtId="0" fontId="14" fillId="52" borderId="0" applyNumberFormat="0" applyBorder="0" applyAlignment="0" applyProtection="0"/>
    <xf numFmtId="0" fontId="14" fillId="53" borderId="0" applyNumberFormat="0" applyBorder="0" applyAlignment="0" applyProtection="0"/>
    <xf numFmtId="0" fontId="49" fillId="54" borderId="0" applyNumberFormat="0" applyBorder="0" applyAlignment="0" applyProtection="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1" borderId="0" applyNumberFormat="0" applyBorder="0" applyAlignment="0" applyProtection="0"/>
    <xf numFmtId="0" fontId="49" fillId="62" borderId="0" applyNumberFormat="0" applyBorder="0" applyAlignment="0" applyProtection="0"/>
    <xf numFmtId="0" fontId="14" fillId="0" borderId="0"/>
    <xf numFmtId="0" fontId="14" fillId="0" borderId="0"/>
    <xf numFmtId="0" fontId="8" fillId="6" borderId="13" applyNumberFormat="0" applyAlignment="0" applyProtection="0"/>
    <xf numFmtId="0" fontId="14" fillId="0" borderId="0"/>
    <xf numFmtId="0" fontId="8" fillId="6" borderId="13" applyNumberFormat="0" applyAlignment="0" applyProtection="0"/>
    <xf numFmtId="0" fontId="14" fillId="0" borderId="0"/>
    <xf numFmtId="0" fontId="8" fillId="6" borderId="13" applyNumberFormat="0" applyAlignment="0" applyProtection="0"/>
    <xf numFmtId="0" fontId="8" fillId="6" borderId="13" applyNumberFormat="0" applyAlignment="0" applyProtection="0"/>
    <xf numFmtId="0" fontId="14" fillId="0" borderId="0"/>
    <xf numFmtId="0" fontId="28" fillId="0" borderId="0" applyNumberFormat="0" applyFill="0" applyBorder="0" applyAlignment="0" applyProtection="0">
      <alignment vertical="top"/>
      <protection locked="0"/>
    </xf>
    <xf numFmtId="0" fontId="14" fillId="0" borderId="0"/>
    <xf numFmtId="0" fontId="6" fillId="0" borderId="0"/>
    <xf numFmtId="0" fontId="6" fillId="0" borderId="0"/>
    <xf numFmtId="0" fontId="8" fillId="6" borderId="13" applyNumberFormat="0" applyAlignment="0" applyProtection="0"/>
    <xf numFmtId="0" fontId="14" fillId="0" borderId="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56"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45"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57"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63" fillId="0" borderId="66" applyNumberFormat="0" applyFill="0" applyAlignment="0" applyProtection="0"/>
    <xf numFmtId="0" fontId="64" fillId="0" borderId="67" applyNumberFormat="0" applyFill="0" applyAlignment="0" applyProtection="0"/>
    <xf numFmtId="0" fontId="64" fillId="0" borderId="0" applyNumberFormat="0" applyFill="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5" fillId="0" borderId="0" applyNumberFormat="0" applyFill="0" applyBorder="0" applyAlignment="0" applyProtection="0"/>
    <xf numFmtId="0" fontId="6"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6" fillId="0" borderId="0"/>
    <xf numFmtId="0" fontId="18"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8"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8"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8" fillId="72"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8" fillId="74"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8"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8"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0" borderId="0"/>
    <xf numFmtId="0" fontId="18" fillId="7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9" fillId="78" borderId="0" applyNumberFormat="0" applyBorder="0" applyAlignment="0" applyProtection="0"/>
    <xf numFmtId="0" fontId="49" fillId="42" borderId="0" applyNumberFormat="0" applyBorder="0" applyAlignment="0" applyProtection="0"/>
    <xf numFmtId="0" fontId="19" fillId="74" borderId="0" applyNumberFormat="0" applyBorder="0" applyAlignment="0" applyProtection="0"/>
    <xf numFmtId="0" fontId="49" fillId="46" borderId="0" applyNumberFormat="0" applyBorder="0" applyAlignment="0" applyProtection="0"/>
    <xf numFmtId="0" fontId="19" fillId="75" borderId="0" applyNumberFormat="0" applyBorder="0" applyAlignment="0" applyProtection="0"/>
    <xf numFmtId="0" fontId="49" fillId="50" borderId="0" applyNumberFormat="0" applyBorder="0" applyAlignment="0" applyProtection="0"/>
    <xf numFmtId="0" fontId="49" fillId="50" borderId="0" applyNumberFormat="0" applyBorder="0" applyAlignment="0" applyProtection="0"/>
    <xf numFmtId="0" fontId="19" fillId="80" borderId="0" applyNumberFormat="0" applyBorder="0" applyAlignment="0" applyProtection="0"/>
    <xf numFmtId="0" fontId="49" fillId="54" borderId="0" applyNumberFormat="0" applyBorder="0" applyAlignment="0" applyProtection="0"/>
    <xf numFmtId="0" fontId="49" fillId="54" borderId="0" applyNumberFormat="0" applyBorder="0" applyAlignment="0" applyProtection="0"/>
    <xf numFmtId="0" fontId="19" fillId="81" borderId="0" applyNumberFormat="0" applyBorder="0" applyAlignment="0" applyProtection="0"/>
    <xf numFmtId="0" fontId="49" fillId="58" borderId="0" applyNumberFormat="0" applyBorder="0" applyAlignment="0" applyProtection="0"/>
    <xf numFmtId="0" fontId="19" fillId="82" borderId="0" applyNumberFormat="0" applyBorder="0" applyAlignment="0" applyProtection="0"/>
    <xf numFmtId="0" fontId="49" fillId="62" borderId="0" applyNumberFormat="0" applyBorder="0" applyAlignment="0" applyProtection="0"/>
    <xf numFmtId="0" fontId="49" fillId="62" borderId="0" applyNumberFormat="0" applyBorder="0" applyAlignment="0" applyProtection="0"/>
    <xf numFmtId="0" fontId="19" fillId="85" borderId="0" applyNumberFormat="0" applyBorder="0" applyAlignment="0" applyProtection="0"/>
    <xf numFmtId="0" fontId="49" fillId="47" borderId="0" applyNumberFormat="0" applyBorder="0" applyAlignment="0" applyProtection="0"/>
    <xf numFmtId="0" fontId="19" fillId="80" borderId="0" applyNumberFormat="0" applyBorder="0" applyAlignment="0" applyProtection="0"/>
    <xf numFmtId="0" fontId="49" fillId="51" borderId="0" applyNumberFormat="0" applyBorder="0" applyAlignment="0" applyProtection="0"/>
    <xf numFmtId="0" fontId="14" fillId="0" borderId="0"/>
    <xf numFmtId="0" fontId="19" fillId="81" borderId="0" applyNumberFormat="0" applyBorder="0" applyAlignment="0" applyProtection="0"/>
    <xf numFmtId="0" fontId="49" fillId="55" borderId="0" applyNumberFormat="0" applyBorder="0" applyAlignment="0" applyProtection="0"/>
    <xf numFmtId="0" fontId="19" fillId="86" borderId="0" applyNumberFormat="0" applyBorder="0" applyAlignment="0" applyProtection="0"/>
    <xf numFmtId="0" fontId="49" fillId="59" borderId="0" applyNumberFormat="0" applyBorder="0" applyAlignment="0" applyProtection="0"/>
    <xf numFmtId="0" fontId="53" fillId="66" borderId="0" applyNumberFormat="0" applyBorder="0" applyAlignment="0" applyProtection="0"/>
    <xf numFmtId="0" fontId="20" fillId="13" borderId="0" applyNumberFormat="0" applyAlignment="0" applyProtection="0"/>
    <xf numFmtId="0" fontId="20" fillId="66" borderId="0" applyNumberFormat="0" applyBorder="0" applyAlignment="0" applyProtection="0"/>
    <xf numFmtId="0" fontId="3" fillId="4" borderId="0" applyNumberFormat="0" applyBorder="0" applyAlignment="0" applyProtection="0"/>
    <xf numFmtId="0" fontId="21" fillId="65" borderId="40" applyNumberFormat="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21" fillId="73" borderId="40" applyNumberFormat="0" applyAlignment="0" applyProtection="0"/>
    <xf numFmtId="0" fontId="43" fillId="36" borderId="13" applyNumberFormat="0" applyAlignment="0" applyProtection="0"/>
    <xf numFmtId="0" fontId="6" fillId="0" borderId="0"/>
    <xf numFmtId="0" fontId="6" fillId="0" borderId="0"/>
    <xf numFmtId="0" fontId="23" fillId="0" borderId="0" applyNumberFormat="0" applyFill="0" applyBorder="0" applyAlignment="0" applyProtection="0"/>
    <xf numFmtId="0" fontId="23" fillId="0" borderId="0" applyNumberFormat="0" applyFill="0" applyBorder="0" applyAlignment="0" applyProtection="0"/>
    <xf numFmtId="0" fontId="54" fillId="0" borderId="42" applyNumberFormat="0" applyFill="0" applyAlignment="0" applyProtection="0"/>
    <xf numFmtId="0" fontId="54" fillId="0" borderId="42" applyNumberFormat="0" applyFill="0" applyAlignment="0" applyProtection="0"/>
    <xf numFmtId="0" fontId="38" fillId="0" borderId="57" applyNumberFormat="0" applyFill="0" applyAlignment="0" applyProtection="0"/>
    <xf numFmtId="0" fontId="39" fillId="0" borderId="58" applyNumberFormat="0" applyFill="0" applyAlignment="0" applyProtection="0"/>
    <xf numFmtId="0" fontId="40" fillId="0" borderId="0" applyNumberFormat="0" applyFill="0" applyBorder="0" applyAlignment="0" applyProtection="0"/>
    <xf numFmtId="0" fontId="6" fillId="0" borderId="0"/>
    <xf numFmtId="0" fontId="51" fillId="0" borderId="0" applyNumberFormat="0" applyFill="0" applyBorder="0" applyAlignment="0" applyProtection="0">
      <alignment vertical="top"/>
      <protection locked="0"/>
    </xf>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18" fillId="0" borderId="0"/>
    <xf numFmtId="0" fontId="18"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8" fillId="0" borderId="0"/>
    <xf numFmtId="0" fontId="14" fillId="0" borderId="0"/>
    <xf numFmtId="0" fontId="14" fillId="0" borderId="0"/>
    <xf numFmtId="0" fontId="14" fillId="0" borderId="0"/>
    <xf numFmtId="0" fontId="14" fillId="0" borderId="0"/>
    <xf numFmtId="0" fontId="14" fillId="0" borderId="0"/>
    <xf numFmtId="0" fontId="14" fillId="0" borderId="0"/>
    <xf numFmtId="0" fontId="18" fillId="0" borderId="0"/>
    <xf numFmtId="0" fontId="59" fillId="0" borderId="0"/>
    <xf numFmtId="0" fontId="60" fillId="0" borderId="0"/>
    <xf numFmtId="0" fontId="60" fillId="0" borderId="0"/>
    <xf numFmtId="0" fontId="60" fillId="0" borderId="0"/>
    <xf numFmtId="0" fontId="60" fillId="0" borderId="0"/>
    <xf numFmtId="0" fontId="60"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18" fillId="0" borderId="0"/>
    <xf numFmtId="0" fontId="18"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32" fillId="65" borderId="47" applyNumberFormat="0" applyAlignment="0" applyProtection="0"/>
    <xf numFmtId="0" fontId="32" fillId="73" borderId="47" applyNumberFormat="0" applyAlignment="0" applyProtection="0"/>
    <xf numFmtId="0" fontId="42" fillId="36" borderId="60" applyNumberFormat="0" applyAlignment="0" applyProtection="0"/>
    <xf numFmtId="0" fontId="37" fillId="0" borderId="0" applyNumberFormat="0" applyFill="0" applyBorder="0" applyAlignment="0" applyProtection="0"/>
    <xf numFmtId="0" fontId="33" fillId="0" borderId="0" applyNumberFormat="0" applyFill="0" applyBorder="0" applyAlignment="0" applyProtection="0"/>
    <xf numFmtId="0" fontId="27" fillId="0" borderId="0" applyNumberFormat="0" applyFill="0" applyBorder="0" applyAlignment="0" applyProtection="0"/>
    <xf numFmtId="0" fontId="60" fillId="0" borderId="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1" fillId="65" borderId="40" applyNumberFormat="0" applyAlignment="0" applyProtection="0"/>
    <xf numFmtId="0" fontId="21" fillId="73" borderId="40" applyNumberFormat="0" applyAlignment="0" applyProtection="0"/>
    <xf numFmtId="0" fontId="14" fillId="0" borderId="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14" fillId="0" borderId="0"/>
    <xf numFmtId="0" fontId="14" fillId="41" borderId="0" applyNumberFormat="0" applyBorder="0" applyAlignment="0" applyProtection="0"/>
    <xf numFmtId="0" fontId="14" fillId="44" borderId="0" applyNumberFormat="0" applyBorder="0" applyAlignment="0" applyProtection="0"/>
    <xf numFmtId="0" fontId="14" fillId="45" borderId="0" applyNumberFormat="0" applyBorder="0" applyAlignment="0" applyProtection="0"/>
    <xf numFmtId="0" fontId="14" fillId="48" borderId="0" applyNumberFormat="0" applyBorder="0" applyAlignment="0" applyProtection="0"/>
    <xf numFmtId="0" fontId="14" fillId="49" borderId="0" applyNumberFormat="0" applyBorder="0" applyAlignment="0" applyProtection="0"/>
    <xf numFmtId="0" fontId="14" fillId="52" borderId="0" applyNumberFormat="0" applyBorder="0" applyAlignment="0" applyProtection="0"/>
    <xf numFmtId="0" fontId="14" fillId="53" borderId="0" applyNumberFormat="0" applyBorder="0" applyAlignment="0" applyProtection="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1" borderId="0" applyNumberFormat="0" applyBorder="0" applyAlignment="0" applyProtection="0"/>
    <xf numFmtId="0" fontId="6" fillId="0" borderId="0"/>
    <xf numFmtId="0" fontId="6"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38" borderId="63" applyNumberFormat="0" applyFont="0" applyAlignment="0" applyProtection="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29" fillId="17" borderId="40" applyNumberFormat="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21" fillId="73" borderId="40" applyNumberFormat="0" applyAlignment="0" applyProtection="0"/>
    <xf numFmtId="0" fontId="29" fillId="17" borderId="40" applyNumberFormat="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6" borderId="0"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60" borderId="0" applyNumberFormat="0" applyBorder="0" applyAlignment="0" applyProtection="0"/>
    <xf numFmtId="0" fontId="14" fillId="41" borderId="0" applyNumberFormat="0" applyBorder="0" applyAlignment="0" applyProtection="0"/>
    <xf numFmtId="0" fontId="29" fillId="67" borderId="40" applyNumberFormat="0" applyAlignment="0" applyProtection="0"/>
    <xf numFmtId="0" fontId="14" fillId="41" borderId="0"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32" fillId="65"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6" fillId="33" borderId="46" applyNumberFormat="0" applyFont="0" applyAlignment="0" applyProtection="0"/>
    <xf numFmtId="10" fontId="52" fillId="89" borderId="7" applyNumberFormat="0" applyBorder="0" applyAlignment="0" applyProtection="0"/>
    <xf numFmtId="0" fontId="29" fillId="67" borderId="40" applyNumberFormat="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6" fillId="69" borderId="46" applyNumberFormat="0" applyFont="0" applyAlignment="0" applyProtection="0"/>
    <xf numFmtId="0" fontId="29" fillId="67" borderId="40" applyNumberFormat="0" applyAlignment="0" applyProtection="0"/>
    <xf numFmtId="0" fontId="32" fillId="65" borderId="47"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9" fillId="17" borderId="40" applyNumberFormat="0" applyAlignment="0" applyProtection="0"/>
    <xf numFmtId="0" fontId="29" fillId="67" borderId="40" applyNumberFormat="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9" fillId="17" borderId="40" applyNumberFormat="0" applyAlignment="0" applyProtection="0"/>
    <xf numFmtId="0" fontId="29" fillId="67"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6" fillId="33" borderId="46" applyNumberFormat="0" applyFont="0" applyAlignment="0" applyProtection="0"/>
    <xf numFmtId="0" fontId="6" fillId="69" borderId="46" applyNumberFormat="0" applyFont="0" applyAlignment="0" applyProtection="0"/>
    <xf numFmtId="0" fontId="21" fillId="73"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17" borderId="40" applyNumberFormat="0" applyAlignment="0" applyProtection="0"/>
    <xf numFmtId="0" fontId="6" fillId="33"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0" fontId="32" fillId="73"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65"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1" fillId="73"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65"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2" fillId="73" borderId="47" applyNumberFormat="0" applyAlignment="0" applyProtection="0"/>
    <xf numFmtId="0" fontId="6" fillId="33" borderId="46" applyNumberFormat="0" applyFont="0" applyAlignment="0" applyProtection="0"/>
    <xf numFmtId="10" fontId="52" fillId="89" borderId="7" applyNumberFormat="0" applyBorder="0" applyAlignment="0" applyProtection="0"/>
    <xf numFmtId="0" fontId="34" fillId="0" borderId="48" applyNumberFormat="0" applyFill="0" applyAlignment="0" applyProtection="0"/>
    <xf numFmtId="0" fontId="32" fillId="73"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32" fillId="65"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65"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32" fillId="30" borderId="47" applyNumberFormat="0" applyAlignment="0" applyProtection="0"/>
    <xf numFmtId="0" fontId="29" fillId="67" borderId="40" applyNumberFormat="0" applyAlignment="0" applyProtection="0"/>
    <xf numFmtId="0" fontId="21" fillId="65" borderId="40" applyNumberFormat="0" applyAlignment="0" applyProtection="0"/>
    <xf numFmtId="0" fontId="32" fillId="73" borderId="47" applyNumberFormat="0" applyAlignment="0" applyProtection="0"/>
    <xf numFmtId="0" fontId="6" fillId="69" borderId="46" applyNumberFormat="0" applyFont="0" applyAlignment="0" applyProtection="0"/>
    <xf numFmtId="0" fontId="21" fillId="30" borderId="40" applyNumberFormat="0" applyAlignment="0" applyProtection="0"/>
    <xf numFmtId="0" fontId="32" fillId="30"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34" fillId="0" borderId="48" applyNumberFormat="0" applyFill="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0" fontId="21" fillId="30"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1" fillId="73"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1" fillId="73" borderId="40" applyNumberFormat="0" applyAlignment="0" applyProtection="0"/>
    <xf numFmtId="0" fontId="21" fillId="30"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14" fillId="0" borderId="0"/>
    <xf numFmtId="0" fontId="14" fillId="0" borderId="0"/>
    <xf numFmtId="0" fontId="14" fillId="0" borderId="0"/>
    <xf numFmtId="0" fontId="14" fillId="0" borderId="0"/>
    <xf numFmtId="0" fontId="21" fillId="73" borderId="40" applyNumberFormat="0" applyAlignment="0" applyProtection="0"/>
    <xf numFmtId="0" fontId="32" fillId="65" borderId="47"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2" fillId="73" borderId="47" applyNumberFormat="0" applyAlignment="0" applyProtection="0"/>
    <xf numFmtId="0" fontId="29" fillId="67" borderId="40" applyNumberFormat="0" applyAlignment="0" applyProtection="0"/>
    <xf numFmtId="0" fontId="14" fillId="0" borderId="0"/>
    <xf numFmtId="0" fontId="14" fillId="0" borderId="0"/>
    <xf numFmtId="0" fontId="29" fillId="67" borderId="40" applyNumberFormat="0" applyAlignment="0" applyProtection="0"/>
    <xf numFmtId="0" fontId="14" fillId="0" borderId="0"/>
    <xf numFmtId="0" fontId="29" fillId="67" borderId="40" applyNumberFormat="0" applyAlignment="0" applyProtection="0"/>
    <xf numFmtId="0" fontId="6" fillId="69" borderId="46" applyNumberFormat="0" applyFont="0" applyAlignment="0" applyProtection="0"/>
    <xf numFmtId="0" fontId="6" fillId="69" borderId="46" applyNumberFormat="0" applyFont="0" applyAlignment="0" applyProtection="0"/>
    <xf numFmtId="0" fontId="32" fillId="65" borderId="47" applyNumberFormat="0" applyAlignment="0" applyProtection="0"/>
    <xf numFmtId="0" fontId="14" fillId="0" borderId="0"/>
    <xf numFmtId="0" fontId="14" fillId="0" borderId="0"/>
    <xf numFmtId="0" fontId="14" fillId="0" borderId="0"/>
    <xf numFmtId="0" fontId="32" fillId="73" borderId="47" applyNumberFormat="0" applyAlignment="0" applyProtection="0"/>
    <xf numFmtId="0" fontId="14" fillId="0" borderId="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29" fillId="67" borderId="40" applyNumberFormat="0" applyAlignment="0" applyProtection="0"/>
    <xf numFmtId="0" fontId="14" fillId="0" borderId="0"/>
    <xf numFmtId="0" fontId="29" fillId="67" borderId="40" applyNumberFormat="0" applyAlignment="0" applyProtection="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30"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29" fillId="67" borderId="40" applyNumberFormat="0" applyAlignment="0" applyProtection="0"/>
    <xf numFmtId="0" fontId="14" fillId="0" borderId="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0" borderId="0"/>
    <xf numFmtId="0" fontId="29" fillId="67" borderId="40" applyNumberFormat="0" applyAlignment="0" applyProtection="0"/>
    <xf numFmtId="0" fontId="14" fillId="0" borderId="0"/>
    <xf numFmtId="0" fontId="14" fillId="0" borderId="0"/>
    <xf numFmtId="10" fontId="52" fillId="89" borderId="7" applyNumberFormat="0" applyBorder="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14" fillId="0" borderId="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17" borderId="40" applyNumberFormat="0" applyAlignment="0" applyProtection="0"/>
    <xf numFmtId="0" fontId="14" fillId="0" borderId="0"/>
    <xf numFmtId="0" fontId="32" fillId="73" borderId="47"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1" fillId="30"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1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34" fillId="0" borderId="48" applyNumberFormat="0" applyFill="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10" fontId="52" fillId="89" borderId="7" applyNumberFormat="0" applyBorder="0" applyAlignment="0" applyProtection="0"/>
    <xf numFmtId="0" fontId="21" fillId="73"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73"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14" fillId="0" borderId="0"/>
    <xf numFmtId="0" fontId="14" fillId="0" borderId="0"/>
    <xf numFmtId="0" fontId="14" fillId="0" borderId="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30" borderId="47" applyNumberFormat="0" applyAlignment="0" applyProtection="0"/>
    <xf numFmtId="0" fontId="21" fillId="30" borderId="40" applyNumberFormat="0" applyAlignment="0" applyProtection="0"/>
    <xf numFmtId="0" fontId="14" fillId="0" borderId="0"/>
    <xf numFmtId="10" fontId="52" fillId="89" borderId="7" applyNumberFormat="0" applyBorder="0" applyAlignment="0" applyProtection="0"/>
    <xf numFmtId="0" fontId="21" fillId="73"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0" borderId="0"/>
    <xf numFmtId="0" fontId="32" fillId="65"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14" fillId="0" borderId="0"/>
    <xf numFmtId="0" fontId="29" fillId="1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14" fillId="0" borderId="0"/>
    <xf numFmtId="0" fontId="21" fillId="30" borderId="40" applyNumberFormat="0" applyAlignment="0" applyProtection="0"/>
    <xf numFmtId="0" fontId="29" fillId="67" borderId="40" applyNumberFormat="0" applyAlignment="0" applyProtection="0"/>
    <xf numFmtId="0" fontId="14" fillId="0" borderId="0"/>
    <xf numFmtId="0" fontId="14" fillId="0" borderId="0"/>
    <xf numFmtId="0" fontId="29" fillId="67" borderId="40" applyNumberFormat="0" applyAlignment="0" applyProtection="0"/>
    <xf numFmtId="0" fontId="14" fillId="0" borderId="0"/>
    <xf numFmtId="0" fontId="29" fillId="67" borderId="40" applyNumberFormat="0" applyAlignment="0" applyProtection="0"/>
    <xf numFmtId="0" fontId="14" fillId="0" borderId="0"/>
    <xf numFmtId="0" fontId="29" fillId="67" borderId="40" applyNumberFormat="0" applyAlignment="0" applyProtection="0"/>
    <xf numFmtId="0" fontId="14" fillId="0" borderId="0"/>
    <xf numFmtId="0" fontId="34" fillId="0" borderId="48" applyNumberFormat="0" applyFill="0" applyAlignment="0" applyProtection="0"/>
    <xf numFmtId="0" fontId="14" fillId="0" borderId="0"/>
    <xf numFmtId="0" fontId="14" fillId="0" borderId="0"/>
    <xf numFmtId="0" fontId="14" fillId="0" borderId="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21" fillId="65"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34" fillId="0" borderId="48" applyNumberFormat="0" applyFill="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34" fillId="0" borderId="48" applyNumberFormat="0" applyFill="0" applyAlignment="0" applyProtection="0"/>
    <xf numFmtId="0" fontId="21" fillId="65"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29" fillId="17"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0" borderId="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29" fillId="67" borderId="40" applyNumberFormat="0" applyAlignment="0" applyProtection="0"/>
    <xf numFmtId="0" fontId="29" fillId="67" borderId="40" applyNumberFormat="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29" fillId="17" borderId="40" applyNumberFormat="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29" fillId="67" borderId="40" applyNumberFormat="0" applyAlignment="0" applyProtection="0"/>
    <xf numFmtId="0" fontId="21" fillId="73" borderId="40" applyNumberFormat="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56" borderId="0" applyNumberFormat="0" applyBorder="0" applyAlignment="0" applyProtection="0"/>
    <xf numFmtId="0" fontId="14" fillId="56" borderId="0"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14" fillId="60" borderId="0" applyNumberFormat="0" applyBorder="0" applyAlignment="0" applyProtection="0"/>
    <xf numFmtId="0" fontId="14" fillId="60" borderId="0" applyNumberFormat="0" applyBorder="0" applyAlignment="0" applyProtection="0"/>
    <xf numFmtId="0" fontId="29" fillId="67" borderId="40" applyNumberFormat="0" applyAlignment="0" applyProtection="0"/>
    <xf numFmtId="0" fontId="14" fillId="41" borderId="0" applyNumberFormat="0" applyBorder="0" applyAlignment="0" applyProtection="0"/>
    <xf numFmtId="0" fontId="14" fillId="41" borderId="0"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29" fillId="67" borderId="40" applyNumberFormat="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1" fillId="65" borderId="40" applyNumberFormat="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9" fillId="17" borderId="40" applyNumberFormat="0" applyAlignment="0" applyProtection="0"/>
    <xf numFmtId="0" fontId="21" fillId="65"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1" fillId="73"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32" fillId="65" borderId="47" applyNumberFormat="0" applyAlignment="0" applyProtection="0"/>
    <xf numFmtId="0" fontId="6" fillId="69" borderId="46" applyNumberFormat="0" applyFont="0" applyAlignment="0" applyProtection="0"/>
    <xf numFmtId="0" fontId="34" fillId="0" borderId="48" applyNumberFormat="0" applyFill="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1" fillId="30"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73"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6" fillId="69" borderId="46" applyNumberFormat="0" applyFont="0" applyAlignment="0" applyProtection="0"/>
    <xf numFmtId="0" fontId="32" fillId="65" borderId="47" applyNumberFormat="0" applyAlignment="0" applyProtection="0"/>
    <xf numFmtId="0" fontId="6" fillId="33" borderId="46" applyNumberFormat="0" applyFont="0" applyAlignment="0" applyProtection="0"/>
    <xf numFmtId="0" fontId="6" fillId="69" borderId="46" applyNumberFormat="0" applyFon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2" fillId="30" borderId="47" applyNumberFormat="0" applyAlignment="0" applyProtection="0"/>
    <xf numFmtId="0" fontId="34" fillId="0" borderId="48" applyNumberFormat="0" applyFill="0" applyAlignment="0" applyProtection="0"/>
    <xf numFmtId="10" fontId="52" fillId="89" borderId="7" applyNumberFormat="0" applyBorder="0" applyAlignment="0" applyProtection="0"/>
    <xf numFmtId="0" fontId="29" fillId="67" borderId="40" applyNumberFormat="0" applyAlignment="0" applyProtection="0"/>
    <xf numFmtId="0" fontId="32" fillId="30" borderId="47" applyNumberFormat="0" applyAlignment="0" applyProtection="0"/>
    <xf numFmtId="0" fontId="29" fillId="1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1" fillId="30"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30" borderId="47" applyNumberFormat="0" applyAlignment="0" applyProtection="0"/>
    <xf numFmtId="0" fontId="34" fillId="0" borderId="48" applyNumberFormat="0" applyFill="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34" fillId="0" borderId="48" applyNumberFormat="0" applyFill="0" applyAlignment="0" applyProtection="0"/>
    <xf numFmtId="0" fontId="21" fillId="65" borderId="40" applyNumberFormat="0" applyAlignment="0" applyProtection="0"/>
    <xf numFmtId="0" fontId="14" fillId="0" borderId="0"/>
    <xf numFmtId="0" fontId="14" fillId="0" borderId="0"/>
    <xf numFmtId="0" fontId="14" fillId="0" borderId="0"/>
    <xf numFmtId="0" fontId="14" fillId="0" borderId="0"/>
    <xf numFmtId="0" fontId="6" fillId="69"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10" fontId="52" fillId="89" borderId="7" applyNumberFormat="0" applyBorder="0" applyAlignment="0" applyProtection="0"/>
    <xf numFmtId="0" fontId="14" fillId="0" borderId="0"/>
    <xf numFmtId="0" fontId="29" fillId="67" borderId="40" applyNumberFormat="0" applyAlignment="0" applyProtection="0"/>
    <xf numFmtId="0" fontId="29" fillId="67" borderId="40" applyNumberFormat="0" applyAlignment="0" applyProtection="0"/>
    <xf numFmtId="0" fontId="14" fillId="0" borderId="0"/>
    <xf numFmtId="0" fontId="6" fillId="69" borderId="46" applyNumberFormat="0" applyFont="0" applyAlignment="0" applyProtection="0"/>
    <xf numFmtId="0" fontId="6" fillId="33" borderId="46" applyNumberFormat="0" applyFont="0" applyAlignment="0" applyProtection="0"/>
    <xf numFmtId="0" fontId="32" fillId="65" borderId="47"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0" borderId="0"/>
    <xf numFmtId="0" fontId="29" fillId="67" borderId="40" applyNumberFormat="0" applyAlignment="0" applyProtection="0"/>
    <xf numFmtId="0" fontId="14" fillId="0" borderId="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30"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14" fillId="0" borderId="0"/>
    <xf numFmtId="0" fontId="29" fillId="17" borderId="40" applyNumberFormat="0" applyAlignment="0" applyProtection="0"/>
    <xf numFmtId="0" fontId="29" fillId="67" borderId="40" applyNumberFormat="0" applyAlignment="0" applyProtection="0"/>
    <xf numFmtId="0" fontId="14" fillId="0" borderId="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34" fillId="0" borderId="48" applyNumberFormat="0" applyFill="0" applyAlignment="0" applyProtection="0"/>
    <xf numFmtId="0" fontId="29" fillId="17" borderId="40" applyNumberFormat="0" applyAlignment="0" applyProtection="0"/>
    <xf numFmtId="0" fontId="32" fillId="73"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14" fillId="0" borderId="0"/>
    <xf numFmtId="0" fontId="6" fillId="33" borderId="46" applyNumberFormat="0" applyFont="0" applyAlignment="0" applyProtection="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14" fillId="0" borderId="0"/>
    <xf numFmtId="10" fontId="52" fillId="89" borderId="7" applyNumberFormat="0" applyBorder="0" applyAlignment="0" applyProtection="0"/>
    <xf numFmtId="0" fontId="32" fillId="30" borderId="47"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2" fillId="65" borderId="47" applyNumberFormat="0" applyAlignment="0" applyProtection="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29" fillId="1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32" fillId="30" borderId="47"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2" fillId="30" borderId="47"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73"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14" fillId="0" borderId="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14" fillId="0" borderId="0"/>
    <xf numFmtId="0" fontId="14" fillId="0" borderId="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14" fillId="0" borderId="0"/>
    <xf numFmtId="0" fontId="14" fillId="0" borderId="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6" fillId="69" borderId="46" applyNumberFormat="0" applyFon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73" borderId="40"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32" fillId="65" borderId="47" applyNumberFormat="0" applyAlignment="0" applyProtection="0"/>
    <xf numFmtId="0" fontId="21" fillId="30"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1" fillId="73"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1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17" borderId="40" applyNumberFormat="0" applyAlignment="0" applyProtection="0"/>
    <xf numFmtId="0" fontId="29" fillId="67" borderId="40" applyNumberFormat="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14" fillId="41" borderId="0" applyNumberFormat="0" applyBorder="0" applyAlignment="0" applyProtection="0"/>
    <xf numFmtId="0" fontId="14" fillId="44" borderId="0" applyNumberFormat="0" applyBorder="0" applyAlignment="0" applyProtection="0"/>
    <xf numFmtId="0" fontId="14" fillId="45" borderId="0" applyNumberFormat="0" applyBorder="0" applyAlignment="0" applyProtection="0"/>
    <xf numFmtId="0" fontId="14" fillId="48" borderId="0" applyNumberFormat="0" applyBorder="0" applyAlignment="0" applyProtection="0"/>
    <xf numFmtId="0" fontId="14" fillId="49" borderId="0" applyNumberFormat="0" applyBorder="0" applyAlignment="0" applyProtection="0"/>
    <xf numFmtId="0" fontId="14" fillId="52" borderId="0" applyNumberFormat="0" applyBorder="0" applyAlignment="0" applyProtection="0"/>
    <xf numFmtId="0" fontId="14" fillId="53" borderId="0" applyNumberFormat="0" applyBorder="0" applyAlignment="0" applyProtection="0"/>
    <xf numFmtId="0" fontId="21" fillId="30" borderId="40" applyNumberFormat="0" applyAlignment="0" applyProtection="0"/>
    <xf numFmtId="0" fontId="32" fillId="73" borderId="47" applyNumberFormat="0" applyAlignment="0" applyProtection="0"/>
    <xf numFmtId="0" fontId="14" fillId="61" borderId="0" applyNumberFormat="0" applyBorder="0" applyAlignment="0" applyProtection="0"/>
    <xf numFmtId="0" fontId="6" fillId="69" borderId="46" applyNumberFormat="0" applyFont="0" applyAlignment="0" applyProtection="0"/>
    <xf numFmtId="0" fontId="14" fillId="0" borderId="0"/>
    <xf numFmtId="0" fontId="14" fillId="38" borderId="63" applyNumberFormat="0" applyFont="0" applyAlignment="0" applyProtection="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2" fillId="73" borderId="47" applyNumberFormat="0" applyAlignment="0" applyProtection="0"/>
    <xf numFmtId="0" fontId="14" fillId="0" borderId="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1" fillId="65" borderId="40" applyNumberFormat="0" applyAlignment="0" applyProtection="0"/>
    <xf numFmtId="0" fontId="21" fillId="65"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65" borderId="47"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73" borderId="47" applyNumberFormat="0" applyAlignment="0" applyProtection="0"/>
    <xf numFmtId="0" fontId="21" fillId="65" borderId="40" applyNumberFormat="0" applyAlignment="0" applyProtection="0"/>
    <xf numFmtId="0" fontId="21" fillId="65"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65" borderId="47"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14" fillId="0" borderId="0"/>
    <xf numFmtId="0" fontId="14" fillId="38" borderId="63" applyNumberFormat="0" applyFont="0" applyAlignment="0" applyProtection="0"/>
    <xf numFmtId="0" fontId="14" fillId="41" borderId="0" applyNumberFormat="0" applyBorder="0" applyAlignment="0" applyProtection="0"/>
    <xf numFmtId="0" fontId="14" fillId="44" borderId="0" applyNumberFormat="0" applyBorder="0" applyAlignment="0" applyProtection="0"/>
    <xf numFmtId="0" fontId="14" fillId="45" borderId="0" applyNumberFormat="0" applyBorder="0" applyAlignment="0" applyProtection="0"/>
    <xf numFmtId="0" fontId="14" fillId="48" borderId="0" applyNumberFormat="0" applyBorder="0" applyAlignment="0" applyProtection="0"/>
    <xf numFmtId="0" fontId="14" fillId="49" borderId="0" applyNumberFormat="0" applyBorder="0" applyAlignment="0" applyProtection="0"/>
    <xf numFmtId="0" fontId="14" fillId="52" borderId="0" applyNumberFormat="0" applyBorder="0" applyAlignment="0" applyProtection="0"/>
    <xf numFmtId="0" fontId="14" fillId="53" borderId="0" applyNumberFormat="0" applyBorder="0" applyAlignment="0" applyProtection="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1" borderId="0"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30"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65" borderId="40" applyNumberFormat="0" applyAlignment="0" applyProtection="0"/>
    <xf numFmtId="0" fontId="21" fillId="65" borderId="40" applyNumberFormat="0" applyAlignment="0" applyProtection="0"/>
    <xf numFmtId="0" fontId="32" fillId="73" borderId="47" applyNumberFormat="0" applyAlignment="0" applyProtection="0"/>
    <xf numFmtId="0" fontId="32" fillId="65" borderId="47"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21" fillId="65"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1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21" fillId="65"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1" fillId="65" borderId="40" applyNumberFormat="0" applyAlignment="0" applyProtection="0"/>
    <xf numFmtId="0" fontId="21" fillId="30" borderId="40" applyNumberFormat="0" applyAlignment="0" applyProtection="0"/>
    <xf numFmtId="0" fontId="6" fillId="69"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65" borderId="40" applyNumberFormat="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2" fillId="73" borderId="47" applyNumberFormat="0" applyAlignment="0" applyProtection="0"/>
    <xf numFmtId="0" fontId="32" fillId="65" borderId="47" applyNumberFormat="0" applyAlignment="0" applyProtection="0"/>
    <xf numFmtId="0" fontId="29" fillId="67" borderId="40" applyNumberFormat="0" applyAlignment="0" applyProtection="0"/>
    <xf numFmtId="0" fontId="21" fillId="73"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32" fillId="30"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6" fillId="33" borderId="46" applyNumberFormat="0" applyFont="0" applyAlignment="0" applyProtection="0"/>
    <xf numFmtId="0" fontId="32" fillId="65" borderId="47"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65" borderId="40" applyNumberFormat="0" applyAlignment="0" applyProtection="0"/>
    <xf numFmtId="0" fontId="32" fillId="73" borderId="47" applyNumberFormat="0" applyAlignment="0" applyProtection="0"/>
    <xf numFmtId="0" fontId="6" fillId="33" borderId="46" applyNumberFormat="0" applyFont="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17"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6" fillId="69" borderId="46" applyNumberFormat="0" applyFont="0" applyAlignment="0" applyProtection="0"/>
    <xf numFmtId="0" fontId="29" fillId="1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6" fillId="33" borderId="46" applyNumberFormat="0" applyFon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6" fillId="33" borderId="46" applyNumberFormat="0" applyFont="0" applyAlignment="0" applyProtection="0"/>
    <xf numFmtId="0" fontId="34" fillId="0" borderId="48" applyNumberFormat="0" applyFill="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65" borderId="40" applyNumberFormat="0" applyAlignment="0" applyProtection="0"/>
    <xf numFmtId="0" fontId="21" fillId="65"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32" fillId="30" borderId="47" applyNumberFormat="0" applyAlignment="0" applyProtection="0"/>
    <xf numFmtId="0" fontId="29" fillId="67" borderId="40" applyNumberFormat="0" applyAlignment="0" applyProtection="0"/>
    <xf numFmtId="0" fontId="32" fillId="65" borderId="47"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32" fillId="65" borderId="47" applyNumberFormat="0" applyAlignment="0" applyProtection="0"/>
    <xf numFmtId="0" fontId="29" fillId="17" borderId="40" applyNumberFormat="0" applyAlignment="0" applyProtection="0"/>
    <xf numFmtId="10" fontId="52" fillId="89" borderId="7" applyNumberFormat="0" applyBorder="0" applyAlignment="0" applyProtection="0"/>
    <xf numFmtId="0" fontId="21" fillId="65"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30" borderId="47"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17" borderId="40"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65" borderId="47" applyNumberFormat="0" applyAlignment="0" applyProtection="0"/>
    <xf numFmtId="0" fontId="32" fillId="73" borderId="47"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0" fontId="32" fillId="30" borderId="47" applyNumberFormat="0" applyAlignment="0" applyProtection="0"/>
    <xf numFmtId="0" fontId="6" fillId="69" borderId="46" applyNumberFormat="0" applyFont="0" applyAlignment="0" applyProtection="0"/>
    <xf numFmtId="0" fontId="32" fillId="73"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30"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2" fillId="30"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1" fillId="73" borderId="40" applyNumberFormat="0" applyAlignment="0" applyProtection="0"/>
    <xf numFmtId="0" fontId="21" fillId="65"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29" fillId="67" borderId="40" applyNumberFormat="0" applyAlignment="0" applyProtection="0"/>
    <xf numFmtId="0" fontId="32" fillId="30"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65"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1" fillId="73" borderId="40" applyNumberFormat="0" applyAlignment="0" applyProtection="0"/>
    <xf numFmtId="0" fontId="32" fillId="73"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32" fillId="73" borderId="47" applyNumberFormat="0" applyAlignment="0" applyProtection="0"/>
    <xf numFmtId="0" fontId="32" fillId="30" borderId="47" applyNumberFormat="0" applyAlignment="0" applyProtection="0"/>
    <xf numFmtId="0" fontId="32" fillId="65" borderId="47" applyNumberFormat="0" applyAlignment="0" applyProtection="0"/>
    <xf numFmtId="0" fontId="6" fillId="33" borderId="46" applyNumberFormat="0" applyFont="0" applyAlignment="0" applyProtection="0"/>
    <xf numFmtId="10" fontId="52" fillId="89" borderId="7" applyNumberFormat="0" applyBorder="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34" fillId="0" borderId="48" applyNumberFormat="0" applyFill="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0" fontId="32" fillId="73" borderId="47" applyNumberFormat="0" applyAlignment="0" applyProtection="0"/>
    <xf numFmtId="0" fontId="32" fillId="65" borderId="47" applyNumberFormat="0" applyAlignment="0" applyProtection="0"/>
    <xf numFmtId="0" fontId="6" fillId="33" borderId="46" applyNumberFormat="0" applyFont="0" applyAlignment="0" applyProtection="0"/>
    <xf numFmtId="0" fontId="6" fillId="33" borderId="46" applyNumberFormat="0" applyFont="0" applyAlignment="0" applyProtection="0"/>
    <xf numFmtId="0" fontId="29" fillId="1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65" borderId="47" applyNumberFormat="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1" fillId="30" borderId="40" applyNumberFormat="0" applyAlignment="0" applyProtection="0"/>
    <xf numFmtId="0" fontId="32" fillId="65" borderId="47"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33"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32" fillId="30" borderId="47"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6" fillId="69"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1" fillId="30"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65"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1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21" fillId="65"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2" fillId="30" borderId="47" applyNumberFormat="0" applyAlignment="0" applyProtection="0"/>
    <xf numFmtId="0" fontId="32" fillId="73" borderId="47" applyNumberFormat="0" applyAlignment="0" applyProtection="0"/>
    <xf numFmtId="0" fontId="6" fillId="69" borderId="46" applyNumberFormat="0" applyFon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73"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32" fillId="30"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4" fillId="0" borderId="48" applyNumberFormat="0" applyFill="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69" borderId="46" applyNumberFormat="0" applyFont="0" applyAlignment="0" applyProtection="0"/>
    <xf numFmtId="0" fontId="34" fillId="0" borderId="48" applyNumberFormat="0" applyFill="0" applyAlignment="0" applyProtection="0"/>
    <xf numFmtId="0" fontId="29" fillId="17" borderId="40" applyNumberFormat="0" applyAlignment="0" applyProtection="0"/>
    <xf numFmtId="10" fontId="52" fillId="89" borderId="7" applyNumberFormat="0" applyBorder="0" applyAlignment="0" applyProtection="0"/>
    <xf numFmtId="0" fontId="21" fillId="65"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32" fillId="65"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2" fillId="73" borderId="47" applyNumberFormat="0" applyAlignment="0" applyProtection="0"/>
    <xf numFmtId="0" fontId="32" fillId="65" borderId="47" applyNumberFormat="0" applyAlignment="0" applyProtection="0"/>
    <xf numFmtId="0" fontId="32" fillId="65"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9" fillId="67" borderId="40" applyNumberFormat="0" applyAlignment="0" applyProtection="0"/>
    <xf numFmtId="0" fontId="21" fillId="73" borderId="40" applyNumberFormat="0" applyAlignment="0" applyProtection="0"/>
    <xf numFmtId="0" fontId="21" fillId="73"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32" fillId="65" borderId="47"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33" borderId="46" applyNumberFormat="0" applyFont="0" applyAlignment="0" applyProtection="0"/>
    <xf numFmtId="0" fontId="21" fillId="73" borderId="40" applyNumberFormat="0" applyAlignment="0" applyProtection="0"/>
    <xf numFmtId="0" fontId="29" fillId="67" borderId="40" applyNumberFormat="0" applyAlignment="0" applyProtection="0"/>
    <xf numFmtId="0" fontId="21" fillId="73"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73" borderId="47" applyNumberFormat="0" applyAlignment="0" applyProtection="0"/>
    <xf numFmtId="0" fontId="6" fillId="69" borderId="46" applyNumberFormat="0" applyFont="0" applyAlignment="0" applyProtection="0"/>
    <xf numFmtId="0" fontId="32" fillId="65"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73" borderId="40" applyNumberFormat="0" applyAlignment="0" applyProtection="0"/>
    <xf numFmtId="0" fontId="21" fillId="65" borderId="40" applyNumberFormat="0" applyAlignment="0" applyProtection="0"/>
    <xf numFmtId="0" fontId="32" fillId="73" borderId="47"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33" borderId="46" applyNumberFormat="0" applyFont="0" applyAlignment="0" applyProtection="0"/>
    <xf numFmtId="0" fontId="29" fillId="17"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32" fillId="73" borderId="47" applyNumberFormat="0" applyAlignment="0" applyProtection="0"/>
    <xf numFmtId="0" fontId="29" fillId="67" borderId="40" applyNumberFormat="0" applyAlignment="0" applyProtection="0"/>
    <xf numFmtId="0" fontId="6" fillId="69" borderId="46" applyNumberFormat="0" applyFont="0" applyAlignment="0" applyProtection="0"/>
    <xf numFmtId="10" fontId="52" fillId="89" borderId="7" applyNumberFormat="0" applyBorder="0" applyAlignment="0" applyProtection="0"/>
    <xf numFmtId="10" fontId="52" fillId="89" borderId="7" applyNumberFormat="0" applyBorder="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29" fillId="17" borderId="40" applyNumberFormat="0" applyAlignment="0" applyProtection="0"/>
    <xf numFmtId="0" fontId="6" fillId="69" borderId="46" applyNumberFormat="0" applyFon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32" fillId="65" borderId="47"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32" fillId="30" borderId="47" applyNumberFormat="0" applyAlignment="0" applyProtection="0"/>
    <xf numFmtId="0" fontId="29" fillId="67"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29" fillId="67" borderId="40" applyNumberFormat="0" applyAlignment="0" applyProtection="0"/>
    <xf numFmtId="0" fontId="32" fillId="30"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32" fillId="65" borderId="47" applyNumberFormat="0" applyAlignment="0" applyProtection="0"/>
    <xf numFmtId="0" fontId="29" fillId="17" borderId="40" applyNumberFormat="0" applyAlignment="0" applyProtection="0"/>
    <xf numFmtId="10" fontId="52" fillId="89" borderId="7" applyNumberFormat="0" applyBorder="0" applyAlignment="0" applyProtection="0"/>
    <xf numFmtId="0" fontId="21" fillId="65"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34" fillId="0" borderId="48" applyNumberFormat="0" applyFill="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32" fillId="73"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21" fillId="73"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34" fillId="0" borderId="48" applyNumberFormat="0" applyFill="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10" fontId="52" fillId="89" borderId="7" applyNumberFormat="0" applyBorder="0" applyAlignment="0" applyProtection="0"/>
    <xf numFmtId="0" fontId="6" fillId="33" borderId="46" applyNumberFormat="0" applyFont="0" applyAlignment="0" applyProtection="0"/>
    <xf numFmtId="0" fontId="32" fillId="65" borderId="47" applyNumberFormat="0" applyAlignment="0" applyProtection="0"/>
    <xf numFmtId="0" fontId="21" fillId="30" borderId="40" applyNumberFormat="0" applyAlignment="0" applyProtection="0"/>
    <xf numFmtId="0" fontId="29" fillId="17" borderId="40" applyNumberFormat="0" applyAlignment="0" applyProtection="0"/>
    <xf numFmtId="0" fontId="21" fillId="65"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4" fillId="0" borderId="48" applyNumberFormat="0" applyFill="0" applyAlignment="0" applyProtection="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32" fillId="30" borderId="47" applyNumberFormat="0" applyAlignment="0" applyProtection="0"/>
    <xf numFmtId="0" fontId="29" fillId="67" borderId="40" applyNumberFormat="0" applyAlignment="0" applyProtection="0"/>
    <xf numFmtId="0" fontId="32" fillId="65"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6" fillId="33"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1" fillId="30" borderId="40" applyNumberFormat="0" applyAlignment="0" applyProtection="0"/>
    <xf numFmtId="0" fontId="32" fillId="30"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34" fillId="0" borderId="48" applyNumberFormat="0" applyFill="0" applyAlignment="0" applyProtection="0"/>
    <xf numFmtId="0" fontId="29" fillId="1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32" fillId="65" borderId="47" applyNumberFormat="0" applyAlignment="0" applyProtection="0"/>
    <xf numFmtId="0" fontId="29" fillId="17" borderId="40" applyNumberFormat="0" applyAlignment="0" applyProtection="0"/>
    <xf numFmtId="0" fontId="21" fillId="30"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10" fontId="52" fillId="89" borderId="7" applyNumberFormat="0" applyBorder="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21" fillId="65" borderId="40" applyNumberFormat="0" applyAlignment="0" applyProtection="0"/>
    <xf numFmtId="0" fontId="29" fillId="1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1" fillId="30" borderId="40" applyNumberFormat="0" applyAlignment="0" applyProtection="0"/>
    <xf numFmtId="0" fontId="32" fillId="65" borderId="47"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10" fontId="52" fillId="89" borderId="7" applyNumberFormat="0" applyBorder="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30" borderId="47"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32" fillId="65"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21" fillId="65" borderId="40"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6" fillId="69" borderId="46" applyNumberFormat="0" applyFon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30" borderId="40" applyNumberFormat="0" applyAlignment="0" applyProtection="0"/>
    <xf numFmtId="0" fontId="34" fillId="0" borderId="48" applyNumberFormat="0" applyFill="0" applyAlignment="0" applyProtection="0"/>
    <xf numFmtId="0" fontId="29" fillId="67"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10" fontId="52" fillId="89" borderId="7" applyNumberFormat="0" applyBorder="0" applyAlignment="0" applyProtection="0"/>
    <xf numFmtId="0" fontId="34" fillId="0" borderId="48" applyNumberFormat="0" applyFill="0" applyAlignment="0" applyProtection="0"/>
    <xf numFmtId="0" fontId="29" fillId="67" borderId="40" applyNumberFormat="0" applyAlignment="0" applyProtection="0"/>
    <xf numFmtId="0" fontId="32" fillId="65"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73" borderId="47" applyNumberFormat="0" applyAlignment="0" applyProtection="0"/>
    <xf numFmtId="0" fontId="21" fillId="65" borderId="40" applyNumberFormat="0" applyAlignment="0" applyProtection="0"/>
    <xf numFmtId="0" fontId="21" fillId="65"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65" borderId="47"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14" fillId="0" borderId="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40"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0" borderId="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56"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45"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57"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14" fillId="0" borderId="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33"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18" fillId="69" borderId="46" applyNumberFormat="0" applyFont="0" applyAlignment="0" applyProtection="0"/>
    <xf numFmtId="0" fontId="18" fillId="69" borderId="46" applyNumberFormat="0" applyFont="0" applyAlignment="0" applyProtection="0"/>
    <xf numFmtId="0" fontId="14" fillId="0" borderId="0"/>
    <xf numFmtId="0" fontId="14" fillId="0" borderId="0"/>
    <xf numFmtId="0" fontId="14" fillId="38" borderId="63" applyNumberFormat="0" applyFont="0" applyAlignment="0" applyProtection="0"/>
    <xf numFmtId="0" fontId="14" fillId="41" borderId="0" applyNumberFormat="0" applyBorder="0" applyAlignment="0" applyProtection="0"/>
    <xf numFmtId="0" fontId="14" fillId="44" borderId="0" applyNumberFormat="0" applyBorder="0" applyAlignment="0" applyProtection="0"/>
    <xf numFmtId="0" fontId="14" fillId="45" borderId="0" applyNumberFormat="0" applyBorder="0" applyAlignment="0" applyProtection="0"/>
    <xf numFmtId="0" fontId="14" fillId="48" borderId="0" applyNumberFormat="0" applyBorder="0" applyAlignment="0" applyProtection="0"/>
    <xf numFmtId="0" fontId="14" fillId="49" borderId="0" applyNumberFormat="0" applyBorder="0" applyAlignment="0" applyProtection="0"/>
    <xf numFmtId="0" fontId="14" fillId="52" borderId="0" applyNumberFormat="0" applyBorder="0" applyAlignment="0" applyProtection="0"/>
    <xf numFmtId="0" fontId="14" fillId="53" borderId="0" applyNumberFormat="0" applyBorder="0" applyAlignment="0" applyProtection="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56"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45"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57"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44" borderId="0" applyNumberFormat="0" applyBorder="0" applyAlignment="0" applyProtection="0"/>
    <xf numFmtId="0" fontId="14" fillId="44"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0" borderId="0"/>
    <xf numFmtId="0" fontId="14" fillId="61" borderId="0" applyNumberFormat="0" applyBorder="0" applyAlignment="0" applyProtection="0"/>
    <xf numFmtId="0" fontId="14" fillId="61" borderId="0" applyNumberFormat="0" applyBorder="0" applyAlignment="0" applyProtection="0"/>
    <xf numFmtId="0" fontId="14" fillId="0" borderId="0"/>
    <xf numFmtId="0" fontId="21" fillId="65"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10" fontId="52" fillId="89" borderId="7" applyNumberFormat="0" applyBorder="0" applyAlignment="0" applyProtection="0"/>
    <xf numFmtId="0" fontId="32" fillId="30" borderId="47"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65"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4" fillId="0" borderId="48" applyNumberFormat="0" applyFill="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65"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1" fillId="65" borderId="40" applyNumberFormat="0" applyAlignment="0" applyProtection="0"/>
    <xf numFmtId="0" fontId="29" fillId="67" borderId="40" applyNumberFormat="0" applyAlignment="0" applyProtection="0"/>
    <xf numFmtId="0" fontId="32" fillId="65" borderId="47" applyNumberFormat="0" applyAlignment="0" applyProtection="0"/>
    <xf numFmtId="0" fontId="34" fillId="0" borderId="48" applyNumberFormat="0" applyFill="0" applyAlignment="0" applyProtection="0"/>
    <xf numFmtId="10" fontId="52" fillId="89" borderId="7" applyNumberFormat="0" applyBorder="0" applyAlignment="0" applyProtection="0"/>
    <xf numFmtId="0" fontId="32" fillId="73" borderId="47" applyNumberFormat="0" applyAlignment="0" applyProtection="0"/>
    <xf numFmtId="0" fontId="29" fillId="1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6" fillId="69" borderId="46" applyNumberFormat="0" applyFont="0" applyAlignment="0" applyProtection="0"/>
    <xf numFmtId="0" fontId="21" fillId="30"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2" fillId="73"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65" borderId="47" applyNumberFormat="0" applyAlignment="0" applyProtection="0"/>
    <xf numFmtId="0" fontId="32" fillId="65" borderId="47" applyNumberFormat="0" applyAlignment="0" applyProtection="0"/>
    <xf numFmtId="0" fontId="6" fillId="33"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65" borderId="40" applyNumberFormat="0" applyAlignment="0" applyProtection="0"/>
    <xf numFmtId="0" fontId="21" fillId="65"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6" fillId="69" borderId="46" applyNumberFormat="0" applyFont="0" applyAlignment="0" applyProtection="0"/>
    <xf numFmtId="10" fontId="52" fillId="89" borderId="7" applyNumberFormat="0" applyBorder="0" applyAlignment="0" applyProtection="0"/>
    <xf numFmtId="10" fontId="52" fillId="89" borderId="7" applyNumberFormat="0" applyBorder="0" applyAlignment="0" applyProtection="0"/>
    <xf numFmtId="0" fontId="6" fillId="69" borderId="46" applyNumberFormat="0" applyFont="0" applyAlignment="0" applyProtection="0"/>
    <xf numFmtId="0" fontId="32" fillId="30"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30" borderId="47" applyNumberFormat="0" applyAlignment="0" applyProtection="0"/>
    <xf numFmtId="0" fontId="21" fillId="73"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69" borderId="46" applyNumberFormat="0" applyFont="0" applyAlignment="0" applyProtection="0"/>
    <xf numFmtId="0" fontId="21" fillId="30"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30" borderId="47" applyNumberFormat="0" applyAlignment="0" applyProtection="0"/>
    <xf numFmtId="0" fontId="6" fillId="33" borderId="46" applyNumberFormat="0" applyFont="0" applyAlignment="0" applyProtection="0"/>
    <xf numFmtId="0" fontId="34" fillId="0" borderId="48" applyNumberFormat="0" applyFill="0" applyAlignment="0" applyProtection="0"/>
    <xf numFmtId="0" fontId="29" fillId="67" borderId="40" applyNumberFormat="0" applyAlignment="0" applyProtection="0"/>
    <xf numFmtId="0" fontId="34" fillId="0" borderId="48" applyNumberFormat="0" applyFill="0" applyAlignment="0" applyProtection="0"/>
    <xf numFmtId="0" fontId="21" fillId="73"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6" fillId="33" borderId="46" applyNumberFormat="0" applyFon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32" fillId="30" borderId="47" applyNumberFormat="0" applyAlignment="0" applyProtection="0"/>
    <xf numFmtId="0" fontId="21" fillId="65" borderId="40" applyNumberFormat="0" applyAlignment="0" applyProtection="0"/>
    <xf numFmtId="0" fontId="32" fillId="73"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1" fillId="30" borderId="40" applyNumberFormat="0" applyAlignment="0" applyProtection="0"/>
    <xf numFmtId="0" fontId="6" fillId="33" borderId="46" applyNumberFormat="0" applyFont="0" applyAlignment="0" applyProtection="0"/>
    <xf numFmtId="0" fontId="32" fillId="73" borderId="47" applyNumberFormat="0" applyAlignment="0" applyProtection="0"/>
    <xf numFmtId="0" fontId="21" fillId="65"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4" fillId="0" borderId="48" applyNumberFormat="0" applyFill="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32" fillId="30"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6" fillId="33" borderId="46" applyNumberFormat="0" applyFont="0" applyAlignment="0" applyProtection="0"/>
    <xf numFmtId="10" fontId="52" fillId="89" borderId="7" applyNumberFormat="0" applyBorder="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21" fillId="73"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32" fillId="30" borderId="47" applyNumberFormat="0" applyAlignment="0" applyProtection="0"/>
    <xf numFmtId="0" fontId="34" fillId="0" borderId="48" applyNumberFormat="0" applyFill="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1" fillId="65"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32" fillId="30" borderId="47" applyNumberFormat="0" applyAlignment="0" applyProtection="0"/>
    <xf numFmtId="0" fontId="21" fillId="73" borderId="40"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65" borderId="40" applyNumberFormat="0" applyAlignment="0" applyProtection="0"/>
    <xf numFmtId="0" fontId="6" fillId="69" borderId="46" applyNumberFormat="0" applyFont="0" applyAlignment="0" applyProtection="0"/>
    <xf numFmtId="10" fontId="52" fillId="89" borderId="7" applyNumberFormat="0" applyBorder="0" applyAlignment="0" applyProtection="0"/>
    <xf numFmtId="10" fontId="52" fillId="89" borderId="7" applyNumberFormat="0" applyBorder="0" applyAlignment="0" applyProtection="0"/>
    <xf numFmtId="0" fontId="32" fillId="73"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1" fillId="30"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2" fillId="65" borderId="47" applyNumberFormat="0" applyAlignment="0" applyProtection="0"/>
    <xf numFmtId="0" fontId="34" fillId="0" borderId="48" applyNumberFormat="0" applyFill="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9" fillId="1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32" fillId="30"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1" fillId="30" borderId="40" applyNumberFormat="0" applyAlignment="0" applyProtection="0"/>
    <xf numFmtId="0" fontId="32" fillId="73" borderId="47" applyNumberFormat="0" applyAlignment="0" applyProtection="0"/>
    <xf numFmtId="0" fontId="29" fillId="67"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67" borderId="40" applyNumberFormat="0" applyAlignment="0" applyProtection="0"/>
    <xf numFmtId="0" fontId="32" fillId="65" borderId="47" applyNumberFormat="0" applyAlignment="0" applyProtection="0"/>
    <xf numFmtId="0" fontId="34" fillId="0" borderId="48" applyNumberFormat="0" applyFill="0" applyAlignment="0" applyProtection="0"/>
    <xf numFmtId="0" fontId="29" fillId="17" borderId="40" applyNumberFormat="0" applyAlignment="0" applyProtection="0"/>
    <xf numFmtId="0" fontId="21" fillId="30" borderId="40" applyNumberFormat="0" applyAlignment="0" applyProtection="0"/>
    <xf numFmtId="0" fontId="32" fillId="65" borderId="47" applyNumberFormat="0" applyAlignment="0" applyProtection="0"/>
    <xf numFmtId="0" fontId="21" fillId="65" borderId="40" applyNumberFormat="0" applyAlignment="0" applyProtection="0"/>
    <xf numFmtId="0" fontId="21" fillId="73"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1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6" fillId="69" borderId="46" applyNumberFormat="0" applyFont="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30"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2" fillId="30" borderId="47" applyNumberFormat="0" applyAlignment="0" applyProtection="0"/>
    <xf numFmtId="0" fontId="34" fillId="0" borderId="48" applyNumberFormat="0" applyFill="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65"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10" fontId="52" fillId="89" borderId="7" applyNumberFormat="0" applyBorder="0" applyAlignment="0" applyProtection="0"/>
    <xf numFmtId="0" fontId="32" fillId="73"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4" fillId="0" borderId="48" applyNumberFormat="0" applyFill="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1" fillId="30" borderId="40" applyNumberFormat="0" applyAlignment="0" applyProtection="0"/>
    <xf numFmtId="0" fontId="21" fillId="65"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32" fillId="30" borderId="47" applyNumberFormat="0" applyAlignment="0" applyProtection="0"/>
    <xf numFmtId="0" fontId="32" fillId="30" borderId="47" applyNumberFormat="0" applyAlignment="0" applyProtection="0"/>
    <xf numFmtId="0" fontId="29" fillId="17" borderId="40" applyNumberFormat="0" applyAlignment="0" applyProtection="0"/>
    <xf numFmtId="0" fontId="21" fillId="65"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30"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1" fillId="30" borderId="40" applyNumberFormat="0" applyAlignment="0" applyProtection="0"/>
    <xf numFmtId="0" fontId="32" fillId="30" borderId="47"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4" fillId="0" borderId="48" applyNumberFormat="0" applyFill="0" applyAlignment="0" applyProtection="0"/>
    <xf numFmtId="0" fontId="21" fillId="73" borderId="40" applyNumberFormat="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4" fillId="0" borderId="48" applyNumberFormat="0" applyFill="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32" fillId="73" borderId="47" applyNumberFormat="0" applyAlignment="0" applyProtection="0"/>
    <xf numFmtId="0" fontId="34" fillId="0" borderId="48" applyNumberFormat="0" applyFill="0" applyAlignment="0" applyProtection="0"/>
    <xf numFmtId="10" fontId="52" fillId="89" borderId="7" applyNumberFormat="0" applyBorder="0" applyAlignment="0" applyProtection="0"/>
    <xf numFmtId="0" fontId="32" fillId="30" borderId="47" applyNumberFormat="0" applyAlignment="0" applyProtection="0"/>
    <xf numFmtId="0" fontId="6" fillId="69" borderId="46" applyNumberFormat="0" applyFont="0" applyAlignment="0" applyProtection="0"/>
    <xf numFmtId="0" fontId="6" fillId="33" borderId="46" applyNumberFormat="0" applyFont="0" applyAlignment="0" applyProtection="0"/>
    <xf numFmtId="10" fontId="52" fillId="89" borderId="7" applyNumberFormat="0" applyBorder="0" applyAlignment="0" applyProtection="0"/>
    <xf numFmtId="10" fontId="52" fillId="89" borderId="7" applyNumberFormat="0" applyBorder="0" applyAlignment="0" applyProtection="0"/>
    <xf numFmtId="0" fontId="6" fillId="33" borderId="46" applyNumberFormat="0" applyFont="0" applyAlignment="0" applyProtection="0"/>
    <xf numFmtId="0" fontId="32" fillId="73"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34" fillId="0" borderId="48" applyNumberFormat="0" applyFill="0" applyAlignment="0" applyProtection="0"/>
    <xf numFmtId="0" fontId="6" fillId="69" borderId="46" applyNumberFormat="0" applyFont="0" applyAlignment="0" applyProtection="0"/>
    <xf numFmtId="0" fontId="29" fillId="67" borderId="40" applyNumberFormat="0" applyAlignment="0" applyProtection="0"/>
    <xf numFmtId="0" fontId="6" fillId="69" borderId="46" applyNumberFormat="0" applyFont="0" applyAlignment="0" applyProtection="0"/>
    <xf numFmtId="0" fontId="21" fillId="65"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1" fillId="73"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1" fillId="73"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32" fillId="30" borderId="47" applyNumberFormat="0" applyAlignment="0" applyProtection="0"/>
    <xf numFmtId="0" fontId="21" fillId="30"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73" borderId="47" applyNumberFormat="0" applyAlignment="0" applyProtection="0"/>
    <xf numFmtId="0" fontId="32" fillId="65" borderId="47" applyNumberFormat="0" applyAlignment="0" applyProtection="0"/>
    <xf numFmtId="0" fontId="6" fillId="69" borderId="46" applyNumberFormat="0" applyFont="0" applyAlignment="0" applyProtection="0"/>
    <xf numFmtId="0" fontId="6" fillId="69" borderId="46" applyNumberFormat="0" applyFon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32" fillId="30" borderId="47" applyNumberFormat="0" applyAlignment="0" applyProtection="0"/>
    <xf numFmtId="0" fontId="21" fillId="65" borderId="40"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1" fillId="65" borderId="40" applyNumberFormat="0" applyAlignment="0" applyProtection="0"/>
    <xf numFmtId="0" fontId="6" fillId="69" borderId="46" applyNumberFormat="0" applyFont="0" applyAlignment="0" applyProtection="0"/>
    <xf numFmtId="0" fontId="32" fillId="65" borderId="47" applyNumberFormat="0" applyAlignment="0" applyProtection="0"/>
    <xf numFmtId="0" fontId="32" fillId="73"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1" fillId="65" borderId="40" applyNumberFormat="0" applyAlignment="0" applyProtection="0"/>
    <xf numFmtId="0" fontId="21" fillId="65"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65" borderId="47"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21" fillId="73"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34" fillId="0" borderId="48" applyNumberFormat="0" applyFill="0" applyAlignment="0" applyProtection="0"/>
    <xf numFmtId="0" fontId="21" fillId="30"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32" fillId="65" borderId="47" applyNumberFormat="0" applyAlignment="0" applyProtection="0"/>
    <xf numFmtId="0" fontId="34" fillId="0" borderId="48" applyNumberFormat="0" applyFill="0" applyAlignment="0" applyProtection="0"/>
    <xf numFmtId="0" fontId="32" fillId="30"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65" borderId="40" applyNumberFormat="0" applyAlignment="0" applyProtection="0"/>
    <xf numFmtId="0" fontId="6" fillId="33" borderId="46" applyNumberFormat="0" applyFont="0" applyAlignment="0" applyProtection="0"/>
    <xf numFmtId="10" fontId="52" fillId="89" borderId="7" applyNumberFormat="0" applyBorder="0" applyAlignment="0" applyProtection="0"/>
    <xf numFmtId="10" fontId="52" fillId="89" borderId="7" applyNumberFormat="0" applyBorder="0" applyAlignment="0" applyProtection="0"/>
    <xf numFmtId="0" fontId="32" fillId="73" borderId="47" applyNumberFormat="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65"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65" borderId="47"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1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29" fillId="17"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32" fillId="30" borderId="47" applyNumberFormat="0" applyAlignment="0" applyProtection="0"/>
    <xf numFmtId="0" fontId="29" fillId="17" borderId="40" applyNumberFormat="0" applyAlignment="0" applyProtection="0"/>
    <xf numFmtId="0" fontId="32" fillId="73" borderId="47" applyNumberFormat="0" applyAlignment="0" applyProtection="0"/>
    <xf numFmtId="0" fontId="34" fillId="0" borderId="48" applyNumberFormat="0" applyFill="0" applyAlignment="0" applyProtection="0"/>
    <xf numFmtId="0" fontId="29" fillId="67" borderId="40" applyNumberFormat="0" applyAlignment="0" applyProtection="0"/>
    <xf numFmtId="0" fontId="6" fillId="69" borderId="46" applyNumberFormat="0" applyFont="0" applyAlignment="0" applyProtection="0"/>
    <xf numFmtId="0" fontId="21" fillId="73" borderId="40" applyNumberFormat="0" applyAlignment="0" applyProtection="0"/>
    <xf numFmtId="0" fontId="29" fillId="67" borderId="40" applyNumberFormat="0" applyAlignment="0" applyProtection="0"/>
    <xf numFmtId="0" fontId="32" fillId="73"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1" fillId="30"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32" fillId="73" borderId="47" applyNumberFormat="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17" borderId="40" applyNumberFormat="0" applyAlignment="0" applyProtection="0"/>
    <xf numFmtId="0" fontId="34" fillId="0" borderId="48" applyNumberFormat="0" applyFill="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2" fillId="65" borderId="47" applyNumberFormat="0" applyAlignment="0" applyProtection="0"/>
    <xf numFmtId="0" fontId="34" fillId="0" borderId="48" applyNumberFormat="0" applyFill="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32" fillId="30" borderId="47" applyNumberFormat="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1" fillId="30" borderId="40" applyNumberFormat="0" applyAlignment="0" applyProtection="0"/>
    <xf numFmtId="0" fontId="32" fillId="65"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34" fillId="0" borderId="48" applyNumberFormat="0" applyFill="0" applyAlignment="0" applyProtection="0"/>
    <xf numFmtId="0" fontId="32" fillId="30" borderId="47" applyNumberFormat="0" applyAlignment="0" applyProtection="0"/>
    <xf numFmtId="0" fontId="32" fillId="73"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69" borderId="46" applyNumberFormat="0" applyFon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65" borderId="47" applyNumberFormat="0" applyAlignment="0" applyProtection="0"/>
    <xf numFmtId="0" fontId="21" fillId="30" borderId="40" applyNumberFormat="0" applyAlignment="0" applyProtection="0"/>
    <xf numFmtId="10" fontId="52" fillId="89" borderId="7" applyNumberFormat="0" applyBorder="0" applyAlignment="0" applyProtection="0"/>
    <xf numFmtId="0" fontId="29" fillId="1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32" fillId="30"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2" fillId="65" borderId="47" applyNumberFormat="0" applyAlignment="0" applyProtection="0"/>
    <xf numFmtId="0" fontId="34" fillId="0" borderId="48" applyNumberFormat="0" applyFill="0" applyAlignment="0" applyProtection="0"/>
    <xf numFmtId="0" fontId="32" fillId="73"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4" fillId="0" borderId="48" applyNumberFormat="0" applyFill="0" applyAlignment="0" applyProtection="0"/>
    <xf numFmtId="0" fontId="32" fillId="30"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73" borderId="47" applyNumberFormat="0" applyAlignment="0" applyProtection="0"/>
    <xf numFmtId="0" fontId="21" fillId="65" borderId="40" applyNumberFormat="0" applyAlignment="0" applyProtection="0"/>
    <xf numFmtId="0" fontId="21" fillId="65"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65" borderId="47"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65"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6" fillId="33" borderId="46" applyNumberFormat="0" applyFont="0" applyAlignment="0" applyProtection="0"/>
    <xf numFmtId="0" fontId="29" fillId="17" borderId="40" applyNumberFormat="0" applyAlignment="0" applyProtection="0"/>
    <xf numFmtId="0" fontId="32" fillId="73" borderId="47"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65"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1" fillId="73"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34" fillId="0" borderId="48" applyNumberFormat="0" applyFill="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73" borderId="47"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32" fillId="65"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6" fillId="33" borderId="46" applyNumberFormat="0" applyFon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1" fillId="65" borderId="40" applyNumberFormat="0" applyAlignment="0" applyProtection="0"/>
    <xf numFmtId="0" fontId="32" fillId="73" borderId="47" applyNumberForma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2" fillId="30" borderId="47" applyNumberFormat="0" applyAlignment="0" applyProtection="0"/>
    <xf numFmtId="0" fontId="21" fillId="65"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6" fillId="33" borderId="46" applyNumberFormat="0" applyFont="0" applyAlignment="0" applyProtection="0"/>
    <xf numFmtId="0" fontId="6" fillId="69" borderId="46" applyNumberFormat="0" applyFont="0" applyAlignment="0" applyProtection="0"/>
    <xf numFmtId="0" fontId="21" fillId="73"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32" fillId="30" borderId="47" applyNumberFormat="0" applyAlignment="0" applyProtection="0"/>
    <xf numFmtId="0" fontId="29" fillId="17" borderId="40" applyNumberFormat="0" applyAlignment="0" applyProtection="0"/>
    <xf numFmtId="0" fontId="6" fillId="33"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0" fontId="32" fillId="73"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65"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1" fillId="73"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65"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6" fillId="33" borderId="46" applyNumberFormat="0" applyFont="0" applyAlignment="0" applyProtection="0"/>
    <xf numFmtId="10" fontId="52" fillId="89" borderId="7" applyNumberFormat="0" applyBorder="0" applyAlignment="0" applyProtection="0"/>
    <xf numFmtId="0" fontId="29" fillId="67" borderId="40" applyNumberFormat="0" applyAlignment="0" applyProtection="0"/>
    <xf numFmtId="0" fontId="34" fillId="0" borderId="48" applyNumberFormat="0" applyFill="0" applyAlignment="0" applyProtection="0"/>
    <xf numFmtId="0" fontId="32" fillId="73"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0" fontId="32" fillId="30" borderId="47"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32" fillId="65"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65"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6" fillId="33" borderId="46" applyNumberFormat="0" applyFon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32" fillId="30" borderId="47" applyNumberFormat="0" applyAlignment="0" applyProtection="0"/>
    <xf numFmtId="0" fontId="29" fillId="67" borderId="40" applyNumberFormat="0" applyAlignment="0" applyProtection="0"/>
    <xf numFmtId="0" fontId="21" fillId="65" borderId="40" applyNumberFormat="0" applyAlignment="0" applyProtection="0"/>
    <xf numFmtId="0" fontId="32" fillId="73" borderId="47" applyNumberFormat="0" applyAlignment="0" applyProtection="0"/>
    <xf numFmtId="0" fontId="29" fillId="67" borderId="40" applyNumberFormat="0" applyAlignment="0" applyProtection="0"/>
    <xf numFmtId="0" fontId="6" fillId="69" borderId="46" applyNumberFormat="0" applyFont="0" applyAlignment="0" applyProtection="0"/>
    <xf numFmtId="0" fontId="21" fillId="30" borderId="40" applyNumberFormat="0" applyAlignment="0" applyProtection="0"/>
    <xf numFmtId="0" fontId="32" fillId="30" borderId="47" applyNumberFormat="0" applyAlignment="0" applyProtection="0"/>
    <xf numFmtId="0" fontId="29" fillId="1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34" fillId="0" borderId="48" applyNumberFormat="0" applyFill="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1" fillId="30" borderId="40" applyNumberFormat="0" applyAlignment="0" applyProtection="0"/>
    <xf numFmtId="10" fontId="52" fillId="89" borderId="7" applyNumberFormat="0" applyBorder="0" applyAlignment="0" applyProtection="0"/>
    <xf numFmtId="0" fontId="32" fillId="73" borderId="47" applyNumberFormat="0" applyAlignment="0" applyProtection="0"/>
    <xf numFmtId="0" fontId="34" fillId="0" borderId="48" applyNumberFormat="0" applyFill="0" applyAlignment="0" applyProtection="0"/>
    <xf numFmtId="10" fontId="52" fillId="89" borderId="7" applyNumberFormat="0" applyBorder="0" applyAlignment="0" applyProtection="0"/>
    <xf numFmtId="0" fontId="29" fillId="67" borderId="40" applyNumberFormat="0" applyAlignment="0" applyProtection="0"/>
    <xf numFmtId="0" fontId="21" fillId="73"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1" fillId="73" borderId="40" applyNumberFormat="0" applyAlignment="0" applyProtection="0"/>
    <xf numFmtId="0" fontId="21" fillId="30"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73" borderId="40" applyNumberFormat="0" applyAlignment="0" applyProtection="0"/>
    <xf numFmtId="0" fontId="32" fillId="65" borderId="47"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69" borderId="46" applyNumberFormat="0" applyFont="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1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1" fillId="30" borderId="40" applyNumberFormat="0" applyAlignment="0" applyProtection="0"/>
    <xf numFmtId="0" fontId="21" fillId="30" borderId="40" applyNumberFormat="0" applyAlignment="0" applyProtection="0"/>
    <xf numFmtId="0" fontId="29" fillId="1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34" fillId="0" borderId="48" applyNumberFormat="0" applyFill="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73"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1" fillId="30" borderId="40"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21" fillId="73"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1" fillId="65"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21" fillId="65"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34" fillId="0" borderId="48" applyNumberFormat="0" applyFill="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34" fillId="0" borderId="48" applyNumberFormat="0" applyFill="0" applyAlignment="0" applyProtection="0"/>
    <xf numFmtId="0" fontId="21" fillId="65"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69" borderId="46" applyNumberFormat="0" applyFon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65" borderId="47"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73"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34" fillId="0" borderId="48" applyNumberFormat="0" applyFill="0" applyAlignment="0" applyProtection="0"/>
    <xf numFmtId="0" fontId="29" fillId="17" borderId="40" applyNumberFormat="0" applyAlignment="0" applyProtection="0"/>
    <xf numFmtId="0" fontId="32" fillId="73" borderId="47" applyNumberFormat="0" applyAlignment="0" applyProtection="0"/>
    <xf numFmtId="0" fontId="29" fillId="67"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32" fillId="73" borderId="47"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9" fillId="1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1" fillId="30" borderId="40" applyNumberFormat="0" applyAlignment="0" applyProtection="0"/>
    <xf numFmtId="0" fontId="32" fillId="73" borderId="47" applyNumberFormat="0" applyAlignment="0" applyProtection="0"/>
    <xf numFmtId="0" fontId="32" fillId="30" borderId="47"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34" fillId="0" borderId="48" applyNumberFormat="0" applyFill="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32" fillId="30" borderId="47" applyNumberFormat="0" applyAlignment="0" applyProtection="0"/>
    <xf numFmtId="0" fontId="32" fillId="73" borderId="47" applyNumberFormat="0" applyAlignment="0" applyProtection="0"/>
    <xf numFmtId="0" fontId="6" fillId="33" borderId="46" applyNumberFormat="0" applyFon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2" fillId="30" borderId="47" applyNumberFormat="0" applyAlignment="0" applyProtection="0"/>
    <xf numFmtId="0" fontId="21" fillId="65" borderId="40"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1" fillId="30"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17" borderId="40" applyNumberFormat="0" applyAlignment="0" applyProtection="0"/>
    <xf numFmtId="0" fontId="21" fillId="65" borderId="40" applyNumberFormat="0" applyAlignment="0" applyProtection="0"/>
    <xf numFmtId="0" fontId="29" fillId="17" borderId="40" applyNumberFormat="0" applyAlignment="0" applyProtection="0"/>
    <xf numFmtId="0" fontId="29" fillId="17" borderId="40" applyNumberFormat="0" applyAlignment="0" applyProtection="0"/>
    <xf numFmtId="0" fontId="21" fillId="65"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1" fillId="73"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32" fillId="65" borderId="47" applyNumberFormat="0" applyAlignment="0" applyProtection="0"/>
    <xf numFmtId="0" fontId="6" fillId="69" borderId="46" applyNumberFormat="0" applyFont="0" applyAlignment="0" applyProtection="0"/>
    <xf numFmtId="0" fontId="34" fillId="0" borderId="48" applyNumberFormat="0" applyFill="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1" fillId="30"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0" fontId="32" fillId="73"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6" fillId="69" borderId="46" applyNumberFormat="0" applyFont="0" applyAlignment="0" applyProtection="0"/>
    <xf numFmtId="0" fontId="32" fillId="65" borderId="47" applyNumberFormat="0" applyAlignment="0" applyProtection="0"/>
    <xf numFmtId="0" fontId="6" fillId="33" borderId="46" applyNumberFormat="0" applyFont="0" applyAlignment="0" applyProtection="0"/>
    <xf numFmtId="0" fontId="6" fillId="69" borderId="46" applyNumberFormat="0" applyFon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34" fillId="0" borderId="48" applyNumberFormat="0" applyFill="0" applyAlignment="0" applyProtection="0"/>
    <xf numFmtId="10" fontId="52" fillId="89" borderId="7" applyNumberFormat="0" applyBorder="0" applyAlignment="0" applyProtection="0"/>
    <xf numFmtId="0" fontId="29" fillId="67" borderId="40" applyNumberFormat="0" applyAlignment="0" applyProtection="0"/>
    <xf numFmtId="0" fontId="32" fillId="30" borderId="47"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0" fontId="34" fillId="0" borderId="48" applyNumberFormat="0" applyFill="0" applyAlignment="0" applyProtection="0"/>
    <xf numFmtId="0" fontId="21" fillId="30"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30" borderId="47" applyNumberFormat="0" applyAlignment="0" applyProtection="0"/>
    <xf numFmtId="0" fontId="34" fillId="0" borderId="48" applyNumberFormat="0" applyFill="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1" fillId="65"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34" fillId="0" borderId="48" applyNumberFormat="0" applyFill="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32" fillId="30" borderId="47" applyNumberFormat="0" applyAlignment="0" applyProtection="0"/>
    <xf numFmtId="0" fontId="32" fillId="65"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65"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17" borderId="40" applyNumberFormat="0" applyAlignment="0" applyProtection="0"/>
    <xf numFmtId="0" fontId="32" fillId="73" borderId="47"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1" fillId="73"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2" fillId="73" borderId="47" applyNumberFormat="0" applyAlignment="0" applyProtection="0"/>
    <xf numFmtId="0" fontId="29" fillId="67" borderId="40" applyNumberFormat="0" applyAlignment="0" applyProtection="0"/>
    <xf numFmtId="0" fontId="6" fillId="69" borderId="46" applyNumberFormat="0" applyFon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73" borderId="40"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73" borderId="47"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21" fillId="65"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1" fillId="73" borderId="40" applyNumberFormat="0" applyAlignment="0" applyProtection="0"/>
    <xf numFmtId="0" fontId="29" fillId="67" borderId="40" applyNumberFormat="0" applyAlignment="0" applyProtection="0"/>
    <xf numFmtId="0" fontId="32" fillId="30" borderId="47" applyNumberFormat="0" applyAlignment="0" applyProtection="0"/>
    <xf numFmtId="0" fontId="34" fillId="0" borderId="48" applyNumberFormat="0" applyFill="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32" fillId="30" borderId="47" applyNumberFormat="0" applyAlignment="0" applyProtection="0"/>
    <xf numFmtId="0" fontId="34" fillId="0" borderId="48" applyNumberFormat="0" applyFill="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9" fillId="1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32" fillId="73"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6" fillId="33" borderId="46" applyNumberFormat="0" applyFont="0" applyAlignment="0" applyProtection="0"/>
    <xf numFmtId="0" fontId="32" fillId="65" borderId="47" applyNumberFormat="0" applyAlignment="0" applyProtection="0"/>
    <xf numFmtId="0" fontId="21" fillId="30"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1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32" fillId="73" borderId="47" applyNumberFormat="0" applyAlignment="0" applyProtection="0"/>
    <xf numFmtId="0" fontId="34" fillId="0" borderId="48" applyNumberFormat="0" applyFill="0" applyAlignment="0" applyProtection="0"/>
    <xf numFmtId="0" fontId="32" fillId="30" borderId="47" applyNumberFormat="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65"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17" borderId="40" applyNumberFormat="0" applyAlignment="0" applyProtection="0"/>
    <xf numFmtId="0" fontId="32" fillId="73" borderId="47" applyNumberFormat="0" applyAlignment="0" applyProtection="0"/>
    <xf numFmtId="0" fontId="21" fillId="30"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17" borderId="40" applyNumberFormat="0" applyAlignment="0" applyProtection="0"/>
    <xf numFmtId="0" fontId="29" fillId="67" borderId="40" applyNumberFormat="0" applyAlignment="0" applyProtection="0"/>
    <xf numFmtId="0" fontId="21" fillId="65" borderId="40" applyNumberFormat="0" applyAlignment="0" applyProtection="0"/>
    <xf numFmtId="0" fontId="6" fillId="69" borderId="46" applyNumberFormat="0" applyFon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2" fillId="30" borderId="47" applyNumberFormat="0" applyAlignment="0" applyProtection="0"/>
    <xf numFmtId="0" fontId="34" fillId="0" borderId="48" applyNumberFormat="0" applyFill="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65" borderId="40" applyNumberFormat="0" applyAlignment="0" applyProtection="0"/>
    <xf numFmtId="0" fontId="6" fillId="33" borderId="46" applyNumberFormat="0" applyFont="0" applyAlignment="0" applyProtection="0"/>
    <xf numFmtId="0" fontId="21" fillId="73" borderId="40" applyNumberFormat="0" applyAlignment="0" applyProtection="0"/>
    <xf numFmtId="10" fontId="52" fillId="89" borderId="7" applyNumberFormat="0" applyBorder="0" applyAlignment="0" applyProtection="0"/>
    <xf numFmtId="0" fontId="32" fillId="73" borderId="47" applyNumberFormat="0" applyAlignment="0" applyProtection="0"/>
    <xf numFmtId="0" fontId="34" fillId="0" borderId="48" applyNumberFormat="0" applyFill="0" applyAlignment="0" applyProtection="0"/>
    <xf numFmtId="0" fontId="32" fillId="30"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73" borderId="40" applyNumberFormat="0" applyAlignment="0" applyProtection="0"/>
    <xf numFmtId="0" fontId="21" fillId="73"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1" fillId="65" borderId="40" applyNumberFormat="0" applyAlignment="0" applyProtection="0"/>
    <xf numFmtId="0" fontId="32" fillId="65" borderId="47" applyNumberFormat="0" applyAlignment="0" applyProtection="0"/>
    <xf numFmtId="0" fontId="34" fillId="0" borderId="48" applyNumberFormat="0" applyFill="0" applyAlignment="0" applyProtection="0"/>
    <xf numFmtId="0" fontId="32" fillId="73"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4" fillId="0" borderId="48" applyNumberFormat="0" applyFill="0" applyAlignment="0" applyProtection="0"/>
    <xf numFmtId="0" fontId="21" fillId="30" borderId="40" applyNumberFormat="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73"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32" fillId="73"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1" fillId="65"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1" fillId="65"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1" fillId="65" borderId="40" applyNumberFormat="0" applyAlignment="0" applyProtection="0"/>
    <xf numFmtId="0" fontId="32" fillId="65" borderId="47"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4" fillId="0" borderId="48" applyNumberFormat="0" applyFill="0" applyAlignment="0" applyProtection="0"/>
    <xf numFmtId="0" fontId="21" fillId="73" borderId="40" applyNumberFormat="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4" fillId="0" borderId="48" applyNumberFormat="0" applyFill="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32" fillId="73" borderId="47" applyNumberFormat="0" applyAlignment="0" applyProtection="0"/>
    <xf numFmtId="0" fontId="34" fillId="0" borderId="48" applyNumberFormat="0" applyFill="0" applyAlignment="0" applyProtection="0"/>
    <xf numFmtId="10" fontId="52" fillId="89" borderId="7" applyNumberFormat="0" applyBorder="0" applyAlignment="0" applyProtection="0"/>
    <xf numFmtId="0" fontId="29" fillId="67" borderId="40" applyNumberFormat="0" applyAlignment="0" applyProtection="0"/>
    <xf numFmtId="0" fontId="6" fillId="33" borderId="46" applyNumberFormat="0" applyFont="0" applyAlignment="0" applyProtection="0"/>
    <xf numFmtId="0" fontId="6" fillId="69" borderId="46" applyNumberFormat="0" applyFont="0" applyAlignment="0" applyProtection="0"/>
    <xf numFmtId="10" fontId="52" fillId="89" borderId="7" applyNumberFormat="0" applyBorder="0" applyAlignment="0" applyProtection="0"/>
    <xf numFmtId="10" fontId="52" fillId="89" borderId="7" applyNumberFormat="0" applyBorder="0" applyAlignment="0" applyProtection="0"/>
    <xf numFmtId="0" fontId="6" fillId="69" borderId="46" applyNumberFormat="0" applyFont="0" applyAlignment="0" applyProtection="0"/>
    <xf numFmtId="0" fontId="32" fillId="73"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6" fillId="33" borderId="46" applyNumberFormat="0" applyFont="0" applyAlignment="0" applyProtection="0"/>
    <xf numFmtId="10" fontId="52" fillId="89" borderId="7" applyNumberFormat="0" applyBorder="0" applyAlignment="0" applyProtection="0"/>
    <xf numFmtId="0" fontId="32" fillId="30"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29" fillId="1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2" fillId="65" borderId="47"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2" fillId="30" borderId="47" applyNumberFormat="0" applyAlignment="0" applyProtection="0"/>
    <xf numFmtId="0" fontId="21" fillId="30" borderId="40" applyNumberFormat="0" applyAlignment="0" applyProtection="0"/>
    <xf numFmtId="0" fontId="32" fillId="73"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1" fillId="65" borderId="40" applyNumberFormat="0" applyAlignment="0" applyProtection="0"/>
    <xf numFmtId="0" fontId="6" fillId="69" borderId="46" applyNumberFormat="0" applyFont="0" applyAlignment="0" applyProtection="0"/>
    <xf numFmtId="0" fontId="32" fillId="65"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1" fillId="65" borderId="40" applyNumberFormat="0" applyAlignment="0" applyProtection="0"/>
    <xf numFmtId="0" fontId="21" fillId="65"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32" fillId="73" borderId="47"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65"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65" borderId="47"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29" fillId="17"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6" fillId="69" borderId="46" applyNumberFormat="0" applyFon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1" fillId="73"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29" fillId="17" borderId="40"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32" fillId="30" borderId="47" applyNumberFormat="0" applyAlignment="0" applyProtection="0"/>
    <xf numFmtId="0" fontId="21" fillId="73"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17" borderId="40" applyNumberFormat="0" applyAlignment="0" applyProtection="0"/>
    <xf numFmtId="0" fontId="29" fillId="67"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2" fillId="65" borderId="47" applyNumberFormat="0" applyAlignment="0" applyProtection="0"/>
    <xf numFmtId="0" fontId="34" fillId="0" borderId="48" applyNumberFormat="0" applyFill="0" applyAlignment="0" applyProtection="0"/>
    <xf numFmtId="0" fontId="32" fillId="73"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65" borderId="40" applyNumberFormat="0" applyAlignment="0" applyProtection="0"/>
    <xf numFmtId="0" fontId="6" fillId="69" borderId="46" applyNumberFormat="0" applyFont="0" applyAlignment="0" applyProtection="0"/>
    <xf numFmtId="10" fontId="52" fillId="89" borderId="7" applyNumberFormat="0" applyBorder="0" applyAlignment="0" applyProtection="0"/>
    <xf numFmtId="10" fontId="52" fillId="89" borderId="7" applyNumberFormat="0" applyBorder="0" applyAlignment="0" applyProtection="0"/>
    <xf numFmtId="0" fontId="32" fillId="30" borderId="47" applyNumberFormat="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2" fillId="30" borderId="47" applyNumberFormat="0" applyAlignment="0" applyProtection="0"/>
    <xf numFmtId="0" fontId="29" fillId="67"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73"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6" fillId="69" borderId="46" applyNumberFormat="0" applyFont="0" applyAlignment="0" applyProtection="0"/>
    <xf numFmtId="10" fontId="52" fillId="89" borderId="7" applyNumberFormat="0" applyBorder="0" applyAlignment="0" applyProtection="0"/>
    <xf numFmtId="0" fontId="32" fillId="30" borderId="47" applyNumberFormat="0" applyAlignment="0" applyProtection="0"/>
    <xf numFmtId="0" fontId="29" fillId="17" borderId="40" applyNumberFormat="0" applyAlignment="0" applyProtection="0"/>
    <xf numFmtId="0" fontId="32" fillId="65" borderId="47" applyNumberFormat="0" applyAlignment="0" applyProtection="0"/>
    <xf numFmtId="0" fontId="6" fillId="33"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17" borderId="40" applyNumberFormat="0" applyAlignment="0" applyProtection="0"/>
    <xf numFmtId="0" fontId="34" fillId="0" borderId="48" applyNumberFormat="0" applyFill="0" applyAlignment="0" applyProtection="0"/>
    <xf numFmtId="0" fontId="21" fillId="30"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32" fillId="30" borderId="47" applyNumberFormat="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0" fontId="6" fillId="33" borderId="46" applyNumberFormat="0" applyFont="0" applyAlignment="0" applyProtection="0"/>
    <xf numFmtId="0" fontId="34" fillId="0" borderId="48" applyNumberFormat="0" applyFill="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2" fillId="65" borderId="47" applyNumberFormat="0" applyAlignment="0" applyProtection="0"/>
    <xf numFmtId="0" fontId="34" fillId="0" borderId="48" applyNumberFormat="0" applyFill="0" applyAlignment="0" applyProtection="0"/>
    <xf numFmtId="0" fontId="32" fillId="73"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32" fillId="73"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1" fillId="65" borderId="40" applyNumberFormat="0" applyAlignment="0" applyProtection="0"/>
    <xf numFmtId="0" fontId="32" fillId="65" borderId="47" applyNumberFormat="0" applyAlignment="0" applyProtection="0"/>
    <xf numFmtId="0" fontId="21" fillId="30"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32" fillId="30"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30" borderId="40" applyNumberFormat="0" applyAlignment="0" applyProtection="0"/>
    <xf numFmtId="0" fontId="34" fillId="0" borderId="48" applyNumberFormat="0" applyFill="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17" borderId="40" applyNumberFormat="0" applyAlignment="0" applyProtection="0"/>
    <xf numFmtId="0" fontId="21" fillId="73" borderId="40" applyNumberFormat="0" applyAlignment="0" applyProtection="0"/>
    <xf numFmtId="0" fontId="32" fillId="73"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65" borderId="40" applyNumberFormat="0" applyAlignment="0" applyProtection="0"/>
    <xf numFmtId="0" fontId="32" fillId="65" borderId="47" applyNumberFormat="0" applyAlignment="0" applyProtection="0"/>
    <xf numFmtId="0" fontId="34" fillId="0" borderId="48" applyNumberFormat="0" applyFill="0" applyAlignment="0" applyProtection="0"/>
    <xf numFmtId="0" fontId="32" fillId="73"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73"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4" fillId="0" borderId="48" applyNumberFormat="0" applyFill="0" applyAlignment="0" applyProtection="0"/>
    <xf numFmtId="0" fontId="32" fillId="73"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65"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73" borderId="47" applyNumberFormat="0" applyAlignment="0" applyProtection="0"/>
    <xf numFmtId="0" fontId="21" fillId="65" borderId="40" applyNumberFormat="0" applyAlignment="0" applyProtection="0"/>
    <xf numFmtId="0" fontId="21" fillId="65"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65" borderId="47"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30"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32" fillId="73" borderId="47"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30" borderId="47"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65" borderId="40" applyNumberFormat="0" applyAlignment="0" applyProtection="0"/>
    <xf numFmtId="0" fontId="32" fillId="73" borderId="47" applyNumberFormat="0" applyAlignment="0" applyProtection="0"/>
    <xf numFmtId="0" fontId="21" fillId="65" borderId="40" applyNumberFormat="0" applyAlignment="0" applyProtection="0"/>
    <xf numFmtId="0" fontId="32" fillId="73" borderId="47" applyNumberFormat="0" applyAlignment="0" applyProtection="0"/>
    <xf numFmtId="0" fontId="32" fillId="65" borderId="47"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32" fillId="30" borderId="47" applyNumberFormat="0" applyAlignment="0" applyProtection="0"/>
    <xf numFmtId="0" fontId="21" fillId="65"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1" fillId="65"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1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17" borderId="40" applyNumberFormat="0" applyAlignment="0" applyProtection="0"/>
    <xf numFmtId="0" fontId="29" fillId="67" borderId="40" applyNumberFormat="0" applyAlignment="0" applyProtection="0"/>
    <xf numFmtId="0" fontId="21" fillId="65"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29" fillId="17"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1" fillId="65" borderId="40" applyNumberFormat="0" applyAlignment="0" applyProtection="0"/>
    <xf numFmtId="0" fontId="21" fillId="30" borderId="40" applyNumberFormat="0" applyAlignment="0" applyProtection="0"/>
    <xf numFmtId="0" fontId="6" fillId="69"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65" borderId="40" applyNumberFormat="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0" fontId="21" fillId="65" borderId="40" applyNumberFormat="0" applyAlignment="0" applyProtection="0"/>
    <xf numFmtId="0" fontId="29" fillId="67" borderId="40" applyNumberFormat="0" applyAlignment="0" applyProtection="0"/>
    <xf numFmtId="0" fontId="21" fillId="73"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2" fillId="73" borderId="47" applyNumberFormat="0" applyAlignment="0" applyProtection="0"/>
    <xf numFmtId="0" fontId="32" fillId="65"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73"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34" fillId="0" borderId="48" applyNumberFormat="0" applyFill="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32" fillId="30"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32" fillId="65" borderId="47"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6" fillId="33" borderId="46" applyNumberFormat="0" applyFont="0" applyAlignment="0" applyProtection="0"/>
    <xf numFmtId="0" fontId="32" fillId="65" borderId="47"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65" borderId="40" applyNumberFormat="0" applyAlignment="0" applyProtection="0"/>
    <xf numFmtId="0" fontId="32" fillId="73" borderId="47" applyNumberFormat="0" applyAlignment="0" applyProtection="0"/>
    <xf numFmtId="0" fontId="6" fillId="33" borderId="46" applyNumberFormat="0" applyFont="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6" fillId="69" borderId="46" applyNumberFormat="0" applyFont="0" applyAlignment="0" applyProtection="0"/>
    <xf numFmtId="0" fontId="29" fillId="1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6" fillId="33" borderId="46" applyNumberFormat="0" applyFon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6" fillId="33" borderId="46" applyNumberFormat="0" applyFont="0" applyAlignment="0" applyProtection="0"/>
    <xf numFmtId="0" fontId="34" fillId="0" borderId="48" applyNumberFormat="0" applyFill="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32" fillId="73" borderId="47"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65" borderId="40" applyNumberFormat="0" applyAlignment="0" applyProtection="0"/>
    <xf numFmtId="0" fontId="21" fillId="65"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32" fillId="30" borderId="47" applyNumberFormat="0" applyAlignment="0" applyProtection="0"/>
    <xf numFmtId="0" fontId="29" fillId="67" borderId="40" applyNumberFormat="0" applyAlignment="0" applyProtection="0"/>
    <xf numFmtId="0" fontId="32" fillId="65" borderId="47"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32" fillId="65" borderId="47" applyNumberFormat="0" applyAlignment="0" applyProtection="0"/>
    <xf numFmtId="0" fontId="29" fillId="17" borderId="40" applyNumberFormat="0" applyAlignment="0" applyProtection="0"/>
    <xf numFmtId="10" fontId="52" fillId="89" borderId="7" applyNumberFormat="0" applyBorder="0" applyAlignment="0" applyProtection="0"/>
    <xf numFmtId="0" fontId="21" fillId="65"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30" borderId="47"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10" fontId="52" fillId="89" borderId="7" applyNumberFormat="0" applyBorder="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17" borderId="40"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65" borderId="47" applyNumberFormat="0" applyAlignment="0" applyProtection="0"/>
    <xf numFmtId="0" fontId="34" fillId="0" borderId="48" applyNumberFormat="0" applyFill="0" applyAlignment="0" applyProtection="0"/>
    <xf numFmtId="0" fontId="32" fillId="73" borderId="47" applyNumberFormat="0" applyAlignment="0" applyProtection="0"/>
    <xf numFmtId="0" fontId="32" fillId="73" borderId="47" applyNumberFormat="0" applyAlignment="0" applyProtection="0"/>
    <xf numFmtId="0" fontId="32" fillId="65" borderId="47" applyNumberFormat="0" applyAlignment="0" applyProtection="0"/>
    <xf numFmtId="0" fontId="32" fillId="73" borderId="47" applyNumberFormat="0" applyAlignment="0" applyProtection="0"/>
    <xf numFmtId="0" fontId="6" fillId="69" borderId="46" applyNumberFormat="0" applyFont="0" applyAlignment="0" applyProtection="0"/>
    <xf numFmtId="0" fontId="32" fillId="73" borderId="47"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0" fontId="32" fillId="30" borderId="47" applyNumberFormat="0" applyAlignment="0" applyProtection="0"/>
    <xf numFmtId="0" fontId="6" fillId="69" borderId="46" applyNumberFormat="0" applyFont="0" applyAlignment="0" applyProtection="0"/>
    <xf numFmtId="0" fontId="32" fillId="73"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30" borderId="47" applyNumberFormat="0" applyAlignment="0" applyProtection="0"/>
    <xf numFmtId="0" fontId="32" fillId="30" borderId="47" applyNumberFormat="0" applyAlignment="0" applyProtection="0"/>
    <xf numFmtId="0" fontId="29" fillId="17" borderId="40" applyNumberFormat="0" applyAlignment="0" applyProtection="0"/>
    <xf numFmtId="0" fontId="32" fillId="73" borderId="47" applyNumberFormat="0" applyAlignment="0" applyProtection="0"/>
    <xf numFmtId="0" fontId="34" fillId="0" borderId="48" applyNumberFormat="0" applyFill="0" applyAlignment="0" applyProtection="0"/>
    <xf numFmtId="0" fontId="32" fillId="30"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1" fillId="73" borderId="40" applyNumberFormat="0" applyAlignment="0" applyProtection="0"/>
    <xf numFmtId="0" fontId="21" fillId="65"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29" fillId="67" borderId="40" applyNumberFormat="0" applyAlignment="0" applyProtection="0"/>
    <xf numFmtId="0" fontId="32" fillId="30"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65"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1" fillId="73" borderId="40" applyNumberFormat="0" applyAlignment="0" applyProtection="0"/>
    <xf numFmtId="0" fontId="32" fillId="73"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6" fillId="69"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6" fillId="69"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32" fillId="73" borderId="47" applyNumberFormat="0" applyAlignment="0" applyProtection="0"/>
    <xf numFmtId="0" fontId="32" fillId="30" borderId="47" applyNumberFormat="0" applyAlignment="0" applyProtection="0"/>
    <xf numFmtId="0" fontId="32" fillId="65" borderId="47" applyNumberFormat="0" applyAlignment="0" applyProtection="0"/>
    <xf numFmtId="0" fontId="6" fillId="33" borderId="46" applyNumberFormat="0" applyFont="0" applyAlignment="0" applyProtection="0"/>
    <xf numFmtId="10" fontId="52" fillId="89" borderId="7" applyNumberFormat="0" applyBorder="0" applyAlignment="0" applyProtection="0"/>
    <xf numFmtId="0" fontId="29" fillId="17" borderId="40"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33" borderId="46" applyNumberFormat="0" applyFont="0" applyAlignment="0" applyProtection="0"/>
    <xf numFmtId="10" fontId="52" fillId="89" borderId="7" applyNumberFormat="0" applyBorder="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1" fillId="30"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65" borderId="47"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0" fontId="32" fillId="73" borderId="47" applyNumberFormat="0" applyAlignment="0" applyProtection="0"/>
    <xf numFmtId="0" fontId="32" fillId="65" borderId="47" applyNumberForma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29" fillId="1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32" fillId="73"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65" borderId="47" applyNumberFormat="0" applyAlignment="0" applyProtection="0"/>
    <xf numFmtId="0" fontId="29" fillId="67" borderId="40" applyNumberFormat="0" applyAlignment="0" applyProtection="0"/>
    <xf numFmtId="0" fontId="21" fillId="65" borderId="40" applyNumberFormat="0" applyAlignment="0" applyProtection="0"/>
    <xf numFmtId="0" fontId="6" fillId="69" borderId="46" applyNumberFormat="0" applyFont="0" applyAlignment="0" applyProtection="0"/>
    <xf numFmtId="0" fontId="32" fillId="30" borderId="47"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73"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1" fillId="30" borderId="40" applyNumberFormat="0" applyAlignment="0" applyProtection="0"/>
    <xf numFmtId="0" fontId="32" fillId="65" borderId="47"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32" fillId="30" borderId="47"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6" fillId="69"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1" fillId="30"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65"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1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21" fillId="65"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2" fillId="30" borderId="47" applyNumberFormat="0" applyAlignment="0" applyProtection="0"/>
    <xf numFmtId="0" fontId="32" fillId="73" borderId="47" applyNumberFormat="0" applyAlignment="0" applyProtection="0"/>
    <xf numFmtId="0" fontId="6" fillId="69" borderId="46" applyNumberFormat="0" applyFon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73"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32" fillId="30"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9" fillId="67" borderId="40" applyNumberFormat="0" applyAlignment="0" applyProtection="0"/>
    <xf numFmtId="0" fontId="34" fillId="0" borderId="48" applyNumberFormat="0" applyFill="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69" borderId="46" applyNumberFormat="0" applyFont="0" applyAlignment="0" applyProtection="0"/>
    <xf numFmtId="0" fontId="34" fillId="0" borderId="48" applyNumberFormat="0" applyFill="0" applyAlignment="0" applyProtection="0"/>
    <xf numFmtId="0" fontId="29" fillId="17" borderId="40" applyNumberFormat="0" applyAlignment="0" applyProtection="0"/>
    <xf numFmtId="10" fontId="52" fillId="89" borderId="7" applyNumberFormat="0" applyBorder="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32" fillId="65"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2" fillId="73" borderId="47" applyNumberFormat="0" applyAlignment="0" applyProtection="0"/>
    <xf numFmtId="0" fontId="32" fillId="65" borderId="47" applyNumberFormat="0" applyAlignment="0" applyProtection="0"/>
    <xf numFmtId="0" fontId="32" fillId="65"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9" fillId="67" borderId="40" applyNumberFormat="0" applyAlignment="0" applyProtection="0"/>
    <xf numFmtId="0" fontId="21" fillId="73" borderId="40" applyNumberFormat="0" applyAlignment="0" applyProtection="0"/>
    <xf numFmtId="0" fontId="21" fillId="73"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65" borderId="47" applyNumberFormat="0" applyAlignment="0" applyProtection="0"/>
    <xf numFmtId="0" fontId="21" fillId="73" borderId="40"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33" borderId="46" applyNumberFormat="0" applyFon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32" fillId="73" borderId="47"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73" borderId="47" applyNumberFormat="0" applyAlignment="0" applyProtection="0"/>
    <xf numFmtId="0" fontId="6" fillId="69" borderId="46" applyNumberFormat="0" applyFont="0" applyAlignment="0" applyProtection="0"/>
    <xf numFmtId="0" fontId="32" fillId="65"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73" borderId="40" applyNumberFormat="0" applyAlignment="0" applyProtection="0"/>
    <xf numFmtId="0" fontId="21" fillId="65" borderId="40" applyNumberFormat="0" applyAlignment="0" applyProtection="0"/>
    <xf numFmtId="0" fontId="32" fillId="73" borderId="47"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6" fillId="33" borderId="46" applyNumberFormat="0" applyFont="0" applyAlignment="0" applyProtection="0"/>
    <xf numFmtId="0" fontId="29" fillId="1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6" fillId="69" borderId="46" applyNumberFormat="0" applyFont="0" applyAlignment="0" applyProtection="0"/>
    <xf numFmtId="10" fontId="52" fillId="89" borderId="7" applyNumberFormat="0" applyBorder="0" applyAlignment="0" applyProtection="0"/>
    <xf numFmtId="10" fontId="52" fillId="89" borderId="7" applyNumberFormat="0" applyBorder="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29" fillId="17" borderId="40" applyNumberFormat="0" applyAlignment="0" applyProtection="0"/>
    <xf numFmtId="0" fontId="6" fillId="69" borderId="46" applyNumberFormat="0" applyFon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32" fillId="65"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6" fillId="69" borderId="46" applyNumberFormat="0" applyFont="0" applyAlignment="0" applyProtection="0"/>
    <xf numFmtId="0" fontId="32" fillId="30" borderId="47"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32" fillId="65" borderId="47" applyNumberFormat="0" applyAlignment="0" applyProtection="0"/>
    <xf numFmtId="0" fontId="32" fillId="73" borderId="47" applyNumberFormat="0" applyAlignment="0" applyProtection="0"/>
    <xf numFmtId="0" fontId="32" fillId="65" borderId="47" applyNumberFormat="0" applyAlignment="0" applyProtection="0"/>
    <xf numFmtId="0" fontId="32" fillId="65" borderId="47"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29" fillId="67" borderId="40" applyNumberFormat="0" applyAlignment="0" applyProtection="0"/>
    <xf numFmtId="0" fontId="32" fillId="30"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32" fillId="65" borderId="47" applyNumberFormat="0" applyAlignment="0" applyProtection="0"/>
    <xf numFmtId="0" fontId="29" fillId="17" borderId="40" applyNumberFormat="0" applyAlignment="0" applyProtection="0"/>
    <xf numFmtId="10" fontId="52" fillId="89" borderId="7" applyNumberFormat="0" applyBorder="0" applyAlignment="0" applyProtection="0"/>
    <xf numFmtId="0" fontId="21" fillId="65"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0" fontId="21" fillId="30"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32" fillId="73"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32" fillId="30" borderId="47" applyNumberFormat="0" applyAlignment="0" applyProtection="0"/>
    <xf numFmtId="10" fontId="52" fillId="89" borderId="7" applyNumberFormat="0" applyBorder="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21" fillId="73"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9" fillId="17" borderId="40" applyNumberFormat="0" applyAlignment="0" applyProtection="0"/>
    <xf numFmtId="0" fontId="34" fillId="0" borderId="48" applyNumberFormat="0" applyFill="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6" fillId="33" borderId="46" applyNumberFormat="0" applyFont="0" applyAlignment="0" applyProtection="0"/>
    <xf numFmtId="0" fontId="32" fillId="65" borderId="47" applyNumberFormat="0" applyAlignment="0" applyProtection="0"/>
    <xf numFmtId="0" fontId="29" fillId="67" borderId="40" applyNumberFormat="0" applyAlignment="0" applyProtection="0"/>
    <xf numFmtId="0" fontId="21" fillId="30" borderId="40" applyNumberFormat="0" applyAlignment="0" applyProtection="0"/>
    <xf numFmtId="0" fontId="29" fillId="17" borderId="40" applyNumberFormat="0" applyAlignment="0" applyProtection="0"/>
    <xf numFmtId="0" fontId="21" fillId="65"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4" fillId="0" borderId="48" applyNumberFormat="0" applyFill="0" applyAlignment="0" applyProtection="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32" fillId="30" borderId="47" applyNumberFormat="0" applyAlignment="0" applyProtection="0"/>
    <xf numFmtId="0" fontId="29" fillId="67" borderId="40" applyNumberFormat="0" applyAlignment="0" applyProtection="0"/>
    <xf numFmtId="0" fontId="32" fillId="65"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1" fillId="30" borderId="40" applyNumberFormat="0" applyAlignment="0" applyProtection="0"/>
    <xf numFmtId="0" fontId="32" fillId="30" borderId="47" applyNumberFormat="0" applyAlignment="0" applyProtection="0"/>
    <xf numFmtId="0" fontId="32" fillId="73"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17" borderId="40" applyNumberFormat="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34" fillId="0" borderId="48" applyNumberFormat="0" applyFill="0" applyAlignment="0" applyProtection="0"/>
    <xf numFmtId="0" fontId="29" fillId="1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32" fillId="65" borderId="47"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32" fillId="65" borderId="47" applyNumberFormat="0" applyAlignment="0" applyProtection="0"/>
    <xf numFmtId="10" fontId="52" fillId="89" borderId="7" applyNumberFormat="0" applyBorder="0" applyAlignment="0" applyProtection="0"/>
    <xf numFmtId="0" fontId="6" fillId="69" borderId="46" applyNumberFormat="0" applyFont="0" applyAlignment="0" applyProtection="0"/>
    <xf numFmtId="10" fontId="52" fillId="89" borderId="7" applyNumberFormat="0" applyBorder="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21" fillId="65"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65" borderId="40" applyNumberFormat="0" applyAlignment="0" applyProtection="0"/>
    <xf numFmtId="0" fontId="6" fillId="69" borderId="46" applyNumberFormat="0" applyFon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1" fillId="73" borderId="40" applyNumberFormat="0" applyAlignment="0" applyProtection="0"/>
    <xf numFmtId="0" fontId="6" fillId="69" borderId="46" applyNumberFormat="0" applyFont="0" applyAlignment="0" applyProtection="0"/>
    <xf numFmtId="0" fontId="21" fillId="30" borderId="40" applyNumberFormat="0" applyAlignment="0" applyProtection="0"/>
    <xf numFmtId="0" fontId="32" fillId="65" borderId="47"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30" borderId="47"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32" fillId="65"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29" fillId="17" borderId="40" applyNumberFormat="0" applyAlignment="0" applyProtection="0"/>
    <xf numFmtId="0" fontId="21" fillId="65" borderId="40"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6" fillId="69" borderId="46" applyNumberFormat="0" applyFon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32" fillId="65" borderId="47"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6" fillId="69" borderId="46" applyNumberFormat="0" applyFont="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6" fillId="33" borderId="46" applyNumberFormat="0" applyFont="0" applyAlignment="0" applyProtection="0"/>
    <xf numFmtId="10" fontId="52" fillId="89" borderId="7" applyNumberFormat="0" applyBorder="0" applyAlignment="0" applyProtection="0"/>
    <xf numFmtId="0" fontId="34" fillId="0" borderId="48" applyNumberFormat="0" applyFill="0" applyAlignment="0" applyProtection="0"/>
    <xf numFmtId="0" fontId="29" fillId="67" borderId="40" applyNumberFormat="0" applyAlignment="0" applyProtection="0"/>
    <xf numFmtId="0" fontId="32" fillId="65"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34" fillId="0" borderId="48" applyNumberFormat="0" applyFill="0" applyAlignment="0" applyProtection="0"/>
    <xf numFmtId="10" fontId="52" fillId="89" borderId="7" applyNumberFormat="0" applyBorder="0" applyAlignment="0" applyProtection="0"/>
    <xf numFmtId="0" fontId="32" fillId="30" borderId="47"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6" fillId="69" borderId="46" applyNumberFormat="0" applyFont="0" applyAlignment="0" applyProtection="0"/>
    <xf numFmtId="0" fontId="32" fillId="30" borderId="47" applyNumberFormat="0" applyAlignment="0" applyProtection="0"/>
    <xf numFmtId="0" fontId="29" fillId="1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30" borderId="47"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32" fillId="65" borderId="47" applyNumberFormat="0" applyAlignment="0" applyProtection="0"/>
    <xf numFmtId="0" fontId="34" fillId="0" borderId="48" applyNumberFormat="0" applyFill="0" applyAlignment="0" applyProtection="0"/>
    <xf numFmtId="0" fontId="32" fillId="30"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32" fillId="73" borderId="47" applyNumberFormat="0" applyAlignment="0" applyProtection="0"/>
    <xf numFmtId="0" fontId="29" fillId="67" borderId="40" applyNumberFormat="0" applyAlignment="0" applyProtection="0"/>
    <xf numFmtId="0" fontId="32" fillId="65" borderId="47" applyNumberFormat="0" applyAlignment="0" applyProtection="0"/>
    <xf numFmtId="0" fontId="21" fillId="30"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73" borderId="47" applyNumberFormat="0" applyAlignment="0" applyProtection="0"/>
    <xf numFmtId="0" fontId="21" fillId="65" borderId="40" applyNumberFormat="0" applyAlignment="0" applyProtection="0"/>
    <xf numFmtId="0" fontId="21" fillId="65"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65" borderId="47"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73" borderId="47" applyNumberFormat="0" applyAlignment="0" applyProtection="0"/>
    <xf numFmtId="0" fontId="21" fillId="65" borderId="40" applyNumberFormat="0" applyAlignment="0" applyProtection="0"/>
    <xf numFmtId="0" fontId="21" fillId="65"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65" borderId="47"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32" fillId="30" borderId="47" applyNumberFormat="0" applyAlignment="0" applyProtection="0"/>
    <xf numFmtId="0" fontId="6" fillId="69" borderId="46" applyNumberFormat="0" applyFont="0" applyAlignment="0" applyProtection="0"/>
    <xf numFmtId="0" fontId="6" fillId="0" borderId="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32" fillId="30" borderId="47" applyNumberFormat="0" applyAlignment="0" applyProtection="0"/>
    <xf numFmtId="0" fontId="21" fillId="65" borderId="40" applyNumberFormat="0" applyAlignment="0" applyProtection="0"/>
    <xf numFmtId="0" fontId="34" fillId="0" borderId="48" applyNumberFormat="0" applyFill="0" applyAlignment="0" applyProtection="0"/>
    <xf numFmtId="0" fontId="29" fillId="6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32" fillId="73" borderId="47" applyNumberFormat="0" applyAlignment="0" applyProtection="0"/>
    <xf numFmtId="0" fontId="6" fillId="33" borderId="46" applyNumberFormat="0" applyFon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73" borderId="40" applyNumberFormat="0" applyAlignment="0" applyProtection="0"/>
    <xf numFmtId="0" fontId="21" fillId="65" borderId="40" applyNumberFormat="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32" fillId="73" borderId="47" applyNumberFormat="0" applyAlignment="0" applyProtection="0"/>
    <xf numFmtId="10" fontId="52" fillId="89" borderId="7" applyNumberFormat="0" applyBorder="0" applyAlignment="0" applyProtection="0"/>
    <xf numFmtId="0" fontId="32" fillId="73" borderId="47" applyNumberFormat="0" applyAlignment="0" applyProtection="0"/>
    <xf numFmtId="0" fontId="32" fillId="65" borderId="47" applyNumberFormat="0" applyAlignment="0" applyProtection="0"/>
    <xf numFmtId="0" fontId="29" fillId="67" borderId="40" applyNumberFormat="0" applyAlignment="0" applyProtection="0"/>
    <xf numFmtId="0" fontId="6" fillId="33"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18" fillId="69" borderId="46" applyNumberFormat="0" applyFont="0" applyAlignment="0" applyProtection="0"/>
    <xf numFmtId="0" fontId="18" fillId="69" borderId="46" applyNumberFormat="0" applyFon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1" fillId="73"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1" fillId="65" borderId="40" applyNumberFormat="0" applyAlignment="0" applyProtection="0"/>
    <xf numFmtId="0" fontId="21" fillId="73"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32" fillId="65" borderId="47" applyNumberFormat="0" applyAlignment="0" applyProtection="0"/>
    <xf numFmtId="0" fontId="29" fillId="67" borderId="40" applyNumberFormat="0" applyAlignment="0" applyProtection="0"/>
    <xf numFmtId="0" fontId="32" fillId="65" borderId="47" applyNumberFormat="0" applyAlignment="0" applyProtection="0"/>
    <xf numFmtId="0" fontId="32" fillId="73" borderId="47"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1" fillId="65" borderId="40" applyNumberFormat="0" applyAlignment="0" applyProtection="0"/>
    <xf numFmtId="0" fontId="21" fillId="73"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73" borderId="47" applyNumberFormat="0" applyAlignment="0" applyProtection="0"/>
    <xf numFmtId="0" fontId="21" fillId="65" borderId="40" applyNumberFormat="0" applyAlignment="0" applyProtection="0"/>
    <xf numFmtId="0" fontId="21" fillId="65"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65" borderId="47"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32" fillId="73" borderId="47"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30" borderId="47"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65" borderId="40" applyNumberFormat="0" applyAlignment="0" applyProtection="0"/>
    <xf numFmtId="0" fontId="32" fillId="73" borderId="47" applyNumberFormat="0" applyAlignment="0" applyProtection="0"/>
    <xf numFmtId="0" fontId="21" fillId="65" borderId="40" applyNumberFormat="0" applyAlignment="0" applyProtection="0"/>
    <xf numFmtId="0" fontId="32" fillId="73" borderId="47" applyNumberFormat="0" applyAlignment="0" applyProtection="0"/>
    <xf numFmtId="0" fontId="32" fillId="65" borderId="47"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32" fillId="30" borderId="47" applyNumberFormat="0" applyAlignment="0" applyProtection="0"/>
    <xf numFmtId="0" fontId="21" fillId="65"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1" fillId="65"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1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17" borderId="40" applyNumberFormat="0" applyAlignment="0" applyProtection="0"/>
    <xf numFmtId="0" fontId="29" fillId="67" borderId="40" applyNumberFormat="0" applyAlignment="0" applyProtection="0"/>
    <xf numFmtId="0" fontId="21" fillId="65"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29" fillId="17"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1" fillId="65" borderId="40" applyNumberFormat="0" applyAlignment="0" applyProtection="0"/>
    <xf numFmtId="0" fontId="21" fillId="30" borderId="40" applyNumberFormat="0" applyAlignment="0" applyProtection="0"/>
    <xf numFmtId="0" fontId="6" fillId="69"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65" borderId="40" applyNumberFormat="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0" fontId="21" fillId="65" borderId="40" applyNumberFormat="0" applyAlignment="0" applyProtection="0"/>
    <xf numFmtId="0" fontId="29" fillId="67" borderId="40" applyNumberFormat="0" applyAlignment="0" applyProtection="0"/>
    <xf numFmtId="0" fontId="21" fillId="73"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2" fillId="73" borderId="47" applyNumberFormat="0" applyAlignment="0" applyProtection="0"/>
    <xf numFmtId="0" fontId="32" fillId="65"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73"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34" fillId="0" borderId="48" applyNumberFormat="0" applyFill="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32" fillId="30"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32" fillId="65" borderId="47"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6" fillId="33" borderId="46" applyNumberFormat="0" applyFont="0" applyAlignment="0" applyProtection="0"/>
    <xf numFmtId="0" fontId="32" fillId="65" borderId="47"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65" borderId="40" applyNumberFormat="0" applyAlignment="0" applyProtection="0"/>
    <xf numFmtId="0" fontId="32" fillId="73" borderId="47" applyNumberFormat="0" applyAlignment="0" applyProtection="0"/>
    <xf numFmtId="0" fontId="6" fillId="33" borderId="46" applyNumberFormat="0" applyFont="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6" fillId="69" borderId="46" applyNumberFormat="0" applyFont="0" applyAlignment="0" applyProtection="0"/>
    <xf numFmtId="0" fontId="29" fillId="1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6" fillId="33" borderId="46" applyNumberFormat="0" applyFon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6" fillId="33" borderId="46" applyNumberFormat="0" applyFont="0" applyAlignment="0" applyProtection="0"/>
    <xf numFmtId="0" fontId="34" fillId="0" borderId="48" applyNumberFormat="0" applyFill="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32" fillId="73" borderId="47"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65" borderId="40" applyNumberFormat="0" applyAlignment="0" applyProtection="0"/>
    <xf numFmtId="0" fontId="21" fillId="65"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32" fillId="30" borderId="47" applyNumberFormat="0" applyAlignment="0" applyProtection="0"/>
    <xf numFmtId="0" fontId="29" fillId="67" borderId="40" applyNumberFormat="0" applyAlignment="0" applyProtection="0"/>
    <xf numFmtId="0" fontId="32" fillId="65" borderId="47"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32" fillId="65" borderId="47" applyNumberFormat="0" applyAlignment="0" applyProtection="0"/>
    <xf numFmtId="0" fontId="29" fillId="17" borderId="40" applyNumberFormat="0" applyAlignment="0" applyProtection="0"/>
    <xf numFmtId="10" fontId="52" fillId="89" borderId="7" applyNumberFormat="0" applyBorder="0" applyAlignment="0" applyProtection="0"/>
    <xf numFmtId="0" fontId="21" fillId="65"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30" borderId="47"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10" fontId="52" fillId="89" borderId="7" applyNumberFormat="0" applyBorder="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17" borderId="40"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65" borderId="47" applyNumberFormat="0" applyAlignment="0" applyProtection="0"/>
    <xf numFmtId="0" fontId="34" fillId="0" borderId="48" applyNumberFormat="0" applyFill="0" applyAlignment="0" applyProtection="0"/>
    <xf numFmtId="0" fontId="32" fillId="73" borderId="47" applyNumberFormat="0" applyAlignment="0" applyProtection="0"/>
    <xf numFmtId="0" fontId="32" fillId="73" borderId="47" applyNumberFormat="0" applyAlignment="0" applyProtection="0"/>
    <xf numFmtId="0" fontId="32" fillId="65" borderId="47" applyNumberFormat="0" applyAlignment="0" applyProtection="0"/>
    <xf numFmtId="0" fontId="32" fillId="73" borderId="47" applyNumberFormat="0" applyAlignment="0" applyProtection="0"/>
    <xf numFmtId="0" fontId="6" fillId="69" borderId="46" applyNumberFormat="0" applyFont="0" applyAlignment="0" applyProtection="0"/>
    <xf numFmtId="0" fontId="32" fillId="73" borderId="47"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0" fontId="32" fillId="30" borderId="47" applyNumberFormat="0" applyAlignment="0" applyProtection="0"/>
    <xf numFmtId="0" fontId="6" fillId="69" borderId="46" applyNumberFormat="0" applyFont="0" applyAlignment="0" applyProtection="0"/>
    <xf numFmtId="0" fontId="32" fillId="73"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30" borderId="47" applyNumberFormat="0" applyAlignment="0" applyProtection="0"/>
    <xf numFmtId="0" fontId="32" fillId="30" borderId="47" applyNumberFormat="0" applyAlignment="0" applyProtection="0"/>
    <xf numFmtId="0" fontId="29" fillId="17" borderId="40" applyNumberFormat="0" applyAlignment="0" applyProtection="0"/>
    <xf numFmtId="0" fontId="32" fillId="73" borderId="47" applyNumberFormat="0" applyAlignment="0" applyProtection="0"/>
    <xf numFmtId="0" fontId="34" fillId="0" borderId="48" applyNumberFormat="0" applyFill="0" applyAlignment="0" applyProtection="0"/>
    <xf numFmtId="0" fontId="32" fillId="30"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1" fillId="73" borderId="40" applyNumberFormat="0" applyAlignment="0" applyProtection="0"/>
    <xf numFmtId="0" fontId="21" fillId="65"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29" fillId="67" borderId="40" applyNumberFormat="0" applyAlignment="0" applyProtection="0"/>
    <xf numFmtId="0" fontId="32" fillId="30"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65"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1" fillId="73" borderId="40" applyNumberFormat="0" applyAlignment="0" applyProtection="0"/>
    <xf numFmtId="0" fontId="32" fillId="73"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6" fillId="69"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6" fillId="69"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32" fillId="73" borderId="47" applyNumberFormat="0" applyAlignment="0" applyProtection="0"/>
    <xf numFmtId="0" fontId="32" fillId="30" borderId="47" applyNumberFormat="0" applyAlignment="0" applyProtection="0"/>
    <xf numFmtId="0" fontId="32" fillId="65" borderId="47" applyNumberFormat="0" applyAlignment="0" applyProtection="0"/>
    <xf numFmtId="0" fontId="6" fillId="33" borderId="46" applyNumberFormat="0" applyFont="0" applyAlignment="0" applyProtection="0"/>
    <xf numFmtId="10" fontId="52" fillId="89" borderId="7" applyNumberFormat="0" applyBorder="0" applyAlignment="0" applyProtection="0"/>
    <xf numFmtId="0" fontId="29" fillId="17" borderId="40"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33" borderId="46" applyNumberFormat="0" applyFont="0" applyAlignment="0" applyProtection="0"/>
    <xf numFmtId="10" fontId="52" fillId="89" borderId="7" applyNumberFormat="0" applyBorder="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1" fillId="30"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65" borderId="47"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0" fontId="32" fillId="73" borderId="47" applyNumberFormat="0" applyAlignment="0" applyProtection="0"/>
    <xf numFmtId="0" fontId="32" fillId="65" borderId="47" applyNumberForma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29" fillId="1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32" fillId="73"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65" borderId="47" applyNumberFormat="0" applyAlignment="0" applyProtection="0"/>
    <xf numFmtId="0" fontId="29" fillId="67" borderId="40" applyNumberFormat="0" applyAlignment="0" applyProtection="0"/>
    <xf numFmtId="0" fontId="21" fillId="65" borderId="40" applyNumberFormat="0" applyAlignment="0" applyProtection="0"/>
    <xf numFmtId="0" fontId="6" fillId="69" borderId="46" applyNumberFormat="0" applyFont="0" applyAlignment="0" applyProtection="0"/>
    <xf numFmtId="0" fontId="32" fillId="30" borderId="47"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73"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1" fillId="30" borderId="40" applyNumberFormat="0" applyAlignment="0" applyProtection="0"/>
    <xf numFmtId="0" fontId="32" fillId="65" borderId="47"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32" fillId="30" borderId="47"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6" fillId="69"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1" fillId="30"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65"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1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21" fillId="65"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2" fillId="30" borderId="47" applyNumberFormat="0" applyAlignment="0" applyProtection="0"/>
    <xf numFmtId="0" fontId="32" fillId="73" borderId="47" applyNumberFormat="0" applyAlignment="0" applyProtection="0"/>
    <xf numFmtId="0" fontId="6" fillId="69" borderId="46" applyNumberFormat="0" applyFon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73"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32" fillId="30"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9" fillId="67" borderId="40" applyNumberFormat="0" applyAlignment="0" applyProtection="0"/>
    <xf numFmtId="0" fontId="34" fillId="0" borderId="48" applyNumberFormat="0" applyFill="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69" borderId="46" applyNumberFormat="0" applyFont="0" applyAlignment="0" applyProtection="0"/>
    <xf numFmtId="0" fontId="34" fillId="0" borderId="48" applyNumberFormat="0" applyFill="0" applyAlignment="0" applyProtection="0"/>
    <xf numFmtId="0" fontId="29" fillId="17" borderId="40" applyNumberFormat="0" applyAlignment="0" applyProtection="0"/>
    <xf numFmtId="10" fontId="52" fillId="89" borderId="7" applyNumberFormat="0" applyBorder="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32" fillId="65"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2" fillId="73" borderId="47" applyNumberFormat="0" applyAlignment="0" applyProtection="0"/>
    <xf numFmtId="0" fontId="32" fillId="65" borderId="47" applyNumberFormat="0" applyAlignment="0" applyProtection="0"/>
    <xf numFmtId="0" fontId="32" fillId="65"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9" fillId="67" borderId="40" applyNumberFormat="0" applyAlignment="0" applyProtection="0"/>
    <xf numFmtId="0" fontId="21" fillId="73" borderId="40" applyNumberFormat="0" applyAlignment="0" applyProtection="0"/>
    <xf numFmtId="0" fontId="21" fillId="73"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65" borderId="47" applyNumberFormat="0" applyAlignment="0" applyProtection="0"/>
    <xf numFmtId="0" fontId="21" fillId="73" borderId="40"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33" borderId="46" applyNumberFormat="0" applyFon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32" fillId="73" borderId="47"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73" borderId="47" applyNumberFormat="0" applyAlignment="0" applyProtection="0"/>
    <xf numFmtId="0" fontId="6" fillId="69" borderId="46" applyNumberFormat="0" applyFont="0" applyAlignment="0" applyProtection="0"/>
    <xf numFmtId="0" fontId="32" fillId="65"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73" borderId="40" applyNumberFormat="0" applyAlignment="0" applyProtection="0"/>
    <xf numFmtId="0" fontId="21" fillId="65" borderId="40" applyNumberFormat="0" applyAlignment="0" applyProtection="0"/>
    <xf numFmtId="0" fontId="32" fillId="73" borderId="47"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6" fillId="33" borderId="46" applyNumberFormat="0" applyFont="0" applyAlignment="0" applyProtection="0"/>
    <xf numFmtId="0" fontId="29" fillId="1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6" fillId="69" borderId="46" applyNumberFormat="0" applyFont="0" applyAlignment="0" applyProtection="0"/>
    <xf numFmtId="10" fontId="52" fillId="89" borderId="7" applyNumberFormat="0" applyBorder="0" applyAlignment="0" applyProtection="0"/>
    <xf numFmtId="10" fontId="52" fillId="89" borderId="7" applyNumberFormat="0" applyBorder="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29" fillId="17" borderId="40" applyNumberFormat="0" applyAlignment="0" applyProtection="0"/>
    <xf numFmtId="0" fontId="6" fillId="69" borderId="46" applyNumberFormat="0" applyFon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32" fillId="65"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6" fillId="69" borderId="46" applyNumberFormat="0" applyFont="0" applyAlignment="0" applyProtection="0"/>
    <xf numFmtId="0" fontId="32" fillId="30" borderId="47"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32" fillId="65" borderId="47" applyNumberFormat="0" applyAlignment="0" applyProtection="0"/>
    <xf numFmtId="0" fontId="32" fillId="73" borderId="47" applyNumberFormat="0" applyAlignment="0" applyProtection="0"/>
    <xf numFmtId="0" fontId="32" fillId="65" borderId="47" applyNumberFormat="0" applyAlignment="0" applyProtection="0"/>
    <xf numFmtId="0" fontId="32" fillId="65" borderId="47"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29" fillId="67" borderId="40" applyNumberFormat="0" applyAlignment="0" applyProtection="0"/>
    <xf numFmtId="0" fontId="32" fillId="30"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32" fillId="65" borderId="47" applyNumberFormat="0" applyAlignment="0" applyProtection="0"/>
    <xf numFmtId="0" fontId="29" fillId="17" borderId="40" applyNumberFormat="0" applyAlignment="0" applyProtection="0"/>
    <xf numFmtId="10" fontId="52" fillId="89" borderId="7" applyNumberFormat="0" applyBorder="0" applyAlignment="0" applyProtection="0"/>
    <xf numFmtId="0" fontId="21" fillId="65"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0" fontId="21" fillId="30"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32" fillId="73"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32" fillId="30" borderId="47" applyNumberFormat="0" applyAlignment="0" applyProtection="0"/>
    <xf numFmtId="10" fontId="52" fillId="89" borderId="7" applyNumberFormat="0" applyBorder="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21" fillId="73"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9" fillId="17" borderId="40" applyNumberFormat="0" applyAlignment="0" applyProtection="0"/>
    <xf numFmtId="0" fontId="34" fillId="0" borderId="48" applyNumberFormat="0" applyFill="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6" fillId="33" borderId="46" applyNumberFormat="0" applyFont="0" applyAlignment="0" applyProtection="0"/>
    <xf numFmtId="0" fontId="32" fillId="65" borderId="47" applyNumberFormat="0" applyAlignment="0" applyProtection="0"/>
    <xf numFmtId="0" fontId="29" fillId="67" borderId="40" applyNumberFormat="0" applyAlignment="0" applyProtection="0"/>
    <xf numFmtId="0" fontId="21" fillId="30" borderId="40" applyNumberFormat="0" applyAlignment="0" applyProtection="0"/>
    <xf numFmtId="0" fontId="29" fillId="17" borderId="40" applyNumberFormat="0" applyAlignment="0" applyProtection="0"/>
    <xf numFmtId="0" fontId="21" fillId="65"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4" fillId="0" borderId="48" applyNumberFormat="0" applyFill="0" applyAlignment="0" applyProtection="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32" fillId="30" borderId="47" applyNumberFormat="0" applyAlignment="0" applyProtection="0"/>
    <xf numFmtId="0" fontId="29" fillId="67" borderId="40" applyNumberFormat="0" applyAlignment="0" applyProtection="0"/>
    <xf numFmtId="0" fontId="32" fillId="65"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1" fillId="30" borderId="40" applyNumberFormat="0" applyAlignment="0" applyProtection="0"/>
    <xf numFmtId="0" fontId="32" fillId="30" borderId="47" applyNumberFormat="0" applyAlignment="0" applyProtection="0"/>
    <xf numFmtId="0" fontId="32" fillId="73"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17" borderId="40" applyNumberFormat="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34" fillId="0" borderId="48" applyNumberFormat="0" applyFill="0" applyAlignment="0" applyProtection="0"/>
    <xf numFmtId="0" fontId="29" fillId="1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32" fillId="65" borderId="47"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32" fillId="65" borderId="47" applyNumberFormat="0" applyAlignment="0" applyProtection="0"/>
    <xf numFmtId="10" fontId="52" fillId="89" borderId="7" applyNumberFormat="0" applyBorder="0" applyAlignment="0" applyProtection="0"/>
    <xf numFmtId="0" fontId="6" fillId="69" borderId="46" applyNumberFormat="0" applyFont="0" applyAlignment="0" applyProtection="0"/>
    <xf numFmtId="10" fontId="52" fillId="89" borderId="7" applyNumberFormat="0" applyBorder="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21" fillId="65"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65" borderId="40" applyNumberFormat="0" applyAlignment="0" applyProtection="0"/>
    <xf numFmtId="0" fontId="6" fillId="69" borderId="46" applyNumberFormat="0" applyFon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1" fillId="73" borderId="40" applyNumberFormat="0" applyAlignment="0" applyProtection="0"/>
    <xf numFmtId="0" fontId="6" fillId="69" borderId="46" applyNumberFormat="0" applyFont="0" applyAlignment="0" applyProtection="0"/>
    <xf numFmtId="0" fontId="21" fillId="30" borderId="40" applyNumberFormat="0" applyAlignment="0" applyProtection="0"/>
    <xf numFmtId="0" fontId="32" fillId="65" borderId="47"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30" borderId="47"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32" fillId="65"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29" fillId="17" borderId="40" applyNumberFormat="0" applyAlignment="0" applyProtection="0"/>
    <xf numFmtId="0" fontId="21" fillId="65" borderId="40"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6" fillId="69" borderId="46" applyNumberFormat="0" applyFon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32" fillId="65" borderId="47"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6" fillId="69" borderId="46" applyNumberFormat="0" applyFont="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6" fillId="33" borderId="46" applyNumberFormat="0" applyFont="0" applyAlignment="0" applyProtection="0"/>
    <xf numFmtId="10" fontId="52" fillId="89" borderId="7" applyNumberFormat="0" applyBorder="0" applyAlignment="0" applyProtection="0"/>
    <xf numFmtId="0" fontId="34" fillId="0" borderId="48" applyNumberFormat="0" applyFill="0" applyAlignment="0" applyProtection="0"/>
    <xf numFmtId="0" fontId="29" fillId="67" borderId="40" applyNumberFormat="0" applyAlignment="0" applyProtection="0"/>
    <xf numFmtId="0" fontId="32" fillId="65"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34" fillId="0" borderId="48" applyNumberFormat="0" applyFill="0" applyAlignment="0" applyProtection="0"/>
    <xf numFmtId="10" fontId="52" fillId="89" borderId="7" applyNumberFormat="0" applyBorder="0" applyAlignment="0" applyProtection="0"/>
    <xf numFmtId="0" fontId="32" fillId="30" borderId="47"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6" fillId="69" borderId="46" applyNumberFormat="0" applyFont="0" applyAlignment="0" applyProtection="0"/>
    <xf numFmtId="0" fontId="32" fillId="30" borderId="47" applyNumberFormat="0" applyAlignment="0" applyProtection="0"/>
    <xf numFmtId="0" fontId="29" fillId="1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30" borderId="47"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32" fillId="65" borderId="47" applyNumberFormat="0" applyAlignment="0" applyProtection="0"/>
    <xf numFmtId="0" fontId="34" fillId="0" borderId="48" applyNumberFormat="0" applyFill="0" applyAlignment="0" applyProtection="0"/>
    <xf numFmtId="0" fontId="32" fillId="30"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32" fillId="73" borderId="47" applyNumberFormat="0" applyAlignment="0" applyProtection="0"/>
    <xf numFmtId="0" fontId="29" fillId="67" borderId="40" applyNumberFormat="0" applyAlignment="0" applyProtection="0"/>
    <xf numFmtId="0" fontId="32" fillId="65" borderId="47" applyNumberFormat="0" applyAlignment="0" applyProtection="0"/>
    <xf numFmtId="0" fontId="21" fillId="30"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73" borderId="47" applyNumberFormat="0" applyAlignment="0" applyProtection="0"/>
    <xf numFmtId="0" fontId="21" fillId="65" borderId="40" applyNumberFormat="0" applyAlignment="0" applyProtection="0"/>
    <xf numFmtId="0" fontId="21" fillId="65"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65" borderId="47"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73" borderId="47" applyNumberFormat="0" applyAlignment="0" applyProtection="0"/>
    <xf numFmtId="0" fontId="21" fillId="65" borderId="40" applyNumberFormat="0" applyAlignment="0" applyProtection="0"/>
    <xf numFmtId="0" fontId="21" fillId="65"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65" borderId="47"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6" fillId="33"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18" fillId="69" borderId="46" applyNumberFormat="0" applyFont="0" applyAlignment="0" applyProtection="0"/>
    <xf numFmtId="0" fontId="18" fillId="69" borderId="46" applyNumberFormat="0" applyFon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21" fillId="65" borderId="40" applyNumberFormat="0" applyAlignment="0" applyProtection="0"/>
    <xf numFmtId="0" fontId="21" fillId="73"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65" borderId="47" applyNumberFormat="0" applyAlignment="0" applyProtection="0"/>
    <xf numFmtId="0" fontId="32" fillId="73" borderId="47"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1" fillId="65" borderId="40" applyNumberFormat="0" applyAlignment="0" applyProtection="0"/>
    <xf numFmtId="0" fontId="21" fillId="73"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14" fillId="0" borderId="0"/>
    <xf numFmtId="0" fontId="14" fillId="38" borderId="63" applyNumberFormat="0" applyFont="0" applyAlignment="0" applyProtection="0"/>
    <xf numFmtId="0" fontId="14" fillId="41" borderId="0" applyNumberFormat="0" applyBorder="0" applyAlignment="0" applyProtection="0"/>
    <xf numFmtId="0" fontId="14" fillId="44" borderId="0" applyNumberFormat="0" applyBorder="0" applyAlignment="0" applyProtection="0"/>
    <xf numFmtId="0" fontId="14" fillId="45" borderId="0" applyNumberFormat="0" applyBorder="0" applyAlignment="0" applyProtection="0"/>
    <xf numFmtId="0" fontId="14" fillId="48" borderId="0" applyNumberFormat="0" applyBorder="0" applyAlignment="0" applyProtection="0"/>
    <xf numFmtId="0" fontId="14" fillId="49" borderId="0" applyNumberFormat="0" applyBorder="0" applyAlignment="0" applyProtection="0"/>
    <xf numFmtId="0" fontId="14" fillId="52" borderId="0" applyNumberFormat="0" applyBorder="0" applyAlignment="0" applyProtection="0"/>
    <xf numFmtId="0" fontId="14" fillId="53" borderId="0" applyNumberFormat="0" applyBorder="0" applyAlignment="0" applyProtection="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1" borderId="0" applyNumberFormat="0" applyBorder="0" applyAlignment="0" applyProtection="0"/>
    <xf numFmtId="0" fontId="14" fillId="0" borderId="0"/>
    <xf numFmtId="0" fontId="14" fillId="38" borderId="63" applyNumberFormat="0" applyFont="0" applyAlignment="0" applyProtection="0"/>
    <xf numFmtId="0" fontId="14" fillId="41" borderId="0" applyNumberFormat="0" applyBorder="0" applyAlignment="0" applyProtection="0"/>
    <xf numFmtId="0" fontId="14" fillId="44" borderId="0" applyNumberFormat="0" applyBorder="0" applyAlignment="0" applyProtection="0"/>
    <xf numFmtId="0" fontId="14" fillId="45" borderId="0" applyNumberFormat="0" applyBorder="0" applyAlignment="0" applyProtection="0"/>
    <xf numFmtId="0" fontId="14" fillId="48" borderId="0" applyNumberFormat="0" applyBorder="0" applyAlignment="0" applyProtection="0"/>
    <xf numFmtId="0" fontId="14" fillId="49" borderId="0" applyNumberFormat="0" applyBorder="0" applyAlignment="0" applyProtection="0"/>
    <xf numFmtId="0" fontId="14" fillId="52" borderId="0" applyNumberFormat="0" applyBorder="0" applyAlignment="0" applyProtection="0"/>
    <xf numFmtId="0" fontId="14" fillId="53" borderId="0" applyNumberFormat="0" applyBorder="0" applyAlignment="0" applyProtection="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1" borderId="0" applyNumberFormat="0" applyBorder="0" applyAlignment="0" applyProtection="0"/>
    <xf numFmtId="0" fontId="14" fillId="0" borderId="0"/>
    <xf numFmtId="0" fontId="14" fillId="38" borderId="63" applyNumberFormat="0" applyFont="0" applyAlignment="0" applyProtection="0"/>
    <xf numFmtId="0" fontId="14" fillId="41" borderId="0" applyNumberFormat="0" applyBorder="0" applyAlignment="0" applyProtection="0"/>
    <xf numFmtId="0" fontId="14" fillId="44" borderId="0" applyNumberFormat="0" applyBorder="0" applyAlignment="0" applyProtection="0"/>
    <xf numFmtId="0" fontId="14" fillId="45" borderId="0" applyNumberFormat="0" applyBorder="0" applyAlignment="0" applyProtection="0"/>
    <xf numFmtId="0" fontId="14" fillId="48" borderId="0" applyNumberFormat="0" applyBorder="0" applyAlignment="0" applyProtection="0"/>
    <xf numFmtId="0" fontId="14" fillId="49" borderId="0" applyNumberFormat="0" applyBorder="0" applyAlignment="0" applyProtection="0"/>
    <xf numFmtId="0" fontId="14" fillId="52" borderId="0" applyNumberFormat="0" applyBorder="0" applyAlignment="0" applyProtection="0"/>
    <xf numFmtId="0" fontId="14" fillId="53" borderId="0" applyNumberFormat="0" applyBorder="0" applyAlignment="0" applyProtection="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14"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14" fillId="0" borderId="0"/>
    <xf numFmtId="0" fontId="6"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14" fillId="0" borderId="0"/>
    <xf numFmtId="0" fontId="6" fillId="0" borderId="0"/>
    <xf numFmtId="0" fontId="6" fillId="0" borderId="0"/>
    <xf numFmtId="0" fontId="6"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6" fillId="0" borderId="0"/>
    <xf numFmtId="0" fontId="6" fillId="0" borderId="0"/>
    <xf numFmtId="0" fontId="14" fillId="0" borderId="0"/>
    <xf numFmtId="0" fontId="14" fillId="0" borderId="0"/>
    <xf numFmtId="0" fontId="14" fillId="0" borderId="0"/>
    <xf numFmtId="0" fontId="6" fillId="0" borderId="0"/>
    <xf numFmtId="0" fontId="6" fillId="0" borderId="0"/>
    <xf numFmtId="0" fontId="6" fillId="0" borderId="0"/>
    <xf numFmtId="0" fontId="14" fillId="0" borderId="0"/>
    <xf numFmtId="0" fontId="14" fillId="0" borderId="0"/>
    <xf numFmtId="0" fontId="6" fillId="0" borderId="0"/>
    <xf numFmtId="0" fontId="6" fillId="0" borderId="0"/>
    <xf numFmtId="0" fontId="14" fillId="0" borderId="0"/>
    <xf numFmtId="0" fontId="6" fillId="0" borderId="0"/>
    <xf numFmtId="0" fontId="6" fillId="0" borderId="0"/>
    <xf numFmtId="0" fontId="14" fillId="0" borderId="0"/>
    <xf numFmtId="0" fontId="6" fillId="0" borderId="0"/>
    <xf numFmtId="0" fontId="14"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0" fontId="32" fillId="30" borderId="47"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6" fillId="33"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30"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29" fillId="17" borderId="40" applyNumberFormat="0" applyAlignment="0" applyProtection="0"/>
    <xf numFmtId="0" fontId="21" fillId="30"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17"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29" fillId="17" borderId="40" applyNumberFormat="0" applyAlignment="0" applyProtection="0"/>
    <xf numFmtId="0" fontId="32" fillId="30" borderId="47" applyNumberFormat="0" applyAlignment="0" applyProtection="0"/>
    <xf numFmtId="0" fontId="32" fillId="30" borderId="47"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29" fillId="17" borderId="40" applyNumberFormat="0" applyAlignment="0" applyProtection="0"/>
    <xf numFmtId="0" fontId="32" fillId="30" borderId="47"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1" fillId="30" borderId="40" applyNumberFormat="0" applyAlignment="0" applyProtection="0"/>
    <xf numFmtId="0" fontId="32" fillId="30" borderId="47" applyNumberFormat="0" applyAlignment="0" applyProtection="0"/>
    <xf numFmtId="0" fontId="21" fillId="30" borderId="40" applyNumberFormat="0" applyAlignment="0" applyProtection="0"/>
    <xf numFmtId="0" fontId="29" fillId="17" borderId="40" applyNumberFormat="0" applyAlignment="0" applyProtection="0"/>
    <xf numFmtId="0" fontId="32" fillId="30" borderId="47" applyNumberFormat="0" applyAlignment="0" applyProtection="0"/>
    <xf numFmtId="0" fontId="32" fillId="30" borderId="47" applyNumberFormat="0" applyAlignment="0" applyProtection="0"/>
    <xf numFmtId="0" fontId="29" fillId="17"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29" fillId="17"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17" borderId="40" applyNumberFormat="0" applyAlignment="0" applyProtection="0"/>
    <xf numFmtId="0" fontId="29" fillId="17"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29" fillId="17" borderId="40" applyNumberFormat="0" applyAlignment="0" applyProtection="0"/>
    <xf numFmtId="0" fontId="21" fillId="30" borderId="40" applyNumberFormat="0" applyAlignment="0" applyProtection="0"/>
    <xf numFmtId="0" fontId="32" fillId="30" borderId="47" applyNumberFormat="0" applyAlignment="0" applyProtection="0"/>
    <xf numFmtId="0" fontId="6" fillId="0" borderId="0"/>
    <xf numFmtId="0" fontId="14" fillId="40"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49" fillId="42" borderId="0" applyNumberFormat="0" applyBorder="0" applyAlignment="0" applyProtection="0"/>
    <xf numFmtId="0" fontId="49" fillId="42" borderId="0" applyNumberFormat="0" applyBorder="0" applyAlignment="0" applyProtection="0"/>
    <xf numFmtId="0" fontId="49" fillId="46" borderId="0" applyNumberFormat="0" applyBorder="0" applyAlignment="0" applyProtection="0"/>
    <xf numFmtId="0" fontId="49" fillId="46" borderId="0" applyNumberFormat="0" applyBorder="0" applyAlignment="0" applyProtection="0"/>
    <xf numFmtId="0" fontId="49" fillId="50" borderId="0" applyNumberFormat="0" applyBorder="0" applyAlignment="0" applyProtection="0"/>
    <xf numFmtId="0" fontId="49" fillId="50" borderId="0" applyNumberFormat="0" applyBorder="0" applyAlignment="0" applyProtection="0"/>
    <xf numFmtId="0" fontId="49" fillId="50" borderId="0" applyNumberFormat="0" applyBorder="0" applyAlignment="0" applyProtection="0"/>
    <xf numFmtId="0" fontId="49" fillId="54" borderId="0" applyNumberFormat="0" applyBorder="0" applyAlignment="0" applyProtection="0"/>
    <xf numFmtId="0" fontId="49" fillId="54" borderId="0" applyNumberFormat="0" applyBorder="0" applyAlignment="0" applyProtection="0"/>
    <xf numFmtId="0" fontId="49" fillId="54" borderId="0" applyNumberFormat="0" applyBorder="0" applyAlignment="0" applyProtection="0"/>
    <xf numFmtId="0" fontId="49" fillId="58" borderId="0" applyNumberFormat="0" applyBorder="0" applyAlignment="0" applyProtection="0"/>
    <xf numFmtId="0" fontId="49" fillId="58" borderId="0" applyNumberFormat="0" applyBorder="0" applyAlignment="0" applyProtection="0"/>
    <xf numFmtId="0" fontId="49" fillId="62" borderId="0" applyNumberFormat="0" applyBorder="0" applyAlignment="0" applyProtection="0"/>
    <xf numFmtId="0" fontId="49" fillId="62" borderId="0" applyNumberFormat="0" applyBorder="0" applyAlignment="0" applyProtection="0"/>
    <xf numFmtId="0" fontId="49" fillId="62" borderId="0" applyNumberFormat="0" applyBorder="0" applyAlignment="0" applyProtection="0"/>
    <xf numFmtId="0" fontId="49" fillId="47" borderId="0" applyNumberFormat="0" applyBorder="0" applyAlignment="0" applyProtection="0"/>
    <xf numFmtId="0" fontId="49" fillId="47" borderId="0" applyNumberFormat="0" applyBorder="0" applyAlignment="0" applyProtection="0"/>
    <xf numFmtId="0" fontId="49" fillId="51" borderId="0" applyNumberFormat="0" applyBorder="0" applyAlignment="0" applyProtection="0"/>
    <xf numFmtId="0" fontId="49" fillId="51" borderId="0" applyNumberFormat="0" applyBorder="0" applyAlignment="0" applyProtection="0"/>
    <xf numFmtId="0" fontId="49" fillId="55" borderId="0" applyNumberFormat="0" applyBorder="0" applyAlignment="0" applyProtection="0"/>
    <xf numFmtId="0" fontId="49" fillId="55" borderId="0" applyNumberFormat="0" applyBorder="0" applyAlignment="0" applyProtection="0"/>
    <xf numFmtId="0" fontId="49" fillId="59" borderId="0" applyNumberFormat="0" applyBorder="0" applyAlignment="0" applyProtection="0"/>
    <xf numFmtId="0" fontId="49" fillId="59" borderId="0" applyNumberFormat="0" applyBorder="0" applyAlignment="0" applyProtection="0"/>
    <xf numFmtId="0" fontId="53" fillId="66" borderId="0"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43" fillId="36" borderId="13" applyNumberFormat="0" applyAlignment="0" applyProtection="0"/>
    <xf numFmtId="0" fontId="21" fillId="73" borderId="40" applyNumberFormat="0" applyAlignment="0" applyProtection="0"/>
    <xf numFmtId="0" fontId="21" fillId="73" borderId="40" applyNumberFormat="0" applyAlignment="0" applyProtection="0"/>
    <xf numFmtId="0" fontId="43" fillId="36" borderId="13" applyNumberFormat="0" applyAlignment="0" applyProtection="0"/>
    <xf numFmtId="0" fontId="23" fillId="0" borderId="0" applyNumberFormat="0" applyFill="0" applyBorder="0" applyAlignment="0" applyProtection="0"/>
    <xf numFmtId="0" fontId="54" fillId="0" borderId="66" applyNumberFormat="0" applyFill="0" applyAlignment="0" applyProtection="0"/>
    <xf numFmtId="0" fontId="56" fillId="0" borderId="67" applyNumberFormat="0" applyFill="0" applyAlignment="0" applyProtection="0"/>
    <xf numFmtId="0" fontId="56"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0" borderId="0"/>
    <xf numFmtId="0" fontId="18" fillId="0" borderId="0"/>
    <xf numFmtId="0" fontId="6" fillId="0" borderId="0"/>
    <xf numFmtId="0" fontId="6" fillId="0" borderId="0"/>
    <xf numFmtId="0" fontId="18" fillId="0" borderId="0"/>
    <xf numFmtId="0" fontId="6" fillId="0" borderId="0"/>
    <xf numFmtId="0" fontId="18" fillId="0" borderId="0"/>
    <xf numFmtId="0" fontId="18" fillId="0" borderId="0"/>
    <xf numFmtId="0" fontId="6" fillId="0" borderId="0"/>
    <xf numFmtId="0" fontId="18" fillId="0" borderId="0"/>
    <xf numFmtId="0" fontId="6" fillId="0" borderId="0"/>
    <xf numFmtId="0" fontId="6" fillId="0" borderId="0"/>
    <xf numFmtId="0" fontId="18"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8" fillId="0" borderId="0"/>
    <xf numFmtId="0" fontId="18" fillId="0" borderId="0"/>
    <xf numFmtId="0" fontId="18" fillId="0" borderId="0"/>
    <xf numFmtId="0" fontId="18" fillId="0" borderId="0"/>
    <xf numFmtId="0" fontId="14" fillId="0" borderId="0"/>
    <xf numFmtId="0" fontId="14" fillId="0" borderId="0"/>
    <xf numFmtId="0" fontId="6" fillId="0" borderId="0"/>
    <xf numFmtId="0" fontId="6" fillId="0" borderId="0"/>
    <xf numFmtId="0" fontId="6" fillId="33"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18" fillId="69" borderId="46" applyNumberFormat="0" applyFont="0" applyAlignment="0" applyProtection="0"/>
    <xf numFmtId="0" fontId="18" fillId="69" borderId="46" applyNumberFormat="0" applyFont="0" applyAlignment="0" applyProtection="0"/>
    <xf numFmtId="0" fontId="18" fillId="69" borderId="46" applyNumberFormat="0" applyFont="0" applyAlignment="0" applyProtection="0"/>
    <xf numFmtId="0" fontId="18" fillId="69" borderId="46" applyNumberFormat="0" applyFon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42" fillId="36" borderId="60"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42" fillId="36" borderId="60" applyNumberFormat="0" applyAlignment="0" applyProtection="0"/>
    <xf numFmtId="0" fontId="32" fillId="73" borderId="47" applyNumberFormat="0" applyAlignment="0" applyProtection="0"/>
    <xf numFmtId="10" fontId="6" fillId="0" borderId="0" applyFont="0" applyFill="0" applyBorder="0" applyAlignment="0" applyProtection="0"/>
    <xf numFmtId="10" fontId="6" fillId="0" borderId="0" applyFont="0" applyFill="0" applyBorder="0" applyAlignment="0" applyProtection="0"/>
    <xf numFmtId="0" fontId="58" fillId="0" borderId="0" applyNumberFormat="0" applyFill="0" applyBorder="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56" fillId="0" borderId="67" applyNumberFormat="0" applyFill="0" applyAlignment="0" applyProtection="0"/>
    <xf numFmtId="0" fontId="29" fillId="17" borderId="40" applyNumberFormat="0" applyAlignment="0" applyProtection="0"/>
    <xf numFmtId="0" fontId="6" fillId="0" borderId="0"/>
    <xf numFmtId="0" fontId="6" fillId="0" borderId="0"/>
    <xf numFmtId="0" fontId="6" fillId="33"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18" fillId="38" borderId="63"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18" fillId="69" borderId="46" applyNumberFormat="0" applyFont="0" applyAlignment="0" applyProtection="0"/>
    <xf numFmtId="0" fontId="18" fillId="69" borderId="46" applyNumberFormat="0" applyFont="0" applyAlignment="0" applyProtection="0"/>
    <xf numFmtId="0" fontId="18" fillId="69" borderId="46" applyNumberFormat="0" applyFont="0" applyAlignment="0" applyProtection="0"/>
    <xf numFmtId="0" fontId="18" fillId="69" borderId="46" applyNumberFormat="0" applyFon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58" fillId="0" borderId="0" applyNumberFormat="0" applyFill="0" applyBorder="0" applyAlignment="0" applyProtection="0"/>
    <xf numFmtId="0" fontId="48" fillId="0" borderId="6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48" fillId="0" borderId="68" applyNumberFormat="0" applyFill="0" applyAlignment="0" applyProtection="0"/>
  </cellStyleXfs>
  <cellXfs count="385">
    <xf numFmtId="0" fontId="0" fillId="0" borderId="0" xfId="0"/>
    <xf numFmtId="0" fontId="7" fillId="11" borderId="26" xfId="0" applyFont="1" applyFill="1" applyBorder="1" applyAlignment="1" applyProtection="1">
      <alignment horizontal="center"/>
      <protection locked="0"/>
    </xf>
    <xf numFmtId="0" fontId="7" fillId="11" borderId="20" xfId="0" applyFont="1" applyFill="1" applyBorder="1" applyAlignment="1" applyProtection="1">
      <alignment horizontal="center" vertical="center"/>
      <protection locked="0"/>
    </xf>
    <xf numFmtId="0" fontId="7" fillId="9" borderId="20" xfId="0" applyFont="1" applyFill="1" applyBorder="1" applyAlignment="1" applyProtection="1">
      <alignment horizontal="center"/>
    </xf>
    <xf numFmtId="0" fontId="7" fillId="11" borderId="20" xfId="0" applyFont="1" applyFill="1" applyBorder="1" applyAlignment="1" applyProtection="1">
      <alignment horizontal="center"/>
      <protection locked="0"/>
    </xf>
    <xf numFmtId="0" fontId="7" fillId="9" borderId="21" xfId="0" applyFont="1" applyFill="1" applyBorder="1" applyAlignment="1" applyProtection="1">
      <alignment horizontal="center"/>
      <protection locked="0"/>
    </xf>
    <xf numFmtId="0" fontId="7" fillId="9" borderId="23" xfId="0" applyFont="1" applyFill="1" applyBorder="1" applyAlignment="1" applyProtection="1">
      <alignment horizontal="center"/>
    </xf>
    <xf numFmtId="0" fontId="1" fillId="0" borderId="0" xfId="0" applyFont="1" applyFill="1" applyAlignment="1" applyProtection="1">
      <alignment horizontal="left"/>
      <protection hidden="1"/>
    </xf>
    <xf numFmtId="0" fontId="7" fillId="11" borderId="24" xfId="0" applyFont="1" applyFill="1" applyBorder="1" applyAlignment="1" applyProtection="1">
      <alignment horizontal="center"/>
      <protection locked="0"/>
    </xf>
    <xf numFmtId="0" fontId="7" fillId="11" borderId="31" xfId="0" applyFont="1" applyFill="1" applyBorder="1" applyAlignment="1" applyProtection="1">
      <alignment horizontal="center"/>
      <protection locked="0"/>
    </xf>
    <xf numFmtId="0" fontId="7" fillId="9" borderId="31" xfId="0" applyFont="1" applyFill="1" applyBorder="1" applyAlignment="1" applyProtection="1">
      <alignment horizontal="center"/>
    </xf>
    <xf numFmtId="0" fontId="7" fillId="11" borderId="32" xfId="0" applyFont="1" applyFill="1" applyBorder="1" applyAlignment="1" applyProtection="1">
      <alignment horizontal="center"/>
      <protection locked="0"/>
    </xf>
    <xf numFmtId="0" fontId="7" fillId="11" borderId="34" xfId="0" applyFont="1" applyFill="1" applyBorder="1" applyAlignment="1" applyProtection="1">
      <alignment horizontal="center"/>
      <protection locked="0"/>
    </xf>
    <xf numFmtId="0" fontId="7" fillId="11" borderId="35" xfId="0" quotePrefix="1" applyFont="1" applyFill="1" applyBorder="1" applyAlignment="1" applyProtection="1">
      <alignment horizontal="center"/>
      <protection locked="0"/>
    </xf>
    <xf numFmtId="0" fontId="7" fillId="11" borderId="37" xfId="0" applyFont="1" applyFill="1" applyBorder="1" applyAlignment="1" applyProtection="1">
      <alignment horizontal="center"/>
      <protection locked="0"/>
    </xf>
    <xf numFmtId="0" fontId="7" fillId="11" borderId="24" xfId="0" quotePrefix="1" applyFont="1" applyFill="1" applyBorder="1" applyAlignment="1" applyProtection="1">
      <alignment horizontal="center"/>
      <protection locked="0"/>
    </xf>
    <xf numFmtId="0" fontId="7" fillId="9" borderId="24" xfId="0" applyFont="1" applyFill="1" applyBorder="1" applyAlignment="1" applyProtection="1">
      <alignment horizontal="center"/>
    </xf>
    <xf numFmtId="0" fontId="7" fillId="11" borderId="38" xfId="0" quotePrefix="1" applyFont="1" applyFill="1" applyBorder="1" applyAlignment="1" applyProtection="1">
      <alignment horizontal="center"/>
      <protection locked="0"/>
    </xf>
    <xf numFmtId="0" fontId="7" fillId="11" borderId="32" xfId="0" quotePrefix="1" applyFont="1" applyFill="1" applyBorder="1" applyAlignment="1" applyProtection="1">
      <alignment horizontal="center"/>
      <protection locked="0"/>
    </xf>
    <xf numFmtId="0" fontId="8" fillId="6" borderId="38" xfId="3" applyBorder="1" applyAlignment="1" applyProtection="1">
      <alignment horizontal="center" vertical="center"/>
    </xf>
    <xf numFmtId="0" fontId="8" fillId="6" borderId="32" xfId="3" applyBorder="1" applyAlignment="1" applyProtection="1">
      <alignment horizontal="center" vertical="center"/>
    </xf>
    <xf numFmtId="0" fontId="8" fillId="6" borderId="33" xfId="3" applyBorder="1" applyAlignment="1" applyProtection="1">
      <alignment horizontal="center" vertical="center"/>
    </xf>
    <xf numFmtId="0" fontId="7" fillId="9" borderId="39" xfId="0" applyFont="1" applyFill="1" applyBorder="1" applyAlignment="1" applyProtection="1">
      <alignment horizontal="center"/>
    </xf>
    <xf numFmtId="0" fontId="9" fillId="0" borderId="0" xfId="0" applyFont="1" applyAlignment="1" applyProtection="1">
      <alignment horizontal="center"/>
    </xf>
    <xf numFmtId="0" fontId="1" fillId="0" borderId="0" xfId="0" applyFont="1" applyBorder="1" applyAlignment="1">
      <alignment horizontal="left"/>
    </xf>
    <xf numFmtId="0" fontId="1" fillId="0" borderId="0" xfId="0" applyFont="1" applyBorder="1"/>
    <xf numFmtId="0" fontId="1" fillId="0" borderId="0" xfId="0" applyFont="1"/>
    <xf numFmtId="0" fontId="1" fillId="0" borderId="0" xfId="0" applyFont="1" applyBorder="1" applyAlignment="1">
      <alignment horizontal="center"/>
    </xf>
    <xf numFmtId="0" fontId="7" fillId="0" borderId="0" xfId="0" applyFont="1"/>
    <xf numFmtId="0" fontId="7" fillId="0" borderId="16" xfId="0" applyFont="1" applyBorder="1" applyAlignment="1" applyProtection="1">
      <alignment horizontal="left"/>
    </xf>
    <xf numFmtId="0" fontId="9" fillId="0" borderId="0" xfId="0" applyFont="1"/>
    <xf numFmtId="0" fontId="9" fillId="0" borderId="0" xfId="0" applyFont="1" applyAlignment="1">
      <alignment horizontal="center"/>
    </xf>
    <xf numFmtId="49" fontId="9" fillId="0" borderId="0" xfId="0" applyNumberFormat="1" applyFont="1" applyBorder="1"/>
    <xf numFmtId="0" fontId="9" fillId="0" borderId="17" xfId="0" applyFont="1" applyBorder="1" applyAlignment="1">
      <alignment horizontal="left"/>
    </xf>
    <xf numFmtId="0" fontId="9" fillId="0" borderId="11" xfId="0" applyFont="1" applyBorder="1" applyAlignment="1">
      <alignment horizontal="left"/>
    </xf>
    <xf numFmtId="0" fontId="9" fillId="0" borderId="9" xfId="0" applyFont="1" applyBorder="1" applyAlignment="1">
      <alignment horizontal="center" wrapText="1"/>
    </xf>
    <xf numFmtId="0" fontId="9" fillId="0" borderId="18" xfId="0" applyFont="1" applyBorder="1" applyAlignment="1">
      <alignment horizontal="center" vertical="center"/>
    </xf>
    <xf numFmtId="0" fontId="9" fillId="0" borderId="1" xfId="0" applyFont="1" applyBorder="1" applyAlignment="1">
      <alignment horizontal="left" wrapText="1"/>
    </xf>
    <xf numFmtId="0" fontId="9" fillId="0" borderId="0" xfId="0" applyFont="1" applyBorder="1" applyAlignment="1">
      <alignment horizontal="left" wrapText="1"/>
    </xf>
    <xf numFmtId="0" fontId="9" fillId="0" borderId="1" xfId="0" applyFont="1" applyBorder="1" applyAlignment="1">
      <alignment horizontal="left" shrinkToFit="1"/>
    </xf>
    <xf numFmtId="0" fontId="9" fillId="0" borderId="0" xfId="0" applyFont="1" applyBorder="1" applyAlignment="1">
      <alignment horizontal="left" shrinkToFit="1"/>
    </xf>
    <xf numFmtId="0" fontId="9" fillId="0" borderId="16" xfId="0" applyFont="1" applyBorder="1" applyAlignment="1">
      <alignment horizontal="left" shrinkToFit="1"/>
    </xf>
    <xf numFmtId="0" fontId="9" fillId="0" borderId="16" xfId="0" applyFont="1" applyBorder="1" applyAlignment="1">
      <alignment horizontal="left" wrapText="1"/>
    </xf>
    <xf numFmtId="0" fontId="9" fillId="0" borderId="0" xfId="0" applyFont="1" applyBorder="1" applyAlignment="1">
      <alignment horizontal="center" wrapText="1"/>
    </xf>
    <xf numFmtId="49" fontId="9" fillId="0" borderId="1" xfId="0" applyNumberFormat="1" applyFont="1" applyBorder="1" applyAlignment="1">
      <alignment horizontal="left"/>
    </xf>
    <xf numFmtId="49" fontId="9" fillId="0" borderId="0" xfId="0" applyNumberFormat="1" applyFont="1" applyBorder="1" applyAlignment="1">
      <alignment horizontal="left" wrapText="1"/>
    </xf>
    <xf numFmtId="49" fontId="9" fillId="0" borderId="0" xfId="0" applyNumberFormat="1" applyFont="1" applyBorder="1" applyAlignment="1">
      <alignment horizontal="left"/>
    </xf>
    <xf numFmtId="49" fontId="9" fillId="0" borderId="16" xfId="0" applyNumberFormat="1" applyFont="1" applyBorder="1" applyAlignment="1">
      <alignment horizontal="left" wrapText="1"/>
    </xf>
    <xf numFmtId="0" fontId="9" fillId="0" borderId="1" xfId="0" applyFont="1" applyBorder="1" applyAlignment="1">
      <alignment horizontal="center"/>
    </xf>
    <xf numFmtId="0" fontId="9" fillId="0" borderId="0" xfId="0" applyFont="1" applyBorder="1" applyAlignment="1">
      <alignment horizontal="center"/>
    </xf>
    <xf numFmtId="0" fontId="9" fillId="0" borderId="16" xfId="0" applyFont="1" applyBorder="1" applyAlignment="1">
      <alignment horizontal="center" vertical="center" wrapText="1"/>
    </xf>
    <xf numFmtId="0" fontId="12" fillId="9" borderId="14" xfId="0" applyFont="1" applyFill="1" applyBorder="1" applyAlignment="1">
      <alignment horizontal="left" wrapText="1"/>
    </xf>
    <xf numFmtId="0" fontId="12" fillId="9" borderId="14" xfId="0" applyFont="1" applyFill="1" applyBorder="1" applyAlignment="1">
      <alignment horizontal="left" shrinkToFit="1"/>
    </xf>
    <xf numFmtId="49" fontId="12" fillId="9" borderId="14" xfId="0" applyNumberFormat="1" applyFont="1" applyFill="1" applyBorder="1" applyAlignment="1">
      <alignment horizontal="left"/>
    </xf>
    <xf numFmtId="0" fontId="12" fillId="9" borderId="14" xfId="0" applyFont="1" applyFill="1" applyBorder="1" applyAlignment="1">
      <alignment horizontal="left"/>
    </xf>
    <xf numFmtId="0" fontId="12" fillId="9" borderId="14" xfId="0" applyFont="1" applyFill="1" applyBorder="1" applyAlignment="1">
      <alignment horizontal="center"/>
    </xf>
    <xf numFmtId="0" fontId="12" fillId="0" borderId="0" xfId="0" applyFont="1" applyBorder="1"/>
    <xf numFmtId="0" fontId="1" fillId="0" borderId="1" xfId="0" applyFont="1" applyBorder="1" applyAlignment="1" applyProtection="1">
      <alignment horizontal="left"/>
      <protection hidden="1"/>
    </xf>
    <xf numFmtId="0" fontId="1" fillId="0" borderId="0" xfId="0" applyFont="1" applyAlignment="1" applyProtection="1">
      <alignment horizontal="left"/>
      <protection hidden="1"/>
    </xf>
    <xf numFmtId="0" fontId="1" fillId="0" borderId="0" xfId="0" applyFont="1" applyAlignment="1" applyProtection="1">
      <alignment horizontal="left" vertical="center"/>
      <protection hidden="1"/>
    </xf>
    <xf numFmtId="0" fontId="1" fillId="0" borderId="1" xfId="0" applyFont="1" applyBorder="1" applyAlignment="1" applyProtection="1">
      <alignment horizontal="left" shrinkToFit="1"/>
      <protection hidden="1"/>
    </xf>
    <xf numFmtId="0" fontId="1" fillId="0" borderId="0" xfId="0" applyFont="1" applyBorder="1" applyAlignment="1" applyProtection="1">
      <alignment horizontal="left" shrinkToFit="1"/>
      <protection hidden="1"/>
    </xf>
    <xf numFmtId="0" fontId="1" fillId="0" borderId="16" xfId="0" applyFont="1" applyBorder="1" applyAlignment="1" applyProtection="1">
      <alignment horizontal="left" shrinkToFit="1"/>
      <protection hidden="1"/>
    </xf>
    <xf numFmtId="0" fontId="1" fillId="0" borderId="0" xfId="0" applyFont="1" applyBorder="1" applyAlignment="1" applyProtection="1">
      <alignment horizontal="left"/>
      <protection hidden="1"/>
    </xf>
    <xf numFmtId="0" fontId="1" fillId="0" borderId="16" xfId="0" applyFont="1" applyBorder="1" applyAlignment="1" applyProtection="1">
      <alignment horizontal="left"/>
      <protection hidden="1"/>
    </xf>
    <xf numFmtId="0" fontId="1" fillId="0" borderId="1" xfId="0" applyNumberFormat="1" applyFont="1" applyBorder="1" applyAlignment="1" applyProtection="1">
      <alignment horizontal="left"/>
      <protection hidden="1"/>
    </xf>
    <xf numFmtId="0" fontId="1" fillId="10" borderId="11" xfId="0" applyNumberFormat="1" applyFont="1" applyFill="1" applyBorder="1" applyAlignment="1" applyProtection="1">
      <alignment horizontal="left"/>
      <protection hidden="1"/>
    </xf>
    <xf numFmtId="0" fontId="1" fillId="0" borderId="0" xfId="0" applyNumberFormat="1" applyFont="1" applyBorder="1" applyAlignment="1" applyProtection="1">
      <alignment horizontal="left"/>
      <protection hidden="1"/>
    </xf>
    <xf numFmtId="0" fontId="1" fillId="0" borderId="18" xfId="0" applyNumberFormat="1" applyFont="1" applyBorder="1" applyAlignment="1" applyProtection="1">
      <alignment horizontal="left"/>
      <protection hidden="1"/>
    </xf>
    <xf numFmtId="0" fontId="1" fillId="0" borderId="10" xfId="0" applyNumberFormat="1" applyFont="1" applyBorder="1" applyAlignment="1" applyProtection="1">
      <alignment horizontal="left"/>
      <protection hidden="1"/>
    </xf>
    <xf numFmtId="0" fontId="1" fillId="10" borderId="0" xfId="0" applyNumberFormat="1" applyFont="1" applyFill="1" applyBorder="1" applyAlignment="1" applyProtection="1">
      <alignment horizontal="left"/>
      <protection hidden="1"/>
    </xf>
    <xf numFmtId="0" fontId="1" fillId="0" borderId="16" xfId="0" applyNumberFormat="1" applyFont="1" applyBorder="1" applyAlignment="1" applyProtection="1">
      <alignment horizontal="left"/>
      <protection hidden="1"/>
    </xf>
    <xf numFmtId="0" fontId="7" fillId="9" borderId="21" xfId="0" applyFont="1" applyFill="1" applyBorder="1" applyAlignment="1" applyProtection="1">
      <alignment horizontal="center"/>
    </xf>
    <xf numFmtId="0" fontId="12" fillId="9" borderId="14" xfId="0" applyFont="1" applyFill="1" applyBorder="1" applyAlignment="1" applyProtection="1">
      <alignment horizontal="left" wrapText="1"/>
      <protection hidden="1"/>
    </xf>
    <xf numFmtId="0" fontId="12" fillId="9" borderId="14" xfId="0" applyFont="1" applyFill="1" applyBorder="1" applyAlignment="1" applyProtection="1">
      <alignment horizontal="left" shrinkToFit="1"/>
      <protection hidden="1"/>
    </xf>
    <xf numFmtId="49" fontId="12" fillId="9" borderId="14" xfId="0" applyNumberFormat="1" applyFont="1" applyFill="1" applyBorder="1" applyAlignment="1" applyProtection="1">
      <alignment horizontal="left"/>
      <protection hidden="1"/>
    </xf>
    <xf numFmtId="0" fontId="12" fillId="9" borderId="14" xfId="0" applyFont="1" applyFill="1" applyBorder="1" applyAlignment="1" applyProtection="1">
      <alignment horizontal="left"/>
      <protection locked="0"/>
    </xf>
    <xf numFmtId="0" fontId="13" fillId="9" borderId="14" xfId="0" applyFont="1" applyFill="1" applyBorder="1" applyAlignment="1" applyProtection="1">
      <alignment horizontal="center"/>
      <protection locked="0"/>
    </xf>
    <xf numFmtId="0" fontId="1" fillId="0" borderId="0" xfId="0" applyFont="1" applyBorder="1" applyAlignment="1">
      <alignment horizontal="left" shrinkToFit="1"/>
    </xf>
    <xf numFmtId="49" fontId="1" fillId="0" borderId="10" xfId="0" applyNumberFormat="1" applyFont="1" applyBorder="1" applyAlignment="1" applyProtection="1">
      <alignment horizontal="left" vertical="center"/>
      <protection hidden="1"/>
    </xf>
    <xf numFmtId="49" fontId="1" fillId="10" borderId="0" xfId="0" applyNumberFormat="1" applyFont="1" applyFill="1" applyBorder="1" applyAlignment="1" applyProtection="1">
      <alignment horizontal="left" vertical="center"/>
      <protection hidden="1"/>
    </xf>
    <xf numFmtId="0" fontId="1" fillId="0" borderId="0" xfId="0" applyFont="1" applyAlignment="1">
      <alignment vertical="center"/>
    </xf>
    <xf numFmtId="0" fontId="1" fillId="10" borderId="0" xfId="0" applyFont="1" applyFill="1" applyAlignment="1" applyProtection="1">
      <alignment horizontal="left" vertical="center"/>
      <protection hidden="1"/>
    </xf>
    <xf numFmtId="49" fontId="1" fillId="10" borderId="16" xfId="0" applyNumberFormat="1" applyFont="1" applyFill="1" applyBorder="1" applyAlignment="1" applyProtection="1">
      <alignment horizontal="left" vertical="center"/>
      <protection hidden="1"/>
    </xf>
    <xf numFmtId="49" fontId="1" fillId="10" borderId="10" xfId="0" applyNumberFormat="1" applyFont="1" applyFill="1" applyBorder="1" applyAlignment="1" applyProtection="1">
      <alignment horizontal="left" vertical="center"/>
      <protection hidden="1"/>
    </xf>
    <xf numFmtId="0" fontId="12" fillId="9" borderId="15" xfId="0" applyFont="1" applyFill="1" applyBorder="1" applyAlignment="1" applyProtection="1">
      <alignment horizontal="left" vertical="center" wrapText="1"/>
      <protection hidden="1"/>
    </xf>
    <xf numFmtId="0" fontId="12" fillId="9" borderId="14" xfId="0" applyFont="1" applyFill="1" applyBorder="1" applyAlignment="1" applyProtection="1">
      <alignment horizontal="left" vertical="center" wrapText="1"/>
      <protection hidden="1"/>
    </xf>
    <xf numFmtId="0" fontId="12" fillId="9" borderId="14" xfId="0" applyFont="1" applyFill="1" applyBorder="1" applyAlignment="1" applyProtection="1">
      <alignment horizontal="left" vertical="center" shrinkToFit="1"/>
      <protection hidden="1"/>
    </xf>
    <xf numFmtId="49" fontId="12" fillId="9" borderId="14" xfId="0" applyNumberFormat="1" applyFont="1" applyFill="1" applyBorder="1" applyAlignment="1" applyProtection="1">
      <alignment horizontal="left" vertical="center"/>
      <protection hidden="1"/>
    </xf>
    <xf numFmtId="0" fontId="12" fillId="9" borderId="14" xfId="0" applyFont="1" applyFill="1" applyBorder="1" applyAlignment="1">
      <alignment horizontal="left" vertical="center"/>
    </xf>
    <xf numFmtId="0" fontId="13" fillId="9" borderId="14" xfId="0" applyFont="1" applyFill="1" applyBorder="1" applyAlignment="1">
      <alignment horizontal="center" vertical="center"/>
    </xf>
    <xf numFmtId="0" fontId="12" fillId="0" borderId="0" xfId="0" applyFont="1" applyBorder="1" applyAlignment="1">
      <alignment vertical="center"/>
    </xf>
    <xf numFmtId="49" fontId="1" fillId="10" borderId="17" xfId="0" applyNumberFormat="1" applyFont="1" applyFill="1" applyBorder="1" applyAlignment="1" applyProtection="1">
      <alignment horizontal="left" vertical="center"/>
      <protection hidden="1"/>
    </xf>
    <xf numFmtId="49" fontId="1" fillId="10" borderId="11" xfId="0" applyNumberFormat="1" applyFont="1" applyFill="1" applyBorder="1" applyAlignment="1" applyProtection="1">
      <alignment horizontal="left" vertical="center"/>
      <protection hidden="1"/>
    </xf>
    <xf numFmtId="49" fontId="1" fillId="10" borderId="18" xfId="0" applyNumberFormat="1" applyFont="1" applyFill="1" applyBorder="1" applyAlignment="1" applyProtection="1">
      <alignment horizontal="left" vertical="center"/>
      <protection hidden="1"/>
    </xf>
    <xf numFmtId="0" fontId="8" fillId="6" borderId="27" xfId="3" applyBorder="1" applyAlignment="1">
      <alignment horizontal="left" vertical="center"/>
    </xf>
    <xf numFmtId="49" fontId="1" fillId="10" borderId="1" xfId="0" applyNumberFormat="1" applyFont="1" applyFill="1" applyBorder="1" applyAlignment="1" applyProtection="1">
      <alignment horizontal="left" vertical="center"/>
      <protection hidden="1"/>
    </xf>
    <xf numFmtId="49" fontId="1" fillId="10" borderId="2" xfId="0" applyNumberFormat="1" applyFont="1" applyFill="1" applyBorder="1" applyAlignment="1" applyProtection="1">
      <alignment horizontal="left" vertical="center"/>
      <protection hidden="1"/>
    </xf>
    <xf numFmtId="49" fontId="1" fillId="10" borderId="19" xfId="0" applyNumberFormat="1" applyFont="1" applyFill="1" applyBorder="1" applyAlignment="1" applyProtection="1">
      <alignment horizontal="left" vertical="center"/>
      <protection hidden="1"/>
    </xf>
    <xf numFmtId="49" fontId="1" fillId="10" borderId="8" xfId="0" applyNumberFormat="1" applyFont="1" applyFill="1" applyBorder="1" applyAlignment="1" applyProtection="1">
      <alignment horizontal="left" vertical="center"/>
      <protection hidden="1"/>
    </xf>
    <xf numFmtId="0" fontId="12" fillId="9" borderId="14" xfId="0" applyFont="1" applyFill="1" applyBorder="1" applyAlignment="1" applyProtection="1">
      <alignment horizontal="left" vertical="center"/>
    </xf>
    <xf numFmtId="0" fontId="13" fillId="9" borderId="14" xfId="0" applyFont="1" applyFill="1" applyBorder="1" applyAlignment="1" applyProtection="1">
      <alignment horizontal="center" vertical="center"/>
    </xf>
    <xf numFmtId="0" fontId="8" fillId="6" borderId="0" xfId="3" applyBorder="1" applyAlignment="1">
      <alignment horizontal="left" vertical="center"/>
    </xf>
    <xf numFmtId="0" fontId="8" fillId="6" borderId="26" xfId="3" applyBorder="1" applyAlignment="1">
      <alignment horizontal="left" vertical="center"/>
    </xf>
    <xf numFmtId="0" fontId="8" fillId="6" borderId="28" xfId="3" applyBorder="1" applyAlignment="1">
      <alignment horizontal="left" vertical="center"/>
    </xf>
    <xf numFmtId="0" fontId="8" fillId="6" borderId="25" xfId="3" applyBorder="1" applyAlignment="1">
      <alignment horizontal="left" vertical="center"/>
    </xf>
    <xf numFmtId="0" fontId="1" fillId="0" borderId="11" xfId="0" applyFont="1" applyBorder="1" applyAlignment="1" applyProtection="1">
      <alignment horizontal="left"/>
      <protection hidden="1"/>
    </xf>
    <xf numFmtId="49" fontId="1" fillId="10" borderId="9" xfId="0" applyNumberFormat="1" applyFont="1" applyFill="1" applyBorder="1" applyAlignment="1" applyProtection="1">
      <alignment horizontal="left" vertical="center"/>
      <protection hidden="1"/>
    </xf>
    <xf numFmtId="0" fontId="8" fillId="6" borderId="29" xfId="3" applyBorder="1" applyAlignment="1">
      <alignment vertical="center"/>
    </xf>
    <xf numFmtId="0" fontId="1" fillId="0" borderId="2" xfId="0" applyFont="1" applyBorder="1" applyAlignment="1" applyProtection="1">
      <alignment horizontal="left"/>
      <protection hidden="1"/>
    </xf>
    <xf numFmtId="0" fontId="1" fillId="0" borderId="2" xfId="0" applyFont="1" applyBorder="1" applyAlignment="1" applyProtection="1">
      <alignment horizontal="left" vertical="center"/>
      <protection hidden="1"/>
    </xf>
    <xf numFmtId="0" fontId="1" fillId="10" borderId="2" xfId="0" applyFont="1" applyFill="1" applyBorder="1" applyAlignment="1" applyProtection="1">
      <alignment horizontal="left" vertical="center"/>
      <protection hidden="1"/>
    </xf>
    <xf numFmtId="0" fontId="8" fillId="6" borderId="30" xfId="3" applyBorder="1" applyAlignment="1">
      <alignment vertical="center"/>
    </xf>
    <xf numFmtId="49" fontId="1" fillId="0" borderId="0" xfId="0" applyNumberFormat="1" applyFont="1" applyBorder="1" applyAlignment="1">
      <alignment horizontal="left"/>
    </xf>
    <xf numFmtId="0" fontId="8" fillId="0" borderId="0" xfId="3" applyFill="1" applyBorder="1"/>
    <xf numFmtId="0" fontId="8" fillId="0" borderId="0" xfId="3" applyFill="1" applyBorder="1" applyAlignment="1">
      <alignment horizontal="center"/>
    </xf>
    <xf numFmtId="49" fontId="1" fillId="0" borderId="0" xfId="0" applyNumberFormat="1" applyFont="1" applyBorder="1" applyAlignment="1" applyProtection="1">
      <alignment horizontal="left"/>
    </xf>
    <xf numFmtId="0" fontId="8" fillId="0" borderId="0" xfId="3" applyFill="1" applyBorder="1" applyProtection="1"/>
    <xf numFmtId="0" fontId="8" fillId="0" borderId="0" xfId="3" applyFill="1" applyBorder="1" applyAlignment="1" applyProtection="1">
      <alignment horizontal="center"/>
    </xf>
    <xf numFmtId="0" fontId="1" fillId="0" borderId="0" xfId="0" applyFont="1" applyBorder="1" applyProtection="1"/>
    <xf numFmtId="0" fontId="1" fillId="0" borderId="0" xfId="0" applyFont="1" applyBorder="1" applyAlignment="1">
      <alignment shrinkToFit="1"/>
    </xf>
    <xf numFmtId="49" fontId="1" fillId="0" borderId="0" xfId="0" applyNumberFormat="1" applyFont="1" applyBorder="1"/>
    <xf numFmtId="0" fontId="1" fillId="0" borderId="0" xfId="0" applyFont="1" applyAlignment="1">
      <alignment shrinkToFit="1"/>
    </xf>
    <xf numFmtId="0" fontId="1" fillId="0" borderId="3" xfId="0" applyFont="1" applyBorder="1" applyAlignment="1" applyProtection="1">
      <alignment horizontal="left"/>
      <protection hidden="1"/>
    </xf>
    <xf numFmtId="0" fontId="9" fillId="0" borderId="0" xfId="0" applyFont="1" applyBorder="1" applyAlignment="1">
      <alignment horizontal="center" shrinkToFit="1"/>
    </xf>
    <xf numFmtId="0" fontId="12" fillId="9" borderId="14" xfId="0" applyFont="1" applyFill="1" applyBorder="1" applyAlignment="1">
      <alignment horizontal="center" shrinkToFit="1"/>
    </xf>
    <xf numFmtId="0" fontId="1" fillId="0" borderId="0" xfId="0" applyFont="1" applyBorder="1" applyAlignment="1" applyProtection="1">
      <alignment horizontal="center" shrinkToFit="1"/>
      <protection hidden="1"/>
    </xf>
    <xf numFmtId="0" fontId="12" fillId="9" borderId="14" xfId="0" applyFont="1" applyFill="1" applyBorder="1" applyAlignment="1" applyProtection="1">
      <alignment horizontal="center" shrinkToFit="1"/>
      <protection hidden="1"/>
    </xf>
    <xf numFmtId="0" fontId="1" fillId="0" borderId="0" xfId="0" applyFont="1" applyBorder="1" applyAlignment="1" applyProtection="1">
      <alignment horizontal="center" vertical="center" shrinkToFit="1"/>
      <protection hidden="1"/>
    </xf>
    <xf numFmtId="0" fontId="12" fillId="9" borderId="14" xfId="0" applyFont="1" applyFill="1" applyBorder="1" applyAlignment="1" applyProtection="1">
      <alignment horizontal="center" vertical="center" shrinkToFit="1"/>
      <protection hidden="1"/>
    </xf>
    <xf numFmtId="0" fontId="1" fillId="0" borderId="0" xfId="0" applyFont="1" applyBorder="1" applyAlignment="1">
      <alignment horizontal="center" shrinkToFit="1"/>
    </xf>
    <xf numFmtId="0" fontId="1" fillId="0" borderId="0" xfId="0" applyFont="1" applyBorder="1" applyAlignment="1" applyProtection="1">
      <alignment horizontal="center" shrinkToFit="1"/>
    </xf>
    <xf numFmtId="0" fontId="9" fillId="0" borderId="0" xfId="0" applyFont="1" applyBorder="1" applyAlignment="1">
      <alignment horizontal="center" vertical="center" wrapText="1"/>
    </xf>
    <xf numFmtId="0" fontId="1" fillId="0" borderId="0" xfId="0" applyFont="1" applyBorder="1" applyAlignment="1" applyProtection="1">
      <alignment horizontal="center"/>
    </xf>
    <xf numFmtId="0" fontId="1" fillId="0" borderId="0" xfId="0" applyFont="1" applyAlignment="1" applyProtection="1">
      <alignment horizontal="center"/>
    </xf>
    <xf numFmtId="0" fontId="9" fillId="0" borderId="11" xfId="0" applyFont="1" applyBorder="1" applyAlignment="1" applyProtection="1">
      <alignment horizontal="center" vertical="center"/>
    </xf>
    <xf numFmtId="0" fontId="9" fillId="0" borderId="0" xfId="0" applyFont="1" applyBorder="1" applyAlignment="1" applyProtection="1">
      <alignment horizontal="center" vertical="center" wrapText="1"/>
    </xf>
    <xf numFmtId="0" fontId="1" fillId="0" borderId="9" xfId="0" applyFont="1" applyBorder="1" applyAlignment="1" applyProtection="1">
      <alignment horizontal="left"/>
      <protection hidden="1"/>
    </xf>
    <xf numFmtId="0" fontId="1" fillId="0" borderId="10" xfId="0" applyFont="1" applyBorder="1" applyAlignment="1" applyProtection="1">
      <alignment horizontal="left"/>
      <protection hidden="1"/>
    </xf>
    <xf numFmtId="0" fontId="7" fillId="12" borderId="20" xfId="0" quotePrefix="1" applyFont="1" applyFill="1" applyBorder="1" applyAlignment="1" applyProtection="1">
      <alignment horizontal="center"/>
    </xf>
    <xf numFmtId="0" fontId="7" fillId="12" borderId="21" xfId="0" applyFont="1" applyFill="1" applyBorder="1" applyAlignment="1" applyProtection="1">
      <alignment horizontal="center"/>
    </xf>
    <xf numFmtId="0" fontId="7" fillId="12" borderId="31" xfId="0" applyFont="1" applyFill="1" applyBorder="1" applyAlignment="1" applyProtection="1">
      <alignment horizontal="center"/>
    </xf>
    <xf numFmtId="0" fontId="7" fillId="12" borderId="21" xfId="0" quotePrefix="1" applyFont="1" applyFill="1" applyBorder="1" applyAlignment="1" applyProtection="1">
      <alignment horizontal="center"/>
    </xf>
    <xf numFmtId="0" fontId="7" fillId="12" borderId="24" xfId="0" applyFont="1" applyFill="1" applyBorder="1" applyAlignment="1" applyProtection="1">
      <alignment horizontal="center"/>
    </xf>
    <xf numFmtId="0" fontId="9" fillId="7" borderId="7" xfId="0" applyFont="1" applyFill="1" applyBorder="1" applyAlignment="1">
      <alignment horizontal="center" shrinkToFit="1"/>
    </xf>
    <xf numFmtId="0" fontId="9" fillId="5" borderId="7" xfId="0" applyFont="1" applyFill="1" applyBorder="1" applyAlignment="1">
      <alignment horizontal="center" shrinkToFit="1"/>
    </xf>
    <xf numFmtId="0" fontId="9" fillId="8" borderId="9" xfId="0" applyFont="1" applyFill="1" applyBorder="1" applyAlignment="1">
      <alignment horizontal="center" shrinkToFit="1"/>
    </xf>
    <xf numFmtId="0" fontId="9" fillId="2" borderId="7" xfId="0" applyFont="1" applyFill="1" applyBorder="1" applyAlignment="1">
      <alignment horizontal="center" vertical="center" shrinkToFit="1"/>
    </xf>
    <xf numFmtId="0" fontId="1" fillId="0" borderId="0" xfId="0" applyFont="1" applyFill="1" applyBorder="1" applyAlignment="1" applyProtection="1">
      <alignment horizontal="center" shrinkToFit="1"/>
      <protection locked="0"/>
    </xf>
    <xf numFmtId="0" fontId="1" fillId="0" borderId="0" xfId="0" applyFont="1" applyFill="1" applyBorder="1" applyAlignment="1" applyProtection="1">
      <alignment horizontal="center" shrinkToFit="1"/>
    </xf>
    <xf numFmtId="0" fontId="15" fillId="0" borderId="0" xfId="0" applyFont="1" applyBorder="1" applyAlignment="1">
      <alignment horizontal="left"/>
    </xf>
    <xf numFmtId="49" fontId="6" fillId="0" borderId="0" xfId="0" applyNumberFormat="1" applyFont="1" applyBorder="1"/>
    <xf numFmtId="49" fontId="0" fillId="0" borderId="0" xfId="0" applyNumberFormat="1"/>
    <xf numFmtId="0" fontId="16" fillId="0" borderId="0" xfId="0" applyFont="1" applyBorder="1" applyAlignment="1">
      <alignment horizontal="center"/>
    </xf>
    <xf numFmtId="49" fontId="16" fillId="0" borderId="0" xfId="0" applyNumberFormat="1" applyFont="1" applyBorder="1" applyAlignment="1">
      <alignment horizontal="center"/>
    </xf>
    <xf numFmtId="49" fontId="16" fillId="0" borderId="0" xfId="0" applyNumberFormat="1" applyFont="1" applyBorder="1"/>
    <xf numFmtId="164" fontId="6" fillId="0" borderId="0" xfId="0" applyNumberFormat="1" applyFont="1" applyBorder="1" applyAlignment="1">
      <alignment horizontal="center"/>
    </xf>
    <xf numFmtId="49" fontId="6" fillId="0" borderId="0" xfId="0" applyNumberFormat="1" applyFont="1" applyBorder="1" applyAlignment="1">
      <alignment wrapText="1"/>
    </xf>
    <xf numFmtId="14" fontId="17" fillId="0" borderId="0" xfId="0" applyNumberFormat="1" applyFont="1" applyAlignment="1">
      <alignment horizontal="center" vertical="top" wrapText="1"/>
    </xf>
    <xf numFmtId="14" fontId="0" fillId="0" borderId="0" xfId="0" applyNumberFormat="1" applyAlignment="1">
      <alignment horizontal="center" vertical="top" wrapText="1"/>
    </xf>
    <xf numFmtId="14" fontId="0" fillId="0" borderId="0" xfId="0" applyNumberFormat="1" applyAlignment="1">
      <alignment horizontal="center" wrapText="1"/>
    </xf>
    <xf numFmtId="0" fontId="0" fillId="0" borderId="0" xfId="0" applyAlignment="1">
      <alignment horizontal="center" wrapText="1"/>
    </xf>
    <xf numFmtId="0" fontId="15" fillId="0" borderId="0" xfId="0" applyFont="1" applyBorder="1" applyAlignment="1">
      <alignment horizontal="center"/>
    </xf>
    <xf numFmtId="0" fontId="8" fillId="6" borderId="49" xfId="3" applyBorder="1" applyAlignment="1" applyProtection="1">
      <alignment horizontal="left" vertical="center"/>
    </xf>
    <xf numFmtId="0" fontId="8" fillId="6" borderId="50" xfId="3" applyBorder="1" applyProtection="1"/>
    <xf numFmtId="0" fontId="8" fillId="6" borderId="51" xfId="3" applyBorder="1"/>
    <xf numFmtId="0" fontId="8" fillId="6" borderId="50" xfId="3" applyBorder="1"/>
    <xf numFmtId="0" fontId="8" fillId="11" borderId="50" xfId="3" applyFill="1" applyBorder="1"/>
    <xf numFmtId="0" fontId="8" fillId="6" borderId="52" xfId="3" applyBorder="1"/>
    <xf numFmtId="0" fontId="8" fillId="6" borderId="53" xfId="3" applyBorder="1"/>
    <xf numFmtId="0" fontId="7" fillId="11" borderId="31" xfId="0" applyFont="1" applyFill="1" applyBorder="1" applyAlignment="1" applyProtection="1">
      <alignment horizontal="center" vertical="center"/>
      <protection locked="0"/>
    </xf>
    <xf numFmtId="0" fontId="8" fillId="6" borderId="54" xfId="3" applyBorder="1" applyProtection="1"/>
    <xf numFmtId="0" fontId="1" fillId="0" borderId="0" xfId="0" applyFont="1" applyAlignment="1">
      <alignment horizontal="center"/>
    </xf>
    <xf numFmtId="0" fontId="3" fillId="4" borderId="0" xfId="1" applyAlignment="1">
      <alignment horizontal="center"/>
    </xf>
    <xf numFmtId="0" fontId="36" fillId="5" borderId="0" xfId="148" applyFill="1" applyAlignment="1">
      <alignment horizontal="center"/>
    </xf>
    <xf numFmtId="0" fontId="9" fillId="11" borderId="14" xfId="0" quotePrefix="1" applyFont="1" applyFill="1" applyBorder="1" applyAlignment="1" applyProtection="1">
      <alignment horizontal="center"/>
      <protection locked="0"/>
    </xf>
    <xf numFmtId="0" fontId="8" fillId="6" borderId="54" xfId="3" applyBorder="1"/>
    <xf numFmtId="0" fontId="8" fillId="11" borderId="53" xfId="3" applyFill="1" applyBorder="1"/>
    <xf numFmtId="0" fontId="8" fillId="6" borderId="55" xfId="3" applyBorder="1"/>
    <xf numFmtId="0" fontId="7" fillId="11" borderId="39" xfId="0" applyFont="1" applyFill="1" applyBorder="1" applyAlignment="1" applyProtection="1">
      <alignment horizontal="center" vertical="center"/>
      <protection locked="0"/>
    </xf>
    <xf numFmtId="0" fontId="7" fillId="11" borderId="39" xfId="0" applyFont="1" applyFill="1" applyBorder="1" applyAlignment="1" applyProtection="1">
      <alignment horizontal="center"/>
      <protection locked="0"/>
    </xf>
    <xf numFmtId="0" fontId="7" fillId="12" borderId="39" xfId="0" applyFont="1" applyFill="1" applyBorder="1" applyAlignment="1" applyProtection="1">
      <alignment horizontal="center"/>
    </xf>
    <xf numFmtId="0" fontId="7" fillId="11" borderId="56" xfId="0" quotePrefix="1" applyFont="1" applyFill="1" applyBorder="1" applyAlignment="1" applyProtection="1">
      <alignment horizontal="center"/>
      <protection locked="0"/>
    </xf>
    <xf numFmtId="0" fontId="7" fillId="12" borderId="39" xfId="0" quotePrefix="1" applyFont="1" applyFill="1" applyBorder="1" applyAlignment="1" applyProtection="1">
      <alignment horizontal="center"/>
    </xf>
    <xf numFmtId="0" fontId="7" fillId="12" borderId="20" xfId="0" applyFont="1" applyFill="1" applyBorder="1" applyAlignment="1" applyProtection="1">
      <alignment horizontal="center"/>
    </xf>
    <xf numFmtId="0" fontId="12" fillId="9" borderId="14" xfId="0" applyFont="1" applyFill="1" applyBorder="1" applyAlignment="1"/>
    <xf numFmtId="0" fontId="13" fillId="9" borderId="14" xfId="0" applyFont="1" applyFill="1" applyBorder="1" applyAlignment="1" applyProtection="1">
      <protection locked="0"/>
    </xf>
    <xf numFmtId="0" fontId="12" fillId="9" borderId="12" xfId="0" applyFont="1" applyFill="1" applyBorder="1" applyAlignment="1">
      <alignment shrinkToFit="1"/>
    </xf>
    <xf numFmtId="0" fontId="7" fillId="11" borderId="21" xfId="0" applyFont="1" applyFill="1" applyBorder="1" applyAlignment="1" applyProtection="1">
      <alignment horizontal="center"/>
    </xf>
    <xf numFmtId="0" fontId="1" fillId="0" borderId="10" xfId="0" applyNumberFormat="1" applyFont="1" applyBorder="1" applyAlignment="1" applyProtection="1">
      <alignment horizontal="left"/>
      <protection locked="0" hidden="1"/>
    </xf>
    <xf numFmtId="0" fontId="1" fillId="0" borderId="0" xfId="0" applyFont="1" applyFill="1" applyAlignment="1" applyProtection="1">
      <alignment horizontal="left" vertical="center"/>
      <protection hidden="1"/>
    </xf>
    <xf numFmtId="0" fontId="1" fillId="0" borderId="1" xfId="0" applyFont="1" applyBorder="1" applyAlignment="1" applyProtection="1">
      <alignment horizontal="left" wrapText="1" shrinkToFit="1"/>
      <protection hidden="1"/>
    </xf>
    <xf numFmtId="0" fontId="1" fillId="0" borderId="0" xfId="0" applyFont="1" applyBorder="1" applyAlignment="1" applyProtection="1">
      <alignment horizontal="left" wrapText="1" shrinkToFit="1"/>
      <protection hidden="1"/>
    </xf>
    <xf numFmtId="0" fontId="7" fillId="11" borderId="21" xfId="0" applyFont="1" applyFill="1" applyBorder="1" applyAlignment="1" applyProtection="1">
      <alignment horizontal="center"/>
      <protection locked="0"/>
    </xf>
    <xf numFmtId="0" fontId="7" fillId="11" borderId="21" xfId="0" applyFont="1" applyFill="1" applyBorder="1" applyAlignment="1" applyProtection="1">
      <alignment horizontal="center" vertical="center"/>
      <protection locked="0"/>
    </xf>
    <xf numFmtId="0" fontId="8" fillId="6" borderId="49" xfId="3" applyBorder="1"/>
    <xf numFmtId="0" fontId="8" fillId="11" borderId="49" xfId="3" applyFill="1" applyBorder="1"/>
    <xf numFmtId="0" fontId="12" fillId="9" borderId="12" xfId="0" applyFont="1" applyFill="1" applyBorder="1" applyAlignment="1"/>
    <xf numFmtId="0" fontId="7" fillId="9" borderId="35" xfId="0" applyFont="1" applyFill="1" applyBorder="1" applyAlignment="1" applyProtection="1">
      <alignment horizontal="center"/>
    </xf>
    <xf numFmtId="0" fontId="7" fillId="9" borderId="36" xfId="0" applyFont="1" applyFill="1" applyBorder="1" applyAlignment="1" applyProtection="1">
      <alignment horizontal="center"/>
    </xf>
    <xf numFmtId="0" fontId="12" fillId="9" borderId="11" xfId="0" applyFont="1" applyFill="1" applyBorder="1" applyAlignment="1" applyProtection="1">
      <alignment horizontal="left" wrapText="1"/>
      <protection hidden="1"/>
    </xf>
    <xf numFmtId="0" fontId="13" fillId="9" borderId="12" xfId="0" applyFont="1" applyFill="1" applyBorder="1" applyAlignment="1">
      <alignment horizontal="center" vertical="center"/>
    </xf>
    <xf numFmtId="0" fontId="1" fillId="0" borderId="0" xfId="0" applyNumberFormat="1" applyFont="1" applyFill="1" applyBorder="1" applyAlignment="1" applyProtection="1">
      <alignment horizontal="left"/>
      <protection hidden="1"/>
    </xf>
    <xf numFmtId="0" fontId="1" fillId="0" borderId="2" xfId="0" applyFont="1" applyBorder="1" applyAlignment="1" applyProtection="1">
      <alignment horizontal="left" shrinkToFit="1"/>
      <protection hidden="1"/>
    </xf>
    <xf numFmtId="0" fontId="1" fillId="0" borderId="3" xfId="0" applyFont="1" applyBorder="1" applyAlignment="1" applyProtection="1">
      <alignment horizontal="left" wrapText="1" shrinkToFit="1"/>
      <protection hidden="1"/>
    </xf>
    <xf numFmtId="0" fontId="1" fillId="0" borderId="8" xfId="0" applyFont="1" applyBorder="1" applyAlignment="1" applyProtection="1">
      <alignment horizontal="left"/>
      <protection hidden="1"/>
    </xf>
    <xf numFmtId="0" fontId="1" fillId="0" borderId="19" xfId="0" applyFont="1" applyBorder="1" applyAlignment="1" applyProtection="1">
      <alignment horizontal="left" shrinkToFit="1"/>
      <protection hidden="1"/>
    </xf>
    <xf numFmtId="0" fontId="12" fillId="9" borderId="14" xfId="0" applyFont="1" applyFill="1" applyBorder="1" applyAlignment="1">
      <alignment shrinkToFit="1"/>
    </xf>
    <xf numFmtId="0" fontId="1" fillId="0" borderId="3" xfId="0" applyFont="1" applyBorder="1" applyAlignment="1" applyProtection="1">
      <alignment horizontal="left" shrinkToFit="1"/>
      <protection hidden="1"/>
    </xf>
    <xf numFmtId="49" fontId="1" fillId="0" borderId="7" xfId="0" applyNumberFormat="1" applyFont="1" applyBorder="1" applyAlignment="1">
      <alignment horizontal="left"/>
    </xf>
    <xf numFmtId="49" fontId="1" fillId="0" borderId="7" xfId="0" applyNumberFormat="1" applyFont="1" applyBorder="1" applyAlignment="1" applyProtection="1">
      <alignment horizontal="left"/>
    </xf>
    <xf numFmtId="0" fontId="1" fillId="0" borderId="7" xfId="0" applyNumberFormat="1" applyFont="1" applyBorder="1" applyAlignment="1" applyProtection="1">
      <alignment horizontal="left"/>
    </xf>
    <xf numFmtId="0" fontId="1" fillId="0" borderId="7" xfId="0" applyNumberFormat="1" applyFont="1" applyBorder="1" applyAlignment="1">
      <alignment horizontal="left"/>
    </xf>
    <xf numFmtId="0" fontId="1" fillId="0" borderId="7" xfId="0" applyNumberFormat="1" applyFont="1" applyBorder="1"/>
    <xf numFmtId="49" fontId="9" fillId="0" borderId="10" xfId="0" applyNumberFormat="1" applyFont="1" applyBorder="1" applyAlignment="1">
      <alignment horizontal="center" wrapText="1"/>
    </xf>
    <xf numFmtId="49" fontId="9" fillId="0" borderId="1" xfId="0" applyNumberFormat="1" applyFont="1" applyBorder="1" applyAlignment="1">
      <alignment horizontal="center" wrapText="1"/>
    </xf>
    <xf numFmtId="49" fontId="9" fillId="0" borderId="2" xfId="0" applyNumberFormat="1" applyFont="1" applyBorder="1" applyAlignment="1">
      <alignment horizontal="center" wrapText="1"/>
    </xf>
    <xf numFmtId="0" fontId="9" fillId="0" borderId="19" xfId="0" applyFont="1" applyBorder="1" applyAlignment="1">
      <alignment horizontal="center" wrapText="1"/>
    </xf>
    <xf numFmtId="0" fontId="1" fillId="63" borderId="0" xfId="0" applyFont="1" applyFill="1" applyAlignment="1" applyProtection="1">
      <alignment horizontal="left"/>
      <protection hidden="1"/>
    </xf>
    <xf numFmtId="0" fontId="1" fillId="0" borderId="0" xfId="0" applyNumberFormat="1" applyFont="1" applyBorder="1" applyAlignment="1" applyProtection="1">
      <alignment horizontal="center"/>
      <protection hidden="1"/>
    </xf>
    <xf numFmtId="0" fontId="8" fillId="6" borderId="69" xfId="3" applyBorder="1"/>
    <xf numFmtId="0" fontId="8" fillId="6" borderId="21" xfId="3" applyBorder="1"/>
    <xf numFmtId="0" fontId="7" fillId="11" borderId="21" xfId="0" quotePrefix="1" applyFont="1" applyFill="1" applyBorder="1" applyAlignment="1" applyProtection="1">
      <alignment horizontal="center"/>
      <protection locked="0"/>
    </xf>
    <xf numFmtId="0" fontId="7" fillId="11" borderId="25" xfId="0" quotePrefix="1" applyFont="1" applyFill="1" applyBorder="1" applyAlignment="1" applyProtection="1">
      <alignment horizontal="center"/>
      <protection locked="0"/>
    </xf>
    <xf numFmtId="0" fontId="1" fillId="3" borderId="0" xfId="0" applyFont="1" applyFill="1" applyAlignment="1" applyProtection="1">
      <alignment horizontal="left"/>
      <protection hidden="1"/>
    </xf>
    <xf numFmtId="0" fontId="1" fillId="3" borderId="11" xfId="0" applyFont="1" applyFill="1" applyBorder="1" applyAlignment="1" applyProtection="1">
      <alignment horizontal="left"/>
      <protection hidden="1"/>
    </xf>
    <xf numFmtId="0" fontId="1" fillId="3" borderId="0" xfId="0" applyFont="1" applyFill="1" applyBorder="1" applyAlignment="1" applyProtection="1">
      <alignment horizontal="left"/>
      <protection hidden="1"/>
    </xf>
    <xf numFmtId="0" fontId="12" fillId="9" borderId="12" xfId="0" applyFont="1" applyFill="1" applyBorder="1" applyAlignment="1" applyProtection="1">
      <alignment shrinkToFit="1"/>
      <protection locked="0"/>
    </xf>
    <xf numFmtId="0" fontId="12" fillId="9" borderId="12" xfId="0" applyFont="1" applyFill="1" applyBorder="1" applyAlignment="1" applyProtection="1">
      <protection locked="0"/>
    </xf>
    <xf numFmtId="0" fontId="12" fillId="9" borderId="12" xfId="0" applyFont="1" applyFill="1" applyBorder="1" applyAlignment="1" applyProtection="1">
      <alignment horizontal="left" vertical="center"/>
    </xf>
    <xf numFmtId="0" fontId="12" fillId="9" borderId="14" xfId="0" applyFont="1" applyFill="1" applyBorder="1" applyAlignment="1" applyProtection="1">
      <alignment shrinkToFit="1"/>
      <protection locked="0"/>
    </xf>
    <xf numFmtId="0" fontId="12" fillId="9" borderId="14" xfId="0" applyFont="1" applyFill="1" applyBorder="1" applyAlignment="1" applyProtection="1">
      <protection locked="0"/>
    </xf>
    <xf numFmtId="0" fontId="13" fillId="9" borderId="2" xfId="0" applyFont="1" applyFill="1" applyBorder="1" applyAlignment="1">
      <alignment horizontal="center" vertical="center"/>
    </xf>
    <xf numFmtId="0" fontId="12" fillId="9" borderId="12" xfId="0" applyFont="1" applyFill="1" applyBorder="1" applyAlignment="1">
      <alignment horizontal="left" vertical="center"/>
    </xf>
    <xf numFmtId="0" fontId="12" fillId="9" borderId="16" xfId="0" applyFont="1" applyFill="1" applyBorder="1" applyAlignment="1" applyProtection="1">
      <alignment horizontal="left" vertical="center" shrinkToFit="1"/>
    </xf>
    <xf numFmtId="0" fontId="12" fillId="9" borderId="7" xfId="0" applyFont="1" applyFill="1" applyBorder="1" applyAlignment="1" applyProtection="1">
      <alignment horizontal="left" vertical="center" shrinkToFit="1"/>
    </xf>
    <xf numFmtId="0" fontId="1" fillId="5" borderId="7" xfId="0" applyFont="1" applyFill="1" applyBorder="1" applyAlignment="1">
      <alignment vertical="center" shrinkToFit="1"/>
    </xf>
    <xf numFmtId="0" fontId="1" fillId="0" borderId="0" xfId="0" applyFont="1" applyBorder="1" applyAlignment="1" applyProtection="1">
      <alignment horizontal="left" shrinkToFit="1"/>
    </xf>
    <xf numFmtId="0" fontId="1" fillId="7" borderId="16" xfId="0" applyFont="1" applyFill="1" applyBorder="1" applyAlignment="1" applyProtection="1">
      <alignment horizontal="center" vertical="center" shrinkToFit="1"/>
    </xf>
    <xf numFmtId="0" fontId="1" fillId="0" borderId="7" xfId="0" applyFont="1" applyBorder="1" applyAlignment="1" applyProtection="1">
      <alignment horizontal="left"/>
      <protection hidden="1"/>
    </xf>
    <xf numFmtId="0" fontId="1" fillId="0" borderId="2" xfId="0" applyFont="1" applyBorder="1" applyAlignment="1" applyProtection="1">
      <alignment horizontal="left" wrapText="1" shrinkToFit="1"/>
      <protection hidden="1"/>
    </xf>
    <xf numFmtId="0" fontId="1" fillId="0" borderId="2" xfId="0" applyFont="1" applyBorder="1" applyAlignment="1" applyProtection="1">
      <alignment horizontal="center" shrinkToFit="1"/>
      <protection hidden="1"/>
    </xf>
    <xf numFmtId="0" fontId="1" fillId="7" borderId="7" xfId="0" applyFont="1" applyFill="1" applyBorder="1" applyAlignment="1">
      <alignment shrinkToFit="1"/>
    </xf>
    <xf numFmtId="0" fontId="1" fillId="10" borderId="0" xfId="0" applyFont="1" applyFill="1" applyAlignment="1" applyProtection="1">
      <alignment horizontal="left"/>
      <protection hidden="1"/>
    </xf>
    <xf numFmtId="0" fontId="1" fillId="10" borderId="0" xfId="0" applyFont="1" applyFill="1" applyBorder="1" applyAlignment="1" applyProtection="1">
      <alignment horizontal="left"/>
      <protection hidden="1"/>
    </xf>
    <xf numFmtId="0" fontId="9" fillId="0" borderId="0" xfId="0" applyFont="1" applyFill="1" applyAlignment="1">
      <alignment shrinkToFit="1"/>
    </xf>
    <xf numFmtId="0" fontId="13" fillId="9" borderId="7" xfId="0" applyFont="1" applyFill="1" applyBorder="1" applyAlignment="1">
      <alignment horizontal="center" vertical="center"/>
    </xf>
    <xf numFmtId="0" fontId="1" fillId="0" borderId="7" xfId="0" applyFont="1" applyBorder="1" applyAlignment="1">
      <alignment horizontal="left"/>
    </xf>
    <xf numFmtId="0" fontId="1" fillId="91" borderId="7" xfId="0" applyFont="1" applyFill="1" applyBorder="1" applyAlignment="1">
      <alignment horizontal="left"/>
    </xf>
    <xf numFmtId="0" fontId="1" fillId="91" borderId="16" xfId="0" applyFont="1" applyFill="1" applyBorder="1" applyAlignment="1" applyProtection="1">
      <alignment horizontal="center" vertical="center" shrinkToFit="1"/>
    </xf>
    <xf numFmtId="0" fontId="1" fillId="0" borderId="7" xfId="0" applyFont="1" applyFill="1" applyBorder="1" applyAlignment="1">
      <alignment horizontal="left"/>
    </xf>
    <xf numFmtId="0" fontId="1" fillId="0" borderId="15" xfId="0" applyFont="1" applyBorder="1" applyAlignment="1">
      <alignment horizontal="left"/>
    </xf>
    <xf numFmtId="0" fontId="1" fillId="91" borderId="15" xfId="0" applyFont="1" applyFill="1" applyBorder="1" applyAlignment="1">
      <alignment horizontal="left"/>
    </xf>
    <xf numFmtId="0" fontId="1" fillId="0" borderId="15" xfId="0" applyFont="1" applyFill="1" applyBorder="1" applyAlignment="1">
      <alignment horizontal="left"/>
    </xf>
    <xf numFmtId="0" fontId="1" fillId="91" borderId="0" xfId="0" applyFont="1" applyFill="1" applyBorder="1" applyAlignment="1" applyProtection="1">
      <alignment horizontal="center" vertical="center" shrinkToFit="1"/>
    </xf>
    <xf numFmtId="0" fontId="9" fillId="0" borderId="0" xfId="0" applyFont="1" applyFill="1" applyBorder="1" applyAlignment="1">
      <alignment horizontal="center" shrinkToFit="1"/>
    </xf>
    <xf numFmtId="0" fontId="9" fillId="0" borderId="0" xfId="0" applyFont="1" applyFill="1" applyBorder="1" applyAlignment="1">
      <alignment horizontal="center" vertical="center" shrinkToFit="1"/>
    </xf>
    <xf numFmtId="0" fontId="7" fillId="0" borderId="0" xfId="0" applyFont="1" applyBorder="1" applyAlignment="1" applyProtection="1"/>
    <xf numFmtId="0" fontId="7" fillId="0" borderId="0" xfId="0" applyFont="1" applyBorder="1" applyAlignment="1" applyProtection="1">
      <alignment horizontal="left" vertical="center"/>
    </xf>
    <xf numFmtId="0" fontId="12" fillId="9" borderId="7" xfId="0" applyFont="1" applyFill="1" applyBorder="1" applyAlignment="1" applyProtection="1">
      <alignment shrinkToFit="1"/>
      <protection locked="0"/>
    </xf>
    <xf numFmtId="0" fontId="1" fillId="7" borderId="7" xfId="0" applyFont="1" applyFill="1" applyBorder="1" applyAlignment="1" applyProtection="1">
      <alignment horizontal="left" vertical="center" shrinkToFit="1"/>
    </xf>
    <xf numFmtId="0" fontId="12" fillId="9" borderId="12" xfId="0" applyFont="1" applyFill="1" applyBorder="1" applyAlignment="1" applyProtection="1">
      <alignment vertical="center"/>
    </xf>
    <xf numFmtId="0" fontId="9" fillId="91" borderId="14" xfId="0" applyFont="1" applyFill="1" applyBorder="1" applyAlignment="1">
      <alignment horizontal="center" vertical="center" shrinkToFit="1"/>
    </xf>
    <xf numFmtId="0" fontId="1" fillId="91" borderId="7" xfId="0" applyFont="1" applyFill="1" applyBorder="1" applyAlignment="1" applyProtection="1">
      <alignment horizontal="left"/>
      <protection hidden="1"/>
    </xf>
    <xf numFmtId="0" fontId="12" fillId="9" borderId="7" xfId="0" applyFont="1" applyFill="1" applyBorder="1" applyAlignment="1">
      <alignment horizontal="left" wrapText="1"/>
    </xf>
    <xf numFmtId="0" fontId="12" fillId="9" borderId="7" xfId="0" applyFont="1" applyFill="1" applyBorder="1" applyAlignment="1" applyProtection="1">
      <alignment horizontal="left"/>
      <protection hidden="1"/>
    </xf>
    <xf numFmtId="0" fontId="12" fillId="9" borderId="7" xfId="0" applyFont="1" applyFill="1" applyBorder="1" applyAlignment="1" applyProtection="1">
      <alignment horizontal="left" wrapText="1"/>
      <protection hidden="1"/>
    </xf>
    <xf numFmtId="0" fontId="1" fillId="0" borderId="7" xfId="0" applyFont="1" applyBorder="1" applyAlignment="1" applyProtection="1">
      <alignment horizontal="left" vertical="center"/>
      <protection hidden="1"/>
    </xf>
    <xf numFmtId="0" fontId="12" fillId="9" borderId="7" xfId="0" applyFont="1" applyFill="1" applyBorder="1" applyAlignment="1" applyProtection="1">
      <alignment horizontal="left" vertical="center" wrapText="1"/>
      <protection hidden="1"/>
    </xf>
    <xf numFmtId="0" fontId="1" fillId="91" borderId="7" xfId="0" applyFont="1" applyFill="1" applyBorder="1" applyAlignment="1" applyProtection="1">
      <alignment horizontal="left" vertical="center"/>
      <protection hidden="1"/>
    </xf>
    <xf numFmtId="0" fontId="1" fillId="91" borderId="7" xfId="0" applyFont="1" applyFill="1" applyBorder="1"/>
    <xf numFmtId="0" fontId="1" fillId="91" borderId="7" xfId="0" applyFont="1" applyFill="1" applyBorder="1" applyAlignment="1">
      <alignment horizontal="left" vertical="center"/>
    </xf>
    <xf numFmtId="2" fontId="17" fillId="0" borderId="0" xfId="0" applyNumberFormat="1" applyFont="1" applyAlignment="1">
      <alignment horizontal="center" vertical="top"/>
    </xf>
    <xf numFmtId="2" fontId="0" fillId="0" borderId="0" xfId="0" applyNumberFormat="1" applyAlignment="1">
      <alignment horizontal="center" vertical="top"/>
    </xf>
    <xf numFmtId="2" fontId="0" fillId="0" borderId="0" xfId="0" applyNumberFormat="1" applyAlignment="1">
      <alignment horizontal="center"/>
    </xf>
    <xf numFmtId="2" fontId="0" fillId="0" borderId="0" xfId="0" applyNumberFormat="1"/>
    <xf numFmtId="0" fontId="6" fillId="0" borderId="0" xfId="0" applyNumberFormat="1" applyFont="1" applyBorder="1" applyAlignment="1">
      <alignment horizontal="center"/>
    </xf>
    <xf numFmtId="0" fontId="13" fillId="9" borderId="7" xfId="0" applyFont="1" applyFill="1" applyBorder="1" applyAlignment="1" applyProtection="1">
      <alignment horizontal="center" vertical="center" shrinkToFit="1"/>
    </xf>
    <xf numFmtId="0" fontId="12" fillId="9" borderId="7" xfId="0" applyFont="1" applyFill="1" applyBorder="1" applyAlignment="1" applyProtection="1">
      <alignment horizontal="center" vertical="center" shrinkToFit="1"/>
    </xf>
    <xf numFmtId="0" fontId="1" fillId="0" borderId="0" xfId="0" applyNumberFormat="1" applyFont="1" applyBorder="1" applyAlignment="1" applyProtection="1">
      <alignment horizontal="left"/>
    </xf>
    <xf numFmtId="0" fontId="1" fillId="0" borderId="0" xfId="0" applyNumberFormat="1" applyFont="1" applyBorder="1" applyAlignment="1">
      <alignment horizontal="left"/>
    </xf>
    <xf numFmtId="0" fontId="1" fillId="0" borderId="0" xfId="0" applyNumberFormat="1" applyFont="1" applyBorder="1"/>
    <xf numFmtId="0" fontId="1" fillId="92" borderId="7" xfId="0" applyFont="1" applyFill="1" applyBorder="1" applyAlignment="1">
      <alignment horizontal="left"/>
    </xf>
    <xf numFmtId="0" fontId="1" fillId="92" borderId="15" xfId="0" applyFont="1" applyFill="1" applyBorder="1" applyAlignment="1">
      <alignment horizontal="left"/>
    </xf>
    <xf numFmtId="0" fontId="1" fillId="92" borderId="7" xfId="0" applyFont="1" applyFill="1" applyBorder="1" applyAlignment="1" applyProtection="1">
      <alignment horizontal="left"/>
      <protection hidden="1"/>
    </xf>
    <xf numFmtId="0" fontId="1" fillId="0" borderId="7" xfId="0" applyFont="1" applyFill="1" applyBorder="1" applyAlignment="1" applyProtection="1">
      <alignment horizontal="left"/>
      <protection hidden="1"/>
    </xf>
    <xf numFmtId="0" fontId="1" fillId="0" borderId="1" xfId="0" applyFont="1" applyFill="1" applyBorder="1" applyAlignment="1" applyProtection="1">
      <alignment horizontal="left" wrapText="1" shrinkToFit="1"/>
      <protection hidden="1"/>
    </xf>
    <xf numFmtId="0" fontId="1" fillId="0" borderId="0" xfId="0" applyFont="1" applyFill="1" applyBorder="1" applyAlignment="1" applyProtection="1">
      <alignment horizontal="left" wrapText="1" shrinkToFit="1"/>
      <protection hidden="1"/>
    </xf>
    <xf numFmtId="0" fontId="1" fillId="0" borderId="0" xfId="0" applyFont="1" applyFill="1" applyBorder="1" applyAlignment="1" applyProtection="1">
      <alignment horizontal="left" shrinkToFit="1"/>
      <protection hidden="1"/>
    </xf>
    <xf numFmtId="0" fontId="1" fillId="0" borderId="16" xfId="0" applyFont="1" applyFill="1" applyBorder="1" applyAlignment="1" applyProtection="1">
      <alignment horizontal="left" shrinkToFit="1"/>
      <protection hidden="1"/>
    </xf>
    <xf numFmtId="0" fontId="1" fillId="0" borderId="1" xfId="0" applyFont="1" applyFill="1" applyBorder="1" applyAlignment="1" applyProtection="1">
      <alignment horizontal="left" shrinkToFit="1"/>
      <protection hidden="1"/>
    </xf>
    <xf numFmtId="0" fontId="1" fillId="0" borderId="0" xfId="0" applyFont="1" applyFill="1" applyBorder="1" applyAlignment="1" applyProtection="1">
      <alignment horizontal="left"/>
      <protection hidden="1"/>
    </xf>
    <xf numFmtId="0" fontId="1" fillId="0" borderId="10" xfId="0" applyFont="1" applyFill="1" applyBorder="1" applyAlignment="1" applyProtection="1">
      <alignment horizontal="left"/>
      <protection hidden="1"/>
    </xf>
    <xf numFmtId="0" fontId="1" fillId="0" borderId="1" xfId="0" applyFont="1" applyFill="1" applyBorder="1" applyAlignment="1" applyProtection="1">
      <alignment horizontal="left"/>
      <protection hidden="1"/>
    </xf>
    <xf numFmtId="0" fontId="1" fillId="0" borderId="0" xfId="0" applyFont="1" applyFill="1" applyBorder="1" applyAlignment="1" applyProtection="1">
      <alignment horizontal="center" shrinkToFit="1"/>
      <protection hidden="1"/>
    </xf>
    <xf numFmtId="0" fontId="1" fillId="0" borderId="1" xfId="0" applyNumberFormat="1" applyFont="1" applyFill="1" applyBorder="1" applyAlignment="1" applyProtection="1">
      <alignment horizontal="left"/>
      <protection hidden="1"/>
    </xf>
    <xf numFmtId="0" fontId="1" fillId="0" borderId="16" xfId="0" applyNumberFormat="1" applyFont="1" applyFill="1" applyBorder="1" applyAlignment="1" applyProtection="1">
      <alignment horizontal="left"/>
      <protection hidden="1"/>
    </xf>
    <xf numFmtId="0" fontId="1" fillId="0" borderId="10" xfId="0" applyNumberFormat="1" applyFont="1" applyFill="1" applyBorder="1" applyAlignment="1" applyProtection="1">
      <alignment horizontal="left"/>
      <protection locked="0" hidden="1"/>
    </xf>
    <xf numFmtId="0" fontId="1" fillId="0" borderId="10" xfId="0" applyNumberFormat="1" applyFont="1" applyFill="1" applyBorder="1" applyAlignment="1" applyProtection="1">
      <alignment horizontal="left"/>
      <protection hidden="1"/>
    </xf>
    <xf numFmtId="0" fontId="7" fillId="0" borderId="21" xfId="0" applyFont="1" applyFill="1" applyBorder="1" applyAlignment="1" applyProtection="1">
      <alignment horizontal="center"/>
    </xf>
    <xf numFmtId="0" fontId="7" fillId="0" borderId="24" xfId="0" applyFont="1" applyFill="1" applyBorder="1" applyAlignment="1" applyProtection="1">
      <alignment horizontal="center"/>
      <protection locked="0"/>
    </xf>
    <xf numFmtId="0" fontId="1" fillId="0" borderId="0" xfId="0" applyFont="1" applyFill="1"/>
    <xf numFmtId="0" fontId="1" fillId="91" borderId="7" xfId="0" applyFont="1" applyFill="1" applyBorder="1" applyAlignment="1" applyProtection="1">
      <alignment horizontal="center" vertical="center" shrinkToFit="1"/>
    </xf>
    <xf numFmtId="0" fontId="12" fillId="9" borderId="7" xfId="0" applyFont="1" applyFill="1" applyBorder="1" applyAlignment="1">
      <alignment horizontal="left"/>
    </xf>
    <xf numFmtId="0" fontId="12" fillId="9" borderId="15" xfId="0" applyFont="1" applyFill="1" applyBorder="1" applyAlignment="1">
      <alignment horizontal="left"/>
    </xf>
    <xf numFmtId="0" fontId="7" fillId="0" borderId="0" xfId="0" applyFont="1" applyBorder="1" applyAlignment="1" applyProtection="1">
      <alignment horizontal="left"/>
    </xf>
    <xf numFmtId="0" fontId="9" fillId="0" borderId="18" xfId="0" applyFont="1" applyBorder="1" applyAlignment="1">
      <alignment horizontal="center"/>
    </xf>
    <xf numFmtId="0" fontId="1" fillId="0" borderId="0" xfId="0" applyFont="1" applyBorder="1" applyAlignment="1" applyProtection="1">
      <alignment horizontal="left"/>
    </xf>
    <xf numFmtId="0" fontId="7" fillId="7" borderId="9" xfId="0" applyFont="1" applyFill="1" applyBorder="1" applyAlignment="1">
      <alignment horizontal="center" vertical="center" shrinkToFit="1"/>
    </xf>
    <xf numFmtId="0" fontId="1" fillId="91" borderId="12" xfId="0" applyFont="1" applyFill="1" applyBorder="1" applyAlignment="1" applyProtection="1">
      <alignment horizontal="left"/>
      <protection hidden="1"/>
    </xf>
    <xf numFmtId="0" fontId="1" fillId="0" borderId="3" xfId="0" applyFont="1" applyBorder="1" applyAlignment="1">
      <alignment horizontal="left"/>
    </xf>
    <xf numFmtId="0" fontId="7" fillId="5" borderId="7" xfId="0" applyFont="1" applyFill="1" applyBorder="1" applyAlignment="1">
      <alignment horizontal="center" shrinkToFit="1"/>
    </xf>
    <xf numFmtId="0" fontId="7" fillId="7" borderId="7" xfId="0" applyFont="1" applyFill="1" applyBorder="1" applyAlignment="1">
      <alignment horizontal="center" shrinkToFit="1"/>
    </xf>
    <xf numFmtId="0" fontId="7" fillId="11" borderId="70" xfId="0" quotePrefix="1" applyFont="1" applyFill="1" applyBorder="1" applyAlignment="1" applyProtection="1">
      <alignment horizontal="center"/>
      <protection locked="0"/>
    </xf>
    <xf numFmtId="0" fontId="1" fillId="7" borderId="7" xfId="0" applyFont="1" applyFill="1" applyBorder="1" applyAlignment="1">
      <alignment horizontal="center" shrinkToFit="1"/>
    </xf>
    <xf numFmtId="0" fontId="1" fillId="5" borderId="7" xfId="0" applyFont="1" applyFill="1" applyBorder="1" applyAlignment="1">
      <alignment horizontal="center" vertical="center" shrinkToFit="1"/>
    </xf>
    <xf numFmtId="0" fontId="67" fillId="6" borderId="22" xfId="3" applyFont="1" applyBorder="1" applyAlignment="1" applyProtection="1">
      <alignment horizontal="center" vertical="center"/>
      <protection locked="0"/>
    </xf>
    <xf numFmtId="0" fontId="67" fillId="6" borderId="32" xfId="3" applyFont="1" applyBorder="1" applyAlignment="1" applyProtection="1">
      <alignment horizontal="center" vertical="center"/>
      <protection locked="0"/>
    </xf>
    <xf numFmtId="0" fontId="67" fillId="6" borderId="34" xfId="3" applyFont="1" applyBorder="1" applyAlignment="1" applyProtection="1">
      <alignment horizontal="center" vertical="center"/>
      <protection locked="0"/>
    </xf>
    <xf numFmtId="0" fontId="8" fillId="6" borderId="32" xfId="3" applyBorder="1" applyAlignment="1">
      <alignment horizontal="center" vertical="center"/>
    </xf>
    <xf numFmtId="0" fontId="1" fillId="7" borderId="7" xfId="0" applyFont="1" applyFill="1" applyBorder="1" applyAlignment="1">
      <alignment horizontal="left"/>
    </xf>
    <xf numFmtId="0" fontId="1" fillId="0" borderId="7" xfId="0" applyFont="1" applyFill="1" applyBorder="1" applyAlignment="1" applyProtection="1">
      <alignment horizontal="left" vertical="center"/>
      <protection hidden="1"/>
    </xf>
    <xf numFmtId="0" fontId="7" fillId="0" borderId="7" xfId="0" applyFont="1" applyFill="1" applyBorder="1" applyAlignment="1">
      <alignment horizontal="center" shrinkToFit="1"/>
    </xf>
    <xf numFmtId="0" fontId="6" fillId="0" borderId="0" xfId="0" applyFont="1" applyBorder="1" applyAlignment="1">
      <alignment wrapText="1"/>
    </xf>
    <xf numFmtId="49" fontId="6" fillId="0" borderId="0" xfId="0" applyNumberFormat="1" applyFont="1" applyAlignment="1">
      <alignment vertical="top" wrapText="1"/>
    </xf>
    <xf numFmtId="49" fontId="0" fillId="0" borderId="0" xfId="0" applyNumberFormat="1" applyAlignment="1">
      <alignment vertical="top" wrapText="1"/>
    </xf>
    <xf numFmtId="0" fontId="0" fillId="0" borderId="0" xfId="0" applyAlignment="1">
      <alignment vertical="top"/>
    </xf>
    <xf numFmtId="0" fontId="0" fillId="0" borderId="0" xfId="0" applyAlignment="1"/>
    <xf numFmtId="0" fontId="2" fillId="0" borderId="4" xfId="0" applyFont="1" applyBorder="1" applyAlignment="1">
      <alignment horizontal="center" wrapText="1"/>
    </xf>
    <xf numFmtId="0" fontId="2" fillId="0" borderId="5" xfId="0" applyFont="1" applyBorder="1" applyAlignment="1">
      <alignment horizontal="center" wrapText="1"/>
    </xf>
    <xf numFmtId="0" fontId="2" fillId="0" borderId="6" xfId="0" applyFont="1" applyBorder="1" applyAlignment="1">
      <alignment horizontal="center" wrapText="1"/>
    </xf>
    <xf numFmtId="0" fontId="0" fillId="0" borderId="0" xfId="0" applyAlignment="1">
      <alignment horizontal="left" wrapText="1"/>
    </xf>
    <xf numFmtId="0" fontId="0" fillId="0" borderId="0" xfId="0" applyAlignment="1">
      <alignment horizontal="left" vertical="top" wrapText="1"/>
    </xf>
    <xf numFmtId="0" fontId="1" fillId="7" borderId="9" xfId="0" applyFont="1" applyFill="1" applyBorder="1" applyAlignment="1">
      <alignment horizontal="center" vertical="center" shrinkToFit="1"/>
    </xf>
    <xf numFmtId="0" fontId="1" fillId="7" borderId="10" xfId="0" applyFont="1" applyFill="1" applyBorder="1" applyAlignment="1">
      <alignment horizontal="center" vertical="center" shrinkToFit="1"/>
    </xf>
    <xf numFmtId="0" fontId="1" fillId="7" borderId="8" xfId="0" applyFont="1" applyFill="1" applyBorder="1" applyAlignment="1">
      <alignment horizontal="center" vertical="center" shrinkToFit="1"/>
    </xf>
    <xf numFmtId="0" fontId="7" fillId="7" borderId="9" xfId="0" applyFont="1" applyFill="1" applyBorder="1" applyAlignment="1">
      <alignment horizontal="center" vertical="center" shrinkToFit="1"/>
    </xf>
    <xf numFmtId="0" fontId="7" fillId="7" borderId="10" xfId="0" applyFont="1" applyFill="1" applyBorder="1" applyAlignment="1">
      <alignment horizontal="center" vertical="center" shrinkToFit="1"/>
    </xf>
    <xf numFmtId="0" fontId="7" fillId="7" borderId="8" xfId="0" applyFont="1" applyFill="1" applyBorder="1" applyAlignment="1">
      <alignment horizontal="center" vertical="center" shrinkToFit="1"/>
    </xf>
    <xf numFmtId="0" fontId="1" fillId="7" borderId="7" xfId="0" applyFont="1" applyFill="1" applyBorder="1" applyAlignment="1">
      <alignment horizontal="center" vertical="center" shrinkToFit="1"/>
    </xf>
    <xf numFmtId="0" fontId="7" fillId="0" borderId="0" xfId="0" applyFont="1" applyBorder="1" applyAlignment="1" applyProtection="1">
      <alignment horizontal="left"/>
    </xf>
    <xf numFmtId="0" fontId="9" fillId="0" borderId="7" xfId="0" applyFont="1" applyFill="1" applyBorder="1" applyAlignment="1" applyProtection="1">
      <alignment horizontal="center" vertical="center" wrapText="1" shrinkToFit="1"/>
      <protection locked="0"/>
    </xf>
    <xf numFmtId="0" fontId="9" fillId="0" borderId="11" xfId="0" applyFont="1" applyBorder="1" applyAlignment="1">
      <alignment horizontal="center"/>
    </xf>
    <xf numFmtId="0" fontId="9" fillId="0" borderId="17" xfId="0" applyFont="1" applyBorder="1" applyAlignment="1">
      <alignment horizontal="center" shrinkToFit="1"/>
    </xf>
    <xf numFmtId="0" fontId="9" fillId="0" borderId="11" xfId="0" applyFont="1" applyBorder="1" applyAlignment="1">
      <alignment horizontal="center" shrinkToFit="1"/>
    </xf>
    <xf numFmtId="0" fontId="9" fillId="0" borderId="18" xfId="0" applyFont="1" applyBorder="1" applyAlignment="1">
      <alignment horizontal="center" shrinkToFit="1"/>
    </xf>
    <xf numFmtId="0" fontId="9" fillId="0" borderId="17" xfId="0" applyFont="1" applyBorder="1" applyAlignment="1">
      <alignment horizontal="center"/>
    </xf>
    <xf numFmtId="0" fontId="9" fillId="0" borderId="18" xfId="0" applyFont="1" applyBorder="1" applyAlignment="1">
      <alignment horizontal="center"/>
    </xf>
    <xf numFmtId="0" fontId="12" fillId="9" borderId="7" xfId="0" applyFont="1" applyFill="1" applyBorder="1" applyAlignment="1">
      <alignment horizontal="left" shrinkToFit="1"/>
    </xf>
    <xf numFmtId="0" fontId="12" fillId="9" borderId="15" xfId="0" applyFont="1" applyFill="1" applyBorder="1" applyAlignment="1">
      <alignment horizontal="left" shrinkToFit="1"/>
    </xf>
    <xf numFmtId="0" fontId="9" fillId="0" borderId="17" xfId="0" applyFont="1" applyBorder="1" applyAlignment="1">
      <alignment horizontal="center" vertical="center" wrapText="1"/>
    </xf>
    <xf numFmtId="0" fontId="9" fillId="0" borderId="11" xfId="0" applyFont="1" applyBorder="1" applyAlignment="1">
      <alignment horizontal="center" vertical="center" wrapText="1"/>
    </xf>
    <xf numFmtId="0" fontId="9" fillId="0" borderId="18" xfId="0" applyFont="1" applyBorder="1" applyAlignment="1">
      <alignment horizontal="center" vertical="center" wrapText="1"/>
    </xf>
    <xf numFmtId="0" fontId="9" fillId="0" borderId="17" xfId="0" applyFont="1" applyBorder="1" applyAlignment="1">
      <alignment horizontal="center" wrapText="1"/>
    </xf>
    <xf numFmtId="0" fontId="9" fillId="0" borderId="11" xfId="0" applyFont="1" applyBorder="1" applyAlignment="1">
      <alignment horizontal="center" wrapText="1"/>
    </xf>
    <xf numFmtId="0" fontId="9" fillId="0" borderId="18" xfId="0" applyFont="1" applyBorder="1" applyAlignment="1">
      <alignment horizontal="center" wrapText="1"/>
    </xf>
    <xf numFmtId="0" fontId="9" fillId="0" borderId="9" xfId="0" applyFont="1" applyFill="1" applyBorder="1" applyAlignment="1" applyProtection="1">
      <alignment horizontal="center" vertical="center" wrapText="1" shrinkToFit="1"/>
      <protection locked="0"/>
    </xf>
    <xf numFmtId="0" fontId="9" fillId="0" borderId="10" xfId="0" applyFont="1" applyFill="1" applyBorder="1" applyAlignment="1" applyProtection="1">
      <alignment horizontal="center" vertical="center" wrapText="1" shrinkToFit="1"/>
      <protection locked="0"/>
    </xf>
    <xf numFmtId="0" fontId="12" fillId="9" borderId="9" xfId="0" applyFont="1" applyFill="1" applyBorder="1" applyAlignment="1">
      <alignment horizontal="left" shrinkToFit="1"/>
    </xf>
    <xf numFmtId="0" fontId="12" fillId="9" borderId="7" xfId="0" applyFont="1" applyFill="1" applyBorder="1" applyAlignment="1">
      <alignment horizontal="left"/>
    </xf>
    <xf numFmtId="0" fontId="12" fillId="9" borderId="15" xfId="0" applyFont="1" applyFill="1" applyBorder="1" applyAlignment="1">
      <alignment horizontal="left"/>
    </xf>
    <xf numFmtId="0" fontId="9" fillId="0" borderId="17" xfId="0" applyFont="1" applyBorder="1" applyAlignment="1">
      <alignment horizontal="center" vertical="center"/>
    </xf>
    <xf numFmtId="0" fontId="9" fillId="0" borderId="11" xfId="0" applyFont="1" applyBorder="1" applyAlignment="1">
      <alignment horizontal="center" vertical="center"/>
    </xf>
    <xf numFmtId="0" fontId="12" fillId="9" borderId="7" xfId="0" applyFont="1" applyFill="1" applyBorder="1" applyAlignment="1" applyProtection="1">
      <alignment horizontal="left"/>
      <protection locked="0"/>
    </xf>
    <xf numFmtId="0" fontId="12" fillId="9" borderId="15" xfId="0" applyFont="1" applyFill="1" applyBorder="1" applyAlignment="1" applyProtection="1">
      <alignment horizontal="left"/>
      <protection locked="0"/>
    </xf>
    <xf numFmtId="0" fontId="12" fillId="9" borderId="7" xfId="0" applyFont="1" applyFill="1" applyBorder="1" applyAlignment="1" applyProtection="1">
      <alignment horizontal="left" shrinkToFit="1"/>
      <protection locked="0"/>
    </xf>
    <xf numFmtId="0" fontId="12" fillId="9" borderId="15" xfId="0" applyFont="1" applyFill="1" applyBorder="1" applyAlignment="1" applyProtection="1">
      <alignment horizontal="left" shrinkToFit="1"/>
      <protection locked="0"/>
    </xf>
    <xf numFmtId="0" fontId="12" fillId="9" borderId="7" xfId="0" applyFont="1" applyFill="1" applyBorder="1" applyAlignment="1" applyProtection="1">
      <alignment horizontal="left" vertical="center"/>
    </xf>
    <xf numFmtId="0" fontId="12" fillId="9" borderId="15" xfId="0" applyFont="1" applyFill="1" applyBorder="1" applyAlignment="1" applyProtection="1">
      <alignment horizontal="left" vertical="center"/>
    </xf>
    <xf numFmtId="0" fontId="13" fillId="9" borderId="7" xfId="0" applyFont="1" applyFill="1" applyBorder="1" applyAlignment="1" applyProtection="1">
      <alignment horizontal="center" vertical="center"/>
    </xf>
    <xf numFmtId="0" fontId="13" fillId="9" borderId="15" xfId="0" applyFont="1" applyFill="1" applyBorder="1" applyAlignment="1" applyProtection="1">
      <alignment horizontal="center" vertical="center"/>
    </xf>
    <xf numFmtId="0" fontId="12" fillId="9" borderId="7" xfId="0" applyFont="1" applyFill="1" applyBorder="1" applyAlignment="1" applyProtection="1">
      <alignment vertical="center"/>
    </xf>
    <xf numFmtId="0" fontId="12" fillId="9" borderId="15" xfId="0" applyFont="1" applyFill="1" applyBorder="1" applyAlignment="1" applyProtection="1">
      <alignment vertical="center"/>
    </xf>
    <xf numFmtId="0" fontId="1" fillId="91" borderId="9" xfId="0" applyFont="1" applyFill="1" applyBorder="1" applyAlignment="1" applyProtection="1">
      <alignment horizontal="center" vertical="center" shrinkToFit="1"/>
    </xf>
    <xf numFmtId="0" fontId="1" fillId="91" borderId="10" xfId="0" applyFont="1" applyFill="1" applyBorder="1" applyAlignment="1" applyProtection="1">
      <alignment horizontal="center" vertical="center" shrinkToFit="1"/>
    </xf>
    <xf numFmtId="0" fontId="1" fillId="91" borderId="17" xfId="0" applyFont="1" applyFill="1" applyBorder="1" applyAlignment="1" applyProtection="1">
      <alignment horizontal="center" vertical="center" shrinkToFit="1"/>
    </xf>
    <xf numFmtId="0" fontId="1" fillId="91" borderId="1" xfId="0" applyFont="1" applyFill="1" applyBorder="1" applyAlignment="1" applyProtection="1">
      <alignment horizontal="center" vertical="center" shrinkToFit="1"/>
    </xf>
    <xf numFmtId="0" fontId="1" fillId="7" borderId="9" xfId="0" applyFont="1" applyFill="1" applyBorder="1" applyAlignment="1" applyProtection="1">
      <alignment horizontal="center" vertical="center" shrinkToFit="1"/>
    </xf>
    <xf numFmtId="0" fontId="1" fillId="7" borderId="10" xfId="0" applyFont="1" applyFill="1" applyBorder="1" applyAlignment="1" applyProtection="1">
      <alignment horizontal="center" vertical="center" shrinkToFit="1"/>
    </xf>
    <xf numFmtId="0" fontId="1" fillId="91" borderId="7" xfId="0" applyFont="1" applyFill="1" applyBorder="1" applyAlignment="1" applyProtection="1">
      <alignment horizontal="center" vertical="center" shrinkToFit="1"/>
    </xf>
    <xf numFmtId="0" fontId="1" fillId="91" borderId="18" xfId="0" applyFont="1" applyFill="1" applyBorder="1" applyAlignment="1" applyProtection="1">
      <alignment horizontal="center" vertical="center" shrinkToFit="1"/>
    </xf>
    <xf numFmtId="0" fontId="1" fillId="91" borderId="19" xfId="0" applyFont="1" applyFill="1" applyBorder="1" applyAlignment="1" applyProtection="1">
      <alignment horizontal="center" vertical="center" shrinkToFit="1"/>
    </xf>
    <xf numFmtId="0" fontId="1" fillId="0" borderId="0" xfId="0" applyFont="1" applyBorder="1" applyAlignment="1" applyProtection="1">
      <alignment horizontal="left"/>
    </xf>
    <xf numFmtId="0" fontId="7" fillId="7" borderId="9" xfId="0" applyFont="1" applyFill="1" applyBorder="1" applyAlignment="1">
      <alignment horizontal="center" vertical="center" wrapText="1" shrinkToFit="1"/>
    </xf>
    <xf numFmtId="0" fontId="7" fillId="7" borderId="8" xfId="0" applyFont="1" applyFill="1" applyBorder="1" applyAlignment="1">
      <alignment horizontal="center" vertical="center" wrapText="1" shrinkToFit="1"/>
    </xf>
  </cellXfs>
  <cellStyles count="53471">
    <cellStyle name="20% - Accent1" xfId="164" builtinId="30" customBuiltin="1"/>
    <cellStyle name="20% - Accent1 6 12 4" xfId="24867" xr:uid="{00000000-0005-0000-0000-000001000000}"/>
    <cellStyle name="20% - Accent1 6 13" xfId="6675" xr:uid="{00000000-0005-0000-0000-000002000000}"/>
    <cellStyle name="20% - Accent1 6 13 2" xfId="9884" xr:uid="{00000000-0005-0000-0000-000003000000}"/>
    <cellStyle name="20% - Accent1 6 13 2 2" xfId="17678" xr:uid="{00000000-0005-0000-0000-000004000000}"/>
    <cellStyle name="20% - Accent1 6 13 2 2 2" xfId="35315" xr:uid="{00000000-0005-0000-0000-000005000000}"/>
    <cellStyle name="20% - Accent1 6 13 2 3" xfId="28268" xr:uid="{00000000-0005-0000-0000-000006000000}"/>
    <cellStyle name="20% - Accent1 6 13 3" xfId="14463" xr:uid="{00000000-0005-0000-0000-000007000000}"/>
    <cellStyle name="20% - Accent1 6 13 3 2" xfId="32098" xr:uid="{00000000-0005-0000-0000-000008000000}"/>
    <cellStyle name="20% - Accent1 6 13 4" xfId="25404" xr:uid="{00000000-0005-0000-0000-000009000000}"/>
    <cellStyle name="20% - Accent1 6 14" xfId="7514" xr:uid="{00000000-0005-0000-0000-00000A000000}"/>
    <cellStyle name="20% - Accent1 6 14 2" xfId="15311" xr:uid="{00000000-0005-0000-0000-00000B000000}"/>
    <cellStyle name="20% - Accent1 6 14 2 2" xfId="32946" xr:uid="{00000000-0005-0000-0000-00000C000000}"/>
    <cellStyle name="20% - Accent1 6 14 3" xfId="25947" xr:uid="{00000000-0005-0000-0000-00000D000000}"/>
    <cellStyle name="20% - Accent1 6 15" xfId="11079" xr:uid="{00000000-0005-0000-0000-00000E000000}"/>
    <cellStyle name="20% - Accent1 6 15 2" xfId="28809" xr:uid="{00000000-0005-0000-0000-00000F000000}"/>
    <cellStyle name="20% - Accent1 6 16" xfId="21938" xr:uid="{00000000-0005-0000-0000-000010000000}"/>
    <cellStyle name="20% - Accent1 6 16 2" xfId="38691" xr:uid="{00000000-0005-0000-0000-000011000000}"/>
    <cellStyle name="20% - Accent1 6 17" xfId="23082" xr:uid="{00000000-0005-0000-0000-000012000000}"/>
    <cellStyle name="20% - Accent1 6 18" xfId="51636" xr:uid="{00000000-0005-0000-0000-000013000000}"/>
    <cellStyle name="20% - Accent1 6 2" xfId="215" xr:uid="{00000000-0005-0000-0000-000014000000}"/>
    <cellStyle name="20% - Accent1 6 2 10" xfId="51637" xr:uid="{00000000-0005-0000-0000-000015000000}"/>
    <cellStyle name="20% - Accent1 6 2 2" xfId="3453" xr:uid="{00000000-0005-0000-0000-000016000000}"/>
    <cellStyle name="20% - Accent1 6 2 2 2" xfId="8078" xr:uid="{00000000-0005-0000-0000-000017000000}"/>
    <cellStyle name="20% - Accent1 6 2 2 2 2" xfId="15874" xr:uid="{00000000-0005-0000-0000-000018000000}"/>
    <cellStyle name="20% - Accent1 6 2 2 2 2 2" xfId="33509" xr:uid="{00000000-0005-0000-0000-000019000000}"/>
    <cellStyle name="20% - Accent1 6 2 2 2 3" xfId="26492" xr:uid="{00000000-0005-0000-0000-00001A000000}"/>
    <cellStyle name="20% - Accent1 6 2 2 3" xfId="12187" xr:uid="{00000000-0005-0000-0000-00001B000000}"/>
    <cellStyle name="20% - Accent1 6 2 2 3 2" xfId="29858" xr:uid="{00000000-0005-0000-0000-00001C000000}"/>
    <cellStyle name="20% - Accent1 6 2 2 4" xfId="23627" xr:uid="{00000000-0005-0000-0000-00001D000000}"/>
    <cellStyle name="20% - Accent1 6 2 3" xfId="5508" xr:uid="{00000000-0005-0000-0000-00001E000000}"/>
    <cellStyle name="20% - Accent1 6 2 3 2" xfId="8807" xr:uid="{00000000-0005-0000-0000-00001F000000}"/>
    <cellStyle name="20% - Accent1 6 2 3 2 2" xfId="16603" xr:uid="{00000000-0005-0000-0000-000020000000}"/>
    <cellStyle name="20% - Accent1 6 2 3 2 2 2" xfId="34238" xr:uid="{00000000-0005-0000-0000-000021000000}"/>
    <cellStyle name="20% - Accent1 6 2 3 2 3" xfId="27195" xr:uid="{00000000-0005-0000-0000-000022000000}"/>
    <cellStyle name="20% - Accent1 6 2 3 3" xfId="13363" xr:uid="{00000000-0005-0000-0000-000023000000}"/>
    <cellStyle name="20% - Accent1 6 2 3 3 2" xfId="31003" xr:uid="{00000000-0005-0000-0000-000024000000}"/>
    <cellStyle name="20% - Accent1 6 2 3 4" xfId="24330" xr:uid="{00000000-0005-0000-0000-000025000000}"/>
    <cellStyle name="20% - Accent1 6 2 4" xfId="6137" xr:uid="{00000000-0005-0000-0000-000026000000}"/>
    <cellStyle name="20% - Accent1 6 2 4 2" xfId="9347" xr:uid="{00000000-0005-0000-0000-000027000000}"/>
    <cellStyle name="20% - Accent1 6 2 5 2" xfId="9885" xr:uid="{00000000-0005-0000-0000-000028000000}"/>
    <cellStyle name="20% - Accent1 6 2 5 4" xfId="25405" xr:uid="{00000000-0005-0000-0000-000029000000}"/>
    <cellStyle name="20% - Accent1 6 2 9" xfId="23083" xr:uid="{00000000-0005-0000-0000-00002A000000}"/>
    <cellStyle name="20% - Accent1 6 3 2 4 2 2 2" xfId="34779" xr:uid="{00000000-0005-0000-0000-00002B000000}"/>
    <cellStyle name="20% - Accent1 6 3 3" xfId="3455" xr:uid="{00000000-0005-0000-0000-00002C000000}"/>
    <cellStyle name="20% - Accent1 6 3 3 2" xfId="5510" xr:uid="{00000000-0005-0000-0000-00002D000000}"/>
    <cellStyle name="20% - Accent1 6 3 3 2 2" xfId="8809" xr:uid="{00000000-0005-0000-0000-00002E000000}"/>
    <cellStyle name="20% - Accent1 6 3 3 2 2 2" xfId="16605" xr:uid="{00000000-0005-0000-0000-00002F000000}"/>
    <cellStyle name="20% - Accent1 6 3 3 2 2 2 2" xfId="34240" xr:uid="{00000000-0005-0000-0000-000030000000}"/>
    <cellStyle name="20% - Accent1 6 3 3 2 2 3" xfId="27197" xr:uid="{00000000-0005-0000-0000-000031000000}"/>
    <cellStyle name="20% - Accent1 6 3 3 2 3" xfId="13365" xr:uid="{00000000-0005-0000-0000-000032000000}"/>
    <cellStyle name="20% - Accent1 6 3 3 2 3 2" xfId="31005" xr:uid="{00000000-0005-0000-0000-000033000000}"/>
    <cellStyle name="20% - Accent1 6 3 3 2 4" xfId="24332" xr:uid="{00000000-0005-0000-0000-000034000000}"/>
    <cellStyle name="20% - Accent1 6 3 3 3" xfId="6139" xr:uid="{00000000-0005-0000-0000-000035000000}"/>
    <cellStyle name="20% - Accent1 6 3 3 3 2" xfId="9349" xr:uid="{00000000-0005-0000-0000-000036000000}"/>
    <cellStyle name="20% - Accent1 6 3 3 3 2 2" xfId="17143" xr:uid="{00000000-0005-0000-0000-000037000000}"/>
    <cellStyle name="20% - Accent1 6 3 3 3 2 2 2" xfId="34780" xr:uid="{00000000-0005-0000-0000-000038000000}"/>
    <cellStyle name="20% - Accent1 6 3 3 3 2 3" xfId="27733" xr:uid="{00000000-0005-0000-0000-000039000000}"/>
    <cellStyle name="20% - Accent1 6 3 3 3 3" xfId="13928" xr:uid="{00000000-0005-0000-0000-00003A000000}"/>
    <cellStyle name="20% - Accent1 6 3 3 3 3 2" xfId="31563" xr:uid="{00000000-0005-0000-0000-00003B000000}"/>
    <cellStyle name="20% - Accent1 6 3 3 3 4" xfId="24869" xr:uid="{00000000-0005-0000-0000-00003C000000}"/>
    <cellStyle name="20% - Accent1 6 3 3 4" xfId="6677" xr:uid="{00000000-0005-0000-0000-00003D000000}"/>
    <cellStyle name="20% - Accent1 6 3 3 4 2" xfId="9887" xr:uid="{00000000-0005-0000-0000-00003E000000}"/>
    <cellStyle name="20% - Accent1 6 3 3 4 2 2" xfId="17680" xr:uid="{00000000-0005-0000-0000-00003F000000}"/>
    <cellStyle name="20% - Accent1 6 3 3 4 2 2 2" xfId="35317" xr:uid="{00000000-0005-0000-0000-000040000000}"/>
    <cellStyle name="20% - Accent1 6 3 3 4 2 3" xfId="28270" xr:uid="{00000000-0005-0000-0000-000041000000}"/>
    <cellStyle name="20% - Accent1 6 3 3 4 3" xfId="14465" xr:uid="{00000000-0005-0000-0000-000042000000}"/>
    <cellStyle name="20% - Accent1 6 3 3 4 3 2" xfId="32100" xr:uid="{00000000-0005-0000-0000-000043000000}"/>
    <cellStyle name="20% - Accent1 6 3 3 4 4" xfId="25407" xr:uid="{00000000-0005-0000-0000-000044000000}"/>
    <cellStyle name="20% - Accent1 6 3 3 5" xfId="8080" xr:uid="{00000000-0005-0000-0000-000045000000}"/>
    <cellStyle name="20% - Accent1 6 3 3 5 2" xfId="15876" xr:uid="{00000000-0005-0000-0000-000046000000}"/>
    <cellStyle name="20% - Accent1 6 3 3 5 2 2" xfId="33511" xr:uid="{00000000-0005-0000-0000-000047000000}"/>
    <cellStyle name="20% - Accent1 6 3 3 5 3" xfId="26494" xr:uid="{00000000-0005-0000-0000-000048000000}"/>
    <cellStyle name="20% - Accent1 6 3 3 6" xfId="12189" xr:uid="{00000000-0005-0000-0000-000049000000}"/>
    <cellStyle name="20% - Accent1 6 3 3 6 2" xfId="29860" xr:uid="{00000000-0005-0000-0000-00004A000000}"/>
    <cellStyle name="20% - Accent1 6 3 3 7" xfId="23629" xr:uid="{00000000-0005-0000-0000-00004B000000}"/>
    <cellStyle name="20% - Accent1 6 3 4" xfId="3454" xr:uid="{00000000-0005-0000-0000-00004C000000}"/>
    <cellStyle name="20% - Accent1 6 3 4 2" xfId="8079" xr:uid="{00000000-0005-0000-0000-00004D000000}"/>
    <cellStyle name="20% - Accent1 6 3 4 2 2" xfId="15875" xr:uid="{00000000-0005-0000-0000-00004E000000}"/>
    <cellStyle name="20% - Accent1 6 3 4 2 2 2" xfId="33510" xr:uid="{00000000-0005-0000-0000-00004F000000}"/>
    <cellStyle name="20% - Accent1 6 3 4 2 3" xfId="26493" xr:uid="{00000000-0005-0000-0000-000050000000}"/>
    <cellStyle name="20% - Accent1 6 3 4 3" xfId="12188" xr:uid="{00000000-0005-0000-0000-000051000000}"/>
    <cellStyle name="20% - Accent1 6 3 4 3 2" xfId="29859" xr:uid="{00000000-0005-0000-0000-000052000000}"/>
    <cellStyle name="20% - Accent1 6 3 4 4" xfId="23628" xr:uid="{00000000-0005-0000-0000-000053000000}"/>
    <cellStyle name="20% - Accent1 6 3 5" xfId="5509" xr:uid="{00000000-0005-0000-0000-000054000000}"/>
    <cellStyle name="20% - Accent1 6 3 5 2" xfId="8808" xr:uid="{00000000-0005-0000-0000-000055000000}"/>
    <cellStyle name="20% - Accent1 6 3 5 2 2" xfId="16604" xr:uid="{00000000-0005-0000-0000-000056000000}"/>
    <cellStyle name="20% - Accent1 6 3 5 2 2 2" xfId="34239" xr:uid="{00000000-0005-0000-0000-000057000000}"/>
    <cellStyle name="20% - Accent1 6 3 5 2 3" xfId="27196" xr:uid="{00000000-0005-0000-0000-000058000000}"/>
    <cellStyle name="20% - Accent1 6 3 5 3" xfId="13364" xr:uid="{00000000-0005-0000-0000-000059000000}"/>
    <cellStyle name="20% - Accent1 6 3 5 3 2" xfId="31004" xr:uid="{00000000-0005-0000-0000-00005A000000}"/>
    <cellStyle name="20% - Accent1 6 3 5 4" xfId="24331" xr:uid="{00000000-0005-0000-0000-00005B000000}"/>
    <cellStyle name="20% - Accent1 6 3 6" xfId="6138" xr:uid="{00000000-0005-0000-0000-00005C000000}"/>
    <cellStyle name="20% - Accent1 6 3 6 2" xfId="9348" xr:uid="{00000000-0005-0000-0000-00005D000000}"/>
    <cellStyle name="20% - Accent1 6 3 6 2 2" xfId="17142" xr:uid="{00000000-0005-0000-0000-00005E000000}"/>
    <cellStyle name="20% - Accent1 6 3 6 2 2 2" xfId="34778" xr:uid="{00000000-0005-0000-0000-00005F000000}"/>
    <cellStyle name="20% - Accent1 6 3 6 2 3" xfId="27732" xr:uid="{00000000-0005-0000-0000-000060000000}"/>
    <cellStyle name="20% - Accent1 6 3 6 3" xfId="13927" xr:uid="{00000000-0005-0000-0000-000061000000}"/>
    <cellStyle name="20% - Accent1 6 3 6 3 2" xfId="31562" xr:uid="{00000000-0005-0000-0000-000062000000}"/>
    <cellStyle name="20% - Accent1 6 3 6 4" xfId="24868" xr:uid="{00000000-0005-0000-0000-000063000000}"/>
    <cellStyle name="20% - Accent1 6 3 7" xfId="6676" xr:uid="{00000000-0005-0000-0000-000064000000}"/>
    <cellStyle name="20% - Accent1 6 3 7 2" xfId="9886" xr:uid="{00000000-0005-0000-0000-000065000000}"/>
    <cellStyle name="20% - Accent1 6 3 7 2 2" xfId="17679" xr:uid="{00000000-0005-0000-0000-000066000000}"/>
    <cellStyle name="20% - Accent1 6 3 7 2 2 2" xfId="35316" xr:uid="{00000000-0005-0000-0000-000067000000}"/>
    <cellStyle name="20% - Accent1 6 3 7 2 3" xfId="28269" xr:uid="{00000000-0005-0000-0000-000068000000}"/>
    <cellStyle name="20% - Accent1 6 3 7 3" xfId="14464" xr:uid="{00000000-0005-0000-0000-000069000000}"/>
    <cellStyle name="20% - Accent1 6 3 7 3 2" xfId="32099" xr:uid="{00000000-0005-0000-0000-00006A000000}"/>
    <cellStyle name="20% - Accent1 6 3 7 4" xfId="25406" xr:uid="{00000000-0005-0000-0000-00006B000000}"/>
    <cellStyle name="20% - Accent1 6 3 8" xfId="7515" xr:uid="{00000000-0005-0000-0000-00006C000000}"/>
    <cellStyle name="20% - Accent1 6 3 8 2" xfId="15312" xr:uid="{00000000-0005-0000-0000-00006D000000}"/>
    <cellStyle name="20% - Accent1 6 3 8 2 2" xfId="32947" xr:uid="{00000000-0005-0000-0000-00006E000000}"/>
    <cellStyle name="20% - Accent1 6 3 8 3" xfId="25948" xr:uid="{00000000-0005-0000-0000-00006F000000}"/>
    <cellStyle name="20% - Accent1 6 3 9" xfId="11080" xr:uid="{00000000-0005-0000-0000-000070000000}"/>
    <cellStyle name="20% - Accent1 6 3 9 2" xfId="28810" xr:uid="{00000000-0005-0000-0000-000071000000}"/>
    <cellStyle name="20% - Accent1 6 4" xfId="216" xr:uid="{00000000-0005-0000-0000-000072000000}"/>
    <cellStyle name="20% - Accent1 6 4 10" xfId="52907" xr:uid="{00000000-0005-0000-0000-000073000000}"/>
    <cellStyle name="20% - Accent1 6 4 2" xfId="3456" xr:uid="{00000000-0005-0000-0000-000074000000}"/>
    <cellStyle name="20% - Accent1 6 4 2 2" xfId="8081" xr:uid="{00000000-0005-0000-0000-000075000000}"/>
    <cellStyle name="20% - Accent1 6 4 2 2 2" xfId="15877" xr:uid="{00000000-0005-0000-0000-000076000000}"/>
    <cellStyle name="20% - Accent1 6 4 2 2 2 2" xfId="33512" xr:uid="{00000000-0005-0000-0000-000077000000}"/>
    <cellStyle name="20% - Accent1 6 4 2 2 3" xfId="26495" xr:uid="{00000000-0005-0000-0000-000078000000}"/>
    <cellStyle name="20% - Accent1 6 4 2 3" xfId="12190" xr:uid="{00000000-0005-0000-0000-000079000000}"/>
    <cellStyle name="20% - Accent1 6 4 2 3 2" xfId="29861" xr:uid="{00000000-0005-0000-0000-00007A000000}"/>
    <cellStyle name="20% - Accent1 6 4 2 4" xfId="23630" xr:uid="{00000000-0005-0000-0000-00007B000000}"/>
    <cellStyle name="20% - Accent1 6 4 3" xfId="5511" xr:uid="{00000000-0005-0000-0000-00007C000000}"/>
    <cellStyle name="20% - Accent1 6 4 3 2" xfId="8810" xr:uid="{00000000-0005-0000-0000-00007D000000}"/>
    <cellStyle name="20% - Accent1 6 4 3 2 2" xfId="16606" xr:uid="{00000000-0005-0000-0000-00007E000000}"/>
    <cellStyle name="20% - Accent1 6 4 3 2 2 2" xfId="34241" xr:uid="{00000000-0005-0000-0000-00007F000000}"/>
    <cellStyle name="20% - Accent1 6 4 3 2 3" xfId="27198" xr:uid="{00000000-0005-0000-0000-000080000000}"/>
    <cellStyle name="20% - Accent1 6 4 3 3" xfId="13366" xr:uid="{00000000-0005-0000-0000-000081000000}"/>
    <cellStyle name="20% - Accent1 6 4 3 3 2" xfId="31006" xr:uid="{00000000-0005-0000-0000-000082000000}"/>
    <cellStyle name="20% - Accent1 6 4 3 4" xfId="24333" xr:uid="{00000000-0005-0000-0000-000083000000}"/>
    <cellStyle name="20% - Accent1 6 4 4" xfId="6140" xr:uid="{00000000-0005-0000-0000-000084000000}"/>
    <cellStyle name="20% - Accent1 6 4 4 2" xfId="9350" xr:uid="{00000000-0005-0000-0000-000085000000}"/>
    <cellStyle name="20% - Accent1 6 4 4 2 2" xfId="17144" xr:uid="{00000000-0005-0000-0000-000086000000}"/>
    <cellStyle name="20% - Accent1 6 4 4 2 2 2" xfId="34781" xr:uid="{00000000-0005-0000-0000-000087000000}"/>
    <cellStyle name="20% - Accent1 6 4 4 2 3" xfId="27734" xr:uid="{00000000-0005-0000-0000-000088000000}"/>
    <cellStyle name="20% - Accent1 6 4 4 3" xfId="13929" xr:uid="{00000000-0005-0000-0000-000089000000}"/>
    <cellStyle name="20% - Accent1 6 4 4 3 2" xfId="31564" xr:uid="{00000000-0005-0000-0000-00008A000000}"/>
    <cellStyle name="20% - Accent1 6 4 4 4" xfId="24870" xr:uid="{00000000-0005-0000-0000-00008B000000}"/>
    <cellStyle name="20% - Accent1 6 4 5" xfId="6678" xr:uid="{00000000-0005-0000-0000-00008C000000}"/>
    <cellStyle name="20% - Accent1 6 4 5 2" xfId="9888" xr:uid="{00000000-0005-0000-0000-00008D000000}"/>
    <cellStyle name="20% - Accent1 6 4 5 2 2" xfId="17681" xr:uid="{00000000-0005-0000-0000-00008E000000}"/>
    <cellStyle name="20% - Accent1 6 4 5 2 2 2" xfId="35318" xr:uid="{00000000-0005-0000-0000-00008F000000}"/>
    <cellStyle name="20% - Accent1 6 4 5 2 3" xfId="28271" xr:uid="{00000000-0005-0000-0000-000090000000}"/>
    <cellStyle name="20% - Accent1 6 4 5 3" xfId="14466" xr:uid="{00000000-0005-0000-0000-000091000000}"/>
    <cellStyle name="20% - Accent1 6 4 5 3 2" xfId="32101" xr:uid="{00000000-0005-0000-0000-000092000000}"/>
    <cellStyle name="20% - Accent1 6 4 5 4" xfId="25408" xr:uid="{00000000-0005-0000-0000-000093000000}"/>
    <cellStyle name="20% - Accent1 6 4 6" xfId="7516" xr:uid="{00000000-0005-0000-0000-000094000000}"/>
    <cellStyle name="20% - Accent1 6 4 6 2" xfId="15313" xr:uid="{00000000-0005-0000-0000-000095000000}"/>
    <cellStyle name="20% - Accent1 6 4 6 2 2" xfId="32948" xr:uid="{00000000-0005-0000-0000-000096000000}"/>
    <cellStyle name="20% - Accent1 6 4 6 3" xfId="25949" xr:uid="{00000000-0005-0000-0000-000097000000}"/>
    <cellStyle name="20% - Accent1 6 4 7" xfId="11081" xr:uid="{00000000-0005-0000-0000-000098000000}"/>
    <cellStyle name="20% - Accent1 6 4 7 2" xfId="28811" xr:uid="{00000000-0005-0000-0000-000099000000}"/>
    <cellStyle name="20% - Accent1 6 4 8" xfId="23084" xr:uid="{00000000-0005-0000-0000-00009A000000}"/>
    <cellStyle name="20% - Accent1 6 4 9" xfId="51638" xr:uid="{00000000-0005-0000-0000-00009B000000}"/>
    <cellStyle name="20% - Accent1 6 5" xfId="217" xr:uid="{00000000-0005-0000-0000-00009C000000}"/>
    <cellStyle name="20% - Accent1 6 5 2" xfId="3457" xr:uid="{00000000-0005-0000-0000-00009D000000}"/>
    <cellStyle name="20% - Accent1 6 5 2 2" xfId="8082" xr:uid="{00000000-0005-0000-0000-00009E000000}"/>
    <cellStyle name="20% - Accent1 6 5 2 2 2" xfId="15878" xr:uid="{00000000-0005-0000-0000-00009F000000}"/>
    <cellStyle name="20% - Accent1 6 5 2 2 2 2" xfId="33513" xr:uid="{00000000-0005-0000-0000-0000A0000000}"/>
    <cellStyle name="20% - Accent1 6 5 2 2 3" xfId="26496" xr:uid="{00000000-0005-0000-0000-0000A1000000}"/>
    <cellStyle name="20% - Accent1 6 5 2 3" xfId="12191" xr:uid="{00000000-0005-0000-0000-0000A2000000}"/>
    <cellStyle name="20% - Accent1 6 5 2 3 2" xfId="29862" xr:uid="{00000000-0005-0000-0000-0000A3000000}"/>
    <cellStyle name="20% - Accent1 6 5 2 4" xfId="23631" xr:uid="{00000000-0005-0000-0000-0000A4000000}"/>
    <cellStyle name="20% - Accent1 6 5 3" xfId="5512" xr:uid="{00000000-0005-0000-0000-0000A5000000}"/>
    <cellStyle name="20% - Accent1 6 5 3 2" xfId="8811" xr:uid="{00000000-0005-0000-0000-0000A6000000}"/>
    <cellStyle name="20% - Accent1 6 5 3 2 2" xfId="16607" xr:uid="{00000000-0005-0000-0000-0000A7000000}"/>
    <cellStyle name="20% - Accent1 6 5 3 2 2 2" xfId="34242" xr:uid="{00000000-0005-0000-0000-0000A8000000}"/>
    <cellStyle name="20% - Accent1 6 5 3 2 3" xfId="27199" xr:uid="{00000000-0005-0000-0000-0000A9000000}"/>
    <cellStyle name="20% - Accent1 6 5 3 3" xfId="13367" xr:uid="{00000000-0005-0000-0000-0000AA000000}"/>
    <cellStyle name="20% - Accent1 6 5 3 3 2" xfId="31007" xr:uid="{00000000-0005-0000-0000-0000AB000000}"/>
    <cellStyle name="20% - Accent1 6 5 3 4" xfId="24334" xr:uid="{00000000-0005-0000-0000-0000AC000000}"/>
    <cellStyle name="20% - Accent1 6 5 4" xfId="6141" xr:uid="{00000000-0005-0000-0000-0000AD000000}"/>
    <cellStyle name="20% - Accent1 6 5 4 2" xfId="9351" xr:uid="{00000000-0005-0000-0000-0000AE000000}"/>
    <cellStyle name="20% - Accent1 6 5 4 2 2" xfId="17145" xr:uid="{00000000-0005-0000-0000-0000AF000000}"/>
    <cellStyle name="20% - Accent1 6 5 4 2 2 2" xfId="34782" xr:uid="{00000000-0005-0000-0000-0000B0000000}"/>
    <cellStyle name="20% - Accent1 6 5 4 2 3" xfId="27735" xr:uid="{00000000-0005-0000-0000-0000B1000000}"/>
    <cellStyle name="20% - Accent1 6 5 4 3" xfId="13930" xr:uid="{00000000-0005-0000-0000-0000B2000000}"/>
    <cellStyle name="20% - Accent1 6 5 4 3 2" xfId="31565" xr:uid="{00000000-0005-0000-0000-0000B3000000}"/>
    <cellStyle name="20% - Accent1 6 5 4 4" xfId="24871" xr:uid="{00000000-0005-0000-0000-0000B4000000}"/>
    <cellStyle name="20% - Accent1 6 5 5" xfId="6679" xr:uid="{00000000-0005-0000-0000-0000B5000000}"/>
    <cellStyle name="20% - Accent1 6 5 5 2" xfId="9889" xr:uid="{00000000-0005-0000-0000-0000B6000000}"/>
    <cellStyle name="20% - Accent1 6 5 5 2 2" xfId="17682" xr:uid="{00000000-0005-0000-0000-0000B7000000}"/>
    <cellStyle name="20% - Accent1 6 5 5 2 2 2" xfId="35319" xr:uid="{00000000-0005-0000-0000-0000B8000000}"/>
    <cellStyle name="20% - Accent1 6 5 5 2 3" xfId="28272" xr:uid="{00000000-0005-0000-0000-0000B9000000}"/>
    <cellStyle name="20% - Accent1 6 5 5 3" xfId="14467" xr:uid="{00000000-0005-0000-0000-0000BA000000}"/>
    <cellStyle name="20% - Accent1 6 5 5 3 2" xfId="32102" xr:uid="{00000000-0005-0000-0000-0000BB000000}"/>
    <cellStyle name="20% - Accent1 6 5 5 4" xfId="25409" xr:uid="{00000000-0005-0000-0000-0000BC000000}"/>
    <cellStyle name="20% - Accent1 6 5 6" xfId="7517" xr:uid="{00000000-0005-0000-0000-0000BD000000}"/>
    <cellStyle name="20% - Accent1 6 5 6 2" xfId="15314" xr:uid="{00000000-0005-0000-0000-0000BE000000}"/>
    <cellStyle name="20% - Accent1 6 5 6 2 2" xfId="32949" xr:uid="{00000000-0005-0000-0000-0000BF000000}"/>
    <cellStyle name="20% - Accent1 6 5 6 3" xfId="25950" xr:uid="{00000000-0005-0000-0000-0000C0000000}"/>
    <cellStyle name="20% - Accent1 6 5 7" xfId="11082" xr:uid="{00000000-0005-0000-0000-0000C1000000}"/>
    <cellStyle name="20% - Accent1 6 5 7 2" xfId="28812" xr:uid="{00000000-0005-0000-0000-0000C2000000}"/>
    <cellStyle name="20% - Accent1 6 5 8" xfId="23085" xr:uid="{00000000-0005-0000-0000-0000C3000000}"/>
    <cellStyle name="20% - Accent1 6 5 9" xfId="51639" xr:uid="{00000000-0005-0000-0000-0000C4000000}"/>
    <cellStyle name="20% - Accent1 6 6" xfId="218" xr:uid="{00000000-0005-0000-0000-0000C5000000}"/>
    <cellStyle name="20% - Accent1 6 6 2" xfId="3458" xr:uid="{00000000-0005-0000-0000-0000C6000000}"/>
    <cellStyle name="20% - Accent1 6 6 2 2" xfId="8083" xr:uid="{00000000-0005-0000-0000-0000C7000000}"/>
    <cellStyle name="20% - Accent1 6 6 2 2 2" xfId="15879" xr:uid="{00000000-0005-0000-0000-0000C8000000}"/>
    <cellStyle name="20% - Accent1 6 6 2 2 2 2" xfId="33514" xr:uid="{00000000-0005-0000-0000-0000C9000000}"/>
    <cellStyle name="20% - Accent1 6 6 2 2 3" xfId="26497" xr:uid="{00000000-0005-0000-0000-0000CA000000}"/>
    <cellStyle name="20% - Accent1 6 6 2 3" xfId="12192" xr:uid="{00000000-0005-0000-0000-0000CB000000}"/>
    <cellStyle name="20% - Accent1 6 6 2 3 2" xfId="29863" xr:uid="{00000000-0005-0000-0000-0000CC000000}"/>
    <cellStyle name="20% - Accent1 6 6 2 4" xfId="23632" xr:uid="{00000000-0005-0000-0000-0000CD000000}"/>
    <cellStyle name="20% - Accent1 6 6 3" xfId="5513" xr:uid="{00000000-0005-0000-0000-0000CE000000}"/>
    <cellStyle name="20% - Accent1 6 6 3 2" xfId="8812" xr:uid="{00000000-0005-0000-0000-0000CF000000}"/>
    <cellStyle name="20% - Accent1 6 6 3 2 2" xfId="16608" xr:uid="{00000000-0005-0000-0000-0000D0000000}"/>
    <cellStyle name="20% - Accent1 6 6 3 2 2 2" xfId="34243" xr:uid="{00000000-0005-0000-0000-0000D1000000}"/>
    <cellStyle name="20% - Accent1 6 6 3 2 3" xfId="27200" xr:uid="{00000000-0005-0000-0000-0000D2000000}"/>
    <cellStyle name="20% - Accent1 6 6 3 3" xfId="13368" xr:uid="{00000000-0005-0000-0000-0000D3000000}"/>
    <cellStyle name="20% - Accent1 6 6 3 3 2" xfId="31008" xr:uid="{00000000-0005-0000-0000-0000D4000000}"/>
    <cellStyle name="20% - Accent1 6 6 3 4" xfId="24335" xr:uid="{00000000-0005-0000-0000-0000D5000000}"/>
    <cellStyle name="20% - Accent1 6 6 4" xfId="6142" xr:uid="{00000000-0005-0000-0000-0000D6000000}"/>
    <cellStyle name="20% - Accent1 6 6 4 2" xfId="9352" xr:uid="{00000000-0005-0000-0000-0000D7000000}"/>
    <cellStyle name="20% - Accent1 6 6 4 2 2" xfId="17146" xr:uid="{00000000-0005-0000-0000-0000D8000000}"/>
    <cellStyle name="20% - Accent1 6 6 4 2 2 2" xfId="34783" xr:uid="{00000000-0005-0000-0000-0000D9000000}"/>
    <cellStyle name="20% - Accent1 6 6 4 2 3" xfId="27736" xr:uid="{00000000-0005-0000-0000-0000DA000000}"/>
    <cellStyle name="20% - Accent1 6 6 4 3" xfId="13931" xr:uid="{00000000-0005-0000-0000-0000DB000000}"/>
    <cellStyle name="20% - Accent1 6 6 4 3 2" xfId="31566" xr:uid="{00000000-0005-0000-0000-0000DC000000}"/>
    <cellStyle name="20% - Accent1 6 6 4 4" xfId="24872" xr:uid="{00000000-0005-0000-0000-0000DD000000}"/>
    <cellStyle name="20% - Accent1 6 6 5" xfId="6680" xr:uid="{00000000-0005-0000-0000-0000DE000000}"/>
    <cellStyle name="20% - Accent1 6 6 5 2" xfId="9890" xr:uid="{00000000-0005-0000-0000-0000DF000000}"/>
    <cellStyle name="20% - Accent1 6 6 5 2 2" xfId="17683" xr:uid="{00000000-0005-0000-0000-0000E0000000}"/>
    <cellStyle name="20% - Accent1 6 6 5 2 2 2" xfId="35320" xr:uid="{00000000-0005-0000-0000-0000E1000000}"/>
    <cellStyle name="20% - Accent1 6 6 5 2 3" xfId="28273" xr:uid="{00000000-0005-0000-0000-0000E2000000}"/>
    <cellStyle name="20% - Accent1 6 6 5 3" xfId="14468" xr:uid="{00000000-0005-0000-0000-0000E3000000}"/>
    <cellStyle name="20% - Accent1 6 6 5 3 2" xfId="32103" xr:uid="{00000000-0005-0000-0000-0000E4000000}"/>
    <cellStyle name="20% - Accent1 6 6 5 4" xfId="25410" xr:uid="{00000000-0005-0000-0000-0000E5000000}"/>
    <cellStyle name="20% - Accent1 6 6 6" xfId="7518" xr:uid="{00000000-0005-0000-0000-0000E6000000}"/>
    <cellStyle name="20% - Accent1 6 6 6 2" xfId="15315" xr:uid="{00000000-0005-0000-0000-0000E7000000}"/>
    <cellStyle name="20% - Accent1 6 6 6 2 2" xfId="32950" xr:uid="{00000000-0005-0000-0000-0000E8000000}"/>
    <cellStyle name="20% - Accent1 6 6 6 3" xfId="25951" xr:uid="{00000000-0005-0000-0000-0000E9000000}"/>
    <cellStyle name="20% - Accent1 6 6 7" xfId="11083" xr:uid="{00000000-0005-0000-0000-0000EA000000}"/>
    <cellStyle name="20% - Accent1 6 6 7 2" xfId="28813" xr:uid="{00000000-0005-0000-0000-0000EB000000}"/>
    <cellStyle name="20% - Accent1 6 6 8" xfId="23086" xr:uid="{00000000-0005-0000-0000-0000EC000000}"/>
    <cellStyle name="20% - Accent1 6 6 9" xfId="51640" xr:uid="{00000000-0005-0000-0000-0000ED000000}"/>
    <cellStyle name="20% - Accent1 6 7" xfId="219" xr:uid="{00000000-0005-0000-0000-0000EE000000}"/>
    <cellStyle name="20% - Accent1 6 7 10" xfId="51641" xr:uid="{00000000-0005-0000-0000-0000EF000000}"/>
    <cellStyle name="20% - Accent1 6 7 2" xfId="220" xr:uid="{00000000-0005-0000-0000-0000F0000000}"/>
    <cellStyle name="20% - Accent1 6 7 2 2" xfId="8085" xr:uid="{00000000-0005-0000-0000-0000F1000000}"/>
    <cellStyle name="20% - Accent1 6 7 2 2 2" xfId="15881" xr:uid="{00000000-0005-0000-0000-0000F2000000}"/>
    <cellStyle name="20% - Accent1 6 7 2 2 2 2" xfId="33516" xr:uid="{00000000-0005-0000-0000-0000F3000000}"/>
    <cellStyle name="20% - Accent1 6 7 2 2 3" xfId="26499" xr:uid="{00000000-0005-0000-0000-0000F4000000}"/>
    <cellStyle name="20% - Accent1 6 7 2 3" xfId="12194" xr:uid="{00000000-0005-0000-0000-0000F5000000}"/>
    <cellStyle name="20% - Accent1 6 7 2 3 2" xfId="29865" xr:uid="{00000000-0005-0000-0000-0000F6000000}"/>
    <cellStyle name="20% - Accent1 6 7 2 4" xfId="23634" xr:uid="{00000000-0005-0000-0000-0000F7000000}"/>
    <cellStyle name="20% - Accent1 6 7 3" xfId="3459" xr:uid="{00000000-0005-0000-0000-0000F8000000}"/>
    <cellStyle name="20% - Accent1 6 7 3 2" xfId="8084" xr:uid="{00000000-0005-0000-0000-0000F9000000}"/>
    <cellStyle name="20% - Accent1 6 7 3 2 2" xfId="15880" xr:uid="{00000000-0005-0000-0000-0000FA000000}"/>
    <cellStyle name="20% - Accent1 6 7 3 2 2 2" xfId="33515" xr:uid="{00000000-0005-0000-0000-0000FB000000}"/>
    <cellStyle name="20% - Accent1 6 7 3 2 3" xfId="26498" xr:uid="{00000000-0005-0000-0000-0000FC000000}"/>
    <cellStyle name="20% - Accent1 6 7 3 3" xfId="12193" xr:uid="{00000000-0005-0000-0000-0000FD000000}"/>
    <cellStyle name="20% - Accent1 6 7 3 3 2" xfId="29864" xr:uid="{00000000-0005-0000-0000-0000FE000000}"/>
    <cellStyle name="20% - Accent1 6 7 3 4" xfId="23633" xr:uid="{00000000-0005-0000-0000-0000FF000000}"/>
    <cellStyle name="20% - Accent1 6 7 4" xfId="5514" xr:uid="{00000000-0005-0000-0000-000000010000}"/>
    <cellStyle name="20% - Accent1 6 7 4 2" xfId="8813" xr:uid="{00000000-0005-0000-0000-000001010000}"/>
    <cellStyle name="20% - Accent1 6 7 4 2 2" xfId="16609" xr:uid="{00000000-0005-0000-0000-000002010000}"/>
    <cellStyle name="20% - Accent1 6 7 4 2 2 2" xfId="34244" xr:uid="{00000000-0005-0000-0000-000003010000}"/>
    <cellStyle name="20% - Accent1 6 7 4 2 3" xfId="27201" xr:uid="{00000000-0005-0000-0000-000004010000}"/>
    <cellStyle name="20% - Accent1 6 7 4 3" xfId="13369" xr:uid="{00000000-0005-0000-0000-000005010000}"/>
    <cellStyle name="20% - Accent1 6 7 4 3 2" xfId="31009" xr:uid="{00000000-0005-0000-0000-000006010000}"/>
    <cellStyle name="20% - Accent1 6 7 4 4" xfId="24336" xr:uid="{00000000-0005-0000-0000-000007010000}"/>
    <cellStyle name="20% - Accent1 6 7 5" xfId="6143" xr:uid="{00000000-0005-0000-0000-000008010000}"/>
    <cellStyle name="20% - Accent1 6 7 5 2" xfId="9353" xr:uid="{00000000-0005-0000-0000-000009010000}"/>
    <cellStyle name="20% - Accent1 6 7 5 2 2" xfId="17147" xr:uid="{00000000-0005-0000-0000-00000A010000}"/>
    <cellStyle name="20% - Accent1 6 7 5 2 2 2" xfId="34784" xr:uid="{00000000-0005-0000-0000-00000B010000}"/>
    <cellStyle name="20% - Accent1 6 7 5 2 3" xfId="27737" xr:uid="{00000000-0005-0000-0000-00000C010000}"/>
    <cellStyle name="20% - Accent1 6 7 5 3" xfId="13932" xr:uid="{00000000-0005-0000-0000-00000D010000}"/>
    <cellStyle name="20% - Accent1 6 7 5 3 2" xfId="31567" xr:uid="{00000000-0005-0000-0000-00000E010000}"/>
    <cellStyle name="20% - Accent1 6 7 5 4" xfId="24873" xr:uid="{00000000-0005-0000-0000-00000F010000}"/>
    <cellStyle name="20% - Accent1 6 7 6" xfId="6681" xr:uid="{00000000-0005-0000-0000-000010010000}"/>
    <cellStyle name="20% - Accent1 6 7 6 2" xfId="9891" xr:uid="{00000000-0005-0000-0000-000011010000}"/>
    <cellStyle name="20% - Accent1 6 7 6 2 2" xfId="17684" xr:uid="{00000000-0005-0000-0000-000012010000}"/>
    <cellStyle name="20% - Accent1 6 7 6 2 2 2" xfId="35321" xr:uid="{00000000-0005-0000-0000-000013010000}"/>
    <cellStyle name="20% - Accent1 6 7 6 2 3" xfId="28274" xr:uid="{00000000-0005-0000-0000-000014010000}"/>
    <cellStyle name="20% - Accent1 6 7 6 3" xfId="14469" xr:uid="{00000000-0005-0000-0000-000015010000}"/>
    <cellStyle name="20% - Accent1 6 7 6 3 2" xfId="32104" xr:uid="{00000000-0005-0000-0000-000016010000}"/>
    <cellStyle name="20% - Accent1 6 7 6 4" xfId="25411" xr:uid="{00000000-0005-0000-0000-000017010000}"/>
    <cellStyle name="20% - Accent1 6 7 7" xfId="7519" xr:uid="{00000000-0005-0000-0000-000018010000}"/>
    <cellStyle name="20% - Accent1 6 7 7 2" xfId="15316" xr:uid="{00000000-0005-0000-0000-000019010000}"/>
    <cellStyle name="20% - Accent1 6 7 7 2 2" xfId="32951" xr:uid="{00000000-0005-0000-0000-00001A010000}"/>
    <cellStyle name="20% - Accent1 6 7 7 3" xfId="25952" xr:uid="{00000000-0005-0000-0000-00001B010000}"/>
    <cellStyle name="20% - Accent1 6 7 8" xfId="11084" xr:uid="{00000000-0005-0000-0000-00001C010000}"/>
    <cellStyle name="20% - Accent1 6 7 8 2" xfId="28814" xr:uid="{00000000-0005-0000-0000-00001D010000}"/>
    <cellStyle name="20% - Accent1 6 7 9" xfId="23087" xr:uid="{00000000-0005-0000-0000-00001E010000}"/>
    <cellStyle name="20% - Accent1 6 8" xfId="3460" xr:uid="{00000000-0005-0000-0000-00001F010000}"/>
    <cellStyle name="20% - Accent1 6 8 2" xfId="8086" xr:uid="{00000000-0005-0000-0000-000020010000}"/>
    <cellStyle name="20% - Accent1 6 8 2 2" xfId="15882" xr:uid="{00000000-0005-0000-0000-000021010000}"/>
    <cellStyle name="20% - Accent1 6 8 2 2 2" xfId="33517" xr:uid="{00000000-0005-0000-0000-000022010000}"/>
    <cellStyle name="20% - Accent1 6 8 2 3" xfId="26500" xr:uid="{00000000-0005-0000-0000-000023010000}"/>
    <cellStyle name="20% - Accent1 6 8 3" xfId="12195" xr:uid="{00000000-0005-0000-0000-000024010000}"/>
    <cellStyle name="20% - Accent1 6 8 3 2" xfId="29866" xr:uid="{00000000-0005-0000-0000-000025010000}"/>
    <cellStyle name="20% - Accent1 6 8 4" xfId="23635" xr:uid="{00000000-0005-0000-0000-000026010000}"/>
    <cellStyle name="20% - Accent1 6 9" xfId="3461" xr:uid="{00000000-0005-0000-0000-000027010000}"/>
    <cellStyle name="20% - Accent1 6 9 2" xfId="8087" xr:uid="{00000000-0005-0000-0000-000028010000}"/>
    <cellStyle name="20% - Accent1 6 9 2 2" xfId="15883" xr:uid="{00000000-0005-0000-0000-000029010000}"/>
    <cellStyle name="20% - Accent1 6 9 2 2 2" xfId="33518" xr:uid="{00000000-0005-0000-0000-00002A010000}"/>
    <cellStyle name="20% - Accent1 6 9 2 3" xfId="26501" xr:uid="{00000000-0005-0000-0000-00002B010000}"/>
    <cellStyle name="20% - Accent1 6 9 3" xfId="12196" xr:uid="{00000000-0005-0000-0000-00002C010000}"/>
    <cellStyle name="20% - Accent1 6 9 3 2" xfId="29867" xr:uid="{00000000-0005-0000-0000-00002D010000}"/>
    <cellStyle name="20% - Accent1 6 9 4" xfId="23636" xr:uid="{00000000-0005-0000-0000-00002E010000}"/>
    <cellStyle name="20% - Accent1 7" xfId="221" xr:uid="{00000000-0005-0000-0000-00002F010000}"/>
    <cellStyle name="20% - Accent1 7 10" xfId="3462" xr:uid="{00000000-0005-0000-0000-000030010000}"/>
    <cellStyle name="20% - Accent1 7 10 2" xfId="8088" xr:uid="{00000000-0005-0000-0000-000031010000}"/>
    <cellStyle name="20% - Accent1 7 10 2 2" xfId="15884" xr:uid="{00000000-0005-0000-0000-000032010000}"/>
    <cellStyle name="20% - Accent1 7 10 2 2 2" xfId="33519" xr:uid="{00000000-0005-0000-0000-000033010000}"/>
    <cellStyle name="20% - Accent1 7 10 2 3" xfId="26502" xr:uid="{00000000-0005-0000-0000-000034010000}"/>
    <cellStyle name="20% - Accent1 7 10 3" xfId="12197" xr:uid="{00000000-0005-0000-0000-000035010000}"/>
    <cellStyle name="20% - Accent1 7 10 3 2" xfId="29868" xr:uid="{00000000-0005-0000-0000-000036010000}"/>
    <cellStyle name="20% - Accent1 7 10 4" xfId="23637" xr:uid="{00000000-0005-0000-0000-000037010000}"/>
    <cellStyle name="20% - Accent1 7 11" xfId="5515" xr:uid="{00000000-0005-0000-0000-000038010000}"/>
    <cellStyle name="20% - Accent1 7 11 2" xfId="8814" xr:uid="{00000000-0005-0000-0000-000039010000}"/>
    <cellStyle name="20% - Accent1 7 11 2 2" xfId="16610" xr:uid="{00000000-0005-0000-0000-00003A010000}"/>
    <cellStyle name="20% - Accent1 7 11 2 2 2" xfId="34245" xr:uid="{00000000-0005-0000-0000-00003B010000}"/>
    <cellStyle name="20% - Accent1 7 11 2 3" xfId="27202" xr:uid="{00000000-0005-0000-0000-00003C010000}"/>
    <cellStyle name="20% - Accent1 7 11 3" xfId="13370" xr:uid="{00000000-0005-0000-0000-00003D010000}"/>
    <cellStyle name="20% - Accent1 7 11 3 2" xfId="31010" xr:uid="{00000000-0005-0000-0000-00003E010000}"/>
    <cellStyle name="20% - Accent1 7 11 4" xfId="24337" xr:uid="{00000000-0005-0000-0000-00003F010000}"/>
    <cellStyle name="20% - Accent1 7 12" xfId="6144" xr:uid="{00000000-0005-0000-0000-000040010000}"/>
    <cellStyle name="20% - Accent1 7 12 2" xfId="9354" xr:uid="{00000000-0005-0000-0000-000041010000}"/>
    <cellStyle name="20% - Accent1 7 12 2 2" xfId="17148" xr:uid="{00000000-0005-0000-0000-000042010000}"/>
    <cellStyle name="20% - Accent1 7 12 2 2 2" xfId="34785" xr:uid="{00000000-0005-0000-0000-000043010000}"/>
    <cellStyle name="20% - Accent1 7 12 2 3" xfId="27738" xr:uid="{00000000-0005-0000-0000-000044010000}"/>
    <cellStyle name="20% - Accent1 7 12 3" xfId="13933" xr:uid="{00000000-0005-0000-0000-000045010000}"/>
    <cellStyle name="20% - Accent1 7 12 3 2" xfId="31568" xr:uid="{00000000-0005-0000-0000-000046010000}"/>
    <cellStyle name="20% - Accent1 7 12 4" xfId="24874" xr:uid="{00000000-0005-0000-0000-000047010000}"/>
    <cellStyle name="20% - Accent1 7 13" xfId="6682" xr:uid="{00000000-0005-0000-0000-000048010000}"/>
    <cellStyle name="20% - Accent1 7 13 2" xfId="9892" xr:uid="{00000000-0005-0000-0000-000049010000}"/>
    <cellStyle name="20% - Accent1 7 13 2 2" xfId="17685" xr:uid="{00000000-0005-0000-0000-00004A010000}"/>
    <cellStyle name="20% - Accent1 7 13 2 2 2" xfId="35322" xr:uid="{00000000-0005-0000-0000-00004B010000}"/>
    <cellStyle name="20% - Accent1 7 13 2 3" xfId="28275" xr:uid="{00000000-0005-0000-0000-00004C010000}"/>
    <cellStyle name="20% - Accent1 7 13 3" xfId="14470" xr:uid="{00000000-0005-0000-0000-00004D010000}"/>
    <cellStyle name="20% - Accent1 7 13 3 2" xfId="32105" xr:uid="{00000000-0005-0000-0000-00004E010000}"/>
    <cellStyle name="20% - Accent1 7 13 4" xfId="25412" xr:uid="{00000000-0005-0000-0000-00004F010000}"/>
    <cellStyle name="20% - Accent1 7 14" xfId="7520" xr:uid="{00000000-0005-0000-0000-000050010000}"/>
    <cellStyle name="20% - Accent1 7 14 2" xfId="15317" xr:uid="{00000000-0005-0000-0000-000051010000}"/>
    <cellStyle name="20% - Accent1 7 14 2 2" xfId="32952" xr:uid="{00000000-0005-0000-0000-000052010000}"/>
    <cellStyle name="20% - Accent1 7 14 3" xfId="25953" xr:uid="{00000000-0005-0000-0000-000053010000}"/>
    <cellStyle name="20% - Accent1 7 15" xfId="11085" xr:uid="{00000000-0005-0000-0000-000054010000}"/>
    <cellStyle name="20% - Accent1 7 15 2" xfId="28815" xr:uid="{00000000-0005-0000-0000-000055010000}"/>
    <cellStyle name="20% - Accent1 7 16" xfId="22032" xr:uid="{00000000-0005-0000-0000-000056010000}"/>
    <cellStyle name="20% - Accent1 7 16 2" xfId="38751" xr:uid="{00000000-0005-0000-0000-000057010000}"/>
    <cellStyle name="20% - Accent1 7 17" xfId="23088" xr:uid="{00000000-0005-0000-0000-000058010000}"/>
    <cellStyle name="20% - Accent1 7 18" xfId="51642" xr:uid="{00000000-0005-0000-0000-000059010000}"/>
    <cellStyle name="20% - Accent1 7 2" xfId="222" xr:uid="{00000000-0005-0000-0000-00005A010000}"/>
    <cellStyle name="20% - Accent1 7 2 10" xfId="51643" xr:uid="{00000000-0005-0000-0000-00005B010000}"/>
    <cellStyle name="20% - Accent1 7 2 2" xfId="3463" xr:uid="{00000000-0005-0000-0000-00005C010000}"/>
    <cellStyle name="20% - Accent1 7 2 2 2" xfId="8089" xr:uid="{00000000-0005-0000-0000-00005D010000}"/>
    <cellStyle name="20% - Accent1 7 2 2 2 2" xfId="15885" xr:uid="{00000000-0005-0000-0000-00005E010000}"/>
    <cellStyle name="20% - Accent1 7 2 2 2 2 2" xfId="33520" xr:uid="{00000000-0005-0000-0000-00005F010000}"/>
    <cellStyle name="20% - Accent1 7 2 2 2 3" xfId="26503" xr:uid="{00000000-0005-0000-0000-000060010000}"/>
    <cellStyle name="20% - Accent1 7 2 2 3" xfId="12198" xr:uid="{00000000-0005-0000-0000-000061010000}"/>
    <cellStyle name="20% - Accent1 7 2 2 3 2" xfId="29869" xr:uid="{00000000-0005-0000-0000-000062010000}"/>
    <cellStyle name="20% - Accent1 7 2 2 4" xfId="23638" xr:uid="{00000000-0005-0000-0000-000063010000}"/>
    <cellStyle name="20% - Accent1 7 2 3" xfId="5516" xr:uid="{00000000-0005-0000-0000-000064010000}"/>
    <cellStyle name="20% - Accent1 7 2 3 2" xfId="8815" xr:uid="{00000000-0005-0000-0000-000065010000}"/>
    <cellStyle name="20% - Accent1 7 2 3 2 2" xfId="16611" xr:uid="{00000000-0005-0000-0000-000066010000}"/>
    <cellStyle name="20% - Accent1 7 2 3 2 2 2" xfId="34246" xr:uid="{00000000-0005-0000-0000-000067010000}"/>
    <cellStyle name="20% - Accent1 7 2 3 2 3" xfId="27203" xr:uid="{00000000-0005-0000-0000-000068010000}"/>
    <cellStyle name="20% - Accent1 7 2 3 3" xfId="13371" xr:uid="{00000000-0005-0000-0000-000069010000}"/>
    <cellStyle name="20% - Accent1 7 2 3 3 2" xfId="31011" xr:uid="{00000000-0005-0000-0000-00006A010000}"/>
    <cellStyle name="20% - Accent1 7 2 3 4" xfId="24338" xr:uid="{00000000-0005-0000-0000-00006B010000}"/>
    <cellStyle name="20% - Accent1 7 2 4" xfId="6145" xr:uid="{00000000-0005-0000-0000-00006C010000}"/>
    <cellStyle name="20% - Accent1 7 2 4 2" xfId="9355" xr:uid="{00000000-0005-0000-0000-00006D010000}"/>
    <cellStyle name="20% - Accent1 7 2 4 2 2" xfId="17149" xr:uid="{00000000-0005-0000-0000-00006E010000}"/>
    <cellStyle name="20% - Accent1 7 2 4 2 2 2" xfId="34786" xr:uid="{00000000-0005-0000-0000-00006F010000}"/>
    <cellStyle name="20% - Accent1 7 2 4 2 3" xfId="27739" xr:uid="{00000000-0005-0000-0000-000070010000}"/>
    <cellStyle name="20% - Accent1 7 2 4 3" xfId="13934" xr:uid="{00000000-0005-0000-0000-000071010000}"/>
    <cellStyle name="20% - Accent1 7 2 4 3 2" xfId="31569" xr:uid="{00000000-0005-0000-0000-000072010000}"/>
    <cellStyle name="20% - Accent1 7 2 4 4" xfId="24875" xr:uid="{00000000-0005-0000-0000-000073010000}"/>
    <cellStyle name="20% - Accent1 7 2 5" xfId="6683" xr:uid="{00000000-0005-0000-0000-000074010000}"/>
    <cellStyle name="20% - Accent1 7 2 5 2" xfId="9893" xr:uid="{00000000-0005-0000-0000-000075010000}"/>
    <cellStyle name="20% - Accent1 7 2 5 2 2" xfId="17686" xr:uid="{00000000-0005-0000-0000-000076010000}"/>
    <cellStyle name="20% - Accent1 7 2 5 2 2 2" xfId="35323" xr:uid="{00000000-0005-0000-0000-000077010000}"/>
    <cellStyle name="20% - Accent1 7 2 5 2 3" xfId="28276" xr:uid="{00000000-0005-0000-0000-000078010000}"/>
    <cellStyle name="20% - Accent1 7 2 5 3" xfId="14471" xr:uid="{00000000-0005-0000-0000-000079010000}"/>
    <cellStyle name="20% - Accent1 7 2 5 3 2" xfId="32106" xr:uid="{00000000-0005-0000-0000-00007A010000}"/>
    <cellStyle name="20% - Accent1 7 2 5 4" xfId="25413" xr:uid="{00000000-0005-0000-0000-00007B010000}"/>
    <cellStyle name="20% - Accent1 7 2 6" xfId="7521" xr:uid="{00000000-0005-0000-0000-00007C010000}"/>
    <cellStyle name="20% - Accent1 7 2 6 2" xfId="15318" xr:uid="{00000000-0005-0000-0000-00007D010000}"/>
    <cellStyle name="20% - Accent1 7 2 6 2 2" xfId="32953" xr:uid="{00000000-0005-0000-0000-00007E010000}"/>
    <cellStyle name="20% - Accent1 7 2 6 3" xfId="25954" xr:uid="{00000000-0005-0000-0000-00007F010000}"/>
    <cellStyle name="20% - Accent1 7 2 7" xfId="11086" xr:uid="{00000000-0005-0000-0000-000080010000}"/>
    <cellStyle name="20% - Accent1 7 2 7 2" xfId="28816" xr:uid="{00000000-0005-0000-0000-000081010000}"/>
    <cellStyle name="20% - Accent1 7 2 8" xfId="22710" xr:uid="{00000000-0005-0000-0000-000082010000}"/>
    <cellStyle name="20% - Accent1 7 2 8 2" xfId="38920" xr:uid="{00000000-0005-0000-0000-000083010000}"/>
    <cellStyle name="20% - Accent1 7 2 9" xfId="23089" xr:uid="{00000000-0005-0000-0000-000084010000}"/>
    <cellStyle name="20% - Accent1 7 3" xfId="223" xr:uid="{00000000-0005-0000-0000-000085010000}"/>
    <cellStyle name="20% - Accent1 7 3 10" xfId="23090" xr:uid="{00000000-0005-0000-0000-000086010000}"/>
    <cellStyle name="20% - Accent1 7 3 11" xfId="51644" xr:uid="{00000000-0005-0000-0000-000087010000}"/>
    <cellStyle name="20% - Accent1 7 3 2" xfId="224" xr:uid="{00000000-0005-0000-0000-000088010000}"/>
    <cellStyle name="20% - Accent1 7 3 2 2" xfId="3465" xr:uid="{00000000-0005-0000-0000-000089010000}"/>
    <cellStyle name="20% - Accent1 7 3 2 2 2" xfId="8091" xr:uid="{00000000-0005-0000-0000-00008A010000}"/>
    <cellStyle name="20% - Accent1 7 3 2 2 2 2" xfId="15887" xr:uid="{00000000-0005-0000-0000-00008B010000}"/>
    <cellStyle name="20% - Accent1 7 3 2 2 2 2 2" xfId="33522" xr:uid="{00000000-0005-0000-0000-00008C010000}"/>
    <cellStyle name="20% - Accent1 7 3 2 2 2 3" xfId="26505" xr:uid="{00000000-0005-0000-0000-00008D010000}"/>
    <cellStyle name="20% - Accent1 7 3 2 2 3" xfId="12200" xr:uid="{00000000-0005-0000-0000-00008E010000}"/>
    <cellStyle name="20% - Accent1 7 3 2 2 3 2" xfId="29871" xr:uid="{00000000-0005-0000-0000-00008F010000}"/>
    <cellStyle name="20% - Accent1 7 3 2 2 4" xfId="23640" xr:uid="{00000000-0005-0000-0000-000090010000}"/>
    <cellStyle name="20% - Accent1 7 3 2 3" xfId="5518" xr:uid="{00000000-0005-0000-0000-000091010000}"/>
    <cellStyle name="20% - Accent1 7 3 2 3 2" xfId="8817" xr:uid="{00000000-0005-0000-0000-000092010000}"/>
    <cellStyle name="20% - Accent1 7 3 2 3 2 2" xfId="16613" xr:uid="{00000000-0005-0000-0000-000093010000}"/>
    <cellStyle name="20% - Accent1 7 3 2 3 2 2 2" xfId="34248" xr:uid="{00000000-0005-0000-0000-000094010000}"/>
    <cellStyle name="20% - Accent1 7 3 2 3 2 3" xfId="27205" xr:uid="{00000000-0005-0000-0000-000095010000}"/>
    <cellStyle name="20% - Accent1 7 3 2 3 3" xfId="13373" xr:uid="{00000000-0005-0000-0000-000096010000}"/>
    <cellStyle name="20% - Accent1 7 3 2 3 3 2" xfId="31013" xr:uid="{00000000-0005-0000-0000-000097010000}"/>
    <cellStyle name="20% - Accent1 7 3 2 3 4" xfId="24340" xr:uid="{00000000-0005-0000-0000-000098010000}"/>
    <cellStyle name="20% - Accent1 7 3 2 4" xfId="6147" xr:uid="{00000000-0005-0000-0000-000099010000}"/>
    <cellStyle name="20% - Accent1 7 3 2 4 2" xfId="9357" xr:uid="{00000000-0005-0000-0000-00009A010000}"/>
    <cellStyle name="20% - Accent1 7 3 2 4 2 2" xfId="17151" xr:uid="{00000000-0005-0000-0000-00009B010000}"/>
    <cellStyle name="20% - Accent1 7 3 2 4 2 2 2" xfId="34788" xr:uid="{00000000-0005-0000-0000-00009C010000}"/>
    <cellStyle name="20% - Accent1 7 3 2 4 2 3" xfId="27741" xr:uid="{00000000-0005-0000-0000-00009D010000}"/>
    <cellStyle name="20% - Accent1 7 3 2 4 3" xfId="13936" xr:uid="{00000000-0005-0000-0000-00009E010000}"/>
    <cellStyle name="20% - Accent1 7 3 2 4 3 2" xfId="31571" xr:uid="{00000000-0005-0000-0000-00009F010000}"/>
    <cellStyle name="20% - Accent1 7 3 2 4 4" xfId="24877" xr:uid="{00000000-0005-0000-0000-0000A0010000}"/>
    <cellStyle name="20% - Accent1 7 3 2 5" xfId="6685" xr:uid="{00000000-0005-0000-0000-0000A1010000}"/>
    <cellStyle name="20% - Accent1 7 3 2 5 2" xfId="9895" xr:uid="{00000000-0005-0000-0000-0000A2010000}"/>
    <cellStyle name="20% - Accent1 7 3 2 5 2 2" xfId="17688" xr:uid="{00000000-0005-0000-0000-0000A3010000}"/>
    <cellStyle name="20% - Accent1 7 3 2 5 2 2 2" xfId="35325" xr:uid="{00000000-0005-0000-0000-0000A4010000}"/>
    <cellStyle name="20% - Accent1 7 3 2 5 2 3" xfId="28278" xr:uid="{00000000-0005-0000-0000-0000A5010000}"/>
    <cellStyle name="20% - Accent1 7 3 2 5 3" xfId="14473" xr:uid="{00000000-0005-0000-0000-0000A6010000}"/>
    <cellStyle name="20% - Accent1 7 3 2 5 3 2" xfId="32108" xr:uid="{00000000-0005-0000-0000-0000A7010000}"/>
    <cellStyle name="20% - Accent1 7 3 2 5 4" xfId="25415" xr:uid="{00000000-0005-0000-0000-0000A8010000}"/>
    <cellStyle name="20% - Accent1 7 3 2 6" xfId="7523" xr:uid="{00000000-0005-0000-0000-0000A9010000}"/>
    <cellStyle name="20% - Accent1 7 3 2 6 2" xfId="15320" xr:uid="{00000000-0005-0000-0000-0000AA010000}"/>
    <cellStyle name="20% - Accent1 7 3 2 6 2 2" xfId="32955" xr:uid="{00000000-0005-0000-0000-0000AB010000}"/>
    <cellStyle name="20% - Accent1 7 3 2 6 3" xfId="25956" xr:uid="{00000000-0005-0000-0000-0000AC010000}"/>
    <cellStyle name="20% - Accent1 7 3 2 7" xfId="11088" xr:uid="{00000000-0005-0000-0000-0000AD010000}"/>
    <cellStyle name="20% - Accent1 7 3 2 7 2" xfId="28818" xr:uid="{00000000-0005-0000-0000-0000AE010000}"/>
    <cellStyle name="20% - Accent1 7 3 2 8" xfId="23091" xr:uid="{00000000-0005-0000-0000-0000AF010000}"/>
    <cellStyle name="20% - Accent1 7 3 2 9" xfId="51645" xr:uid="{00000000-0005-0000-0000-0000B0010000}"/>
    <cellStyle name="20% - Accent1 7 3 3" xfId="3466" xr:uid="{00000000-0005-0000-0000-0000B1010000}"/>
    <cellStyle name="20% - Accent1 7 3 3 2" xfId="5519" xr:uid="{00000000-0005-0000-0000-0000B2010000}"/>
    <cellStyle name="20% - Accent1 7 3 3 2 2" xfId="8818" xr:uid="{00000000-0005-0000-0000-0000B3010000}"/>
    <cellStyle name="20% - Accent1 7 3 3 2 2 2" xfId="16614" xr:uid="{00000000-0005-0000-0000-0000B4010000}"/>
    <cellStyle name="20% - Accent1 7 3 3 2 2 2 2" xfId="34249" xr:uid="{00000000-0005-0000-0000-0000B5010000}"/>
    <cellStyle name="20% - Accent1 7 3 3 2 2 3" xfId="27206" xr:uid="{00000000-0005-0000-0000-0000B6010000}"/>
    <cellStyle name="20% - Accent1 7 3 3 2 3" xfId="13374" xr:uid="{00000000-0005-0000-0000-0000B7010000}"/>
    <cellStyle name="20% - Accent1 7 3 3 2 3 2" xfId="31014" xr:uid="{00000000-0005-0000-0000-0000B8010000}"/>
    <cellStyle name="20% - Accent1 7 3 3 2 4" xfId="24341" xr:uid="{00000000-0005-0000-0000-0000B9010000}"/>
    <cellStyle name="20% - Accent1 7 3 3 3" xfId="6148" xr:uid="{00000000-0005-0000-0000-0000BA010000}"/>
    <cellStyle name="20% - Accent1 7 3 3 3 2" xfId="9358" xr:uid="{00000000-0005-0000-0000-0000BB010000}"/>
    <cellStyle name="20% - Accent1 7 3 3 3 2 2" xfId="17152" xr:uid="{00000000-0005-0000-0000-0000BC010000}"/>
    <cellStyle name="20% - Accent1 7 3 3 3 2 2 2" xfId="34789" xr:uid="{00000000-0005-0000-0000-0000BD010000}"/>
    <cellStyle name="20% - Accent1 7 3 3 3 2 3" xfId="27742" xr:uid="{00000000-0005-0000-0000-0000BE010000}"/>
    <cellStyle name="20% - Accent1 7 3 3 3 3" xfId="13937" xr:uid="{00000000-0005-0000-0000-0000BF010000}"/>
    <cellStyle name="20% - Accent1 7 3 3 3 3 2" xfId="31572" xr:uid="{00000000-0005-0000-0000-0000C0010000}"/>
    <cellStyle name="20% - Accent1 7 3 3 3 4" xfId="24878" xr:uid="{00000000-0005-0000-0000-0000C1010000}"/>
    <cellStyle name="20% - Accent1 7 3 3 4" xfId="6686" xr:uid="{00000000-0005-0000-0000-0000C2010000}"/>
    <cellStyle name="20% - Accent1 7 3 3 4 2" xfId="9896" xr:uid="{00000000-0005-0000-0000-0000C3010000}"/>
    <cellStyle name="20% - Accent1 7 3 3 4 2 2" xfId="17689" xr:uid="{00000000-0005-0000-0000-0000C4010000}"/>
    <cellStyle name="20% - Accent1 7 3 3 4 2 2 2" xfId="35326" xr:uid="{00000000-0005-0000-0000-0000C5010000}"/>
    <cellStyle name="20% - Accent1 7 3 3 4 2 3" xfId="28279" xr:uid="{00000000-0005-0000-0000-0000C6010000}"/>
    <cellStyle name="20% - Accent1 7 3 3 4 3" xfId="14474" xr:uid="{00000000-0005-0000-0000-0000C7010000}"/>
    <cellStyle name="20% - Accent1 7 3 3 4 3 2" xfId="32109" xr:uid="{00000000-0005-0000-0000-0000C8010000}"/>
    <cellStyle name="20% - Accent1 7 3 3 4 4" xfId="25416" xr:uid="{00000000-0005-0000-0000-0000C9010000}"/>
    <cellStyle name="20% - Accent1 7 3 3 5" xfId="8092" xr:uid="{00000000-0005-0000-0000-0000CA010000}"/>
    <cellStyle name="20% - Accent1 7 3 3 5 2" xfId="15888" xr:uid="{00000000-0005-0000-0000-0000CB010000}"/>
    <cellStyle name="20% - Accent1 7 3 3 5 2 2" xfId="33523" xr:uid="{00000000-0005-0000-0000-0000CC010000}"/>
    <cellStyle name="20% - Accent1 7 3 3 5 3" xfId="26506" xr:uid="{00000000-0005-0000-0000-0000CD010000}"/>
    <cellStyle name="20% - Accent1 7 3 3 6" xfId="12201" xr:uid="{00000000-0005-0000-0000-0000CE010000}"/>
    <cellStyle name="20% - Accent1 7 3 3 6 2" xfId="29872" xr:uid="{00000000-0005-0000-0000-0000CF010000}"/>
    <cellStyle name="20% - Accent1 7 3 3 7" xfId="23641" xr:uid="{00000000-0005-0000-0000-0000D0010000}"/>
    <cellStyle name="20% - Accent1 7 3 4" xfId="3464" xr:uid="{00000000-0005-0000-0000-0000D1010000}"/>
    <cellStyle name="20% - Accent1 7 3 4 2" xfId="8090" xr:uid="{00000000-0005-0000-0000-0000D2010000}"/>
    <cellStyle name="20% - Accent1 7 3 4 2 2" xfId="15886" xr:uid="{00000000-0005-0000-0000-0000D3010000}"/>
    <cellStyle name="20% - Accent1 7 3 4 2 2 2" xfId="33521" xr:uid="{00000000-0005-0000-0000-0000D4010000}"/>
    <cellStyle name="20% - Accent1 7 3 4 2 3" xfId="26504" xr:uid="{00000000-0005-0000-0000-0000D5010000}"/>
    <cellStyle name="20% - Accent1 7 3 4 3" xfId="12199" xr:uid="{00000000-0005-0000-0000-0000D6010000}"/>
    <cellStyle name="20% - Accent1 7 3 4 3 2" xfId="29870" xr:uid="{00000000-0005-0000-0000-0000D7010000}"/>
    <cellStyle name="20% - Accent1 7 3 4 4" xfId="23639" xr:uid="{00000000-0005-0000-0000-0000D8010000}"/>
    <cellStyle name="20% - Accent1 7 3 5" xfId="5517" xr:uid="{00000000-0005-0000-0000-0000D9010000}"/>
    <cellStyle name="20% - Accent1 7 3 5 2" xfId="8816" xr:uid="{00000000-0005-0000-0000-0000DA010000}"/>
    <cellStyle name="20% - Accent1 7 3 5 2 2" xfId="16612" xr:uid="{00000000-0005-0000-0000-0000DB010000}"/>
    <cellStyle name="20% - Accent1 7 3 5 2 2 2" xfId="34247" xr:uid="{00000000-0005-0000-0000-0000DC010000}"/>
    <cellStyle name="20% - Accent1 7 3 5 2 3" xfId="27204" xr:uid="{00000000-0005-0000-0000-0000DD010000}"/>
    <cellStyle name="20% - Accent1 7 3 5 3" xfId="13372" xr:uid="{00000000-0005-0000-0000-0000DE010000}"/>
    <cellStyle name="20% - Accent1 7 3 5 3 2" xfId="31012" xr:uid="{00000000-0005-0000-0000-0000DF010000}"/>
    <cellStyle name="20% - Accent1 7 3 5 4" xfId="24339" xr:uid="{00000000-0005-0000-0000-0000E0010000}"/>
    <cellStyle name="20% - Accent1 7 3 6" xfId="6146" xr:uid="{00000000-0005-0000-0000-0000E1010000}"/>
    <cellStyle name="20% - Accent1 7 3 6 2" xfId="9356" xr:uid="{00000000-0005-0000-0000-0000E2010000}"/>
    <cellStyle name="20% - Accent1 7 3 6 2 2" xfId="17150" xr:uid="{00000000-0005-0000-0000-0000E3010000}"/>
    <cellStyle name="20% - Accent1 7 3 6 2 2 2" xfId="34787" xr:uid="{00000000-0005-0000-0000-0000E4010000}"/>
    <cellStyle name="20% - Accent1 7 3 6 2 3" xfId="27740" xr:uid="{00000000-0005-0000-0000-0000E5010000}"/>
    <cellStyle name="20% - Accent1 7 3 6 3" xfId="13935" xr:uid="{00000000-0005-0000-0000-0000E6010000}"/>
    <cellStyle name="20% - Accent1 7 3 6 3 2" xfId="31570" xr:uid="{00000000-0005-0000-0000-0000E7010000}"/>
    <cellStyle name="20% - Accent1 7 3 6 4" xfId="24876" xr:uid="{00000000-0005-0000-0000-0000E8010000}"/>
    <cellStyle name="20% - Accent1 7 3 7" xfId="6684" xr:uid="{00000000-0005-0000-0000-0000E9010000}"/>
    <cellStyle name="20% - Accent1 7 3 7 2" xfId="9894" xr:uid="{00000000-0005-0000-0000-0000EA010000}"/>
    <cellStyle name="20% - Accent1 7 3 7 2 2" xfId="17687" xr:uid="{00000000-0005-0000-0000-0000EB010000}"/>
    <cellStyle name="20% - Accent1 7 3 7 2 2 2" xfId="35324" xr:uid="{00000000-0005-0000-0000-0000EC010000}"/>
    <cellStyle name="20% - Accent1 7 3 7 2 3" xfId="28277" xr:uid="{00000000-0005-0000-0000-0000ED010000}"/>
    <cellStyle name="20% - Accent1 7 3 7 3" xfId="14472" xr:uid="{00000000-0005-0000-0000-0000EE010000}"/>
    <cellStyle name="20% - Accent1 7 3 7 3 2" xfId="32107" xr:uid="{00000000-0005-0000-0000-0000EF010000}"/>
    <cellStyle name="20% - Accent1 7 3 7 4" xfId="25414" xr:uid="{00000000-0005-0000-0000-0000F0010000}"/>
    <cellStyle name="20% - Accent1 7 3 8" xfId="7522" xr:uid="{00000000-0005-0000-0000-0000F1010000}"/>
    <cellStyle name="20% - Accent1 7 3 8 2" xfId="15319" xr:uid="{00000000-0005-0000-0000-0000F2010000}"/>
    <cellStyle name="20% - Accent1 7 3 8 2 2" xfId="32954" xr:uid="{00000000-0005-0000-0000-0000F3010000}"/>
    <cellStyle name="20% - Accent1 7 3 8 3" xfId="25955" xr:uid="{00000000-0005-0000-0000-0000F4010000}"/>
    <cellStyle name="20% - Accent1 7 3 9" xfId="11087" xr:uid="{00000000-0005-0000-0000-0000F5010000}"/>
    <cellStyle name="20% - Accent1 7 3 9 2" xfId="28817" xr:uid="{00000000-0005-0000-0000-0000F6010000}"/>
    <cellStyle name="20% - Accent1 7 4" xfId="225" xr:uid="{00000000-0005-0000-0000-0000F7010000}"/>
    <cellStyle name="20% - Accent1 7 4 2" xfId="3467" xr:uid="{00000000-0005-0000-0000-0000F8010000}"/>
    <cellStyle name="20% - Accent1 7 4 2 2" xfId="8093" xr:uid="{00000000-0005-0000-0000-0000F9010000}"/>
    <cellStyle name="20% - Accent1 7 4 2 2 2" xfId="15889" xr:uid="{00000000-0005-0000-0000-0000FA010000}"/>
    <cellStyle name="20% - Accent1 7 4 2 2 2 2" xfId="33524" xr:uid="{00000000-0005-0000-0000-0000FB010000}"/>
    <cellStyle name="20% - Accent1 7 4 2 2 3" xfId="26507" xr:uid="{00000000-0005-0000-0000-0000FC010000}"/>
    <cellStyle name="20% - Accent1 7 4 2 3" xfId="12202" xr:uid="{00000000-0005-0000-0000-0000FD010000}"/>
    <cellStyle name="20% - Accent1 7 4 2 3 2" xfId="29873" xr:uid="{00000000-0005-0000-0000-0000FE010000}"/>
    <cellStyle name="20% - Accent1 7 4 2 4" xfId="23642" xr:uid="{00000000-0005-0000-0000-0000FF010000}"/>
    <cellStyle name="20% - Accent1 7 4 3" xfId="5520" xr:uid="{00000000-0005-0000-0000-000000020000}"/>
    <cellStyle name="20% - Accent1 7 4 3 2" xfId="8819" xr:uid="{00000000-0005-0000-0000-000001020000}"/>
    <cellStyle name="20% - Accent1 7 4 3 2 2" xfId="16615" xr:uid="{00000000-0005-0000-0000-000002020000}"/>
    <cellStyle name="20% - Accent1 7 4 3 2 2 2" xfId="34250" xr:uid="{00000000-0005-0000-0000-000003020000}"/>
    <cellStyle name="20% - Accent1 7 4 3 2 3" xfId="27207" xr:uid="{00000000-0005-0000-0000-000004020000}"/>
    <cellStyle name="20% - Accent1 7 4 3 3" xfId="13375" xr:uid="{00000000-0005-0000-0000-000005020000}"/>
    <cellStyle name="20% - Accent1 7 4 3 3 2" xfId="31015" xr:uid="{00000000-0005-0000-0000-000006020000}"/>
    <cellStyle name="20% - Accent1 7 4 3 4" xfId="24342" xr:uid="{00000000-0005-0000-0000-000007020000}"/>
    <cellStyle name="20% - Accent1 7 4 4" xfId="6149" xr:uid="{00000000-0005-0000-0000-000008020000}"/>
    <cellStyle name="20% - Accent1 7 4 4 2" xfId="9359" xr:uid="{00000000-0005-0000-0000-000009020000}"/>
    <cellStyle name="20% - Accent1 7 4 4 2 2" xfId="17153" xr:uid="{00000000-0005-0000-0000-00000A020000}"/>
    <cellStyle name="20% - Accent1 7 4 4 2 2 2" xfId="34790" xr:uid="{00000000-0005-0000-0000-00000B020000}"/>
    <cellStyle name="20% - Accent1 7 4 4 2 3" xfId="27743" xr:uid="{00000000-0005-0000-0000-00000C020000}"/>
    <cellStyle name="20% - Accent1 7 4 4 3" xfId="13938" xr:uid="{00000000-0005-0000-0000-00000D020000}"/>
    <cellStyle name="20% - Accent1 7 4 4 3 2" xfId="31573" xr:uid="{00000000-0005-0000-0000-00000E020000}"/>
    <cellStyle name="20% - Accent1 7 4 4 4" xfId="24879" xr:uid="{00000000-0005-0000-0000-00000F020000}"/>
    <cellStyle name="20% - Accent1 7 4 5" xfId="6687" xr:uid="{00000000-0005-0000-0000-000010020000}"/>
    <cellStyle name="20% - Accent1 7 4 5 2" xfId="9897" xr:uid="{00000000-0005-0000-0000-000011020000}"/>
    <cellStyle name="20% - Accent1 7 4 5 2 2" xfId="17690" xr:uid="{00000000-0005-0000-0000-000012020000}"/>
    <cellStyle name="20% - Accent1 7 4 5 2 2 2" xfId="35327" xr:uid="{00000000-0005-0000-0000-000013020000}"/>
    <cellStyle name="20% - Accent1 7 4 5 2 3" xfId="28280" xr:uid="{00000000-0005-0000-0000-000014020000}"/>
    <cellStyle name="20% - Accent1 7 4 5 3" xfId="14475" xr:uid="{00000000-0005-0000-0000-000015020000}"/>
    <cellStyle name="20% - Accent1 7 4 5 3 2" xfId="32110" xr:uid="{00000000-0005-0000-0000-000016020000}"/>
    <cellStyle name="20% - Accent1 7 4 5 4" xfId="25417" xr:uid="{00000000-0005-0000-0000-000017020000}"/>
    <cellStyle name="20% - Accent1 7 4 6" xfId="7524" xr:uid="{00000000-0005-0000-0000-000018020000}"/>
    <cellStyle name="20% - Accent1 7 4 6 2" xfId="15321" xr:uid="{00000000-0005-0000-0000-000019020000}"/>
    <cellStyle name="20% - Accent1 7 4 6 2 2" xfId="32956" xr:uid="{00000000-0005-0000-0000-00001A020000}"/>
    <cellStyle name="20% - Accent1 7 4 6 3" xfId="25957" xr:uid="{00000000-0005-0000-0000-00001B020000}"/>
    <cellStyle name="20% - Accent1 7 4 7" xfId="11089" xr:uid="{00000000-0005-0000-0000-00001C020000}"/>
    <cellStyle name="20% - Accent1 7 4 7 2" xfId="28819" xr:uid="{00000000-0005-0000-0000-00001D020000}"/>
    <cellStyle name="20% - Accent1 7 4 8" xfId="23092" xr:uid="{00000000-0005-0000-0000-00001E020000}"/>
    <cellStyle name="20% - Accent1 7 4 9" xfId="51646" xr:uid="{00000000-0005-0000-0000-00001F020000}"/>
    <cellStyle name="20% - Accent1 7 5" xfId="226" xr:uid="{00000000-0005-0000-0000-000020020000}"/>
    <cellStyle name="20% - Accent1 7 5 2" xfId="3468" xr:uid="{00000000-0005-0000-0000-000021020000}"/>
    <cellStyle name="20% - Accent1 7 5 2 2" xfId="8094" xr:uid="{00000000-0005-0000-0000-000022020000}"/>
    <cellStyle name="20% - Accent1 7 5 2 2 2" xfId="15890" xr:uid="{00000000-0005-0000-0000-000023020000}"/>
    <cellStyle name="20% - Accent1 7 5 2 2 2 2" xfId="33525" xr:uid="{00000000-0005-0000-0000-000024020000}"/>
    <cellStyle name="20% - Accent1 7 5 2 2 3" xfId="26508" xr:uid="{00000000-0005-0000-0000-000025020000}"/>
    <cellStyle name="20% - Accent1 7 5 2 3" xfId="12203" xr:uid="{00000000-0005-0000-0000-000026020000}"/>
    <cellStyle name="20% - Accent1 7 5 2 3 2" xfId="29874" xr:uid="{00000000-0005-0000-0000-000027020000}"/>
    <cellStyle name="20% - Accent1 7 5 2 4" xfId="23643" xr:uid="{00000000-0005-0000-0000-000028020000}"/>
    <cellStyle name="20% - Accent1 7 5 3" xfId="5521" xr:uid="{00000000-0005-0000-0000-000029020000}"/>
    <cellStyle name="20% - Accent1 7 5 3 2" xfId="8820" xr:uid="{00000000-0005-0000-0000-00002A020000}"/>
    <cellStyle name="20% - Accent1 7 5 3 2 2" xfId="16616" xr:uid="{00000000-0005-0000-0000-00002B020000}"/>
    <cellStyle name="20% - Accent1 7 5 3 2 2 2" xfId="34251" xr:uid="{00000000-0005-0000-0000-00002C020000}"/>
    <cellStyle name="20% - Accent1 7 5 3 2 3" xfId="27208" xr:uid="{00000000-0005-0000-0000-00002D020000}"/>
    <cellStyle name="20% - Accent1 7 5 3 3" xfId="13376" xr:uid="{00000000-0005-0000-0000-00002E020000}"/>
    <cellStyle name="20% - Accent1 7 5 3 3 2" xfId="31016" xr:uid="{00000000-0005-0000-0000-00002F020000}"/>
    <cellStyle name="20% - Accent1 7 5 3 4" xfId="24343" xr:uid="{00000000-0005-0000-0000-000030020000}"/>
    <cellStyle name="20% - Accent1 7 5 4" xfId="6150" xr:uid="{00000000-0005-0000-0000-000031020000}"/>
    <cellStyle name="20% - Accent1 7 5 4 2" xfId="9360" xr:uid="{00000000-0005-0000-0000-000032020000}"/>
    <cellStyle name="20% - Accent1 7 5 4 2 2" xfId="17154" xr:uid="{00000000-0005-0000-0000-000033020000}"/>
    <cellStyle name="20% - Accent1 7 5 4 2 2 2" xfId="34791" xr:uid="{00000000-0005-0000-0000-000034020000}"/>
    <cellStyle name="20% - Accent1 7 5 4 2 3" xfId="27744" xr:uid="{00000000-0005-0000-0000-000035020000}"/>
    <cellStyle name="20% - Accent1 7 5 4 3" xfId="13939" xr:uid="{00000000-0005-0000-0000-000036020000}"/>
    <cellStyle name="20% - Accent1 7 5 4 3 2" xfId="31574" xr:uid="{00000000-0005-0000-0000-000037020000}"/>
    <cellStyle name="20% - Accent1 7 5 4 4" xfId="24880" xr:uid="{00000000-0005-0000-0000-000038020000}"/>
    <cellStyle name="20% - Accent1 7 5 5" xfId="6688" xr:uid="{00000000-0005-0000-0000-000039020000}"/>
    <cellStyle name="20% - Accent1 7 5 5 2" xfId="9898" xr:uid="{00000000-0005-0000-0000-00003A020000}"/>
    <cellStyle name="20% - Accent1 7 5 5 2 2" xfId="17691" xr:uid="{00000000-0005-0000-0000-00003B020000}"/>
    <cellStyle name="20% - Accent1 7 5 5 2 2 2" xfId="35328" xr:uid="{00000000-0005-0000-0000-00003C020000}"/>
    <cellStyle name="20% - Accent1 7 5 5 2 3" xfId="28281" xr:uid="{00000000-0005-0000-0000-00003D020000}"/>
    <cellStyle name="20% - Accent1 7 5 5 3" xfId="14476" xr:uid="{00000000-0005-0000-0000-00003E020000}"/>
    <cellStyle name="20% - Accent1 7 5 5 3 2" xfId="32111" xr:uid="{00000000-0005-0000-0000-00003F020000}"/>
    <cellStyle name="20% - Accent1 7 5 5 4" xfId="25418" xr:uid="{00000000-0005-0000-0000-000040020000}"/>
    <cellStyle name="20% - Accent1 7 5 6" xfId="7525" xr:uid="{00000000-0005-0000-0000-000041020000}"/>
    <cellStyle name="20% - Accent1 7 5 6 2" xfId="15322" xr:uid="{00000000-0005-0000-0000-000042020000}"/>
    <cellStyle name="20% - Accent1 7 5 6 2 2" xfId="32957" xr:uid="{00000000-0005-0000-0000-000043020000}"/>
    <cellStyle name="20% - Accent1 7 5 6 3" xfId="25958" xr:uid="{00000000-0005-0000-0000-000044020000}"/>
    <cellStyle name="20% - Accent1 7 5 7" xfId="11090" xr:uid="{00000000-0005-0000-0000-000045020000}"/>
    <cellStyle name="20% - Accent1 7 5 7 2" xfId="28820" xr:uid="{00000000-0005-0000-0000-000046020000}"/>
    <cellStyle name="20% - Accent1 7 5 8" xfId="23093" xr:uid="{00000000-0005-0000-0000-000047020000}"/>
    <cellStyle name="20% - Accent1 7 5 9" xfId="51647" xr:uid="{00000000-0005-0000-0000-000048020000}"/>
    <cellStyle name="20% - Accent1 7 6" xfId="227" xr:uid="{00000000-0005-0000-0000-000049020000}"/>
    <cellStyle name="20% - Accent1 7 6 2" xfId="3469" xr:uid="{00000000-0005-0000-0000-00004A020000}"/>
    <cellStyle name="20% - Accent1 7 6 2 2" xfId="8095" xr:uid="{00000000-0005-0000-0000-00004B020000}"/>
    <cellStyle name="20% - Accent1 7 6 2 2 2" xfId="15891" xr:uid="{00000000-0005-0000-0000-00004C020000}"/>
    <cellStyle name="20% - Accent1 7 6 2 2 2 2" xfId="33526" xr:uid="{00000000-0005-0000-0000-00004D020000}"/>
    <cellStyle name="20% - Accent1 7 6 2 2 3" xfId="26509" xr:uid="{00000000-0005-0000-0000-00004E020000}"/>
    <cellStyle name="20% - Accent1 7 6 2 3" xfId="12204" xr:uid="{00000000-0005-0000-0000-00004F020000}"/>
    <cellStyle name="20% - Accent1 7 6 2 3 2" xfId="29875" xr:uid="{00000000-0005-0000-0000-000050020000}"/>
    <cellStyle name="20% - Accent1 7 6 2 4" xfId="23644" xr:uid="{00000000-0005-0000-0000-000051020000}"/>
    <cellStyle name="20% - Accent1 7 6 3" xfId="5522" xr:uid="{00000000-0005-0000-0000-000052020000}"/>
    <cellStyle name="20% - Accent1 7 6 3 2" xfId="8821" xr:uid="{00000000-0005-0000-0000-000053020000}"/>
    <cellStyle name="20% - Accent1 7 6 3 2 2" xfId="16617" xr:uid="{00000000-0005-0000-0000-000054020000}"/>
    <cellStyle name="20% - Accent1 7 6 3 2 2 2" xfId="34252" xr:uid="{00000000-0005-0000-0000-000055020000}"/>
    <cellStyle name="20% - Accent1 7 6 3 2 3" xfId="27209" xr:uid="{00000000-0005-0000-0000-000056020000}"/>
    <cellStyle name="20% - Accent1 7 6 3 3" xfId="13377" xr:uid="{00000000-0005-0000-0000-000057020000}"/>
    <cellStyle name="20% - Accent1 7 6 3 3 2" xfId="31017" xr:uid="{00000000-0005-0000-0000-000058020000}"/>
    <cellStyle name="20% - Accent1 7 6 3 4" xfId="24344" xr:uid="{00000000-0005-0000-0000-000059020000}"/>
    <cellStyle name="20% - Accent1 7 6 4" xfId="6151" xr:uid="{00000000-0005-0000-0000-00005A020000}"/>
    <cellStyle name="20% - Accent1 7 6 4 2" xfId="9361" xr:uid="{00000000-0005-0000-0000-00005B020000}"/>
    <cellStyle name="20% - Accent1 7 6 4 2 2" xfId="17155" xr:uid="{00000000-0005-0000-0000-00005C020000}"/>
    <cellStyle name="20% - Accent1 7 6 4 2 2 2" xfId="34792" xr:uid="{00000000-0005-0000-0000-00005D020000}"/>
    <cellStyle name="20% - Accent1 7 6 4 2 3" xfId="27745" xr:uid="{00000000-0005-0000-0000-00005E020000}"/>
    <cellStyle name="20% - Accent1 7 6 4 3" xfId="13940" xr:uid="{00000000-0005-0000-0000-00005F020000}"/>
    <cellStyle name="20% - Accent1 7 6 4 3 2" xfId="31575" xr:uid="{00000000-0005-0000-0000-000060020000}"/>
    <cellStyle name="20% - Accent1 7 6 4 4" xfId="24881" xr:uid="{00000000-0005-0000-0000-000061020000}"/>
    <cellStyle name="20% - Accent1 7 6 5" xfId="6689" xr:uid="{00000000-0005-0000-0000-000062020000}"/>
    <cellStyle name="20% - Accent1 7 6 5 2" xfId="9899" xr:uid="{00000000-0005-0000-0000-000063020000}"/>
    <cellStyle name="20% - Accent1 7 6 5 2 2" xfId="17692" xr:uid="{00000000-0005-0000-0000-000064020000}"/>
    <cellStyle name="20% - Accent1 7 6 5 2 2 2" xfId="35329" xr:uid="{00000000-0005-0000-0000-000065020000}"/>
    <cellStyle name="20% - Accent1 7 6 5 2 3" xfId="28282" xr:uid="{00000000-0005-0000-0000-000066020000}"/>
    <cellStyle name="20% - Accent1 7 6 5 3" xfId="14477" xr:uid="{00000000-0005-0000-0000-000067020000}"/>
    <cellStyle name="20% - Accent1 7 6 5 3 2" xfId="32112" xr:uid="{00000000-0005-0000-0000-000068020000}"/>
    <cellStyle name="20% - Accent1 7 6 5 4" xfId="25419" xr:uid="{00000000-0005-0000-0000-000069020000}"/>
    <cellStyle name="20% - Accent1 7 6 6" xfId="7526" xr:uid="{00000000-0005-0000-0000-00006A020000}"/>
    <cellStyle name="20% - Accent1 7 6 6 2" xfId="15323" xr:uid="{00000000-0005-0000-0000-00006B020000}"/>
    <cellStyle name="20% - Accent1 7 6 6 2 2" xfId="32958" xr:uid="{00000000-0005-0000-0000-00006C020000}"/>
    <cellStyle name="20% - Accent1 7 6 6 3" xfId="25959" xr:uid="{00000000-0005-0000-0000-00006D020000}"/>
    <cellStyle name="20% - Accent1 7 6 7" xfId="11091" xr:uid="{00000000-0005-0000-0000-00006E020000}"/>
    <cellStyle name="20% - Accent1 7 6 7 2" xfId="28821" xr:uid="{00000000-0005-0000-0000-00006F020000}"/>
    <cellStyle name="20% - Accent1 7 6 8" xfId="23094" xr:uid="{00000000-0005-0000-0000-000070020000}"/>
    <cellStyle name="20% - Accent1 7 6 9" xfId="51648" xr:uid="{00000000-0005-0000-0000-000071020000}"/>
    <cellStyle name="20% - Accent1 7 7" xfId="228" xr:uid="{00000000-0005-0000-0000-000072020000}"/>
    <cellStyle name="20% - Accent1 7 7 10" xfId="51649" xr:uid="{00000000-0005-0000-0000-000073020000}"/>
    <cellStyle name="20% - Accent1 7 7 2" xfId="229" xr:uid="{00000000-0005-0000-0000-000074020000}"/>
    <cellStyle name="20% - Accent1 7 7 2 2" xfId="8097" xr:uid="{00000000-0005-0000-0000-000075020000}"/>
    <cellStyle name="20% - Accent1 7 7 2 2 2" xfId="15893" xr:uid="{00000000-0005-0000-0000-000076020000}"/>
    <cellStyle name="20% - Accent1 7 7 2 2 2 2" xfId="33528" xr:uid="{00000000-0005-0000-0000-000077020000}"/>
    <cellStyle name="20% - Accent1 7 7 2 2 3" xfId="26511" xr:uid="{00000000-0005-0000-0000-000078020000}"/>
    <cellStyle name="20% - Accent1 7 7 2 3" xfId="12206" xr:uid="{00000000-0005-0000-0000-000079020000}"/>
    <cellStyle name="20% - Accent1 7 7 2 3 2" xfId="29877" xr:uid="{00000000-0005-0000-0000-00007A020000}"/>
    <cellStyle name="20% - Accent1 7 7 2 4" xfId="23646" xr:uid="{00000000-0005-0000-0000-00007B020000}"/>
    <cellStyle name="20% - Accent1 7 7 3" xfId="3470" xr:uid="{00000000-0005-0000-0000-00007C020000}"/>
    <cellStyle name="20% - Accent1 7 7 3 2" xfId="8096" xr:uid="{00000000-0005-0000-0000-00007D020000}"/>
    <cellStyle name="20% - Accent1 7 7 3 2 2" xfId="15892" xr:uid="{00000000-0005-0000-0000-00007E020000}"/>
    <cellStyle name="20% - Accent1 7 7 3 2 2 2" xfId="33527" xr:uid="{00000000-0005-0000-0000-00007F020000}"/>
    <cellStyle name="20% - Accent1 7 7 3 2 3" xfId="26510" xr:uid="{00000000-0005-0000-0000-000080020000}"/>
    <cellStyle name="20% - Accent1 7 7 3 3" xfId="12205" xr:uid="{00000000-0005-0000-0000-000081020000}"/>
    <cellStyle name="20% - Accent1 7 7 3 3 2" xfId="29876" xr:uid="{00000000-0005-0000-0000-000082020000}"/>
    <cellStyle name="20% - Accent1 7 7 3 4" xfId="23645" xr:uid="{00000000-0005-0000-0000-000083020000}"/>
    <cellStyle name="20% - Accent1 7 7 4" xfId="5523" xr:uid="{00000000-0005-0000-0000-000084020000}"/>
    <cellStyle name="20% - Accent1 7 7 4 2" xfId="8822" xr:uid="{00000000-0005-0000-0000-000085020000}"/>
    <cellStyle name="20% - Accent1 7 7 4 2 2" xfId="16618" xr:uid="{00000000-0005-0000-0000-000086020000}"/>
    <cellStyle name="20% - Accent1 7 7 4 2 2 2" xfId="34253" xr:uid="{00000000-0005-0000-0000-000087020000}"/>
    <cellStyle name="20% - Accent1 7 7 4 2 3" xfId="27210" xr:uid="{00000000-0005-0000-0000-000088020000}"/>
    <cellStyle name="20% - Accent1 7 7 4 3" xfId="13378" xr:uid="{00000000-0005-0000-0000-000089020000}"/>
    <cellStyle name="20% - Accent1 7 7 4 3 2" xfId="31018" xr:uid="{00000000-0005-0000-0000-00008A020000}"/>
    <cellStyle name="20% - Accent1 7 7 4 4" xfId="24345" xr:uid="{00000000-0005-0000-0000-00008B020000}"/>
    <cellStyle name="20% - Accent1 7 7 5" xfId="6152" xr:uid="{00000000-0005-0000-0000-00008C020000}"/>
    <cellStyle name="20% - Accent1 7 7 5 2" xfId="9362" xr:uid="{00000000-0005-0000-0000-00008D020000}"/>
    <cellStyle name="20% - Accent1 7 7 5 2 2" xfId="17156" xr:uid="{00000000-0005-0000-0000-00008E020000}"/>
    <cellStyle name="20% - Accent1 7 7 5 2 2 2" xfId="34793" xr:uid="{00000000-0005-0000-0000-00008F020000}"/>
    <cellStyle name="20% - Accent1 7 7 5 2 3" xfId="27746" xr:uid="{00000000-0005-0000-0000-000090020000}"/>
    <cellStyle name="20% - Accent1 7 7 5 3" xfId="13941" xr:uid="{00000000-0005-0000-0000-000091020000}"/>
    <cellStyle name="20% - Accent1 7 7 5 3 2" xfId="31576" xr:uid="{00000000-0005-0000-0000-000092020000}"/>
    <cellStyle name="20% - Accent1 7 7 5 4" xfId="24882" xr:uid="{00000000-0005-0000-0000-000093020000}"/>
    <cellStyle name="20% - Accent1 7 7 6" xfId="6690" xr:uid="{00000000-0005-0000-0000-000094020000}"/>
    <cellStyle name="20% - Accent1 7 7 6 2" xfId="9900" xr:uid="{00000000-0005-0000-0000-000095020000}"/>
    <cellStyle name="20% - Accent1 7 7 6 2 2" xfId="17693" xr:uid="{00000000-0005-0000-0000-000096020000}"/>
    <cellStyle name="20% - Accent1 7 7 6 2 2 2" xfId="35330" xr:uid="{00000000-0005-0000-0000-000097020000}"/>
    <cellStyle name="20% - Accent1 7 7 6 2 3" xfId="28283" xr:uid="{00000000-0005-0000-0000-000098020000}"/>
    <cellStyle name="20% - Accent1 7 7 6 3" xfId="14478" xr:uid="{00000000-0005-0000-0000-000099020000}"/>
    <cellStyle name="20% - Accent1 7 7 6 3 2" xfId="32113" xr:uid="{00000000-0005-0000-0000-00009A020000}"/>
    <cellStyle name="20% - Accent1 7 7 6 4" xfId="25420" xr:uid="{00000000-0005-0000-0000-00009B020000}"/>
    <cellStyle name="20% - Accent1 7 7 7" xfId="7527" xr:uid="{00000000-0005-0000-0000-00009C020000}"/>
    <cellStyle name="20% - Accent1 7 7 7 2" xfId="15324" xr:uid="{00000000-0005-0000-0000-00009D020000}"/>
    <cellStyle name="20% - Accent1 7 7 7 2 2" xfId="32959" xr:uid="{00000000-0005-0000-0000-00009E020000}"/>
    <cellStyle name="20% - Accent1 7 7 7 3" xfId="25960" xr:uid="{00000000-0005-0000-0000-00009F020000}"/>
    <cellStyle name="20% - Accent1 7 7 8" xfId="11092" xr:uid="{00000000-0005-0000-0000-0000A0020000}"/>
    <cellStyle name="20% - Accent1 7 7 8 2" xfId="28822" xr:uid="{00000000-0005-0000-0000-0000A1020000}"/>
    <cellStyle name="20% - Accent1 7 7 9" xfId="23095" xr:uid="{00000000-0005-0000-0000-0000A2020000}"/>
    <cellStyle name="20% - Accent1 7 8" xfId="3471" xr:uid="{00000000-0005-0000-0000-0000A3020000}"/>
    <cellStyle name="20% - Accent1 7 8 2" xfId="8098" xr:uid="{00000000-0005-0000-0000-0000A4020000}"/>
    <cellStyle name="20% - Accent1 7 8 2 2" xfId="15894" xr:uid="{00000000-0005-0000-0000-0000A5020000}"/>
    <cellStyle name="20% - Accent1 7 8 2 2 2" xfId="33529" xr:uid="{00000000-0005-0000-0000-0000A6020000}"/>
    <cellStyle name="20% - Accent1 7 8 2 3" xfId="26512" xr:uid="{00000000-0005-0000-0000-0000A7020000}"/>
    <cellStyle name="20% - Accent1 7 8 3" xfId="12207" xr:uid="{00000000-0005-0000-0000-0000A8020000}"/>
    <cellStyle name="20% - Accent1 7 8 3 2" xfId="29878" xr:uid="{00000000-0005-0000-0000-0000A9020000}"/>
    <cellStyle name="20% - Accent1 7 8 4" xfId="23647" xr:uid="{00000000-0005-0000-0000-0000AA020000}"/>
    <cellStyle name="20% - Accent1 7 9" xfId="3472" xr:uid="{00000000-0005-0000-0000-0000AB020000}"/>
    <cellStyle name="20% - Accent1 7 9 2" xfId="8099" xr:uid="{00000000-0005-0000-0000-0000AC020000}"/>
    <cellStyle name="20% - Accent1 7 9 2 2" xfId="15895" xr:uid="{00000000-0005-0000-0000-0000AD020000}"/>
    <cellStyle name="20% - Accent1 7 9 2 2 2" xfId="33530" xr:uid="{00000000-0005-0000-0000-0000AE020000}"/>
    <cellStyle name="20% - Accent1 7 9 2 3" xfId="26513" xr:uid="{00000000-0005-0000-0000-0000AF020000}"/>
    <cellStyle name="20% - Accent1 7 9 3" xfId="12208" xr:uid="{00000000-0005-0000-0000-0000B0020000}"/>
    <cellStyle name="20% - Accent1 7 9 3 2" xfId="29879" xr:uid="{00000000-0005-0000-0000-0000B1020000}"/>
    <cellStyle name="20% - Accent1 7 9 4" xfId="23648" xr:uid="{00000000-0005-0000-0000-0000B2020000}"/>
    <cellStyle name="20% - Accent1 8" xfId="230" xr:uid="{00000000-0005-0000-0000-0000B3020000}"/>
    <cellStyle name="20% - Accent1 8 10" xfId="3473" xr:uid="{00000000-0005-0000-0000-0000B4020000}"/>
    <cellStyle name="20% - Accent1 8 10 2" xfId="8100" xr:uid="{00000000-0005-0000-0000-0000B5020000}"/>
    <cellStyle name="20% - Accent1 8 10 2 2" xfId="15896" xr:uid="{00000000-0005-0000-0000-0000B6020000}"/>
    <cellStyle name="20% - Accent1 8 10 2 2 2" xfId="33531" xr:uid="{00000000-0005-0000-0000-0000B7020000}"/>
    <cellStyle name="20% - Accent1 8 10 2 3" xfId="26514" xr:uid="{00000000-0005-0000-0000-0000B8020000}"/>
    <cellStyle name="20% - Accent1 8 10 3" xfId="12209" xr:uid="{00000000-0005-0000-0000-0000B9020000}"/>
    <cellStyle name="20% - Accent1 8 10 3 2" xfId="29880" xr:uid="{00000000-0005-0000-0000-0000BA020000}"/>
    <cellStyle name="20% - Accent1 8 10 4" xfId="23649" xr:uid="{00000000-0005-0000-0000-0000BB020000}"/>
    <cellStyle name="20% - Accent1 8 11" xfId="5524" xr:uid="{00000000-0005-0000-0000-0000BC020000}"/>
    <cellStyle name="20% - Accent1 8 11 2" xfId="8823" xr:uid="{00000000-0005-0000-0000-0000BD020000}"/>
    <cellStyle name="20% - Accent1 8 11 2 2" xfId="16619" xr:uid="{00000000-0005-0000-0000-0000BE020000}"/>
    <cellStyle name="20% - Accent1 8 11 2 2 2" xfId="34254" xr:uid="{00000000-0005-0000-0000-0000BF020000}"/>
    <cellStyle name="20% - Accent1 8 11 2 3" xfId="27211" xr:uid="{00000000-0005-0000-0000-0000C0020000}"/>
    <cellStyle name="20% - Accent1 8 11 3" xfId="13379" xr:uid="{00000000-0005-0000-0000-0000C1020000}"/>
    <cellStyle name="20% - Accent1 8 11 3 2" xfId="31019" xr:uid="{00000000-0005-0000-0000-0000C2020000}"/>
    <cellStyle name="20% - Accent1 8 11 4" xfId="24346" xr:uid="{00000000-0005-0000-0000-0000C3020000}"/>
    <cellStyle name="20% - Accent1 8 12" xfId="6153" xr:uid="{00000000-0005-0000-0000-0000C4020000}"/>
    <cellStyle name="20% - Accent1 8 12 2" xfId="9363" xr:uid="{00000000-0005-0000-0000-0000C5020000}"/>
    <cellStyle name="20% - Accent1 8 12 2 2" xfId="17157" xr:uid="{00000000-0005-0000-0000-0000C6020000}"/>
    <cellStyle name="20% - Accent1 8 12 2 2 2" xfId="34794" xr:uid="{00000000-0005-0000-0000-0000C7020000}"/>
    <cellStyle name="20% - Accent1 8 12 2 3" xfId="27747" xr:uid="{00000000-0005-0000-0000-0000C8020000}"/>
    <cellStyle name="20% - Accent1 8 12 3" xfId="13942" xr:uid="{00000000-0005-0000-0000-0000C9020000}"/>
    <cellStyle name="20% - Accent1 8 12 3 2" xfId="31577" xr:uid="{00000000-0005-0000-0000-0000CA020000}"/>
    <cellStyle name="20% - Accent1 8 12 4" xfId="24883" xr:uid="{00000000-0005-0000-0000-0000CB020000}"/>
    <cellStyle name="20% - Accent1 8 13" xfId="6691" xr:uid="{00000000-0005-0000-0000-0000CC020000}"/>
    <cellStyle name="20% - Accent1 8 13 2" xfId="9901" xr:uid="{00000000-0005-0000-0000-0000CD020000}"/>
    <cellStyle name="20% - Accent1 8 13 2 2" xfId="17694" xr:uid="{00000000-0005-0000-0000-0000CE020000}"/>
    <cellStyle name="20% - Accent1 8 13 2 2 2" xfId="35331" xr:uid="{00000000-0005-0000-0000-0000CF020000}"/>
    <cellStyle name="20% - Accent1 8 13 2 3" xfId="28284" xr:uid="{00000000-0005-0000-0000-0000D0020000}"/>
    <cellStyle name="20% - Accent1 8 13 3" xfId="14479" xr:uid="{00000000-0005-0000-0000-0000D1020000}"/>
    <cellStyle name="20% - Accent1 8 13 3 2" xfId="32114" xr:uid="{00000000-0005-0000-0000-0000D2020000}"/>
    <cellStyle name="20% - Accent1 8 13 4" xfId="25421" xr:uid="{00000000-0005-0000-0000-0000D3020000}"/>
    <cellStyle name="20% - Accent1 8 14" xfId="7528" xr:uid="{00000000-0005-0000-0000-0000D4020000}"/>
    <cellStyle name="20% - Accent1 8 14 2" xfId="15325" xr:uid="{00000000-0005-0000-0000-0000D5020000}"/>
    <cellStyle name="20% - Accent1 8 14 2 2" xfId="32960" xr:uid="{00000000-0005-0000-0000-0000D6020000}"/>
    <cellStyle name="20% - Accent1 8 14 3" xfId="25961" xr:uid="{00000000-0005-0000-0000-0000D7020000}"/>
    <cellStyle name="20% - Accent1 8 15" xfId="11093" xr:uid="{00000000-0005-0000-0000-0000D8020000}"/>
    <cellStyle name="20% - Accent1 8 15 2" xfId="28823" xr:uid="{00000000-0005-0000-0000-0000D9020000}"/>
    <cellStyle name="20% - Accent1 8 16" xfId="22033" xr:uid="{00000000-0005-0000-0000-0000DA020000}"/>
    <cellStyle name="20% - Accent1 8 16 2" xfId="38752" xr:uid="{00000000-0005-0000-0000-0000DB020000}"/>
    <cellStyle name="20% - Accent1 8 17" xfId="23096" xr:uid="{00000000-0005-0000-0000-0000DC020000}"/>
    <cellStyle name="20% - Accent1 8 18" xfId="51650" xr:uid="{00000000-0005-0000-0000-0000DD020000}"/>
    <cellStyle name="20% - Accent1 8 2" xfId="231" xr:uid="{00000000-0005-0000-0000-0000DE020000}"/>
    <cellStyle name="20% - Accent1 8 2 10" xfId="51651" xr:uid="{00000000-0005-0000-0000-0000DF020000}"/>
    <cellStyle name="20% - Accent1 8 2 2" xfId="3474" xr:uid="{00000000-0005-0000-0000-0000E0020000}"/>
    <cellStyle name="20% - Accent1 8 2 2 2" xfId="8101" xr:uid="{00000000-0005-0000-0000-0000E1020000}"/>
    <cellStyle name="20% - Accent1 8 2 2 2 2" xfId="15897" xr:uid="{00000000-0005-0000-0000-0000E2020000}"/>
    <cellStyle name="20% - Accent1 8 2 2 2 2 2" xfId="33532" xr:uid="{00000000-0005-0000-0000-0000E3020000}"/>
    <cellStyle name="20% - Accent1 8 2 2 2 3" xfId="26515" xr:uid="{00000000-0005-0000-0000-0000E4020000}"/>
    <cellStyle name="20% - Accent1 8 2 2 3" xfId="12210" xr:uid="{00000000-0005-0000-0000-0000E5020000}"/>
    <cellStyle name="20% - Accent1 8 2 2 3 2" xfId="29881" xr:uid="{00000000-0005-0000-0000-0000E6020000}"/>
    <cellStyle name="20% - Accent1 8 2 2 4" xfId="22712" xr:uid="{00000000-0005-0000-0000-0000E7020000}"/>
    <cellStyle name="20% - Accent1 8 2 2 4 2" xfId="38922" xr:uid="{00000000-0005-0000-0000-0000E8020000}"/>
    <cellStyle name="20% - Accent1 8 2 2 5" xfId="23650" xr:uid="{00000000-0005-0000-0000-0000E9020000}"/>
    <cellStyle name="20% - Accent1 8 2 3" xfId="5525" xr:uid="{00000000-0005-0000-0000-0000EA020000}"/>
    <cellStyle name="20% - Accent1 8 2 3 2" xfId="8824" xr:uid="{00000000-0005-0000-0000-0000EB020000}"/>
    <cellStyle name="20% - Accent1 8 2 3 2 2" xfId="16620" xr:uid="{00000000-0005-0000-0000-0000EC020000}"/>
    <cellStyle name="20% - Accent1 8 2 3 2 2 2" xfId="34255" xr:uid="{00000000-0005-0000-0000-0000ED020000}"/>
    <cellStyle name="20% - Accent1 8 2 3 2 3" xfId="27212" xr:uid="{00000000-0005-0000-0000-0000EE020000}"/>
    <cellStyle name="20% - Accent1 8 2 3 3" xfId="13380" xr:uid="{00000000-0005-0000-0000-0000EF020000}"/>
    <cellStyle name="20% - Accent1 8 2 3 3 2" xfId="31020" xr:uid="{00000000-0005-0000-0000-0000F0020000}"/>
    <cellStyle name="20% - Accent1 8 2 3 4" xfId="24347" xr:uid="{00000000-0005-0000-0000-0000F1020000}"/>
    <cellStyle name="20% - Accent1 8 2 4" xfId="6154" xr:uid="{00000000-0005-0000-0000-0000F2020000}"/>
    <cellStyle name="20% - Accent1 8 2 4 2" xfId="9364" xr:uid="{00000000-0005-0000-0000-0000F3020000}"/>
    <cellStyle name="20% - Accent1 8 2 4 2 2" xfId="17158" xr:uid="{00000000-0005-0000-0000-0000F4020000}"/>
    <cellStyle name="20% - Accent1 8 2 4 2 2 2" xfId="34795" xr:uid="{00000000-0005-0000-0000-0000F5020000}"/>
    <cellStyle name="20% - Accent1 8 2 4 2 3" xfId="27748" xr:uid="{00000000-0005-0000-0000-0000F6020000}"/>
    <cellStyle name="20% - Accent1 8 2 4 3" xfId="13943" xr:uid="{00000000-0005-0000-0000-0000F7020000}"/>
    <cellStyle name="20% - Accent1 8 2 4 3 2" xfId="31578" xr:uid="{00000000-0005-0000-0000-0000F8020000}"/>
    <cellStyle name="20% - Accent1 8 2 4 4" xfId="24884" xr:uid="{00000000-0005-0000-0000-0000F9020000}"/>
    <cellStyle name="20% - Accent1 8 2 5" xfId="6692" xr:uid="{00000000-0005-0000-0000-0000FA020000}"/>
    <cellStyle name="20% - Accent1 8 2 5 2" xfId="9902" xr:uid="{00000000-0005-0000-0000-0000FB020000}"/>
    <cellStyle name="20% - Accent1 8 2 5 2 2" xfId="17695" xr:uid="{00000000-0005-0000-0000-0000FC020000}"/>
    <cellStyle name="20% - Accent1 8 2 5 2 2 2" xfId="35332" xr:uid="{00000000-0005-0000-0000-0000FD020000}"/>
    <cellStyle name="20% - Accent1 8 2 5 2 3" xfId="28285" xr:uid="{00000000-0005-0000-0000-0000FE020000}"/>
    <cellStyle name="20% - Accent1 8 2 5 3" xfId="14480" xr:uid="{00000000-0005-0000-0000-0000FF020000}"/>
    <cellStyle name="20% - Accent1 8 2 5 3 2" xfId="32115" xr:uid="{00000000-0005-0000-0000-000000030000}"/>
    <cellStyle name="20% - Accent1 8 2 5 4" xfId="25422" xr:uid="{00000000-0005-0000-0000-000001030000}"/>
    <cellStyle name="20% - Accent1 8 2 6" xfId="7529" xr:uid="{00000000-0005-0000-0000-000002030000}"/>
    <cellStyle name="20% - Accent1 8 2 6 2" xfId="15326" xr:uid="{00000000-0005-0000-0000-000003030000}"/>
    <cellStyle name="20% - Accent1 8 2 6 2 2" xfId="32961" xr:uid="{00000000-0005-0000-0000-000004030000}"/>
    <cellStyle name="20% - Accent1 8 2 6 3" xfId="25962" xr:uid="{00000000-0005-0000-0000-000005030000}"/>
    <cellStyle name="20% - Accent1 8 2 7" xfId="11094" xr:uid="{00000000-0005-0000-0000-000006030000}"/>
    <cellStyle name="20% - Accent1 8 2 7 2" xfId="28824" xr:uid="{00000000-0005-0000-0000-000007030000}"/>
    <cellStyle name="20% - Accent1 8 2 8" xfId="22034" xr:uid="{00000000-0005-0000-0000-000008030000}"/>
    <cellStyle name="20% - Accent1 8 2 8 2" xfId="38753" xr:uid="{00000000-0005-0000-0000-000009030000}"/>
    <cellStyle name="20% - Accent1 8 2 9" xfId="23097" xr:uid="{00000000-0005-0000-0000-00000A030000}"/>
    <cellStyle name="20% - Accent1 8 3" xfId="232" xr:uid="{00000000-0005-0000-0000-00000B030000}"/>
    <cellStyle name="20% - Accent1 8 3 10" xfId="22711" xr:uid="{00000000-0005-0000-0000-00000C030000}"/>
    <cellStyle name="20% - Accent1 8 3 10 2" xfId="38921" xr:uid="{00000000-0005-0000-0000-00000D030000}"/>
    <cellStyle name="20% - Accent1 8 3 11" xfId="23098" xr:uid="{00000000-0005-0000-0000-00000E030000}"/>
    <cellStyle name="20% - Accent1 8 3 12" xfId="51652" xr:uid="{00000000-0005-0000-0000-00000F030000}"/>
    <cellStyle name="20% - Accent1 8 3 2" xfId="233" xr:uid="{00000000-0005-0000-0000-000010030000}"/>
    <cellStyle name="20% - Accent1 8 3 2 2" xfId="3476" xr:uid="{00000000-0005-0000-0000-000011030000}"/>
    <cellStyle name="20% - Accent1 8 3 2 2 2" xfId="8103" xr:uid="{00000000-0005-0000-0000-000012030000}"/>
    <cellStyle name="20% - Accent1 8 3 2 2 2 2" xfId="15899" xr:uid="{00000000-0005-0000-0000-000013030000}"/>
    <cellStyle name="20% - Accent1 8 3 2 2 2 2 2" xfId="33534" xr:uid="{00000000-0005-0000-0000-000014030000}"/>
    <cellStyle name="20% - Accent1 8 3 2 2 2 3" xfId="26517" xr:uid="{00000000-0005-0000-0000-000015030000}"/>
    <cellStyle name="20% - Accent1 8 3 2 2 3" xfId="12212" xr:uid="{00000000-0005-0000-0000-000016030000}"/>
    <cellStyle name="20% - Accent1 8 3 2 2 3 2" xfId="29883" xr:uid="{00000000-0005-0000-0000-000017030000}"/>
    <cellStyle name="20% - Accent1 8 3 2 2 4" xfId="23652" xr:uid="{00000000-0005-0000-0000-000018030000}"/>
    <cellStyle name="20% - Accent1 8 3 2 3" xfId="5526" xr:uid="{00000000-0005-0000-0000-000019030000}"/>
    <cellStyle name="20% - Accent1 8 3 2 3 2" xfId="8826" xr:uid="{00000000-0005-0000-0000-00001A030000}"/>
    <cellStyle name="20% - Accent1 8 3 2 3 2 2" xfId="16622" xr:uid="{00000000-0005-0000-0000-00001B030000}"/>
    <cellStyle name="20% - Accent1 8 3 2 3 2 2 2" xfId="34257" xr:uid="{00000000-0005-0000-0000-00001C030000}"/>
    <cellStyle name="20% - Accent1 8 3 2 3 2 3" xfId="27214" xr:uid="{00000000-0005-0000-0000-00001D030000}"/>
    <cellStyle name="20% - Accent1 8 3 2 3 3" xfId="13382" xr:uid="{00000000-0005-0000-0000-00001E030000}"/>
    <cellStyle name="20% - Accent1 8 3 2 3 3 2" xfId="31022" xr:uid="{00000000-0005-0000-0000-00001F030000}"/>
    <cellStyle name="20% - Accent1 8 3 2 3 4" xfId="24349" xr:uid="{00000000-0005-0000-0000-000020030000}"/>
    <cellStyle name="20% - Accent1 8 3 2 4" xfId="6156" xr:uid="{00000000-0005-0000-0000-000021030000}"/>
    <cellStyle name="20% - Accent1 8 3 2 4 2" xfId="9366" xr:uid="{00000000-0005-0000-0000-000022030000}"/>
    <cellStyle name="20% - Accent1 8 3 2 4 2 2" xfId="17160" xr:uid="{00000000-0005-0000-0000-000023030000}"/>
    <cellStyle name="20% - Accent1 8 3 2 4 2 2 2" xfId="34797" xr:uid="{00000000-0005-0000-0000-000024030000}"/>
    <cellStyle name="20% - Accent1 8 3 2 4 2 3" xfId="27750" xr:uid="{00000000-0005-0000-0000-000025030000}"/>
    <cellStyle name="20% - Accent1 8 3 2 4 3" xfId="13945" xr:uid="{00000000-0005-0000-0000-000026030000}"/>
    <cellStyle name="20% - Accent1 8 3 2 4 3 2" xfId="31580" xr:uid="{00000000-0005-0000-0000-000027030000}"/>
    <cellStyle name="20% - Accent1 8 3 2 4 4" xfId="24886" xr:uid="{00000000-0005-0000-0000-000028030000}"/>
    <cellStyle name="20% - Accent1 8 3 2 5" xfId="6694" xr:uid="{00000000-0005-0000-0000-000029030000}"/>
    <cellStyle name="20% - Accent1 8 3 2 5 2" xfId="9904" xr:uid="{00000000-0005-0000-0000-00002A030000}"/>
    <cellStyle name="20% - Accent1 8 3 2 5 2 2" xfId="17697" xr:uid="{00000000-0005-0000-0000-00002B030000}"/>
    <cellStyle name="20% - Accent1 8 3 2 5 2 2 2" xfId="35334" xr:uid="{00000000-0005-0000-0000-00002C030000}"/>
    <cellStyle name="20% - Accent1 8 3 2 5 2 3" xfId="28287" xr:uid="{00000000-0005-0000-0000-00002D030000}"/>
    <cellStyle name="20% - Accent1 8 3 2 5 3" xfId="14482" xr:uid="{00000000-0005-0000-0000-00002E030000}"/>
    <cellStyle name="20% - Accent1 8 3 2 5 3 2" xfId="32117" xr:uid="{00000000-0005-0000-0000-00002F030000}"/>
    <cellStyle name="20% - Accent1 8 3 2 5 4" xfId="25424" xr:uid="{00000000-0005-0000-0000-000030030000}"/>
    <cellStyle name="20% - Accent1 8 3 2 6" xfId="7531" xr:uid="{00000000-0005-0000-0000-000031030000}"/>
    <cellStyle name="20% - Accent1 8 3 2 6 2" xfId="15328" xr:uid="{00000000-0005-0000-0000-000032030000}"/>
    <cellStyle name="20% - Accent1 8 3 2 6 2 2" xfId="32963" xr:uid="{00000000-0005-0000-0000-000033030000}"/>
    <cellStyle name="20% - Accent1 8 3 2 6 3" xfId="25964" xr:uid="{00000000-0005-0000-0000-000034030000}"/>
    <cellStyle name="20% - Accent1 8 3 2 7" xfId="11096" xr:uid="{00000000-0005-0000-0000-000035030000}"/>
    <cellStyle name="20% - Accent1 8 3 2 7 2" xfId="28826" xr:uid="{00000000-0005-0000-0000-000036030000}"/>
    <cellStyle name="20% - Accent1 8 3 2 8" xfId="23099" xr:uid="{00000000-0005-0000-0000-000037030000}"/>
    <cellStyle name="20% - Accent1 8 3 2 9" xfId="51653" xr:uid="{00000000-0005-0000-0000-000038030000}"/>
    <cellStyle name="20% - Accent1 8 3 3" xfId="3477" xr:uid="{00000000-0005-0000-0000-000039030000}"/>
    <cellStyle name="20% - Accent1 8 3 3 2" xfId="5527" xr:uid="{00000000-0005-0000-0000-00003A030000}"/>
    <cellStyle name="20% - Accent1 8 3 3 2 2" xfId="8827" xr:uid="{00000000-0005-0000-0000-00003B030000}"/>
    <cellStyle name="20% - Accent1 8 3 3 2 2 2 2" xfId="34258" xr:uid="{00000000-0005-0000-0000-00003C030000}"/>
    <cellStyle name="20% - Accent1 8 3 3 2 2 3" xfId="27215" xr:uid="{00000000-0005-0000-0000-00003D030000}"/>
    <cellStyle name="20% - Accent1 8 3 3 2 3" xfId="13383" xr:uid="{00000000-0005-0000-0000-00003E030000}"/>
    <cellStyle name="20% - Accent1 8 3 3 2 3 2" xfId="31023" xr:uid="{00000000-0005-0000-0000-00003F030000}"/>
    <cellStyle name="20% - Accent1 8 3 3 2 4" xfId="24350" xr:uid="{00000000-0005-0000-0000-000040030000}"/>
    <cellStyle name="20% - Accent1 8 3 3 3" xfId="6157" xr:uid="{00000000-0005-0000-0000-000041030000}"/>
    <cellStyle name="20% - Accent1 8 3 3 3 2" xfId="9367" xr:uid="{00000000-0005-0000-0000-000042030000}"/>
    <cellStyle name="20% - Accent1 8 3 3 3 2 2" xfId="17161" xr:uid="{00000000-0005-0000-0000-000043030000}"/>
    <cellStyle name="20% - Accent1 8 3 3 3 2 2 2" xfId="34798" xr:uid="{00000000-0005-0000-0000-000044030000}"/>
    <cellStyle name="20% - Accent1 8 3 3 3 2 3" xfId="27751" xr:uid="{00000000-0005-0000-0000-000045030000}"/>
    <cellStyle name="20% - Accent1 8 3 3 3 3" xfId="13946" xr:uid="{00000000-0005-0000-0000-000046030000}"/>
    <cellStyle name="20% - Accent1 8 3 3 3 3 2" xfId="31581" xr:uid="{00000000-0005-0000-0000-000047030000}"/>
    <cellStyle name="20% - Accent1 8 3 3 3 4" xfId="24887" xr:uid="{00000000-0005-0000-0000-000048030000}"/>
    <cellStyle name="20% - Accent1 8 3 3 4" xfId="6695" xr:uid="{00000000-0005-0000-0000-000049030000}"/>
    <cellStyle name="20% - Accent1 8 3 3 4 2" xfId="9905" xr:uid="{00000000-0005-0000-0000-00004A030000}"/>
    <cellStyle name="20% - Accent1 8 3 3 4 2 2" xfId="17698" xr:uid="{00000000-0005-0000-0000-00004B030000}"/>
    <cellStyle name="20% - Accent1 8 3 3 4 2 2 2" xfId="35335" xr:uid="{00000000-0005-0000-0000-00004C030000}"/>
    <cellStyle name="20% - Accent1 8 3 3 4 2 3" xfId="28288" xr:uid="{00000000-0005-0000-0000-00004D030000}"/>
    <cellStyle name="20% - Accent1 8 3 3 4 3" xfId="14483" xr:uid="{00000000-0005-0000-0000-00004E030000}"/>
    <cellStyle name="20% - Accent1 8 3 3 4 3 2" xfId="32118" xr:uid="{00000000-0005-0000-0000-00004F030000}"/>
    <cellStyle name="20% - Accent1 8 3 3 4 4" xfId="25425" xr:uid="{00000000-0005-0000-0000-000050030000}"/>
    <cellStyle name="20% - Accent1 8 3 3 5" xfId="8104" xr:uid="{00000000-0005-0000-0000-000051030000}"/>
    <cellStyle name="20% - Accent1 8 3 3 5 2" xfId="15900" xr:uid="{00000000-0005-0000-0000-000052030000}"/>
    <cellStyle name="20% - Accent1 8 3 3 5 2 2" xfId="33535" xr:uid="{00000000-0005-0000-0000-000053030000}"/>
    <cellStyle name="20% - Accent1 8 3 3 5 3" xfId="26518" xr:uid="{00000000-0005-0000-0000-000054030000}"/>
    <cellStyle name="20% - Accent1 8 3 3 6" xfId="12213" xr:uid="{00000000-0005-0000-0000-000055030000}"/>
    <cellStyle name="20% - Accent1 8 3 3 6 2" xfId="29884" xr:uid="{00000000-0005-0000-0000-000056030000}"/>
    <cellStyle name="20% - Accent1 8 3 3 7" xfId="23653" xr:uid="{00000000-0005-0000-0000-000057030000}"/>
    <cellStyle name="20% - Accent1 8 3 4" xfId="3475" xr:uid="{00000000-0005-0000-0000-000058030000}"/>
    <cellStyle name="20% - Accent1 8 3 4 2" xfId="8102" xr:uid="{00000000-0005-0000-0000-000059030000}"/>
    <cellStyle name="20% - Accent1 8 3 4 2 2" xfId="15898" xr:uid="{00000000-0005-0000-0000-00005A030000}"/>
    <cellStyle name="20% - Accent1 8 3 4 2 2 2" xfId="33533" xr:uid="{00000000-0005-0000-0000-00005B030000}"/>
    <cellStyle name="20% - Accent1 8 3 4 2 3" xfId="26516" xr:uid="{00000000-0005-0000-0000-00005C030000}"/>
    <cellStyle name="20% - Accent1 8 3 4 3" xfId="12211" xr:uid="{00000000-0005-0000-0000-00005D030000}"/>
    <cellStyle name="20% - Accent1 8 3 4 3 2" xfId="29882" xr:uid="{00000000-0005-0000-0000-00005E030000}"/>
    <cellStyle name="20% - Accent1 8 3 4 4" xfId="23651" xr:uid="{00000000-0005-0000-0000-00005F030000}"/>
    <cellStyle name="20% - Accent1 8 3 5 2" xfId="8825" xr:uid="{00000000-0005-0000-0000-000060030000}"/>
    <cellStyle name="20% - Accent1 8 3 5 2 2" xfId="16621" xr:uid="{00000000-0005-0000-0000-000061030000}"/>
    <cellStyle name="20% - Accent1 8 3 5 2 2 2" xfId="34256" xr:uid="{00000000-0005-0000-0000-000062030000}"/>
    <cellStyle name="20% - Accent1 8 3 5 2 3" xfId="27213" xr:uid="{00000000-0005-0000-0000-000063030000}"/>
    <cellStyle name="20% - Accent1 8 3 5 3" xfId="13381" xr:uid="{00000000-0005-0000-0000-000064030000}"/>
    <cellStyle name="20% - Accent1 8 3 5 3 2" xfId="31021" xr:uid="{00000000-0005-0000-0000-000065030000}"/>
    <cellStyle name="20% - Accent1 8 3 5 4" xfId="24348" xr:uid="{00000000-0005-0000-0000-000066030000}"/>
    <cellStyle name="20% - Accent1 8 3 6" xfId="6155" xr:uid="{00000000-0005-0000-0000-000067030000}"/>
    <cellStyle name="20% - Accent1 8 3 6 2" xfId="9365" xr:uid="{00000000-0005-0000-0000-000068030000}"/>
    <cellStyle name="20% - Accent1 8 3 6 2 2" xfId="17159" xr:uid="{00000000-0005-0000-0000-000069030000}"/>
    <cellStyle name="20% - Accent1 8 3 6 2 2 2" xfId="34796" xr:uid="{00000000-0005-0000-0000-00006A030000}"/>
    <cellStyle name="20% - Accent1 8 3 6 2 3" xfId="27749" xr:uid="{00000000-0005-0000-0000-00006B030000}"/>
    <cellStyle name="20% - Accent1 8 3 6 3" xfId="13944" xr:uid="{00000000-0005-0000-0000-00006C030000}"/>
    <cellStyle name="20% - Accent1 8 3 6 3 2" xfId="31579" xr:uid="{00000000-0005-0000-0000-00006D030000}"/>
    <cellStyle name="20% - Accent1 8 3 6 4" xfId="24885" xr:uid="{00000000-0005-0000-0000-00006E030000}"/>
    <cellStyle name="20% - Accent1 8 3 7" xfId="6693" xr:uid="{00000000-0005-0000-0000-00006F030000}"/>
    <cellStyle name="20% - Accent1 8 3 7 2" xfId="9903" xr:uid="{00000000-0005-0000-0000-000070030000}"/>
    <cellStyle name="20% - Accent1 8 3 7 2 2" xfId="17696" xr:uid="{00000000-0005-0000-0000-000071030000}"/>
    <cellStyle name="20% - Accent1 8 3 7 2 2 2" xfId="35333" xr:uid="{00000000-0005-0000-0000-000072030000}"/>
    <cellStyle name="20% - Accent1 8 3 7 2 3" xfId="28286" xr:uid="{00000000-0005-0000-0000-000073030000}"/>
    <cellStyle name="20% - Accent1 8 3 7 3" xfId="14481" xr:uid="{00000000-0005-0000-0000-000074030000}"/>
    <cellStyle name="20% - Accent1 8 3 7 3 2" xfId="32116" xr:uid="{00000000-0005-0000-0000-000075030000}"/>
    <cellStyle name="20% - Accent1 8 3 7 4" xfId="25423" xr:uid="{00000000-0005-0000-0000-000076030000}"/>
    <cellStyle name="20% - Accent1 8 3 8" xfId="7530" xr:uid="{00000000-0005-0000-0000-000077030000}"/>
    <cellStyle name="20% - Accent1 8 3 8 2" xfId="15327" xr:uid="{00000000-0005-0000-0000-000078030000}"/>
    <cellStyle name="20% - Accent1 8 3 8 2 2" xfId="32962" xr:uid="{00000000-0005-0000-0000-000079030000}"/>
    <cellStyle name="20% - Accent1 8 3 8 3" xfId="25963" xr:uid="{00000000-0005-0000-0000-00007A030000}"/>
    <cellStyle name="20% - Accent1 8 3 9" xfId="11095" xr:uid="{00000000-0005-0000-0000-00007B030000}"/>
    <cellStyle name="20% - Accent1 8 3 9 2" xfId="28825" xr:uid="{00000000-0005-0000-0000-00007C030000}"/>
    <cellStyle name="20% - Accent1 8 4" xfId="234" xr:uid="{00000000-0005-0000-0000-00007D030000}"/>
    <cellStyle name="20% - Accent1 8 4 2" xfId="3478" xr:uid="{00000000-0005-0000-0000-00007E030000}"/>
    <cellStyle name="20% - Accent1 8 4 2 2" xfId="8105" xr:uid="{00000000-0005-0000-0000-00007F030000}"/>
    <cellStyle name="20% - Accent1 8 4 2 2 2" xfId="15901" xr:uid="{00000000-0005-0000-0000-000080030000}"/>
    <cellStyle name="20% - Accent1 8 4 2 2 2 2" xfId="33536" xr:uid="{00000000-0005-0000-0000-000081030000}"/>
    <cellStyle name="20% - Accent1 8 4 2 2 3" xfId="26519" xr:uid="{00000000-0005-0000-0000-000082030000}"/>
    <cellStyle name="20% - Accent1 8 4 2 3" xfId="12214" xr:uid="{00000000-0005-0000-0000-000083030000}"/>
    <cellStyle name="20% - Accent1 8 4 2 3 2" xfId="29885" xr:uid="{00000000-0005-0000-0000-000084030000}"/>
    <cellStyle name="20% - Accent1 8 4 2 4" xfId="23654" xr:uid="{00000000-0005-0000-0000-000085030000}"/>
    <cellStyle name="20% - Accent1 8 4 3" xfId="5528" xr:uid="{00000000-0005-0000-0000-000086030000}"/>
    <cellStyle name="20% - Accent1 8 4 3 2" xfId="8828" xr:uid="{00000000-0005-0000-0000-000087030000}"/>
    <cellStyle name="20% - Accent1 8 4 3 2 2" xfId="16623" xr:uid="{00000000-0005-0000-0000-000088030000}"/>
    <cellStyle name="20% - Accent1 8 4 3 2 2 2" xfId="34259" xr:uid="{00000000-0005-0000-0000-000089030000}"/>
    <cellStyle name="20% - Accent1 8 4 3 2 3" xfId="27216" xr:uid="{00000000-0005-0000-0000-00008A030000}"/>
    <cellStyle name="20% - Accent1 8 4 3 3" xfId="13384" xr:uid="{00000000-0005-0000-0000-00008B030000}"/>
    <cellStyle name="20% - Accent1 8 4 3 3 2" xfId="31024" xr:uid="{00000000-0005-0000-0000-00008C030000}"/>
    <cellStyle name="20% - Accent1 8 4 3 4" xfId="24351" xr:uid="{00000000-0005-0000-0000-00008D030000}"/>
    <cellStyle name="20% - Accent1 8 4 4" xfId="6158" xr:uid="{00000000-0005-0000-0000-00008E030000}"/>
    <cellStyle name="20% - Accent1 8 4 4 2" xfId="9368" xr:uid="{00000000-0005-0000-0000-00008F030000}"/>
    <cellStyle name="20% - Accent1 8 4 4 2 2" xfId="17162" xr:uid="{00000000-0005-0000-0000-000090030000}"/>
    <cellStyle name="20% - Accent1 8 4 4 2 2 2" xfId="34799" xr:uid="{00000000-0005-0000-0000-000091030000}"/>
    <cellStyle name="20% - Accent1 8 4 4 2 3" xfId="27752" xr:uid="{00000000-0005-0000-0000-000092030000}"/>
    <cellStyle name="20% - Accent1 8 4 4 3" xfId="13947" xr:uid="{00000000-0005-0000-0000-000093030000}"/>
    <cellStyle name="20% - Accent1 8 4 4 3 2" xfId="31582" xr:uid="{00000000-0005-0000-0000-000094030000}"/>
    <cellStyle name="20% - Accent1 8 4 4 4" xfId="24888" xr:uid="{00000000-0005-0000-0000-000095030000}"/>
    <cellStyle name="20% - Accent1 8 4 5" xfId="6696" xr:uid="{00000000-0005-0000-0000-000096030000}"/>
    <cellStyle name="20% - Accent1 8 4 5 2" xfId="9906" xr:uid="{00000000-0005-0000-0000-000097030000}"/>
    <cellStyle name="20% - Accent1 8 4 5 2 2" xfId="17699" xr:uid="{00000000-0005-0000-0000-000098030000}"/>
    <cellStyle name="20% - Accent1 8 4 5 2 2 2" xfId="35336" xr:uid="{00000000-0005-0000-0000-000099030000}"/>
    <cellStyle name="20% - Accent1 8 4 5 2 3" xfId="28289" xr:uid="{00000000-0005-0000-0000-00009A030000}"/>
    <cellStyle name="20% - Accent1 8 4 5 3" xfId="14484" xr:uid="{00000000-0005-0000-0000-00009B030000}"/>
    <cellStyle name="20% - Accent1 8 4 5 3 2" xfId="32119" xr:uid="{00000000-0005-0000-0000-00009C030000}"/>
    <cellStyle name="20% - Accent1 8 4 5 4" xfId="25426" xr:uid="{00000000-0005-0000-0000-00009D030000}"/>
    <cellStyle name="20% - Accent1 8 4 6" xfId="7532" xr:uid="{00000000-0005-0000-0000-00009E030000}"/>
    <cellStyle name="20% - Accent1 8 4 6 2" xfId="15329" xr:uid="{00000000-0005-0000-0000-00009F030000}"/>
    <cellStyle name="20% - Accent1 8 4 6 2 2" xfId="32964" xr:uid="{00000000-0005-0000-0000-0000A0030000}"/>
    <cellStyle name="20% - Accent1 8 4 6 3" xfId="25965" xr:uid="{00000000-0005-0000-0000-0000A1030000}"/>
    <cellStyle name="20% - Accent1 8 4 7" xfId="11097" xr:uid="{00000000-0005-0000-0000-0000A2030000}"/>
    <cellStyle name="20% - Accent1 8 4 7 2" xfId="28827" xr:uid="{00000000-0005-0000-0000-0000A3030000}"/>
    <cellStyle name="20% - Accent1 8 4 8" xfId="23100" xr:uid="{00000000-0005-0000-0000-0000A4030000}"/>
    <cellStyle name="20% - Accent1 8 4 9" xfId="51654" xr:uid="{00000000-0005-0000-0000-0000A5030000}"/>
    <cellStyle name="20% - Accent1 8 5" xfId="235" xr:uid="{00000000-0005-0000-0000-0000A6030000}"/>
    <cellStyle name="20% - Accent1 8 5 2" xfId="3479" xr:uid="{00000000-0005-0000-0000-0000A7030000}"/>
    <cellStyle name="20% - Accent1 8 5 2 2" xfId="8106" xr:uid="{00000000-0005-0000-0000-0000A8030000}"/>
    <cellStyle name="20% - Accent1 8 5 2 2 2" xfId="15902" xr:uid="{00000000-0005-0000-0000-0000A9030000}"/>
    <cellStyle name="20% - Accent1 8 5 2 2 2 2" xfId="33537" xr:uid="{00000000-0005-0000-0000-0000AA030000}"/>
    <cellStyle name="20% - Accent1 8 5 2 2 3" xfId="26520" xr:uid="{00000000-0005-0000-0000-0000AB030000}"/>
    <cellStyle name="20% - Accent1 8 5 2 3" xfId="12215" xr:uid="{00000000-0005-0000-0000-0000AC030000}"/>
    <cellStyle name="20% - Accent1 8 5 2 3 2" xfId="29886" xr:uid="{00000000-0005-0000-0000-0000AD030000}"/>
    <cellStyle name="20% - Accent1 8 5 2 4" xfId="23655" xr:uid="{00000000-0005-0000-0000-0000AE030000}"/>
    <cellStyle name="20% - Accent1 8 5 3" xfId="5529" xr:uid="{00000000-0005-0000-0000-0000AF030000}"/>
    <cellStyle name="20% - Accent1 8 5 3 2" xfId="8829" xr:uid="{00000000-0005-0000-0000-0000B0030000}"/>
    <cellStyle name="20% - Accent1 8 5 3 2 2" xfId="16624" xr:uid="{00000000-0005-0000-0000-0000B1030000}"/>
    <cellStyle name="20% - Accent1 8 5 3 2 2 2" xfId="34260" xr:uid="{00000000-0005-0000-0000-0000B2030000}"/>
    <cellStyle name="20% - Accent1 8 5 3 2 3" xfId="27217" xr:uid="{00000000-0005-0000-0000-0000B3030000}"/>
    <cellStyle name="20% - Accent1 8 5 3 3" xfId="13385" xr:uid="{00000000-0005-0000-0000-0000B4030000}"/>
    <cellStyle name="20% - Accent1 8 5 3 3 2" xfId="31025" xr:uid="{00000000-0005-0000-0000-0000B5030000}"/>
    <cellStyle name="20% - Accent1 8 5 3 4" xfId="24352" xr:uid="{00000000-0005-0000-0000-0000B6030000}"/>
    <cellStyle name="20% - Accent1 8 5 4" xfId="6159" xr:uid="{00000000-0005-0000-0000-0000B7030000}"/>
    <cellStyle name="20% - Accent1 8 5 4 2" xfId="9369" xr:uid="{00000000-0005-0000-0000-0000B8030000}"/>
    <cellStyle name="20% - Accent1 8 5 4 2 2" xfId="17163" xr:uid="{00000000-0005-0000-0000-0000B9030000}"/>
    <cellStyle name="20% - Accent1 8 5 4 2 2 2" xfId="34800" xr:uid="{00000000-0005-0000-0000-0000BA030000}"/>
    <cellStyle name="20% - Accent1 8 5 4 2 3" xfId="27753" xr:uid="{00000000-0005-0000-0000-0000BB030000}"/>
    <cellStyle name="20% - Accent1 8 5 4 3" xfId="13948" xr:uid="{00000000-0005-0000-0000-0000BC030000}"/>
    <cellStyle name="20% - Accent1 8 5 4 3 2" xfId="31583" xr:uid="{00000000-0005-0000-0000-0000BD030000}"/>
    <cellStyle name="20% - Accent1 8 5 4 4" xfId="24889" xr:uid="{00000000-0005-0000-0000-0000BE030000}"/>
    <cellStyle name="20% - Accent1 8 5 5" xfId="6697" xr:uid="{00000000-0005-0000-0000-0000BF030000}"/>
    <cellStyle name="20% - Accent1 8 5 5 2" xfId="9907" xr:uid="{00000000-0005-0000-0000-0000C0030000}"/>
    <cellStyle name="20% - Accent1 8 5 5 2 2" xfId="17700" xr:uid="{00000000-0005-0000-0000-0000C1030000}"/>
    <cellStyle name="20% - Accent1 8 5 5 2 2 2" xfId="35337" xr:uid="{00000000-0005-0000-0000-0000C2030000}"/>
    <cellStyle name="20% - Accent1 8 5 5 2 3" xfId="28290" xr:uid="{00000000-0005-0000-0000-0000C3030000}"/>
    <cellStyle name="20% - Accent1 8 5 5 3" xfId="14485" xr:uid="{00000000-0005-0000-0000-0000C4030000}"/>
    <cellStyle name="20% - Accent1 8 5 5 3 2" xfId="32120" xr:uid="{00000000-0005-0000-0000-0000C5030000}"/>
    <cellStyle name="20% - Accent1 8 5 5 4" xfId="25427" xr:uid="{00000000-0005-0000-0000-0000C6030000}"/>
    <cellStyle name="20% - Accent1 8 5 6" xfId="7533" xr:uid="{00000000-0005-0000-0000-0000C7030000}"/>
    <cellStyle name="20% - Accent1 8 5 6 2" xfId="15330" xr:uid="{00000000-0005-0000-0000-0000C8030000}"/>
    <cellStyle name="20% - Accent1 8 5 6 2 2" xfId="32965" xr:uid="{00000000-0005-0000-0000-0000C9030000}"/>
    <cellStyle name="20% - Accent1 8 5 6 3" xfId="25966" xr:uid="{00000000-0005-0000-0000-0000CA030000}"/>
    <cellStyle name="20% - Accent1 8 5 7" xfId="11098" xr:uid="{00000000-0005-0000-0000-0000CB030000}"/>
    <cellStyle name="20% - Accent1 8 5 7 2" xfId="28828" xr:uid="{00000000-0005-0000-0000-0000CC030000}"/>
    <cellStyle name="20% - Accent1 8 5 8" xfId="23101" xr:uid="{00000000-0005-0000-0000-0000CD030000}"/>
    <cellStyle name="20% - Accent1 8 5 9" xfId="51655" xr:uid="{00000000-0005-0000-0000-0000CE030000}"/>
    <cellStyle name="20% - Accent1 8 6" xfId="236" xr:uid="{00000000-0005-0000-0000-0000CF030000}"/>
    <cellStyle name="20% - Accent1 8 6 2" xfId="3480" xr:uid="{00000000-0005-0000-0000-0000D0030000}"/>
    <cellStyle name="20% - Accent1 8 6 2 2" xfId="8107" xr:uid="{00000000-0005-0000-0000-0000D1030000}"/>
    <cellStyle name="20% - Accent1 8 6 2 2 2" xfId="15903" xr:uid="{00000000-0005-0000-0000-0000D2030000}"/>
    <cellStyle name="20% - Accent1 8 6 2 2 2 2" xfId="33538" xr:uid="{00000000-0005-0000-0000-0000D3030000}"/>
    <cellStyle name="20% - Accent1 8 6 2 2 3" xfId="26521" xr:uid="{00000000-0005-0000-0000-0000D4030000}"/>
    <cellStyle name="20% - Accent1 8 6 2 3" xfId="12216" xr:uid="{00000000-0005-0000-0000-0000D5030000}"/>
    <cellStyle name="20% - Accent1 8 6 2 3 2" xfId="29887" xr:uid="{00000000-0005-0000-0000-0000D6030000}"/>
    <cellStyle name="20% - Accent1 8 6 2 4" xfId="23656" xr:uid="{00000000-0005-0000-0000-0000D7030000}"/>
    <cellStyle name="20% - Accent1 8 6 3" xfId="5530" xr:uid="{00000000-0005-0000-0000-0000D8030000}"/>
    <cellStyle name="20% - Accent1 8 6 3 2" xfId="8830" xr:uid="{00000000-0005-0000-0000-0000D9030000}"/>
    <cellStyle name="20% - Accent1 8 6 3 2 2" xfId="16625" xr:uid="{00000000-0005-0000-0000-0000DA030000}"/>
    <cellStyle name="20% - Accent1 8 6 3 2 2 2" xfId="34261" xr:uid="{00000000-0005-0000-0000-0000DB030000}"/>
    <cellStyle name="20% - Accent1 8 6 3 2 3" xfId="27218" xr:uid="{00000000-0005-0000-0000-0000DC030000}"/>
    <cellStyle name="20% - Accent1 8 6 3 3" xfId="13386" xr:uid="{00000000-0005-0000-0000-0000DD030000}"/>
    <cellStyle name="20% - Accent1 8 6 3 3 2" xfId="31026" xr:uid="{00000000-0005-0000-0000-0000DE030000}"/>
    <cellStyle name="20% - Accent1 8 6 3 4" xfId="24353" xr:uid="{00000000-0005-0000-0000-0000DF030000}"/>
    <cellStyle name="20% - Accent1 8 6 4" xfId="6160" xr:uid="{00000000-0005-0000-0000-0000E0030000}"/>
    <cellStyle name="20% - Accent1 8 6 4 2" xfId="9370" xr:uid="{00000000-0005-0000-0000-0000E1030000}"/>
    <cellStyle name="20% - Accent1 8 6 4 2 2" xfId="17164" xr:uid="{00000000-0005-0000-0000-0000E2030000}"/>
    <cellStyle name="20% - Accent1 8 6 4 2 2 2" xfId="34801" xr:uid="{00000000-0005-0000-0000-0000E3030000}"/>
    <cellStyle name="20% - Accent1 8 6 4 2 3" xfId="27754" xr:uid="{00000000-0005-0000-0000-0000E4030000}"/>
    <cellStyle name="20% - Accent1 8 6 4 3" xfId="13949" xr:uid="{00000000-0005-0000-0000-0000E5030000}"/>
    <cellStyle name="20% - Accent1 8 6 4 3 2" xfId="31584" xr:uid="{00000000-0005-0000-0000-0000E6030000}"/>
    <cellStyle name="20% - Accent1 8 6 4 4" xfId="24890" xr:uid="{00000000-0005-0000-0000-0000E7030000}"/>
    <cellStyle name="20% - Accent1 8 6 5" xfId="6698" xr:uid="{00000000-0005-0000-0000-0000E8030000}"/>
    <cellStyle name="20% - Accent1 8 6 5 2" xfId="9908" xr:uid="{00000000-0005-0000-0000-0000E9030000}"/>
    <cellStyle name="20% - Accent1 8 6 5 2 2" xfId="17701" xr:uid="{00000000-0005-0000-0000-0000EA030000}"/>
    <cellStyle name="20% - Accent1 8 6 5 2 2 2" xfId="35338" xr:uid="{00000000-0005-0000-0000-0000EB030000}"/>
    <cellStyle name="20% - Accent1 8 6 5 2 3" xfId="28291" xr:uid="{00000000-0005-0000-0000-0000EC030000}"/>
    <cellStyle name="20% - Accent1 8 6 5 3" xfId="14486" xr:uid="{00000000-0005-0000-0000-0000ED030000}"/>
    <cellStyle name="20% - Accent1 8 6 5 3 2" xfId="32121" xr:uid="{00000000-0005-0000-0000-0000EE030000}"/>
    <cellStyle name="20% - Accent1 8 6 5 4" xfId="25428" xr:uid="{00000000-0005-0000-0000-0000EF030000}"/>
    <cellStyle name="20% - Accent1 8 6 6" xfId="7534" xr:uid="{00000000-0005-0000-0000-0000F0030000}"/>
    <cellStyle name="20% - Accent1 8 6 6 2" xfId="15331" xr:uid="{00000000-0005-0000-0000-0000F1030000}"/>
    <cellStyle name="20% - Accent1 8 6 6 2 2" xfId="32966" xr:uid="{00000000-0005-0000-0000-0000F2030000}"/>
    <cellStyle name="20% - Accent1 8 6 6 3" xfId="25967" xr:uid="{00000000-0005-0000-0000-0000F3030000}"/>
    <cellStyle name="20% - Accent1 8 6 7" xfId="11099" xr:uid="{00000000-0005-0000-0000-0000F4030000}"/>
    <cellStyle name="20% - Accent1 8 6 7 2" xfId="28829" xr:uid="{00000000-0005-0000-0000-0000F5030000}"/>
    <cellStyle name="20% - Accent1 8 6 8" xfId="23102" xr:uid="{00000000-0005-0000-0000-0000F6030000}"/>
    <cellStyle name="20% - Accent1 8 6 9" xfId="51656" xr:uid="{00000000-0005-0000-0000-0000F7030000}"/>
    <cellStyle name="20% - Accent1 8 7" xfId="237" xr:uid="{00000000-0005-0000-0000-0000F8030000}"/>
    <cellStyle name="20% - Accent1 8 7 10" xfId="51657" xr:uid="{00000000-0005-0000-0000-0000F9030000}"/>
    <cellStyle name="20% - Accent1 8 7 2" xfId="238" xr:uid="{00000000-0005-0000-0000-0000FA030000}"/>
    <cellStyle name="20% - Accent1 8 7 2 2" xfId="8109" xr:uid="{00000000-0005-0000-0000-0000FB030000}"/>
    <cellStyle name="20% - Accent1 8 7 2 2 2" xfId="15905" xr:uid="{00000000-0005-0000-0000-0000FC030000}"/>
    <cellStyle name="20% - Accent1 8 7 2 2 2 2" xfId="33540" xr:uid="{00000000-0005-0000-0000-0000FD030000}"/>
    <cellStyle name="20% - Accent1 8 7 2 2 3" xfId="26523" xr:uid="{00000000-0005-0000-0000-0000FE030000}"/>
    <cellStyle name="20% - Accent1 8 7 2 3" xfId="12218" xr:uid="{00000000-0005-0000-0000-0000FF030000}"/>
    <cellStyle name="20% - Accent1 8 7 2 3 2" xfId="29889" xr:uid="{00000000-0005-0000-0000-000000040000}"/>
    <cellStyle name="20% - Accent1 8 7 2 4" xfId="23658" xr:uid="{00000000-0005-0000-0000-000001040000}"/>
    <cellStyle name="20% - Accent1 8 7 3" xfId="3481" xr:uid="{00000000-0005-0000-0000-000002040000}"/>
    <cellStyle name="20% - Accent1 8 7 3 2" xfId="8108" xr:uid="{00000000-0005-0000-0000-000003040000}"/>
    <cellStyle name="20% - Accent1 8 7 3 2 2" xfId="15904" xr:uid="{00000000-0005-0000-0000-000004040000}"/>
    <cellStyle name="20% - Accent1 8 7 3 2 2 2" xfId="33539" xr:uid="{00000000-0005-0000-0000-000005040000}"/>
    <cellStyle name="20% - Accent1 8 7 3 2 3" xfId="26522" xr:uid="{00000000-0005-0000-0000-000006040000}"/>
    <cellStyle name="20% - Accent1 8 7 3 3" xfId="12217" xr:uid="{00000000-0005-0000-0000-000007040000}"/>
    <cellStyle name="20% - Accent1 8 7 3 3 2" xfId="29888" xr:uid="{00000000-0005-0000-0000-000008040000}"/>
    <cellStyle name="20% - Accent1 8 7 3 4" xfId="23657" xr:uid="{00000000-0005-0000-0000-000009040000}"/>
    <cellStyle name="20% - Accent1 8 7 4" xfId="5531" xr:uid="{00000000-0005-0000-0000-00000A040000}"/>
    <cellStyle name="20% - Accent1 8 7 4 2" xfId="8831" xr:uid="{00000000-0005-0000-0000-00000B040000}"/>
    <cellStyle name="20% - Accent1 8 7 4 2 2" xfId="16626" xr:uid="{00000000-0005-0000-0000-00000C040000}"/>
    <cellStyle name="20% - Accent1 8 7 4 2 2 2" xfId="34262" xr:uid="{00000000-0005-0000-0000-00000D040000}"/>
    <cellStyle name="20% - Accent1 8 7 4 2 3" xfId="27219" xr:uid="{00000000-0005-0000-0000-00000E040000}"/>
    <cellStyle name="20% - Accent1 8 7 4 3" xfId="13387" xr:uid="{00000000-0005-0000-0000-00000F040000}"/>
    <cellStyle name="20% - Accent1 8 7 4 3 2" xfId="31027" xr:uid="{00000000-0005-0000-0000-000010040000}"/>
    <cellStyle name="20% - Accent1 8 7 4 4" xfId="24354" xr:uid="{00000000-0005-0000-0000-000011040000}"/>
    <cellStyle name="20% - Accent1 8 7 5" xfId="6161" xr:uid="{00000000-0005-0000-0000-000012040000}"/>
    <cellStyle name="20% - Accent1 8 7 5 2" xfId="9371" xr:uid="{00000000-0005-0000-0000-000013040000}"/>
    <cellStyle name="20% - Accent1 8 7 5 2 2" xfId="17165" xr:uid="{00000000-0005-0000-0000-000014040000}"/>
    <cellStyle name="20% - Accent1 8 7 5 2 2 2" xfId="34802" xr:uid="{00000000-0005-0000-0000-000015040000}"/>
    <cellStyle name="20% - Accent1 8 7 5 2 3" xfId="27755" xr:uid="{00000000-0005-0000-0000-000016040000}"/>
    <cellStyle name="20% - Accent1 8 7 5 3" xfId="13950" xr:uid="{00000000-0005-0000-0000-000017040000}"/>
    <cellStyle name="20% - Accent1 8 7 5 3 2" xfId="31585" xr:uid="{00000000-0005-0000-0000-000018040000}"/>
    <cellStyle name="20% - Accent1 8 7 5 4" xfId="24891" xr:uid="{00000000-0005-0000-0000-000019040000}"/>
    <cellStyle name="20% - Accent1 8 7 6" xfId="6699" xr:uid="{00000000-0005-0000-0000-00001A040000}"/>
    <cellStyle name="20% - Accent1 8 7 6 2" xfId="9909" xr:uid="{00000000-0005-0000-0000-00001B040000}"/>
    <cellStyle name="20% - Accent1 8 7 6 2 2" xfId="17702" xr:uid="{00000000-0005-0000-0000-00001C040000}"/>
    <cellStyle name="20% - Accent1 8 7 6 2 2 2" xfId="35339" xr:uid="{00000000-0005-0000-0000-00001D040000}"/>
    <cellStyle name="20% - Accent1 8 7 6 2 3" xfId="28292" xr:uid="{00000000-0005-0000-0000-00001E040000}"/>
    <cellStyle name="20% - Accent1 8 7 6 3" xfId="14487" xr:uid="{00000000-0005-0000-0000-00001F040000}"/>
    <cellStyle name="20% - Accent1 8 7 6 3 2" xfId="32122" xr:uid="{00000000-0005-0000-0000-000020040000}"/>
    <cellStyle name="20% - Accent1 8 7 6 4" xfId="25429" xr:uid="{00000000-0005-0000-0000-000021040000}"/>
    <cellStyle name="20% - Accent1 8 7 7" xfId="7535" xr:uid="{00000000-0005-0000-0000-000022040000}"/>
    <cellStyle name="20% - Accent1 8 7 7 2" xfId="15332" xr:uid="{00000000-0005-0000-0000-000023040000}"/>
    <cellStyle name="20% - Accent1 8 7 7 2 2" xfId="32967" xr:uid="{00000000-0005-0000-0000-000024040000}"/>
    <cellStyle name="20% - Accent1 8 7 7 3" xfId="25968" xr:uid="{00000000-0005-0000-0000-000025040000}"/>
    <cellStyle name="20% - Accent1 8 7 8" xfId="11100" xr:uid="{00000000-0005-0000-0000-000026040000}"/>
    <cellStyle name="20% - Accent1 8 7 8 2" xfId="28830" xr:uid="{00000000-0005-0000-0000-000027040000}"/>
    <cellStyle name="20% - Accent1 8 7 9" xfId="23103" xr:uid="{00000000-0005-0000-0000-000028040000}"/>
    <cellStyle name="20% - Accent1 8 8" xfId="3482" xr:uid="{00000000-0005-0000-0000-000029040000}"/>
    <cellStyle name="20% - Accent1 8 8 2" xfId="8110" xr:uid="{00000000-0005-0000-0000-00002A040000}"/>
    <cellStyle name="20% - Accent1 8 8 2 2" xfId="15906" xr:uid="{00000000-0005-0000-0000-00002B040000}"/>
    <cellStyle name="20% - Accent1 8 8 2 2 2" xfId="33541" xr:uid="{00000000-0005-0000-0000-00002C040000}"/>
    <cellStyle name="20% - Accent1 8 8 2 3" xfId="26524" xr:uid="{00000000-0005-0000-0000-00002D040000}"/>
    <cellStyle name="20% - Accent1 8 8 3" xfId="12219" xr:uid="{00000000-0005-0000-0000-00002E040000}"/>
    <cellStyle name="20% - Accent1 8 8 3 2" xfId="29890" xr:uid="{00000000-0005-0000-0000-00002F040000}"/>
    <cellStyle name="20% - Accent1 8 8 4" xfId="23659" xr:uid="{00000000-0005-0000-0000-000030040000}"/>
    <cellStyle name="20% - Accent1 8 9" xfId="3483" xr:uid="{00000000-0005-0000-0000-000031040000}"/>
    <cellStyle name="20% - Accent1 8 9 2" xfId="8111" xr:uid="{00000000-0005-0000-0000-000032040000}"/>
    <cellStyle name="20% - Accent1 8 9 2 2" xfId="15907" xr:uid="{00000000-0005-0000-0000-000033040000}"/>
    <cellStyle name="20% - Accent1 8 9 2 2 2" xfId="33542" xr:uid="{00000000-0005-0000-0000-000034040000}"/>
    <cellStyle name="20% - Accent1 8 9 2 3" xfId="26525" xr:uid="{00000000-0005-0000-0000-000035040000}"/>
    <cellStyle name="20% - Accent1 8 9 3" xfId="12220" xr:uid="{00000000-0005-0000-0000-000036040000}"/>
    <cellStyle name="20% - Accent1 8 9 3 2" xfId="29891" xr:uid="{00000000-0005-0000-0000-000037040000}"/>
    <cellStyle name="20% - Accent1 8 9 4" xfId="23660" xr:uid="{00000000-0005-0000-0000-000038040000}"/>
    <cellStyle name="20% - Accent1 9" xfId="239" xr:uid="{00000000-0005-0000-0000-000039040000}"/>
    <cellStyle name="20% - Accent1 9 10" xfId="3484" xr:uid="{00000000-0005-0000-0000-00003A040000}"/>
    <cellStyle name="20% - Accent1 9 10 2" xfId="8112" xr:uid="{00000000-0005-0000-0000-00003B040000}"/>
    <cellStyle name="20% - Accent1 9 10 2 2" xfId="15908" xr:uid="{00000000-0005-0000-0000-00003C040000}"/>
    <cellStyle name="20% - Accent1 9 10 2 2 2" xfId="33543" xr:uid="{00000000-0005-0000-0000-00003D040000}"/>
    <cellStyle name="20% - Accent1 9 10 2 3" xfId="26526" xr:uid="{00000000-0005-0000-0000-00003E040000}"/>
    <cellStyle name="20% - Accent1 9 10 3" xfId="12221" xr:uid="{00000000-0005-0000-0000-00003F040000}"/>
    <cellStyle name="20% - Accent1 9 10 3 2" xfId="29892" xr:uid="{00000000-0005-0000-0000-000040040000}"/>
    <cellStyle name="20% - Accent1 9 10 4" xfId="23661" xr:uid="{00000000-0005-0000-0000-000041040000}"/>
    <cellStyle name="20% - Accent1 9 11" xfId="5532" xr:uid="{00000000-0005-0000-0000-000042040000}"/>
    <cellStyle name="20% - Accent1 9 11 2" xfId="8832" xr:uid="{00000000-0005-0000-0000-000043040000}"/>
    <cellStyle name="20% - Accent1 9 11 2 2" xfId="16627" xr:uid="{00000000-0005-0000-0000-000044040000}"/>
    <cellStyle name="20% - Accent1 9 11 2 2 2" xfId="34263" xr:uid="{00000000-0005-0000-0000-000045040000}"/>
    <cellStyle name="20% - Accent1 9 11 2 3" xfId="27220" xr:uid="{00000000-0005-0000-0000-000046040000}"/>
    <cellStyle name="20% - Accent1 9 11 3" xfId="13388" xr:uid="{00000000-0005-0000-0000-000047040000}"/>
    <cellStyle name="20% - Accent1 9 11 3 2" xfId="31028" xr:uid="{00000000-0005-0000-0000-000048040000}"/>
    <cellStyle name="20% - Accent1 9 11 4" xfId="24355" xr:uid="{00000000-0005-0000-0000-000049040000}"/>
    <cellStyle name="20% - Accent1 9 12" xfId="6162" xr:uid="{00000000-0005-0000-0000-00004A040000}"/>
    <cellStyle name="20% - Accent1 9 12 2" xfId="9372" xr:uid="{00000000-0005-0000-0000-00004B040000}"/>
    <cellStyle name="20% - Accent1 9 12 2 2" xfId="17166" xr:uid="{00000000-0005-0000-0000-00004C040000}"/>
    <cellStyle name="20% - Accent1 9 12 2 2 2" xfId="34803" xr:uid="{00000000-0005-0000-0000-00004D040000}"/>
    <cellStyle name="20% - Accent1 9 12 2 3" xfId="27756" xr:uid="{00000000-0005-0000-0000-00004E040000}"/>
    <cellStyle name="20% - Accent1 9 12 3" xfId="13951" xr:uid="{00000000-0005-0000-0000-00004F040000}"/>
    <cellStyle name="20% - Accent1 9 12 3 2" xfId="31586" xr:uid="{00000000-0005-0000-0000-000050040000}"/>
    <cellStyle name="20% - Accent1 9 12 4" xfId="24892" xr:uid="{00000000-0005-0000-0000-000051040000}"/>
    <cellStyle name="20% - Accent1 9 13" xfId="6700" xr:uid="{00000000-0005-0000-0000-000052040000}"/>
    <cellStyle name="20% - Accent1 9 13 2" xfId="9910" xr:uid="{00000000-0005-0000-0000-000053040000}"/>
    <cellStyle name="20% - Accent1 9 13 2 2" xfId="17703" xr:uid="{00000000-0005-0000-0000-000054040000}"/>
    <cellStyle name="20% - Accent1 9 13 2 2 2" xfId="35340" xr:uid="{00000000-0005-0000-0000-000055040000}"/>
    <cellStyle name="20% - Accent1 9 13 2 3" xfId="28293" xr:uid="{00000000-0005-0000-0000-000056040000}"/>
    <cellStyle name="20% - Accent1 9 13 3" xfId="14488" xr:uid="{00000000-0005-0000-0000-000057040000}"/>
    <cellStyle name="20% - Accent1 9 13 3 2" xfId="32123" xr:uid="{00000000-0005-0000-0000-000058040000}"/>
    <cellStyle name="20% - Accent1 9 13 4" xfId="25430" xr:uid="{00000000-0005-0000-0000-000059040000}"/>
    <cellStyle name="20% - Accent1 9 14" xfId="7536" xr:uid="{00000000-0005-0000-0000-00005A040000}"/>
    <cellStyle name="20% - Accent1 9 14 2" xfId="15333" xr:uid="{00000000-0005-0000-0000-00005B040000}"/>
    <cellStyle name="20% - Accent1 9 14 2 2" xfId="32968" xr:uid="{00000000-0005-0000-0000-00005C040000}"/>
    <cellStyle name="20% - Accent1 9 14 3" xfId="25969" xr:uid="{00000000-0005-0000-0000-00005D040000}"/>
    <cellStyle name="20% - Accent1 9 15" xfId="11101" xr:uid="{00000000-0005-0000-0000-00005E040000}"/>
    <cellStyle name="20% - Accent1 9 15 2" xfId="28831" xr:uid="{00000000-0005-0000-0000-00005F040000}"/>
    <cellStyle name="20% - Accent1 9 16" xfId="22035" xr:uid="{00000000-0005-0000-0000-000060040000}"/>
    <cellStyle name="20% - Accent1 9 16 2" xfId="38754" xr:uid="{00000000-0005-0000-0000-000061040000}"/>
    <cellStyle name="20% - Accent1 9 17" xfId="23104" xr:uid="{00000000-0005-0000-0000-000062040000}"/>
    <cellStyle name="20% - Accent1 9 18" xfId="51658" xr:uid="{00000000-0005-0000-0000-000063040000}"/>
    <cellStyle name="20% - Accent1 9 2" xfId="240" xr:uid="{00000000-0005-0000-0000-000064040000}"/>
    <cellStyle name="20% - Accent1 9 2 10" xfId="51659" xr:uid="{00000000-0005-0000-0000-000065040000}"/>
    <cellStyle name="20% - Accent1 9 2 2" xfId="3485" xr:uid="{00000000-0005-0000-0000-000066040000}"/>
    <cellStyle name="20% - Accent1 9 2 2 2" xfId="8113" xr:uid="{00000000-0005-0000-0000-000067040000}"/>
    <cellStyle name="20% - Accent1 9 2 2 2 2" xfId="15909" xr:uid="{00000000-0005-0000-0000-000068040000}"/>
    <cellStyle name="20% - Accent1 9 2 2 2 2 2" xfId="33544" xr:uid="{00000000-0005-0000-0000-000069040000}"/>
    <cellStyle name="20% - Accent1 9 2 2 2 3" xfId="26527" xr:uid="{00000000-0005-0000-0000-00006A040000}"/>
    <cellStyle name="20% - Accent1 9 2 2 3" xfId="12222" xr:uid="{00000000-0005-0000-0000-00006B040000}"/>
    <cellStyle name="20% - Accent1 9 2 2 3 2" xfId="29893" xr:uid="{00000000-0005-0000-0000-00006C040000}"/>
    <cellStyle name="20% - Accent1 9 2 2 4" xfId="23662" xr:uid="{00000000-0005-0000-0000-00006D040000}"/>
    <cellStyle name="20% - Accent1 9 2 3" xfId="5533" xr:uid="{00000000-0005-0000-0000-00006E040000}"/>
    <cellStyle name="20% - Accent1 9 2 3 2" xfId="8833" xr:uid="{00000000-0005-0000-0000-00006F040000}"/>
    <cellStyle name="20% - Accent1 9 2 3 2 2" xfId="16628" xr:uid="{00000000-0005-0000-0000-000070040000}"/>
    <cellStyle name="20% - Accent1 9 2 3 2 2 2" xfId="34264" xr:uid="{00000000-0005-0000-0000-000071040000}"/>
    <cellStyle name="20% - Accent1 9 2 3 2 3" xfId="27221" xr:uid="{00000000-0005-0000-0000-000072040000}"/>
    <cellStyle name="20% - Accent1 9 2 3 3" xfId="13389" xr:uid="{00000000-0005-0000-0000-000073040000}"/>
    <cellStyle name="20% - Accent1 9 2 3 3 2" xfId="31029" xr:uid="{00000000-0005-0000-0000-000074040000}"/>
    <cellStyle name="20% - Accent1 9 2 3 4" xfId="24356" xr:uid="{00000000-0005-0000-0000-000075040000}"/>
    <cellStyle name="20% - Accent1 9 2 4" xfId="6163" xr:uid="{00000000-0005-0000-0000-000076040000}"/>
    <cellStyle name="20% - Accent1 9 2 4 2" xfId="9373" xr:uid="{00000000-0005-0000-0000-000077040000}"/>
    <cellStyle name="20% - Accent1 9 2 4 2 2" xfId="17167" xr:uid="{00000000-0005-0000-0000-000078040000}"/>
    <cellStyle name="20% - Accent1 9 2 4 2 2 2" xfId="34804" xr:uid="{00000000-0005-0000-0000-000079040000}"/>
    <cellStyle name="20% - Accent1 9 2 4 2 3" xfId="27757" xr:uid="{00000000-0005-0000-0000-00007A040000}"/>
    <cellStyle name="20% - Accent1 9 2 4 3" xfId="13952" xr:uid="{00000000-0005-0000-0000-00007B040000}"/>
    <cellStyle name="20% - Accent1 9 2 4 3 2" xfId="31587" xr:uid="{00000000-0005-0000-0000-00007C040000}"/>
    <cellStyle name="20% - Accent1 9 2 4 4" xfId="24893" xr:uid="{00000000-0005-0000-0000-00007D040000}"/>
    <cellStyle name="20% - Accent1 9 2 5" xfId="6701" xr:uid="{00000000-0005-0000-0000-00007E040000}"/>
    <cellStyle name="20% - Accent1 9 2 5 2" xfId="9911" xr:uid="{00000000-0005-0000-0000-00007F040000}"/>
    <cellStyle name="20% - Accent1 9 2 5 2 2" xfId="17704" xr:uid="{00000000-0005-0000-0000-000080040000}"/>
    <cellStyle name="20% - Accent1 9 2 5 2 2 2" xfId="35341" xr:uid="{00000000-0005-0000-0000-000081040000}"/>
    <cellStyle name="20% - Accent1 9 2 5 2 3" xfId="28294" xr:uid="{00000000-0005-0000-0000-000082040000}"/>
    <cellStyle name="20% - Accent1 9 2 5 3" xfId="14489" xr:uid="{00000000-0005-0000-0000-000083040000}"/>
    <cellStyle name="20% - Accent1 9 2 5 3 2" xfId="32124" xr:uid="{00000000-0005-0000-0000-000084040000}"/>
    <cellStyle name="20% - Accent1 9 2 5 4" xfId="25431" xr:uid="{00000000-0005-0000-0000-000085040000}"/>
    <cellStyle name="20% - Accent1 9 2 6" xfId="7537" xr:uid="{00000000-0005-0000-0000-000086040000}"/>
    <cellStyle name="20% - Accent1 9 2 6 2" xfId="15334" xr:uid="{00000000-0005-0000-0000-000087040000}"/>
    <cellStyle name="20% - Accent1 9 2 6 2 2" xfId="32969" xr:uid="{00000000-0005-0000-0000-000088040000}"/>
    <cellStyle name="20% - Accent1 9 2 6 3" xfId="25970" xr:uid="{00000000-0005-0000-0000-000089040000}"/>
    <cellStyle name="20% - Accent1 9 2 7" xfId="11102" xr:uid="{00000000-0005-0000-0000-00008A040000}"/>
    <cellStyle name="20% - Accent1 9 2 7 2" xfId="28832" xr:uid="{00000000-0005-0000-0000-00008B040000}"/>
    <cellStyle name="20% - Accent1 9 2 8" xfId="22713" xr:uid="{00000000-0005-0000-0000-00008C040000}"/>
    <cellStyle name="20% - Accent1 9 2 8 2" xfId="38923" xr:uid="{00000000-0005-0000-0000-00008D040000}"/>
    <cellStyle name="20% - Accent1 9 2 9" xfId="23105" xr:uid="{00000000-0005-0000-0000-00008E040000}"/>
    <cellStyle name="20% - Accent1 9 3" xfId="241" xr:uid="{00000000-0005-0000-0000-00008F040000}"/>
    <cellStyle name="20% - Accent1 9 3 10" xfId="23106" xr:uid="{00000000-0005-0000-0000-000090040000}"/>
    <cellStyle name="20% - Accent1 9 3 11" xfId="51660" xr:uid="{00000000-0005-0000-0000-000091040000}"/>
    <cellStyle name="20% - Accent1 9 3 2" xfId="242" xr:uid="{00000000-0005-0000-0000-000092040000}"/>
    <cellStyle name="20% - Accent1 9 3 2 2" xfId="3487" xr:uid="{00000000-0005-0000-0000-000093040000}"/>
    <cellStyle name="20% - Accent1 9 3 2 2 2" xfId="8115" xr:uid="{00000000-0005-0000-0000-000094040000}"/>
    <cellStyle name="20% - Accent1 9 3 2 2 2 2" xfId="15911" xr:uid="{00000000-0005-0000-0000-000095040000}"/>
    <cellStyle name="20% - Accent1 9 3 2 2 2 2 2" xfId="33546" xr:uid="{00000000-0005-0000-0000-000096040000}"/>
    <cellStyle name="20% - Accent1 9 3 2 2 2 3" xfId="26529" xr:uid="{00000000-0005-0000-0000-000097040000}"/>
    <cellStyle name="20% - Accent1 9 3 2 2 3" xfId="12224" xr:uid="{00000000-0005-0000-0000-000098040000}"/>
    <cellStyle name="20% - Accent1 9 3 2 2 3 2" xfId="29895" xr:uid="{00000000-0005-0000-0000-000099040000}"/>
    <cellStyle name="20% - Accent1 9 3 2 2 4" xfId="23664" xr:uid="{00000000-0005-0000-0000-00009A040000}"/>
    <cellStyle name="20% - Accent1 9 3 2 3" xfId="5535" xr:uid="{00000000-0005-0000-0000-00009B040000}"/>
    <cellStyle name="20% - Accent1 9 3 2 3 2" xfId="8835" xr:uid="{00000000-0005-0000-0000-00009C040000}"/>
    <cellStyle name="20% - Accent1 9 3 2 3 2 2" xfId="16630" xr:uid="{00000000-0005-0000-0000-00009D040000}"/>
    <cellStyle name="20% - Accent1 9 3 2 3 2 2 2" xfId="34266" xr:uid="{00000000-0005-0000-0000-00009E040000}"/>
    <cellStyle name="20% - Accent1 9 3 2 3 2 3" xfId="27223" xr:uid="{00000000-0005-0000-0000-00009F040000}"/>
    <cellStyle name="20% - Accent1 9 3 2 3 3" xfId="13391" xr:uid="{00000000-0005-0000-0000-0000A0040000}"/>
    <cellStyle name="20% - Accent1 9 3 2 3 3 2" xfId="31031" xr:uid="{00000000-0005-0000-0000-0000A1040000}"/>
    <cellStyle name="20% - Accent1 9 3 2 3 4" xfId="24358" xr:uid="{00000000-0005-0000-0000-0000A2040000}"/>
    <cellStyle name="20% - Accent1 9 3 2 4" xfId="6165" xr:uid="{00000000-0005-0000-0000-0000A3040000}"/>
    <cellStyle name="20% - Accent1 9 3 2 4 2" xfId="9375" xr:uid="{00000000-0005-0000-0000-0000A4040000}"/>
    <cellStyle name="20% - Accent1 9 3 2 4 2 2" xfId="17169" xr:uid="{00000000-0005-0000-0000-0000A5040000}"/>
    <cellStyle name="20% - Accent1 9 3 2 4 2 2 2" xfId="34806" xr:uid="{00000000-0005-0000-0000-0000A6040000}"/>
    <cellStyle name="20% - Accent1 9 3 2 4 2 3" xfId="27759" xr:uid="{00000000-0005-0000-0000-0000A7040000}"/>
    <cellStyle name="20% - Accent1 9 3 2 4 3" xfId="13954" xr:uid="{00000000-0005-0000-0000-0000A8040000}"/>
    <cellStyle name="20% - Accent1 9 3 2 4 3 2" xfId="31589" xr:uid="{00000000-0005-0000-0000-0000A9040000}"/>
    <cellStyle name="20% - Accent1 9 3 2 4 4" xfId="24895" xr:uid="{00000000-0005-0000-0000-0000AA040000}"/>
    <cellStyle name="20% - Accent1 9 3 2 5" xfId="6703" xr:uid="{00000000-0005-0000-0000-0000AB040000}"/>
    <cellStyle name="20% - Accent1 9 3 2 5 2" xfId="9913" xr:uid="{00000000-0005-0000-0000-0000AC040000}"/>
    <cellStyle name="20% - Accent1 9 3 2 5 2 2" xfId="17706" xr:uid="{00000000-0005-0000-0000-0000AD040000}"/>
    <cellStyle name="20% - Accent1 9 3 2 5 2 2 2" xfId="35343" xr:uid="{00000000-0005-0000-0000-0000AE040000}"/>
    <cellStyle name="20% - Accent1 9 3 2 5 2 3" xfId="28296" xr:uid="{00000000-0005-0000-0000-0000AF040000}"/>
    <cellStyle name="20% - Accent1 9 3 2 5 3" xfId="14491" xr:uid="{00000000-0005-0000-0000-0000B0040000}"/>
    <cellStyle name="20% - Accent1 9 3 2 5 3 2" xfId="32126" xr:uid="{00000000-0005-0000-0000-0000B1040000}"/>
    <cellStyle name="20% - Accent1 9 3 2 5 4" xfId="25433" xr:uid="{00000000-0005-0000-0000-0000B2040000}"/>
    <cellStyle name="20% - Accent1 9 3 2 6" xfId="7539" xr:uid="{00000000-0005-0000-0000-0000B3040000}"/>
    <cellStyle name="20% - Accent1 9 3 2 6 2" xfId="15336" xr:uid="{00000000-0005-0000-0000-0000B4040000}"/>
    <cellStyle name="20% - Accent1 9 3 2 6 2 2" xfId="32971" xr:uid="{00000000-0005-0000-0000-0000B5040000}"/>
    <cellStyle name="20% - Accent1 9 3 2 6 3" xfId="25972" xr:uid="{00000000-0005-0000-0000-0000B6040000}"/>
    <cellStyle name="20% - Accent1 9 3 2 7" xfId="11104" xr:uid="{00000000-0005-0000-0000-0000B7040000}"/>
    <cellStyle name="20% - Accent1 9 3 2 7 2" xfId="28834" xr:uid="{00000000-0005-0000-0000-0000B8040000}"/>
    <cellStyle name="20% - Accent1 9 3 2 8" xfId="23107" xr:uid="{00000000-0005-0000-0000-0000B9040000}"/>
    <cellStyle name="20% - Accent1 9 3 2 9" xfId="51661" xr:uid="{00000000-0005-0000-0000-0000BA040000}"/>
    <cellStyle name="20% - Accent1 9 3 3" xfId="3488" xr:uid="{00000000-0005-0000-0000-0000BB040000}"/>
    <cellStyle name="20% - Accent1 9 3 3 2" xfId="5536" xr:uid="{00000000-0005-0000-0000-0000BC040000}"/>
    <cellStyle name="20% - Accent1 9 3 3 2 2" xfId="8836" xr:uid="{00000000-0005-0000-0000-0000BD040000}"/>
    <cellStyle name="20% - Accent1 9 3 3 2 2 2" xfId="16631" xr:uid="{00000000-0005-0000-0000-0000BE040000}"/>
    <cellStyle name="20% - Accent1 9 3 3 2 2 2 2" xfId="34267" xr:uid="{00000000-0005-0000-0000-0000BF040000}"/>
    <cellStyle name="20% - Accent1 9 3 3 2 2 3" xfId="27224" xr:uid="{00000000-0005-0000-0000-0000C0040000}"/>
    <cellStyle name="20% - Accent1 9 3 3 2 3" xfId="13392" xr:uid="{00000000-0005-0000-0000-0000C1040000}"/>
    <cellStyle name="20% - Accent1 9 3 3 2 3 2" xfId="31032" xr:uid="{00000000-0005-0000-0000-0000C2040000}"/>
    <cellStyle name="20% - Accent1 9 3 3 2 4" xfId="24359" xr:uid="{00000000-0005-0000-0000-0000C3040000}"/>
    <cellStyle name="20% - Accent1 9 3 3 3" xfId="6166" xr:uid="{00000000-0005-0000-0000-0000C4040000}"/>
    <cellStyle name="20% - Accent1 9 3 3 3 2" xfId="9376" xr:uid="{00000000-0005-0000-0000-0000C5040000}"/>
    <cellStyle name="20% - Accent1 9 3 3 3 2 2" xfId="17170" xr:uid="{00000000-0005-0000-0000-0000C6040000}"/>
    <cellStyle name="20% - Accent1 9 3 3 3 2 2 2" xfId="34807" xr:uid="{00000000-0005-0000-0000-0000C7040000}"/>
    <cellStyle name="20% - Accent1 9 3 3 3 2 3" xfId="27760" xr:uid="{00000000-0005-0000-0000-0000C8040000}"/>
    <cellStyle name="20% - Accent1 9 3 3 3 3" xfId="13955" xr:uid="{00000000-0005-0000-0000-0000C9040000}"/>
    <cellStyle name="20% - Accent1 9 3 3 3 3 2" xfId="31590" xr:uid="{00000000-0005-0000-0000-0000CA040000}"/>
    <cellStyle name="20% - Accent1 9 3 3 3 4" xfId="24896" xr:uid="{00000000-0005-0000-0000-0000CB040000}"/>
    <cellStyle name="20% - Accent1 9 3 3 4" xfId="6704" xr:uid="{00000000-0005-0000-0000-0000CC040000}"/>
    <cellStyle name="20% - Accent1 9 3 3 4 2" xfId="9914" xr:uid="{00000000-0005-0000-0000-0000CD040000}"/>
    <cellStyle name="20% - Accent1 9 3 3 4 2 2" xfId="17707" xr:uid="{00000000-0005-0000-0000-0000CE040000}"/>
    <cellStyle name="20% - Accent1 9 3 3 4 2 2 2" xfId="35344" xr:uid="{00000000-0005-0000-0000-0000CF040000}"/>
    <cellStyle name="20% - Accent1 9 3 3 4 2 3" xfId="28297" xr:uid="{00000000-0005-0000-0000-0000D0040000}"/>
    <cellStyle name="20% - Accent1 9 3 3 4 3" xfId="14492" xr:uid="{00000000-0005-0000-0000-0000D1040000}"/>
    <cellStyle name="20% - Accent1 9 3 3 4 3 2" xfId="32127" xr:uid="{00000000-0005-0000-0000-0000D2040000}"/>
    <cellStyle name="20% - Accent1 9 3 3 4 4" xfId="25434" xr:uid="{00000000-0005-0000-0000-0000D3040000}"/>
    <cellStyle name="20% - Accent1 9 3 3 5" xfId="8116" xr:uid="{00000000-0005-0000-0000-0000D4040000}"/>
    <cellStyle name="20% - Accent1 9 3 3 5 2" xfId="15912" xr:uid="{00000000-0005-0000-0000-0000D5040000}"/>
    <cellStyle name="20% - Accent1 9 3 3 5 2 2" xfId="33547" xr:uid="{00000000-0005-0000-0000-0000D6040000}"/>
    <cellStyle name="20% - Accent1 9 3 3 5 3" xfId="26530" xr:uid="{00000000-0005-0000-0000-0000D7040000}"/>
    <cellStyle name="20% - Accent1 9 3 3 6" xfId="12225" xr:uid="{00000000-0005-0000-0000-0000D8040000}"/>
    <cellStyle name="20% - Accent1 9 3 3 6 2" xfId="29896" xr:uid="{00000000-0005-0000-0000-0000D9040000}"/>
    <cellStyle name="20% - Accent1 9 3 3 7" xfId="23665" xr:uid="{00000000-0005-0000-0000-0000DA040000}"/>
    <cellStyle name="20% - Accent1 9 3 4" xfId="3486" xr:uid="{00000000-0005-0000-0000-0000DB040000}"/>
    <cellStyle name="20% - Accent1 9 3 4 2" xfId="8114" xr:uid="{00000000-0005-0000-0000-0000DC040000}"/>
    <cellStyle name="20% - Accent1 9 3 4 2 2" xfId="15910" xr:uid="{00000000-0005-0000-0000-0000DD040000}"/>
    <cellStyle name="20% - Accent1 9 3 4 2 2 2" xfId="33545" xr:uid="{00000000-0005-0000-0000-0000DE040000}"/>
    <cellStyle name="20% - Accent1 9 3 4 2 3" xfId="26528" xr:uid="{00000000-0005-0000-0000-0000DF040000}"/>
    <cellStyle name="20% - Accent1 9 3 4 3" xfId="12223" xr:uid="{00000000-0005-0000-0000-0000E0040000}"/>
    <cellStyle name="20% - Accent1 9 3 4 3 2" xfId="29894" xr:uid="{00000000-0005-0000-0000-0000E1040000}"/>
    <cellStyle name="20% - Accent1 9 3 4 4" xfId="23663" xr:uid="{00000000-0005-0000-0000-0000E2040000}"/>
    <cellStyle name="20% - Accent1 9 3 5" xfId="5534" xr:uid="{00000000-0005-0000-0000-0000E3040000}"/>
    <cellStyle name="20% - Accent1 9 3 5 2" xfId="8834" xr:uid="{00000000-0005-0000-0000-0000E4040000}"/>
    <cellStyle name="20% - Accent1 9 3 5 2 2" xfId="16629" xr:uid="{00000000-0005-0000-0000-0000E5040000}"/>
    <cellStyle name="20% - Accent1 9 3 5 2 2 2" xfId="34265" xr:uid="{00000000-0005-0000-0000-0000E6040000}"/>
    <cellStyle name="20% - Accent1 9 3 5 2 3" xfId="27222" xr:uid="{00000000-0005-0000-0000-0000E7040000}"/>
    <cellStyle name="20% - Accent1 9 3 5 3" xfId="13390" xr:uid="{00000000-0005-0000-0000-0000E8040000}"/>
    <cellStyle name="20% - Accent1 9 3 5 3 2" xfId="31030" xr:uid="{00000000-0005-0000-0000-0000E9040000}"/>
    <cellStyle name="20% - Accent1 9 3 5 4" xfId="24357" xr:uid="{00000000-0005-0000-0000-0000EA040000}"/>
    <cellStyle name="20% - Accent1 9 3 6" xfId="6164" xr:uid="{00000000-0005-0000-0000-0000EB040000}"/>
    <cellStyle name="20% - Accent1 9 3 6 2" xfId="9374" xr:uid="{00000000-0005-0000-0000-0000EC040000}"/>
    <cellStyle name="20% - Accent1 9 3 6 2 2" xfId="17168" xr:uid="{00000000-0005-0000-0000-0000ED040000}"/>
    <cellStyle name="20% - Accent1 9 3 6 2 2 2" xfId="34805" xr:uid="{00000000-0005-0000-0000-0000EE040000}"/>
    <cellStyle name="20% - Accent1 9 3 6 2 3" xfId="27758" xr:uid="{00000000-0005-0000-0000-0000EF040000}"/>
    <cellStyle name="20% - Accent1 9 3 6 3" xfId="13953" xr:uid="{00000000-0005-0000-0000-0000F0040000}"/>
    <cellStyle name="20% - Accent1 9 3 6 3 2" xfId="31588" xr:uid="{00000000-0005-0000-0000-0000F1040000}"/>
    <cellStyle name="20% - Accent1 9 3 6 4" xfId="24894" xr:uid="{00000000-0005-0000-0000-0000F2040000}"/>
    <cellStyle name="20% - Accent1 9 3 7" xfId="6702" xr:uid="{00000000-0005-0000-0000-0000F3040000}"/>
    <cellStyle name="20% - Accent1 9 3 7 2" xfId="9912" xr:uid="{00000000-0005-0000-0000-0000F4040000}"/>
    <cellStyle name="20% - Accent1 9 3 7 2 2" xfId="17705" xr:uid="{00000000-0005-0000-0000-0000F5040000}"/>
    <cellStyle name="20% - Accent1 9 3 7 2 2 2" xfId="35342" xr:uid="{00000000-0005-0000-0000-0000F6040000}"/>
    <cellStyle name="20% - Accent1 9 3 7 2 3" xfId="28295" xr:uid="{00000000-0005-0000-0000-0000F7040000}"/>
    <cellStyle name="20% - Accent1 9 3 7 3" xfId="14490" xr:uid="{00000000-0005-0000-0000-0000F8040000}"/>
    <cellStyle name="20% - Accent1 9 3 7 3 2" xfId="32125" xr:uid="{00000000-0005-0000-0000-0000F9040000}"/>
    <cellStyle name="20% - Accent1 9 3 7 4" xfId="25432" xr:uid="{00000000-0005-0000-0000-0000FA040000}"/>
    <cellStyle name="20% - Accent1 9 3 8" xfId="7538" xr:uid="{00000000-0005-0000-0000-0000FB040000}"/>
    <cellStyle name="20% - Accent1 9 3 8 2" xfId="15335" xr:uid="{00000000-0005-0000-0000-0000FC040000}"/>
    <cellStyle name="20% - Accent1 9 3 8 2 2" xfId="32970" xr:uid="{00000000-0005-0000-0000-0000FD040000}"/>
    <cellStyle name="20% - Accent1 9 3 8 3" xfId="25971" xr:uid="{00000000-0005-0000-0000-0000FE040000}"/>
    <cellStyle name="20% - Accent1 9 3 9" xfId="11103" xr:uid="{00000000-0005-0000-0000-0000FF040000}"/>
    <cellStyle name="20% - Accent1 9 3 9 2" xfId="28833" xr:uid="{00000000-0005-0000-0000-000000050000}"/>
    <cellStyle name="20% - Accent1 9 4" xfId="243" xr:uid="{00000000-0005-0000-0000-000001050000}"/>
    <cellStyle name="20% - Accent1 9 4 2" xfId="3489" xr:uid="{00000000-0005-0000-0000-000002050000}"/>
    <cellStyle name="20% - Accent1 9 4 2 2" xfId="8117" xr:uid="{00000000-0005-0000-0000-000003050000}"/>
    <cellStyle name="20% - Accent1 9 4 2 2 2" xfId="15913" xr:uid="{00000000-0005-0000-0000-000004050000}"/>
    <cellStyle name="20% - Accent1 9 4 2 2 2 2" xfId="33548" xr:uid="{00000000-0005-0000-0000-000005050000}"/>
    <cellStyle name="20% - Accent1 9 4 2 2 3" xfId="26531" xr:uid="{00000000-0005-0000-0000-000006050000}"/>
    <cellStyle name="20% - Accent1 9 4 2 3" xfId="12226" xr:uid="{00000000-0005-0000-0000-000007050000}"/>
    <cellStyle name="20% - Accent1 9 4 2 3 2" xfId="29897" xr:uid="{00000000-0005-0000-0000-000008050000}"/>
    <cellStyle name="20% - Accent1 9 4 2 4" xfId="23666" xr:uid="{00000000-0005-0000-0000-000009050000}"/>
    <cellStyle name="20% - Accent1 9 4 3" xfId="5537" xr:uid="{00000000-0005-0000-0000-00000A050000}"/>
    <cellStyle name="20% - Accent1 9 4 3 2" xfId="8837" xr:uid="{00000000-0005-0000-0000-00000B050000}"/>
    <cellStyle name="20% - Accent1 9 4 3 2 2" xfId="16632" xr:uid="{00000000-0005-0000-0000-00000C050000}"/>
    <cellStyle name="20% - Accent1 9 4 3 2 2 2" xfId="34268" xr:uid="{00000000-0005-0000-0000-00000D050000}"/>
    <cellStyle name="20% - Accent1 9 4 3 2 3" xfId="27225" xr:uid="{00000000-0005-0000-0000-00000E050000}"/>
    <cellStyle name="20% - Accent1 9 4 3 3" xfId="13393" xr:uid="{00000000-0005-0000-0000-00000F050000}"/>
    <cellStyle name="20% - Accent1 9 4 3 3 2" xfId="31033" xr:uid="{00000000-0005-0000-0000-000010050000}"/>
    <cellStyle name="20% - Accent1 9 4 3 4" xfId="24360" xr:uid="{00000000-0005-0000-0000-000011050000}"/>
    <cellStyle name="20% - Accent1 9 4 4" xfId="6167" xr:uid="{00000000-0005-0000-0000-000012050000}"/>
    <cellStyle name="20% - Accent1 9 4 4 2" xfId="9377" xr:uid="{00000000-0005-0000-0000-000013050000}"/>
    <cellStyle name="20% - Accent1 9 4 4 2 2" xfId="17171" xr:uid="{00000000-0005-0000-0000-000014050000}"/>
    <cellStyle name="20% - Accent1 9 4 4 2 2 2" xfId="34808" xr:uid="{00000000-0005-0000-0000-000015050000}"/>
    <cellStyle name="20% - Accent1 9 4 4 2 3" xfId="27761" xr:uid="{00000000-0005-0000-0000-000016050000}"/>
    <cellStyle name="20% - Accent1 9 4 4 3" xfId="13956" xr:uid="{00000000-0005-0000-0000-000017050000}"/>
    <cellStyle name="20% - Accent1 9 4 4 3 2" xfId="31591" xr:uid="{00000000-0005-0000-0000-000018050000}"/>
    <cellStyle name="20% - Accent1 9 4 4 4" xfId="24897" xr:uid="{00000000-0005-0000-0000-000019050000}"/>
    <cellStyle name="20% - Accent1 9 4 5" xfId="6705" xr:uid="{00000000-0005-0000-0000-00001A050000}"/>
    <cellStyle name="20% - Accent1 9 4 5 2" xfId="9915" xr:uid="{00000000-0005-0000-0000-00001B050000}"/>
    <cellStyle name="20% - Accent1 9 4 5 2 2" xfId="17708" xr:uid="{00000000-0005-0000-0000-00001C050000}"/>
    <cellStyle name="20% - Accent1 9 4 5 2 2 2" xfId="35345" xr:uid="{00000000-0005-0000-0000-00001D050000}"/>
    <cellStyle name="20% - Accent1 9 4 5 2 3" xfId="28298" xr:uid="{00000000-0005-0000-0000-00001E050000}"/>
    <cellStyle name="20% - Accent1 9 4 5 3" xfId="14493" xr:uid="{00000000-0005-0000-0000-00001F050000}"/>
    <cellStyle name="20% - Accent1 9 4 5 3 2" xfId="32128" xr:uid="{00000000-0005-0000-0000-000020050000}"/>
    <cellStyle name="20% - Accent1 9 4 5 4" xfId="25435" xr:uid="{00000000-0005-0000-0000-000021050000}"/>
    <cellStyle name="20% - Accent1 9 4 6" xfId="7540" xr:uid="{00000000-0005-0000-0000-000022050000}"/>
    <cellStyle name="20% - Accent1 9 4 6 2" xfId="15337" xr:uid="{00000000-0005-0000-0000-000023050000}"/>
    <cellStyle name="20% - Accent1 9 4 6 2 2" xfId="32972" xr:uid="{00000000-0005-0000-0000-000024050000}"/>
    <cellStyle name="20% - Accent1 9 4 6 3" xfId="25973" xr:uid="{00000000-0005-0000-0000-000025050000}"/>
    <cellStyle name="20% - Accent1 9 4 7" xfId="11105" xr:uid="{00000000-0005-0000-0000-000026050000}"/>
    <cellStyle name="20% - Accent1 9 4 7 2" xfId="28835" xr:uid="{00000000-0005-0000-0000-000027050000}"/>
    <cellStyle name="20% - Accent1 9 4 8" xfId="23108" xr:uid="{00000000-0005-0000-0000-000028050000}"/>
    <cellStyle name="20% - Accent1 9 4 9" xfId="51662" xr:uid="{00000000-0005-0000-0000-000029050000}"/>
    <cellStyle name="20% - Accent1 9 5" xfId="244" xr:uid="{00000000-0005-0000-0000-00002A050000}"/>
    <cellStyle name="20% - Accent1 9 5 2" xfId="3490" xr:uid="{00000000-0005-0000-0000-00002B050000}"/>
    <cellStyle name="20% - Accent1 9 5 2 2" xfId="8118" xr:uid="{00000000-0005-0000-0000-00002C050000}"/>
    <cellStyle name="20% - Accent1 9 5 2 2 2" xfId="15914" xr:uid="{00000000-0005-0000-0000-00002D050000}"/>
    <cellStyle name="20% - Accent1 9 5 2 2 2 2" xfId="33549" xr:uid="{00000000-0005-0000-0000-00002E050000}"/>
    <cellStyle name="20% - Accent1 9 5 2 2 3" xfId="26532" xr:uid="{00000000-0005-0000-0000-00002F050000}"/>
    <cellStyle name="20% - Accent1 9 5 2 3" xfId="12227" xr:uid="{00000000-0005-0000-0000-000030050000}"/>
    <cellStyle name="20% - Accent1 9 5 2 3 2" xfId="29898" xr:uid="{00000000-0005-0000-0000-000031050000}"/>
    <cellStyle name="20% - Accent1 9 5 2 4" xfId="23667" xr:uid="{00000000-0005-0000-0000-000032050000}"/>
    <cellStyle name="20% - Accent1 9 5 3" xfId="5538" xr:uid="{00000000-0005-0000-0000-000033050000}"/>
    <cellStyle name="20% - Accent1 9 5 3 2" xfId="8838" xr:uid="{00000000-0005-0000-0000-000034050000}"/>
    <cellStyle name="20% - Accent1 9 5 3 2 2" xfId="16633" xr:uid="{00000000-0005-0000-0000-000035050000}"/>
    <cellStyle name="20% - Accent1 9 5 3 2 2 2" xfId="34269" xr:uid="{00000000-0005-0000-0000-000036050000}"/>
    <cellStyle name="20% - Accent1 9 5 3 2 3" xfId="27226" xr:uid="{00000000-0005-0000-0000-000037050000}"/>
    <cellStyle name="20% - Accent1 9 5 3 3" xfId="13394" xr:uid="{00000000-0005-0000-0000-000038050000}"/>
    <cellStyle name="20% - Accent1 9 5 3 3 2" xfId="31034" xr:uid="{00000000-0005-0000-0000-000039050000}"/>
    <cellStyle name="20% - Accent1 9 5 3 4" xfId="24361" xr:uid="{00000000-0005-0000-0000-00003A050000}"/>
    <cellStyle name="20% - Accent1 9 5 4" xfId="6168" xr:uid="{00000000-0005-0000-0000-00003B050000}"/>
    <cellStyle name="20% - Accent1 9 5 4 2" xfId="9378" xr:uid="{00000000-0005-0000-0000-00003C050000}"/>
    <cellStyle name="20% - Accent1 9 5 4 2 2" xfId="17172" xr:uid="{00000000-0005-0000-0000-00003D050000}"/>
    <cellStyle name="20% - Accent1 9 5 4 2 2 2" xfId="34809" xr:uid="{00000000-0005-0000-0000-00003E050000}"/>
    <cellStyle name="20% - Accent1 9 5 4 2 3" xfId="27762" xr:uid="{00000000-0005-0000-0000-00003F050000}"/>
    <cellStyle name="20% - Accent1 9 5 4 3" xfId="13957" xr:uid="{00000000-0005-0000-0000-000040050000}"/>
    <cellStyle name="20% - Accent1 9 5 4 3 2" xfId="31592" xr:uid="{00000000-0005-0000-0000-000041050000}"/>
    <cellStyle name="20% - Accent1 9 5 4 4" xfId="24898" xr:uid="{00000000-0005-0000-0000-000042050000}"/>
    <cellStyle name="20% - Accent1 9 5 5" xfId="6706" xr:uid="{00000000-0005-0000-0000-000043050000}"/>
    <cellStyle name="20% - Accent1 9 5 5 2" xfId="9916" xr:uid="{00000000-0005-0000-0000-000044050000}"/>
    <cellStyle name="20% - Accent1 9 5 5 2 2" xfId="17709" xr:uid="{00000000-0005-0000-0000-000045050000}"/>
    <cellStyle name="20% - Accent1 9 5 5 2 2 2" xfId="35346" xr:uid="{00000000-0005-0000-0000-000046050000}"/>
    <cellStyle name="20% - Accent1 9 5 5 2 3" xfId="28299" xr:uid="{00000000-0005-0000-0000-000047050000}"/>
    <cellStyle name="20% - Accent1 9 5 5 3" xfId="14494" xr:uid="{00000000-0005-0000-0000-000048050000}"/>
    <cellStyle name="20% - Accent1 9 5 5 3 2" xfId="32129" xr:uid="{00000000-0005-0000-0000-000049050000}"/>
    <cellStyle name="20% - Accent1 9 5 5 4" xfId="25436" xr:uid="{00000000-0005-0000-0000-00004A050000}"/>
    <cellStyle name="20% - Accent1 9 5 6" xfId="7541" xr:uid="{00000000-0005-0000-0000-00004B050000}"/>
    <cellStyle name="20% - Accent1 9 5 6 2" xfId="15338" xr:uid="{00000000-0005-0000-0000-00004C050000}"/>
    <cellStyle name="20% - Accent1 9 5 6 2 2" xfId="32973" xr:uid="{00000000-0005-0000-0000-00004D050000}"/>
    <cellStyle name="20% - Accent1 9 5 6 3" xfId="25974" xr:uid="{00000000-0005-0000-0000-00004E050000}"/>
    <cellStyle name="20% - Accent1 9 5 7" xfId="11106" xr:uid="{00000000-0005-0000-0000-00004F050000}"/>
    <cellStyle name="20% - Accent1 9 5 7 2" xfId="28836" xr:uid="{00000000-0005-0000-0000-000050050000}"/>
    <cellStyle name="20% - Accent1 9 5 8" xfId="23109" xr:uid="{00000000-0005-0000-0000-000051050000}"/>
    <cellStyle name="20% - Accent1 9 5 9" xfId="51663" xr:uid="{00000000-0005-0000-0000-000052050000}"/>
    <cellStyle name="20% - Accent1 9 6" xfId="245" xr:uid="{00000000-0005-0000-0000-000053050000}"/>
    <cellStyle name="20% - Accent1 9 6 2" xfId="3491" xr:uid="{00000000-0005-0000-0000-000054050000}"/>
    <cellStyle name="20% - Accent1 9 6 2 2" xfId="8119" xr:uid="{00000000-0005-0000-0000-000055050000}"/>
    <cellStyle name="20% - Accent1 9 6 2 2 2" xfId="15915" xr:uid="{00000000-0005-0000-0000-000056050000}"/>
    <cellStyle name="20% - Accent1 9 6 2 2 2 2" xfId="33550" xr:uid="{00000000-0005-0000-0000-000057050000}"/>
    <cellStyle name="20% - Accent1 9 6 2 2 3" xfId="26533" xr:uid="{00000000-0005-0000-0000-000058050000}"/>
    <cellStyle name="20% - Accent1 9 6 2 3" xfId="12228" xr:uid="{00000000-0005-0000-0000-000059050000}"/>
    <cellStyle name="20% - Accent1 9 6 2 3 2" xfId="29899" xr:uid="{00000000-0005-0000-0000-00005A050000}"/>
    <cellStyle name="20% - Accent1 9 6 2 4" xfId="23668" xr:uid="{00000000-0005-0000-0000-00005B050000}"/>
    <cellStyle name="20% - Accent1 9 6 3" xfId="5539" xr:uid="{00000000-0005-0000-0000-00005C050000}"/>
    <cellStyle name="20% - Accent1 9 6 3 2" xfId="8839" xr:uid="{00000000-0005-0000-0000-00005D050000}"/>
    <cellStyle name="20% - Accent1 9 6 3 2 2" xfId="16634" xr:uid="{00000000-0005-0000-0000-00005E050000}"/>
    <cellStyle name="20% - Accent1 9 6 3 2 2 2" xfId="34270" xr:uid="{00000000-0005-0000-0000-00005F050000}"/>
    <cellStyle name="20% - Accent1 9 6 3 2 3" xfId="27227" xr:uid="{00000000-0005-0000-0000-000060050000}"/>
    <cellStyle name="20% - Accent1 9 6 3 3" xfId="13395" xr:uid="{00000000-0005-0000-0000-000061050000}"/>
    <cellStyle name="20% - Accent1 9 6 3 3 2" xfId="31035" xr:uid="{00000000-0005-0000-0000-000062050000}"/>
    <cellStyle name="20% - Accent1 9 6 3 4" xfId="24362" xr:uid="{00000000-0005-0000-0000-000063050000}"/>
    <cellStyle name="20% - Accent1 9 6 4" xfId="6169" xr:uid="{00000000-0005-0000-0000-000064050000}"/>
    <cellStyle name="20% - Accent1 9 6 4 2" xfId="9379" xr:uid="{00000000-0005-0000-0000-000065050000}"/>
    <cellStyle name="20% - Accent1 9 6 4 2 2" xfId="17173" xr:uid="{00000000-0005-0000-0000-000066050000}"/>
    <cellStyle name="20% - Accent1 9 6 4 2 2 2" xfId="34810" xr:uid="{00000000-0005-0000-0000-000067050000}"/>
    <cellStyle name="20% - Accent1 9 6 4 2 3" xfId="27763" xr:uid="{00000000-0005-0000-0000-000068050000}"/>
    <cellStyle name="20% - Accent1 9 6 4 3" xfId="13958" xr:uid="{00000000-0005-0000-0000-000069050000}"/>
    <cellStyle name="20% - Accent1 9 6 4 3 2" xfId="31593" xr:uid="{00000000-0005-0000-0000-00006A050000}"/>
    <cellStyle name="20% - Accent1 9 6 4 4" xfId="24899" xr:uid="{00000000-0005-0000-0000-00006B050000}"/>
    <cellStyle name="20% - Accent1 9 6 5" xfId="6707" xr:uid="{00000000-0005-0000-0000-00006C050000}"/>
    <cellStyle name="20% - Accent1 9 6 5 2" xfId="9917" xr:uid="{00000000-0005-0000-0000-00006D050000}"/>
    <cellStyle name="20% - Accent1 9 6 5 2 2" xfId="17710" xr:uid="{00000000-0005-0000-0000-00006E050000}"/>
    <cellStyle name="20% - Accent1 9 6 5 2 2 2" xfId="35347" xr:uid="{00000000-0005-0000-0000-00006F050000}"/>
    <cellStyle name="20% - Accent1 9 6 5 2 3" xfId="28300" xr:uid="{00000000-0005-0000-0000-000070050000}"/>
    <cellStyle name="20% - Accent1 9 6 5 3" xfId="14495" xr:uid="{00000000-0005-0000-0000-000071050000}"/>
    <cellStyle name="20% - Accent1 9 6 5 3 2" xfId="32130" xr:uid="{00000000-0005-0000-0000-000072050000}"/>
    <cellStyle name="20% - Accent1 9 6 5 4" xfId="25437" xr:uid="{00000000-0005-0000-0000-000073050000}"/>
    <cellStyle name="20% - Accent1 9 6 6" xfId="7542" xr:uid="{00000000-0005-0000-0000-000074050000}"/>
    <cellStyle name="20% - Accent1 9 6 6 2" xfId="15339" xr:uid="{00000000-0005-0000-0000-000075050000}"/>
    <cellStyle name="20% - Accent1 9 6 6 2 2" xfId="32974" xr:uid="{00000000-0005-0000-0000-000076050000}"/>
    <cellStyle name="20% - Accent1 9 6 6 3" xfId="25975" xr:uid="{00000000-0005-0000-0000-000077050000}"/>
    <cellStyle name="20% - Accent1 9 6 7" xfId="11107" xr:uid="{00000000-0005-0000-0000-000078050000}"/>
    <cellStyle name="20% - Accent1 9 6 7 2" xfId="28837" xr:uid="{00000000-0005-0000-0000-000079050000}"/>
    <cellStyle name="20% - Accent1 9 6 8" xfId="23110" xr:uid="{00000000-0005-0000-0000-00007A050000}"/>
    <cellStyle name="20% - Accent1 9 6 9" xfId="51664" xr:uid="{00000000-0005-0000-0000-00007B050000}"/>
    <cellStyle name="20% - Accent1 9 7" xfId="246" xr:uid="{00000000-0005-0000-0000-00007C050000}"/>
    <cellStyle name="20% - Accent1 9 7 10" xfId="51665" xr:uid="{00000000-0005-0000-0000-00007D050000}"/>
    <cellStyle name="20% - Accent1 9 7 2" xfId="247" xr:uid="{00000000-0005-0000-0000-00007E050000}"/>
    <cellStyle name="20% - Accent1 9 7 2 2" xfId="8121" xr:uid="{00000000-0005-0000-0000-00007F050000}"/>
    <cellStyle name="20% - Accent1 9 7 2 2 2" xfId="15917" xr:uid="{00000000-0005-0000-0000-000080050000}"/>
    <cellStyle name="20% - Accent1 9 7 2 2 2 2" xfId="33552" xr:uid="{00000000-0005-0000-0000-000081050000}"/>
    <cellStyle name="20% - Accent1 9 7 2 2 3" xfId="26535" xr:uid="{00000000-0005-0000-0000-000082050000}"/>
    <cellStyle name="20% - Accent1 9 7 2 3" xfId="12230" xr:uid="{00000000-0005-0000-0000-000083050000}"/>
    <cellStyle name="20% - Accent1 9 7 2 3 2" xfId="29901" xr:uid="{00000000-0005-0000-0000-000084050000}"/>
    <cellStyle name="20% - Accent1 9 7 2 4" xfId="23670" xr:uid="{00000000-0005-0000-0000-000085050000}"/>
    <cellStyle name="20% - Accent1 9 7 3" xfId="3492" xr:uid="{00000000-0005-0000-0000-000086050000}"/>
    <cellStyle name="20% - Accent1 9 7 3 2" xfId="8120" xr:uid="{00000000-0005-0000-0000-000087050000}"/>
    <cellStyle name="20% - Accent1 9 7 3 2 2" xfId="15916" xr:uid="{00000000-0005-0000-0000-000088050000}"/>
    <cellStyle name="20% - Accent1 9 7 3 2 2 2" xfId="33551" xr:uid="{00000000-0005-0000-0000-000089050000}"/>
    <cellStyle name="20% - Accent1 9 7 3 2 3" xfId="26534" xr:uid="{00000000-0005-0000-0000-00008A050000}"/>
    <cellStyle name="20% - Accent1 9 7 3 3" xfId="12229" xr:uid="{00000000-0005-0000-0000-00008B050000}"/>
    <cellStyle name="20% - Accent1 9 7 3 3 2" xfId="29900" xr:uid="{00000000-0005-0000-0000-00008C050000}"/>
    <cellStyle name="20% - Accent1 9 7 3 4" xfId="23669" xr:uid="{00000000-0005-0000-0000-00008D050000}"/>
    <cellStyle name="20% - Accent1 9 7 4" xfId="5540" xr:uid="{00000000-0005-0000-0000-00008E050000}"/>
    <cellStyle name="20% - Accent1 9 7 4 2" xfId="8840" xr:uid="{00000000-0005-0000-0000-00008F050000}"/>
    <cellStyle name="20% - Accent1 9 7 4 2 2" xfId="16635" xr:uid="{00000000-0005-0000-0000-000090050000}"/>
    <cellStyle name="20% - Accent1 9 7 4 2 2 2" xfId="34271" xr:uid="{00000000-0005-0000-0000-000091050000}"/>
    <cellStyle name="20% - Accent1 9 7 4 2 3" xfId="27228" xr:uid="{00000000-0005-0000-0000-000092050000}"/>
    <cellStyle name="20% - Accent1 9 7 4 3" xfId="13396" xr:uid="{00000000-0005-0000-0000-000093050000}"/>
    <cellStyle name="20% - Accent1 9 7 4 3 2" xfId="31036" xr:uid="{00000000-0005-0000-0000-000094050000}"/>
    <cellStyle name="20% - Accent1 9 7 4 4" xfId="24363" xr:uid="{00000000-0005-0000-0000-000095050000}"/>
    <cellStyle name="20% - Accent1 9 7 5" xfId="6170" xr:uid="{00000000-0005-0000-0000-000096050000}"/>
    <cellStyle name="20% - Accent1 9 7 5 2" xfId="9380" xr:uid="{00000000-0005-0000-0000-000097050000}"/>
    <cellStyle name="20% - Accent1 9 7 5 2 2" xfId="17174" xr:uid="{00000000-0005-0000-0000-000098050000}"/>
    <cellStyle name="20% - Accent1 9 7 5 2 2 2" xfId="34811" xr:uid="{00000000-0005-0000-0000-000099050000}"/>
    <cellStyle name="20% - Accent1 9 7 5 2 3" xfId="27764" xr:uid="{00000000-0005-0000-0000-00009A050000}"/>
    <cellStyle name="20% - Accent1 9 7 5 3" xfId="13959" xr:uid="{00000000-0005-0000-0000-00009B050000}"/>
    <cellStyle name="20% - Accent1 9 7 5 3 2" xfId="31594" xr:uid="{00000000-0005-0000-0000-00009C050000}"/>
    <cellStyle name="20% - Accent1 9 7 5 4" xfId="24900" xr:uid="{00000000-0005-0000-0000-00009D050000}"/>
    <cellStyle name="20% - Accent1 9 7 6" xfId="6708" xr:uid="{00000000-0005-0000-0000-00009E050000}"/>
    <cellStyle name="20% - Accent1 9 7 6 2" xfId="9918" xr:uid="{00000000-0005-0000-0000-00009F050000}"/>
    <cellStyle name="20% - Accent1 9 7 6 2 2" xfId="17711" xr:uid="{00000000-0005-0000-0000-0000A0050000}"/>
    <cellStyle name="20% - Accent1 9 7 6 2 2 2" xfId="35348" xr:uid="{00000000-0005-0000-0000-0000A1050000}"/>
    <cellStyle name="20% - Accent1 9 7 6 2 3" xfId="28301" xr:uid="{00000000-0005-0000-0000-0000A2050000}"/>
    <cellStyle name="20% - Accent1 9 7 6 3" xfId="14496" xr:uid="{00000000-0005-0000-0000-0000A3050000}"/>
    <cellStyle name="20% - Accent1 9 7 6 3 2" xfId="32131" xr:uid="{00000000-0005-0000-0000-0000A4050000}"/>
    <cellStyle name="20% - Accent1 9 7 6 4" xfId="25438" xr:uid="{00000000-0005-0000-0000-0000A5050000}"/>
    <cellStyle name="20% - Accent1 9 7 7" xfId="7543" xr:uid="{00000000-0005-0000-0000-0000A6050000}"/>
    <cellStyle name="20% - Accent1 9 7 7 2" xfId="15340" xr:uid="{00000000-0005-0000-0000-0000A7050000}"/>
    <cellStyle name="20% - Accent1 9 7 7 2 2" xfId="32975" xr:uid="{00000000-0005-0000-0000-0000A8050000}"/>
    <cellStyle name="20% - Accent1 9 7 7 3" xfId="25976" xr:uid="{00000000-0005-0000-0000-0000A9050000}"/>
    <cellStyle name="20% - Accent1 9 7 8" xfId="11108" xr:uid="{00000000-0005-0000-0000-0000AA050000}"/>
    <cellStyle name="20% - Accent1 9 7 8 2" xfId="28838" xr:uid="{00000000-0005-0000-0000-0000AB050000}"/>
    <cellStyle name="20% - Accent1 9 7 9" xfId="23111" xr:uid="{00000000-0005-0000-0000-0000AC050000}"/>
    <cellStyle name="20% - Accent1 9 8" xfId="3493" xr:uid="{00000000-0005-0000-0000-0000AD050000}"/>
    <cellStyle name="20% - Accent1 9 8 2" xfId="8122" xr:uid="{00000000-0005-0000-0000-0000AE050000}"/>
    <cellStyle name="20% - Accent1 9 8 2 2" xfId="15918" xr:uid="{00000000-0005-0000-0000-0000AF050000}"/>
    <cellStyle name="20% - Accent1 9 8 2 2 2" xfId="33553" xr:uid="{00000000-0005-0000-0000-0000B0050000}"/>
    <cellStyle name="20% - Accent1 9 8 2 3" xfId="26536" xr:uid="{00000000-0005-0000-0000-0000B1050000}"/>
    <cellStyle name="20% - Accent1 9 8 3" xfId="12231" xr:uid="{00000000-0005-0000-0000-0000B2050000}"/>
    <cellStyle name="20% - Accent1 9 8 3 2" xfId="29902" xr:uid="{00000000-0005-0000-0000-0000B3050000}"/>
    <cellStyle name="20% - Accent1 9 8 4" xfId="23671" xr:uid="{00000000-0005-0000-0000-0000B4050000}"/>
    <cellStyle name="20% - Accent1 9 9" xfId="3494" xr:uid="{00000000-0005-0000-0000-0000B5050000}"/>
    <cellStyle name="20% - Accent1 9 9 2" xfId="8123" xr:uid="{00000000-0005-0000-0000-0000B6050000}"/>
    <cellStyle name="20% - Accent1 9 9 2 2" xfId="15919" xr:uid="{00000000-0005-0000-0000-0000B7050000}"/>
    <cellStyle name="20% - Accent1 9 9 2 2 2" xfId="33554" xr:uid="{00000000-0005-0000-0000-0000B8050000}"/>
    <cellStyle name="20% - Accent1 9 9 2 3" xfId="26537" xr:uid="{00000000-0005-0000-0000-0000B9050000}"/>
    <cellStyle name="20% - Accent1 9 9 3" xfId="12232" xr:uid="{00000000-0005-0000-0000-0000BA050000}"/>
    <cellStyle name="20% - Accent1 9 9 3 2" xfId="29903" xr:uid="{00000000-0005-0000-0000-0000BB050000}"/>
    <cellStyle name="20% - Accent1 9 9 4" xfId="23672" xr:uid="{00000000-0005-0000-0000-0000BC050000}"/>
    <cellStyle name="20% - Accent2" xfId="168" builtinId="34" customBuiltin="1"/>
    <cellStyle name="20% - Accent2 10" xfId="248" xr:uid="{00000000-0005-0000-0000-0000BE050000}"/>
    <cellStyle name="20% - Accent2 10 2" xfId="249" xr:uid="{00000000-0005-0000-0000-0000BF050000}"/>
    <cellStyle name="20% - Accent2 10 3" xfId="250" xr:uid="{00000000-0005-0000-0000-0000C0050000}"/>
    <cellStyle name="20% - Accent2 10 3 2" xfId="8124" xr:uid="{00000000-0005-0000-0000-0000C1050000}"/>
    <cellStyle name="20% - Accent2 10 3 2 2" xfId="15920" xr:uid="{00000000-0005-0000-0000-0000C2050000}"/>
    <cellStyle name="20% - Accent2 10 3 2 2 2" xfId="33555" xr:uid="{00000000-0005-0000-0000-0000C3050000}"/>
    <cellStyle name="20% - Accent2 10 3 2 3" xfId="26538" xr:uid="{00000000-0005-0000-0000-0000C4050000}"/>
    <cellStyle name="20% - Accent2 10 3 3" xfId="12233" xr:uid="{00000000-0005-0000-0000-0000C5050000}"/>
    <cellStyle name="20% - Accent2 10 3 3 2" xfId="29904" xr:uid="{00000000-0005-0000-0000-0000C6050000}"/>
    <cellStyle name="20% - Accent2 10 3 4" xfId="23673" xr:uid="{00000000-0005-0000-0000-0000C7050000}"/>
    <cellStyle name="20% - Accent2 10 3 5" xfId="51666" xr:uid="{00000000-0005-0000-0000-0000C8050000}"/>
    <cellStyle name="20% - Accent2 10 4" xfId="7544" xr:uid="{00000000-0005-0000-0000-0000C9050000}"/>
    <cellStyle name="20% - Accent2 10 4 2" xfId="15341" xr:uid="{00000000-0005-0000-0000-0000CA050000}"/>
    <cellStyle name="20% - Accent2 10 4 2 2" xfId="32976" xr:uid="{00000000-0005-0000-0000-0000CB050000}"/>
    <cellStyle name="20% - Accent2 10 4 3" xfId="25977" xr:uid="{00000000-0005-0000-0000-0000CC050000}"/>
    <cellStyle name="20% - Accent2 10 5" xfId="11109" xr:uid="{00000000-0005-0000-0000-0000CD050000}"/>
    <cellStyle name="20% - Accent2 10 5 2" xfId="28839" xr:uid="{00000000-0005-0000-0000-0000CE050000}"/>
    <cellStyle name="20% - Accent2 10 6" xfId="22037" xr:uid="{00000000-0005-0000-0000-0000CF050000}"/>
    <cellStyle name="20% - Accent2 10 6 2" xfId="38755" xr:uid="{00000000-0005-0000-0000-0000D0050000}"/>
    <cellStyle name="20% - Accent2 10 7" xfId="23112" xr:uid="{00000000-0005-0000-0000-0000D1050000}"/>
    <cellStyle name="20% - Accent2 11" xfId="251" xr:uid="{00000000-0005-0000-0000-0000D2050000}"/>
    <cellStyle name="20% - Accent2 11 10" xfId="3495" xr:uid="{00000000-0005-0000-0000-0000D3050000}"/>
    <cellStyle name="20% - Accent2 11 10 2" xfId="8125" xr:uid="{00000000-0005-0000-0000-0000D4050000}"/>
    <cellStyle name="20% - Accent2 11 10 2 2" xfId="15921" xr:uid="{00000000-0005-0000-0000-0000D5050000}"/>
    <cellStyle name="20% - Accent2 11 10 2 2 2" xfId="33556" xr:uid="{00000000-0005-0000-0000-0000D6050000}"/>
    <cellStyle name="20% - Accent2 11 10 2 3" xfId="26539" xr:uid="{00000000-0005-0000-0000-0000D7050000}"/>
    <cellStyle name="20% - Accent2 11 10 3" xfId="12234" xr:uid="{00000000-0005-0000-0000-0000D8050000}"/>
    <cellStyle name="20% - Accent2 11 10 3 2" xfId="29905" xr:uid="{00000000-0005-0000-0000-0000D9050000}"/>
    <cellStyle name="20% - Accent2 11 10 4" xfId="23674" xr:uid="{00000000-0005-0000-0000-0000DA050000}"/>
    <cellStyle name="20% - Accent2 11 11" xfId="5541" xr:uid="{00000000-0005-0000-0000-0000DB050000}"/>
    <cellStyle name="20% - Accent2 11 11 2" xfId="8841" xr:uid="{00000000-0005-0000-0000-0000DC050000}"/>
    <cellStyle name="20% - Accent2 11 11 2 2" xfId="16636" xr:uid="{00000000-0005-0000-0000-0000DD050000}"/>
    <cellStyle name="20% - Accent2 11 11 2 2 2" xfId="34272" xr:uid="{00000000-0005-0000-0000-0000DE050000}"/>
    <cellStyle name="20% - Accent2 11 11 2 3" xfId="27229" xr:uid="{00000000-0005-0000-0000-0000DF050000}"/>
    <cellStyle name="20% - Accent2 11 11 3" xfId="13397" xr:uid="{00000000-0005-0000-0000-0000E0050000}"/>
    <cellStyle name="20% - Accent2 11 11 3 2" xfId="31037" xr:uid="{00000000-0005-0000-0000-0000E1050000}"/>
    <cellStyle name="20% - Accent2 11 11 4" xfId="24364" xr:uid="{00000000-0005-0000-0000-0000E2050000}"/>
    <cellStyle name="20% - Accent2 11 12" xfId="6171" xr:uid="{00000000-0005-0000-0000-0000E3050000}"/>
    <cellStyle name="20% - Accent2 11 12 2" xfId="9381" xr:uid="{00000000-0005-0000-0000-0000E4050000}"/>
    <cellStyle name="20% - Accent2 11 12 2 2" xfId="17175" xr:uid="{00000000-0005-0000-0000-0000E5050000}"/>
    <cellStyle name="20% - Accent2 11 12 2 2 2" xfId="34812" xr:uid="{00000000-0005-0000-0000-0000E6050000}"/>
    <cellStyle name="20% - Accent2 11 12 2 3" xfId="27765" xr:uid="{00000000-0005-0000-0000-0000E7050000}"/>
    <cellStyle name="20% - Accent2 11 12 3" xfId="13960" xr:uid="{00000000-0005-0000-0000-0000E8050000}"/>
    <cellStyle name="20% - Accent2 11 12 3 2" xfId="31595" xr:uid="{00000000-0005-0000-0000-0000E9050000}"/>
    <cellStyle name="20% - Accent2 11 12 4" xfId="24901" xr:uid="{00000000-0005-0000-0000-0000EA050000}"/>
    <cellStyle name="20% - Accent2 11 13" xfId="6709" xr:uid="{00000000-0005-0000-0000-0000EB050000}"/>
    <cellStyle name="20% - Accent2 11 13 2" xfId="9919" xr:uid="{00000000-0005-0000-0000-0000EC050000}"/>
    <cellStyle name="20% - Accent2 11 13 2 2" xfId="17712" xr:uid="{00000000-0005-0000-0000-0000ED050000}"/>
    <cellStyle name="20% - Accent2 11 13 2 2 2" xfId="35349" xr:uid="{00000000-0005-0000-0000-0000EE050000}"/>
    <cellStyle name="20% - Accent2 11 13 2 3" xfId="28302" xr:uid="{00000000-0005-0000-0000-0000EF050000}"/>
    <cellStyle name="20% - Accent2 11 13 3" xfId="14497" xr:uid="{00000000-0005-0000-0000-0000F0050000}"/>
    <cellStyle name="20% - Accent2 11 13 3 2" xfId="32132" xr:uid="{00000000-0005-0000-0000-0000F1050000}"/>
    <cellStyle name="20% - Accent2 11 13 4" xfId="25439" xr:uid="{00000000-0005-0000-0000-0000F2050000}"/>
    <cellStyle name="20% - Accent2 11 14" xfId="7545" xr:uid="{00000000-0005-0000-0000-0000F3050000}"/>
    <cellStyle name="20% - Accent2 11 14 2" xfId="15342" xr:uid="{00000000-0005-0000-0000-0000F4050000}"/>
    <cellStyle name="20% - Accent2 11 14 2 2" xfId="32977" xr:uid="{00000000-0005-0000-0000-0000F5050000}"/>
    <cellStyle name="20% - Accent2 11 14 3" xfId="25978" xr:uid="{00000000-0005-0000-0000-0000F6050000}"/>
    <cellStyle name="20% - Accent2 11 15" xfId="11110" xr:uid="{00000000-0005-0000-0000-0000F7050000}"/>
    <cellStyle name="20% - Accent2 11 15 2" xfId="28840" xr:uid="{00000000-0005-0000-0000-0000F8050000}"/>
    <cellStyle name="20% - Accent2 11 16" xfId="22038" xr:uid="{00000000-0005-0000-0000-0000F9050000}"/>
    <cellStyle name="20% - Accent2 11 16 2" xfId="38756" xr:uid="{00000000-0005-0000-0000-0000FA050000}"/>
    <cellStyle name="20% - Accent2 11 17" xfId="23113" xr:uid="{00000000-0005-0000-0000-0000FB050000}"/>
    <cellStyle name="20% - Accent2 11 18" xfId="51667" xr:uid="{00000000-0005-0000-0000-0000FC050000}"/>
    <cellStyle name="20% - Accent2 11 2" xfId="252" xr:uid="{00000000-0005-0000-0000-0000FD050000}"/>
    <cellStyle name="20% - Accent2 11 2 2" xfId="3496" xr:uid="{00000000-0005-0000-0000-0000FE050000}"/>
    <cellStyle name="20% - Accent2 11 2 2 2" xfId="8126" xr:uid="{00000000-0005-0000-0000-0000FF050000}"/>
    <cellStyle name="20% - Accent2 11 2 2 2 2" xfId="15922" xr:uid="{00000000-0005-0000-0000-000000060000}"/>
    <cellStyle name="20% - Accent2 11 2 2 2 2 2" xfId="33557" xr:uid="{00000000-0005-0000-0000-000001060000}"/>
    <cellStyle name="20% - Accent2 11 2 2 2 3" xfId="26540" xr:uid="{00000000-0005-0000-0000-000002060000}"/>
    <cellStyle name="20% - Accent2 11 2 2 3" xfId="12235" xr:uid="{00000000-0005-0000-0000-000003060000}"/>
    <cellStyle name="20% - Accent2 11 2 2 3 2" xfId="29906" xr:uid="{00000000-0005-0000-0000-000004060000}"/>
    <cellStyle name="20% - Accent2 11 2 2 4" xfId="23675" xr:uid="{00000000-0005-0000-0000-000005060000}"/>
    <cellStyle name="20% - Accent2 11 2 3" xfId="5542" xr:uid="{00000000-0005-0000-0000-000006060000}"/>
    <cellStyle name="20% - Accent2 11 2 3 2" xfId="8842" xr:uid="{00000000-0005-0000-0000-000007060000}"/>
    <cellStyle name="20% - Accent2 11 2 3 2 2" xfId="16637" xr:uid="{00000000-0005-0000-0000-000008060000}"/>
    <cellStyle name="20% - Accent2 11 2 3 2 2 2" xfId="34273" xr:uid="{00000000-0005-0000-0000-000009060000}"/>
    <cellStyle name="20% - Accent2 11 2 3 2 3" xfId="27230" xr:uid="{00000000-0005-0000-0000-00000A060000}"/>
    <cellStyle name="20% - Accent2 11 2 3 3" xfId="13398" xr:uid="{00000000-0005-0000-0000-00000B060000}"/>
    <cellStyle name="20% - Accent2 11 2 3 3 2" xfId="31038" xr:uid="{00000000-0005-0000-0000-00000C060000}"/>
    <cellStyle name="20% - Accent2 11 2 3 4" xfId="24365" xr:uid="{00000000-0005-0000-0000-00000D060000}"/>
    <cellStyle name="20% - Accent2 11 2 4" xfId="6172" xr:uid="{00000000-0005-0000-0000-00000E060000}"/>
    <cellStyle name="20% - Accent2 11 2 4 2" xfId="9382" xr:uid="{00000000-0005-0000-0000-00000F060000}"/>
    <cellStyle name="20% - Accent2 11 2 4 2 2" xfId="17176" xr:uid="{00000000-0005-0000-0000-000010060000}"/>
    <cellStyle name="20% - Accent2 11 2 4 2 2 2" xfId="34813" xr:uid="{00000000-0005-0000-0000-000011060000}"/>
    <cellStyle name="20% - Accent2 11 2 4 2 3" xfId="27766" xr:uid="{00000000-0005-0000-0000-000012060000}"/>
    <cellStyle name="20% - Accent2 11 2 4 3" xfId="13961" xr:uid="{00000000-0005-0000-0000-000013060000}"/>
    <cellStyle name="20% - Accent2 11 2 4 3 2" xfId="31596" xr:uid="{00000000-0005-0000-0000-000014060000}"/>
    <cellStyle name="20% - Accent2 11 2 4 4" xfId="24902" xr:uid="{00000000-0005-0000-0000-000015060000}"/>
    <cellStyle name="20% - Accent2 11 2 5" xfId="6710" xr:uid="{00000000-0005-0000-0000-000016060000}"/>
    <cellStyle name="20% - Accent2 11 2 5 2" xfId="9920" xr:uid="{00000000-0005-0000-0000-000017060000}"/>
    <cellStyle name="20% - Accent2 11 2 5 2 2" xfId="17713" xr:uid="{00000000-0005-0000-0000-000018060000}"/>
    <cellStyle name="20% - Accent2 11 2 5 2 2 2" xfId="35350" xr:uid="{00000000-0005-0000-0000-000019060000}"/>
    <cellStyle name="20% - Accent2 11 2 5 2 3" xfId="28303" xr:uid="{00000000-0005-0000-0000-00001A060000}"/>
    <cellStyle name="20% - Accent2 11 2 5 3" xfId="14498" xr:uid="{00000000-0005-0000-0000-00001B060000}"/>
    <cellStyle name="20% - Accent2 11 2 5 3 2" xfId="32133" xr:uid="{00000000-0005-0000-0000-00001C060000}"/>
    <cellStyle name="20% - Accent2 11 2 5 4" xfId="25440" xr:uid="{00000000-0005-0000-0000-00001D060000}"/>
    <cellStyle name="20% - Accent2 11 2 6" xfId="7546" xr:uid="{00000000-0005-0000-0000-00001E060000}"/>
    <cellStyle name="20% - Accent2 11 2 6 2" xfId="15343" xr:uid="{00000000-0005-0000-0000-00001F060000}"/>
    <cellStyle name="20% - Accent2 11 2 6 2 2" xfId="32978" xr:uid="{00000000-0005-0000-0000-000020060000}"/>
    <cellStyle name="20% - Accent2 11 2 6 3" xfId="25979" xr:uid="{00000000-0005-0000-0000-000021060000}"/>
    <cellStyle name="20% - Accent2 11 2 7" xfId="11111" xr:uid="{00000000-0005-0000-0000-000022060000}"/>
    <cellStyle name="20% - Accent2 11 2 7 2" xfId="28841" xr:uid="{00000000-0005-0000-0000-000023060000}"/>
    <cellStyle name="20% - Accent2 11 2 8" xfId="23114" xr:uid="{00000000-0005-0000-0000-000024060000}"/>
    <cellStyle name="20% - Accent2 11 2 9" xfId="51668" xr:uid="{00000000-0005-0000-0000-000025060000}"/>
    <cellStyle name="20% - Accent2 11 3" xfId="253" xr:uid="{00000000-0005-0000-0000-000026060000}"/>
    <cellStyle name="20% - Accent2 11 3 10" xfId="23115" xr:uid="{00000000-0005-0000-0000-000027060000}"/>
    <cellStyle name="20% - Accent2 11 3 11" xfId="51669" xr:uid="{00000000-0005-0000-0000-000028060000}"/>
    <cellStyle name="20% - Accent2 11 3 2" xfId="254" xr:uid="{00000000-0005-0000-0000-000029060000}"/>
    <cellStyle name="20% - Accent2 11 3 2 2" xfId="3498" xr:uid="{00000000-0005-0000-0000-00002A060000}"/>
    <cellStyle name="20% - Accent2 11 3 2 2 2" xfId="8128" xr:uid="{00000000-0005-0000-0000-00002B060000}"/>
    <cellStyle name="20% - Accent2 11 3 2 2 2 2" xfId="15924" xr:uid="{00000000-0005-0000-0000-00002C060000}"/>
    <cellStyle name="20% - Accent2 11 3 2 2 2 2 2" xfId="33559" xr:uid="{00000000-0005-0000-0000-00002D060000}"/>
    <cellStyle name="20% - Accent2 11 3 2 2 2 3" xfId="26542" xr:uid="{00000000-0005-0000-0000-00002E060000}"/>
    <cellStyle name="20% - Accent2 11 3 2 2 3" xfId="12237" xr:uid="{00000000-0005-0000-0000-00002F060000}"/>
    <cellStyle name="20% - Accent2 11 3 2 2 3 2" xfId="29908" xr:uid="{00000000-0005-0000-0000-000030060000}"/>
    <cellStyle name="20% - Accent2 11 3 2 2 4" xfId="23677" xr:uid="{00000000-0005-0000-0000-000031060000}"/>
    <cellStyle name="20% - Accent2 11 3 2 3" xfId="5544" xr:uid="{00000000-0005-0000-0000-000032060000}"/>
    <cellStyle name="20% - Accent2 11 3 2 3 2" xfId="8844" xr:uid="{00000000-0005-0000-0000-000033060000}"/>
    <cellStyle name="20% - Accent2 11 3 2 3 2 2" xfId="16639" xr:uid="{00000000-0005-0000-0000-000034060000}"/>
    <cellStyle name="20% - Accent2 11 3 2 3 2 2 2" xfId="34275" xr:uid="{00000000-0005-0000-0000-000035060000}"/>
    <cellStyle name="20% - Accent2 11 3 2 3 2 3" xfId="27232" xr:uid="{00000000-0005-0000-0000-000036060000}"/>
    <cellStyle name="20% - Accent2 11 3 2 3 3" xfId="13400" xr:uid="{00000000-0005-0000-0000-000037060000}"/>
    <cellStyle name="20% - Accent2 11 3 2 3 3 2" xfId="31040" xr:uid="{00000000-0005-0000-0000-000038060000}"/>
    <cellStyle name="20% - Accent2 11 3 2 3 4" xfId="24367" xr:uid="{00000000-0005-0000-0000-000039060000}"/>
    <cellStyle name="20% - Accent2 11 3 2 4" xfId="6174" xr:uid="{00000000-0005-0000-0000-00003A060000}"/>
    <cellStyle name="20% - Accent2 11 3 2 4 2" xfId="9384" xr:uid="{00000000-0005-0000-0000-00003B060000}"/>
    <cellStyle name="20% - Accent2 11 3 2 4 2 2" xfId="17178" xr:uid="{00000000-0005-0000-0000-00003C060000}"/>
    <cellStyle name="20% - Accent2 11 3 2 4 2 2 2" xfId="34815" xr:uid="{00000000-0005-0000-0000-00003D060000}"/>
    <cellStyle name="20% - Accent2 11 3 2 4 2 3" xfId="27768" xr:uid="{00000000-0005-0000-0000-00003E060000}"/>
    <cellStyle name="20% - Accent2 11 3 2 4 3" xfId="13963" xr:uid="{00000000-0005-0000-0000-00003F060000}"/>
    <cellStyle name="20% - Accent2 11 3 2 4 3 2" xfId="31598" xr:uid="{00000000-0005-0000-0000-000040060000}"/>
    <cellStyle name="20% - Accent2 11 3 2 4 4" xfId="24904" xr:uid="{00000000-0005-0000-0000-000041060000}"/>
    <cellStyle name="20% - Accent2 11 3 2 5" xfId="6712" xr:uid="{00000000-0005-0000-0000-000042060000}"/>
    <cellStyle name="20% - Accent2 11 3 2 5 2" xfId="9922" xr:uid="{00000000-0005-0000-0000-000043060000}"/>
    <cellStyle name="20% - Accent2 11 3 2 5 2 2" xfId="17715" xr:uid="{00000000-0005-0000-0000-000044060000}"/>
    <cellStyle name="20% - Accent2 11 3 2 5 2 2 2" xfId="35352" xr:uid="{00000000-0005-0000-0000-000045060000}"/>
    <cellStyle name="20% - Accent2 11 3 2 5 2 3" xfId="28305" xr:uid="{00000000-0005-0000-0000-000046060000}"/>
    <cellStyle name="20% - Accent2 11 3 2 5 3" xfId="14500" xr:uid="{00000000-0005-0000-0000-000047060000}"/>
    <cellStyle name="20% - Accent2 11 3 2 5 3 2" xfId="32135" xr:uid="{00000000-0005-0000-0000-000048060000}"/>
    <cellStyle name="20% - Accent2 11 3 2 5 4" xfId="25442" xr:uid="{00000000-0005-0000-0000-000049060000}"/>
    <cellStyle name="20% - Accent2 11 3 2 6" xfId="7548" xr:uid="{00000000-0005-0000-0000-00004A060000}"/>
    <cellStyle name="20% - Accent2 11 3 2 6 2" xfId="15345" xr:uid="{00000000-0005-0000-0000-00004B060000}"/>
    <cellStyle name="20% - Accent2 11 3 2 6 2 2" xfId="32980" xr:uid="{00000000-0005-0000-0000-00004C060000}"/>
    <cellStyle name="20% - Accent2 11 3 2 6 3" xfId="25981" xr:uid="{00000000-0005-0000-0000-00004D060000}"/>
    <cellStyle name="20% - Accent2 11 3 2 7" xfId="11113" xr:uid="{00000000-0005-0000-0000-00004E060000}"/>
    <cellStyle name="20% - Accent2 11 3 2 7 2" xfId="28843" xr:uid="{00000000-0005-0000-0000-00004F060000}"/>
    <cellStyle name="20% - Accent2 11 3 2 8" xfId="23116" xr:uid="{00000000-0005-0000-0000-000050060000}"/>
    <cellStyle name="20% - Accent2 11 3 2 9" xfId="51670" xr:uid="{00000000-0005-0000-0000-000051060000}"/>
    <cellStyle name="20% - Accent2 11 3 3" xfId="3499" xr:uid="{00000000-0005-0000-0000-000052060000}"/>
    <cellStyle name="20% - Accent2 11 3 3 2" xfId="5545" xr:uid="{00000000-0005-0000-0000-000053060000}"/>
    <cellStyle name="20% - Accent2 11 3 3 2 2" xfId="8845" xr:uid="{00000000-0005-0000-0000-000054060000}"/>
    <cellStyle name="20% - Accent2 11 3 3 2 2 2" xfId="16640" xr:uid="{00000000-0005-0000-0000-000055060000}"/>
    <cellStyle name="20% - Accent2 11 3 3 2 2 2 2" xfId="34276" xr:uid="{00000000-0005-0000-0000-000056060000}"/>
    <cellStyle name="20% - Accent2 11 3 3 2 2 3" xfId="27233" xr:uid="{00000000-0005-0000-0000-000057060000}"/>
    <cellStyle name="20% - Accent2 11 3 3 2 3" xfId="13401" xr:uid="{00000000-0005-0000-0000-000058060000}"/>
    <cellStyle name="20% - Accent2 11 3 3 2 3 2" xfId="31041" xr:uid="{00000000-0005-0000-0000-000059060000}"/>
    <cellStyle name="20% - Accent2 11 3 3 2 4" xfId="24368" xr:uid="{00000000-0005-0000-0000-00005A060000}"/>
    <cellStyle name="20% - Accent2 11 3 3 3" xfId="6175" xr:uid="{00000000-0005-0000-0000-00005B060000}"/>
    <cellStyle name="20% - Accent2 11 3 3 3 2" xfId="9385" xr:uid="{00000000-0005-0000-0000-00005C060000}"/>
    <cellStyle name="20% - Accent2 11 3 3 3 2 2" xfId="17179" xr:uid="{00000000-0005-0000-0000-00005D060000}"/>
    <cellStyle name="20% - Accent2 11 3 3 3 2 2 2" xfId="34816" xr:uid="{00000000-0005-0000-0000-00005E060000}"/>
    <cellStyle name="20% - Accent2 11 3 3 3 2 3" xfId="27769" xr:uid="{00000000-0005-0000-0000-00005F060000}"/>
    <cellStyle name="20% - Accent2 11 3 3 3 3" xfId="13964" xr:uid="{00000000-0005-0000-0000-000060060000}"/>
    <cellStyle name="20% - Accent2 11 3 3 3 3 2" xfId="31599" xr:uid="{00000000-0005-0000-0000-000061060000}"/>
    <cellStyle name="20% - Accent2 11 3 3 3 4" xfId="24905" xr:uid="{00000000-0005-0000-0000-000062060000}"/>
    <cellStyle name="20% - Accent2 11 3 3 4" xfId="6713" xr:uid="{00000000-0005-0000-0000-000063060000}"/>
    <cellStyle name="20% - Accent2 11 3 3 4 2" xfId="9923" xr:uid="{00000000-0005-0000-0000-000064060000}"/>
    <cellStyle name="20% - Accent2 11 3 3 4 2 2" xfId="17716" xr:uid="{00000000-0005-0000-0000-000065060000}"/>
    <cellStyle name="20% - Accent2 11 3 3 4 2 2 2" xfId="35353" xr:uid="{00000000-0005-0000-0000-000066060000}"/>
    <cellStyle name="20% - Accent2 11 3 3 4 2 3" xfId="28306" xr:uid="{00000000-0005-0000-0000-000067060000}"/>
    <cellStyle name="20% - Accent2 11 3 3 4 3" xfId="14501" xr:uid="{00000000-0005-0000-0000-000068060000}"/>
    <cellStyle name="20% - Accent2 11 3 3 4 3 2" xfId="32136" xr:uid="{00000000-0005-0000-0000-000069060000}"/>
    <cellStyle name="20% - Accent2 11 3 3 4 4" xfId="25443" xr:uid="{00000000-0005-0000-0000-00006A060000}"/>
    <cellStyle name="20% - Accent2 11 3 3 5" xfId="8129" xr:uid="{00000000-0005-0000-0000-00006B060000}"/>
    <cellStyle name="20% - Accent2 11 3 3 5 2" xfId="15925" xr:uid="{00000000-0005-0000-0000-00006C060000}"/>
    <cellStyle name="20% - Accent2 11 3 3 5 2 2" xfId="33560" xr:uid="{00000000-0005-0000-0000-00006D060000}"/>
    <cellStyle name="20% - Accent2 11 3 3 5 3" xfId="26543" xr:uid="{00000000-0005-0000-0000-00006E060000}"/>
    <cellStyle name="20% - Accent2 11 3 3 6" xfId="12238" xr:uid="{00000000-0005-0000-0000-00006F060000}"/>
    <cellStyle name="20% - Accent2 11 3 3 6 2" xfId="29909" xr:uid="{00000000-0005-0000-0000-000070060000}"/>
    <cellStyle name="20% - Accent2 11 3 3 7" xfId="23678" xr:uid="{00000000-0005-0000-0000-000071060000}"/>
    <cellStyle name="20% - Accent2 11 3 4" xfId="3497" xr:uid="{00000000-0005-0000-0000-000072060000}"/>
    <cellStyle name="20% - Accent2 11 3 4 2" xfId="8127" xr:uid="{00000000-0005-0000-0000-000073060000}"/>
    <cellStyle name="20% - Accent2 11 3 4 2 2" xfId="15923" xr:uid="{00000000-0005-0000-0000-000074060000}"/>
    <cellStyle name="20% - Accent2 11 3 4 2 2 2" xfId="33558" xr:uid="{00000000-0005-0000-0000-000075060000}"/>
    <cellStyle name="20% - Accent2 11 3 4 2 3" xfId="26541" xr:uid="{00000000-0005-0000-0000-000076060000}"/>
    <cellStyle name="20% - Accent2 11 3 4 3" xfId="12236" xr:uid="{00000000-0005-0000-0000-000077060000}"/>
    <cellStyle name="20% - Accent2 11 3 4 3 2" xfId="29907" xr:uid="{00000000-0005-0000-0000-000078060000}"/>
    <cellStyle name="20% - Accent2 11 3 4 4" xfId="23676" xr:uid="{00000000-0005-0000-0000-000079060000}"/>
    <cellStyle name="20% - Accent2 11 3 5" xfId="5543" xr:uid="{00000000-0005-0000-0000-00007A060000}"/>
    <cellStyle name="20% - Accent2 11 3 5 2" xfId="8843" xr:uid="{00000000-0005-0000-0000-00007B060000}"/>
    <cellStyle name="20% - Accent2 11 3 5 2 2" xfId="16638" xr:uid="{00000000-0005-0000-0000-00007C060000}"/>
    <cellStyle name="20% - Accent2 11 3 5 2 2 2" xfId="34274" xr:uid="{00000000-0005-0000-0000-00007D060000}"/>
    <cellStyle name="20% - Accent2 11 3 5 2 3" xfId="27231" xr:uid="{00000000-0005-0000-0000-00007E060000}"/>
    <cellStyle name="20% - Accent2 11 3 5 3" xfId="13399" xr:uid="{00000000-0005-0000-0000-00007F060000}"/>
    <cellStyle name="20% - Accent2 11 3 5 3 2" xfId="31039" xr:uid="{00000000-0005-0000-0000-000080060000}"/>
    <cellStyle name="20% - Accent2 11 3 5 4" xfId="24366" xr:uid="{00000000-0005-0000-0000-000081060000}"/>
    <cellStyle name="20% - Accent2 11 3 6" xfId="6173" xr:uid="{00000000-0005-0000-0000-000082060000}"/>
    <cellStyle name="20% - Accent2 11 3 6 2" xfId="9383" xr:uid="{00000000-0005-0000-0000-000083060000}"/>
    <cellStyle name="20% - Accent2 11 3 6 2 2" xfId="17177" xr:uid="{00000000-0005-0000-0000-000084060000}"/>
    <cellStyle name="20% - Accent2 11 3 6 2 2 2" xfId="34814" xr:uid="{00000000-0005-0000-0000-000085060000}"/>
    <cellStyle name="20% - Accent2 11 3 6 2 3" xfId="27767" xr:uid="{00000000-0005-0000-0000-000086060000}"/>
    <cellStyle name="20% - Accent2 11 3 6 3" xfId="13962" xr:uid="{00000000-0005-0000-0000-000087060000}"/>
    <cellStyle name="20% - Accent2 11 3 6 3 2" xfId="31597" xr:uid="{00000000-0005-0000-0000-000088060000}"/>
    <cellStyle name="20% - Accent2 11 3 6 4" xfId="24903" xr:uid="{00000000-0005-0000-0000-000089060000}"/>
    <cellStyle name="20% - Accent2 11 3 7" xfId="6711" xr:uid="{00000000-0005-0000-0000-00008A060000}"/>
    <cellStyle name="20% - Accent2 11 3 7 2" xfId="9921" xr:uid="{00000000-0005-0000-0000-00008B060000}"/>
    <cellStyle name="20% - Accent2 11 3 7 2 2" xfId="17714" xr:uid="{00000000-0005-0000-0000-00008C060000}"/>
    <cellStyle name="20% - Accent2 11 3 7 2 2 2" xfId="35351" xr:uid="{00000000-0005-0000-0000-00008D060000}"/>
    <cellStyle name="20% - Accent2 11 3 7 2 3" xfId="28304" xr:uid="{00000000-0005-0000-0000-00008E060000}"/>
    <cellStyle name="20% - Accent2 11 3 7 3" xfId="14499" xr:uid="{00000000-0005-0000-0000-00008F060000}"/>
    <cellStyle name="20% - Accent2 11 3 7 3 2" xfId="32134" xr:uid="{00000000-0005-0000-0000-000090060000}"/>
    <cellStyle name="20% - Accent2 11 3 7 4" xfId="25441" xr:uid="{00000000-0005-0000-0000-000091060000}"/>
    <cellStyle name="20% - Accent2 11 3 8" xfId="7547" xr:uid="{00000000-0005-0000-0000-000092060000}"/>
    <cellStyle name="20% - Accent2 11 3 8 2" xfId="15344" xr:uid="{00000000-0005-0000-0000-000093060000}"/>
    <cellStyle name="20% - Accent2 11 3 8 2 2" xfId="32979" xr:uid="{00000000-0005-0000-0000-000094060000}"/>
    <cellStyle name="20% - Accent2 11 3 8 3" xfId="25980" xr:uid="{00000000-0005-0000-0000-000095060000}"/>
    <cellStyle name="20% - Accent2 11 3 9" xfId="11112" xr:uid="{00000000-0005-0000-0000-000096060000}"/>
    <cellStyle name="20% - Accent2 11 3 9 2" xfId="28842" xr:uid="{00000000-0005-0000-0000-000097060000}"/>
    <cellStyle name="20% - Accent2 11 4" xfId="255" xr:uid="{00000000-0005-0000-0000-000098060000}"/>
    <cellStyle name="20% - Accent2 11 4 2" xfId="3500" xr:uid="{00000000-0005-0000-0000-000099060000}"/>
    <cellStyle name="20% - Accent2 11 4 2 2" xfId="8130" xr:uid="{00000000-0005-0000-0000-00009A060000}"/>
    <cellStyle name="20% - Accent2 11 4 2 2 2" xfId="15926" xr:uid="{00000000-0005-0000-0000-00009B060000}"/>
    <cellStyle name="20% - Accent2 11 4 2 2 2 2" xfId="33561" xr:uid="{00000000-0005-0000-0000-00009C060000}"/>
    <cellStyle name="20% - Accent2 11 4 2 2 3" xfId="26544" xr:uid="{00000000-0005-0000-0000-00009D060000}"/>
    <cellStyle name="20% - Accent2 11 4 2 3" xfId="12239" xr:uid="{00000000-0005-0000-0000-00009E060000}"/>
    <cellStyle name="20% - Accent2 11 4 2 3 2" xfId="29910" xr:uid="{00000000-0005-0000-0000-00009F060000}"/>
    <cellStyle name="20% - Accent2 11 4 2 4" xfId="23679" xr:uid="{00000000-0005-0000-0000-0000A0060000}"/>
    <cellStyle name="20% - Accent2 11 4 3" xfId="5546" xr:uid="{00000000-0005-0000-0000-0000A1060000}"/>
    <cellStyle name="20% - Accent2 11 4 3 2" xfId="8846" xr:uid="{00000000-0005-0000-0000-0000A2060000}"/>
    <cellStyle name="20% - Accent2 11 4 3 2 2" xfId="16641" xr:uid="{00000000-0005-0000-0000-0000A3060000}"/>
    <cellStyle name="20% - Accent2 11 4 3 2 2 2" xfId="34277" xr:uid="{00000000-0005-0000-0000-0000A4060000}"/>
    <cellStyle name="20% - Accent2 11 4 3 2 3" xfId="27234" xr:uid="{00000000-0005-0000-0000-0000A5060000}"/>
    <cellStyle name="20% - Accent2 11 4 3 3" xfId="13402" xr:uid="{00000000-0005-0000-0000-0000A6060000}"/>
    <cellStyle name="20% - Accent2 11 4 3 3 2" xfId="31042" xr:uid="{00000000-0005-0000-0000-0000A7060000}"/>
    <cellStyle name="20% - Accent2 11 4 3 4" xfId="24369" xr:uid="{00000000-0005-0000-0000-0000A8060000}"/>
    <cellStyle name="20% - Accent2 11 4 4" xfId="6176" xr:uid="{00000000-0005-0000-0000-0000A9060000}"/>
    <cellStyle name="20% - Accent2 11 4 4 2" xfId="9386" xr:uid="{00000000-0005-0000-0000-0000AA060000}"/>
    <cellStyle name="20% - Accent2 11 4 4 2 2" xfId="17180" xr:uid="{00000000-0005-0000-0000-0000AB060000}"/>
    <cellStyle name="20% - Accent2 11 4 4 2 2 2" xfId="34817" xr:uid="{00000000-0005-0000-0000-0000AC060000}"/>
    <cellStyle name="20% - Accent2 11 4 4 2 3" xfId="27770" xr:uid="{00000000-0005-0000-0000-0000AD060000}"/>
    <cellStyle name="20% - Accent2 11 4 4 3" xfId="13965" xr:uid="{00000000-0005-0000-0000-0000AE060000}"/>
    <cellStyle name="20% - Accent2 11 4 4 3 2" xfId="31600" xr:uid="{00000000-0005-0000-0000-0000AF060000}"/>
    <cellStyle name="20% - Accent2 11 4 4 4" xfId="24906" xr:uid="{00000000-0005-0000-0000-0000B0060000}"/>
    <cellStyle name="20% - Accent2 11 4 5" xfId="6714" xr:uid="{00000000-0005-0000-0000-0000B1060000}"/>
    <cellStyle name="20% - Accent2 11 4 5 2" xfId="9924" xr:uid="{00000000-0005-0000-0000-0000B2060000}"/>
    <cellStyle name="20% - Accent2 11 4 5 2 2" xfId="17717" xr:uid="{00000000-0005-0000-0000-0000B3060000}"/>
    <cellStyle name="20% - Accent2 11 4 5 2 2 2" xfId="35354" xr:uid="{00000000-0005-0000-0000-0000B4060000}"/>
    <cellStyle name="20% - Accent2 11 4 5 2 3" xfId="28307" xr:uid="{00000000-0005-0000-0000-0000B5060000}"/>
    <cellStyle name="20% - Accent2 11 4 5 3" xfId="14502" xr:uid="{00000000-0005-0000-0000-0000B6060000}"/>
    <cellStyle name="20% - Accent2 11 4 5 3 2" xfId="32137" xr:uid="{00000000-0005-0000-0000-0000B7060000}"/>
    <cellStyle name="20% - Accent2 11 4 5 4" xfId="25444" xr:uid="{00000000-0005-0000-0000-0000B8060000}"/>
    <cellStyle name="20% - Accent2 11 4 6" xfId="7549" xr:uid="{00000000-0005-0000-0000-0000B9060000}"/>
    <cellStyle name="20% - Accent2 11 4 6 2" xfId="15346" xr:uid="{00000000-0005-0000-0000-0000BA060000}"/>
    <cellStyle name="20% - Accent2 11 4 6 2 2" xfId="32981" xr:uid="{00000000-0005-0000-0000-0000BB060000}"/>
    <cellStyle name="20% - Accent2 11 4 6 3" xfId="25982" xr:uid="{00000000-0005-0000-0000-0000BC060000}"/>
    <cellStyle name="20% - Accent2 11 4 7" xfId="11114" xr:uid="{00000000-0005-0000-0000-0000BD060000}"/>
    <cellStyle name="20% - Accent2 11 4 7 2" xfId="28844" xr:uid="{00000000-0005-0000-0000-0000BE060000}"/>
    <cellStyle name="20% - Accent2 11 4 8" xfId="23117" xr:uid="{00000000-0005-0000-0000-0000BF060000}"/>
    <cellStyle name="20% - Accent2 11 4 9" xfId="51671" xr:uid="{00000000-0005-0000-0000-0000C0060000}"/>
    <cellStyle name="20% - Accent2 11 5" xfId="256" xr:uid="{00000000-0005-0000-0000-0000C1060000}"/>
    <cellStyle name="20% - Accent2 11 5 2" xfId="3501" xr:uid="{00000000-0005-0000-0000-0000C2060000}"/>
    <cellStyle name="20% - Accent2 11 5 2 2" xfId="8131" xr:uid="{00000000-0005-0000-0000-0000C3060000}"/>
    <cellStyle name="20% - Accent2 11 5 2 2 2" xfId="15927" xr:uid="{00000000-0005-0000-0000-0000C4060000}"/>
    <cellStyle name="20% - Accent2 11 5 2 2 2 2" xfId="33562" xr:uid="{00000000-0005-0000-0000-0000C5060000}"/>
    <cellStyle name="20% - Accent2 11 5 2 2 3" xfId="26545" xr:uid="{00000000-0005-0000-0000-0000C6060000}"/>
    <cellStyle name="20% - Accent2 11 5 2 3" xfId="12240" xr:uid="{00000000-0005-0000-0000-0000C7060000}"/>
    <cellStyle name="20% - Accent2 11 5 2 3 2" xfId="29911" xr:uid="{00000000-0005-0000-0000-0000C8060000}"/>
    <cellStyle name="20% - Accent2 11 5 2 4" xfId="23680" xr:uid="{00000000-0005-0000-0000-0000C9060000}"/>
    <cellStyle name="20% - Accent2 11 5 3" xfId="5547" xr:uid="{00000000-0005-0000-0000-0000CA060000}"/>
    <cellStyle name="20% - Accent2 11 5 3 2" xfId="8847" xr:uid="{00000000-0005-0000-0000-0000CB060000}"/>
    <cellStyle name="20% - Accent2 11 5 3 2 2" xfId="16642" xr:uid="{00000000-0005-0000-0000-0000CC060000}"/>
    <cellStyle name="20% - Accent2 11 5 3 2 2 2" xfId="34278" xr:uid="{00000000-0005-0000-0000-0000CD060000}"/>
    <cellStyle name="20% - Accent2 11 5 3 2 3" xfId="27235" xr:uid="{00000000-0005-0000-0000-0000CE060000}"/>
    <cellStyle name="20% - Accent2 11 5 3 3" xfId="13403" xr:uid="{00000000-0005-0000-0000-0000CF060000}"/>
    <cellStyle name="20% - Accent2 11 5 3 3 2" xfId="31043" xr:uid="{00000000-0005-0000-0000-0000D0060000}"/>
    <cellStyle name="20% - Accent2 11 5 3 4" xfId="24370" xr:uid="{00000000-0005-0000-0000-0000D1060000}"/>
    <cellStyle name="20% - Accent2 11 5 4" xfId="6177" xr:uid="{00000000-0005-0000-0000-0000D2060000}"/>
    <cellStyle name="20% - Accent2 11 5 4 2" xfId="9387" xr:uid="{00000000-0005-0000-0000-0000D3060000}"/>
    <cellStyle name="20% - Accent2 11 5 4 2 2" xfId="17181" xr:uid="{00000000-0005-0000-0000-0000D4060000}"/>
    <cellStyle name="20% - Accent2 11 5 4 2 2 2" xfId="34818" xr:uid="{00000000-0005-0000-0000-0000D5060000}"/>
    <cellStyle name="20% - Accent2 11 5 4 2 3" xfId="27771" xr:uid="{00000000-0005-0000-0000-0000D6060000}"/>
    <cellStyle name="20% - Accent2 11 5 4 3" xfId="13966" xr:uid="{00000000-0005-0000-0000-0000D7060000}"/>
    <cellStyle name="20% - Accent2 11 5 4 3 2" xfId="31601" xr:uid="{00000000-0005-0000-0000-0000D8060000}"/>
    <cellStyle name="20% - Accent2 11 5 4 4" xfId="24907" xr:uid="{00000000-0005-0000-0000-0000D9060000}"/>
    <cellStyle name="20% - Accent2 11 5 5" xfId="6715" xr:uid="{00000000-0005-0000-0000-0000DA060000}"/>
    <cellStyle name="20% - Accent2 11 5 5 2" xfId="9925" xr:uid="{00000000-0005-0000-0000-0000DB060000}"/>
    <cellStyle name="20% - Accent2 11 5 5 2 2" xfId="17718" xr:uid="{00000000-0005-0000-0000-0000DC060000}"/>
    <cellStyle name="20% - Accent2 11 5 5 2 2 2" xfId="35355" xr:uid="{00000000-0005-0000-0000-0000DD060000}"/>
    <cellStyle name="20% - Accent2 11 5 5 2 3" xfId="28308" xr:uid="{00000000-0005-0000-0000-0000DE060000}"/>
    <cellStyle name="20% - Accent2 11 5 5 3" xfId="14503" xr:uid="{00000000-0005-0000-0000-0000DF060000}"/>
    <cellStyle name="20% - Accent2 11 5 5 3 2" xfId="32138" xr:uid="{00000000-0005-0000-0000-0000E0060000}"/>
    <cellStyle name="20% - Accent2 11 5 5 4" xfId="25445" xr:uid="{00000000-0005-0000-0000-0000E1060000}"/>
    <cellStyle name="20% - Accent2 11 5 6" xfId="7550" xr:uid="{00000000-0005-0000-0000-0000E2060000}"/>
    <cellStyle name="20% - Accent2 11 5 6 2" xfId="15347" xr:uid="{00000000-0005-0000-0000-0000E3060000}"/>
    <cellStyle name="20% - Accent2 11 5 6 2 2" xfId="32982" xr:uid="{00000000-0005-0000-0000-0000E4060000}"/>
    <cellStyle name="20% - Accent2 11 5 6 3" xfId="25983" xr:uid="{00000000-0005-0000-0000-0000E5060000}"/>
    <cellStyle name="20% - Accent2 11 5 7" xfId="11115" xr:uid="{00000000-0005-0000-0000-0000E6060000}"/>
    <cellStyle name="20% - Accent2 11 5 7 2" xfId="28845" xr:uid="{00000000-0005-0000-0000-0000E7060000}"/>
    <cellStyle name="20% - Accent2 11 5 8" xfId="23118" xr:uid="{00000000-0005-0000-0000-0000E8060000}"/>
    <cellStyle name="20% - Accent2 11 5 9" xfId="51672" xr:uid="{00000000-0005-0000-0000-0000E9060000}"/>
    <cellStyle name="20% - Accent2 11 6" xfId="257" xr:uid="{00000000-0005-0000-0000-0000EA060000}"/>
    <cellStyle name="20% - Accent2 11 6 2" xfId="3502" xr:uid="{00000000-0005-0000-0000-0000EB060000}"/>
    <cellStyle name="20% - Accent2 11 6 2 2" xfId="8132" xr:uid="{00000000-0005-0000-0000-0000EC060000}"/>
    <cellStyle name="20% - Accent2 11 6 2 2 2" xfId="15928" xr:uid="{00000000-0005-0000-0000-0000ED060000}"/>
    <cellStyle name="20% - Accent2 11 6 2 2 2 2" xfId="33563" xr:uid="{00000000-0005-0000-0000-0000EE060000}"/>
    <cellStyle name="20% - Accent2 11 6 2 2 3" xfId="26546" xr:uid="{00000000-0005-0000-0000-0000EF060000}"/>
    <cellStyle name="20% - Accent2 11 6 2 3" xfId="12241" xr:uid="{00000000-0005-0000-0000-0000F0060000}"/>
    <cellStyle name="20% - Accent2 11 6 2 3 2" xfId="29912" xr:uid="{00000000-0005-0000-0000-0000F1060000}"/>
    <cellStyle name="20% - Accent2 11 6 2 4" xfId="23681" xr:uid="{00000000-0005-0000-0000-0000F2060000}"/>
    <cellStyle name="20% - Accent2 11 6 3" xfId="5548" xr:uid="{00000000-0005-0000-0000-0000F3060000}"/>
    <cellStyle name="20% - Accent2 11 6 3 2" xfId="8848" xr:uid="{00000000-0005-0000-0000-0000F4060000}"/>
    <cellStyle name="20% - Accent2 11 6 3 2 2" xfId="16643" xr:uid="{00000000-0005-0000-0000-0000F5060000}"/>
    <cellStyle name="20% - Accent2 11 6 3 2 2 2" xfId="34279" xr:uid="{00000000-0005-0000-0000-0000F6060000}"/>
    <cellStyle name="20% - Accent2 11 6 3 2 3" xfId="27236" xr:uid="{00000000-0005-0000-0000-0000F7060000}"/>
    <cellStyle name="20% - Accent2 11 6 3 3" xfId="13404" xr:uid="{00000000-0005-0000-0000-0000F8060000}"/>
    <cellStyle name="20% - Accent2 11 6 3 3 2" xfId="31044" xr:uid="{00000000-0005-0000-0000-0000F9060000}"/>
    <cellStyle name="20% - Accent2 11 6 3 4" xfId="24371" xr:uid="{00000000-0005-0000-0000-0000FA060000}"/>
    <cellStyle name="20% - Accent2 11 6 4" xfId="6178" xr:uid="{00000000-0005-0000-0000-0000FB060000}"/>
    <cellStyle name="20% - Accent2 11 6 4 2" xfId="9388" xr:uid="{00000000-0005-0000-0000-0000FC060000}"/>
    <cellStyle name="20% - Accent2 11 6 4 2 2" xfId="17182" xr:uid="{00000000-0005-0000-0000-0000FD060000}"/>
    <cellStyle name="20% - Accent2 11 6 4 2 2 2" xfId="34819" xr:uid="{00000000-0005-0000-0000-0000FE060000}"/>
    <cellStyle name="20% - Accent2 11 6 4 2 3" xfId="27772" xr:uid="{00000000-0005-0000-0000-0000FF060000}"/>
    <cellStyle name="20% - Accent2 11 6 4 3" xfId="13967" xr:uid="{00000000-0005-0000-0000-000000070000}"/>
    <cellStyle name="20% - Accent2 11 6 4 3 2" xfId="31602" xr:uid="{00000000-0005-0000-0000-000001070000}"/>
    <cellStyle name="20% - Accent2 11 6 4 4" xfId="24908" xr:uid="{00000000-0005-0000-0000-000002070000}"/>
    <cellStyle name="20% - Accent2 11 6 5" xfId="6716" xr:uid="{00000000-0005-0000-0000-000003070000}"/>
    <cellStyle name="20% - Accent2 11 6 5 2" xfId="9926" xr:uid="{00000000-0005-0000-0000-000004070000}"/>
    <cellStyle name="20% - Accent2 11 6 5 2 2" xfId="17719" xr:uid="{00000000-0005-0000-0000-000005070000}"/>
    <cellStyle name="20% - Accent2 11 6 5 2 2 2" xfId="35356" xr:uid="{00000000-0005-0000-0000-000006070000}"/>
    <cellStyle name="20% - Accent2 11 6 5 2 3" xfId="28309" xr:uid="{00000000-0005-0000-0000-000007070000}"/>
    <cellStyle name="20% - Accent2 11 6 5 3" xfId="14504" xr:uid="{00000000-0005-0000-0000-000008070000}"/>
    <cellStyle name="20% - Accent2 11 6 5 3 2" xfId="32139" xr:uid="{00000000-0005-0000-0000-000009070000}"/>
    <cellStyle name="20% - Accent2 11 6 5 4" xfId="25446" xr:uid="{00000000-0005-0000-0000-00000A070000}"/>
    <cellStyle name="20% - Accent2 11 6 6" xfId="7551" xr:uid="{00000000-0005-0000-0000-00000B070000}"/>
    <cellStyle name="20% - Accent2 11 6 6 2" xfId="15348" xr:uid="{00000000-0005-0000-0000-00000C070000}"/>
    <cellStyle name="20% - Accent2 11 6 6 2 2" xfId="32983" xr:uid="{00000000-0005-0000-0000-00000D070000}"/>
    <cellStyle name="20% - Accent2 11 6 6 3" xfId="25984" xr:uid="{00000000-0005-0000-0000-00000E070000}"/>
    <cellStyle name="20% - Accent2 11 6 7" xfId="11116" xr:uid="{00000000-0005-0000-0000-00000F070000}"/>
    <cellStyle name="20% - Accent2 11 6 7 2" xfId="28846" xr:uid="{00000000-0005-0000-0000-000010070000}"/>
    <cellStyle name="20% - Accent2 11 6 8" xfId="23119" xr:uid="{00000000-0005-0000-0000-000011070000}"/>
    <cellStyle name="20% - Accent2 11 6 9" xfId="51673" xr:uid="{00000000-0005-0000-0000-000012070000}"/>
    <cellStyle name="20% - Accent2 11 7" xfId="258" xr:uid="{00000000-0005-0000-0000-000013070000}"/>
    <cellStyle name="20% - Accent2 11 7 10" xfId="51674" xr:uid="{00000000-0005-0000-0000-000014070000}"/>
    <cellStyle name="20% - Accent2 11 7 2" xfId="259" xr:uid="{00000000-0005-0000-0000-000015070000}"/>
    <cellStyle name="20% - Accent2 11 7 2 2" xfId="8134" xr:uid="{00000000-0005-0000-0000-000016070000}"/>
    <cellStyle name="20% - Accent2 11 7 2 2 2" xfId="15930" xr:uid="{00000000-0005-0000-0000-000017070000}"/>
    <cellStyle name="20% - Accent2 11 7 2 2 2 2" xfId="33565" xr:uid="{00000000-0005-0000-0000-000018070000}"/>
    <cellStyle name="20% - Accent2 11 7 2 2 3" xfId="26548" xr:uid="{00000000-0005-0000-0000-000019070000}"/>
    <cellStyle name="20% - Accent2 11 7 2 3" xfId="12243" xr:uid="{00000000-0005-0000-0000-00001A070000}"/>
    <cellStyle name="20% - Accent2 11 7 2 3 2" xfId="29914" xr:uid="{00000000-0005-0000-0000-00001B070000}"/>
    <cellStyle name="20% - Accent2 11 7 2 4" xfId="23683" xr:uid="{00000000-0005-0000-0000-00001C070000}"/>
    <cellStyle name="20% - Accent2 11 7 3" xfId="3503" xr:uid="{00000000-0005-0000-0000-00001D070000}"/>
    <cellStyle name="20% - Accent2 11 7 3 2" xfId="8133" xr:uid="{00000000-0005-0000-0000-00001E070000}"/>
    <cellStyle name="20% - Accent2 11 7 3 2 2" xfId="15929" xr:uid="{00000000-0005-0000-0000-00001F070000}"/>
    <cellStyle name="20% - Accent2 11 7 3 2 2 2" xfId="33564" xr:uid="{00000000-0005-0000-0000-000020070000}"/>
    <cellStyle name="20% - Accent2 11 7 3 2 3" xfId="26547" xr:uid="{00000000-0005-0000-0000-000021070000}"/>
    <cellStyle name="20% - Accent2 11 7 3 3" xfId="12242" xr:uid="{00000000-0005-0000-0000-000022070000}"/>
    <cellStyle name="20% - Accent2 11 7 3 3 2" xfId="29913" xr:uid="{00000000-0005-0000-0000-000023070000}"/>
    <cellStyle name="20% - Accent2 11 7 3 4" xfId="23682" xr:uid="{00000000-0005-0000-0000-000024070000}"/>
    <cellStyle name="20% - Accent2 11 7 4" xfId="5549" xr:uid="{00000000-0005-0000-0000-000025070000}"/>
    <cellStyle name="20% - Accent2 11 7 4 2" xfId="8849" xr:uid="{00000000-0005-0000-0000-000026070000}"/>
    <cellStyle name="20% - Accent2 11 7 4 2 2" xfId="16644" xr:uid="{00000000-0005-0000-0000-000027070000}"/>
    <cellStyle name="20% - Accent2 11 7 4 2 2 2" xfId="34280" xr:uid="{00000000-0005-0000-0000-000028070000}"/>
    <cellStyle name="20% - Accent2 11 7 4 2 3" xfId="27237" xr:uid="{00000000-0005-0000-0000-000029070000}"/>
    <cellStyle name="20% - Accent2 11 7 4 3" xfId="13405" xr:uid="{00000000-0005-0000-0000-00002A070000}"/>
    <cellStyle name="20% - Accent2 11 7 4 3 2" xfId="31045" xr:uid="{00000000-0005-0000-0000-00002B070000}"/>
    <cellStyle name="20% - Accent2 11 7 4 4" xfId="24372" xr:uid="{00000000-0005-0000-0000-00002C070000}"/>
    <cellStyle name="20% - Accent2 11 7 5" xfId="6179" xr:uid="{00000000-0005-0000-0000-00002D070000}"/>
    <cellStyle name="20% - Accent2 11 7 5 2" xfId="9389" xr:uid="{00000000-0005-0000-0000-00002E070000}"/>
    <cellStyle name="20% - Accent2 11 7 5 2 2" xfId="17183" xr:uid="{00000000-0005-0000-0000-00002F070000}"/>
    <cellStyle name="20% - Accent2 11 7 5 2 2 2" xfId="34820" xr:uid="{00000000-0005-0000-0000-000030070000}"/>
    <cellStyle name="20% - Accent2 11 7 5 2 3" xfId="27773" xr:uid="{00000000-0005-0000-0000-000031070000}"/>
    <cellStyle name="20% - Accent2 11 7 5 3" xfId="13968" xr:uid="{00000000-0005-0000-0000-000032070000}"/>
    <cellStyle name="20% - Accent2 11 7 5 3 2" xfId="31603" xr:uid="{00000000-0005-0000-0000-000033070000}"/>
    <cellStyle name="20% - Accent2 11 7 5 4" xfId="24909" xr:uid="{00000000-0005-0000-0000-000034070000}"/>
    <cellStyle name="20% - Accent2 11 7 6" xfId="6717" xr:uid="{00000000-0005-0000-0000-000035070000}"/>
    <cellStyle name="20% - Accent2 11 7 6 2" xfId="9927" xr:uid="{00000000-0005-0000-0000-000036070000}"/>
    <cellStyle name="20% - Accent2 11 7 6 2 2" xfId="17720" xr:uid="{00000000-0005-0000-0000-000037070000}"/>
    <cellStyle name="20% - Accent2 11 7 6 2 2 2" xfId="35357" xr:uid="{00000000-0005-0000-0000-000038070000}"/>
    <cellStyle name="20% - Accent2 11 7 6 2 3" xfId="28310" xr:uid="{00000000-0005-0000-0000-000039070000}"/>
    <cellStyle name="20% - Accent2 11 7 6 3" xfId="14505" xr:uid="{00000000-0005-0000-0000-00003A070000}"/>
    <cellStyle name="20% - Accent2 11 7 6 3 2" xfId="32140" xr:uid="{00000000-0005-0000-0000-00003B070000}"/>
    <cellStyle name="20% - Accent2 11 7 6 4" xfId="25447" xr:uid="{00000000-0005-0000-0000-00003C070000}"/>
    <cellStyle name="20% - Accent2 11 7 7" xfId="7552" xr:uid="{00000000-0005-0000-0000-00003D070000}"/>
    <cellStyle name="20% - Accent2 11 7 7 2" xfId="15349" xr:uid="{00000000-0005-0000-0000-00003E070000}"/>
    <cellStyle name="20% - Accent2 11 7 7 2 2" xfId="32984" xr:uid="{00000000-0005-0000-0000-00003F070000}"/>
    <cellStyle name="20% - Accent2 11 7 7 3" xfId="25985" xr:uid="{00000000-0005-0000-0000-000040070000}"/>
    <cellStyle name="20% - Accent2 11 7 8" xfId="11117" xr:uid="{00000000-0005-0000-0000-000041070000}"/>
    <cellStyle name="20% - Accent2 11 7 8 2" xfId="28847" xr:uid="{00000000-0005-0000-0000-000042070000}"/>
    <cellStyle name="20% - Accent2 11 7 9" xfId="23120" xr:uid="{00000000-0005-0000-0000-000043070000}"/>
    <cellStyle name="20% - Accent2 11 8" xfId="3504" xr:uid="{00000000-0005-0000-0000-000044070000}"/>
    <cellStyle name="20% - Accent2 11 8 2" xfId="8135" xr:uid="{00000000-0005-0000-0000-000045070000}"/>
    <cellStyle name="20% - Accent2 11 8 2 2" xfId="15931" xr:uid="{00000000-0005-0000-0000-000046070000}"/>
    <cellStyle name="20% - Accent2 11 8 2 2 2" xfId="33566" xr:uid="{00000000-0005-0000-0000-000047070000}"/>
    <cellStyle name="20% - Accent2 11 8 2 3" xfId="26549" xr:uid="{00000000-0005-0000-0000-000048070000}"/>
    <cellStyle name="20% - Accent2 11 8 3" xfId="12244" xr:uid="{00000000-0005-0000-0000-000049070000}"/>
    <cellStyle name="20% - Accent2 11 8 3 2" xfId="29915" xr:uid="{00000000-0005-0000-0000-00004A070000}"/>
    <cellStyle name="20% - Accent2 11 8 4" xfId="23684" xr:uid="{00000000-0005-0000-0000-00004B070000}"/>
    <cellStyle name="20% - Accent2 11 9" xfId="3505" xr:uid="{00000000-0005-0000-0000-00004C070000}"/>
    <cellStyle name="20% - Accent2 11 9 2" xfId="8136" xr:uid="{00000000-0005-0000-0000-00004D070000}"/>
    <cellStyle name="20% - Accent2 11 9 2 2" xfId="15932" xr:uid="{00000000-0005-0000-0000-00004E070000}"/>
    <cellStyle name="20% - Accent2 11 9 2 2 2" xfId="33567" xr:uid="{00000000-0005-0000-0000-00004F070000}"/>
    <cellStyle name="20% - Accent2 11 9 2 3" xfId="26550" xr:uid="{00000000-0005-0000-0000-000050070000}"/>
    <cellStyle name="20% - Accent2 11 9 3" xfId="12245" xr:uid="{00000000-0005-0000-0000-000051070000}"/>
    <cellStyle name="20% - Accent2 11 9 3 2" xfId="29916" xr:uid="{00000000-0005-0000-0000-000052070000}"/>
    <cellStyle name="20% - Accent2 11 9 4" xfId="23685" xr:uid="{00000000-0005-0000-0000-000053070000}"/>
    <cellStyle name="20% - Accent2 12" xfId="260" xr:uid="{00000000-0005-0000-0000-000054070000}"/>
    <cellStyle name="20% - Accent2 12 2" xfId="3506" xr:uid="{00000000-0005-0000-0000-000055070000}"/>
    <cellStyle name="20% - Accent2 12 2 2" xfId="8137" xr:uid="{00000000-0005-0000-0000-000056070000}"/>
    <cellStyle name="20% - Accent2 12 2 2 2" xfId="15933" xr:uid="{00000000-0005-0000-0000-000057070000}"/>
    <cellStyle name="20% - Accent2 12 2 2 2 2" xfId="33568" xr:uid="{00000000-0005-0000-0000-000058070000}"/>
    <cellStyle name="20% - Accent2 12 2 2 3" xfId="26551" xr:uid="{00000000-0005-0000-0000-000059070000}"/>
    <cellStyle name="20% - Accent2 12 2 3" xfId="12246" xr:uid="{00000000-0005-0000-0000-00005A070000}"/>
    <cellStyle name="20% - Accent2 12 2 3 2" xfId="29917" xr:uid="{00000000-0005-0000-0000-00005B070000}"/>
    <cellStyle name="20% - Accent2 12 2 4" xfId="22040" xr:uid="{00000000-0005-0000-0000-00005C070000}"/>
    <cellStyle name="20% - Accent2 12 2 4 2" xfId="38758" xr:uid="{00000000-0005-0000-0000-00005D070000}"/>
    <cellStyle name="20% - Accent2 12 2 5" xfId="23686" xr:uid="{00000000-0005-0000-0000-00005E070000}"/>
    <cellStyle name="20% - Accent2 12 3" xfId="7553" xr:uid="{00000000-0005-0000-0000-00005F070000}"/>
    <cellStyle name="20% - Accent2 12 3 2" xfId="15350" xr:uid="{00000000-0005-0000-0000-000060070000}"/>
    <cellStyle name="20% - Accent2 12 3 2 2" xfId="32985" xr:uid="{00000000-0005-0000-0000-000061070000}"/>
    <cellStyle name="20% - Accent2 12 3 3" xfId="25986" xr:uid="{00000000-0005-0000-0000-000062070000}"/>
    <cellStyle name="20% - Accent2 12 4" xfId="11118" xr:uid="{00000000-0005-0000-0000-000063070000}"/>
    <cellStyle name="20% - Accent2 12 4 2" xfId="28848" xr:uid="{00000000-0005-0000-0000-000064070000}"/>
    <cellStyle name="20% - Accent2 12 5" xfId="22039" xr:uid="{00000000-0005-0000-0000-000065070000}"/>
    <cellStyle name="20% - Accent2 12 5 2" xfId="38757" xr:uid="{00000000-0005-0000-0000-000066070000}"/>
    <cellStyle name="20% - Accent2 12 6" xfId="23121" xr:uid="{00000000-0005-0000-0000-000067070000}"/>
    <cellStyle name="20% - Accent2 12 7" xfId="51675" xr:uid="{00000000-0005-0000-0000-000068070000}"/>
    <cellStyle name="20% - Accent2 13" xfId="18871" xr:uid="{00000000-0005-0000-0000-000069070000}"/>
    <cellStyle name="20% - Accent2 13 2" xfId="22041" xr:uid="{00000000-0005-0000-0000-00006A070000}"/>
    <cellStyle name="20% - Accent2 13 2 2" xfId="38759" xr:uid="{00000000-0005-0000-0000-00006B070000}"/>
    <cellStyle name="20% - Accent2 13 3" xfId="36508" xr:uid="{00000000-0005-0000-0000-00006C070000}"/>
    <cellStyle name="20% - Accent2 14" xfId="15296" xr:uid="{00000000-0005-0000-0000-00006D070000}"/>
    <cellStyle name="20% - Accent2 14 2" xfId="22042" xr:uid="{00000000-0005-0000-0000-00006E070000}"/>
    <cellStyle name="20% - Accent2 14 3" xfId="32931" xr:uid="{00000000-0005-0000-0000-00006F070000}"/>
    <cellStyle name="20% - Accent2 15" xfId="22681" xr:uid="{00000000-0005-0000-0000-000070070000}"/>
    <cellStyle name="20% - Accent2 15 2" xfId="38903" xr:uid="{00000000-0005-0000-0000-000071070000}"/>
    <cellStyle name="20% - Accent2 16" xfId="22036" xr:uid="{00000000-0005-0000-0000-000072070000}"/>
    <cellStyle name="20% - Accent2 17" xfId="23070" xr:uid="{00000000-0005-0000-0000-000073070000}"/>
    <cellStyle name="20% - Accent2 18" xfId="51482" xr:uid="{00000000-0005-0000-0000-000074070000}"/>
    <cellStyle name="20% - Accent2 19" xfId="51495" xr:uid="{00000000-0005-0000-0000-000075070000}"/>
    <cellStyle name="20% - Accent2 2" xfId="4" xr:uid="{00000000-0005-0000-0000-000076070000}"/>
    <cellStyle name="20% - Accent2 2 10" xfId="262" xr:uid="{00000000-0005-0000-0000-000077070000}"/>
    <cellStyle name="20% - Accent2 2 11" xfId="263" xr:uid="{00000000-0005-0000-0000-000078070000}"/>
    <cellStyle name="20% - Accent2 2 12" xfId="264" xr:uid="{00000000-0005-0000-0000-000079070000}"/>
    <cellStyle name="20% - Accent2 2 13" xfId="265" xr:uid="{00000000-0005-0000-0000-00007A070000}"/>
    <cellStyle name="20% - Accent2 2 14" xfId="266" xr:uid="{00000000-0005-0000-0000-00007B070000}"/>
    <cellStyle name="20% - Accent2 2 15" xfId="3507" xr:uid="{00000000-0005-0000-0000-00007C070000}"/>
    <cellStyle name="20% - Accent2 2 16" xfId="3508" xr:uid="{00000000-0005-0000-0000-00007D070000}"/>
    <cellStyle name="20% - Accent2 2 17" xfId="3509" xr:uid="{00000000-0005-0000-0000-00007E070000}"/>
    <cellStyle name="20% - Accent2 2 18" xfId="261" xr:uid="{00000000-0005-0000-0000-00007F070000}"/>
    <cellStyle name="20% - Accent2 2 2" xfId="267" xr:uid="{00000000-0005-0000-0000-000080070000}"/>
    <cellStyle name="20% - Accent2 2 2 2" xfId="268" xr:uid="{00000000-0005-0000-0000-000081070000}"/>
    <cellStyle name="20% - Accent2 2 2 3" xfId="269" xr:uid="{00000000-0005-0000-0000-000082070000}"/>
    <cellStyle name="20% - Accent2 2 2 4" xfId="3510" xr:uid="{00000000-0005-0000-0000-000083070000}"/>
    <cellStyle name="20% - Accent2 2 2 5" xfId="3511" xr:uid="{00000000-0005-0000-0000-000084070000}"/>
    <cellStyle name="20% - Accent2 2 2_Sheet1" xfId="270" xr:uid="{00000000-0005-0000-0000-000085070000}"/>
    <cellStyle name="20% - Accent2 2 3" xfId="271" xr:uid="{00000000-0005-0000-0000-000086070000}"/>
    <cellStyle name="20% - Accent2 2 4" xfId="272" xr:uid="{00000000-0005-0000-0000-000087070000}"/>
    <cellStyle name="20% - Accent2 2 5" xfId="273" xr:uid="{00000000-0005-0000-0000-000088070000}"/>
    <cellStyle name="20% - Accent2 2 6" xfId="274" xr:uid="{00000000-0005-0000-0000-000089070000}"/>
    <cellStyle name="20% - Accent2 2 7" xfId="275" xr:uid="{00000000-0005-0000-0000-00008A070000}"/>
    <cellStyle name="20% - Accent2 2 8" xfId="276" xr:uid="{00000000-0005-0000-0000-00008B070000}"/>
    <cellStyle name="20% - Accent2 2 9" xfId="277" xr:uid="{00000000-0005-0000-0000-00008C070000}"/>
    <cellStyle name="20% - Accent2 2_BallGrid" xfId="278" xr:uid="{00000000-0005-0000-0000-00008D070000}"/>
    <cellStyle name="20% - Accent2 20" xfId="51508" xr:uid="{00000000-0005-0000-0000-00008E070000}"/>
    <cellStyle name="20% - Accent2 3" xfId="5" xr:uid="{00000000-0005-0000-0000-00008F070000}"/>
    <cellStyle name="20% - Accent2 3 10" xfId="279" xr:uid="{00000000-0005-0000-0000-000090070000}"/>
    <cellStyle name="20% - Accent2 3 2" xfId="280" xr:uid="{00000000-0005-0000-0000-000091070000}"/>
    <cellStyle name="20% - Accent2 3 3" xfId="281" xr:uid="{00000000-0005-0000-0000-000092070000}"/>
    <cellStyle name="20% - Accent2 3 4" xfId="282" xr:uid="{00000000-0005-0000-0000-000093070000}"/>
    <cellStyle name="20% - Accent2 3 5" xfId="283" xr:uid="{00000000-0005-0000-0000-000094070000}"/>
    <cellStyle name="20% - Accent2 3 6" xfId="284" xr:uid="{00000000-0005-0000-0000-000095070000}"/>
    <cellStyle name="20% - Accent2 3 7" xfId="3512" xr:uid="{00000000-0005-0000-0000-000096070000}"/>
    <cellStyle name="20% - Accent2 3 8" xfId="3513" xr:uid="{00000000-0005-0000-0000-000097070000}"/>
    <cellStyle name="20% - Accent2 3 9" xfId="3514" xr:uid="{00000000-0005-0000-0000-000098070000}"/>
    <cellStyle name="20% - Accent2 3_BallGrid" xfId="285" xr:uid="{00000000-0005-0000-0000-000099070000}"/>
    <cellStyle name="20% - Accent2 4" xfId="6" xr:uid="{00000000-0005-0000-0000-00009A070000}"/>
    <cellStyle name="20% - Accent2 4 2" xfId="287" xr:uid="{00000000-0005-0000-0000-00009B070000}"/>
    <cellStyle name="20% - Accent2 4 2 2" xfId="22833" xr:uid="{00000000-0005-0000-0000-00009C070000}"/>
    <cellStyle name="20% - Accent2 4 3" xfId="288" xr:uid="{00000000-0005-0000-0000-00009D070000}"/>
    <cellStyle name="20% - Accent2 4 3 2" xfId="22043" xr:uid="{00000000-0005-0000-0000-00009E070000}"/>
    <cellStyle name="20% - Accent2 4 4" xfId="289" xr:uid="{00000000-0005-0000-0000-00009F070000}"/>
    <cellStyle name="20% - Accent2 4 5" xfId="290" xr:uid="{00000000-0005-0000-0000-0000A0070000}"/>
    <cellStyle name="20% - Accent2 4 6" xfId="3515" xr:uid="{00000000-0005-0000-0000-0000A1070000}"/>
    <cellStyle name="20% - Accent2 4 7" xfId="3516" xr:uid="{00000000-0005-0000-0000-0000A2070000}"/>
    <cellStyle name="20% - Accent2 4 8" xfId="3517" xr:uid="{00000000-0005-0000-0000-0000A3070000}"/>
    <cellStyle name="20% - Accent2 4 9" xfId="286" xr:uid="{00000000-0005-0000-0000-0000A4070000}"/>
    <cellStyle name="20% - Accent2 5" xfId="291" xr:uid="{00000000-0005-0000-0000-0000A5070000}"/>
    <cellStyle name="20% - Accent2 5 10" xfId="3519" xr:uid="{00000000-0005-0000-0000-0000A6070000}"/>
    <cellStyle name="20% - Accent2 5 10 2" xfId="8139" xr:uid="{00000000-0005-0000-0000-0000A7070000}"/>
    <cellStyle name="20% - Accent2 5 10 2 2" xfId="15935" xr:uid="{00000000-0005-0000-0000-0000A8070000}"/>
    <cellStyle name="20% - Accent2 5 10 2 2 2" xfId="33570" xr:uid="{00000000-0005-0000-0000-0000A9070000}"/>
    <cellStyle name="20% - Accent2 5 10 2 3" xfId="26553" xr:uid="{00000000-0005-0000-0000-0000AA070000}"/>
    <cellStyle name="20% - Accent2 5 10 3" xfId="12250" xr:uid="{00000000-0005-0000-0000-0000AB070000}"/>
    <cellStyle name="20% - Accent2 5 10 3 2" xfId="29921" xr:uid="{00000000-0005-0000-0000-0000AC070000}"/>
    <cellStyle name="20% - Accent2 5 10 4" xfId="23688" xr:uid="{00000000-0005-0000-0000-0000AD070000}"/>
    <cellStyle name="20% - Accent2 5 11" xfId="3518" xr:uid="{00000000-0005-0000-0000-0000AE070000}"/>
    <cellStyle name="20% - Accent2 5 11 2" xfId="8138" xr:uid="{00000000-0005-0000-0000-0000AF070000}"/>
    <cellStyle name="20% - Accent2 5 11 2 2" xfId="15934" xr:uid="{00000000-0005-0000-0000-0000B0070000}"/>
    <cellStyle name="20% - Accent2 5 11 2 2 2" xfId="33569" xr:uid="{00000000-0005-0000-0000-0000B1070000}"/>
    <cellStyle name="20% - Accent2 5 11 2 3" xfId="26552" xr:uid="{00000000-0005-0000-0000-0000B2070000}"/>
    <cellStyle name="20% - Accent2 5 11 3" xfId="12249" xr:uid="{00000000-0005-0000-0000-0000B3070000}"/>
    <cellStyle name="20% - Accent2 5 11 3 2" xfId="29920" xr:uid="{00000000-0005-0000-0000-0000B4070000}"/>
    <cellStyle name="20% - Accent2 5 11 4" xfId="23687" xr:uid="{00000000-0005-0000-0000-0000B5070000}"/>
    <cellStyle name="20% - Accent2 5 12" xfId="5550" xr:uid="{00000000-0005-0000-0000-0000B6070000}"/>
    <cellStyle name="20% - Accent2 5 12 2" xfId="8850" xr:uid="{00000000-0005-0000-0000-0000B7070000}"/>
    <cellStyle name="20% - Accent2 5 12 2 2" xfId="16645" xr:uid="{00000000-0005-0000-0000-0000B8070000}"/>
    <cellStyle name="20% - Accent2 5 12 2 2 2" xfId="34281" xr:uid="{00000000-0005-0000-0000-0000B9070000}"/>
    <cellStyle name="20% - Accent2 5 12 2 3" xfId="27238" xr:uid="{00000000-0005-0000-0000-0000BA070000}"/>
    <cellStyle name="20% - Accent2 5 12 3" xfId="13406" xr:uid="{00000000-0005-0000-0000-0000BB070000}"/>
    <cellStyle name="20% - Accent2 5 12 3 2" xfId="31046" xr:uid="{00000000-0005-0000-0000-0000BC070000}"/>
    <cellStyle name="20% - Accent2 5 12 4" xfId="24373" xr:uid="{00000000-0005-0000-0000-0000BD070000}"/>
    <cellStyle name="20% - Accent2 5 13" xfId="6180" xr:uid="{00000000-0005-0000-0000-0000BE070000}"/>
    <cellStyle name="20% - Accent2 5 13 2" xfId="9390" xr:uid="{00000000-0005-0000-0000-0000BF070000}"/>
    <cellStyle name="20% - Accent2 5 13 2 2" xfId="17184" xr:uid="{00000000-0005-0000-0000-0000C0070000}"/>
    <cellStyle name="20% - Accent2 5 13 2 2 2" xfId="34821" xr:uid="{00000000-0005-0000-0000-0000C1070000}"/>
    <cellStyle name="20% - Accent2 5 13 2 3" xfId="27774" xr:uid="{00000000-0005-0000-0000-0000C2070000}"/>
    <cellStyle name="20% - Accent2 5 13 3" xfId="13969" xr:uid="{00000000-0005-0000-0000-0000C3070000}"/>
    <cellStyle name="20% - Accent2 5 13 3 2" xfId="31604" xr:uid="{00000000-0005-0000-0000-0000C4070000}"/>
    <cellStyle name="20% - Accent2 5 13 4" xfId="24910" xr:uid="{00000000-0005-0000-0000-0000C5070000}"/>
    <cellStyle name="20% - Accent2 5 14" xfId="6718" xr:uid="{00000000-0005-0000-0000-0000C6070000}"/>
    <cellStyle name="20% - Accent2 5 14 2" xfId="9928" xr:uid="{00000000-0005-0000-0000-0000C7070000}"/>
    <cellStyle name="20% - Accent2 5 14 2 2" xfId="17721" xr:uid="{00000000-0005-0000-0000-0000C8070000}"/>
    <cellStyle name="20% - Accent2 5 14 2 2 2" xfId="35358" xr:uid="{00000000-0005-0000-0000-0000C9070000}"/>
    <cellStyle name="20% - Accent2 5 14 2 3" xfId="28311" xr:uid="{00000000-0005-0000-0000-0000CA070000}"/>
    <cellStyle name="20% - Accent2 5 14 3" xfId="14506" xr:uid="{00000000-0005-0000-0000-0000CB070000}"/>
    <cellStyle name="20% - Accent2 5 14 3 2" xfId="32141" xr:uid="{00000000-0005-0000-0000-0000CC070000}"/>
    <cellStyle name="20% - Accent2 5 14 4" xfId="25448" xr:uid="{00000000-0005-0000-0000-0000CD070000}"/>
    <cellStyle name="20% - Accent2 5 15" xfId="7554" xr:uid="{00000000-0005-0000-0000-0000CE070000}"/>
    <cellStyle name="20% - Accent2 5 15 2" xfId="15351" xr:uid="{00000000-0005-0000-0000-0000CF070000}"/>
    <cellStyle name="20% - Accent2 5 15 2 2" xfId="32986" xr:uid="{00000000-0005-0000-0000-0000D0070000}"/>
    <cellStyle name="20% - Accent2 5 15 3" xfId="25987" xr:uid="{00000000-0005-0000-0000-0000D1070000}"/>
    <cellStyle name="20% - Accent2 5 16" xfId="11122" xr:uid="{00000000-0005-0000-0000-0000D2070000}"/>
    <cellStyle name="20% - Accent2 5 16 2" xfId="28850" xr:uid="{00000000-0005-0000-0000-0000D3070000}"/>
    <cellStyle name="20% - Accent2 5 17" xfId="21939" xr:uid="{00000000-0005-0000-0000-0000D4070000}"/>
    <cellStyle name="20% - Accent2 5 17 2" xfId="38692" xr:uid="{00000000-0005-0000-0000-0000D5070000}"/>
    <cellStyle name="20% - Accent2 5 18" xfId="23122" xr:uid="{00000000-0005-0000-0000-0000D6070000}"/>
    <cellStyle name="20% - Accent2 5 19" xfId="51676" xr:uid="{00000000-0005-0000-0000-0000D7070000}"/>
    <cellStyle name="20% - Accent2 5 2" xfId="292" xr:uid="{00000000-0005-0000-0000-0000D8070000}"/>
    <cellStyle name="20% - Accent2 5 2 10" xfId="51677" xr:uid="{00000000-0005-0000-0000-0000D9070000}"/>
    <cellStyle name="20% - Accent2 5 2 2" xfId="3520" xr:uid="{00000000-0005-0000-0000-0000DA070000}"/>
    <cellStyle name="20% - Accent2 5 2 2 2" xfId="8140" xr:uid="{00000000-0005-0000-0000-0000DB070000}"/>
    <cellStyle name="20% - Accent2 5 2 2 2 2" xfId="15936" xr:uid="{00000000-0005-0000-0000-0000DC070000}"/>
    <cellStyle name="20% - Accent2 5 2 2 2 2 2" xfId="33571" xr:uid="{00000000-0005-0000-0000-0000DD070000}"/>
    <cellStyle name="20% - Accent2 5 2 2 2 3" xfId="26554" xr:uid="{00000000-0005-0000-0000-0000DE070000}"/>
    <cellStyle name="20% - Accent2 5 2 2 3" xfId="12251" xr:uid="{00000000-0005-0000-0000-0000DF070000}"/>
    <cellStyle name="20% - Accent2 5 2 2 3 2" xfId="29922" xr:uid="{00000000-0005-0000-0000-0000E0070000}"/>
    <cellStyle name="20% - Accent2 5 2 2 4" xfId="23689" xr:uid="{00000000-0005-0000-0000-0000E1070000}"/>
    <cellStyle name="20% - Accent2 5 2 3" xfId="5551" xr:uid="{00000000-0005-0000-0000-0000E2070000}"/>
    <cellStyle name="20% - Accent2 5 2 3 2" xfId="8851" xr:uid="{00000000-0005-0000-0000-0000E3070000}"/>
    <cellStyle name="20% - Accent2 5 2 3 2 2" xfId="16646" xr:uid="{00000000-0005-0000-0000-0000E4070000}"/>
    <cellStyle name="20% - Accent2 5 2 3 2 2 2" xfId="34282" xr:uid="{00000000-0005-0000-0000-0000E5070000}"/>
    <cellStyle name="20% - Accent2 5 2 3 2 3" xfId="27239" xr:uid="{00000000-0005-0000-0000-0000E6070000}"/>
    <cellStyle name="20% - Accent2 5 2 3 3" xfId="13407" xr:uid="{00000000-0005-0000-0000-0000E7070000}"/>
    <cellStyle name="20% - Accent2 5 2 3 3 2" xfId="31047" xr:uid="{00000000-0005-0000-0000-0000E8070000}"/>
    <cellStyle name="20% - Accent2 5 2 3 4" xfId="24374" xr:uid="{00000000-0005-0000-0000-0000E9070000}"/>
    <cellStyle name="20% - Accent2 5 2 4" xfId="6181" xr:uid="{00000000-0005-0000-0000-0000EA070000}"/>
    <cellStyle name="20% - Accent2 5 2 4 2" xfId="9391" xr:uid="{00000000-0005-0000-0000-0000EB070000}"/>
    <cellStyle name="20% - Accent2 5 2 4 2 2" xfId="17185" xr:uid="{00000000-0005-0000-0000-0000EC070000}"/>
    <cellStyle name="20% - Accent2 5 2 4 2 2 2" xfId="34822" xr:uid="{00000000-0005-0000-0000-0000ED070000}"/>
    <cellStyle name="20% - Accent2 5 2 4 2 3" xfId="27775" xr:uid="{00000000-0005-0000-0000-0000EE070000}"/>
    <cellStyle name="20% - Accent2 5 2 4 3" xfId="13970" xr:uid="{00000000-0005-0000-0000-0000EF070000}"/>
    <cellStyle name="20% - Accent2 5 2 4 3 2" xfId="31605" xr:uid="{00000000-0005-0000-0000-0000F0070000}"/>
    <cellStyle name="20% - Accent2 5 2 4 4" xfId="24911" xr:uid="{00000000-0005-0000-0000-0000F1070000}"/>
    <cellStyle name="20% - Accent2 5 2 5" xfId="6719" xr:uid="{00000000-0005-0000-0000-0000F2070000}"/>
    <cellStyle name="20% - Accent2 5 2 5 2" xfId="9929" xr:uid="{00000000-0005-0000-0000-0000F3070000}"/>
    <cellStyle name="20% - Accent2 5 2 5 2 2" xfId="17722" xr:uid="{00000000-0005-0000-0000-0000F4070000}"/>
    <cellStyle name="20% - Accent2 5 2 5 2 2 2" xfId="35359" xr:uid="{00000000-0005-0000-0000-0000F5070000}"/>
    <cellStyle name="20% - Accent2 5 2 5 2 3" xfId="28312" xr:uid="{00000000-0005-0000-0000-0000F6070000}"/>
    <cellStyle name="20% - Accent2 5 2 5 3" xfId="14507" xr:uid="{00000000-0005-0000-0000-0000F7070000}"/>
    <cellStyle name="20% - Accent2 5 2 5 3 2" xfId="32142" xr:uid="{00000000-0005-0000-0000-0000F8070000}"/>
    <cellStyle name="20% - Accent2 5 2 5 4" xfId="25449" xr:uid="{00000000-0005-0000-0000-0000F9070000}"/>
    <cellStyle name="20% - Accent2 5 2 6" xfId="7555" xr:uid="{00000000-0005-0000-0000-0000FA070000}"/>
    <cellStyle name="20% - Accent2 5 2 6 2" xfId="15352" xr:uid="{00000000-0005-0000-0000-0000FB070000}"/>
    <cellStyle name="20% - Accent2 5 2 6 2 2" xfId="32987" xr:uid="{00000000-0005-0000-0000-0000FC070000}"/>
    <cellStyle name="20% - Accent2 5 2 6 3" xfId="25988" xr:uid="{00000000-0005-0000-0000-0000FD070000}"/>
    <cellStyle name="20% - Accent2 5 2 7" xfId="11123" xr:uid="{00000000-0005-0000-0000-0000FE070000}"/>
    <cellStyle name="20% - Accent2 5 2 7 2" xfId="28851" xr:uid="{00000000-0005-0000-0000-0000FF070000}"/>
    <cellStyle name="20% - Accent2 5 2 8" xfId="22834" xr:uid="{00000000-0005-0000-0000-000000080000}"/>
    <cellStyle name="20% - Accent2 5 2 8 2" xfId="39013" xr:uid="{00000000-0005-0000-0000-000001080000}"/>
    <cellStyle name="20% - Accent2 5 2 9" xfId="23123" xr:uid="{00000000-0005-0000-0000-000002080000}"/>
    <cellStyle name="20% - Accent2 5 3" xfId="293" xr:uid="{00000000-0005-0000-0000-000003080000}"/>
    <cellStyle name="20% - Accent2 5 3 10" xfId="22044" xr:uid="{00000000-0005-0000-0000-000004080000}"/>
    <cellStyle name="20% - Accent2 5 3 11" xfId="23124" xr:uid="{00000000-0005-0000-0000-000005080000}"/>
    <cellStyle name="20% - Accent2 5 3 12" xfId="51678" xr:uid="{00000000-0005-0000-0000-000006080000}"/>
    <cellStyle name="20% - Accent2 5 3 2" xfId="294" xr:uid="{00000000-0005-0000-0000-000007080000}"/>
    <cellStyle name="20% - Accent2 5 3 2 2" xfId="3522" xr:uid="{00000000-0005-0000-0000-000008080000}"/>
    <cellStyle name="20% - Accent2 5 3 2 2 2" xfId="8142" xr:uid="{00000000-0005-0000-0000-000009080000}"/>
    <cellStyle name="20% - Accent2 5 3 2 2 2 2" xfId="15938" xr:uid="{00000000-0005-0000-0000-00000A080000}"/>
    <cellStyle name="20% - Accent2 5 3 2 2 2 2 2" xfId="33573" xr:uid="{00000000-0005-0000-0000-00000B080000}"/>
    <cellStyle name="20% - Accent2 5 3 2 2 2 3" xfId="26556" xr:uid="{00000000-0005-0000-0000-00000C080000}"/>
    <cellStyle name="20% - Accent2 5 3 2 2 3" xfId="12253" xr:uid="{00000000-0005-0000-0000-00000D080000}"/>
    <cellStyle name="20% - Accent2 5 3 2 2 3 2" xfId="29924" xr:uid="{00000000-0005-0000-0000-00000E080000}"/>
    <cellStyle name="20% - Accent2 5 3 2 2 4" xfId="23691" xr:uid="{00000000-0005-0000-0000-00000F080000}"/>
    <cellStyle name="20% - Accent2 5 3 2 3" xfId="5553" xr:uid="{00000000-0005-0000-0000-000010080000}"/>
    <cellStyle name="20% - Accent2 5 3 2 3 2" xfId="8853" xr:uid="{00000000-0005-0000-0000-000011080000}"/>
    <cellStyle name="20% - Accent2 5 3 2 3 2 2" xfId="16648" xr:uid="{00000000-0005-0000-0000-000012080000}"/>
    <cellStyle name="20% - Accent2 5 3 2 3 2 2 2" xfId="34284" xr:uid="{00000000-0005-0000-0000-000013080000}"/>
    <cellStyle name="20% - Accent2 5 3 2 3 2 3" xfId="27241" xr:uid="{00000000-0005-0000-0000-000014080000}"/>
    <cellStyle name="20% - Accent2 5 3 2 3 3" xfId="13409" xr:uid="{00000000-0005-0000-0000-000015080000}"/>
    <cellStyle name="20% - Accent2 5 3 2 3 3 2" xfId="31049" xr:uid="{00000000-0005-0000-0000-000016080000}"/>
    <cellStyle name="20% - Accent2 5 3 2 3 4" xfId="24376" xr:uid="{00000000-0005-0000-0000-000017080000}"/>
    <cellStyle name="20% - Accent2 5 3 2 4" xfId="6183" xr:uid="{00000000-0005-0000-0000-000018080000}"/>
    <cellStyle name="20% - Accent2 5 3 2 4 2" xfId="9393" xr:uid="{00000000-0005-0000-0000-000019080000}"/>
    <cellStyle name="20% - Accent2 5 3 2 4 2 2" xfId="17187" xr:uid="{00000000-0005-0000-0000-00001A080000}"/>
    <cellStyle name="20% - Accent2 5 3 2 4 2 2 2" xfId="34824" xr:uid="{00000000-0005-0000-0000-00001B080000}"/>
    <cellStyle name="20% - Accent2 5 3 2 4 2 3" xfId="27777" xr:uid="{00000000-0005-0000-0000-00001C080000}"/>
    <cellStyle name="20% - Accent2 5 3 2 4 3" xfId="13972" xr:uid="{00000000-0005-0000-0000-00001D080000}"/>
    <cellStyle name="20% - Accent2 5 3 2 4 3 2" xfId="31607" xr:uid="{00000000-0005-0000-0000-00001E080000}"/>
    <cellStyle name="20% - Accent2 5 3 2 4 4" xfId="24913" xr:uid="{00000000-0005-0000-0000-00001F080000}"/>
    <cellStyle name="20% - Accent2 5 3 2 5" xfId="6721" xr:uid="{00000000-0005-0000-0000-000020080000}"/>
    <cellStyle name="20% - Accent2 5 3 2 5 2" xfId="9931" xr:uid="{00000000-0005-0000-0000-000021080000}"/>
    <cellStyle name="20% - Accent2 5 3 2 5 2 2" xfId="17724" xr:uid="{00000000-0005-0000-0000-000022080000}"/>
    <cellStyle name="20% - Accent2 5 3 2 5 2 2 2" xfId="35361" xr:uid="{00000000-0005-0000-0000-000023080000}"/>
    <cellStyle name="20% - Accent2 5 3 2 5 2 3" xfId="28314" xr:uid="{00000000-0005-0000-0000-000024080000}"/>
    <cellStyle name="20% - Accent2 5 3 2 5 3" xfId="14509" xr:uid="{00000000-0005-0000-0000-000025080000}"/>
    <cellStyle name="20% - Accent2 5 3 2 5 3 2" xfId="32144" xr:uid="{00000000-0005-0000-0000-000026080000}"/>
    <cellStyle name="20% - Accent2 5 3 2 5 4" xfId="25451" xr:uid="{00000000-0005-0000-0000-000027080000}"/>
    <cellStyle name="20% - Accent2 5 3 2 6" xfId="7557" xr:uid="{00000000-0005-0000-0000-000028080000}"/>
    <cellStyle name="20% - Accent2 5 3 2 6 2" xfId="15354" xr:uid="{00000000-0005-0000-0000-000029080000}"/>
    <cellStyle name="20% - Accent2 5 3 2 6 2 2" xfId="32989" xr:uid="{00000000-0005-0000-0000-00002A080000}"/>
    <cellStyle name="20% - Accent2 5 3 2 6 3" xfId="25990" xr:uid="{00000000-0005-0000-0000-00002B080000}"/>
    <cellStyle name="20% - Accent2 5 3 2 7" xfId="11125" xr:uid="{00000000-0005-0000-0000-00002C080000}"/>
    <cellStyle name="20% - Accent2 5 3 2 7 2" xfId="28853" xr:uid="{00000000-0005-0000-0000-00002D080000}"/>
    <cellStyle name="20% - Accent2 5 3 2 8" xfId="23125" xr:uid="{00000000-0005-0000-0000-00002E080000}"/>
    <cellStyle name="20% - Accent2 5 3 2 9" xfId="51679" xr:uid="{00000000-0005-0000-0000-00002F080000}"/>
    <cellStyle name="20% - Accent2 5 3 3" xfId="3523" xr:uid="{00000000-0005-0000-0000-000030080000}"/>
    <cellStyle name="20% - Accent2 5 3 3 2" xfId="5554" xr:uid="{00000000-0005-0000-0000-000031080000}"/>
    <cellStyle name="20% - Accent2 5 3 3 2 2" xfId="8854" xr:uid="{00000000-0005-0000-0000-000032080000}"/>
    <cellStyle name="20% - Accent2 5 3 3 2 2 2" xfId="16649" xr:uid="{00000000-0005-0000-0000-000033080000}"/>
    <cellStyle name="20% - Accent2 5 3 3 2 2 2 2" xfId="34285" xr:uid="{00000000-0005-0000-0000-000034080000}"/>
    <cellStyle name="20% - Accent2 5 3 3 2 2 3" xfId="27242" xr:uid="{00000000-0005-0000-0000-000035080000}"/>
    <cellStyle name="20% - Accent2 5 3 3 2 3" xfId="13410" xr:uid="{00000000-0005-0000-0000-000036080000}"/>
    <cellStyle name="20% - Accent2 5 3 3 2 3 2" xfId="31050" xr:uid="{00000000-0005-0000-0000-000037080000}"/>
    <cellStyle name="20% - Accent2 5 3 3 2 4" xfId="24377" xr:uid="{00000000-0005-0000-0000-000038080000}"/>
    <cellStyle name="20% - Accent2 5 3 3 3" xfId="6184" xr:uid="{00000000-0005-0000-0000-000039080000}"/>
    <cellStyle name="20% - Accent2 5 3 3 3 2" xfId="9394" xr:uid="{00000000-0005-0000-0000-00003A080000}"/>
    <cellStyle name="20% - Accent2 5 3 3 3 2 2" xfId="17188" xr:uid="{00000000-0005-0000-0000-00003B080000}"/>
    <cellStyle name="20% - Accent2 5 3 3 3 2 2 2" xfId="34825" xr:uid="{00000000-0005-0000-0000-00003C080000}"/>
    <cellStyle name="20% - Accent2 5 3 3 3 2 3" xfId="27778" xr:uid="{00000000-0005-0000-0000-00003D080000}"/>
    <cellStyle name="20% - Accent2 5 3 3 3 3" xfId="13973" xr:uid="{00000000-0005-0000-0000-00003E080000}"/>
    <cellStyle name="20% - Accent2 5 3 3 3 3 2" xfId="31608" xr:uid="{00000000-0005-0000-0000-00003F080000}"/>
    <cellStyle name="20% - Accent2 5 3 3 3 4" xfId="24914" xr:uid="{00000000-0005-0000-0000-000040080000}"/>
    <cellStyle name="20% - Accent2 5 3 3 4" xfId="6722" xr:uid="{00000000-0005-0000-0000-000041080000}"/>
    <cellStyle name="20% - Accent2 5 3 3 4 2" xfId="9932" xr:uid="{00000000-0005-0000-0000-000042080000}"/>
    <cellStyle name="20% - Accent2 5 3 3 4 2 2" xfId="17725" xr:uid="{00000000-0005-0000-0000-000043080000}"/>
    <cellStyle name="20% - Accent2 5 3 3 4 2 2 2" xfId="35362" xr:uid="{00000000-0005-0000-0000-000044080000}"/>
    <cellStyle name="20% - Accent2 5 3 3 4 2 3" xfId="28315" xr:uid="{00000000-0005-0000-0000-000045080000}"/>
    <cellStyle name="20% - Accent2 5 3 3 4 3" xfId="14510" xr:uid="{00000000-0005-0000-0000-000046080000}"/>
    <cellStyle name="20% - Accent2 5 3 3 4 3 2" xfId="32145" xr:uid="{00000000-0005-0000-0000-000047080000}"/>
    <cellStyle name="20% - Accent2 5 3 3 4 4" xfId="25452" xr:uid="{00000000-0005-0000-0000-000048080000}"/>
    <cellStyle name="20% - Accent2 5 3 3 5" xfId="8143" xr:uid="{00000000-0005-0000-0000-000049080000}"/>
    <cellStyle name="20% - Accent2 5 3 3 5 2" xfId="15939" xr:uid="{00000000-0005-0000-0000-00004A080000}"/>
    <cellStyle name="20% - Accent2 5 3 3 5 2 2" xfId="33574" xr:uid="{00000000-0005-0000-0000-00004B080000}"/>
    <cellStyle name="20% - Accent2 5 3 3 5 3" xfId="26557" xr:uid="{00000000-0005-0000-0000-00004C080000}"/>
    <cellStyle name="20% - Accent2 5 3 3 6" xfId="12254" xr:uid="{00000000-0005-0000-0000-00004D080000}"/>
    <cellStyle name="20% - Accent2 5 3 3 6 2" xfId="29925" xr:uid="{00000000-0005-0000-0000-00004E080000}"/>
    <cellStyle name="20% - Accent2 5 3 3 7" xfId="23692" xr:uid="{00000000-0005-0000-0000-00004F080000}"/>
    <cellStyle name="20% - Accent2 5 3 4" xfId="3521" xr:uid="{00000000-0005-0000-0000-000050080000}"/>
    <cellStyle name="20% - Accent2 5 3 4 2" xfId="8141" xr:uid="{00000000-0005-0000-0000-000051080000}"/>
    <cellStyle name="20% - Accent2 5 3 4 2 2" xfId="15937" xr:uid="{00000000-0005-0000-0000-000052080000}"/>
    <cellStyle name="20% - Accent2 5 3 4 2 2 2" xfId="33572" xr:uid="{00000000-0005-0000-0000-000053080000}"/>
    <cellStyle name="20% - Accent2 5 3 4 2 3" xfId="26555" xr:uid="{00000000-0005-0000-0000-000054080000}"/>
    <cellStyle name="20% - Accent2 5 3 4 3" xfId="12252" xr:uid="{00000000-0005-0000-0000-000055080000}"/>
    <cellStyle name="20% - Accent2 5 3 4 3 2" xfId="29923" xr:uid="{00000000-0005-0000-0000-000056080000}"/>
    <cellStyle name="20% - Accent2 5 3 4 4" xfId="23690" xr:uid="{00000000-0005-0000-0000-000057080000}"/>
    <cellStyle name="20% - Accent2 5 3 5" xfId="5552" xr:uid="{00000000-0005-0000-0000-000058080000}"/>
    <cellStyle name="20% - Accent2 5 3 5 2" xfId="8852" xr:uid="{00000000-0005-0000-0000-000059080000}"/>
    <cellStyle name="20% - Accent2 5 3 5 2 2" xfId="16647" xr:uid="{00000000-0005-0000-0000-00005A080000}"/>
    <cellStyle name="20% - Accent2 5 3 5 2 2 2" xfId="34283" xr:uid="{00000000-0005-0000-0000-00005B080000}"/>
    <cellStyle name="20% - Accent2 5 3 5 2 3" xfId="27240" xr:uid="{00000000-0005-0000-0000-00005C080000}"/>
    <cellStyle name="20% - Accent2 5 3 5 3" xfId="13408" xr:uid="{00000000-0005-0000-0000-00005D080000}"/>
    <cellStyle name="20% - Accent2 5 3 5 3 2" xfId="31048" xr:uid="{00000000-0005-0000-0000-00005E080000}"/>
    <cellStyle name="20% - Accent2 5 3 5 4" xfId="24375" xr:uid="{00000000-0005-0000-0000-00005F080000}"/>
    <cellStyle name="20% - Accent2 5 3 6" xfId="6182" xr:uid="{00000000-0005-0000-0000-000060080000}"/>
    <cellStyle name="20% - Accent2 5 3 6 2" xfId="9392" xr:uid="{00000000-0005-0000-0000-000061080000}"/>
    <cellStyle name="20% - Accent2 5 3 6 2 2" xfId="17186" xr:uid="{00000000-0005-0000-0000-000062080000}"/>
    <cellStyle name="20% - Accent2 5 3 6 2 2 2" xfId="34823" xr:uid="{00000000-0005-0000-0000-000063080000}"/>
    <cellStyle name="20% - Accent2 5 3 6 2 3" xfId="27776" xr:uid="{00000000-0005-0000-0000-000064080000}"/>
    <cellStyle name="20% - Accent2 5 3 6 3" xfId="13971" xr:uid="{00000000-0005-0000-0000-000065080000}"/>
    <cellStyle name="20% - Accent2 5 3 6 3 2" xfId="31606" xr:uid="{00000000-0005-0000-0000-000066080000}"/>
    <cellStyle name="20% - Accent2 5 3 6 4" xfId="24912" xr:uid="{00000000-0005-0000-0000-000067080000}"/>
    <cellStyle name="20% - Accent2 5 3 7" xfId="6720" xr:uid="{00000000-0005-0000-0000-000068080000}"/>
    <cellStyle name="20% - Accent2 5 3 7 2" xfId="9930" xr:uid="{00000000-0005-0000-0000-000069080000}"/>
    <cellStyle name="20% - Accent2 5 3 7 2 2" xfId="17723" xr:uid="{00000000-0005-0000-0000-00006A080000}"/>
    <cellStyle name="20% - Accent2 5 3 7 2 2 2" xfId="35360" xr:uid="{00000000-0005-0000-0000-00006B080000}"/>
    <cellStyle name="20% - Accent2 5 3 7 2 3" xfId="28313" xr:uid="{00000000-0005-0000-0000-00006C080000}"/>
    <cellStyle name="20% - Accent2 5 3 7 3" xfId="14508" xr:uid="{00000000-0005-0000-0000-00006D080000}"/>
    <cellStyle name="20% - Accent2 5 3 7 3 2" xfId="32143" xr:uid="{00000000-0005-0000-0000-00006E080000}"/>
    <cellStyle name="20% - Accent2 5 3 7 4" xfId="25450" xr:uid="{00000000-0005-0000-0000-00006F080000}"/>
    <cellStyle name="20% - Accent2 5 3 8" xfId="7556" xr:uid="{00000000-0005-0000-0000-000070080000}"/>
    <cellStyle name="20% - Accent2 5 3 8 2" xfId="15353" xr:uid="{00000000-0005-0000-0000-000071080000}"/>
    <cellStyle name="20% - Accent2 5 3 8 2 2" xfId="32988" xr:uid="{00000000-0005-0000-0000-000072080000}"/>
    <cellStyle name="20% - Accent2 5 3 8 3" xfId="25989" xr:uid="{00000000-0005-0000-0000-000073080000}"/>
    <cellStyle name="20% - Accent2 5 3 9" xfId="11124" xr:uid="{00000000-0005-0000-0000-000074080000}"/>
    <cellStyle name="20% - Accent2 5 3 9 2" xfId="28852" xr:uid="{00000000-0005-0000-0000-000075080000}"/>
    <cellStyle name="20% - Accent2 5 4" xfId="295" xr:uid="{00000000-0005-0000-0000-000076080000}"/>
    <cellStyle name="20% - Accent2 5 4 10" xfId="52908" xr:uid="{00000000-0005-0000-0000-000077080000}"/>
    <cellStyle name="20% - Accent2 5 4 2" xfId="3524" xr:uid="{00000000-0005-0000-0000-000078080000}"/>
    <cellStyle name="20% - Accent2 5 4 2 2" xfId="8144" xr:uid="{00000000-0005-0000-0000-000079080000}"/>
    <cellStyle name="20% - Accent2 5 4 2 2 2" xfId="15940" xr:uid="{00000000-0005-0000-0000-00007A080000}"/>
    <cellStyle name="20% - Accent2 5 4 2 2 2 2" xfId="33575" xr:uid="{00000000-0005-0000-0000-00007B080000}"/>
    <cellStyle name="20% - Accent2 5 4 2 2 3" xfId="26558" xr:uid="{00000000-0005-0000-0000-00007C080000}"/>
    <cellStyle name="20% - Accent2 5 4 2 3" xfId="12255" xr:uid="{00000000-0005-0000-0000-00007D080000}"/>
    <cellStyle name="20% - Accent2 5 4 2 3 2" xfId="29926" xr:uid="{00000000-0005-0000-0000-00007E080000}"/>
    <cellStyle name="20% - Accent2 5 4 2 4" xfId="23693" xr:uid="{00000000-0005-0000-0000-00007F080000}"/>
    <cellStyle name="20% - Accent2 5 4 3" xfId="5555" xr:uid="{00000000-0005-0000-0000-000080080000}"/>
    <cellStyle name="20% - Accent2 5 4 3 2" xfId="8855" xr:uid="{00000000-0005-0000-0000-000081080000}"/>
    <cellStyle name="20% - Accent2 5 4 3 2 2" xfId="16650" xr:uid="{00000000-0005-0000-0000-000082080000}"/>
    <cellStyle name="20% - Accent2 5 4 3 2 2 2" xfId="34286" xr:uid="{00000000-0005-0000-0000-000083080000}"/>
    <cellStyle name="20% - Accent2 5 4 3 2 3" xfId="27243" xr:uid="{00000000-0005-0000-0000-000084080000}"/>
    <cellStyle name="20% - Accent2 5 4 3 3" xfId="13411" xr:uid="{00000000-0005-0000-0000-000085080000}"/>
    <cellStyle name="20% - Accent2 5 4 3 3 2" xfId="31051" xr:uid="{00000000-0005-0000-0000-000086080000}"/>
    <cellStyle name="20% - Accent2 5 4 3 4" xfId="24378" xr:uid="{00000000-0005-0000-0000-000087080000}"/>
    <cellStyle name="20% - Accent2 5 4 4" xfId="6185" xr:uid="{00000000-0005-0000-0000-000088080000}"/>
    <cellStyle name="20% - Accent2 5 4 4 2" xfId="9395" xr:uid="{00000000-0005-0000-0000-000089080000}"/>
    <cellStyle name="20% - Accent2 5 4 4 2 2" xfId="17189" xr:uid="{00000000-0005-0000-0000-00008A080000}"/>
    <cellStyle name="20% - Accent2 5 4 4 2 2 2" xfId="34826" xr:uid="{00000000-0005-0000-0000-00008B080000}"/>
    <cellStyle name="20% - Accent2 5 4 4 2 3" xfId="27779" xr:uid="{00000000-0005-0000-0000-00008C080000}"/>
    <cellStyle name="20% - Accent2 5 4 4 3" xfId="13974" xr:uid="{00000000-0005-0000-0000-00008D080000}"/>
    <cellStyle name="20% - Accent2 5 4 4 3 2" xfId="31609" xr:uid="{00000000-0005-0000-0000-00008E080000}"/>
    <cellStyle name="20% - Accent2 5 4 4 4" xfId="24915" xr:uid="{00000000-0005-0000-0000-00008F080000}"/>
    <cellStyle name="20% - Accent2 5 4 5" xfId="6723" xr:uid="{00000000-0005-0000-0000-000090080000}"/>
    <cellStyle name="20% - Accent2 5 4 5 2" xfId="9933" xr:uid="{00000000-0005-0000-0000-000091080000}"/>
    <cellStyle name="20% - Accent2 5 4 5 2 2" xfId="17726" xr:uid="{00000000-0005-0000-0000-000092080000}"/>
    <cellStyle name="20% - Accent2 5 4 5 2 2 2" xfId="35363" xr:uid="{00000000-0005-0000-0000-000093080000}"/>
    <cellStyle name="20% - Accent2 5 4 5 2 3" xfId="28316" xr:uid="{00000000-0005-0000-0000-000094080000}"/>
    <cellStyle name="20% - Accent2 5 4 5 3" xfId="14511" xr:uid="{00000000-0005-0000-0000-000095080000}"/>
    <cellStyle name="20% - Accent2 5 4 5 3 2" xfId="32146" xr:uid="{00000000-0005-0000-0000-000096080000}"/>
    <cellStyle name="20% - Accent2 5 4 5 4" xfId="25453" xr:uid="{00000000-0005-0000-0000-000097080000}"/>
    <cellStyle name="20% - Accent2 5 4 6" xfId="7558" xr:uid="{00000000-0005-0000-0000-000098080000}"/>
    <cellStyle name="20% - Accent2 5 4 6 2" xfId="15355" xr:uid="{00000000-0005-0000-0000-000099080000}"/>
    <cellStyle name="20% - Accent2 5 4 6 2 2" xfId="32990" xr:uid="{00000000-0005-0000-0000-00009A080000}"/>
    <cellStyle name="20% - Accent2 5 4 6 3" xfId="25991" xr:uid="{00000000-0005-0000-0000-00009B080000}"/>
    <cellStyle name="20% - Accent2 5 4 7" xfId="11126" xr:uid="{00000000-0005-0000-0000-00009C080000}"/>
    <cellStyle name="20% - Accent2 5 4 7 2" xfId="28854" xr:uid="{00000000-0005-0000-0000-00009D080000}"/>
    <cellStyle name="20% - Accent2 5 4 8" xfId="23126" xr:uid="{00000000-0005-0000-0000-00009E080000}"/>
    <cellStyle name="20% - Accent2 5 4 9" xfId="51680" xr:uid="{00000000-0005-0000-0000-00009F080000}"/>
    <cellStyle name="20% - Accent2 5 5" xfId="296" xr:uid="{00000000-0005-0000-0000-0000A0080000}"/>
    <cellStyle name="20% - Accent2 5 5 2" xfId="3525" xr:uid="{00000000-0005-0000-0000-0000A1080000}"/>
    <cellStyle name="20% - Accent2 5 5 2 2" xfId="8145" xr:uid="{00000000-0005-0000-0000-0000A2080000}"/>
    <cellStyle name="20% - Accent2 5 5 2 2 2" xfId="15941" xr:uid="{00000000-0005-0000-0000-0000A3080000}"/>
    <cellStyle name="20% - Accent2 5 5 2 2 2 2" xfId="33576" xr:uid="{00000000-0005-0000-0000-0000A4080000}"/>
    <cellStyle name="20% - Accent2 5 5 2 2 3" xfId="26559" xr:uid="{00000000-0005-0000-0000-0000A5080000}"/>
    <cellStyle name="20% - Accent2 5 5 2 3" xfId="12256" xr:uid="{00000000-0005-0000-0000-0000A6080000}"/>
    <cellStyle name="20% - Accent2 5 5 2 3 2" xfId="29927" xr:uid="{00000000-0005-0000-0000-0000A7080000}"/>
    <cellStyle name="20% - Accent2 5 5 2 4" xfId="23694" xr:uid="{00000000-0005-0000-0000-0000A8080000}"/>
    <cellStyle name="20% - Accent2 5 5 3" xfId="5556" xr:uid="{00000000-0005-0000-0000-0000A9080000}"/>
    <cellStyle name="20% - Accent2 5 5 3 2" xfId="8856" xr:uid="{00000000-0005-0000-0000-0000AA080000}"/>
    <cellStyle name="20% - Accent2 5 5 3 2 2" xfId="16651" xr:uid="{00000000-0005-0000-0000-0000AB080000}"/>
    <cellStyle name="20% - Accent2 5 5 3 2 2 2" xfId="34287" xr:uid="{00000000-0005-0000-0000-0000AC080000}"/>
    <cellStyle name="20% - Accent2 5 5 3 2 3" xfId="27244" xr:uid="{00000000-0005-0000-0000-0000AD080000}"/>
    <cellStyle name="20% - Accent2 5 5 3 3" xfId="13412" xr:uid="{00000000-0005-0000-0000-0000AE080000}"/>
    <cellStyle name="20% - Accent2 5 5 3 3 2" xfId="31052" xr:uid="{00000000-0005-0000-0000-0000AF080000}"/>
    <cellStyle name="20% - Accent2 5 5 3 4" xfId="24379" xr:uid="{00000000-0005-0000-0000-0000B0080000}"/>
    <cellStyle name="20% - Accent2 5 5 4" xfId="6186" xr:uid="{00000000-0005-0000-0000-0000B1080000}"/>
    <cellStyle name="20% - Accent2 5 5 4 2" xfId="9396" xr:uid="{00000000-0005-0000-0000-0000B2080000}"/>
    <cellStyle name="20% - Accent2 5 5 4 2 2" xfId="17190" xr:uid="{00000000-0005-0000-0000-0000B3080000}"/>
    <cellStyle name="20% - Accent2 5 5 4 2 2 2" xfId="34827" xr:uid="{00000000-0005-0000-0000-0000B4080000}"/>
    <cellStyle name="20% - Accent2 5 5 4 2 3" xfId="27780" xr:uid="{00000000-0005-0000-0000-0000B5080000}"/>
    <cellStyle name="20% - Accent2 5 5 4 3" xfId="13975" xr:uid="{00000000-0005-0000-0000-0000B6080000}"/>
    <cellStyle name="20% - Accent2 5 5 4 3 2" xfId="31610" xr:uid="{00000000-0005-0000-0000-0000B7080000}"/>
    <cellStyle name="20% - Accent2 5 5 4 4" xfId="24916" xr:uid="{00000000-0005-0000-0000-0000B8080000}"/>
    <cellStyle name="20% - Accent2 5 5 5" xfId="6724" xr:uid="{00000000-0005-0000-0000-0000B9080000}"/>
    <cellStyle name="20% - Accent2 5 5 5 2" xfId="9934" xr:uid="{00000000-0005-0000-0000-0000BA080000}"/>
    <cellStyle name="20% - Accent2 5 5 5 2 2" xfId="17727" xr:uid="{00000000-0005-0000-0000-0000BB080000}"/>
    <cellStyle name="20% - Accent2 5 5 5 2 2 2" xfId="35364" xr:uid="{00000000-0005-0000-0000-0000BC080000}"/>
    <cellStyle name="20% - Accent2 5 5 5 2 3" xfId="28317" xr:uid="{00000000-0005-0000-0000-0000BD080000}"/>
    <cellStyle name="20% - Accent2 5 5 5 3" xfId="14512" xr:uid="{00000000-0005-0000-0000-0000BE080000}"/>
    <cellStyle name="20% - Accent2 5 5 5 3 2" xfId="32147" xr:uid="{00000000-0005-0000-0000-0000BF080000}"/>
    <cellStyle name="20% - Accent2 5 5 5 4" xfId="25454" xr:uid="{00000000-0005-0000-0000-0000C0080000}"/>
    <cellStyle name="20% - Accent2 5 5 6" xfId="7559" xr:uid="{00000000-0005-0000-0000-0000C1080000}"/>
    <cellStyle name="20% - Accent2 5 5 6 2" xfId="15356" xr:uid="{00000000-0005-0000-0000-0000C2080000}"/>
    <cellStyle name="20% - Accent2 5 5 6 2 2" xfId="32991" xr:uid="{00000000-0005-0000-0000-0000C3080000}"/>
    <cellStyle name="20% - Accent2 5 5 6 3" xfId="25992" xr:uid="{00000000-0005-0000-0000-0000C4080000}"/>
    <cellStyle name="20% - Accent2 5 5 7" xfId="11127" xr:uid="{00000000-0005-0000-0000-0000C5080000}"/>
    <cellStyle name="20% - Accent2 5 5 7 2" xfId="28855" xr:uid="{00000000-0005-0000-0000-0000C6080000}"/>
    <cellStyle name="20% - Accent2 5 5 8" xfId="23127" xr:uid="{00000000-0005-0000-0000-0000C7080000}"/>
    <cellStyle name="20% - Accent2 5 5 9" xfId="51681" xr:uid="{00000000-0005-0000-0000-0000C8080000}"/>
    <cellStyle name="20% - Accent2 5 6" xfId="297" xr:uid="{00000000-0005-0000-0000-0000C9080000}"/>
    <cellStyle name="20% - Accent2 5 6 2" xfId="3526" xr:uid="{00000000-0005-0000-0000-0000CA080000}"/>
    <cellStyle name="20% - Accent2 5 6 2 2" xfId="8146" xr:uid="{00000000-0005-0000-0000-0000CB080000}"/>
    <cellStyle name="20% - Accent2 5 6 2 2 2" xfId="15942" xr:uid="{00000000-0005-0000-0000-0000CC080000}"/>
    <cellStyle name="20% - Accent2 5 6 2 2 2 2" xfId="33577" xr:uid="{00000000-0005-0000-0000-0000CD080000}"/>
    <cellStyle name="20% - Accent2 5 6 2 2 3" xfId="26560" xr:uid="{00000000-0005-0000-0000-0000CE080000}"/>
    <cellStyle name="20% - Accent2 5 6 2 3" xfId="12257" xr:uid="{00000000-0005-0000-0000-0000CF080000}"/>
    <cellStyle name="20% - Accent2 5 6 2 3 2" xfId="29928" xr:uid="{00000000-0005-0000-0000-0000D0080000}"/>
    <cellStyle name="20% - Accent2 5 6 2 4" xfId="23695" xr:uid="{00000000-0005-0000-0000-0000D1080000}"/>
    <cellStyle name="20% - Accent2 5 6 3" xfId="5557" xr:uid="{00000000-0005-0000-0000-0000D2080000}"/>
    <cellStyle name="20% - Accent2 5 6 3 2" xfId="8857" xr:uid="{00000000-0005-0000-0000-0000D3080000}"/>
    <cellStyle name="20% - Accent2 5 6 3 2 2" xfId="16652" xr:uid="{00000000-0005-0000-0000-0000D4080000}"/>
    <cellStyle name="20% - Accent2 5 6 3 2 2 2" xfId="34288" xr:uid="{00000000-0005-0000-0000-0000D5080000}"/>
    <cellStyle name="20% - Accent2 5 6 3 2 3" xfId="27245" xr:uid="{00000000-0005-0000-0000-0000D6080000}"/>
    <cellStyle name="20% - Accent2 5 6 3 3" xfId="13413" xr:uid="{00000000-0005-0000-0000-0000D7080000}"/>
    <cellStyle name="20% - Accent2 5 6 3 3 2" xfId="31053" xr:uid="{00000000-0005-0000-0000-0000D8080000}"/>
    <cellStyle name="20% - Accent2 5 6 3 4" xfId="24380" xr:uid="{00000000-0005-0000-0000-0000D9080000}"/>
    <cellStyle name="20% - Accent2 5 6 4" xfId="6187" xr:uid="{00000000-0005-0000-0000-0000DA080000}"/>
    <cellStyle name="20% - Accent2 5 6 4 2" xfId="9397" xr:uid="{00000000-0005-0000-0000-0000DB080000}"/>
    <cellStyle name="20% - Accent2 5 6 4 2 2" xfId="17191" xr:uid="{00000000-0005-0000-0000-0000DC080000}"/>
    <cellStyle name="20% - Accent2 5 6 4 2 2 2" xfId="34828" xr:uid="{00000000-0005-0000-0000-0000DD080000}"/>
    <cellStyle name="20% - Accent2 5 6 4 2 3" xfId="27781" xr:uid="{00000000-0005-0000-0000-0000DE080000}"/>
    <cellStyle name="20% - Accent2 5 6 4 3" xfId="13976" xr:uid="{00000000-0005-0000-0000-0000DF080000}"/>
    <cellStyle name="20% - Accent2 5 6 4 3 2" xfId="31611" xr:uid="{00000000-0005-0000-0000-0000E0080000}"/>
    <cellStyle name="20% - Accent2 5 6 4 4" xfId="24917" xr:uid="{00000000-0005-0000-0000-0000E1080000}"/>
    <cellStyle name="20% - Accent2 5 6 5" xfId="6725" xr:uid="{00000000-0005-0000-0000-0000E2080000}"/>
    <cellStyle name="20% - Accent2 5 6 5 2" xfId="9935" xr:uid="{00000000-0005-0000-0000-0000E3080000}"/>
    <cellStyle name="20% - Accent2 5 6 5 2 2" xfId="17728" xr:uid="{00000000-0005-0000-0000-0000E4080000}"/>
    <cellStyle name="20% - Accent2 5 6 5 2 2 2" xfId="35365" xr:uid="{00000000-0005-0000-0000-0000E5080000}"/>
    <cellStyle name="20% - Accent2 5 6 5 2 3" xfId="28318" xr:uid="{00000000-0005-0000-0000-0000E6080000}"/>
    <cellStyle name="20% - Accent2 5 6 5 3" xfId="14513" xr:uid="{00000000-0005-0000-0000-0000E7080000}"/>
    <cellStyle name="20% - Accent2 5 6 5 3 2" xfId="32148" xr:uid="{00000000-0005-0000-0000-0000E8080000}"/>
    <cellStyle name="20% - Accent2 5 6 5 4" xfId="25455" xr:uid="{00000000-0005-0000-0000-0000E9080000}"/>
    <cellStyle name="20% - Accent2 5 6 6" xfId="7560" xr:uid="{00000000-0005-0000-0000-0000EA080000}"/>
    <cellStyle name="20% - Accent2 5 6 6 2" xfId="15357" xr:uid="{00000000-0005-0000-0000-0000EB080000}"/>
    <cellStyle name="20% - Accent2 5 6 6 2 2" xfId="32992" xr:uid="{00000000-0005-0000-0000-0000EC080000}"/>
    <cellStyle name="20% - Accent2 5 6 6 3" xfId="25993" xr:uid="{00000000-0005-0000-0000-0000ED080000}"/>
    <cellStyle name="20% - Accent2 5 6 7" xfId="11128" xr:uid="{00000000-0005-0000-0000-0000EE080000}"/>
    <cellStyle name="20% - Accent2 5 6 7 2" xfId="28856" xr:uid="{00000000-0005-0000-0000-0000EF080000}"/>
    <cellStyle name="20% - Accent2 5 6 8" xfId="23128" xr:uid="{00000000-0005-0000-0000-0000F0080000}"/>
    <cellStyle name="20% - Accent2 5 6 9" xfId="51682" xr:uid="{00000000-0005-0000-0000-0000F1080000}"/>
    <cellStyle name="20% - Accent2 5 7" xfId="298" xr:uid="{00000000-0005-0000-0000-0000F2080000}"/>
    <cellStyle name="20% - Accent2 5 7 10" xfId="51683" xr:uid="{00000000-0005-0000-0000-0000F3080000}"/>
    <cellStyle name="20% - Accent2 5 7 2" xfId="299" xr:uid="{00000000-0005-0000-0000-0000F4080000}"/>
    <cellStyle name="20% - Accent2 5 7 2 2" xfId="8148" xr:uid="{00000000-0005-0000-0000-0000F5080000}"/>
    <cellStyle name="20% - Accent2 5 7 2 2 2" xfId="15944" xr:uid="{00000000-0005-0000-0000-0000F6080000}"/>
    <cellStyle name="20% - Accent2 5 7 2 2 2 2" xfId="33579" xr:uid="{00000000-0005-0000-0000-0000F7080000}"/>
    <cellStyle name="20% - Accent2 5 7 2 2 3" xfId="26562" xr:uid="{00000000-0005-0000-0000-0000F8080000}"/>
    <cellStyle name="20% - Accent2 5 7 2 3" xfId="12259" xr:uid="{00000000-0005-0000-0000-0000F9080000}"/>
    <cellStyle name="20% - Accent2 5 7 2 3 2" xfId="29930" xr:uid="{00000000-0005-0000-0000-0000FA080000}"/>
    <cellStyle name="20% - Accent2 5 7 2 4" xfId="23697" xr:uid="{00000000-0005-0000-0000-0000FB080000}"/>
    <cellStyle name="20% - Accent2 5 7 3" xfId="3527" xr:uid="{00000000-0005-0000-0000-0000FC080000}"/>
    <cellStyle name="20% - Accent2 5 7 3 2" xfId="8147" xr:uid="{00000000-0005-0000-0000-0000FD080000}"/>
    <cellStyle name="20% - Accent2 5 7 3 2 2" xfId="15943" xr:uid="{00000000-0005-0000-0000-0000FE080000}"/>
    <cellStyle name="20% - Accent2 5 7 3 2 2 2" xfId="33578" xr:uid="{00000000-0005-0000-0000-0000FF080000}"/>
    <cellStyle name="20% - Accent2 5 7 3 2 3" xfId="26561" xr:uid="{00000000-0005-0000-0000-000000090000}"/>
    <cellStyle name="20% - Accent2 5 7 3 3" xfId="12258" xr:uid="{00000000-0005-0000-0000-000001090000}"/>
    <cellStyle name="20% - Accent2 5 7 3 3 2" xfId="29929" xr:uid="{00000000-0005-0000-0000-000002090000}"/>
    <cellStyle name="20% - Accent2 5 7 3 4" xfId="23696" xr:uid="{00000000-0005-0000-0000-000003090000}"/>
    <cellStyle name="20% - Accent2 5 7 4" xfId="5558" xr:uid="{00000000-0005-0000-0000-000004090000}"/>
    <cellStyle name="20% - Accent2 5 7 4 2" xfId="8858" xr:uid="{00000000-0005-0000-0000-000005090000}"/>
    <cellStyle name="20% - Accent2 5 7 4 2 2" xfId="16653" xr:uid="{00000000-0005-0000-0000-000006090000}"/>
    <cellStyle name="20% - Accent2 5 7 4 2 2 2" xfId="34289" xr:uid="{00000000-0005-0000-0000-000007090000}"/>
    <cellStyle name="20% - Accent2 5 7 4 2 3" xfId="27246" xr:uid="{00000000-0005-0000-0000-000008090000}"/>
    <cellStyle name="20% - Accent2 5 7 4 3" xfId="13414" xr:uid="{00000000-0005-0000-0000-000009090000}"/>
    <cellStyle name="20% - Accent2 5 7 4 3 2" xfId="31054" xr:uid="{00000000-0005-0000-0000-00000A090000}"/>
    <cellStyle name="20% - Accent2 5 7 4 4" xfId="24381" xr:uid="{00000000-0005-0000-0000-00000B090000}"/>
    <cellStyle name="20% - Accent2 5 7 5" xfId="6188" xr:uid="{00000000-0005-0000-0000-00000C090000}"/>
    <cellStyle name="20% - Accent2 5 7 5 2" xfId="9398" xr:uid="{00000000-0005-0000-0000-00000D090000}"/>
    <cellStyle name="20% - Accent2 5 7 5 2 2" xfId="17192" xr:uid="{00000000-0005-0000-0000-00000E090000}"/>
    <cellStyle name="20% - Accent2 5 7 5 2 2 2" xfId="34829" xr:uid="{00000000-0005-0000-0000-00000F090000}"/>
    <cellStyle name="20% - Accent2 5 7 5 2 3" xfId="27782" xr:uid="{00000000-0005-0000-0000-000010090000}"/>
    <cellStyle name="20% - Accent2 5 7 5 3" xfId="13977" xr:uid="{00000000-0005-0000-0000-000011090000}"/>
    <cellStyle name="20% - Accent2 5 7 5 3 2" xfId="31612" xr:uid="{00000000-0005-0000-0000-000012090000}"/>
    <cellStyle name="20% - Accent2 5 7 5 4" xfId="24918" xr:uid="{00000000-0005-0000-0000-000013090000}"/>
    <cellStyle name="20% - Accent2 5 7 6" xfId="6726" xr:uid="{00000000-0005-0000-0000-000014090000}"/>
    <cellStyle name="20% - Accent2 5 7 6 2" xfId="9936" xr:uid="{00000000-0005-0000-0000-000015090000}"/>
    <cellStyle name="20% - Accent2 5 7 6 2 2" xfId="17729" xr:uid="{00000000-0005-0000-0000-000016090000}"/>
    <cellStyle name="20% - Accent2 5 7 6 2 2 2" xfId="35366" xr:uid="{00000000-0005-0000-0000-000017090000}"/>
    <cellStyle name="20% - Accent2 5 7 6 2 3" xfId="28319" xr:uid="{00000000-0005-0000-0000-000018090000}"/>
    <cellStyle name="20% - Accent2 5 7 6 3" xfId="14514" xr:uid="{00000000-0005-0000-0000-000019090000}"/>
    <cellStyle name="20% - Accent2 5 7 6 3 2" xfId="32149" xr:uid="{00000000-0005-0000-0000-00001A090000}"/>
    <cellStyle name="20% - Accent2 5 7 6 4" xfId="25456" xr:uid="{00000000-0005-0000-0000-00001B090000}"/>
    <cellStyle name="20% - Accent2 5 7 7" xfId="7561" xr:uid="{00000000-0005-0000-0000-00001C090000}"/>
    <cellStyle name="20% - Accent2 5 7 7 2" xfId="15358" xr:uid="{00000000-0005-0000-0000-00001D090000}"/>
    <cellStyle name="20% - Accent2 5 7 7 2 2" xfId="32993" xr:uid="{00000000-0005-0000-0000-00001E090000}"/>
    <cellStyle name="20% - Accent2 5 7 7 3" xfId="25994" xr:uid="{00000000-0005-0000-0000-00001F090000}"/>
    <cellStyle name="20% - Accent2 5 7 8" xfId="11129" xr:uid="{00000000-0005-0000-0000-000020090000}"/>
    <cellStyle name="20% - Accent2 5 7 8 2" xfId="28857" xr:uid="{00000000-0005-0000-0000-000021090000}"/>
    <cellStyle name="20% - Accent2 5 7 9" xfId="23129" xr:uid="{00000000-0005-0000-0000-000022090000}"/>
    <cellStyle name="20% - Accent2 5 8" xfId="3528" xr:uid="{00000000-0005-0000-0000-000023090000}"/>
    <cellStyle name="20% - Accent2 5 8 2" xfId="8149" xr:uid="{00000000-0005-0000-0000-000024090000}"/>
    <cellStyle name="20% - Accent2 5 8 2 2" xfId="15945" xr:uid="{00000000-0005-0000-0000-000025090000}"/>
    <cellStyle name="20% - Accent2 5 8 2 2 2" xfId="33580" xr:uid="{00000000-0005-0000-0000-000026090000}"/>
    <cellStyle name="20% - Accent2 5 8 2 3" xfId="26563" xr:uid="{00000000-0005-0000-0000-000027090000}"/>
    <cellStyle name="20% - Accent2 5 8 3" xfId="12260" xr:uid="{00000000-0005-0000-0000-000028090000}"/>
    <cellStyle name="20% - Accent2 5 8 3 2" xfId="29931" xr:uid="{00000000-0005-0000-0000-000029090000}"/>
    <cellStyle name="20% - Accent2 5 8 4" xfId="23698" xr:uid="{00000000-0005-0000-0000-00002A090000}"/>
    <cellStyle name="20% - Accent2 5 9" xfId="3529" xr:uid="{00000000-0005-0000-0000-00002B090000}"/>
    <cellStyle name="20% - Accent2 6" xfId="300" xr:uid="{00000000-0005-0000-0000-00002C090000}"/>
    <cellStyle name="20% - Accent2 6 10" xfId="3530" xr:uid="{00000000-0005-0000-0000-00002D090000}"/>
    <cellStyle name="20% - Accent2 6 10 2" xfId="8150" xr:uid="{00000000-0005-0000-0000-00002E090000}"/>
    <cellStyle name="20% - Accent2 6 10 2 2" xfId="15946" xr:uid="{00000000-0005-0000-0000-00002F090000}"/>
    <cellStyle name="20% - Accent2 6 10 2 2 2" xfId="33581" xr:uid="{00000000-0005-0000-0000-000030090000}"/>
    <cellStyle name="20% - Accent2 6 10 2 3" xfId="26564" xr:uid="{00000000-0005-0000-0000-000031090000}"/>
    <cellStyle name="20% - Accent2 6 10 3" xfId="12261" xr:uid="{00000000-0005-0000-0000-000032090000}"/>
    <cellStyle name="20% - Accent2 6 10 3 2" xfId="29932" xr:uid="{00000000-0005-0000-0000-000033090000}"/>
    <cellStyle name="20% - Accent2 6 10 4" xfId="23699" xr:uid="{00000000-0005-0000-0000-000034090000}"/>
    <cellStyle name="20% - Accent2 6 11" xfId="5559" xr:uid="{00000000-0005-0000-0000-000035090000}"/>
    <cellStyle name="20% - Accent2 6 11 2" xfId="8859" xr:uid="{00000000-0005-0000-0000-000036090000}"/>
    <cellStyle name="20% - Accent2 6 11 2 2" xfId="16654" xr:uid="{00000000-0005-0000-0000-000037090000}"/>
    <cellStyle name="20% - Accent2 6 11 2 2 2" xfId="34290" xr:uid="{00000000-0005-0000-0000-000038090000}"/>
    <cellStyle name="20% - Accent2 6 11 2 3" xfId="27247" xr:uid="{00000000-0005-0000-0000-000039090000}"/>
    <cellStyle name="20% - Accent2 6 11 3" xfId="13415" xr:uid="{00000000-0005-0000-0000-00003A090000}"/>
    <cellStyle name="20% - Accent2 6 11 3 2" xfId="31055" xr:uid="{00000000-0005-0000-0000-00003B090000}"/>
    <cellStyle name="20% - Accent2 6 11 4" xfId="24382" xr:uid="{00000000-0005-0000-0000-00003C090000}"/>
    <cellStyle name="20% - Accent2 6 12" xfId="6189" xr:uid="{00000000-0005-0000-0000-00003D090000}"/>
    <cellStyle name="20% - Accent2 6 12 2" xfId="9399" xr:uid="{00000000-0005-0000-0000-00003E090000}"/>
    <cellStyle name="20% - Accent2 6 12 2 2" xfId="17193" xr:uid="{00000000-0005-0000-0000-00003F090000}"/>
    <cellStyle name="20% - Accent2 6 12 2 2 2" xfId="34830" xr:uid="{00000000-0005-0000-0000-000040090000}"/>
    <cellStyle name="20% - Accent2 6 12 2 3" xfId="27783" xr:uid="{00000000-0005-0000-0000-000041090000}"/>
    <cellStyle name="20% - Accent2 6 12 3" xfId="13978" xr:uid="{00000000-0005-0000-0000-000042090000}"/>
    <cellStyle name="20% - Accent2 6 12 3 2" xfId="31613" xr:uid="{00000000-0005-0000-0000-000043090000}"/>
    <cellStyle name="20% - Accent2 6 12 4" xfId="24919" xr:uid="{00000000-0005-0000-0000-000044090000}"/>
    <cellStyle name="20% - Accent2 6 13" xfId="6727" xr:uid="{00000000-0005-0000-0000-000045090000}"/>
    <cellStyle name="20% - Accent2 6 13 2" xfId="9937" xr:uid="{00000000-0005-0000-0000-000046090000}"/>
    <cellStyle name="20% - Accent2 6 13 2 2" xfId="17730" xr:uid="{00000000-0005-0000-0000-000047090000}"/>
    <cellStyle name="20% - Accent2 6 13 2 2 2" xfId="35367" xr:uid="{00000000-0005-0000-0000-000048090000}"/>
    <cellStyle name="20% - Accent2 6 13 2 3" xfId="28320" xr:uid="{00000000-0005-0000-0000-000049090000}"/>
    <cellStyle name="20% - Accent2 6 13 3" xfId="14515" xr:uid="{00000000-0005-0000-0000-00004A090000}"/>
    <cellStyle name="20% - Accent2 6 13 3 2" xfId="32150" xr:uid="{00000000-0005-0000-0000-00004B090000}"/>
    <cellStyle name="20% - Accent2 6 13 4" xfId="25457" xr:uid="{00000000-0005-0000-0000-00004C090000}"/>
    <cellStyle name="20% - Accent2 6 14" xfId="7562" xr:uid="{00000000-0005-0000-0000-00004D090000}"/>
    <cellStyle name="20% - Accent2 6 14 2" xfId="15359" xr:uid="{00000000-0005-0000-0000-00004E090000}"/>
    <cellStyle name="20% - Accent2 6 14 2 2" xfId="32994" xr:uid="{00000000-0005-0000-0000-00004F090000}"/>
    <cellStyle name="20% - Accent2 6 14 3" xfId="25995" xr:uid="{00000000-0005-0000-0000-000050090000}"/>
    <cellStyle name="20% - Accent2 6 15" xfId="11130" xr:uid="{00000000-0005-0000-0000-000051090000}"/>
    <cellStyle name="20% - Accent2 6 15 2" xfId="28858" xr:uid="{00000000-0005-0000-0000-000052090000}"/>
    <cellStyle name="20% - Accent2 6 16" xfId="21940" xr:uid="{00000000-0005-0000-0000-000053090000}"/>
    <cellStyle name="20% - Accent2 6 16 2" xfId="38693" xr:uid="{00000000-0005-0000-0000-000054090000}"/>
    <cellStyle name="20% - Accent2 6 17" xfId="23130" xr:uid="{00000000-0005-0000-0000-000055090000}"/>
    <cellStyle name="20% - Accent2 6 18" xfId="51684" xr:uid="{00000000-0005-0000-0000-000056090000}"/>
    <cellStyle name="20% - Accent2 6 2" xfId="301" xr:uid="{00000000-0005-0000-0000-000057090000}"/>
    <cellStyle name="20% - Accent2 6 2 10" xfId="51685" xr:uid="{00000000-0005-0000-0000-000058090000}"/>
    <cellStyle name="20% - Accent2 6 2 2" xfId="3531" xr:uid="{00000000-0005-0000-0000-000059090000}"/>
    <cellStyle name="20% - Accent2 6 2 2 2" xfId="8151" xr:uid="{00000000-0005-0000-0000-00005A090000}"/>
    <cellStyle name="20% - Accent2 6 2 2 2 2" xfId="15947" xr:uid="{00000000-0005-0000-0000-00005B090000}"/>
    <cellStyle name="20% - Accent2 6 2 2 2 2 2" xfId="33582" xr:uid="{00000000-0005-0000-0000-00005C090000}"/>
    <cellStyle name="20% - Accent2 6 2 2 2 3" xfId="26565" xr:uid="{00000000-0005-0000-0000-00005D090000}"/>
    <cellStyle name="20% - Accent2 6 2 2 3" xfId="12262" xr:uid="{00000000-0005-0000-0000-00005E090000}"/>
    <cellStyle name="20% - Accent2 6 2 2 3 2" xfId="29933" xr:uid="{00000000-0005-0000-0000-00005F090000}"/>
    <cellStyle name="20% - Accent2 6 2 2 4" xfId="23700" xr:uid="{00000000-0005-0000-0000-000060090000}"/>
    <cellStyle name="20% - Accent2 6 2 3" xfId="5560" xr:uid="{00000000-0005-0000-0000-000061090000}"/>
    <cellStyle name="20% - Accent2 6 2 3 2" xfId="8860" xr:uid="{00000000-0005-0000-0000-000062090000}"/>
    <cellStyle name="20% - Accent2 6 2 3 2 2" xfId="16655" xr:uid="{00000000-0005-0000-0000-000063090000}"/>
    <cellStyle name="20% - Accent2 6 2 3 2 2 2" xfId="34291" xr:uid="{00000000-0005-0000-0000-000064090000}"/>
    <cellStyle name="20% - Accent2 6 2 3 2 3" xfId="27248" xr:uid="{00000000-0005-0000-0000-000065090000}"/>
    <cellStyle name="20% - Accent2 6 2 3 3" xfId="13416" xr:uid="{00000000-0005-0000-0000-000066090000}"/>
    <cellStyle name="20% - Accent2 6 2 3 3 2" xfId="31056" xr:uid="{00000000-0005-0000-0000-000067090000}"/>
    <cellStyle name="20% - Accent2 6 2 3 4" xfId="24383" xr:uid="{00000000-0005-0000-0000-000068090000}"/>
    <cellStyle name="20% - Accent2 6 2 4" xfId="6190" xr:uid="{00000000-0005-0000-0000-000069090000}"/>
    <cellStyle name="20% - Accent2 6 2 4 2" xfId="9400" xr:uid="{00000000-0005-0000-0000-00006A090000}"/>
    <cellStyle name="20% - Accent2 6 2 4 2 2" xfId="17194" xr:uid="{00000000-0005-0000-0000-00006B090000}"/>
    <cellStyle name="20% - Accent2 6 2 4 2 2 2" xfId="34831" xr:uid="{00000000-0005-0000-0000-00006C090000}"/>
    <cellStyle name="20% - Accent2 6 2 4 2 3" xfId="27784" xr:uid="{00000000-0005-0000-0000-00006D090000}"/>
    <cellStyle name="20% - Accent2 6 2 4 3" xfId="13979" xr:uid="{00000000-0005-0000-0000-00006E090000}"/>
    <cellStyle name="20% - Accent2 6 2 4 3 2" xfId="31614" xr:uid="{00000000-0005-0000-0000-00006F090000}"/>
    <cellStyle name="20% - Accent2 6 2 4 4" xfId="24920" xr:uid="{00000000-0005-0000-0000-000070090000}"/>
    <cellStyle name="20% - Accent2 6 2 5" xfId="6728" xr:uid="{00000000-0005-0000-0000-000071090000}"/>
    <cellStyle name="20% - Accent2 6 2 5 2" xfId="9938" xr:uid="{00000000-0005-0000-0000-000072090000}"/>
    <cellStyle name="20% - Accent2 6 2 5 2 2" xfId="17731" xr:uid="{00000000-0005-0000-0000-000073090000}"/>
    <cellStyle name="20% - Accent2 6 2 5 2 2 2" xfId="35368" xr:uid="{00000000-0005-0000-0000-000074090000}"/>
    <cellStyle name="20% - Accent2 6 2 5 2 3" xfId="28321" xr:uid="{00000000-0005-0000-0000-000075090000}"/>
    <cellStyle name="20% - Accent2 6 2 5 3" xfId="14516" xr:uid="{00000000-0005-0000-0000-000076090000}"/>
    <cellStyle name="20% - Accent2 6 2 5 3 2" xfId="32151" xr:uid="{00000000-0005-0000-0000-000077090000}"/>
    <cellStyle name="20% - Accent2 6 2 5 4" xfId="25458" xr:uid="{00000000-0005-0000-0000-000078090000}"/>
    <cellStyle name="20% - Accent2 6 2 6" xfId="7563" xr:uid="{00000000-0005-0000-0000-000079090000}"/>
    <cellStyle name="20% - Accent2 6 2 6 2" xfId="15360" xr:uid="{00000000-0005-0000-0000-00007A090000}"/>
    <cellStyle name="20% - Accent2 6 2 6 2 2" xfId="32995" xr:uid="{00000000-0005-0000-0000-00007B090000}"/>
    <cellStyle name="20% - Accent2 6 2 6 3" xfId="25996" xr:uid="{00000000-0005-0000-0000-00007C090000}"/>
    <cellStyle name="20% - Accent2 6 2 7" xfId="11131" xr:uid="{00000000-0005-0000-0000-00007D090000}"/>
    <cellStyle name="20% - Accent2 6 2 7 2" xfId="28859" xr:uid="{00000000-0005-0000-0000-00007E090000}"/>
    <cellStyle name="20% - Accent2 6 2 8" xfId="22835" xr:uid="{00000000-0005-0000-0000-00007F090000}"/>
    <cellStyle name="20% - Accent2 6 2 8 2" xfId="39014" xr:uid="{00000000-0005-0000-0000-000080090000}"/>
    <cellStyle name="20% - Accent2 6 2 9" xfId="23131" xr:uid="{00000000-0005-0000-0000-000081090000}"/>
    <cellStyle name="20% - Accent2 6 3" xfId="302" xr:uid="{00000000-0005-0000-0000-000082090000}"/>
    <cellStyle name="20% - Accent2 6 3 10" xfId="22045" xr:uid="{00000000-0005-0000-0000-000083090000}"/>
    <cellStyle name="20% - Accent2 6 3 11" xfId="23132" xr:uid="{00000000-0005-0000-0000-000084090000}"/>
    <cellStyle name="20% - Accent2 6 3 12" xfId="51686" xr:uid="{00000000-0005-0000-0000-000085090000}"/>
    <cellStyle name="20% - Accent2 6 3 2" xfId="303" xr:uid="{00000000-0005-0000-0000-000086090000}"/>
    <cellStyle name="20% - Accent2 6 3 2 2" xfId="3533" xr:uid="{00000000-0005-0000-0000-000087090000}"/>
    <cellStyle name="20% - Accent2 6 3 2 2 2" xfId="8153" xr:uid="{00000000-0005-0000-0000-000088090000}"/>
    <cellStyle name="20% - Accent2 6 3 2 2 2 2" xfId="15949" xr:uid="{00000000-0005-0000-0000-000089090000}"/>
    <cellStyle name="20% - Accent2 6 3 2 2 2 2 2" xfId="33584" xr:uid="{00000000-0005-0000-0000-00008A090000}"/>
    <cellStyle name="20% - Accent2 6 3 2 2 2 3" xfId="26567" xr:uid="{00000000-0005-0000-0000-00008B090000}"/>
    <cellStyle name="20% - Accent2 6 3 2 2 3" xfId="12264" xr:uid="{00000000-0005-0000-0000-00008C090000}"/>
    <cellStyle name="20% - Accent2 6 3 2 2 3 2" xfId="29935" xr:uid="{00000000-0005-0000-0000-00008D090000}"/>
    <cellStyle name="20% - Accent2 6 3 2 2 4" xfId="23702" xr:uid="{00000000-0005-0000-0000-00008E090000}"/>
    <cellStyle name="20% - Accent2 6 3 2 3" xfId="5562" xr:uid="{00000000-0005-0000-0000-00008F090000}"/>
    <cellStyle name="20% - Accent2 6 3 2 3 2" xfId="8862" xr:uid="{00000000-0005-0000-0000-000090090000}"/>
    <cellStyle name="20% - Accent2 6 3 2 3 2 2" xfId="16657" xr:uid="{00000000-0005-0000-0000-000091090000}"/>
    <cellStyle name="20% - Accent2 6 3 2 3 2 2 2" xfId="34293" xr:uid="{00000000-0005-0000-0000-000092090000}"/>
    <cellStyle name="20% - Accent2 6 3 2 3 2 3" xfId="27250" xr:uid="{00000000-0005-0000-0000-000093090000}"/>
    <cellStyle name="20% - Accent2 6 3 2 3 3" xfId="13418" xr:uid="{00000000-0005-0000-0000-000094090000}"/>
    <cellStyle name="20% - Accent2 6 3 2 3 3 2" xfId="31058" xr:uid="{00000000-0005-0000-0000-000095090000}"/>
    <cellStyle name="20% - Accent2 6 3 2 3 4" xfId="24385" xr:uid="{00000000-0005-0000-0000-000096090000}"/>
    <cellStyle name="20% - Accent2 6 3 2 4" xfId="6192" xr:uid="{00000000-0005-0000-0000-000097090000}"/>
    <cellStyle name="20% - Accent2 6 3 2 4 2" xfId="9402" xr:uid="{00000000-0005-0000-0000-000098090000}"/>
    <cellStyle name="20% - Accent2 6 3 2 4 2 2" xfId="17196" xr:uid="{00000000-0005-0000-0000-000099090000}"/>
    <cellStyle name="20% - Accent2 6 3 2 4 2 2 2" xfId="34833" xr:uid="{00000000-0005-0000-0000-00009A090000}"/>
    <cellStyle name="20% - Accent2 6 3 2 4 2 3" xfId="27786" xr:uid="{00000000-0005-0000-0000-00009B090000}"/>
    <cellStyle name="20% - Accent2 6 3 2 4 3" xfId="13981" xr:uid="{00000000-0005-0000-0000-00009C090000}"/>
    <cellStyle name="20% - Accent2 6 3 2 4 3 2" xfId="31616" xr:uid="{00000000-0005-0000-0000-00009D090000}"/>
    <cellStyle name="20% - Accent2 6 3 2 4 4" xfId="24922" xr:uid="{00000000-0005-0000-0000-00009E090000}"/>
    <cellStyle name="20% - Accent2 6 3 2 5" xfId="6730" xr:uid="{00000000-0005-0000-0000-00009F090000}"/>
    <cellStyle name="20% - Accent2 6 3 2 5 2" xfId="9940" xr:uid="{00000000-0005-0000-0000-0000A0090000}"/>
    <cellStyle name="20% - Accent2 6 3 2 5 2 2" xfId="17733" xr:uid="{00000000-0005-0000-0000-0000A1090000}"/>
    <cellStyle name="20% - Accent2 6 3 2 5 2 2 2" xfId="35370" xr:uid="{00000000-0005-0000-0000-0000A2090000}"/>
    <cellStyle name="20% - Accent2 6 3 2 5 2 3" xfId="28323" xr:uid="{00000000-0005-0000-0000-0000A3090000}"/>
    <cellStyle name="20% - Accent2 6 3 2 5 3" xfId="14518" xr:uid="{00000000-0005-0000-0000-0000A4090000}"/>
    <cellStyle name="20% - Accent2 6 3 2 5 3 2" xfId="32153" xr:uid="{00000000-0005-0000-0000-0000A5090000}"/>
    <cellStyle name="20% - Accent2 6 3 2 5 4" xfId="25460" xr:uid="{00000000-0005-0000-0000-0000A6090000}"/>
    <cellStyle name="20% - Accent2 6 3 2 6" xfId="7565" xr:uid="{00000000-0005-0000-0000-0000A7090000}"/>
    <cellStyle name="20% - Accent2 6 3 2 6 2" xfId="15362" xr:uid="{00000000-0005-0000-0000-0000A8090000}"/>
    <cellStyle name="20% - Accent2 6 3 2 6 2 2" xfId="32997" xr:uid="{00000000-0005-0000-0000-0000A9090000}"/>
    <cellStyle name="20% - Accent2 6 3 2 6 3" xfId="25998" xr:uid="{00000000-0005-0000-0000-0000AA090000}"/>
    <cellStyle name="20% - Accent2 6 3 2 7" xfId="11133" xr:uid="{00000000-0005-0000-0000-0000AB090000}"/>
    <cellStyle name="20% - Accent2 6 3 2 7 2" xfId="28861" xr:uid="{00000000-0005-0000-0000-0000AC090000}"/>
    <cellStyle name="20% - Accent2 6 3 2 8" xfId="23133" xr:uid="{00000000-0005-0000-0000-0000AD090000}"/>
    <cellStyle name="20% - Accent2 6 3 2 9" xfId="51687" xr:uid="{00000000-0005-0000-0000-0000AE090000}"/>
    <cellStyle name="20% - Accent2 6 3 3" xfId="3534" xr:uid="{00000000-0005-0000-0000-0000AF090000}"/>
    <cellStyle name="20% - Accent2 6 3 3 2" xfId="5563" xr:uid="{00000000-0005-0000-0000-0000B0090000}"/>
    <cellStyle name="20% - Accent2 6 3 3 2 2" xfId="8863" xr:uid="{00000000-0005-0000-0000-0000B1090000}"/>
    <cellStyle name="20% - Accent2 6 3 3 2 2 2" xfId="16658" xr:uid="{00000000-0005-0000-0000-0000B2090000}"/>
    <cellStyle name="20% - Accent2 6 3 3 2 2 2 2" xfId="34294" xr:uid="{00000000-0005-0000-0000-0000B3090000}"/>
    <cellStyle name="20% - Accent2 6 3 3 2 2 3" xfId="27251" xr:uid="{00000000-0005-0000-0000-0000B4090000}"/>
    <cellStyle name="20% - Accent2 6 3 3 2 3" xfId="13419" xr:uid="{00000000-0005-0000-0000-0000B5090000}"/>
    <cellStyle name="20% - Accent2 6 3 3 2 3 2" xfId="31059" xr:uid="{00000000-0005-0000-0000-0000B6090000}"/>
    <cellStyle name="20% - Accent2 6 3 3 2 4" xfId="24386" xr:uid="{00000000-0005-0000-0000-0000B7090000}"/>
    <cellStyle name="20% - Accent2 6 3 3 3" xfId="6193" xr:uid="{00000000-0005-0000-0000-0000B8090000}"/>
    <cellStyle name="20% - Accent2 6 3 3 3 2" xfId="9403" xr:uid="{00000000-0005-0000-0000-0000B9090000}"/>
    <cellStyle name="20% - Accent2 6 3 3 3 2 2" xfId="17197" xr:uid="{00000000-0005-0000-0000-0000BA090000}"/>
    <cellStyle name="20% - Accent2 6 3 3 3 2 2 2" xfId="34834" xr:uid="{00000000-0005-0000-0000-0000BB090000}"/>
    <cellStyle name="20% - Accent2 6 3 3 3 2 3" xfId="27787" xr:uid="{00000000-0005-0000-0000-0000BC090000}"/>
    <cellStyle name="20% - Accent2 6 3 3 3 3" xfId="13982" xr:uid="{00000000-0005-0000-0000-0000BD090000}"/>
    <cellStyle name="20% - Accent2 6 3 3 3 3 2" xfId="31617" xr:uid="{00000000-0005-0000-0000-0000BE090000}"/>
    <cellStyle name="20% - Accent2 6 3 3 3 4" xfId="24923" xr:uid="{00000000-0005-0000-0000-0000BF090000}"/>
    <cellStyle name="20% - Accent2 6 3 3 4" xfId="6731" xr:uid="{00000000-0005-0000-0000-0000C0090000}"/>
    <cellStyle name="20% - Accent2 6 3 3 4 2" xfId="9941" xr:uid="{00000000-0005-0000-0000-0000C1090000}"/>
    <cellStyle name="20% - Accent2 6 3 3 4 2 2" xfId="17734" xr:uid="{00000000-0005-0000-0000-0000C2090000}"/>
    <cellStyle name="20% - Accent2 6 3 3 4 2 2 2" xfId="35371" xr:uid="{00000000-0005-0000-0000-0000C3090000}"/>
    <cellStyle name="20% - Accent2 6 3 3 4 2 3" xfId="28324" xr:uid="{00000000-0005-0000-0000-0000C4090000}"/>
    <cellStyle name="20% - Accent2 6 3 3 4 3" xfId="14519" xr:uid="{00000000-0005-0000-0000-0000C5090000}"/>
    <cellStyle name="20% - Accent2 6 3 3 4 3 2" xfId="32154" xr:uid="{00000000-0005-0000-0000-0000C6090000}"/>
    <cellStyle name="20% - Accent2 6 3 3 4 4" xfId="25461" xr:uid="{00000000-0005-0000-0000-0000C7090000}"/>
    <cellStyle name="20% - Accent2 6 3 3 5" xfId="8154" xr:uid="{00000000-0005-0000-0000-0000C8090000}"/>
    <cellStyle name="20% - Accent2 6 3 3 5 2" xfId="15950" xr:uid="{00000000-0005-0000-0000-0000C9090000}"/>
    <cellStyle name="20% - Accent2 6 3 3 5 2 2" xfId="33585" xr:uid="{00000000-0005-0000-0000-0000CA090000}"/>
    <cellStyle name="20% - Accent2 6 3 3 5 3" xfId="26568" xr:uid="{00000000-0005-0000-0000-0000CB090000}"/>
    <cellStyle name="20% - Accent2 6 3 3 6" xfId="12265" xr:uid="{00000000-0005-0000-0000-0000CC090000}"/>
    <cellStyle name="20% - Accent2 6 3 3 6 2" xfId="29936" xr:uid="{00000000-0005-0000-0000-0000CD090000}"/>
    <cellStyle name="20% - Accent2 6 3 3 7" xfId="23703" xr:uid="{00000000-0005-0000-0000-0000CE090000}"/>
    <cellStyle name="20% - Accent2 6 3 4" xfId="3532" xr:uid="{00000000-0005-0000-0000-0000CF090000}"/>
    <cellStyle name="20% - Accent2 6 3 4 2" xfId="8152" xr:uid="{00000000-0005-0000-0000-0000D0090000}"/>
    <cellStyle name="20% - Accent2 6 3 4 2 2" xfId="15948" xr:uid="{00000000-0005-0000-0000-0000D1090000}"/>
    <cellStyle name="20% - Accent2 6 3 4 2 2 2" xfId="33583" xr:uid="{00000000-0005-0000-0000-0000D2090000}"/>
    <cellStyle name="20% - Accent2 6 3 4 2 3" xfId="26566" xr:uid="{00000000-0005-0000-0000-0000D3090000}"/>
    <cellStyle name="20% - Accent2 6 3 4 3" xfId="12263" xr:uid="{00000000-0005-0000-0000-0000D4090000}"/>
    <cellStyle name="20% - Accent2 6 3 4 3 2" xfId="29934" xr:uid="{00000000-0005-0000-0000-0000D5090000}"/>
    <cellStyle name="20% - Accent2 6 3 4 4" xfId="23701" xr:uid="{00000000-0005-0000-0000-0000D6090000}"/>
    <cellStyle name="20% - Accent2 6 3 5" xfId="5561" xr:uid="{00000000-0005-0000-0000-0000D7090000}"/>
    <cellStyle name="20% - Accent2 6 3 5 2" xfId="8861" xr:uid="{00000000-0005-0000-0000-0000D8090000}"/>
    <cellStyle name="20% - Accent2 6 3 5 2 2" xfId="16656" xr:uid="{00000000-0005-0000-0000-0000D9090000}"/>
    <cellStyle name="20% - Accent2 6 3 5 2 2 2" xfId="34292" xr:uid="{00000000-0005-0000-0000-0000DA090000}"/>
    <cellStyle name="20% - Accent2 6 3 5 2 3" xfId="27249" xr:uid="{00000000-0005-0000-0000-0000DB090000}"/>
    <cellStyle name="20% - Accent2 6 3 5 3" xfId="13417" xr:uid="{00000000-0005-0000-0000-0000DC090000}"/>
    <cellStyle name="20% - Accent2 6 3 5 3 2" xfId="31057" xr:uid="{00000000-0005-0000-0000-0000DD090000}"/>
    <cellStyle name="20% - Accent2 6 3 5 4" xfId="24384" xr:uid="{00000000-0005-0000-0000-0000DE090000}"/>
    <cellStyle name="20% - Accent2 6 3 6" xfId="6191" xr:uid="{00000000-0005-0000-0000-0000DF090000}"/>
    <cellStyle name="20% - Accent2 6 3 6 2" xfId="9401" xr:uid="{00000000-0005-0000-0000-0000E0090000}"/>
    <cellStyle name="20% - Accent2 6 3 6 2 2" xfId="17195" xr:uid="{00000000-0005-0000-0000-0000E1090000}"/>
    <cellStyle name="20% - Accent2 6 3 6 2 2 2" xfId="34832" xr:uid="{00000000-0005-0000-0000-0000E2090000}"/>
    <cellStyle name="20% - Accent2 6 3 6 2 3" xfId="27785" xr:uid="{00000000-0005-0000-0000-0000E3090000}"/>
    <cellStyle name="20% - Accent2 6 3 6 3" xfId="13980" xr:uid="{00000000-0005-0000-0000-0000E4090000}"/>
    <cellStyle name="20% - Accent2 6 3 6 3 2" xfId="31615" xr:uid="{00000000-0005-0000-0000-0000E5090000}"/>
    <cellStyle name="20% - Accent2 6 3 6 4" xfId="24921" xr:uid="{00000000-0005-0000-0000-0000E6090000}"/>
    <cellStyle name="20% - Accent2 6 3 7" xfId="6729" xr:uid="{00000000-0005-0000-0000-0000E7090000}"/>
    <cellStyle name="20% - Accent2 6 3 7 2" xfId="9939" xr:uid="{00000000-0005-0000-0000-0000E8090000}"/>
    <cellStyle name="20% - Accent2 6 3 7 2 2" xfId="17732" xr:uid="{00000000-0005-0000-0000-0000E9090000}"/>
    <cellStyle name="20% - Accent2 6 3 7 2 2 2" xfId="35369" xr:uid="{00000000-0005-0000-0000-0000EA090000}"/>
    <cellStyle name="20% - Accent2 6 3 7 2 3" xfId="28322" xr:uid="{00000000-0005-0000-0000-0000EB090000}"/>
    <cellStyle name="20% - Accent2 6 3 7 3" xfId="14517" xr:uid="{00000000-0005-0000-0000-0000EC090000}"/>
    <cellStyle name="20% - Accent2 6 3 7 3 2" xfId="32152" xr:uid="{00000000-0005-0000-0000-0000ED090000}"/>
    <cellStyle name="20% - Accent2 6 3 7 4" xfId="25459" xr:uid="{00000000-0005-0000-0000-0000EE090000}"/>
    <cellStyle name="20% - Accent2 6 3 8" xfId="7564" xr:uid="{00000000-0005-0000-0000-0000EF090000}"/>
    <cellStyle name="20% - Accent2 6 3 8 2" xfId="15361" xr:uid="{00000000-0005-0000-0000-0000F0090000}"/>
    <cellStyle name="20% - Accent2 6 3 8 2 2" xfId="32996" xr:uid="{00000000-0005-0000-0000-0000F1090000}"/>
    <cellStyle name="20% - Accent2 6 3 8 3" xfId="25997" xr:uid="{00000000-0005-0000-0000-0000F2090000}"/>
    <cellStyle name="20% - Accent2 6 3 9" xfId="11132" xr:uid="{00000000-0005-0000-0000-0000F3090000}"/>
    <cellStyle name="20% - Accent2 6 3 9 2" xfId="28860" xr:uid="{00000000-0005-0000-0000-0000F4090000}"/>
    <cellStyle name="20% - Accent2 6 4" xfId="304" xr:uid="{00000000-0005-0000-0000-0000F5090000}"/>
    <cellStyle name="20% - Accent2 6 4 10" xfId="52909" xr:uid="{00000000-0005-0000-0000-0000F6090000}"/>
    <cellStyle name="20% - Accent2 6 4 2" xfId="3535" xr:uid="{00000000-0005-0000-0000-0000F7090000}"/>
    <cellStyle name="20% - Accent2 6 4 2 2" xfId="8155" xr:uid="{00000000-0005-0000-0000-0000F8090000}"/>
    <cellStyle name="20% - Accent2 6 4 2 2 2" xfId="15951" xr:uid="{00000000-0005-0000-0000-0000F9090000}"/>
    <cellStyle name="20% - Accent2 6 4 2 2 2 2" xfId="33586" xr:uid="{00000000-0005-0000-0000-0000FA090000}"/>
    <cellStyle name="20% - Accent2 6 4 2 2 3" xfId="26569" xr:uid="{00000000-0005-0000-0000-0000FB090000}"/>
    <cellStyle name="20% - Accent2 6 4 2 3" xfId="12266" xr:uid="{00000000-0005-0000-0000-0000FC090000}"/>
    <cellStyle name="20% - Accent2 6 4 2 3 2" xfId="29937" xr:uid="{00000000-0005-0000-0000-0000FD090000}"/>
    <cellStyle name="20% - Accent2 6 4 2 4" xfId="23704" xr:uid="{00000000-0005-0000-0000-0000FE090000}"/>
    <cellStyle name="20% - Accent2 6 4 3" xfId="5564" xr:uid="{00000000-0005-0000-0000-0000FF090000}"/>
    <cellStyle name="20% - Accent2 6 4 3 2" xfId="8864" xr:uid="{00000000-0005-0000-0000-0000000A0000}"/>
    <cellStyle name="20% - Accent2 6 4 3 2 2" xfId="16659" xr:uid="{00000000-0005-0000-0000-0000010A0000}"/>
    <cellStyle name="20% - Accent2 6 4 3 2 2 2" xfId="34295" xr:uid="{00000000-0005-0000-0000-0000020A0000}"/>
    <cellStyle name="20% - Accent2 6 4 3 2 3" xfId="27252" xr:uid="{00000000-0005-0000-0000-0000030A0000}"/>
    <cellStyle name="20% - Accent2 6 4 3 3" xfId="13420" xr:uid="{00000000-0005-0000-0000-0000040A0000}"/>
    <cellStyle name="20% - Accent2 6 4 3 3 2" xfId="31060" xr:uid="{00000000-0005-0000-0000-0000050A0000}"/>
    <cellStyle name="20% - Accent2 6 4 3 4" xfId="24387" xr:uid="{00000000-0005-0000-0000-0000060A0000}"/>
    <cellStyle name="20% - Accent2 6 4 4" xfId="6194" xr:uid="{00000000-0005-0000-0000-0000070A0000}"/>
    <cellStyle name="20% - Accent2 6 4 4 2" xfId="9404" xr:uid="{00000000-0005-0000-0000-0000080A0000}"/>
    <cellStyle name="20% - Accent2 6 4 4 2 2" xfId="17198" xr:uid="{00000000-0005-0000-0000-0000090A0000}"/>
    <cellStyle name="20% - Accent2 6 4 4 2 2 2" xfId="34835" xr:uid="{00000000-0005-0000-0000-00000A0A0000}"/>
    <cellStyle name="20% - Accent2 6 4 4 2 3" xfId="27788" xr:uid="{00000000-0005-0000-0000-00000B0A0000}"/>
    <cellStyle name="20% - Accent2 6 4 4 3" xfId="13983" xr:uid="{00000000-0005-0000-0000-00000C0A0000}"/>
    <cellStyle name="20% - Accent2 6 4 4 3 2" xfId="31618" xr:uid="{00000000-0005-0000-0000-00000D0A0000}"/>
    <cellStyle name="20% - Accent2 6 4 4 4" xfId="24924" xr:uid="{00000000-0005-0000-0000-00000E0A0000}"/>
    <cellStyle name="20% - Accent2 6 4 5" xfId="6732" xr:uid="{00000000-0005-0000-0000-00000F0A0000}"/>
    <cellStyle name="20% - Accent2 6 4 5 2" xfId="9942" xr:uid="{00000000-0005-0000-0000-0000100A0000}"/>
    <cellStyle name="20% - Accent2 6 4 5 2 2" xfId="17735" xr:uid="{00000000-0005-0000-0000-0000110A0000}"/>
    <cellStyle name="20% - Accent2 6 4 5 2 2 2" xfId="35372" xr:uid="{00000000-0005-0000-0000-0000120A0000}"/>
    <cellStyle name="20% - Accent2 6 4 5 2 3" xfId="28325" xr:uid="{00000000-0005-0000-0000-0000130A0000}"/>
    <cellStyle name="20% - Accent2 6 4 5 3" xfId="14520" xr:uid="{00000000-0005-0000-0000-0000140A0000}"/>
    <cellStyle name="20% - Accent2 6 4 5 3 2" xfId="32155" xr:uid="{00000000-0005-0000-0000-0000150A0000}"/>
    <cellStyle name="20% - Accent2 6 4 5 4" xfId="25462" xr:uid="{00000000-0005-0000-0000-0000160A0000}"/>
    <cellStyle name="20% - Accent2 6 4 6" xfId="7566" xr:uid="{00000000-0005-0000-0000-0000170A0000}"/>
    <cellStyle name="20% - Accent2 6 4 6 2" xfId="15363" xr:uid="{00000000-0005-0000-0000-0000180A0000}"/>
    <cellStyle name="20% - Accent2 6 4 6 2 2" xfId="32998" xr:uid="{00000000-0005-0000-0000-0000190A0000}"/>
    <cellStyle name="20% - Accent2 6 4 6 3" xfId="25999" xr:uid="{00000000-0005-0000-0000-00001A0A0000}"/>
    <cellStyle name="20% - Accent2 6 4 7" xfId="11134" xr:uid="{00000000-0005-0000-0000-00001B0A0000}"/>
    <cellStyle name="20% - Accent2 6 4 7 2" xfId="28862" xr:uid="{00000000-0005-0000-0000-00001C0A0000}"/>
    <cellStyle name="20% - Accent2 6 4 8" xfId="23134" xr:uid="{00000000-0005-0000-0000-00001D0A0000}"/>
    <cellStyle name="20% - Accent2 6 4 9" xfId="51688" xr:uid="{00000000-0005-0000-0000-00001E0A0000}"/>
    <cellStyle name="20% - Accent2 6 5" xfId="305" xr:uid="{00000000-0005-0000-0000-00001F0A0000}"/>
    <cellStyle name="20% - Accent2 6 5 2" xfId="3536" xr:uid="{00000000-0005-0000-0000-0000200A0000}"/>
    <cellStyle name="20% - Accent2 6 5 2 2" xfId="8156" xr:uid="{00000000-0005-0000-0000-0000210A0000}"/>
    <cellStyle name="20% - Accent2 6 5 2 2 2" xfId="15952" xr:uid="{00000000-0005-0000-0000-0000220A0000}"/>
    <cellStyle name="20% - Accent2 6 5 2 2 2 2" xfId="33587" xr:uid="{00000000-0005-0000-0000-0000230A0000}"/>
    <cellStyle name="20% - Accent2 6 5 2 2 3" xfId="26570" xr:uid="{00000000-0005-0000-0000-0000240A0000}"/>
    <cellStyle name="20% - Accent2 6 5 2 3" xfId="12267" xr:uid="{00000000-0005-0000-0000-0000250A0000}"/>
    <cellStyle name="20% - Accent2 6 5 2 3 2" xfId="29938" xr:uid="{00000000-0005-0000-0000-0000260A0000}"/>
    <cellStyle name="20% - Accent2 6 5 2 4" xfId="23705" xr:uid="{00000000-0005-0000-0000-0000270A0000}"/>
    <cellStyle name="20% - Accent2 6 5 3" xfId="5565" xr:uid="{00000000-0005-0000-0000-0000280A0000}"/>
    <cellStyle name="20% - Accent2 6 5 3 2" xfId="8865" xr:uid="{00000000-0005-0000-0000-0000290A0000}"/>
    <cellStyle name="20% - Accent2 6 5 3 2 2" xfId="16660" xr:uid="{00000000-0005-0000-0000-00002A0A0000}"/>
    <cellStyle name="20% - Accent2 6 5 3 2 2 2" xfId="34296" xr:uid="{00000000-0005-0000-0000-00002B0A0000}"/>
    <cellStyle name="20% - Accent2 6 5 3 2 3" xfId="27253" xr:uid="{00000000-0005-0000-0000-00002C0A0000}"/>
    <cellStyle name="20% - Accent2 6 5 3 3" xfId="13421" xr:uid="{00000000-0005-0000-0000-00002D0A0000}"/>
    <cellStyle name="20% - Accent2 6 5 3 3 2" xfId="31061" xr:uid="{00000000-0005-0000-0000-00002E0A0000}"/>
    <cellStyle name="20% - Accent2 6 5 3 4" xfId="24388" xr:uid="{00000000-0005-0000-0000-00002F0A0000}"/>
    <cellStyle name="20% - Accent2 6 5 4" xfId="6195" xr:uid="{00000000-0005-0000-0000-0000300A0000}"/>
    <cellStyle name="20% - Accent2 6 5 4 2" xfId="9405" xr:uid="{00000000-0005-0000-0000-0000310A0000}"/>
    <cellStyle name="20% - Accent2 6 5 4 2 2" xfId="17199" xr:uid="{00000000-0005-0000-0000-0000320A0000}"/>
    <cellStyle name="20% - Accent2 6 5 4 2 2 2" xfId="34836" xr:uid="{00000000-0005-0000-0000-0000330A0000}"/>
    <cellStyle name="20% - Accent2 6 5 4 2 3" xfId="27789" xr:uid="{00000000-0005-0000-0000-0000340A0000}"/>
    <cellStyle name="20% - Accent2 6 5 4 3" xfId="13984" xr:uid="{00000000-0005-0000-0000-0000350A0000}"/>
    <cellStyle name="20% - Accent2 6 5 4 3 2" xfId="31619" xr:uid="{00000000-0005-0000-0000-0000360A0000}"/>
    <cellStyle name="20% - Accent2 6 5 4 4" xfId="24925" xr:uid="{00000000-0005-0000-0000-0000370A0000}"/>
    <cellStyle name="20% - Accent2 6 5 5" xfId="6733" xr:uid="{00000000-0005-0000-0000-0000380A0000}"/>
    <cellStyle name="20% - Accent2 6 5 5 2" xfId="9943" xr:uid="{00000000-0005-0000-0000-0000390A0000}"/>
    <cellStyle name="20% - Accent2 6 5 5 2 2" xfId="17736" xr:uid="{00000000-0005-0000-0000-00003A0A0000}"/>
    <cellStyle name="20% - Accent2 6 5 5 2 2 2" xfId="35373" xr:uid="{00000000-0005-0000-0000-00003B0A0000}"/>
    <cellStyle name="20% - Accent2 6 5 5 2 3" xfId="28326" xr:uid="{00000000-0005-0000-0000-00003C0A0000}"/>
    <cellStyle name="20% - Accent2 6 5 5 3" xfId="14521" xr:uid="{00000000-0005-0000-0000-00003D0A0000}"/>
    <cellStyle name="20% - Accent2 6 5 5 3 2" xfId="32156" xr:uid="{00000000-0005-0000-0000-00003E0A0000}"/>
    <cellStyle name="20% - Accent2 6 5 5 4" xfId="25463" xr:uid="{00000000-0005-0000-0000-00003F0A0000}"/>
    <cellStyle name="20% - Accent2 6 5 6" xfId="7567" xr:uid="{00000000-0005-0000-0000-0000400A0000}"/>
    <cellStyle name="20% - Accent2 6 5 6 2" xfId="15364" xr:uid="{00000000-0005-0000-0000-0000410A0000}"/>
    <cellStyle name="20% - Accent2 6 5 6 2 2" xfId="32999" xr:uid="{00000000-0005-0000-0000-0000420A0000}"/>
    <cellStyle name="20% - Accent2 6 5 6 3" xfId="26000" xr:uid="{00000000-0005-0000-0000-0000430A0000}"/>
    <cellStyle name="20% - Accent2 6 5 7" xfId="11135" xr:uid="{00000000-0005-0000-0000-0000440A0000}"/>
    <cellStyle name="20% - Accent2 6 5 7 2" xfId="28863" xr:uid="{00000000-0005-0000-0000-0000450A0000}"/>
    <cellStyle name="20% - Accent2 6 5 8" xfId="23135" xr:uid="{00000000-0005-0000-0000-0000460A0000}"/>
    <cellStyle name="20% - Accent2 6 5 9" xfId="51689" xr:uid="{00000000-0005-0000-0000-0000470A0000}"/>
    <cellStyle name="20% - Accent2 6 6" xfId="306" xr:uid="{00000000-0005-0000-0000-0000480A0000}"/>
    <cellStyle name="20% - Accent2 6 6 2" xfId="3537" xr:uid="{00000000-0005-0000-0000-0000490A0000}"/>
    <cellStyle name="20% - Accent2 6 6 2 2" xfId="8157" xr:uid="{00000000-0005-0000-0000-00004A0A0000}"/>
    <cellStyle name="20% - Accent2 6 6 2 2 2" xfId="15953" xr:uid="{00000000-0005-0000-0000-00004B0A0000}"/>
    <cellStyle name="20% - Accent2 6 6 2 2 2 2" xfId="33588" xr:uid="{00000000-0005-0000-0000-00004C0A0000}"/>
    <cellStyle name="20% - Accent2 6 6 2 2 3" xfId="26571" xr:uid="{00000000-0005-0000-0000-00004D0A0000}"/>
    <cellStyle name="20% - Accent2 6 6 2 3" xfId="12268" xr:uid="{00000000-0005-0000-0000-00004E0A0000}"/>
    <cellStyle name="20% - Accent2 6 6 2 3 2" xfId="29939" xr:uid="{00000000-0005-0000-0000-00004F0A0000}"/>
    <cellStyle name="20% - Accent2 6 6 2 4" xfId="23706" xr:uid="{00000000-0005-0000-0000-0000500A0000}"/>
    <cellStyle name="20% - Accent2 6 6 3" xfId="5566" xr:uid="{00000000-0005-0000-0000-0000510A0000}"/>
    <cellStyle name="20% - Accent2 6 6 3 2" xfId="8866" xr:uid="{00000000-0005-0000-0000-0000520A0000}"/>
    <cellStyle name="20% - Accent2 6 6 3 2 2" xfId="16661" xr:uid="{00000000-0005-0000-0000-0000530A0000}"/>
    <cellStyle name="20% - Accent2 6 6 3 2 2 2" xfId="34297" xr:uid="{00000000-0005-0000-0000-0000540A0000}"/>
    <cellStyle name="20% - Accent2 6 6 3 2 3" xfId="27254" xr:uid="{00000000-0005-0000-0000-0000550A0000}"/>
    <cellStyle name="20% - Accent2 6 6 3 3" xfId="13422" xr:uid="{00000000-0005-0000-0000-0000560A0000}"/>
    <cellStyle name="20% - Accent2 6 6 3 3 2" xfId="31062" xr:uid="{00000000-0005-0000-0000-0000570A0000}"/>
    <cellStyle name="20% - Accent2 6 6 3 4" xfId="24389" xr:uid="{00000000-0005-0000-0000-0000580A0000}"/>
    <cellStyle name="20% - Accent2 6 6 4" xfId="6196" xr:uid="{00000000-0005-0000-0000-0000590A0000}"/>
    <cellStyle name="20% - Accent2 6 6 4 2" xfId="9406" xr:uid="{00000000-0005-0000-0000-00005A0A0000}"/>
    <cellStyle name="20% - Accent2 6 6 4 2 2" xfId="17200" xr:uid="{00000000-0005-0000-0000-00005B0A0000}"/>
    <cellStyle name="20% - Accent2 6 6 4 2 2 2" xfId="34837" xr:uid="{00000000-0005-0000-0000-00005C0A0000}"/>
    <cellStyle name="20% - Accent2 6 6 4 2 3" xfId="27790" xr:uid="{00000000-0005-0000-0000-00005D0A0000}"/>
    <cellStyle name="20% - Accent2 6 6 4 3" xfId="13985" xr:uid="{00000000-0005-0000-0000-00005E0A0000}"/>
    <cellStyle name="20% - Accent2 6 6 4 3 2" xfId="31620" xr:uid="{00000000-0005-0000-0000-00005F0A0000}"/>
    <cellStyle name="20% - Accent2 6 6 4 4" xfId="24926" xr:uid="{00000000-0005-0000-0000-0000600A0000}"/>
    <cellStyle name="20% - Accent2 6 6 5" xfId="6734" xr:uid="{00000000-0005-0000-0000-0000610A0000}"/>
    <cellStyle name="20% - Accent2 6 6 5 2" xfId="9944" xr:uid="{00000000-0005-0000-0000-0000620A0000}"/>
    <cellStyle name="20% - Accent2 6 6 5 2 2" xfId="17737" xr:uid="{00000000-0005-0000-0000-0000630A0000}"/>
    <cellStyle name="20% - Accent2 6 6 5 2 2 2" xfId="35374" xr:uid="{00000000-0005-0000-0000-0000640A0000}"/>
    <cellStyle name="20% - Accent2 6 6 5 2 3" xfId="28327" xr:uid="{00000000-0005-0000-0000-0000650A0000}"/>
    <cellStyle name="20% - Accent2 6 6 5 3" xfId="14522" xr:uid="{00000000-0005-0000-0000-0000660A0000}"/>
    <cellStyle name="20% - Accent2 6 6 5 3 2" xfId="32157" xr:uid="{00000000-0005-0000-0000-0000670A0000}"/>
    <cellStyle name="20% - Accent2 6 6 5 4" xfId="25464" xr:uid="{00000000-0005-0000-0000-0000680A0000}"/>
    <cellStyle name="20% - Accent2 6 6 6" xfId="7568" xr:uid="{00000000-0005-0000-0000-0000690A0000}"/>
    <cellStyle name="20% - Accent2 6 6 6 2" xfId="15365" xr:uid="{00000000-0005-0000-0000-00006A0A0000}"/>
    <cellStyle name="20% - Accent2 6 6 6 2 2" xfId="33000" xr:uid="{00000000-0005-0000-0000-00006B0A0000}"/>
    <cellStyle name="20% - Accent2 6 6 6 3" xfId="26001" xr:uid="{00000000-0005-0000-0000-00006C0A0000}"/>
    <cellStyle name="20% - Accent2 6 6 7" xfId="11136" xr:uid="{00000000-0005-0000-0000-00006D0A0000}"/>
    <cellStyle name="20% - Accent2 6 6 7 2" xfId="28864" xr:uid="{00000000-0005-0000-0000-00006E0A0000}"/>
    <cellStyle name="20% - Accent2 6 6 8" xfId="23136" xr:uid="{00000000-0005-0000-0000-00006F0A0000}"/>
    <cellStyle name="20% - Accent2 6 6 9" xfId="51690" xr:uid="{00000000-0005-0000-0000-0000700A0000}"/>
    <cellStyle name="20% - Accent2 6 7" xfId="307" xr:uid="{00000000-0005-0000-0000-0000710A0000}"/>
    <cellStyle name="20% - Accent2 6 7 10" xfId="51691" xr:uid="{00000000-0005-0000-0000-0000720A0000}"/>
    <cellStyle name="20% - Accent2 6 7 2" xfId="308" xr:uid="{00000000-0005-0000-0000-0000730A0000}"/>
    <cellStyle name="20% - Accent2 6 7 2 2" xfId="8159" xr:uid="{00000000-0005-0000-0000-0000740A0000}"/>
    <cellStyle name="20% - Accent2 6 7 2 2 2" xfId="15955" xr:uid="{00000000-0005-0000-0000-0000750A0000}"/>
    <cellStyle name="20% - Accent2 6 7 2 2 2 2" xfId="33590" xr:uid="{00000000-0005-0000-0000-0000760A0000}"/>
    <cellStyle name="20% - Accent2 6 7 2 2 3" xfId="26573" xr:uid="{00000000-0005-0000-0000-0000770A0000}"/>
    <cellStyle name="20% - Accent2 6 7 2 3" xfId="12270" xr:uid="{00000000-0005-0000-0000-0000780A0000}"/>
    <cellStyle name="20% - Accent2 6 7 2 3 2" xfId="29941" xr:uid="{00000000-0005-0000-0000-0000790A0000}"/>
    <cellStyle name="20% - Accent2 6 7 2 4" xfId="23708" xr:uid="{00000000-0005-0000-0000-00007A0A0000}"/>
    <cellStyle name="20% - Accent2 6 7 3" xfId="3538" xr:uid="{00000000-0005-0000-0000-00007B0A0000}"/>
    <cellStyle name="20% - Accent2 6 7 3 2" xfId="8158" xr:uid="{00000000-0005-0000-0000-00007C0A0000}"/>
    <cellStyle name="20% - Accent2 6 7 3 2 2" xfId="15954" xr:uid="{00000000-0005-0000-0000-00007D0A0000}"/>
    <cellStyle name="20% - Accent2 6 7 3 2 2 2" xfId="33589" xr:uid="{00000000-0005-0000-0000-00007E0A0000}"/>
    <cellStyle name="20% - Accent2 6 7 3 2 3" xfId="26572" xr:uid="{00000000-0005-0000-0000-00007F0A0000}"/>
    <cellStyle name="20% - Accent2 6 7 3 3" xfId="12269" xr:uid="{00000000-0005-0000-0000-0000800A0000}"/>
    <cellStyle name="20% - Accent2 6 7 3 3 2" xfId="29940" xr:uid="{00000000-0005-0000-0000-0000810A0000}"/>
    <cellStyle name="20% - Accent2 6 7 3 4" xfId="23707" xr:uid="{00000000-0005-0000-0000-0000820A0000}"/>
    <cellStyle name="20% - Accent2 6 7 4" xfId="5567" xr:uid="{00000000-0005-0000-0000-0000830A0000}"/>
    <cellStyle name="20% - Accent2 6 7 4 2" xfId="8867" xr:uid="{00000000-0005-0000-0000-0000840A0000}"/>
    <cellStyle name="20% - Accent2 6 7 4 2 2" xfId="16662" xr:uid="{00000000-0005-0000-0000-0000850A0000}"/>
    <cellStyle name="20% - Accent2 6 7 4 2 2 2" xfId="34298" xr:uid="{00000000-0005-0000-0000-0000860A0000}"/>
    <cellStyle name="20% - Accent2 6 7 4 2 3" xfId="27255" xr:uid="{00000000-0005-0000-0000-0000870A0000}"/>
    <cellStyle name="20% - Accent2 6 7 4 3" xfId="13423" xr:uid="{00000000-0005-0000-0000-0000880A0000}"/>
    <cellStyle name="20% - Accent2 6 7 4 3 2" xfId="31063" xr:uid="{00000000-0005-0000-0000-0000890A0000}"/>
    <cellStyle name="20% - Accent2 6 7 4 4" xfId="24390" xr:uid="{00000000-0005-0000-0000-00008A0A0000}"/>
    <cellStyle name="20% - Accent2 6 7 5" xfId="6197" xr:uid="{00000000-0005-0000-0000-00008B0A0000}"/>
    <cellStyle name="20% - Accent2 6 7 5 2" xfId="9407" xr:uid="{00000000-0005-0000-0000-00008C0A0000}"/>
    <cellStyle name="20% - Accent2 6 7 5 2 2" xfId="17201" xr:uid="{00000000-0005-0000-0000-00008D0A0000}"/>
    <cellStyle name="20% - Accent2 6 7 5 2 2 2" xfId="34838" xr:uid="{00000000-0005-0000-0000-00008E0A0000}"/>
    <cellStyle name="20% - Accent2 6 7 5 2 3" xfId="27791" xr:uid="{00000000-0005-0000-0000-00008F0A0000}"/>
    <cellStyle name="20% - Accent2 6 7 5 3" xfId="13986" xr:uid="{00000000-0005-0000-0000-0000900A0000}"/>
    <cellStyle name="20% - Accent2 6 7 5 3 2" xfId="31621" xr:uid="{00000000-0005-0000-0000-0000910A0000}"/>
    <cellStyle name="20% - Accent2 6 7 5 4" xfId="24927" xr:uid="{00000000-0005-0000-0000-0000920A0000}"/>
    <cellStyle name="20% - Accent2 6 7 6" xfId="6735" xr:uid="{00000000-0005-0000-0000-0000930A0000}"/>
    <cellStyle name="20% - Accent2 6 7 6 2" xfId="9945" xr:uid="{00000000-0005-0000-0000-0000940A0000}"/>
    <cellStyle name="20% - Accent2 6 7 6 2 2" xfId="17738" xr:uid="{00000000-0005-0000-0000-0000950A0000}"/>
    <cellStyle name="20% - Accent2 6 7 6 2 2 2" xfId="35375" xr:uid="{00000000-0005-0000-0000-0000960A0000}"/>
    <cellStyle name="20% - Accent2 6 7 6 2 3" xfId="28328" xr:uid="{00000000-0005-0000-0000-0000970A0000}"/>
    <cellStyle name="20% - Accent2 6 7 6 3" xfId="14523" xr:uid="{00000000-0005-0000-0000-0000980A0000}"/>
    <cellStyle name="20% - Accent2 6 7 6 3 2" xfId="32158" xr:uid="{00000000-0005-0000-0000-0000990A0000}"/>
    <cellStyle name="20% - Accent2 6 7 6 4" xfId="25465" xr:uid="{00000000-0005-0000-0000-00009A0A0000}"/>
    <cellStyle name="20% - Accent2 6 7 7" xfId="7569" xr:uid="{00000000-0005-0000-0000-00009B0A0000}"/>
    <cellStyle name="20% - Accent2 6 7 7 2" xfId="15366" xr:uid="{00000000-0005-0000-0000-00009C0A0000}"/>
    <cellStyle name="20% - Accent2 6 7 7 2 2" xfId="33001" xr:uid="{00000000-0005-0000-0000-00009D0A0000}"/>
    <cellStyle name="20% - Accent2 6 7 7 3" xfId="26002" xr:uid="{00000000-0005-0000-0000-00009E0A0000}"/>
    <cellStyle name="20% - Accent2 6 7 8" xfId="11137" xr:uid="{00000000-0005-0000-0000-00009F0A0000}"/>
    <cellStyle name="20% - Accent2 6 7 8 2" xfId="28865" xr:uid="{00000000-0005-0000-0000-0000A00A0000}"/>
    <cellStyle name="20% - Accent2 6 7 9" xfId="23137" xr:uid="{00000000-0005-0000-0000-0000A10A0000}"/>
    <cellStyle name="20% - Accent2 6 8" xfId="3539" xr:uid="{00000000-0005-0000-0000-0000A20A0000}"/>
    <cellStyle name="20% - Accent2 6 8 2" xfId="8160" xr:uid="{00000000-0005-0000-0000-0000A30A0000}"/>
    <cellStyle name="20% - Accent2 6 8 2 2" xfId="15956" xr:uid="{00000000-0005-0000-0000-0000A40A0000}"/>
    <cellStyle name="20% - Accent2 6 8 2 2 2" xfId="33591" xr:uid="{00000000-0005-0000-0000-0000A50A0000}"/>
    <cellStyle name="20% - Accent2 6 8 2 3" xfId="26574" xr:uid="{00000000-0005-0000-0000-0000A60A0000}"/>
    <cellStyle name="20% - Accent2 6 8 3" xfId="12271" xr:uid="{00000000-0005-0000-0000-0000A70A0000}"/>
    <cellStyle name="20% - Accent2 6 8 3 2" xfId="29942" xr:uid="{00000000-0005-0000-0000-0000A80A0000}"/>
    <cellStyle name="20% - Accent2 6 8 4" xfId="23709" xr:uid="{00000000-0005-0000-0000-0000A90A0000}"/>
    <cellStyle name="20% - Accent2 6 9" xfId="3540" xr:uid="{00000000-0005-0000-0000-0000AA0A0000}"/>
    <cellStyle name="20% - Accent2 6 9 2" xfId="8161" xr:uid="{00000000-0005-0000-0000-0000AB0A0000}"/>
    <cellStyle name="20% - Accent2 6 9 2 2" xfId="15957" xr:uid="{00000000-0005-0000-0000-0000AC0A0000}"/>
    <cellStyle name="20% - Accent2 6 9 2 2 2" xfId="33592" xr:uid="{00000000-0005-0000-0000-0000AD0A0000}"/>
    <cellStyle name="20% - Accent2 6 9 2 3" xfId="26575" xr:uid="{00000000-0005-0000-0000-0000AE0A0000}"/>
    <cellStyle name="20% - Accent2 6 9 3" xfId="12272" xr:uid="{00000000-0005-0000-0000-0000AF0A0000}"/>
    <cellStyle name="20% - Accent2 6 9 3 2" xfId="29943" xr:uid="{00000000-0005-0000-0000-0000B00A0000}"/>
    <cellStyle name="20% - Accent2 6 9 4" xfId="23710" xr:uid="{00000000-0005-0000-0000-0000B10A0000}"/>
    <cellStyle name="20% - Accent2 7" xfId="309" xr:uid="{00000000-0005-0000-0000-0000B20A0000}"/>
    <cellStyle name="20% - Accent2 7 10" xfId="3541" xr:uid="{00000000-0005-0000-0000-0000B30A0000}"/>
    <cellStyle name="20% - Accent2 7 10 2" xfId="8162" xr:uid="{00000000-0005-0000-0000-0000B40A0000}"/>
    <cellStyle name="20% - Accent2 7 10 2 2" xfId="15958" xr:uid="{00000000-0005-0000-0000-0000B50A0000}"/>
    <cellStyle name="20% - Accent2 7 10 2 2 2" xfId="33593" xr:uid="{00000000-0005-0000-0000-0000B60A0000}"/>
    <cellStyle name="20% - Accent2 7 10 2 3" xfId="26576" xr:uid="{00000000-0005-0000-0000-0000B70A0000}"/>
    <cellStyle name="20% - Accent2 7 10 3" xfId="12273" xr:uid="{00000000-0005-0000-0000-0000B80A0000}"/>
    <cellStyle name="20% - Accent2 7 10 3 2" xfId="29944" xr:uid="{00000000-0005-0000-0000-0000B90A0000}"/>
    <cellStyle name="20% - Accent2 7 10 4" xfId="23711" xr:uid="{00000000-0005-0000-0000-0000BA0A0000}"/>
    <cellStyle name="20% - Accent2 7 11" xfId="5568" xr:uid="{00000000-0005-0000-0000-0000BB0A0000}"/>
    <cellStyle name="20% - Accent2 7 11 2" xfId="8868" xr:uid="{00000000-0005-0000-0000-0000BC0A0000}"/>
    <cellStyle name="20% - Accent2 7 11 2 2" xfId="16663" xr:uid="{00000000-0005-0000-0000-0000BD0A0000}"/>
    <cellStyle name="20% - Accent2 7 11 2 2 2" xfId="34299" xr:uid="{00000000-0005-0000-0000-0000BE0A0000}"/>
    <cellStyle name="20% - Accent2 7 11 2 3" xfId="27256" xr:uid="{00000000-0005-0000-0000-0000BF0A0000}"/>
    <cellStyle name="20% - Accent2 7 11 3" xfId="13424" xr:uid="{00000000-0005-0000-0000-0000C00A0000}"/>
    <cellStyle name="20% - Accent2 7 11 3 2" xfId="31064" xr:uid="{00000000-0005-0000-0000-0000C10A0000}"/>
    <cellStyle name="20% - Accent2 7 11 4" xfId="24391" xr:uid="{00000000-0005-0000-0000-0000C20A0000}"/>
    <cellStyle name="20% - Accent2 7 12" xfId="6198" xr:uid="{00000000-0005-0000-0000-0000C30A0000}"/>
    <cellStyle name="20% - Accent2 7 12 2" xfId="9408" xr:uid="{00000000-0005-0000-0000-0000C40A0000}"/>
    <cellStyle name="20% - Accent2 7 12 2 2" xfId="17202" xr:uid="{00000000-0005-0000-0000-0000C50A0000}"/>
    <cellStyle name="20% - Accent2 7 12 2 2 2" xfId="34839" xr:uid="{00000000-0005-0000-0000-0000C60A0000}"/>
    <cellStyle name="20% - Accent2 7 12 2 3" xfId="27792" xr:uid="{00000000-0005-0000-0000-0000C70A0000}"/>
    <cellStyle name="20% - Accent2 7 12 3" xfId="13987" xr:uid="{00000000-0005-0000-0000-0000C80A0000}"/>
    <cellStyle name="20% - Accent2 7 12 3 2" xfId="31622" xr:uid="{00000000-0005-0000-0000-0000C90A0000}"/>
    <cellStyle name="20% - Accent2 7 12 4" xfId="24928" xr:uid="{00000000-0005-0000-0000-0000CA0A0000}"/>
    <cellStyle name="20% - Accent2 7 13" xfId="6736" xr:uid="{00000000-0005-0000-0000-0000CB0A0000}"/>
    <cellStyle name="20% - Accent2 7 13 2" xfId="9946" xr:uid="{00000000-0005-0000-0000-0000CC0A0000}"/>
    <cellStyle name="20% - Accent2 7 13 2 2" xfId="17739" xr:uid="{00000000-0005-0000-0000-0000CD0A0000}"/>
    <cellStyle name="20% - Accent2 7 13 2 2 2" xfId="35376" xr:uid="{00000000-0005-0000-0000-0000CE0A0000}"/>
    <cellStyle name="20% - Accent2 7 13 2 3" xfId="28329" xr:uid="{00000000-0005-0000-0000-0000CF0A0000}"/>
    <cellStyle name="20% - Accent2 7 13 3" xfId="14524" xr:uid="{00000000-0005-0000-0000-0000D00A0000}"/>
    <cellStyle name="20% - Accent2 7 13 3 2" xfId="32159" xr:uid="{00000000-0005-0000-0000-0000D10A0000}"/>
    <cellStyle name="20% - Accent2 7 13 4" xfId="25466" xr:uid="{00000000-0005-0000-0000-0000D20A0000}"/>
    <cellStyle name="20% - Accent2 7 14" xfId="7570" xr:uid="{00000000-0005-0000-0000-0000D30A0000}"/>
    <cellStyle name="20% - Accent2 7 14 2" xfId="15367" xr:uid="{00000000-0005-0000-0000-0000D40A0000}"/>
    <cellStyle name="20% - Accent2 7 14 2 2" xfId="33002" xr:uid="{00000000-0005-0000-0000-0000D50A0000}"/>
    <cellStyle name="20% - Accent2 7 14 3" xfId="26003" xr:uid="{00000000-0005-0000-0000-0000D60A0000}"/>
    <cellStyle name="20% - Accent2 7 15" xfId="11138" xr:uid="{00000000-0005-0000-0000-0000D70A0000}"/>
    <cellStyle name="20% - Accent2 7 15 2" xfId="28866" xr:uid="{00000000-0005-0000-0000-0000D80A0000}"/>
    <cellStyle name="20% - Accent2 7 16" xfId="22046" xr:uid="{00000000-0005-0000-0000-0000D90A0000}"/>
    <cellStyle name="20% - Accent2 7 16 2" xfId="38760" xr:uid="{00000000-0005-0000-0000-0000DA0A0000}"/>
    <cellStyle name="20% - Accent2 7 17" xfId="23138" xr:uid="{00000000-0005-0000-0000-0000DB0A0000}"/>
    <cellStyle name="20% - Accent2 7 18" xfId="51692" xr:uid="{00000000-0005-0000-0000-0000DC0A0000}"/>
    <cellStyle name="20% - Accent2 7 2" xfId="310" xr:uid="{00000000-0005-0000-0000-0000DD0A0000}"/>
    <cellStyle name="20% - Accent2 7 2 10" xfId="51693" xr:uid="{00000000-0005-0000-0000-0000DE0A0000}"/>
    <cellStyle name="20% - Accent2 7 2 2" xfId="3542" xr:uid="{00000000-0005-0000-0000-0000DF0A0000}"/>
    <cellStyle name="20% - Accent2 7 2 2 2" xfId="8163" xr:uid="{00000000-0005-0000-0000-0000E00A0000}"/>
    <cellStyle name="20% - Accent2 7 2 2 2 2" xfId="15959" xr:uid="{00000000-0005-0000-0000-0000E10A0000}"/>
    <cellStyle name="20% - Accent2 7 2 2 2 2 2" xfId="33594" xr:uid="{00000000-0005-0000-0000-0000E20A0000}"/>
    <cellStyle name="20% - Accent2 7 2 2 2 3" xfId="26577" xr:uid="{00000000-0005-0000-0000-0000E30A0000}"/>
    <cellStyle name="20% - Accent2 7 2 2 3" xfId="12274" xr:uid="{00000000-0005-0000-0000-0000E40A0000}"/>
    <cellStyle name="20% - Accent2 7 2 2 3 2" xfId="29945" xr:uid="{00000000-0005-0000-0000-0000E50A0000}"/>
    <cellStyle name="20% - Accent2 7 2 2 4" xfId="23712" xr:uid="{00000000-0005-0000-0000-0000E60A0000}"/>
    <cellStyle name="20% - Accent2 7 2 3" xfId="5569" xr:uid="{00000000-0005-0000-0000-0000E70A0000}"/>
    <cellStyle name="20% - Accent2 7 2 3 2" xfId="8869" xr:uid="{00000000-0005-0000-0000-0000E80A0000}"/>
    <cellStyle name="20% - Accent2 7 2 3 2 2" xfId="16664" xr:uid="{00000000-0005-0000-0000-0000E90A0000}"/>
    <cellStyle name="20% - Accent2 7 2 3 2 2 2" xfId="34300" xr:uid="{00000000-0005-0000-0000-0000EA0A0000}"/>
    <cellStyle name="20% - Accent2 7 2 3 2 3" xfId="27257" xr:uid="{00000000-0005-0000-0000-0000EB0A0000}"/>
    <cellStyle name="20% - Accent2 7 2 3 3" xfId="13425" xr:uid="{00000000-0005-0000-0000-0000EC0A0000}"/>
    <cellStyle name="20% - Accent2 7 2 3 3 2" xfId="31065" xr:uid="{00000000-0005-0000-0000-0000ED0A0000}"/>
    <cellStyle name="20% - Accent2 7 2 3 4" xfId="24392" xr:uid="{00000000-0005-0000-0000-0000EE0A0000}"/>
    <cellStyle name="20% - Accent2 7 2 4" xfId="6199" xr:uid="{00000000-0005-0000-0000-0000EF0A0000}"/>
    <cellStyle name="20% - Accent2 7 2 4 2" xfId="9409" xr:uid="{00000000-0005-0000-0000-0000F00A0000}"/>
    <cellStyle name="20% - Accent2 7 2 4 2 2" xfId="17203" xr:uid="{00000000-0005-0000-0000-0000F10A0000}"/>
    <cellStyle name="20% - Accent2 7 2 4 2 2 2" xfId="34840" xr:uid="{00000000-0005-0000-0000-0000F20A0000}"/>
    <cellStyle name="20% - Accent2 7 2 4 2 3" xfId="27793" xr:uid="{00000000-0005-0000-0000-0000F30A0000}"/>
    <cellStyle name="20% - Accent2 7 2 4 3" xfId="13988" xr:uid="{00000000-0005-0000-0000-0000F40A0000}"/>
    <cellStyle name="20% - Accent2 7 2 4 3 2" xfId="31623" xr:uid="{00000000-0005-0000-0000-0000F50A0000}"/>
    <cellStyle name="20% - Accent2 7 2 4 4" xfId="24929" xr:uid="{00000000-0005-0000-0000-0000F60A0000}"/>
    <cellStyle name="20% - Accent2 7 2 5" xfId="6737" xr:uid="{00000000-0005-0000-0000-0000F70A0000}"/>
    <cellStyle name="20% - Accent2 7 2 5 2" xfId="9947" xr:uid="{00000000-0005-0000-0000-0000F80A0000}"/>
    <cellStyle name="20% - Accent2 7 2 5 2 2" xfId="17740" xr:uid="{00000000-0005-0000-0000-0000F90A0000}"/>
    <cellStyle name="20% - Accent2 7 2 5 2 2 2" xfId="35377" xr:uid="{00000000-0005-0000-0000-0000FA0A0000}"/>
    <cellStyle name="20% - Accent2 7 2 5 2 3" xfId="28330" xr:uid="{00000000-0005-0000-0000-0000FB0A0000}"/>
    <cellStyle name="20% - Accent2 7 2 5 3" xfId="14525" xr:uid="{00000000-0005-0000-0000-0000FC0A0000}"/>
    <cellStyle name="20% - Accent2 7 2 5 3 2" xfId="32160" xr:uid="{00000000-0005-0000-0000-0000FD0A0000}"/>
    <cellStyle name="20% - Accent2 7 2 5 4" xfId="25467" xr:uid="{00000000-0005-0000-0000-0000FE0A0000}"/>
    <cellStyle name="20% - Accent2 7 2 6" xfId="7571" xr:uid="{00000000-0005-0000-0000-0000FF0A0000}"/>
    <cellStyle name="20% - Accent2 7 2 6 2" xfId="15368" xr:uid="{00000000-0005-0000-0000-0000000B0000}"/>
    <cellStyle name="20% - Accent2 7 2 6 2 2" xfId="33003" xr:uid="{00000000-0005-0000-0000-0000010B0000}"/>
    <cellStyle name="20% - Accent2 7 2 6 3" xfId="26004" xr:uid="{00000000-0005-0000-0000-0000020B0000}"/>
    <cellStyle name="20% - Accent2 7 2 7" xfId="11139" xr:uid="{00000000-0005-0000-0000-0000030B0000}"/>
    <cellStyle name="20% - Accent2 7 2 7 2" xfId="28867" xr:uid="{00000000-0005-0000-0000-0000040B0000}"/>
    <cellStyle name="20% - Accent2 7 2 8" xfId="22714" xr:uid="{00000000-0005-0000-0000-0000050B0000}"/>
    <cellStyle name="20% - Accent2 7 2 8 2" xfId="38924" xr:uid="{00000000-0005-0000-0000-0000060B0000}"/>
    <cellStyle name="20% - Accent2 7 2 9" xfId="23139" xr:uid="{00000000-0005-0000-0000-0000070B0000}"/>
    <cellStyle name="20% - Accent2 7 3" xfId="311" xr:uid="{00000000-0005-0000-0000-0000080B0000}"/>
    <cellStyle name="20% - Accent2 7 3 10" xfId="23140" xr:uid="{00000000-0005-0000-0000-0000090B0000}"/>
    <cellStyle name="20% - Accent2 7 3 11" xfId="51694" xr:uid="{00000000-0005-0000-0000-00000A0B0000}"/>
    <cellStyle name="20% - Accent2 7 3 2" xfId="312" xr:uid="{00000000-0005-0000-0000-00000B0B0000}"/>
    <cellStyle name="20% - Accent2 7 3 2 2" xfId="3544" xr:uid="{00000000-0005-0000-0000-00000C0B0000}"/>
    <cellStyle name="20% - Accent2 7 3 2 2 2" xfId="8165" xr:uid="{00000000-0005-0000-0000-00000D0B0000}"/>
    <cellStyle name="20% - Accent2 7 3 2 2 2 2" xfId="15961" xr:uid="{00000000-0005-0000-0000-00000E0B0000}"/>
    <cellStyle name="20% - Accent2 7 3 2 2 2 2 2" xfId="33596" xr:uid="{00000000-0005-0000-0000-00000F0B0000}"/>
    <cellStyle name="20% - Accent2 7 3 2 2 2 3" xfId="26579" xr:uid="{00000000-0005-0000-0000-0000100B0000}"/>
    <cellStyle name="20% - Accent2 7 3 2 2 3" xfId="12276" xr:uid="{00000000-0005-0000-0000-0000110B0000}"/>
    <cellStyle name="20% - Accent2 7 3 2 2 3 2" xfId="29947" xr:uid="{00000000-0005-0000-0000-0000120B0000}"/>
    <cellStyle name="20% - Accent2 7 3 2 2 4" xfId="23714" xr:uid="{00000000-0005-0000-0000-0000130B0000}"/>
    <cellStyle name="20% - Accent2 7 3 2 3" xfId="5571" xr:uid="{00000000-0005-0000-0000-0000140B0000}"/>
    <cellStyle name="20% - Accent2 7 3 2 3 2" xfId="8871" xr:uid="{00000000-0005-0000-0000-0000150B0000}"/>
    <cellStyle name="20% - Accent2 7 3 2 3 2 2" xfId="16666" xr:uid="{00000000-0005-0000-0000-0000160B0000}"/>
    <cellStyle name="20% - Accent2 7 3 2 3 2 2 2" xfId="34302" xr:uid="{00000000-0005-0000-0000-0000170B0000}"/>
    <cellStyle name="20% - Accent2 7 3 2 3 2 3" xfId="27259" xr:uid="{00000000-0005-0000-0000-0000180B0000}"/>
    <cellStyle name="20% - Accent2 7 3 2 3 3" xfId="13427" xr:uid="{00000000-0005-0000-0000-0000190B0000}"/>
    <cellStyle name="20% - Accent2 7 3 2 3 3 2" xfId="31067" xr:uid="{00000000-0005-0000-0000-00001A0B0000}"/>
    <cellStyle name="20% - Accent2 7 3 2 3 4" xfId="24394" xr:uid="{00000000-0005-0000-0000-00001B0B0000}"/>
    <cellStyle name="20% - Accent2 7 3 2 4" xfId="6201" xr:uid="{00000000-0005-0000-0000-00001C0B0000}"/>
    <cellStyle name="20% - Accent2 7 3 2 4 2" xfId="9411" xr:uid="{00000000-0005-0000-0000-00001D0B0000}"/>
    <cellStyle name="20% - Accent2 7 3 2 4 2 2" xfId="17205" xr:uid="{00000000-0005-0000-0000-00001E0B0000}"/>
    <cellStyle name="20% - Accent2 7 3 2 4 2 2 2" xfId="34842" xr:uid="{00000000-0005-0000-0000-00001F0B0000}"/>
    <cellStyle name="20% - Accent2 7 3 2 4 2 3" xfId="27795" xr:uid="{00000000-0005-0000-0000-0000200B0000}"/>
    <cellStyle name="20% - Accent2 7 3 2 4 3" xfId="13990" xr:uid="{00000000-0005-0000-0000-0000210B0000}"/>
    <cellStyle name="20% - Accent2 7 3 2 4 3 2" xfId="31625" xr:uid="{00000000-0005-0000-0000-0000220B0000}"/>
    <cellStyle name="20% - Accent2 7 3 2 4 4" xfId="24931" xr:uid="{00000000-0005-0000-0000-0000230B0000}"/>
    <cellStyle name="20% - Accent2 7 3 2 5" xfId="6739" xr:uid="{00000000-0005-0000-0000-0000240B0000}"/>
    <cellStyle name="20% - Accent2 7 3 2 5 2" xfId="9949" xr:uid="{00000000-0005-0000-0000-0000250B0000}"/>
    <cellStyle name="20% - Accent2 7 3 2 5 2 2" xfId="17742" xr:uid="{00000000-0005-0000-0000-0000260B0000}"/>
    <cellStyle name="20% - Accent2 7 3 2 5 2 2 2" xfId="35379" xr:uid="{00000000-0005-0000-0000-0000270B0000}"/>
    <cellStyle name="20% - Accent2 7 3 2 5 2 3" xfId="28332" xr:uid="{00000000-0005-0000-0000-0000280B0000}"/>
    <cellStyle name="20% - Accent2 7 3 2 5 3" xfId="14527" xr:uid="{00000000-0005-0000-0000-0000290B0000}"/>
    <cellStyle name="20% - Accent2 7 3 2 5 3 2" xfId="32162" xr:uid="{00000000-0005-0000-0000-00002A0B0000}"/>
    <cellStyle name="20% - Accent2 7 3 2 5 4" xfId="25469" xr:uid="{00000000-0005-0000-0000-00002B0B0000}"/>
    <cellStyle name="20% - Accent2 7 3 2 6" xfId="7573" xr:uid="{00000000-0005-0000-0000-00002C0B0000}"/>
    <cellStyle name="20% - Accent2 7 3 2 6 2" xfId="15370" xr:uid="{00000000-0005-0000-0000-00002D0B0000}"/>
    <cellStyle name="20% - Accent2 7 3 2 6 2 2" xfId="33005" xr:uid="{00000000-0005-0000-0000-00002E0B0000}"/>
    <cellStyle name="20% - Accent2 7 3 2 6 3" xfId="26006" xr:uid="{00000000-0005-0000-0000-00002F0B0000}"/>
    <cellStyle name="20% - Accent2 7 3 2 7" xfId="11141" xr:uid="{00000000-0005-0000-0000-0000300B0000}"/>
    <cellStyle name="20% - Accent2 7 3 2 7 2" xfId="28869" xr:uid="{00000000-0005-0000-0000-0000310B0000}"/>
    <cellStyle name="20% - Accent2 7 3 2 8" xfId="23141" xr:uid="{00000000-0005-0000-0000-0000320B0000}"/>
    <cellStyle name="20% - Accent2 7 3 2 9" xfId="51695" xr:uid="{00000000-0005-0000-0000-0000330B0000}"/>
    <cellStyle name="20% - Accent2 7 3 3" xfId="3545" xr:uid="{00000000-0005-0000-0000-0000340B0000}"/>
    <cellStyle name="20% - Accent2 7 3 3 2" xfId="5572" xr:uid="{00000000-0005-0000-0000-0000350B0000}"/>
    <cellStyle name="20% - Accent2 7 3 3 2 2" xfId="8872" xr:uid="{00000000-0005-0000-0000-0000360B0000}"/>
    <cellStyle name="20% - Accent2 7 3 3 2 2 2" xfId="16667" xr:uid="{00000000-0005-0000-0000-0000370B0000}"/>
    <cellStyle name="20% - Accent2 7 3 3 2 2 2 2" xfId="34303" xr:uid="{00000000-0005-0000-0000-0000380B0000}"/>
    <cellStyle name="20% - Accent2 7 3 3 2 2 3" xfId="27260" xr:uid="{00000000-0005-0000-0000-0000390B0000}"/>
    <cellStyle name="20% - Accent2 7 3 3 2 3" xfId="13428" xr:uid="{00000000-0005-0000-0000-00003A0B0000}"/>
    <cellStyle name="20% - Accent2 7 3 3 2 3 2" xfId="31068" xr:uid="{00000000-0005-0000-0000-00003B0B0000}"/>
    <cellStyle name="20% - Accent2 7 3 3 2 4" xfId="24395" xr:uid="{00000000-0005-0000-0000-00003C0B0000}"/>
    <cellStyle name="20% - Accent2 7 3 3 3" xfId="6202" xr:uid="{00000000-0005-0000-0000-00003D0B0000}"/>
    <cellStyle name="20% - Accent2 7 3 3 3 2" xfId="9412" xr:uid="{00000000-0005-0000-0000-00003E0B0000}"/>
    <cellStyle name="20% - Accent2 7 3 3 3 2 2" xfId="17206" xr:uid="{00000000-0005-0000-0000-00003F0B0000}"/>
    <cellStyle name="20% - Accent2 7 3 3 3 2 2 2" xfId="34843" xr:uid="{00000000-0005-0000-0000-0000400B0000}"/>
    <cellStyle name="20% - Accent2 7 3 3 3 2 3" xfId="27796" xr:uid="{00000000-0005-0000-0000-0000410B0000}"/>
    <cellStyle name="20% - Accent2 7 3 3 3 3" xfId="13991" xr:uid="{00000000-0005-0000-0000-0000420B0000}"/>
    <cellStyle name="20% - Accent2 7 3 3 3 3 2" xfId="31626" xr:uid="{00000000-0005-0000-0000-0000430B0000}"/>
    <cellStyle name="20% - Accent2 7 3 3 3 4" xfId="24932" xr:uid="{00000000-0005-0000-0000-0000440B0000}"/>
    <cellStyle name="20% - Accent2 7 3 3 4" xfId="6740" xr:uid="{00000000-0005-0000-0000-0000450B0000}"/>
    <cellStyle name="20% - Accent2 7 3 3 4 2" xfId="9950" xr:uid="{00000000-0005-0000-0000-0000460B0000}"/>
    <cellStyle name="20% - Accent2 7 3 3 4 2 2" xfId="17743" xr:uid="{00000000-0005-0000-0000-0000470B0000}"/>
    <cellStyle name="20% - Accent2 7 3 3 4 2 2 2" xfId="35380" xr:uid="{00000000-0005-0000-0000-0000480B0000}"/>
    <cellStyle name="20% - Accent2 7 3 3 4 2 3" xfId="28333" xr:uid="{00000000-0005-0000-0000-0000490B0000}"/>
    <cellStyle name="20% - Accent2 7 3 3 4 3" xfId="14528" xr:uid="{00000000-0005-0000-0000-00004A0B0000}"/>
    <cellStyle name="20% - Accent2 7 3 3 4 3 2" xfId="32163" xr:uid="{00000000-0005-0000-0000-00004B0B0000}"/>
    <cellStyle name="20% - Accent2 7 3 3 4 4" xfId="25470" xr:uid="{00000000-0005-0000-0000-00004C0B0000}"/>
    <cellStyle name="20% - Accent2 7 3 3 5" xfId="8166" xr:uid="{00000000-0005-0000-0000-00004D0B0000}"/>
    <cellStyle name="20% - Accent2 7 3 3 5 2" xfId="15962" xr:uid="{00000000-0005-0000-0000-00004E0B0000}"/>
    <cellStyle name="20% - Accent2 7 3 3 5 2 2" xfId="33597" xr:uid="{00000000-0005-0000-0000-00004F0B0000}"/>
    <cellStyle name="20% - Accent2 7 3 3 5 3" xfId="26580" xr:uid="{00000000-0005-0000-0000-0000500B0000}"/>
    <cellStyle name="20% - Accent2 7 3 3 6" xfId="12277" xr:uid="{00000000-0005-0000-0000-0000510B0000}"/>
    <cellStyle name="20% - Accent2 7 3 3 6 2" xfId="29948" xr:uid="{00000000-0005-0000-0000-0000520B0000}"/>
    <cellStyle name="20% - Accent2 7 3 3 7" xfId="23715" xr:uid="{00000000-0005-0000-0000-0000530B0000}"/>
    <cellStyle name="20% - Accent2 7 3 4" xfId="3543" xr:uid="{00000000-0005-0000-0000-0000540B0000}"/>
    <cellStyle name="20% - Accent2 7 3 4 2" xfId="8164" xr:uid="{00000000-0005-0000-0000-0000550B0000}"/>
    <cellStyle name="20% - Accent2 7 3 4 2 2" xfId="15960" xr:uid="{00000000-0005-0000-0000-0000560B0000}"/>
    <cellStyle name="20% - Accent2 7 3 4 2 2 2" xfId="33595" xr:uid="{00000000-0005-0000-0000-0000570B0000}"/>
    <cellStyle name="20% - Accent2 7 3 4 2 3" xfId="26578" xr:uid="{00000000-0005-0000-0000-0000580B0000}"/>
    <cellStyle name="20% - Accent2 7 3 4 3" xfId="12275" xr:uid="{00000000-0005-0000-0000-0000590B0000}"/>
    <cellStyle name="20% - Accent2 7 3 4 3 2" xfId="29946" xr:uid="{00000000-0005-0000-0000-00005A0B0000}"/>
    <cellStyle name="20% - Accent2 7 3 4 4" xfId="23713" xr:uid="{00000000-0005-0000-0000-00005B0B0000}"/>
    <cellStyle name="20% - Accent2 7 3 5" xfId="5570" xr:uid="{00000000-0005-0000-0000-00005C0B0000}"/>
    <cellStyle name="20% - Accent2 7 3 5 2" xfId="8870" xr:uid="{00000000-0005-0000-0000-00005D0B0000}"/>
    <cellStyle name="20% - Accent2 7 3 5 2 2" xfId="16665" xr:uid="{00000000-0005-0000-0000-00005E0B0000}"/>
    <cellStyle name="20% - Accent2 7 3 5 2 2 2" xfId="34301" xr:uid="{00000000-0005-0000-0000-00005F0B0000}"/>
    <cellStyle name="20% - Accent2 7 3 5 2 3" xfId="27258" xr:uid="{00000000-0005-0000-0000-0000600B0000}"/>
    <cellStyle name="20% - Accent2 7 3 5 3" xfId="13426" xr:uid="{00000000-0005-0000-0000-0000610B0000}"/>
    <cellStyle name="20% - Accent2 7 3 5 3 2" xfId="31066" xr:uid="{00000000-0005-0000-0000-0000620B0000}"/>
    <cellStyle name="20% - Accent2 7 3 5 4" xfId="24393" xr:uid="{00000000-0005-0000-0000-0000630B0000}"/>
    <cellStyle name="20% - Accent2 7 3 6" xfId="6200" xr:uid="{00000000-0005-0000-0000-0000640B0000}"/>
    <cellStyle name="20% - Accent2 7 3 6 2" xfId="9410" xr:uid="{00000000-0005-0000-0000-0000650B0000}"/>
    <cellStyle name="20% - Accent2 7 3 6 2 2" xfId="17204" xr:uid="{00000000-0005-0000-0000-0000660B0000}"/>
    <cellStyle name="20% - Accent2 7 3 6 2 2 2" xfId="34841" xr:uid="{00000000-0005-0000-0000-0000670B0000}"/>
    <cellStyle name="20% - Accent2 7 3 6 2 3" xfId="27794" xr:uid="{00000000-0005-0000-0000-0000680B0000}"/>
    <cellStyle name="20% - Accent2 7 3 6 3" xfId="13989" xr:uid="{00000000-0005-0000-0000-0000690B0000}"/>
    <cellStyle name="20% - Accent2 7 3 6 3 2" xfId="31624" xr:uid="{00000000-0005-0000-0000-00006A0B0000}"/>
    <cellStyle name="20% - Accent2 7 3 6 4" xfId="24930" xr:uid="{00000000-0005-0000-0000-00006B0B0000}"/>
    <cellStyle name="20% - Accent2 7 3 7" xfId="6738" xr:uid="{00000000-0005-0000-0000-00006C0B0000}"/>
    <cellStyle name="20% - Accent2 7 3 7 2" xfId="9948" xr:uid="{00000000-0005-0000-0000-00006D0B0000}"/>
    <cellStyle name="20% - Accent2 7 3 7 2 2" xfId="17741" xr:uid="{00000000-0005-0000-0000-00006E0B0000}"/>
    <cellStyle name="20% - Accent2 7 3 7 2 2 2" xfId="35378" xr:uid="{00000000-0005-0000-0000-00006F0B0000}"/>
    <cellStyle name="20% - Accent2 7 3 7 2 3" xfId="28331" xr:uid="{00000000-0005-0000-0000-0000700B0000}"/>
    <cellStyle name="20% - Accent2 7 3 7 3" xfId="14526" xr:uid="{00000000-0005-0000-0000-0000710B0000}"/>
    <cellStyle name="20% - Accent2 7 3 7 3 2" xfId="32161" xr:uid="{00000000-0005-0000-0000-0000720B0000}"/>
    <cellStyle name="20% - Accent2 7 3 7 4" xfId="25468" xr:uid="{00000000-0005-0000-0000-0000730B0000}"/>
    <cellStyle name="20% - Accent2 7 3 8" xfId="7572" xr:uid="{00000000-0005-0000-0000-0000740B0000}"/>
    <cellStyle name="20% - Accent2 7 3 8 2" xfId="15369" xr:uid="{00000000-0005-0000-0000-0000750B0000}"/>
    <cellStyle name="20% - Accent2 7 3 8 2 2" xfId="33004" xr:uid="{00000000-0005-0000-0000-0000760B0000}"/>
    <cellStyle name="20% - Accent2 7 3 8 3" xfId="26005" xr:uid="{00000000-0005-0000-0000-0000770B0000}"/>
    <cellStyle name="20% - Accent2 7 3 9" xfId="11140" xr:uid="{00000000-0005-0000-0000-0000780B0000}"/>
    <cellStyle name="20% - Accent2 7 3 9 2" xfId="28868" xr:uid="{00000000-0005-0000-0000-0000790B0000}"/>
    <cellStyle name="20% - Accent2 7 4" xfId="313" xr:uid="{00000000-0005-0000-0000-00007A0B0000}"/>
    <cellStyle name="20% - Accent2 7 4 2" xfId="3546" xr:uid="{00000000-0005-0000-0000-00007B0B0000}"/>
    <cellStyle name="20% - Accent2 7 4 2 2" xfId="8167" xr:uid="{00000000-0005-0000-0000-00007C0B0000}"/>
    <cellStyle name="20% - Accent2 7 4 2 2 2" xfId="15963" xr:uid="{00000000-0005-0000-0000-00007D0B0000}"/>
    <cellStyle name="20% - Accent2 7 4 2 2 2 2" xfId="33598" xr:uid="{00000000-0005-0000-0000-00007E0B0000}"/>
    <cellStyle name="20% - Accent2 7 4 2 2 3" xfId="26581" xr:uid="{00000000-0005-0000-0000-00007F0B0000}"/>
    <cellStyle name="20% - Accent2 7 4 2 3" xfId="12278" xr:uid="{00000000-0005-0000-0000-0000800B0000}"/>
    <cellStyle name="20% - Accent2 7 4 2 3 2" xfId="29949" xr:uid="{00000000-0005-0000-0000-0000810B0000}"/>
    <cellStyle name="20% - Accent2 7 4 2 4" xfId="23716" xr:uid="{00000000-0005-0000-0000-0000820B0000}"/>
    <cellStyle name="20% - Accent2 7 4 3" xfId="5573" xr:uid="{00000000-0005-0000-0000-0000830B0000}"/>
    <cellStyle name="20% - Accent2 7 4 3 2" xfId="8873" xr:uid="{00000000-0005-0000-0000-0000840B0000}"/>
    <cellStyle name="20% - Accent2 7 4 3 2 2" xfId="16668" xr:uid="{00000000-0005-0000-0000-0000850B0000}"/>
    <cellStyle name="20% - Accent2 7 4 3 2 2 2" xfId="34304" xr:uid="{00000000-0005-0000-0000-0000860B0000}"/>
    <cellStyle name="20% - Accent2 7 4 3 2 3" xfId="27261" xr:uid="{00000000-0005-0000-0000-0000870B0000}"/>
    <cellStyle name="20% - Accent2 7 4 3 3" xfId="13429" xr:uid="{00000000-0005-0000-0000-0000880B0000}"/>
    <cellStyle name="20% - Accent2 7 4 3 3 2" xfId="31069" xr:uid="{00000000-0005-0000-0000-0000890B0000}"/>
    <cellStyle name="20% - Accent2 7 4 3 4" xfId="24396" xr:uid="{00000000-0005-0000-0000-00008A0B0000}"/>
    <cellStyle name="20% - Accent2 7 4 4" xfId="6203" xr:uid="{00000000-0005-0000-0000-00008B0B0000}"/>
    <cellStyle name="20% - Accent2 7 4 4 2" xfId="9413" xr:uid="{00000000-0005-0000-0000-00008C0B0000}"/>
    <cellStyle name="20% - Accent2 7 4 4 2 2" xfId="17207" xr:uid="{00000000-0005-0000-0000-00008D0B0000}"/>
    <cellStyle name="20% - Accent2 7 4 4 2 2 2" xfId="34844" xr:uid="{00000000-0005-0000-0000-00008E0B0000}"/>
    <cellStyle name="20% - Accent2 7 4 4 2 3" xfId="27797" xr:uid="{00000000-0005-0000-0000-00008F0B0000}"/>
    <cellStyle name="20% - Accent2 7 4 4 3" xfId="13992" xr:uid="{00000000-0005-0000-0000-0000900B0000}"/>
    <cellStyle name="20% - Accent2 7 4 4 3 2" xfId="31627" xr:uid="{00000000-0005-0000-0000-0000910B0000}"/>
    <cellStyle name="20% - Accent2 7 4 4 4" xfId="24933" xr:uid="{00000000-0005-0000-0000-0000920B0000}"/>
    <cellStyle name="20% - Accent2 7 4 5" xfId="6741" xr:uid="{00000000-0005-0000-0000-0000930B0000}"/>
    <cellStyle name="20% - Accent2 7 4 5 2" xfId="9951" xr:uid="{00000000-0005-0000-0000-0000940B0000}"/>
    <cellStyle name="20% - Accent2 7 4 5 2 2" xfId="17744" xr:uid="{00000000-0005-0000-0000-0000950B0000}"/>
    <cellStyle name="20% - Accent2 7 4 5 2 2 2" xfId="35381" xr:uid="{00000000-0005-0000-0000-0000960B0000}"/>
    <cellStyle name="20% - Accent2 7 4 5 2 3" xfId="28334" xr:uid="{00000000-0005-0000-0000-0000970B0000}"/>
    <cellStyle name="20% - Accent2 7 4 5 3" xfId="14529" xr:uid="{00000000-0005-0000-0000-0000980B0000}"/>
    <cellStyle name="20% - Accent2 7 4 5 3 2" xfId="32164" xr:uid="{00000000-0005-0000-0000-0000990B0000}"/>
    <cellStyle name="20% - Accent2 7 4 5 4" xfId="25471" xr:uid="{00000000-0005-0000-0000-00009A0B0000}"/>
    <cellStyle name="20% - Accent2 7 4 6" xfId="7574" xr:uid="{00000000-0005-0000-0000-00009B0B0000}"/>
    <cellStyle name="20% - Accent2 7 4 6 2" xfId="15371" xr:uid="{00000000-0005-0000-0000-00009C0B0000}"/>
    <cellStyle name="20% - Accent2 7 4 6 2 2" xfId="33006" xr:uid="{00000000-0005-0000-0000-00009D0B0000}"/>
    <cellStyle name="20% - Accent2 7 4 6 3" xfId="26007" xr:uid="{00000000-0005-0000-0000-00009E0B0000}"/>
    <cellStyle name="20% - Accent2 7 4 7" xfId="11142" xr:uid="{00000000-0005-0000-0000-00009F0B0000}"/>
    <cellStyle name="20% - Accent2 7 4 7 2" xfId="28870" xr:uid="{00000000-0005-0000-0000-0000A00B0000}"/>
    <cellStyle name="20% - Accent2 7 4 8" xfId="23142" xr:uid="{00000000-0005-0000-0000-0000A10B0000}"/>
    <cellStyle name="20% - Accent2 7 4 9" xfId="51696" xr:uid="{00000000-0005-0000-0000-0000A20B0000}"/>
    <cellStyle name="20% - Accent2 7 5" xfId="314" xr:uid="{00000000-0005-0000-0000-0000A30B0000}"/>
    <cellStyle name="20% - Accent2 7 5 2" xfId="3547" xr:uid="{00000000-0005-0000-0000-0000A40B0000}"/>
    <cellStyle name="20% - Accent2 7 5 2 2" xfId="8168" xr:uid="{00000000-0005-0000-0000-0000A50B0000}"/>
    <cellStyle name="20% - Accent2 7 5 2 2 2" xfId="15964" xr:uid="{00000000-0005-0000-0000-0000A60B0000}"/>
    <cellStyle name="20% - Accent2 7 5 2 2 2 2" xfId="33599" xr:uid="{00000000-0005-0000-0000-0000A70B0000}"/>
    <cellStyle name="20% - Accent2 7 5 2 2 3" xfId="26582" xr:uid="{00000000-0005-0000-0000-0000A80B0000}"/>
    <cellStyle name="20% - Accent2 7 5 2 3" xfId="12279" xr:uid="{00000000-0005-0000-0000-0000A90B0000}"/>
    <cellStyle name="20% - Accent2 7 5 2 3 2" xfId="29950" xr:uid="{00000000-0005-0000-0000-0000AA0B0000}"/>
    <cellStyle name="20% - Accent2 7 5 2 4" xfId="23717" xr:uid="{00000000-0005-0000-0000-0000AB0B0000}"/>
    <cellStyle name="20% - Accent2 7 5 3" xfId="5574" xr:uid="{00000000-0005-0000-0000-0000AC0B0000}"/>
    <cellStyle name="20% - Accent2 7 5 3 2" xfId="8874" xr:uid="{00000000-0005-0000-0000-0000AD0B0000}"/>
    <cellStyle name="20% - Accent2 7 5 3 2 2" xfId="16669" xr:uid="{00000000-0005-0000-0000-0000AE0B0000}"/>
    <cellStyle name="20% - Accent2 7 5 3 2 2 2" xfId="34305" xr:uid="{00000000-0005-0000-0000-0000AF0B0000}"/>
    <cellStyle name="20% - Accent2 7 5 3 2 3" xfId="27262" xr:uid="{00000000-0005-0000-0000-0000B00B0000}"/>
    <cellStyle name="20% - Accent2 7 5 3 3" xfId="13430" xr:uid="{00000000-0005-0000-0000-0000B10B0000}"/>
    <cellStyle name="20% - Accent2 7 5 3 3 2" xfId="31070" xr:uid="{00000000-0005-0000-0000-0000B20B0000}"/>
    <cellStyle name="20% - Accent2 7 5 3 4" xfId="24397" xr:uid="{00000000-0005-0000-0000-0000B30B0000}"/>
    <cellStyle name="20% - Accent2 7 5 4" xfId="6204" xr:uid="{00000000-0005-0000-0000-0000B40B0000}"/>
    <cellStyle name="20% - Accent2 7 5 4 2" xfId="9414" xr:uid="{00000000-0005-0000-0000-0000B50B0000}"/>
    <cellStyle name="20% - Accent2 7 5 4 2 2" xfId="17208" xr:uid="{00000000-0005-0000-0000-0000B60B0000}"/>
    <cellStyle name="20% - Accent2 7 5 4 2 2 2" xfId="34845" xr:uid="{00000000-0005-0000-0000-0000B70B0000}"/>
    <cellStyle name="20% - Accent2 7 5 4 2 3" xfId="27798" xr:uid="{00000000-0005-0000-0000-0000B80B0000}"/>
    <cellStyle name="20% - Accent2 7 5 4 3" xfId="13993" xr:uid="{00000000-0005-0000-0000-0000B90B0000}"/>
    <cellStyle name="20% - Accent2 7 5 4 3 2" xfId="31628" xr:uid="{00000000-0005-0000-0000-0000BA0B0000}"/>
    <cellStyle name="20% - Accent2 7 5 4 4" xfId="24934" xr:uid="{00000000-0005-0000-0000-0000BB0B0000}"/>
    <cellStyle name="20% - Accent2 7 5 5" xfId="6742" xr:uid="{00000000-0005-0000-0000-0000BC0B0000}"/>
    <cellStyle name="20% - Accent2 7 5 5 2" xfId="9952" xr:uid="{00000000-0005-0000-0000-0000BD0B0000}"/>
    <cellStyle name="20% - Accent2 7 5 5 2 2" xfId="17745" xr:uid="{00000000-0005-0000-0000-0000BE0B0000}"/>
    <cellStyle name="20% - Accent2 7 5 5 2 2 2" xfId="35382" xr:uid="{00000000-0005-0000-0000-0000BF0B0000}"/>
    <cellStyle name="20% - Accent2 7 5 5 2 3" xfId="28335" xr:uid="{00000000-0005-0000-0000-0000C00B0000}"/>
    <cellStyle name="20% - Accent2 7 5 5 3" xfId="14530" xr:uid="{00000000-0005-0000-0000-0000C10B0000}"/>
    <cellStyle name="20% - Accent2 7 5 5 3 2" xfId="32165" xr:uid="{00000000-0005-0000-0000-0000C20B0000}"/>
    <cellStyle name="20% - Accent2 7 5 5 4" xfId="25472" xr:uid="{00000000-0005-0000-0000-0000C30B0000}"/>
    <cellStyle name="20% - Accent2 7 5 6" xfId="7575" xr:uid="{00000000-0005-0000-0000-0000C40B0000}"/>
    <cellStyle name="20% - Accent2 7 5 6 2" xfId="15372" xr:uid="{00000000-0005-0000-0000-0000C50B0000}"/>
    <cellStyle name="20% - Accent2 7 5 6 2 2" xfId="33007" xr:uid="{00000000-0005-0000-0000-0000C60B0000}"/>
    <cellStyle name="20% - Accent2 7 5 6 3" xfId="26008" xr:uid="{00000000-0005-0000-0000-0000C70B0000}"/>
    <cellStyle name="20% - Accent2 7 5 7" xfId="11143" xr:uid="{00000000-0005-0000-0000-0000C80B0000}"/>
    <cellStyle name="20% - Accent2 7 5 7 2" xfId="28871" xr:uid="{00000000-0005-0000-0000-0000C90B0000}"/>
    <cellStyle name="20% - Accent2 7 5 8" xfId="23143" xr:uid="{00000000-0005-0000-0000-0000CA0B0000}"/>
    <cellStyle name="20% - Accent2 7 5 9" xfId="51697" xr:uid="{00000000-0005-0000-0000-0000CB0B0000}"/>
    <cellStyle name="20% - Accent2 7 6" xfId="315" xr:uid="{00000000-0005-0000-0000-0000CC0B0000}"/>
    <cellStyle name="20% - Accent2 7 6 2" xfId="3548" xr:uid="{00000000-0005-0000-0000-0000CD0B0000}"/>
    <cellStyle name="20% - Accent2 7 6 2 2" xfId="8169" xr:uid="{00000000-0005-0000-0000-0000CE0B0000}"/>
    <cellStyle name="20% - Accent2 7 6 2 2 2" xfId="15965" xr:uid="{00000000-0005-0000-0000-0000CF0B0000}"/>
    <cellStyle name="20% - Accent2 7 6 2 2 2 2" xfId="33600" xr:uid="{00000000-0005-0000-0000-0000D00B0000}"/>
    <cellStyle name="20% - Accent2 7 6 2 2 3" xfId="26583" xr:uid="{00000000-0005-0000-0000-0000D10B0000}"/>
    <cellStyle name="20% - Accent2 7 6 2 3" xfId="12280" xr:uid="{00000000-0005-0000-0000-0000D20B0000}"/>
    <cellStyle name="20% - Accent2 7 6 2 3 2" xfId="29951" xr:uid="{00000000-0005-0000-0000-0000D30B0000}"/>
    <cellStyle name="20% - Accent2 7 6 2 4" xfId="23718" xr:uid="{00000000-0005-0000-0000-0000D40B0000}"/>
    <cellStyle name="20% - Accent2 7 6 3" xfId="5575" xr:uid="{00000000-0005-0000-0000-0000D50B0000}"/>
    <cellStyle name="20% - Accent2 7 6 3 2" xfId="8875" xr:uid="{00000000-0005-0000-0000-0000D60B0000}"/>
    <cellStyle name="20% - Accent2 7 6 3 2 2" xfId="16670" xr:uid="{00000000-0005-0000-0000-0000D70B0000}"/>
    <cellStyle name="20% - Accent2 7 6 3 2 2 2" xfId="34306" xr:uid="{00000000-0005-0000-0000-0000D80B0000}"/>
    <cellStyle name="20% - Accent2 7 6 3 2 3" xfId="27263" xr:uid="{00000000-0005-0000-0000-0000D90B0000}"/>
    <cellStyle name="20% - Accent2 7 6 3 3" xfId="13431" xr:uid="{00000000-0005-0000-0000-0000DA0B0000}"/>
    <cellStyle name="20% - Accent2 7 6 3 3 2" xfId="31071" xr:uid="{00000000-0005-0000-0000-0000DB0B0000}"/>
    <cellStyle name="20% - Accent2 7 6 3 4" xfId="24398" xr:uid="{00000000-0005-0000-0000-0000DC0B0000}"/>
    <cellStyle name="20% - Accent2 7 6 4" xfId="6205" xr:uid="{00000000-0005-0000-0000-0000DD0B0000}"/>
    <cellStyle name="20% - Accent2 7 6 4 2" xfId="9415" xr:uid="{00000000-0005-0000-0000-0000DE0B0000}"/>
    <cellStyle name="20% - Accent2 7 6 4 2 2" xfId="17209" xr:uid="{00000000-0005-0000-0000-0000DF0B0000}"/>
    <cellStyle name="20% - Accent2 7 6 4 2 2 2" xfId="34846" xr:uid="{00000000-0005-0000-0000-0000E00B0000}"/>
    <cellStyle name="20% - Accent2 7 6 4 2 3" xfId="27799" xr:uid="{00000000-0005-0000-0000-0000E10B0000}"/>
    <cellStyle name="20% - Accent2 7 6 4 3" xfId="13994" xr:uid="{00000000-0005-0000-0000-0000E20B0000}"/>
    <cellStyle name="20% - Accent2 7 6 4 3 2" xfId="31629" xr:uid="{00000000-0005-0000-0000-0000E30B0000}"/>
    <cellStyle name="20% - Accent2 7 6 4 4" xfId="24935" xr:uid="{00000000-0005-0000-0000-0000E40B0000}"/>
    <cellStyle name="20% - Accent2 7 6 5" xfId="6743" xr:uid="{00000000-0005-0000-0000-0000E50B0000}"/>
    <cellStyle name="20% - Accent2 7 6 5 2" xfId="9953" xr:uid="{00000000-0005-0000-0000-0000E60B0000}"/>
    <cellStyle name="20% - Accent2 7 6 5 2 2" xfId="17746" xr:uid="{00000000-0005-0000-0000-0000E70B0000}"/>
    <cellStyle name="20% - Accent2 7 6 5 2 2 2" xfId="35383" xr:uid="{00000000-0005-0000-0000-0000E80B0000}"/>
    <cellStyle name="20% - Accent2 7 6 5 2 3" xfId="28336" xr:uid="{00000000-0005-0000-0000-0000E90B0000}"/>
    <cellStyle name="20% - Accent2 7 6 5 3" xfId="14531" xr:uid="{00000000-0005-0000-0000-0000EA0B0000}"/>
    <cellStyle name="20% - Accent2 7 6 5 3 2" xfId="32166" xr:uid="{00000000-0005-0000-0000-0000EB0B0000}"/>
    <cellStyle name="20% - Accent2 7 6 5 4" xfId="25473" xr:uid="{00000000-0005-0000-0000-0000EC0B0000}"/>
    <cellStyle name="20% - Accent2 7 6 6" xfId="7576" xr:uid="{00000000-0005-0000-0000-0000ED0B0000}"/>
    <cellStyle name="20% - Accent2 7 6 6 2" xfId="15373" xr:uid="{00000000-0005-0000-0000-0000EE0B0000}"/>
    <cellStyle name="20% - Accent2 7 6 6 2 2" xfId="33008" xr:uid="{00000000-0005-0000-0000-0000EF0B0000}"/>
    <cellStyle name="20% - Accent2 7 6 6 3" xfId="26009" xr:uid="{00000000-0005-0000-0000-0000F00B0000}"/>
    <cellStyle name="20% - Accent2 7 6 7" xfId="11144" xr:uid="{00000000-0005-0000-0000-0000F10B0000}"/>
    <cellStyle name="20% - Accent2 7 6 7 2" xfId="28872" xr:uid="{00000000-0005-0000-0000-0000F20B0000}"/>
    <cellStyle name="20% - Accent2 7 6 8" xfId="23144" xr:uid="{00000000-0005-0000-0000-0000F30B0000}"/>
    <cellStyle name="20% - Accent2 7 6 9" xfId="51698" xr:uid="{00000000-0005-0000-0000-0000F40B0000}"/>
    <cellStyle name="20% - Accent2 7 7" xfId="316" xr:uid="{00000000-0005-0000-0000-0000F50B0000}"/>
    <cellStyle name="20% - Accent2 7 7 10" xfId="51699" xr:uid="{00000000-0005-0000-0000-0000F60B0000}"/>
    <cellStyle name="20% - Accent2 7 7 2" xfId="317" xr:uid="{00000000-0005-0000-0000-0000F70B0000}"/>
    <cellStyle name="20% - Accent2 7 7 2 2" xfId="8171" xr:uid="{00000000-0005-0000-0000-0000F80B0000}"/>
    <cellStyle name="20% - Accent2 7 7 2 2 2" xfId="15967" xr:uid="{00000000-0005-0000-0000-0000F90B0000}"/>
    <cellStyle name="20% - Accent2 7 7 2 2 2 2" xfId="33602" xr:uid="{00000000-0005-0000-0000-0000FA0B0000}"/>
    <cellStyle name="20% - Accent2 7 7 2 2 3" xfId="26585" xr:uid="{00000000-0005-0000-0000-0000FB0B0000}"/>
    <cellStyle name="20% - Accent2 7 7 2 3" xfId="12282" xr:uid="{00000000-0005-0000-0000-0000FC0B0000}"/>
    <cellStyle name="20% - Accent2 7 7 2 3 2" xfId="29953" xr:uid="{00000000-0005-0000-0000-0000FD0B0000}"/>
    <cellStyle name="20% - Accent2 7 7 2 4" xfId="23720" xr:uid="{00000000-0005-0000-0000-0000FE0B0000}"/>
    <cellStyle name="20% - Accent2 7 7 3" xfId="3549" xr:uid="{00000000-0005-0000-0000-0000FF0B0000}"/>
    <cellStyle name="20% - Accent2 7 7 3 2" xfId="8170" xr:uid="{00000000-0005-0000-0000-0000000C0000}"/>
    <cellStyle name="20% - Accent2 7 7 3 2 2" xfId="15966" xr:uid="{00000000-0005-0000-0000-0000010C0000}"/>
    <cellStyle name="20% - Accent2 7 7 3 2 2 2" xfId="33601" xr:uid="{00000000-0005-0000-0000-0000020C0000}"/>
    <cellStyle name="20% - Accent2 7 7 3 2 3" xfId="26584" xr:uid="{00000000-0005-0000-0000-0000030C0000}"/>
    <cellStyle name="20% - Accent2 7 7 3 3" xfId="12281" xr:uid="{00000000-0005-0000-0000-0000040C0000}"/>
    <cellStyle name="20% - Accent2 7 7 3 3 2" xfId="29952" xr:uid="{00000000-0005-0000-0000-0000050C0000}"/>
    <cellStyle name="20% - Accent2 7 7 3 4" xfId="23719" xr:uid="{00000000-0005-0000-0000-0000060C0000}"/>
    <cellStyle name="20% - Accent2 7 7 4" xfId="5576" xr:uid="{00000000-0005-0000-0000-0000070C0000}"/>
    <cellStyle name="20% - Accent2 7 7 4 2" xfId="8876" xr:uid="{00000000-0005-0000-0000-0000080C0000}"/>
    <cellStyle name="20% - Accent2 7 7 4 2 2" xfId="16671" xr:uid="{00000000-0005-0000-0000-0000090C0000}"/>
    <cellStyle name="20% - Accent2 7 7 4 2 2 2" xfId="34307" xr:uid="{00000000-0005-0000-0000-00000A0C0000}"/>
    <cellStyle name="20% - Accent2 7 7 4 2 3" xfId="27264" xr:uid="{00000000-0005-0000-0000-00000B0C0000}"/>
    <cellStyle name="20% - Accent2 7 7 4 3" xfId="13432" xr:uid="{00000000-0005-0000-0000-00000C0C0000}"/>
    <cellStyle name="20% - Accent2 7 7 4 3 2" xfId="31072" xr:uid="{00000000-0005-0000-0000-00000D0C0000}"/>
    <cellStyle name="20% - Accent2 7 7 4 4" xfId="24399" xr:uid="{00000000-0005-0000-0000-00000E0C0000}"/>
    <cellStyle name="20% - Accent2 7 7 5" xfId="6206" xr:uid="{00000000-0005-0000-0000-00000F0C0000}"/>
    <cellStyle name="20% - Accent2 7 7 5 2" xfId="9416" xr:uid="{00000000-0005-0000-0000-0000100C0000}"/>
    <cellStyle name="20% - Accent2 7 7 5 2 2" xfId="17210" xr:uid="{00000000-0005-0000-0000-0000110C0000}"/>
    <cellStyle name="20% - Accent2 7 7 5 2 2 2" xfId="34847" xr:uid="{00000000-0005-0000-0000-0000120C0000}"/>
    <cellStyle name="20% - Accent2 7 7 5 2 3" xfId="27800" xr:uid="{00000000-0005-0000-0000-0000130C0000}"/>
    <cellStyle name="20% - Accent2 7 7 5 3" xfId="13995" xr:uid="{00000000-0005-0000-0000-0000140C0000}"/>
    <cellStyle name="20% - Accent2 7 7 5 3 2" xfId="31630" xr:uid="{00000000-0005-0000-0000-0000150C0000}"/>
    <cellStyle name="20% - Accent2 7 7 5 4" xfId="24936" xr:uid="{00000000-0005-0000-0000-0000160C0000}"/>
    <cellStyle name="20% - Accent2 7 7 6" xfId="6744" xr:uid="{00000000-0005-0000-0000-0000170C0000}"/>
    <cellStyle name="20% - Accent2 7 7 6 2" xfId="9954" xr:uid="{00000000-0005-0000-0000-0000180C0000}"/>
    <cellStyle name="20% - Accent2 7 7 6 2 2" xfId="17747" xr:uid="{00000000-0005-0000-0000-0000190C0000}"/>
    <cellStyle name="20% - Accent2 7 7 6 2 2 2" xfId="35384" xr:uid="{00000000-0005-0000-0000-00001A0C0000}"/>
    <cellStyle name="20% - Accent2 7 7 6 2 3" xfId="28337" xr:uid="{00000000-0005-0000-0000-00001B0C0000}"/>
    <cellStyle name="20% - Accent2 7 7 6 3" xfId="14532" xr:uid="{00000000-0005-0000-0000-00001C0C0000}"/>
    <cellStyle name="20% - Accent2 7 7 6 3 2" xfId="32167" xr:uid="{00000000-0005-0000-0000-00001D0C0000}"/>
    <cellStyle name="20% - Accent2 7 7 6 4" xfId="25474" xr:uid="{00000000-0005-0000-0000-00001E0C0000}"/>
    <cellStyle name="20% - Accent2 7 7 7" xfId="7577" xr:uid="{00000000-0005-0000-0000-00001F0C0000}"/>
    <cellStyle name="20% - Accent2 7 7 7 2" xfId="15374" xr:uid="{00000000-0005-0000-0000-0000200C0000}"/>
    <cellStyle name="20% - Accent2 7 7 7 2 2" xfId="33009" xr:uid="{00000000-0005-0000-0000-0000210C0000}"/>
    <cellStyle name="20% - Accent2 7 7 7 3" xfId="26010" xr:uid="{00000000-0005-0000-0000-0000220C0000}"/>
    <cellStyle name="20% - Accent2 7 7 8" xfId="11145" xr:uid="{00000000-0005-0000-0000-0000230C0000}"/>
    <cellStyle name="20% - Accent2 7 7 8 2" xfId="28873" xr:uid="{00000000-0005-0000-0000-0000240C0000}"/>
    <cellStyle name="20% - Accent2 7 7 9" xfId="23145" xr:uid="{00000000-0005-0000-0000-0000250C0000}"/>
    <cellStyle name="20% - Accent2 7 8" xfId="3550" xr:uid="{00000000-0005-0000-0000-0000260C0000}"/>
    <cellStyle name="20% - Accent2 7 8 2" xfId="8172" xr:uid="{00000000-0005-0000-0000-0000270C0000}"/>
    <cellStyle name="20% - Accent2 7 8 2 2" xfId="15968" xr:uid="{00000000-0005-0000-0000-0000280C0000}"/>
    <cellStyle name="20% - Accent2 7 8 2 2 2" xfId="33603" xr:uid="{00000000-0005-0000-0000-0000290C0000}"/>
    <cellStyle name="20% - Accent2 7 8 2 3" xfId="26586" xr:uid="{00000000-0005-0000-0000-00002A0C0000}"/>
    <cellStyle name="20% - Accent2 7 8 3" xfId="12283" xr:uid="{00000000-0005-0000-0000-00002B0C0000}"/>
    <cellStyle name="20% - Accent2 7 8 3 2" xfId="29954" xr:uid="{00000000-0005-0000-0000-00002C0C0000}"/>
    <cellStyle name="20% - Accent2 7 8 4" xfId="23721" xr:uid="{00000000-0005-0000-0000-00002D0C0000}"/>
    <cellStyle name="20% - Accent2 7 9" xfId="3551" xr:uid="{00000000-0005-0000-0000-00002E0C0000}"/>
    <cellStyle name="20% - Accent2 7 9 2" xfId="8173" xr:uid="{00000000-0005-0000-0000-00002F0C0000}"/>
    <cellStyle name="20% - Accent2 7 9 2 2" xfId="15969" xr:uid="{00000000-0005-0000-0000-0000300C0000}"/>
    <cellStyle name="20% - Accent2 7 9 2 2 2" xfId="33604" xr:uid="{00000000-0005-0000-0000-0000310C0000}"/>
    <cellStyle name="20% - Accent2 7 9 2 3" xfId="26587" xr:uid="{00000000-0005-0000-0000-0000320C0000}"/>
    <cellStyle name="20% - Accent2 7 9 3" xfId="12284" xr:uid="{00000000-0005-0000-0000-0000330C0000}"/>
    <cellStyle name="20% - Accent2 7 9 3 2" xfId="29955" xr:uid="{00000000-0005-0000-0000-0000340C0000}"/>
    <cellStyle name="20% - Accent2 7 9 4" xfId="23722" xr:uid="{00000000-0005-0000-0000-0000350C0000}"/>
    <cellStyle name="20% - Accent2 8" xfId="318" xr:uid="{00000000-0005-0000-0000-0000360C0000}"/>
    <cellStyle name="20% - Accent2 8 10" xfId="3552" xr:uid="{00000000-0005-0000-0000-0000370C0000}"/>
    <cellStyle name="20% - Accent2 8 10 2" xfId="8174" xr:uid="{00000000-0005-0000-0000-0000380C0000}"/>
    <cellStyle name="20% - Accent2 8 10 2 2" xfId="15970" xr:uid="{00000000-0005-0000-0000-0000390C0000}"/>
    <cellStyle name="20% - Accent2 8 10 2 2 2" xfId="33605" xr:uid="{00000000-0005-0000-0000-00003A0C0000}"/>
    <cellStyle name="20% - Accent2 8 10 2 3" xfId="26588" xr:uid="{00000000-0005-0000-0000-00003B0C0000}"/>
    <cellStyle name="20% - Accent2 8 10 3" xfId="12285" xr:uid="{00000000-0005-0000-0000-00003C0C0000}"/>
    <cellStyle name="20% - Accent2 8 10 3 2" xfId="29956" xr:uid="{00000000-0005-0000-0000-00003D0C0000}"/>
    <cellStyle name="20% - Accent2 8 10 4" xfId="23723" xr:uid="{00000000-0005-0000-0000-00003E0C0000}"/>
    <cellStyle name="20% - Accent2 8 11" xfId="5577" xr:uid="{00000000-0005-0000-0000-00003F0C0000}"/>
    <cellStyle name="20% - Accent2 8 11 2" xfId="8877" xr:uid="{00000000-0005-0000-0000-0000400C0000}"/>
    <cellStyle name="20% - Accent2 8 11 2 2" xfId="16672" xr:uid="{00000000-0005-0000-0000-0000410C0000}"/>
    <cellStyle name="20% - Accent2 8 11 2 2 2" xfId="34308" xr:uid="{00000000-0005-0000-0000-0000420C0000}"/>
    <cellStyle name="20% - Accent2 8 11 2 3" xfId="27265" xr:uid="{00000000-0005-0000-0000-0000430C0000}"/>
    <cellStyle name="20% - Accent2 8 11 3" xfId="13433" xr:uid="{00000000-0005-0000-0000-0000440C0000}"/>
    <cellStyle name="20% - Accent2 8 11 3 2" xfId="31073" xr:uid="{00000000-0005-0000-0000-0000450C0000}"/>
    <cellStyle name="20% - Accent2 8 11 4" xfId="24400" xr:uid="{00000000-0005-0000-0000-0000460C0000}"/>
    <cellStyle name="20% - Accent2 8 12" xfId="6207" xr:uid="{00000000-0005-0000-0000-0000470C0000}"/>
    <cellStyle name="20% - Accent2 8 12 2" xfId="9417" xr:uid="{00000000-0005-0000-0000-0000480C0000}"/>
    <cellStyle name="20% - Accent2 8 12 2 2" xfId="17211" xr:uid="{00000000-0005-0000-0000-0000490C0000}"/>
    <cellStyle name="20% - Accent2 8 12 2 2 2" xfId="34848" xr:uid="{00000000-0005-0000-0000-00004A0C0000}"/>
    <cellStyle name="20% - Accent2 8 12 2 3" xfId="27801" xr:uid="{00000000-0005-0000-0000-00004B0C0000}"/>
    <cellStyle name="20% - Accent2 8 12 3" xfId="13996" xr:uid="{00000000-0005-0000-0000-00004C0C0000}"/>
    <cellStyle name="20% - Accent2 8 12 3 2" xfId="31631" xr:uid="{00000000-0005-0000-0000-00004D0C0000}"/>
    <cellStyle name="20% - Accent2 8 12 4" xfId="24937" xr:uid="{00000000-0005-0000-0000-00004E0C0000}"/>
    <cellStyle name="20% - Accent2 8 13" xfId="6745" xr:uid="{00000000-0005-0000-0000-00004F0C0000}"/>
    <cellStyle name="20% - Accent2 8 13 2" xfId="9955" xr:uid="{00000000-0005-0000-0000-0000500C0000}"/>
    <cellStyle name="20% - Accent2 8 13 2 2" xfId="17748" xr:uid="{00000000-0005-0000-0000-0000510C0000}"/>
    <cellStyle name="20% - Accent2 8 13 2 2 2" xfId="35385" xr:uid="{00000000-0005-0000-0000-0000520C0000}"/>
    <cellStyle name="20% - Accent2 8 13 2 3" xfId="28338" xr:uid="{00000000-0005-0000-0000-0000530C0000}"/>
    <cellStyle name="20% - Accent2 8 13 3" xfId="14533" xr:uid="{00000000-0005-0000-0000-0000540C0000}"/>
    <cellStyle name="20% - Accent2 8 13 3 2" xfId="32168" xr:uid="{00000000-0005-0000-0000-0000550C0000}"/>
    <cellStyle name="20% - Accent2 8 13 4" xfId="25475" xr:uid="{00000000-0005-0000-0000-0000560C0000}"/>
    <cellStyle name="20% - Accent2 8 14" xfId="7578" xr:uid="{00000000-0005-0000-0000-0000570C0000}"/>
    <cellStyle name="20% - Accent2 8 14 2" xfId="15375" xr:uid="{00000000-0005-0000-0000-0000580C0000}"/>
    <cellStyle name="20% - Accent2 8 14 2 2" xfId="33010" xr:uid="{00000000-0005-0000-0000-0000590C0000}"/>
    <cellStyle name="20% - Accent2 8 14 3" xfId="26011" xr:uid="{00000000-0005-0000-0000-00005A0C0000}"/>
    <cellStyle name="20% - Accent2 8 15" xfId="11146" xr:uid="{00000000-0005-0000-0000-00005B0C0000}"/>
    <cellStyle name="20% - Accent2 8 15 2" xfId="28874" xr:uid="{00000000-0005-0000-0000-00005C0C0000}"/>
    <cellStyle name="20% - Accent2 8 16" xfId="22047" xr:uid="{00000000-0005-0000-0000-00005D0C0000}"/>
    <cellStyle name="20% - Accent2 8 16 2" xfId="38761" xr:uid="{00000000-0005-0000-0000-00005E0C0000}"/>
    <cellStyle name="20% - Accent2 8 17" xfId="23146" xr:uid="{00000000-0005-0000-0000-00005F0C0000}"/>
    <cellStyle name="20% - Accent2 8 18" xfId="51700" xr:uid="{00000000-0005-0000-0000-0000600C0000}"/>
    <cellStyle name="20% - Accent2 8 2" xfId="319" xr:uid="{00000000-0005-0000-0000-0000610C0000}"/>
    <cellStyle name="20% - Accent2 8 2 10" xfId="51701" xr:uid="{00000000-0005-0000-0000-0000620C0000}"/>
    <cellStyle name="20% - Accent2 8 2 2" xfId="3553" xr:uid="{00000000-0005-0000-0000-0000630C0000}"/>
    <cellStyle name="20% - Accent2 8 2 2 2" xfId="8175" xr:uid="{00000000-0005-0000-0000-0000640C0000}"/>
    <cellStyle name="20% - Accent2 8 2 2 2 2" xfId="15971" xr:uid="{00000000-0005-0000-0000-0000650C0000}"/>
    <cellStyle name="20% - Accent2 8 2 2 2 2 2" xfId="33606" xr:uid="{00000000-0005-0000-0000-0000660C0000}"/>
    <cellStyle name="20% - Accent2 8 2 2 2 3" xfId="26589" xr:uid="{00000000-0005-0000-0000-0000670C0000}"/>
    <cellStyle name="20% - Accent2 8 2 2 3" xfId="12286" xr:uid="{00000000-0005-0000-0000-0000680C0000}"/>
    <cellStyle name="20% - Accent2 8 2 2 3 2" xfId="29957" xr:uid="{00000000-0005-0000-0000-0000690C0000}"/>
    <cellStyle name="20% - Accent2 8 2 2 4" xfId="22716" xr:uid="{00000000-0005-0000-0000-00006A0C0000}"/>
    <cellStyle name="20% - Accent2 8 2 2 4 2" xfId="38926" xr:uid="{00000000-0005-0000-0000-00006B0C0000}"/>
    <cellStyle name="20% - Accent2 8 2 2 5" xfId="23724" xr:uid="{00000000-0005-0000-0000-00006C0C0000}"/>
    <cellStyle name="20% - Accent2 8 2 3" xfId="5578" xr:uid="{00000000-0005-0000-0000-00006D0C0000}"/>
    <cellStyle name="20% - Accent2 8 2 3 2" xfId="8878" xr:uid="{00000000-0005-0000-0000-00006E0C0000}"/>
    <cellStyle name="20% - Accent2 8 2 3 2 2" xfId="16673" xr:uid="{00000000-0005-0000-0000-00006F0C0000}"/>
    <cellStyle name="20% - Accent2 8 2 3 2 2 2" xfId="34309" xr:uid="{00000000-0005-0000-0000-0000700C0000}"/>
    <cellStyle name="20% - Accent2 8 2 3 2 3" xfId="27266" xr:uid="{00000000-0005-0000-0000-0000710C0000}"/>
    <cellStyle name="20% - Accent2 8 2 3 3" xfId="13434" xr:uid="{00000000-0005-0000-0000-0000720C0000}"/>
    <cellStyle name="20% - Accent2 8 2 3 3 2" xfId="31074" xr:uid="{00000000-0005-0000-0000-0000730C0000}"/>
    <cellStyle name="20% - Accent2 8 2 3 4" xfId="24401" xr:uid="{00000000-0005-0000-0000-0000740C0000}"/>
    <cellStyle name="20% - Accent2 8 2 4" xfId="6208" xr:uid="{00000000-0005-0000-0000-0000750C0000}"/>
    <cellStyle name="20% - Accent2 8 2 4 2" xfId="9418" xr:uid="{00000000-0005-0000-0000-0000760C0000}"/>
    <cellStyle name="20% - Accent2 8 2 4 2 2" xfId="17212" xr:uid="{00000000-0005-0000-0000-0000770C0000}"/>
    <cellStyle name="20% - Accent2 8 2 4 2 2 2" xfId="34849" xr:uid="{00000000-0005-0000-0000-0000780C0000}"/>
    <cellStyle name="20% - Accent2 8 2 4 2 3" xfId="27802" xr:uid="{00000000-0005-0000-0000-0000790C0000}"/>
    <cellStyle name="20% - Accent2 8 2 4 3" xfId="13997" xr:uid="{00000000-0005-0000-0000-00007A0C0000}"/>
    <cellStyle name="20% - Accent2 8 2 4 3 2" xfId="31632" xr:uid="{00000000-0005-0000-0000-00007B0C0000}"/>
    <cellStyle name="20% - Accent2 8 2 4 4" xfId="24938" xr:uid="{00000000-0005-0000-0000-00007C0C0000}"/>
    <cellStyle name="20% - Accent2 8 2 5" xfId="6746" xr:uid="{00000000-0005-0000-0000-00007D0C0000}"/>
    <cellStyle name="20% - Accent2 8 2 5 2" xfId="9956" xr:uid="{00000000-0005-0000-0000-00007E0C0000}"/>
    <cellStyle name="20% - Accent2 8 2 5 2 2" xfId="17749" xr:uid="{00000000-0005-0000-0000-00007F0C0000}"/>
    <cellStyle name="20% - Accent2 8 2 5 2 2 2" xfId="35386" xr:uid="{00000000-0005-0000-0000-0000800C0000}"/>
    <cellStyle name="20% - Accent2 8 2 5 2 3" xfId="28339" xr:uid="{00000000-0005-0000-0000-0000810C0000}"/>
    <cellStyle name="20% - Accent2 8 2 5 3" xfId="14534" xr:uid="{00000000-0005-0000-0000-0000820C0000}"/>
    <cellStyle name="20% - Accent2 8 2 5 3 2" xfId="32169" xr:uid="{00000000-0005-0000-0000-0000830C0000}"/>
    <cellStyle name="20% - Accent2 8 2 5 4" xfId="25476" xr:uid="{00000000-0005-0000-0000-0000840C0000}"/>
    <cellStyle name="20% - Accent2 8 2 6" xfId="7579" xr:uid="{00000000-0005-0000-0000-0000850C0000}"/>
    <cellStyle name="20% - Accent2 8 2 6 2" xfId="15376" xr:uid="{00000000-0005-0000-0000-0000860C0000}"/>
    <cellStyle name="20% - Accent2 8 2 6 2 2" xfId="33011" xr:uid="{00000000-0005-0000-0000-0000870C0000}"/>
    <cellStyle name="20% - Accent2 8 2 6 3" xfId="26012" xr:uid="{00000000-0005-0000-0000-0000880C0000}"/>
    <cellStyle name="20% - Accent2 8 2 7" xfId="11147" xr:uid="{00000000-0005-0000-0000-0000890C0000}"/>
    <cellStyle name="20% - Accent2 8 2 7 2" xfId="28875" xr:uid="{00000000-0005-0000-0000-00008A0C0000}"/>
    <cellStyle name="20% - Accent2 8 2 8" xfId="22048" xr:uid="{00000000-0005-0000-0000-00008B0C0000}"/>
    <cellStyle name="20% - Accent2 8 2 8 2" xfId="38762" xr:uid="{00000000-0005-0000-0000-00008C0C0000}"/>
    <cellStyle name="20% - Accent2 8 2 9" xfId="23147" xr:uid="{00000000-0005-0000-0000-00008D0C0000}"/>
    <cellStyle name="20% - Accent2 8 3" xfId="320" xr:uid="{00000000-0005-0000-0000-00008E0C0000}"/>
    <cellStyle name="20% - Accent2 8 3 10" xfId="22715" xr:uid="{00000000-0005-0000-0000-00008F0C0000}"/>
    <cellStyle name="20% - Accent2 8 3 10 2" xfId="38925" xr:uid="{00000000-0005-0000-0000-0000900C0000}"/>
    <cellStyle name="20% - Accent2 8 3 11" xfId="23148" xr:uid="{00000000-0005-0000-0000-0000910C0000}"/>
    <cellStyle name="20% - Accent2 8 3 12" xfId="51702" xr:uid="{00000000-0005-0000-0000-0000920C0000}"/>
    <cellStyle name="20% - Accent2 8 3 2" xfId="321" xr:uid="{00000000-0005-0000-0000-0000930C0000}"/>
    <cellStyle name="20% - Accent2 8 3 2 2" xfId="3555" xr:uid="{00000000-0005-0000-0000-0000940C0000}"/>
    <cellStyle name="20% - Accent2 8 3 2 2 2" xfId="8177" xr:uid="{00000000-0005-0000-0000-0000950C0000}"/>
    <cellStyle name="20% - Accent2 8 3 2 2 2 2" xfId="15973" xr:uid="{00000000-0005-0000-0000-0000960C0000}"/>
    <cellStyle name="20% - Accent2 8 3 2 2 2 2 2" xfId="33608" xr:uid="{00000000-0005-0000-0000-0000970C0000}"/>
    <cellStyle name="20% - Accent2 8 3 2 2 2 3" xfId="26591" xr:uid="{00000000-0005-0000-0000-0000980C0000}"/>
    <cellStyle name="20% - Accent2 8 3 2 2 3" xfId="12288" xr:uid="{00000000-0005-0000-0000-0000990C0000}"/>
    <cellStyle name="20% - Accent2 8 3 2 2 3 2" xfId="29959" xr:uid="{00000000-0005-0000-0000-00009A0C0000}"/>
    <cellStyle name="20% - Accent2 8 3 2 2 4" xfId="23726" xr:uid="{00000000-0005-0000-0000-00009B0C0000}"/>
    <cellStyle name="20% - Accent2 8 3 2 3" xfId="5580" xr:uid="{00000000-0005-0000-0000-00009C0C0000}"/>
    <cellStyle name="20% - Accent2 8 3 2 3 2" xfId="8880" xr:uid="{00000000-0005-0000-0000-00009D0C0000}"/>
    <cellStyle name="20% - Accent2 8 3 2 3 2 2" xfId="16675" xr:uid="{00000000-0005-0000-0000-00009E0C0000}"/>
    <cellStyle name="20% - Accent2 8 3 2 3 2 2 2" xfId="34311" xr:uid="{00000000-0005-0000-0000-00009F0C0000}"/>
    <cellStyle name="20% - Accent2 8 3 2 3 2 3" xfId="27268" xr:uid="{00000000-0005-0000-0000-0000A00C0000}"/>
    <cellStyle name="20% - Accent2 8 3 2 3 3" xfId="13436" xr:uid="{00000000-0005-0000-0000-0000A10C0000}"/>
    <cellStyle name="20% - Accent2 8 3 2 3 3 2" xfId="31076" xr:uid="{00000000-0005-0000-0000-0000A20C0000}"/>
    <cellStyle name="20% - Accent2 8 3 2 3 4" xfId="24403" xr:uid="{00000000-0005-0000-0000-0000A30C0000}"/>
    <cellStyle name="20% - Accent2 8 3 2 4" xfId="6210" xr:uid="{00000000-0005-0000-0000-0000A40C0000}"/>
    <cellStyle name="20% - Accent2 8 3 2 4 2" xfId="9420" xr:uid="{00000000-0005-0000-0000-0000A50C0000}"/>
    <cellStyle name="20% - Accent2 8 3 2 4 2 2" xfId="17214" xr:uid="{00000000-0005-0000-0000-0000A60C0000}"/>
    <cellStyle name="20% - Accent2 8 3 2 4 2 2 2" xfId="34851" xr:uid="{00000000-0005-0000-0000-0000A70C0000}"/>
    <cellStyle name="20% - Accent2 8 3 2 4 2 3" xfId="27804" xr:uid="{00000000-0005-0000-0000-0000A80C0000}"/>
    <cellStyle name="20% - Accent2 8 3 2 4 3" xfId="13999" xr:uid="{00000000-0005-0000-0000-0000A90C0000}"/>
    <cellStyle name="20% - Accent2 8 3 2 4 3 2" xfId="31634" xr:uid="{00000000-0005-0000-0000-0000AA0C0000}"/>
    <cellStyle name="20% - Accent2 8 3 2 4 4" xfId="24940" xr:uid="{00000000-0005-0000-0000-0000AB0C0000}"/>
    <cellStyle name="20% - Accent2 8 3 2 5" xfId="6748" xr:uid="{00000000-0005-0000-0000-0000AC0C0000}"/>
    <cellStyle name="20% - Accent2 8 3 2 5 2" xfId="9958" xr:uid="{00000000-0005-0000-0000-0000AD0C0000}"/>
    <cellStyle name="20% - Accent2 8 3 2 5 2 2" xfId="17751" xr:uid="{00000000-0005-0000-0000-0000AE0C0000}"/>
    <cellStyle name="20% - Accent2 8 3 2 5 2 2 2" xfId="35388" xr:uid="{00000000-0005-0000-0000-0000AF0C0000}"/>
    <cellStyle name="20% - Accent2 8 3 2 5 2 3" xfId="28341" xr:uid="{00000000-0005-0000-0000-0000B00C0000}"/>
    <cellStyle name="20% - Accent2 8 3 2 5 3" xfId="14536" xr:uid="{00000000-0005-0000-0000-0000B10C0000}"/>
    <cellStyle name="20% - Accent2 8 3 2 5 3 2" xfId="32171" xr:uid="{00000000-0005-0000-0000-0000B20C0000}"/>
    <cellStyle name="20% - Accent2 8 3 2 5 4" xfId="25478" xr:uid="{00000000-0005-0000-0000-0000B30C0000}"/>
    <cellStyle name="20% - Accent2 8 3 2 6" xfId="7581" xr:uid="{00000000-0005-0000-0000-0000B40C0000}"/>
    <cellStyle name="20% - Accent2 8 3 2 6 2" xfId="15378" xr:uid="{00000000-0005-0000-0000-0000B50C0000}"/>
    <cellStyle name="20% - Accent2 8 3 2 6 2 2" xfId="33013" xr:uid="{00000000-0005-0000-0000-0000B60C0000}"/>
    <cellStyle name="20% - Accent2 8 3 2 6 3" xfId="26014" xr:uid="{00000000-0005-0000-0000-0000B70C0000}"/>
    <cellStyle name="20% - Accent2 8 3 2 7" xfId="11149" xr:uid="{00000000-0005-0000-0000-0000B80C0000}"/>
    <cellStyle name="20% - Accent2 8 3 2 7 2" xfId="28877" xr:uid="{00000000-0005-0000-0000-0000B90C0000}"/>
    <cellStyle name="20% - Accent2 8 3 2 8" xfId="23149" xr:uid="{00000000-0005-0000-0000-0000BA0C0000}"/>
    <cellStyle name="20% - Accent2 8 3 2 9" xfId="51703" xr:uid="{00000000-0005-0000-0000-0000BB0C0000}"/>
    <cellStyle name="20% - Accent2 8 3 3" xfId="3556" xr:uid="{00000000-0005-0000-0000-0000BC0C0000}"/>
    <cellStyle name="20% - Accent2 8 3 3 2" xfId="5581" xr:uid="{00000000-0005-0000-0000-0000BD0C0000}"/>
    <cellStyle name="20% - Accent2 8 3 3 2 2" xfId="8881" xr:uid="{00000000-0005-0000-0000-0000BE0C0000}"/>
    <cellStyle name="20% - Accent2 8 3 3 2 2 2" xfId="16676" xr:uid="{00000000-0005-0000-0000-0000BF0C0000}"/>
    <cellStyle name="20% - Accent2 8 3 3 2 2 2 2" xfId="34312" xr:uid="{00000000-0005-0000-0000-0000C00C0000}"/>
    <cellStyle name="20% - Accent2 8 3 3 2 2 3" xfId="27269" xr:uid="{00000000-0005-0000-0000-0000C10C0000}"/>
    <cellStyle name="20% - Accent2 8 3 3 2 3" xfId="13437" xr:uid="{00000000-0005-0000-0000-0000C20C0000}"/>
    <cellStyle name="20% - Accent2 8 3 3 2 3 2" xfId="31077" xr:uid="{00000000-0005-0000-0000-0000C30C0000}"/>
    <cellStyle name="20% - Accent2 8 3 3 2 4" xfId="24404" xr:uid="{00000000-0005-0000-0000-0000C40C0000}"/>
    <cellStyle name="20% - Accent2 8 3 3 3" xfId="6211" xr:uid="{00000000-0005-0000-0000-0000C50C0000}"/>
    <cellStyle name="20% - Accent2 8 3 3 3 2" xfId="9421" xr:uid="{00000000-0005-0000-0000-0000C60C0000}"/>
    <cellStyle name="20% - Accent2 8 3 3 3 2 2" xfId="17215" xr:uid="{00000000-0005-0000-0000-0000C70C0000}"/>
    <cellStyle name="20% - Accent2 8 3 3 3 2 2 2" xfId="34852" xr:uid="{00000000-0005-0000-0000-0000C80C0000}"/>
    <cellStyle name="20% - Accent2 8 3 3 3 2 3" xfId="27805" xr:uid="{00000000-0005-0000-0000-0000C90C0000}"/>
    <cellStyle name="20% - Accent2 8 3 3 3 3" xfId="14000" xr:uid="{00000000-0005-0000-0000-0000CA0C0000}"/>
    <cellStyle name="20% - Accent2 8 3 3 3 3 2" xfId="31635" xr:uid="{00000000-0005-0000-0000-0000CB0C0000}"/>
    <cellStyle name="20% - Accent2 8 3 3 3 4" xfId="24941" xr:uid="{00000000-0005-0000-0000-0000CC0C0000}"/>
    <cellStyle name="20% - Accent2 8 3 3 4" xfId="6749" xr:uid="{00000000-0005-0000-0000-0000CD0C0000}"/>
    <cellStyle name="20% - Accent2 8 3 3 4 2" xfId="9959" xr:uid="{00000000-0005-0000-0000-0000CE0C0000}"/>
    <cellStyle name="20% - Accent2 8 3 3 4 2 2" xfId="17752" xr:uid="{00000000-0005-0000-0000-0000CF0C0000}"/>
    <cellStyle name="20% - Accent2 8 3 3 4 2 2 2" xfId="35389" xr:uid="{00000000-0005-0000-0000-0000D00C0000}"/>
    <cellStyle name="20% - Accent2 8 3 3 4 2 3" xfId="28342" xr:uid="{00000000-0005-0000-0000-0000D10C0000}"/>
    <cellStyle name="20% - Accent2 8 3 3 4 3" xfId="14537" xr:uid="{00000000-0005-0000-0000-0000D20C0000}"/>
    <cellStyle name="20% - Accent2 8 3 3 4 3 2" xfId="32172" xr:uid="{00000000-0005-0000-0000-0000D30C0000}"/>
    <cellStyle name="20% - Accent2 8 3 3 4 4" xfId="25479" xr:uid="{00000000-0005-0000-0000-0000D40C0000}"/>
    <cellStyle name="20% - Accent2 8 3 3 5" xfId="8178" xr:uid="{00000000-0005-0000-0000-0000D50C0000}"/>
    <cellStyle name="20% - Accent2 8 3 3 5 2" xfId="15974" xr:uid="{00000000-0005-0000-0000-0000D60C0000}"/>
    <cellStyle name="20% - Accent2 8 3 3 5 2 2" xfId="33609" xr:uid="{00000000-0005-0000-0000-0000D70C0000}"/>
    <cellStyle name="20% - Accent2 8 3 3 5 3" xfId="26592" xr:uid="{00000000-0005-0000-0000-0000D80C0000}"/>
    <cellStyle name="20% - Accent2 8 3 3 6" xfId="12289" xr:uid="{00000000-0005-0000-0000-0000D90C0000}"/>
    <cellStyle name="20% - Accent2 8 3 3 6 2" xfId="29960" xr:uid="{00000000-0005-0000-0000-0000DA0C0000}"/>
    <cellStyle name="20% - Accent2 8 3 3 7" xfId="23727" xr:uid="{00000000-0005-0000-0000-0000DB0C0000}"/>
    <cellStyle name="20% - Accent2 8 3 4" xfId="3554" xr:uid="{00000000-0005-0000-0000-0000DC0C0000}"/>
    <cellStyle name="20% - Accent2 8 3 4 2" xfId="8176" xr:uid="{00000000-0005-0000-0000-0000DD0C0000}"/>
    <cellStyle name="20% - Accent2 8 3 4 2 2" xfId="15972" xr:uid="{00000000-0005-0000-0000-0000DE0C0000}"/>
    <cellStyle name="20% - Accent2 8 3 4 2 2 2" xfId="33607" xr:uid="{00000000-0005-0000-0000-0000DF0C0000}"/>
    <cellStyle name="20% - Accent2 8 3 4 2 3" xfId="26590" xr:uid="{00000000-0005-0000-0000-0000E00C0000}"/>
    <cellStyle name="20% - Accent2 8 3 4 3" xfId="12287" xr:uid="{00000000-0005-0000-0000-0000E10C0000}"/>
    <cellStyle name="20% - Accent2 8 3 4 3 2" xfId="29958" xr:uid="{00000000-0005-0000-0000-0000E20C0000}"/>
    <cellStyle name="20% - Accent2 8 3 4 4" xfId="23725" xr:uid="{00000000-0005-0000-0000-0000E30C0000}"/>
    <cellStyle name="20% - Accent2 8 3 5" xfId="5579" xr:uid="{00000000-0005-0000-0000-0000E40C0000}"/>
    <cellStyle name="20% - Accent2 8 3 5 2" xfId="8879" xr:uid="{00000000-0005-0000-0000-0000E50C0000}"/>
    <cellStyle name="20% - Accent2 8 3 5 2 2" xfId="16674" xr:uid="{00000000-0005-0000-0000-0000E60C0000}"/>
    <cellStyle name="20% - Accent2 8 3 5 2 2 2" xfId="34310" xr:uid="{00000000-0005-0000-0000-0000E70C0000}"/>
    <cellStyle name="20% - Accent2 8 3 5 2 3" xfId="27267" xr:uid="{00000000-0005-0000-0000-0000E80C0000}"/>
    <cellStyle name="20% - Accent2 8 3 5 3" xfId="13435" xr:uid="{00000000-0005-0000-0000-0000E90C0000}"/>
    <cellStyle name="20% - Accent2 8 3 5 3 2" xfId="31075" xr:uid="{00000000-0005-0000-0000-0000EA0C0000}"/>
    <cellStyle name="20% - Accent2 8 3 5 4" xfId="24402" xr:uid="{00000000-0005-0000-0000-0000EB0C0000}"/>
    <cellStyle name="20% - Accent2 8 3 6" xfId="6209" xr:uid="{00000000-0005-0000-0000-0000EC0C0000}"/>
    <cellStyle name="20% - Accent2 8 3 6 2" xfId="9419" xr:uid="{00000000-0005-0000-0000-0000ED0C0000}"/>
    <cellStyle name="20% - Accent2 8 3 6 2 2" xfId="17213" xr:uid="{00000000-0005-0000-0000-0000EE0C0000}"/>
    <cellStyle name="20% - Accent2 8 3 6 2 2 2" xfId="34850" xr:uid="{00000000-0005-0000-0000-0000EF0C0000}"/>
    <cellStyle name="20% - Accent2 8 3 6 2 3" xfId="27803" xr:uid="{00000000-0005-0000-0000-0000F00C0000}"/>
    <cellStyle name="20% - Accent2 8 3 6 3" xfId="13998" xr:uid="{00000000-0005-0000-0000-0000F10C0000}"/>
    <cellStyle name="20% - Accent2 8 3 6 3 2" xfId="31633" xr:uid="{00000000-0005-0000-0000-0000F20C0000}"/>
    <cellStyle name="20% - Accent2 8 3 6 4" xfId="24939" xr:uid="{00000000-0005-0000-0000-0000F30C0000}"/>
    <cellStyle name="20% - Accent2 8 3 7" xfId="6747" xr:uid="{00000000-0005-0000-0000-0000F40C0000}"/>
    <cellStyle name="20% - Accent2 8 3 7 2" xfId="9957" xr:uid="{00000000-0005-0000-0000-0000F50C0000}"/>
    <cellStyle name="20% - Accent2 8 3 7 2 2" xfId="17750" xr:uid="{00000000-0005-0000-0000-0000F60C0000}"/>
    <cellStyle name="20% - Accent2 8 3 7 2 2 2" xfId="35387" xr:uid="{00000000-0005-0000-0000-0000F70C0000}"/>
    <cellStyle name="20% - Accent2 8 3 7 2 3" xfId="28340" xr:uid="{00000000-0005-0000-0000-0000F80C0000}"/>
    <cellStyle name="20% - Accent2 8 3 7 3" xfId="14535" xr:uid="{00000000-0005-0000-0000-0000F90C0000}"/>
    <cellStyle name="20% - Accent2 8 3 7 3 2" xfId="32170" xr:uid="{00000000-0005-0000-0000-0000FA0C0000}"/>
    <cellStyle name="20% - Accent2 8 3 7 4" xfId="25477" xr:uid="{00000000-0005-0000-0000-0000FB0C0000}"/>
    <cellStyle name="20% - Accent2 8 3 8" xfId="7580" xr:uid="{00000000-0005-0000-0000-0000FC0C0000}"/>
    <cellStyle name="20% - Accent2 8 3 8 2" xfId="15377" xr:uid="{00000000-0005-0000-0000-0000FD0C0000}"/>
    <cellStyle name="20% - Accent2 8 3 8 2 2" xfId="33012" xr:uid="{00000000-0005-0000-0000-0000FE0C0000}"/>
    <cellStyle name="20% - Accent2 8 3 8 3" xfId="26013" xr:uid="{00000000-0005-0000-0000-0000FF0C0000}"/>
    <cellStyle name="20% - Accent2 8 3 9" xfId="11148" xr:uid="{00000000-0005-0000-0000-0000000D0000}"/>
    <cellStyle name="20% - Accent2 8 3 9 2" xfId="28876" xr:uid="{00000000-0005-0000-0000-0000010D0000}"/>
    <cellStyle name="20% - Accent2 8 4" xfId="322" xr:uid="{00000000-0005-0000-0000-0000020D0000}"/>
    <cellStyle name="20% - Accent2 8 4 2" xfId="3557" xr:uid="{00000000-0005-0000-0000-0000030D0000}"/>
    <cellStyle name="20% - Accent2 8 4 2 2" xfId="8179" xr:uid="{00000000-0005-0000-0000-0000040D0000}"/>
    <cellStyle name="20% - Accent2 8 4 2 2 2" xfId="15975" xr:uid="{00000000-0005-0000-0000-0000050D0000}"/>
    <cellStyle name="20% - Accent2 8 4 2 2 2 2" xfId="33610" xr:uid="{00000000-0005-0000-0000-0000060D0000}"/>
    <cellStyle name="20% - Accent2 8 4 2 2 3" xfId="26593" xr:uid="{00000000-0005-0000-0000-0000070D0000}"/>
    <cellStyle name="20% - Accent2 8 4 2 3" xfId="12290" xr:uid="{00000000-0005-0000-0000-0000080D0000}"/>
    <cellStyle name="20% - Accent2 8 4 2 3 2" xfId="29961" xr:uid="{00000000-0005-0000-0000-0000090D0000}"/>
    <cellStyle name="20% - Accent2 8 4 2 4" xfId="23728" xr:uid="{00000000-0005-0000-0000-00000A0D0000}"/>
    <cellStyle name="20% - Accent2 8 4 3" xfId="5582" xr:uid="{00000000-0005-0000-0000-00000B0D0000}"/>
    <cellStyle name="20% - Accent2 8 4 3 2" xfId="8882" xr:uid="{00000000-0005-0000-0000-00000C0D0000}"/>
    <cellStyle name="20% - Accent2 8 4 3 2 2" xfId="16677" xr:uid="{00000000-0005-0000-0000-00000D0D0000}"/>
    <cellStyle name="20% - Accent2 8 4 3 2 2 2" xfId="34313" xr:uid="{00000000-0005-0000-0000-00000E0D0000}"/>
    <cellStyle name="20% - Accent2 8 4 3 2 3" xfId="27270" xr:uid="{00000000-0005-0000-0000-00000F0D0000}"/>
    <cellStyle name="20% - Accent2 8 4 3 3" xfId="13438" xr:uid="{00000000-0005-0000-0000-0000100D0000}"/>
    <cellStyle name="20% - Accent2 8 4 3 3 2" xfId="31078" xr:uid="{00000000-0005-0000-0000-0000110D0000}"/>
    <cellStyle name="20% - Accent2 8 4 3 4" xfId="24405" xr:uid="{00000000-0005-0000-0000-0000120D0000}"/>
    <cellStyle name="20% - Accent2 8 4 4" xfId="6212" xr:uid="{00000000-0005-0000-0000-0000130D0000}"/>
    <cellStyle name="20% - Accent2 8 4 4 2" xfId="9422" xr:uid="{00000000-0005-0000-0000-0000140D0000}"/>
    <cellStyle name="20% - Accent2 8 4 4 2 2" xfId="17216" xr:uid="{00000000-0005-0000-0000-0000150D0000}"/>
    <cellStyle name="20% - Accent2 8 4 4 2 2 2" xfId="34853" xr:uid="{00000000-0005-0000-0000-0000160D0000}"/>
    <cellStyle name="20% - Accent2 8 4 4 2 3" xfId="27806" xr:uid="{00000000-0005-0000-0000-0000170D0000}"/>
    <cellStyle name="20% - Accent2 8 4 4 3" xfId="14001" xr:uid="{00000000-0005-0000-0000-0000180D0000}"/>
    <cellStyle name="20% - Accent2 8 4 4 3 2" xfId="31636" xr:uid="{00000000-0005-0000-0000-0000190D0000}"/>
    <cellStyle name="20% - Accent2 8 4 4 4" xfId="24942" xr:uid="{00000000-0005-0000-0000-00001A0D0000}"/>
    <cellStyle name="20% - Accent2 8 4 5" xfId="6750" xr:uid="{00000000-0005-0000-0000-00001B0D0000}"/>
    <cellStyle name="20% - Accent2 8 4 5 2" xfId="9960" xr:uid="{00000000-0005-0000-0000-00001C0D0000}"/>
    <cellStyle name="20% - Accent2 8 4 5 2 2" xfId="17753" xr:uid="{00000000-0005-0000-0000-00001D0D0000}"/>
    <cellStyle name="20% - Accent2 8 4 5 2 2 2" xfId="35390" xr:uid="{00000000-0005-0000-0000-00001E0D0000}"/>
    <cellStyle name="20% - Accent2 8 4 5 2 3" xfId="28343" xr:uid="{00000000-0005-0000-0000-00001F0D0000}"/>
    <cellStyle name="20% - Accent2 8 4 5 3" xfId="14538" xr:uid="{00000000-0005-0000-0000-0000200D0000}"/>
    <cellStyle name="20% - Accent2 8 4 5 3 2" xfId="32173" xr:uid="{00000000-0005-0000-0000-0000210D0000}"/>
    <cellStyle name="20% - Accent2 8 4 5 4" xfId="25480" xr:uid="{00000000-0005-0000-0000-0000220D0000}"/>
    <cellStyle name="20% - Accent2 8 4 6" xfId="7582" xr:uid="{00000000-0005-0000-0000-0000230D0000}"/>
    <cellStyle name="20% - Accent2 8 4 6 2" xfId="15379" xr:uid="{00000000-0005-0000-0000-0000240D0000}"/>
    <cellStyle name="20% - Accent2 8 4 6 2 2" xfId="33014" xr:uid="{00000000-0005-0000-0000-0000250D0000}"/>
    <cellStyle name="20% - Accent2 8 4 6 3" xfId="26015" xr:uid="{00000000-0005-0000-0000-0000260D0000}"/>
    <cellStyle name="20% - Accent2 8 4 7" xfId="11150" xr:uid="{00000000-0005-0000-0000-0000270D0000}"/>
    <cellStyle name="20% - Accent2 8 4 7 2" xfId="28878" xr:uid="{00000000-0005-0000-0000-0000280D0000}"/>
    <cellStyle name="20% - Accent2 8 4 8" xfId="23150" xr:uid="{00000000-0005-0000-0000-0000290D0000}"/>
    <cellStyle name="20% - Accent2 8 4 9" xfId="51704" xr:uid="{00000000-0005-0000-0000-00002A0D0000}"/>
    <cellStyle name="20% - Accent2 8 5" xfId="323" xr:uid="{00000000-0005-0000-0000-00002B0D0000}"/>
    <cellStyle name="20% - Accent2 8 5 2" xfId="3558" xr:uid="{00000000-0005-0000-0000-00002C0D0000}"/>
    <cellStyle name="20% - Accent2 8 5 2 2" xfId="8180" xr:uid="{00000000-0005-0000-0000-00002D0D0000}"/>
    <cellStyle name="20% - Accent2 8 5 2 2 2" xfId="15976" xr:uid="{00000000-0005-0000-0000-00002E0D0000}"/>
    <cellStyle name="20% - Accent2 8 5 2 2 2 2" xfId="33611" xr:uid="{00000000-0005-0000-0000-00002F0D0000}"/>
    <cellStyle name="20% - Accent2 8 5 2 2 3" xfId="26594" xr:uid="{00000000-0005-0000-0000-0000300D0000}"/>
    <cellStyle name="20% - Accent2 8 5 2 3" xfId="12291" xr:uid="{00000000-0005-0000-0000-0000310D0000}"/>
    <cellStyle name="20% - Accent2 8 5 2 3 2" xfId="29962" xr:uid="{00000000-0005-0000-0000-0000320D0000}"/>
    <cellStyle name="20% - Accent2 8 5 2 4" xfId="23729" xr:uid="{00000000-0005-0000-0000-0000330D0000}"/>
    <cellStyle name="20% - Accent2 8 5 3" xfId="5583" xr:uid="{00000000-0005-0000-0000-0000340D0000}"/>
    <cellStyle name="20% - Accent2 8 5 3 2" xfId="8883" xr:uid="{00000000-0005-0000-0000-0000350D0000}"/>
    <cellStyle name="20% - Accent2 8 5 3 2 2" xfId="16678" xr:uid="{00000000-0005-0000-0000-0000360D0000}"/>
    <cellStyle name="20% - Accent2 8 5 3 2 2 2" xfId="34314" xr:uid="{00000000-0005-0000-0000-0000370D0000}"/>
    <cellStyle name="20% - Accent2 8 5 3 2 3" xfId="27271" xr:uid="{00000000-0005-0000-0000-0000380D0000}"/>
    <cellStyle name="20% - Accent2 8 5 3 3" xfId="13439" xr:uid="{00000000-0005-0000-0000-0000390D0000}"/>
    <cellStyle name="20% - Accent2 8 5 3 3 2" xfId="31079" xr:uid="{00000000-0005-0000-0000-00003A0D0000}"/>
    <cellStyle name="20% - Accent2 8 5 3 4" xfId="24406" xr:uid="{00000000-0005-0000-0000-00003B0D0000}"/>
    <cellStyle name="20% - Accent2 8 5 4" xfId="6213" xr:uid="{00000000-0005-0000-0000-00003C0D0000}"/>
    <cellStyle name="20% - Accent2 8 5 4 2" xfId="9423" xr:uid="{00000000-0005-0000-0000-00003D0D0000}"/>
    <cellStyle name="20% - Accent2 8 5 4 2 2" xfId="17217" xr:uid="{00000000-0005-0000-0000-00003E0D0000}"/>
    <cellStyle name="20% - Accent2 8 5 4 2 2 2" xfId="34854" xr:uid="{00000000-0005-0000-0000-00003F0D0000}"/>
    <cellStyle name="20% - Accent2 8 5 4 2 3" xfId="27807" xr:uid="{00000000-0005-0000-0000-0000400D0000}"/>
    <cellStyle name="20% - Accent2 8 5 4 3" xfId="14002" xr:uid="{00000000-0005-0000-0000-0000410D0000}"/>
    <cellStyle name="20% - Accent2 8 5 4 3 2" xfId="31637" xr:uid="{00000000-0005-0000-0000-0000420D0000}"/>
    <cellStyle name="20% - Accent2 8 5 4 4" xfId="24943" xr:uid="{00000000-0005-0000-0000-0000430D0000}"/>
    <cellStyle name="20% - Accent2 8 5 5" xfId="6751" xr:uid="{00000000-0005-0000-0000-0000440D0000}"/>
    <cellStyle name="20% - Accent2 8 5 5 2" xfId="9961" xr:uid="{00000000-0005-0000-0000-0000450D0000}"/>
    <cellStyle name="20% - Accent2 8 5 5 2 2" xfId="17754" xr:uid="{00000000-0005-0000-0000-0000460D0000}"/>
    <cellStyle name="20% - Accent2 8 5 5 2 2 2" xfId="35391" xr:uid="{00000000-0005-0000-0000-0000470D0000}"/>
    <cellStyle name="20% - Accent2 8 5 5 2 3" xfId="28344" xr:uid="{00000000-0005-0000-0000-0000480D0000}"/>
    <cellStyle name="20% - Accent2 8 5 5 3" xfId="14539" xr:uid="{00000000-0005-0000-0000-0000490D0000}"/>
    <cellStyle name="20% - Accent2 8 5 5 3 2" xfId="32174" xr:uid="{00000000-0005-0000-0000-00004A0D0000}"/>
    <cellStyle name="20% - Accent2 8 5 5 4" xfId="25481" xr:uid="{00000000-0005-0000-0000-00004B0D0000}"/>
    <cellStyle name="20% - Accent2 8 5 6" xfId="7583" xr:uid="{00000000-0005-0000-0000-00004C0D0000}"/>
    <cellStyle name="20% - Accent2 8 5 6 2" xfId="15380" xr:uid="{00000000-0005-0000-0000-00004D0D0000}"/>
    <cellStyle name="20% - Accent2 8 5 6 2 2" xfId="33015" xr:uid="{00000000-0005-0000-0000-00004E0D0000}"/>
    <cellStyle name="20% - Accent2 8 5 6 3" xfId="26016" xr:uid="{00000000-0005-0000-0000-00004F0D0000}"/>
    <cellStyle name="20% - Accent2 8 5 7" xfId="11151" xr:uid="{00000000-0005-0000-0000-0000500D0000}"/>
    <cellStyle name="20% - Accent2 8 5 7 2" xfId="28879" xr:uid="{00000000-0005-0000-0000-0000510D0000}"/>
    <cellStyle name="20% - Accent2 8 5 8" xfId="23151" xr:uid="{00000000-0005-0000-0000-0000520D0000}"/>
    <cellStyle name="20% - Accent2 8 5 9" xfId="51705" xr:uid="{00000000-0005-0000-0000-0000530D0000}"/>
    <cellStyle name="20% - Accent2 8 6" xfId="324" xr:uid="{00000000-0005-0000-0000-0000540D0000}"/>
    <cellStyle name="20% - Accent2 8 6 2" xfId="3559" xr:uid="{00000000-0005-0000-0000-0000550D0000}"/>
    <cellStyle name="20% - Accent2 8 6 2 2" xfId="8181" xr:uid="{00000000-0005-0000-0000-0000560D0000}"/>
    <cellStyle name="20% - Accent2 8 6 2 2 2" xfId="15977" xr:uid="{00000000-0005-0000-0000-0000570D0000}"/>
    <cellStyle name="20% - Accent2 8 6 2 2 2 2" xfId="33612" xr:uid="{00000000-0005-0000-0000-0000580D0000}"/>
    <cellStyle name="20% - Accent2 8 6 2 2 3" xfId="26595" xr:uid="{00000000-0005-0000-0000-0000590D0000}"/>
    <cellStyle name="20% - Accent2 8 6 2 3" xfId="12292" xr:uid="{00000000-0005-0000-0000-00005A0D0000}"/>
    <cellStyle name="20% - Accent2 8 6 2 3 2" xfId="29963" xr:uid="{00000000-0005-0000-0000-00005B0D0000}"/>
    <cellStyle name="20% - Accent2 8 6 2 4" xfId="23730" xr:uid="{00000000-0005-0000-0000-00005C0D0000}"/>
    <cellStyle name="20% - Accent2 8 6 3" xfId="5584" xr:uid="{00000000-0005-0000-0000-00005D0D0000}"/>
    <cellStyle name="20% - Accent2 8 6 3 2" xfId="8884" xr:uid="{00000000-0005-0000-0000-00005E0D0000}"/>
    <cellStyle name="20% - Accent2 8 6 3 2 2" xfId="16679" xr:uid="{00000000-0005-0000-0000-00005F0D0000}"/>
    <cellStyle name="20% - Accent2 8 6 3 2 2 2" xfId="34315" xr:uid="{00000000-0005-0000-0000-0000600D0000}"/>
    <cellStyle name="20% - Accent2 8 6 3 2 3" xfId="27272" xr:uid="{00000000-0005-0000-0000-0000610D0000}"/>
    <cellStyle name="20% - Accent2 8 6 3 3" xfId="13440" xr:uid="{00000000-0005-0000-0000-0000620D0000}"/>
    <cellStyle name="20% - Accent2 8 6 3 3 2" xfId="31080" xr:uid="{00000000-0005-0000-0000-0000630D0000}"/>
    <cellStyle name="20% - Accent2 8 6 3 4" xfId="24407" xr:uid="{00000000-0005-0000-0000-0000640D0000}"/>
    <cellStyle name="20% - Accent2 8 6 4" xfId="6214" xr:uid="{00000000-0005-0000-0000-0000650D0000}"/>
    <cellStyle name="20% - Accent2 8 6 4 2" xfId="9424" xr:uid="{00000000-0005-0000-0000-0000660D0000}"/>
    <cellStyle name="20% - Accent2 8 6 4 2 2" xfId="17218" xr:uid="{00000000-0005-0000-0000-0000670D0000}"/>
    <cellStyle name="20% - Accent2 8 6 4 2 2 2" xfId="34855" xr:uid="{00000000-0005-0000-0000-0000680D0000}"/>
    <cellStyle name="20% - Accent2 8 6 4 2 3" xfId="27808" xr:uid="{00000000-0005-0000-0000-0000690D0000}"/>
    <cellStyle name="20% - Accent2 8 6 4 3" xfId="14003" xr:uid="{00000000-0005-0000-0000-00006A0D0000}"/>
    <cellStyle name="20% - Accent2 8 6 4 3 2" xfId="31638" xr:uid="{00000000-0005-0000-0000-00006B0D0000}"/>
    <cellStyle name="20% - Accent2 8 6 4 4" xfId="24944" xr:uid="{00000000-0005-0000-0000-00006C0D0000}"/>
    <cellStyle name="20% - Accent2 8 6 5" xfId="6752" xr:uid="{00000000-0005-0000-0000-00006D0D0000}"/>
    <cellStyle name="20% - Accent2 8 6 5 2" xfId="9962" xr:uid="{00000000-0005-0000-0000-00006E0D0000}"/>
    <cellStyle name="20% - Accent2 8 6 5 2 2" xfId="17755" xr:uid="{00000000-0005-0000-0000-00006F0D0000}"/>
    <cellStyle name="20% - Accent2 8 6 5 2 2 2" xfId="35392" xr:uid="{00000000-0005-0000-0000-0000700D0000}"/>
    <cellStyle name="20% - Accent2 8 6 5 2 3" xfId="28345" xr:uid="{00000000-0005-0000-0000-0000710D0000}"/>
    <cellStyle name="20% - Accent2 8 6 5 3" xfId="14540" xr:uid="{00000000-0005-0000-0000-0000720D0000}"/>
    <cellStyle name="20% - Accent2 8 6 5 3 2" xfId="32175" xr:uid="{00000000-0005-0000-0000-0000730D0000}"/>
    <cellStyle name="20% - Accent2 8 6 5 4" xfId="25482" xr:uid="{00000000-0005-0000-0000-0000740D0000}"/>
    <cellStyle name="20% - Accent2 8 6 6" xfId="7584" xr:uid="{00000000-0005-0000-0000-0000750D0000}"/>
    <cellStyle name="20% - Accent2 8 6 6 2" xfId="15381" xr:uid="{00000000-0005-0000-0000-0000760D0000}"/>
    <cellStyle name="20% - Accent2 8 6 6 2 2" xfId="33016" xr:uid="{00000000-0005-0000-0000-0000770D0000}"/>
    <cellStyle name="20% - Accent2 8 6 6 3" xfId="26017" xr:uid="{00000000-0005-0000-0000-0000780D0000}"/>
    <cellStyle name="20% - Accent2 8 6 7" xfId="11152" xr:uid="{00000000-0005-0000-0000-0000790D0000}"/>
    <cellStyle name="20% - Accent2 8 6 7 2" xfId="28880" xr:uid="{00000000-0005-0000-0000-00007A0D0000}"/>
    <cellStyle name="20% - Accent2 8 6 8" xfId="23152" xr:uid="{00000000-0005-0000-0000-00007B0D0000}"/>
    <cellStyle name="20% - Accent2 8 6 9" xfId="51706" xr:uid="{00000000-0005-0000-0000-00007C0D0000}"/>
    <cellStyle name="20% - Accent2 8 7" xfId="325" xr:uid="{00000000-0005-0000-0000-00007D0D0000}"/>
    <cellStyle name="20% - Accent2 8 7 10" xfId="51707" xr:uid="{00000000-0005-0000-0000-00007E0D0000}"/>
    <cellStyle name="20% - Accent2 8 7 2" xfId="326" xr:uid="{00000000-0005-0000-0000-00007F0D0000}"/>
    <cellStyle name="20% - Accent2 8 7 2 2" xfId="8183" xr:uid="{00000000-0005-0000-0000-0000800D0000}"/>
    <cellStyle name="20% - Accent2 8 7 2 2 2" xfId="15979" xr:uid="{00000000-0005-0000-0000-0000810D0000}"/>
    <cellStyle name="20% - Accent2 8 7 2 2 2 2" xfId="33614" xr:uid="{00000000-0005-0000-0000-0000820D0000}"/>
    <cellStyle name="20% - Accent2 8 7 2 2 3" xfId="26597" xr:uid="{00000000-0005-0000-0000-0000830D0000}"/>
    <cellStyle name="20% - Accent2 8 7 2 3" xfId="12294" xr:uid="{00000000-0005-0000-0000-0000840D0000}"/>
    <cellStyle name="20% - Accent2 8 7 2 3 2" xfId="29965" xr:uid="{00000000-0005-0000-0000-0000850D0000}"/>
    <cellStyle name="20% - Accent2 8 7 2 4" xfId="23732" xr:uid="{00000000-0005-0000-0000-0000860D0000}"/>
    <cellStyle name="20% - Accent2 8 7 3" xfId="3560" xr:uid="{00000000-0005-0000-0000-0000870D0000}"/>
    <cellStyle name="20% - Accent2 8 7 3 2" xfId="8182" xr:uid="{00000000-0005-0000-0000-0000880D0000}"/>
    <cellStyle name="20% - Accent2 8 7 3 2 2" xfId="15978" xr:uid="{00000000-0005-0000-0000-0000890D0000}"/>
    <cellStyle name="20% - Accent2 8 7 3 2 2 2" xfId="33613" xr:uid="{00000000-0005-0000-0000-00008A0D0000}"/>
    <cellStyle name="20% - Accent2 8 7 3 2 3" xfId="26596" xr:uid="{00000000-0005-0000-0000-00008B0D0000}"/>
    <cellStyle name="20% - Accent2 8 7 3 3" xfId="12293" xr:uid="{00000000-0005-0000-0000-00008C0D0000}"/>
    <cellStyle name="20% - Accent2 8 7 3 3 2" xfId="29964" xr:uid="{00000000-0005-0000-0000-00008D0D0000}"/>
    <cellStyle name="20% - Accent2 8 7 3 4" xfId="23731" xr:uid="{00000000-0005-0000-0000-00008E0D0000}"/>
    <cellStyle name="20% - Accent2 8 7 4" xfId="5585" xr:uid="{00000000-0005-0000-0000-00008F0D0000}"/>
    <cellStyle name="20% - Accent2 8 7 4 2" xfId="8885" xr:uid="{00000000-0005-0000-0000-0000900D0000}"/>
    <cellStyle name="20% - Accent2 8 7 4 2 2" xfId="16680" xr:uid="{00000000-0005-0000-0000-0000910D0000}"/>
    <cellStyle name="20% - Accent2 8 7 4 2 2 2" xfId="34316" xr:uid="{00000000-0005-0000-0000-0000920D0000}"/>
    <cellStyle name="20% - Accent2 8 7 4 2 3" xfId="27273" xr:uid="{00000000-0005-0000-0000-0000930D0000}"/>
    <cellStyle name="20% - Accent2 8 7 4 3" xfId="13441" xr:uid="{00000000-0005-0000-0000-0000940D0000}"/>
    <cellStyle name="20% - Accent2 8 7 4 3 2" xfId="31081" xr:uid="{00000000-0005-0000-0000-0000950D0000}"/>
    <cellStyle name="20% - Accent2 8 7 4 4" xfId="24408" xr:uid="{00000000-0005-0000-0000-0000960D0000}"/>
    <cellStyle name="20% - Accent2 8 7 5" xfId="6215" xr:uid="{00000000-0005-0000-0000-0000970D0000}"/>
    <cellStyle name="20% - Accent2 8 7 5 2" xfId="9425" xr:uid="{00000000-0005-0000-0000-0000980D0000}"/>
    <cellStyle name="20% - Accent2 8 7 5 2 2" xfId="17219" xr:uid="{00000000-0005-0000-0000-0000990D0000}"/>
    <cellStyle name="20% - Accent2 8 7 5 2 2 2" xfId="34856" xr:uid="{00000000-0005-0000-0000-00009A0D0000}"/>
    <cellStyle name="20% - Accent2 8 7 5 2 3" xfId="27809" xr:uid="{00000000-0005-0000-0000-00009B0D0000}"/>
    <cellStyle name="20% - Accent2 8 7 5 3" xfId="14004" xr:uid="{00000000-0005-0000-0000-00009C0D0000}"/>
    <cellStyle name="20% - Accent2 8 7 5 3 2" xfId="31639" xr:uid="{00000000-0005-0000-0000-00009D0D0000}"/>
    <cellStyle name="20% - Accent2 8 7 5 4" xfId="24945" xr:uid="{00000000-0005-0000-0000-00009E0D0000}"/>
    <cellStyle name="20% - Accent2 8 7 6" xfId="6753" xr:uid="{00000000-0005-0000-0000-00009F0D0000}"/>
    <cellStyle name="20% - Accent2 8 7 6 2" xfId="9963" xr:uid="{00000000-0005-0000-0000-0000A00D0000}"/>
    <cellStyle name="20% - Accent2 8 7 6 2 2" xfId="17756" xr:uid="{00000000-0005-0000-0000-0000A10D0000}"/>
    <cellStyle name="20% - Accent2 8 7 6 2 2 2" xfId="35393" xr:uid="{00000000-0005-0000-0000-0000A20D0000}"/>
    <cellStyle name="20% - Accent2 8 7 6 2 3" xfId="28346" xr:uid="{00000000-0005-0000-0000-0000A30D0000}"/>
    <cellStyle name="20% - Accent2 8 7 6 3" xfId="14541" xr:uid="{00000000-0005-0000-0000-0000A40D0000}"/>
    <cellStyle name="20% - Accent2 8 7 6 3 2" xfId="32176" xr:uid="{00000000-0005-0000-0000-0000A50D0000}"/>
    <cellStyle name="20% - Accent2 8 7 6 4" xfId="25483" xr:uid="{00000000-0005-0000-0000-0000A60D0000}"/>
    <cellStyle name="20% - Accent2 8 7 7" xfId="7585" xr:uid="{00000000-0005-0000-0000-0000A70D0000}"/>
    <cellStyle name="20% - Accent2 8 7 7 2" xfId="15382" xr:uid="{00000000-0005-0000-0000-0000A80D0000}"/>
    <cellStyle name="20% - Accent2 8 7 7 2 2" xfId="33017" xr:uid="{00000000-0005-0000-0000-0000A90D0000}"/>
    <cellStyle name="20% - Accent2 8 7 7 3" xfId="26018" xr:uid="{00000000-0005-0000-0000-0000AA0D0000}"/>
    <cellStyle name="20% - Accent2 8 7 8" xfId="11153" xr:uid="{00000000-0005-0000-0000-0000AB0D0000}"/>
    <cellStyle name="20% - Accent2 8 7 8 2" xfId="28881" xr:uid="{00000000-0005-0000-0000-0000AC0D0000}"/>
    <cellStyle name="20% - Accent2 8 7 9" xfId="23153" xr:uid="{00000000-0005-0000-0000-0000AD0D0000}"/>
    <cellStyle name="20% - Accent2 8 8" xfId="3561" xr:uid="{00000000-0005-0000-0000-0000AE0D0000}"/>
    <cellStyle name="20% - Accent2 8 8 2" xfId="8184" xr:uid="{00000000-0005-0000-0000-0000AF0D0000}"/>
    <cellStyle name="20% - Accent2 8 8 2 2" xfId="15980" xr:uid="{00000000-0005-0000-0000-0000B00D0000}"/>
    <cellStyle name="20% - Accent2 8 8 2 2 2" xfId="33615" xr:uid="{00000000-0005-0000-0000-0000B10D0000}"/>
    <cellStyle name="20% - Accent2 8 8 2 3" xfId="26598" xr:uid="{00000000-0005-0000-0000-0000B20D0000}"/>
    <cellStyle name="20% - Accent2 8 8 3" xfId="12295" xr:uid="{00000000-0005-0000-0000-0000B30D0000}"/>
    <cellStyle name="20% - Accent2 8 8 3 2" xfId="29966" xr:uid="{00000000-0005-0000-0000-0000B40D0000}"/>
    <cellStyle name="20% - Accent2 8 8 4" xfId="23733" xr:uid="{00000000-0005-0000-0000-0000B50D0000}"/>
    <cellStyle name="20% - Accent2 8 9" xfId="3562" xr:uid="{00000000-0005-0000-0000-0000B60D0000}"/>
    <cellStyle name="20% - Accent2 8 9 2" xfId="8185" xr:uid="{00000000-0005-0000-0000-0000B70D0000}"/>
    <cellStyle name="20% - Accent2 8 9 2 2" xfId="15981" xr:uid="{00000000-0005-0000-0000-0000B80D0000}"/>
    <cellStyle name="20% - Accent2 8 9 2 2 2" xfId="33616" xr:uid="{00000000-0005-0000-0000-0000B90D0000}"/>
    <cellStyle name="20% - Accent2 8 9 2 3" xfId="26599" xr:uid="{00000000-0005-0000-0000-0000BA0D0000}"/>
    <cellStyle name="20% - Accent2 8 9 3" xfId="12296" xr:uid="{00000000-0005-0000-0000-0000BB0D0000}"/>
    <cellStyle name="20% - Accent2 8 9 3 2" xfId="29967" xr:uid="{00000000-0005-0000-0000-0000BC0D0000}"/>
    <cellStyle name="20% - Accent2 8 9 4" xfId="23734" xr:uid="{00000000-0005-0000-0000-0000BD0D0000}"/>
    <cellStyle name="20% - Accent2 9" xfId="327" xr:uid="{00000000-0005-0000-0000-0000BE0D0000}"/>
    <cellStyle name="20% - Accent2 9 10" xfId="3563" xr:uid="{00000000-0005-0000-0000-0000BF0D0000}"/>
    <cellStyle name="20% - Accent2 9 10 2" xfId="8186" xr:uid="{00000000-0005-0000-0000-0000C00D0000}"/>
    <cellStyle name="20% - Accent2 9 10 2 2" xfId="15982" xr:uid="{00000000-0005-0000-0000-0000C10D0000}"/>
    <cellStyle name="20% - Accent2 9 10 2 2 2" xfId="33617" xr:uid="{00000000-0005-0000-0000-0000C20D0000}"/>
    <cellStyle name="20% - Accent2 9 10 2 3" xfId="26600" xr:uid="{00000000-0005-0000-0000-0000C30D0000}"/>
    <cellStyle name="20% - Accent2 9 10 3" xfId="12297" xr:uid="{00000000-0005-0000-0000-0000C40D0000}"/>
    <cellStyle name="20% - Accent2 9 10 3 2" xfId="29968" xr:uid="{00000000-0005-0000-0000-0000C50D0000}"/>
    <cellStyle name="20% - Accent2 9 10 4" xfId="23735" xr:uid="{00000000-0005-0000-0000-0000C60D0000}"/>
    <cellStyle name="20% - Accent2 9 11" xfId="5586" xr:uid="{00000000-0005-0000-0000-0000C70D0000}"/>
    <cellStyle name="20% - Accent2 9 11 2" xfId="8886" xr:uid="{00000000-0005-0000-0000-0000C80D0000}"/>
    <cellStyle name="20% - Accent2 9 11 2 2" xfId="16681" xr:uid="{00000000-0005-0000-0000-0000C90D0000}"/>
    <cellStyle name="20% - Accent2 9 11 2 2 2" xfId="34317" xr:uid="{00000000-0005-0000-0000-0000CA0D0000}"/>
    <cellStyle name="20% - Accent2 9 11 2 3" xfId="27274" xr:uid="{00000000-0005-0000-0000-0000CB0D0000}"/>
    <cellStyle name="20% - Accent2 9 11 3" xfId="13442" xr:uid="{00000000-0005-0000-0000-0000CC0D0000}"/>
    <cellStyle name="20% - Accent2 9 11 3 2" xfId="31082" xr:uid="{00000000-0005-0000-0000-0000CD0D0000}"/>
    <cellStyle name="20% - Accent2 9 11 4" xfId="24409" xr:uid="{00000000-0005-0000-0000-0000CE0D0000}"/>
    <cellStyle name="20% - Accent2 9 12" xfId="6216" xr:uid="{00000000-0005-0000-0000-0000CF0D0000}"/>
    <cellStyle name="20% - Accent2 9 12 2" xfId="9426" xr:uid="{00000000-0005-0000-0000-0000D00D0000}"/>
    <cellStyle name="20% - Accent2 9 12 2 2" xfId="17220" xr:uid="{00000000-0005-0000-0000-0000D10D0000}"/>
    <cellStyle name="20% - Accent2 9 12 2 2 2" xfId="34857" xr:uid="{00000000-0005-0000-0000-0000D20D0000}"/>
    <cellStyle name="20% - Accent2 9 12 2 3" xfId="27810" xr:uid="{00000000-0005-0000-0000-0000D30D0000}"/>
    <cellStyle name="20% - Accent2 9 12 3" xfId="14005" xr:uid="{00000000-0005-0000-0000-0000D40D0000}"/>
    <cellStyle name="20% - Accent2 9 12 3 2" xfId="31640" xr:uid="{00000000-0005-0000-0000-0000D50D0000}"/>
    <cellStyle name="20% - Accent2 9 12 4" xfId="24946" xr:uid="{00000000-0005-0000-0000-0000D60D0000}"/>
    <cellStyle name="20% - Accent2 9 13" xfId="6754" xr:uid="{00000000-0005-0000-0000-0000D70D0000}"/>
    <cellStyle name="20% - Accent2 9 13 2" xfId="9964" xr:uid="{00000000-0005-0000-0000-0000D80D0000}"/>
    <cellStyle name="20% - Accent2 9 13 2 2" xfId="17757" xr:uid="{00000000-0005-0000-0000-0000D90D0000}"/>
    <cellStyle name="20% - Accent2 9 13 2 2 2" xfId="35394" xr:uid="{00000000-0005-0000-0000-0000DA0D0000}"/>
    <cellStyle name="20% - Accent2 9 13 2 3" xfId="28347" xr:uid="{00000000-0005-0000-0000-0000DB0D0000}"/>
    <cellStyle name="20% - Accent2 9 13 3" xfId="14542" xr:uid="{00000000-0005-0000-0000-0000DC0D0000}"/>
    <cellStyle name="20% - Accent2 9 13 3 2" xfId="32177" xr:uid="{00000000-0005-0000-0000-0000DD0D0000}"/>
    <cellStyle name="20% - Accent2 9 13 4" xfId="25484" xr:uid="{00000000-0005-0000-0000-0000DE0D0000}"/>
    <cellStyle name="20% - Accent2 9 14" xfId="7586" xr:uid="{00000000-0005-0000-0000-0000DF0D0000}"/>
    <cellStyle name="20% - Accent2 9 14 2" xfId="15383" xr:uid="{00000000-0005-0000-0000-0000E00D0000}"/>
    <cellStyle name="20% - Accent2 9 14 2 2" xfId="33018" xr:uid="{00000000-0005-0000-0000-0000E10D0000}"/>
    <cellStyle name="20% - Accent2 9 14 3" xfId="26019" xr:uid="{00000000-0005-0000-0000-0000E20D0000}"/>
    <cellStyle name="20% - Accent2 9 15" xfId="11154" xr:uid="{00000000-0005-0000-0000-0000E30D0000}"/>
    <cellStyle name="20% - Accent2 9 15 2" xfId="28882" xr:uid="{00000000-0005-0000-0000-0000E40D0000}"/>
    <cellStyle name="20% - Accent2 9 16" xfId="22049" xr:uid="{00000000-0005-0000-0000-0000E50D0000}"/>
    <cellStyle name="20% - Accent2 9 16 2" xfId="38763" xr:uid="{00000000-0005-0000-0000-0000E60D0000}"/>
    <cellStyle name="20% - Accent2 9 17" xfId="23154" xr:uid="{00000000-0005-0000-0000-0000E70D0000}"/>
    <cellStyle name="20% - Accent2 9 18" xfId="51708" xr:uid="{00000000-0005-0000-0000-0000E80D0000}"/>
    <cellStyle name="20% - Accent2 9 2" xfId="328" xr:uid="{00000000-0005-0000-0000-0000E90D0000}"/>
    <cellStyle name="20% - Accent2 9 2 10" xfId="51709" xr:uid="{00000000-0005-0000-0000-0000EA0D0000}"/>
    <cellStyle name="20% - Accent2 9 2 2" xfId="3564" xr:uid="{00000000-0005-0000-0000-0000EB0D0000}"/>
    <cellStyle name="20% - Accent2 9 2 2 2" xfId="8187" xr:uid="{00000000-0005-0000-0000-0000EC0D0000}"/>
    <cellStyle name="20% - Accent2 9 2 2 2 2" xfId="15983" xr:uid="{00000000-0005-0000-0000-0000ED0D0000}"/>
    <cellStyle name="20% - Accent2 9 2 2 2 2 2" xfId="33618" xr:uid="{00000000-0005-0000-0000-0000EE0D0000}"/>
    <cellStyle name="20% - Accent2 9 2 2 2 3" xfId="26601" xr:uid="{00000000-0005-0000-0000-0000EF0D0000}"/>
    <cellStyle name="20% - Accent2 9 2 2 3" xfId="12298" xr:uid="{00000000-0005-0000-0000-0000F00D0000}"/>
    <cellStyle name="20% - Accent2 9 2 2 3 2" xfId="29969" xr:uid="{00000000-0005-0000-0000-0000F10D0000}"/>
    <cellStyle name="20% - Accent2 9 2 2 4" xfId="23736" xr:uid="{00000000-0005-0000-0000-0000F20D0000}"/>
    <cellStyle name="20% - Accent2 9 2 3" xfId="5587" xr:uid="{00000000-0005-0000-0000-0000F30D0000}"/>
    <cellStyle name="20% - Accent2 9 2 3 2" xfId="8887" xr:uid="{00000000-0005-0000-0000-0000F40D0000}"/>
    <cellStyle name="20% - Accent2 9 2 3 2 2" xfId="16682" xr:uid="{00000000-0005-0000-0000-0000F50D0000}"/>
    <cellStyle name="20% - Accent2 9 2 3 2 2 2" xfId="34318" xr:uid="{00000000-0005-0000-0000-0000F60D0000}"/>
    <cellStyle name="20% - Accent2 9 2 3 2 3" xfId="27275" xr:uid="{00000000-0005-0000-0000-0000F70D0000}"/>
    <cellStyle name="20% - Accent2 9 2 3 3" xfId="13443" xr:uid="{00000000-0005-0000-0000-0000F80D0000}"/>
    <cellStyle name="20% - Accent2 9 2 3 3 2" xfId="31083" xr:uid="{00000000-0005-0000-0000-0000F90D0000}"/>
    <cellStyle name="20% - Accent2 9 2 3 4" xfId="24410" xr:uid="{00000000-0005-0000-0000-0000FA0D0000}"/>
    <cellStyle name="20% - Accent2 9 2 4" xfId="6217" xr:uid="{00000000-0005-0000-0000-0000FB0D0000}"/>
    <cellStyle name="20% - Accent2 9 2 4 2" xfId="9427" xr:uid="{00000000-0005-0000-0000-0000FC0D0000}"/>
    <cellStyle name="20% - Accent2 9 2 4 2 2" xfId="17221" xr:uid="{00000000-0005-0000-0000-0000FD0D0000}"/>
    <cellStyle name="20% - Accent2 9 2 4 2 2 2" xfId="34858" xr:uid="{00000000-0005-0000-0000-0000FE0D0000}"/>
    <cellStyle name="20% - Accent2 9 2 4 2 3" xfId="27811" xr:uid="{00000000-0005-0000-0000-0000FF0D0000}"/>
    <cellStyle name="20% - Accent2 9 2 4 3" xfId="14006" xr:uid="{00000000-0005-0000-0000-0000000E0000}"/>
    <cellStyle name="20% - Accent2 9 2 4 3 2" xfId="31641" xr:uid="{00000000-0005-0000-0000-0000010E0000}"/>
    <cellStyle name="20% - Accent2 9 2 4 4" xfId="24947" xr:uid="{00000000-0005-0000-0000-0000020E0000}"/>
    <cellStyle name="20% - Accent2 9 2 5" xfId="6755" xr:uid="{00000000-0005-0000-0000-0000030E0000}"/>
    <cellStyle name="20% - Accent2 9 2 5 2" xfId="9965" xr:uid="{00000000-0005-0000-0000-0000040E0000}"/>
    <cellStyle name="20% - Accent2 9 2 5 2 2" xfId="17758" xr:uid="{00000000-0005-0000-0000-0000050E0000}"/>
    <cellStyle name="20% - Accent2 9 2 5 2 2 2" xfId="35395" xr:uid="{00000000-0005-0000-0000-0000060E0000}"/>
    <cellStyle name="20% - Accent2 9 2 5 2 3" xfId="28348" xr:uid="{00000000-0005-0000-0000-0000070E0000}"/>
    <cellStyle name="20% - Accent2 9 2 5 3" xfId="14543" xr:uid="{00000000-0005-0000-0000-0000080E0000}"/>
    <cellStyle name="20% - Accent2 9 2 5 3 2" xfId="32178" xr:uid="{00000000-0005-0000-0000-0000090E0000}"/>
    <cellStyle name="20% - Accent2 9 2 5 4" xfId="25485" xr:uid="{00000000-0005-0000-0000-00000A0E0000}"/>
    <cellStyle name="20% - Accent2 9 2 6" xfId="7587" xr:uid="{00000000-0005-0000-0000-00000B0E0000}"/>
    <cellStyle name="20% - Accent2 9 2 6 2" xfId="15384" xr:uid="{00000000-0005-0000-0000-00000C0E0000}"/>
    <cellStyle name="20% - Accent2 9 2 6 2 2" xfId="33019" xr:uid="{00000000-0005-0000-0000-00000D0E0000}"/>
    <cellStyle name="20% - Accent2 9 2 6 3" xfId="26020" xr:uid="{00000000-0005-0000-0000-00000E0E0000}"/>
    <cellStyle name="20% - Accent2 9 2 7" xfId="11155" xr:uid="{00000000-0005-0000-0000-00000F0E0000}"/>
    <cellStyle name="20% - Accent2 9 2 7 2" xfId="28883" xr:uid="{00000000-0005-0000-0000-0000100E0000}"/>
    <cellStyle name="20% - Accent2 9 2 8" xfId="22717" xr:uid="{00000000-0005-0000-0000-0000110E0000}"/>
    <cellStyle name="20% - Accent2 9 2 8 2" xfId="38927" xr:uid="{00000000-0005-0000-0000-0000120E0000}"/>
    <cellStyle name="20% - Accent2 9 2 9" xfId="23155" xr:uid="{00000000-0005-0000-0000-0000130E0000}"/>
    <cellStyle name="20% - Accent2 9 3" xfId="329" xr:uid="{00000000-0005-0000-0000-0000140E0000}"/>
    <cellStyle name="20% - Accent2 9 3 10" xfId="23156" xr:uid="{00000000-0005-0000-0000-0000150E0000}"/>
    <cellStyle name="20% - Accent2 9 3 11" xfId="51710" xr:uid="{00000000-0005-0000-0000-0000160E0000}"/>
    <cellStyle name="20% - Accent2 9 3 2" xfId="330" xr:uid="{00000000-0005-0000-0000-0000170E0000}"/>
    <cellStyle name="20% - Accent2 9 3 2 2" xfId="3566" xr:uid="{00000000-0005-0000-0000-0000180E0000}"/>
    <cellStyle name="20% - Accent2 9 3 2 2 2" xfId="8189" xr:uid="{00000000-0005-0000-0000-0000190E0000}"/>
    <cellStyle name="20% - Accent2 9 3 2 2 2 2" xfId="15985" xr:uid="{00000000-0005-0000-0000-00001A0E0000}"/>
    <cellStyle name="20% - Accent2 9 3 2 2 2 2 2" xfId="33620" xr:uid="{00000000-0005-0000-0000-00001B0E0000}"/>
    <cellStyle name="20% - Accent2 9 3 2 2 2 3" xfId="26603" xr:uid="{00000000-0005-0000-0000-00001C0E0000}"/>
    <cellStyle name="20% - Accent2 9 3 2 2 3" xfId="12300" xr:uid="{00000000-0005-0000-0000-00001D0E0000}"/>
    <cellStyle name="20% - Accent2 9 3 2 2 3 2" xfId="29971" xr:uid="{00000000-0005-0000-0000-00001E0E0000}"/>
    <cellStyle name="20% - Accent2 9 3 2 2 4" xfId="23738" xr:uid="{00000000-0005-0000-0000-00001F0E0000}"/>
    <cellStyle name="20% - Accent2 9 3 2 3" xfId="5589" xr:uid="{00000000-0005-0000-0000-0000200E0000}"/>
    <cellStyle name="20% - Accent2 9 3 2 3 2" xfId="8889" xr:uid="{00000000-0005-0000-0000-0000210E0000}"/>
    <cellStyle name="20% - Accent2 9 3 2 3 2 2" xfId="16684" xr:uid="{00000000-0005-0000-0000-0000220E0000}"/>
    <cellStyle name="20% - Accent2 9 3 2 3 2 2 2" xfId="34320" xr:uid="{00000000-0005-0000-0000-0000230E0000}"/>
    <cellStyle name="20% - Accent2 9 3 2 3 2 3" xfId="27277" xr:uid="{00000000-0005-0000-0000-0000240E0000}"/>
    <cellStyle name="20% - Accent2 9 3 2 3 3" xfId="13445" xr:uid="{00000000-0005-0000-0000-0000250E0000}"/>
    <cellStyle name="20% - Accent2 9 3 2 3 3 2" xfId="31085" xr:uid="{00000000-0005-0000-0000-0000260E0000}"/>
    <cellStyle name="20% - Accent2 9 3 2 3 4" xfId="24412" xr:uid="{00000000-0005-0000-0000-0000270E0000}"/>
    <cellStyle name="20% - Accent2 9 3 2 4" xfId="6219" xr:uid="{00000000-0005-0000-0000-0000280E0000}"/>
    <cellStyle name="20% - Accent2 9 3 2 4 2" xfId="9429" xr:uid="{00000000-0005-0000-0000-0000290E0000}"/>
    <cellStyle name="20% - Accent2 9 3 2 4 2 2" xfId="17223" xr:uid="{00000000-0005-0000-0000-00002A0E0000}"/>
    <cellStyle name="20% - Accent2 9 3 2 4 2 2 2" xfId="34860" xr:uid="{00000000-0005-0000-0000-00002B0E0000}"/>
    <cellStyle name="20% - Accent2 9 3 2 4 2 3" xfId="27813" xr:uid="{00000000-0005-0000-0000-00002C0E0000}"/>
    <cellStyle name="20% - Accent2 9 3 2 4 3" xfId="14008" xr:uid="{00000000-0005-0000-0000-00002D0E0000}"/>
    <cellStyle name="20% - Accent2 9 3 2 4 3 2" xfId="31643" xr:uid="{00000000-0005-0000-0000-00002E0E0000}"/>
    <cellStyle name="20% - Accent2 9 3 2 4 4" xfId="24949" xr:uid="{00000000-0005-0000-0000-00002F0E0000}"/>
    <cellStyle name="20% - Accent2 9 3 2 5" xfId="6757" xr:uid="{00000000-0005-0000-0000-0000300E0000}"/>
    <cellStyle name="20% - Accent2 9 3 2 5 2" xfId="9967" xr:uid="{00000000-0005-0000-0000-0000310E0000}"/>
    <cellStyle name="20% - Accent2 9 3 2 5 2 2" xfId="17760" xr:uid="{00000000-0005-0000-0000-0000320E0000}"/>
    <cellStyle name="20% - Accent2 9 3 2 5 2 2 2" xfId="35397" xr:uid="{00000000-0005-0000-0000-0000330E0000}"/>
    <cellStyle name="20% - Accent2 9 3 2 5 2 3" xfId="28350" xr:uid="{00000000-0005-0000-0000-0000340E0000}"/>
    <cellStyle name="20% - Accent2 9 3 2 5 3" xfId="14545" xr:uid="{00000000-0005-0000-0000-0000350E0000}"/>
    <cellStyle name="20% - Accent2 9 3 2 5 3 2" xfId="32180" xr:uid="{00000000-0005-0000-0000-0000360E0000}"/>
    <cellStyle name="20% - Accent2 9 3 2 5 4" xfId="25487" xr:uid="{00000000-0005-0000-0000-0000370E0000}"/>
    <cellStyle name="20% - Accent2 9 3 2 6" xfId="7589" xr:uid="{00000000-0005-0000-0000-0000380E0000}"/>
    <cellStyle name="20% - Accent2 9 3 2 6 2" xfId="15386" xr:uid="{00000000-0005-0000-0000-0000390E0000}"/>
    <cellStyle name="20% - Accent2 9 3 2 6 2 2" xfId="33021" xr:uid="{00000000-0005-0000-0000-00003A0E0000}"/>
    <cellStyle name="20% - Accent2 9 3 2 6 3" xfId="26022" xr:uid="{00000000-0005-0000-0000-00003B0E0000}"/>
    <cellStyle name="20% - Accent2 9 3 2 7" xfId="11157" xr:uid="{00000000-0005-0000-0000-00003C0E0000}"/>
    <cellStyle name="20% - Accent2 9 3 2 7 2" xfId="28885" xr:uid="{00000000-0005-0000-0000-00003D0E0000}"/>
    <cellStyle name="20% - Accent2 9 3 2 8" xfId="23157" xr:uid="{00000000-0005-0000-0000-00003E0E0000}"/>
    <cellStyle name="20% - Accent2 9 3 2 9" xfId="51711" xr:uid="{00000000-0005-0000-0000-00003F0E0000}"/>
    <cellStyle name="20% - Accent2 9 3 3" xfId="3567" xr:uid="{00000000-0005-0000-0000-0000400E0000}"/>
    <cellStyle name="20% - Accent2 9 3 3 2" xfId="5590" xr:uid="{00000000-0005-0000-0000-0000410E0000}"/>
    <cellStyle name="20% - Accent2 9 3 3 2 2" xfId="8890" xr:uid="{00000000-0005-0000-0000-0000420E0000}"/>
    <cellStyle name="20% - Accent2 9 3 3 2 2 2" xfId="16685" xr:uid="{00000000-0005-0000-0000-0000430E0000}"/>
    <cellStyle name="20% - Accent2 9 3 3 2 2 2 2" xfId="34321" xr:uid="{00000000-0005-0000-0000-0000440E0000}"/>
    <cellStyle name="20% - Accent2 9 3 3 2 2 3" xfId="27278" xr:uid="{00000000-0005-0000-0000-0000450E0000}"/>
    <cellStyle name="20% - Accent2 9 3 3 2 3" xfId="13446" xr:uid="{00000000-0005-0000-0000-0000460E0000}"/>
    <cellStyle name="20% - Accent2 9 3 3 2 3 2" xfId="31086" xr:uid="{00000000-0005-0000-0000-0000470E0000}"/>
    <cellStyle name="20% - Accent2 9 3 3 2 4" xfId="24413" xr:uid="{00000000-0005-0000-0000-0000480E0000}"/>
    <cellStyle name="20% - Accent2 9 3 3 3" xfId="6220" xr:uid="{00000000-0005-0000-0000-0000490E0000}"/>
    <cellStyle name="20% - Accent2 9 3 3 3 2" xfId="9430" xr:uid="{00000000-0005-0000-0000-00004A0E0000}"/>
    <cellStyle name="20% - Accent2 9 3 3 3 2 2" xfId="17224" xr:uid="{00000000-0005-0000-0000-00004B0E0000}"/>
    <cellStyle name="20% - Accent2 9 3 3 3 2 2 2" xfId="34861" xr:uid="{00000000-0005-0000-0000-00004C0E0000}"/>
    <cellStyle name="20% - Accent2 9 3 3 3 2 3" xfId="27814" xr:uid="{00000000-0005-0000-0000-00004D0E0000}"/>
    <cellStyle name="20% - Accent2 9 3 3 3 3" xfId="14009" xr:uid="{00000000-0005-0000-0000-00004E0E0000}"/>
    <cellStyle name="20% - Accent2 9 3 3 3 3 2" xfId="31644" xr:uid="{00000000-0005-0000-0000-00004F0E0000}"/>
    <cellStyle name="20% - Accent2 9 3 3 3 4" xfId="24950" xr:uid="{00000000-0005-0000-0000-0000500E0000}"/>
    <cellStyle name="20% - Accent2 9 3 3 4" xfId="6758" xr:uid="{00000000-0005-0000-0000-0000510E0000}"/>
    <cellStyle name="20% - Accent2 9 3 3 4 2" xfId="9968" xr:uid="{00000000-0005-0000-0000-0000520E0000}"/>
    <cellStyle name="20% - Accent2 9 3 3 4 2 2" xfId="17761" xr:uid="{00000000-0005-0000-0000-0000530E0000}"/>
    <cellStyle name="20% - Accent2 9 3 3 4 2 2 2" xfId="35398" xr:uid="{00000000-0005-0000-0000-0000540E0000}"/>
    <cellStyle name="20% - Accent2 9 3 3 4 2 3" xfId="28351" xr:uid="{00000000-0005-0000-0000-0000550E0000}"/>
    <cellStyle name="20% - Accent2 9 3 3 4 3" xfId="14546" xr:uid="{00000000-0005-0000-0000-0000560E0000}"/>
    <cellStyle name="20% - Accent2 9 3 3 4 3 2" xfId="32181" xr:uid="{00000000-0005-0000-0000-0000570E0000}"/>
    <cellStyle name="20% - Accent2 9 3 3 4 4" xfId="25488" xr:uid="{00000000-0005-0000-0000-0000580E0000}"/>
    <cellStyle name="20% - Accent2 9 3 3 5" xfId="8190" xr:uid="{00000000-0005-0000-0000-0000590E0000}"/>
    <cellStyle name="20% - Accent2 9 3 3 5 2" xfId="15986" xr:uid="{00000000-0005-0000-0000-00005A0E0000}"/>
    <cellStyle name="20% - Accent2 9 3 3 5 2 2" xfId="33621" xr:uid="{00000000-0005-0000-0000-00005B0E0000}"/>
    <cellStyle name="20% - Accent2 9 3 3 5 3" xfId="26604" xr:uid="{00000000-0005-0000-0000-00005C0E0000}"/>
    <cellStyle name="20% - Accent2 9 3 3 6" xfId="12301" xr:uid="{00000000-0005-0000-0000-00005D0E0000}"/>
    <cellStyle name="20% - Accent2 9 3 3 6 2" xfId="29972" xr:uid="{00000000-0005-0000-0000-00005E0E0000}"/>
    <cellStyle name="20% - Accent2 9 3 3 7" xfId="23739" xr:uid="{00000000-0005-0000-0000-00005F0E0000}"/>
    <cellStyle name="20% - Accent2 9 3 4" xfId="3565" xr:uid="{00000000-0005-0000-0000-0000600E0000}"/>
    <cellStyle name="20% - Accent2 9 3 4 2" xfId="8188" xr:uid="{00000000-0005-0000-0000-0000610E0000}"/>
    <cellStyle name="20% - Accent2 9 3 4 2 2" xfId="15984" xr:uid="{00000000-0005-0000-0000-0000620E0000}"/>
    <cellStyle name="20% - Accent2 9 3 4 2 2 2" xfId="33619" xr:uid="{00000000-0005-0000-0000-0000630E0000}"/>
    <cellStyle name="20% - Accent2 9 3 4 2 3" xfId="26602" xr:uid="{00000000-0005-0000-0000-0000640E0000}"/>
    <cellStyle name="20% - Accent2 9 3 4 3" xfId="12299" xr:uid="{00000000-0005-0000-0000-0000650E0000}"/>
    <cellStyle name="20% - Accent2 9 3 4 3 2" xfId="29970" xr:uid="{00000000-0005-0000-0000-0000660E0000}"/>
    <cellStyle name="20% - Accent2 9 3 4 4" xfId="23737" xr:uid="{00000000-0005-0000-0000-0000670E0000}"/>
    <cellStyle name="20% - Accent2 9 3 5" xfId="5588" xr:uid="{00000000-0005-0000-0000-0000680E0000}"/>
    <cellStyle name="20% - Accent2 9 3 5 2" xfId="8888" xr:uid="{00000000-0005-0000-0000-0000690E0000}"/>
    <cellStyle name="20% - Accent2 9 3 5 2 2" xfId="16683" xr:uid="{00000000-0005-0000-0000-00006A0E0000}"/>
    <cellStyle name="20% - Accent2 9 3 5 2 2 2" xfId="34319" xr:uid="{00000000-0005-0000-0000-00006B0E0000}"/>
    <cellStyle name="20% - Accent2 9 3 5 2 3" xfId="27276" xr:uid="{00000000-0005-0000-0000-00006C0E0000}"/>
    <cellStyle name="20% - Accent2 9 3 5 3" xfId="13444" xr:uid="{00000000-0005-0000-0000-00006D0E0000}"/>
    <cellStyle name="20% - Accent2 9 3 5 3 2" xfId="31084" xr:uid="{00000000-0005-0000-0000-00006E0E0000}"/>
    <cellStyle name="20% - Accent2 9 3 5 4" xfId="24411" xr:uid="{00000000-0005-0000-0000-00006F0E0000}"/>
    <cellStyle name="20% - Accent2 9 3 6" xfId="6218" xr:uid="{00000000-0005-0000-0000-0000700E0000}"/>
    <cellStyle name="20% - Accent2 9 3 6 2" xfId="9428" xr:uid="{00000000-0005-0000-0000-0000710E0000}"/>
    <cellStyle name="20% - Accent2 9 3 6 2 2" xfId="17222" xr:uid="{00000000-0005-0000-0000-0000720E0000}"/>
    <cellStyle name="20% - Accent2 9 3 6 2 2 2" xfId="34859" xr:uid="{00000000-0005-0000-0000-0000730E0000}"/>
    <cellStyle name="20% - Accent2 9 3 6 2 3" xfId="27812" xr:uid="{00000000-0005-0000-0000-0000740E0000}"/>
    <cellStyle name="20% - Accent2 9 3 6 3" xfId="14007" xr:uid="{00000000-0005-0000-0000-0000750E0000}"/>
    <cellStyle name="20% - Accent2 9 3 6 3 2" xfId="31642" xr:uid="{00000000-0005-0000-0000-0000760E0000}"/>
    <cellStyle name="20% - Accent2 9 3 6 4" xfId="24948" xr:uid="{00000000-0005-0000-0000-0000770E0000}"/>
    <cellStyle name="20% - Accent2 9 3 7" xfId="6756" xr:uid="{00000000-0005-0000-0000-0000780E0000}"/>
    <cellStyle name="20% - Accent2 9 3 7 2" xfId="9966" xr:uid="{00000000-0005-0000-0000-0000790E0000}"/>
    <cellStyle name="20% - Accent2 9 3 7 2 2" xfId="17759" xr:uid="{00000000-0005-0000-0000-00007A0E0000}"/>
    <cellStyle name="20% - Accent2 9 3 7 2 2 2" xfId="35396" xr:uid="{00000000-0005-0000-0000-00007B0E0000}"/>
    <cellStyle name="20% - Accent2 9 3 7 2 3" xfId="28349" xr:uid="{00000000-0005-0000-0000-00007C0E0000}"/>
    <cellStyle name="20% - Accent2 9 3 7 3" xfId="14544" xr:uid="{00000000-0005-0000-0000-00007D0E0000}"/>
    <cellStyle name="20% - Accent2 9 3 7 3 2" xfId="32179" xr:uid="{00000000-0005-0000-0000-00007E0E0000}"/>
    <cellStyle name="20% - Accent2 9 3 7 4" xfId="25486" xr:uid="{00000000-0005-0000-0000-00007F0E0000}"/>
    <cellStyle name="20% - Accent2 9 3 8" xfId="7588" xr:uid="{00000000-0005-0000-0000-0000800E0000}"/>
    <cellStyle name="20% - Accent2 9 3 8 2" xfId="15385" xr:uid="{00000000-0005-0000-0000-0000810E0000}"/>
    <cellStyle name="20% - Accent2 9 3 8 2 2" xfId="33020" xr:uid="{00000000-0005-0000-0000-0000820E0000}"/>
    <cellStyle name="20% - Accent2 9 3 8 3" xfId="26021" xr:uid="{00000000-0005-0000-0000-0000830E0000}"/>
    <cellStyle name="20% - Accent2 9 3 9" xfId="11156" xr:uid="{00000000-0005-0000-0000-0000840E0000}"/>
    <cellStyle name="20% - Accent2 9 3 9 2" xfId="28884" xr:uid="{00000000-0005-0000-0000-0000850E0000}"/>
    <cellStyle name="20% - Accent2 9 4" xfId="331" xr:uid="{00000000-0005-0000-0000-0000860E0000}"/>
    <cellStyle name="20% - Accent2 9 4 2" xfId="3568" xr:uid="{00000000-0005-0000-0000-0000870E0000}"/>
    <cellStyle name="20% - Accent2 9 4 2 2" xfId="8191" xr:uid="{00000000-0005-0000-0000-0000880E0000}"/>
    <cellStyle name="20% - Accent2 9 4 2 2 2" xfId="15987" xr:uid="{00000000-0005-0000-0000-0000890E0000}"/>
    <cellStyle name="20% - Accent2 9 4 2 2 2 2" xfId="33622" xr:uid="{00000000-0005-0000-0000-00008A0E0000}"/>
    <cellStyle name="20% - Accent2 9 4 2 2 3" xfId="26605" xr:uid="{00000000-0005-0000-0000-00008B0E0000}"/>
    <cellStyle name="20% - Accent2 9 4 2 3" xfId="12302" xr:uid="{00000000-0005-0000-0000-00008C0E0000}"/>
    <cellStyle name="20% - Accent2 9 4 2 3 2" xfId="29973" xr:uid="{00000000-0005-0000-0000-00008D0E0000}"/>
    <cellStyle name="20% - Accent2 9 4 2 4" xfId="23740" xr:uid="{00000000-0005-0000-0000-00008E0E0000}"/>
    <cellStyle name="20% - Accent2 9 4 3" xfId="5591" xr:uid="{00000000-0005-0000-0000-00008F0E0000}"/>
    <cellStyle name="20% - Accent2 9 4 3 2" xfId="8891" xr:uid="{00000000-0005-0000-0000-0000900E0000}"/>
    <cellStyle name="20% - Accent2 9 4 3 2 2" xfId="16686" xr:uid="{00000000-0005-0000-0000-0000910E0000}"/>
    <cellStyle name="20% - Accent2 9 4 3 2 2 2" xfId="34322" xr:uid="{00000000-0005-0000-0000-0000920E0000}"/>
    <cellStyle name="20% - Accent2 9 4 3 2 3" xfId="27279" xr:uid="{00000000-0005-0000-0000-0000930E0000}"/>
    <cellStyle name="20% - Accent2 9 4 3 3" xfId="13447" xr:uid="{00000000-0005-0000-0000-0000940E0000}"/>
    <cellStyle name="20% - Accent2 9 4 3 3 2" xfId="31087" xr:uid="{00000000-0005-0000-0000-0000950E0000}"/>
    <cellStyle name="20% - Accent2 9 4 3 4" xfId="24414" xr:uid="{00000000-0005-0000-0000-0000960E0000}"/>
    <cellStyle name="20% - Accent2 9 4 4" xfId="6221" xr:uid="{00000000-0005-0000-0000-0000970E0000}"/>
    <cellStyle name="20% - Accent2 9 4 4 2" xfId="9431" xr:uid="{00000000-0005-0000-0000-0000980E0000}"/>
    <cellStyle name="20% - Accent2 9 4 4 2 2" xfId="17225" xr:uid="{00000000-0005-0000-0000-0000990E0000}"/>
    <cellStyle name="20% - Accent2 9 4 4 2 2 2" xfId="34862" xr:uid="{00000000-0005-0000-0000-00009A0E0000}"/>
    <cellStyle name="20% - Accent2 9 4 4 2 3" xfId="27815" xr:uid="{00000000-0005-0000-0000-00009B0E0000}"/>
    <cellStyle name="20% - Accent2 9 4 4 3" xfId="14010" xr:uid="{00000000-0005-0000-0000-00009C0E0000}"/>
    <cellStyle name="20% - Accent2 9 4 4 3 2" xfId="31645" xr:uid="{00000000-0005-0000-0000-00009D0E0000}"/>
    <cellStyle name="20% - Accent2 9 4 4 4" xfId="24951" xr:uid="{00000000-0005-0000-0000-00009E0E0000}"/>
    <cellStyle name="20% - Accent2 9 4 5" xfId="6759" xr:uid="{00000000-0005-0000-0000-00009F0E0000}"/>
    <cellStyle name="20% - Accent2 9 4 5 2" xfId="9969" xr:uid="{00000000-0005-0000-0000-0000A00E0000}"/>
    <cellStyle name="20% - Accent2 9 4 5 2 2" xfId="17762" xr:uid="{00000000-0005-0000-0000-0000A10E0000}"/>
    <cellStyle name="20% - Accent2 9 4 5 2 2 2" xfId="35399" xr:uid="{00000000-0005-0000-0000-0000A20E0000}"/>
    <cellStyle name="20% - Accent2 9 4 5 2 3" xfId="28352" xr:uid="{00000000-0005-0000-0000-0000A30E0000}"/>
    <cellStyle name="20% - Accent2 9 4 5 3" xfId="14547" xr:uid="{00000000-0005-0000-0000-0000A40E0000}"/>
    <cellStyle name="20% - Accent2 9 4 5 3 2" xfId="32182" xr:uid="{00000000-0005-0000-0000-0000A50E0000}"/>
    <cellStyle name="20% - Accent2 9 4 5 4" xfId="25489" xr:uid="{00000000-0005-0000-0000-0000A60E0000}"/>
    <cellStyle name="20% - Accent2 9 4 6" xfId="7590" xr:uid="{00000000-0005-0000-0000-0000A70E0000}"/>
    <cellStyle name="20% - Accent2 9 4 6 2" xfId="15387" xr:uid="{00000000-0005-0000-0000-0000A80E0000}"/>
    <cellStyle name="20% - Accent2 9 4 6 2 2" xfId="33022" xr:uid="{00000000-0005-0000-0000-0000A90E0000}"/>
    <cellStyle name="20% - Accent2 9 4 6 3" xfId="26023" xr:uid="{00000000-0005-0000-0000-0000AA0E0000}"/>
    <cellStyle name="20% - Accent2 9 4 7" xfId="11158" xr:uid="{00000000-0005-0000-0000-0000AB0E0000}"/>
    <cellStyle name="20% - Accent2 9 4 7 2" xfId="28886" xr:uid="{00000000-0005-0000-0000-0000AC0E0000}"/>
    <cellStyle name="20% - Accent2 9 4 8" xfId="23158" xr:uid="{00000000-0005-0000-0000-0000AD0E0000}"/>
    <cellStyle name="20% - Accent2 9 4 9" xfId="51712" xr:uid="{00000000-0005-0000-0000-0000AE0E0000}"/>
    <cellStyle name="20% - Accent2 9 5" xfId="332" xr:uid="{00000000-0005-0000-0000-0000AF0E0000}"/>
    <cellStyle name="20% - Accent2 9 5 2" xfId="3569" xr:uid="{00000000-0005-0000-0000-0000B00E0000}"/>
    <cellStyle name="20% - Accent2 9 5 2 2" xfId="8192" xr:uid="{00000000-0005-0000-0000-0000B10E0000}"/>
    <cellStyle name="20% - Accent2 9 5 2 2 2" xfId="15988" xr:uid="{00000000-0005-0000-0000-0000B20E0000}"/>
    <cellStyle name="20% - Accent2 9 5 2 2 2 2" xfId="33623" xr:uid="{00000000-0005-0000-0000-0000B30E0000}"/>
    <cellStyle name="20% - Accent2 9 5 2 2 3" xfId="26606" xr:uid="{00000000-0005-0000-0000-0000B40E0000}"/>
    <cellStyle name="20% - Accent2 9 5 2 3" xfId="12303" xr:uid="{00000000-0005-0000-0000-0000B50E0000}"/>
    <cellStyle name="20% - Accent2 9 5 2 3 2" xfId="29974" xr:uid="{00000000-0005-0000-0000-0000B60E0000}"/>
    <cellStyle name="20% - Accent2 9 5 2 4" xfId="23741" xr:uid="{00000000-0005-0000-0000-0000B70E0000}"/>
    <cellStyle name="20% - Accent2 9 5 3" xfId="5592" xr:uid="{00000000-0005-0000-0000-0000B80E0000}"/>
    <cellStyle name="20% - Accent2 9 5 3 2" xfId="8892" xr:uid="{00000000-0005-0000-0000-0000B90E0000}"/>
    <cellStyle name="20% - Accent2 9 5 3 2 2" xfId="16687" xr:uid="{00000000-0005-0000-0000-0000BA0E0000}"/>
    <cellStyle name="20% - Accent2 9 5 3 2 2 2" xfId="34323" xr:uid="{00000000-0005-0000-0000-0000BB0E0000}"/>
    <cellStyle name="20% - Accent2 9 5 3 2 3" xfId="27280" xr:uid="{00000000-0005-0000-0000-0000BC0E0000}"/>
    <cellStyle name="20% - Accent2 9 5 3 3" xfId="13448" xr:uid="{00000000-0005-0000-0000-0000BD0E0000}"/>
    <cellStyle name="20% - Accent2 9 5 3 3 2" xfId="31088" xr:uid="{00000000-0005-0000-0000-0000BE0E0000}"/>
    <cellStyle name="20% - Accent2 9 5 3 4" xfId="24415" xr:uid="{00000000-0005-0000-0000-0000BF0E0000}"/>
    <cellStyle name="20% - Accent2 9 5 4" xfId="6222" xr:uid="{00000000-0005-0000-0000-0000C00E0000}"/>
    <cellStyle name="20% - Accent2 9 5 4 2" xfId="9432" xr:uid="{00000000-0005-0000-0000-0000C10E0000}"/>
    <cellStyle name="20% - Accent2 9 5 4 2 2" xfId="17226" xr:uid="{00000000-0005-0000-0000-0000C20E0000}"/>
    <cellStyle name="20% - Accent2 9 5 4 2 2 2" xfId="34863" xr:uid="{00000000-0005-0000-0000-0000C30E0000}"/>
    <cellStyle name="20% - Accent2 9 5 4 2 3" xfId="27816" xr:uid="{00000000-0005-0000-0000-0000C40E0000}"/>
    <cellStyle name="20% - Accent2 9 5 4 3" xfId="14011" xr:uid="{00000000-0005-0000-0000-0000C50E0000}"/>
    <cellStyle name="20% - Accent2 9 5 4 3 2" xfId="31646" xr:uid="{00000000-0005-0000-0000-0000C60E0000}"/>
    <cellStyle name="20% - Accent2 9 5 4 4" xfId="24952" xr:uid="{00000000-0005-0000-0000-0000C70E0000}"/>
    <cellStyle name="20% - Accent2 9 5 5" xfId="6760" xr:uid="{00000000-0005-0000-0000-0000C80E0000}"/>
    <cellStyle name="20% - Accent2 9 5 5 2" xfId="9970" xr:uid="{00000000-0005-0000-0000-0000C90E0000}"/>
    <cellStyle name="20% - Accent2 9 5 5 2 2" xfId="17763" xr:uid="{00000000-0005-0000-0000-0000CA0E0000}"/>
    <cellStyle name="20% - Accent2 9 5 5 2 2 2" xfId="35400" xr:uid="{00000000-0005-0000-0000-0000CB0E0000}"/>
    <cellStyle name="20% - Accent2 9 5 5 2 3" xfId="28353" xr:uid="{00000000-0005-0000-0000-0000CC0E0000}"/>
    <cellStyle name="20% - Accent2 9 5 5 3" xfId="14548" xr:uid="{00000000-0005-0000-0000-0000CD0E0000}"/>
    <cellStyle name="20% - Accent2 9 5 5 3 2" xfId="32183" xr:uid="{00000000-0005-0000-0000-0000CE0E0000}"/>
    <cellStyle name="20% - Accent2 9 5 5 4" xfId="25490" xr:uid="{00000000-0005-0000-0000-0000CF0E0000}"/>
    <cellStyle name="20% - Accent2 9 5 6" xfId="7591" xr:uid="{00000000-0005-0000-0000-0000D00E0000}"/>
    <cellStyle name="20% - Accent2 9 5 6 2" xfId="15388" xr:uid="{00000000-0005-0000-0000-0000D10E0000}"/>
    <cellStyle name="20% - Accent2 9 5 6 2 2" xfId="33023" xr:uid="{00000000-0005-0000-0000-0000D20E0000}"/>
    <cellStyle name="20% - Accent2 9 5 6 3" xfId="26024" xr:uid="{00000000-0005-0000-0000-0000D30E0000}"/>
    <cellStyle name="20% - Accent2 9 5 7" xfId="11159" xr:uid="{00000000-0005-0000-0000-0000D40E0000}"/>
    <cellStyle name="20% - Accent2 9 5 7 2" xfId="28887" xr:uid="{00000000-0005-0000-0000-0000D50E0000}"/>
    <cellStyle name="20% - Accent2 9 5 8" xfId="23159" xr:uid="{00000000-0005-0000-0000-0000D60E0000}"/>
    <cellStyle name="20% - Accent2 9 5 9" xfId="51713" xr:uid="{00000000-0005-0000-0000-0000D70E0000}"/>
    <cellStyle name="20% - Accent2 9 6" xfId="333" xr:uid="{00000000-0005-0000-0000-0000D80E0000}"/>
    <cellStyle name="20% - Accent2 9 6 2" xfId="3570" xr:uid="{00000000-0005-0000-0000-0000D90E0000}"/>
    <cellStyle name="20% - Accent2 9 6 2 2" xfId="8193" xr:uid="{00000000-0005-0000-0000-0000DA0E0000}"/>
    <cellStyle name="20% - Accent2 9 6 2 2 2" xfId="15989" xr:uid="{00000000-0005-0000-0000-0000DB0E0000}"/>
    <cellStyle name="20% - Accent2 9 6 2 2 2 2" xfId="33624" xr:uid="{00000000-0005-0000-0000-0000DC0E0000}"/>
    <cellStyle name="20% - Accent2 9 6 2 2 3" xfId="26607" xr:uid="{00000000-0005-0000-0000-0000DD0E0000}"/>
    <cellStyle name="20% - Accent2 9 6 2 3" xfId="12304" xr:uid="{00000000-0005-0000-0000-0000DE0E0000}"/>
    <cellStyle name="20% - Accent2 9 6 2 3 2" xfId="29975" xr:uid="{00000000-0005-0000-0000-0000DF0E0000}"/>
    <cellStyle name="20% - Accent2 9 6 2 4" xfId="23742" xr:uid="{00000000-0005-0000-0000-0000E00E0000}"/>
    <cellStyle name="20% - Accent2 9 6 3" xfId="5593" xr:uid="{00000000-0005-0000-0000-0000E10E0000}"/>
    <cellStyle name="20% - Accent2 9 6 3 2" xfId="8893" xr:uid="{00000000-0005-0000-0000-0000E20E0000}"/>
    <cellStyle name="20% - Accent2 9 6 3 2 2" xfId="16688" xr:uid="{00000000-0005-0000-0000-0000E30E0000}"/>
    <cellStyle name="20% - Accent2 9 6 3 2 2 2" xfId="34324" xr:uid="{00000000-0005-0000-0000-0000E40E0000}"/>
    <cellStyle name="20% - Accent2 9 6 3 2 3" xfId="27281" xr:uid="{00000000-0005-0000-0000-0000E50E0000}"/>
    <cellStyle name="20% - Accent2 9 6 3 3" xfId="13449" xr:uid="{00000000-0005-0000-0000-0000E60E0000}"/>
    <cellStyle name="20% - Accent2 9 6 3 3 2" xfId="31089" xr:uid="{00000000-0005-0000-0000-0000E70E0000}"/>
    <cellStyle name="20% - Accent2 9 6 3 4" xfId="24416" xr:uid="{00000000-0005-0000-0000-0000E80E0000}"/>
    <cellStyle name="20% - Accent2 9 6 4" xfId="6223" xr:uid="{00000000-0005-0000-0000-0000E90E0000}"/>
    <cellStyle name="20% - Accent2 9 6 4 2" xfId="9433" xr:uid="{00000000-0005-0000-0000-0000EA0E0000}"/>
    <cellStyle name="20% - Accent2 9 6 4 2 2" xfId="17227" xr:uid="{00000000-0005-0000-0000-0000EB0E0000}"/>
    <cellStyle name="20% - Accent2 9 6 4 2 2 2" xfId="34864" xr:uid="{00000000-0005-0000-0000-0000EC0E0000}"/>
    <cellStyle name="20% - Accent2 9 6 4 2 3" xfId="27817" xr:uid="{00000000-0005-0000-0000-0000ED0E0000}"/>
    <cellStyle name="20% - Accent2 9 6 4 3" xfId="14012" xr:uid="{00000000-0005-0000-0000-0000EE0E0000}"/>
    <cellStyle name="20% - Accent2 9 6 4 3 2" xfId="31647" xr:uid="{00000000-0005-0000-0000-0000EF0E0000}"/>
    <cellStyle name="20% - Accent2 9 6 4 4" xfId="24953" xr:uid="{00000000-0005-0000-0000-0000F00E0000}"/>
    <cellStyle name="20% - Accent2 9 6 5" xfId="6761" xr:uid="{00000000-0005-0000-0000-0000F10E0000}"/>
    <cellStyle name="20% - Accent2 9 6 5 2" xfId="9971" xr:uid="{00000000-0005-0000-0000-0000F20E0000}"/>
    <cellStyle name="20% - Accent2 9 6 5 2 2" xfId="17764" xr:uid="{00000000-0005-0000-0000-0000F30E0000}"/>
    <cellStyle name="20% - Accent2 9 6 5 2 2 2" xfId="35401" xr:uid="{00000000-0005-0000-0000-0000F40E0000}"/>
    <cellStyle name="20% - Accent2 9 6 5 2 3" xfId="28354" xr:uid="{00000000-0005-0000-0000-0000F50E0000}"/>
    <cellStyle name="20% - Accent2 9 6 5 3" xfId="14549" xr:uid="{00000000-0005-0000-0000-0000F60E0000}"/>
    <cellStyle name="20% - Accent2 9 6 5 3 2" xfId="32184" xr:uid="{00000000-0005-0000-0000-0000F70E0000}"/>
    <cellStyle name="20% - Accent2 9 6 5 4" xfId="25491" xr:uid="{00000000-0005-0000-0000-0000F80E0000}"/>
    <cellStyle name="20% - Accent2 9 6 6" xfId="7592" xr:uid="{00000000-0005-0000-0000-0000F90E0000}"/>
    <cellStyle name="20% - Accent2 9 6 6 2" xfId="15389" xr:uid="{00000000-0005-0000-0000-0000FA0E0000}"/>
    <cellStyle name="20% - Accent2 9 6 6 2 2" xfId="33024" xr:uid="{00000000-0005-0000-0000-0000FB0E0000}"/>
    <cellStyle name="20% - Accent2 9 6 6 3" xfId="26025" xr:uid="{00000000-0005-0000-0000-0000FC0E0000}"/>
    <cellStyle name="20% - Accent2 9 6 7" xfId="11160" xr:uid="{00000000-0005-0000-0000-0000FD0E0000}"/>
    <cellStyle name="20% - Accent2 9 6 7 2" xfId="28888" xr:uid="{00000000-0005-0000-0000-0000FE0E0000}"/>
    <cellStyle name="20% - Accent2 9 6 8" xfId="23160" xr:uid="{00000000-0005-0000-0000-0000FF0E0000}"/>
    <cellStyle name="20% - Accent2 9 6 9" xfId="51714" xr:uid="{00000000-0005-0000-0000-0000000F0000}"/>
    <cellStyle name="20% - Accent2 9 7" xfId="334" xr:uid="{00000000-0005-0000-0000-0000010F0000}"/>
    <cellStyle name="20% - Accent2 9 7 10" xfId="51715" xr:uid="{00000000-0005-0000-0000-0000020F0000}"/>
    <cellStyle name="20% - Accent2 9 7 2" xfId="335" xr:uid="{00000000-0005-0000-0000-0000030F0000}"/>
    <cellStyle name="20% - Accent2 9 7 2 2" xfId="8195" xr:uid="{00000000-0005-0000-0000-0000040F0000}"/>
    <cellStyle name="20% - Accent2 9 7 2 2 2" xfId="15991" xr:uid="{00000000-0005-0000-0000-0000050F0000}"/>
    <cellStyle name="20% - Accent2 9 7 2 2 2 2" xfId="33626" xr:uid="{00000000-0005-0000-0000-0000060F0000}"/>
    <cellStyle name="20% - Accent2 9 7 2 2 3" xfId="26609" xr:uid="{00000000-0005-0000-0000-0000070F0000}"/>
    <cellStyle name="20% - Accent2 9 7 2 3" xfId="12306" xr:uid="{00000000-0005-0000-0000-0000080F0000}"/>
    <cellStyle name="20% - Accent2 9 7 2 3 2" xfId="29977" xr:uid="{00000000-0005-0000-0000-0000090F0000}"/>
    <cellStyle name="20% - Accent2 9 7 2 4" xfId="23744" xr:uid="{00000000-0005-0000-0000-00000A0F0000}"/>
    <cellStyle name="20% - Accent2 9 7 3" xfId="3571" xr:uid="{00000000-0005-0000-0000-00000B0F0000}"/>
    <cellStyle name="20% - Accent2 9 7 3 2" xfId="8194" xr:uid="{00000000-0005-0000-0000-00000C0F0000}"/>
    <cellStyle name="20% - Accent2 9 7 3 2 2" xfId="15990" xr:uid="{00000000-0005-0000-0000-00000D0F0000}"/>
    <cellStyle name="20% - Accent2 9 7 3 2 2 2" xfId="33625" xr:uid="{00000000-0005-0000-0000-00000E0F0000}"/>
    <cellStyle name="20% - Accent2 9 7 3 2 3" xfId="26608" xr:uid="{00000000-0005-0000-0000-00000F0F0000}"/>
    <cellStyle name="20% - Accent2 9 7 3 3" xfId="12305" xr:uid="{00000000-0005-0000-0000-0000100F0000}"/>
    <cellStyle name="20% - Accent2 9 7 3 3 2" xfId="29976" xr:uid="{00000000-0005-0000-0000-0000110F0000}"/>
    <cellStyle name="20% - Accent2 9 7 3 4" xfId="23743" xr:uid="{00000000-0005-0000-0000-0000120F0000}"/>
    <cellStyle name="20% - Accent2 9 7 4" xfId="5594" xr:uid="{00000000-0005-0000-0000-0000130F0000}"/>
    <cellStyle name="20% - Accent2 9 7 4 2" xfId="8894" xr:uid="{00000000-0005-0000-0000-0000140F0000}"/>
    <cellStyle name="20% - Accent2 9 7 4 2 2" xfId="16689" xr:uid="{00000000-0005-0000-0000-0000150F0000}"/>
    <cellStyle name="20% - Accent2 9 7 4 2 2 2" xfId="34325" xr:uid="{00000000-0005-0000-0000-0000160F0000}"/>
    <cellStyle name="20% - Accent2 9 7 4 2 3" xfId="27282" xr:uid="{00000000-0005-0000-0000-0000170F0000}"/>
    <cellStyle name="20% - Accent2 9 7 4 3" xfId="13450" xr:uid="{00000000-0005-0000-0000-0000180F0000}"/>
    <cellStyle name="20% - Accent2 9 7 4 3 2" xfId="31090" xr:uid="{00000000-0005-0000-0000-0000190F0000}"/>
    <cellStyle name="20% - Accent2 9 7 4 4" xfId="24417" xr:uid="{00000000-0005-0000-0000-00001A0F0000}"/>
    <cellStyle name="20% - Accent2 9 7 5" xfId="6224" xr:uid="{00000000-0005-0000-0000-00001B0F0000}"/>
    <cellStyle name="20% - Accent2 9 7 5 2" xfId="9434" xr:uid="{00000000-0005-0000-0000-00001C0F0000}"/>
    <cellStyle name="20% - Accent2 9 7 5 2 2" xfId="17228" xr:uid="{00000000-0005-0000-0000-00001D0F0000}"/>
    <cellStyle name="20% - Accent2 9 7 5 2 2 2" xfId="34865" xr:uid="{00000000-0005-0000-0000-00001E0F0000}"/>
    <cellStyle name="20% - Accent2 9 7 5 2 3" xfId="27818" xr:uid="{00000000-0005-0000-0000-00001F0F0000}"/>
    <cellStyle name="20% - Accent2 9 7 5 3" xfId="14013" xr:uid="{00000000-0005-0000-0000-0000200F0000}"/>
    <cellStyle name="20% - Accent2 9 7 5 3 2" xfId="31648" xr:uid="{00000000-0005-0000-0000-0000210F0000}"/>
    <cellStyle name="20% - Accent2 9 7 5 4" xfId="24954" xr:uid="{00000000-0005-0000-0000-0000220F0000}"/>
    <cellStyle name="20% - Accent2 9 7 6" xfId="6762" xr:uid="{00000000-0005-0000-0000-0000230F0000}"/>
    <cellStyle name="20% - Accent2 9 7 6 2" xfId="9972" xr:uid="{00000000-0005-0000-0000-0000240F0000}"/>
    <cellStyle name="20% - Accent2 9 7 6 2 2" xfId="17765" xr:uid="{00000000-0005-0000-0000-0000250F0000}"/>
    <cellStyle name="20% - Accent2 9 7 6 2 2 2" xfId="35402" xr:uid="{00000000-0005-0000-0000-0000260F0000}"/>
    <cellStyle name="20% - Accent2 9 7 6 2 3" xfId="28355" xr:uid="{00000000-0005-0000-0000-0000270F0000}"/>
    <cellStyle name="20% - Accent2 9 7 6 3" xfId="14550" xr:uid="{00000000-0005-0000-0000-0000280F0000}"/>
    <cellStyle name="20% - Accent2 9 7 6 3 2" xfId="32185" xr:uid="{00000000-0005-0000-0000-0000290F0000}"/>
    <cellStyle name="20% - Accent2 9 7 6 4" xfId="25492" xr:uid="{00000000-0005-0000-0000-00002A0F0000}"/>
    <cellStyle name="20% - Accent2 9 7 7" xfId="7593" xr:uid="{00000000-0005-0000-0000-00002B0F0000}"/>
    <cellStyle name="20% - Accent2 9 7 7 2" xfId="15390" xr:uid="{00000000-0005-0000-0000-00002C0F0000}"/>
    <cellStyle name="20% - Accent2 9 7 7 2 2" xfId="33025" xr:uid="{00000000-0005-0000-0000-00002D0F0000}"/>
    <cellStyle name="20% - Accent2 9 7 7 3" xfId="26026" xr:uid="{00000000-0005-0000-0000-00002E0F0000}"/>
    <cellStyle name="20% - Accent2 9 7 8" xfId="11161" xr:uid="{00000000-0005-0000-0000-00002F0F0000}"/>
    <cellStyle name="20% - Accent2 9 7 8 2" xfId="28889" xr:uid="{00000000-0005-0000-0000-0000300F0000}"/>
    <cellStyle name="20% - Accent2 9 7 9" xfId="23161" xr:uid="{00000000-0005-0000-0000-0000310F0000}"/>
    <cellStyle name="20% - Accent2 9 8" xfId="3572" xr:uid="{00000000-0005-0000-0000-0000320F0000}"/>
    <cellStyle name="20% - Accent2 9 8 2" xfId="8196" xr:uid="{00000000-0005-0000-0000-0000330F0000}"/>
    <cellStyle name="20% - Accent2 9 8 2 2" xfId="15992" xr:uid="{00000000-0005-0000-0000-0000340F0000}"/>
    <cellStyle name="20% - Accent2 9 8 2 2 2" xfId="33627" xr:uid="{00000000-0005-0000-0000-0000350F0000}"/>
    <cellStyle name="20% - Accent2 9 8 2 3" xfId="26610" xr:uid="{00000000-0005-0000-0000-0000360F0000}"/>
    <cellStyle name="20% - Accent2 9 8 3" xfId="12307" xr:uid="{00000000-0005-0000-0000-0000370F0000}"/>
    <cellStyle name="20% - Accent2 9 8 3 2" xfId="29978" xr:uid="{00000000-0005-0000-0000-0000380F0000}"/>
    <cellStyle name="20% - Accent2 9 8 4" xfId="23745" xr:uid="{00000000-0005-0000-0000-0000390F0000}"/>
    <cellStyle name="20% - Accent2 9 9" xfId="3573" xr:uid="{00000000-0005-0000-0000-00003A0F0000}"/>
    <cellStyle name="20% - Accent2 9 9 2" xfId="8197" xr:uid="{00000000-0005-0000-0000-00003B0F0000}"/>
    <cellStyle name="20% - Accent2 9 9 2 2" xfId="15993" xr:uid="{00000000-0005-0000-0000-00003C0F0000}"/>
    <cellStyle name="20% - Accent2 9 9 2 2 2" xfId="33628" xr:uid="{00000000-0005-0000-0000-00003D0F0000}"/>
    <cellStyle name="20% - Accent2 9 9 2 3" xfId="26611" xr:uid="{00000000-0005-0000-0000-00003E0F0000}"/>
    <cellStyle name="20% - Accent2 9 9 3" xfId="12308" xr:uid="{00000000-0005-0000-0000-00003F0F0000}"/>
    <cellStyle name="20% - Accent2 9 9 3 2" xfId="29979" xr:uid="{00000000-0005-0000-0000-0000400F0000}"/>
    <cellStyle name="20% - Accent2 9 9 4" xfId="23746" xr:uid="{00000000-0005-0000-0000-0000410F0000}"/>
    <cellStyle name="20% - Accent3" xfId="172" builtinId="38" customBuiltin="1"/>
    <cellStyle name="20% - Accent3 10" xfId="336" xr:uid="{00000000-0005-0000-0000-0000430F0000}"/>
    <cellStyle name="20% - Accent3 10 2" xfId="337" xr:uid="{00000000-0005-0000-0000-0000440F0000}"/>
    <cellStyle name="20% - Accent3 10 3" xfId="338" xr:uid="{00000000-0005-0000-0000-0000450F0000}"/>
    <cellStyle name="20% - Accent3 10 3 2" xfId="8198" xr:uid="{00000000-0005-0000-0000-0000460F0000}"/>
    <cellStyle name="20% - Accent3 10 3 2 2" xfId="15994" xr:uid="{00000000-0005-0000-0000-0000470F0000}"/>
    <cellStyle name="20% - Accent3 10 3 2 2 2" xfId="33629" xr:uid="{00000000-0005-0000-0000-0000480F0000}"/>
    <cellStyle name="20% - Accent3 10 3 2 3" xfId="26612" xr:uid="{00000000-0005-0000-0000-0000490F0000}"/>
    <cellStyle name="20% - Accent3 10 3 3" xfId="12309" xr:uid="{00000000-0005-0000-0000-00004A0F0000}"/>
    <cellStyle name="20% - Accent3 10 3 3 2" xfId="29980" xr:uid="{00000000-0005-0000-0000-00004B0F0000}"/>
    <cellStyle name="20% - Accent3 10 3 4" xfId="23747" xr:uid="{00000000-0005-0000-0000-00004C0F0000}"/>
    <cellStyle name="20% - Accent3 10 3 5" xfId="51716" xr:uid="{00000000-0005-0000-0000-00004D0F0000}"/>
    <cellStyle name="20% - Accent3 10 4" xfId="7594" xr:uid="{00000000-0005-0000-0000-00004E0F0000}"/>
    <cellStyle name="20% - Accent3 10 4 2" xfId="15391" xr:uid="{00000000-0005-0000-0000-00004F0F0000}"/>
    <cellStyle name="20% - Accent3 10 4 2 2" xfId="33026" xr:uid="{00000000-0005-0000-0000-0000500F0000}"/>
    <cellStyle name="20% - Accent3 10 4 3" xfId="26027" xr:uid="{00000000-0005-0000-0000-0000510F0000}"/>
    <cellStyle name="20% - Accent3 10 5" xfId="11162" xr:uid="{00000000-0005-0000-0000-0000520F0000}"/>
    <cellStyle name="20% - Accent3 10 5 2" xfId="28890" xr:uid="{00000000-0005-0000-0000-0000530F0000}"/>
    <cellStyle name="20% - Accent3 10 6" xfId="22051" xr:uid="{00000000-0005-0000-0000-0000540F0000}"/>
    <cellStyle name="20% - Accent3 10 6 2" xfId="38764" xr:uid="{00000000-0005-0000-0000-0000550F0000}"/>
    <cellStyle name="20% - Accent3 10 7" xfId="23162" xr:uid="{00000000-0005-0000-0000-0000560F0000}"/>
    <cellStyle name="20% - Accent3 11" xfId="339" xr:uid="{00000000-0005-0000-0000-0000570F0000}"/>
    <cellStyle name="20% - Accent3 11 10" xfId="3574" xr:uid="{00000000-0005-0000-0000-0000580F0000}"/>
    <cellStyle name="20% - Accent3 11 10 2" xfId="8199" xr:uid="{00000000-0005-0000-0000-0000590F0000}"/>
    <cellStyle name="20% - Accent3 11 10 2 2" xfId="15995" xr:uid="{00000000-0005-0000-0000-00005A0F0000}"/>
    <cellStyle name="20% - Accent3 11 10 2 2 2" xfId="33630" xr:uid="{00000000-0005-0000-0000-00005B0F0000}"/>
    <cellStyle name="20% - Accent3 11 10 2 3" xfId="26613" xr:uid="{00000000-0005-0000-0000-00005C0F0000}"/>
    <cellStyle name="20% - Accent3 11 10 3" xfId="12310" xr:uid="{00000000-0005-0000-0000-00005D0F0000}"/>
    <cellStyle name="20% - Accent3 11 10 3 2" xfId="29981" xr:uid="{00000000-0005-0000-0000-00005E0F0000}"/>
    <cellStyle name="20% - Accent3 11 10 4" xfId="23748" xr:uid="{00000000-0005-0000-0000-00005F0F0000}"/>
    <cellStyle name="20% - Accent3 11 11" xfId="5595" xr:uid="{00000000-0005-0000-0000-0000600F0000}"/>
    <cellStyle name="20% - Accent3 11 11 2" xfId="8895" xr:uid="{00000000-0005-0000-0000-0000610F0000}"/>
    <cellStyle name="20% - Accent3 11 11 2 2" xfId="16690" xr:uid="{00000000-0005-0000-0000-0000620F0000}"/>
    <cellStyle name="20% - Accent3 11 11 2 2 2" xfId="34326" xr:uid="{00000000-0005-0000-0000-0000630F0000}"/>
    <cellStyle name="20% - Accent3 11 11 2 3" xfId="27283" xr:uid="{00000000-0005-0000-0000-0000640F0000}"/>
    <cellStyle name="20% - Accent3 11 11 3" xfId="13451" xr:uid="{00000000-0005-0000-0000-0000650F0000}"/>
    <cellStyle name="20% - Accent3 11 11 3 2" xfId="31091" xr:uid="{00000000-0005-0000-0000-0000660F0000}"/>
    <cellStyle name="20% - Accent3 11 11 4" xfId="24418" xr:uid="{00000000-0005-0000-0000-0000670F0000}"/>
    <cellStyle name="20% - Accent3 11 12" xfId="6225" xr:uid="{00000000-0005-0000-0000-0000680F0000}"/>
    <cellStyle name="20% - Accent3 11 12 2" xfId="9435" xr:uid="{00000000-0005-0000-0000-0000690F0000}"/>
    <cellStyle name="20% - Accent3 11 12 2 2" xfId="17229" xr:uid="{00000000-0005-0000-0000-00006A0F0000}"/>
    <cellStyle name="20% - Accent3 11 12 2 2 2" xfId="34866" xr:uid="{00000000-0005-0000-0000-00006B0F0000}"/>
    <cellStyle name="20% - Accent3 11 12 2 3" xfId="27819" xr:uid="{00000000-0005-0000-0000-00006C0F0000}"/>
    <cellStyle name="20% - Accent3 11 12 3" xfId="14014" xr:uid="{00000000-0005-0000-0000-00006D0F0000}"/>
    <cellStyle name="20% - Accent3 11 12 3 2" xfId="31649" xr:uid="{00000000-0005-0000-0000-00006E0F0000}"/>
    <cellStyle name="20% - Accent3 11 12 4" xfId="24955" xr:uid="{00000000-0005-0000-0000-00006F0F0000}"/>
    <cellStyle name="20% - Accent3 11 13" xfId="6763" xr:uid="{00000000-0005-0000-0000-0000700F0000}"/>
    <cellStyle name="20% - Accent3 11 13 2" xfId="9973" xr:uid="{00000000-0005-0000-0000-0000710F0000}"/>
    <cellStyle name="20% - Accent3 11 13 2 2" xfId="17766" xr:uid="{00000000-0005-0000-0000-0000720F0000}"/>
    <cellStyle name="20% - Accent3 11 13 2 2 2" xfId="35403" xr:uid="{00000000-0005-0000-0000-0000730F0000}"/>
    <cellStyle name="20% - Accent3 11 13 2 3" xfId="28356" xr:uid="{00000000-0005-0000-0000-0000740F0000}"/>
    <cellStyle name="20% - Accent3 11 13 3" xfId="14551" xr:uid="{00000000-0005-0000-0000-0000750F0000}"/>
    <cellStyle name="20% - Accent3 11 13 3 2" xfId="32186" xr:uid="{00000000-0005-0000-0000-0000760F0000}"/>
    <cellStyle name="20% - Accent3 11 13 4" xfId="25493" xr:uid="{00000000-0005-0000-0000-0000770F0000}"/>
    <cellStyle name="20% - Accent3 11 14" xfId="7595" xr:uid="{00000000-0005-0000-0000-0000780F0000}"/>
    <cellStyle name="20% - Accent3 11 14 2" xfId="15392" xr:uid="{00000000-0005-0000-0000-0000790F0000}"/>
    <cellStyle name="20% - Accent3 11 14 2 2" xfId="33027" xr:uid="{00000000-0005-0000-0000-00007A0F0000}"/>
    <cellStyle name="20% - Accent3 11 14 3" xfId="26028" xr:uid="{00000000-0005-0000-0000-00007B0F0000}"/>
    <cellStyle name="20% - Accent3 11 15" xfId="11163" xr:uid="{00000000-0005-0000-0000-00007C0F0000}"/>
    <cellStyle name="20% - Accent3 11 15 2" xfId="28891" xr:uid="{00000000-0005-0000-0000-00007D0F0000}"/>
    <cellStyle name="20% - Accent3 11 16" xfId="22052" xr:uid="{00000000-0005-0000-0000-00007E0F0000}"/>
    <cellStyle name="20% - Accent3 11 16 2" xfId="38765" xr:uid="{00000000-0005-0000-0000-00007F0F0000}"/>
    <cellStyle name="20% - Accent3 11 17" xfId="23163" xr:uid="{00000000-0005-0000-0000-0000800F0000}"/>
    <cellStyle name="20% - Accent3 11 18" xfId="51717" xr:uid="{00000000-0005-0000-0000-0000810F0000}"/>
    <cellStyle name="20% - Accent3 11 2" xfId="340" xr:uid="{00000000-0005-0000-0000-0000820F0000}"/>
    <cellStyle name="20% - Accent3 11 2 2" xfId="3575" xr:uid="{00000000-0005-0000-0000-0000830F0000}"/>
    <cellStyle name="20% - Accent3 11 2 2 2" xfId="8200" xr:uid="{00000000-0005-0000-0000-0000840F0000}"/>
    <cellStyle name="20% - Accent3 11 2 2 2 2" xfId="15996" xr:uid="{00000000-0005-0000-0000-0000850F0000}"/>
    <cellStyle name="20% - Accent3 11 2 2 2 2 2" xfId="33631" xr:uid="{00000000-0005-0000-0000-0000860F0000}"/>
    <cellStyle name="20% - Accent3 11 2 2 2 3" xfId="26614" xr:uid="{00000000-0005-0000-0000-0000870F0000}"/>
    <cellStyle name="20% - Accent3 11 2 2 3" xfId="12311" xr:uid="{00000000-0005-0000-0000-0000880F0000}"/>
    <cellStyle name="20% - Accent3 11 2 2 3 2" xfId="29982" xr:uid="{00000000-0005-0000-0000-0000890F0000}"/>
    <cellStyle name="20% - Accent3 11 2 2 4" xfId="23749" xr:uid="{00000000-0005-0000-0000-00008A0F0000}"/>
    <cellStyle name="20% - Accent3 11 2 3" xfId="5596" xr:uid="{00000000-0005-0000-0000-00008B0F0000}"/>
    <cellStyle name="20% - Accent3 11 2 3 2" xfId="8896" xr:uid="{00000000-0005-0000-0000-00008C0F0000}"/>
    <cellStyle name="20% - Accent3 11 2 3 2 2" xfId="16691" xr:uid="{00000000-0005-0000-0000-00008D0F0000}"/>
    <cellStyle name="20% - Accent3 11 2 3 2 2 2" xfId="34327" xr:uid="{00000000-0005-0000-0000-00008E0F0000}"/>
    <cellStyle name="20% - Accent3 11 2 3 2 3" xfId="27284" xr:uid="{00000000-0005-0000-0000-00008F0F0000}"/>
    <cellStyle name="20% - Accent3 11 2 3 3" xfId="13452" xr:uid="{00000000-0005-0000-0000-0000900F0000}"/>
    <cellStyle name="20% - Accent3 11 2 3 3 2" xfId="31092" xr:uid="{00000000-0005-0000-0000-0000910F0000}"/>
    <cellStyle name="20% - Accent3 11 2 3 4" xfId="24419" xr:uid="{00000000-0005-0000-0000-0000920F0000}"/>
    <cellStyle name="20% - Accent3 11 2 4" xfId="6226" xr:uid="{00000000-0005-0000-0000-0000930F0000}"/>
    <cellStyle name="20% - Accent3 11 2 4 2" xfId="9436" xr:uid="{00000000-0005-0000-0000-0000940F0000}"/>
    <cellStyle name="20% - Accent3 11 2 4 2 2" xfId="17230" xr:uid="{00000000-0005-0000-0000-0000950F0000}"/>
    <cellStyle name="20% - Accent3 11 2 4 2 2 2" xfId="34867" xr:uid="{00000000-0005-0000-0000-0000960F0000}"/>
    <cellStyle name="20% - Accent3 11 2 4 2 3" xfId="27820" xr:uid="{00000000-0005-0000-0000-0000970F0000}"/>
    <cellStyle name="20% - Accent3 11 2 4 3" xfId="14015" xr:uid="{00000000-0005-0000-0000-0000980F0000}"/>
    <cellStyle name="20% - Accent3 11 2 4 3 2" xfId="31650" xr:uid="{00000000-0005-0000-0000-0000990F0000}"/>
    <cellStyle name="20% - Accent3 11 2 4 4" xfId="24956" xr:uid="{00000000-0005-0000-0000-00009A0F0000}"/>
    <cellStyle name="20% - Accent3 11 2 5" xfId="6764" xr:uid="{00000000-0005-0000-0000-00009B0F0000}"/>
    <cellStyle name="20% - Accent3 11 2 5 2" xfId="9974" xr:uid="{00000000-0005-0000-0000-00009C0F0000}"/>
    <cellStyle name="20% - Accent3 11 2 5 2 2" xfId="17767" xr:uid="{00000000-0005-0000-0000-00009D0F0000}"/>
    <cellStyle name="20% - Accent3 11 2 5 2 2 2" xfId="35404" xr:uid="{00000000-0005-0000-0000-00009E0F0000}"/>
    <cellStyle name="20% - Accent3 11 2 5 2 3" xfId="28357" xr:uid="{00000000-0005-0000-0000-00009F0F0000}"/>
    <cellStyle name="20% - Accent3 11 2 5 3" xfId="14552" xr:uid="{00000000-0005-0000-0000-0000A00F0000}"/>
    <cellStyle name="20% - Accent3 11 2 5 3 2" xfId="32187" xr:uid="{00000000-0005-0000-0000-0000A10F0000}"/>
    <cellStyle name="20% - Accent3 11 2 5 4" xfId="25494" xr:uid="{00000000-0005-0000-0000-0000A20F0000}"/>
    <cellStyle name="20% - Accent3 11 2 6" xfId="7596" xr:uid="{00000000-0005-0000-0000-0000A30F0000}"/>
    <cellStyle name="20% - Accent3 11 2 6 2" xfId="15393" xr:uid="{00000000-0005-0000-0000-0000A40F0000}"/>
    <cellStyle name="20% - Accent3 11 2 6 2 2" xfId="33028" xr:uid="{00000000-0005-0000-0000-0000A50F0000}"/>
    <cellStyle name="20% - Accent3 11 2 6 3" xfId="26029" xr:uid="{00000000-0005-0000-0000-0000A60F0000}"/>
    <cellStyle name="20% - Accent3 11 2 7" xfId="11164" xr:uid="{00000000-0005-0000-0000-0000A70F0000}"/>
    <cellStyle name="20% - Accent3 11 2 7 2" xfId="28892" xr:uid="{00000000-0005-0000-0000-0000A80F0000}"/>
    <cellStyle name="20% - Accent3 11 2 8" xfId="23164" xr:uid="{00000000-0005-0000-0000-0000A90F0000}"/>
    <cellStyle name="20% - Accent3 11 2 9" xfId="51718" xr:uid="{00000000-0005-0000-0000-0000AA0F0000}"/>
    <cellStyle name="20% - Accent3 11 3" xfId="341" xr:uid="{00000000-0005-0000-0000-0000AB0F0000}"/>
    <cellStyle name="20% - Accent3 11 3 10" xfId="23165" xr:uid="{00000000-0005-0000-0000-0000AC0F0000}"/>
    <cellStyle name="20% - Accent3 11 3 11" xfId="51719" xr:uid="{00000000-0005-0000-0000-0000AD0F0000}"/>
    <cellStyle name="20% - Accent3 11 3 2" xfId="342" xr:uid="{00000000-0005-0000-0000-0000AE0F0000}"/>
    <cellStyle name="20% - Accent3 11 3 2 2" xfId="3577" xr:uid="{00000000-0005-0000-0000-0000AF0F0000}"/>
    <cellStyle name="20% - Accent3 11 3 2 2 2" xfId="8202" xr:uid="{00000000-0005-0000-0000-0000B00F0000}"/>
    <cellStyle name="20% - Accent3 11 3 2 2 2 2" xfId="15998" xr:uid="{00000000-0005-0000-0000-0000B10F0000}"/>
    <cellStyle name="20% - Accent3 11 3 2 2 2 2 2" xfId="33633" xr:uid="{00000000-0005-0000-0000-0000B20F0000}"/>
    <cellStyle name="20% - Accent3 11 3 2 2 2 3" xfId="26616" xr:uid="{00000000-0005-0000-0000-0000B30F0000}"/>
    <cellStyle name="20% - Accent3 11 3 2 2 3" xfId="12313" xr:uid="{00000000-0005-0000-0000-0000B40F0000}"/>
    <cellStyle name="20% - Accent3 11 3 2 2 3 2" xfId="29984" xr:uid="{00000000-0005-0000-0000-0000B50F0000}"/>
    <cellStyle name="20% - Accent3 11 3 2 2 4" xfId="23751" xr:uid="{00000000-0005-0000-0000-0000B60F0000}"/>
    <cellStyle name="20% - Accent3 11 3 2 3" xfId="5598" xr:uid="{00000000-0005-0000-0000-0000B70F0000}"/>
    <cellStyle name="20% - Accent3 11 3 2 3 2" xfId="8898" xr:uid="{00000000-0005-0000-0000-0000B80F0000}"/>
    <cellStyle name="20% - Accent3 11 3 2 3 2 2" xfId="16693" xr:uid="{00000000-0005-0000-0000-0000B90F0000}"/>
    <cellStyle name="20% - Accent3 11 3 2 3 2 2 2" xfId="34329" xr:uid="{00000000-0005-0000-0000-0000BA0F0000}"/>
    <cellStyle name="20% - Accent3 11 3 2 3 2 3" xfId="27286" xr:uid="{00000000-0005-0000-0000-0000BB0F0000}"/>
    <cellStyle name="20% - Accent3 11 3 2 3 3" xfId="13454" xr:uid="{00000000-0005-0000-0000-0000BC0F0000}"/>
    <cellStyle name="20% - Accent3 11 3 2 3 3 2" xfId="31094" xr:uid="{00000000-0005-0000-0000-0000BD0F0000}"/>
    <cellStyle name="20% - Accent3 11 3 2 3 4" xfId="24421" xr:uid="{00000000-0005-0000-0000-0000BE0F0000}"/>
    <cellStyle name="20% - Accent3 11 3 2 4" xfId="6228" xr:uid="{00000000-0005-0000-0000-0000BF0F0000}"/>
    <cellStyle name="20% - Accent3 11 3 2 4 2" xfId="9438" xr:uid="{00000000-0005-0000-0000-0000C00F0000}"/>
    <cellStyle name="20% - Accent3 11 3 2 4 2 2" xfId="17232" xr:uid="{00000000-0005-0000-0000-0000C10F0000}"/>
    <cellStyle name="20% - Accent3 11 3 2 4 2 2 2" xfId="34869" xr:uid="{00000000-0005-0000-0000-0000C20F0000}"/>
    <cellStyle name="20% - Accent3 11 3 2 4 2 3" xfId="27822" xr:uid="{00000000-0005-0000-0000-0000C30F0000}"/>
    <cellStyle name="20% - Accent3 11 3 2 4 3" xfId="14017" xr:uid="{00000000-0005-0000-0000-0000C40F0000}"/>
    <cellStyle name="20% - Accent3 11 3 2 4 3 2" xfId="31652" xr:uid="{00000000-0005-0000-0000-0000C50F0000}"/>
    <cellStyle name="20% - Accent3 11 3 2 4 4" xfId="24958" xr:uid="{00000000-0005-0000-0000-0000C60F0000}"/>
    <cellStyle name="20% - Accent3 11 3 2 5" xfId="6766" xr:uid="{00000000-0005-0000-0000-0000C70F0000}"/>
    <cellStyle name="20% - Accent3 11 3 2 5 2" xfId="9976" xr:uid="{00000000-0005-0000-0000-0000C80F0000}"/>
    <cellStyle name="20% - Accent3 11 3 2 5 2 2" xfId="17769" xr:uid="{00000000-0005-0000-0000-0000C90F0000}"/>
    <cellStyle name="20% - Accent3 11 3 2 5 2 2 2" xfId="35406" xr:uid="{00000000-0005-0000-0000-0000CA0F0000}"/>
    <cellStyle name="20% - Accent3 11 3 2 5 2 3" xfId="28359" xr:uid="{00000000-0005-0000-0000-0000CB0F0000}"/>
    <cellStyle name="20% - Accent3 11 3 2 5 3" xfId="14554" xr:uid="{00000000-0005-0000-0000-0000CC0F0000}"/>
    <cellStyle name="20% - Accent3 11 3 2 5 3 2" xfId="32189" xr:uid="{00000000-0005-0000-0000-0000CD0F0000}"/>
    <cellStyle name="20% - Accent3 11 3 2 5 4" xfId="25496" xr:uid="{00000000-0005-0000-0000-0000CE0F0000}"/>
    <cellStyle name="20% - Accent3 11 3 2 6" xfId="7598" xr:uid="{00000000-0005-0000-0000-0000CF0F0000}"/>
    <cellStyle name="20% - Accent3 11 3 2 6 2" xfId="15395" xr:uid="{00000000-0005-0000-0000-0000D00F0000}"/>
    <cellStyle name="20% - Accent3 11 3 2 6 2 2" xfId="33030" xr:uid="{00000000-0005-0000-0000-0000D10F0000}"/>
    <cellStyle name="20% - Accent3 11 3 2 6 3" xfId="26031" xr:uid="{00000000-0005-0000-0000-0000D20F0000}"/>
    <cellStyle name="20% - Accent3 11 3 2 7" xfId="11166" xr:uid="{00000000-0005-0000-0000-0000D30F0000}"/>
    <cellStyle name="20% - Accent3 11 3 2 7 2" xfId="28894" xr:uid="{00000000-0005-0000-0000-0000D40F0000}"/>
    <cellStyle name="20% - Accent3 11 3 2 8" xfId="23166" xr:uid="{00000000-0005-0000-0000-0000D50F0000}"/>
    <cellStyle name="20% - Accent3 11 3 2 9" xfId="51720" xr:uid="{00000000-0005-0000-0000-0000D60F0000}"/>
    <cellStyle name="20% - Accent3 11 3 3" xfId="3578" xr:uid="{00000000-0005-0000-0000-0000D70F0000}"/>
    <cellStyle name="20% - Accent3 11 3 3 2" xfId="5599" xr:uid="{00000000-0005-0000-0000-0000D80F0000}"/>
    <cellStyle name="20% - Accent3 11 3 3 2 2" xfId="8899" xr:uid="{00000000-0005-0000-0000-0000D90F0000}"/>
    <cellStyle name="20% - Accent3 11 3 3 2 2 2" xfId="16694" xr:uid="{00000000-0005-0000-0000-0000DA0F0000}"/>
    <cellStyle name="20% - Accent3 11 3 3 2 2 2 2" xfId="34330" xr:uid="{00000000-0005-0000-0000-0000DB0F0000}"/>
    <cellStyle name="20% - Accent3 11 3 3 2 2 3" xfId="27287" xr:uid="{00000000-0005-0000-0000-0000DC0F0000}"/>
    <cellStyle name="20% - Accent3 11 3 3 2 3" xfId="13455" xr:uid="{00000000-0005-0000-0000-0000DD0F0000}"/>
    <cellStyle name="20% - Accent3 11 3 3 2 3 2" xfId="31095" xr:uid="{00000000-0005-0000-0000-0000DE0F0000}"/>
    <cellStyle name="20% - Accent3 11 3 3 2 4" xfId="24422" xr:uid="{00000000-0005-0000-0000-0000DF0F0000}"/>
    <cellStyle name="20% - Accent3 11 3 3 3" xfId="6229" xr:uid="{00000000-0005-0000-0000-0000E00F0000}"/>
    <cellStyle name="20% - Accent3 11 3 3 3 2" xfId="9439" xr:uid="{00000000-0005-0000-0000-0000E10F0000}"/>
    <cellStyle name="20% - Accent3 11 3 3 3 2 2" xfId="17233" xr:uid="{00000000-0005-0000-0000-0000E20F0000}"/>
    <cellStyle name="20% - Accent3 11 3 3 3 2 2 2" xfId="34870" xr:uid="{00000000-0005-0000-0000-0000E30F0000}"/>
    <cellStyle name="20% - Accent3 11 3 3 3 2 3" xfId="27823" xr:uid="{00000000-0005-0000-0000-0000E40F0000}"/>
    <cellStyle name="20% - Accent3 11 3 3 3 3" xfId="14018" xr:uid="{00000000-0005-0000-0000-0000E50F0000}"/>
    <cellStyle name="20% - Accent3 11 3 3 3 3 2" xfId="31653" xr:uid="{00000000-0005-0000-0000-0000E60F0000}"/>
    <cellStyle name="20% - Accent3 11 3 3 3 4" xfId="24959" xr:uid="{00000000-0005-0000-0000-0000E70F0000}"/>
    <cellStyle name="20% - Accent3 11 3 3 4" xfId="6767" xr:uid="{00000000-0005-0000-0000-0000E80F0000}"/>
    <cellStyle name="20% - Accent3 11 3 3 4 2" xfId="9977" xr:uid="{00000000-0005-0000-0000-0000E90F0000}"/>
    <cellStyle name="20% - Accent3 11 3 3 4 2 2" xfId="17770" xr:uid="{00000000-0005-0000-0000-0000EA0F0000}"/>
    <cellStyle name="20% - Accent3 11 3 3 4 2 2 2" xfId="35407" xr:uid="{00000000-0005-0000-0000-0000EB0F0000}"/>
    <cellStyle name="20% - Accent3 11 3 3 4 2 3" xfId="28360" xr:uid="{00000000-0005-0000-0000-0000EC0F0000}"/>
    <cellStyle name="20% - Accent3 11 3 3 4 3" xfId="14555" xr:uid="{00000000-0005-0000-0000-0000ED0F0000}"/>
    <cellStyle name="20% - Accent3 11 3 3 4 3 2" xfId="32190" xr:uid="{00000000-0005-0000-0000-0000EE0F0000}"/>
    <cellStyle name="20% - Accent3 11 3 3 4 4" xfId="25497" xr:uid="{00000000-0005-0000-0000-0000EF0F0000}"/>
    <cellStyle name="20% - Accent3 11 3 3 5" xfId="8203" xr:uid="{00000000-0005-0000-0000-0000F00F0000}"/>
    <cellStyle name="20% - Accent3 11 3 3 5 2" xfId="15999" xr:uid="{00000000-0005-0000-0000-0000F10F0000}"/>
    <cellStyle name="20% - Accent3 11 3 3 5 2 2" xfId="33634" xr:uid="{00000000-0005-0000-0000-0000F20F0000}"/>
    <cellStyle name="20% - Accent3 11 3 3 5 3" xfId="26617" xr:uid="{00000000-0005-0000-0000-0000F30F0000}"/>
    <cellStyle name="20% - Accent3 11 3 3 6" xfId="12314" xr:uid="{00000000-0005-0000-0000-0000F40F0000}"/>
    <cellStyle name="20% - Accent3 11 3 3 6 2" xfId="29985" xr:uid="{00000000-0005-0000-0000-0000F50F0000}"/>
    <cellStyle name="20% - Accent3 11 3 3 7" xfId="23752" xr:uid="{00000000-0005-0000-0000-0000F60F0000}"/>
    <cellStyle name="20% - Accent3 11 3 4" xfId="3576" xr:uid="{00000000-0005-0000-0000-0000F70F0000}"/>
    <cellStyle name="20% - Accent3 11 3 4 2" xfId="8201" xr:uid="{00000000-0005-0000-0000-0000F80F0000}"/>
    <cellStyle name="20% - Accent3 11 3 4 2 2" xfId="15997" xr:uid="{00000000-0005-0000-0000-0000F90F0000}"/>
    <cellStyle name="20% - Accent3 11 3 4 2 2 2" xfId="33632" xr:uid="{00000000-0005-0000-0000-0000FA0F0000}"/>
    <cellStyle name="20% - Accent3 11 3 4 2 3" xfId="26615" xr:uid="{00000000-0005-0000-0000-0000FB0F0000}"/>
    <cellStyle name="20% - Accent3 11 3 4 3" xfId="12312" xr:uid="{00000000-0005-0000-0000-0000FC0F0000}"/>
    <cellStyle name="20% - Accent3 11 3 4 3 2" xfId="29983" xr:uid="{00000000-0005-0000-0000-0000FD0F0000}"/>
    <cellStyle name="20% - Accent3 11 3 4 4" xfId="23750" xr:uid="{00000000-0005-0000-0000-0000FE0F0000}"/>
    <cellStyle name="20% - Accent3 11 3 5" xfId="5597" xr:uid="{00000000-0005-0000-0000-0000FF0F0000}"/>
    <cellStyle name="20% - Accent3 11 3 5 2" xfId="8897" xr:uid="{00000000-0005-0000-0000-000000100000}"/>
    <cellStyle name="20% - Accent3 11 3 5 2 2" xfId="16692" xr:uid="{00000000-0005-0000-0000-000001100000}"/>
    <cellStyle name="20% - Accent3 11 3 5 2 2 2" xfId="34328" xr:uid="{00000000-0005-0000-0000-000002100000}"/>
    <cellStyle name="20% - Accent3 11 3 5 2 3" xfId="27285" xr:uid="{00000000-0005-0000-0000-000003100000}"/>
    <cellStyle name="20% - Accent3 11 3 5 3" xfId="13453" xr:uid="{00000000-0005-0000-0000-000004100000}"/>
    <cellStyle name="20% - Accent3 11 3 5 3 2" xfId="31093" xr:uid="{00000000-0005-0000-0000-000005100000}"/>
    <cellStyle name="20% - Accent3 11 3 5 4" xfId="24420" xr:uid="{00000000-0005-0000-0000-000006100000}"/>
    <cellStyle name="20% - Accent3 11 3 6" xfId="6227" xr:uid="{00000000-0005-0000-0000-000007100000}"/>
    <cellStyle name="20% - Accent3 11 3 6 2" xfId="9437" xr:uid="{00000000-0005-0000-0000-000008100000}"/>
    <cellStyle name="20% - Accent3 11 3 6 2 2" xfId="17231" xr:uid="{00000000-0005-0000-0000-000009100000}"/>
    <cellStyle name="20% - Accent3 11 3 6 2 2 2" xfId="34868" xr:uid="{00000000-0005-0000-0000-00000A100000}"/>
    <cellStyle name="20% - Accent3 11 3 6 2 3" xfId="27821" xr:uid="{00000000-0005-0000-0000-00000B100000}"/>
    <cellStyle name="20% - Accent3 11 3 6 3" xfId="14016" xr:uid="{00000000-0005-0000-0000-00000C100000}"/>
    <cellStyle name="20% - Accent3 11 3 6 3 2" xfId="31651" xr:uid="{00000000-0005-0000-0000-00000D100000}"/>
    <cellStyle name="20% - Accent3 11 3 6 4" xfId="24957" xr:uid="{00000000-0005-0000-0000-00000E100000}"/>
    <cellStyle name="20% - Accent3 11 3 7" xfId="6765" xr:uid="{00000000-0005-0000-0000-00000F100000}"/>
    <cellStyle name="20% - Accent3 11 3 7 2" xfId="9975" xr:uid="{00000000-0005-0000-0000-000010100000}"/>
    <cellStyle name="20% - Accent3 11 3 7 2 2" xfId="17768" xr:uid="{00000000-0005-0000-0000-000011100000}"/>
    <cellStyle name="20% - Accent3 11 3 7 2 2 2" xfId="35405" xr:uid="{00000000-0005-0000-0000-000012100000}"/>
    <cellStyle name="20% - Accent3 11 3 7 2 3" xfId="28358" xr:uid="{00000000-0005-0000-0000-000013100000}"/>
    <cellStyle name="20% - Accent3 11 3 7 3" xfId="14553" xr:uid="{00000000-0005-0000-0000-000014100000}"/>
    <cellStyle name="20% - Accent3 11 3 7 3 2" xfId="32188" xr:uid="{00000000-0005-0000-0000-000015100000}"/>
    <cellStyle name="20% - Accent3 11 3 7 4" xfId="25495" xr:uid="{00000000-0005-0000-0000-000016100000}"/>
    <cellStyle name="20% - Accent3 11 3 8" xfId="7597" xr:uid="{00000000-0005-0000-0000-000017100000}"/>
    <cellStyle name="20% - Accent3 11 3 8 2" xfId="15394" xr:uid="{00000000-0005-0000-0000-000018100000}"/>
    <cellStyle name="20% - Accent3 11 3 8 2 2" xfId="33029" xr:uid="{00000000-0005-0000-0000-000019100000}"/>
    <cellStyle name="20% - Accent3 11 3 8 3" xfId="26030" xr:uid="{00000000-0005-0000-0000-00001A100000}"/>
    <cellStyle name="20% - Accent3 11 3 9" xfId="11165" xr:uid="{00000000-0005-0000-0000-00001B100000}"/>
    <cellStyle name="20% - Accent3 11 3 9 2" xfId="28893" xr:uid="{00000000-0005-0000-0000-00001C100000}"/>
    <cellStyle name="20% - Accent3 11 4" xfId="343" xr:uid="{00000000-0005-0000-0000-00001D100000}"/>
    <cellStyle name="20% - Accent3 11 4 2" xfId="3579" xr:uid="{00000000-0005-0000-0000-00001E100000}"/>
    <cellStyle name="20% - Accent3 11 4 2 2" xfId="8204" xr:uid="{00000000-0005-0000-0000-00001F100000}"/>
    <cellStyle name="20% - Accent3 11 4 2 2 2" xfId="16000" xr:uid="{00000000-0005-0000-0000-000020100000}"/>
    <cellStyle name="20% - Accent3 11 4 2 2 2 2" xfId="33635" xr:uid="{00000000-0005-0000-0000-000021100000}"/>
    <cellStyle name="20% - Accent3 11 4 2 2 3" xfId="26618" xr:uid="{00000000-0005-0000-0000-000022100000}"/>
    <cellStyle name="20% - Accent3 11 4 2 3" xfId="12315" xr:uid="{00000000-0005-0000-0000-000023100000}"/>
    <cellStyle name="20% - Accent3 11 4 2 3 2" xfId="29986" xr:uid="{00000000-0005-0000-0000-000024100000}"/>
    <cellStyle name="20% - Accent3 11 4 2 4" xfId="23753" xr:uid="{00000000-0005-0000-0000-000025100000}"/>
    <cellStyle name="20% - Accent3 11 4 3" xfId="5600" xr:uid="{00000000-0005-0000-0000-000026100000}"/>
    <cellStyle name="20% - Accent3 11 4 3 2" xfId="8900" xr:uid="{00000000-0005-0000-0000-000027100000}"/>
    <cellStyle name="20% - Accent3 11 4 3 2 2" xfId="16695" xr:uid="{00000000-0005-0000-0000-000028100000}"/>
    <cellStyle name="20% - Accent3 11 4 3 2 2 2" xfId="34331" xr:uid="{00000000-0005-0000-0000-000029100000}"/>
    <cellStyle name="20% - Accent3 11 4 3 2 3" xfId="27288" xr:uid="{00000000-0005-0000-0000-00002A100000}"/>
    <cellStyle name="20% - Accent3 11 4 3 3" xfId="13456" xr:uid="{00000000-0005-0000-0000-00002B100000}"/>
    <cellStyle name="20% - Accent3 11 4 3 3 2" xfId="31096" xr:uid="{00000000-0005-0000-0000-00002C100000}"/>
    <cellStyle name="20% - Accent3 11 4 3 4" xfId="24423" xr:uid="{00000000-0005-0000-0000-00002D100000}"/>
    <cellStyle name="20% - Accent3 11 4 4" xfId="6230" xr:uid="{00000000-0005-0000-0000-00002E100000}"/>
    <cellStyle name="20% - Accent3 11 4 4 2" xfId="9440" xr:uid="{00000000-0005-0000-0000-00002F100000}"/>
    <cellStyle name="20% - Accent3 11 4 4 2 2" xfId="17234" xr:uid="{00000000-0005-0000-0000-000030100000}"/>
    <cellStyle name="20% - Accent3 11 4 4 2 2 2" xfId="34871" xr:uid="{00000000-0005-0000-0000-000031100000}"/>
    <cellStyle name="20% - Accent3 11 4 4 2 3" xfId="27824" xr:uid="{00000000-0005-0000-0000-000032100000}"/>
    <cellStyle name="20% - Accent3 11 4 4 3" xfId="14019" xr:uid="{00000000-0005-0000-0000-000033100000}"/>
    <cellStyle name="20% - Accent3 11 4 4 3 2" xfId="31654" xr:uid="{00000000-0005-0000-0000-000034100000}"/>
    <cellStyle name="20% - Accent3 11 4 4 4" xfId="24960" xr:uid="{00000000-0005-0000-0000-000035100000}"/>
    <cellStyle name="20% - Accent3 11 4 5" xfId="6768" xr:uid="{00000000-0005-0000-0000-000036100000}"/>
    <cellStyle name="20% - Accent3 11 4 5 2" xfId="9978" xr:uid="{00000000-0005-0000-0000-000037100000}"/>
    <cellStyle name="20% - Accent3 11 4 5 2 2" xfId="17771" xr:uid="{00000000-0005-0000-0000-000038100000}"/>
    <cellStyle name="20% - Accent3 11 4 5 2 2 2" xfId="35408" xr:uid="{00000000-0005-0000-0000-000039100000}"/>
    <cellStyle name="20% - Accent3 11 4 5 2 3" xfId="28361" xr:uid="{00000000-0005-0000-0000-00003A100000}"/>
    <cellStyle name="20% - Accent3 11 4 5 3" xfId="14556" xr:uid="{00000000-0005-0000-0000-00003B100000}"/>
    <cellStyle name="20% - Accent3 11 4 5 3 2" xfId="32191" xr:uid="{00000000-0005-0000-0000-00003C100000}"/>
    <cellStyle name="20% - Accent3 11 4 5 4" xfId="25498" xr:uid="{00000000-0005-0000-0000-00003D100000}"/>
    <cellStyle name="20% - Accent3 11 4 6" xfId="7599" xr:uid="{00000000-0005-0000-0000-00003E100000}"/>
    <cellStyle name="20% - Accent3 11 4 6 2" xfId="15396" xr:uid="{00000000-0005-0000-0000-00003F100000}"/>
    <cellStyle name="20% - Accent3 11 4 6 2 2" xfId="33031" xr:uid="{00000000-0005-0000-0000-000040100000}"/>
    <cellStyle name="20% - Accent3 11 4 6 3" xfId="26032" xr:uid="{00000000-0005-0000-0000-000041100000}"/>
    <cellStyle name="20% - Accent3 11 4 7" xfId="11167" xr:uid="{00000000-0005-0000-0000-000042100000}"/>
    <cellStyle name="20% - Accent3 11 4 7 2" xfId="28895" xr:uid="{00000000-0005-0000-0000-000043100000}"/>
    <cellStyle name="20% - Accent3 11 4 8" xfId="23167" xr:uid="{00000000-0005-0000-0000-000044100000}"/>
    <cellStyle name="20% - Accent3 11 4 9" xfId="51721" xr:uid="{00000000-0005-0000-0000-000045100000}"/>
    <cellStyle name="20% - Accent3 11 5" xfId="344" xr:uid="{00000000-0005-0000-0000-000046100000}"/>
    <cellStyle name="20% - Accent3 11 5 2" xfId="3580" xr:uid="{00000000-0005-0000-0000-000047100000}"/>
    <cellStyle name="20% - Accent3 11 5 2 2" xfId="8205" xr:uid="{00000000-0005-0000-0000-000048100000}"/>
    <cellStyle name="20% - Accent3 11 5 2 2 2" xfId="16001" xr:uid="{00000000-0005-0000-0000-000049100000}"/>
    <cellStyle name="20% - Accent3 11 5 2 2 2 2" xfId="33636" xr:uid="{00000000-0005-0000-0000-00004A100000}"/>
    <cellStyle name="20% - Accent3 11 5 2 2 3" xfId="26619" xr:uid="{00000000-0005-0000-0000-00004B100000}"/>
    <cellStyle name="20% - Accent3 11 5 2 3" xfId="12316" xr:uid="{00000000-0005-0000-0000-00004C100000}"/>
    <cellStyle name="20% - Accent3 11 5 2 3 2" xfId="29987" xr:uid="{00000000-0005-0000-0000-00004D100000}"/>
    <cellStyle name="20% - Accent3 11 5 2 4" xfId="23754" xr:uid="{00000000-0005-0000-0000-00004E100000}"/>
    <cellStyle name="20% - Accent3 11 5 3" xfId="5601" xr:uid="{00000000-0005-0000-0000-00004F100000}"/>
    <cellStyle name="20% - Accent3 11 5 3 2" xfId="8901" xr:uid="{00000000-0005-0000-0000-000050100000}"/>
    <cellStyle name="20% - Accent3 11 5 3 2 2" xfId="16696" xr:uid="{00000000-0005-0000-0000-000051100000}"/>
    <cellStyle name="20% - Accent3 11 5 3 2 2 2" xfId="34332" xr:uid="{00000000-0005-0000-0000-000052100000}"/>
    <cellStyle name="20% - Accent3 11 5 3 2 3" xfId="27289" xr:uid="{00000000-0005-0000-0000-000053100000}"/>
    <cellStyle name="20% - Accent3 11 5 3 3" xfId="13457" xr:uid="{00000000-0005-0000-0000-000054100000}"/>
    <cellStyle name="20% - Accent3 11 5 3 3 2" xfId="31097" xr:uid="{00000000-0005-0000-0000-000055100000}"/>
    <cellStyle name="20% - Accent3 11 5 3 4" xfId="24424" xr:uid="{00000000-0005-0000-0000-000056100000}"/>
    <cellStyle name="20% - Accent3 11 5 4" xfId="6231" xr:uid="{00000000-0005-0000-0000-000057100000}"/>
    <cellStyle name="20% - Accent3 11 5 4 2" xfId="9441" xr:uid="{00000000-0005-0000-0000-000058100000}"/>
    <cellStyle name="20% - Accent3 11 5 4 2 2" xfId="17235" xr:uid="{00000000-0005-0000-0000-000059100000}"/>
    <cellStyle name="20% - Accent3 11 5 4 2 2 2" xfId="34872" xr:uid="{00000000-0005-0000-0000-00005A100000}"/>
    <cellStyle name="20% - Accent3 11 5 4 2 3" xfId="27825" xr:uid="{00000000-0005-0000-0000-00005B100000}"/>
    <cellStyle name="20% - Accent3 11 5 4 3" xfId="14020" xr:uid="{00000000-0005-0000-0000-00005C100000}"/>
    <cellStyle name="20% - Accent3 11 5 4 3 2" xfId="31655" xr:uid="{00000000-0005-0000-0000-00005D100000}"/>
    <cellStyle name="20% - Accent3 11 5 4 4" xfId="24961" xr:uid="{00000000-0005-0000-0000-00005E100000}"/>
    <cellStyle name="20% - Accent3 11 5 5" xfId="6769" xr:uid="{00000000-0005-0000-0000-00005F100000}"/>
    <cellStyle name="20% - Accent3 11 5 5 2" xfId="9979" xr:uid="{00000000-0005-0000-0000-000060100000}"/>
    <cellStyle name="20% - Accent3 11 5 5 2 2" xfId="17772" xr:uid="{00000000-0005-0000-0000-000061100000}"/>
    <cellStyle name="20% - Accent3 11 5 5 2 2 2" xfId="35409" xr:uid="{00000000-0005-0000-0000-000062100000}"/>
    <cellStyle name="20% - Accent3 11 5 5 2 3" xfId="28362" xr:uid="{00000000-0005-0000-0000-000063100000}"/>
    <cellStyle name="20% - Accent3 11 5 5 3" xfId="14557" xr:uid="{00000000-0005-0000-0000-000064100000}"/>
    <cellStyle name="20% - Accent3 11 5 5 3 2" xfId="32192" xr:uid="{00000000-0005-0000-0000-000065100000}"/>
    <cellStyle name="20% - Accent3 11 5 5 4" xfId="25499" xr:uid="{00000000-0005-0000-0000-000066100000}"/>
    <cellStyle name="20% - Accent3 11 5 6" xfId="7600" xr:uid="{00000000-0005-0000-0000-000067100000}"/>
    <cellStyle name="20% - Accent3 11 5 6 2" xfId="15397" xr:uid="{00000000-0005-0000-0000-000068100000}"/>
    <cellStyle name="20% - Accent3 11 5 6 2 2" xfId="33032" xr:uid="{00000000-0005-0000-0000-000069100000}"/>
    <cellStyle name="20% - Accent3 11 5 6 3" xfId="26033" xr:uid="{00000000-0005-0000-0000-00006A100000}"/>
    <cellStyle name="20% - Accent3 11 5 7" xfId="11168" xr:uid="{00000000-0005-0000-0000-00006B100000}"/>
    <cellStyle name="20% - Accent3 11 5 7 2" xfId="28896" xr:uid="{00000000-0005-0000-0000-00006C100000}"/>
    <cellStyle name="20% - Accent3 11 5 8" xfId="23168" xr:uid="{00000000-0005-0000-0000-00006D100000}"/>
    <cellStyle name="20% - Accent3 11 5 9" xfId="51722" xr:uid="{00000000-0005-0000-0000-00006E100000}"/>
    <cellStyle name="20% - Accent3 11 6" xfId="345" xr:uid="{00000000-0005-0000-0000-00006F100000}"/>
    <cellStyle name="20% - Accent3 11 6 2" xfId="3581" xr:uid="{00000000-0005-0000-0000-000070100000}"/>
    <cellStyle name="20% - Accent3 11 6 2 2" xfId="8206" xr:uid="{00000000-0005-0000-0000-000071100000}"/>
    <cellStyle name="20% - Accent3 11 6 2 2 2" xfId="16002" xr:uid="{00000000-0005-0000-0000-000072100000}"/>
    <cellStyle name="20% - Accent3 11 6 2 2 2 2" xfId="33637" xr:uid="{00000000-0005-0000-0000-000073100000}"/>
    <cellStyle name="20% - Accent3 11 6 2 2 3" xfId="26620" xr:uid="{00000000-0005-0000-0000-000074100000}"/>
    <cellStyle name="20% - Accent3 11 6 2 3" xfId="12317" xr:uid="{00000000-0005-0000-0000-000075100000}"/>
    <cellStyle name="20% - Accent3 11 6 2 3 2" xfId="29988" xr:uid="{00000000-0005-0000-0000-000076100000}"/>
    <cellStyle name="20% - Accent3 11 6 2 4" xfId="23755" xr:uid="{00000000-0005-0000-0000-000077100000}"/>
    <cellStyle name="20% - Accent3 11 6 3" xfId="5602" xr:uid="{00000000-0005-0000-0000-000078100000}"/>
    <cellStyle name="20% - Accent3 11 6 3 2" xfId="8902" xr:uid="{00000000-0005-0000-0000-000079100000}"/>
    <cellStyle name="20% - Accent3 11 6 3 2 2" xfId="16697" xr:uid="{00000000-0005-0000-0000-00007A100000}"/>
    <cellStyle name="20% - Accent3 11 6 3 2 2 2" xfId="34333" xr:uid="{00000000-0005-0000-0000-00007B100000}"/>
    <cellStyle name="20% - Accent3 11 6 3 2 3" xfId="27290" xr:uid="{00000000-0005-0000-0000-00007C100000}"/>
    <cellStyle name="20% - Accent3 11 6 3 3" xfId="13458" xr:uid="{00000000-0005-0000-0000-00007D100000}"/>
    <cellStyle name="20% - Accent3 11 6 3 3 2" xfId="31098" xr:uid="{00000000-0005-0000-0000-00007E100000}"/>
    <cellStyle name="20% - Accent3 11 6 3 4" xfId="24425" xr:uid="{00000000-0005-0000-0000-00007F100000}"/>
    <cellStyle name="20% - Accent3 11 6 4" xfId="6232" xr:uid="{00000000-0005-0000-0000-000080100000}"/>
    <cellStyle name="20% - Accent3 11 6 4 2" xfId="9442" xr:uid="{00000000-0005-0000-0000-000081100000}"/>
    <cellStyle name="20% - Accent3 11 6 4 2 2" xfId="17236" xr:uid="{00000000-0005-0000-0000-000082100000}"/>
    <cellStyle name="20% - Accent3 11 6 4 2 2 2" xfId="34873" xr:uid="{00000000-0005-0000-0000-000083100000}"/>
    <cellStyle name="20% - Accent3 11 6 4 2 3" xfId="27826" xr:uid="{00000000-0005-0000-0000-000084100000}"/>
    <cellStyle name="20% - Accent3 11 6 4 3" xfId="14021" xr:uid="{00000000-0005-0000-0000-000085100000}"/>
    <cellStyle name="20% - Accent3 11 6 4 3 2" xfId="31656" xr:uid="{00000000-0005-0000-0000-000086100000}"/>
    <cellStyle name="20% - Accent3 11 6 4 4" xfId="24962" xr:uid="{00000000-0005-0000-0000-000087100000}"/>
    <cellStyle name="20% - Accent3 11 6 5" xfId="6770" xr:uid="{00000000-0005-0000-0000-000088100000}"/>
    <cellStyle name="20% - Accent3 11 6 5 2" xfId="9980" xr:uid="{00000000-0005-0000-0000-000089100000}"/>
    <cellStyle name="20% - Accent3 11 6 5 2 2" xfId="17773" xr:uid="{00000000-0005-0000-0000-00008A100000}"/>
    <cellStyle name="20% - Accent3 11 6 5 2 2 2" xfId="35410" xr:uid="{00000000-0005-0000-0000-00008B100000}"/>
    <cellStyle name="20% - Accent3 11 6 5 2 3" xfId="28363" xr:uid="{00000000-0005-0000-0000-00008C100000}"/>
    <cellStyle name="20% - Accent3 11 6 5 3" xfId="14558" xr:uid="{00000000-0005-0000-0000-00008D100000}"/>
    <cellStyle name="20% - Accent3 11 6 5 3 2" xfId="32193" xr:uid="{00000000-0005-0000-0000-00008E100000}"/>
    <cellStyle name="20% - Accent3 11 6 5 4" xfId="25500" xr:uid="{00000000-0005-0000-0000-00008F100000}"/>
    <cellStyle name="20% - Accent3 11 6 6" xfId="7601" xr:uid="{00000000-0005-0000-0000-000090100000}"/>
    <cellStyle name="20% - Accent3 11 6 6 2" xfId="15398" xr:uid="{00000000-0005-0000-0000-000091100000}"/>
    <cellStyle name="20% - Accent3 11 6 6 2 2" xfId="33033" xr:uid="{00000000-0005-0000-0000-000092100000}"/>
    <cellStyle name="20% - Accent3 11 6 6 3" xfId="26034" xr:uid="{00000000-0005-0000-0000-000093100000}"/>
    <cellStyle name="20% - Accent3 11 6 7" xfId="11169" xr:uid="{00000000-0005-0000-0000-000094100000}"/>
    <cellStyle name="20% - Accent3 11 6 7 2" xfId="28897" xr:uid="{00000000-0005-0000-0000-000095100000}"/>
    <cellStyle name="20% - Accent3 11 6 8" xfId="23169" xr:uid="{00000000-0005-0000-0000-000096100000}"/>
    <cellStyle name="20% - Accent3 11 6 9" xfId="51723" xr:uid="{00000000-0005-0000-0000-000097100000}"/>
    <cellStyle name="20% - Accent3 11 7" xfId="346" xr:uid="{00000000-0005-0000-0000-000098100000}"/>
    <cellStyle name="20% - Accent3 11 7 10" xfId="51724" xr:uid="{00000000-0005-0000-0000-000099100000}"/>
    <cellStyle name="20% - Accent3 11 7 2" xfId="347" xr:uid="{00000000-0005-0000-0000-00009A100000}"/>
    <cellStyle name="20% - Accent3 11 7 2 2" xfId="8208" xr:uid="{00000000-0005-0000-0000-00009B100000}"/>
    <cellStyle name="20% - Accent3 11 7 2 2 2" xfId="16004" xr:uid="{00000000-0005-0000-0000-00009C100000}"/>
    <cellStyle name="20% - Accent3 11 7 2 2 2 2" xfId="33639" xr:uid="{00000000-0005-0000-0000-00009D100000}"/>
    <cellStyle name="20% - Accent3 11 7 2 2 3" xfId="26622" xr:uid="{00000000-0005-0000-0000-00009E100000}"/>
    <cellStyle name="20% - Accent3 11 7 2 3" xfId="12319" xr:uid="{00000000-0005-0000-0000-00009F100000}"/>
    <cellStyle name="20% - Accent3 11 7 2 3 2" xfId="29990" xr:uid="{00000000-0005-0000-0000-0000A0100000}"/>
    <cellStyle name="20% - Accent3 11 7 2 4" xfId="23757" xr:uid="{00000000-0005-0000-0000-0000A1100000}"/>
    <cellStyle name="20% - Accent3 11 7 3" xfId="3582" xr:uid="{00000000-0005-0000-0000-0000A2100000}"/>
    <cellStyle name="20% - Accent3 11 7 3 2" xfId="8207" xr:uid="{00000000-0005-0000-0000-0000A3100000}"/>
    <cellStyle name="20% - Accent3 11 7 3 2 2" xfId="16003" xr:uid="{00000000-0005-0000-0000-0000A4100000}"/>
    <cellStyle name="20% - Accent3 11 7 3 2 2 2" xfId="33638" xr:uid="{00000000-0005-0000-0000-0000A5100000}"/>
    <cellStyle name="20% - Accent3 11 7 3 2 3" xfId="26621" xr:uid="{00000000-0005-0000-0000-0000A6100000}"/>
    <cellStyle name="20% - Accent3 11 7 3 3" xfId="12318" xr:uid="{00000000-0005-0000-0000-0000A7100000}"/>
    <cellStyle name="20% - Accent3 11 7 3 3 2" xfId="29989" xr:uid="{00000000-0005-0000-0000-0000A8100000}"/>
    <cellStyle name="20% - Accent3 11 7 3 4" xfId="23756" xr:uid="{00000000-0005-0000-0000-0000A9100000}"/>
    <cellStyle name="20% - Accent3 11 7 4" xfId="5603" xr:uid="{00000000-0005-0000-0000-0000AA100000}"/>
    <cellStyle name="20% - Accent3 11 7 4 2" xfId="8903" xr:uid="{00000000-0005-0000-0000-0000AB100000}"/>
    <cellStyle name="20% - Accent3 11 7 4 2 2" xfId="16698" xr:uid="{00000000-0005-0000-0000-0000AC100000}"/>
    <cellStyle name="20% - Accent3 11 7 4 2 2 2" xfId="34334" xr:uid="{00000000-0005-0000-0000-0000AD100000}"/>
    <cellStyle name="20% - Accent3 11 7 4 2 3" xfId="27291" xr:uid="{00000000-0005-0000-0000-0000AE100000}"/>
    <cellStyle name="20% - Accent3 11 7 4 3" xfId="13459" xr:uid="{00000000-0005-0000-0000-0000AF100000}"/>
    <cellStyle name="20% - Accent3 11 7 4 3 2" xfId="31099" xr:uid="{00000000-0005-0000-0000-0000B0100000}"/>
    <cellStyle name="20% - Accent3 11 7 4 4" xfId="24426" xr:uid="{00000000-0005-0000-0000-0000B1100000}"/>
    <cellStyle name="20% - Accent3 11 7 5" xfId="6233" xr:uid="{00000000-0005-0000-0000-0000B2100000}"/>
    <cellStyle name="20% - Accent3 11 7 5 2" xfId="9443" xr:uid="{00000000-0005-0000-0000-0000B3100000}"/>
    <cellStyle name="20% - Accent3 11 7 5 2 2" xfId="17237" xr:uid="{00000000-0005-0000-0000-0000B4100000}"/>
    <cellStyle name="20% - Accent3 11 7 5 2 2 2" xfId="34874" xr:uid="{00000000-0005-0000-0000-0000B5100000}"/>
    <cellStyle name="20% - Accent3 11 7 5 2 3" xfId="27827" xr:uid="{00000000-0005-0000-0000-0000B6100000}"/>
    <cellStyle name="20% - Accent3 11 7 5 3" xfId="14022" xr:uid="{00000000-0005-0000-0000-0000B7100000}"/>
    <cellStyle name="20% - Accent3 11 7 5 3 2" xfId="31657" xr:uid="{00000000-0005-0000-0000-0000B8100000}"/>
    <cellStyle name="20% - Accent3 11 7 5 4" xfId="24963" xr:uid="{00000000-0005-0000-0000-0000B9100000}"/>
    <cellStyle name="20% - Accent3 11 7 6" xfId="6771" xr:uid="{00000000-0005-0000-0000-0000BA100000}"/>
    <cellStyle name="20% - Accent3 11 7 6 2" xfId="9981" xr:uid="{00000000-0005-0000-0000-0000BB100000}"/>
    <cellStyle name="20% - Accent3 11 7 6 2 2" xfId="17774" xr:uid="{00000000-0005-0000-0000-0000BC100000}"/>
    <cellStyle name="20% - Accent3 11 7 6 2 2 2" xfId="35411" xr:uid="{00000000-0005-0000-0000-0000BD100000}"/>
    <cellStyle name="20% - Accent3 11 7 6 2 3" xfId="28364" xr:uid="{00000000-0005-0000-0000-0000BE100000}"/>
    <cellStyle name="20% - Accent3 11 7 6 3" xfId="14559" xr:uid="{00000000-0005-0000-0000-0000BF100000}"/>
    <cellStyle name="20% - Accent3 11 7 6 3 2" xfId="32194" xr:uid="{00000000-0005-0000-0000-0000C0100000}"/>
    <cellStyle name="20% - Accent3 11 7 6 4" xfId="25501" xr:uid="{00000000-0005-0000-0000-0000C1100000}"/>
    <cellStyle name="20% - Accent3 11 7 7" xfId="7602" xr:uid="{00000000-0005-0000-0000-0000C2100000}"/>
    <cellStyle name="20% - Accent3 11 7 7 2" xfId="15399" xr:uid="{00000000-0005-0000-0000-0000C3100000}"/>
    <cellStyle name="20% - Accent3 11 7 7 2 2" xfId="33034" xr:uid="{00000000-0005-0000-0000-0000C4100000}"/>
    <cellStyle name="20% - Accent3 11 7 7 3" xfId="26035" xr:uid="{00000000-0005-0000-0000-0000C5100000}"/>
    <cellStyle name="20% - Accent3 11 7 8" xfId="11170" xr:uid="{00000000-0005-0000-0000-0000C6100000}"/>
    <cellStyle name="20% - Accent3 11 7 8 2" xfId="28898" xr:uid="{00000000-0005-0000-0000-0000C7100000}"/>
    <cellStyle name="20% - Accent3 11 7 9" xfId="23170" xr:uid="{00000000-0005-0000-0000-0000C8100000}"/>
    <cellStyle name="20% - Accent3 11 8" xfId="3583" xr:uid="{00000000-0005-0000-0000-0000C9100000}"/>
    <cellStyle name="20% - Accent3 11 8 2" xfId="8209" xr:uid="{00000000-0005-0000-0000-0000CA100000}"/>
    <cellStyle name="20% - Accent3 11 8 2 2" xfId="16005" xr:uid="{00000000-0005-0000-0000-0000CB100000}"/>
    <cellStyle name="20% - Accent3 11 8 2 2 2" xfId="33640" xr:uid="{00000000-0005-0000-0000-0000CC100000}"/>
    <cellStyle name="20% - Accent3 11 8 2 3" xfId="26623" xr:uid="{00000000-0005-0000-0000-0000CD100000}"/>
    <cellStyle name="20% - Accent3 11 8 3" xfId="12320" xr:uid="{00000000-0005-0000-0000-0000CE100000}"/>
    <cellStyle name="20% - Accent3 11 8 3 2" xfId="29991" xr:uid="{00000000-0005-0000-0000-0000CF100000}"/>
    <cellStyle name="20% - Accent3 11 8 4" xfId="23758" xr:uid="{00000000-0005-0000-0000-0000D0100000}"/>
    <cellStyle name="20% - Accent3 11 9" xfId="3584" xr:uid="{00000000-0005-0000-0000-0000D1100000}"/>
    <cellStyle name="20% - Accent3 11 9 2" xfId="8210" xr:uid="{00000000-0005-0000-0000-0000D2100000}"/>
    <cellStyle name="20% - Accent3 11 9 2 2" xfId="16006" xr:uid="{00000000-0005-0000-0000-0000D3100000}"/>
    <cellStyle name="20% - Accent3 11 9 2 2 2" xfId="33641" xr:uid="{00000000-0005-0000-0000-0000D4100000}"/>
    <cellStyle name="20% - Accent3 11 9 2 3" xfId="26624" xr:uid="{00000000-0005-0000-0000-0000D5100000}"/>
    <cellStyle name="20% - Accent3 11 9 3" xfId="12321" xr:uid="{00000000-0005-0000-0000-0000D6100000}"/>
    <cellStyle name="20% - Accent3 11 9 3 2" xfId="29992" xr:uid="{00000000-0005-0000-0000-0000D7100000}"/>
    <cellStyle name="20% - Accent3 11 9 4" xfId="23759" xr:uid="{00000000-0005-0000-0000-0000D8100000}"/>
    <cellStyle name="20% - Accent3 12" xfId="348" xr:uid="{00000000-0005-0000-0000-0000D9100000}"/>
    <cellStyle name="20% - Accent3 12 2" xfId="3585" xr:uid="{00000000-0005-0000-0000-0000DA100000}"/>
    <cellStyle name="20% - Accent3 12 2 2" xfId="8211" xr:uid="{00000000-0005-0000-0000-0000DB100000}"/>
    <cellStyle name="20% - Accent3 12 2 2 2" xfId="16007" xr:uid="{00000000-0005-0000-0000-0000DC100000}"/>
    <cellStyle name="20% - Accent3 12 2 2 2 2" xfId="33642" xr:uid="{00000000-0005-0000-0000-0000DD100000}"/>
    <cellStyle name="20% - Accent3 12 2 2 3" xfId="26625" xr:uid="{00000000-0005-0000-0000-0000DE100000}"/>
    <cellStyle name="20% - Accent3 12 2 3" xfId="12322" xr:uid="{00000000-0005-0000-0000-0000DF100000}"/>
    <cellStyle name="20% - Accent3 12 2 3 2" xfId="29993" xr:uid="{00000000-0005-0000-0000-0000E0100000}"/>
    <cellStyle name="20% - Accent3 12 2 4" xfId="22054" xr:uid="{00000000-0005-0000-0000-0000E1100000}"/>
    <cellStyle name="20% - Accent3 12 2 4 2" xfId="38767" xr:uid="{00000000-0005-0000-0000-0000E2100000}"/>
    <cellStyle name="20% - Accent3 12 2 5" xfId="23760" xr:uid="{00000000-0005-0000-0000-0000E3100000}"/>
    <cellStyle name="20% - Accent3 12 3" xfId="7603" xr:uid="{00000000-0005-0000-0000-0000E4100000}"/>
    <cellStyle name="20% - Accent3 12 3 2" xfId="15400" xr:uid="{00000000-0005-0000-0000-0000E5100000}"/>
    <cellStyle name="20% - Accent3 12 3 2 2" xfId="33035" xr:uid="{00000000-0005-0000-0000-0000E6100000}"/>
    <cellStyle name="20% - Accent3 12 3 3" xfId="26036" xr:uid="{00000000-0005-0000-0000-0000E7100000}"/>
    <cellStyle name="20% - Accent3 12 4" xfId="11171" xr:uid="{00000000-0005-0000-0000-0000E8100000}"/>
    <cellStyle name="20% - Accent3 12 4 2" xfId="28899" xr:uid="{00000000-0005-0000-0000-0000E9100000}"/>
    <cellStyle name="20% - Accent3 12 5" xfId="22053" xr:uid="{00000000-0005-0000-0000-0000EA100000}"/>
    <cellStyle name="20% - Accent3 12 5 2" xfId="38766" xr:uid="{00000000-0005-0000-0000-0000EB100000}"/>
    <cellStyle name="20% - Accent3 12 6" xfId="23171" xr:uid="{00000000-0005-0000-0000-0000EC100000}"/>
    <cellStyle name="20% - Accent3 12 7" xfId="51725" xr:uid="{00000000-0005-0000-0000-0000ED100000}"/>
    <cellStyle name="20% - Accent3 13" xfId="18873" xr:uid="{00000000-0005-0000-0000-0000EE100000}"/>
    <cellStyle name="20% - Accent3 13 2" xfId="22055" xr:uid="{00000000-0005-0000-0000-0000EF100000}"/>
    <cellStyle name="20% - Accent3 13 2 2" xfId="38768" xr:uid="{00000000-0005-0000-0000-0000F0100000}"/>
    <cellStyle name="20% - Accent3 13 3" xfId="36510" xr:uid="{00000000-0005-0000-0000-0000F1100000}"/>
    <cellStyle name="20% - Accent3 14" xfId="15298" xr:uid="{00000000-0005-0000-0000-0000F2100000}"/>
    <cellStyle name="20% - Accent3 14 2" xfId="22056" xr:uid="{00000000-0005-0000-0000-0000F3100000}"/>
    <cellStyle name="20% - Accent3 14 3" xfId="32933" xr:uid="{00000000-0005-0000-0000-0000F4100000}"/>
    <cellStyle name="20% - Accent3 15" xfId="22683" xr:uid="{00000000-0005-0000-0000-0000F5100000}"/>
    <cellStyle name="20% - Accent3 15 2" xfId="38905" xr:uid="{00000000-0005-0000-0000-0000F6100000}"/>
    <cellStyle name="20% - Accent3 16" xfId="22050" xr:uid="{00000000-0005-0000-0000-0000F7100000}"/>
    <cellStyle name="20% - Accent3 17" xfId="23072" xr:uid="{00000000-0005-0000-0000-0000F8100000}"/>
    <cellStyle name="20% - Accent3 18" xfId="51484" xr:uid="{00000000-0005-0000-0000-0000F9100000}"/>
    <cellStyle name="20% - Accent3 19" xfId="51497" xr:uid="{00000000-0005-0000-0000-0000FA100000}"/>
    <cellStyle name="20% - Accent3 2" xfId="7" xr:uid="{00000000-0005-0000-0000-0000FB100000}"/>
    <cellStyle name="20% - Accent3 2 10" xfId="350" xr:uid="{00000000-0005-0000-0000-0000FC100000}"/>
    <cellStyle name="20% - Accent3 2 11" xfId="351" xr:uid="{00000000-0005-0000-0000-0000FD100000}"/>
    <cellStyle name="20% - Accent3 2 12" xfId="352" xr:uid="{00000000-0005-0000-0000-0000FE100000}"/>
    <cellStyle name="20% - Accent3 2 13" xfId="353" xr:uid="{00000000-0005-0000-0000-0000FF100000}"/>
    <cellStyle name="20% - Accent3 2 14" xfId="354" xr:uid="{00000000-0005-0000-0000-000000110000}"/>
    <cellStyle name="20% - Accent3 2 15" xfId="3586" xr:uid="{00000000-0005-0000-0000-000001110000}"/>
    <cellStyle name="20% - Accent3 2 16" xfId="3587" xr:uid="{00000000-0005-0000-0000-000002110000}"/>
    <cellStyle name="20% - Accent3 2 17" xfId="3588" xr:uid="{00000000-0005-0000-0000-000003110000}"/>
    <cellStyle name="20% - Accent3 2 18" xfId="349" xr:uid="{00000000-0005-0000-0000-000004110000}"/>
    <cellStyle name="20% - Accent3 2 2" xfId="355" xr:uid="{00000000-0005-0000-0000-000005110000}"/>
    <cellStyle name="20% - Accent3 2 2 2" xfId="356" xr:uid="{00000000-0005-0000-0000-000006110000}"/>
    <cellStyle name="20% - Accent3 2 2 3" xfId="357" xr:uid="{00000000-0005-0000-0000-000007110000}"/>
    <cellStyle name="20% - Accent3 2 2 4" xfId="3589" xr:uid="{00000000-0005-0000-0000-000008110000}"/>
    <cellStyle name="20% - Accent3 2 2 5" xfId="3590" xr:uid="{00000000-0005-0000-0000-000009110000}"/>
    <cellStyle name="20% - Accent3 2 2_Sheet1" xfId="358" xr:uid="{00000000-0005-0000-0000-00000A110000}"/>
    <cellStyle name="20% - Accent3 2 3" xfId="359" xr:uid="{00000000-0005-0000-0000-00000B110000}"/>
    <cellStyle name="20% - Accent3 2 4" xfId="360" xr:uid="{00000000-0005-0000-0000-00000C110000}"/>
    <cellStyle name="20% - Accent3 2 5" xfId="361" xr:uid="{00000000-0005-0000-0000-00000D110000}"/>
    <cellStyle name="20% - Accent3 2 6" xfId="362" xr:uid="{00000000-0005-0000-0000-00000E110000}"/>
    <cellStyle name="20% - Accent3 2 7" xfId="363" xr:uid="{00000000-0005-0000-0000-00000F110000}"/>
    <cellStyle name="20% - Accent3 2 8" xfId="364" xr:uid="{00000000-0005-0000-0000-000010110000}"/>
    <cellStyle name="20% - Accent3 2 9" xfId="365" xr:uid="{00000000-0005-0000-0000-000011110000}"/>
    <cellStyle name="20% - Accent3 2_BallGrid" xfId="366" xr:uid="{00000000-0005-0000-0000-000012110000}"/>
    <cellStyle name="20% - Accent3 20" xfId="51510" xr:uid="{00000000-0005-0000-0000-000013110000}"/>
    <cellStyle name="20% - Accent3 3" xfId="8" xr:uid="{00000000-0005-0000-0000-000014110000}"/>
    <cellStyle name="20% - Accent3 3 10" xfId="367" xr:uid="{00000000-0005-0000-0000-000015110000}"/>
    <cellStyle name="20% - Accent3 3 2" xfId="368" xr:uid="{00000000-0005-0000-0000-000016110000}"/>
    <cellStyle name="20% - Accent3 3 3" xfId="369" xr:uid="{00000000-0005-0000-0000-000017110000}"/>
    <cellStyle name="20% - Accent3 3 4" xfId="370" xr:uid="{00000000-0005-0000-0000-000018110000}"/>
    <cellStyle name="20% - Accent3 3 5" xfId="371" xr:uid="{00000000-0005-0000-0000-000019110000}"/>
    <cellStyle name="20% - Accent3 3 6" xfId="372" xr:uid="{00000000-0005-0000-0000-00001A110000}"/>
    <cellStyle name="20% - Accent3 3 7" xfId="3591" xr:uid="{00000000-0005-0000-0000-00001B110000}"/>
    <cellStyle name="20% - Accent3 3 8" xfId="3592" xr:uid="{00000000-0005-0000-0000-00001C110000}"/>
    <cellStyle name="20% - Accent3 3 9" xfId="3593" xr:uid="{00000000-0005-0000-0000-00001D110000}"/>
    <cellStyle name="20% - Accent3 3_BallGrid" xfId="373" xr:uid="{00000000-0005-0000-0000-00001E110000}"/>
    <cellStyle name="20% - Accent3 4" xfId="9" xr:uid="{00000000-0005-0000-0000-00001F110000}"/>
    <cellStyle name="20% - Accent3 4 2" xfId="375" xr:uid="{00000000-0005-0000-0000-000020110000}"/>
    <cellStyle name="20% - Accent3 4 2 2" xfId="22836" xr:uid="{00000000-0005-0000-0000-000021110000}"/>
    <cellStyle name="20% - Accent3 4 3" xfId="376" xr:uid="{00000000-0005-0000-0000-000022110000}"/>
    <cellStyle name="20% - Accent3 4 3 2" xfId="22057" xr:uid="{00000000-0005-0000-0000-000023110000}"/>
    <cellStyle name="20% - Accent3 4 4" xfId="377" xr:uid="{00000000-0005-0000-0000-000024110000}"/>
    <cellStyle name="20% - Accent3 4 5" xfId="378" xr:uid="{00000000-0005-0000-0000-000025110000}"/>
    <cellStyle name="20% - Accent3 4 6" xfId="3594" xr:uid="{00000000-0005-0000-0000-000026110000}"/>
    <cellStyle name="20% - Accent3 4 7" xfId="3595" xr:uid="{00000000-0005-0000-0000-000027110000}"/>
    <cellStyle name="20% - Accent3 4 8" xfId="3596" xr:uid="{00000000-0005-0000-0000-000028110000}"/>
    <cellStyle name="20% - Accent3 4 9" xfId="374" xr:uid="{00000000-0005-0000-0000-000029110000}"/>
    <cellStyle name="20% - Accent3 5" xfId="379" xr:uid="{00000000-0005-0000-0000-00002A110000}"/>
    <cellStyle name="20% - Accent3 5 10" xfId="3598" xr:uid="{00000000-0005-0000-0000-00002B110000}"/>
    <cellStyle name="20% - Accent3 5 10 2" xfId="8213" xr:uid="{00000000-0005-0000-0000-00002C110000}"/>
    <cellStyle name="20% - Accent3 5 10 2 2" xfId="16009" xr:uid="{00000000-0005-0000-0000-00002D110000}"/>
    <cellStyle name="20% - Accent3 5 10 2 2 2" xfId="33644" xr:uid="{00000000-0005-0000-0000-00002E110000}"/>
    <cellStyle name="20% - Accent3 5 10 2 3" xfId="26627" xr:uid="{00000000-0005-0000-0000-00002F110000}"/>
    <cellStyle name="20% - Accent3 5 10 3" xfId="12327" xr:uid="{00000000-0005-0000-0000-000030110000}"/>
    <cellStyle name="20% - Accent3 5 10 3 2" xfId="29998" xr:uid="{00000000-0005-0000-0000-000031110000}"/>
    <cellStyle name="20% - Accent3 5 10 4" xfId="23762" xr:uid="{00000000-0005-0000-0000-000032110000}"/>
    <cellStyle name="20% - Accent3 5 11" xfId="3597" xr:uid="{00000000-0005-0000-0000-000033110000}"/>
    <cellStyle name="20% - Accent3 5 11 2" xfId="8212" xr:uid="{00000000-0005-0000-0000-000034110000}"/>
    <cellStyle name="20% - Accent3 5 11 2 2" xfId="16008" xr:uid="{00000000-0005-0000-0000-000035110000}"/>
    <cellStyle name="20% - Accent3 5 11 2 2 2" xfId="33643" xr:uid="{00000000-0005-0000-0000-000036110000}"/>
    <cellStyle name="20% - Accent3 5 11 2 3" xfId="26626" xr:uid="{00000000-0005-0000-0000-000037110000}"/>
    <cellStyle name="20% - Accent3 5 11 3" xfId="12326" xr:uid="{00000000-0005-0000-0000-000038110000}"/>
    <cellStyle name="20% - Accent3 5 11 3 2" xfId="29997" xr:uid="{00000000-0005-0000-0000-000039110000}"/>
    <cellStyle name="20% - Accent3 5 11 4" xfId="23761" xr:uid="{00000000-0005-0000-0000-00003A110000}"/>
    <cellStyle name="20% - Accent3 5 12" xfId="5604" xr:uid="{00000000-0005-0000-0000-00003B110000}"/>
    <cellStyle name="20% - Accent3 5 12 2" xfId="8904" xr:uid="{00000000-0005-0000-0000-00003C110000}"/>
    <cellStyle name="20% - Accent3 5 12 2 2" xfId="16699" xr:uid="{00000000-0005-0000-0000-00003D110000}"/>
    <cellStyle name="20% - Accent3 5 12 2 2 2" xfId="34335" xr:uid="{00000000-0005-0000-0000-00003E110000}"/>
    <cellStyle name="20% - Accent3 5 12 2 3" xfId="27292" xr:uid="{00000000-0005-0000-0000-00003F110000}"/>
    <cellStyle name="20% - Accent3 5 12 3" xfId="13460" xr:uid="{00000000-0005-0000-0000-000040110000}"/>
    <cellStyle name="20% - Accent3 5 12 3 2" xfId="31100" xr:uid="{00000000-0005-0000-0000-000041110000}"/>
    <cellStyle name="20% - Accent3 5 12 4" xfId="24427" xr:uid="{00000000-0005-0000-0000-000042110000}"/>
    <cellStyle name="20% - Accent3 5 13" xfId="6234" xr:uid="{00000000-0005-0000-0000-000043110000}"/>
    <cellStyle name="20% - Accent3 5 13 2" xfId="9444" xr:uid="{00000000-0005-0000-0000-000044110000}"/>
    <cellStyle name="20% - Accent3 5 13 2 2" xfId="17238" xr:uid="{00000000-0005-0000-0000-000045110000}"/>
    <cellStyle name="20% - Accent3 5 13 2 2 2" xfId="34875" xr:uid="{00000000-0005-0000-0000-000046110000}"/>
    <cellStyle name="20% - Accent3 5 13 2 3" xfId="27828" xr:uid="{00000000-0005-0000-0000-000047110000}"/>
    <cellStyle name="20% - Accent3 5 13 3" xfId="14023" xr:uid="{00000000-0005-0000-0000-000048110000}"/>
    <cellStyle name="20% - Accent3 5 13 3 2" xfId="31658" xr:uid="{00000000-0005-0000-0000-000049110000}"/>
    <cellStyle name="20% - Accent3 5 13 4" xfId="24964" xr:uid="{00000000-0005-0000-0000-00004A110000}"/>
    <cellStyle name="20% - Accent3 5 14" xfId="6772" xr:uid="{00000000-0005-0000-0000-00004B110000}"/>
    <cellStyle name="20% - Accent3 5 14 2" xfId="9982" xr:uid="{00000000-0005-0000-0000-00004C110000}"/>
    <cellStyle name="20% - Accent3 5 14 2 2" xfId="17775" xr:uid="{00000000-0005-0000-0000-00004D110000}"/>
    <cellStyle name="20% - Accent3 5 14 2 2 2" xfId="35412" xr:uid="{00000000-0005-0000-0000-00004E110000}"/>
    <cellStyle name="20% - Accent3 5 14 2 3" xfId="28365" xr:uid="{00000000-0005-0000-0000-00004F110000}"/>
    <cellStyle name="20% - Accent3 5 14 3" xfId="14560" xr:uid="{00000000-0005-0000-0000-000050110000}"/>
    <cellStyle name="20% - Accent3 5 14 3 2" xfId="32195" xr:uid="{00000000-0005-0000-0000-000051110000}"/>
    <cellStyle name="20% - Accent3 5 14 4" xfId="25502" xr:uid="{00000000-0005-0000-0000-000052110000}"/>
    <cellStyle name="20% - Accent3 5 15" xfId="7604" xr:uid="{00000000-0005-0000-0000-000053110000}"/>
    <cellStyle name="20% - Accent3 5 15 2" xfId="15401" xr:uid="{00000000-0005-0000-0000-000054110000}"/>
    <cellStyle name="20% - Accent3 5 15 2 2" xfId="33036" xr:uid="{00000000-0005-0000-0000-000055110000}"/>
    <cellStyle name="20% - Accent3 5 15 3" xfId="26037" xr:uid="{00000000-0005-0000-0000-000056110000}"/>
    <cellStyle name="20% - Accent3 5 16" xfId="11176" xr:uid="{00000000-0005-0000-0000-000057110000}"/>
    <cellStyle name="20% - Accent3 5 16 2" xfId="28904" xr:uid="{00000000-0005-0000-0000-000058110000}"/>
    <cellStyle name="20% - Accent3 5 17" xfId="21941" xr:uid="{00000000-0005-0000-0000-000059110000}"/>
    <cellStyle name="20% - Accent3 5 17 2" xfId="38694" xr:uid="{00000000-0005-0000-0000-00005A110000}"/>
    <cellStyle name="20% - Accent3 5 18" xfId="23172" xr:uid="{00000000-0005-0000-0000-00005B110000}"/>
    <cellStyle name="20% - Accent3 5 19" xfId="51726" xr:uid="{00000000-0005-0000-0000-00005C110000}"/>
    <cellStyle name="20% - Accent3 5 2" xfId="380" xr:uid="{00000000-0005-0000-0000-00005D110000}"/>
    <cellStyle name="20% - Accent3 5 2 10" xfId="51727" xr:uid="{00000000-0005-0000-0000-00005E110000}"/>
    <cellStyle name="20% - Accent3 5 2 2" xfId="3599" xr:uid="{00000000-0005-0000-0000-00005F110000}"/>
    <cellStyle name="20% - Accent3 5 2 2 2" xfId="8214" xr:uid="{00000000-0005-0000-0000-000060110000}"/>
    <cellStyle name="20% - Accent3 5 2 2 2 2" xfId="16010" xr:uid="{00000000-0005-0000-0000-000061110000}"/>
    <cellStyle name="20% - Accent3 5 2 2 2 2 2" xfId="33645" xr:uid="{00000000-0005-0000-0000-000062110000}"/>
    <cellStyle name="20% - Accent3 5 2 2 2 3" xfId="26628" xr:uid="{00000000-0005-0000-0000-000063110000}"/>
    <cellStyle name="20% - Accent3 5 2 2 3" xfId="12328" xr:uid="{00000000-0005-0000-0000-000064110000}"/>
    <cellStyle name="20% - Accent3 5 2 2 3 2" xfId="29999" xr:uid="{00000000-0005-0000-0000-000065110000}"/>
    <cellStyle name="20% - Accent3 5 2 2 4" xfId="23763" xr:uid="{00000000-0005-0000-0000-000066110000}"/>
    <cellStyle name="20% - Accent3 5 2 3" xfId="5605" xr:uid="{00000000-0005-0000-0000-000067110000}"/>
    <cellStyle name="20% - Accent3 5 2 3 2" xfId="8905" xr:uid="{00000000-0005-0000-0000-000068110000}"/>
    <cellStyle name="20% - Accent3 5 2 3 2 2" xfId="16700" xr:uid="{00000000-0005-0000-0000-000069110000}"/>
    <cellStyle name="20% - Accent3 5 2 3 2 2 2" xfId="34336" xr:uid="{00000000-0005-0000-0000-00006A110000}"/>
    <cellStyle name="20% - Accent3 5 2 3 2 3" xfId="27293" xr:uid="{00000000-0005-0000-0000-00006B110000}"/>
    <cellStyle name="20% - Accent3 5 2 3 3" xfId="13461" xr:uid="{00000000-0005-0000-0000-00006C110000}"/>
    <cellStyle name="20% - Accent3 5 2 3 3 2" xfId="31101" xr:uid="{00000000-0005-0000-0000-00006D110000}"/>
    <cellStyle name="20% - Accent3 5 2 3 4" xfId="24428" xr:uid="{00000000-0005-0000-0000-00006E110000}"/>
    <cellStyle name="20% - Accent3 5 2 4" xfId="6235" xr:uid="{00000000-0005-0000-0000-00006F110000}"/>
    <cellStyle name="20% - Accent3 5 2 4 2" xfId="9445" xr:uid="{00000000-0005-0000-0000-000070110000}"/>
    <cellStyle name="20% - Accent3 5 2 4 2 2" xfId="17239" xr:uid="{00000000-0005-0000-0000-000071110000}"/>
    <cellStyle name="20% - Accent3 5 2 4 2 2 2" xfId="34876" xr:uid="{00000000-0005-0000-0000-000072110000}"/>
    <cellStyle name="20% - Accent3 5 2 4 2 3" xfId="27829" xr:uid="{00000000-0005-0000-0000-000073110000}"/>
    <cellStyle name="20% - Accent3 5 2 4 3" xfId="14024" xr:uid="{00000000-0005-0000-0000-000074110000}"/>
    <cellStyle name="20% - Accent3 5 2 4 3 2" xfId="31659" xr:uid="{00000000-0005-0000-0000-000075110000}"/>
    <cellStyle name="20% - Accent3 5 2 4 4" xfId="24965" xr:uid="{00000000-0005-0000-0000-000076110000}"/>
    <cellStyle name="20% - Accent3 5 2 5" xfId="6773" xr:uid="{00000000-0005-0000-0000-000077110000}"/>
    <cellStyle name="20% - Accent3 5 2 5 2" xfId="9983" xr:uid="{00000000-0005-0000-0000-000078110000}"/>
    <cellStyle name="20% - Accent3 5 2 5 2 2" xfId="17776" xr:uid="{00000000-0005-0000-0000-000079110000}"/>
    <cellStyle name="20% - Accent3 5 2 5 2 2 2" xfId="35413" xr:uid="{00000000-0005-0000-0000-00007A110000}"/>
    <cellStyle name="20% - Accent3 5 2 5 2 3" xfId="28366" xr:uid="{00000000-0005-0000-0000-00007B110000}"/>
    <cellStyle name="20% - Accent3 5 2 5 3" xfId="14561" xr:uid="{00000000-0005-0000-0000-00007C110000}"/>
    <cellStyle name="20% - Accent3 5 2 5 3 2" xfId="32196" xr:uid="{00000000-0005-0000-0000-00007D110000}"/>
    <cellStyle name="20% - Accent3 5 2 5 4" xfId="25503" xr:uid="{00000000-0005-0000-0000-00007E110000}"/>
    <cellStyle name="20% - Accent3 5 2 6" xfId="7605" xr:uid="{00000000-0005-0000-0000-00007F110000}"/>
    <cellStyle name="20% - Accent3 5 2 6 2" xfId="15402" xr:uid="{00000000-0005-0000-0000-000080110000}"/>
    <cellStyle name="20% - Accent3 5 2 6 2 2" xfId="33037" xr:uid="{00000000-0005-0000-0000-000081110000}"/>
    <cellStyle name="20% - Accent3 5 2 6 3" xfId="26038" xr:uid="{00000000-0005-0000-0000-000082110000}"/>
    <cellStyle name="20% - Accent3 5 2 7" xfId="11177" xr:uid="{00000000-0005-0000-0000-000083110000}"/>
    <cellStyle name="20% - Accent3 5 2 7 2" xfId="28905" xr:uid="{00000000-0005-0000-0000-000084110000}"/>
    <cellStyle name="20% - Accent3 5 2 8" xfId="22837" xr:uid="{00000000-0005-0000-0000-000085110000}"/>
    <cellStyle name="20% - Accent3 5 2 8 2" xfId="39015" xr:uid="{00000000-0005-0000-0000-000086110000}"/>
    <cellStyle name="20% - Accent3 5 2 9" xfId="23173" xr:uid="{00000000-0005-0000-0000-000087110000}"/>
    <cellStyle name="20% - Accent3 5 3" xfId="381" xr:uid="{00000000-0005-0000-0000-000088110000}"/>
    <cellStyle name="20% - Accent3 5 3 10" xfId="22058" xr:uid="{00000000-0005-0000-0000-000089110000}"/>
    <cellStyle name="20% - Accent3 5 3 11" xfId="23174" xr:uid="{00000000-0005-0000-0000-00008A110000}"/>
    <cellStyle name="20% - Accent3 5 3 12" xfId="51728" xr:uid="{00000000-0005-0000-0000-00008B110000}"/>
    <cellStyle name="20% - Accent3 5 3 2" xfId="382" xr:uid="{00000000-0005-0000-0000-00008C110000}"/>
    <cellStyle name="20% - Accent3 5 3 2 2" xfId="3601" xr:uid="{00000000-0005-0000-0000-00008D110000}"/>
    <cellStyle name="20% - Accent3 5 3 2 2 2" xfId="8216" xr:uid="{00000000-0005-0000-0000-00008E110000}"/>
    <cellStyle name="20% - Accent3 5 3 2 2 2 2" xfId="16012" xr:uid="{00000000-0005-0000-0000-00008F110000}"/>
    <cellStyle name="20% - Accent3 5 3 2 2 2 2 2" xfId="33647" xr:uid="{00000000-0005-0000-0000-000090110000}"/>
    <cellStyle name="20% - Accent3 5 3 2 2 2 3" xfId="26630" xr:uid="{00000000-0005-0000-0000-000091110000}"/>
    <cellStyle name="20% - Accent3 5 3 2 2 3" xfId="12330" xr:uid="{00000000-0005-0000-0000-000092110000}"/>
    <cellStyle name="20% - Accent3 5 3 2 2 3 2" xfId="30001" xr:uid="{00000000-0005-0000-0000-000093110000}"/>
    <cellStyle name="20% - Accent3 5 3 2 2 4" xfId="23765" xr:uid="{00000000-0005-0000-0000-000094110000}"/>
    <cellStyle name="20% - Accent3 5 3 2 3" xfId="5607" xr:uid="{00000000-0005-0000-0000-000095110000}"/>
    <cellStyle name="20% - Accent3 5 3 2 3 2" xfId="8907" xr:uid="{00000000-0005-0000-0000-000096110000}"/>
    <cellStyle name="20% - Accent3 5 3 2 3 2 2" xfId="16702" xr:uid="{00000000-0005-0000-0000-000097110000}"/>
    <cellStyle name="20% - Accent3 5 3 2 3 2 2 2" xfId="34338" xr:uid="{00000000-0005-0000-0000-000098110000}"/>
    <cellStyle name="20% - Accent3 5 3 2 3 2 3" xfId="27295" xr:uid="{00000000-0005-0000-0000-000099110000}"/>
    <cellStyle name="20% - Accent3 5 3 2 3 3" xfId="13463" xr:uid="{00000000-0005-0000-0000-00009A110000}"/>
    <cellStyle name="20% - Accent3 5 3 2 3 3 2" xfId="31103" xr:uid="{00000000-0005-0000-0000-00009B110000}"/>
    <cellStyle name="20% - Accent3 5 3 2 3 4" xfId="24430" xr:uid="{00000000-0005-0000-0000-00009C110000}"/>
    <cellStyle name="20% - Accent3 5 3 2 4" xfId="6237" xr:uid="{00000000-0005-0000-0000-00009D110000}"/>
    <cellStyle name="20% - Accent3 5 3 2 4 2" xfId="9447" xr:uid="{00000000-0005-0000-0000-00009E110000}"/>
    <cellStyle name="20% - Accent3 5 3 2 4 2 2" xfId="17241" xr:uid="{00000000-0005-0000-0000-00009F110000}"/>
    <cellStyle name="20% - Accent3 5 3 2 4 2 2 2" xfId="34878" xr:uid="{00000000-0005-0000-0000-0000A0110000}"/>
    <cellStyle name="20% - Accent3 5 3 2 4 2 3" xfId="27831" xr:uid="{00000000-0005-0000-0000-0000A1110000}"/>
    <cellStyle name="20% - Accent3 5 3 2 4 3" xfId="14026" xr:uid="{00000000-0005-0000-0000-0000A2110000}"/>
    <cellStyle name="20% - Accent3 5 3 2 4 3 2" xfId="31661" xr:uid="{00000000-0005-0000-0000-0000A3110000}"/>
    <cellStyle name="20% - Accent3 5 3 2 4 4" xfId="24967" xr:uid="{00000000-0005-0000-0000-0000A4110000}"/>
    <cellStyle name="20% - Accent3 5 3 2 5" xfId="6775" xr:uid="{00000000-0005-0000-0000-0000A5110000}"/>
    <cellStyle name="20% - Accent3 5 3 2 5 2" xfId="9985" xr:uid="{00000000-0005-0000-0000-0000A6110000}"/>
    <cellStyle name="20% - Accent3 5 3 2 5 2 2" xfId="17778" xr:uid="{00000000-0005-0000-0000-0000A7110000}"/>
    <cellStyle name="20% - Accent3 5 3 2 5 2 2 2" xfId="35415" xr:uid="{00000000-0005-0000-0000-0000A8110000}"/>
    <cellStyle name="20% - Accent3 5 3 2 5 2 3" xfId="28368" xr:uid="{00000000-0005-0000-0000-0000A9110000}"/>
    <cellStyle name="20% - Accent3 5 3 2 5 3" xfId="14563" xr:uid="{00000000-0005-0000-0000-0000AA110000}"/>
    <cellStyle name="20% - Accent3 5 3 2 5 3 2" xfId="32198" xr:uid="{00000000-0005-0000-0000-0000AB110000}"/>
    <cellStyle name="20% - Accent3 5 3 2 5 4" xfId="25505" xr:uid="{00000000-0005-0000-0000-0000AC110000}"/>
    <cellStyle name="20% - Accent3 5 3 2 6" xfId="7607" xr:uid="{00000000-0005-0000-0000-0000AD110000}"/>
    <cellStyle name="20% - Accent3 5 3 2 6 2" xfId="15404" xr:uid="{00000000-0005-0000-0000-0000AE110000}"/>
    <cellStyle name="20% - Accent3 5 3 2 6 2 2" xfId="33039" xr:uid="{00000000-0005-0000-0000-0000AF110000}"/>
    <cellStyle name="20% - Accent3 5 3 2 6 3" xfId="26040" xr:uid="{00000000-0005-0000-0000-0000B0110000}"/>
    <cellStyle name="20% - Accent3 5 3 2 7" xfId="11179" xr:uid="{00000000-0005-0000-0000-0000B1110000}"/>
    <cellStyle name="20% - Accent3 5 3 2 7 2" xfId="28907" xr:uid="{00000000-0005-0000-0000-0000B2110000}"/>
    <cellStyle name="20% - Accent3 5 3 2 8" xfId="23175" xr:uid="{00000000-0005-0000-0000-0000B3110000}"/>
    <cellStyle name="20% - Accent3 5 3 2 9" xfId="51729" xr:uid="{00000000-0005-0000-0000-0000B4110000}"/>
    <cellStyle name="20% - Accent3 5 3 3" xfId="3602" xr:uid="{00000000-0005-0000-0000-0000B5110000}"/>
    <cellStyle name="20% - Accent3 5 3 3 2" xfId="5608" xr:uid="{00000000-0005-0000-0000-0000B6110000}"/>
    <cellStyle name="20% - Accent3 5 3 3 2 2" xfId="8908" xr:uid="{00000000-0005-0000-0000-0000B7110000}"/>
    <cellStyle name="20% - Accent3 5 3 3 2 2 2" xfId="16703" xr:uid="{00000000-0005-0000-0000-0000B8110000}"/>
    <cellStyle name="20% - Accent3 5 3 3 2 2 2 2" xfId="34339" xr:uid="{00000000-0005-0000-0000-0000B9110000}"/>
    <cellStyle name="20% - Accent3 5 3 3 2 2 3" xfId="27296" xr:uid="{00000000-0005-0000-0000-0000BA110000}"/>
    <cellStyle name="20% - Accent3 5 3 3 2 3" xfId="13464" xr:uid="{00000000-0005-0000-0000-0000BB110000}"/>
    <cellStyle name="20% - Accent3 5 3 3 2 3 2" xfId="31104" xr:uid="{00000000-0005-0000-0000-0000BC110000}"/>
    <cellStyle name="20% - Accent3 5 3 3 2 4" xfId="24431" xr:uid="{00000000-0005-0000-0000-0000BD110000}"/>
    <cellStyle name="20% - Accent3 5 3 3 3" xfId="6238" xr:uid="{00000000-0005-0000-0000-0000BE110000}"/>
    <cellStyle name="20% - Accent3 5 3 3 3 2" xfId="9448" xr:uid="{00000000-0005-0000-0000-0000BF110000}"/>
    <cellStyle name="20% - Accent3 5 3 3 3 2 2" xfId="17242" xr:uid="{00000000-0005-0000-0000-0000C0110000}"/>
    <cellStyle name="20% - Accent3 5 3 3 3 2 2 2" xfId="34879" xr:uid="{00000000-0005-0000-0000-0000C1110000}"/>
    <cellStyle name="20% - Accent3 5 3 3 3 2 3" xfId="27832" xr:uid="{00000000-0005-0000-0000-0000C2110000}"/>
    <cellStyle name="20% - Accent3 5 3 3 3 3" xfId="14027" xr:uid="{00000000-0005-0000-0000-0000C3110000}"/>
    <cellStyle name="20% - Accent3 5 3 3 3 3 2" xfId="31662" xr:uid="{00000000-0005-0000-0000-0000C4110000}"/>
    <cellStyle name="20% - Accent3 5 3 3 3 4" xfId="24968" xr:uid="{00000000-0005-0000-0000-0000C5110000}"/>
    <cellStyle name="20% - Accent3 5 3 3 4" xfId="6776" xr:uid="{00000000-0005-0000-0000-0000C6110000}"/>
    <cellStyle name="20% - Accent3 5 3 3 4 2" xfId="9986" xr:uid="{00000000-0005-0000-0000-0000C7110000}"/>
    <cellStyle name="20% - Accent3 5 3 3 4 2 2" xfId="17779" xr:uid="{00000000-0005-0000-0000-0000C8110000}"/>
    <cellStyle name="20% - Accent3 5 3 3 4 2 2 2" xfId="35416" xr:uid="{00000000-0005-0000-0000-0000C9110000}"/>
    <cellStyle name="20% - Accent3 5 3 3 4 2 3" xfId="28369" xr:uid="{00000000-0005-0000-0000-0000CA110000}"/>
    <cellStyle name="20% - Accent3 5 3 3 4 3" xfId="14564" xr:uid="{00000000-0005-0000-0000-0000CB110000}"/>
    <cellStyle name="20% - Accent3 5 3 3 4 3 2" xfId="32199" xr:uid="{00000000-0005-0000-0000-0000CC110000}"/>
    <cellStyle name="20% - Accent3 5 3 3 4 4" xfId="25506" xr:uid="{00000000-0005-0000-0000-0000CD110000}"/>
    <cellStyle name="20% - Accent3 5 3 3 5" xfId="8217" xr:uid="{00000000-0005-0000-0000-0000CE110000}"/>
    <cellStyle name="20% - Accent3 5 3 3 5 2" xfId="16013" xr:uid="{00000000-0005-0000-0000-0000CF110000}"/>
    <cellStyle name="20% - Accent3 5 3 3 5 2 2" xfId="33648" xr:uid="{00000000-0005-0000-0000-0000D0110000}"/>
    <cellStyle name="20% - Accent3 5 3 3 5 3" xfId="26631" xr:uid="{00000000-0005-0000-0000-0000D1110000}"/>
    <cellStyle name="20% - Accent3 5 3 3 6" xfId="12331" xr:uid="{00000000-0005-0000-0000-0000D2110000}"/>
    <cellStyle name="20% - Accent3 5 3 3 6 2" xfId="30002" xr:uid="{00000000-0005-0000-0000-0000D3110000}"/>
    <cellStyle name="20% - Accent3 5 3 3 7" xfId="23766" xr:uid="{00000000-0005-0000-0000-0000D4110000}"/>
    <cellStyle name="20% - Accent3 5 3 4" xfId="3600" xr:uid="{00000000-0005-0000-0000-0000D5110000}"/>
    <cellStyle name="20% - Accent3 5 3 4 2" xfId="8215" xr:uid="{00000000-0005-0000-0000-0000D6110000}"/>
    <cellStyle name="20% - Accent3 5 3 4 2 2" xfId="16011" xr:uid="{00000000-0005-0000-0000-0000D7110000}"/>
    <cellStyle name="20% - Accent3 5 3 4 2 2 2" xfId="33646" xr:uid="{00000000-0005-0000-0000-0000D8110000}"/>
    <cellStyle name="20% - Accent3 5 3 4 2 3" xfId="26629" xr:uid="{00000000-0005-0000-0000-0000D9110000}"/>
    <cellStyle name="20% - Accent3 5 3 4 3" xfId="12329" xr:uid="{00000000-0005-0000-0000-0000DA110000}"/>
    <cellStyle name="20% - Accent3 5 3 4 3 2" xfId="30000" xr:uid="{00000000-0005-0000-0000-0000DB110000}"/>
    <cellStyle name="20% - Accent3 5 3 4 4" xfId="23764" xr:uid="{00000000-0005-0000-0000-0000DC110000}"/>
    <cellStyle name="20% - Accent3 5 3 5" xfId="5606" xr:uid="{00000000-0005-0000-0000-0000DD110000}"/>
    <cellStyle name="20% - Accent3 5 3 5 2" xfId="8906" xr:uid="{00000000-0005-0000-0000-0000DE110000}"/>
    <cellStyle name="20% - Accent3 5 3 5 2 2" xfId="16701" xr:uid="{00000000-0005-0000-0000-0000DF110000}"/>
    <cellStyle name="20% - Accent3 5 3 5 2 2 2" xfId="34337" xr:uid="{00000000-0005-0000-0000-0000E0110000}"/>
    <cellStyle name="20% - Accent3 5 3 5 2 3" xfId="27294" xr:uid="{00000000-0005-0000-0000-0000E1110000}"/>
    <cellStyle name="20% - Accent3 5 3 5 3" xfId="13462" xr:uid="{00000000-0005-0000-0000-0000E2110000}"/>
    <cellStyle name="20% - Accent3 5 3 5 3 2" xfId="31102" xr:uid="{00000000-0005-0000-0000-0000E3110000}"/>
    <cellStyle name="20% - Accent3 5 3 5 4" xfId="24429" xr:uid="{00000000-0005-0000-0000-0000E4110000}"/>
    <cellStyle name="20% - Accent3 5 3 6" xfId="6236" xr:uid="{00000000-0005-0000-0000-0000E5110000}"/>
    <cellStyle name="20% - Accent3 5 3 6 2" xfId="9446" xr:uid="{00000000-0005-0000-0000-0000E6110000}"/>
    <cellStyle name="20% - Accent3 5 3 6 2 2" xfId="17240" xr:uid="{00000000-0005-0000-0000-0000E7110000}"/>
    <cellStyle name="20% - Accent3 5 3 6 2 2 2" xfId="34877" xr:uid="{00000000-0005-0000-0000-0000E8110000}"/>
    <cellStyle name="20% - Accent3 5 3 6 2 3" xfId="27830" xr:uid="{00000000-0005-0000-0000-0000E9110000}"/>
    <cellStyle name="20% - Accent3 5 3 6 3" xfId="14025" xr:uid="{00000000-0005-0000-0000-0000EA110000}"/>
    <cellStyle name="20% - Accent3 5 3 6 3 2" xfId="31660" xr:uid="{00000000-0005-0000-0000-0000EB110000}"/>
    <cellStyle name="20% - Accent3 5 3 6 4" xfId="24966" xr:uid="{00000000-0005-0000-0000-0000EC110000}"/>
    <cellStyle name="20% - Accent3 5 3 7" xfId="6774" xr:uid="{00000000-0005-0000-0000-0000ED110000}"/>
    <cellStyle name="20% - Accent3 5 3 7 2" xfId="9984" xr:uid="{00000000-0005-0000-0000-0000EE110000}"/>
    <cellStyle name="20% - Accent3 5 3 7 2 2" xfId="17777" xr:uid="{00000000-0005-0000-0000-0000EF110000}"/>
    <cellStyle name="20% - Accent3 5 3 7 2 2 2" xfId="35414" xr:uid="{00000000-0005-0000-0000-0000F0110000}"/>
    <cellStyle name="20% - Accent3 5 3 7 2 3" xfId="28367" xr:uid="{00000000-0005-0000-0000-0000F1110000}"/>
    <cellStyle name="20% - Accent3 5 3 7 3" xfId="14562" xr:uid="{00000000-0005-0000-0000-0000F2110000}"/>
    <cellStyle name="20% - Accent3 5 3 7 3 2" xfId="32197" xr:uid="{00000000-0005-0000-0000-0000F3110000}"/>
    <cellStyle name="20% - Accent3 5 3 7 4" xfId="25504" xr:uid="{00000000-0005-0000-0000-0000F4110000}"/>
    <cellStyle name="20% - Accent3 5 3 8" xfId="7606" xr:uid="{00000000-0005-0000-0000-0000F5110000}"/>
    <cellStyle name="20% - Accent3 5 3 8 2" xfId="15403" xr:uid="{00000000-0005-0000-0000-0000F6110000}"/>
    <cellStyle name="20% - Accent3 5 3 8 2 2" xfId="33038" xr:uid="{00000000-0005-0000-0000-0000F7110000}"/>
    <cellStyle name="20% - Accent3 5 3 8 3" xfId="26039" xr:uid="{00000000-0005-0000-0000-0000F8110000}"/>
    <cellStyle name="20% - Accent3 5 3 9" xfId="11178" xr:uid="{00000000-0005-0000-0000-0000F9110000}"/>
    <cellStyle name="20% - Accent3 5 3 9 2" xfId="28906" xr:uid="{00000000-0005-0000-0000-0000FA110000}"/>
    <cellStyle name="20% - Accent3 5 4" xfId="383" xr:uid="{00000000-0005-0000-0000-0000FB110000}"/>
    <cellStyle name="20% - Accent3 5 4 10" xfId="52910" xr:uid="{00000000-0005-0000-0000-0000FC110000}"/>
    <cellStyle name="20% - Accent3 5 4 2" xfId="3603" xr:uid="{00000000-0005-0000-0000-0000FD110000}"/>
    <cellStyle name="20% - Accent3 5 4 2 2" xfId="8218" xr:uid="{00000000-0005-0000-0000-0000FE110000}"/>
    <cellStyle name="20% - Accent3 5 4 2 2 2" xfId="16014" xr:uid="{00000000-0005-0000-0000-0000FF110000}"/>
    <cellStyle name="20% - Accent3 5 4 2 2 2 2" xfId="33649" xr:uid="{00000000-0005-0000-0000-000000120000}"/>
    <cellStyle name="20% - Accent3 5 4 2 2 3" xfId="26632" xr:uid="{00000000-0005-0000-0000-000001120000}"/>
    <cellStyle name="20% - Accent3 5 4 2 3" xfId="12332" xr:uid="{00000000-0005-0000-0000-000002120000}"/>
    <cellStyle name="20% - Accent3 5 4 2 3 2" xfId="30003" xr:uid="{00000000-0005-0000-0000-000003120000}"/>
    <cellStyle name="20% - Accent3 5 4 2 4" xfId="23767" xr:uid="{00000000-0005-0000-0000-000004120000}"/>
    <cellStyle name="20% - Accent3 5 4 3" xfId="5609" xr:uid="{00000000-0005-0000-0000-000005120000}"/>
    <cellStyle name="20% - Accent3 5 4 3 2" xfId="8909" xr:uid="{00000000-0005-0000-0000-000006120000}"/>
    <cellStyle name="20% - Accent3 5 4 3 2 2" xfId="16704" xr:uid="{00000000-0005-0000-0000-000007120000}"/>
    <cellStyle name="20% - Accent3 5 4 3 2 2 2" xfId="34340" xr:uid="{00000000-0005-0000-0000-000008120000}"/>
    <cellStyle name="20% - Accent3 5 4 3 2 3" xfId="27297" xr:uid="{00000000-0005-0000-0000-000009120000}"/>
    <cellStyle name="20% - Accent3 5 4 3 3" xfId="13465" xr:uid="{00000000-0005-0000-0000-00000A120000}"/>
    <cellStyle name="20% - Accent3 5 4 3 3 2" xfId="31105" xr:uid="{00000000-0005-0000-0000-00000B120000}"/>
    <cellStyle name="20% - Accent3 5 4 3 4" xfId="24432" xr:uid="{00000000-0005-0000-0000-00000C120000}"/>
    <cellStyle name="20% - Accent3 5 4 4" xfId="6239" xr:uid="{00000000-0005-0000-0000-00000D120000}"/>
    <cellStyle name="20% - Accent3 5 4 4 2" xfId="9449" xr:uid="{00000000-0005-0000-0000-00000E120000}"/>
    <cellStyle name="20% - Accent3 5 4 4 2 2" xfId="17243" xr:uid="{00000000-0005-0000-0000-00000F120000}"/>
    <cellStyle name="20% - Accent3 5 4 4 2 2 2" xfId="34880" xr:uid="{00000000-0005-0000-0000-000010120000}"/>
    <cellStyle name="20% - Accent3 5 4 4 2 3" xfId="27833" xr:uid="{00000000-0005-0000-0000-000011120000}"/>
    <cellStyle name="20% - Accent3 5 4 4 3" xfId="14028" xr:uid="{00000000-0005-0000-0000-000012120000}"/>
    <cellStyle name="20% - Accent3 5 4 4 3 2" xfId="31663" xr:uid="{00000000-0005-0000-0000-000013120000}"/>
    <cellStyle name="20% - Accent3 5 4 4 4" xfId="24969" xr:uid="{00000000-0005-0000-0000-000014120000}"/>
    <cellStyle name="20% - Accent3 5 4 5" xfId="6777" xr:uid="{00000000-0005-0000-0000-000015120000}"/>
    <cellStyle name="20% - Accent3 5 4 5 2" xfId="9987" xr:uid="{00000000-0005-0000-0000-000016120000}"/>
    <cellStyle name="20% - Accent3 5 4 5 2 2" xfId="17780" xr:uid="{00000000-0005-0000-0000-000017120000}"/>
    <cellStyle name="20% - Accent3 5 4 5 2 2 2" xfId="35417" xr:uid="{00000000-0005-0000-0000-000018120000}"/>
    <cellStyle name="20% - Accent3 5 4 5 2 3" xfId="28370" xr:uid="{00000000-0005-0000-0000-000019120000}"/>
    <cellStyle name="20% - Accent3 5 4 5 3" xfId="14565" xr:uid="{00000000-0005-0000-0000-00001A120000}"/>
    <cellStyle name="20% - Accent3 5 4 5 3 2" xfId="32200" xr:uid="{00000000-0005-0000-0000-00001B120000}"/>
    <cellStyle name="20% - Accent3 5 4 5 4" xfId="25507" xr:uid="{00000000-0005-0000-0000-00001C120000}"/>
    <cellStyle name="20% - Accent3 5 4 6" xfId="7608" xr:uid="{00000000-0005-0000-0000-00001D120000}"/>
    <cellStyle name="20% - Accent3 5 4 6 2" xfId="15405" xr:uid="{00000000-0005-0000-0000-00001E120000}"/>
    <cellStyle name="20% - Accent3 5 4 6 2 2" xfId="33040" xr:uid="{00000000-0005-0000-0000-00001F120000}"/>
    <cellStyle name="20% - Accent3 5 4 6 3" xfId="26041" xr:uid="{00000000-0005-0000-0000-000020120000}"/>
    <cellStyle name="20% - Accent3 5 4 7" xfId="11180" xr:uid="{00000000-0005-0000-0000-000021120000}"/>
    <cellStyle name="20% - Accent3 5 4 7 2" xfId="28908" xr:uid="{00000000-0005-0000-0000-000022120000}"/>
    <cellStyle name="20% - Accent3 5 4 8" xfId="23176" xr:uid="{00000000-0005-0000-0000-000023120000}"/>
    <cellStyle name="20% - Accent3 5 4 9" xfId="51730" xr:uid="{00000000-0005-0000-0000-000024120000}"/>
    <cellStyle name="20% - Accent3 5 5" xfId="384" xr:uid="{00000000-0005-0000-0000-000025120000}"/>
    <cellStyle name="20% - Accent3 5 5 2" xfId="3604" xr:uid="{00000000-0005-0000-0000-000026120000}"/>
    <cellStyle name="20% - Accent3 5 5 2 2" xfId="8219" xr:uid="{00000000-0005-0000-0000-000027120000}"/>
    <cellStyle name="20% - Accent3 5 5 2 2 2" xfId="16015" xr:uid="{00000000-0005-0000-0000-000028120000}"/>
    <cellStyle name="20% - Accent3 5 5 2 2 2 2" xfId="33650" xr:uid="{00000000-0005-0000-0000-000029120000}"/>
    <cellStyle name="20% - Accent3 5 5 2 2 3" xfId="26633" xr:uid="{00000000-0005-0000-0000-00002A120000}"/>
    <cellStyle name="20% - Accent3 5 5 2 3" xfId="12333" xr:uid="{00000000-0005-0000-0000-00002B120000}"/>
    <cellStyle name="20% - Accent3 5 5 2 3 2" xfId="30004" xr:uid="{00000000-0005-0000-0000-00002C120000}"/>
    <cellStyle name="20% - Accent3 5 5 2 4" xfId="23768" xr:uid="{00000000-0005-0000-0000-00002D120000}"/>
    <cellStyle name="20% - Accent3 5 5 3" xfId="5610" xr:uid="{00000000-0005-0000-0000-00002E120000}"/>
    <cellStyle name="20% - Accent3 5 5 3 2" xfId="8910" xr:uid="{00000000-0005-0000-0000-00002F120000}"/>
    <cellStyle name="20% - Accent3 5 5 3 2 2" xfId="16705" xr:uid="{00000000-0005-0000-0000-000030120000}"/>
    <cellStyle name="20% - Accent3 5 5 3 2 2 2" xfId="34341" xr:uid="{00000000-0005-0000-0000-000031120000}"/>
    <cellStyle name="20% - Accent3 5 5 3 2 3" xfId="27298" xr:uid="{00000000-0005-0000-0000-000032120000}"/>
    <cellStyle name="20% - Accent3 5 5 3 3" xfId="13466" xr:uid="{00000000-0005-0000-0000-000033120000}"/>
    <cellStyle name="20% - Accent3 5 5 3 3 2" xfId="31106" xr:uid="{00000000-0005-0000-0000-000034120000}"/>
    <cellStyle name="20% - Accent3 5 5 3 4" xfId="24433" xr:uid="{00000000-0005-0000-0000-000035120000}"/>
    <cellStyle name="20% - Accent3 5 5 4" xfId="6240" xr:uid="{00000000-0005-0000-0000-000036120000}"/>
    <cellStyle name="20% - Accent3 5 5 4 2" xfId="9450" xr:uid="{00000000-0005-0000-0000-000037120000}"/>
    <cellStyle name="20% - Accent3 5 5 4 2 2" xfId="17244" xr:uid="{00000000-0005-0000-0000-000038120000}"/>
    <cellStyle name="20% - Accent3 5 5 4 2 2 2" xfId="34881" xr:uid="{00000000-0005-0000-0000-000039120000}"/>
    <cellStyle name="20% - Accent3 5 5 4 2 3" xfId="27834" xr:uid="{00000000-0005-0000-0000-00003A120000}"/>
    <cellStyle name="20% - Accent3 5 5 4 3" xfId="14029" xr:uid="{00000000-0005-0000-0000-00003B120000}"/>
    <cellStyle name="20% - Accent3 5 5 4 3 2" xfId="31664" xr:uid="{00000000-0005-0000-0000-00003C120000}"/>
    <cellStyle name="20% - Accent3 5 5 4 4" xfId="24970" xr:uid="{00000000-0005-0000-0000-00003D120000}"/>
    <cellStyle name="20% - Accent3 5 5 5" xfId="6778" xr:uid="{00000000-0005-0000-0000-00003E120000}"/>
    <cellStyle name="20% - Accent3 5 5 5 2" xfId="9988" xr:uid="{00000000-0005-0000-0000-00003F120000}"/>
    <cellStyle name="20% - Accent3 5 5 5 2 2" xfId="17781" xr:uid="{00000000-0005-0000-0000-000040120000}"/>
    <cellStyle name="20% - Accent3 5 5 5 2 2 2" xfId="35418" xr:uid="{00000000-0005-0000-0000-000041120000}"/>
    <cellStyle name="20% - Accent3 5 5 5 2 3" xfId="28371" xr:uid="{00000000-0005-0000-0000-000042120000}"/>
    <cellStyle name="20% - Accent3 5 5 5 3" xfId="14566" xr:uid="{00000000-0005-0000-0000-000043120000}"/>
    <cellStyle name="20% - Accent3 5 5 5 3 2" xfId="32201" xr:uid="{00000000-0005-0000-0000-000044120000}"/>
    <cellStyle name="20% - Accent3 5 5 5 4" xfId="25508" xr:uid="{00000000-0005-0000-0000-000045120000}"/>
    <cellStyle name="20% - Accent3 5 5 6" xfId="7609" xr:uid="{00000000-0005-0000-0000-000046120000}"/>
    <cellStyle name="20% - Accent3 5 5 6 2" xfId="15406" xr:uid="{00000000-0005-0000-0000-000047120000}"/>
    <cellStyle name="20% - Accent3 5 5 6 2 2" xfId="33041" xr:uid="{00000000-0005-0000-0000-000048120000}"/>
    <cellStyle name="20% - Accent3 5 5 6 3" xfId="26042" xr:uid="{00000000-0005-0000-0000-000049120000}"/>
    <cellStyle name="20% - Accent3 5 5 7" xfId="11181" xr:uid="{00000000-0005-0000-0000-00004A120000}"/>
    <cellStyle name="20% - Accent3 5 5 7 2" xfId="28909" xr:uid="{00000000-0005-0000-0000-00004B120000}"/>
    <cellStyle name="20% - Accent3 5 5 8" xfId="23177" xr:uid="{00000000-0005-0000-0000-00004C120000}"/>
    <cellStyle name="20% - Accent3 5 5 9" xfId="51731" xr:uid="{00000000-0005-0000-0000-00004D120000}"/>
    <cellStyle name="20% - Accent3 5 6" xfId="385" xr:uid="{00000000-0005-0000-0000-00004E120000}"/>
    <cellStyle name="20% - Accent3 5 6 2" xfId="3605" xr:uid="{00000000-0005-0000-0000-00004F120000}"/>
    <cellStyle name="20% - Accent3 5 6 2 2" xfId="8220" xr:uid="{00000000-0005-0000-0000-000050120000}"/>
    <cellStyle name="20% - Accent3 5 6 2 2 2" xfId="16016" xr:uid="{00000000-0005-0000-0000-000051120000}"/>
    <cellStyle name="20% - Accent3 5 6 2 2 2 2" xfId="33651" xr:uid="{00000000-0005-0000-0000-000052120000}"/>
    <cellStyle name="20% - Accent3 5 6 2 2 3" xfId="26634" xr:uid="{00000000-0005-0000-0000-000053120000}"/>
    <cellStyle name="20% - Accent3 5 6 2 3" xfId="12334" xr:uid="{00000000-0005-0000-0000-000054120000}"/>
    <cellStyle name="20% - Accent3 5 6 2 3 2" xfId="30005" xr:uid="{00000000-0005-0000-0000-000055120000}"/>
    <cellStyle name="20% - Accent3 5 6 2 4" xfId="23769" xr:uid="{00000000-0005-0000-0000-000056120000}"/>
    <cellStyle name="20% - Accent3 5 6 3" xfId="5611" xr:uid="{00000000-0005-0000-0000-000057120000}"/>
    <cellStyle name="20% - Accent3 5 6 3 2" xfId="8911" xr:uid="{00000000-0005-0000-0000-000058120000}"/>
    <cellStyle name="20% - Accent3 5 6 3 2 2" xfId="16706" xr:uid="{00000000-0005-0000-0000-000059120000}"/>
    <cellStyle name="20% - Accent3 5 6 3 2 2 2" xfId="34342" xr:uid="{00000000-0005-0000-0000-00005A120000}"/>
    <cellStyle name="20% - Accent3 5 6 3 2 3" xfId="27299" xr:uid="{00000000-0005-0000-0000-00005B120000}"/>
    <cellStyle name="20% - Accent3 5 6 3 3" xfId="13467" xr:uid="{00000000-0005-0000-0000-00005C120000}"/>
    <cellStyle name="20% - Accent3 5 6 3 3 2" xfId="31107" xr:uid="{00000000-0005-0000-0000-00005D120000}"/>
    <cellStyle name="20% - Accent3 5 6 3 4" xfId="24434" xr:uid="{00000000-0005-0000-0000-00005E120000}"/>
    <cellStyle name="20% - Accent3 5 6 4" xfId="6241" xr:uid="{00000000-0005-0000-0000-00005F120000}"/>
    <cellStyle name="20% - Accent3 5 6 4 2" xfId="9451" xr:uid="{00000000-0005-0000-0000-000060120000}"/>
    <cellStyle name="20% - Accent3 5 6 4 2 2" xfId="17245" xr:uid="{00000000-0005-0000-0000-000061120000}"/>
    <cellStyle name="20% - Accent3 5 6 4 2 2 2" xfId="34882" xr:uid="{00000000-0005-0000-0000-000062120000}"/>
    <cellStyle name="20% - Accent3 5 6 4 2 3" xfId="27835" xr:uid="{00000000-0005-0000-0000-000063120000}"/>
    <cellStyle name="20% - Accent3 5 6 4 3" xfId="14030" xr:uid="{00000000-0005-0000-0000-000064120000}"/>
    <cellStyle name="20% - Accent3 5 6 4 3 2" xfId="31665" xr:uid="{00000000-0005-0000-0000-000065120000}"/>
    <cellStyle name="20% - Accent3 5 6 4 4" xfId="24971" xr:uid="{00000000-0005-0000-0000-000066120000}"/>
    <cellStyle name="20% - Accent3 5 6 5" xfId="6779" xr:uid="{00000000-0005-0000-0000-000067120000}"/>
    <cellStyle name="20% - Accent3 5 6 5 2" xfId="9989" xr:uid="{00000000-0005-0000-0000-000068120000}"/>
    <cellStyle name="20% - Accent3 5 6 5 2 2" xfId="17782" xr:uid="{00000000-0005-0000-0000-000069120000}"/>
    <cellStyle name="20% - Accent3 5 6 5 2 2 2" xfId="35419" xr:uid="{00000000-0005-0000-0000-00006A120000}"/>
    <cellStyle name="20% - Accent3 5 6 5 2 3" xfId="28372" xr:uid="{00000000-0005-0000-0000-00006B120000}"/>
    <cellStyle name="20% - Accent3 5 6 5 3" xfId="14567" xr:uid="{00000000-0005-0000-0000-00006C120000}"/>
    <cellStyle name="20% - Accent3 5 6 5 3 2" xfId="32202" xr:uid="{00000000-0005-0000-0000-00006D120000}"/>
    <cellStyle name="20% - Accent3 5 6 5 4" xfId="25509" xr:uid="{00000000-0005-0000-0000-00006E120000}"/>
    <cellStyle name="20% - Accent3 5 6 6" xfId="7610" xr:uid="{00000000-0005-0000-0000-00006F120000}"/>
    <cellStyle name="20% - Accent3 5 6 6 2" xfId="15407" xr:uid="{00000000-0005-0000-0000-000070120000}"/>
    <cellStyle name="20% - Accent3 5 6 6 2 2" xfId="33042" xr:uid="{00000000-0005-0000-0000-000071120000}"/>
    <cellStyle name="20% - Accent3 5 6 6 3" xfId="26043" xr:uid="{00000000-0005-0000-0000-000072120000}"/>
    <cellStyle name="20% - Accent3 5 6 7" xfId="11182" xr:uid="{00000000-0005-0000-0000-000073120000}"/>
    <cellStyle name="20% - Accent3 5 6 7 2" xfId="28910" xr:uid="{00000000-0005-0000-0000-000074120000}"/>
    <cellStyle name="20% - Accent3 5 6 8" xfId="23178" xr:uid="{00000000-0005-0000-0000-000075120000}"/>
    <cellStyle name="20% - Accent3 5 6 9" xfId="51732" xr:uid="{00000000-0005-0000-0000-000076120000}"/>
    <cellStyle name="20% - Accent3 5 7" xfId="386" xr:uid="{00000000-0005-0000-0000-000077120000}"/>
    <cellStyle name="20% - Accent3 5 7 10" xfId="51733" xr:uid="{00000000-0005-0000-0000-000078120000}"/>
    <cellStyle name="20% - Accent3 5 7 2" xfId="387" xr:uid="{00000000-0005-0000-0000-000079120000}"/>
    <cellStyle name="20% - Accent3 5 7 2 2" xfId="8222" xr:uid="{00000000-0005-0000-0000-00007A120000}"/>
    <cellStyle name="20% - Accent3 5 7 2 2 2" xfId="16018" xr:uid="{00000000-0005-0000-0000-00007B120000}"/>
    <cellStyle name="20% - Accent3 5 7 2 2 2 2" xfId="33653" xr:uid="{00000000-0005-0000-0000-00007C120000}"/>
    <cellStyle name="20% - Accent3 5 7 2 2 3" xfId="26636" xr:uid="{00000000-0005-0000-0000-00007D120000}"/>
    <cellStyle name="20% - Accent3 5 7 2 3" xfId="12336" xr:uid="{00000000-0005-0000-0000-00007E120000}"/>
    <cellStyle name="20% - Accent3 5 7 2 3 2" xfId="30007" xr:uid="{00000000-0005-0000-0000-00007F120000}"/>
    <cellStyle name="20% - Accent3 5 7 2 4" xfId="23771" xr:uid="{00000000-0005-0000-0000-000080120000}"/>
    <cellStyle name="20% - Accent3 5 7 3" xfId="3606" xr:uid="{00000000-0005-0000-0000-000081120000}"/>
    <cellStyle name="20% - Accent3 5 7 3 2" xfId="8221" xr:uid="{00000000-0005-0000-0000-000082120000}"/>
    <cellStyle name="20% - Accent3 5 7 3 2 2" xfId="16017" xr:uid="{00000000-0005-0000-0000-000083120000}"/>
    <cellStyle name="20% - Accent3 5 7 3 2 2 2" xfId="33652" xr:uid="{00000000-0005-0000-0000-000084120000}"/>
    <cellStyle name="20% - Accent3 5 7 3 2 3" xfId="26635" xr:uid="{00000000-0005-0000-0000-000085120000}"/>
    <cellStyle name="20% - Accent3 5 7 3 3" xfId="12335" xr:uid="{00000000-0005-0000-0000-000086120000}"/>
    <cellStyle name="20% - Accent3 5 7 3 3 2" xfId="30006" xr:uid="{00000000-0005-0000-0000-000087120000}"/>
    <cellStyle name="20% - Accent3 5 7 3 4" xfId="23770" xr:uid="{00000000-0005-0000-0000-000088120000}"/>
    <cellStyle name="20% - Accent3 5 7 4" xfId="5612" xr:uid="{00000000-0005-0000-0000-000089120000}"/>
    <cellStyle name="20% - Accent3 5 7 4 2" xfId="8912" xr:uid="{00000000-0005-0000-0000-00008A120000}"/>
    <cellStyle name="20% - Accent3 5 7 4 2 2" xfId="16707" xr:uid="{00000000-0005-0000-0000-00008B120000}"/>
    <cellStyle name="20% - Accent3 5 7 4 2 2 2" xfId="34343" xr:uid="{00000000-0005-0000-0000-00008C120000}"/>
    <cellStyle name="20% - Accent3 5 7 4 2 3" xfId="27300" xr:uid="{00000000-0005-0000-0000-00008D120000}"/>
    <cellStyle name="20% - Accent3 5 7 4 3" xfId="13468" xr:uid="{00000000-0005-0000-0000-00008E120000}"/>
    <cellStyle name="20% - Accent3 5 7 4 3 2" xfId="31108" xr:uid="{00000000-0005-0000-0000-00008F120000}"/>
    <cellStyle name="20% - Accent3 5 7 4 4" xfId="24435" xr:uid="{00000000-0005-0000-0000-000090120000}"/>
    <cellStyle name="20% - Accent3 5 7 5" xfId="6242" xr:uid="{00000000-0005-0000-0000-000091120000}"/>
    <cellStyle name="20% - Accent3 5 7 5 2" xfId="9452" xr:uid="{00000000-0005-0000-0000-000092120000}"/>
    <cellStyle name="20% - Accent3 5 7 5 2 2" xfId="17246" xr:uid="{00000000-0005-0000-0000-000093120000}"/>
    <cellStyle name="20% - Accent3 5 7 5 2 2 2" xfId="34883" xr:uid="{00000000-0005-0000-0000-000094120000}"/>
    <cellStyle name="20% - Accent3 5 7 5 2 3" xfId="27836" xr:uid="{00000000-0005-0000-0000-000095120000}"/>
    <cellStyle name="20% - Accent3 5 7 5 3" xfId="14031" xr:uid="{00000000-0005-0000-0000-000096120000}"/>
    <cellStyle name="20% - Accent3 5 7 5 3 2" xfId="31666" xr:uid="{00000000-0005-0000-0000-000097120000}"/>
    <cellStyle name="20% - Accent3 5 7 5 4" xfId="24972" xr:uid="{00000000-0005-0000-0000-000098120000}"/>
    <cellStyle name="20% - Accent3 5 7 6" xfId="6780" xr:uid="{00000000-0005-0000-0000-000099120000}"/>
    <cellStyle name="20% - Accent3 5 7 6 2" xfId="9990" xr:uid="{00000000-0005-0000-0000-00009A120000}"/>
    <cellStyle name="20% - Accent3 5 7 6 2 2" xfId="17783" xr:uid="{00000000-0005-0000-0000-00009B120000}"/>
    <cellStyle name="20% - Accent3 5 7 6 2 2 2" xfId="35420" xr:uid="{00000000-0005-0000-0000-00009C120000}"/>
    <cellStyle name="20% - Accent3 5 7 6 2 3" xfId="28373" xr:uid="{00000000-0005-0000-0000-00009D120000}"/>
    <cellStyle name="20% - Accent3 5 7 6 3" xfId="14568" xr:uid="{00000000-0005-0000-0000-00009E120000}"/>
    <cellStyle name="20% - Accent3 5 7 6 3 2" xfId="32203" xr:uid="{00000000-0005-0000-0000-00009F120000}"/>
    <cellStyle name="20% - Accent3 5 7 6 4" xfId="25510" xr:uid="{00000000-0005-0000-0000-0000A0120000}"/>
    <cellStyle name="20% - Accent3 5 7 7" xfId="7611" xr:uid="{00000000-0005-0000-0000-0000A1120000}"/>
    <cellStyle name="20% - Accent3 5 7 7 2" xfId="15408" xr:uid="{00000000-0005-0000-0000-0000A2120000}"/>
    <cellStyle name="20% - Accent3 5 7 7 2 2" xfId="33043" xr:uid="{00000000-0005-0000-0000-0000A3120000}"/>
    <cellStyle name="20% - Accent3 5 7 7 3" xfId="26044" xr:uid="{00000000-0005-0000-0000-0000A4120000}"/>
    <cellStyle name="20% - Accent3 5 7 8" xfId="11183" xr:uid="{00000000-0005-0000-0000-0000A5120000}"/>
    <cellStyle name="20% - Accent3 5 7 8 2" xfId="28911" xr:uid="{00000000-0005-0000-0000-0000A6120000}"/>
    <cellStyle name="20% - Accent3 5 7 9" xfId="23179" xr:uid="{00000000-0005-0000-0000-0000A7120000}"/>
    <cellStyle name="20% - Accent3 5 8" xfId="3607" xr:uid="{00000000-0005-0000-0000-0000A8120000}"/>
    <cellStyle name="20% - Accent3 5 8 2" xfId="8223" xr:uid="{00000000-0005-0000-0000-0000A9120000}"/>
    <cellStyle name="20% - Accent3 5 8 2 2" xfId="16019" xr:uid="{00000000-0005-0000-0000-0000AA120000}"/>
    <cellStyle name="20% - Accent3 5 8 2 2 2" xfId="33654" xr:uid="{00000000-0005-0000-0000-0000AB120000}"/>
    <cellStyle name="20% - Accent3 5 8 2 3" xfId="26637" xr:uid="{00000000-0005-0000-0000-0000AC120000}"/>
    <cellStyle name="20% - Accent3 5 8 3" xfId="12337" xr:uid="{00000000-0005-0000-0000-0000AD120000}"/>
    <cellStyle name="20% - Accent3 5 8 3 2" xfId="30008" xr:uid="{00000000-0005-0000-0000-0000AE120000}"/>
    <cellStyle name="20% - Accent3 5 8 4" xfId="23772" xr:uid="{00000000-0005-0000-0000-0000AF120000}"/>
    <cellStyle name="20% - Accent3 5 9" xfId="3608" xr:uid="{00000000-0005-0000-0000-0000B0120000}"/>
    <cellStyle name="20% - Accent3 6" xfId="388" xr:uid="{00000000-0005-0000-0000-0000B1120000}"/>
    <cellStyle name="20% - Accent3 6 10" xfId="3609" xr:uid="{00000000-0005-0000-0000-0000B2120000}"/>
    <cellStyle name="20% - Accent3 6 10 2" xfId="8224" xr:uid="{00000000-0005-0000-0000-0000B3120000}"/>
    <cellStyle name="20% - Accent3 6 10 2 2" xfId="16020" xr:uid="{00000000-0005-0000-0000-0000B4120000}"/>
    <cellStyle name="20% - Accent3 6 10 2 2 2" xfId="33655" xr:uid="{00000000-0005-0000-0000-0000B5120000}"/>
    <cellStyle name="20% - Accent3 6 10 2 3" xfId="26638" xr:uid="{00000000-0005-0000-0000-0000B6120000}"/>
    <cellStyle name="20% - Accent3 6 10 3" xfId="12339" xr:uid="{00000000-0005-0000-0000-0000B7120000}"/>
    <cellStyle name="20% - Accent3 6 10 3 2" xfId="30010" xr:uid="{00000000-0005-0000-0000-0000B8120000}"/>
    <cellStyle name="20% - Accent3 6 10 4" xfId="23773" xr:uid="{00000000-0005-0000-0000-0000B9120000}"/>
    <cellStyle name="20% - Accent3 6 11" xfId="5613" xr:uid="{00000000-0005-0000-0000-0000BA120000}"/>
    <cellStyle name="20% - Accent3 6 11 2" xfId="8913" xr:uid="{00000000-0005-0000-0000-0000BB120000}"/>
    <cellStyle name="20% - Accent3 6 11 2 2" xfId="16708" xr:uid="{00000000-0005-0000-0000-0000BC120000}"/>
    <cellStyle name="20% - Accent3 6 11 2 2 2" xfId="34344" xr:uid="{00000000-0005-0000-0000-0000BD120000}"/>
    <cellStyle name="20% - Accent3 6 11 2 3" xfId="27301" xr:uid="{00000000-0005-0000-0000-0000BE120000}"/>
    <cellStyle name="20% - Accent3 6 11 3" xfId="13469" xr:uid="{00000000-0005-0000-0000-0000BF120000}"/>
    <cellStyle name="20% - Accent3 6 11 3 2" xfId="31109" xr:uid="{00000000-0005-0000-0000-0000C0120000}"/>
    <cellStyle name="20% - Accent3 6 11 4" xfId="24436" xr:uid="{00000000-0005-0000-0000-0000C1120000}"/>
    <cellStyle name="20% - Accent3 6 12" xfId="6243" xr:uid="{00000000-0005-0000-0000-0000C2120000}"/>
    <cellStyle name="20% - Accent3 6 12 2" xfId="9453" xr:uid="{00000000-0005-0000-0000-0000C3120000}"/>
    <cellStyle name="20% - Accent3 6 12 2 2" xfId="17247" xr:uid="{00000000-0005-0000-0000-0000C4120000}"/>
    <cellStyle name="20% - Accent3 6 12 2 2 2" xfId="34884" xr:uid="{00000000-0005-0000-0000-0000C5120000}"/>
    <cellStyle name="20% - Accent3 6 12 2 3" xfId="27837" xr:uid="{00000000-0005-0000-0000-0000C6120000}"/>
    <cellStyle name="20% - Accent3 6 12 3" xfId="14032" xr:uid="{00000000-0005-0000-0000-0000C7120000}"/>
    <cellStyle name="20% - Accent3 6 12 3 2" xfId="31667" xr:uid="{00000000-0005-0000-0000-0000C8120000}"/>
    <cellStyle name="20% - Accent3 6 12 4" xfId="24973" xr:uid="{00000000-0005-0000-0000-0000C9120000}"/>
    <cellStyle name="20% - Accent3 6 13" xfId="6781" xr:uid="{00000000-0005-0000-0000-0000CA120000}"/>
    <cellStyle name="20% - Accent3 6 13 2" xfId="9991" xr:uid="{00000000-0005-0000-0000-0000CB120000}"/>
    <cellStyle name="20% - Accent3 6 13 2 2" xfId="17784" xr:uid="{00000000-0005-0000-0000-0000CC120000}"/>
    <cellStyle name="20% - Accent3 6 13 2 2 2" xfId="35421" xr:uid="{00000000-0005-0000-0000-0000CD120000}"/>
    <cellStyle name="20% - Accent3 6 13 2 3" xfId="28374" xr:uid="{00000000-0005-0000-0000-0000CE120000}"/>
    <cellStyle name="20% - Accent3 6 13 3" xfId="14569" xr:uid="{00000000-0005-0000-0000-0000CF120000}"/>
    <cellStyle name="20% - Accent3 6 13 3 2" xfId="32204" xr:uid="{00000000-0005-0000-0000-0000D0120000}"/>
    <cellStyle name="20% - Accent3 6 13 4" xfId="25511" xr:uid="{00000000-0005-0000-0000-0000D1120000}"/>
    <cellStyle name="20% - Accent3 6 14" xfId="7612" xr:uid="{00000000-0005-0000-0000-0000D2120000}"/>
    <cellStyle name="20% - Accent3 6 14 2" xfId="15409" xr:uid="{00000000-0005-0000-0000-0000D3120000}"/>
    <cellStyle name="20% - Accent3 6 14 2 2" xfId="33044" xr:uid="{00000000-0005-0000-0000-0000D4120000}"/>
    <cellStyle name="20% - Accent3 6 14 3" xfId="26045" xr:uid="{00000000-0005-0000-0000-0000D5120000}"/>
    <cellStyle name="20% - Accent3 6 15" xfId="11184" xr:uid="{00000000-0005-0000-0000-0000D6120000}"/>
    <cellStyle name="20% - Accent3 6 15 2" xfId="28912" xr:uid="{00000000-0005-0000-0000-0000D7120000}"/>
    <cellStyle name="20% - Accent3 6 16" xfId="21942" xr:uid="{00000000-0005-0000-0000-0000D8120000}"/>
    <cellStyle name="20% - Accent3 6 16 2" xfId="38695" xr:uid="{00000000-0005-0000-0000-0000D9120000}"/>
    <cellStyle name="20% - Accent3 6 17" xfId="23180" xr:uid="{00000000-0005-0000-0000-0000DA120000}"/>
    <cellStyle name="20% - Accent3 6 18" xfId="51734" xr:uid="{00000000-0005-0000-0000-0000DB120000}"/>
    <cellStyle name="20% - Accent3 6 2" xfId="389" xr:uid="{00000000-0005-0000-0000-0000DC120000}"/>
    <cellStyle name="20% - Accent3 6 2 10" xfId="51735" xr:uid="{00000000-0005-0000-0000-0000DD120000}"/>
    <cellStyle name="20% - Accent3 6 2 2" xfId="3610" xr:uid="{00000000-0005-0000-0000-0000DE120000}"/>
    <cellStyle name="20% - Accent3 6 2 2 2" xfId="8225" xr:uid="{00000000-0005-0000-0000-0000DF120000}"/>
    <cellStyle name="20% - Accent3 6 2 2 2 2" xfId="16021" xr:uid="{00000000-0005-0000-0000-0000E0120000}"/>
    <cellStyle name="20% - Accent3 6 2 2 2 2 2" xfId="33656" xr:uid="{00000000-0005-0000-0000-0000E1120000}"/>
    <cellStyle name="20% - Accent3 6 2 2 2 3" xfId="26639" xr:uid="{00000000-0005-0000-0000-0000E2120000}"/>
    <cellStyle name="20% - Accent3 6 2 2 3" xfId="12340" xr:uid="{00000000-0005-0000-0000-0000E3120000}"/>
    <cellStyle name="20% - Accent3 6 2 2 3 2" xfId="30011" xr:uid="{00000000-0005-0000-0000-0000E4120000}"/>
    <cellStyle name="20% - Accent3 6 2 2 4" xfId="23774" xr:uid="{00000000-0005-0000-0000-0000E5120000}"/>
    <cellStyle name="20% - Accent3 6 2 3" xfId="5614" xr:uid="{00000000-0005-0000-0000-0000E6120000}"/>
    <cellStyle name="20% - Accent3 6 2 3 2" xfId="8914" xr:uid="{00000000-0005-0000-0000-0000E7120000}"/>
    <cellStyle name="20% - Accent3 6 2 3 2 2" xfId="16709" xr:uid="{00000000-0005-0000-0000-0000E8120000}"/>
    <cellStyle name="20% - Accent3 6 2 3 2 2 2" xfId="34345" xr:uid="{00000000-0005-0000-0000-0000E9120000}"/>
    <cellStyle name="20% - Accent3 6 2 3 2 3" xfId="27302" xr:uid="{00000000-0005-0000-0000-0000EA120000}"/>
    <cellStyle name="20% - Accent3 6 2 3 3" xfId="13470" xr:uid="{00000000-0005-0000-0000-0000EB120000}"/>
    <cellStyle name="20% - Accent3 6 2 3 3 2" xfId="31110" xr:uid="{00000000-0005-0000-0000-0000EC120000}"/>
    <cellStyle name="20% - Accent3 6 2 3 4" xfId="24437" xr:uid="{00000000-0005-0000-0000-0000ED120000}"/>
    <cellStyle name="20% - Accent3 6 2 4" xfId="6244" xr:uid="{00000000-0005-0000-0000-0000EE120000}"/>
    <cellStyle name="20% - Accent3 6 2 4 2" xfId="9454" xr:uid="{00000000-0005-0000-0000-0000EF120000}"/>
    <cellStyle name="20% - Accent3 6 2 4 2 2" xfId="17248" xr:uid="{00000000-0005-0000-0000-0000F0120000}"/>
    <cellStyle name="20% - Accent3 6 2 4 2 2 2" xfId="34885" xr:uid="{00000000-0005-0000-0000-0000F1120000}"/>
    <cellStyle name="20% - Accent3 6 2 4 2 3" xfId="27838" xr:uid="{00000000-0005-0000-0000-0000F2120000}"/>
    <cellStyle name="20% - Accent3 6 2 4 3" xfId="14033" xr:uid="{00000000-0005-0000-0000-0000F3120000}"/>
    <cellStyle name="20% - Accent3 6 2 4 3 2" xfId="31668" xr:uid="{00000000-0005-0000-0000-0000F4120000}"/>
    <cellStyle name="20% - Accent3 6 2 4 4" xfId="24974" xr:uid="{00000000-0005-0000-0000-0000F5120000}"/>
    <cellStyle name="20% - Accent3 6 2 5" xfId="6782" xr:uid="{00000000-0005-0000-0000-0000F6120000}"/>
    <cellStyle name="20% - Accent3 6 2 5 2" xfId="9992" xr:uid="{00000000-0005-0000-0000-0000F7120000}"/>
    <cellStyle name="20% - Accent3 6 2 5 2 2" xfId="17785" xr:uid="{00000000-0005-0000-0000-0000F8120000}"/>
    <cellStyle name="20% - Accent3 6 2 5 2 2 2" xfId="35422" xr:uid="{00000000-0005-0000-0000-0000F9120000}"/>
    <cellStyle name="20% - Accent3 6 2 5 2 3" xfId="28375" xr:uid="{00000000-0005-0000-0000-0000FA120000}"/>
    <cellStyle name="20% - Accent3 6 2 5 3" xfId="14570" xr:uid="{00000000-0005-0000-0000-0000FB120000}"/>
    <cellStyle name="20% - Accent3 6 2 5 3 2" xfId="32205" xr:uid="{00000000-0005-0000-0000-0000FC120000}"/>
    <cellStyle name="20% - Accent3 6 2 5 4" xfId="25512" xr:uid="{00000000-0005-0000-0000-0000FD120000}"/>
    <cellStyle name="20% - Accent3 6 2 6" xfId="7613" xr:uid="{00000000-0005-0000-0000-0000FE120000}"/>
    <cellStyle name="20% - Accent3 6 2 6 2" xfId="15410" xr:uid="{00000000-0005-0000-0000-0000FF120000}"/>
    <cellStyle name="20% - Accent3 6 2 6 2 2" xfId="33045" xr:uid="{00000000-0005-0000-0000-000000130000}"/>
    <cellStyle name="20% - Accent3 6 2 6 3" xfId="26046" xr:uid="{00000000-0005-0000-0000-000001130000}"/>
    <cellStyle name="20% - Accent3 6 2 7" xfId="11185" xr:uid="{00000000-0005-0000-0000-000002130000}"/>
    <cellStyle name="20% - Accent3 6 2 7 2" xfId="28913" xr:uid="{00000000-0005-0000-0000-000003130000}"/>
    <cellStyle name="20% - Accent3 6 2 8" xfId="22838" xr:uid="{00000000-0005-0000-0000-000004130000}"/>
    <cellStyle name="20% - Accent3 6 2 8 2" xfId="39016" xr:uid="{00000000-0005-0000-0000-000005130000}"/>
    <cellStyle name="20% - Accent3 6 2 9" xfId="23181" xr:uid="{00000000-0005-0000-0000-000006130000}"/>
    <cellStyle name="20% - Accent3 6 3" xfId="390" xr:uid="{00000000-0005-0000-0000-000007130000}"/>
    <cellStyle name="20% - Accent3 6 3 10" xfId="22059" xr:uid="{00000000-0005-0000-0000-000008130000}"/>
    <cellStyle name="20% - Accent3 6 3 11" xfId="23182" xr:uid="{00000000-0005-0000-0000-000009130000}"/>
    <cellStyle name="20% - Accent3 6 3 12" xfId="51736" xr:uid="{00000000-0005-0000-0000-00000A130000}"/>
    <cellStyle name="20% - Accent3 6 3 2" xfId="391" xr:uid="{00000000-0005-0000-0000-00000B130000}"/>
    <cellStyle name="20% - Accent3 6 3 2 2" xfId="3612" xr:uid="{00000000-0005-0000-0000-00000C130000}"/>
    <cellStyle name="20% - Accent3 6 3 2 2 2" xfId="8227" xr:uid="{00000000-0005-0000-0000-00000D130000}"/>
    <cellStyle name="20% - Accent3 6 3 2 2 2 2" xfId="16023" xr:uid="{00000000-0005-0000-0000-00000E130000}"/>
    <cellStyle name="20% - Accent3 6 3 2 2 2 2 2" xfId="33658" xr:uid="{00000000-0005-0000-0000-00000F130000}"/>
    <cellStyle name="20% - Accent3 6 3 2 2 2 3" xfId="26641" xr:uid="{00000000-0005-0000-0000-000010130000}"/>
    <cellStyle name="20% - Accent3 6 3 2 2 3" xfId="12342" xr:uid="{00000000-0005-0000-0000-000011130000}"/>
    <cellStyle name="20% - Accent3 6 3 2 2 3 2" xfId="30013" xr:uid="{00000000-0005-0000-0000-000012130000}"/>
    <cellStyle name="20% - Accent3 6 3 2 2 4" xfId="23776" xr:uid="{00000000-0005-0000-0000-000013130000}"/>
    <cellStyle name="20% - Accent3 6 3 2 3" xfId="5616" xr:uid="{00000000-0005-0000-0000-000014130000}"/>
    <cellStyle name="20% - Accent3 6 3 2 3 2" xfId="8916" xr:uid="{00000000-0005-0000-0000-000015130000}"/>
    <cellStyle name="20% - Accent3 6 3 2 3 2 2" xfId="16711" xr:uid="{00000000-0005-0000-0000-000016130000}"/>
    <cellStyle name="20% - Accent3 6 3 2 3 2 2 2" xfId="34347" xr:uid="{00000000-0005-0000-0000-000017130000}"/>
    <cellStyle name="20% - Accent3 6 3 2 3 2 3" xfId="27304" xr:uid="{00000000-0005-0000-0000-000018130000}"/>
    <cellStyle name="20% - Accent3 6 3 2 3 3" xfId="13472" xr:uid="{00000000-0005-0000-0000-000019130000}"/>
    <cellStyle name="20% - Accent3 6 3 2 3 3 2" xfId="31112" xr:uid="{00000000-0005-0000-0000-00001A130000}"/>
    <cellStyle name="20% - Accent3 6 3 2 3 4" xfId="24439" xr:uid="{00000000-0005-0000-0000-00001B130000}"/>
    <cellStyle name="20% - Accent3 6 3 2 4" xfId="6246" xr:uid="{00000000-0005-0000-0000-00001C130000}"/>
    <cellStyle name="20% - Accent3 6 3 2 4 2" xfId="9456" xr:uid="{00000000-0005-0000-0000-00001D130000}"/>
    <cellStyle name="20% - Accent3 6 3 2 4 2 2" xfId="17250" xr:uid="{00000000-0005-0000-0000-00001E130000}"/>
    <cellStyle name="20% - Accent3 6 3 2 4 2 2 2" xfId="34887" xr:uid="{00000000-0005-0000-0000-00001F130000}"/>
    <cellStyle name="20% - Accent3 6 3 2 4 2 3" xfId="27840" xr:uid="{00000000-0005-0000-0000-000020130000}"/>
    <cellStyle name="20% - Accent3 6 3 2 4 3" xfId="14035" xr:uid="{00000000-0005-0000-0000-000021130000}"/>
    <cellStyle name="20% - Accent3 6 3 2 4 3 2" xfId="31670" xr:uid="{00000000-0005-0000-0000-000022130000}"/>
    <cellStyle name="20% - Accent3 6 3 2 4 4" xfId="24976" xr:uid="{00000000-0005-0000-0000-000023130000}"/>
    <cellStyle name="20% - Accent3 6 3 2 5" xfId="6784" xr:uid="{00000000-0005-0000-0000-000024130000}"/>
    <cellStyle name="20% - Accent3 6 3 2 5 2" xfId="9994" xr:uid="{00000000-0005-0000-0000-000025130000}"/>
    <cellStyle name="20% - Accent3 6 3 2 5 2 2" xfId="17787" xr:uid="{00000000-0005-0000-0000-000026130000}"/>
    <cellStyle name="20% - Accent3 6 3 2 5 2 2 2" xfId="35424" xr:uid="{00000000-0005-0000-0000-000027130000}"/>
    <cellStyle name="20% - Accent3 6 3 2 5 2 3" xfId="28377" xr:uid="{00000000-0005-0000-0000-000028130000}"/>
    <cellStyle name="20% - Accent3 6 3 2 5 3" xfId="14572" xr:uid="{00000000-0005-0000-0000-000029130000}"/>
    <cellStyle name="20% - Accent3 6 3 2 5 3 2" xfId="32207" xr:uid="{00000000-0005-0000-0000-00002A130000}"/>
    <cellStyle name="20% - Accent3 6 3 2 5 4" xfId="25514" xr:uid="{00000000-0005-0000-0000-00002B130000}"/>
    <cellStyle name="20% - Accent3 6 3 2 6" xfId="7615" xr:uid="{00000000-0005-0000-0000-00002C130000}"/>
    <cellStyle name="20% - Accent3 6 3 2 6 2" xfId="15412" xr:uid="{00000000-0005-0000-0000-00002D130000}"/>
    <cellStyle name="20% - Accent3 6 3 2 6 2 2" xfId="33047" xr:uid="{00000000-0005-0000-0000-00002E130000}"/>
    <cellStyle name="20% - Accent3 6 3 2 6 3" xfId="26048" xr:uid="{00000000-0005-0000-0000-00002F130000}"/>
    <cellStyle name="20% - Accent3 6 3 2 7" xfId="11187" xr:uid="{00000000-0005-0000-0000-000030130000}"/>
    <cellStyle name="20% - Accent3 6 3 2 7 2" xfId="28915" xr:uid="{00000000-0005-0000-0000-000031130000}"/>
    <cellStyle name="20% - Accent3 6 3 2 8" xfId="23183" xr:uid="{00000000-0005-0000-0000-000032130000}"/>
    <cellStyle name="20% - Accent3 6 3 2 9" xfId="51737" xr:uid="{00000000-0005-0000-0000-000033130000}"/>
    <cellStyle name="20% - Accent3 6 3 3" xfId="3613" xr:uid="{00000000-0005-0000-0000-000034130000}"/>
    <cellStyle name="20% - Accent3 6 3 3 2" xfId="5617" xr:uid="{00000000-0005-0000-0000-000035130000}"/>
    <cellStyle name="20% - Accent3 6 3 3 2 2" xfId="8917" xr:uid="{00000000-0005-0000-0000-000036130000}"/>
    <cellStyle name="20% - Accent3 6 3 3 2 2 2" xfId="16712" xr:uid="{00000000-0005-0000-0000-000037130000}"/>
    <cellStyle name="20% - Accent3 6 3 3 2 2 2 2" xfId="34348" xr:uid="{00000000-0005-0000-0000-000038130000}"/>
    <cellStyle name="20% - Accent3 6 3 3 2 2 3" xfId="27305" xr:uid="{00000000-0005-0000-0000-000039130000}"/>
    <cellStyle name="20% - Accent3 6 3 3 2 3" xfId="13473" xr:uid="{00000000-0005-0000-0000-00003A130000}"/>
    <cellStyle name="20% - Accent3 6 3 3 2 3 2" xfId="31113" xr:uid="{00000000-0005-0000-0000-00003B130000}"/>
    <cellStyle name="20% - Accent3 6 3 3 2 4" xfId="24440" xr:uid="{00000000-0005-0000-0000-00003C130000}"/>
    <cellStyle name="20% - Accent3 6 3 3 3" xfId="6247" xr:uid="{00000000-0005-0000-0000-00003D130000}"/>
    <cellStyle name="20% - Accent3 6 3 3 3 2" xfId="9457" xr:uid="{00000000-0005-0000-0000-00003E130000}"/>
    <cellStyle name="20% - Accent3 6 3 3 3 2 2" xfId="17251" xr:uid="{00000000-0005-0000-0000-00003F130000}"/>
    <cellStyle name="20% - Accent3 6 3 3 3 2 2 2" xfId="34888" xr:uid="{00000000-0005-0000-0000-000040130000}"/>
    <cellStyle name="20% - Accent3 6 3 3 3 2 3" xfId="27841" xr:uid="{00000000-0005-0000-0000-000041130000}"/>
    <cellStyle name="20% - Accent3 6 3 3 3 3" xfId="14036" xr:uid="{00000000-0005-0000-0000-000042130000}"/>
    <cellStyle name="20% - Accent3 6 3 3 3 3 2" xfId="31671" xr:uid="{00000000-0005-0000-0000-000043130000}"/>
    <cellStyle name="20% - Accent3 6 3 3 3 4" xfId="24977" xr:uid="{00000000-0005-0000-0000-000044130000}"/>
    <cellStyle name="20% - Accent3 6 3 3 4" xfId="6785" xr:uid="{00000000-0005-0000-0000-000045130000}"/>
    <cellStyle name="20% - Accent3 6 3 3 4 2" xfId="9995" xr:uid="{00000000-0005-0000-0000-000046130000}"/>
    <cellStyle name="20% - Accent3 6 3 3 4 2 2" xfId="17788" xr:uid="{00000000-0005-0000-0000-000047130000}"/>
    <cellStyle name="20% - Accent3 6 3 3 4 2 2 2" xfId="35425" xr:uid="{00000000-0005-0000-0000-000048130000}"/>
    <cellStyle name="20% - Accent3 6 3 3 4 2 3" xfId="28378" xr:uid="{00000000-0005-0000-0000-000049130000}"/>
    <cellStyle name="20% - Accent3 6 3 3 4 3" xfId="14573" xr:uid="{00000000-0005-0000-0000-00004A130000}"/>
    <cellStyle name="20% - Accent3 6 3 3 4 3 2" xfId="32208" xr:uid="{00000000-0005-0000-0000-00004B130000}"/>
    <cellStyle name="20% - Accent3 6 3 3 4 4" xfId="25515" xr:uid="{00000000-0005-0000-0000-00004C130000}"/>
    <cellStyle name="20% - Accent3 6 3 3 5" xfId="8228" xr:uid="{00000000-0005-0000-0000-00004D130000}"/>
    <cellStyle name="20% - Accent3 6 3 3 5 2" xfId="16024" xr:uid="{00000000-0005-0000-0000-00004E130000}"/>
    <cellStyle name="20% - Accent3 6 3 3 5 2 2" xfId="33659" xr:uid="{00000000-0005-0000-0000-00004F130000}"/>
    <cellStyle name="20% - Accent3 6 3 3 5 3" xfId="26642" xr:uid="{00000000-0005-0000-0000-000050130000}"/>
    <cellStyle name="20% - Accent3 6 3 3 6" xfId="12343" xr:uid="{00000000-0005-0000-0000-000051130000}"/>
    <cellStyle name="20% - Accent3 6 3 3 6 2" xfId="30014" xr:uid="{00000000-0005-0000-0000-000052130000}"/>
    <cellStyle name="20% - Accent3 6 3 3 7" xfId="23777" xr:uid="{00000000-0005-0000-0000-000053130000}"/>
    <cellStyle name="20% - Accent3 6 3 4" xfId="3611" xr:uid="{00000000-0005-0000-0000-000054130000}"/>
    <cellStyle name="20% - Accent3 6 3 4 2" xfId="8226" xr:uid="{00000000-0005-0000-0000-000055130000}"/>
    <cellStyle name="20% - Accent3 6 3 4 2 2" xfId="16022" xr:uid="{00000000-0005-0000-0000-000056130000}"/>
    <cellStyle name="20% - Accent3 6 3 4 2 2 2" xfId="33657" xr:uid="{00000000-0005-0000-0000-000057130000}"/>
    <cellStyle name="20% - Accent3 6 3 4 2 3" xfId="26640" xr:uid="{00000000-0005-0000-0000-000058130000}"/>
    <cellStyle name="20% - Accent3 6 3 4 3" xfId="12341" xr:uid="{00000000-0005-0000-0000-000059130000}"/>
    <cellStyle name="20% - Accent3 6 3 4 3 2" xfId="30012" xr:uid="{00000000-0005-0000-0000-00005A130000}"/>
    <cellStyle name="20% - Accent3 6 3 4 4" xfId="23775" xr:uid="{00000000-0005-0000-0000-00005B130000}"/>
    <cellStyle name="20% - Accent3 6 3 5" xfId="5615" xr:uid="{00000000-0005-0000-0000-00005C130000}"/>
    <cellStyle name="20% - Accent3 6 3 5 2" xfId="8915" xr:uid="{00000000-0005-0000-0000-00005D130000}"/>
    <cellStyle name="20% - Accent3 6 3 5 2 2" xfId="16710" xr:uid="{00000000-0005-0000-0000-00005E130000}"/>
    <cellStyle name="20% - Accent3 6 3 5 2 2 2" xfId="34346" xr:uid="{00000000-0005-0000-0000-00005F130000}"/>
    <cellStyle name="20% - Accent3 6 3 5 2 3" xfId="27303" xr:uid="{00000000-0005-0000-0000-000060130000}"/>
    <cellStyle name="20% - Accent3 6 3 5 3" xfId="13471" xr:uid="{00000000-0005-0000-0000-000061130000}"/>
    <cellStyle name="20% - Accent3 6 3 5 3 2" xfId="31111" xr:uid="{00000000-0005-0000-0000-000062130000}"/>
    <cellStyle name="20% - Accent3 6 3 5 4" xfId="24438" xr:uid="{00000000-0005-0000-0000-000063130000}"/>
    <cellStyle name="20% - Accent3 6 3 6" xfId="6245" xr:uid="{00000000-0005-0000-0000-000064130000}"/>
    <cellStyle name="20% - Accent3 6 3 6 2" xfId="9455" xr:uid="{00000000-0005-0000-0000-000065130000}"/>
    <cellStyle name="20% - Accent3 6 3 6 2 2" xfId="17249" xr:uid="{00000000-0005-0000-0000-000066130000}"/>
    <cellStyle name="20% - Accent3 6 3 6 2 2 2" xfId="34886" xr:uid="{00000000-0005-0000-0000-000067130000}"/>
    <cellStyle name="20% - Accent3 6 3 6 2 3" xfId="27839" xr:uid="{00000000-0005-0000-0000-000068130000}"/>
    <cellStyle name="20% - Accent3 6 3 6 3" xfId="14034" xr:uid="{00000000-0005-0000-0000-000069130000}"/>
    <cellStyle name="20% - Accent3 6 3 6 3 2" xfId="31669" xr:uid="{00000000-0005-0000-0000-00006A130000}"/>
    <cellStyle name="20% - Accent3 6 3 6 4" xfId="24975" xr:uid="{00000000-0005-0000-0000-00006B130000}"/>
    <cellStyle name="20% - Accent3 6 3 7" xfId="6783" xr:uid="{00000000-0005-0000-0000-00006C130000}"/>
    <cellStyle name="20% - Accent3 6 3 7 2" xfId="9993" xr:uid="{00000000-0005-0000-0000-00006D130000}"/>
    <cellStyle name="20% - Accent3 6 3 7 2 2" xfId="17786" xr:uid="{00000000-0005-0000-0000-00006E130000}"/>
    <cellStyle name="20% - Accent3 6 3 7 2 2 2" xfId="35423" xr:uid="{00000000-0005-0000-0000-00006F130000}"/>
    <cellStyle name="20% - Accent3 6 3 7 2 3" xfId="28376" xr:uid="{00000000-0005-0000-0000-000070130000}"/>
    <cellStyle name="20% - Accent3 6 3 7 3" xfId="14571" xr:uid="{00000000-0005-0000-0000-000071130000}"/>
    <cellStyle name="20% - Accent3 6 3 7 3 2" xfId="32206" xr:uid="{00000000-0005-0000-0000-000072130000}"/>
    <cellStyle name="20% - Accent3 6 3 7 4" xfId="25513" xr:uid="{00000000-0005-0000-0000-000073130000}"/>
    <cellStyle name="20% - Accent3 6 3 8" xfId="7614" xr:uid="{00000000-0005-0000-0000-000074130000}"/>
    <cellStyle name="20% - Accent3 6 3 8 2" xfId="15411" xr:uid="{00000000-0005-0000-0000-000075130000}"/>
    <cellStyle name="20% - Accent3 6 3 8 2 2" xfId="33046" xr:uid="{00000000-0005-0000-0000-000076130000}"/>
    <cellStyle name="20% - Accent3 6 3 8 3" xfId="26047" xr:uid="{00000000-0005-0000-0000-000077130000}"/>
    <cellStyle name="20% - Accent3 6 3 9" xfId="11186" xr:uid="{00000000-0005-0000-0000-000078130000}"/>
    <cellStyle name="20% - Accent3 6 3 9 2" xfId="28914" xr:uid="{00000000-0005-0000-0000-000079130000}"/>
    <cellStyle name="20% - Accent3 6 4" xfId="392" xr:uid="{00000000-0005-0000-0000-00007A130000}"/>
    <cellStyle name="20% - Accent3 6 4 10" xfId="52911" xr:uid="{00000000-0005-0000-0000-00007B130000}"/>
    <cellStyle name="20% - Accent3 6 4 2" xfId="3614" xr:uid="{00000000-0005-0000-0000-00007C130000}"/>
    <cellStyle name="20% - Accent3 6 4 2 2" xfId="8229" xr:uid="{00000000-0005-0000-0000-00007D130000}"/>
    <cellStyle name="20% - Accent3 6 4 2 2 2" xfId="16025" xr:uid="{00000000-0005-0000-0000-00007E130000}"/>
    <cellStyle name="20% - Accent3 6 4 2 2 2 2" xfId="33660" xr:uid="{00000000-0005-0000-0000-00007F130000}"/>
    <cellStyle name="20% - Accent3 6 4 2 2 3" xfId="26643" xr:uid="{00000000-0005-0000-0000-000080130000}"/>
    <cellStyle name="20% - Accent3 6 4 2 3" xfId="12344" xr:uid="{00000000-0005-0000-0000-000081130000}"/>
    <cellStyle name="20% - Accent3 6 4 2 3 2" xfId="30015" xr:uid="{00000000-0005-0000-0000-000082130000}"/>
    <cellStyle name="20% - Accent3 6 4 2 4" xfId="23778" xr:uid="{00000000-0005-0000-0000-000083130000}"/>
    <cellStyle name="20% - Accent3 6 4 3" xfId="5618" xr:uid="{00000000-0005-0000-0000-000084130000}"/>
    <cellStyle name="20% - Accent3 6 4 3 2" xfId="8918" xr:uid="{00000000-0005-0000-0000-000085130000}"/>
    <cellStyle name="20% - Accent3 6 4 3 2 2" xfId="16713" xr:uid="{00000000-0005-0000-0000-000086130000}"/>
    <cellStyle name="20% - Accent3 6 4 3 2 2 2" xfId="34349" xr:uid="{00000000-0005-0000-0000-000087130000}"/>
    <cellStyle name="20% - Accent3 6 4 3 2 3" xfId="27306" xr:uid="{00000000-0005-0000-0000-000088130000}"/>
    <cellStyle name="20% - Accent3 6 4 3 3" xfId="13474" xr:uid="{00000000-0005-0000-0000-000089130000}"/>
    <cellStyle name="20% - Accent3 6 4 3 3 2" xfId="31114" xr:uid="{00000000-0005-0000-0000-00008A130000}"/>
    <cellStyle name="20% - Accent3 6 4 3 4" xfId="24441" xr:uid="{00000000-0005-0000-0000-00008B130000}"/>
    <cellStyle name="20% - Accent3 6 4 4" xfId="6248" xr:uid="{00000000-0005-0000-0000-00008C130000}"/>
    <cellStyle name="20% - Accent3 6 4 4 2" xfId="9458" xr:uid="{00000000-0005-0000-0000-00008D130000}"/>
    <cellStyle name="20% - Accent3 6 4 4 2 2" xfId="17252" xr:uid="{00000000-0005-0000-0000-00008E130000}"/>
    <cellStyle name="20% - Accent3 6 4 4 2 2 2" xfId="34889" xr:uid="{00000000-0005-0000-0000-00008F130000}"/>
    <cellStyle name="20% - Accent3 6 4 4 2 3" xfId="27842" xr:uid="{00000000-0005-0000-0000-000090130000}"/>
    <cellStyle name="20% - Accent3 6 4 4 3" xfId="14037" xr:uid="{00000000-0005-0000-0000-000091130000}"/>
    <cellStyle name="20% - Accent3 6 4 4 3 2" xfId="31672" xr:uid="{00000000-0005-0000-0000-000092130000}"/>
    <cellStyle name="20% - Accent3 6 4 4 4" xfId="24978" xr:uid="{00000000-0005-0000-0000-000093130000}"/>
    <cellStyle name="20% - Accent3 6 4 5" xfId="6786" xr:uid="{00000000-0005-0000-0000-000094130000}"/>
    <cellStyle name="20% - Accent3 6 4 5 2" xfId="9996" xr:uid="{00000000-0005-0000-0000-000095130000}"/>
    <cellStyle name="20% - Accent3 6 4 5 2 2" xfId="17789" xr:uid="{00000000-0005-0000-0000-000096130000}"/>
    <cellStyle name="20% - Accent3 6 4 5 2 2 2" xfId="35426" xr:uid="{00000000-0005-0000-0000-000097130000}"/>
    <cellStyle name="20% - Accent3 6 4 5 2 3" xfId="28379" xr:uid="{00000000-0005-0000-0000-000098130000}"/>
    <cellStyle name="20% - Accent3 6 4 5 3" xfId="14574" xr:uid="{00000000-0005-0000-0000-000099130000}"/>
    <cellStyle name="20% - Accent3 6 4 5 3 2" xfId="32209" xr:uid="{00000000-0005-0000-0000-00009A130000}"/>
    <cellStyle name="20% - Accent3 6 4 5 4" xfId="25516" xr:uid="{00000000-0005-0000-0000-00009B130000}"/>
    <cellStyle name="20% - Accent3 6 4 6" xfId="7616" xr:uid="{00000000-0005-0000-0000-00009C130000}"/>
    <cellStyle name="20% - Accent3 6 4 6 2" xfId="15413" xr:uid="{00000000-0005-0000-0000-00009D130000}"/>
    <cellStyle name="20% - Accent3 6 4 6 2 2" xfId="33048" xr:uid="{00000000-0005-0000-0000-00009E130000}"/>
    <cellStyle name="20% - Accent3 6 4 6 3" xfId="26049" xr:uid="{00000000-0005-0000-0000-00009F130000}"/>
    <cellStyle name="20% - Accent3 6 4 7" xfId="11188" xr:uid="{00000000-0005-0000-0000-0000A0130000}"/>
    <cellStyle name="20% - Accent3 6 4 7 2" xfId="28916" xr:uid="{00000000-0005-0000-0000-0000A1130000}"/>
    <cellStyle name="20% - Accent3 6 4 8" xfId="23184" xr:uid="{00000000-0005-0000-0000-0000A2130000}"/>
    <cellStyle name="20% - Accent3 6 4 9" xfId="51738" xr:uid="{00000000-0005-0000-0000-0000A3130000}"/>
    <cellStyle name="20% - Accent3 6 5" xfId="393" xr:uid="{00000000-0005-0000-0000-0000A4130000}"/>
    <cellStyle name="20% - Accent3 6 5 2" xfId="3615" xr:uid="{00000000-0005-0000-0000-0000A5130000}"/>
    <cellStyle name="20% - Accent3 6 5 2 2" xfId="8230" xr:uid="{00000000-0005-0000-0000-0000A6130000}"/>
    <cellStyle name="20% - Accent3 6 5 2 2 2" xfId="16026" xr:uid="{00000000-0005-0000-0000-0000A7130000}"/>
    <cellStyle name="20% - Accent3 6 5 2 2 2 2" xfId="33661" xr:uid="{00000000-0005-0000-0000-0000A8130000}"/>
    <cellStyle name="20% - Accent3 6 5 2 2 3" xfId="26644" xr:uid="{00000000-0005-0000-0000-0000A9130000}"/>
    <cellStyle name="20% - Accent3 6 5 2 3" xfId="12345" xr:uid="{00000000-0005-0000-0000-0000AA130000}"/>
    <cellStyle name="20% - Accent3 6 5 2 3 2" xfId="30016" xr:uid="{00000000-0005-0000-0000-0000AB130000}"/>
    <cellStyle name="20% - Accent3 6 5 2 4" xfId="23779" xr:uid="{00000000-0005-0000-0000-0000AC130000}"/>
    <cellStyle name="20% - Accent3 6 5 3" xfId="5619" xr:uid="{00000000-0005-0000-0000-0000AD130000}"/>
    <cellStyle name="20% - Accent3 6 5 3 2" xfId="8919" xr:uid="{00000000-0005-0000-0000-0000AE130000}"/>
    <cellStyle name="20% - Accent3 6 5 3 2 2" xfId="16714" xr:uid="{00000000-0005-0000-0000-0000AF130000}"/>
    <cellStyle name="20% - Accent3 6 5 3 2 2 2" xfId="34350" xr:uid="{00000000-0005-0000-0000-0000B0130000}"/>
    <cellStyle name="20% - Accent3 6 5 3 2 3" xfId="27307" xr:uid="{00000000-0005-0000-0000-0000B1130000}"/>
    <cellStyle name="20% - Accent3 6 5 3 3" xfId="13475" xr:uid="{00000000-0005-0000-0000-0000B2130000}"/>
    <cellStyle name="20% - Accent3 6 5 3 3 2" xfId="31115" xr:uid="{00000000-0005-0000-0000-0000B3130000}"/>
    <cellStyle name="20% - Accent3 6 5 3 4" xfId="24442" xr:uid="{00000000-0005-0000-0000-0000B4130000}"/>
    <cellStyle name="20% - Accent3 6 5 4" xfId="6249" xr:uid="{00000000-0005-0000-0000-0000B5130000}"/>
    <cellStyle name="20% - Accent3 6 5 4 2" xfId="9459" xr:uid="{00000000-0005-0000-0000-0000B6130000}"/>
    <cellStyle name="20% - Accent3 6 5 4 2 2" xfId="17253" xr:uid="{00000000-0005-0000-0000-0000B7130000}"/>
    <cellStyle name="20% - Accent3 6 5 4 2 2 2" xfId="34890" xr:uid="{00000000-0005-0000-0000-0000B8130000}"/>
    <cellStyle name="20% - Accent3 6 5 4 2 3" xfId="27843" xr:uid="{00000000-0005-0000-0000-0000B9130000}"/>
    <cellStyle name="20% - Accent3 6 5 4 3" xfId="14038" xr:uid="{00000000-0005-0000-0000-0000BA130000}"/>
    <cellStyle name="20% - Accent3 6 5 4 3 2" xfId="31673" xr:uid="{00000000-0005-0000-0000-0000BB130000}"/>
    <cellStyle name="20% - Accent3 6 5 4 4" xfId="24979" xr:uid="{00000000-0005-0000-0000-0000BC130000}"/>
    <cellStyle name="20% - Accent3 6 5 5" xfId="6787" xr:uid="{00000000-0005-0000-0000-0000BD130000}"/>
    <cellStyle name="20% - Accent3 6 5 5 2" xfId="9997" xr:uid="{00000000-0005-0000-0000-0000BE130000}"/>
    <cellStyle name="20% - Accent3 6 5 5 2 2" xfId="17790" xr:uid="{00000000-0005-0000-0000-0000BF130000}"/>
    <cellStyle name="20% - Accent3 6 5 5 2 2 2" xfId="35427" xr:uid="{00000000-0005-0000-0000-0000C0130000}"/>
    <cellStyle name="20% - Accent3 6 5 5 2 3" xfId="28380" xr:uid="{00000000-0005-0000-0000-0000C1130000}"/>
    <cellStyle name="20% - Accent3 6 5 5 3" xfId="14575" xr:uid="{00000000-0005-0000-0000-0000C2130000}"/>
    <cellStyle name="20% - Accent3 6 5 5 3 2" xfId="32210" xr:uid="{00000000-0005-0000-0000-0000C3130000}"/>
    <cellStyle name="20% - Accent3 6 5 5 4" xfId="25517" xr:uid="{00000000-0005-0000-0000-0000C4130000}"/>
    <cellStyle name="20% - Accent3 6 5 6" xfId="7617" xr:uid="{00000000-0005-0000-0000-0000C5130000}"/>
    <cellStyle name="20% - Accent3 6 5 6 2" xfId="15414" xr:uid="{00000000-0005-0000-0000-0000C6130000}"/>
    <cellStyle name="20% - Accent3 6 5 6 2 2" xfId="33049" xr:uid="{00000000-0005-0000-0000-0000C7130000}"/>
    <cellStyle name="20% - Accent3 6 5 6 3" xfId="26050" xr:uid="{00000000-0005-0000-0000-0000C8130000}"/>
    <cellStyle name="20% - Accent3 6 5 7" xfId="11189" xr:uid="{00000000-0005-0000-0000-0000C9130000}"/>
    <cellStyle name="20% - Accent3 6 5 7 2" xfId="28917" xr:uid="{00000000-0005-0000-0000-0000CA130000}"/>
    <cellStyle name="20% - Accent3 6 5 8" xfId="23185" xr:uid="{00000000-0005-0000-0000-0000CB130000}"/>
    <cellStyle name="20% - Accent3 6 5 9" xfId="51739" xr:uid="{00000000-0005-0000-0000-0000CC130000}"/>
    <cellStyle name="20% - Accent3 6 6" xfId="394" xr:uid="{00000000-0005-0000-0000-0000CD130000}"/>
    <cellStyle name="20% - Accent3 6 6 2" xfId="3616" xr:uid="{00000000-0005-0000-0000-0000CE130000}"/>
    <cellStyle name="20% - Accent3 6 6 2 2" xfId="8231" xr:uid="{00000000-0005-0000-0000-0000CF130000}"/>
    <cellStyle name="20% - Accent3 6 6 2 2 2" xfId="16027" xr:uid="{00000000-0005-0000-0000-0000D0130000}"/>
    <cellStyle name="20% - Accent3 6 6 2 2 2 2" xfId="33662" xr:uid="{00000000-0005-0000-0000-0000D1130000}"/>
    <cellStyle name="20% - Accent3 6 6 2 2 3" xfId="26645" xr:uid="{00000000-0005-0000-0000-0000D2130000}"/>
    <cellStyle name="20% - Accent3 6 6 2 3" xfId="12346" xr:uid="{00000000-0005-0000-0000-0000D3130000}"/>
    <cellStyle name="20% - Accent3 6 6 2 3 2" xfId="30017" xr:uid="{00000000-0005-0000-0000-0000D4130000}"/>
    <cellStyle name="20% - Accent3 6 6 2 4" xfId="23780" xr:uid="{00000000-0005-0000-0000-0000D5130000}"/>
    <cellStyle name="20% - Accent3 6 6 3" xfId="5620" xr:uid="{00000000-0005-0000-0000-0000D6130000}"/>
    <cellStyle name="20% - Accent3 6 6 3 2" xfId="8920" xr:uid="{00000000-0005-0000-0000-0000D7130000}"/>
    <cellStyle name="20% - Accent3 6 6 3 2 2" xfId="16715" xr:uid="{00000000-0005-0000-0000-0000D8130000}"/>
    <cellStyle name="20% - Accent3 6 6 3 2 2 2" xfId="34351" xr:uid="{00000000-0005-0000-0000-0000D9130000}"/>
    <cellStyle name="20% - Accent3 6 6 3 2 3" xfId="27308" xr:uid="{00000000-0005-0000-0000-0000DA130000}"/>
    <cellStyle name="20% - Accent3 6 6 3 3" xfId="13476" xr:uid="{00000000-0005-0000-0000-0000DB130000}"/>
    <cellStyle name="20% - Accent3 6 6 3 3 2" xfId="31116" xr:uid="{00000000-0005-0000-0000-0000DC130000}"/>
    <cellStyle name="20% - Accent3 6 6 3 4" xfId="24443" xr:uid="{00000000-0005-0000-0000-0000DD130000}"/>
    <cellStyle name="20% - Accent3 6 6 4" xfId="6250" xr:uid="{00000000-0005-0000-0000-0000DE130000}"/>
    <cellStyle name="20% - Accent3 6 6 4 2" xfId="9460" xr:uid="{00000000-0005-0000-0000-0000DF130000}"/>
    <cellStyle name="20% - Accent3 6 6 4 2 2" xfId="17254" xr:uid="{00000000-0005-0000-0000-0000E0130000}"/>
    <cellStyle name="20% - Accent3 6 6 4 2 2 2" xfId="34891" xr:uid="{00000000-0005-0000-0000-0000E1130000}"/>
    <cellStyle name="20% - Accent3 6 6 4 2 3" xfId="27844" xr:uid="{00000000-0005-0000-0000-0000E2130000}"/>
    <cellStyle name="20% - Accent3 6 6 4 3" xfId="14039" xr:uid="{00000000-0005-0000-0000-0000E3130000}"/>
    <cellStyle name="20% - Accent3 6 6 4 3 2" xfId="31674" xr:uid="{00000000-0005-0000-0000-0000E4130000}"/>
    <cellStyle name="20% - Accent3 6 6 4 4" xfId="24980" xr:uid="{00000000-0005-0000-0000-0000E5130000}"/>
    <cellStyle name="20% - Accent3 6 6 5" xfId="6788" xr:uid="{00000000-0005-0000-0000-0000E6130000}"/>
    <cellStyle name="20% - Accent3 6 6 5 2" xfId="9998" xr:uid="{00000000-0005-0000-0000-0000E7130000}"/>
    <cellStyle name="20% - Accent3 6 6 5 2 2" xfId="17791" xr:uid="{00000000-0005-0000-0000-0000E8130000}"/>
    <cellStyle name="20% - Accent3 6 6 5 2 2 2" xfId="35428" xr:uid="{00000000-0005-0000-0000-0000E9130000}"/>
    <cellStyle name="20% - Accent3 6 6 5 2 3" xfId="28381" xr:uid="{00000000-0005-0000-0000-0000EA130000}"/>
    <cellStyle name="20% - Accent3 6 6 5 3" xfId="14576" xr:uid="{00000000-0005-0000-0000-0000EB130000}"/>
    <cellStyle name="20% - Accent3 6 6 5 3 2" xfId="32211" xr:uid="{00000000-0005-0000-0000-0000EC130000}"/>
    <cellStyle name="20% - Accent3 6 6 5 4" xfId="25518" xr:uid="{00000000-0005-0000-0000-0000ED130000}"/>
    <cellStyle name="20% - Accent3 6 6 6" xfId="7618" xr:uid="{00000000-0005-0000-0000-0000EE130000}"/>
    <cellStyle name="20% - Accent3 6 6 6 2" xfId="15415" xr:uid="{00000000-0005-0000-0000-0000EF130000}"/>
    <cellStyle name="20% - Accent3 6 6 6 2 2" xfId="33050" xr:uid="{00000000-0005-0000-0000-0000F0130000}"/>
    <cellStyle name="20% - Accent3 6 6 6 3" xfId="26051" xr:uid="{00000000-0005-0000-0000-0000F1130000}"/>
    <cellStyle name="20% - Accent3 6 6 7" xfId="11190" xr:uid="{00000000-0005-0000-0000-0000F2130000}"/>
    <cellStyle name="20% - Accent3 6 6 7 2" xfId="28918" xr:uid="{00000000-0005-0000-0000-0000F3130000}"/>
    <cellStyle name="20% - Accent3 6 6 8" xfId="23186" xr:uid="{00000000-0005-0000-0000-0000F4130000}"/>
    <cellStyle name="20% - Accent3 6 6 9" xfId="51740" xr:uid="{00000000-0005-0000-0000-0000F5130000}"/>
    <cellStyle name="20% - Accent3 6 7" xfId="395" xr:uid="{00000000-0005-0000-0000-0000F6130000}"/>
    <cellStyle name="20% - Accent3 6 7 10" xfId="51741" xr:uid="{00000000-0005-0000-0000-0000F7130000}"/>
    <cellStyle name="20% - Accent3 6 7 2" xfId="396" xr:uid="{00000000-0005-0000-0000-0000F8130000}"/>
    <cellStyle name="20% - Accent3 6 7 2 2" xfId="8233" xr:uid="{00000000-0005-0000-0000-0000F9130000}"/>
    <cellStyle name="20% - Accent3 6 7 2 2 2" xfId="16029" xr:uid="{00000000-0005-0000-0000-0000FA130000}"/>
    <cellStyle name="20% - Accent3 6 7 2 2 2 2" xfId="33664" xr:uid="{00000000-0005-0000-0000-0000FB130000}"/>
    <cellStyle name="20% - Accent3 6 7 2 2 3" xfId="26647" xr:uid="{00000000-0005-0000-0000-0000FC130000}"/>
    <cellStyle name="20% - Accent3 6 7 2 3" xfId="12348" xr:uid="{00000000-0005-0000-0000-0000FD130000}"/>
    <cellStyle name="20% - Accent3 6 7 2 3 2" xfId="30019" xr:uid="{00000000-0005-0000-0000-0000FE130000}"/>
    <cellStyle name="20% - Accent3 6 7 2 4" xfId="23782" xr:uid="{00000000-0005-0000-0000-0000FF130000}"/>
    <cellStyle name="20% - Accent3 6 7 3" xfId="3617" xr:uid="{00000000-0005-0000-0000-000000140000}"/>
    <cellStyle name="20% - Accent3 6 7 3 2" xfId="8232" xr:uid="{00000000-0005-0000-0000-000001140000}"/>
    <cellStyle name="20% - Accent3 6 7 3 2 2" xfId="16028" xr:uid="{00000000-0005-0000-0000-000002140000}"/>
    <cellStyle name="20% - Accent3 6 7 3 2 2 2" xfId="33663" xr:uid="{00000000-0005-0000-0000-000003140000}"/>
    <cellStyle name="20% - Accent3 6 7 3 2 3" xfId="26646" xr:uid="{00000000-0005-0000-0000-000004140000}"/>
    <cellStyle name="20% - Accent3 6 7 3 3" xfId="12347" xr:uid="{00000000-0005-0000-0000-000005140000}"/>
    <cellStyle name="20% - Accent3 6 7 3 3 2" xfId="30018" xr:uid="{00000000-0005-0000-0000-000006140000}"/>
    <cellStyle name="20% - Accent3 6 7 3 4" xfId="23781" xr:uid="{00000000-0005-0000-0000-000007140000}"/>
    <cellStyle name="20% - Accent3 6 7 4" xfId="5621" xr:uid="{00000000-0005-0000-0000-000008140000}"/>
    <cellStyle name="20% - Accent3 6 7 4 2" xfId="8921" xr:uid="{00000000-0005-0000-0000-000009140000}"/>
    <cellStyle name="20% - Accent3 6 7 4 2 2" xfId="16716" xr:uid="{00000000-0005-0000-0000-00000A140000}"/>
    <cellStyle name="20% - Accent3 6 7 4 2 2 2" xfId="34352" xr:uid="{00000000-0005-0000-0000-00000B140000}"/>
    <cellStyle name="20% - Accent3 6 7 4 2 3" xfId="27309" xr:uid="{00000000-0005-0000-0000-00000C140000}"/>
    <cellStyle name="20% - Accent3 6 7 4 3" xfId="13477" xr:uid="{00000000-0005-0000-0000-00000D140000}"/>
    <cellStyle name="20% - Accent3 6 7 4 3 2" xfId="31117" xr:uid="{00000000-0005-0000-0000-00000E140000}"/>
    <cellStyle name="20% - Accent3 6 7 4 4" xfId="24444" xr:uid="{00000000-0005-0000-0000-00000F140000}"/>
    <cellStyle name="20% - Accent3 6 7 5" xfId="6251" xr:uid="{00000000-0005-0000-0000-000010140000}"/>
    <cellStyle name="20% - Accent3 6 7 5 2" xfId="9461" xr:uid="{00000000-0005-0000-0000-000011140000}"/>
    <cellStyle name="20% - Accent3 6 7 5 2 2" xfId="17255" xr:uid="{00000000-0005-0000-0000-000012140000}"/>
    <cellStyle name="20% - Accent3 6 7 5 2 2 2" xfId="34892" xr:uid="{00000000-0005-0000-0000-000013140000}"/>
    <cellStyle name="20% - Accent3 6 7 5 2 3" xfId="27845" xr:uid="{00000000-0005-0000-0000-000014140000}"/>
    <cellStyle name="20% - Accent3 6 7 5 3" xfId="14040" xr:uid="{00000000-0005-0000-0000-000015140000}"/>
    <cellStyle name="20% - Accent3 6 7 5 3 2" xfId="31675" xr:uid="{00000000-0005-0000-0000-000016140000}"/>
    <cellStyle name="20% - Accent3 6 7 5 4" xfId="24981" xr:uid="{00000000-0005-0000-0000-000017140000}"/>
    <cellStyle name="20% - Accent3 6 7 6" xfId="6789" xr:uid="{00000000-0005-0000-0000-000018140000}"/>
    <cellStyle name="20% - Accent3 6 7 6 2" xfId="9999" xr:uid="{00000000-0005-0000-0000-000019140000}"/>
    <cellStyle name="20% - Accent3 6 7 6 2 2" xfId="17792" xr:uid="{00000000-0005-0000-0000-00001A140000}"/>
    <cellStyle name="20% - Accent3 6 7 6 2 2 2" xfId="35429" xr:uid="{00000000-0005-0000-0000-00001B140000}"/>
    <cellStyle name="20% - Accent3 6 7 6 2 3" xfId="28382" xr:uid="{00000000-0005-0000-0000-00001C140000}"/>
    <cellStyle name="20% - Accent3 6 7 6 3" xfId="14577" xr:uid="{00000000-0005-0000-0000-00001D140000}"/>
    <cellStyle name="20% - Accent3 6 7 6 3 2" xfId="32212" xr:uid="{00000000-0005-0000-0000-00001E140000}"/>
    <cellStyle name="20% - Accent3 6 7 6 4" xfId="25519" xr:uid="{00000000-0005-0000-0000-00001F140000}"/>
    <cellStyle name="20% - Accent3 6 7 7" xfId="7619" xr:uid="{00000000-0005-0000-0000-000020140000}"/>
    <cellStyle name="20% - Accent3 6 7 7 2" xfId="15416" xr:uid="{00000000-0005-0000-0000-000021140000}"/>
    <cellStyle name="20% - Accent3 6 7 7 2 2" xfId="33051" xr:uid="{00000000-0005-0000-0000-000022140000}"/>
    <cellStyle name="20% - Accent3 6 7 7 3" xfId="26052" xr:uid="{00000000-0005-0000-0000-000023140000}"/>
    <cellStyle name="20% - Accent3 6 7 8" xfId="11191" xr:uid="{00000000-0005-0000-0000-000024140000}"/>
    <cellStyle name="20% - Accent3 6 7 8 2" xfId="28919" xr:uid="{00000000-0005-0000-0000-000025140000}"/>
    <cellStyle name="20% - Accent3 6 7 9" xfId="23187" xr:uid="{00000000-0005-0000-0000-000026140000}"/>
    <cellStyle name="20% - Accent3 6 8" xfId="3618" xr:uid="{00000000-0005-0000-0000-000027140000}"/>
    <cellStyle name="20% - Accent3 6 8 2" xfId="8234" xr:uid="{00000000-0005-0000-0000-000028140000}"/>
    <cellStyle name="20% - Accent3 6 8 2 2" xfId="16030" xr:uid="{00000000-0005-0000-0000-000029140000}"/>
    <cellStyle name="20% - Accent3 6 8 2 2 2" xfId="33665" xr:uid="{00000000-0005-0000-0000-00002A140000}"/>
    <cellStyle name="20% - Accent3 6 8 2 3" xfId="26648" xr:uid="{00000000-0005-0000-0000-00002B140000}"/>
    <cellStyle name="20% - Accent3 6 8 3" xfId="12349" xr:uid="{00000000-0005-0000-0000-00002C140000}"/>
    <cellStyle name="20% - Accent3 6 8 3 2" xfId="30020" xr:uid="{00000000-0005-0000-0000-00002D140000}"/>
    <cellStyle name="20% - Accent3 6 8 4" xfId="23783" xr:uid="{00000000-0005-0000-0000-00002E140000}"/>
    <cellStyle name="20% - Accent3 6 9" xfId="3619" xr:uid="{00000000-0005-0000-0000-00002F140000}"/>
    <cellStyle name="20% - Accent3 6 9 2" xfId="8235" xr:uid="{00000000-0005-0000-0000-000030140000}"/>
    <cellStyle name="20% - Accent3 6 9 2 2" xfId="16031" xr:uid="{00000000-0005-0000-0000-000031140000}"/>
    <cellStyle name="20% - Accent3 6 9 2 2 2" xfId="33666" xr:uid="{00000000-0005-0000-0000-000032140000}"/>
    <cellStyle name="20% - Accent3 6 9 2 3" xfId="26649" xr:uid="{00000000-0005-0000-0000-000033140000}"/>
    <cellStyle name="20% - Accent3 6 9 3" xfId="12350" xr:uid="{00000000-0005-0000-0000-000034140000}"/>
    <cellStyle name="20% - Accent3 6 9 3 2" xfId="30021" xr:uid="{00000000-0005-0000-0000-000035140000}"/>
    <cellStyle name="20% - Accent3 6 9 4" xfId="23784" xr:uid="{00000000-0005-0000-0000-000036140000}"/>
    <cellStyle name="20% - Accent3 7" xfId="397" xr:uid="{00000000-0005-0000-0000-000037140000}"/>
    <cellStyle name="20% - Accent3 7 10" xfId="3620" xr:uid="{00000000-0005-0000-0000-000038140000}"/>
    <cellStyle name="20% - Accent3 7 10 2" xfId="8236" xr:uid="{00000000-0005-0000-0000-000039140000}"/>
    <cellStyle name="20% - Accent3 7 10 2 2" xfId="16032" xr:uid="{00000000-0005-0000-0000-00003A140000}"/>
    <cellStyle name="20% - Accent3 7 10 2 2 2" xfId="33667" xr:uid="{00000000-0005-0000-0000-00003B140000}"/>
    <cellStyle name="20% - Accent3 7 10 2 3" xfId="26650" xr:uid="{00000000-0005-0000-0000-00003C140000}"/>
    <cellStyle name="20% - Accent3 7 10 3" xfId="12351" xr:uid="{00000000-0005-0000-0000-00003D140000}"/>
    <cellStyle name="20% - Accent3 7 10 3 2" xfId="30022" xr:uid="{00000000-0005-0000-0000-00003E140000}"/>
    <cellStyle name="20% - Accent3 7 10 4" xfId="23785" xr:uid="{00000000-0005-0000-0000-00003F140000}"/>
    <cellStyle name="20% - Accent3 7 11" xfId="5622" xr:uid="{00000000-0005-0000-0000-000040140000}"/>
    <cellStyle name="20% - Accent3 7 11 2" xfId="8922" xr:uid="{00000000-0005-0000-0000-000041140000}"/>
    <cellStyle name="20% - Accent3 7 11 2 2" xfId="16717" xr:uid="{00000000-0005-0000-0000-000042140000}"/>
    <cellStyle name="20% - Accent3 7 11 2 2 2" xfId="34353" xr:uid="{00000000-0005-0000-0000-000043140000}"/>
    <cellStyle name="20% - Accent3 7 11 2 3" xfId="27310" xr:uid="{00000000-0005-0000-0000-000044140000}"/>
    <cellStyle name="20% - Accent3 7 11 3" xfId="13478" xr:uid="{00000000-0005-0000-0000-000045140000}"/>
    <cellStyle name="20% - Accent3 7 11 3 2" xfId="31118" xr:uid="{00000000-0005-0000-0000-000046140000}"/>
    <cellStyle name="20% - Accent3 7 11 4" xfId="24445" xr:uid="{00000000-0005-0000-0000-000047140000}"/>
    <cellStyle name="20% - Accent3 7 12" xfId="6252" xr:uid="{00000000-0005-0000-0000-000048140000}"/>
    <cellStyle name="20% - Accent3 7 12 2" xfId="9462" xr:uid="{00000000-0005-0000-0000-000049140000}"/>
    <cellStyle name="20% - Accent3 7 12 2 2" xfId="17256" xr:uid="{00000000-0005-0000-0000-00004A140000}"/>
    <cellStyle name="20% - Accent3 7 12 2 2 2" xfId="34893" xr:uid="{00000000-0005-0000-0000-00004B140000}"/>
    <cellStyle name="20% - Accent3 7 12 2 3" xfId="27846" xr:uid="{00000000-0005-0000-0000-00004C140000}"/>
    <cellStyle name="20% - Accent3 7 12 3" xfId="14041" xr:uid="{00000000-0005-0000-0000-00004D140000}"/>
    <cellStyle name="20% - Accent3 7 12 3 2" xfId="31676" xr:uid="{00000000-0005-0000-0000-00004E140000}"/>
    <cellStyle name="20% - Accent3 7 12 4" xfId="24982" xr:uid="{00000000-0005-0000-0000-00004F140000}"/>
    <cellStyle name="20% - Accent3 7 13" xfId="6790" xr:uid="{00000000-0005-0000-0000-000050140000}"/>
    <cellStyle name="20% - Accent3 7 13 2" xfId="10000" xr:uid="{00000000-0005-0000-0000-000051140000}"/>
    <cellStyle name="20% - Accent3 7 13 2 2" xfId="17793" xr:uid="{00000000-0005-0000-0000-000052140000}"/>
    <cellStyle name="20% - Accent3 7 13 2 2 2" xfId="35430" xr:uid="{00000000-0005-0000-0000-000053140000}"/>
    <cellStyle name="20% - Accent3 7 13 2 3" xfId="28383" xr:uid="{00000000-0005-0000-0000-000054140000}"/>
    <cellStyle name="20% - Accent3 7 13 3" xfId="14578" xr:uid="{00000000-0005-0000-0000-000055140000}"/>
    <cellStyle name="20% - Accent3 7 13 3 2" xfId="32213" xr:uid="{00000000-0005-0000-0000-000056140000}"/>
    <cellStyle name="20% - Accent3 7 13 4" xfId="25520" xr:uid="{00000000-0005-0000-0000-000057140000}"/>
    <cellStyle name="20% - Accent3 7 14" xfId="7620" xr:uid="{00000000-0005-0000-0000-000058140000}"/>
    <cellStyle name="20% - Accent3 7 14 2" xfId="15417" xr:uid="{00000000-0005-0000-0000-000059140000}"/>
    <cellStyle name="20% - Accent3 7 14 2 2" xfId="33052" xr:uid="{00000000-0005-0000-0000-00005A140000}"/>
    <cellStyle name="20% - Accent3 7 14 3" xfId="26053" xr:uid="{00000000-0005-0000-0000-00005B140000}"/>
    <cellStyle name="20% - Accent3 7 15" xfId="11192" xr:uid="{00000000-0005-0000-0000-00005C140000}"/>
    <cellStyle name="20% - Accent3 7 15 2" xfId="28920" xr:uid="{00000000-0005-0000-0000-00005D140000}"/>
    <cellStyle name="20% - Accent3 7 16" xfId="22060" xr:uid="{00000000-0005-0000-0000-00005E140000}"/>
    <cellStyle name="20% - Accent3 7 16 2" xfId="38769" xr:uid="{00000000-0005-0000-0000-00005F140000}"/>
    <cellStyle name="20% - Accent3 7 17" xfId="23188" xr:uid="{00000000-0005-0000-0000-000060140000}"/>
    <cellStyle name="20% - Accent3 7 18" xfId="51742" xr:uid="{00000000-0005-0000-0000-000061140000}"/>
    <cellStyle name="20% - Accent3 7 2" xfId="398" xr:uid="{00000000-0005-0000-0000-000062140000}"/>
    <cellStyle name="20% - Accent3 7 2 10" xfId="51743" xr:uid="{00000000-0005-0000-0000-000063140000}"/>
    <cellStyle name="20% - Accent3 7 2 2" xfId="3621" xr:uid="{00000000-0005-0000-0000-000064140000}"/>
    <cellStyle name="20% - Accent3 7 2 2 2" xfId="8237" xr:uid="{00000000-0005-0000-0000-000065140000}"/>
    <cellStyle name="20% - Accent3 7 2 2 2 2" xfId="16033" xr:uid="{00000000-0005-0000-0000-000066140000}"/>
    <cellStyle name="20% - Accent3 7 2 2 2 2 2" xfId="33668" xr:uid="{00000000-0005-0000-0000-000067140000}"/>
    <cellStyle name="20% - Accent3 7 2 2 2 3" xfId="26651" xr:uid="{00000000-0005-0000-0000-000068140000}"/>
    <cellStyle name="20% - Accent3 7 2 2 3" xfId="12352" xr:uid="{00000000-0005-0000-0000-000069140000}"/>
    <cellStyle name="20% - Accent3 7 2 2 3 2" xfId="30023" xr:uid="{00000000-0005-0000-0000-00006A140000}"/>
    <cellStyle name="20% - Accent3 7 2 2 4" xfId="23786" xr:uid="{00000000-0005-0000-0000-00006B140000}"/>
    <cellStyle name="20% - Accent3 7 2 3" xfId="5623" xr:uid="{00000000-0005-0000-0000-00006C140000}"/>
    <cellStyle name="20% - Accent3 7 2 3 2" xfId="8923" xr:uid="{00000000-0005-0000-0000-00006D140000}"/>
    <cellStyle name="20% - Accent3 7 2 3 2 2" xfId="16718" xr:uid="{00000000-0005-0000-0000-00006E140000}"/>
    <cellStyle name="20% - Accent3 7 2 3 2 2 2" xfId="34354" xr:uid="{00000000-0005-0000-0000-00006F140000}"/>
    <cellStyle name="20% - Accent3 7 2 3 2 3" xfId="27311" xr:uid="{00000000-0005-0000-0000-000070140000}"/>
    <cellStyle name="20% - Accent3 7 2 3 3" xfId="13479" xr:uid="{00000000-0005-0000-0000-000071140000}"/>
    <cellStyle name="20% - Accent3 7 2 3 3 2" xfId="31119" xr:uid="{00000000-0005-0000-0000-000072140000}"/>
    <cellStyle name="20% - Accent3 7 2 3 4" xfId="24446" xr:uid="{00000000-0005-0000-0000-000073140000}"/>
    <cellStyle name="20% - Accent3 7 2 4" xfId="6253" xr:uid="{00000000-0005-0000-0000-000074140000}"/>
    <cellStyle name="20% - Accent3 7 2 4 2" xfId="9463" xr:uid="{00000000-0005-0000-0000-000075140000}"/>
    <cellStyle name="20% - Accent3 7 2 4 2 2" xfId="17257" xr:uid="{00000000-0005-0000-0000-000076140000}"/>
    <cellStyle name="20% - Accent3 7 2 4 2 2 2" xfId="34894" xr:uid="{00000000-0005-0000-0000-000077140000}"/>
    <cellStyle name="20% - Accent3 7 2 4 2 3" xfId="27847" xr:uid="{00000000-0005-0000-0000-000078140000}"/>
    <cellStyle name="20% - Accent3 7 2 4 3" xfId="14042" xr:uid="{00000000-0005-0000-0000-000079140000}"/>
    <cellStyle name="20% - Accent3 7 2 4 3 2" xfId="31677" xr:uid="{00000000-0005-0000-0000-00007A140000}"/>
    <cellStyle name="20% - Accent3 7 2 4 4" xfId="24983" xr:uid="{00000000-0005-0000-0000-00007B140000}"/>
    <cellStyle name="20% - Accent3 7 2 5" xfId="6791" xr:uid="{00000000-0005-0000-0000-00007C140000}"/>
    <cellStyle name="20% - Accent3 7 2 5 2" xfId="10001" xr:uid="{00000000-0005-0000-0000-00007D140000}"/>
    <cellStyle name="20% - Accent3 7 2 5 2 2" xfId="17794" xr:uid="{00000000-0005-0000-0000-00007E140000}"/>
    <cellStyle name="20% - Accent3 7 2 5 2 2 2" xfId="35431" xr:uid="{00000000-0005-0000-0000-00007F140000}"/>
    <cellStyle name="20% - Accent3 7 2 5 2 3" xfId="28384" xr:uid="{00000000-0005-0000-0000-000080140000}"/>
    <cellStyle name="20% - Accent3 7 2 5 3" xfId="14579" xr:uid="{00000000-0005-0000-0000-000081140000}"/>
    <cellStyle name="20% - Accent3 7 2 5 3 2" xfId="32214" xr:uid="{00000000-0005-0000-0000-000082140000}"/>
    <cellStyle name="20% - Accent3 7 2 5 4" xfId="25521" xr:uid="{00000000-0005-0000-0000-000083140000}"/>
    <cellStyle name="20% - Accent3 7 2 6" xfId="7621" xr:uid="{00000000-0005-0000-0000-000084140000}"/>
    <cellStyle name="20% - Accent3 7 2 6 2" xfId="15418" xr:uid="{00000000-0005-0000-0000-000085140000}"/>
    <cellStyle name="20% - Accent3 7 2 6 2 2" xfId="33053" xr:uid="{00000000-0005-0000-0000-000086140000}"/>
    <cellStyle name="20% - Accent3 7 2 6 3" xfId="26054" xr:uid="{00000000-0005-0000-0000-000087140000}"/>
    <cellStyle name="20% - Accent3 7 2 7" xfId="11193" xr:uid="{00000000-0005-0000-0000-000088140000}"/>
    <cellStyle name="20% - Accent3 7 2 7 2" xfId="28921" xr:uid="{00000000-0005-0000-0000-000089140000}"/>
    <cellStyle name="20% - Accent3 7 2 8" xfId="22718" xr:uid="{00000000-0005-0000-0000-00008A140000}"/>
    <cellStyle name="20% - Accent3 7 2 8 2" xfId="38928" xr:uid="{00000000-0005-0000-0000-00008B140000}"/>
    <cellStyle name="20% - Accent3 7 2 9" xfId="23189" xr:uid="{00000000-0005-0000-0000-00008C140000}"/>
    <cellStyle name="20% - Accent3 7 3" xfId="399" xr:uid="{00000000-0005-0000-0000-00008D140000}"/>
    <cellStyle name="20% - Accent3 7 3 10" xfId="23190" xr:uid="{00000000-0005-0000-0000-00008E140000}"/>
    <cellStyle name="20% - Accent3 7 3 11" xfId="51744" xr:uid="{00000000-0005-0000-0000-00008F140000}"/>
    <cellStyle name="20% - Accent3 7 3 2" xfId="400" xr:uid="{00000000-0005-0000-0000-000090140000}"/>
    <cellStyle name="20% - Accent3 7 3 2 2" xfId="3623" xr:uid="{00000000-0005-0000-0000-000091140000}"/>
    <cellStyle name="20% - Accent3 7 3 2 2 2" xfId="8239" xr:uid="{00000000-0005-0000-0000-000092140000}"/>
    <cellStyle name="20% - Accent3 7 3 2 2 2 2" xfId="16035" xr:uid="{00000000-0005-0000-0000-000093140000}"/>
    <cellStyle name="20% - Accent3 7 3 2 2 2 2 2" xfId="33670" xr:uid="{00000000-0005-0000-0000-000094140000}"/>
    <cellStyle name="20% - Accent3 7 3 2 2 2 3" xfId="26653" xr:uid="{00000000-0005-0000-0000-000095140000}"/>
    <cellStyle name="20% - Accent3 7 3 2 2 3" xfId="12354" xr:uid="{00000000-0005-0000-0000-000096140000}"/>
    <cellStyle name="20% - Accent3 7 3 2 2 3 2" xfId="30025" xr:uid="{00000000-0005-0000-0000-000097140000}"/>
    <cellStyle name="20% - Accent3 7 3 2 2 4" xfId="23788" xr:uid="{00000000-0005-0000-0000-000098140000}"/>
    <cellStyle name="20% - Accent3 7 3 2 3" xfId="5625" xr:uid="{00000000-0005-0000-0000-000099140000}"/>
    <cellStyle name="20% - Accent3 7 3 2 3 2" xfId="8925" xr:uid="{00000000-0005-0000-0000-00009A140000}"/>
    <cellStyle name="20% - Accent3 7 3 2 3 2 2" xfId="16720" xr:uid="{00000000-0005-0000-0000-00009B140000}"/>
    <cellStyle name="20% - Accent3 7 3 2 3 2 2 2" xfId="34356" xr:uid="{00000000-0005-0000-0000-00009C140000}"/>
    <cellStyle name="20% - Accent3 7 3 2 3 2 3" xfId="27313" xr:uid="{00000000-0005-0000-0000-00009D140000}"/>
    <cellStyle name="20% - Accent3 7 3 2 3 3" xfId="13481" xr:uid="{00000000-0005-0000-0000-00009E140000}"/>
    <cellStyle name="20% - Accent3 7 3 2 3 3 2" xfId="31121" xr:uid="{00000000-0005-0000-0000-00009F140000}"/>
    <cellStyle name="20% - Accent3 7 3 2 3 4" xfId="24448" xr:uid="{00000000-0005-0000-0000-0000A0140000}"/>
    <cellStyle name="20% - Accent3 7 3 2 4" xfId="6255" xr:uid="{00000000-0005-0000-0000-0000A1140000}"/>
    <cellStyle name="20% - Accent3 7 3 2 4 2" xfId="9465" xr:uid="{00000000-0005-0000-0000-0000A2140000}"/>
    <cellStyle name="20% - Accent3 7 3 2 4 2 2" xfId="17259" xr:uid="{00000000-0005-0000-0000-0000A3140000}"/>
    <cellStyle name="20% - Accent3 7 3 2 4 2 2 2" xfId="34896" xr:uid="{00000000-0005-0000-0000-0000A4140000}"/>
    <cellStyle name="20% - Accent3 7 3 2 4 2 3" xfId="27849" xr:uid="{00000000-0005-0000-0000-0000A5140000}"/>
    <cellStyle name="20% - Accent3 7 3 2 4 3" xfId="14044" xr:uid="{00000000-0005-0000-0000-0000A6140000}"/>
    <cellStyle name="20% - Accent3 7 3 2 4 3 2" xfId="31679" xr:uid="{00000000-0005-0000-0000-0000A7140000}"/>
    <cellStyle name="20% - Accent3 7 3 2 4 4" xfId="24985" xr:uid="{00000000-0005-0000-0000-0000A8140000}"/>
    <cellStyle name="20% - Accent3 7 3 2 5" xfId="6793" xr:uid="{00000000-0005-0000-0000-0000A9140000}"/>
    <cellStyle name="20% - Accent3 7 3 2 5 2" xfId="10003" xr:uid="{00000000-0005-0000-0000-0000AA140000}"/>
    <cellStyle name="20% - Accent3 7 3 2 5 2 2" xfId="17796" xr:uid="{00000000-0005-0000-0000-0000AB140000}"/>
    <cellStyle name="20% - Accent3 7 3 2 5 2 2 2" xfId="35433" xr:uid="{00000000-0005-0000-0000-0000AC140000}"/>
    <cellStyle name="20% - Accent3 7 3 2 5 2 3" xfId="28386" xr:uid="{00000000-0005-0000-0000-0000AD140000}"/>
    <cellStyle name="20% - Accent3 7 3 2 5 3" xfId="14581" xr:uid="{00000000-0005-0000-0000-0000AE140000}"/>
    <cellStyle name="20% - Accent3 7 3 2 5 3 2" xfId="32216" xr:uid="{00000000-0005-0000-0000-0000AF140000}"/>
    <cellStyle name="20% - Accent3 7 3 2 5 4" xfId="25523" xr:uid="{00000000-0005-0000-0000-0000B0140000}"/>
    <cellStyle name="20% - Accent3 7 3 2 6" xfId="7623" xr:uid="{00000000-0005-0000-0000-0000B1140000}"/>
    <cellStyle name="20% - Accent3 7 3 2 6 2" xfId="15420" xr:uid="{00000000-0005-0000-0000-0000B2140000}"/>
    <cellStyle name="20% - Accent3 7 3 2 6 2 2" xfId="33055" xr:uid="{00000000-0005-0000-0000-0000B3140000}"/>
    <cellStyle name="20% - Accent3 7 3 2 6 3" xfId="26056" xr:uid="{00000000-0005-0000-0000-0000B4140000}"/>
    <cellStyle name="20% - Accent3 7 3 2 7" xfId="11195" xr:uid="{00000000-0005-0000-0000-0000B5140000}"/>
    <cellStyle name="20% - Accent3 7 3 2 7 2" xfId="28923" xr:uid="{00000000-0005-0000-0000-0000B6140000}"/>
    <cellStyle name="20% - Accent3 7 3 2 8" xfId="23191" xr:uid="{00000000-0005-0000-0000-0000B7140000}"/>
    <cellStyle name="20% - Accent3 7 3 2 9" xfId="51745" xr:uid="{00000000-0005-0000-0000-0000B8140000}"/>
    <cellStyle name="20% - Accent3 7 3 3" xfId="3624" xr:uid="{00000000-0005-0000-0000-0000B9140000}"/>
    <cellStyle name="20% - Accent3 7 3 3 2" xfId="5626" xr:uid="{00000000-0005-0000-0000-0000BA140000}"/>
    <cellStyle name="20% - Accent3 7 3 3 2 2" xfId="8926" xr:uid="{00000000-0005-0000-0000-0000BB140000}"/>
    <cellStyle name="20% - Accent3 7 3 3 2 2 2" xfId="16721" xr:uid="{00000000-0005-0000-0000-0000BC140000}"/>
    <cellStyle name="20% - Accent3 7 3 3 2 2 2 2" xfId="34357" xr:uid="{00000000-0005-0000-0000-0000BD140000}"/>
    <cellStyle name="20% - Accent3 7 3 3 2 2 3" xfId="27314" xr:uid="{00000000-0005-0000-0000-0000BE140000}"/>
    <cellStyle name="20% - Accent3 7 3 3 2 3" xfId="13482" xr:uid="{00000000-0005-0000-0000-0000BF140000}"/>
    <cellStyle name="20% - Accent3 7 3 3 2 3 2" xfId="31122" xr:uid="{00000000-0005-0000-0000-0000C0140000}"/>
    <cellStyle name="20% - Accent3 7 3 3 2 4" xfId="24449" xr:uid="{00000000-0005-0000-0000-0000C1140000}"/>
    <cellStyle name="20% - Accent3 7 3 3 3" xfId="6256" xr:uid="{00000000-0005-0000-0000-0000C2140000}"/>
    <cellStyle name="20% - Accent3 7 3 3 3 2" xfId="9466" xr:uid="{00000000-0005-0000-0000-0000C3140000}"/>
    <cellStyle name="20% - Accent3 7 3 3 3 2 2" xfId="17260" xr:uid="{00000000-0005-0000-0000-0000C4140000}"/>
    <cellStyle name="20% - Accent3 7 3 3 3 2 2 2" xfId="34897" xr:uid="{00000000-0005-0000-0000-0000C5140000}"/>
    <cellStyle name="20% - Accent3 7 3 3 3 2 3" xfId="27850" xr:uid="{00000000-0005-0000-0000-0000C6140000}"/>
    <cellStyle name="20% - Accent3 7 3 3 3 3" xfId="14045" xr:uid="{00000000-0005-0000-0000-0000C7140000}"/>
    <cellStyle name="20% - Accent3 7 3 3 3 3 2" xfId="31680" xr:uid="{00000000-0005-0000-0000-0000C8140000}"/>
    <cellStyle name="20% - Accent3 7 3 3 3 4" xfId="24986" xr:uid="{00000000-0005-0000-0000-0000C9140000}"/>
    <cellStyle name="20% - Accent3 7 3 3 4" xfId="6794" xr:uid="{00000000-0005-0000-0000-0000CA140000}"/>
    <cellStyle name="20% - Accent3 7 3 3 4 2" xfId="10004" xr:uid="{00000000-0005-0000-0000-0000CB140000}"/>
    <cellStyle name="20% - Accent3 7 3 3 4 2 2" xfId="17797" xr:uid="{00000000-0005-0000-0000-0000CC140000}"/>
    <cellStyle name="20% - Accent3 7 3 3 4 2 2 2" xfId="35434" xr:uid="{00000000-0005-0000-0000-0000CD140000}"/>
    <cellStyle name="20% - Accent3 7 3 3 4 2 3" xfId="28387" xr:uid="{00000000-0005-0000-0000-0000CE140000}"/>
    <cellStyle name="20% - Accent3 7 3 3 4 3" xfId="14582" xr:uid="{00000000-0005-0000-0000-0000CF140000}"/>
    <cellStyle name="20% - Accent3 7 3 3 4 3 2" xfId="32217" xr:uid="{00000000-0005-0000-0000-0000D0140000}"/>
    <cellStyle name="20% - Accent3 7 3 3 4 4" xfId="25524" xr:uid="{00000000-0005-0000-0000-0000D1140000}"/>
    <cellStyle name="20% - Accent3 7 3 3 5" xfId="8240" xr:uid="{00000000-0005-0000-0000-0000D2140000}"/>
    <cellStyle name="20% - Accent3 7 3 3 5 2" xfId="16036" xr:uid="{00000000-0005-0000-0000-0000D3140000}"/>
    <cellStyle name="20% - Accent3 7 3 3 5 2 2" xfId="33671" xr:uid="{00000000-0005-0000-0000-0000D4140000}"/>
    <cellStyle name="20% - Accent3 7 3 3 5 3" xfId="26654" xr:uid="{00000000-0005-0000-0000-0000D5140000}"/>
    <cellStyle name="20% - Accent3 7 3 3 6" xfId="12355" xr:uid="{00000000-0005-0000-0000-0000D6140000}"/>
    <cellStyle name="20% - Accent3 7 3 3 6 2" xfId="30026" xr:uid="{00000000-0005-0000-0000-0000D7140000}"/>
    <cellStyle name="20% - Accent3 7 3 3 7" xfId="23789" xr:uid="{00000000-0005-0000-0000-0000D8140000}"/>
    <cellStyle name="20% - Accent3 7 3 4" xfId="3622" xr:uid="{00000000-0005-0000-0000-0000D9140000}"/>
    <cellStyle name="20% - Accent3 7 3 4 2" xfId="8238" xr:uid="{00000000-0005-0000-0000-0000DA140000}"/>
    <cellStyle name="20% - Accent3 7 3 4 2 2" xfId="16034" xr:uid="{00000000-0005-0000-0000-0000DB140000}"/>
    <cellStyle name="20% - Accent3 7 3 4 2 2 2" xfId="33669" xr:uid="{00000000-0005-0000-0000-0000DC140000}"/>
    <cellStyle name="20% - Accent3 7 3 4 2 3" xfId="26652" xr:uid="{00000000-0005-0000-0000-0000DD140000}"/>
    <cellStyle name="20% - Accent3 7 3 4 3" xfId="12353" xr:uid="{00000000-0005-0000-0000-0000DE140000}"/>
    <cellStyle name="20% - Accent3 7 3 4 3 2" xfId="30024" xr:uid="{00000000-0005-0000-0000-0000DF140000}"/>
    <cellStyle name="20% - Accent3 7 3 4 4" xfId="23787" xr:uid="{00000000-0005-0000-0000-0000E0140000}"/>
    <cellStyle name="20% - Accent3 7 3 5" xfId="5624" xr:uid="{00000000-0005-0000-0000-0000E1140000}"/>
    <cellStyle name="20% - Accent3 7 3 5 2" xfId="8924" xr:uid="{00000000-0005-0000-0000-0000E2140000}"/>
    <cellStyle name="20% - Accent3 7 3 5 2 2" xfId="16719" xr:uid="{00000000-0005-0000-0000-0000E3140000}"/>
    <cellStyle name="20% - Accent3 7 3 5 2 2 2" xfId="34355" xr:uid="{00000000-0005-0000-0000-0000E4140000}"/>
    <cellStyle name="20% - Accent3 7 3 5 2 3" xfId="27312" xr:uid="{00000000-0005-0000-0000-0000E5140000}"/>
    <cellStyle name="20% - Accent3 7 3 5 3" xfId="13480" xr:uid="{00000000-0005-0000-0000-0000E6140000}"/>
    <cellStyle name="20% - Accent3 7 3 5 3 2" xfId="31120" xr:uid="{00000000-0005-0000-0000-0000E7140000}"/>
    <cellStyle name="20% - Accent3 7 3 5 4" xfId="24447" xr:uid="{00000000-0005-0000-0000-0000E8140000}"/>
    <cellStyle name="20% - Accent3 7 3 6" xfId="6254" xr:uid="{00000000-0005-0000-0000-0000E9140000}"/>
    <cellStyle name="20% - Accent3 7 3 6 2" xfId="9464" xr:uid="{00000000-0005-0000-0000-0000EA140000}"/>
    <cellStyle name="20% - Accent3 7 3 6 2 2" xfId="17258" xr:uid="{00000000-0005-0000-0000-0000EB140000}"/>
    <cellStyle name="20% - Accent3 7 3 6 2 2 2" xfId="34895" xr:uid="{00000000-0005-0000-0000-0000EC140000}"/>
    <cellStyle name="20% - Accent3 7 3 6 2 3" xfId="27848" xr:uid="{00000000-0005-0000-0000-0000ED140000}"/>
    <cellStyle name="20% - Accent3 7 3 6 3" xfId="14043" xr:uid="{00000000-0005-0000-0000-0000EE140000}"/>
    <cellStyle name="20% - Accent3 7 3 6 3 2" xfId="31678" xr:uid="{00000000-0005-0000-0000-0000EF140000}"/>
    <cellStyle name="20% - Accent3 7 3 6 4" xfId="24984" xr:uid="{00000000-0005-0000-0000-0000F0140000}"/>
    <cellStyle name="20% - Accent3 7 3 7" xfId="6792" xr:uid="{00000000-0005-0000-0000-0000F1140000}"/>
    <cellStyle name="20% - Accent3 7 3 7 2" xfId="10002" xr:uid="{00000000-0005-0000-0000-0000F2140000}"/>
    <cellStyle name="20% - Accent3 7 3 7 2 2" xfId="17795" xr:uid="{00000000-0005-0000-0000-0000F3140000}"/>
    <cellStyle name="20% - Accent3 7 3 7 2 2 2" xfId="35432" xr:uid="{00000000-0005-0000-0000-0000F4140000}"/>
    <cellStyle name="20% - Accent3 7 3 7 2 3" xfId="28385" xr:uid="{00000000-0005-0000-0000-0000F5140000}"/>
    <cellStyle name="20% - Accent3 7 3 7 3" xfId="14580" xr:uid="{00000000-0005-0000-0000-0000F6140000}"/>
    <cellStyle name="20% - Accent3 7 3 7 3 2" xfId="32215" xr:uid="{00000000-0005-0000-0000-0000F7140000}"/>
    <cellStyle name="20% - Accent3 7 3 7 4" xfId="25522" xr:uid="{00000000-0005-0000-0000-0000F8140000}"/>
    <cellStyle name="20% - Accent3 7 3 8" xfId="7622" xr:uid="{00000000-0005-0000-0000-0000F9140000}"/>
    <cellStyle name="20% - Accent3 7 3 8 2" xfId="15419" xr:uid="{00000000-0005-0000-0000-0000FA140000}"/>
    <cellStyle name="20% - Accent3 7 3 8 2 2" xfId="33054" xr:uid="{00000000-0005-0000-0000-0000FB140000}"/>
    <cellStyle name="20% - Accent3 7 3 8 3" xfId="26055" xr:uid="{00000000-0005-0000-0000-0000FC140000}"/>
    <cellStyle name="20% - Accent3 7 3 9" xfId="11194" xr:uid="{00000000-0005-0000-0000-0000FD140000}"/>
    <cellStyle name="20% - Accent3 7 3 9 2" xfId="28922" xr:uid="{00000000-0005-0000-0000-0000FE140000}"/>
    <cellStyle name="20% - Accent3 7 4" xfId="401" xr:uid="{00000000-0005-0000-0000-0000FF140000}"/>
    <cellStyle name="20% - Accent3 7 4 2" xfId="3625" xr:uid="{00000000-0005-0000-0000-000000150000}"/>
    <cellStyle name="20% - Accent3 7 4 2 2" xfId="8241" xr:uid="{00000000-0005-0000-0000-000001150000}"/>
    <cellStyle name="20% - Accent3 7 4 2 2 2" xfId="16037" xr:uid="{00000000-0005-0000-0000-000002150000}"/>
    <cellStyle name="20% - Accent3 7 4 2 2 2 2" xfId="33672" xr:uid="{00000000-0005-0000-0000-000003150000}"/>
    <cellStyle name="20% - Accent3 7 4 2 2 3" xfId="26655" xr:uid="{00000000-0005-0000-0000-000004150000}"/>
    <cellStyle name="20% - Accent3 7 4 2 3" xfId="12356" xr:uid="{00000000-0005-0000-0000-000005150000}"/>
    <cellStyle name="20% - Accent3 7 4 2 3 2" xfId="30027" xr:uid="{00000000-0005-0000-0000-000006150000}"/>
    <cellStyle name="20% - Accent3 7 4 2 4" xfId="23790" xr:uid="{00000000-0005-0000-0000-000007150000}"/>
    <cellStyle name="20% - Accent3 7 4 3" xfId="5627" xr:uid="{00000000-0005-0000-0000-000008150000}"/>
    <cellStyle name="20% - Accent3 7 4 3 2" xfId="8927" xr:uid="{00000000-0005-0000-0000-000009150000}"/>
    <cellStyle name="20% - Accent3 7 4 3 2 2" xfId="16722" xr:uid="{00000000-0005-0000-0000-00000A150000}"/>
    <cellStyle name="20% - Accent3 7 4 3 2 2 2" xfId="34358" xr:uid="{00000000-0005-0000-0000-00000B150000}"/>
    <cellStyle name="20% - Accent3 7 4 3 2 3" xfId="27315" xr:uid="{00000000-0005-0000-0000-00000C150000}"/>
    <cellStyle name="20% - Accent3 7 4 3 3" xfId="13483" xr:uid="{00000000-0005-0000-0000-00000D150000}"/>
    <cellStyle name="20% - Accent3 7 4 3 3 2" xfId="31123" xr:uid="{00000000-0005-0000-0000-00000E150000}"/>
    <cellStyle name="20% - Accent3 7 4 3 4" xfId="24450" xr:uid="{00000000-0005-0000-0000-00000F150000}"/>
    <cellStyle name="20% - Accent3 7 4 4" xfId="6257" xr:uid="{00000000-0005-0000-0000-000010150000}"/>
    <cellStyle name="20% - Accent3 7 4 4 2" xfId="9467" xr:uid="{00000000-0005-0000-0000-000011150000}"/>
    <cellStyle name="20% - Accent3 7 4 4 2 2" xfId="17261" xr:uid="{00000000-0005-0000-0000-000012150000}"/>
    <cellStyle name="20% - Accent3 7 4 4 2 2 2" xfId="34898" xr:uid="{00000000-0005-0000-0000-000013150000}"/>
    <cellStyle name="20% - Accent3 7 4 4 2 3" xfId="27851" xr:uid="{00000000-0005-0000-0000-000014150000}"/>
    <cellStyle name="20% - Accent3 7 4 4 3" xfId="14046" xr:uid="{00000000-0005-0000-0000-000015150000}"/>
    <cellStyle name="20% - Accent3 7 4 4 3 2" xfId="31681" xr:uid="{00000000-0005-0000-0000-000016150000}"/>
    <cellStyle name="20% - Accent3 7 4 4 4" xfId="24987" xr:uid="{00000000-0005-0000-0000-000017150000}"/>
    <cellStyle name="20% - Accent3 7 4 5" xfId="6795" xr:uid="{00000000-0005-0000-0000-000018150000}"/>
    <cellStyle name="20% - Accent3 7 4 5 2" xfId="10005" xr:uid="{00000000-0005-0000-0000-000019150000}"/>
    <cellStyle name="20% - Accent3 7 4 5 2 2" xfId="17798" xr:uid="{00000000-0005-0000-0000-00001A150000}"/>
    <cellStyle name="20% - Accent3 7 4 5 2 2 2" xfId="35435" xr:uid="{00000000-0005-0000-0000-00001B150000}"/>
    <cellStyle name="20% - Accent3 7 4 5 2 3" xfId="28388" xr:uid="{00000000-0005-0000-0000-00001C150000}"/>
    <cellStyle name="20% - Accent3 7 4 5 3" xfId="14583" xr:uid="{00000000-0005-0000-0000-00001D150000}"/>
    <cellStyle name="20% - Accent3 7 4 5 3 2" xfId="32218" xr:uid="{00000000-0005-0000-0000-00001E150000}"/>
    <cellStyle name="20% - Accent3 7 4 5 4" xfId="25525" xr:uid="{00000000-0005-0000-0000-00001F150000}"/>
    <cellStyle name="20% - Accent3 7 4 6" xfId="7624" xr:uid="{00000000-0005-0000-0000-000020150000}"/>
    <cellStyle name="20% - Accent3 7 4 6 2" xfId="15421" xr:uid="{00000000-0005-0000-0000-000021150000}"/>
    <cellStyle name="20% - Accent3 7 4 6 2 2" xfId="33056" xr:uid="{00000000-0005-0000-0000-000022150000}"/>
    <cellStyle name="20% - Accent3 7 4 6 3" xfId="26057" xr:uid="{00000000-0005-0000-0000-000023150000}"/>
    <cellStyle name="20% - Accent3 7 4 7" xfId="11196" xr:uid="{00000000-0005-0000-0000-000024150000}"/>
    <cellStyle name="20% - Accent3 7 4 7 2" xfId="28924" xr:uid="{00000000-0005-0000-0000-000025150000}"/>
    <cellStyle name="20% - Accent3 7 4 8" xfId="23192" xr:uid="{00000000-0005-0000-0000-000026150000}"/>
    <cellStyle name="20% - Accent3 7 4 9" xfId="51746" xr:uid="{00000000-0005-0000-0000-000027150000}"/>
    <cellStyle name="20% - Accent3 7 5" xfId="402" xr:uid="{00000000-0005-0000-0000-000028150000}"/>
    <cellStyle name="20% - Accent3 7 5 2" xfId="3626" xr:uid="{00000000-0005-0000-0000-000029150000}"/>
    <cellStyle name="20% - Accent3 7 5 2 2" xfId="8242" xr:uid="{00000000-0005-0000-0000-00002A150000}"/>
    <cellStyle name="20% - Accent3 7 5 2 2 2" xfId="16038" xr:uid="{00000000-0005-0000-0000-00002B150000}"/>
    <cellStyle name="20% - Accent3 7 5 2 2 2 2" xfId="33673" xr:uid="{00000000-0005-0000-0000-00002C150000}"/>
    <cellStyle name="20% - Accent3 7 5 2 2 3" xfId="26656" xr:uid="{00000000-0005-0000-0000-00002D150000}"/>
    <cellStyle name="20% - Accent3 7 5 2 3" xfId="12357" xr:uid="{00000000-0005-0000-0000-00002E150000}"/>
    <cellStyle name="20% - Accent3 7 5 2 3 2" xfId="30028" xr:uid="{00000000-0005-0000-0000-00002F150000}"/>
    <cellStyle name="20% - Accent3 7 5 2 4" xfId="23791" xr:uid="{00000000-0005-0000-0000-000030150000}"/>
    <cellStyle name="20% - Accent3 7 5 3" xfId="5628" xr:uid="{00000000-0005-0000-0000-000031150000}"/>
    <cellStyle name="20% - Accent3 7 5 3 2" xfId="8928" xr:uid="{00000000-0005-0000-0000-000032150000}"/>
    <cellStyle name="20% - Accent3 7 5 3 2 2" xfId="16723" xr:uid="{00000000-0005-0000-0000-000033150000}"/>
    <cellStyle name="20% - Accent3 7 5 3 2 2 2" xfId="34359" xr:uid="{00000000-0005-0000-0000-000034150000}"/>
    <cellStyle name="20% - Accent3 7 5 3 2 3" xfId="27316" xr:uid="{00000000-0005-0000-0000-000035150000}"/>
    <cellStyle name="20% - Accent3 7 5 3 3" xfId="13484" xr:uid="{00000000-0005-0000-0000-000036150000}"/>
    <cellStyle name="20% - Accent3 7 5 3 3 2" xfId="31124" xr:uid="{00000000-0005-0000-0000-000037150000}"/>
    <cellStyle name="20% - Accent3 7 5 3 4" xfId="24451" xr:uid="{00000000-0005-0000-0000-000038150000}"/>
    <cellStyle name="20% - Accent3 7 5 4" xfId="6258" xr:uid="{00000000-0005-0000-0000-000039150000}"/>
    <cellStyle name="20% - Accent3 7 5 4 2" xfId="9468" xr:uid="{00000000-0005-0000-0000-00003A150000}"/>
    <cellStyle name="20% - Accent3 7 5 4 2 2" xfId="17262" xr:uid="{00000000-0005-0000-0000-00003B150000}"/>
    <cellStyle name="20% - Accent3 7 5 4 2 2 2" xfId="34899" xr:uid="{00000000-0005-0000-0000-00003C150000}"/>
    <cellStyle name="20% - Accent3 7 5 4 2 3" xfId="27852" xr:uid="{00000000-0005-0000-0000-00003D150000}"/>
    <cellStyle name="20% - Accent3 7 5 4 3" xfId="14047" xr:uid="{00000000-0005-0000-0000-00003E150000}"/>
    <cellStyle name="20% - Accent3 7 5 4 3 2" xfId="31682" xr:uid="{00000000-0005-0000-0000-00003F150000}"/>
    <cellStyle name="20% - Accent3 7 5 4 4" xfId="24988" xr:uid="{00000000-0005-0000-0000-000040150000}"/>
    <cellStyle name="20% - Accent3 7 5 5" xfId="6796" xr:uid="{00000000-0005-0000-0000-000041150000}"/>
    <cellStyle name="20% - Accent3 7 5 5 2" xfId="10006" xr:uid="{00000000-0005-0000-0000-000042150000}"/>
    <cellStyle name="20% - Accent3 7 5 5 2 2" xfId="17799" xr:uid="{00000000-0005-0000-0000-000043150000}"/>
    <cellStyle name="20% - Accent3 7 5 5 2 2 2" xfId="35436" xr:uid="{00000000-0005-0000-0000-000044150000}"/>
    <cellStyle name="20% - Accent3 7 5 5 2 3" xfId="28389" xr:uid="{00000000-0005-0000-0000-000045150000}"/>
    <cellStyle name="20% - Accent3 7 5 5 3" xfId="14584" xr:uid="{00000000-0005-0000-0000-000046150000}"/>
    <cellStyle name="20% - Accent3 7 5 5 3 2" xfId="32219" xr:uid="{00000000-0005-0000-0000-000047150000}"/>
    <cellStyle name="20% - Accent3 7 5 5 4" xfId="25526" xr:uid="{00000000-0005-0000-0000-000048150000}"/>
    <cellStyle name="20% - Accent3 7 5 6" xfId="7625" xr:uid="{00000000-0005-0000-0000-000049150000}"/>
    <cellStyle name="20% - Accent3 7 5 6 2" xfId="15422" xr:uid="{00000000-0005-0000-0000-00004A150000}"/>
    <cellStyle name="20% - Accent3 7 5 6 2 2" xfId="33057" xr:uid="{00000000-0005-0000-0000-00004B150000}"/>
    <cellStyle name="20% - Accent3 7 5 6 3" xfId="26058" xr:uid="{00000000-0005-0000-0000-00004C150000}"/>
    <cellStyle name="20% - Accent3 7 5 7" xfId="11197" xr:uid="{00000000-0005-0000-0000-00004D150000}"/>
    <cellStyle name="20% - Accent3 7 5 7 2" xfId="28925" xr:uid="{00000000-0005-0000-0000-00004E150000}"/>
    <cellStyle name="20% - Accent3 7 5 8" xfId="23193" xr:uid="{00000000-0005-0000-0000-00004F150000}"/>
    <cellStyle name="20% - Accent3 7 5 9" xfId="51747" xr:uid="{00000000-0005-0000-0000-000050150000}"/>
    <cellStyle name="20% - Accent3 7 6" xfId="403" xr:uid="{00000000-0005-0000-0000-000051150000}"/>
    <cellStyle name="20% - Accent3 7 6 2" xfId="3627" xr:uid="{00000000-0005-0000-0000-000052150000}"/>
    <cellStyle name="20% - Accent3 7 6 2 2" xfId="8243" xr:uid="{00000000-0005-0000-0000-000053150000}"/>
    <cellStyle name="20% - Accent3 7 6 2 2 2" xfId="16039" xr:uid="{00000000-0005-0000-0000-000054150000}"/>
    <cellStyle name="20% - Accent3 7 6 2 2 2 2" xfId="33674" xr:uid="{00000000-0005-0000-0000-000055150000}"/>
    <cellStyle name="20% - Accent3 7 6 2 2 3" xfId="26657" xr:uid="{00000000-0005-0000-0000-000056150000}"/>
    <cellStyle name="20% - Accent3 7 6 2 3" xfId="12358" xr:uid="{00000000-0005-0000-0000-000057150000}"/>
    <cellStyle name="20% - Accent3 7 6 2 3 2" xfId="30029" xr:uid="{00000000-0005-0000-0000-000058150000}"/>
    <cellStyle name="20% - Accent3 7 6 2 4" xfId="23792" xr:uid="{00000000-0005-0000-0000-000059150000}"/>
    <cellStyle name="20% - Accent3 7 6 3" xfId="5629" xr:uid="{00000000-0005-0000-0000-00005A150000}"/>
    <cellStyle name="20% - Accent3 7 6 3 2" xfId="8929" xr:uid="{00000000-0005-0000-0000-00005B150000}"/>
    <cellStyle name="20% - Accent3 7 6 3 2 2" xfId="16724" xr:uid="{00000000-0005-0000-0000-00005C150000}"/>
    <cellStyle name="20% - Accent3 7 6 3 2 2 2" xfId="34360" xr:uid="{00000000-0005-0000-0000-00005D150000}"/>
    <cellStyle name="20% - Accent3 7 6 3 2 3" xfId="27317" xr:uid="{00000000-0005-0000-0000-00005E150000}"/>
    <cellStyle name="20% - Accent3 7 6 3 3" xfId="13485" xr:uid="{00000000-0005-0000-0000-00005F150000}"/>
    <cellStyle name="20% - Accent3 7 6 3 3 2" xfId="31125" xr:uid="{00000000-0005-0000-0000-000060150000}"/>
    <cellStyle name="20% - Accent3 7 6 3 4" xfId="24452" xr:uid="{00000000-0005-0000-0000-000061150000}"/>
    <cellStyle name="20% - Accent3 7 6 4" xfId="6259" xr:uid="{00000000-0005-0000-0000-000062150000}"/>
    <cellStyle name="20% - Accent3 7 6 4 2" xfId="9469" xr:uid="{00000000-0005-0000-0000-000063150000}"/>
    <cellStyle name="20% - Accent3 7 6 4 2 2" xfId="17263" xr:uid="{00000000-0005-0000-0000-000064150000}"/>
    <cellStyle name="20% - Accent3 7 6 4 2 2 2" xfId="34900" xr:uid="{00000000-0005-0000-0000-000065150000}"/>
    <cellStyle name="20% - Accent3 7 6 4 2 3" xfId="27853" xr:uid="{00000000-0005-0000-0000-000066150000}"/>
    <cellStyle name="20% - Accent3 7 6 4 3" xfId="14048" xr:uid="{00000000-0005-0000-0000-000067150000}"/>
    <cellStyle name="20% - Accent3 7 6 4 3 2" xfId="31683" xr:uid="{00000000-0005-0000-0000-000068150000}"/>
    <cellStyle name="20% - Accent3 7 6 4 4" xfId="24989" xr:uid="{00000000-0005-0000-0000-000069150000}"/>
    <cellStyle name="20% - Accent3 7 6 5" xfId="6797" xr:uid="{00000000-0005-0000-0000-00006A150000}"/>
    <cellStyle name="20% - Accent3 7 6 5 2" xfId="10007" xr:uid="{00000000-0005-0000-0000-00006B150000}"/>
    <cellStyle name="20% - Accent3 7 6 5 2 2" xfId="17800" xr:uid="{00000000-0005-0000-0000-00006C150000}"/>
    <cellStyle name="20% - Accent3 7 6 5 2 2 2" xfId="35437" xr:uid="{00000000-0005-0000-0000-00006D150000}"/>
    <cellStyle name="20% - Accent3 7 6 5 2 3" xfId="28390" xr:uid="{00000000-0005-0000-0000-00006E150000}"/>
    <cellStyle name="20% - Accent3 7 6 5 3" xfId="14585" xr:uid="{00000000-0005-0000-0000-00006F150000}"/>
    <cellStyle name="20% - Accent3 7 6 5 3 2" xfId="32220" xr:uid="{00000000-0005-0000-0000-000070150000}"/>
    <cellStyle name="20% - Accent3 7 6 5 4" xfId="25527" xr:uid="{00000000-0005-0000-0000-000071150000}"/>
    <cellStyle name="20% - Accent3 7 6 6" xfId="7626" xr:uid="{00000000-0005-0000-0000-000072150000}"/>
    <cellStyle name="20% - Accent3 7 6 6 2" xfId="15423" xr:uid="{00000000-0005-0000-0000-000073150000}"/>
    <cellStyle name="20% - Accent3 7 6 6 2 2" xfId="33058" xr:uid="{00000000-0005-0000-0000-000074150000}"/>
    <cellStyle name="20% - Accent3 7 6 6 3" xfId="26059" xr:uid="{00000000-0005-0000-0000-000075150000}"/>
    <cellStyle name="20% - Accent3 7 6 7" xfId="11198" xr:uid="{00000000-0005-0000-0000-000076150000}"/>
    <cellStyle name="20% - Accent3 7 6 7 2" xfId="28926" xr:uid="{00000000-0005-0000-0000-000077150000}"/>
    <cellStyle name="20% - Accent3 7 6 8" xfId="23194" xr:uid="{00000000-0005-0000-0000-000078150000}"/>
    <cellStyle name="20% - Accent3 7 6 9" xfId="51748" xr:uid="{00000000-0005-0000-0000-000079150000}"/>
    <cellStyle name="20% - Accent3 7 7" xfId="404" xr:uid="{00000000-0005-0000-0000-00007A150000}"/>
    <cellStyle name="20% - Accent3 7 7 10" xfId="51749" xr:uid="{00000000-0005-0000-0000-00007B150000}"/>
    <cellStyle name="20% - Accent3 7 7 2" xfId="405" xr:uid="{00000000-0005-0000-0000-00007C150000}"/>
    <cellStyle name="20% - Accent3 7 7 2 2" xfId="8245" xr:uid="{00000000-0005-0000-0000-00007D150000}"/>
    <cellStyle name="20% - Accent3 7 7 2 2 2" xfId="16041" xr:uid="{00000000-0005-0000-0000-00007E150000}"/>
    <cellStyle name="20% - Accent3 7 7 2 2 2 2" xfId="33676" xr:uid="{00000000-0005-0000-0000-00007F150000}"/>
    <cellStyle name="20% - Accent3 7 7 2 2 3" xfId="26659" xr:uid="{00000000-0005-0000-0000-000080150000}"/>
    <cellStyle name="20% - Accent3 7 7 2 3" xfId="12360" xr:uid="{00000000-0005-0000-0000-000081150000}"/>
    <cellStyle name="20% - Accent3 7 7 2 3 2" xfId="30031" xr:uid="{00000000-0005-0000-0000-000082150000}"/>
    <cellStyle name="20% - Accent3 7 7 2 4" xfId="23794" xr:uid="{00000000-0005-0000-0000-000083150000}"/>
    <cellStyle name="20% - Accent3 7 7 3" xfId="3628" xr:uid="{00000000-0005-0000-0000-000084150000}"/>
    <cellStyle name="20% - Accent3 7 7 3 2" xfId="8244" xr:uid="{00000000-0005-0000-0000-000085150000}"/>
    <cellStyle name="20% - Accent3 7 7 3 2 2" xfId="16040" xr:uid="{00000000-0005-0000-0000-000086150000}"/>
    <cellStyle name="20% - Accent3 7 7 3 2 2 2" xfId="33675" xr:uid="{00000000-0005-0000-0000-000087150000}"/>
    <cellStyle name="20% - Accent3 7 7 3 2 3" xfId="26658" xr:uid="{00000000-0005-0000-0000-000088150000}"/>
    <cellStyle name="20% - Accent3 7 7 3 3" xfId="12359" xr:uid="{00000000-0005-0000-0000-000089150000}"/>
    <cellStyle name="20% - Accent3 7 7 3 3 2" xfId="30030" xr:uid="{00000000-0005-0000-0000-00008A150000}"/>
    <cellStyle name="20% - Accent3 7 7 3 4" xfId="23793" xr:uid="{00000000-0005-0000-0000-00008B150000}"/>
    <cellStyle name="20% - Accent3 7 7 4" xfId="5630" xr:uid="{00000000-0005-0000-0000-00008C150000}"/>
    <cellStyle name="20% - Accent3 7 7 4 2" xfId="8930" xr:uid="{00000000-0005-0000-0000-00008D150000}"/>
    <cellStyle name="20% - Accent3 7 7 4 2 2" xfId="16725" xr:uid="{00000000-0005-0000-0000-00008E150000}"/>
    <cellStyle name="20% - Accent3 7 7 4 2 2 2" xfId="34361" xr:uid="{00000000-0005-0000-0000-00008F150000}"/>
    <cellStyle name="20% - Accent3 7 7 4 2 3" xfId="27318" xr:uid="{00000000-0005-0000-0000-000090150000}"/>
    <cellStyle name="20% - Accent3 7 7 4 3" xfId="13486" xr:uid="{00000000-0005-0000-0000-000091150000}"/>
    <cellStyle name="20% - Accent3 7 7 4 3 2" xfId="31126" xr:uid="{00000000-0005-0000-0000-000092150000}"/>
    <cellStyle name="20% - Accent3 7 7 4 4" xfId="24453" xr:uid="{00000000-0005-0000-0000-000093150000}"/>
    <cellStyle name="20% - Accent3 7 7 5" xfId="6260" xr:uid="{00000000-0005-0000-0000-000094150000}"/>
    <cellStyle name="20% - Accent3 7 7 5 2" xfId="9470" xr:uid="{00000000-0005-0000-0000-000095150000}"/>
    <cellStyle name="20% - Accent3 7 7 5 2 2" xfId="17264" xr:uid="{00000000-0005-0000-0000-000096150000}"/>
    <cellStyle name="20% - Accent3 7 7 5 2 2 2" xfId="34901" xr:uid="{00000000-0005-0000-0000-000097150000}"/>
    <cellStyle name="20% - Accent3 7 7 5 2 3" xfId="27854" xr:uid="{00000000-0005-0000-0000-000098150000}"/>
    <cellStyle name="20% - Accent3 7 7 5 3" xfId="14049" xr:uid="{00000000-0005-0000-0000-000099150000}"/>
    <cellStyle name="20% - Accent3 7 7 5 3 2" xfId="31684" xr:uid="{00000000-0005-0000-0000-00009A150000}"/>
    <cellStyle name="20% - Accent3 7 7 5 4" xfId="24990" xr:uid="{00000000-0005-0000-0000-00009B150000}"/>
    <cellStyle name="20% - Accent3 7 7 6" xfId="6798" xr:uid="{00000000-0005-0000-0000-00009C150000}"/>
    <cellStyle name="20% - Accent3 7 7 6 2" xfId="10008" xr:uid="{00000000-0005-0000-0000-00009D150000}"/>
    <cellStyle name="20% - Accent3 7 7 6 2 2" xfId="17801" xr:uid="{00000000-0005-0000-0000-00009E150000}"/>
    <cellStyle name="20% - Accent3 7 7 6 2 2 2" xfId="35438" xr:uid="{00000000-0005-0000-0000-00009F150000}"/>
    <cellStyle name="20% - Accent3 7 7 6 2 3" xfId="28391" xr:uid="{00000000-0005-0000-0000-0000A0150000}"/>
    <cellStyle name="20% - Accent3 7 7 6 3" xfId="14586" xr:uid="{00000000-0005-0000-0000-0000A1150000}"/>
    <cellStyle name="20% - Accent3 7 7 6 3 2" xfId="32221" xr:uid="{00000000-0005-0000-0000-0000A2150000}"/>
    <cellStyle name="20% - Accent3 7 7 6 4" xfId="25528" xr:uid="{00000000-0005-0000-0000-0000A3150000}"/>
    <cellStyle name="20% - Accent3 7 7 7" xfId="7627" xr:uid="{00000000-0005-0000-0000-0000A4150000}"/>
    <cellStyle name="20% - Accent3 7 7 7 2" xfId="15424" xr:uid="{00000000-0005-0000-0000-0000A5150000}"/>
    <cellStyle name="20% - Accent3 7 7 7 2 2" xfId="33059" xr:uid="{00000000-0005-0000-0000-0000A6150000}"/>
    <cellStyle name="20% - Accent3 7 7 7 3" xfId="26060" xr:uid="{00000000-0005-0000-0000-0000A7150000}"/>
    <cellStyle name="20% - Accent3 7 7 8" xfId="11199" xr:uid="{00000000-0005-0000-0000-0000A8150000}"/>
    <cellStyle name="20% - Accent3 7 7 8 2" xfId="28927" xr:uid="{00000000-0005-0000-0000-0000A9150000}"/>
    <cellStyle name="20% - Accent3 7 7 9" xfId="23195" xr:uid="{00000000-0005-0000-0000-0000AA150000}"/>
    <cellStyle name="20% - Accent3 7 8" xfId="3629" xr:uid="{00000000-0005-0000-0000-0000AB150000}"/>
    <cellStyle name="20% - Accent3 7 8 2" xfId="8246" xr:uid="{00000000-0005-0000-0000-0000AC150000}"/>
    <cellStyle name="20% - Accent3 7 8 2 2" xfId="16042" xr:uid="{00000000-0005-0000-0000-0000AD150000}"/>
    <cellStyle name="20% - Accent3 7 8 2 2 2" xfId="33677" xr:uid="{00000000-0005-0000-0000-0000AE150000}"/>
    <cellStyle name="20% - Accent3 7 8 2 3" xfId="26660" xr:uid="{00000000-0005-0000-0000-0000AF150000}"/>
    <cellStyle name="20% - Accent3 7 8 3" xfId="12361" xr:uid="{00000000-0005-0000-0000-0000B0150000}"/>
    <cellStyle name="20% - Accent3 7 8 3 2" xfId="30032" xr:uid="{00000000-0005-0000-0000-0000B1150000}"/>
    <cellStyle name="20% - Accent3 7 8 4" xfId="23795" xr:uid="{00000000-0005-0000-0000-0000B2150000}"/>
    <cellStyle name="20% - Accent3 7 9" xfId="3630" xr:uid="{00000000-0005-0000-0000-0000B3150000}"/>
    <cellStyle name="20% - Accent3 7 9 2" xfId="8247" xr:uid="{00000000-0005-0000-0000-0000B4150000}"/>
    <cellStyle name="20% - Accent3 7 9 2 2" xfId="16043" xr:uid="{00000000-0005-0000-0000-0000B5150000}"/>
    <cellStyle name="20% - Accent3 7 9 2 2 2" xfId="33678" xr:uid="{00000000-0005-0000-0000-0000B6150000}"/>
    <cellStyle name="20% - Accent3 7 9 2 3" xfId="26661" xr:uid="{00000000-0005-0000-0000-0000B7150000}"/>
    <cellStyle name="20% - Accent3 7 9 3" xfId="12362" xr:uid="{00000000-0005-0000-0000-0000B8150000}"/>
    <cellStyle name="20% - Accent3 7 9 3 2" xfId="30033" xr:uid="{00000000-0005-0000-0000-0000B9150000}"/>
    <cellStyle name="20% - Accent3 7 9 4" xfId="23796" xr:uid="{00000000-0005-0000-0000-0000BA150000}"/>
    <cellStyle name="20% - Accent3 8" xfId="406" xr:uid="{00000000-0005-0000-0000-0000BB150000}"/>
    <cellStyle name="20% - Accent3 8 10" xfId="3631" xr:uid="{00000000-0005-0000-0000-0000BC150000}"/>
    <cellStyle name="20% - Accent3 8 10 2" xfId="8248" xr:uid="{00000000-0005-0000-0000-0000BD150000}"/>
    <cellStyle name="20% - Accent3 8 10 2 2" xfId="16044" xr:uid="{00000000-0005-0000-0000-0000BE150000}"/>
    <cellStyle name="20% - Accent3 8 10 2 2 2" xfId="33679" xr:uid="{00000000-0005-0000-0000-0000BF150000}"/>
    <cellStyle name="20% - Accent3 8 10 2 3" xfId="26662" xr:uid="{00000000-0005-0000-0000-0000C0150000}"/>
    <cellStyle name="20% - Accent3 8 10 3" xfId="12363" xr:uid="{00000000-0005-0000-0000-0000C1150000}"/>
    <cellStyle name="20% - Accent3 8 10 3 2" xfId="30034" xr:uid="{00000000-0005-0000-0000-0000C2150000}"/>
    <cellStyle name="20% - Accent3 8 10 4" xfId="23797" xr:uid="{00000000-0005-0000-0000-0000C3150000}"/>
    <cellStyle name="20% - Accent3 8 11" xfId="5631" xr:uid="{00000000-0005-0000-0000-0000C4150000}"/>
    <cellStyle name="20% - Accent3 8 11 2" xfId="8931" xr:uid="{00000000-0005-0000-0000-0000C5150000}"/>
    <cellStyle name="20% - Accent3 8 11 2 2" xfId="16726" xr:uid="{00000000-0005-0000-0000-0000C6150000}"/>
    <cellStyle name="20% - Accent3 8 11 2 2 2" xfId="34362" xr:uid="{00000000-0005-0000-0000-0000C7150000}"/>
    <cellStyle name="20% - Accent3 8 11 2 3" xfId="27319" xr:uid="{00000000-0005-0000-0000-0000C8150000}"/>
    <cellStyle name="20% - Accent3 8 11 3" xfId="13487" xr:uid="{00000000-0005-0000-0000-0000C9150000}"/>
    <cellStyle name="20% - Accent3 8 11 3 2" xfId="31127" xr:uid="{00000000-0005-0000-0000-0000CA150000}"/>
    <cellStyle name="20% - Accent3 8 11 4" xfId="24454" xr:uid="{00000000-0005-0000-0000-0000CB150000}"/>
    <cellStyle name="20% - Accent3 8 12" xfId="6261" xr:uid="{00000000-0005-0000-0000-0000CC150000}"/>
    <cellStyle name="20% - Accent3 8 12 2" xfId="9471" xr:uid="{00000000-0005-0000-0000-0000CD150000}"/>
    <cellStyle name="20% - Accent3 8 12 2 2" xfId="17265" xr:uid="{00000000-0005-0000-0000-0000CE150000}"/>
    <cellStyle name="20% - Accent3 8 12 2 2 2" xfId="34902" xr:uid="{00000000-0005-0000-0000-0000CF150000}"/>
    <cellStyle name="20% - Accent3 8 12 2 3" xfId="27855" xr:uid="{00000000-0005-0000-0000-0000D0150000}"/>
    <cellStyle name="20% - Accent3 8 12 3" xfId="14050" xr:uid="{00000000-0005-0000-0000-0000D1150000}"/>
    <cellStyle name="20% - Accent3 8 12 3 2" xfId="31685" xr:uid="{00000000-0005-0000-0000-0000D2150000}"/>
    <cellStyle name="20% - Accent3 8 12 4" xfId="24991" xr:uid="{00000000-0005-0000-0000-0000D3150000}"/>
    <cellStyle name="20% - Accent3 8 13" xfId="6799" xr:uid="{00000000-0005-0000-0000-0000D4150000}"/>
    <cellStyle name="20% - Accent3 8 13 2" xfId="10009" xr:uid="{00000000-0005-0000-0000-0000D5150000}"/>
    <cellStyle name="20% - Accent3 8 13 2 2" xfId="17802" xr:uid="{00000000-0005-0000-0000-0000D6150000}"/>
    <cellStyle name="20% - Accent3 8 13 2 2 2" xfId="35439" xr:uid="{00000000-0005-0000-0000-0000D7150000}"/>
    <cellStyle name="20% - Accent3 8 13 2 3" xfId="28392" xr:uid="{00000000-0005-0000-0000-0000D8150000}"/>
    <cellStyle name="20% - Accent3 8 13 3" xfId="14587" xr:uid="{00000000-0005-0000-0000-0000D9150000}"/>
    <cellStyle name="20% - Accent3 8 13 3 2" xfId="32222" xr:uid="{00000000-0005-0000-0000-0000DA150000}"/>
    <cellStyle name="20% - Accent3 8 13 4" xfId="25529" xr:uid="{00000000-0005-0000-0000-0000DB150000}"/>
    <cellStyle name="20% - Accent3 8 14" xfId="7628" xr:uid="{00000000-0005-0000-0000-0000DC150000}"/>
    <cellStyle name="20% - Accent3 8 14 2" xfId="15425" xr:uid="{00000000-0005-0000-0000-0000DD150000}"/>
    <cellStyle name="20% - Accent3 8 14 2 2" xfId="33060" xr:uid="{00000000-0005-0000-0000-0000DE150000}"/>
    <cellStyle name="20% - Accent3 8 14 3" xfId="26061" xr:uid="{00000000-0005-0000-0000-0000DF150000}"/>
    <cellStyle name="20% - Accent3 8 15" xfId="11200" xr:uid="{00000000-0005-0000-0000-0000E0150000}"/>
    <cellStyle name="20% - Accent3 8 15 2" xfId="28928" xr:uid="{00000000-0005-0000-0000-0000E1150000}"/>
    <cellStyle name="20% - Accent3 8 16" xfId="22061" xr:uid="{00000000-0005-0000-0000-0000E2150000}"/>
    <cellStyle name="20% - Accent3 8 16 2" xfId="38770" xr:uid="{00000000-0005-0000-0000-0000E3150000}"/>
    <cellStyle name="20% - Accent3 8 17" xfId="23196" xr:uid="{00000000-0005-0000-0000-0000E4150000}"/>
    <cellStyle name="20% - Accent3 8 18" xfId="51750" xr:uid="{00000000-0005-0000-0000-0000E5150000}"/>
    <cellStyle name="20% - Accent3 8 2" xfId="407" xr:uid="{00000000-0005-0000-0000-0000E6150000}"/>
    <cellStyle name="20% - Accent3 8 2 10" xfId="51751" xr:uid="{00000000-0005-0000-0000-0000E7150000}"/>
    <cellStyle name="20% - Accent3 8 2 2" xfId="3632" xr:uid="{00000000-0005-0000-0000-0000E8150000}"/>
    <cellStyle name="20% - Accent3 8 2 2 2" xfId="8249" xr:uid="{00000000-0005-0000-0000-0000E9150000}"/>
    <cellStyle name="20% - Accent3 8 2 2 2 2" xfId="16045" xr:uid="{00000000-0005-0000-0000-0000EA150000}"/>
    <cellStyle name="20% - Accent3 8 2 2 2 2 2" xfId="33680" xr:uid="{00000000-0005-0000-0000-0000EB150000}"/>
    <cellStyle name="20% - Accent3 8 2 2 2 3" xfId="26663" xr:uid="{00000000-0005-0000-0000-0000EC150000}"/>
    <cellStyle name="20% - Accent3 8 2 2 3" xfId="12364" xr:uid="{00000000-0005-0000-0000-0000ED150000}"/>
    <cellStyle name="20% - Accent3 8 2 2 3 2" xfId="30035" xr:uid="{00000000-0005-0000-0000-0000EE150000}"/>
    <cellStyle name="20% - Accent3 8 2 2 4" xfId="22720" xr:uid="{00000000-0005-0000-0000-0000EF150000}"/>
    <cellStyle name="20% - Accent3 8 2 2 4 2" xfId="38930" xr:uid="{00000000-0005-0000-0000-0000F0150000}"/>
    <cellStyle name="20% - Accent3 8 2 2 5" xfId="23798" xr:uid="{00000000-0005-0000-0000-0000F1150000}"/>
    <cellStyle name="20% - Accent3 8 2 3" xfId="5632" xr:uid="{00000000-0005-0000-0000-0000F2150000}"/>
    <cellStyle name="20% - Accent3 8 2 3 2" xfId="8932" xr:uid="{00000000-0005-0000-0000-0000F3150000}"/>
    <cellStyle name="20% - Accent3 8 2 3 2 2" xfId="16727" xr:uid="{00000000-0005-0000-0000-0000F4150000}"/>
    <cellStyle name="20% - Accent3 8 2 3 2 2 2" xfId="34363" xr:uid="{00000000-0005-0000-0000-0000F5150000}"/>
    <cellStyle name="20% - Accent3 8 2 3 2 3" xfId="27320" xr:uid="{00000000-0005-0000-0000-0000F6150000}"/>
    <cellStyle name="20% - Accent3 8 2 3 3" xfId="13488" xr:uid="{00000000-0005-0000-0000-0000F7150000}"/>
    <cellStyle name="20% - Accent3 8 2 3 3 2" xfId="31128" xr:uid="{00000000-0005-0000-0000-0000F8150000}"/>
    <cellStyle name="20% - Accent3 8 2 3 4" xfId="24455" xr:uid="{00000000-0005-0000-0000-0000F9150000}"/>
    <cellStyle name="20% - Accent3 8 2 4" xfId="6262" xr:uid="{00000000-0005-0000-0000-0000FA150000}"/>
    <cellStyle name="20% - Accent3 8 2 4 2" xfId="9472" xr:uid="{00000000-0005-0000-0000-0000FB150000}"/>
    <cellStyle name="20% - Accent3 8 2 4 2 2" xfId="17266" xr:uid="{00000000-0005-0000-0000-0000FC150000}"/>
    <cellStyle name="20% - Accent3 8 2 4 2 2 2" xfId="34903" xr:uid="{00000000-0005-0000-0000-0000FD150000}"/>
    <cellStyle name="20% - Accent3 8 2 4 2 3" xfId="27856" xr:uid="{00000000-0005-0000-0000-0000FE150000}"/>
    <cellStyle name="20% - Accent3 8 2 4 3" xfId="14051" xr:uid="{00000000-0005-0000-0000-0000FF150000}"/>
    <cellStyle name="20% - Accent3 8 2 4 3 2" xfId="31686" xr:uid="{00000000-0005-0000-0000-000000160000}"/>
    <cellStyle name="20% - Accent3 8 2 4 4" xfId="24992" xr:uid="{00000000-0005-0000-0000-000001160000}"/>
    <cellStyle name="20% - Accent3 8 2 5" xfId="6800" xr:uid="{00000000-0005-0000-0000-000002160000}"/>
    <cellStyle name="20% - Accent3 8 2 5 2" xfId="10010" xr:uid="{00000000-0005-0000-0000-000003160000}"/>
    <cellStyle name="20% - Accent3 8 2 5 2 2" xfId="17803" xr:uid="{00000000-0005-0000-0000-000004160000}"/>
    <cellStyle name="20% - Accent3 8 2 5 2 2 2" xfId="35440" xr:uid="{00000000-0005-0000-0000-000005160000}"/>
    <cellStyle name="20% - Accent3 8 2 5 2 3" xfId="28393" xr:uid="{00000000-0005-0000-0000-000006160000}"/>
    <cellStyle name="20% - Accent3 8 2 5 3" xfId="14588" xr:uid="{00000000-0005-0000-0000-000007160000}"/>
    <cellStyle name="20% - Accent3 8 2 5 3 2" xfId="32223" xr:uid="{00000000-0005-0000-0000-000008160000}"/>
    <cellStyle name="20% - Accent3 8 2 5 4" xfId="25530" xr:uid="{00000000-0005-0000-0000-000009160000}"/>
    <cellStyle name="20% - Accent3 8 2 6" xfId="7629" xr:uid="{00000000-0005-0000-0000-00000A160000}"/>
    <cellStyle name="20% - Accent3 8 2 6 2" xfId="15426" xr:uid="{00000000-0005-0000-0000-00000B160000}"/>
    <cellStyle name="20% - Accent3 8 2 6 2 2" xfId="33061" xr:uid="{00000000-0005-0000-0000-00000C160000}"/>
    <cellStyle name="20% - Accent3 8 2 6 3" xfId="26062" xr:uid="{00000000-0005-0000-0000-00000D160000}"/>
    <cellStyle name="20% - Accent3 8 2 7" xfId="11201" xr:uid="{00000000-0005-0000-0000-00000E160000}"/>
    <cellStyle name="20% - Accent3 8 2 7 2" xfId="28929" xr:uid="{00000000-0005-0000-0000-00000F160000}"/>
    <cellStyle name="20% - Accent3 8 2 8" xfId="22062" xr:uid="{00000000-0005-0000-0000-000010160000}"/>
    <cellStyle name="20% - Accent3 8 2 8 2" xfId="38771" xr:uid="{00000000-0005-0000-0000-000011160000}"/>
    <cellStyle name="20% - Accent3 8 2 9" xfId="23197" xr:uid="{00000000-0005-0000-0000-000012160000}"/>
    <cellStyle name="20% - Accent3 8 3" xfId="408" xr:uid="{00000000-0005-0000-0000-000013160000}"/>
    <cellStyle name="20% - Accent3 8 3 10" xfId="22719" xr:uid="{00000000-0005-0000-0000-000014160000}"/>
    <cellStyle name="20% - Accent3 8 3 10 2" xfId="38929" xr:uid="{00000000-0005-0000-0000-000015160000}"/>
    <cellStyle name="20% - Accent3 8 3 11" xfId="23198" xr:uid="{00000000-0005-0000-0000-000016160000}"/>
    <cellStyle name="20% - Accent3 8 3 12" xfId="51752" xr:uid="{00000000-0005-0000-0000-000017160000}"/>
    <cellStyle name="20% - Accent3 8 3 2" xfId="409" xr:uid="{00000000-0005-0000-0000-000018160000}"/>
    <cellStyle name="20% - Accent3 8 3 2 2" xfId="3634" xr:uid="{00000000-0005-0000-0000-000019160000}"/>
    <cellStyle name="20% - Accent3 8 3 2 2 2" xfId="8251" xr:uid="{00000000-0005-0000-0000-00001A160000}"/>
    <cellStyle name="20% - Accent3 8 3 2 2 2 2" xfId="16047" xr:uid="{00000000-0005-0000-0000-00001B160000}"/>
    <cellStyle name="20% - Accent3 8 3 2 2 2 2 2" xfId="33682" xr:uid="{00000000-0005-0000-0000-00001C160000}"/>
    <cellStyle name="20% - Accent3 8 3 2 2 2 3" xfId="26665" xr:uid="{00000000-0005-0000-0000-00001D160000}"/>
    <cellStyle name="20% - Accent3 8 3 2 2 3" xfId="12366" xr:uid="{00000000-0005-0000-0000-00001E160000}"/>
    <cellStyle name="20% - Accent3 8 3 2 2 3 2" xfId="30037" xr:uid="{00000000-0005-0000-0000-00001F160000}"/>
    <cellStyle name="20% - Accent3 8 3 2 2 4" xfId="23800" xr:uid="{00000000-0005-0000-0000-000020160000}"/>
    <cellStyle name="20% - Accent3 8 3 2 3" xfId="5634" xr:uid="{00000000-0005-0000-0000-000021160000}"/>
    <cellStyle name="20% - Accent3 8 3 2 3 2" xfId="8934" xr:uid="{00000000-0005-0000-0000-000022160000}"/>
    <cellStyle name="20% - Accent3 8 3 2 3 2 2" xfId="16729" xr:uid="{00000000-0005-0000-0000-000023160000}"/>
    <cellStyle name="20% - Accent3 8 3 2 3 2 2 2" xfId="34365" xr:uid="{00000000-0005-0000-0000-000024160000}"/>
    <cellStyle name="20% - Accent3 8 3 2 3 2 3" xfId="27322" xr:uid="{00000000-0005-0000-0000-000025160000}"/>
    <cellStyle name="20% - Accent3 8 3 2 3 3" xfId="13490" xr:uid="{00000000-0005-0000-0000-000026160000}"/>
    <cellStyle name="20% - Accent3 8 3 2 3 3 2" xfId="31130" xr:uid="{00000000-0005-0000-0000-000027160000}"/>
    <cellStyle name="20% - Accent3 8 3 2 3 4" xfId="24457" xr:uid="{00000000-0005-0000-0000-000028160000}"/>
    <cellStyle name="20% - Accent3 8 3 2 4" xfId="6264" xr:uid="{00000000-0005-0000-0000-000029160000}"/>
    <cellStyle name="20% - Accent3 8 3 2 4 2" xfId="9474" xr:uid="{00000000-0005-0000-0000-00002A160000}"/>
    <cellStyle name="20% - Accent3 8 3 2 4 2 2" xfId="17268" xr:uid="{00000000-0005-0000-0000-00002B160000}"/>
    <cellStyle name="20% - Accent3 8 3 2 4 2 2 2" xfId="34905" xr:uid="{00000000-0005-0000-0000-00002C160000}"/>
    <cellStyle name="20% - Accent3 8 3 2 4 2 3" xfId="27858" xr:uid="{00000000-0005-0000-0000-00002D160000}"/>
    <cellStyle name="20% - Accent3 8 3 2 4 3" xfId="14053" xr:uid="{00000000-0005-0000-0000-00002E160000}"/>
    <cellStyle name="20% - Accent3 8 3 2 4 3 2" xfId="31688" xr:uid="{00000000-0005-0000-0000-00002F160000}"/>
    <cellStyle name="20% - Accent3 8 3 2 4 4" xfId="24994" xr:uid="{00000000-0005-0000-0000-000030160000}"/>
    <cellStyle name="20% - Accent3 8 3 2 5" xfId="6802" xr:uid="{00000000-0005-0000-0000-000031160000}"/>
    <cellStyle name="20% - Accent3 8 3 2 5 2" xfId="10012" xr:uid="{00000000-0005-0000-0000-000032160000}"/>
    <cellStyle name="20% - Accent3 8 3 2 5 2 2" xfId="17805" xr:uid="{00000000-0005-0000-0000-000033160000}"/>
    <cellStyle name="20% - Accent3 8 3 2 5 2 2 2" xfId="35442" xr:uid="{00000000-0005-0000-0000-000034160000}"/>
    <cellStyle name="20% - Accent3 8 3 2 5 2 3" xfId="28395" xr:uid="{00000000-0005-0000-0000-000035160000}"/>
    <cellStyle name="20% - Accent3 8 3 2 5 3" xfId="14590" xr:uid="{00000000-0005-0000-0000-000036160000}"/>
    <cellStyle name="20% - Accent3 8 3 2 5 3 2" xfId="32225" xr:uid="{00000000-0005-0000-0000-000037160000}"/>
    <cellStyle name="20% - Accent3 8 3 2 5 4" xfId="25532" xr:uid="{00000000-0005-0000-0000-000038160000}"/>
    <cellStyle name="20% - Accent3 8 3 2 6" xfId="7631" xr:uid="{00000000-0005-0000-0000-000039160000}"/>
    <cellStyle name="20% - Accent3 8 3 2 6 2" xfId="15428" xr:uid="{00000000-0005-0000-0000-00003A160000}"/>
    <cellStyle name="20% - Accent3 8 3 2 6 2 2" xfId="33063" xr:uid="{00000000-0005-0000-0000-00003B160000}"/>
    <cellStyle name="20% - Accent3 8 3 2 6 3" xfId="26064" xr:uid="{00000000-0005-0000-0000-00003C160000}"/>
    <cellStyle name="20% - Accent3 8 3 2 7" xfId="11203" xr:uid="{00000000-0005-0000-0000-00003D160000}"/>
    <cellStyle name="20% - Accent3 8 3 2 7 2" xfId="28931" xr:uid="{00000000-0005-0000-0000-00003E160000}"/>
    <cellStyle name="20% - Accent3 8 3 2 8" xfId="23199" xr:uid="{00000000-0005-0000-0000-00003F160000}"/>
    <cellStyle name="20% - Accent3 8 3 2 9" xfId="51753" xr:uid="{00000000-0005-0000-0000-000040160000}"/>
    <cellStyle name="20% - Accent3 8 3 3" xfId="3635" xr:uid="{00000000-0005-0000-0000-000041160000}"/>
    <cellStyle name="20% - Accent3 8 3 3 2" xfId="5635" xr:uid="{00000000-0005-0000-0000-000042160000}"/>
    <cellStyle name="20% - Accent3 8 3 3 2 2" xfId="8935" xr:uid="{00000000-0005-0000-0000-000043160000}"/>
    <cellStyle name="20% - Accent3 8 3 3 2 2 2" xfId="16730" xr:uid="{00000000-0005-0000-0000-000044160000}"/>
    <cellStyle name="20% - Accent3 8 3 3 2 2 2 2" xfId="34366" xr:uid="{00000000-0005-0000-0000-000045160000}"/>
    <cellStyle name="20% - Accent3 8 3 3 2 2 3" xfId="27323" xr:uid="{00000000-0005-0000-0000-000046160000}"/>
    <cellStyle name="20% - Accent3 8 3 3 2 3" xfId="13491" xr:uid="{00000000-0005-0000-0000-000047160000}"/>
    <cellStyle name="20% - Accent3 8 3 3 2 3 2" xfId="31131" xr:uid="{00000000-0005-0000-0000-000048160000}"/>
    <cellStyle name="20% - Accent3 8 3 3 2 4" xfId="24458" xr:uid="{00000000-0005-0000-0000-000049160000}"/>
    <cellStyle name="20% - Accent3 8 3 3 3" xfId="6265" xr:uid="{00000000-0005-0000-0000-00004A160000}"/>
    <cellStyle name="20% - Accent3 8 3 3 3 2" xfId="9475" xr:uid="{00000000-0005-0000-0000-00004B160000}"/>
    <cellStyle name="20% - Accent3 8 3 3 3 2 2" xfId="17269" xr:uid="{00000000-0005-0000-0000-00004C160000}"/>
    <cellStyle name="20% - Accent3 8 3 3 3 2 2 2" xfId="34906" xr:uid="{00000000-0005-0000-0000-00004D160000}"/>
    <cellStyle name="20% - Accent3 8 3 3 3 2 3" xfId="27859" xr:uid="{00000000-0005-0000-0000-00004E160000}"/>
    <cellStyle name="20% - Accent3 8 3 3 3 3" xfId="14054" xr:uid="{00000000-0005-0000-0000-00004F160000}"/>
    <cellStyle name="20% - Accent3 8 3 3 3 3 2" xfId="31689" xr:uid="{00000000-0005-0000-0000-000050160000}"/>
    <cellStyle name="20% - Accent3 8 3 3 3 4" xfId="24995" xr:uid="{00000000-0005-0000-0000-000051160000}"/>
    <cellStyle name="20% - Accent3 8 3 3 4" xfId="6803" xr:uid="{00000000-0005-0000-0000-000052160000}"/>
    <cellStyle name="20% - Accent3 8 3 3 4 2" xfId="10013" xr:uid="{00000000-0005-0000-0000-000053160000}"/>
    <cellStyle name="20% - Accent3 8 3 3 4 2 2" xfId="17806" xr:uid="{00000000-0005-0000-0000-000054160000}"/>
    <cellStyle name="20% - Accent3 8 3 3 4 2 2 2" xfId="35443" xr:uid="{00000000-0005-0000-0000-000055160000}"/>
    <cellStyle name="20% - Accent3 8 3 3 4 2 3" xfId="28396" xr:uid="{00000000-0005-0000-0000-000056160000}"/>
    <cellStyle name="20% - Accent3 8 3 3 4 3" xfId="14591" xr:uid="{00000000-0005-0000-0000-000057160000}"/>
    <cellStyle name="20% - Accent3 8 3 3 4 3 2" xfId="32226" xr:uid="{00000000-0005-0000-0000-000058160000}"/>
    <cellStyle name="20% - Accent3 8 3 3 4 4" xfId="25533" xr:uid="{00000000-0005-0000-0000-000059160000}"/>
    <cellStyle name="20% - Accent3 8 3 3 5" xfId="8252" xr:uid="{00000000-0005-0000-0000-00005A160000}"/>
    <cellStyle name="20% - Accent3 8 3 3 5 2" xfId="16048" xr:uid="{00000000-0005-0000-0000-00005B160000}"/>
    <cellStyle name="20% - Accent3 8 3 3 5 2 2" xfId="33683" xr:uid="{00000000-0005-0000-0000-00005C160000}"/>
    <cellStyle name="20% - Accent3 8 3 3 5 3" xfId="26666" xr:uid="{00000000-0005-0000-0000-00005D160000}"/>
    <cellStyle name="20% - Accent3 8 3 3 6" xfId="12367" xr:uid="{00000000-0005-0000-0000-00005E160000}"/>
    <cellStyle name="20% - Accent3 8 3 3 6 2" xfId="30038" xr:uid="{00000000-0005-0000-0000-00005F160000}"/>
    <cellStyle name="20% - Accent3 8 3 3 7" xfId="23801" xr:uid="{00000000-0005-0000-0000-000060160000}"/>
    <cellStyle name="20% - Accent3 8 3 4" xfId="3633" xr:uid="{00000000-0005-0000-0000-000061160000}"/>
    <cellStyle name="20% - Accent3 8 3 4 2" xfId="8250" xr:uid="{00000000-0005-0000-0000-000062160000}"/>
    <cellStyle name="20% - Accent3 8 3 4 2 2" xfId="16046" xr:uid="{00000000-0005-0000-0000-000063160000}"/>
    <cellStyle name="20% - Accent3 8 3 4 2 2 2" xfId="33681" xr:uid="{00000000-0005-0000-0000-000064160000}"/>
    <cellStyle name="20% - Accent3 8 3 4 2 3" xfId="26664" xr:uid="{00000000-0005-0000-0000-000065160000}"/>
    <cellStyle name="20% - Accent3 8 3 4 3" xfId="12365" xr:uid="{00000000-0005-0000-0000-000066160000}"/>
    <cellStyle name="20% - Accent3 8 3 4 3 2" xfId="30036" xr:uid="{00000000-0005-0000-0000-000067160000}"/>
    <cellStyle name="20% - Accent3 8 3 4 4" xfId="23799" xr:uid="{00000000-0005-0000-0000-000068160000}"/>
    <cellStyle name="20% - Accent3 8 3 5" xfId="5633" xr:uid="{00000000-0005-0000-0000-000069160000}"/>
    <cellStyle name="20% - Accent3 8 3 5 2" xfId="8933" xr:uid="{00000000-0005-0000-0000-00006A160000}"/>
    <cellStyle name="20% - Accent3 8 3 5 2 2" xfId="16728" xr:uid="{00000000-0005-0000-0000-00006B160000}"/>
    <cellStyle name="20% - Accent3 8 3 5 2 2 2" xfId="34364" xr:uid="{00000000-0005-0000-0000-00006C160000}"/>
    <cellStyle name="20% - Accent3 8 3 5 2 3" xfId="27321" xr:uid="{00000000-0005-0000-0000-00006D160000}"/>
    <cellStyle name="20% - Accent3 8 3 5 3" xfId="13489" xr:uid="{00000000-0005-0000-0000-00006E160000}"/>
    <cellStyle name="20% - Accent3 8 3 5 3 2" xfId="31129" xr:uid="{00000000-0005-0000-0000-00006F160000}"/>
    <cellStyle name="20% - Accent3 8 3 5 4" xfId="24456" xr:uid="{00000000-0005-0000-0000-000070160000}"/>
    <cellStyle name="20% - Accent3 8 3 6" xfId="6263" xr:uid="{00000000-0005-0000-0000-000071160000}"/>
    <cellStyle name="20% - Accent3 8 3 6 2" xfId="9473" xr:uid="{00000000-0005-0000-0000-000072160000}"/>
    <cellStyle name="20% - Accent3 8 3 6 2 2" xfId="17267" xr:uid="{00000000-0005-0000-0000-000073160000}"/>
    <cellStyle name="20% - Accent3 8 3 6 2 2 2" xfId="34904" xr:uid="{00000000-0005-0000-0000-000074160000}"/>
    <cellStyle name="20% - Accent3 8 3 6 2 3" xfId="27857" xr:uid="{00000000-0005-0000-0000-000075160000}"/>
    <cellStyle name="20% - Accent3 8 3 6 3" xfId="14052" xr:uid="{00000000-0005-0000-0000-000076160000}"/>
    <cellStyle name="20% - Accent3 8 3 6 3 2" xfId="31687" xr:uid="{00000000-0005-0000-0000-000077160000}"/>
    <cellStyle name="20% - Accent3 8 3 6 4" xfId="24993" xr:uid="{00000000-0005-0000-0000-000078160000}"/>
    <cellStyle name="20% - Accent3 8 3 7" xfId="6801" xr:uid="{00000000-0005-0000-0000-000079160000}"/>
    <cellStyle name="20% - Accent3 8 3 7 2" xfId="10011" xr:uid="{00000000-0005-0000-0000-00007A160000}"/>
    <cellStyle name="20% - Accent3 8 3 7 2 2" xfId="17804" xr:uid="{00000000-0005-0000-0000-00007B160000}"/>
    <cellStyle name="20% - Accent3 8 3 7 2 2 2" xfId="35441" xr:uid="{00000000-0005-0000-0000-00007C160000}"/>
    <cellStyle name="20% - Accent3 8 3 7 2 3" xfId="28394" xr:uid="{00000000-0005-0000-0000-00007D160000}"/>
    <cellStyle name="20% - Accent3 8 3 7 3" xfId="14589" xr:uid="{00000000-0005-0000-0000-00007E160000}"/>
    <cellStyle name="20% - Accent3 8 3 7 3 2" xfId="32224" xr:uid="{00000000-0005-0000-0000-00007F160000}"/>
    <cellStyle name="20% - Accent3 8 3 7 4" xfId="25531" xr:uid="{00000000-0005-0000-0000-000080160000}"/>
    <cellStyle name="20% - Accent3 8 3 8" xfId="7630" xr:uid="{00000000-0005-0000-0000-000081160000}"/>
    <cellStyle name="20% - Accent3 8 3 8 2" xfId="15427" xr:uid="{00000000-0005-0000-0000-000082160000}"/>
    <cellStyle name="20% - Accent3 8 3 8 2 2" xfId="33062" xr:uid="{00000000-0005-0000-0000-000083160000}"/>
    <cellStyle name="20% - Accent3 8 3 8 3" xfId="26063" xr:uid="{00000000-0005-0000-0000-000084160000}"/>
    <cellStyle name="20% - Accent3 8 3 9" xfId="11202" xr:uid="{00000000-0005-0000-0000-000085160000}"/>
    <cellStyle name="20% - Accent3 8 3 9 2" xfId="28930" xr:uid="{00000000-0005-0000-0000-000086160000}"/>
    <cellStyle name="20% - Accent3 8 4" xfId="410" xr:uid="{00000000-0005-0000-0000-000087160000}"/>
    <cellStyle name="20% - Accent3 8 4 2" xfId="3636" xr:uid="{00000000-0005-0000-0000-000088160000}"/>
    <cellStyle name="20% - Accent3 8 4 2 2" xfId="8253" xr:uid="{00000000-0005-0000-0000-000089160000}"/>
    <cellStyle name="20% - Accent3 8 4 2 2 2" xfId="16049" xr:uid="{00000000-0005-0000-0000-00008A160000}"/>
    <cellStyle name="20% - Accent3 8 4 2 2 2 2" xfId="33684" xr:uid="{00000000-0005-0000-0000-00008B160000}"/>
    <cellStyle name="20% - Accent3 8 4 2 2 3" xfId="26667" xr:uid="{00000000-0005-0000-0000-00008C160000}"/>
    <cellStyle name="20% - Accent3 8 4 2 3" xfId="12368" xr:uid="{00000000-0005-0000-0000-00008D160000}"/>
    <cellStyle name="20% - Accent3 8 4 2 3 2" xfId="30039" xr:uid="{00000000-0005-0000-0000-00008E160000}"/>
    <cellStyle name="20% - Accent3 8 4 2 4" xfId="23802" xr:uid="{00000000-0005-0000-0000-00008F160000}"/>
    <cellStyle name="20% - Accent3 8 4 3" xfId="5636" xr:uid="{00000000-0005-0000-0000-000090160000}"/>
    <cellStyle name="20% - Accent3 8 4 3 2" xfId="8936" xr:uid="{00000000-0005-0000-0000-000091160000}"/>
    <cellStyle name="20% - Accent3 8 4 3 2 2" xfId="16731" xr:uid="{00000000-0005-0000-0000-000092160000}"/>
    <cellStyle name="20% - Accent3 8 4 3 2 2 2" xfId="34367" xr:uid="{00000000-0005-0000-0000-000093160000}"/>
    <cellStyle name="20% - Accent3 8 4 3 2 3" xfId="27324" xr:uid="{00000000-0005-0000-0000-000094160000}"/>
    <cellStyle name="20% - Accent3 8 4 3 3" xfId="13492" xr:uid="{00000000-0005-0000-0000-000095160000}"/>
    <cellStyle name="20% - Accent3 8 4 3 3 2" xfId="31132" xr:uid="{00000000-0005-0000-0000-000096160000}"/>
    <cellStyle name="20% - Accent3 8 4 3 4" xfId="24459" xr:uid="{00000000-0005-0000-0000-000097160000}"/>
    <cellStyle name="20% - Accent3 8 4 4" xfId="6266" xr:uid="{00000000-0005-0000-0000-000098160000}"/>
    <cellStyle name="20% - Accent3 8 4 4 2" xfId="9476" xr:uid="{00000000-0005-0000-0000-000099160000}"/>
    <cellStyle name="20% - Accent3 8 4 4 2 2" xfId="17270" xr:uid="{00000000-0005-0000-0000-00009A160000}"/>
    <cellStyle name="20% - Accent3 8 4 4 2 2 2" xfId="34907" xr:uid="{00000000-0005-0000-0000-00009B160000}"/>
    <cellStyle name="20% - Accent3 8 4 4 2 3" xfId="27860" xr:uid="{00000000-0005-0000-0000-00009C160000}"/>
    <cellStyle name="20% - Accent3 8 4 4 3" xfId="14055" xr:uid="{00000000-0005-0000-0000-00009D160000}"/>
    <cellStyle name="20% - Accent3 8 4 4 3 2" xfId="31690" xr:uid="{00000000-0005-0000-0000-00009E160000}"/>
    <cellStyle name="20% - Accent3 8 4 4 4" xfId="24996" xr:uid="{00000000-0005-0000-0000-00009F160000}"/>
    <cellStyle name="20% - Accent3 8 4 5" xfId="6804" xr:uid="{00000000-0005-0000-0000-0000A0160000}"/>
    <cellStyle name="20% - Accent3 8 4 5 2" xfId="10014" xr:uid="{00000000-0005-0000-0000-0000A1160000}"/>
    <cellStyle name="20% - Accent3 8 4 5 2 2" xfId="17807" xr:uid="{00000000-0005-0000-0000-0000A2160000}"/>
    <cellStyle name="20% - Accent3 8 4 5 2 2 2" xfId="35444" xr:uid="{00000000-0005-0000-0000-0000A3160000}"/>
    <cellStyle name="20% - Accent3 8 4 5 2 3" xfId="28397" xr:uid="{00000000-0005-0000-0000-0000A4160000}"/>
    <cellStyle name="20% - Accent3 8 4 5 3" xfId="14592" xr:uid="{00000000-0005-0000-0000-0000A5160000}"/>
    <cellStyle name="20% - Accent3 8 4 5 3 2" xfId="32227" xr:uid="{00000000-0005-0000-0000-0000A6160000}"/>
    <cellStyle name="20% - Accent3 8 4 5 4" xfId="25534" xr:uid="{00000000-0005-0000-0000-0000A7160000}"/>
    <cellStyle name="20% - Accent3 8 4 6" xfId="7632" xr:uid="{00000000-0005-0000-0000-0000A8160000}"/>
    <cellStyle name="20% - Accent3 8 4 6 2" xfId="15429" xr:uid="{00000000-0005-0000-0000-0000A9160000}"/>
    <cellStyle name="20% - Accent3 8 4 6 2 2" xfId="33064" xr:uid="{00000000-0005-0000-0000-0000AA160000}"/>
    <cellStyle name="20% - Accent3 8 4 6 3" xfId="26065" xr:uid="{00000000-0005-0000-0000-0000AB160000}"/>
    <cellStyle name="20% - Accent3 8 4 7" xfId="11204" xr:uid="{00000000-0005-0000-0000-0000AC160000}"/>
    <cellStyle name="20% - Accent3 8 4 7 2" xfId="28932" xr:uid="{00000000-0005-0000-0000-0000AD160000}"/>
    <cellStyle name="20% - Accent3 8 4 8" xfId="23200" xr:uid="{00000000-0005-0000-0000-0000AE160000}"/>
    <cellStyle name="20% - Accent3 8 4 9" xfId="51754" xr:uid="{00000000-0005-0000-0000-0000AF160000}"/>
    <cellStyle name="20% - Accent3 8 5" xfId="411" xr:uid="{00000000-0005-0000-0000-0000B0160000}"/>
    <cellStyle name="20% - Accent3 8 5 2" xfId="3637" xr:uid="{00000000-0005-0000-0000-0000B1160000}"/>
    <cellStyle name="20% - Accent3 8 5 2 2" xfId="8254" xr:uid="{00000000-0005-0000-0000-0000B2160000}"/>
    <cellStyle name="20% - Accent3 8 5 2 2 2" xfId="16050" xr:uid="{00000000-0005-0000-0000-0000B3160000}"/>
    <cellStyle name="20% - Accent3 8 5 2 2 2 2" xfId="33685" xr:uid="{00000000-0005-0000-0000-0000B4160000}"/>
    <cellStyle name="20% - Accent3 8 5 2 2 3" xfId="26668" xr:uid="{00000000-0005-0000-0000-0000B5160000}"/>
    <cellStyle name="20% - Accent3 8 5 2 3" xfId="12369" xr:uid="{00000000-0005-0000-0000-0000B6160000}"/>
    <cellStyle name="20% - Accent3 8 5 2 3 2" xfId="30040" xr:uid="{00000000-0005-0000-0000-0000B7160000}"/>
    <cellStyle name="20% - Accent3 8 5 2 4" xfId="23803" xr:uid="{00000000-0005-0000-0000-0000B8160000}"/>
    <cellStyle name="20% - Accent3 8 5 3" xfId="5637" xr:uid="{00000000-0005-0000-0000-0000B9160000}"/>
    <cellStyle name="20% - Accent3 8 5 3 2" xfId="8937" xr:uid="{00000000-0005-0000-0000-0000BA160000}"/>
    <cellStyle name="20% - Accent3 8 5 3 2 2" xfId="16732" xr:uid="{00000000-0005-0000-0000-0000BB160000}"/>
    <cellStyle name="20% - Accent3 8 5 3 2 2 2" xfId="34368" xr:uid="{00000000-0005-0000-0000-0000BC160000}"/>
    <cellStyle name="20% - Accent3 8 5 3 2 3" xfId="27325" xr:uid="{00000000-0005-0000-0000-0000BD160000}"/>
    <cellStyle name="20% - Accent3 8 5 3 3" xfId="13493" xr:uid="{00000000-0005-0000-0000-0000BE160000}"/>
    <cellStyle name="20% - Accent3 8 5 3 3 2" xfId="31133" xr:uid="{00000000-0005-0000-0000-0000BF160000}"/>
    <cellStyle name="20% - Accent3 8 5 3 4" xfId="24460" xr:uid="{00000000-0005-0000-0000-0000C0160000}"/>
    <cellStyle name="20% - Accent3 8 5 4" xfId="6267" xr:uid="{00000000-0005-0000-0000-0000C1160000}"/>
    <cellStyle name="20% - Accent3 8 5 4 2" xfId="9477" xr:uid="{00000000-0005-0000-0000-0000C2160000}"/>
    <cellStyle name="20% - Accent3 8 5 4 2 2" xfId="17271" xr:uid="{00000000-0005-0000-0000-0000C3160000}"/>
    <cellStyle name="20% - Accent3 8 5 4 2 2 2" xfId="34908" xr:uid="{00000000-0005-0000-0000-0000C4160000}"/>
    <cellStyle name="20% - Accent3 8 5 4 2 3" xfId="27861" xr:uid="{00000000-0005-0000-0000-0000C5160000}"/>
    <cellStyle name="20% - Accent3 8 5 4 3" xfId="14056" xr:uid="{00000000-0005-0000-0000-0000C6160000}"/>
    <cellStyle name="20% - Accent3 8 5 4 3 2" xfId="31691" xr:uid="{00000000-0005-0000-0000-0000C7160000}"/>
    <cellStyle name="20% - Accent3 8 5 4 4" xfId="24997" xr:uid="{00000000-0005-0000-0000-0000C8160000}"/>
    <cellStyle name="20% - Accent3 8 5 5" xfId="6805" xr:uid="{00000000-0005-0000-0000-0000C9160000}"/>
    <cellStyle name="20% - Accent3 8 5 5 2" xfId="10015" xr:uid="{00000000-0005-0000-0000-0000CA160000}"/>
    <cellStyle name="20% - Accent3 8 5 5 2 2" xfId="17808" xr:uid="{00000000-0005-0000-0000-0000CB160000}"/>
    <cellStyle name="20% - Accent3 8 5 5 2 2 2" xfId="35445" xr:uid="{00000000-0005-0000-0000-0000CC160000}"/>
    <cellStyle name="20% - Accent3 8 5 5 2 3" xfId="28398" xr:uid="{00000000-0005-0000-0000-0000CD160000}"/>
    <cellStyle name="20% - Accent3 8 5 5 3" xfId="14593" xr:uid="{00000000-0005-0000-0000-0000CE160000}"/>
    <cellStyle name="20% - Accent3 8 5 5 3 2" xfId="32228" xr:uid="{00000000-0005-0000-0000-0000CF160000}"/>
    <cellStyle name="20% - Accent3 8 5 5 4" xfId="25535" xr:uid="{00000000-0005-0000-0000-0000D0160000}"/>
    <cellStyle name="20% - Accent3 8 5 6" xfId="7633" xr:uid="{00000000-0005-0000-0000-0000D1160000}"/>
    <cellStyle name="20% - Accent3 8 5 6 2" xfId="15430" xr:uid="{00000000-0005-0000-0000-0000D2160000}"/>
    <cellStyle name="20% - Accent3 8 5 6 2 2" xfId="33065" xr:uid="{00000000-0005-0000-0000-0000D3160000}"/>
    <cellStyle name="20% - Accent3 8 5 6 3" xfId="26066" xr:uid="{00000000-0005-0000-0000-0000D4160000}"/>
    <cellStyle name="20% - Accent3 8 5 7" xfId="11205" xr:uid="{00000000-0005-0000-0000-0000D5160000}"/>
    <cellStyle name="20% - Accent3 8 5 7 2" xfId="28933" xr:uid="{00000000-0005-0000-0000-0000D6160000}"/>
    <cellStyle name="20% - Accent3 8 5 8" xfId="23201" xr:uid="{00000000-0005-0000-0000-0000D7160000}"/>
    <cellStyle name="20% - Accent3 8 5 9" xfId="51755" xr:uid="{00000000-0005-0000-0000-0000D8160000}"/>
    <cellStyle name="20% - Accent3 8 6" xfId="412" xr:uid="{00000000-0005-0000-0000-0000D9160000}"/>
    <cellStyle name="20% - Accent3 8 6 2" xfId="3638" xr:uid="{00000000-0005-0000-0000-0000DA160000}"/>
    <cellStyle name="20% - Accent3 8 6 2 2" xfId="8255" xr:uid="{00000000-0005-0000-0000-0000DB160000}"/>
    <cellStyle name="20% - Accent3 8 6 2 2 2" xfId="16051" xr:uid="{00000000-0005-0000-0000-0000DC160000}"/>
    <cellStyle name="20% - Accent3 8 6 2 2 2 2" xfId="33686" xr:uid="{00000000-0005-0000-0000-0000DD160000}"/>
    <cellStyle name="20% - Accent3 8 6 2 2 3" xfId="26669" xr:uid="{00000000-0005-0000-0000-0000DE160000}"/>
    <cellStyle name="20% - Accent3 8 6 2 3" xfId="12370" xr:uid="{00000000-0005-0000-0000-0000DF160000}"/>
    <cellStyle name="20% - Accent3 8 6 2 3 2" xfId="30041" xr:uid="{00000000-0005-0000-0000-0000E0160000}"/>
    <cellStyle name="20% - Accent3 8 6 2 4" xfId="23804" xr:uid="{00000000-0005-0000-0000-0000E1160000}"/>
    <cellStyle name="20% - Accent3 8 6 3" xfId="5638" xr:uid="{00000000-0005-0000-0000-0000E2160000}"/>
    <cellStyle name="20% - Accent3 8 6 3 2" xfId="8938" xr:uid="{00000000-0005-0000-0000-0000E3160000}"/>
    <cellStyle name="20% - Accent3 8 6 3 2 2" xfId="16733" xr:uid="{00000000-0005-0000-0000-0000E4160000}"/>
    <cellStyle name="20% - Accent3 8 6 3 2 2 2" xfId="34369" xr:uid="{00000000-0005-0000-0000-0000E5160000}"/>
    <cellStyle name="20% - Accent3 8 6 3 2 3" xfId="27326" xr:uid="{00000000-0005-0000-0000-0000E6160000}"/>
    <cellStyle name="20% - Accent3 8 6 3 3" xfId="13494" xr:uid="{00000000-0005-0000-0000-0000E7160000}"/>
    <cellStyle name="20% - Accent3 8 6 3 3 2" xfId="31134" xr:uid="{00000000-0005-0000-0000-0000E8160000}"/>
    <cellStyle name="20% - Accent3 8 6 3 4" xfId="24461" xr:uid="{00000000-0005-0000-0000-0000E9160000}"/>
    <cellStyle name="20% - Accent3 8 6 4" xfId="6268" xr:uid="{00000000-0005-0000-0000-0000EA160000}"/>
    <cellStyle name="20% - Accent3 8 6 4 2" xfId="9478" xr:uid="{00000000-0005-0000-0000-0000EB160000}"/>
    <cellStyle name="20% - Accent3 8 6 4 2 2" xfId="17272" xr:uid="{00000000-0005-0000-0000-0000EC160000}"/>
    <cellStyle name="20% - Accent3 8 6 4 2 2 2" xfId="34909" xr:uid="{00000000-0005-0000-0000-0000ED160000}"/>
    <cellStyle name="20% - Accent3 8 6 4 2 3" xfId="27862" xr:uid="{00000000-0005-0000-0000-0000EE160000}"/>
    <cellStyle name="20% - Accent3 8 6 4 3" xfId="14057" xr:uid="{00000000-0005-0000-0000-0000EF160000}"/>
    <cellStyle name="20% - Accent3 8 6 4 3 2" xfId="31692" xr:uid="{00000000-0005-0000-0000-0000F0160000}"/>
    <cellStyle name="20% - Accent3 8 6 4 4" xfId="24998" xr:uid="{00000000-0005-0000-0000-0000F1160000}"/>
    <cellStyle name="20% - Accent3 8 6 5" xfId="6806" xr:uid="{00000000-0005-0000-0000-0000F2160000}"/>
    <cellStyle name="20% - Accent3 8 6 5 2" xfId="10016" xr:uid="{00000000-0005-0000-0000-0000F3160000}"/>
    <cellStyle name="20% - Accent3 8 6 5 2 2" xfId="17809" xr:uid="{00000000-0005-0000-0000-0000F4160000}"/>
    <cellStyle name="20% - Accent3 8 6 5 2 2 2" xfId="35446" xr:uid="{00000000-0005-0000-0000-0000F5160000}"/>
    <cellStyle name="20% - Accent3 8 6 5 2 3" xfId="28399" xr:uid="{00000000-0005-0000-0000-0000F6160000}"/>
    <cellStyle name="20% - Accent3 8 6 5 3" xfId="14594" xr:uid="{00000000-0005-0000-0000-0000F7160000}"/>
    <cellStyle name="20% - Accent3 8 6 5 3 2" xfId="32229" xr:uid="{00000000-0005-0000-0000-0000F8160000}"/>
    <cellStyle name="20% - Accent3 8 6 5 4" xfId="25536" xr:uid="{00000000-0005-0000-0000-0000F9160000}"/>
    <cellStyle name="20% - Accent3 8 6 6" xfId="7634" xr:uid="{00000000-0005-0000-0000-0000FA160000}"/>
    <cellStyle name="20% - Accent3 8 6 6 2" xfId="15431" xr:uid="{00000000-0005-0000-0000-0000FB160000}"/>
    <cellStyle name="20% - Accent3 8 6 6 2 2" xfId="33066" xr:uid="{00000000-0005-0000-0000-0000FC160000}"/>
    <cellStyle name="20% - Accent3 8 6 6 3" xfId="26067" xr:uid="{00000000-0005-0000-0000-0000FD160000}"/>
    <cellStyle name="20% - Accent3 8 6 7" xfId="11206" xr:uid="{00000000-0005-0000-0000-0000FE160000}"/>
    <cellStyle name="20% - Accent3 8 6 7 2" xfId="28934" xr:uid="{00000000-0005-0000-0000-0000FF160000}"/>
    <cellStyle name="20% - Accent3 8 6 8" xfId="23202" xr:uid="{00000000-0005-0000-0000-000000170000}"/>
    <cellStyle name="20% - Accent3 8 6 9" xfId="51756" xr:uid="{00000000-0005-0000-0000-000001170000}"/>
    <cellStyle name="20% - Accent3 8 7" xfId="413" xr:uid="{00000000-0005-0000-0000-000002170000}"/>
    <cellStyle name="20% - Accent3 8 7 10" xfId="51757" xr:uid="{00000000-0005-0000-0000-000003170000}"/>
    <cellStyle name="20% - Accent3 8 7 2" xfId="414" xr:uid="{00000000-0005-0000-0000-000004170000}"/>
    <cellStyle name="20% - Accent3 8 7 2 2" xfId="8257" xr:uid="{00000000-0005-0000-0000-000005170000}"/>
    <cellStyle name="20% - Accent3 8 7 2 2 2" xfId="16053" xr:uid="{00000000-0005-0000-0000-000006170000}"/>
    <cellStyle name="20% - Accent3 8 7 2 2 2 2" xfId="33688" xr:uid="{00000000-0005-0000-0000-000007170000}"/>
    <cellStyle name="20% - Accent3 8 7 2 2 3" xfId="26671" xr:uid="{00000000-0005-0000-0000-000008170000}"/>
    <cellStyle name="20% - Accent3 8 7 2 3" xfId="12372" xr:uid="{00000000-0005-0000-0000-000009170000}"/>
    <cellStyle name="20% - Accent3 8 7 2 3 2" xfId="30043" xr:uid="{00000000-0005-0000-0000-00000A170000}"/>
    <cellStyle name="20% - Accent3 8 7 2 4" xfId="23806" xr:uid="{00000000-0005-0000-0000-00000B170000}"/>
    <cellStyle name="20% - Accent3 8 7 3" xfId="3639" xr:uid="{00000000-0005-0000-0000-00000C170000}"/>
    <cellStyle name="20% - Accent3 8 7 3 2" xfId="8256" xr:uid="{00000000-0005-0000-0000-00000D170000}"/>
    <cellStyle name="20% - Accent3 8 7 3 2 2" xfId="16052" xr:uid="{00000000-0005-0000-0000-00000E170000}"/>
    <cellStyle name="20% - Accent3 8 7 3 2 2 2" xfId="33687" xr:uid="{00000000-0005-0000-0000-00000F170000}"/>
    <cellStyle name="20% - Accent3 8 7 3 2 3" xfId="26670" xr:uid="{00000000-0005-0000-0000-000010170000}"/>
    <cellStyle name="20% - Accent3 8 7 3 3" xfId="12371" xr:uid="{00000000-0005-0000-0000-000011170000}"/>
    <cellStyle name="20% - Accent3 8 7 3 3 2" xfId="30042" xr:uid="{00000000-0005-0000-0000-000012170000}"/>
    <cellStyle name="20% - Accent3 8 7 3 4" xfId="23805" xr:uid="{00000000-0005-0000-0000-000013170000}"/>
    <cellStyle name="20% - Accent3 8 7 4" xfId="5639" xr:uid="{00000000-0005-0000-0000-000014170000}"/>
    <cellStyle name="20% - Accent3 8 7 4 2" xfId="8939" xr:uid="{00000000-0005-0000-0000-000015170000}"/>
    <cellStyle name="20% - Accent3 8 7 4 2 2" xfId="16734" xr:uid="{00000000-0005-0000-0000-000016170000}"/>
    <cellStyle name="20% - Accent3 8 7 4 2 2 2" xfId="34370" xr:uid="{00000000-0005-0000-0000-000017170000}"/>
    <cellStyle name="20% - Accent3 8 7 4 2 3" xfId="27327" xr:uid="{00000000-0005-0000-0000-000018170000}"/>
    <cellStyle name="20% - Accent3 8 7 4 3" xfId="13495" xr:uid="{00000000-0005-0000-0000-000019170000}"/>
    <cellStyle name="20% - Accent3 8 7 4 3 2" xfId="31135" xr:uid="{00000000-0005-0000-0000-00001A170000}"/>
    <cellStyle name="20% - Accent3 8 7 4 4" xfId="24462" xr:uid="{00000000-0005-0000-0000-00001B170000}"/>
    <cellStyle name="20% - Accent3 8 7 5" xfId="6269" xr:uid="{00000000-0005-0000-0000-00001C170000}"/>
    <cellStyle name="20% - Accent3 8 7 5 2" xfId="9479" xr:uid="{00000000-0005-0000-0000-00001D170000}"/>
    <cellStyle name="20% - Accent3 8 7 5 2 2" xfId="17273" xr:uid="{00000000-0005-0000-0000-00001E170000}"/>
    <cellStyle name="20% - Accent3 8 7 5 2 2 2" xfId="34910" xr:uid="{00000000-0005-0000-0000-00001F170000}"/>
    <cellStyle name="20% - Accent3 8 7 5 2 3" xfId="27863" xr:uid="{00000000-0005-0000-0000-000020170000}"/>
    <cellStyle name="20% - Accent3 8 7 5 3" xfId="14058" xr:uid="{00000000-0005-0000-0000-000021170000}"/>
    <cellStyle name="20% - Accent3 8 7 5 3 2" xfId="31693" xr:uid="{00000000-0005-0000-0000-000022170000}"/>
    <cellStyle name="20% - Accent3 8 7 5 4" xfId="24999" xr:uid="{00000000-0005-0000-0000-000023170000}"/>
    <cellStyle name="20% - Accent3 8 7 6" xfId="6807" xr:uid="{00000000-0005-0000-0000-000024170000}"/>
    <cellStyle name="20% - Accent3 8 7 6 2" xfId="10017" xr:uid="{00000000-0005-0000-0000-000025170000}"/>
    <cellStyle name="20% - Accent3 8 7 6 2 2" xfId="17810" xr:uid="{00000000-0005-0000-0000-000026170000}"/>
    <cellStyle name="20% - Accent3 8 7 6 2 2 2" xfId="35447" xr:uid="{00000000-0005-0000-0000-000027170000}"/>
    <cellStyle name="20% - Accent3 8 7 6 2 3" xfId="28400" xr:uid="{00000000-0005-0000-0000-000028170000}"/>
    <cellStyle name="20% - Accent3 8 7 6 3" xfId="14595" xr:uid="{00000000-0005-0000-0000-000029170000}"/>
    <cellStyle name="20% - Accent3 8 7 6 3 2" xfId="32230" xr:uid="{00000000-0005-0000-0000-00002A170000}"/>
    <cellStyle name="20% - Accent3 8 7 6 4" xfId="25537" xr:uid="{00000000-0005-0000-0000-00002B170000}"/>
    <cellStyle name="20% - Accent3 8 7 7" xfId="7635" xr:uid="{00000000-0005-0000-0000-00002C170000}"/>
    <cellStyle name="20% - Accent3 8 7 7 2" xfId="15432" xr:uid="{00000000-0005-0000-0000-00002D170000}"/>
    <cellStyle name="20% - Accent3 8 7 7 2 2" xfId="33067" xr:uid="{00000000-0005-0000-0000-00002E170000}"/>
    <cellStyle name="20% - Accent3 8 7 7 3" xfId="26068" xr:uid="{00000000-0005-0000-0000-00002F170000}"/>
    <cellStyle name="20% - Accent3 8 7 8" xfId="11207" xr:uid="{00000000-0005-0000-0000-000030170000}"/>
    <cellStyle name="20% - Accent3 8 7 8 2" xfId="28935" xr:uid="{00000000-0005-0000-0000-000031170000}"/>
    <cellStyle name="20% - Accent3 8 7 9" xfId="23203" xr:uid="{00000000-0005-0000-0000-000032170000}"/>
    <cellStyle name="20% - Accent3 8 8" xfId="3640" xr:uid="{00000000-0005-0000-0000-000033170000}"/>
    <cellStyle name="20% - Accent3 8 8 2" xfId="8258" xr:uid="{00000000-0005-0000-0000-000034170000}"/>
    <cellStyle name="20% - Accent3 8 8 2 2" xfId="16054" xr:uid="{00000000-0005-0000-0000-000035170000}"/>
    <cellStyle name="20% - Accent3 8 8 2 2 2" xfId="33689" xr:uid="{00000000-0005-0000-0000-000036170000}"/>
    <cellStyle name="20% - Accent3 8 8 2 3" xfId="26672" xr:uid="{00000000-0005-0000-0000-000037170000}"/>
    <cellStyle name="20% - Accent3 8 8 3" xfId="12373" xr:uid="{00000000-0005-0000-0000-000038170000}"/>
    <cellStyle name="20% - Accent3 8 8 3 2" xfId="30044" xr:uid="{00000000-0005-0000-0000-000039170000}"/>
    <cellStyle name="20% - Accent3 8 8 4" xfId="23807" xr:uid="{00000000-0005-0000-0000-00003A170000}"/>
    <cellStyle name="20% - Accent3 8 9" xfId="3641" xr:uid="{00000000-0005-0000-0000-00003B170000}"/>
    <cellStyle name="20% - Accent3 8 9 2" xfId="8259" xr:uid="{00000000-0005-0000-0000-00003C170000}"/>
    <cellStyle name="20% - Accent3 8 9 2 2" xfId="16055" xr:uid="{00000000-0005-0000-0000-00003D170000}"/>
    <cellStyle name="20% - Accent3 8 9 2 2 2" xfId="33690" xr:uid="{00000000-0005-0000-0000-00003E170000}"/>
    <cellStyle name="20% - Accent3 8 9 2 3" xfId="26673" xr:uid="{00000000-0005-0000-0000-00003F170000}"/>
    <cellStyle name="20% - Accent3 8 9 3" xfId="12374" xr:uid="{00000000-0005-0000-0000-000040170000}"/>
    <cellStyle name="20% - Accent3 8 9 3 2" xfId="30045" xr:uid="{00000000-0005-0000-0000-000041170000}"/>
    <cellStyle name="20% - Accent3 8 9 4" xfId="23808" xr:uid="{00000000-0005-0000-0000-000042170000}"/>
    <cellStyle name="20% - Accent3 9" xfId="415" xr:uid="{00000000-0005-0000-0000-000043170000}"/>
    <cellStyle name="20% - Accent3 9 10" xfId="3642" xr:uid="{00000000-0005-0000-0000-000044170000}"/>
    <cellStyle name="20% - Accent3 9 10 2" xfId="8260" xr:uid="{00000000-0005-0000-0000-000045170000}"/>
    <cellStyle name="20% - Accent3 9 10 2 2" xfId="16056" xr:uid="{00000000-0005-0000-0000-000046170000}"/>
    <cellStyle name="20% - Accent3 9 10 2 2 2" xfId="33691" xr:uid="{00000000-0005-0000-0000-000047170000}"/>
    <cellStyle name="20% - Accent3 9 10 2 3" xfId="26674" xr:uid="{00000000-0005-0000-0000-000048170000}"/>
    <cellStyle name="20% - Accent3 9 10 3" xfId="12375" xr:uid="{00000000-0005-0000-0000-000049170000}"/>
    <cellStyle name="20% - Accent3 9 10 3 2" xfId="30046" xr:uid="{00000000-0005-0000-0000-00004A170000}"/>
    <cellStyle name="20% - Accent3 9 10 4" xfId="23809" xr:uid="{00000000-0005-0000-0000-00004B170000}"/>
    <cellStyle name="20% - Accent3 9 11" xfId="5640" xr:uid="{00000000-0005-0000-0000-00004C170000}"/>
    <cellStyle name="20% - Accent3 9 11 2" xfId="8940" xr:uid="{00000000-0005-0000-0000-00004D170000}"/>
    <cellStyle name="20% - Accent3 9 11 2 2" xfId="16735" xr:uid="{00000000-0005-0000-0000-00004E170000}"/>
    <cellStyle name="20% - Accent3 9 11 2 2 2" xfId="34371" xr:uid="{00000000-0005-0000-0000-00004F170000}"/>
    <cellStyle name="20% - Accent3 9 11 2 3" xfId="27328" xr:uid="{00000000-0005-0000-0000-000050170000}"/>
    <cellStyle name="20% - Accent3 9 11 3" xfId="13496" xr:uid="{00000000-0005-0000-0000-000051170000}"/>
    <cellStyle name="20% - Accent3 9 11 3 2" xfId="31136" xr:uid="{00000000-0005-0000-0000-000052170000}"/>
    <cellStyle name="20% - Accent3 9 11 4" xfId="24463" xr:uid="{00000000-0005-0000-0000-000053170000}"/>
    <cellStyle name="20% - Accent3 9 12" xfId="6270" xr:uid="{00000000-0005-0000-0000-000054170000}"/>
    <cellStyle name="20% - Accent3 9 12 2" xfId="9480" xr:uid="{00000000-0005-0000-0000-000055170000}"/>
    <cellStyle name="20% - Accent3 9 12 2 2" xfId="17274" xr:uid="{00000000-0005-0000-0000-000056170000}"/>
    <cellStyle name="20% - Accent3 9 12 2 2 2" xfId="34911" xr:uid="{00000000-0005-0000-0000-000057170000}"/>
    <cellStyle name="20% - Accent3 9 12 2 3" xfId="27864" xr:uid="{00000000-0005-0000-0000-000058170000}"/>
    <cellStyle name="20% - Accent3 9 12 3" xfId="14059" xr:uid="{00000000-0005-0000-0000-000059170000}"/>
    <cellStyle name="20% - Accent3 9 12 3 2" xfId="31694" xr:uid="{00000000-0005-0000-0000-00005A170000}"/>
    <cellStyle name="20% - Accent3 9 12 4" xfId="25000" xr:uid="{00000000-0005-0000-0000-00005B170000}"/>
    <cellStyle name="20% - Accent3 9 13" xfId="6808" xr:uid="{00000000-0005-0000-0000-00005C170000}"/>
    <cellStyle name="20% - Accent3 9 13 2" xfId="10018" xr:uid="{00000000-0005-0000-0000-00005D170000}"/>
    <cellStyle name="20% - Accent3 9 13 2 2" xfId="17811" xr:uid="{00000000-0005-0000-0000-00005E170000}"/>
    <cellStyle name="20% - Accent3 9 13 2 2 2" xfId="35448" xr:uid="{00000000-0005-0000-0000-00005F170000}"/>
    <cellStyle name="20% - Accent3 9 13 2 3" xfId="28401" xr:uid="{00000000-0005-0000-0000-000060170000}"/>
    <cellStyle name="20% - Accent3 9 13 3" xfId="14596" xr:uid="{00000000-0005-0000-0000-000061170000}"/>
    <cellStyle name="20% - Accent3 9 13 3 2" xfId="32231" xr:uid="{00000000-0005-0000-0000-000062170000}"/>
    <cellStyle name="20% - Accent3 9 13 4" xfId="25538" xr:uid="{00000000-0005-0000-0000-000063170000}"/>
    <cellStyle name="20% - Accent3 9 14" xfId="7636" xr:uid="{00000000-0005-0000-0000-000064170000}"/>
    <cellStyle name="20% - Accent3 9 14 2" xfId="15433" xr:uid="{00000000-0005-0000-0000-000065170000}"/>
    <cellStyle name="20% - Accent3 9 14 2 2" xfId="33068" xr:uid="{00000000-0005-0000-0000-000066170000}"/>
    <cellStyle name="20% - Accent3 9 14 3" xfId="26069" xr:uid="{00000000-0005-0000-0000-000067170000}"/>
    <cellStyle name="20% - Accent3 9 15" xfId="11208" xr:uid="{00000000-0005-0000-0000-000068170000}"/>
    <cellStyle name="20% - Accent3 9 15 2" xfId="28936" xr:uid="{00000000-0005-0000-0000-000069170000}"/>
    <cellStyle name="20% - Accent3 9 16" xfId="22063" xr:uid="{00000000-0005-0000-0000-00006A170000}"/>
    <cellStyle name="20% - Accent3 9 16 2" xfId="38772" xr:uid="{00000000-0005-0000-0000-00006B170000}"/>
    <cellStyle name="20% - Accent3 9 17" xfId="23204" xr:uid="{00000000-0005-0000-0000-00006C170000}"/>
    <cellStyle name="20% - Accent3 9 18" xfId="51758" xr:uid="{00000000-0005-0000-0000-00006D170000}"/>
    <cellStyle name="20% - Accent3 9 2" xfId="416" xr:uid="{00000000-0005-0000-0000-00006E170000}"/>
    <cellStyle name="20% - Accent3 9 2 10" xfId="51759" xr:uid="{00000000-0005-0000-0000-00006F170000}"/>
    <cellStyle name="20% - Accent3 9 2 2" xfId="3643" xr:uid="{00000000-0005-0000-0000-000070170000}"/>
    <cellStyle name="20% - Accent3 9 2 2 2" xfId="8261" xr:uid="{00000000-0005-0000-0000-000071170000}"/>
    <cellStyle name="20% - Accent3 9 2 2 2 2" xfId="16057" xr:uid="{00000000-0005-0000-0000-000072170000}"/>
    <cellStyle name="20% - Accent3 9 2 2 2 2 2" xfId="33692" xr:uid="{00000000-0005-0000-0000-000073170000}"/>
    <cellStyle name="20% - Accent3 9 2 2 2 3" xfId="26675" xr:uid="{00000000-0005-0000-0000-000074170000}"/>
    <cellStyle name="20% - Accent3 9 2 2 3" xfId="12376" xr:uid="{00000000-0005-0000-0000-000075170000}"/>
    <cellStyle name="20% - Accent3 9 2 2 3 2" xfId="30047" xr:uid="{00000000-0005-0000-0000-000076170000}"/>
    <cellStyle name="20% - Accent3 9 2 2 4" xfId="23810" xr:uid="{00000000-0005-0000-0000-000077170000}"/>
    <cellStyle name="20% - Accent3 9 2 3" xfId="5641" xr:uid="{00000000-0005-0000-0000-000078170000}"/>
    <cellStyle name="20% - Accent3 9 2 3 2" xfId="8941" xr:uid="{00000000-0005-0000-0000-000079170000}"/>
    <cellStyle name="20% - Accent3 9 2 3 2 2" xfId="16736" xr:uid="{00000000-0005-0000-0000-00007A170000}"/>
    <cellStyle name="20% - Accent3 9 2 3 2 2 2" xfId="34372" xr:uid="{00000000-0005-0000-0000-00007B170000}"/>
    <cellStyle name="20% - Accent3 9 2 3 2 3" xfId="27329" xr:uid="{00000000-0005-0000-0000-00007C170000}"/>
    <cellStyle name="20% - Accent3 9 2 3 3" xfId="13497" xr:uid="{00000000-0005-0000-0000-00007D170000}"/>
    <cellStyle name="20% - Accent3 9 2 3 3 2" xfId="31137" xr:uid="{00000000-0005-0000-0000-00007E170000}"/>
    <cellStyle name="20% - Accent3 9 2 3 4" xfId="24464" xr:uid="{00000000-0005-0000-0000-00007F170000}"/>
    <cellStyle name="20% - Accent3 9 2 4" xfId="6271" xr:uid="{00000000-0005-0000-0000-000080170000}"/>
    <cellStyle name="20% - Accent3 9 2 4 2" xfId="9481" xr:uid="{00000000-0005-0000-0000-000081170000}"/>
    <cellStyle name="20% - Accent3 9 2 4 2 2" xfId="17275" xr:uid="{00000000-0005-0000-0000-000082170000}"/>
    <cellStyle name="20% - Accent3 9 2 4 2 2 2" xfId="34912" xr:uid="{00000000-0005-0000-0000-000083170000}"/>
    <cellStyle name="20% - Accent3 9 2 4 2 3" xfId="27865" xr:uid="{00000000-0005-0000-0000-000084170000}"/>
    <cellStyle name="20% - Accent3 9 2 4 3" xfId="14060" xr:uid="{00000000-0005-0000-0000-000085170000}"/>
    <cellStyle name="20% - Accent3 9 2 4 3 2" xfId="31695" xr:uid="{00000000-0005-0000-0000-000086170000}"/>
    <cellStyle name="20% - Accent3 9 2 4 4" xfId="25001" xr:uid="{00000000-0005-0000-0000-000087170000}"/>
    <cellStyle name="20% - Accent3 9 2 5" xfId="6809" xr:uid="{00000000-0005-0000-0000-000088170000}"/>
    <cellStyle name="20% - Accent3 9 2 5 2" xfId="10019" xr:uid="{00000000-0005-0000-0000-000089170000}"/>
    <cellStyle name="20% - Accent3 9 2 5 2 2" xfId="17812" xr:uid="{00000000-0005-0000-0000-00008A170000}"/>
    <cellStyle name="20% - Accent3 9 2 5 2 2 2" xfId="35449" xr:uid="{00000000-0005-0000-0000-00008B170000}"/>
    <cellStyle name="20% - Accent3 9 2 5 2 3" xfId="28402" xr:uid="{00000000-0005-0000-0000-00008C170000}"/>
    <cellStyle name="20% - Accent3 9 2 5 3" xfId="14597" xr:uid="{00000000-0005-0000-0000-00008D170000}"/>
    <cellStyle name="20% - Accent3 9 2 5 3 2" xfId="32232" xr:uid="{00000000-0005-0000-0000-00008E170000}"/>
    <cellStyle name="20% - Accent3 9 2 5 4" xfId="25539" xr:uid="{00000000-0005-0000-0000-00008F170000}"/>
    <cellStyle name="20% - Accent3 9 2 6" xfId="7637" xr:uid="{00000000-0005-0000-0000-000090170000}"/>
    <cellStyle name="20% - Accent3 9 2 6 2" xfId="15434" xr:uid="{00000000-0005-0000-0000-000091170000}"/>
    <cellStyle name="20% - Accent3 9 2 6 2 2" xfId="33069" xr:uid="{00000000-0005-0000-0000-000092170000}"/>
    <cellStyle name="20% - Accent3 9 2 6 3" xfId="26070" xr:uid="{00000000-0005-0000-0000-000093170000}"/>
    <cellStyle name="20% - Accent3 9 2 7" xfId="11209" xr:uid="{00000000-0005-0000-0000-000094170000}"/>
    <cellStyle name="20% - Accent3 9 2 7 2" xfId="28937" xr:uid="{00000000-0005-0000-0000-000095170000}"/>
    <cellStyle name="20% - Accent3 9 2 8" xfId="22721" xr:uid="{00000000-0005-0000-0000-000096170000}"/>
    <cellStyle name="20% - Accent3 9 2 8 2" xfId="38931" xr:uid="{00000000-0005-0000-0000-000097170000}"/>
    <cellStyle name="20% - Accent3 9 2 9" xfId="23205" xr:uid="{00000000-0005-0000-0000-000098170000}"/>
    <cellStyle name="20% - Accent3 9 3" xfId="417" xr:uid="{00000000-0005-0000-0000-000099170000}"/>
    <cellStyle name="20% - Accent3 9 3 10" xfId="23206" xr:uid="{00000000-0005-0000-0000-00009A170000}"/>
    <cellStyle name="20% - Accent3 9 3 11" xfId="51760" xr:uid="{00000000-0005-0000-0000-00009B170000}"/>
    <cellStyle name="20% - Accent3 9 3 2" xfId="418" xr:uid="{00000000-0005-0000-0000-00009C170000}"/>
    <cellStyle name="20% - Accent3 9 3 2 2" xfId="3645" xr:uid="{00000000-0005-0000-0000-00009D170000}"/>
    <cellStyle name="20% - Accent3 9 3 2 2 2" xfId="8263" xr:uid="{00000000-0005-0000-0000-00009E170000}"/>
    <cellStyle name="20% - Accent3 9 3 2 2 2 2" xfId="16059" xr:uid="{00000000-0005-0000-0000-00009F170000}"/>
    <cellStyle name="20% - Accent3 9 3 2 2 2 2 2" xfId="33694" xr:uid="{00000000-0005-0000-0000-0000A0170000}"/>
    <cellStyle name="20% - Accent3 9 3 2 2 2 3" xfId="26677" xr:uid="{00000000-0005-0000-0000-0000A1170000}"/>
    <cellStyle name="20% - Accent3 9 3 2 2 3" xfId="12378" xr:uid="{00000000-0005-0000-0000-0000A2170000}"/>
    <cellStyle name="20% - Accent3 9 3 2 2 3 2" xfId="30049" xr:uid="{00000000-0005-0000-0000-0000A3170000}"/>
    <cellStyle name="20% - Accent3 9 3 2 2 4" xfId="23812" xr:uid="{00000000-0005-0000-0000-0000A4170000}"/>
    <cellStyle name="20% - Accent3 9 3 2 3" xfId="5643" xr:uid="{00000000-0005-0000-0000-0000A5170000}"/>
    <cellStyle name="20% - Accent3 9 3 2 3 2" xfId="8943" xr:uid="{00000000-0005-0000-0000-0000A6170000}"/>
    <cellStyle name="20% - Accent3 9 3 2 3 2 2" xfId="16738" xr:uid="{00000000-0005-0000-0000-0000A7170000}"/>
    <cellStyle name="20% - Accent3 9 3 2 3 2 2 2" xfId="34374" xr:uid="{00000000-0005-0000-0000-0000A8170000}"/>
    <cellStyle name="20% - Accent3 9 3 2 3 2 3" xfId="27331" xr:uid="{00000000-0005-0000-0000-0000A9170000}"/>
    <cellStyle name="20% - Accent3 9 3 2 3 3" xfId="13499" xr:uid="{00000000-0005-0000-0000-0000AA170000}"/>
    <cellStyle name="20% - Accent3 9 3 2 3 3 2" xfId="31139" xr:uid="{00000000-0005-0000-0000-0000AB170000}"/>
    <cellStyle name="20% - Accent3 9 3 2 3 4" xfId="24466" xr:uid="{00000000-0005-0000-0000-0000AC170000}"/>
    <cellStyle name="20% - Accent3 9 3 2 4" xfId="6273" xr:uid="{00000000-0005-0000-0000-0000AD170000}"/>
    <cellStyle name="20% - Accent3 9 3 2 4 2" xfId="9483" xr:uid="{00000000-0005-0000-0000-0000AE170000}"/>
    <cellStyle name="20% - Accent3 9 3 2 4 2 2" xfId="17277" xr:uid="{00000000-0005-0000-0000-0000AF170000}"/>
    <cellStyle name="20% - Accent3 9 3 2 4 2 2 2" xfId="34914" xr:uid="{00000000-0005-0000-0000-0000B0170000}"/>
    <cellStyle name="20% - Accent3 9 3 2 4 2 3" xfId="27867" xr:uid="{00000000-0005-0000-0000-0000B1170000}"/>
    <cellStyle name="20% - Accent3 9 3 2 4 3" xfId="14062" xr:uid="{00000000-0005-0000-0000-0000B2170000}"/>
    <cellStyle name="20% - Accent3 9 3 2 4 3 2" xfId="31697" xr:uid="{00000000-0005-0000-0000-0000B3170000}"/>
    <cellStyle name="20% - Accent3 9 3 2 4 4" xfId="25003" xr:uid="{00000000-0005-0000-0000-0000B4170000}"/>
    <cellStyle name="20% - Accent3 9 3 2 5" xfId="6811" xr:uid="{00000000-0005-0000-0000-0000B5170000}"/>
    <cellStyle name="20% - Accent3 9 3 2 5 2" xfId="10021" xr:uid="{00000000-0005-0000-0000-0000B6170000}"/>
    <cellStyle name="20% - Accent3 9 3 2 5 2 2" xfId="17814" xr:uid="{00000000-0005-0000-0000-0000B7170000}"/>
    <cellStyle name="20% - Accent3 9 3 2 5 2 2 2" xfId="35451" xr:uid="{00000000-0005-0000-0000-0000B8170000}"/>
    <cellStyle name="20% - Accent3 9 3 2 5 2 3" xfId="28404" xr:uid="{00000000-0005-0000-0000-0000B9170000}"/>
    <cellStyle name="20% - Accent3 9 3 2 5 3" xfId="14599" xr:uid="{00000000-0005-0000-0000-0000BA170000}"/>
    <cellStyle name="20% - Accent3 9 3 2 5 3 2" xfId="32234" xr:uid="{00000000-0005-0000-0000-0000BB170000}"/>
    <cellStyle name="20% - Accent3 9 3 2 5 4" xfId="25541" xr:uid="{00000000-0005-0000-0000-0000BC170000}"/>
    <cellStyle name="20% - Accent3 9 3 2 6" xfId="7639" xr:uid="{00000000-0005-0000-0000-0000BD170000}"/>
    <cellStyle name="20% - Accent3 9 3 2 6 2" xfId="15436" xr:uid="{00000000-0005-0000-0000-0000BE170000}"/>
    <cellStyle name="20% - Accent3 9 3 2 6 2 2" xfId="33071" xr:uid="{00000000-0005-0000-0000-0000BF170000}"/>
    <cellStyle name="20% - Accent3 9 3 2 6 3" xfId="26072" xr:uid="{00000000-0005-0000-0000-0000C0170000}"/>
    <cellStyle name="20% - Accent3 9 3 2 7" xfId="11211" xr:uid="{00000000-0005-0000-0000-0000C1170000}"/>
    <cellStyle name="20% - Accent3 9 3 2 7 2" xfId="28939" xr:uid="{00000000-0005-0000-0000-0000C2170000}"/>
    <cellStyle name="20% - Accent3 9 3 2 8" xfId="23207" xr:uid="{00000000-0005-0000-0000-0000C3170000}"/>
    <cellStyle name="20% - Accent3 9 3 2 9" xfId="51761" xr:uid="{00000000-0005-0000-0000-0000C4170000}"/>
    <cellStyle name="20% - Accent3 9 3 3" xfId="3646" xr:uid="{00000000-0005-0000-0000-0000C5170000}"/>
    <cellStyle name="20% - Accent3 9 3 3 2" xfId="5644" xr:uid="{00000000-0005-0000-0000-0000C6170000}"/>
    <cellStyle name="20% - Accent3 9 3 3 2 2" xfId="8944" xr:uid="{00000000-0005-0000-0000-0000C7170000}"/>
    <cellStyle name="20% - Accent3 9 3 3 2 2 2" xfId="16739" xr:uid="{00000000-0005-0000-0000-0000C8170000}"/>
    <cellStyle name="20% - Accent3 9 3 3 2 2 2 2" xfId="34375" xr:uid="{00000000-0005-0000-0000-0000C9170000}"/>
    <cellStyle name="20% - Accent3 9 3 3 2 2 3" xfId="27332" xr:uid="{00000000-0005-0000-0000-0000CA170000}"/>
    <cellStyle name="20% - Accent3 9 3 3 2 3" xfId="13500" xr:uid="{00000000-0005-0000-0000-0000CB170000}"/>
    <cellStyle name="20% - Accent3 9 3 3 2 3 2" xfId="31140" xr:uid="{00000000-0005-0000-0000-0000CC170000}"/>
    <cellStyle name="20% - Accent3 9 3 3 2 4" xfId="24467" xr:uid="{00000000-0005-0000-0000-0000CD170000}"/>
    <cellStyle name="20% - Accent3 9 3 3 3" xfId="6274" xr:uid="{00000000-0005-0000-0000-0000CE170000}"/>
    <cellStyle name="20% - Accent3 9 3 3 3 2" xfId="9484" xr:uid="{00000000-0005-0000-0000-0000CF170000}"/>
    <cellStyle name="20% - Accent3 9 3 3 3 2 2" xfId="17278" xr:uid="{00000000-0005-0000-0000-0000D0170000}"/>
    <cellStyle name="20% - Accent3 9 3 3 3 2 2 2" xfId="34915" xr:uid="{00000000-0005-0000-0000-0000D1170000}"/>
    <cellStyle name="20% - Accent3 9 3 3 3 2 3" xfId="27868" xr:uid="{00000000-0005-0000-0000-0000D2170000}"/>
    <cellStyle name="20% - Accent3 9 3 3 3 3" xfId="14063" xr:uid="{00000000-0005-0000-0000-0000D3170000}"/>
    <cellStyle name="20% - Accent3 9 3 3 3 3 2" xfId="31698" xr:uid="{00000000-0005-0000-0000-0000D4170000}"/>
    <cellStyle name="20% - Accent3 9 3 3 3 4" xfId="25004" xr:uid="{00000000-0005-0000-0000-0000D5170000}"/>
    <cellStyle name="20% - Accent3 9 3 3 4" xfId="6812" xr:uid="{00000000-0005-0000-0000-0000D6170000}"/>
    <cellStyle name="20% - Accent3 9 3 3 4 2" xfId="10022" xr:uid="{00000000-0005-0000-0000-0000D7170000}"/>
    <cellStyle name="20% - Accent3 9 3 3 4 2 2" xfId="17815" xr:uid="{00000000-0005-0000-0000-0000D8170000}"/>
    <cellStyle name="20% - Accent3 9 3 3 4 2 2 2" xfId="35452" xr:uid="{00000000-0005-0000-0000-0000D9170000}"/>
    <cellStyle name="20% - Accent3 9 3 3 4 2 3" xfId="28405" xr:uid="{00000000-0005-0000-0000-0000DA170000}"/>
    <cellStyle name="20% - Accent3 9 3 3 4 3" xfId="14600" xr:uid="{00000000-0005-0000-0000-0000DB170000}"/>
    <cellStyle name="20% - Accent3 9 3 3 4 3 2" xfId="32235" xr:uid="{00000000-0005-0000-0000-0000DC170000}"/>
    <cellStyle name="20% - Accent3 9 3 3 4 4" xfId="25542" xr:uid="{00000000-0005-0000-0000-0000DD170000}"/>
    <cellStyle name="20% - Accent3 9 3 3 5" xfId="8264" xr:uid="{00000000-0005-0000-0000-0000DE170000}"/>
    <cellStyle name="20% - Accent3 9 3 3 5 2" xfId="16060" xr:uid="{00000000-0005-0000-0000-0000DF170000}"/>
    <cellStyle name="20% - Accent3 9 3 3 5 2 2" xfId="33695" xr:uid="{00000000-0005-0000-0000-0000E0170000}"/>
    <cellStyle name="20% - Accent3 9 3 3 5 3" xfId="26678" xr:uid="{00000000-0005-0000-0000-0000E1170000}"/>
    <cellStyle name="20% - Accent3 9 3 3 6" xfId="12379" xr:uid="{00000000-0005-0000-0000-0000E2170000}"/>
    <cellStyle name="20% - Accent3 9 3 3 6 2" xfId="30050" xr:uid="{00000000-0005-0000-0000-0000E3170000}"/>
    <cellStyle name="20% - Accent3 9 3 3 7" xfId="23813" xr:uid="{00000000-0005-0000-0000-0000E4170000}"/>
    <cellStyle name="20% - Accent3 9 3 4" xfId="3644" xr:uid="{00000000-0005-0000-0000-0000E5170000}"/>
    <cellStyle name="20% - Accent3 9 3 4 2" xfId="8262" xr:uid="{00000000-0005-0000-0000-0000E6170000}"/>
    <cellStyle name="20% - Accent3 9 3 4 2 2" xfId="16058" xr:uid="{00000000-0005-0000-0000-0000E7170000}"/>
    <cellStyle name="20% - Accent3 9 3 4 2 2 2" xfId="33693" xr:uid="{00000000-0005-0000-0000-0000E8170000}"/>
    <cellStyle name="20% - Accent3 9 3 4 2 3" xfId="26676" xr:uid="{00000000-0005-0000-0000-0000E9170000}"/>
    <cellStyle name="20% - Accent3 9 3 4 3" xfId="12377" xr:uid="{00000000-0005-0000-0000-0000EA170000}"/>
    <cellStyle name="20% - Accent3 9 3 4 3 2" xfId="30048" xr:uid="{00000000-0005-0000-0000-0000EB170000}"/>
    <cellStyle name="20% - Accent3 9 3 4 4" xfId="23811" xr:uid="{00000000-0005-0000-0000-0000EC170000}"/>
    <cellStyle name="20% - Accent3 9 3 5" xfId="5642" xr:uid="{00000000-0005-0000-0000-0000ED170000}"/>
    <cellStyle name="20% - Accent3 9 3 5 2" xfId="8942" xr:uid="{00000000-0005-0000-0000-0000EE170000}"/>
    <cellStyle name="20% - Accent3 9 3 5 2 2" xfId="16737" xr:uid="{00000000-0005-0000-0000-0000EF170000}"/>
    <cellStyle name="20% - Accent3 9 3 5 2 2 2" xfId="34373" xr:uid="{00000000-0005-0000-0000-0000F0170000}"/>
    <cellStyle name="20% - Accent3 9 3 5 2 3" xfId="27330" xr:uid="{00000000-0005-0000-0000-0000F1170000}"/>
    <cellStyle name="20% - Accent3 9 3 5 3" xfId="13498" xr:uid="{00000000-0005-0000-0000-0000F2170000}"/>
    <cellStyle name="20% - Accent3 9 3 5 3 2" xfId="31138" xr:uid="{00000000-0005-0000-0000-0000F3170000}"/>
    <cellStyle name="20% - Accent3 9 3 5 4" xfId="24465" xr:uid="{00000000-0005-0000-0000-0000F4170000}"/>
    <cellStyle name="20% - Accent3 9 3 6" xfId="6272" xr:uid="{00000000-0005-0000-0000-0000F5170000}"/>
    <cellStyle name="20% - Accent3 9 3 6 2" xfId="9482" xr:uid="{00000000-0005-0000-0000-0000F6170000}"/>
    <cellStyle name="20% - Accent3 9 3 6 2 2" xfId="17276" xr:uid="{00000000-0005-0000-0000-0000F7170000}"/>
    <cellStyle name="20% - Accent3 9 3 6 2 2 2" xfId="34913" xr:uid="{00000000-0005-0000-0000-0000F8170000}"/>
    <cellStyle name="20% - Accent3 9 3 6 2 3" xfId="27866" xr:uid="{00000000-0005-0000-0000-0000F9170000}"/>
    <cellStyle name="20% - Accent3 9 3 6 3" xfId="14061" xr:uid="{00000000-0005-0000-0000-0000FA170000}"/>
    <cellStyle name="20% - Accent3 9 3 6 3 2" xfId="31696" xr:uid="{00000000-0005-0000-0000-0000FB170000}"/>
    <cellStyle name="20% - Accent3 9 3 6 4" xfId="25002" xr:uid="{00000000-0005-0000-0000-0000FC170000}"/>
    <cellStyle name="20% - Accent3 9 3 7" xfId="6810" xr:uid="{00000000-0005-0000-0000-0000FD170000}"/>
    <cellStyle name="20% - Accent3 9 3 7 2" xfId="10020" xr:uid="{00000000-0005-0000-0000-0000FE170000}"/>
    <cellStyle name="20% - Accent3 9 3 7 2 2" xfId="17813" xr:uid="{00000000-0005-0000-0000-0000FF170000}"/>
    <cellStyle name="20% - Accent3 9 3 7 2 2 2" xfId="35450" xr:uid="{00000000-0005-0000-0000-000000180000}"/>
    <cellStyle name="20% - Accent3 9 3 7 2 3" xfId="28403" xr:uid="{00000000-0005-0000-0000-000001180000}"/>
    <cellStyle name="20% - Accent3 9 3 7 3" xfId="14598" xr:uid="{00000000-0005-0000-0000-000002180000}"/>
    <cellStyle name="20% - Accent3 9 3 7 3 2" xfId="32233" xr:uid="{00000000-0005-0000-0000-000003180000}"/>
    <cellStyle name="20% - Accent3 9 3 7 4" xfId="25540" xr:uid="{00000000-0005-0000-0000-000004180000}"/>
    <cellStyle name="20% - Accent3 9 3 8" xfId="7638" xr:uid="{00000000-0005-0000-0000-000005180000}"/>
    <cellStyle name="20% - Accent3 9 3 8 2" xfId="15435" xr:uid="{00000000-0005-0000-0000-000006180000}"/>
    <cellStyle name="20% - Accent3 9 3 8 2 2" xfId="33070" xr:uid="{00000000-0005-0000-0000-000007180000}"/>
    <cellStyle name="20% - Accent3 9 3 8 3" xfId="26071" xr:uid="{00000000-0005-0000-0000-000008180000}"/>
    <cellStyle name="20% - Accent3 9 3 9" xfId="11210" xr:uid="{00000000-0005-0000-0000-000009180000}"/>
    <cellStyle name="20% - Accent3 9 3 9 2" xfId="28938" xr:uid="{00000000-0005-0000-0000-00000A180000}"/>
    <cellStyle name="20% - Accent3 9 4" xfId="419" xr:uid="{00000000-0005-0000-0000-00000B180000}"/>
    <cellStyle name="20% - Accent3 9 4 2" xfId="3647" xr:uid="{00000000-0005-0000-0000-00000C180000}"/>
    <cellStyle name="20% - Accent3 9 4 2 2" xfId="8265" xr:uid="{00000000-0005-0000-0000-00000D180000}"/>
    <cellStyle name="20% - Accent3 9 4 2 2 2" xfId="16061" xr:uid="{00000000-0005-0000-0000-00000E180000}"/>
    <cellStyle name="20% - Accent3 9 4 2 2 2 2" xfId="33696" xr:uid="{00000000-0005-0000-0000-00000F180000}"/>
    <cellStyle name="20% - Accent3 9 4 2 2 3" xfId="26679" xr:uid="{00000000-0005-0000-0000-000010180000}"/>
    <cellStyle name="20% - Accent3 9 4 2 3" xfId="12380" xr:uid="{00000000-0005-0000-0000-000011180000}"/>
    <cellStyle name="20% - Accent3 9 4 2 3 2" xfId="30051" xr:uid="{00000000-0005-0000-0000-000012180000}"/>
    <cellStyle name="20% - Accent3 9 4 2 4" xfId="23814" xr:uid="{00000000-0005-0000-0000-000013180000}"/>
    <cellStyle name="20% - Accent3 9 4 3" xfId="5645" xr:uid="{00000000-0005-0000-0000-000014180000}"/>
    <cellStyle name="20% - Accent3 9 4 3 2" xfId="8945" xr:uid="{00000000-0005-0000-0000-000015180000}"/>
    <cellStyle name="20% - Accent3 9 4 3 2 2" xfId="16740" xr:uid="{00000000-0005-0000-0000-000016180000}"/>
    <cellStyle name="20% - Accent3 9 4 3 2 2 2" xfId="34376" xr:uid="{00000000-0005-0000-0000-000017180000}"/>
    <cellStyle name="20% - Accent3 9 4 3 2 3" xfId="27333" xr:uid="{00000000-0005-0000-0000-000018180000}"/>
    <cellStyle name="20% - Accent3 9 4 3 3" xfId="13501" xr:uid="{00000000-0005-0000-0000-000019180000}"/>
    <cellStyle name="20% - Accent3 9 4 3 3 2" xfId="31141" xr:uid="{00000000-0005-0000-0000-00001A180000}"/>
    <cellStyle name="20% - Accent3 9 4 3 4" xfId="24468" xr:uid="{00000000-0005-0000-0000-00001B180000}"/>
    <cellStyle name="20% - Accent3 9 4 4" xfId="6275" xr:uid="{00000000-0005-0000-0000-00001C180000}"/>
    <cellStyle name="20% - Accent3 9 4 4 2" xfId="9485" xr:uid="{00000000-0005-0000-0000-00001D180000}"/>
    <cellStyle name="20% - Accent3 9 4 4 2 2" xfId="17279" xr:uid="{00000000-0005-0000-0000-00001E180000}"/>
    <cellStyle name="20% - Accent3 9 4 4 2 2 2" xfId="34916" xr:uid="{00000000-0005-0000-0000-00001F180000}"/>
    <cellStyle name="20% - Accent3 9 4 4 2 3" xfId="27869" xr:uid="{00000000-0005-0000-0000-000020180000}"/>
    <cellStyle name="20% - Accent3 9 4 4 3" xfId="14064" xr:uid="{00000000-0005-0000-0000-000021180000}"/>
    <cellStyle name="20% - Accent3 9 4 4 3 2" xfId="31699" xr:uid="{00000000-0005-0000-0000-000022180000}"/>
    <cellStyle name="20% - Accent3 9 4 4 4" xfId="25005" xr:uid="{00000000-0005-0000-0000-000023180000}"/>
    <cellStyle name="20% - Accent3 9 4 5" xfId="6813" xr:uid="{00000000-0005-0000-0000-000024180000}"/>
    <cellStyle name="20% - Accent3 9 4 5 2" xfId="10023" xr:uid="{00000000-0005-0000-0000-000025180000}"/>
    <cellStyle name="20% - Accent3 9 4 5 2 2" xfId="17816" xr:uid="{00000000-0005-0000-0000-000026180000}"/>
    <cellStyle name="20% - Accent3 9 4 5 2 2 2" xfId="35453" xr:uid="{00000000-0005-0000-0000-000027180000}"/>
    <cellStyle name="20% - Accent3 9 4 5 2 3" xfId="28406" xr:uid="{00000000-0005-0000-0000-000028180000}"/>
    <cellStyle name="20% - Accent3 9 4 5 3" xfId="14601" xr:uid="{00000000-0005-0000-0000-000029180000}"/>
    <cellStyle name="20% - Accent3 9 4 5 3 2" xfId="32236" xr:uid="{00000000-0005-0000-0000-00002A180000}"/>
    <cellStyle name="20% - Accent3 9 4 5 4" xfId="25543" xr:uid="{00000000-0005-0000-0000-00002B180000}"/>
    <cellStyle name="20% - Accent3 9 4 6" xfId="7640" xr:uid="{00000000-0005-0000-0000-00002C180000}"/>
    <cellStyle name="20% - Accent3 9 4 6 2" xfId="15437" xr:uid="{00000000-0005-0000-0000-00002D180000}"/>
    <cellStyle name="20% - Accent3 9 4 6 2 2" xfId="33072" xr:uid="{00000000-0005-0000-0000-00002E180000}"/>
    <cellStyle name="20% - Accent3 9 4 6 3" xfId="26073" xr:uid="{00000000-0005-0000-0000-00002F180000}"/>
    <cellStyle name="20% - Accent3 9 4 7" xfId="11212" xr:uid="{00000000-0005-0000-0000-000030180000}"/>
    <cellStyle name="20% - Accent3 9 4 7 2" xfId="28940" xr:uid="{00000000-0005-0000-0000-000031180000}"/>
    <cellStyle name="20% - Accent3 9 4 8" xfId="23208" xr:uid="{00000000-0005-0000-0000-000032180000}"/>
    <cellStyle name="20% - Accent3 9 4 9" xfId="51762" xr:uid="{00000000-0005-0000-0000-000033180000}"/>
    <cellStyle name="20% - Accent3 9 5" xfId="420" xr:uid="{00000000-0005-0000-0000-000034180000}"/>
    <cellStyle name="20% - Accent3 9 5 2" xfId="3648" xr:uid="{00000000-0005-0000-0000-000035180000}"/>
    <cellStyle name="20% - Accent3 9 5 2 2" xfId="8266" xr:uid="{00000000-0005-0000-0000-000036180000}"/>
    <cellStyle name="20% - Accent3 9 5 2 2 2" xfId="16062" xr:uid="{00000000-0005-0000-0000-000037180000}"/>
    <cellStyle name="20% - Accent3 9 5 2 2 2 2" xfId="33697" xr:uid="{00000000-0005-0000-0000-000038180000}"/>
    <cellStyle name="20% - Accent3 9 5 2 2 3" xfId="26680" xr:uid="{00000000-0005-0000-0000-000039180000}"/>
    <cellStyle name="20% - Accent3 9 5 2 3" xfId="12381" xr:uid="{00000000-0005-0000-0000-00003A180000}"/>
    <cellStyle name="20% - Accent3 9 5 2 3 2" xfId="30052" xr:uid="{00000000-0005-0000-0000-00003B180000}"/>
    <cellStyle name="20% - Accent3 9 5 2 4" xfId="23815" xr:uid="{00000000-0005-0000-0000-00003C180000}"/>
    <cellStyle name="20% - Accent3 9 5 3" xfId="5646" xr:uid="{00000000-0005-0000-0000-00003D180000}"/>
    <cellStyle name="20% - Accent3 9 5 3 2" xfId="8946" xr:uid="{00000000-0005-0000-0000-00003E180000}"/>
    <cellStyle name="20% - Accent3 9 5 3 2 2" xfId="16741" xr:uid="{00000000-0005-0000-0000-00003F180000}"/>
    <cellStyle name="20% - Accent3 9 5 3 2 2 2" xfId="34377" xr:uid="{00000000-0005-0000-0000-000040180000}"/>
    <cellStyle name="20% - Accent3 9 5 3 2 3" xfId="27334" xr:uid="{00000000-0005-0000-0000-000041180000}"/>
    <cellStyle name="20% - Accent3 9 5 3 3" xfId="13502" xr:uid="{00000000-0005-0000-0000-000042180000}"/>
    <cellStyle name="20% - Accent3 9 5 3 3 2" xfId="31142" xr:uid="{00000000-0005-0000-0000-000043180000}"/>
    <cellStyle name="20% - Accent3 9 5 3 4" xfId="24469" xr:uid="{00000000-0005-0000-0000-000044180000}"/>
    <cellStyle name="20% - Accent3 9 5 4" xfId="6276" xr:uid="{00000000-0005-0000-0000-000045180000}"/>
    <cellStyle name="20% - Accent3 9 5 4 2" xfId="9486" xr:uid="{00000000-0005-0000-0000-000046180000}"/>
    <cellStyle name="20% - Accent3 9 5 4 2 2" xfId="17280" xr:uid="{00000000-0005-0000-0000-000047180000}"/>
    <cellStyle name="20% - Accent3 9 5 4 2 2 2" xfId="34917" xr:uid="{00000000-0005-0000-0000-000048180000}"/>
    <cellStyle name="20% - Accent3 9 5 4 2 3" xfId="27870" xr:uid="{00000000-0005-0000-0000-000049180000}"/>
    <cellStyle name="20% - Accent3 9 5 4 3" xfId="14065" xr:uid="{00000000-0005-0000-0000-00004A180000}"/>
    <cellStyle name="20% - Accent3 9 5 4 3 2" xfId="31700" xr:uid="{00000000-0005-0000-0000-00004B180000}"/>
    <cellStyle name="20% - Accent3 9 5 4 4" xfId="25006" xr:uid="{00000000-0005-0000-0000-00004C180000}"/>
    <cellStyle name="20% - Accent3 9 5 5" xfId="6814" xr:uid="{00000000-0005-0000-0000-00004D180000}"/>
    <cellStyle name="20% - Accent3 9 5 5 2" xfId="10024" xr:uid="{00000000-0005-0000-0000-00004E180000}"/>
    <cellStyle name="20% - Accent3 9 5 5 2 2" xfId="17817" xr:uid="{00000000-0005-0000-0000-00004F180000}"/>
    <cellStyle name="20% - Accent3 9 5 5 2 2 2" xfId="35454" xr:uid="{00000000-0005-0000-0000-000050180000}"/>
    <cellStyle name="20% - Accent3 9 5 5 2 3" xfId="28407" xr:uid="{00000000-0005-0000-0000-000051180000}"/>
    <cellStyle name="20% - Accent3 9 5 5 3" xfId="14602" xr:uid="{00000000-0005-0000-0000-000052180000}"/>
    <cellStyle name="20% - Accent3 9 5 5 3 2" xfId="32237" xr:uid="{00000000-0005-0000-0000-000053180000}"/>
    <cellStyle name="20% - Accent3 9 5 5 4" xfId="25544" xr:uid="{00000000-0005-0000-0000-000054180000}"/>
    <cellStyle name="20% - Accent3 9 5 6" xfId="7641" xr:uid="{00000000-0005-0000-0000-000055180000}"/>
    <cellStyle name="20% - Accent3 9 5 6 2" xfId="15438" xr:uid="{00000000-0005-0000-0000-000056180000}"/>
    <cellStyle name="20% - Accent3 9 5 6 2 2" xfId="33073" xr:uid="{00000000-0005-0000-0000-000057180000}"/>
    <cellStyle name="20% - Accent3 9 5 6 3" xfId="26074" xr:uid="{00000000-0005-0000-0000-000058180000}"/>
    <cellStyle name="20% - Accent3 9 5 7" xfId="11213" xr:uid="{00000000-0005-0000-0000-000059180000}"/>
    <cellStyle name="20% - Accent3 9 5 7 2" xfId="28941" xr:uid="{00000000-0005-0000-0000-00005A180000}"/>
    <cellStyle name="20% - Accent3 9 5 8" xfId="23209" xr:uid="{00000000-0005-0000-0000-00005B180000}"/>
    <cellStyle name="20% - Accent3 9 5 9" xfId="51763" xr:uid="{00000000-0005-0000-0000-00005C180000}"/>
    <cellStyle name="20% - Accent3 9 6" xfId="421" xr:uid="{00000000-0005-0000-0000-00005D180000}"/>
    <cellStyle name="20% - Accent3 9 6 2" xfId="3649" xr:uid="{00000000-0005-0000-0000-00005E180000}"/>
    <cellStyle name="20% - Accent3 9 6 2 2" xfId="8267" xr:uid="{00000000-0005-0000-0000-00005F180000}"/>
    <cellStyle name="20% - Accent3 9 6 2 2 2" xfId="16063" xr:uid="{00000000-0005-0000-0000-000060180000}"/>
    <cellStyle name="20% - Accent3 9 6 2 2 2 2" xfId="33698" xr:uid="{00000000-0005-0000-0000-000061180000}"/>
    <cellStyle name="20% - Accent3 9 6 2 2 3" xfId="26681" xr:uid="{00000000-0005-0000-0000-000062180000}"/>
    <cellStyle name="20% - Accent3 9 6 2 3" xfId="12382" xr:uid="{00000000-0005-0000-0000-000063180000}"/>
    <cellStyle name="20% - Accent3 9 6 2 3 2" xfId="30053" xr:uid="{00000000-0005-0000-0000-000064180000}"/>
    <cellStyle name="20% - Accent3 9 6 2 4" xfId="23816" xr:uid="{00000000-0005-0000-0000-000065180000}"/>
    <cellStyle name="20% - Accent3 9 6 3" xfId="5647" xr:uid="{00000000-0005-0000-0000-000066180000}"/>
    <cellStyle name="20% - Accent3 9 6 3 2" xfId="8947" xr:uid="{00000000-0005-0000-0000-000067180000}"/>
    <cellStyle name="20% - Accent3 9 6 3 2 2" xfId="16742" xr:uid="{00000000-0005-0000-0000-000068180000}"/>
    <cellStyle name="20% - Accent3 9 6 3 2 2 2" xfId="34378" xr:uid="{00000000-0005-0000-0000-000069180000}"/>
    <cellStyle name="20% - Accent3 9 6 3 2 3" xfId="27335" xr:uid="{00000000-0005-0000-0000-00006A180000}"/>
    <cellStyle name="20% - Accent3 9 6 3 3" xfId="13503" xr:uid="{00000000-0005-0000-0000-00006B180000}"/>
    <cellStyle name="20% - Accent3 9 6 3 3 2" xfId="31143" xr:uid="{00000000-0005-0000-0000-00006C180000}"/>
    <cellStyle name="20% - Accent3 9 6 3 4" xfId="24470" xr:uid="{00000000-0005-0000-0000-00006D180000}"/>
    <cellStyle name="20% - Accent3 9 6 4" xfId="6277" xr:uid="{00000000-0005-0000-0000-00006E180000}"/>
    <cellStyle name="20% - Accent3 9 6 4 2" xfId="9487" xr:uid="{00000000-0005-0000-0000-00006F180000}"/>
    <cellStyle name="20% - Accent3 9 6 4 2 2" xfId="17281" xr:uid="{00000000-0005-0000-0000-000070180000}"/>
    <cellStyle name="20% - Accent3 9 6 4 2 2 2" xfId="34918" xr:uid="{00000000-0005-0000-0000-000071180000}"/>
    <cellStyle name="20% - Accent3 9 6 4 2 3" xfId="27871" xr:uid="{00000000-0005-0000-0000-000072180000}"/>
    <cellStyle name="20% - Accent3 9 6 4 3" xfId="14066" xr:uid="{00000000-0005-0000-0000-000073180000}"/>
    <cellStyle name="20% - Accent3 9 6 4 3 2" xfId="31701" xr:uid="{00000000-0005-0000-0000-000074180000}"/>
    <cellStyle name="20% - Accent3 9 6 4 4" xfId="25007" xr:uid="{00000000-0005-0000-0000-000075180000}"/>
    <cellStyle name="20% - Accent3 9 6 5" xfId="6815" xr:uid="{00000000-0005-0000-0000-000076180000}"/>
    <cellStyle name="20% - Accent3 9 6 5 2" xfId="10025" xr:uid="{00000000-0005-0000-0000-000077180000}"/>
    <cellStyle name="20% - Accent3 9 6 5 2 2" xfId="17818" xr:uid="{00000000-0005-0000-0000-000078180000}"/>
    <cellStyle name="20% - Accent3 9 6 5 2 2 2" xfId="35455" xr:uid="{00000000-0005-0000-0000-000079180000}"/>
    <cellStyle name="20% - Accent3 9 6 5 2 3" xfId="28408" xr:uid="{00000000-0005-0000-0000-00007A180000}"/>
    <cellStyle name="20% - Accent3 9 6 5 3" xfId="14603" xr:uid="{00000000-0005-0000-0000-00007B180000}"/>
    <cellStyle name="20% - Accent3 9 6 5 3 2" xfId="32238" xr:uid="{00000000-0005-0000-0000-00007C180000}"/>
    <cellStyle name="20% - Accent3 9 6 5 4" xfId="25545" xr:uid="{00000000-0005-0000-0000-00007D180000}"/>
    <cellStyle name="20% - Accent3 9 6 6" xfId="7642" xr:uid="{00000000-0005-0000-0000-00007E180000}"/>
    <cellStyle name="20% - Accent3 9 6 6 2" xfId="15439" xr:uid="{00000000-0005-0000-0000-00007F180000}"/>
    <cellStyle name="20% - Accent3 9 6 6 2 2" xfId="33074" xr:uid="{00000000-0005-0000-0000-000080180000}"/>
    <cellStyle name="20% - Accent3 9 6 6 3" xfId="26075" xr:uid="{00000000-0005-0000-0000-000081180000}"/>
    <cellStyle name="20% - Accent3 9 6 7" xfId="11214" xr:uid="{00000000-0005-0000-0000-000082180000}"/>
    <cellStyle name="20% - Accent3 9 6 7 2" xfId="28942" xr:uid="{00000000-0005-0000-0000-000083180000}"/>
    <cellStyle name="20% - Accent3 9 6 8" xfId="23210" xr:uid="{00000000-0005-0000-0000-000084180000}"/>
    <cellStyle name="20% - Accent3 9 6 9" xfId="51764" xr:uid="{00000000-0005-0000-0000-000085180000}"/>
    <cellStyle name="20% - Accent3 9 7" xfId="422" xr:uid="{00000000-0005-0000-0000-000086180000}"/>
    <cellStyle name="20% - Accent3 9 7 10" xfId="51765" xr:uid="{00000000-0005-0000-0000-000087180000}"/>
    <cellStyle name="20% - Accent3 9 7 2" xfId="423" xr:uid="{00000000-0005-0000-0000-000088180000}"/>
    <cellStyle name="20% - Accent3 9 7 2 2" xfId="8269" xr:uid="{00000000-0005-0000-0000-000089180000}"/>
    <cellStyle name="20% - Accent3 9 7 2 2 2" xfId="16065" xr:uid="{00000000-0005-0000-0000-00008A180000}"/>
    <cellStyle name="20% - Accent3 9 7 2 2 2 2" xfId="33700" xr:uid="{00000000-0005-0000-0000-00008B180000}"/>
    <cellStyle name="20% - Accent3 9 7 2 2 3" xfId="26683" xr:uid="{00000000-0005-0000-0000-00008C180000}"/>
    <cellStyle name="20% - Accent3 9 7 2 3" xfId="12384" xr:uid="{00000000-0005-0000-0000-00008D180000}"/>
    <cellStyle name="20% - Accent3 9 7 2 3 2" xfId="30055" xr:uid="{00000000-0005-0000-0000-00008E180000}"/>
    <cellStyle name="20% - Accent3 9 7 2 4" xfId="23818" xr:uid="{00000000-0005-0000-0000-00008F180000}"/>
    <cellStyle name="20% - Accent3 9 7 3" xfId="3650" xr:uid="{00000000-0005-0000-0000-000090180000}"/>
    <cellStyle name="20% - Accent3 9 7 3 2" xfId="8268" xr:uid="{00000000-0005-0000-0000-000091180000}"/>
    <cellStyle name="20% - Accent3 9 7 3 2 2" xfId="16064" xr:uid="{00000000-0005-0000-0000-000092180000}"/>
    <cellStyle name="20% - Accent3 9 7 3 2 2 2" xfId="33699" xr:uid="{00000000-0005-0000-0000-000093180000}"/>
    <cellStyle name="20% - Accent3 9 7 3 2 3" xfId="26682" xr:uid="{00000000-0005-0000-0000-000094180000}"/>
    <cellStyle name="20% - Accent3 9 7 3 3" xfId="12383" xr:uid="{00000000-0005-0000-0000-000095180000}"/>
    <cellStyle name="20% - Accent3 9 7 3 3 2" xfId="30054" xr:uid="{00000000-0005-0000-0000-000096180000}"/>
    <cellStyle name="20% - Accent3 9 7 3 4" xfId="23817" xr:uid="{00000000-0005-0000-0000-000097180000}"/>
    <cellStyle name="20% - Accent3 9 7 4" xfId="5648" xr:uid="{00000000-0005-0000-0000-000098180000}"/>
    <cellStyle name="20% - Accent3 9 7 4 2" xfId="8948" xr:uid="{00000000-0005-0000-0000-000099180000}"/>
    <cellStyle name="20% - Accent3 9 7 4 2 2" xfId="16743" xr:uid="{00000000-0005-0000-0000-00009A180000}"/>
    <cellStyle name="20% - Accent3 9 7 4 2 2 2" xfId="34379" xr:uid="{00000000-0005-0000-0000-00009B180000}"/>
    <cellStyle name="20% - Accent3 9 7 4 2 3" xfId="27336" xr:uid="{00000000-0005-0000-0000-00009C180000}"/>
    <cellStyle name="20% - Accent3 9 7 4 3" xfId="13504" xr:uid="{00000000-0005-0000-0000-00009D180000}"/>
    <cellStyle name="20% - Accent3 9 7 4 3 2" xfId="31144" xr:uid="{00000000-0005-0000-0000-00009E180000}"/>
    <cellStyle name="20% - Accent3 9 7 4 4" xfId="24471" xr:uid="{00000000-0005-0000-0000-00009F180000}"/>
    <cellStyle name="20% - Accent3 9 7 5" xfId="6278" xr:uid="{00000000-0005-0000-0000-0000A0180000}"/>
    <cellStyle name="20% - Accent3 9 7 5 2" xfId="9488" xr:uid="{00000000-0005-0000-0000-0000A1180000}"/>
    <cellStyle name="20% - Accent3 9 7 5 2 2" xfId="17282" xr:uid="{00000000-0005-0000-0000-0000A2180000}"/>
    <cellStyle name="20% - Accent3 9 7 5 2 2 2" xfId="34919" xr:uid="{00000000-0005-0000-0000-0000A3180000}"/>
    <cellStyle name="20% - Accent3 9 7 5 2 3" xfId="27872" xr:uid="{00000000-0005-0000-0000-0000A4180000}"/>
    <cellStyle name="20% - Accent3 9 7 5 3" xfId="14067" xr:uid="{00000000-0005-0000-0000-0000A5180000}"/>
    <cellStyle name="20% - Accent3 9 7 5 3 2" xfId="31702" xr:uid="{00000000-0005-0000-0000-0000A6180000}"/>
    <cellStyle name="20% - Accent3 9 7 5 4" xfId="25008" xr:uid="{00000000-0005-0000-0000-0000A7180000}"/>
    <cellStyle name="20% - Accent3 9 7 6" xfId="6816" xr:uid="{00000000-0005-0000-0000-0000A8180000}"/>
    <cellStyle name="20% - Accent3 9 7 6 2" xfId="10026" xr:uid="{00000000-0005-0000-0000-0000A9180000}"/>
    <cellStyle name="20% - Accent3 9 7 6 2 2" xfId="17819" xr:uid="{00000000-0005-0000-0000-0000AA180000}"/>
    <cellStyle name="20% - Accent3 9 7 6 2 2 2" xfId="35456" xr:uid="{00000000-0005-0000-0000-0000AB180000}"/>
    <cellStyle name="20% - Accent3 9 7 6 2 3" xfId="28409" xr:uid="{00000000-0005-0000-0000-0000AC180000}"/>
    <cellStyle name="20% - Accent3 9 7 6 3" xfId="14604" xr:uid="{00000000-0005-0000-0000-0000AD180000}"/>
    <cellStyle name="20% - Accent3 9 7 6 3 2" xfId="32239" xr:uid="{00000000-0005-0000-0000-0000AE180000}"/>
    <cellStyle name="20% - Accent3 9 7 6 4" xfId="25546" xr:uid="{00000000-0005-0000-0000-0000AF180000}"/>
    <cellStyle name="20% - Accent3 9 7 7" xfId="7643" xr:uid="{00000000-0005-0000-0000-0000B0180000}"/>
    <cellStyle name="20% - Accent3 9 7 7 2" xfId="15440" xr:uid="{00000000-0005-0000-0000-0000B1180000}"/>
    <cellStyle name="20% - Accent3 9 7 7 2 2" xfId="33075" xr:uid="{00000000-0005-0000-0000-0000B2180000}"/>
    <cellStyle name="20% - Accent3 9 7 7 3" xfId="26076" xr:uid="{00000000-0005-0000-0000-0000B3180000}"/>
    <cellStyle name="20% - Accent3 9 7 8" xfId="11215" xr:uid="{00000000-0005-0000-0000-0000B4180000}"/>
    <cellStyle name="20% - Accent3 9 7 8 2" xfId="28943" xr:uid="{00000000-0005-0000-0000-0000B5180000}"/>
    <cellStyle name="20% - Accent3 9 7 9" xfId="23211" xr:uid="{00000000-0005-0000-0000-0000B6180000}"/>
    <cellStyle name="20% - Accent3 9 8" xfId="3651" xr:uid="{00000000-0005-0000-0000-0000B7180000}"/>
    <cellStyle name="20% - Accent3 9 8 2" xfId="8270" xr:uid="{00000000-0005-0000-0000-0000B8180000}"/>
    <cellStyle name="20% - Accent3 9 8 2 2" xfId="16066" xr:uid="{00000000-0005-0000-0000-0000B9180000}"/>
    <cellStyle name="20% - Accent3 9 8 2 2 2" xfId="33701" xr:uid="{00000000-0005-0000-0000-0000BA180000}"/>
    <cellStyle name="20% - Accent3 9 8 2 3" xfId="26684" xr:uid="{00000000-0005-0000-0000-0000BB180000}"/>
    <cellStyle name="20% - Accent3 9 8 3" xfId="12385" xr:uid="{00000000-0005-0000-0000-0000BC180000}"/>
    <cellStyle name="20% - Accent3 9 8 3 2" xfId="30056" xr:uid="{00000000-0005-0000-0000-0000BD180000}"/>
    <cellStyle name="20% - Accent3 9 8 4" xfId="23819" xr:uid="{00000000-0005-0000-0000-0000BE180000}"/>
    <cellStyle name="20% - Accent3 9 9" xfId="3652" xr:uid="{00000000-0005-0000-0000-0000BF180000}"/>
    <cellStyle name="20% - Accent3 9 9 2" xfId="8271" xr:uid="{00000000-0005-0000-0000-0000C0180000}"/>
    <cellStyle name="20% - Accent3 9 9 2 2" xfId="16067" xr:uid="{00000000-0005-0000-0000-0000C1180000}"/>
    <cellStyle name="20% - Accent3 9 9 2 2 2" xfId="33702" xr:uid="{00000000-0005-0000-0000-0000C2180000}"/>
    <cellStyle name="20% - Accent3 9 9 2 3" xfId="26685" xr:uid="{00000000-0005-0000-0000-0000C3180000}"/>
    <cellStyle name="20% - Accent3 9 9 3" xfId="12386" xr:uid="{00000000-0005-0000-0000-0000C4180000}"/>
    <cellStyle name="20% - Accent3 9 9 3 2" xfId="30057" xr:uid="{00000000-0005-0000-0000-0000C5180000}"/>
    <cellStyle name="20% - Accent3 9 9 4" xfId="23820" xr:uid="{00000000-0005-0000-0000-0000C6180000}"/>
    <cellStyle name="20% - Accent4" xfId="176" builtinId="42" customBuiltin="1"/>
    <cellStyle name="20% - Accent4 10" xfId="424" xr:uid="{00000000-0005-0000-0000-0000C8180000}"/>
    <cellStyle name="20% - Accent4 10 2" xfId="425" xr:uid="{00000000-0005-0000-0000-0000C9180000}"/>
    <cellStyle name="20% - Accent4 10 3" xfId="426" xr:uid="{00000000-0005-0000-0000-0000CA180000}"/>
    <cellStyle name="20% - Accent4 10 3 2" xfId="8272" xr:uid="{00000000-0005-0000-0000-0000CB180000}"/>
    <cellStyle name="20% - Accent4 10 3 2 2" xfId="16068" xr:uid="{00000000-0005-0000-0000-0000CC180000}"/>
    <cellStyle name="20% - Accent4 10 3 2 2 2" xfId="33703" xr:uid="{00000000-0005-0000-0000-0000CD180000}"/>
    <cellStyle name="20% - Accent4 10 3 2 3" xfId="26686" xr:uid="{00000000-0005-0000-0000-0000CE180000}"/>
    <cellStyle name="20% - Accent4 10 3 3" xfId="12387" xr:uid="{00000000-0005-0000-0000-0000CF180000}"/>
    <cellStyle name="20% - Accent4 10 3 3 2" xfId="30058" xr:uid="{00000000-0005-0000-0000-0000D0180000}"/>
    <cellStyle name="20% - Accent4 10 3 4" xfId="23821" xr:uid="{00000000-0005-0000-0000-0000D1180000}"/>
    <cellStyle name="20% - Accent4 10 3 5" xfId="51766" xr:uid="{00000000-0005-0000-0000-0000D2180000}"/>
    <cellStyle name="20% - Accent4 10 4" xfId="7644" xr:uid="{00000000-0005-0000-0000-0000D3180000}"/>
    <cellStyle name="20% - Accent4 10 4 2" xfId="15441" xr:uid="{00000000-0005-0000-0000-0000D4180000}"/>
    <cellStyle name="20% - Accent4 10 4 2 2" xfId="33076" xr:uid="{00000000-0005-0000-0000-0000D5180000}"/>
    <cellStyle name="20% - Accent4 10 4 3" xfId="26077" xr:uid="{00000000-0005-0000-0000-0000D6180000}"/>
    <cellStyle name="20% - Accent4 10 5" xfId="11216" xr:uid="{00000000-0005-0000-0000-0000D7180000}"/>
    <cellStyle name="20% - Accent4 10 5 2" xfId="28944" xr:uid="{00000000-0005-0000-0000-0000D8180000}"/>
    <cellStyle name="20% - Accent4 10 6" xfId="22065" xr:uid="{00000000-0005-0000-0000-0000D9180000}"/>
    <cellStyle name="20% - Accent4 10 6 2" xfId="38773" xr:uid="{00000000-0005-0000-0000-0000DA180000}"/>
    <cellStyle name="20% - Accent4 10 7" xfId="23212" xr:uid="{00000000-0005-0000-0000-0000DB180000}"/>
    <cellStyle name="20% - Accent4 11" xfId="427" xr:uid="{00000000-0005-0000-0000-0000DC180000}"/>
    <cellStyle name="20% - Accent4 11 10" xfId="3653" xr:uid="{00000000-0005-0000-0000-0000DD180000}"/>
    <cellStyle name="20% - Accent4 11 10 2" xfId="8273" xr:uid="{00000000-0005-0000-0000-0000DE180000}"/>
    <cellStyle name="20% - Accent4 11 10 2 2" xfId="16069" xr:uid="{00000000-0005-0000-0000-0000DF180000}"/>
    <cellStyle name="20% - Accent4 11 10 2 2 2" xfId="33704" xr:uid="{00000000-0005-0000-0000-0000E0180000}"/>
    <cellStyle name="20% - Accent4 11 10 2 3" xfId="26687" xr:uid="{00000000-0005-0000-0000-0000E1180000}"/>
    <cellStyle name="20% - Accent4 11 10 3" xfId="12388" xr:uid="{00000000-0005-0000-0000-0000E2180000}"/>
    <cellStyle name="20% - Accent4 11 10 3 2" xfId="30059" xr:uid="{00000000-0005-0000-0000-0000E3180000}"/>
    <cellStyle name="20% - Accent4 11 10 4" xfId="23822" xr:uid="{00000000-0005-0000-0000-0000E4180000}"/>
    <cellStyle name="20% - Accent4 11 11" xfId="5649" xr:uid="{00000000-0005-0000-0000-0000E5180000}"/>
    <cellStyle name="20% - Accent4 11 11 2" xfId="8949" xr:uid="{00000000-0005-0000-0000-0000E6180000}"/>
    <cellStyle name="20% - Accent4 11 11 2 2" xfId="16744" xr:uid="{00000000-0005-0000-0000-0000E7180000}"/>
    <cellStyle name="20% - Accent4 11 11 2 2 2" xfId="34380" xr:uid="{00000000-0005-0000-0000-0000E8180000}"/>
    <cellStyle name="20% - Accent4 11 11 2 3" xfId="27337" xr:uid="{00000000-0005-0000-0000-0000E9180000}"/>
    <cellStyle name="20% - Accent4 11 11 3" xfId="13505" xr:uid="{00000000-0005-0000-0000-0000EA180000}"/>
    <cellStyle name="20% - Accent4 11 11 3 2" xfId="31145" xr:uid="{00000000-0005-0000-0000-0000EB180000}"/>
    <cellStyle name="20% - Accent4 11 11 4" xfId="24472" xr:uid="{00000000-0005-0000-0000-0000EC180000}"/>
    <cellStyle name="20% - Accent4 11 12" xfId="6279" xr:uid="{00000000-0005-0000-0000-0000ED180000}"/>
    <cellStyle name="20% - Accent4 11 12 2" xfId="9489" xr:uid="{00000000-0005-0000-0000-0000EE180000}"/>
    <cellStyle name="20% - Accent4 11 12 2 2" xfId="17283" xr:uid="{00000000-0005-0000-0000-0000EF180000}"/>
    <cellStyle name="20% - Accent4 11 12 2 2 2" xfId="34920" xr:uid="{00000000-0005-0000-0000-0000F0180000}"/>
    <cellStyle name="20% - Accent4 11 12 2 3" xfId="27873" xr:uid="{00000000-0005-0000-0000-0000F1180000}"/>
    <cellStyle name="20% - Accent4 11 12 3" xfId="14068" xr:uid="{00000000-0005-0000-0000-0000F2180000}"/>
    <cellStyle name="20% - Accent4 11 12 3 2" xfId="31703" xr:uid="{00000000-0005-0000-0000-0000F3180000}"/>
    <cellStyle name="20% - Accent4 11 12 4" xfId="25009" xr:uid="{00000000-0005-0000-0000-0000F4180000}"/>
    <cellStyle name="20% - Accent4 11 13" xfId="6817" xr:uid="{00000000-0005-0000-0000-0000F5180000}"/>
    <cellStyle name="20% - Accent4 11 13 2" xfId="10027" xr:uid="{00000000-0005-0000-0000-0000F6180000}"/>
    <cellStyle name="20% - Accent4 11 13 2 2" xfId="17820" xr:uid="{00000000-0005-0000-0000-0000F7180000}"/>
    <cellStyle name="20% - Accent4 11 13 2 2 2" xfId="35457" xr:uid="{00000000-0005-0000-0000-0000F8180000}"/>
    <cellStyle name="20% - Accent4 11 13 2 3" xfId="28410" xr:uid="{00000000-0005-0000-0000-0000F9180000}"/>
    <cellStyle name="20% - Accent4 11 13 3" xfId="14605" xr:uid="{00000000-0005-0000-0000-0000FA180000}"/>
    <cellStyle name="20% - Accent4 11 13 3 2" xfId="32240" xr:uid="{00000000-0005-0000-0000-0000FB180000}"/>
    <cellStyle name="20% - Accent4 11 13 4" xfId="25547" xr:uid="{00000000-0005-0000-0000-0000FC180000}"/>
    <cellStyle name="20% - Accent4 11 14" xfId="7645" xr:uid="{00000000-0005-0000-0000-0000FD180000}"/>
    <cellStyle name="20% - Accent4 11 14 2" xfId="15442" xr:uid="{00000000-0005-0000-0000-0000FE180000}"/>
    <cellStyle name="20% - Accent4 11 14 2 2" xfId="33077" xr:uid="{00000000-0005-0000-0000-0000FF180000}"/>
    <cellStyle name="20% - Accent4 11 14 3" xfId="26078" xr:uid="{00000000-0005-0000-0000-000000190000}"/>
    <cellStyle name="20% - Accent4 11 15" xfId="11217" xr:uid="{00000000-0005-0000-0000-000001190000}"/>
    <cellStyle name="20% - Accent4 11 15 2" xfId="28945" xr:uid="{00000000-0005-0000-0000-000002190000}"/>
    <cellStyle name="20% - Accent4 11 16" xfId="22066" xr:uid="{00000000-0005-0000-0000-000003190000}"/>
    <cellStyle name="20% - Accent4 11 16 2" xfId="38774" xr:uid="{00000000-0005-0000-0000-000004190000}"/>
    <cellStyle name="20% - Accent4 11 17" xfId="23213" xr:uid="{00000000-0005-0000-0000-000005190000}"/>
    <cellStyle name="20% - Accent4 11 18" xfId="51767" xr:uid="{00000000-0005-0000-0000-000006190000}"/>
    <cellStyle name="20% - Accent4 11 2" xfId="428" xr:uid="{00000000-0005-0000-0000-000007190000}"/>
    <cellStyle name="20% - Accent4 11 2 2" xfId="3654" xr:uid="{00000000-0005-0000-0000-000008190000}"/>
    <cellStyle name="20% - Accent4 11 2 2 2" xfId="8274" xr:uid="{00000000-0005-0000-0000-000009190000}"/>
    <cellStyle name="20% - Accent4 11 2 2 2 2" xfId="16070" xr:uid="{00000000-0005-0000-0000-00000A190000}"/>
    <cellStyle name="20% - Accent4 11 2 2 2 2 2" xfId="33705" xr:uid="{00000000-0005-0000-0000-00000B190000}"/>
    <cellStyle name="20% - Accent4 11 2 2 2 3" xfId="26688" xr:uid="{00000000-0005-0000-0000-00000C190000}"/>
    <cellStyle name="20% - Accent4 11 2 2 3" xfId="12389" xr:uid="{00000000-0005-0000-0000-00000D190000}"/>
    <cellStyle name="20% - Accent4 11 2 2 3 2" xfId="30060" xr:uid="{00000000-0005-0000-0000-00000E190000}"/>
    <cellStyle name="20% - Accent4 11 2 2 4" xfId="23823" xr:uid="{00000000-0005-0000-0000-00000F190000}"/>
    <cellStyle name="20% - Accent4 11 2 3" xfId="5650" xr:uid="{00000000-0005-0000-0000-000010190000}"/>
    <cellStyle name="20% - Accent4 11 2 3 2" xfId="8950" xr:uid="{00000000-0005-0000-0000-000011190000}"/>
    <cellStyle name="20% - Accent4 11 2 3 2 2" xfId="16745" xr:uid="{00000000-0005-0000-0000-000012190000}"/>
    <cellStyle name="20% - Accent4 11 2 3 2 2 2" xfId="34381" xr:uid="{00000000-0005-0000-0000-000013190000}"/>
    <cellStyle name="20% - Accent4 11 2 3 2 3" xfId="27338" xr:uid="{00000000-0005-0000-0000-000014190000}"/>
    <cellStyle name="20% - Accent4 11 2 3 3" xfId="13506" xr:uid="{00000000-0005-0000-0000-000015190000}"/>
    <cellStyle name="20% - Accent4 11 2 3 3 2" xfId="31146" xr:uid="{00000000-0005-0000-0000-000016190000}"/>
    <cellStyle name="20% - Accent4 11 2 3 4" xfId="24473" xr:uid="{00000000-0005-0000-0000-000017190000}"/>
    <cellStyle name="20% - Accent4 11 2 4" xfId="6280" xr:uid="{00000000-0005-0000-0000-000018190000}"/>
    <cellStyle name="20% - Accent4 11 2 4 2" xfId="9490" xr:uid="{00000000-0005-0000-0000-000019190000}"/>
    <cellStyle name="20% - Accent4 11 2 4 2 2" xfId="17284" xr:uid="{00000000-0005-0000-0000-00001A190000}"/>
    <cellStyle name="20% - Accent4 11 2 4 2 2 2" xfId="34921" xr:uid="{00000000-0005-0000-0000-00001B190000}"/>
    <cellStyle name="20% - Accent4 11 2 4 2 3" xfId="27874" xr:uid="{00000000-0005-0000-0000-00001C190000}"/>
    <cellStyle name="20% - Accent4 11 2 4 3" xfId="14069" xr:uid="{00000000-0005-0000-0000-00001D190000}"/>
    <cellStyle name="20% - Accent4 11 2 4 3 2" xfId="31704" xr:uid="{00000000-0005-0000-0000-00001E190000}"/>
    <cellStyle name="20% - Accent4 11 2 4 4" xfId="25010" xr:uid="{00000000-0005-0000-0000-00001F190000}"/>
    <cellStyle name="20% - Accent4 11 2 5" xfId="6818" xr:uid="{00000000-0005-0000-0000-000020190000}"/>
    <cellStyle name="20% - Accent4 11 2 5 2" xfId="10028" xr:uid="{00000000-0005-0000-0000-000021190000}"/>
    <cellStyle name="20% - Accent4 11 2 5 2 2" xfId="17821" xr:uid="{00000000-0005-0000-0000-000022190000}"/>
    <cellStyle name="20% - Accent4 11 2 5 2 2 2" xfId="35458" xr:uid="{00000000-0005-0000-0000-000023190000}"/>
    <cellStyle name="20% - Accent4 11 2 5 2 3" xfId="28411" xr:uid="{00000000-0005-0000-0000-000024190000}"/>
    <cellStyle name="20% - Accent4 11 2 5 3" xfId="14606" xr:uid="{00000000-0005-0000-0000-000025190000}"/>
    <cellStyle name="20% - Accent4 11 2 5 3 2" xfId="32241" xr:uid="{00000000-0005-0000-0000-000026190000}"/>
    <cellStyle name="20% - Accent4 11 2 5 4" xfId="25548" xr:uid="{00000000-0005-0000-0000-000027190000}"/>
    <cellStyle name="20% - Accent4 11 2 6" xfId="7646" xr:uid="{00000000-0005-0000-0000-000028190000}"/>
    <cellStyle name="20% - Accent4 11 2 6 2" xfId="15443" xr:uid="{00000000-0005-0000-0000-000029190000}"/>
    <cellStyle name="20% - Accent4 11 2 6 2 2" xfId="33078" xr:uid="{00000000-0005-0000-0000-00002A190000}"/>
    <cellStyle name="20% - Accent4 11 2 6 3" xfId="26079" xr:uid="{00000000-0005-0000-0000-00002B190000}"/>
    <cellStyle name="20% - Accent4 11 2 7" xfId="11218" xr:uid="{00000000-0005-0000-0000-00002C190000}"/>
    <cellStyle name="20% - Accent4 11 2 7 2" xfId="28946" xr:uid="{00000000-0005-0000-0000-00002D190000}"/>
    <cellStyle name="20% - Accent4 11 2 8" xfId="23214" xr:uid="{00000000-0005-0000-0000-00002E190000}"/>
    <cellStyle name="20% - Accent4 11 2 9" xfId="51768" xr:uid="{00000000-0005-0000-0000-00002F190000}"/>
    <cellStyle name="20% - Accent4 11 3" xfId="429" xr:uid="{00000000-0005-0000-0000-000030190000}"/>
    <cellStyle name="20% - Accent4 11 3 10" xfId="23215" xr:uid="{00000000-0005-0000-0000-000031190000}"/>
    <cellStyle name="20% - Accent4 11 3 11" xfId="51769" xr:uid="{00000000-0005-0000-0000-000032190000}"/>
    <cellStyle name="20% - Accent4 11 3 2" xfId="430" xr:uid="{00000000-0005-0000-0000-000033190000}"/>
    <cellStyle name="20% - Accent4 11 3 2 2" xfId="3656" xr:uid="{00000000-0005-0000-0000-000034190000}"/>
    <cellStyle name="20% - Accent4 11 3 2 2 2" xfId="8276" xr:uid="{00000000-0005-0000-0000-000035190000}"/>
    <cellStyle name="20% - Accent4 11 3 2 2 2 2" xfId="16072" xr:uid="{00000000-0005-0000-0000-000036190000}"/>
    <cellStyle name="20% - Accent4 11 3 2 2 2 2 2" xfId="33707" xr:uid="{00000000-0005-0000-0000-000037190000}"/>
    <cellStyle name="20% - Accent4 11 3 2 2 2 3" xfId="26690" xr:uid="{00000000-0005-0000-0000-000038190000}"/>
    <cellStyle name="20% - Accent4 11 3 2 2 3" xfId="12391" xr:uid="{00000000-0005-0000-0000-000039190000}"/>
    <cellStyle name="20% - Accent4 11 3 2 2 3 2" xfId="30062" xr:uid="{00000000-0005-0000-0000-00003A190000}"/>
    <cellStyle name="20% - Accent4 11 3 2 2 4" xfId="23825" xr:uid="{00000000-0005-0000-0000-00003B190000}"/>
    <cellStyle name="20% - Accent4 11 3 2 3" xfId="5652" xr:uid="{00000000-0005-0000-0000-00003C190000}"/>
    <cellStyle name="20% - Accent4 11 3 2 3 2" xfId="8952" xr:uid="{00000000-0005-0000-0000-00003D190000}"/>
    <cellStyle name="20% - Accent4 11 3 2 3 2 2" xfId="16747" xr:uid="{00000000-0005-0000-0000-00003E190000}"/>
    <cellStyle name="20% - Accent4 11 3 2 3 2 2 2" xfId="34383" xr:uid="{00000000-0005-0000-0000-00003F190000}"/>
    <cellStyle name="20% - Accent4 11 3 2 3 2 3" xfId="27340" xr:uid="{00000000-0005-0000-0000-000040190000}"/>
    <cellStyle name="20% - Accent4 11 3 2 3 3" xfId="13508" xr:uid="{00000000-0005-0000-0000-000041190000}"/>
    <cellStyle name="20% - Accent4 11 3 2 3 3 2" xfId="31148" xr:uid="{00000000-0005-0000-0000-000042190000}"/>
    <cellStyle name="20% - Accent4 11 3 2 3 4" xfId="24475" xr:uid="{00000000-0005-0000-0000-000043190000}"/>
    <cellStyle name="20% - Accent4 11 3 2 4" xfId="6282" xr:uid="{00000000-0005-0000-0000-000044190000}"/>
    <cellStyle name="20% - Accent4 11 3 2 4 2" xfId="9492" xr:uid="{00000000-0005-0000-0000-000045190000}"/>
    <cellStyle name="20% - Accent4 11 3 2 4 2 2" xfId="17286" xr:uid="{00000000-0005-0000-0000-000046190000}"/>
    <cellStyle name="20% - Accent4 11 3 2 4 2 2 2" xfId="34923" xr:uid="{00000000-0005-0000-0000-000047190000}"/>
    <cellStyle name="20% - Accent4 11 3 2 4 2 3" xfId="27876" xr:uid="{00000000-0005-0000-0000-000048190000}"/>
    <cellStyle name="20% - Accent4 11 3 2 4 3" xfId="14071" xr:uid="{00000000-0005-0000-0000-000049190000}"/>
    <cellStyle name="20% - Accent4 11 3 2 4 3 2" xfId="31706" xr:uid="{00000000-0005-0000-0000-00004A190000}"/>
    <cellStyle name="20% - Accent4 11 3 2 4 4" xfId="25012" xr:uid="{00000000-0005-0000-0000-00004B190000}"/>
    <cellStyle name="20% - Accent4 11 3 2 5" xfId="6820" xr:uid="{00000000-0005-0000-0000-00004C190000}"/>
    <cellStyle name="20% - Accent4 11 3 2 5 2" xfId="10030" xr:uid="{00000000-0005-0000-0000-00004D190000}"/>
    <cellStyle name="20% - Accent4 11 3 2 5 2 2" xfId="17823" xr:uid="{00000000-0005-0000-0000-00004E190000}"/>
    <cellStyle name="20% - Accent4 11 3 2 5 2 2 2" xfId="35460" xr:uid="{00000000-0005-0000-0000-00004F190000}"/>
    <cellStyle name="20% - Accent4 11 3 2 5 2 3" xfId="28413" xr:uid="{00000000-0005-0000-0000-000050190000}"/>
    <cellStyle name="20% - Accent4 11 3 2 5 3" xfId="14608" xr:uid="{00000000-0005-0000-0000-000051190000}"/>
    <cellStyle name="20% - Accent4 11 3 2 5 3 2" xfId="32243" xr:uid="{00000000-0005-0000-0000-000052190000}"/>
    <cellStyle name="20% - Accent4 11 3 2 5 4" xfId="25550" xr:uid="{00000000-0005-0000-0000-000053190000}"/>
    <cellStyle name="20% - Accent4 11 3 2 6" xfId="7648" xr:uid="{00000000-0005-0000-0000-000054190000}"/>
    <cellStyle name="20% - Accent4 11 3 2 6 2" xfId="15445" xr:uid="{00000000-0005-0000-0000-000055190000}"/>
    <cellStyle name="20% - Accent4 11 3 2 6 2 2" xfId="33080" xr:uid="{00000000-0005-0000-0000-000056190000}"/>
    <cellStyle name="20% - Accent4 11 3 2 6 3" xfId="26081" xr:uid="{00000000-0005-0000-0000-000057190000}"/>
    <cellStyle name="20% - Accent4 11 3 2 7" xfId="11220" xr:uid="{00000000-0005-0000-0000-000058190000}"/>
    <cellStyle name="20% - Accent4 11 3 2 7 2" xfId="28948" xr:uid="{00000000-0005-0000-0000-000059190000}"/>
    <cellStyle name="20% - Accent4 11 3 2 8" xfId="23216" xr:uid="{00000000-0005-0000-0000-00005A190000}"/>
    <cellStyle name="20% - Accent4 11 3 2 9" xfId="51770" xr:uid="{00000000-0005-0000-0000-00005B190000}"/>
    <cellStyle name="20% - Accent4 11 3 3" xfId="3657" xr:uid="{00000000-0005-0000-0000-00005C190000}"/>
    <cellStyle name="20% - Accent4 11 3 3 2" xfId="5653" xr:uid="{00000000-0005-0000-0000-00005D190000}"/>
    <cellStyle name="20% - Accent4 11 3 3 2 2" xfId="8953" xr:uid="{00000000-0005-0000-0000-00005E190000}"/>
    <cellStyle name="20% - Accent4 11 3 3 2 2 2" xfId="16748" xr:uid="{00000000-0005-0000-0000-00005F190000}"/>
    <cellStyle name="20% - Accent4 11 3 3 2 2 2 2" xfId="34384" xr:uid="{00000000-0005-0000-0000-000060190000}"/>
    <cellStyle name="20% - Accent4 11 3 3 2 2 3" xfId="27341" xr:uid="{00000000-0005-0000-0000-000061190000}"/>
    <cellStyle name="20% - Accent4 11 3 3 2 3" xfId="13509" xr:uid="{00000000-0005-0000-0000-000062190000}"/>
    <cellStyle name="20% - Accent4 11 3 3 2 3 2" xfId="31149" xr:uid="{00000000-0005-0000-0000-000063190000}"/>
    <cellStyle name="20% - Accent4 11 3 3 2 4" xfId="24476" xr:uid="{00000000-0005-0000-0000-000064190000}"/>
    <cellStyle name="20% - Accent4 11 3 3 3" xfId="6283" xr:uid="{00000000-0005-0000-0000-000065190000}"/>
    <cellStyle name="20% - Accent4 11 3 3 3 2" xfId="9493" xr:uid="{00000000-0005-0000-0000-000066190000}"/>
    <cellStyle name="20% - Accent4 11 3 3 3 2 2" xfId="17287" xr:uid="{00000000-0005-0000-0000-000067190000}"/>
    <cellStyle name="20% - Accent4 11 3 3 3 2 2 2" xfId="34924" xr:uid="{00000000-0005-0000-0000-000068190000}"/>
    <cellStyle name="20% - Accent4 11 3 3 3 2 3" xfId="27877" xr:uid="{00000000-0005-0000-0000-000069190000}"/>
    <cellStyle name="20% - Accent4 11 3 3 3 3" xfId="14072" xr:uid="{00000000-0005-0000-0000-00006A190000}"/>
    <cellStyle name="20% - Accent4 11 3 3 3 3 2" xfId="31707" xr:uid="{00000000-0005-0000-0000-00006B190000}"/>
    <cellStyle name="20% - Accent4 11 3 3 3 4" xfId="25013" xr:uid="{00000000-0005-0000-0000-00006C190000}"/>
    <cellStyle name="20% - Accent4 11 3 3 4" xfId="6821" xr:uid="{00000000-0005-0000-0000-00006D190000}"/>
    <cellStyle name="20% - Accent4 11 3 3 4 2" xfId="10031" xr:uid="{00000000-0005-0000-0000-00006E190000}"/>
    <cellStyle name="20% - Accent4 11 3 3 4 2 2" xfId="17824" xr:uid="{00000000-0005-0000-0000-00006F190000}"/>
    <cellStyle name="20% - Accent4 11 3 3 4 2 2 2" xfId="35461" xr:uid="{00000000-0005-0000-0000-000070190000}"/>
    <cellStyle name="20% - Accent4 11 3 3 4 2 3" xfId="28414" xr:uid="{00000000-0005-0000-0000-000071190000}"/>
    <cellStyle name="20% - Accent4 11 3 3 4 3" xfId="14609" xr:uid="{00000000-0005-0000-0000-000072190000}"/>
    <cellStyle name="20% - Accent4 11 3 3 4 3 2" xfId="32244" xr:uid="{00000000-0005-0000-0000-000073190000}"/>
    <cellStyle name="20% - Accent4 11 3 3 4 4" xfId="25551" xr:uid="{00000000-0005-0000-0000-000074190000}"/>
    <cellStyle name="20% - Accent4 11 3 3 5" xfId="8277" xr:uid="{00000000-0005-0000-0000-000075190000}"/>
    <cellStyle name="20% - Accent4 11 3 3 5 2" xfId="16073" xr:uid="{00000000-0005-0000-0000-000076190000}"/>
    <cellStyle name="20% - Accent4 11 3 3 5 2 2" xfId="33708" xr:uid="{00000000-0005-0000-0000-000077190000}"/>
    <cellStyle name="20% - Accent4 11 3 3 5 3" xfId="26691" xr:uid="{00000000-0005-0000-0000-000078190000}"/>
    <cellStyle name="20% - Accent4 11 3 3 6" xfId="12392" xr:uid="{00000000-0005-0000-0000-000079190000}"/>
    <cellStyle name="20% - Accent4 11 3 3 6 2" xfId="30063" xr:uid="{00000000-0005-0000-0000-00007A190000}"/>
    <cellStyle name="20% - Accent4 11 3 3 7" xfId="23826" xr:uid="{00000000-0005-0000-0000-00007B190000}"/>
    <cellStyle name="20% - Accent4 11 3 4" xfId="3655" xr:uid="{00000000-0005-0000-0000-00007C190000}"/>
    <cellStyle name="20% - Accent4 11 3 4 2" xfId="8275" xr:uid="{00000000-0005-0000-0000-00007D190000}"/>
    <cellStyle name="20% - Accent4 11 3 4 2 2" xfId="16071" xr:uid="{00000000-0005-0000-0000-00007E190000}"/>
    <cellStyle name="20% - Accent4 11 3 4 2 2 2" xfId="33706" xr:uid="{00000000-0005-0000-0000-00007F190000}"/>
    <cellStyle name="20% - Accent4 11 3 4 2 3" xfId="26689" xr:uid="{00000000-0005-0000-0000-000080190000}"/>
    <cellStyle name="20% - Accent4 11 3 4 3" xfId="12390" xr:uid="{00000000-0005-0000-0000-000081190000}"/>
    <cellStyle name="20% - Accent4 11 3 4 3 2" xfId="30061" xr:uid="{00000000-0005-0000-0000-000082190000}"/>
    <cellStyle name="20% - Accent4 11 3 4 4" xfId="23824" xr:uid="{00000000-0005-0000-0000-000083190000}"/>
    <cellStyle name="20% - Accent4 11 3 5" xfId="5651" xr:uid="{00000000-0005-0000-0000-000084190000}"/>
    <cellStyle name="20% - Accent4 11 3 5 2" xfId="8951" xr:uid="{00000000-0005-0000-0000-000085190000}"/>
    <cellStyle name="20% - Accent4 11 3 5 2 2" xfId="16746" xr:uid="{00000000-0005-0000-0000-000086190000}"/>
    <cellStyle name="20% - Accent4 11 3 5 2 2 2" xfId="34382" xr:uid="{00000000-0005-0000-0000-000087190000}"/>
    <cellStyle name="20% - Accent4 11 3 5 2 3" xfId="27339" xr:uid="{00000000-0005-0000-0000-000088190000}"/>
    <cellStyle name="20% - Accent4 11 3 5 3" xfId="13507" xr:uid="{00000000-0005-0000-0000-000089190000}"/>
    <cellStyle name="20% - Accent4 11 3 5 3 2" xfId="31147" xr:uid="{00000000-0005-0000-0000-00008A190000}"/>
    <cellStyle name="20% - Accent4 11 3 5 4" xfId="24474" xr:uid="{00000000-0005-0000-0000-00008B190000}"/>
    <cellStyle name="20% - Accent4 11 3 6" xfId="6281" xr:uid="{00000000-0005-0000-0000-00008C190000}"/>
    <cellStyle name="20% - Accent4 11 3 6 2" xfId="9491" xr:uid="{00000000-0005-0000-0000-00008D190000}"/>
    <cellStyle name="20% - Accent4 11 3 6 2 2" xfId="17285" xr:uid="{00000000-0005-0000-0000-00008E190000}"/>
    <cellStyle name="20% - Accent4 11 3 6 2 2 2" xfId="34922" xr:uid="{00000000-0005-0000-0000-00008F190000}"/>
    <cellStyle name="20% - Accent4 11 3 6 2 3" xfId="27875" xr:uid="{00000000-0005-0000-0000-000090190000}"/>
    <cellStyle name="20% - Accent4 11 3 6 3" xfId="14070" xr:uid="{00000000-0005-0000-0000-000091190000}"/>
    <cellStyle name="20% - Accent4 11 3 6 3 2" xfId="31705" xr:uid="{00000000-0005-0000-0000-000092190000}"/>
    <cellStyle name="20% - Accent4 11 3 6 4" xfId="25011" xr:uid="{00000000-0005-0000-0000-000093190000}"/>
    <cellStyle name="20% - Accent4 11 3 7" xfId="6819" xr:uid="{00000000-0005-0000-0000-000094190000}"/>
    <cellStyle name="20% - Accent4 11 3 7 2" xfId="10029" xr:uid="{00000000-0005-0000-0000-000095190000}"/>
    <cellStyle name="20% - Accent4 11 3 7 2 2" xfId="17822" xr:uid="{00000000-0005-0000-0000-000096190000}"/>
    <cellStyle name="20% - Accent4 11 3 7 2 2 2" xfId="35459" xr:uid="{00000000-0005-0000-0000-000097190000}"/>
    <cellStyle name="20% - Accent4 11 3 7 2 3" xfId="28412" xr:uid="{00000000-0005-0000-0000-000098190000}"/>
    <cellStyle name="20% - Accent4 11 3 7 3" xfId="14607" xr:uid="{00000000-0005-0000-0000-000099190000}"/>
    <cellStyle name="20% - Accent4 11 3 7 3 2" xfId="32242" xr:uid="{00000000-0005-0000-0000-00009A190000}"/>
    <cellStyle name="20% - Accent4 11 3 7 4" xfId="25549" xr:uid="{00000000-0005-0000-0000-00009B190000}"/>
    <cellStyle name="20% - Accent4 11 3 8" xfId="7647" xr:uid="{00000000-0005-0000-0000-00009C190000}"/>
    <cellStyle name="20% - Accent4 11 3 8 2" xfId="15444" xr:uid="{00000000-0005-0000-0000-00009D190000}"/>
    <cellStyle name="20% - Accent4 11 3 8 2 2" xfId="33079" xr:uid="{00000000-0005-0000-0000-00009E190000}"/>
    <cellStyle name="20% - Accent4 11 3 8 3" xfId="26080" xr:uid="{00000000-0005-0000-0000-00009F190000}"/>
    <cellStyle name="20% - Accent4 11 3 9" xfId="11219" xr:uid="{00000000-0005-0000-0000-0000A0190000}"/>
    <cellStyle name="20% - Accent4 11 3 9 2" xfId="28947" xr:uid="{00000000-0005-0000-0000-0000A1190000}"/>
    <cellStyle name="20% - Accent4 11 4" xfId="431" xr:uid="{00000000-0005-0000-0000-0000A2190000}"/>
    <cellStyle name="20% - Accent4 11 4 2" xfId="3658" xr:uid="{00000000-0005-0000-0000-0000A3190000}"/>
    <cellStyle name="20% - Accent4 11 4 2 2" xfId="8278" xr:uid="{00000000-0005-0000-0000-0000A4190000}"/>
    <cellStyle name="20% - Accent4 11 4 2 2 2" xfId="16074" xr:uid="{00000000-0005-0000-0000-0000A5190000}"/>
    <cellStyle name="20% - Accent4 11 4 2 2 2 2" xfId="33709" xr:uid="{00000000-0005-0000-0000-0000A6190000}"/>
    <cellStyle name="20% - Accent4 11 4 2 2 3" xfId="26692" xr:uid="{00000000-0005-0000-0000-0000A7190000}"/>
    <cellStyle name="20% - Accent4 11 4 2 3" xfId="12393" xr:uid="{00000000-0005-0000-0000-0000A8190000}"/>
    <cellStyle name="20% - Accent4 11 4 2 3 2" xfId="30064" xr:uid="{00000000-0005-0000-0000-0000A9190000}"/>
    <cellStyle name="20% - Accent4 11 4 2 4" xfId="23827" xr:uid="{00000000-0005-0000-0000-0000AA190000}"/>
    <cellStyle name="20% - Accent4 11 4 3" xfId="5654" xr:uid="{00000000-0005-0000-0000-0000AB190000}"/>
    <cellStyle name="20% - Accent4 11 4 3 2" xfId="8954" xr:uid="{00000000-0005-0000-0000-0000AC190000}"/>
    <cellStyle name="20% - Accent4 11 4 3 2 2" xfId="16749" xr:uid="{00000000-0005-0000-0000-0000AD190000}"/>
    <cellStyle name="20% - Accent4 11 4 3 2 2 2" xfId="34385" xr:uid="{00000000-0005-0000-0000-0000AE190000}"/>
    <cellStyle name="20% - Accent4 11 4 3 2 3" xfId="27342" xr:uid="{00000000-0005-0000-0000-0000AF190000}"/>
    <cellStyle name="20% - Accent4 11 4 3 3" xfId="13510" xr:uid="{00000000-0005-0000-0000-0000B0190000}"/>
    <cellStyle name="20% - Accent4 11 4 3 3 2" xfId="31150" xr:uid="{00000000-0005-0000-0000-0000B1190000}"/>
    <cellStyle name="20% - Accent4 11 4 3 4" xfId="24477" xr:uid="{00000000-0005-0000-0000-0000B2190000}"/>
    <cellStyle name="20% - Accent4 11 4 4" xfId="6284" xr:uid="{00000000-0005-0000-0000-0000B3190000}"/>
    <cellStyle name="20% - Accent4 11 4 4 2" xfId="9494" xr:uid="{00000000-0005-0000-0000-0000B4190000}"/>
    <cellStyle name="20% - Accent4 11 4 4 2 2" xfId="17288" xr:uid="{00000000-0005-0000-0000-0000B5190000}"/>
    <cellStyle name="20% - Accent4 11 4 4 2 2 2" xfId="34925" xr:uid="{00000000-0005-0000-0000-0000B6190000}"/>
    <cellStyle name="20% - Accent4 11 4 4 2 3" xfId="27878" xr:uid="{00000000-0005-0000-0000-0000B7190000}"/>
    <cellStyle name="20% - Accent4 11 4 4 3" xfId="14073" xr:uid="{00000000-0005-0000-0000-0000B8190000}"/>
    <cellStyle name="20% - Accent4 11 4 4 3 2" xfId="31708" xr:uid="{00000000-0005-0000-0000-0000B9190000}"/>
    <cellStyle name="20% - Accent4 11 4 4 4" xfId="25014" xr:uid="{00000000-0005-0000-0000-0000BA190000}"/>
    <cellStyle name="20% - Accent4 11 4 5" xfId="6822" xr:uid="{00000000-0005-0000-0000-0000BB190000}"/>
    <cellStyle name="20% - Accent4 11 4 5 2" xfId="10032" xr:uid="{00000000-0005-0000-0000-0000BC190000}"/>
    <cellStyle name="20% - Accent4 11 4 5 2 2" xfId="17825" xr:uid="{00000000-0005-0000-0000-0000BD190000}"/>
    <cellStyle name="20% - Accent4 11 4 5 2 2 2" xfId="35462" xr:uid="{00000000-0005-0000-0000-0000BE190000}"/>
    <cellStyle name="20% - Accent4 11 4 5 2 3" xfId="28415" xr:uid="{00000000-0005-0000-0000-0000BF190000}"/>
    <cellStyle name="20% - Accent4 11 4 5 3" xfId="14610" xr:uid="{00000000-0005-0000-0000-0000C0190000}"/>
    <cellStyle name="20% - Accent4 11 4 5 3 2" xfId="32245" xr:uid="{00000000-0005-0000-0000-0000C1190000}"/>
    <cellStyle name="20% - Accent4 11 4 5 4" xfId="25552" xr:uid="{00000000-0005-0000-0000-0000C2190000}"/>
    <cellStyle name="20% - Accent4 11 4 6" xfId="7649" xr:uid="{00000000-0005-0000-0000-0000C3190000}"/>
    <cellStyle name="20% - Accent4 11 4 6 2" xfId="15446" xr:uid="{00000000-0005-0000-0000-0000C4190000}"/>
    <cellStyle name="20% - Accent4 11 4 6 2 2" xfId="33081" xr:uid="{00000000-0005-0000-0000-0000C5190000}"/>
    <cellStyle name="20% - Accent4 11 4 6 3" xfId="26082" xr:uid="{00000000-0005-0000-0000-0000C6190000}"/>
    <cellStyle name="20% - Accent4 11 4 7" xfId="11221" xr:uid="{00000000-0005-0000-0000-0000C7190000}"/>
    <cellStyle name="20% - Accent4 11 4 7 2" xfId="28949" xr:uid="{00000000-0005-0000-0000-0000C8190000}"/>
    <cellStyle name="20% - Accent4 11 4 8" xfId="23217" xr:uid="{00000000-0005-0000-0000-0000C9190000}"/>
    <cellStyle name="20% - Accent4 11 4 9" xfId="51771" xr:uid="{00000000-0005-0000-0000-0000CA190000}"/>
    <cellStyle name="20% - Accent4 11 5" xfId="432" xr:uid="{00000000-0005-0000-0000-0000CB190000}"/>
    <cellStyle name="20% - Accent4 11 5 2" xfId="3659" xr:uid="{00000000-0005-0000-0000-0000CC190000}"/>
    <cellStyle name="20% - Accent4 11 5 2 2" xfId="8279" xr:uid="{00000000-0005-0000-0000-0000CD190000}"/>
    <cellStyle name="20% - Accent4 11 5 2 2 2" xfId="16075" xr:uid="{00000000-0005-0000-0000-0000CE190000}"/>
    <cellStyle name="20% - Accent4 11 5 2 2 2 2" xfId="33710" xr:uid="{00000000-0005-0000-0000-0000CF190000}"/>
    <cellStyle name="20% - Accent4 11 5 2 2 3" xfId="26693" xr:uid="{00000000-0005-0000-0000-0000D0190000}"/>
    <cellStyle name="20% - Accent4 11 5 2 3" xfId="12394" xr:uid="{00000000-0005-0000-0000-0000D1190000}"/>
    <cellStyle name="20% - Accent4 11 5 2 3 2" xfId="30065" xr:uid="{00000000-0005-0000-0000-0000D2190000}"/>
    <cellStyle name="20% - Accent4 11 5 2 4" xfId="23828" xr:uid="{00000000-0005-0000-0000-0000D3190000}"/>
    <cellStyle name="20% - Accent4 11 5 3" xfId="5655" xr:uid="{00000000-0005-0000-0000-0000D4190000}"/>
    <cellStyle name="20% - Accent4 11 5 3 2" xfId="8955" xr:uid="{00000000-0005-0000-0000-0000D5190000}"/>
    <cellStyle name="20% - Accent4 11 5 3 2 2" xfId="16750" xr:uid="{00000000-0005-0000-0000-0000D6190000}"/>
    <cellStyle name="20% - Accent4 11 5 3 2 2 2" xfId="34386" xr:uid="{00000000-0005-0000-0000-0000D7190000}"/>
    <cellStyle name="20% - Accent4 11 5 3 2 3" xfId="27343" xr:uid="{00000000-0005-0000-0000-0000D8190000}"/>
    <cellStyle name="20% - Accent4 11 5 3 3" xfId="13511" xr:uid="{00000000-0005-0000-0000-0000D9190000}"/>
    <cellStyle name="20% - Accent4 11 5 3 3 2" xfId="31151" xr:uid="{00000000-0005-0000-0000-0000DA190000}"/>
    <cellStyle name="20% - Accent4 11 5 3 4" xfId="24478" xr:uid="{00000000-0005-0000-0000-0000DB190000}"/>
    <cellStyle name="20% - Accent4 11 5 4" xfId="6285" xr:uid="{00000000-0005-0000-0000-0000DC190000}"/>
    <cellStyle name="20% - Accent4 11 5 4 2" xfId="9495" xr:uid="{00000000-0005-0000-0000-0000DD190000}"/>
    <cellStyle name="20% - Accent4 11 5 4 2 2" xfId="17289" xr:uid="{00000000-0005-0000-0000-0000DE190000}"/>
    <cellStyle name="20% - Accent4 11 5 4 2 2 2" xfId="34926" xr:uid="{00000000-0005-0000-0000-0000DF190000}"/>
    <cellStyle name="20% - Accent4 11 5 4 2 3" xfId="27879" xr:uid="{00000000-0005-0000-0000-0000E0190000}"/>
    <cellStyle name="20% - Accent4 11 5 4 3" xfId="14074" xr:uid="{00000000-0005-0000-0000-0000E1190000}"/>
    <cellStyle name="20% - Accent4 11 5 4 3 2" xfId="31709" xr:uid="{00000000-0005-0000-0000-0000E2190000}"/>
    <cellStyle name="20% - Accent4 11 5 4 4" xfId="25015" xr:uid="{00000000-0005-0000-0000-0000E3190000}"/>
    <cellStyle name="20% - Accent4 11 5 5" xfId="6823" xr:uid="{00000000-0005-0000-0000-0000E4190000}"/>
    <cellStyle name="20% - Accent4 11 5 5 2" xfId="10033" xr:uid="{00000000-0005-0000-0000-0000E5190000}"/>
    <cellStyle name="20% - Accent4 11 5 5 2 2" xfId="17826" xr:uid="{00000000-0005-0000-0000-0000E6190000}"/>
    <cellStyle name="20% - Accent4 11 5 5 2 2 2" xfId="35463" xr:uid="{00000000-0005-0000-0000-0000E7190000}"/>
    <cellStyle name="20% - Accent4 11 5 5 2 3" xfId="28416" xr:uid="{00000000-0005-0000-0000-0000E8190000}"/>
    <cellStyle name="20% - Accent4 11 5 5 3" xfId="14611" xr:uid="{00000000-0005-0000-0000-0000E9190000}"/>
    <cellStyle name="20% - Accent4 11 5 5 3 2" xfId="32246" xr:uid="{00000000-0005-0000-0000-0000EA190000}"/>
    <cellStyle name="20% - Accent4 11 5 5 4" xfId="25553" xr:uid="{00000000-0005-0000-0000-0000EB190000}"/>
    <cellStyle name="20% - Accent4 11 5 6" xfId="7650" xr:uid="{00000000-0005-0000-0000-0000EC190000}"/>
    <cellStyle name="20% - Accent4 11 5 6 2" xfId="15447" xr:uid="{00000000-0005-0000-0000-0000ED190000}"/>
    <cellStyle name="20% - Accent4 11 5 6 2 2" xfId="33082" xr:uid="{00000000-0005-0000-0000-0000EE190000}"/>
    <cellStyle name="20% - Accent4 11 5 6 3" xfId="26083" xr:uid="{00000000-0005-0000-0000-0000EF190000}"/>
    <cellStyle name="20% - Accent4 11 5 7" xfId="11222" xr:uid="{00000000-0005-0000-0000-0000F0190000}"/>
    <cellStyle name="20% - Accent4 11 5 7 2" xfId="28950" xr:uid="{00000000-0005-0000-0000-0000F1190000}"/>
    <cellStyle name="20% - Accent4 11 5 8" xfId="23218" xr:uid="{00000000-0005-0000-0000-0000F2190000}"/>
    <cellStyle name="20% - Accent4 11 5 9" xfId="51772" xr:uid="{00000000-0005-0000-0000-0000F3190000}"/>
    <cellStyle name="20% - Accent4 11 6" xfId="433" xr:uid="{00000000-0005-0000-0000-0000F4190000}"/>
    <cellStyle name="20% - Accent4 11 6 2" xfId="3660" xr:uid="{00000000-0005-0000-0000-0000F5190000}"/>
    <cellStyle name="20% - Accent4 11 6 2 2" xfId="8280" xr:uid="{00000000-0005-0000-0000-0000F6190000}"/>
    <cellStyle name="20% - Accent4 11 6 2 2 2" xfId="16076" xr:uid="{00000000-0005-0000-0000-0000F7190000}"/>
    <cellStyle name="20% - Accent4 11 6 2 2 2 2" xfId="33711" xr:uid="{00000000-0005-0000-0000-0000F8190000}"/>
    <cellStyle name="20% - Accent4 11 6 2 2 3" xfId="26694" xr:uid="{00000000-0005-0000-0000-0000F9190000}"/>
    <cellStyle name="20% - Accent4 11 6 2 3" xfId="12395" xr:uid="{00000000-0005-0000-0000-0000FA190000}"/>
    <cellStyle name="20% - Accent4 11 6 2 3 2" xfId="30066" xr:uid="{00000000-0005-0000-0000-0000FB190000}"/>
    <cellStyle name="20% - Accent4 11 6 2 4" xfId="23829" xr:uid="{00000000-0005-0000-0000-0000FC190000}"/>
    <cellStyle name="20% - Accent4 11 6 3" xfId="5656" xr:uid="{00000000-0005-0000-0000-0000FD190000}"/>
    <cellStyle name="20% - Accent4 11 6 3 2" xfId="8956" xr:uid="{00000000-0005-0000-0000-0000FE190000}"/>
    <cellStyle name="20% - Accent4 11 6 3 2 2" xfId="16751" xr:uid="{00000000-0005-0000-0000-0000FF190000}"/>
    <cellStyle name="20% - Accent4 11 6 3 2 2 2" xfId="34387" xr:uid="{00000000-0005-0000-0000-0000001A0000}"/>
    <cellStyle name="20% - Accent4 11 6 3 2 3" xfId="27344" xr:uid="{00000000-0005-0000-0000-0000011A0000}"/>
    <cellStyle name="20% - Accent4 11 6 3 3" xfId="13512" xr:uid="{00000000-0005-0000-0000-0000021A0000}"/>
    <cellStyle name="20% - Accent4 11 6 3 3 2" xfId="31152" xr:uid="{00000000-0005-0000-0000-0000031A0000}"/>
    <cellStyle name="20% - Accent4 11 6 3 4" xfId="24479" xr:uid="{00000000-0005-0000-0000-0000041A0000}"/>
    <cellStyle name="20% - Accent4 11 6 4" xfId="6286" xr:uid="{00000000-0005-0000-0000-0000051A0000}"/>
    <cellStyle name="20% - Accent4 11 6 4 2" xfId="9496" xr:uid="{00000000-0005-0000-0000-0000061A0000}"/>
    <cellStyle name="20% - Accent4 11 6 4 2 2" xfId="17290" xr:uid="{00000000-0005-0000-0000-0000071A0000}"/>
    <cellStyle name="20% - Accent4 11 6 4 2 2 2" xfId="34927" xr:uid="{00000000-0005-0000-0000-0000081A0000}"/>
    <cellStyle name="20% - Accent4 11 6 4 2 3" xfId="27880" xr:uid="{00000000-0005-0000-0000-0000091A0000}"/>
    <cellStyle name="20% - Accent4 11 6 4 3" xfId="14075" xr:uid="{00000000-0005-0000-0000-00000A1A0000}"/>
    <cellStyle name="20% - Accent4 11 6 4 3 2" xfId="31710" xr:uid="{00000000-0005-0000-0000-00000B1A0000}"/>
    <cellStyle name="20% - Accent4 11 6 4 4" xfId="25016" xr:uid="{00000000-0005-0000-0000-00000C1A0000}"/>
    <cellStyle name="20% - Accent4 11 6 5" xfId="6824" xr:uid="{00000000-0005-0000-0000-00000D1A0000}"/>
    <cellStyle name="20% - Accent4 11 6 5 2" xfId="10034" xr:uid="{00000000-0005-0000-0000-00000E1A0000}"/>
    <cellStyle name="20% - Accent4 11 6 5 2 2" xfId="17827" xr:uid="{00000000-0005-0000-0000-00000F1A0000}"/>
    <cellStyle name="20% - Accent4 11 6 5 2 2 2" xfId="35464" xr:uid="{00000000-0005-0000-0000-0000101A0000}"/>
    <cellStyle name="20% - Accent4 11 6 5 2 3" xfId="28417" xr:uid="{00000000-0005-0000-0000-0000111A0000}"/>
    <cellStyle name="20% - Accent4 11 6 5 3" xfId="14612" xr:uid="{00000000-0005-0000-0000-0000121A0000}"/>
    <cellStyle name="20% - Accent4 11 6 5 3 2" xfId="32247" xr:uid="{00000000-0005-0000-0000-0000131A0000}"/>
    <cellStyle name="20% - Accent4 11 6 5 4" xfId="25554" xr:uid="{00000000-0005-0000-0000-0000141A0000}"/>
    <cellStyle name="20% - Accent4 11 6 6" xfId="7651" xr:uid="{00000000-0005-0000-0000-0000151A0000}"/>
    <cellStyle name="20% - Accent4 11 6 6 2" xfId="15448" xr:uid="{00000000-0005-0000-0000-0000161A0000}"/>
    <cellStyle name="20% - Accent4 11 6 6 2 2" xfId="33083" xr:uid="{00000000-0005-0000-0000-0000171A0000}"/>
    <cellStyle name="20% - Accent4 11 6 6 3" xfId="26084" xr:uid="{00000000-0005-0000-0000-0000181A0000}"/>
    <cellStyle name="20% - Accent4 11 6 7" xfId="11223" xr:uid="{00000000-0005-0000-0000-0000191A0000}"/>
    <cellStyle name="20% - Accent4 11 6 7 2" xfId="28951" xr:uid="{00000000-0005-0000-0000-00001A1A0000}"/>
    <cellStyle name="20% - Accent4 11 6 8" xfId="23219" xr:uid="{00000000-0005-0000-0000-00001B1A0000}"/>
    <cellStyle name="20% - Accent4 11 6 9" xfId="51773" xr:uid="{00000000-0005-0000-0000-00001C1A0000}"/>
    <cellStyle name="20% - Accent4 11 7" xfId="434" xr:uid="{00000000-0005-0000-0000-00001D1A0000}"/>
    <cellStyle name="20% - Accent4 11 7 10" xfId="51774" xr:uid="{00000000-0005-0000-0000-00001E1A0000}"/>
    <cellStyle name="20% - Accent4 11 7 2" xfId="435" xr:uid="{00000000-0005-0000-0000-00001F1A0000}"/>
    <cellStyle name="20% - Accent4 11 7 2 2" xfId="8282" xr:uid="{00000000-0005-0000-0000-0000201A0000}"/>
    <cellStyle name="20% - Accent4 11 7 2 2 2" xfId="16078" xr:uid="{00000000-0005-0000-0000-0000211A0000}"/>
    <cellStyle name="20% - Accent4 11 7 2 2 2 2" xfId="33713" xr:uid="{00000000-0005-0000-0000-0000221A0000}"/>
    <cellStyle name="20% - Accent4 11 7 2 2 3" xfId="26696" xr:uid="{00000000-0005-0000-0000-0000231A0000}"/>
    <cellStyle name="20% - Accent4 11 7 2 3" xfId="12397" xr:uid="{00000000-0005-0000-0000-0000241A0000}"/>
    <cellStyle name="20% - Accent4 11 7 2 3 2" xfId="30068" xr:uid="{00000000-0005-0000-0000-0000251A0000}"/>
    <cellStyle name="20% - Accent4 11 7 2 4" xfId="23831" xr:uid="{00000000-0005-0000-0000-0000261A0000}"/>
    <cellStyle name="20% - Accent4 11 7 3" xfId="3661" xr:uid="{00000000-0005-0000-0000-0000271A0000}"/>
    <cellStyle name="20% - Accent4 11 7 3 2" xfId="8281" xr:uid="{00000000-0005-0000-0000-0000281A0000}"/>
    <cellStyle name="20% - Accent4 11 7 3 2 2" xfId="16077" xr:uid="{00000000-0005-0000-0000-0000291A0000}"/>
    <cellStyle name="20% - Accent4 11 7 3 2 2 2" xfId="33712" xr:uid="{00000000-0005-0000-0000-00002A1A0000}"/>
    <cellStyle name="20% - Accent4 11 7 3 2 3" xfId="26695" xr:uid="{00000000-0005-0000-0000-00002B1A0000}"/>
    <cellStyle name="20% - Accent4 11 7 3 3" xfId="12396" xr:uid="{00000000-0005-0000-0000-00002C1A0000}"/>
    <cellStyle name="20% - Accent4 11 7 3 3 2" xfId="30067" xr:uid="{00000000-0005-0000-0000-00002D1A0000}"/>
    <cellStyle name="20% - Accent4 11 7 3 4" xfId="23830" xr:uid="{00000000-0005-0000-0000-00002E1A0000}"/>
    <cellStyle name="20% - Accent4 11 7 4" xfId="5657" xr:uid="{00000000-0005-0000-0000-00002F1A0000}"/>
    <cellStyle name="20% - Accent4 11 7 4 2" xfId="8957" xr:uid="{00000000-0005-0000-0000-0000301A0000}"/>
    <cellStyle name="20% - Accent4 11 7 4 2 2" xfId="16752" xr:uid="{00000000-0005-0000-0000-0000311A0000}"/>
    <cellStyle name="20% - Accent4 11 7 4 2 2 2" xfId="34388" xr:uid="{00000000-0005-0000-0000-0000321A0000}"/>
    <cellStyle name="20% - Accent4 11 7 4 2 3" xfId="27345" xr:uid="{00000000-0005-0000-0000-0000331A0000}"/>
    <cellStyle name="20% - Accent4 11 7 4 3" xfId="13513" xr:uid="{00000000-0005-0000-0000-0000341A0000}"/>
    <cellStyle name="20% - Accent4 11 7 4 3 2" xfId="31153" xr:uid="{00000000-0005-0000-0000-0000351A0000}"/>
    <cellStyle name="20% - Accent4 11 7 4 4" xfId="24480" xr:uid="{00000000-0005-0000-0000-0000361A0000}"/>
    <cellStyle name="20% - Accent4 11 7 5" xfId="6287" xr:uid="{00000000-0005-0000-0000-0000371A0000}"/>
    <cellStyle name="20% - Accent4 11 7 5 2" xfId="9497" xr:uid="{00000000-0005-0000-0000-0000381A0000}"/>
    <cellStyle name="20% - Accent4 11 7 5 2 2" xfId="17291" xr:uid="{00000000-0005-0000-0000-0000391A0000}"/>
    <cellStyle name="20% - Accent4 11 7 5 2 2 2" xfId="34928" xr:uid="{00000000-0005-0000-0000-00003A1A0000}"/>
    <cellStyle name="20% - Accent4 11 7 5 2 3" xfId="27881" xr:uid="{00000000-0005-0000-0000-00003B1A0000}"/>
    <cellStyle name="20% - Accent4 11 7 5 3" xfId="14076" xr:uid="{00000000-0005-0000-0000-00003C1A0000}"/>
    <cellStyle name="20% - Accent4 11 7 5 3 2" xfId="31711" xr:uid="{00000000-0005-0000-0000-00003D1A0000}"/>
    <cellStyle name="20% - Accent4 11 7 5 4" xfId="25017" xr:uid="{00000000-0005-0000-0000-00003E1A0000}"/>
    <cellStyle name="20% - Accent4 11 7 6" xfId="6825" xr:uid="{00000000-0005-0000-0000-00003F1A0000}"/>
    <cellStyle name="20% - Accent4 11 7 6 2" xfId="10035" xr:uid="{00000000-0005-0000-0000-0000401A0000}"/>
    <cellStyle name="20% - Accent4 11 7 6 2 2" xfId="17828" xr:uid="{00000000-0005-0000-0000-0000411A0000}"/>
    <cellStyle name="20% - Accent4 11 7 6 2 2 2" xfId="35465" xr:uid="{00000000-0005-0000-0000-0000421A0000}"/>
    <cellStyle name="20% - Accent4 11 7 6 2 3" xfId="28418" xr:uid="{00000000-0005-0000-0000-0000431A0000}"/>
    <cellStyle name="20% - Accent4 11 7 6 3" xfId="14613" xr:uid="{00000000-0005-0000-0000-0000441A0000}"/>
    <cellStyle name="20% - Accent4 11 7 6 3 2" xfId="32248" xr:uid="{00000000-0005-0000-0000-0000451A0000}"/>
    <cellStyle name="20% - Accent4 11 7 6 4" xfId="25555" xr:uid="{00000000-0005-0000-0000-0000461A0000}"/>
    <cellStyle name="20% - Accent4 11 7 7" xfId="7652" xr:uid="{00000000-0005-0000-0000-0000471A0000}"/>
    <cellStyle name="20% - Accent4 11 7 7 2" xfId="15449" xr:uid="{00000000-0005-0000-0000-0000481A0000}"/>
    <cellStyle name="20% - Accent4 11 7 7 2 2" xfId="33084" xr:uid="{00000000-0005-0000-0000-0000491A0000}"/>
    <cellStyle name="20% - Accent4 11 7 7 3" xfId="26085" xr:uid="{00000000-0005-0000-0000-00004A1A0000}"/>
    <cellStyle name="20% - Accent4 11 7 8" xfId="11224" xr:uid="{00000000-0005-0000-0000-00004B1A0000}"/>
    <cellStyle name="20% - Accent4 11 7 8 2" xfId="28952" xr:uid="{00000000-0005-0000-0000-00004C1A0000}"/>
    <cellStyle name="20% - Accent4 11 7 9" xfId="23220" xr:uid="{00000000-0005-0000-0000-00004D1A0000}"/>
    <cellStyle name="20% - Accent4 11 8" xfId="3662" xr:uid="{00000000-0005-0000-0000-00004E1A0000}"/>
    <cellStyle name="20% - Accent4 11 8 2" xfId="8283" xr:uid="{00000000-0005-0000-0000-00004F1A0000}"/>
    <cellStyle name="20% - Accent4 11 8 2 2" xfId="16079" xr:uid="{00000000-0005-0000-0000-0000501A0000}"/>
    <cellStyle name="20% - Accent4 11 8 2 2 2" xfId="33714" xr:uid="{00000000-0005-0000-0000-0000511A0000}"/>
    <cellStyle name="20% - Accent4 11 8 2 3" xfId="26697" xr:uid="{00000000-0005-0000-0000-0000521A0000}"/>
    <cellStyle name="20% - Accent4 11 8 3" xfId="12398" xr:uid="{00000000-0005-0000-0000-0000531A0000}"/>
    <cellStyle name="20% - Accent4 11 8 3 2" xfId="30069" xr:uid="{00000000-0005-0000-0000-0000541A0000}"/>
    <cellStyle name="20% - Accent4 11 8 4" xfId="23832" xr:uid="{00000000-0005-0000-0000-0000551A0000}"/>
    <cellStyle name="20% - Accent4 11 9" xfId="3663" xr:uid="{00000000-0005-0000-0000-0000561A0000}"/>
    <cellStyle name="20% - Accent4 11 9 2" xfId="8284" xr:uid="{00000000-0005-0000-0000-0000571A0000}"/>
    <cellStyle name="20% - Accent4 11 9 2 2" xfId="16080" xr:uid="{00000000-0005-0000-0000-0000581A0000}"/>
    <cellStyle name="20% - Accent4 11 9 2 2 2" xfId="33715" xr:uid="{00000000-0005-0000-0000-0000591A0000}"/>
    <cellStyle name="20% - Accent4 11 9 2 3" xfId="26698" xr:uid="{00000000-0005-0000-0000-00005A1A0000}"/>
    <cellStyle name="20% - Accent4 11 9 3" xfId="12399" xr:uid="{00000000-0005-0000-0000-00005B1A0000}"/>
    <cellStyle name="20% - Accent4 11 9 3 2" xfId="30070" xr:uid="{00000000-0005-0000-0000-00005C1A0000}"/>
    <cellStyle name="20% - Accent4 11 9 4" xfId="23833" xr:uid="{00000000-0005-0000-0000-00005D1A0000}"/>
    <cellStyle name="20% - Accent4 12" xfId="436" xr:uid="{00000000-0005-0000-0000-00005E1A0000}"/>
    <cellStyle name="20% - Accent4 12 2" xfId="3664" xr:uid="{00000000-0005-0000-0000-00005F1A0000}"/>
    <cellStyle name="20% - Accent4 12 2 2" xfId="8285" xr:uid="{00000000-0005-0000-0000-0000601A0000}"/>
    <cellStyle name="20% - Accent4 12 2 2 2" xfId="16081" xr:uid="{00000000-0005-0000-0000-0000611A0000}"/>
    <cellStyle name="20% - Accent4 12 2 2 2 2" xfId="33716" xr:uid="{00000000-0005-0000-0000-0000621A0000}"/>
    <cellStyle name="20% - Accent4 12 2 2 3" xfId="26699" xr:uid="{00000000-0005-0000-0000-0000631A0000}"/>
    <cellStyle name="20% - Accent4 12 2 3" xfId="12400" xr:uid="{00000000-0005-0000-0000-0000641A0000}"/>
    <cellStyle name="20% - Accent4 12 2 3 2" xfId="30071" xr:uid="{00000000-0005-0000-0000-0000651A0000}"/>
    <cellStyle name="20% - Accent4 12 2 4" xfId="22068" xr:uid="{00000000-0005-0000-0000-0000661A0000}"/>
    <cellStyle name="20% - Accent4 12 2 4 2" xfId="38776" xr:uid="{00000000-0005-0000-0000-0000671A0000}"/>
    <cellStyle name="20% - Accent4 12 2 5" xfId="23834" xr:uid="{00000000-0005-0000-0000-0000681A0000}"/>
    <cellStyle name="20% - Accent4 12 3" xfId="7653" xr:uid="{00000000-0005-0000-0000-0000691A0000}"/>
    <cellStyle name="20% - Accent4 12 3 2" xfId="15450" xr:uid="{00000000-0005-0000-0000-00006A1A0000}"/>
    <cellStyle name="20% - Accent4 12 3 2 2" xfId="33085" xr:uid="{00000000-0005-0000-0000-00006B1A0000}"/>
    <cellStyle name="20% - Accent4 12 3 3" xfId="26086" xr:uid="{00000000-0005-0000-0000-00006C1A0000}"/>
    <cellStyle name="20% - Accent4 12 4" xfId="11225" xr:uid="{00000000-0005-0000-0000-00006D1A0000}"/>
    <cellStyle name="20% - Accent4 12 4 2" xfId="28953" xr:uid="{00000000-0005-0000-0000-00006E1A0000}"/>
    <cellStyle name="20% - Accent4 12 5" xfId="22067" xr:uid="{00000000-0005-0000-0000-00006F1A0000}"/>
    <cellStyle name="20% - Accent4 12 5 2" xfId="38775" xr:uid="{00000000-0005-0000-0000-0000701A0000}"/>
    <cellStyle name="20% - Accent4 12 6" xfId="23221" xr:uid="{00000000-0005-0000-0000-0000711A0000}"/>
    <cellStyle name="20% - Accent4 12 7" xfId="51775" xr:uid="{00000000-0005-0000-0000-0000721A0000}"/>
    <cellStyle name="20% - Accent4 13" xfId="18875" xr:uid="{00000000-0005-0000-0000-0000731A0000}"/>
    <cellStyle name="20% - Accent4 13 2" xfId="22069" xr:uid="{00000000-0005-0000-0000-0000741A0000}"/>
    <cellStyle name="20% - Accent4 13 2 2" xfId="38777" xr:uid="{00000000-0005-0000-0000-0000751A0000}"/>
    <cellStyle name="20% - Accent4 13 3" xfId="36512" xr:uid="{00000000-0005-0000-0000-0000761A0000}"/>
    <cellStyle name="20% - Accent4 14" xfId="15300" xr:uid="{00000000-0005-0000-0000-0000771A0000}"/>
    <cellStyle name="20% - Accent4 14 2" xfId="22070" xr:uid="{00000000-0005-0000-0000-0000781A0000}"/>
    <cellStyle name="20% - Accent4 14 3" xfId="32935" xr:uid="{00000000-0005-0000-0000-0000791A0000}"/>
    <cellStyle name="20% - Accent4 15" xfId="22687" xr:uid="{00000000-0005-0000-0000-00007A1A0000}"/>
    <cellStyle name="20% - Accent4 15 2" xfId="38907" xr:uid="{00000000-0005-0000-0000-00007B1A0000}"/>
    <cellStyle name="20% - Accent4 16" xfId="22064" xr:uid="{00000000-0005-0000-0000-00007C1A0000}"/>
    <cellStyle name="20% - Accent4 17" xfId="23074" xr:uid="{00000000-0005-0000-0000-00007D1A0000}"/>
    <cellStyle name="20% - Accent4 18" xfId="51486" xr:uid="{00000000-0005-0000-0000-00007E1A0000}"/>
    <cellStyle name="20% - Accent4 19" xfId="51499" xr:uid="{00000000-0005-0000-0000-00007F1A0000}"/>
    <cellStyle name="20% - Accent4 2" xfId="10" xr:uid="{00000000-0005-0000-0000-0000801A0000}"/>
    <cellStyle name="20% - Accent4 2 10" xfId="438" xr:uid="{00000000-0005-0000-0000-0000811A0000}"/>
    <cellStyle name="20% - Accent4 2 11" xfId="439" xr:uid="{00000000-0005-0000-0000-0000821A0000}"/>
    <cellStyle name="20% - Accent4 2 12" xfId="440" xr:uid="{00000000-0005-0000-0000-0000831A0000}"/>
    <cellStyle name="20% - Accent4 2 13" xfId="441" xr:uid="{00000000-0005-0000-0000-0000841A0000}"/>
    <cellStyle name="20% - Accent4 2 14" xfId="442" xr:uid="{00000000-0005-0000-0000-0000851A0000}"/>
    <cellStyle name="20% - Accent4 2 15" xfId="3665" xr:uid="{00000000-0005-0000-0000-0000861A0000}"/>
    <cellStyle name="20% - Accent4 2 16" xfId="3666" xr:uid="{00000000-0005-0000-0000-0000871A0000}"/>
    <cellStyle name="20% - Accent4 2 17" xfId="3667" xr:uid="{00000000-0005-0000-0000-0000881A0000}"/>
    <cellStyle name="20% - Accent4 2 18" xfId="437" xr:uid="{00000000-0005-0000-0000-0000891A0000}"/>
    <cellStyle name="20% - Accent4 2 2" xfId="443" xr:uid="{00000000-0005-0000-0000-00008A1A0000}"/>
    <cellStyle name="20% - Accent4 2 2 2" xfId="444" xr:uid="{00000000-0005-0000-0000-00008B1A0000}"/>
    <cellStyle name="20% - Accent4 2 2 3" xfId="445" xr:uid="{00000000-0005-0000-0000-00008C1A0000}"/>
    <cellStyle name="20% - Accent4 2 2 4" xfId="3668" xr:uid="{00000000-0005-0000-0000-00008D1A0000}"/>
    <cellStyle name="20% - Accent4 2 2 5" xfId="3669" xr:uid="{00000000-0005-0000-0000-00008E1A0000}"/>
    <cellStyle name="20% - Accent4 2 2_Sheet1" xfId="446" xr:uid="{00000000-0005-0000-0000-00008F1A0000}"/>
    <cellStyle name="20% - Accent4 2 3" xfId="447" xr:uid="{00000000-0005-0000-0000-0000901A0000}"/>
    <cellStyle name="20% - Accent4 2 4" xfId="448" xr:uid="{00000000-0005-0000-0000-0000911A0000}"/>
    <cellStyle name="20% - Accent4 2 5" xfId="449" xr:uid="{00000000-0005-0000-0000-0000921A0000}"/>
    <cellStyle name="20% - Accent4 2 6" xfId="450" xr:uid="{00000000-0005-0000-0000-0000931A0000}"/>
    <cellStyle name="20% - Accent4 2 7" xfId="451" xr:uid="{00000000-0005-0000-0000-0000941A0000}"/>
    <cellStyle name="20% - Accent4 2 8" xfId="452" xr:uid="{00000000-0005-0000-0000-0000951A0000}"/>
    <cellStyle name="20% - Accent4 2 9" xfId="453" xr:uid="{00000000-0005-0000-0000-0000961A0000}"/>
    <cellStyle name="20% - Accent4 2_BallGrid" xfId="454" xr:uid="{00000000-0005-0000-0000-0000971A0000}"/>
    <cellStyle name="20% - Accent4 20" xfId="51512" xr:uid="{00000000-0005-0000-0000-0000981A0000}"/>
    <cellStyle name="20% - Accent4 3" xfId="11" xr:uid="{00000000-0005-0000-0000-0000991A0000}"/>
    <cellStyle name="20% - Accent4 3 10" xfId="455" xr:uid="{00000000-0005-0000-0000-00009A1A0000}"/>
    <cellStyle name="20% - Accent4 3 2" xfId="456" xr:uid="{00000000-0005-0000-0000-00009B1A0000}"/>
    <cellStyle name="20% - Accent4 3 3" xfId="457" xr:uid="{00000000-0005-0000-0000-00009C1A0000}"/>
    <cellStyle name="20% - Accent4 3 4" xfId="458" xr:uid="{00000000-0005-0000-0000-00009D1A0000}"/>
    <cellStyle name="20% - Accent4 3 5" xfId="459" xr:uid="{00000000-0005-0000-0000-00009E1A0000}"/>
    <cellStyle name="20% - Accent4 3 6" xfId="460" xr:uid="{00000000-0005-0000-0000-00009F1A0000}"/>
    <cellStyle name="20% - Accent4 3 7" xfId="3670" xr:uid="{00000000-0005-0000-0000-0000A01A0000}"/>
    <cellStyle name="20% - Accent4 3 8" xfId="3671" xr:uid="{00000000-0005-0000-0000-0000A11A0000}"/>
    <cellStyle name="20% - Accent4 3 9" xfId="3672" xr:uid="{00000000-0005-0000-0000-0000A21A0000}"/>
    <cellStyle name="20% - Accent4 3_BallGrid" xfId="461" xr:uid="{00000000-0005-0000-0000-0000A31A0000}"/>
    <cellStyle name="20% - Accent4 4" xfId="12" xr:uid="{00000000-0005-0000-0000-0000A41A0000}"/>
    <cellStyle name="20% - Accent4 4 2" xfId="463" xr:uid="{00000000-0005-0000-0000-0000A51A0000}"/>
    <cellStyle name="20% - Accent4 4 2 2" xfId="22839" xr:uid="{00000000-0005-0000-0000-0000A61A0000}"/>
    <cellStyle name="20% - Accent4 4 3" xfId="464" xr:uid="{00000000-0005-0000-0000-0000A71A0000}"/>
    <cellStyle name="20% - Accent4 4 3 2" xfId="22071" xr:uid="{00000000-0005-0000-0000-0000A81A0000}"/>
    <cellStyle name="20% - Accent4 4 4" xfId="465" xr:uid="{00000000-0005-0000-0000-0000A91A0000}"/>
    <cellStyle name="20% - Accent4 4 5" xfId="466" xr:uid="{00000000-0005-0000-0000-0000AA1A0000}"/>
    <cellStyle name="20% - Accent4 4 6" xfId="3673" xr:uid="{00000000-0005-0000-0000-0000AB1A0000}"/>
    <cellStyle name="20% - Accent4 4 7" xfId="3674" xr:uid="{00000000-0005-0000-0000-0000AC1A0000}"/>
    <cellStyle name="20% - Accent4 4 8" xfId="3675" xr:uid="{00000000-0005-0000-0000-0000AD1A0000}"/>
    <cellStyle name="20% - Accent4 4 9" xfId="462" xr:uid="{00000000-0005-0000-0000-0000AE1A0000}"/>
    <cellStyle name="20% - Accent4 5" xfId="467" xr:uid="{00000000-0005-0000-0000-0000AF1A0000}"/>
    <cellStyle name="20% - Accent4 5 10" xfId="3677" xr:uid="{00000000-0005-0000-0000-0000B01A0000}"/>
    <cellStyle name="20% - Accent4 5 10 2" xfId="8287" xr:uid="{00000000-0005-0000-0000-0000B11A0000}"/>
    <cellStyle name="20% - Accent4 5 10 2 2" xfId="16083" xr:uid="{00000000-0005-0000-0000-0000B21A0000}"/>
    <cellStyle name="20% - Accent4 5 10 2 2 2" xfId="33718" xr:uid="{00000000-0005-0000-0000-0000B31A0000}"/>
    <cellStyle name="20% - Accent4 5 10 2 3" xfId="26701" xr:uid="{00000000-0005-0000-0000-0000B41A0000}"/>
    <cellStyle name="20% - Accent4 5 10 3" xfId="12404" xr:uid="{00000000-0005-0000-0000-0000B51A0000}"/>
    <cellStyle name="20% - Accent4 5 10 3 2" xfId="30075" xr:uid="{00000000-0005-0000-0000-0000B61A0000}"/>
    <cellStyle name="20% - Accent4 5 10 4" xfId="23836" xr:uid="{00000000-0005-0000-0000-0000B71A0000}"/>
    <cellStyle name="20% - Accent4 5 11" xfId="3676" xr:uid="{00000000-0005-0000-0000-0000B81A0000}"/>
    <cellStyle name="20% - Accent4 5 11 2" xfId="8286" xr:uid="{00000000-0005-0000-0000-0000B91A0000}"/>
    <cellStyle name="20% - Accent4 5 11 2 2" xfId="16082" xr:uid="{00000000-0005-0000-0000-0000BA1A0000}"/>
    <cellStyle name="20% - Accent4 5 11 2 2 2" xfId="33717" xr:uid="{00000000-0005-0000-0000-0000BB1A0000}"/>
    <cellStyle name="20% - Accent4 5 11 2 3" xfId="26700" xr:uid="{00000000-0005-0000-0000-0000BC1A0000}"/>
    <cellStyle name="20% - Accent4 5 11 3" xfId="12403" xr:uid="{00000000-0005-0000-0000-0000BD1A0000}"/>
    <cellStyle name="20% - Accent4 5 11 3 2" xfId="30074" xr:uid="{00000000-0005-0000-0000-0000BE1A0000}"/>
    <cellStyle name="20% - Accent4 5 11 4" xfId="23835" xr:uid="{00000000-0005-0000-0000-0000BF1A0000}"/>
    <cellStyle name="20% - Accent4 5 12" xfId="5658" xr:uid="{00000000-0005-0000-0000-0000C01A0000}"/>
    <cellStyle name="20% - Accent4 5 12 2" xfId="8958" xr:uid="{00000000-0005-0000-0000-0000C11A0000}"/>
    <cellStyle name="20% - Accent4 5 12 2 2" xfId="16753" xr:uid="{00000000-0005-0000-0000-0000C21A0000}"/>
    <cellStyle name="20% - Accent4 5 12 2 2 2" xfId="34389" xr:uid="{00000000-0005-0000-0000-0000C31A0000}"/>
    <cellStyle name="20% - Accent4 5 12 2 3" xfId="27346" xr:uid="{00000000-0005-0000-0000-0000C41A0000}"/>
    <cellStyle name="20% - Accent4 5 12 3" xfId="13514" xr:uid="{00000000-0005-0000-0000-0000C51A0000}"/>
    <cellStyle name="20% - Accent4 5 12 3 2" xfId="31154" xr:uid="{00000000-0005-0000-0000-0000C61A0000}"/>
    <cellStyle name="20% - Accent4 5 12 4" xfId="24481" xr:uid="{00000000-0005-0000-0000-0000C71A0000}"/>
    <cellStyle name="20% - Accent4 5 13" xfId="6288" xr:uid="{00000000-0005-0000-0000-0000C81A0000}"/>
    <cellStyle name="20% - Accent4 5 13 2" xfId="9498" xr:uid="{00000000-0005-0000-0000-0000C91A0000}"/>
    <cellStyle name="20% - Accent4 5 13 2 2" xfId="17292" xr:uid="{00000000-0005-0000-0000-0000CA1A0000}"/>
    <cellStyle name="20% - Accent4 5 13 2 2 2" xfId="34929" xr:uid="{00000000-0005-0000-0000-0000CB1A0000}"/>
    <cellStyle name="20% - Accent4 5 13 2 3" xfId="27882" xr:uid="{00000000-0005-0000-0000-0000CC1A0000}"/>
    <cellStyle name="20% - Accent4 5 13 3" xfId="14077" xr:uid="{00000000-0005-0000-0000-0000CD1A0000}"/>
    <cellStyle name="20% - Accent4 5 13 3 2" xfId="31712" xr:uid="{00000000-0005-0000-0000-0000CE1A0000}"/>
    <cellStyle name="20% - Accent4 5 13 4" xfId="25018" xr:uid="{00000000-0005-0000-0000-0000CF1A0000}"/>
    <cellStyle name="20% - Accent4 5 14" xfId="6826" xr:uid="{00000000-0005-0000-0000-0000D01A0000}"/>
    <cellStyle name="20% - Accent4 5 14 2" xfId="10036" xr:uid="{00000000-0005-0000-0000-0000D11A0000}"/>
    <cellStyle name="20% - Accent4 5 14 2 2" xfId="17829" xr:uid="{00000000-0005-0000-0000-0000D21A0000}"/>
    <cellStyle name="20% - Accent4 5 14 2 2 2" xfId="35466" xr:uid="{00000000-0005-0000-0000-0000D31A0000}"/>
    <cellStyle name="20% - Accent4 5 14 2 3" xfId="28419" xr:uid="{00000000-0005-0000-0000-0000D41A0000}"/>
    <cellStyle name="20% - Accent4 5 14 3" xfId="14614" xr:uid="{00000000-0005-0000-0000-0000D51A0000}"/>
    <cellStyle name="20% - Accent4 5 14 3 2" xfId="32249" xr:uid="{00000000-0005-0000-0000-0000D61A0000}"/>
    <cellStyle name="20% - Accent4 5 14 4" xfId="25556" xr:uid="{00000000-0005-0000-0000-0000D71A0000}"/>
    <cellStyle name="20% - Accent4 5 15" xfId="7654" xr:uid="{00000000-0005-0000-0000-0000D81A0000}"/>
    <cellStyle name="20% - Accent4 5 15 2" xfId="15451" xr:uid="{00000000-0005-0000-0000-0000D91A0000}"/>
    <cellStyle name="20% - Accent4 5 15 2 2" xfId="33086" xr:uid="{00000000-0005-0000-0000-0000DA1A0000}"/>
    <cellStyle name="20% - Accent4 5 15 3" xfId="26087" xr:uid="{00000000-0005-0000-0000-0000DB1A0000}"/>
    <cellStyle name="20% - Accent4 5 16" xfId="11228" xr:uid="{00000000-0005-0000-0000-0000DC1A0000}"/>
    <cellStyle name="20% - Accent4 5 16 2" xfId="28956" xr:uid="{00000000-0005-0000-0000-0000DD1A0000}"/>
    <cellStyle name="20% - Accent4 5 17" xfId="21943" xr:uid="{00000000-0005-0000-0000-0000DE1A0000}"/>
    <cellStyle name="20% - Accent4 5 17 2" xfId="38696" xr:uid="{00000000-0005-0000-0000-0000DF1A0000}"/>
    <cellStyle name="20% - Accent4 5 18" xfId="23222" xr:uid="{00000000-0005-0000-0000-0000E01A0000}"/>
    <cellStyle name="20% - Accent4 5 19" xfId="51776" xr:uid="{00000000-0005-0000-0000-0000E11A0000}"/>
    <cellStyle name="20% - Accent4 5 2" xfId="468" xr:uid="{00000000-0005-0000-0000-0000E21A0000}"/>
    <cellStyle name="20% - Accent4 5 2 10" xfId="51777" xr:uid="{00000000-0005-0000-0000-0000E31A0000}"/>
    <cellStyle name="20% - Accent4 5 2 2" xfId="3678" xr:uid="{00000000-0005-0000-0000-0000E41A0000}"/>
    <cellStyle name="20% - Accent4 5 2 2 2" xfId="8288" xr:uid="{00000000-0005-0000-0000-0000E51A0000}"/>
    <cellStyle name="20% - Accent4 5 2 2 2 2" xfId="16084" xr:uid="{00000000-0005-0000-0000-0000E61A0000}"/>
    <cellStyle name="20% - Accent4 5 2 2 2 2 2" xfId="33719" xr:uid="{00000000-0005-0000-0000-0000E71A0000}"/>
    <cellStyle name="20% - Accent4 5 2 2 2 3" xfId="26702" xr:uid="{00000000-0005-0000-0000-0000E81A0000}"/>
    <cellStyle name="20% - Accent4 5 2 2 3" xfId="12405" xr:uid="{00000000-0005-0000-0000-0000E91A0000}"/>
    <cellStyle name="20% - Accent4 5 2 2 3 2" xfId="30076" xr:uid="{00000000-0005-0000-0000-0000EA1A0000}"/>
    <cellStyle name="20% - Accent4 5 2 2 4" xfId="23837" xr:uid="{00000000-0005-0000-0000-0000EB1A0000}"/>
    <cellStyle name="20% - Accent4 5 2 3" xfId="5659" xr:uid="{00000000-0005-0000-0000-0000EC1A0000}"/>
    <cellStyle name="20% - Accent4 5 2 3 2" xfId="8959" xr:uid="{00000000-0005-0000-0000-0000ED1A0000}"/>
    <cellStyle name="20% - Accent4 5 2 3 2 2" xfId="16754" xr:uid="{00000000-0005-0000-0000-0000EE1A0000}"/>
    <cellStyle name="20% - Accent4 5 2 3 2 2 2" xfId="34390" xr:uid="{00000000-0005-0000-0000-0000EF1A0000}"/>
    <cellStyle name="20% - Accent4 5 2 3 2 3" xfId="27347" xr:uid="{00000000-0005-0000-0000-0000F01A0000}"/>
    <cellStyle name="20% - Accent4 5 2 3 3" xfId="13515" xr:uid="{00000000-0005-0000-0000-0000F11A0000}"/>
    <cellStyle name="20% - Accent4 5 2 3 3 2" xfId="31155" xr:uid="{00000000-0005-0000-0000-0000F21A0000}"/>
    <cellStyle name="20% - Accent4 5 2 3 4" xfId="24482" xr:uid="{00000000-0005-0000-0000-0000F31A0000}"/>
    <cellStyle name="20% - Accent4 5 2 4" xfId="6289" xr:uid="{00000000-0005-0000-0000-0000F41A0000}"/>
    <cellStyle name="20% - Accent4 5 2 4 2" xfId="9499" xr:uid="{00000000-0005-0000-0000-0000F51A0000}"/>
    <cellStyle name="20% - Accent4 5 2 4 2 2" xfId="17293" xr:uid="{00000000-0005-0000-0000-0000F61A0000}"/>
    <cellStyle name="20% - Accent4 5 2 4 2 2 2" xfId="34930" xr:uid="{00000000-0005-0000-0000-0000F71A0000}"/>
    <cellStyle name="20% - Accent4 5 2 4 2 3" xfId="27883" xr:uid="{00000000-0005-0000-0000-0000F81A0000}"/>
    <cellStyle name="20% - Accent4 5 2 4 3" xfId="14078" xr:uid="{00000000-0005-0000-0000-0000F91A0000}"/>
    <cellStyle name="20% - Accent4 5 2 4 3 2" xfId="31713" xr:uid="{00000000-0005-0000-0000-0000FA1A0000}"/>
    <cellStyle name="20% - Accent4 5 2 4 4" xfId="25019" xr:uid="{00000000-0005-0000-0000-0000FB1A0000}"/>
    <cellStyle name="20% - Accent4 5 2 5" xfId="6827" xr:uid="{00000000-0005-0000-0000-0000FC1A0000}"/>
    <cellStyle name="20% - Accent4 5 2 5 2" xfId="10037" xr:uid="{00000000-0005-0000-0000-0000FD1A0000}"/>
    <cellStyle name="20% - Accent4 5 2 5 2 2" xfId="17830" xr:uid="{00000000-0005-0000-0000-0000FE1A0000}"/>
    <cellStyle name="20% - Accent4 5 2 5 2 2 2" xfId="35467" xr:uid="{00000000-0005-0000-0000-0000FF1A0000}"/>
    <cellStyle name="20% - Accent4 5 2 5 2 3" xfId="28420" xr:uid="{00000000-0005-0000-0000-0000001B0000}"/>
    <cellStyle name="20% - Accent4 5 2 5 3" xfId="14615" xr:uid="{00000000-0005-0000-0000-0000011B0000}"/>
    <cellStyle name="20% - Accent4 5 2 5 3 2" xfId="32250" xr:uid="{00000000-0005-0000-0000-0000021B0000}"/>
    <cellStyle name="20% - Accent4 5 2 5 4" xfId="25557" xr:uid="{00000000-0005-0000-0000-0000031B0000}"/>
    <cellStyle name="20% - Accent4 5 2 6" xfId="7655" xr:uid="{00000000-0005-0000-0000-0000041B0000}"/>
    <cellStyle name="20% - Accent4 5 2 6 2" xfId="15452" xr:uid="{00000000-0005-0000-0000-0000051B0000}"/>
    <cellStyle name="20% - Accent4 5 2 6 2 2" xfId="33087" xr:uid="{00000000-0005-0000-0000-0000061B0000}"/>
    <cellStyle name="20% - Accent4 5 2 6 3" xfId="26088" xr:uid="{00000000-0005-0000-0000-0000071B0000}"/>
    <cellStyle name="20% - Accent4 5 2 7" xfId="11229" xr:uid="{00000000-0005-0000-0000-0000081B0000}"/>
    <cellStyle name="20% - Accent4 5 2 7 2" xfId="28957" xr:uid="{00000000-0005-0000-0000-0000091B0000}"/>
    <cellStyle name="20% - Accent4 5 2 8" xfId="22840" xr:uid="{00000000-0005-0000-0000-00000A1B0000}"/>
    <cellStyle name="20% - Accent4 5 2 8 2" xfId="39017" xr:uid="{00000000-0005-0000-0000-00000B1B0000}"/>
    <cellStyle name="20% - Accent4 5 2 9" xfId="23223" xr:uid="{00000000-0005-0000-0000-00000C1B0000}"/>
    <cellStyle name="20% - Accent4 5 3" xfId="469" xr:uid="{00000000-0005-0000-0000-00000D1B0000}"/>
    <cellStyle name="20% - Accent4 5 3 10" xfId="22072" xr:uid="{00000000-0005-0000-0000-00000E1B0000}"/>
    <cellStyle name="20% - Accent4 5 3 11" xfId="23224" xr:uid="{00000000-0005-0000-0000-00000F1B0000}"/>
    <cellStyle name="20% - Accent4 5 3 12" xfId="51778" xr:uid="{00000000-0005-0000-0000-0000101B0000}"/>
    <cellStyle name="20% - Accent4 5 3 2" xfId="470" xr:uid="{00000000-0005-0000-0000-0000111B0000}"/>
    <cellStyle name="20% - Accent4 5 3 2 2" xfId="3680" xr:uid="{00000000-0005-0000-0000-0000121B0000}"/>
    <cellStyle name="20% - Accent4 5 3 2 2 2" xfId="8290" xr:uid="{00000000-0005-0000-0000-0000131B0000}"/>
    <cellStyle name="20% - Accent4 5 3 2 2 2 2" xfId="16086" xr:uid="{00000000-0005-0000-0000-0000141B0000}"/>
    <cellStyle name="20% - Accent4 5 3 2 2 2 2 2" xfId="33721" xr:uid="{00000000-0005-0000-0000-0000151B0000}"/>
    <cellStyle name="20% - Accent4 5 3 2 2 2 3" xfId="26704" xr:uid="{00000000-0005-0000-0000-0000161B0000}"/>
    <cellStyle name="20% - Accent4 5 3 2 2 3" xfId="12407" xr:uid="{00000000-0005-0000-0000-0000171B0000}"/>
    <cellStyle name="20% - Accent4 5 3 2 2 3 2" xfId="30078" xr:uid="{00000000-0005-0000-0000-0000181B0000}"/>
    <cellStyle name="20% - Accent4 5 3 2 2 4" xfId="23839" xr:uid="{00000000-0005-0000-0000-0000191B0000}"/>
    <cellStyle name="20% - Accent4 5 3 2 3" xfId="5661" xr:uid="{00000000-0005-0000-0000-00001A1B0000}"/>
    <cellStyle name="20% - Accent4 5 3 2 3 2" xfId="8961" xr:uid="{00000000-0005-0000-0000-00001B1B0000}"/>
    <cellStyle name="20% - Accent4 5 3 2 3 2 2" xfId="16756" xr:uid="{00000000-0005-0000-0000-00001C1B0000}"/>
    <cellStyle name="20% - Accent4 5 3 2 3 2 2 2" xfId="34392" xr:uid="{00000000-0005-0000-0000-00001D1B0000}"/>
    <cellStyle name="20% - Accent4 5 3 2 3 2 3" xfId="27349" xr:uid="{00000000-0005-0000-0000-00001E1B0000}"/>
    <cellStyle name="20% - Accent4 5 3 2 3 3" xfId="13517" xr:uid="{00000000-0005-0000-0000-00001F1B0000}"/>
    <cellStyle name="20% - Accent4 5 3 2 3 3 2" xfId="31157" xr:uid="{00000000-0005-0000-0000-0000201B0000}"/>
    <cellStyle name="20% - Accent4 5 3 2 3 4" xfId="24484" xr:uid="{00000000-0005-0000-0000-0000211B0000}"/>
    <cellStyle name="20% - Accent4 5 3 2 4" xfId="6291" xr:uid="{00000000-0005-0000-0000-0000221B0000}"/>
    <cellStyle name="20% - Accent4 5 3 2 4 2" xfId="9501" xr:uid="{00000000-0005-0000-0000-0000231B0000}"/>
    <cellStyle name="20% - Accent4 5 3 2 4 2 2" xfId="17295" xr:uid="{00000000-0005-0000-0000-0000241B0000}"/>
    <cellStyle name="20% - Accent4 5 3 2 4 2 2 2" xfId="34932" xr:uid="{00000000-0005-0000-0000-0000251B0000}"/>
    <cellStyle name="20% - Accent4 5 3 2 4 2 3" xfId="27885" xr:uid="{00000000-0005-0000-0000-0000261B0000}"/>
    <cellStyle name="20% - Accent4 5 3 2 4 3" xfId="14080" xr:uid="{00000000-0005-0000-0000-0000271B0000}"/>
    <cellStyle name="20% - Accent4 5 3 2 4 3 2" xfId="31715" xr:uid="{00000000-0005-0000-0000-0000281B0000}"/>
    <cellStyle name="20% - Accent4 5 3 2 4 4" xfId="25021" xr:uid="{00000000-0005-0000-0000-0000291B0000}"/>
    <cellStyle name="20% - Accent4 5 3 2 5" xfId="6829" xr:uid="{00000000-0005-0000-0000-00002A1B0000}"/>
    <cellStyle name="20% - Accent4 5 3 2 5 2" xfId="10039" xr:uid="{00000000-0005-0000-0000-00002B1B0000}"/>
    <cellStyle name="20% - Accent4 5 3 2 5 2 2" xfId="17832" xr:uid="{00000000-0005-0000-0000-00002C1B0000}"/>
    <cellStyle name="20% - Accent4 5 3 2 5 2 2 2" xfId="35469" xr:uid="{00000000-0005-0000-0000-00002D1B0000}"/>
    <cellStyle name="20% - Accent4 5 3 2 5 2 3" xfId="28422" xr:uid="{00000000-0005-0000-0000-00002E1B0000}"/>
    <cellStyle name="20% - Accent4 5 3 2 5 3" xfId="14617" xr:uid="{00000000-0005-0000-0000-00002F1B0000}"/>
    <cellStyle name="20% - Accent4 5 3 2 5 3 2" xfId="32252" xr:uid="{00000000-0005-0000-0000-0000301B0000}"/>
    <cellStyle name="20% - Accent4 5 3 2 5 4" xfId="25559" xr:uid="{00000000-0005-0000-0000-0000311B0000}"/>
    <cellStyle name="20% - Accent4 5 3 2 6" xfId="7657" xr:uid="{00000000-0005-0000-0000-0000321B0000}"/>
    <cellStyle name="20% - Accent4 5 3 2 6 2" xfId="15454" xr:uid="{00000000-0005-0000-0000-0000331B0000}"/>
    <cellStyle name="20% - Accent4 5 3 2 6 2 2" xfId="33089" xr:uid="{00000000-0005-0000-0000-0000341B0000}"/>
    <cellStyle name="20% - Accent4 5 3 2 6 3" xfId="26090" xr:uid="{00000000-0005-0000-0000-0000351B0000}"/>
    <cellStyle name="20% - Accent4 5 3 2 7" xfId="11231" xr:uid="{00000000-0005-0000-0000-0000361B0000}"/>
    <cellStyle name="20% - Accent4 5 3 2 7 2" xfId="28959" xr:uid="{00000000-0005-0000-0000-0000371B0000}"/>
    <cellStyle name="20% - Accent4 5 3 2 8" xfId="23225" xr:uid="{00000000-0005-0000-0000-0000381B0000}"/>
    <cellStyle name="20% - Accent4 5 3 2 9" xfId="51779" xr:uid="{00000000-0005-0000-0000-0000391B0000}"/>
    <cellStyle name="20% - Accent4 5 3 3" xfId="3681" xr:uid="{00000000-0005-0000-0000-00003A1B0000}"/>
    <cellStyle name="20% - Accent4 5 3 3 2" xfId="5662" xr:uid="{00000000-0005-0000-0000-00003B1B0000}"/>
    <cellStyle name="20% - Accent4 5 3 3 2 2" xfId="8962" xr:uid="{00000000-0005-0000-0000-00003C1B0000}"/>
    <cellStyle name="20% - Accent4 5 3 3 2 2 2" xfId="16757" xr:uid="{00000000-0005-0000-0000-00003D1B0000}"/>
    <cellStyle name="20% - Accent4 5 3 3 2 2 2 2" xfId="34393" xr:uid="{00000000-0005-0000-0000-00003E1B0000}"/>
    <cellStyle name="20% - Accent4 5 3 3 2 2 3" xfId="27350" xr:uid="{00000000-0005-0000-0000-00003F1B0000}"/>
    <cellStyle name="20% - Accent4 5 3 3 2 3" xfId="13518" xr:uid="{00000000-0005-0000-0000-0000401B0000}"/>
    <cellStyle name="20% - Accent4 5 3 3 2 3 2" xfId="31158" xr:uid="{00000000-0005-0000-0000-0000411B0000}"/>
    <cellStyle name="20% - Accent4 5 3 3 2 4" xfId="24485" xr:uid="{00000000-0005-0000-0000-0000421B0000}"/>
    <cellStyle name="20% - Accent4 5 3 3 3" xfId="6292" xr:uid="{00000000-0005-0000-0000-0000431B0000}"/>
    <cellStyle name="20% - Accent4 5 3 3 3 2" xfId="9502" xr:uid="{00000000-0005-0000-0000-0000441B0000}"/>
    <cellStyle name="20% - Accent4 5 3 3 3 2 2" xfId="17296" xr:uid="{00000000-0005-0000-0000-0000451B0000}"/>
    <cellStyle name="20% - Accent4 5 3 3 3 2 2 2" xfId="34933" xr:uid="{00000000-0005-0000-0000-0000461B0000}"/>
    <cellStyle name="20% - Accent4 5 3 3 3 2 3" xfId="27886" xr:uid="{00000000-0005-0000-0000-0000471B0000}"/>
    <cellStyle name="20% - Accent4 5 3 3 3 3" xfId="14081" xr:uid="{00000000-0005-0000-0000-0000481B0000}"/>
    <cellStyle name="20% - Accent4 5 3 3 3 3 2" xfId="31716" xr:uid="{00000000-0005-0000-0000-0000491B0000}"/>
    <cellStyle name="20% - Accent4 5 3 3 3 4" xfId="25022" xr:uid="{00000000-0005-0000-0000-00004A1B0000}"/>
    <cellStyle name="20% - Accent4 5 3 3 4" xfId="6830" xr:uid="{00000000-0005-0000-0000-00004B1B0000}"/>
    <cellStyle name="20% - Accent4 5 3 3 4 2" xfId="10040" xr:uid="{00000000-0005-0000-0000-00004C1B0000}"/>
    <cellStyle name="20% - Accent4 5 3 3 4 2 2" xfId="17833" xr:uid="{00000000-0005-0000-0000-00004D1B0000}"/>
    <cellStyle name="20% - Accent4 5 3 3 4 2 2 2" xfId="35470" xr:uid="{00000000-0005-0000-0000-00004E1B0000}"/>
    <cellStyle name="20% - Accent4 5 3 3 4 2 3" xfId="28423" xr:uid="{00000000-0005-0000-0000-00004F1B0000}"/>
    <cellStyle name="20% - Accent4 5 3 3 4 3" xfId="14618" xr:uid="{00000000-0005-0000-0000-0000501B0000}"/>
    <cellStyle name="20% - Accent4 5 3 3 4 3 2" xfId="32253" xr:uid="{00000000-0005-0000-0000-0000511B0000}"/>
    <cellStyle name="20% - Accent4 5 3 3 4 4" xfId="25560" xr:uid="{00000000-0005-0000-0000-0000521B0000}"/>
    <cellStyle name="20% - Accent4 5 3 3 5" xfId="8291" xr:uid="{00000000-0005-0000-0000-0000531B0000}"/>
    <cellStyle name="20% - Accent4 5 3 3 5 2" xfId="16087" xr:uid="{00000000-0005-0000-0000-0000541B0000}"/>
    <cellStyle name="20% - Accent4 5 3 3 5 2 2" xfId="33722" xr:uid="{00000000-0005-0000-0000-0000551B0000}"/>
    <cellStyle name="20% - Accent4 5 3 3 5 3" xfId="26705" xr:uid="{00000000-0005-0000-0000-0000561B0000}"/>
    <cellStyle name="20% - Accent4 5 3 3 6" xfId="12408" xr:uid="{00000000-0005-0000-0000-0000571B0000}"/>
    <cellStyle name="20% - Accent4 5 3 3 6 2" xfId="30079" xr:uid="{00000000-0005-0000-0000-0000581B0000}"/>
    <cellStyle name="20% - Accent4 5 3 3 7" xfId="23840" xr:uid="{00000000-0005-0000-0000-0000591B0000}"/>
    <cellStyle name="20% - Accent4 5 3 4" xfId="3679" xr:uid="{00000000-0005-0000-0000-00005A1B0000}"/>
    <cellStyle name="20% - Accent4 5 3 4 2" xfId="8289" xr:uid="{00000000-0005-0000-0000-00005B1B0000}"/>
    <cellStyle name="20% - Accent4 5 3 4 2 2" xfId="16085" xr:uid="{00000000-0005-0000-0000-00005C1B0000}"/>
    <cellStyle name="20% - Accent4 5 3 4 2 2 2" xfId="33720" xr:uid="{00000000-0005-0000-0000-00005D1B0000}"/>
    <cellStyle name="20% - Accent4 5 3 4 2 3" xfId="26703" xr:uid="{00000000-0005-0000-0000-00005E1B0000}"/>
    <cellStyle name="20% - Accent4 5 3 4 3" xfId="12406" xr:uid="{00000000-0005-0000-0000-00005F1B0000}"/>
    <cellStyle name="20% - Accent4 5 3 4 3 2" xfId="30077" xr:uid="{00000000-0005-0000-0000-0000601B0000}"/>
    <cellStyle name="20% - Accent4 5 3 4 4" xfId="23838" xr:uid="{00000000-0005-0000-0000-0000611B0000}"/>
    <cellStyle name="20% - Accent4 5 3 5" xfId="5660" xr:uid="{00000000-0005-0000-0000-0000621B0000}"/>
    <cellStyle name="20% - Accent4 5 3 5 2" xfId="8960" xr:uid="{00000000-0005-0000-0000-0000631B0000}"/>
    <cellStyle name="20% - Accent4 5 3 5 2 2" xfId="16755" xr:uid="{00000000-0005-0000-0000-0000641B0000}"/>
    <cellStyle name="20% - Accent4 5 3 5 2 2 2" xfId="34391" xr:uid="{00000000-0005-0000-0000-0000651B0000}"/>
    <cellStyle name="20% - Accent4 5 3 5 2 3" xfId="27348" xr:uid="{00000000-0005-0000-0000-0000661B0000}"/>
    <cellStyle name="20% - Accent4 5 3 5 3" xfId="13516" xr:uid="{00000000-0005-0000-0000-0000671B0000}"/>
    <cellStyle name="20% - Accent4 5 3 5 3 2" xfId="31156" xr:uid="{00000000-0005-0000-0000-0000681B0000}"/>
    <cellStyle name="20% - Accent4 5 3 5 4" xfId="24483" xr:uid="{00000000-0005-0000-0000-0000691B0000}"/>
    <cellStyle name="20% - Accent4 5 3 6" xfId="6290" xr:uid="{00000000-0005-0000-0000-00006A1B0000}"/>
    <cellStyle name="20% - Accent4 5 3 6 2" xfId="9500" xr:uid="{00000000-0005-0000-0000-00006B1B0000}"/>
    <cellStyle name="20% - Accent4 5 3 6 2 2" xfId="17294" xr:uid="{00000000-0005-0000-0000-00006C1B0000}"/>
    <cellStyle name="20% - Accent4 5 3 6 2 2 2" xfId="34931" xr:uid="{00000000-0005-0000-0000-00006D1B0000}"/>
    <cellStyle name="20% - Accent4 5 3 6 2 3" xfId="27884" xr:uid="{00000000-0005-0000-0000-00006E1B0000}"/>
    <cellStyle name="20% - Accent4 5 3 6 3" xfId="14079" xr:uid="{00000000-0005-0000-0000-00006F1B0000}"/>
    <cellStyle name="20% - Accent4 5 3 6 3 2" xfId="31714" xr:uid="{00000000-0005-0000-0000-0000701B0000}"/>
    <cellStyle name="20% - Accent4 5 3 6 4" xfId="25020" xr:uid="{00000000-0005-0000-0000-0000711B0000}"/>
    <cellStyle name="20% - Accent4 5 3 7" xfId="6828" xr:uid="{00000000-0005-0000-0000-0000721B0000}"/>
    <cellStyle name="20% - Accent4 5 3 7 2" xfId="10038" xr:uid="{00000000-0005-0000-0000-0000731B0000}"/>
    <cellStyle name="20% - Accent4 5 3 7 2 2" xfId="17831" xr:uid="{00000000-0005-0000-0000-0000741B0000}"/>
    <cellStyle name="20% - Accent4 5 3 7 2 2 2" xfId="35468" xr:uid="{00000000-0005-0000-0000-0000751B0000}"/>
    <cellStyle name="20% - Accent4 5 3 7 2 3" xfId="28421" xr:uid="{00000000-0005-0000-0000-0000761B0000}"/>
    <cellStyle name="20% - Accent4 5 3 7 3" xfId="14616" xr:uid="{00000000-0005-0000-0000-0000771B0000}"/>
    <cellStyle name="20% - Accent4 5 3 7 3 2" xfId="32251" xr:uid="{00000000-0005-0000-0000-0000781B0000}"/>
    <cellStyle name="20% - Accent4 5 3 7 4" xfId="25558" xr:uid="{00000000-0005-0000-0000-0000791B0000}"/>
    <cellStyle name="20% - Accent4 5 3 8" xfId="7656" xr:uid="{00000000-0005-0000-0000-00007A1B0000}"/>
    <cellStyle name="20% - Accent4 5 3 8 2" xfId="15453" xr:uid="{00000000-0005-0000-0000-00007B1B0000}"/>
    <cellStyle name="20% - Accent4 5 3 8 2 2" xfId="33088" xr:uid="{00000000-0005-0000-0000-00007C1B0000}"/>
    <cellStyle name="20% - Accent4 5 3 8 3" xfId="26089" xr:uid="{00000000-0005-0000-0000-00007D1B0000}"/>
    <cellStyle name="20% - Accent4 5 3 9" xfId="11230" xr:uid="{00000000-0005-0000-0000-00007E1B0000}"/>
    <cellStyle name="20% - Accent4 5 3 9 2" xfId="28958" xr:uid="{00000000-0005-0000-0000-00007F1B0000}"/>
    <cellStyle name="20% - Accent4 5 4" xfId="471" xr:uid="{00000000-0005-0000-0000-0000801B0000}"/>
    <cellStyle name="20% - Accent4 5 4 10" xfId="52912" xr:uid="{00000000-0005-0000-0000-0000811B0000}"/>
    <cellStyle name="20% - Accent4 5 4 2" xfId="3682" xr:uid="{00000000-0005-0000-0000-0000821B0000}"/>
    <cellStyle name="20% - Accent4 5 4 2 2" xfId="8292" xr:uid="{00000000-0005-0000-0000-0000831B0000}"/>
    <cellStyle name="20% - Accent4 5 4 2 2 2" xfId="16088" xr:uid="{00000000-0005-0000-0000-0000841B0000}"/>
    <cellStyle name="20% - Accent4 5 4 2 2 2 2" xfId="33723" xr:uid="{00000000-0005-0000-0000-0000851B0000}"/>
    <cellStyle name="20% - Accent4 5 4 2 2 3" xfId="26706" xr:uid="{00000000-0005-0000-0000-0000861B0000}"/>
    <cellStyle name="20% - Accent4 5 4 2 3" xfId="12409" xr:uid="{00000000-0005-0000-0000-0000871B0000}"/>
    <cellStyle name="20% - Accent4 5 4 2 3 2" xfId="30080" xr:uid="{00000000-0005-0000-0000-0000881B0000}"/>
    <cellStyle name="20% - Accent4 5 4 2 4" xfId="23841" xr:uid="{00000000-0005-0000-0000-0000891B0000}"/>
    <cellStyle name="20% - Accent4 5 4 3" xfId="5663" xr:uid="{00000000-0005-0000-0000-00008A1B0000}"/>
    <cellStyle name="20% - Accent4 5 4 3 2" xfId="8963" xr:uid="{00000000-0005-0000-0000-00008B1B0000}"/>
    <cellStyle name="20% - Accent4 5 4 3 2 2" xfId="16758" xr:uid="{00000000-0005-0000-0000-00008C1B0000}"/>
    <cellStyle name="20% - Accent4 5 4 3 2 2 2" xfId="34394" xr:uid="{00000000-0005-0000-0000-00008D1B0000}"/>
    <cellStyle name="20% - Accent4 5 4 3 2 3" xfId="27351" xr:uid="{00000000-0005-0000-0000-00008E1B0000}"/>
    <cellStyle name="20% - Accent4 5 4 3 3" xfId="13519" xr:uid="{00000000-0005-0000-0000-00008F1B0000}"/>
    <cellStyle name="20% - Accent4 5 4 3 3 2" xfId="31159" xr:uid="{00000000-0005-0000-0000-0000901B0000}"/>
    <cellStyle name="20% - Accent4 5 4 3 4" xfId="24486" xr:uid="{00000000-0005-0000-0000-0000911B0000}"/>
    <cellStyle name="20% - Accent4 5 4 4" xfId="6293" xr:uid="{00000000-0005-0000-0000-0000921B0000}"/>
    <cellStyle name="20% - Accent4 5 4 4 2" xfId="9503" xr:uid="{00000000-0005-0000-0000-0000931B0000}"/>
    <cellStyle name="20% - Accent4 5 4 4 2 2" xfId="17297" xr:uid="{00000000-0005-0000-0000-0000941B0000}"/>
    <cellStyle name="20% - Accent4 5 4 4 2 2 2" xfId="34934" xr:uid="{00000000-0005-0000-0000-0000951B0000}"/>
    <cellStyle name="20% - Accent4 5 4 4 2 3" xfId="27887" xr:uid="{00000000-0005-0000-0000-0000961B0000}"/>
    <cellStyle name="20% - Accent4 5 4 4 3" xfId="14082" xr:uid="{00000000-0005-0000-0000-0000971B0000}"/>
    <cellStyle name="20% - Accent4 5 4 4 3 2" xfId="31717" xr:uid="{00000000-0005-0000-0000-0000981B0000}"/>
    <cellStyle name="20% - Accent4 5 4 4 4" xfId="25023" xr:uid="{00000000-0005-0000-0000-0000991B0000}"/>
    <cellStyle name="20% - Accent4 5 4 5" xfId="6831" xr:uid="{00000000-0005-0000-0000-00009A1B0000}"/>
    <cellStyle name="20% - Accent4 5 4 5 2" xfId="10041" xr:uid="{00000000-0005-0000-0000-00009B1B0000}"/>
    <cellStyle name="20% - Accent4 5 4 5 2 2" xfId="17834" xr:uid="{00000000-0005-0000-0000-00009C1B0000}"/>
    <cellStyle name="20% - Accent4 5 4 5 2 2 2" xfId="35471" xr:uid="{00000000-0005-0000-0000-00009D1B0000}"/>
    <cellStyle name="20% - Accent4 5 4 5 2 3" xfId="28424" xr:uid="{00000000-0005-0000-0000-00009E1B0000}"/>
    <cellStyle name="20% - Accent4 5 4 5 3" xfId="14619" xr:uid="{00000000-0005-0000-0000-00009F1B0000}"/>
    <cellStyle name="20% - Accent4 5 4 5 3 2" xfId="32254" xr:uid="{00000000-0005-0000-0000-0000A01B0000}"/>
    <cellStyle name="20% - Accent4 5 4 5 4" xfId="25561" xr:uid="{00000000-0005-0000-0000-0000A11B0000}"/>
    <cellStyle name="20% - Accent4 5 4 6" xfId="7658" xr:uid="{00000000-0005-0000-0000-0000A21B0000}"/>
    <cellStyle name="20% - Accent4 5 4 6 2" xfId="15455" xr:uid="{00000000-0005-0000-0000-0000A31B0000}"/>
    <cellStyle name="20% - Accent4 5 4 6 2 2" xfId="33090" xr:uid="{00000000-0005-0000-0000-0000A41B0000}"/>
    <cellStyle name="20% - Accent4 5 4 6 3" xfId="26091" xr:uid="{00000000-0005-0000-0000-0000A51B0000}"/>
    <cellStyle name="20% - Accent4 5 4 7" xfId="11232" xr:uid="{00000000-0005-0000-0000-0000A61B0000}"/>
    <cellStyle name="20% - Accent4 5 4 7 2" xfId="28960" xr:uid="{00000000-0005-0000-0000-0000A71B0000}"/>
    <cellStyle name="20% - Accent4 5 4 8" xfId="23226" xr:uid="{00000000-0005-0000-0000-0000A81B0000}"/>
    <cellStyle name="20% - Accent4 5 4 9" xfId="51780" xr:uid="{00000000-0005-0000-0000-0000A91B0000}"/>
    <cellStyle name="20% - Accent4 5 5" xfId="472" xr:uid="{00000000-0005-0000-0000-0000AA1B0000}"/>
    <cellStyle name="20% - Accent4 5 5 2" xfId="3683" xr:uid="{00000000-0005-0000-0000-0000AB1B0000}"/>
    <cellStyle name="20% - Accent4 5 5 2 2" xfId="8293" xr:uid="{00000000-0005-0000-0000-0000AC1B0000}"/>
    <cellStyle name="20% - Accent4 5 5 2 2 2" xfId="16089" xr:uid="{00000000-0005-0000-0000-0000AD1B0000}"/>
    <cellStyle name="20% - Accent4 5 5 2 2 2 2" xfId="33724" xr:uid="{00000000-0005-0000-0000-0000AE1B0000}"/>
    <cellStyle name="20% - Accent4 5 5 2 2 3" xfId="26707" xr:uid="{00000000-0005-0000-0000-0000AF1B0000}"/>
    <cellStyle name="20% - Accent4 5 5 2 3" xfId="12410" xr:uid="{00000000-0005-0000-0000-0000B01B0000}"/>
    <cellStyle name="20% - Accent4 5 5 2 3 2" xfId="30081" xr:uid="{00000000-0005-0000-0000-0000B11B0000}"/>
    <cellStyle name="20% - Accent4 5 5 2 4" xfId="23842" xr:uid="{00000000-0005-0000-0000-0000B21B0000}"/>
    <cellStyle name="20% - Accent4 5 5 3" xfId="5664" xr:uid="{00000000-0005-0000-0000-0000B31B0000}"/>
    <cellStyle name="20% - Accent4 5 5 3 2" xfId="8964" xr:uid="{00000000-0005-0000-0000-0000B41B0000}"/>
    <cellStyle name="20% - Accent4 5 5 3 2 2" xfId="16759" xr:uid="{00000000-0005-0000-0000-0000B51B0000}"/>
    <cellStyle name="20% - Accent4 5 5 3 2 2 2" xfId="34395" xr:uid="{00000000-0005-0000-0000-0000B61B0000}"/>
    <cellStyle name="20% - Accent4 5 5 3 2 3" xfId="27352" xr:uid="{00000000-0005-0000-0000-0000B71B0000}"/>
    <cellStyle name="20% - Accent4 5 5 3 3" xfId="13520" xr:uid="{00000000-0005-0000-0000-0000B81B0000}"/>
    <cellStyle name="20% - Accent4 5 5 3 3 2" xfId="31160" xr:uid="{00000000-0005-0000-0000-0000B91B0000}"/>
    <cellStyle name="20% - Accent4 5 5 3 4" xfId="24487" xr:uid="{00000000-0005-0000-0000-0000BA1B0000}"/>
    <cellStyle name="20% - Accent4 5 5 4" xfId="6294" xr:uid="{00000000-0005-0000-0000-0000BB1B0000}"/>
    <cellStyle name="20% - Accent4 5 5 4 2" xfId="9504" xr:uid="{00000000-0005-0000-0000-0000BC1B0000}"/>
    <cellStyle name="20% - Accent4 5 5 4 2 2" xfId="17298" xr:uid="{00000000-0005-0000-0000-0000BD1B0000}"/>
    <cellStyle name="20% - Accent4 5 5 4 2 2 2" xfId="34935" xr:uid="{00000000-0005-0000-0000-0000BE1B0000}"/>
    <cellStyle name="20% - Accent4 5 5 4 2 3" xfId="27888" xr:uid="{00000000-0005-0000-0000-0000BF1B0000}"/>
    <cellStyle name="20% - Accent4 5 5 4 3" xfId="14083" xr:uid="{00000000-0005-0000-0000-0000C01B0000}"/>
    <cellStyle name="20% - Accent4 5 5 4 3 2" xfId="31718" xr:uid="{00000000-0005-0000-0000-0000C11B0000}"/>
    <cellStyle name="20% - Accent4 5 5 4 4" xfId="25024" xr:uid="{00000000-0005-0000-0000-0000C21B0000}"/>
    <cellStyle name="20% - Accent4 5 5 5" xfId="6832" xr:uid="{00000000-0005-0000-0000-0000C31B0000}"/>
    <cellStyle name="20% - Accent4 5 5 5 2" xfId="10042" xr:uid="{00000000-0005-0000-0000-0000C41B0000}"/>
    <cellStyle name="20% - Accent4 5 5 5 2 2" xfId="17835" xr:uid="{00000000-0005-0000-0000-0000C51B0000}"/>
    <cellStyle name="20% - Accent4 5 5 5 2 2 2" xfId="35472" xr:uid="{00000000-0005-0000-0000-0000C61B0000}"/>
    <cellStyle name="20% - Accent4 5 5 5 2 3" xfId="28425" xr:uid="{00000000-0005-0000-0000-0000C71B0000}"/>
    <cellStyle name="20% - Accent4 5 5 5 3" xfId="14620" xr:uid="{00000000-0005-0000-0000-0000C81B0000}"/>
    <cellStyle name="20% - Accent4 5 5 5 3 2" xfId="32255" xr:uid="{00000000-0005-0000-0000-0000C91B0000}"/>
    <cellStyle name="20% - Accent4 5 5 5 4" xfId="25562" xr:uid="{00000000-0005-0000-0000-0000CA1B0000}"/>
    <cellStyle name="20% - Accent4 5 5 6" xfId="7659" xr:uid="{00000000-0005-0000-0000-0000CB1B0000}"/>
    <cellStyle name="20% - Accent4 5 5 6 2" xfId="15456" xr:uid="{00000000-0005-0000-0000-0000CC1B0000}"/>
    <cellStyle name="20% - Accent4 5 5 6 2 2" xfId="33091" xr:uid="{00000000-0005-0000-0000-0000CD1B0000}"/>
    <cellStyle name="20% - Accent4 5 5 6 3" xfId="26092" xr:uid="{00000000-0005-0000-0000-0000CE1B0000}"/>
    <cellStyle name="20% - Accent4 5 5 7" xfId="11233" xr:uid="{00000000-0005-0000-0000-0000CF1B0000}"/>
    <cellStyle name="20% - Accent4 5 5 7 2" xfId="28961" xr:uid="{00000000-0005-0000-0000-0000D01B0000}"/>
    <cellStyle name="20% - Accent4 5 5 8" xfId="23227" xr:uid="{00000000-0005-0000-0000-0000D11B0000}"/>
    <cellStyle name="20% - Accent4 5 5 9" xfId="51781" xr:uid="{00000000-0005-0000-0000-0000D21B0000}"/>
    <cellStyle name="20% - Accent4 5 6" xfId="473" xr:uid="{00000000-0005-0000-0000-0000D31B0000}"/>
    <cellStyle name="20% - Accent4 5 6 2" xfId="3684" xr:uid="{00000000-0005-0000-0000-0000D41B0000}"/>
    <cellStyle name="20% - Accent4 5 6 2 2" xfId="8294" xr:uid="{00000000-0005-0000-0000-0000D51B0000}"/>
    <cellStyle name="20% - Accent4 5 6 2 2 2" xfId="16090" xr:uid="{00000000-0005-0000-0000-0000D61B0000}"/>
    <cellStyle name="20% - Accent4 5 6 2 2 2 2" xfId="33725" xr:uid="{00000000-0005-0000-0000-0000D71B0000}"/>
    <cellStyle name="20% - Accent4 5 6 2 2 3" xfId="26708" xr:uid="{00000000-0005-0000-0000-0000D81B0000}"/>
    <cellStyle name="20% - Accent4 5 6 2 3" xfId="12411" xr:uid="{00000000-0005-0000-0000-0000D91B0000}"/>
    <cellStyle name="20% - Accent4 5 6 2 3 2" xfId="30082" xr:uid="{00000000-0005-0000-0000-0000DA1B0000}"/>
    <cellStyle name="20% - Accent4 5 6 2 4" xfId="23843" xr:uid="{00000000-0005-0000-0000-0000DB1B0000}"/>
    <cellStyle name="20% - Accent4 5 6 3" xfId="5665" xr:uid="{00000000-0005-0000-0000-0000DC1B0000}"/>
    <cellStyle name="20% - Accent4 5 6 3 2" xfId="8965" xr:uid="{00000000-0005-0000-0000-0000DD1B0000}"/>
    <cellStyle name="20% - Accent4 5 6 3 2 2" xfId="16760" xr:uid="{00000000-0005-0000-0000-0000DE1B0000}"/>
    <cellStyle name="20% - Accent4 5 6 3 2 2 2" xfId="34396" xr:uid="{00000000-0005-0000-0000-0000DF1B0000}"/>
    <cellStyle name="20% - Accent4 5 6 3 2 3" xfId="27353" xr:uid="{00000000-0005-0000-0000-0000E01B0000}"/>
    <cellStyle name="20% - Accent4 5 6 3 3" xfId="13521" xr:uid="{00000000-0005-0000-0000-0000E11B0000}"/>
    <cellStyle name="20% - Accent4 5 6 3 3 2" xfId="31161" xr:uid="{00000000-0005-0000-0000-0000E21B0000}"/>
    <cellStyle name="20% - Accent4 5 6 3 4" xfId="24488" xr:uid="{00000000-0005-0000-0000-0000E31B0000}"/>
    <cellStyle name="20% - Accent4 5 6 4" xfId="6295" xr:uid="{00000000-0005-0000-0000-0000E41B0000}"/>
    <cellStyle name="20% - Accent4 5 6 4 2" xfId="9505" xr:uid="{00000000-0005-0000-0000-0000E51B0000}"/>
    <cellStyle name="20% - Accent4 5 6 4 2 2" xfId="17299" xr:uid="{00000000-0005-0000-0000-0000E61B0000}"/>
    <cellStyle name="20% - Accent4 5 6 4 2 2 2" xfId="34936" xr:uid="{00000000-0005-0000-0000-0000E71B0000}"/>
    <cellStyle name="20% - Accent4 5 6 4 2 3" xfId="27889" xr:uid="{00000000-0005-0000-0000-0000E81B0000}"/>
    <cellStyle name="20% - Accent4 5 6 4 3" xfId="14084" xr:uid="{00000000-0005-0000-0000-0000E91B0000}"/>
    <cellStyle name="20% - Accent4 5 6 4 3 2" xfId="31719" xr:uid="{00000000-0005-0000-0000-0000EA1B0000}"/>
    <cellStyle name="20% - Accent4 5 6 4 4" xfId="25025" xr:uid="{00000000-0005-0000-0000-0000EB1B0000}"/>
    <cellStyle name="20% - Accent4 5 6 5" xfId="6833" xr:uid="{00000000-0005-0000-0000-0000EC1B0000}"/>
    <cellStyle name="20% - Accent4 5 6 5 2" xfId="10043" xr:uid="{00000000-0005-0000-0000-0000ED1B0000}"/>
    <cellStyle name="20% - Accent4 5 6 5 2 2" xfId="17836" xr:uid="{00000000-0005-0000-0000-0000EE1B0000}"/>
    <cellStyle name="20% - Accent4 5 6 5 2 2 2" xfId="35473" xr:uid="{00000000-0005-0000-0000-0000EF1B0000}"/>
    <cellStyle name="20% - Accent4 5 6 5 2 3" xfId="28426" xr:uid="{00000000-0005-0000-0000-0000F01B0000}"/>
    <cellStyle name="20% - Accent4 5 6 5 3" xfId="14621" xr:uid="{00000000-0005-0000-0000-0000F11B0000}"/>
    <cellStyle name="20% - Accent4 5 6 5 3 2" xfId="32256" xr:uid="{00000000-0005-0000-0000-0000F21B0000}"/>
    <cellStyle name="20% - Accent4 5 6 5 4" xfId="25563" xr:uid="{00000000-0005-0000-0000-0000F31B0000}"/>
    <cellStyle name="20% - Accent4 5 6 6" xfId="7660" xr:uid="{00000000-0005-0000-0000-0000F41B0000}"/>
    <cellStyle name="20% - Accent4 5 6 6 2" xfId="15457" xr:uid="{00000000-0005-0000-0000-0000F51B0000}"/>
    <cellStyle name="20% - Accent4 5 6 6 2 2" xfId="33092" xr:uid="{00000000-0005-0000-0000-0000F61B0000}"/>
    <cellStyle name="20% - Accent4 5 6 6 3" xfId="26093" xr:uid="{00000000-0005-0000-0000-0000F71B0000}"/>
    <cellStyle name="20% - Accent4 5 6 7" xfId="11234" xr:uid="{00000000-0005-0000-0000-0000F81B0000}"/>
    <cellStyle name="20% - Accent4 5 6 7 2" xfId="28962" xr:uid="{00000000-0005-0000-0000-0000F91B0000}"/>
    <cellStyle name="20% - Accent4 5 6 8" xfId="23228" xr:uid="{00000000-0005-0000-0000-0000FA1B0000}"/>
    <cellStyle name="20% - Accent4 5 6 9" xfId="51782" xr:uid="{00000000-0005-0000-0000-0000FB1B0000}"/>
    <cellStyle name="20% - Accent4 5 7" xfId="474" xr:uid="{00000000-0005-0000-0000-0000FC1B0000}"/>
    <cellStyle name="20% - Accent4 5 7 10" xfId="51783" xr:uid="{00000000-0005-0000-0000-0000FD1B0000}"/>
    <cellStyle name="20% - Accent4 5 7 2" xfId="475" xr:uid="{00000000-0005-0000-0000-0000FE1B0000}"/>
    <cellStyle name="20% - Accent4 5 7 2 2" xfId="8296" xr:uid="{00000000-0005-0000-0000-0000FF1B0000}"/>
    <cellStyle name="20% - Accent4 5 7 2 2 2" xfId="16092" xr:uid="{00000000-0005-0000-0000-0000001C0000}"/>
    <cellStyle name="20% - Accent4 5 7 2 2 2 2" xfId="33727" xr:uid="{00000000-0005-0000-0000-0000011C0000}"/>
    <cellStyle name="20% - Accent4 5 7 2 2 3" xfId="26710" xr:uid="{00000000-0005-0000-0000-0000021C0000}"/>
    <cellStyle name="20% - Accent4 5 7 2 3" xfId="12413" xr:uid="{00000000-0005-0000-0000-0000031C0000}"/>
    <cellStyle name="20% - Accent4 5 7 2 3 2" xfId="30084" xr:uid="{00000000-0005-0000-0000-0000041C0000}"/>
    <cellStyle name="20% - Accent4 5 7 2 4" xfId="23845" xr:uid="{00000000-0005-0000-0000-0000051C0000}"/>
    <cellStyle name="20% - Accent4 5 7 3" xfId="3685" xr:uid="{00000000-0005-0000-0000-0000061C0000}"/>
    <cellStyle name="20% - Accent4 5 7 3 2" xfId="8295" xr:uid="{00000000-0005-0000-0000-0000071C0000}"/>
    <cellStyle name="20% - Accent4 5 7 3 2 2" xfId="16091" xr:uid="{00000000-0005-0000-0000-0000081C0000}"/>
    <cellStyle name="20% - Accent4 5 7 3 2 2 2" xfId="33726" xr:uid="{00000000-0005-0000-0000-0000091C0000}"/>
    <cellStyle name="20% - Accent4 5 7 3 2 3" xfId="26709" xr:uid="{00000000-0005-0000-0000-00000A1C0000}"/>
    <cellStyle name="20% - Accent4 5 7 3 3" xfId="12412" xr:uid="{00000000-0005-0000-0000-00000B1C0000}"/>
    <cellStyle name="20% - Accent4 5 7 3 3 2" xfId="30083" xr:uid="{00000000-0005-0000-0000-00000C1C0000}"/>
    <cellStyle name="20% - Accent4 5 7 3 4" xfId="23844" xr:uid="{00000000-0005-0000-0000-00000D1C0000}"/>
    <cellStyle name="20% - Accent4 5 7 4" xfId="5666" xr:uid="{00000000-0005-0000-0000-00000E1C0000}"/>
    <cellStyle name="20% - Accent4 5 7 4 2" xfId="8966" xr:uid="{00000000-0005-0000-0000-00000F1C0000}"/>
    <cellStyle name="20% - Accent4 5 7 4 2 2" xfId="16761" xr:uid="{00000000-0005-0000-0000-0000101C0000}"/>
    <cellStyle name="20% - Accent4 5 7 4 2 2 2" xfId="34397" xr:uid="{00000000-0005-0000-0000-0000111C0000}"/>
    <cellStyle name="20% - Accent4 5 7 4 2 3" xfId="27354" xr:uid="{00000000-0005-0000-0000-0000121C0000}"/>
    <cellStyle name="20% - Accent4 5 7 4 3" xfId="13522" xr:uid="{00000000-0005-0000-0000-0000131C0000}"/>
    <cellStyle name="20% - Accent4 5 7 4 3 2" xfId="31162" xr:uid="{00000000-0005-0000-0000-0000141C0000}"/>
    <cellStyle name="20% - Accent4 5 7 4 4" xfId="24489" xr:uid="{00000000-0005-0000-0000-0000151C0000}"/>
    <cellStyle name="20% - Accent4 5 7 5" xfId="6296" xr:uid="{00000000-0005-0000-0000-0000161C0000}"/>
    <cellStyle name="20% - Accent4 5 7 5 2" xfId="9506" xr:uid="{00000000-0005-0000-0000-0000171C0000}"/>
    <cellStyle name="20% - Accent4 5 7 5 2 2" xfId="17300" xr:uid="{00000000-0005-0000-0000-0000181C0000}"/>
    <cellStyle name="20% - Accent4 5 7 5 2 2 2" xfId="34937" xr:uid="{00000000-0005-0000-0000-0000191C0000}"/>
    <cellStyle name="20% - Accent4 5 7 5 2 3" xfId="27890" xr:uid="{00000000-0005-0000-0000-00001A1C0000}"/>
    <cellStyle name="20% - Accent4 5 7 5 3" xfId="14085" xr:uid="{00000000-0005-0000-0000-00001B1C0000}"/>
    <cellStyle name="20% - Accent4 5 7 5 3 2" xfId="31720" xr:uid="{00000000-0005-0000-0000-00001C1C0000}"/>
    <cellStyle name="20% - Accent4 5 7 5 4" xfId="25026" xr:uid="{00000000-0005-0000-0000-00001D1C0000}"/>
    <cellStyle name="20% - Accent4 5 7 6" xfId="6834" xr:uid="{00000000-0005-0000-0000-00001E1C0000}"/>
    <cellStyle name="20% - Accent4 5 7 6 2" xfId="10044" xr:uid="{00000000-0005-0000-0000-00001F1C0000}"/>
    <cellStyle name="20% - Accent4 5 7 6 2 2" xfId="17837" xr:uid="{00000000-0005-0000-0000-0000201C0000}"/>
    <cellStyle name="20% - Accent4 5 7 6 2 2 2" xfId="35474" xr:uid="{00000000-0005-0000-0000-0000211C0000}"/>
    <cellStyle name="20% - Accent4 5 7 6 2 3" xfId="28427" xr:uid="{00000000-0005-0000-0000-0000221C0000}"/>
    <cellStyle name="20% - Accent4 5 7 6 3" xfId="14622" xr:uid="{00000000-0005-0000-0000-0000231C0000}"/>
    <cellStyle name="20% - Accent4 5 7 6 3 2" xfId="32257" xr:uid="{00000000-0005-0000-0000-0000241C0000}"/>
    <cellStyle name="20% - Accent4 5 7 6 4" xfId="25564" xr:uid="{00000000-0005-0000-0000-0000251C0000}"/>
    <cellStyle name="20% - Accent4 5 7 7" xfId="7661" xr:uid="{00000000-0005-0000-0000-0000261C0000}"/>
    <cellStyle name="20% - Accent4 5 7 7 2" xfId="15458" xr:uid="{00000000-0005-0000-0000-0000271C0000}"/>
    <cellStyle name="20% - Accent4 5 7 7 2 2" xfId="33093" xr:uid="{00000000-0005-0000-0000-0000281C0000}"/>
    <cellStyle name="20% - Accent4 5 7 7 3" xfId="26094" xr:uid="{00000000-0005-0000-0000-0000291C0000}"/>
    <cellStyle name="20% - Accent4 5 7 8" xfId="11235" xr:uid="{00000000-0005-0000-0000-00002A1C0000}"/>
    <cellStyle name="20% - Accent4 5 7 8 2" xfId="28963" xr:uid="{00000000-0005-0000-0000-00002B1C0000}"/>
    <cellStyle name="20% - Accent4 5 7 9" xfId="23229" xr:uid="{00000000-0005-0000-0000-00002C1C0000}"/>
    <cellStyle name="20% - Accent4 5 8" xfId="3686" xr:uid="{00000000-0005-0000-0000-00002D1C0000}"/>
    <cellStyle name="20% - Accent4 5 8 2" xfId="8297" xr:uid="{00000000-0005-0000-0000-00002E1C0000}"/>
    <cellStyle name="20% - Accent4 5 8 2 2" xfId="16093" xr:uid="{00000000-0005-0000-0000-00002F1C0000}"/>
    <cellStyle name="20% - Accent4 5 8 2 2 2" xfId="33728" xr:uid="{00000000-0005-0000-0000-0000301C0000}"/>
    <cellStyle name="20% - Accent4 5 8 2 3" xfId="26711" xr:uid="{00000000-0005-0000-0000-0000311C0000}"/>
    <cellStyle name="20% - Accent4 5 8 3" xfId="12414" xr:uid="{00000000-0005-0000-0000-0000321C0000}"/>
    <cellStyle name="20% - Accent4 5 8 3 2" xfId="30085" xr:uid="{00000000-0005-0000-0000-0000331C0000}"/>
    <cellStyle name="20% - Accent4 5 8 4" xfId="23846" xr:uid="{00000000-0005-0000-0000-0000341C0000}"/>
    <cellStyle name="20% - Accent4 5 9" xfId="3687" xr:uid="{00000000-0005-0000-0000-0000351C0000}"/>
    <cellStyle name="20% - Accent4 6" xfId="476" xr:uid="{00000000-0005-0000-0000-0000361C0000}"/>
    <cellStyle name="20% - Accent4 6 10" xfId="3688" xr:uid="{00000000-0005-0000-0000-0000371C0000}"/>
    <cellStyle name="20% - Accent4 6 10 2" xfId="8298" xr:uid="{00000000-0005-0000-0000-0000381C0000}"/>
    <cellStyle name="20% - Accent4 6 10 2 2" xfId="16094" xr:uid="{00000000-0005-0000-0000-0000391C0000}"/>
    <cellStyle name="20% - Accent4 6 10 2 2 2" xfId="33729" xr:uid="{00000000-0005-0000-0000-00003A1C0000}"/>
    <cellStyle name="20% - Accent4 6 10 2 3" xfId="26712" xr:uid="{00000000-0005-0000-0000-00003B1C0000}"/>
    <cellStyle name="20% - Accent4 6 10 3" xfId="12415" xr:uid="{00000000-0005-0000-0000-00003C1C0000}"/>
    <cellStyle name="20% - Accent4 6 10 3 2" xfId="30086" xr:uid="{00000000-0005-0000-0000-00003D1C0000}"/>
    <cellStyle name="20% - Accent4 6 10 4" xfId="23847" xr:uid="{00000000-0005-0000-0000-00003E1C0000}"/>
    <cellStyle name="20% - Accent4 6 11" xfId="5667" xr:uid="{00000000-0005-0000-0000-00003F1C0000}"/>
    <cellStyle name="20% - Accent4 6 11 2" xfId="8967" xr:uid="{00000000-0005-0000-0000-0000401C0000}"/>
    <cellStyle name="20% - Accent4 6 11 2 2" xfId="16762" xr:uid="{00000000-0005-0000-0000-0000411C0000}"/>
    <cellStyle name="20% - Accent4 6 11 2 2 2" xfId="34398" xr:uid="{00000000-0005-0000-0000-0000421C0000}"/>
    <cellStyle name="20% - Accent4 6 11 2 3" xfId="27355" xr:uid="{00000000-0005-0000-0000-0000431C0000}"/>
    <cellStyle name="20% - Accent4 6 11 3" xfId="13523" xr:uid="{00000000-0005-0000-0000-0000441C0000}"/>
    <cellStyle name="20% - Accent4 6 11 3 2" xfId="31163" xr:uid="{00000000-0005-0000-0000-0000451C0000}"/>
    <cellStyle name="20% - Accent4 6 11 4" xfId="24490" xr:uid="{00000000-0005-0000-0000-0000461C0000}"/>
    <cellStyle name="20% - Accent4 6 12" xfId="6297" xr:uid="{00000000-0005-0000-0000-0000471C0000}"/>
    <cellStyle name="20% - Accent4 6 12 2" xfId="9507" xr:uid="{00000000-0005-0000-0000-0000481C0000}"/>
    <cellStyle name="20% - Accent4 6 12 2 2" xfId="17301" xr:uid="{00000000-0005-0000-0000-0000491C0000}"/>
    <cellStyle name="20% - Accent4 6 12 2 2 2" xfId="34938" xr:uid="{00000000-0005-0000-0000-00004A1C0000}"/>
    <cellStyle name="20% - Accent4 6 12 2 3" xfId="27891" xr:uid="{00000000-0005-0000-0000-00004B1C0000}"/>
    <cellStyle name="20% - Accent4 6 12 3" xfId="14086" xr:uid="{00000000-0005-0000-0000-00004C1C0000}"/>
    <cellStyle name="20% - Accent4 6 12 3 2" xfId="31721" xr:uid="{00000000-0005-0000-0000-00004D1C0000}"/>
    <cellStyle name="20% - Accent4 6 12 4" xfId="25027" xr:uid="{00000000-0005-0000-0000-00004E1C0000}"/>
    <cellStyle name="20% - Accent4 6 13" xfId="6835" xr:uid="{00000000-0005-0000-0000-00004F1C0000}"/>
    <cellStyle name="20% - Accent4 6 13 2" xfId="10045" xr:uid="{00000000-0005-0000-0000-0000501C0000}"/>
    <cellStyle name="20% - Accent4 6 13 2 2" xfId="17838" xr:uid="{00000000-0005-0000-0000-0000511C0000}"/>
    <cellStyle name="20% - Accent4 6 13 2 2 2" xfId="35475" xr:uid="{00000000-0005-0000-0000-0000521C0000}"/>
    <cellStyle name="20% - Accent4 6 13 2 3" xfId="28428" xr:uid="{00000000-0005-0000-0000-0000531C0000}"/>
    <cellStyle name="20% - Accent4 6 13 3" xfId="14623" xr:uid="{00000000-0005-0000-0000-0000541C0000}"/>
    <cellStyle name="20% - Accent4 6 13 3 2" xfId="32258" xr:uid="{00000000-0005-0000-0000-0000551C0000}"/>
    <cellStyle name="20% - Accent4 6 13 4" xfId="25565" xr:uid="{00000000-0005-0000-0000-0000561C0000}"/>
    <cellStyle name="20% - Accent4 6 14" xfId="7662" xr:uid="{00000000-0005-0000-0000-0000571C0000}"/>
    <cellStyle name="20% - Accent4 6 14 2" xfId="15459" xr:uid="{00000000-0005-0000-0000-0000581C0000}"/>
    <cellStyle name="20% - Accent4 6 14 2 2" xfId="33094" xr:uid="{00000000-0005-0000-0000-0000591C0000}"/>
    <cellStyle name="20% - Accent4 6 14 3" xfId="26095" xr:uid="{00000000-0005-0000-0000-00005A1C0000}"/>
    <cellStyle name="20% - Accent4 6 15" xfId="11236" xr:uid="{00000000-0005-0000-0000-00005B1C0000}"/>
    <cellStyle name="20% - Accent4 6 15 2" xfId="28964" xr:uid="{00000000-0005-0000-0000-00005C1C0000}"/>
    <cellStyle name="20% - Accent4 6 16" xfId="21944" xr:uid="{00000000-0005-0000-0000-00005D1C0000}"/>
    <cellStyle name="20% - Accent4 6 16 2" xfId="38697" xr:uid="{00000000-0005-0000-0000-00005E1C0000}"/>
    <cellStyle name="20% - Accent4 6 17" xfId="23230" xr:uid="{00000000-0005-0000-0000-00005F1C0000}"/>
    <cellStyle name="20% - Accent4 6 18" xfId="51784" xr:uid="{00000000-0005-0000-0000-0000601C0000}"/>
    <cellStyle name="20% - Accent4 6 2" xfId="477" xr:uid="{00000000-0005-0000-0000-0000611C0000}"/>
    <cellStyle name="20% - Accent4 6 2 10" xfId="51785" xr:uid="{00000000-0005-0000-0000-0000621C0000}"/>
    <cellStyle name="20% - Accent4 6 2 2" xfId="3689" xr:uid="{00000000-0005-0000-0000-0000631C0000}"/>
    <cellStyle name="20% - Accent4 6 2 2 2" xfId="8299" xr:uid="{00000000-0005-0000-0000-0000641C0000}"/>
    <cellStyle name="20% - Accent4 6 2 2 2 2" xfId="16095" xr:uid="{00000000-0005-0000-0000-0000651C0000}"/>
    <cellStyle name="20% - Accent4 6 2 2 2 2 2" xfId="33730" xr:uid="{00000000-0005-0000-0000-0000661C0000}"/>
    <cellStyle name="20% - Accent4 6 2 2 2 3" xfId="26713" xr:uid="{00000000-0005-0000-0000-0000671C0000}"/>
    <cellStyle name="20% - Accent4 6 2 2 3" xfId="12416" xr:uid="{00000000-0005-0000-0000-0000681C0000}"/>
    <cellStyle name="20% - Accent4 6 2 2 3 2" xfId="30087" xr:uid="{00000000-0005-0000-0000-0000691C0000}"/>
    <cellStyle name="20% - Accent4 6 2 2 4" xfId="23848" xr:uid="{00000000-0005-0000-0000-00006A1C0000}"/>
    <cellStyle name="20% - Accent4 6 2 3" xfId="5668" xr:uid="{00000000-0005-0000-0000-00006B1C0000}"/>
    <cellStyle name="20% - Accent4 6 2 3 2" xfId="8968" xr:uid="{00000000-0005-0000-0000-00006C1C0000}"/>
    <cellStyle name="20% - Accent4 6 2 3 2 2" xfId="16763" xr:uid="{00000000-0005-0000-0000-00006D1C0000}"/>
    <cellStyle name="20% - Accent4 6 2 3 2 2 2" xfId="34399" xr:uid="{00000000-0005-0000-0000-00006E1C0000}"/>
    <cellStyle name="20% - Accent4 6 2 3 2 3" xfId="27356" xr:uid="{00000000-0005-0000-0000-00006F1C0000}"/>
    <cellStyle name="20% - Accent4 6 2 3 3" xfId="13524" xr:uid="{00000000-0005-0000-0000-0000701C0000}"/>
    <cellStyle name="20% - Accent4 6 2 3 3 2" xfId="31164" xr:uid="{00000000-0005-0000-0000-0000711C0000}"/>
    <cellStyle name="20% - Accent4 6 2 3 4" xfId="24491" xr:uid="{00000000-0005-0000-0000-0000721C0000}"/>
    <cellStyle name="20% - Accent4 6 2 4" xfId="6298" xr:uid="{00000000-0005-0000-0000-0000731C0000}"/>
    <cellStyle name="20% - Accent4 6 2 4 2" xfId="9508" xr:uid="{00000000-0005-0000-0000-0000741C0000}"/>
    <cellStyle name="20% - Accent4 6 2 4 2 2" xfId="17302" xr:uid="{00000000-0005-0000-0000-0000751C0000}"/>
    <cellStyle name="20% - Accent4 6 2 4 2 2 2" xfId="34939" xr:uid="{00000000-0005-0000-0000-0000761C0000}"/>
    <cellStyle name="20% - Accent4 6 2 4 2 3" xfId="27892" xr:uid="{00000000-0005-0000-0000-0000771C0000}"/>
    <cellStyle name="20% - Accent4 6 2 4 3" xfId="14087" xr:uid="{00000000-0005-0000-0000-0000781C0000}"/>
    <cellStyle name="20% - Accent4 6 2 4 3 2" xfId="31722" xr:uid="{00000000-0005-0000-0000-0000791C0000}"/>
    <cellStyle name="20% - Accent4 6 2 4 4" xfId="25028" xr:uid="{00000000-0005-0000-0000-00007A1C0000}"/>
    <cellStyle name="20% - Accent4 6 2 5" xfId="6836" xr:uid="{00000000-0005-0000-0000-00007B1C0000}"/>
    <cellStyle name="20% - Accent4 6 2 5 2" xfId="10046" xr:uid="{00000000-0005-0000-0000-00007C1C0000}"/>
    <cellStyle name="20% - Accent4 6 2 5 2 2" xfId="17839" xr:uid="{00000000-0005-0000-0000-00007D1C0000}"/>
    <cellStyle name="20% - Accent4 6 2 5 2 2 2" xfId="35476" xr:uid="{00000000-0005-0000-0000-00007E1C0000}"/>
    <cellStyle name="20% - Accent4 6 2 5 2 3" xfId="28429" xr:uid="{00000000-0005-0000-0000-00007F1C0000}"/>
    <cellStyle name="20% - Accent4 6 2 5 3" xfId="14624" xr:uid="{00000000-0005-0000-0000-0000801C0000}"/>
    <cellStyle name="20% - Accent4 6 2 5 3 2" xfId="32259" xr:uid="{00000000-0005-0000-0000-0000811C0000}"/>
    <cellStyle name="20% - Accent4 6 2 5 4" xfId="25566" xr:uid="{00000000-0005-0000-0000-0000821C0000}"/>
    <cellStyle name="20% - Accent4 6 2 6" xfId="7663" xr:uid="{00000000-0005-0000-0000-0000831C0000}"/>
    <cellStyle name="20% - Accent4 6 2 6 2" xfId="15460" xr:uid="{00000000-0005-0000-0000-0000841C0000}"/>
    <cellStyle name="20% - Accent4 6 2 6 2 2" xfId="33095" xr:uid="{00000000-0005-0000-0000-0000851C0000}"/>
    <cellStyle name="20% - Accent4 6 2 6 3" xfId="26096" xr:uid="{00000000-0005-0000-0000-0000861C0000}"/>
    <cellStyle name="20% - Accent4 6 2 7" xfId="11237" xr:uid="{00000000-0005-0000-0000-0000871C0000}"/>
    <cellStyle name="20% - Accent4 6 2 7 2" xfId="28965" xr:uid="{00000000-0005-0000-0000-0000881C0000}"/>
    <cellStyle name="20% - Accent4 6 2 8" xfId="22841" xr:uid="{00000000-0005-0000-0000-0000891C0000}"/>
    <cellStyle name="20% - Accent4 6 2 8 2" xfId="39018" xr:uid="{00000000-0005-0000-0000-00008A1C0000}"/>
    <cellStyle name="20% - Accent4 6 2 9" xfId="23231" xr:uid="{00000000-0005-0000-0000-00008B1C0000}"/>
    <cellStyle name="20% - Accent4 6 3" xfId="478" xr:uid="{00000000-0005-0000-0000-00008C1C0000}"/>
    <cellStyle name="20% - Accent4 6 3 10" xfId="22073" xr:uid="{00000000-0005-0000-0000-00008D1C0000}"/>
    <cellStyle name="20% - Accent4 6 3 11" xfId="23232" xr:uid="{00000000-0005-0000-0000-00008E1C0000}"/>
    <cellStyle name="20% - Accent4 6 3 12" xfId="51786" xr:uid="{00000000-0005-0000-0000-00008F1C0000}"/>
    <cellStyle name="20% - Accent4 6 3 2" xfId="479" xr:uid="{00000000-0005-0000-0000-0000901C0000}"/>
    <cellStyle name="20% - Accent4 6 3 2 2" xfId="3691" xr:uid="{00000000-0005-0000-0000-0000911C0000}"/>
    <cellStyle name="20% - Accent4 6 3 2 2 2" xfId="8301" xr:uid="{00000000-0005-0000-0000-0000921C0000}"/>
    <cellStyle name="20% - Accent4 6 3 2 2 2 2" xfId="16097" xr:uid="{00000000-0005-0000-0000-0000931C0000}"/>
    <cellStyle name="20% - Accent4 6 3 2 2 2 2 2" xfId="33732" xr:uid="{00000000-0005-0000-0000-0000941C0000}"/>
    <cellStyle name="20% - Accent4 6 3 2 2 2 3" xfId="26715" xr:uid="{00000000-0005-0000-0000-0000951C0000}"/>
    <cellStyle name="20% - Accent4 6 3 2 2 3" xfId="12418" xr:uid="{00000000-0005-0000-0000-0000961C0000}"/>
    <cellStyle name="20% - Accent4 6 3 2 2 3 2" xfId="30089" xr:uid="{00000000-0005-0000-0000-0000971C0000}"/>
    <cellStyle name="20% - Accent4 6 3 2 2 4" xfId="23850" xr:uid="{00000000-0005-0000-0000-0000981C0000}"/>
    <cellStyle name="20% - Accent4 6 3 2 3" xfId="5670" xr:uid="{00000000-0005-0000-0000-0000991C0000}"/>
    <cellStyle name="20% - Accent4 6 3 2 3 2" xfId="8970" xr:uid="{00000000-0005-0000-0000-00009A1C0000}"/>
    <cellStyle name="20% - Accent4 6 3 2 3 2 2" xfId="16765" xr:uid="{00000000-0005-0000-0000-00009B1C0000}"/>
    <cellStyle name="20% - Accent4 6 3 2 3 2 2 2" xfId="34401" xr:uid="{00000000-0005-0000-0000-00009C1C0000}"/>
    <cellStyle name="20% - Accent4 6 3 2 3 2 3" xfId="27358" xr:uid="{00000000-0005-0000-0000-00009D1C0000}"/>
    <cellStyle name="20% - Accent4 6 3 2 3 3" xfId="13526" xr:uid="{00000000-0005-0000-0000-00009E1C0000}"/>
    <cellStyle name="20% - Accent4 6 3 2 3 3 2" xfId="31166" xr:uid="{00000000-0005-0000-0000-00009F1C0000}"/>
    <cellStyle name="20% - Accent4 6 3 2 3 4" xfId="24493" xr:uid="{00000000-0005-0000-0000-0000A01C0000}"/>
    <cellStyle name="20% - Accent4 6 3 2 4" xfId="6300" xr:uid="{00000000-0005-0000-0000-0000A11C0000}"/>
    <cellStyle name="20% - Accent4 6 3 2 4 2" xfId="9510" xr:uid="{00000000-0005-0000-0000-0000A21C0000}"/>
    <cellStyle name="20% - Accent4 6 3 2 4 2 2" xfId="17304" xr:uid="{00000000-0005-0000-0000-0000A31C0000}"/>
    <cellStyle name="20% - Accent4 6 3 2 4 2 2 2" xfId="34941" xr:uid="{00000000-0005-0000-0000-0000A41C0000}"/>
    <cellStyle name="20% - Accent4 6 3 2 4 2 3" xfId="27894" xr:uid="{00000000-0005-0000-0000-0000A51C0000}"/>
    <cellStyle name="20% - Accent4 6 3 2 4 3" xfId="14089" xr:uid="{00000000-0005-0000-0000-0000A61C0000}"/>
    <cellStyle name="20% - Accent4 6 3 2 4 3 2" xfId="31724" xr:uid="{00000000-0005-0000-0000-0000A71C0000}"/>
    <cellStyle name="20% - Accent4 6 3 2 4 4" xfId="25030" xr:uid="{00000000-0005-0000-0000-0000A81C0000}"/>
    <cellStyle name="20% - Accent4 6 3 2 5" xfId="6838" xr:uid="{00000000-0005-0000-0000-0000A91C0000}"/>
    <cellStyle name="20% - Accent4 6 3 2 5 2" xfId="10048" xr:uid="{00000000-0005-0000-0000-0000AA1C0000}"/>
    <cellStyle name="20% - Accent4 6 3 2 5 2 2" xfId="17841" xr:uid="{00000000-0005-0000-0000-0000AB1C0000}"/>
    <cellStyle name="20% - Accent4 6 3 2 5 2 2 2" xfId="35478" xr:uid="{00000000-0005-0000-0000-0000AC1C0000}"/>
    <cellStyle name="20% - Accent4 6 3 2 5 2 3" xfId="28431" xr:uid="{00000000-0005-0000-0000-0000AD1C0000}"/>
    <cellStyle name="20% - Accent4 6 3 2 5 3" xfId="14626" xr:uid="{00000000-0005-0000-0000-0000AE1C0000}"/>
    <cellStyle name="20% - Accent4 6 3 2 5 3 2" xfId="32261" xr:uid="{00000000-0005-0000-0000-0000AF1C0000}"/>
    <cellStyle name="20% - Accent4 6 3 2 5 4" xfId="25568" xr:uid="{00000000-0005-0000-0000-0000B01C0000}"/>
    <cellStyle name="20% - Accent4 6 3 2 6" xfId="7665" xr:uid="{00000000-0005-0000-0000-0000B11C0000}"/>
    <cellStyle name="20% - Accent4 6 3 2 6 2" xfId="15462" xr:uid="{00000000-0005-0000-0000-0000B21C0000}"/>
    <cellStyle name="20% - Accent4 6 3 2 6 2 2" xfId="33097" xr:uid="{00000000-0005-0000-0000-0000B31C0000}"/>
    <cellStyle name="20% - Accent4 6 3 2 6 3" xfId="26098" xr:uid="{00000000-0005-0000-0000-0000B41C0000}"/>
    <cellStyle name="20% - Accent4 6 3 2 7" xfId="11239" xr:uid="{00000000-0005-0000-0000-0000B51C0000}"/>
    <cellStyle name="20% - Accent4 6 3 2 7 2" xfId="28967" xr:uid="{00000000-0005-0000-0000-0000B61C0000}"/>
    <cellStyle name="20% - Accent4 6 3 2 8" xfId="23233" xr:uid="{00000000-0005-0000-0000-0000B71C0000}"/>
    <cellStyle name="20% - Accent4 6 3 2 9" xfId="51787" xr:uid="{00000000-0005-0000-0000-0000B81C0000}"/>
    <cellStyle name="20% - Accent4 6 3 3" xfId="3692" xr:uid="{00000000-0005-0000-0000-0000B91C0000}"/>
    <cellStyle name="20% - Accent4 6 3 3 2" xfId="5671" xr:uid="{00000000-0005-0000-0000-0000BA1C0000}"/>
    <cellStyle name="20% - Accent4 6 3 3 2 2" xfId="8971" xr:uid="{00000000-0005-0000-0000-0000BB1C0000}"/>
    <cellStyle name="20% - Accent4 6 3 3 2 2 2" xfId="16766" xr:uid="{00000000-0005-0000-0000-0000BC1C0000}"/>
    <cellStyle name="20% - Accent4 6 3 3 2 2 2 2" xfId="34402" xr:uid="{00000000-0005-0000-0000-0000BD1C0000}"/>
    <cellStyle name="20% - Accent4 6 3 3 2 2 3" xfId="27359" xr:uid="{00000000-0005-0000-0000-0000BE1C0000}"/>
    <cellStyle name="20% - Accent4 6 3 3 2 3" xfId="13527" xr:uid="{00000000-0005-0000-0000-0000BF1C0000}"/>
    <cellStyle name="20% - Accent4 6 3 3 2 3 2" xfId="31167" xr:uid="{00000000-0005-0000-0000-0000C01C0000}"/>
    <cellStyle name="20% - Accent4 6 3 3 2 4" xfId="24494" xr:uid="{00000000-0005-0000-0000-0000C11C0000}"/>
    <cellStyle name="20% - Accent4 6 3 3 3" xfId="6301" xr:uid="{00000000-0005-0000-0000-0000C21C0000}"/>
    <cellStyle name="20% - Accent4 6 3 3 3 2" xfId="9511" xr:uid="{00000000-0005-0000-0000-0000C31C0000}"/>
    <cellStyle name="20% - Accent4 6 3 3 3 2 2" xfId="17305" xr:uid="{00000000-0005-0000-0000-0000C41C0000}"/>
    <cellStyle name="20% - Accent4 6 3 3 3 2 2 2" xfId="34942" xr:uid="{00000000-0005-0000-0000-0000C51C0000}"/>
    <cellStyle name="20% - Accent4 6 3 3 3 2 3" xfId="27895" xr:uid="{00000000-0005-0000-0000-0000C61C0000}"/>
    <cellStyle name="20% - Accent4 6 3 3 3 3" xfId="14090" xr:uid="{00000000-0005-0000-0000-0000C71C0000}"/>
    <cellStyle name="20% - Accent4 6 3 3 3 3 2" xfId="31725" xr:uid="{00000000-0005-0000-0000-0000C81C0000}"/>
    <cellStyle name="20% - Accent4 6 3 3 3 4" xfId="25031" xr:uid="{00000000-0005-0000-0000-0000C91C0000}"/>
    <cellStyle name="20% - Accent4 6 3 3 4" xfId="6839" xr:uid="{00000000-0005-0000-0000-0000CA1C0000}"/>
    <cellStyle name="20% - Accent4 6 3 3 4 2" xfId="10049" xr:uid="{00000000-0005-0000-0000-0000CB1C0000}"/>
    <cellStyle name="20% - Accent4 6 3 3 4 2 2" xfId="17842" xr:uid="{00000000-0005-0000-0000-0000CC1C0000}"/>
    <cellStyle name="20% - Accent4 6 3 3 4 2 2 2" xfId="35479" xr:uid="{00000000-0005-0000-0000-0000CD1C0000}"/>
    <cellStyle name="20% - Accent4 6 3 3 4 2 3" xfId="28432" xr:uid="{00000000-0005-0000-0000-0000CE1C0000}"/>
    <cellStyle name="20% - Accent4 6 3 3 4 3" xfId="14627" xr:uid="{00000000-0005-0000-0000-0000CF1C0000}"/>
    <cellStyle name="20% - Accent4 6 3 3 4 3 2" xfId="32262" xr:uid="{00000000-0005-0000-0000-0000D01C0000}"/>
    <cellStyle name="20% - Accent4 6 3 3 4 4" xfId="25569" xr:uid="{00000000-0005-0000-0000-0000D11C0000}"/>
    <cellStyle name="20% - Accent4 6 3 3 5" xfId="8302" xr:uid="{00000000-0005-0000-0000-0000D21C0000}"/>
    <cellStyle name="20% - Accent4 6 3 3 5 2" xfId="16098" xr:uid="{00000000-0005-0000-0000-0000D31C0000}"/>
    <cellStyle name="20% - Accent4 6 3 3 5 2 2" xfId="33733" xr:uid="{00000000-0005-0000-0000-0000D41C0000}"/>
    <cellStyle name="20% - Accent4 6 3 3 5 3" xfId="26716" xr:uid="{00000000-0005-0000-0000-0000D51C0000}"/>
    <cellStyle name="20% - Accent4 6 3 3 6" xfId="12419" xr:uid="{00000000-0005-0000-0000-0000D61C0000}"/>
    <cellStyle name="20% - Accent4 6 3 3 6 2" xfId="30090" xr:uid="{00000000-0005-0000-0000-0000D71C0000}"/>
    <cellStyle name="20% - Accent4 6 3 3 7" xfId="23851" xr:uid="{00000000-0005-0000-0000-0000D81C0000}"/>
    <cellStyle name="20% - Accent4 6 3 4" xfId="3690" xr:uid="{00000000-0005-0000-0000-0000D91C0000}"/>
    <cellStyle name="20% - Accent4 6 3 4 2" xfId="8300" xr:uid="{00000000-0005-0000-0000-0000DA1C0000}"/>
    <cellStyle name="20% - Accent4 6 3 4 2 2" xfId="16096" xr:uid="{00000000-0005-0000-0000-0000DB1C0000}"/>
    <cellStyle name="20% - Accent4 6 3 4 2 2 2" xfId="33731" xr:uid="{00000000-0005-0000-0000-0000DC1C0000}"/>
    <cellStyle name="20% - Accent4 6 3 4 2 3" xfId="26714" xr:uid="{00000000-0005-0000-0000-0000DD1C0000}"/>
    <cellStyle name="20% - Accent4 6 3 4 3" xfId="12417" xr:uid="{00000000-0005-0000-0000-0000DE1C0000}"/>
    <cellStyle name="20% - Accent4 6 3 4 3 2" xfId="30088" xr:uid="{00000000-0005-0000-0000-0000DF1C0000}"/>
    <cellStyle name="20% - Accent4 6 3 4 4" xfId="23849" xr:uid="{00000000-0005-0000-0000-0000E01C0000}"/>
    <cellStyle name="20% - Accent4 6 3 5" xfId="5669" xr:uid="{00000000-0005-0000-0000-0000E11C0000}"/>
    <cellStyle name="20% - Accent4 6 3 5 2" xfId="8969" xr:uid="{00000000-0005-0000-0000-0000E21C0000}"/>
    <cellStyle name="20% - Accent4 6 3 5 2 2" xfId="16764" xr:uid="{00000000-0005-0000-0000-0000E31C0000}"/>
    <cellStyle name="20% - Accent4 6 3 5 2 2 2" xfId="34400" xr:uid="{00000000-0005-0000-0000-0000E41C0000}"/>
    <cellStyle name="20% - Accent4 6 3 5 2 3" xfId="27357" xr:uid="{00000000-0005-0000-0000-0000E51C0000}"/>
    <cellStyle name="20% - Accent4 6 3 5 3" xfId="13525" xr:uid="{00000000-0005-0000-0000-0000E61C0000}"/>
    <cellStyle name="20% - Accent4 6 3 5 3 2" xfId="31165" xr:uid="{00000000-0005-0000-0000-0000E71C0000}"/>
    <cellStyle name="20% - Accent4 6 3 5 4" xfId="24492" xr:uid="{00000000-0005-0000-0000-0000E81C0000}"/>
    <cellStyle name="20% - Accent4 6 3 6" xfId="6299" xr:uid="{00000000-0005-0000-0000-0000E91C0000}"/>
    <cellStyle name="20% - Accent4 6 3 6 2" xfId="9509" xr:uid="{00000000-0005-0000-0000-0000EA1C0000}"/>
    <cellStyle name="20% - Accent4 6 3 6 2 2" xfId="17303" xr:uid="{00000000-0005-0000-0000-0000EB1C0000}"/>
    <cellStyle name="20% - Accent4 6 3 6 2 2 2" xfId="34940" xr:uid="{00000000-0005-0000-0000-0000EC1C0000}"/>
    <cellStyle name="20% - Accent4 6 3 6 2 3" xfId="27893" xr:uid="{00000000-0005-0000-0000-0000ED1C0000}"/>
    <cellStyle name="20% - Accent4 6 3 6 3" xfId="14088" xr:uid="{00000000-0005-0000-0000-0000EE1C0000}"/>
    <cellStyle name="20% - Accent4 6 3 6 3 2" xfId="31723" xr:uid="{00000000-0005-0000-0000-0000EF1C0000}"/>
    <cellStyle name="20% - Accent4 6 3 6 4" xfId="25029" xr:uid="{00000000-0005-0000-0000-0000F01C0000}"/>
    <cellStyle name="20% - Accent4 6 3 7" xfId="6837" xr:uid="{00000000-0005-0000-0000-0000F11C0000}"/>
    <cellStyle name="20% - Accent4 6 3 7 2" xfId="10047" xr:uid="{00000000-0005-0000-0000-0000F21C0000}"/>
    <cellStyle name="20% - Accent4 6 3 7 2 2" xfId="17840" xr:uid="{00000000-0005-0000-0000-0000F31C0000}"/>
    <cellStyle name="20% - Accent4 6 3 7 2 2 2" xfId="35477" xr:uid="{00000000-0005-0000-0000-0000F41C0000}"/>
    <cellStyle name="20% - Accent4 6 3 7 2 3" xfId="28430" xr:uid="{00000000-0005-0000-0000-0000F51C0000}"/>
    <cellStyle name="20% - Accent4 6 3 7 3" xfId="14625" xr:uid="{00000000-0005-0000-0000-0000F61C0000}"/>
    <cellStyle name="20% - Accent4 6 3 7 3 2" xfId="32260" xr:uid="{00000000-0005-0000-0000-0000F71C0000}"/>
    <cellStyle name="20% - Accent4 6 3 7 4" xfId="25567" xr:uid="{00000000-0005-0000-0000-0000F81C0000}"/>
    <cellStyle name="20% - Accent4 6 3 8" xfId="7664" xr:uid="{00000000-0005-0000-0000-0000F91C0000}"/>
    <cellStyle name="20% - Accent4 6 3 8 2" xfId="15461" xr:uid="{00000000-0005-0000-0000-0000FA1C0000}"/>
    <cellStyle name="20% - Accent4 6 3 8 2 2" xfId="33096" xr:uid="{00000000-0005-0000-0000-0000FB1C0000}"/>
    <cellStyle name="20% - Accent4 6 3 8 3" xfId="26097" xr:uid="{00000000-0005-0000-0000-0000FC1C0000}"/>
    <cellStyle name="20% - Accent4 6 3 9" xfId="11238" xr:uid="{00000000-0005-0000-0000-0000FD1C0000}"/>
    <cellStyle name="20% - Accent4 6 3 9 2" xfId="28966" xr:uid="{00000000-0005-0000-0000-0000FE1C0000}"/>
    <cellStyle name="20% - Accent4 6 4" xfId="480" xr:uid="{00000000-0005-0000-0000-0000FF1C0000}"/>
    <cellStyle name="20% - Accent4 6 4 10" xfId="52913" xr:uid="{00000000-0005-0000-0000-0000001D0000}"/>
    <cellStyle name="20% - Accent4 6 4 2" xfId="3693" xr:uid="{00000000-0005-0000-0000-0000011D0000}"/>
    <cellStyle name="20% - Accent4 6 4 2 2" xfId="8303" xr:uid="{00000000-0005-0000-0000-0000021D0000}"/>
    <cellStyle name="20% - Accent4 6 4 2 2 2" xfId="16099" xr:uid="{00000000-0005-0000-0000-0000031D0000}"/>
    <cellStyle name="20% - Accent4 6 4 2 2 2 2" xfId="33734" xr:uid="{00000000-0005-0000-0000-0000041D0000}"/>
    <cellStyle name="20% - Accent4 6 4 2 2 3" xfId="26717" xr:uid="{00000000-0005-0000-0000-0000051D0000}"/>
    <cellStyle name="20% - Accent4 6 4 2 3" xfId="12420" xr:uid="{00000000-0005-0000-0000-0000061D0000}"/>
    <cellStyle name="20% - Accent4 6 4 2 3 2" xfId="30091" xr:uid="{00000000-0005-0000-0000-0000071D0000}"/>
    <cellStyle name="20% - Accent4 6 4 2 4" xfId="23852" xr:uid="{00000000-0005-0000-0000-0000081D0000}"/>
    <cellStyle name="20% - Accent4 6 4 3" xfId="5672" xr:uid="{00000000-0005-0000-0000-0000091D0000}"/>
    <cellStyle name="20% - Accent4 6 4 3 2" xfId="8972" xr:uid="{00000000-0005-0000-0000-00000A1D0000}"/>
    <cellStyle name="20% - Accent4 6 4 3 2 2" xfId="16767" xr:uid="{00000000-0005-0000-0000-00000B1D0000}"/>
    <cellStyle name="20% - Accent4 6 4 3 2 2 2" xfId="34403" xr:uid="{00000000-0005-0000-0000-00000C1D0000}"/>
    <cellStyle name="20% - Accent4 6 4 3 2 3" xfId="27360" xr:uid="{00000000-0005-0000-0000-00000D1D0000}"/>
    <cellStyle name="20% - Accent4 6 4 3 3" xfId="13528" xr:uid="{00000000-0005-0000-0000-00000E1D0000}"/>
    <cellStyle name="20% - Accent4 6 4 3 3 2" xfId="31168" xr:uid="{00000000-0005-0000-0000-00000F1D0000}"/>
    <cellStyle name="20% - Accent4 6 4 3 4" xfId="24495" xr:uid="{00000000-0005-0000-0000-0000101D0000}"/>
    <cellStyle name="20% - Accent4 6 4 4" xfId="6302" xr:uid="{00000000-0005-0000-0000-0000111D0000}"/>
    <cellStyle name="20% - Accent4 6 4 4 2" xfId="9512" xr:uid="{00000000-0005-0000-0000-0000121D0000}"/>
    <cellStyle name="20% - Accent4 6 4 4 2 2" xfId="17306" xr:uid="{00000000-0005-0000-0000-0000131D0000}"/>
    <cellStyle name="20% - Accent4 6 4 4 2 2 2" xfId="34943" xr:uid="{00000000-0005-0000-0000-0000141D0000}"/>
    <cellStyle name="20% - Accent4 6 4 4 2 3" xfId="27896" xr:uid="{00000000-0005-0000-0000-0000151D0000}"/>
    <cellStyle name="20% - Accent4 6 4 4 3" xfId="14091" xr:uid="{00000000-0005-0000-0000-0000161D0000}"/>
    <cellStyle name="20% - Accent4 6 4 4 3 2" xfId="31726" xr:uid="{00000000-0005-0000-0000-0000171D0000}"/>
    <cellStyle name="20% - Accent4 6 4 4 4" xfId="25032" xr:uid="{00000000-0005-0000-0000-0000181D0000}"/>
    <cellStyle name="20% - Accent4 6 4 5" xfId="6840" xr:uid="{00000000-0005-0000-0000-0000191D0000}"/>
    <cellStyle name="20% - Accent4 6 4 5 2" xfId="10050" xr:uid="{00000000-0005-0000-0000-00001A1D0000}"/>
    <cellStyle name="20% - Accent4 6 4 5 2 2" xfId="17843" xr:uid="{00000000-0005-0000-0000-00001B1D0000}"/>
    <cellStyle name="20% - Accent4 6 4 5 2 2 2" xfId="35480" xr:uid="{00000000-0005-0000-0000-00001C1D0000}"/>
    <cellStyle name="20% - Accent4 6 4 5 2 3" xfId="28433" xr:uid="{00000000-0005-0000-0000-00001D1D0000}"/>
    <cellStyle name="20% - Accent4 6 4 5 3" xfId="14628" xr:uid="{00000000-0005-0000-0000-00001E1D0000}"/>
    <cellStyle name="20% - Accent4 6 4 5 3 2" xfId="32263" xr:uid="{00000000-0005-0000-0000-00001F1D0000}"/>
    <cellStyle name="20% - Accent4 6 4 5 4" xfId="25570" xr:uid="{00000000-0005-0000-0000-0000201D0000}"/>
    <cellStyle name="20% - Accent4 6 4 6" xfId="7666" xr:uid="{00000000-0005-0000-0000-0000211D0000}"/>
    <cellStyle name="20% - Accent4 6 4 6 2" xfId="15463" xr:uid="{00000000-0005-0000-0000-0000221D0000}"/>
    <cellStyle name="20% - Accent4 6 4 6 2 2" xfId="33098" xr:uid="{00000000-0005-0000-0000-0000231D0000}"/>
    <cellStyle name="20% - Accent4 6 4 6 3" xfId="26099" xr:uid="{00000000-0005-0000-0000-0000241D0000}"/>
    <cellStyle name="20% - Accent4 6 4 7" xfId="11240" xr:uid="{00000000-0005-0000-0000-0000251D0000}"/>
    <cellStyle name="20% - Accent4 6 4 7 2" xfId="28968" xr:uid="{00000000-0005-0000-0000-0000261D0000}"/>
    <cellStyle name="20% - Accent4 6 4 8" xfId="23234" xr:uid="{00000000-0005-0000-0000-0000271D0000}"/>
    <cellStyle name="20% - Accent4 6 4 9" xfId="51788" xr:uid="{00000000-0005-0000-0000-0000281D0000}"/>
    <cellStyle name="20% - Accent4 6 5" xfId="481" xr:uid="{00000000-0005-0000-0000-0000291D0000}"/>
    <cellStyle name="20% - Accent4 6 5 2" xfId="3694" xr:uid="{00000000-0005-0000-0000-00002A1D0000}"/>
    <cellStyle name="20% - Accent4 6 5 2 2" xfId="8304" xr:uid="{00000000-0005-0000-0000-00002B1D0000}"/>
    <cellStyle name="20% - Accent4 6 5 2 2 2" xfId="16100" xr:uid="{00000000-0005-0000-0000-00002C1D0000}"/>
    <cellStyle name="20% - Accent4 6 5 2 2 2 2" xfId="33735" xr:uid="{00000000-0005-0000-0000-00002D1D0000}"/>
    <cellStyle name="20% - Accent4 6 5 2 2 3" xfId="26718" xr:uid="{00000000-0005-0000-0000-00002E1D0000}"/>
    <cellStyle name="20% - Accent4 6 5 2 3" xfId="12421" xr:uid="{00000000-0005-0000-0000-00002F1D0000}"/>
    <cellStyle name="20% - Accent4 6 5 2 3 2" xfId="30092" xr:uid="{00000000-0005-0000-0000-0000301D0000}"/>
    <cellStyle name="20% - Accent4 6 5 2 4" xfId="23853" xr:uid="{00000000-0005-0000-0000-0000311D0000}"/>
    <cellStyle name="20% - Accent4 6 5 3" xfId="5673" xr:uid="{00000000-0005-0000-0000-0000321D0000}"/>
    <cellStyle name="20% - Accent4 6 5 3 2" xfId="8973" xr:uid="{00000000-0005-0000-0000-0000331D0000}"/>
    <cellStyle name="20% - Accent4 6 5 3 2 2" xfId="16768" xr:uid="{00000000-0005-0000-0000-0000341D0000}"/>
    <cellStyle name="20% - Accent4 6 5 3 2 2 2" xfId="34404" xr:uid="{00000000-0005-0000-0000-0000351D0000}"/>
    <cellStyle name="20% - Accent4 6 5 3 2 3" xfId="27361" xr:uid="{00000000-0005-0000-0000-0000361D0000}"/>
    <cellStyle name="20% - Accent4 6 5 3 3" xfId="13529" xr:uid="{00000000-0005-0000-0000-0000371D0000}"/>
    <cellStyle name="20% - Accent4 6 5 3 3 2" xfId="31169" xr:uid="{00000000-0005-0000-0000-0000381D0000}"/>
    <cellStyle name="20% - Accent4 6 5 3 4" xfId="24496" xr:uid="{00000000-0005-0000-0000-0000391D0000}"/>
    <cellStyle name="20% - Accent4 6 5 4" xfId="6303" xr:uid="{00000000-0005-0000-0000-00003A1D0000}"/>
    <cellStyle name="20% - Accent4 6 5 4 2" xfId="9513" xr:uid="{00000000-0005-0000-0000-00003B1D0000}"/>
    <cellStyle name="20% - Accent4 6 5 4 2 2" xfId="17307" xr:uid="{00000000-0005-0000-0000-00003C1D0000}"/>
    <cellStyle name="20% - Accent4 6 5 4 2 2 2" xfId="34944" xr:uid="{00000000-0005-0000-0000-00003D1D0000}"/>
    <cellStyle name="20% - Accent4 6 5 4 2 3" xfId="27897" xr:uid="{00000000-0005-0000-0000-00003E1D0000}"/>
    <cellStyle name="20% - Accent4 6 5 4 3" xfId="14092" xr:uid="{00000000-0005-0000-0000-00003F1D0000}"/>
    <cellStyle name="20% - Accent4 6 5 4 3 2" xfId="31727" xr:uid="{00000000-0005-0000-0000-0000401D0000}"/>
    <cellStyle name="20% - Accent4 6 5 4 4" xfId="25033" xr:uid="{00000000-0005-0000-0000-0000411D0000}"/>
    <cellStyle name="20% - Accent4 6 5 5" xfId="6841" xr:uid="{00000000-0005-0000-0000-0000421D0000}"/>
    <cellStyle name="20% - Accent4 6 5 5 2" xfId="10051" xr:uid="{00000000-0005-0000-0000-0000431D0000}"/>
    <cellStyle name="20% - Accent4 6 5 5 2 2" xfId="17844" xr:uid="{00000000-0005-0000-0000-0000441D0000}"/>
    <cellStyle name="20% - Accent4 6 5 5 2 2 2" xfId="35481" xr:uid="{00000000-0005-0000-0000-0000451D0000}"/>
    <cellStyle name="20% - Accent4 6 5 5 2 3" xfId="28434" xr:uid="{00000000-0005-0000-0000-0000461D0000}"/>
    <cellStyle name="20% - Accent4 6 5 5 3" xfId="14629" xr:uid="{00000000-0005-0000-0000-0000471D0000}"/>
    <cellStyle name="20% - Accent4 6 5 5 3 2" xfId="32264" xr:uid="{00000000-0005-0000-0000-0000481D0000}"/>
    <cellStyle name="20% - Accent4 6 5 5 4" xfId="25571" xr:uid="{00000000-0005-0000-0000-0000491D0000}"/>
    <cellStyle name="20% - Accent4 6 5 6" xfId="7667" xr:uid="{00000000-0005-0000-0000-00004A1D0000}"/>
    <cellStyle name="20% - Accent4 6 5 6 2" xfId="15464" xr:uid="{00000000-0005-0000-0000-00004B1D0000}"/>
    <cellStyle name="20% - Accent4 6 5 6 2 2" xfId="33099" xr:uid="{00000000-0005-0000-0000-00004C1D0000}"/>
    <cellStyle name="20% - Accent4 6 5 6 3" xfId="26100" xr:uid="{00000000-0005-0000-0000-00004D1D0000}"/>
    <cellStyle name="20% - Accent4 6 5 7" xfId="11241" xr:uid="{00000000-0005-0000-0000-00004E1D0000}"/>
    <cellStyle name="20% - Accent4 6 5 7 2" xfId="28969" xr:uid="{00000000-0005-0000-0000-00004F1D0000}"/>
    <cellStyle name="20% - Accent4 6 5 8" xfId="23235" xr:uid="{00000000-0005-0000-0000-0000501D0000}"/>
    <cellStyle name="20% - Accent4 6 5 9" xfId="51789" xr:uid="{00000000-0005-0000-0000-0000511D0000}"/>
    <cellStyle name="20% - Accent4 6 6" xfId="482" xr:uid="{00000000-0005-0000-0000-0000521D0000}"/>
    <cellStyle name="20% - Accent4 6 6 2" xfId="3695" xr:uid="{00000000-0005-0000-0000-0000531D0000}"/>
    <cellStyle name="20% - Accent4 6 6 2 2" xfId="8305" xr:uid="{00000000-0005-0000-0000-0000541D0000}"/>
    <cellStyle name="20% - Accent4 6 6 2 2 2" xfId="16101" xr:uid="{00000000-0005-0000-0000-0000551D0000}"/>
    <cellStyle name="20% - Accent4 6 6 2 2 2 2" xfId="33736" xr:uid="{00000000-0005-0000-0000-0000561D0000}"/>
    <cellStyle name="20% - Accent4 6 6 2 2 3" xfId="26719" xr:uid="{00000000-0005-0000-0000-0000571D0000}"/>
    <cellStyle name="20% - Accent4 6 6 2 3" xfId="12422" xr:uid="{00000000-0005-0000-0000-0000581D0000}"/>
    <cellStyle name="20% - Accent4 6 6 2 3 2" xfId="30093" xr:uid="{00000000-0005-0000-0000-0000591D0000}"/>
    <cellStyle name="20% - Accent4 6 6 2 4" xfId="23854" xr:uid="{00000000-0005-0000-0000-00005A1D0000}"/>
    <cellStyle name="20% - Accent4 6 6 3" xfId="5674" xr:uid="{00000000-0005-0000-0000-00005B1D0000}"/>
    <cellStyle name="20% - Accent4 6 6 3 2" xfId="8974" xr:uid="{00000000-0005-0000-0000-00005C1D0000}"/>
    <cellStyle name="20% - Accent4 6 6 3 2 2" xfId="16769" xr:uid="{00000000-0005-0000-0000-00005D1D0000}"/>
    <cellStyle name="20% - Accent4 6 6 3 2 2 2" xfId="34405" xr:uid="{00000000-0005-0000-0000-00005E1D0000}"/>
    <cellStyle name="20% - Accent4 6 6 3 2 3" xfId="27362" xr:uid="{00000000-0005-0000-0000-00005F1D0000}"/>
    <cellStyle name="20% - Accent4 6 6 3 3" xfId="13530" xr:uid="{00000000-0005-0000-0000-0000601D0000}"/>
    <cellStyle name="20% - Accent4 6 6 3 3 2" xfId="31170" xr:uid="{00000000-0005-0000-0000-0000611D0000}"/>
    <cellStyle name="20% - Accent4 6 6 3 4" xfId="24497" xr:uid="{00000000-0005-0000-0000-0000621D0000}"/>
    <cellStyle name="20% - Accent4 6 6 4" xfId="6304" xr:uid="{00000000-0005-0000-0000-0000631D0000}"/>
    <cellStyle name="20% - Accent4 6 6 4 2" xfId="9514" xr:uid="{00000000-0005-0000-0000-0000641D0000}"/>
    <cellStyle name="20% - Accent4 6 6 4 2 2" xfId="17308" xr:uid="{00000000-0005-0000-0000-0000651D0000}"/>
    <cellStyle name="20% - Accent4 6 6 4 2 2 2" xfId="34945" xr:uid="{00000000-0005-0000-0000-0000661D0000}"/>
    <cellStyle name="20% - Accent4 6 6 4 2 3" xfId="27898" xr:uid="{00000000-0005-0000-0000-0000671D0000}"/>
    <cellStyle name="20% - Accent4 6 6 4 3" xfId="14093" xr:uid="{00000000-0005-0000-0000-0000681D0000}"/>
    <cellStyle name="20% - Accent4 6 6 4 3 2" xfId="31728" xr:uid="{00000000-0005-0000-0000-0000691D0000}"/>
    <cellStyle name="20% - Accent4 6 6 4 4" xfId="25034" xr:uid="{00000000-0005-0000-0000-00006A1D0000}"/>
    <cellStyle name="20% - Accent4 6 6 5" xfId="6842" xr:uid="{00000000-0005-0000-0000-00006B1D0000}"/>
    <cellStyle name="20% - Accent4 6 6 5 2" xfId="10052" xr:uid="{00000000-0005-0000-0000-00006C1D0000}"/>
    <cellStyle name="20% - Accent4 6 6 5 2 2" xfId="17845" xr:uid="{00000000-0005-0000-0000-00006D1D0000}"/>
    <cellStyle name="20% - Accent4 6 6 5 2 2 2" xfId="35482" xr:uid="{00000000-0005-0000-0000-00006E1D0000}"/>
    <cellStyle name="20% - Accent4 6 6 5 2 3" xfId="28435" xr:uid="{00000000-0005-0000-0000-00006F1D0000}"/>
    <cellStyle name="20% - Accent4 6 6 5 3" xfId="14630" xr:uid="{00000000-0005-0000-0000-0000701D0000}"/>
    <cellStyle name="20% - Accent4 6 6 5 3 2" xfId="32265" xr:uid="{00000000-0005-0000-0000-0000711D0000}"/>
    <cellStyle name="20% - Accent4 6 6 5 4" xfId="25572" xr:uid="{00000000-0005-0000-0000-0000721D0000}"/>
    <cellStyle name="20% - Accent4 6 6 6" xfId="7668" xr:uid="{00000000-0005-0000-0000-0000731D0000}"/>
    <cellStyle name="20% - Accent4 6 6 6 2" xfId="15465" xr:uid="{00000000-0005-0000-0000-0000741D0000}"/>
    <cellStyle name="20% - Accent4 6 6 6 2 2" xfId="33100" xr:uid="{00000000-0005-0000-0000-0000751D0000}"/>
    <cellStyle name="20% - Accent4 6 6 6 3" xfId="26101" xr:uid="{00000000-0005-0000-0000-0000761D0000}"/>
    <cellStyle name="20% - Accent4 6 6 7" xfId="11242" xr:uid="{00000000-0005-0000-0000-0000771D0000}"/>
    <cellStyle name="20% - Accent4 6 6 7 2" xfId="28970" xr:uid="{00000000-0005-0000-0000-0000781D0000}"/>
    <cellStyle name="20% - Accent4 6 6 8" xfId="23236" xr:uid="{00000000-0005-0000-0000-0000791D0000}"/>
    <cellStyle name="20% - Accent4 6 6 9" xfId="51790" xr:uid="{00000000-0005-0000-0000-00007A1D0000}"/>
    <cellStyle name="20% - Accent4 6 7" xfId="483" xr:uid="{00000000-0005-0000-0000-00007B1D0000}"/>
    <cellStyle name="20% - Accent4 6 7 10" xfId="51791" xr:uid="{00000000-0005-0000-0000-00007C1D0000}"/>
    <cellStyle name="20% - Accent4 6 7 2" xfId="484" xr:uid="{00000000-0005-0000-0000-00007D1D0000}"/>
    <cellStyle name="20% - Accent4 6 7 2 2" xfId="8307" xr:uid="{00000000-0005-0000-0000-00007E1D0000}"/>
    <cellStyle name="20% - Accent4 6 7 2 2 2" xfId="16103" xr:uid="{00000000-0005-0000-0000-00007F1D0000}"/>
    <cellStyle name="20% - Accent4 6 7 2 2 2 2" xfId="33738" xr:uid="{00000000-0005-0000-0000-0000801D0000}"/>
    <cellStyle name="20% - Accent4 6 7 2 2 3" xfId="26721" xr:uid="{00000000-0005-0000-0000-0000811D0000}"/>
    <cellStyle name="20% - Accent4 6 7 2 3" xfId="12424" xr:uid="{00000000-0005-0000-0000-0000821D0000}"/>
    <cellStyle name="20% - Accent4 6 7 2 3 2" xfId="30095" xr:uid="{00000000-0005-0000-0000-0000831D0000}"/>
    <cellStyle name="20% - Accent4 6 7 2 4" xfId="23856" xr:uid="{00000000-0005-0000-0000-0000841D0000}"/>
    <cellStyle name="20% - Accent4 6 7 3" xfId="3696" xr:uid="{00000000-0005-0000-0000-0000851D0000}"/>
    <cellStyle name="20% - Accent4 6 7 3 2" xfId="8306" xr:uid="{00000000-0005-0000-0000-0000861D0000}"/>
    <cellStyle name="20% - Accent4 6 7 3 2 2" xfId="16102" xr:uid="{00000000-0005-0000-0000-0000871D0000}"/>
    <cellStyle name="20% - Accent4 6 7 3 2 2 2" xfId="33737" xr:uid="{00000000-0005-0000-0000-0000881D0000}"/>
    <cellStyle name="20% - Accent4 6 7 3 2 3" xfId="26720" xr:uid="{00000000-0005-0000-0000-0000891D0000}"/>
    <cellStyle name="20% - Accent4 6 7 3 3" xfId="12423" xr:uid="{00000000-0005-0000-0000-00008A1D0000}"/>
    <cellStyle name="20% - Accent4 6 7 3 3 2" xfId="30094" xr:uid="{00000000-0005-0000-0000-00008B1D0000}"/>
    <cellStyle name="20% - Accent4 6 7 3 4" xfId="23855" xr:uid="{00000000-0005-0000-0000-00008C1D0000}"/>
    <cellStyle name="20% - Accent4 6 7 4" xfId="5675" xr:uid="{00000000-0005-0000-0000-00008D1D0000}"/>
    <cellStyle name="20% - Accent4 6 7 4 2" xfId="8975" xr:uid="{00000000-0005-0000-0000-00008E1D0000}"/>
    <cellStyle name="20% - Accent4 6 7 4 2 2" xfId="16770" xr:uid="{00000000-0005-0000-0000-00008F1D0000}"/>
    <cellStyle name="20% - Accent4 6 7 4 2 2 2" xfId="34406" xr:uid="{00000000-0005-0000-0000-0000901D0000}"/>
    <cellStyle name="20% - Accent4 6 7 4 2 3" xfId="27363" xr:uid="{00000000-0005-0000-0000-0000911D0000}"/>
    <cellStyle name="20% - Accent4 6 7 4 3" xfId="13531" xr:uid="{00000000-0005-0000-0000-0000921D0000}"/>
    <cellStyle name="20% - Accent4 6 7 4 3 2" xfId="31171" xr:uid="{00000000-0005-0000-0000-0000931D0000}"/>
    <cellStyle name="20% - Accent4 6 7 4 4" xfId="24498" xr:uid="{00000000-0005-0000-0000-0000941D0000}"/>
    <cellStyle name="20% - Accent4 6 7 5" xfId="6305" xr:uid="{00000000-0005-0000-0000-0000951D0000}"/>
    <cellStyle name="20% - Accent4 6 7 5 2" xfId="9515" xr:uid="{00000000-0005-0000-0000-0000961D0000}"/>
    <cellStyle name="20% - Accent4 6 7 5 2 2" xfId="17309" xr:uid="{00000000-0005-0000-0000-0000971D0000}"/>
    <cellStyle name="20% - Accent4 6 7 5 2 2 2" xfId="34946" xr:uid="{00000000-0005-0000-0000-0000981D0000}"/>
    <cellStyle name="20% - Accent4 6 7 5 2 3" xfId="27899" xr:uid="{00000000-0005-0000-0000-0000991D0000}"/>
    <cellStyle name="20% - Accent4 6 7 5 3" xfId="14094" xr:uid="{00000000-0005-0000-0000-00009A1D0000}"/>
    <cellStyle name="20% - Accent4 6 7 5 3 2" xfId="31729" xr:uid="{00000000-0005-0000-0000-00009B1D0000}"/>
    <cellStyle name="20% - Accent4 6 7 5 4" xfId="25035" xr:uid="{00000000-0005-0000-0000-00009C1D0000}"/>
    <cellStyle name="20% - Accent4 6 7 6" xfId="6843" xr:uid="{00000000-0005-0000-0000-00009D1D0000}"/>
    <cellStyle name="20% - Accent4 6 7 6 2" xfId="10053" xr:uid="{00000000-0005-0000-0000-00009E1D0000}"/>
    <cellStyle name="20% - Accent4 6 7 6 2 2" xfId="17846" xr:uid="{00000000-0005-0000-0000-00009F1D0000}"/>
    <cellStyle name="20% - Accent4 6 7 6 2 2 2" xfId="35483" xr:uid="{00000000-0005-0000-0000-0000A01D0000}"/>
    <cellStyle name="20% - Accent4 6 7 6 2 3" xfId="28436" xr:uid="{00000000-0005-0000-0000-0000A11D0000}"/>
    <cellStyle name="20% - Accent4 6 7 6 3" xfId="14631" xr:uid="{00000000-0005-0000-0000-0000A21D0000}"/>
    <cellStyle name="20% - Accent4 6 7 6 3 2" xfId="32266" xr:uid="{00000000-0005-0000-0000-0000A31D0000}"/>
    <cellStyle name="20% - Accent4 6 7 6 4" xfId="25573" xr:uid="{00000000-0005-0000-0000-0000A41D0000}"/>
    <cellStyle name="20% - Accent4 6 7 7" xfId="7669" xr:uid="{00000000-0005-0000-0000-0000A51D0000}"/>
    <cellStyle name="20% - Accent4 6 7 7 2" xfId="15466" xr:uid="{00000000-0005-0000-0000-0000A61D0000}"/>
    <cellStyle name="20% - Accent4 6 7 7 2 2" xfId="33101" xr:uid="{00000000-0005-0000-0000-0000A71D0000}"/>
    <cellStyle name="20% - Accent4 6 7 7 3" xfId="26102" xr:uid="{00000000-0005-0000-0000-0000A81D0000}"/>
    <cellStyle name="20% - Accent4 6 7 8" xfId="11243" xr:uid="{00000000-0005-0000-0000-0000A91D0000}"/>
    <cellStyle name="20% - Accent4 6 7 8 2" xfId="28971" xr:uid="{00000000-0005-0000-0000-0000AA1D0000}"/>
    <cellStyle name="20% - Accent4 6 7 9" xfId="23237" xr:uid="{00000000-0005-0000-0000-0000AB1D0000}"/>
    <cellStyle name="20% - Accent4 6 8" xfId="3697" xr:uid="{00000000-0005-0000-0000-0000AC1D0000}"/>
    <cellStyle name="20% - Accent4 6 8 2" xfId="8308" xr:uid="{00000000-0005-0000-0000-0000AD1D0000}"/>
    <cellStyle name="20% - Accent4 6 8 2 2" xfId="16104" xr:uid="{00000000-0005-0000-0000-0000AE1D0000}"/>
    <cellStyle name="20% - Accent4 6 8 2 2 2" xfId="33739" xr:uid="{00000000-0005-0000-0000-0000AF1D0000}"/>
    <cellStyle name="20% - Accent4 6 8 2 3" xfId="26722" xr:uid="{00000000-0005-0000-0000-0000B01D0000}"/>
    <cellStyle name="20% - Accent4 6 8 3" xfId="12425" xr:uid="{00000000-0005-0000-0000-0000B11D0000}"/>
    <cellStyle name="20% - Accent4 6 8 3 2" xfId="30096" xr:uid="{00000000-0005-0000-0000-0000B21D0000}"/>
    <cellStyle name="20% - Accent4 6 8 4" xfId="23857" xr:uid="{00000000-0005-0000-0000-0000B31D0000}"/>
    <cellStyle name="20% - Accent4 6 9" xfId="3698" xr:uid="{00000000-0005-0000-0000-0000B41D0000}"/>
    <cellStyle name="20% - Accent4 6 9 2" xfId="8309" xr:uid="{00000000-0005-0000-0000-0000B51D0000}"/>
    <cellStyle name="20% - Accent4 6 9 2 2" xfId="16105" xr:uid="{00000000-0005-0000-0000-0000B61D0000}"/>
    <cellStyle name="20% - Accent4 6 9 2 2 2" xfId="33740" xr:uid="{00000000-0005-0000-0000-0000B71D0000}"/>
    <cellStyle name="20% - Accent4 6 9 2 3" xfId="26723" xr:uid="{00000000-0005-0000-0000-0000B81D0000}"/>
    <cellStyle name="20% - Accent4 6 9 3" xfId="12426" xr:uid="{00000000-0005-0000-0000-0000B91D0000}"/>
    <cellStyle name="20% - Accent4 6 9 3 2" xfId="30097" xr:uid="{00000000-0005-0000-0000-0000BA1D0000}"/>
    <cellStyle name="20% - Accent4 6 9 4" xfId="23858" xr:uid="{00000000-0005-0000-0000-0000BB1D0000}"/>
    <cellStyle name="20% - Accent4 7" xfId="485" xr:uid="{00000000-0005-0000-0000-0000BC1D0000}"/>
    <cellStyle name="20% - Accent4 7 10" xfId="3699" xr:uid="{00000000-0005-0000-0000-0000BD1D0000}"/>
    <cellStyle name="20% - Accent4 7 10 2" xfId="8310" xr:uid="{00000000-0005-0000-0000-0000BE1D0000}"/>
    <cellStyle name="20% - Accent4 7 10 2 2" xfId="16106" xr:uid="{00000000-0005-0000-0000-0000BF1D0000}"/>
    <cellStyle name="20% - Accent4 7 10 2 2 2" xfId="33741" xr:uid="{00000000-0005-0000-0000-0000C01D0000}"/>
    <cellStyle name="20% - Accent4 7 10 2 3" xfId="26724" xr:uid="{00000000-0005-0000-0000-0000C11D0000}"/>
    <cellStyle name="20% - Accent4 7 10 3" xfId="12427" xr:uid="{00000000-0005-0000-0000-0000C21D0000}"/>
    <cellStyle name="20% - Accent4 7 10 3 2" xfId="30098" xr:uid="{00000000-0005-0000-0000-0000C31D0000}"/>
    <cellStyle name="20% - Accent4 7 10 4" xfId="23859" xr:uid="{00000000-0005-0000-0000-0000C41D0000}"/>
    <cellStyle name="20% - Accent4 7 11" xfId="5676" xr:uid="{00000000-0005-0000-0000-0000C51D0000}"/>
    <cellStyle name="20% - Accent4 7 11 2" xfId="8976" xr:uid="{00000000-0005-0000-0000-0000C61D0000}"/>
    <cellStyle name="20% - Accent4 7 11 2 2" xfId="16771" xr:uid="{00000000-0005-0000-0000-0000C71D0000}"/>
    <cellStyle name="20% - Accent4 7 11 2 2 2" xfId="34407" xr:uid="{00000000-0005-0000-0000-0000C81D0000}"/>
    <cellStyle name="20% - Accent4 7 11 2 3" xfId="27364" xr:uid="{00000000-0005-0000-0000-0000C91D0000}"/>
    <cellStyle name="20% - Accent4 7 11 3" xfId="13532" xr:uid="{00000000-0005-0000-0000-0000CA1D0000}"/>
    <cellStyle name="20% - Accent4 7 11 3 2" xfId="31172" xr:uid="{00000000-0005-0000-0000-0000CB1D0000}"/>
    <cellStyle name="20% - Accent4 7 11 4" xfId="24499" xr:uid="{00000000-0005-0000-0000-0000CC1D0000}"/>
    <cellStyle name="20% - Accent4 7 12" xfId="6306" xr:uid="{00000000-0005-0000-0000-0000CD1D0000}"/>
    <cellStyle name="20% - Accent4 7 12 2" xfId="9516" xr:uid="{00000000-0005-0000-0000-0000CE1D0000}"/>
    <cellStyle name="20% - Accent4 7 12 2 2" xfId="17310" xr:uid="{00000000-0005-0000-0000-0000CF1D0000}"/>
    <cellStyle name="20% - Accent4 7 12 2 2 2" xfId="34947" xr:uid="{00000000-0005-0000-0000-0000D01D0000}"/>
    <cellStyle name="20% - Accent4 7 12 2 3" xfId="27900" xr:uid="{00000000-0005-0000-0000-0000D11D0000}"/>
    <cellStyle name="20% - Accent4 7 12 3" xfId="14095" xr:uid="{00000000-0005-0000-0000-0000D21D0000}"/>
    <cellStyle name="20% - Accent4 7 12 3 2" xfId="31730" xr:uid="{00000000-0005-0000-0000-0000D31D0000}"/>
    <cellStyle name="20% - Accent4 7 12 4" xfId="25036" xr:uid="{00000000-0005-0000-0000-0000D41D0000}"/>
    <cellStyle name="20% - Accent4 7 13" xfId="6844" xr:uid="{00000000-0005-0000-0000-0000D51D0000}"/>
    <cellStyle name="20% - Accent4 7 13 2" xfId="10054" xr:uid="{00000000-0005-0000-0000-0000D61D0000}"/>
    <cellStyle name="20% - Accent4 7 13 2 2" xfId="17847" xr:uid="{00000000-0005-0000-0000-0000D71D0000}"/>
    <cellStyle name="20% - Accent4 7 13 2 2 2" xfId="35484" xr:uid="{00000000-0005-0000-0000-0000D81D0000}"/>
    <cellStyle name="20% - Accent4 7 13 2 3" xfId="28437" xr:uid="{00000000-0005-0000-0000-0000D91D0000}"/>
    <cellStyle name="20% - Accent4 7 13 3" xfId="14632" xr:uid="{00000000-0005-0000-0000-0000DA1D0000}"/>
    <cellStyle name="20% - Accent4 7 13 3 2" xfId="32267" xr:uid="{00000000-0005-0000-0000-0000DB1D0000}"/>
    <cellStyle name="20% - Accent4 7 13 4" xfId="25574" xr:uid="{00000000-0005-0000-0000-0000DC1D0000}"/>
    <cellStyle name="20% - Accent4 7 14" xfId="7670" xr:uid="{00000000-0005-0000-0000-0000DD1D0000}"/>
    <cellStyle name="20% - Accent4 7 14 2" xfId="15467" xr:uid="{00000000-0005-0000-0000-0000DE1D0000}"/>
    <cellStyle name="20% - Accent4 7 14 2 2" xfId="33102" xr:uid="{00000000-0005-0000-0000-0000DF1D0000}"/>
    <cellStyle name="20% - Accent4 7 14 3" xfId="26103" xr:uid="{00000000-0005-0000-0000-0000E01D0000}"/>
    <cellStyle name="20% - Accent4 7 15" xfId="11244" xr:uid="{00000000-0005-0000-0000-0000E11D0000}"/>
    <cellStyle name="20% - Accent4 7 15 2" xfId="28972" xr:uid="{00000000-0005-0000-0000-0000E21D0000}"/>
    <cellStyle name="20% - Accent4 7 16" xfId="22074" xr:uid="{00000000-0005-0000-0000-0000E31D0000}"/>
    <cellStyle name="20% - Accent4 7 16 2" xfId="38778" xr:uid="{00000000-0005-0000-0000-0000E41D0000}"/>
    <cellStyle name="20% - Accent4 7 17" xfId="23238" xr:uid="{00000000-0005-0000-0000-0000E51D0000}"/>
    <cellStyle name="20% - Accent4 7 18" xfId="51792" xr:uid="{00000000-0005-0000-0000-0000E61D0000}"/>
    <cellStyle name="20% - Accent4 7 2" xfId="486" xr:uid="{00000000-0005-0000-0000-0000E71D0000}"/>
    <cellStyle name="20% - Accent4 7 2 10" xfId="51793" xr:uid="{00000000-0005-0000-0000-0000E81D0000}"/>
    <cellStyle name="20% - Accent4 7 2 2" xfId="3700" xr:uid="{00000000-0005-0000-0000-0000E91D0000}"/>
    <cellStyle name="20% - Accent4 7 2 2 2" xfId="8311" xr:uid="{00000000-0005-0000-0000-0000EA1D0000}"/>
    <cellStyle name="20% - Accent4 7 2 2 2 2" xfId="16107" xr:uid="{00000000-0005-0000-0000-0000EB1D0000}"/>
    <cellStyle name="20% - Accent4 7 2 2 2 2 2" xfId="33742" xr:uid="{00000000-0005-0000-0000-0000EC1D0000}"/>
    <cellStyle name="20% - Accent4 7 2 2 2 3" xfId="26725" xr:uid="{00000000-0005-0000-0000-0000ED1D0000}"/>
    <cellStyle name="20% - Accent4 7 2 2 3" xfId="12428" xr:uid="{00000000-0005-0000-0000-0000EE1D0000}"/>
    <cellStyle name="20% - Accent4 7 2 2 3 2" xfId="30099" xr:uid="{00000000-0005-0000-0000-0000EF1D0000}"/>
    <cellStyle name="20% - Accent4 7 2 2 4" xfId="23860" xr:uid="{00000000-0005-0000-0000-0000F01D0000}"/>
    <cellStyle name="20% - Accent4 7 2 3" xfId="5677" xr:uid="{00000000-0005-0000-0000-0000F11D0000}"/>
    <cellStyle name="20% - Accent4 7 2 3 2" xfId="8977" xr:uid="{00000000-0005-0000-0000-0000F21D0000}"/>
    <cellStyle name="20% - Accent4 7 2 3 2 2" xfId="16772" xr:uid="{00000000-0005-0000-0000-0000F31D0000}"/>
    <cellStyle name="20% - Accent4 7 2 3 2 2 2" xfId="34408" xr:uid="{00000000-0005-0000-0000-0000F41D0000}"/>
    <cellStyle name="20% - Accent4 7 2 3 2 3" xfId="27365" xr:uid="{00000000-0005-0000-0000-0000F51D0000}"/>
    <cellStyle name="20% - Accent4 7 2 3 3" xfId="13533" xr:uid="{00000000-0005-0000-0000-0000F61D0000}"/>
    <cellStyle name="20% - Accent4 7 2 3 3 2" xfId="31173" xr:uid="{00000000-0005-0000-0000-0000F71D0000}"/>
    <cellStyle name="20% - Accent4 7 2 3 4" xfId="24500" xr:uid="{00000000-0005-0000-0000-0000F81D0000}"/>
    <cellStyle name="20% - Accent4 7 2 4" xfId="6307" xr:uid="{00000000-0005-0000-0000-0000F91D0000}"/>
    <cellStyle name="20% - Accent4 7 2 4 2" xfId="9517" xr:uid="{00000000-0005-0000-0000-0000FA1D0000}"/>
    <cellStyle name="20% - Accent4 7 2 4 2 2" xfId="17311" xr:uid="{00000000-0005-0000-0000-0000FB1D0000}"/>
    <cellStyle name="20% - Accent4 7 2 4 2 2 2" xfId="34948" xr:uid="{00000000-0005-0000-0000-0000FC1D0000}"/>
    <cellStyle name="20% - Accent4 7 2 4 2 3" xfId="27901" xr:uid="{00000000-0005-0000-0000-0000FD1D0000}"/>
    <cellStyle name="20% - Accent4 7 2 4 3" xfId="14096" xr:uid="{00000000-0005-0000-0000-0000FE1D0000}"/>
    <cellStyle name="20% - Accent4 7 2 4 3 2" xfId="31731" xr:uid="{00000000-0005-0000-0000-0000FF1D0000}"/>
    <cellStyle name="20% - Accent4 7 2 4 4" xfId="25037" xr:uid="{00000000-0005-0000-0000-0000001E0000}"/>
    <cellStyle name="20% - Accent4 7 2 5" xfId="6845" xr:uid="{00000000-0005-0000-0000-0000011E0000}"/>
    <cellStyle name="20% - Accent4 7 2 5 2" xfId="10055" xr:uid="{00000000-0005-0000-0000-0000021E0000}"/>
    <cellStyle name="20% - Accent4 7 2 5 2 2" xfId="17848" xr:uid="{00000000-0005-0000-0000-0000031E0000}"/>
    <cellStyle name="20% - Accent4 7 2 5 2 2 2" xfId="35485" xr:uid="{00000000-0005-0000-0000-0000041E0000}"/>
    <cellStyle name="20% - Accent4 7 2 5 2 3" xfId="28438" xr:uid="{00000000-0005-0000-0000-0000051E0000}"/>
    <cellStyle name="20% - Accent4 7 2 5 3" xfId="14633" xr:uid="{00000000-0005-0000-0000-0000061E0000}"/>
    <cellStyle name="20% - Accent4 7 2 5 3 2" xfId="32268" xr:uid="{00000000-0005-0000-0000-0000071E0000}"/>
    <cellStyle name="20% - Accent4 7 2 5 4" xfId="25575" xr:uid="{00000000-0005-0000-0000-0000081E0000}"/>
    <cellStyle name="20% - Accent4 7 2 6" xfId="7671" xr:uid="{00000000-0005-0000-0000-0000091E0000}"/>
    <cellStyle name="20% - Accent4 7 2 6 2" xfId="15468" xr:uid="{00000000-0005-0000-0000-00000A1E0000}"/>
    <cellStyle name="20% - Accent4 7 2 6 2 2" xfId="33103" xr:uid="{00000000-0005-0000-0000-00000B1E0000}"/>
    <cellStyle name="20% - Accent4 7 2 6 3" xfId="26104" xr:uid="{00000000-0005-0000-0000-00000C1E0000}"/>
    <cellStyle name="20% - Accent4 7 2 7" xfId="11245" xr:uid="{00000000-0005-0000-0000-00000D1E0000}"/>
    <cellStyle name="20% - Accent4 7 2 7 2" xfId="28973" xr:uid="{00000000-0005-0000-0000-00000E1E0000}"/>
    <cellStyle name="20% - Accent4 7 2 8" xfId="22722" xr:uid="{00000000-0005-0000-0000-00000F1E0000}"/>
    <cellStyle name="20% - Accent4 7 2 8 2" xfId="38932" xr:uid="{00000000-0005-0000-0000-0000101E0000}"/>
    <cellStyle name="20% - Accent4 7 2 9" xfId="23239" xr:uid="{00000000-0005-0000-0000-0000111E0000}"/>
    <cellStyle name="20% - Accent4 7 3" xfId="487" xr:uid="{00000000-0005-0000-0000-0000121E0000}"/>
    <cellStyle name="20% - Accent4 7 3 10" xfId="23240" xr:uid="{00000000-0005-0000-0000-0000131E0000}"/>
    <cellStyle name="20% - Accent4 7 3 11" xfId="51794" xr:uid="{00000000-0005-0000-0000-0000141E0000}"/>
    <cellStyle name="20% - Accent4 7 3 2" xfId="488" xr:uid="{00000000-0005-0000-0000-0000151E0000}"/>
    <cellStyle name="20% - Accent4 7 3 2 2" xfId="3702" xr:uid="{00000000-0005-0000-0000-0000161E0000}"/>
    <cellStyle name="20% - Accent4 7 3 2 2 2" xfId="8313" xr:uid="{00000000-0005-0000-0000-0000171E0000}"/>
    <cellStyle name="20% - Accent4 7 3 2 2 2 2" xfId="16109" xr:uid="{00000000-0005-0000-0000-0000181E0000}"/>
    <cellStyle name="20% - Accent4 7 3 2 2 2 2 2" xfId="33744" xr:uid="{00000000-0005-0000-0000-0000191E0000}"/>
    <cellStyle name="20% - Accent4 7 3 2 2 2 3" xfId="26727" xr:uid="{00000000-0005-0000-0000-00001A1E0000}"/>
    <cellStyle name="20% - Accent4 7 3 2 2 3" xfId="12430" xr:uid="{00000000-0005-0000-0000-00001B1E0000}"/>
    <cellStyle name="20% - Accent4 7 3 2 2 3 2" xfId="30101" xr:uid="{00000000-0005-0000-0000-00001C1E0000}"/>
    <cellStyle name="20% - Accent4 7 3 2 2 4" xfId="23862" xr:uid="{00000000-0005-0000-0000-00001D1E0000}"/>
    <cellStyle name="20% - Accent4 7 3 2 3" xfId="5679" xr:uid="{00000000-0005-0000-0000-00001E1E0000}"/>
    <cellStyle name="20% - Accent4 7 3 2 3 2" xfId="8979" xr:uid="{00000000-0005-0000-0000-00001F1E0000}"/>
    <cellStyle name="20% - Accent4 7 3 2 3 2 2" xfId="16774" xr:uid="{00000000-0005-0000-0000-0000201E0000}"/>
    <cellStyle name="20% - Accent4 7 3 2 3 2 2 2" xfId="34410" xr:uid="{00000000-0005-0000-0000-0000211E0000}"/>
    <cellStyle name="20% - Accent4 7 3 2 3 2 3" xfId="27367" xr:uid="{00000000-0005-0000-0000-0000221E0000}"/>
    <cellStyle name="20% - Accent4 7 3 2 3 3" xfId="13535" xr:uid="{00000000-0005-0000-0000-0000231E0000}"/>
    <cellStyle name="20% - Accent4 7 3 2 3 3 2" xfId="31175" xr:uid="{00000000-0005-0000-0000-0000241E0000}"/>
    <cellStyle name="20% - Accent4 7 3 2 3 4" xfId="24502" xr:uid="{00000000-0005-0000-0000-0000251E0000}"/>
    <cellStyle name="20% - Accent4 7 3 2 4" xfId="6309" xr:uid="{00000000-0005-0000-0000-0000261E0000}"/>
    <cellStyle name="20% - Accent4 7 3 2 4 2" xfId="9519" xr:uid="{00000000-0005-0000-0000-0000271E0000}"/>
    <cellStyle name="20% - Accent4 7 3 2 4 2 2" xfId="17313" xr:uid="{00000000-0005-0000-0000-0000281E0000}"/>
    <cellStyle name="20% - Accent4 7 3 2 4 2 2 2" xfId="34950" xr:uid="{00000000-0005-0000-0000-0000291E0000}"/>
    <cellStyle name="20% - Accent4 7 3 2 4 2 3" xfId="27903" xr:uid="{00000000-0005-0000-0000-00002A1E0000}"/>
    <cellStyle name="20% - Accent4 7 3 2 4 3" xfId="14098" xr:uid="{00000000-0005-0000-0000-00002B1E0000}"/>
    <cellStyle name="20% - Accent4 7 3 2 4 3 2" xfId="31733" xr:uid="{00000000-0005-0000-0000-00002C1E0000}"/>
    <cellStyle name="20% - Accent4 7 3 2 4 4" xfId="25039" xr:uid="{00000000-0005-0000-0000-00002D1E0000}"/>
    <cellStyle name="20% - Accent4 7 3 2 5" xfId="6847" xr:uid="{00000000-0005-0000-0000-00002E1E0000}"/>
    <cellStyle name="20% - Accent4 7 3 2 5 2" xfId="10057" xr:uid="{00000000-0005-0000-0000-00002F1E0000}"/>
    <cellStyle name="20% - Accent4 7 3 2 5 2 2" xfId="17850" xr:uid="{00000000-0005-0000-0000-0000301E0000}"/>
    <cellStyle name="20% - Accent4 7 3 2 5 2 2 2" xfId="35487" xr:uid="{00000000-0005-0000-0000-0000311E0000}"/>
    <cellStyle name="20% - Accent4 7 3 2 5 2 3" xfId="28440" xr:uid="{00000000-0005-0000-0000-0000321E0000}"/>
    <cellStyle name="20% - Accent4 7 3 2 5 3" xfId="14635" xr:uid="{00000000-0005-0000-0000-0000331E0000}"/>
    <cellStyle name="20% - Accent4 7 3 2 5 3 2" xfId="32270" xr:uid="{00000000-0005-0000-0000-0000341E0000}"/>
    <cellStyle name="20% - Accent4 7 3 2 5 4" xfId="25577" xr:uid="{00000000-0005-0000-0000-0000351E0000}"/>
    <cellStyle name="20% - Accent4 7 3 2 6" xfId="7673" xr:uid="{00000000-0005-0000-0000-0000361E0000}"/>
    <cellStyle name="20% - Accent4 7 3 2 6 2" xfId="15470" xr:uid="{00000000-0005-0000-0000-0000371E0000}"/>
    <cellStyle name="20% - Accent4 7 3 2 6 2 2" xfId="33105" xr:uid="{00000000-0005-0000-0000-0000381E0000}"/>
    <cellStyle name="20% - Accent4 7 3 2 6 3" xfId="26106" xr:uid="{00000000-0005-0000-0000-0000391E0000}"/>
    <cellStyle name="20% - Accent4 7 3 2 7" xfId="11247" xr:uid="{00000000-0005-0000-0000-00003A1E0000}"/>
    <cellStyle name="20% - Accent4 7 3 2 7 2" xfId="28975" xr:uid="{00000000-0005-0000-0000-00003B1E0000}"/>
    <cellStyle name="20% - Accent4 7 3 2 8" xfId="23241" xr:uid="{00000000-0005-0000-0000-00003C1E0000}"/>
    <cellStyle name="20% - Accent4 7 3 2 9" xfId="51795" xr:uid="{00000000-0005-0000-0000-00003D1E0000}"/>
    <cellStyle name="20% - Accent4 7 3 3" xfId="3703" xr:uid="{00000000-0005-0000-0000-00003E1E0000}"/>
    <cellStyle name="20% - Accent4 7 3 3 2" xfId="5680" xr:uid="{00000000-0005-0000-0000-00003F1E0000}"/>
    <cellStyle name="20% - Accent4 7 3 3 2 2" xfId="8980" xr:uid="{00000000-0005-0000-0000-0000401E0000}"/>
    <cellStyle name="20% - Accent4 7 3 3 2 2 2" xfId="16775" xr:uid="{00000000-0005-0000-0000-0000411E0000}"/>
    <cellStyle name="20% - Accent4 7 3 3 2 2 2 2" xfId="34411" xr:uid="{00000000-0005-0000-0000-0000421E0000}"/>
    <cellStyle name="20% - Accent4 7 3 3 2 2 3" xfId="27368" xr:uid="{00000000-0005-0000-0000-0000431E0000}"/>
    <cellStyle name="20% - Accent4 7 3 3 2 3" xfId="13536" xr:uid="{00000000-0005-0000-0000-0000441E0000}"/>
    <cellStyle name="20% - Accent4 7 3 3 2 3 2" xfId="31176" xr:uid="{00000000-0005-0000-0000-0000451E0000}"/>
    <cellStyle name="20% - Accent4 7 3 3 2 4" xfId="24503" xr:uid="{00000000-0005-0000-0000-0000461E0000}"/>
    <cellStyle name="20% - Accent4 7 3 3 3" xfId="6310" xr:uid="{00000000-0005-0000-0000-0000471E0000}"/>
    <cellStyle name="20% - Accent4 7 3 3 3 2" xfId="9520" xr:uid="{00000000-0005-0000-0000-0000481E0000}"/>
    <cellStyle name="20% - Accent4 7 3 3 3 2 2" xfId="17314" xr:uid="{00000000-0005-0000-0000-0000491E0000}"/>
    <cellStyle name="20% - Accent4 7 3 3 3 2 2 2" xfId="34951" xr:uid="{00000000-0005-0000-0000-00004A1E0000}"/>
    <cellStyle name="20% - Accent4 7 3 3 3 2 3" xfId="27904" xr:uid="{00000000-0005-0000-0000-00004B1E0000}"/>
    <cellStyle name="20% - Accent4 7 3 3 3 3" xfId="14099" xr:uid="{00000000-0005-0000-0000-00004C1E0000}"/>
    <cellStyle name="20% - Accent4 7 3 3 3 3 2" xfId="31734" xr:uid="{00000000-0005-0000-0000-00004D1E0000}"/>
    <cellStyle name="20% - Accent4 7 3 3 3 4" xfId="25040" xr:uid="{00000000-0005-0000-0000-00004E1E0000}"/>
    <cellStyle name="20% - Accent4 7 3 3 4" xfId="6848" xr:uid="{00000000-0005-0000-0000-00004F1E0000}"/>
    <cellStyle name="20% - Accent4 7 3 3 4 2" xfId="10058" xr:uid="{00000000-0005-0000-0000-0000501E0000}"/>
    <cellStyle name="20% - Accent4 7 3 3 4 2 2" xfId="17851" xr:uid="{00000000-0005-0000-0000-0000511E0000}"/>
    <cellStyle name="20% - Accent4 7 3 3 4 2 2 2" xfId="35488" xr:uid="{00000000-0005-0000-0000-0000521E0000}"/>
    <cellStyle name="20% - Accent4 7 3 3 4 2 3" xfId="28441" xr:uid="{00000000-0005-0000-0000-0000531E0000}"/>
    <cellStyle name="20% - Accent4 7 3 3 4 3" xfId="14636" xr:uid="{00000000-0005-0000-0000-0000541E0000}"/>
    <cellStyle name="20% - Accent4 7 3 3 4 3 2" xfId="32271" xr:uid="{00000000-0005-0000-0000-0000551E0000}"/>
    <cellStyle name="20% - Accent4 7 3 3 4 4" xfId="25578" xr:uid="{00000000-0005-0000-0000-0000561E0000}"/>
    <cellStyle name="20% - Accent4 7 3 3 5" xfId="8314" xr:uid="{00000000-0005-0000-0000-0000571E0000}"/>
    <cellStyle name="20% - Accent4 7 3 3 5 2" xfId="16110" xr:uid="{00000000-0005-0000-0000-0000581E0000}"/>
    <cellStyle name="20% - Accent4 7 3 3 5 2 2" xfId="33745" xr:uid="{00000000-0005-0000-0000-0000591E0000}"/>
    <cellStyle name="20% - Accent4 7 3 3 5 3" xfId="26728" xr:uid="{00000000-0005-0000-0000-00005A1E0000}"/>
    <cellStyle name="20% - Accent4 7 3 3 6" xfId="12431" xr:uid="{00000000-0005-0000-0000-00005B1E0000}"/>
    <cellStyle name="20% - Accent4 7 3 3 6 2" xfId="30102" xr:uid="{00000000-0005-0000-0000-00005C1E0000}"/>
    <cellStyle name="20% - Accent4 7 3 3 7" xfId="23863" xr:uid="{00000000-0005-0000-0000-00005D1E0000}"/>
    <cellStyle name="20% - Accent4 7 3 4" xfId="3701" xr:uid="{00000000-0005-0000-0000-00005E1E0000}"/>
    <cellStyle name="20% - Accent4 7 3 4 2" xfId="8312" xr:uid="{00000000-0005-0000-0000-00005F1E0000}"/>
    <cellStyle name="20% - Accent4 7 3 4 2 2" xfId="16108" xr:uid="{00000000-0005-0000-0000-0000601E0000}"/>
    <cellStyle name="20% - Accent4 7 3 4 2 2 2" xfId="33743" xr:uid="{00000000-0005-0000-0000-0000611E0000}"/>
    <cellStyle name="20% - Accent4 7 3 4 2 3" xfId="26726" xr:uid="{00000000-0005-0000-0000-0000621E0000}"/>
    <cellStyle name="20% - Accent4 7 3 4 3" xfId="12429" xr:uid="{00000000-0005-0000-0000-0000631E0000}"/>
    <cellStyle name="20% - Accent4 7 3 4 3 2" xfId="30100" xr:uid="{00000000-0005-0000-0000-0000641E0000}"/>
    <cellStyle name="20% - Accent4 7 3 4 4" xfId="23861" xr:uid="{00000000-0005-0000-0000-0000651E0000}"/>
    <cellStyle name="20% - Accent4 7 3 5" xfId="5678" xr:uid="{00000000-0005-0000-0000-0000661E0000}"/>
    <cellStyle name="20% - Accent4 7 3 5 2" xfId="8978" xr:uid="{00000000-0005-0000-0000-0000671E0000}"/>
    <cellStyle name="20% - Accent4 7 3 5 2 2" xfId="16773" xr:uid="{00000000-0005-0000-0000-0000681E0000}"/>
    <cellStyle name="20% - Accent4 7 3 5 2 2 2" xfId="34409" xr:uid="{00000000-0005-0000-0000-0000691E0000}"/>
    <cellStyle name="20% - Accent4 7 3 5 2 3" xfId="27366" xr:uid="{00000000-0005-0000-0000-00006A1E0000}"/>
    <cellStyle name="20% - Accent4 7 3 5 3" xfId="13534" xr:uid="{00000000-0005-0000-0000-00006B1E0000}"/>
    <cellStyle name="20% - Accent4 7 3 5 3 2" xfId="31174" xr:uid="{00000000-0005-0000-0000-00006C1E0000}"/>
    <cellStyle name="20% - Accent4 7 3 5 4" xfId="24501" xr:uid="{00000000-0005-0000-0000-00006D1E0000}"/>
    <cellStyle name="20% - Accent4 7 3 6" xfId="6308" xr:uid="{00000000-0005-0000-0000-00006E1E0000}"/>
    <cellStyle name="20% - Accent4 7 3 6 2" xfId="9518" xr:uid="{00000000-0005-0000-0000-00006F1E0000}"/>
    <cellStyle name="20% - Accent4 7 3 6 2 2" xfId="17312" xr:uid="{00000000-0005-0000-0000-0000701E0000}"/>
    <cellStyle name="20% - Accent4 7 3 6 2 2 2" xfId="34949" xr:uid="{00000000-0005-0000-0000-0000711E0000}"/>
    <cellStyle name="20% - Accent4 7 3 6 2 3" xfId="27902" xr:uid="{00000000-0005-0000-0000-0000721E0000}"/>
    <cellStyle name="20% - Accent4 7 3 6 3" xfId="14097" xr:uid="{00000000-0005-0000-0000-0000731E0000}"/>
    <cellStyle name="20% - Accent4 7 3 6 3 2" xfId="31732" xr:uid="{00000000-0005-0000-0000-0000741E0000}"/>
    <cellStyle name="20% - Accent4 7 3 6 4" xfId="25038" xr:uid="{00000000-0005-0000-0000-0000751E0000}"/>
    <cellStyle name="20% - Accent4 7 3 7" xfId="6846" xr:uid="{00000000-0005-0000-0000-0000761E0000}"/>
    <cellStyle name="20% - Accent4 7 3 7 2" xfId="10056" xr:uid="{00000000-0005-0000-0000-0000771E0000}"/>
    <cellStyle name="20% - Accent4 7 3 7 2 2" xfId="17849" xr:uid="{00000000-0005-0000-0000-0000781E0000}"/>
    <cellStyle name="20% - Accent4 7 3 7 2 2 2" xfId="35486" xr:uid="{00000000-0005-0000-0000-0000791E0000}"/>
    <cellStyle name="20% - Accent4 7 3 7 2 3" xfId="28439" xr:uid="{00000000-0005-0000-0000-00007A1E0000}"/>
    <cellStyle name="20% - Accent4 7 3 7 3" xfId="14634" xr:uid="{00000000-0005-0000-0000-00007B1E0000}"/>
    <cellStyle name="20% - Accent4 7 3 7 3 2" xfId="32269" xr:uid="{00000000-0005-0000-0000-00007C1E0000}"/>
    <cellStyle name="20% - Accent4 7 3 7 4" xfId="25576" xr:uid="{00000000-0005-0000-0000-00007D1E0000}"/>
    <cellStyle name="20% - Accent4 7 3 8" xfId="7672" xr:uid="{00000000-0005-0000-0000-00007E1E0000}"/>
    <cellStyle name="20% - Accent4 7 3 8 2" xfId="15469" xr:uid="{00000000-0005-0000-0000-00007F1E0000}"/>
    <cellStyle name="20% - Accent4 7 3 8 2 2" xfId="33104" xr:uid="{00000000-0005-0000-0000-0000801E0000}"/>
    <cellStyle name="20% - Accent4 7 3 8 3" xfId="26105" xr:uid="{00000000-0005-0000-0000-0000811E0000}"/>
    <cellStyle name="20% - Accent4 7 3 9" xfId="11246" xr:uid="{00000000-0005-0000-0000-0000821E0000}"/>
    <cellStyle name="20% - Accent4 7 3 9 2" xfId="28974" xr:uid="{00000000-0005-0000-0000-0000831E0000}"/>
    <cellStyle name="20% - Accent4 7 4" xfId="489" xr:uid="{00000000-0005-0000-0000-0000841E0000}"/>
    <cellStyle name="20% - Accent4 7 4 2" xfId="3704" xr:uid="{00000000-0005-0000-0000-0000851E0000}"/>
    <cellStyle name="20% - Accent4 7 4 2 2" xfId="8315" xr:uid="{00000000-0005-0000-0000-0000861E0000}"/>
    <cellStyle name="20% - Accent4 7 4 2 2 2" xfId="16111" xr:uid="{00000000-0005-0000-0000-0000871E0000}"/>
    <cellStyle name="20% - Accent4 7 4 2 2 2 2" xfId="33746" xr:uid="{00000000-0005-0000-0000-0000881E0000}"/>
    <cellStyle name="20% - Accent4 7 4 2 2 3" xfId="26729" xr:uid="{00000000-0005-0000-0000-0000891E0000}"/>
    <cellStyle name="20% - Accent4 7 4 2 3" xfId="12432" xr:uid="{00000000-0005-0000-0000-00008A1E0000}"/>
    <cellStyle name="20% - Accent4 7 4 2 3 2" xfId="30103" xr:uid="{00000000-0005-0000-0000-00008B1E0000}"/>
    <cellStyle name="20% - Accent4 7 4 2 4" xfId="23864" xr:uid="{00000000-0005-0000-0000-00008C1E0000}"/>
    <cellStyle name="20% - Accent4 7 4 3" xfId="5681" xr:uid="{00000000-0005-0000-0000-00008D1E0000}"/>
    <cellStyle name="20% - Accent4 7 4 3 2" xfId="8981" xr:uid="{00000000-0005-0000-0000-00008E1E0000}"/>
    <cellStyle name="20% - Accent4 7 4 3 2 2" xfId="16776" xr:uid="{00000000-0005-0000-0000-00008F1E0000}"/>
    <cellStyle name="20% - Accent4 7 4 3 2 2 2" xfId="34412" xr:uid="{00000000-0005-0000-0000-0000901E0000}"/>
    <cellStyle name="20% - Accent4 7 4 3 2 3" xfId="27369" xr:uid="{00000000-0005-0000-0000-0000911E0000}"/>
    <cellStyle name="20% - Accent4 7 4 3 3" xfId="13537" xr:uid="{00000000-0005-0000-0000-0000921E0000}"/>
    <cellStyle name="20% - Accent4 7 4 3 3 2" xfId="31177" xr:uid="{00000000-0005-0000-0000-0000931E0000}"/>
    <cellStyle name="20% - Accent4 7 4 3 4" xfId="24504" xr:uid="{00000000-0005-0000-0000-0000941E0000}"/>
    <cellStyle name="20% - Accent4 7 4 4" xfId="6311" xr:uid="{00000000-0005-0000-0000-0000951E0000}"/>
    <cellStyle name="20% - Accent4 7 4 4 2" xfId="9521" xr:uid="{00000000-0005-0000-0000-0000961E0000}"/>
    <cellStyle name="20% - Accent4 7 4 4 2 2" xfId="17315" xr:uid="{00000000-0005-0000-0000-0000971E0000}"/>
    <cellStyle name="20% - Accent4 7 4 4 2 2 2" xfId="34952" xr:uid="{00000000-0005-0000-0000-0000981E0000}"/>
    <cellStyle name="20% - Accent4 7 4 4 2 3" xfId="27905" xr:uid="{00000000-0005-0000-0000-0000991E0000}"/>
    <cellStyle name="20% - Accent4 7 4 4 3" xfId="14100" xr:uid="{00000000-0005-0000-0000-00009A1E0000}"/>
    <cellStyle name="20% - Accent4 7 4 4 3 2" xfId="31735" xr:uid="{00000000-0005-0000-0000-00009B1E0000}"/>
    <cellStyle name="20% - Accent4 7 4 4 4" xfId="25041" xr:uid="{00000000-0005-0000-0000-00009C1E0000}"/>
    <cellStyle name="20% - Accent4 7 4 5" xfId="6849" xr:uid="{00000000-0005-0000-0000-00009D1E0000}"/>
    <cellStyle name="20% - Accent4 7 4 5 2" xfId="10059" xr:uid="{00000000-0005-0000-0000-00009E1E0000}"/>
    <cellStyle name="20% - Accent4 7 4 5 2 2" xfId="17852" xr:uid="{00000000-0005-0000-0000-00009F1E0000}"/>
    <cellStyle name="20% - Accent4 7 4 5 2 2 2" xfId="35489" xr:uid="{00000000-0005-0000-0000-0000A01E0000}"/>
    <cellStyle name="20% - Accent4 7 4 5 2 3" xfId="28442" xr:uid="{00000000-0005-0000-0000-0000A11E0000}"/>
    <cellStyle name="20% - Accent4 7 4 5 3" xfId="14637" xr:uid="{00000000-0005-0000-0000-0000A21E0000}"/>
    <cellStyle name="20% - Accent4 7 4 5 3 2" xfId="32272" xr:uid="{00000000-0005-0000-0000-0000A31E0000}"/>
    <cellStyle name="20% - Accent4 7 4 5 4" xfId="25579" xr:uid="{00000000-0005-0000-0000-0000A41E0000}"/>
    <cellStyle name="20% - Accent4 7 4 6" xfId="7674" xr:uid="{00000000-0005-0000-0000-0000A51E0000}"/>
    <cellStyle name="20% - Accent4 7 4 6 2" xfId="15471" xr:uid="{00000000-0005-0000-0000-0000A61E0000}"/>
    <cellStyle name="20% - Accent4 7 4 6 2 2" xfId="33106" xr:uid="{00000000-0005-0000-0000-0000A71E0000}"/>
    <cellStyle name="20% - Accent4 7 4 6 3" xfId="26107" xr:uid="{00000000-0005-0000-0000-0000A81E0000}"/>
    <cellStyle name="20% - Accent4 7 4 7" xfId="11248" xr:uid="{00000000-0005-0000-0000-0000A91E0000}"/>
    <cellStyle name="20% - Accent4 7 4 7 2" xfId="28976" xr:uid="{00000000-0005-0000-0000-0000AA1E0000}"/>
    <cellStyle name="20% - Accent4 7 4 8" xfId="23242" xr:uid="{00000000-0005-0000-0000-0000AB1E0000}"/>
    <cellStyle name="20% - Accent4 7 4 9" xfId="51796" xr:uid="{00000000-0005-0000-0000-0000AC1E0000}"/>
    <cellStyle name="20% - Accent4 7 5" xfId="490" xr:uid="{00000000-0005-0000-0000-0000AD1E0000}"/>
    <cellStyle name="20% - Accent4 7 5 2" xfId="3705" xr:uid="{00000000-0005-0000-0000-0000AE1E0000}"/>
    <cellStyle name="20% - Accent4 7 5 2 2" xfId="8316" xr:uid="{00000000-0005-0000-0000-0000AF1E0000}"/>
    <cellStyle name="20% - Accent4 7 5 2 2 2" xfId="16112" xr:uid="{00000000-0005-0000-0000-0000B01E0000}"/>
    <cellStyle name="20% - Accent4 7 5 2 2 2 2" xfId="33747" xr:uid="{00000000-0005-0000-0000-0000B11E0000}"/>
    <cellStyle name="20% - Accent4 7 5 2 2 3" xfId="26730" xr:uid="{00000000-0005-0000-0000-0000B21E0000}"/>
    <cellStyle name="20% - Accent4 7 5 2 3" xfId="12433" xr:uid="{00000000-0005-0000-0000-0000B31E0000}"/>
    <cellStyle name="20% - Accent4 7 5 2 3 2" xfId="30104" xr:uid="{00000000-0005-0000-0000-0000B41E0000}"/>
    <cellStyle name="20% - Accent4 7 5 2 4" xfId="23865" xr:uid="{00000000-0005-0000-0000-0000B51E0000}"/>
    <cellStyle name="20% - Accent4 7 5 3" xfId="5682" xr:uid="{00000000-0005-0000-0000-0000B61E0000}"/>
    <cellStyle name="20% - Accent4 7 5 3 2" xfId="8982" xr:uid="{00000000-0005-0000-0000-0000B71E0000}"/>
    <cellStyle name="20% - Accent4 7 5 3 2 2" xfId="16777" xr:uid="{00000000-0005-0000-0000-0000B81E0000}"/>
    <cellStyle name="20% - Accent4 7 5 3 2 2 2" xfId="34413" xr:uid="{00000000-0005-0000-0000-0000B91E0000}"/>
    <cellStyle name="20% - Accent4 7 5 3 2 3" xfId="27370" xr:uid="{00000000-0005-0000-0000-0000BA1E0000}"/>
    <cellStyle name="20% - Accent4 7 5 3 3" xfId="13538" xr:uid="{00000000-0005-0000-0000-0000BB1E0000}"/>
    <cellStyle name="20% - Accent4 7 5 3 3 2" xfId="31178" xr:uid="{00000000-0005-0000-0000-0000BC1E0000}"/>
    <cellStyle name="20% - Accent4 7 5 3 4" xfId="24505" xr:uid="{00000000-0005-0000-0000-0000BD1E0000}"/>
    <cellStyle name="20% - Accent4 7 5 4" xfId="6312" xr:uid="{00000000-0005-0000-0000-0000BE1E0000}"/>
    <cellStyle name="20% - Accent4 7 5 4 2" xfId="9522" xr:uid="{00000000-0005-0000-0000-0000BF1E0000}"/>
    <cellStyle name="20% - Accent4 7 5 4 2 2" xfId="17316" xr:uid="{00000000-0005-0000-0000-0000C01E0000}"/>
    <cellStyle name="20% - Accent4 7 5 4 2 2 2" xfId="34953" xr:uid="{00000000-0005-0000-0000-0000C11E0000}"/>
    <cellStyle name="20% - Accent4 7 5 4 2 3" xfId="27906" xr:uid="{00000000-0005-0000-0000-0000C21E0000}"/>
    <cellStyle name="20% - Accent4 7 5 4 3" xfId="14101" xr:uid="{00000000-0005-0000-0000-0000C31E0000}"/>
    <cellStyle name="20% - Accent4 7 5 4 3 2" xfId="31736" xr:uid="{00000000-0005-0000-0000-0000C41E0000}"/>
    <cellStyle name="20% - Accent4 7 5 4 4" xfId="25042" xr:uid="{00000000-0005-0000-0000-0000C51E0000}"/>
    <cellStyle name="20% - Accent4 7 5 5" xfId="6850" xr:uid="{00000000-0005-0000-0000-0000C61E0000}"/>
    <cellStyle name="20% - Accent4 7 5 5 2" xfId="10060" xr:uid="{00000000-0005-0000-0000-0000C71E0000}"/>
    <cellStyle name="20% - Accent4 7 5 5 2 2" xfId="17853" xr:uid="{00000000-0005-0000-0000-0000C81E0000}"/>
    <cellStyle name="20% - Accent4 7 5 5 2 2 2" xfId="35490" xr:uid="{00000000-0005-0000-0000-0000C91E0000}"/>
    <cellStyle name="20% - Accent4 7 5 5 2 3" xfId="28443" xr:uid="{00000000-0005-0000-0000-0000CA1E0000}"/>
    <cellStyle name="20% - Accent4 7 5 5 3" xfId="14638" xr:uid="{00000000-0005-0000-0000-0000CB1E0000}"/>
    <cellStyle name="20% - Accent4 7 5 5 3 2" xfId="32273" xr:uid="{00000000-0005-0000-0000-0000CC1E0000}"/>
    <cellStyle name="20% - Accent4 7 5 5 4" xfId="25580" xr:uid="{00000000-0005-0000-0000-0000CD1E0000}"/>
    <cellStyle name="20% - Accent4 7 5 6" xfId="7675" xr:uid="{00000000-0005-0000-0000-0000CE1E0000}"/>
    <cellStyle name="20% - Accent4 7 5 6 2" xfId="15472" xr:uid="{00000000-0005-0000-0000-0000CF1E0000}"/>
    <cellStyle name="20% - Accent4 7 5 6 2 2" xfId="33107" xr:uid="{00000000-0005-0000-0000-0000D01E0000}"/>
    <cellStyle name="20% - Accent4 7 5 6 3" xfId="26108" xr:uid="{00000000-0005-0000-0000-0000D11E0000}"/>
    <cellStyle name="20% - Accent4 7 5 7" xfId="11249" xr:uid="{00000000-0005-0000-0000-0000D21E0000}"/>
    <cellStyle name="20% - Accent4 7 5 7 2" xfId="28977" xr:uid="{00000000-0005-0000-0000-0000D31E0000}"/>
    <cellStyle name="20% - Accent4 7 5 8" xfId="23243" xr:uid="{00000000-0005-0000-0000-0000D41E0000}"/>
    <cellStyle name="20% - Accent4 7 5 9" xfId="51797" xr:uid="{00000000-0005-0000-0000-0000D51E0000}"/>
    <cellStyle name="20% - Accent4 7 6" xfId="491" xr:uid="{00000000-0005-0000-0000-0000D61E0000}"/>
    <cellStyle name="20% - Accent4 7 6 2" xfId="3706" xr:uid="{00000000-0005-0000-0000-0000D71E0000}"/>
    <cellStyle name="20% - Accent4 7 6 2 2" xfId="8317" xr:uid="{00000000-0005-0000-0000-0000D81E0000}"/>
    <cellStyle name="20% - Accent4 7 6 2 2 2" xfId="16113" xr:uid="{00000000-0005-0000-0000-0000D91E0000}"/>
    <cellStyle name="20% - Accent4 7 6 2 2 2 2" xfId="33748" xr:uid="{00000000-0005-0000-0000-0000DA1E0000}"/>
    <cellStyle name="20% - Accent4 7 6 2 2 3" xfId="26731" xr:uid="{00000000-0005-0000-0000-0000DB1E0000}"/>
    <cellStyle name="20% - Accent4 7 6 2 3" xfId="12434" xr:uid="{00000000-0005-0000-0000-0000DC1E0000}"/>
    <cellStyle name="20% - Accent4 7 6 2 3 2" xfId="30105" xr:uid="{00000000-0005-0000-0000-0000DD1E0000}"/>
    <cellStyle name="20% - Accent4 7 6 2 4" xfId="23866" xr:uid="{00000000-0005-0000-0000-0000DE1E0000}"/>
    <cellStyle name="20% - Accent4 7 6 3" xfId="5683" xr:uid="{00000000-0005-0000-0000-0000DF1E0000}"/>
    <cellStyle name="20% - Accent4 7 6 3 2" xfId="8983" xr:uid="{00000000-0005-0000-0000-0000E01E0000}"/>
    <cellStyle name="20% - Accent4 7 6 3 2 2" xfId="16778" xr:uid="{00000000-0005-0000-0000-0000E11E0000}"/>
    <cellStyle name="20% - Accent4 7 6 3 2 2 2" xfId="34414" xr:uid="{00000000-0005-0000-0000-0000E21E0000}"/>
    <cellStyle name="20% - Accent4 7 6 3 2 3" xfId="27371" xr:uid="{00000000-0005-0000-0000-0000E31E0000}"/>
    <cellStyle name="20% - Accent4 7 6 3 3" xfId="13539" xr:uid="{00000000-0005-0000-0000-0000E41E0000}"/>
    <cellStyle name="20% - Accent4 7 6 3 3 2" xfId="31179" xr:uid="{00000000-0005-0000-0000-0000E51E0000}"/>
    <cellStyle name="20% - Accent4 7 6 3 4" xfId="24506" xr:uid="{00000000-0005-0000-0000-0000E61E0000}"/>
    <cellStyle name="20% - Accent4 7 6 4" xfId="6313" xr:uid="{00000000-0005-0000-0000-0000E71E0000}"/>
    <cellStyle name="20% - Accent4 7 6 4 2" xfId="9523" xr:uid="{00000000-0005-0000-0000-0000E81E0000}"/>
    <cellStyle name="20% - Accent4 7 6 4 2 2" xfId="17317" xr:uid="{00000000-0005-0000-0000-0000E91E0000}"/>
    <cellStyle name="20% - Accent4 7 6 4 2 2 2" xfId="34954" xr:uid="{00000000-0005-0000-0000-0000EA1E0000}"/>
    <cellStyle name="20% - Accent4 7 6 4 2 3" xfId="27907" xr:uid="{00000000-0005-0000-0000-0000EB1E0000}"/>
    <cellStyle name="20% - Accent4 7 6 4 3" xfId="14102" xr:uid="{00000000-0005-0000-0000-0000EC1E0000}"/>
    <cellStyle name="20% - Accent4 7 6 4 3 2" xfId="31737" xr:uid="{00000000-0005-0000-0000-0000ED1E0000}"/>
    <cellStyle name="20% - Accent4 7 6 4 4" xfId="25043" xr:uid="{00000000-0005-0000-0000-0000EE1E0000}"/>
    <cellStyle name="20% - Accent4 7 6 5" xfId="6851" xr:uid="{00000000-0005-0000-0000-0000EF1E0000}"/>
    <cellStyle name="20% - Accent4 7 6 5 2" xfId="10061" xr:uid="{00000000-0005-0000-0000-0000F01E0000}"/>
    <cellStyle name="20% - Accent4 7 6 5 2 2" xfId="17854" xr:uid="{00000000-0005-0000-0000-0000F11E0000}"/>
    <cellStyle name="20% - Accent4 7 6 5 2 2 2" xfId="35491" xr:uid="{00000000-0005-0000-0000-0000F21E0000}"/>
    <cellStyle name="20% - Accent4 7 6 5 2 3" xfId="28444" xr:uid="{00000000-0005-0000-0000-0000F31E0000}"/>
    <cellStyle name="20% - Accent4 7 6 5 3" xfId="14639" xr:uid="{00000000-0005-0000-0000-0000F41E0000}"/>
    <cellStyle name="20% - Accent4 7 6 5 3 2" xfId="32274" xr:uid="{00000000-0005-0000-0000-0000F51E0000}"/>
    <cellStyle name="20% - Accent4 7 6 5 4" xfId="25581" xr:uid="{00000000-0005-0000-0000-0000F61E0000}"/>
    <cellStyle name="20% - Accent4 7 6 6" xfId="7676" xr:uid="{00000000-0005-0000-0000-0000F71E0000}"/>
    <cellStyle name="20% - Accent4 7 6 6 2" xfId="15473" xr:uid="{00000000-0005-0000-0000-0000F81E0000}"/>
    <cellStyle name="20% - Accent4 7 6 6 2 2" xfId="33108" xr:uid="{00000000-0005-0000-0000-0000F91E0000}"/>
    <cellStyle name="20% - Accent4 7 6 6 3" xfId="26109" xr:uid="{00000000-0005-0000-0000-0000FA1E0000}"/>
    <cellStyle name="20% - Accent4 7 6 7" xfId="11250" xr:uid="{00000000-0005-0000-0000-0000FB1E0000}"/>
    <cellStyle name="20% - Accent4 7 6 7 2" xfId="28978" xr:uid="{00000000-0005-0000-0000-0000FC1E0000}"/>
    <cellStyle name="20% - Accent4 7 6 8" xfId="23244" xr:uid="{00000000-0005-0000-0000-0000FD1E0000}"/>
    <cellStyle name="20% - Accent4 7 6 9" xfId="51798" xr:uid="{00000000-0005-0000-0000-0000FE1E0000}"/>
    <cellStyle name="20% - Accent4 7 7" xfId="492" xr:uid="{00000000-0005-0000-0000-0000FF1E0000}"/>
    <cellStyle name="20% - Accent4 7 7 10" xfId="51799" xr:uid="{00000000-0005-0000-0000-0000001F0000}"/>
    <cellStyle name="20% - Accent4 7 7 2" xfId="493" xr:uid="{00000000-0005-0000-0000-0000011F0000}"/>
    <cellStyle name="20% - Accent4 7 7 2 2" xfId="8319" xr:uid="{00000000-0005-0000-0000-0000021F0000}"/>
    <cellStyle name="20% - Accent4 7 7 2 2 2" xfId="16115" xr:uid="{00000000-0005-0000-0000-0000031F0000}"/>
    <cellStyle name="20% - Accent4 7 7 2 2 2 2" xfId="33750" xr:uid="{00000000-0005-0000-0000-0000041F0000}"/>
    <cellStyle name="20% - Accent4 7 7 2 2 3" xfId="26733" xr:uid="{00000000-0005-0000-0000-0000051F0000}"/>
    <cellStyle name="20% - Accent4 7 7 2 3" xfId="12436" xr:uid="{00000000-0005-0000-0000-0000061F0000}"/>
    <cellStyle name="20% - Accent4 7 7 2 3 2" xfId="30107" xr:uid="{00000000-0005-0000-0000-0000071F0000}"/>
    <cellStyle name="20% - Accent4 7 7 2 4" xfId="23868" xr:uid="{00000000-0005-0000-0000-0000081F0000}"/>
    <cellStyle name="20% - Accent4 7 7 3" xfId="3707" xr:uid="{00000000-0005-0000-0000-0000091F0000}"/>
    <cellStyle name="20% - Accent4 7 7 3 2" xfId="8318" xr:uid="{00000000-0005-0000-0000-00000A1F0000}"/>
    <cellStyle name="20% - Accent4 7 7 3 2 2" xfId="16114" xr:uid="{00000000-0005-0000-0000-00000B1F0000}"/>
    <cellStyle name="20% - Accent4 7 7 3 2 2 2" xfId="33749" xr:uid="{00000000-0005-0000-0000-00000C1F0000}"/>
    <cellStyle name="20% - Accent4 7 7 3 2 3" xfId="26732" xr:uid="{00000000-0005-0000-0000-00000D1F0000}"/>
    <cellStyle name="20% - Accent4 7 7 3 3" xfId="12435" xr:uid="{00000000-0005-0000-0000-00000E1F0000}"/>
    <cellStyle name="20% - Accent4 7 7 3 3 2" xfId="30106" xr:uid="{00000000-0005-0000-0000-00000F1F0000}"/>
    <cellStyle name="20% - Accent4 7 7 3 4" xfId="23867" xr:uid="{00000000-0005-0000-0000-0000101F0000}"/>
    <cellStyle name="20% - Accent4 7 7 4" xfId="5684" xr:uid="{00000000-0005-0000-0000-0000111F0000}"/>
    <cellStyle name="20% - Accent4 7 7 4 2" xfId="8984" xr:uid="{00000000-0005-0000-0000-0000121F0000}"/>
    <cellStyle name="20% - Accent4 7 7 4 2 2" xfId="16779" xr:uid="{00000000-0005-0000-0000-0000131F0000}"/>
    <cellStyle name="20% - Accent4 7 7 4 2 2 2" xfId="34415" xr:uid="{00000000-0005-0000-0000-0000141F0000}"/>
    <cellStyle name="20% - Accent4 7 7 4 2 3" xfId="27372" xr:uid="{00000000-0005-0000-0000-0000151F0000}"/>
    <cellStyle name="20% - Accent4 7 7 4 3" xfId="13540" xr:uid="{00000000-0005-0000-0000-0000161F0000}"/>
    <cellStyle name="20% - Accent4 7 7 4 3 2" xfId="31180" xr:uid="{00000000-0005-0000-0000-0000171F0000}"/>
    <cellStyle name="20% - Accent4 7 7 4 4" xfId="24507" xr:uid="{00000000-0005-0000-0000-0000181F0000}"/>
    <cellStyle name="20% - Accent4 7 7 5" xfId="6314" xr:uid="{00000000-0005-0000-0000-0000191F0000}"/>
    <cellStyle name="20% - Accent4 7 7 5 2" xfId="9524" xr:uid="{00000000-0005-0000-0000-00001A1F0000}"/>
    <cellStyle name="20% - Accent4 7 7 5 2 2" xfId="17318" xr:uid="{00000000-0005-0000-0000-00001B1F0000}"/>
    <cellStyle name="20% - Accent4 7 7 5 2 2 2" xfId="34955" xr:uid="{00000000-0005-0000-0000-00001C1F0000}"/>
    <cellStyle name="20% - Accent4 7 7 5 2 3" xfId="27908" xr:uid="{00000000-0005-0000-0000-00001D1F0000}"/>
    <cellStyle name="20% - Accent4 7 7 5 3" xfId="14103" xr:uid="{00000000-0005-0000-0000-00001E1F0000}"/>
    <cellStyle name="20% - Accent4 7 7 5 3 2" xfId="31738" xr:uid="{00000000-0005-0000-0000-00001F1F0000}"/>
    <cellStyle name="20% - Accent4 7 7 5 4" xfId="25044" xr:uid="{00000000-0005-0000-0000-0000201F0000}"/>
    <cellStyle name="20% - Accent4 7 7 6" xfId="6852" xr:uid="{00000000-0005-0000-0000-0000211F0000}"/>
    <cellStyle name="20% - Accent4 7 7 6 2" xfId="10062" xr:uid="{00000000-0005-0000-0000-0000221F0000}"/>
    <cellStyle name="20% - Accent4 7 7 6 2 2" xfId="17855" xr:uid="{00000000-0005-0000-0000-0000231F0000}"/>
    <cellStyle name="20% - Accent4 7 7 6 2 2 2" xfId="35492" xr:uid="{00000000-0005-0000-0000-0000241F0000}"/>
    <cellStyle name="20% - Accent4 7 7 6 2 3" xfId="28445" xr:uid="{00000000-0005-0000-0000-0000251F0000}"/>
    <cellStyle name="20% - Accent4 7 7 6 3" xfId="14640" xr:uid="{00000000-0005-0000-0000-0000261F0000}"/>
    <cellStyle name="20% - Accent4 7 7 6 3 2" xfId="32275" xr:uid="{00000000-0005-0000-0000-0000271F0000}"/>
    <cellStyle name="20% - Accent4 7 7 6 4" xfId="25582" xr:uid="{00000000-0005-0000-0000-0000281F0000}"/>
    <cellStyle name="20% - Accent4 7 7 7" xfId="7677" xr:uid="{00000000-0005-0000-0000-0000291F0000}"/>
    <cellStyle name="20% - Accent4 7 7 7 2" xfId="15474" xr:uid="{00000000-0005-0000-0000-00002A1F0000}"/>
    <cellStyle name="20% - Accent4 7 7 7 2 2" xfId="33109" xr:uid="{00000000-0005-0000-0000-00002B1F0000}"/>
    <cellStyle name="20% - Accent4 7 7 7 3" xfId="26110" xr:uid="{00000000-0005-0000-0000-00002C1F0000}"/>
    <cellStyle name="20% - Accent4 7 7 8" xfId="11251" xr:uid="{00000000-0005-0000-0000-00002D1F0000}"/>
    <cellStyle name="20% - Accent4 7 7 8 2" xfId="28979" xr:uid="{00000000-0005-0000-0000-00002E1F0000}"/>
    <cellStyle name="20% - Accent4 7 7 9" xfId="23245" xr:uid="{00000000-0005-0000-0000-00002F1F0000}"/>
    <cellStyle name="20% - Accent4 7 8" xfId="3708" xr:uid="{00000000-0005-0000-0000-0000301F0000}"/>
    <cellStyle name="20% - Accent4 7 8 2" xfId="8320" xr:uid="{00000000-0005-0000-0000-0000311F0000}"/>
    <cellStyle name="20% - Accent4 7 8 2 2" xfId="16116" xr:uid="{00000000-0005-0000-0000-0000321F0000}"/>
    <cellStyle name="20% - Accent4 7 8 2 2 2" xfId="33751" xr:uid="{00000000-0005-0000-0000-0000331F0000}"/>
    <cellStyle name="20% - Accent4 7 8 2 3" xfId="26734" xr:uid="{00000000-0005-0000-0000-0000341F0000}"/>
    <cellStyle name="20% - Accent4 7 8 3" xfId="12437" xr:uid="{00000000-0005-0000-0000-0000351F0000}"/>
    <cellStyle name="20% - Accent4 7 8 3 2" xfId="30108" xr:uid="{00000000-0005-0000-0000-0000361F0000}"/>
    <cellStyle name="20% - Accent4 7 8 4" xfId="23869" xr:uid="{00000000-0005-0000-0000-0000371F0000}"/>
    <cellStyle name="20% - Accent4 7 9" xfId="3709" xr:uid="{00000000-0005-0000-0000-0000381F0000}"/>
    <cellStyle name="20% - Accent4 7 9 2" xfId="8321" xr:uid="{00000000-0005-0000-0000-0000391F0000}"/>
    <cellStyle name="20% - Accent4 7 9 2 2" xfId="16117" xr:uid="{00000000-0005-0000-0000-00003A1F0000}"/>
    <cellStyle name="20% - Accent4 7 9 2 2 2" xfId="33752" xr:uid="{00000000-0005-0000-0000-00003B1F0000}"/>
    <cellStyle name="20% - Accent4 7 9 2 3" xfId="26735" xr:uid="{00000000-0005-0000-0000-00003C1F0000}"/>
    <cellStyle name="20% - Accent4 7 9 3" xfId="12438" xr:uid="{00000000-0005-0000-0000-00003D1F0000}"/>
    <cellStyle name="20% - Accent4 7 9 3 2" xfId="30109" xr:uid="{00000000-0005-0000-0000-00003E1F0000}"/>
    <cellStyle name="20% - Accent4 7 9 4" xfId="23870" xr:uid="{00000000-0005-0000-0000-00003F1F0000}"/>
    <cellStyle name="20% - Accent4 8" xfId="494" xr:uid="{00000000-0005-0000-0000-0000401F0000}"/>
    <cellStyle name="20% - Accent4 8 10" xfId="3710" xr:uid="{00000000-0005-0000-0000-0000411F0000}"/>
    <cellStyle name="20% - Accent4 8 10 2" xfId="8322" xr:uid="{00000000-0005-0000-0000-0000421F0000}"/>
    <cellStyle name="20% - Accent4 8 10 2 2" xfId="16118" xr:uid="{00000000-0005-0000-0000-0000431F0000}"/>
    <cellStyle name="20% - Accent4 8 10 2 2 2" xfId="33753" xr:uid="{00000000-0005-0000-0000-0000441F0000}"/>
    <cellStyle name="20% - Accent4 8 10 2 3" xfId="26736" xr:uid="{00000000-0005-0000-0000-0000451F0000}"/>
    <cellStyle name="20% - Accent4 8 10 3" xfId="12439" xr:uid="{00000000-0005-0000-0000-0000461F0000}"/>
    <cellStyle name="20% - Accent4 8 10 3 2" xfId="30110" xr:uid="{00000000-0005-0000-0000-0000471F0000}"/>
    <cellStyle name="20% - Accent4 8 10 4" xfId="23871" xr:uid="{00000000-0005-0000-0000-0000481F0000}"/>
    <cellStyle name="20% - Accent4 8 11" xfId="5685" xr:uid="{00000000-0005-0000-0000-0000491F0000}"/>
    <cellStyle name="20% - Accent4 8 11 2" xfId="8985" xr:uid="{00000000-0005-0000-0000-00004A1F0000}"/>
    <cellStyle name="20% - Accent4 8 11 2 2" xfId="16780" xr:uid="{00000000-0005-0000-0000-00004B1F0000}"/>
    <cellStyle name="20% - Accent4 8 11 2 2 2" xfId="34416" xr:uid="{00000000-0005-0000-0000-00004C1F0000}"/>
    <cellStyle name="20% - Accent4 8 11 2 3" xfId="27373" xr:uid="{00000000-0005-0000-0000-00004D1F0000}"/>
    <cellStyle name="20% - Accent4 8 11 3" xfId="13541" xr:uid="{00000000-0005-0000-0000-00004E1F0000}"/>
    <cellStyle name="20% - Accent4 8 11 3 2" xfId="31181" xr:uid="{00000000-0005-0000-0000-00004F1F0000}"/>
    <cellStyle name="20% - Accent4 8 11 4" xfId="24508" xr:uid="{00000000-0005-0000-0000-0000501F0000}"/>
    <cellStyle name="20% - Accent4 8 12" xfId="6315" xr:uid="{00000000-0005-0000-0000-0000511F0000}"/>
    <cellStyle name="20% - Accent4 8 12 2" xfId="9525" xr:uid="{00000000-0005-0000-0000-0000521F0000}"/>
    <cellStyle name="20% - Accent4 8 12 2 2" xfId="17319" xr:uid="{00000000-0005-0000-0000-0000531F0000}"/>
    <cellStyle name="20% - Accent4 8 12 2 2 2" xfId="34956" xr:uid="{00000000-0005-0000-0000-0000541F0000}"/>
    <cellStyle name="20% - Accent4 8 12 2 3" xfId="27909" xr:uid="{00000000-0005-0000-0000-0000551F0000}"/>
    <cellStyle name="20% - Accent4 8 12 3" xfId="14104" xr:uid="{00000000-0005-0000-0000-0000561F0000}"/>
    <cellStyle name="20% - Accent4 8 12 3 2" xfId="31739" xr:uid="{00000000-0005-0000-0000-0000571F0000}"/>
    <cellStyle name="20% - Accent4 8 12 4" xfId="25045" xr:uid="{00000000-0005-0000-0000-0000581F0000}"/>
    <cellStyle name="20% - Accent4 8 13" xfId="6853" xr:uid="{00000000-0005-0000-0000-0000591F0000}"/>
    <cellStyle name="20% - Accent4 8 13 2" xfId="10063" xr:uid="{00000000-0005-0000-0000-00005A1F0000}"/>
    <cellStyle name="20% - Accent4 8 13 2 2" xfId="17856" xr:uid="{00000000-0005-0000-0000-00005B1F0000}"/>
    <cellStyle name="20% - Accent4 8 13 2 2 2" xfId="35493" xr:uid="{00000000-0005-0000-0000-00005C1F0000}"/>
    <cellStyle name="20% - Accent4 8 13 2 3" xfId="28446" xr:uid="{00000000-0005-0000-0000-00005D1F0000}"/>
    <cellStyle name="20% - Accent4 8 13 3" xfId="14641" xr:uid="{00000000-0005-0000-0000-00005E1F0000}"/>
    <cellStyle name="20% - Accent4 8 13 3 2" xfId="32276" xr:uid="{00000000-0005-0000-0000-00005F1F0000}"/>
    <cellStyle name="20% - Accent4 8 13 4" xfId="25583" xr:uid="{00000000-0005-0000-0000-0000601F0000}"/>
    <cellStyle name="20% - Accent4 8 14" xfId="7678" xr:uid="{00000000-0005-0000-0000-0000611F0000}"/>
    <cellStyle name="20% - Accent4 8 14 2" xfId="15475" xr:uid="{00000000-0005-0000-0000-0000621F0000}"/>
    <cellStyle name="20% - Accent4 8 14 2 2" xfId="33110" xr:uid="{00000000-0005-0000-0000-0000631F0000}"/>
    <cellStyle name="20% - Accent4 8 14 3" xfId="26111" xr:uid="{00000000-0005-0000-0000-0000641F0000}"/>
    <cellStyle name="20% - Accent4 8 15" xfId="11252" xr:uid="{00000000-0005-0000-0000-0000651F0000}"/>
    <cellStyle name="20% - Accent4 8 15 2" xfId="28980" xr:uid="{00000000-0005-0000-0000-0000661F0000}"/>
    <cellStyle name="20% - Accent4 8 16" xfId="22075" xr:uid="{00000000-0005-0000-0000-0000671F0000}"/>
    <cellStyle name="20% - Accent4 8 16 2" xfId="38779" xr:uid="{00000000-0005-0000-0000-0000681F0000}"/>
    <cellStyle name="20% - Accent4 8 17" xfId="23246" xr:uid="{00000000-0005-0000-0000-0000691F0000}"/>
    <cellStyle name="20% - Accent4 8 18" xfId="51800" xr:uid="{00000000-0005-0000-0000-00006A1F0000}"/>
    <cellStyle name="20% - Accent4 8 2" xfId="495" xr:uid="{00000000-0005-0000-0000-00006B1F0000}"/>
    <cellStyle name="20% - Accent4 8 2 10" xfId="51801" xr:uid="{00000000-0005-0000-0000-00006C1F0000}"/>
    <cellStyle name="20% - Accent4 8 2 2" xfId="3711" xr:uid="{00000000-0005-0000-0000-00006D1F0000}"/>
    <cellStyle name="20% - Accent4 8 2 2 2" xfId="8323" xr:uid="{00000000-0005-0000-0000-00006E1F0000}"/>
    <cellStyle name="20% - Accent4 8 2 2 2 2" xfId="16119" xr:uid="{00000000-0005-0000-0000-00006F1F0000}"/>
    <cellStyle name="20% - Accent4 8 2 2 2 2 2" xfId="33754" xr:uid="{00000000-0005-0000-0000-0000701F0000}"/>
    <cellStyle name="20% - Accent4 8 2 2 2 3" xfId="26737" xr:uid="{00000000-0005-0000-0000-0000711F0000}"/>
    <cellStyle name="20% - Accent4 8 2 2 3" xfId="12440" xr:uid="{00000000-0005-0000-0000-0000721F0000}"/>
    <cellStyle name="20% - Accent4 8 2 2 3 2" xfId="30111" xr:uid="{00000000-0005-0000-0000-0000731F0000}"/>
    <cellStyle name="20% - Accent4 8 2 2 4" xfId="22724" xr:uid="{00000000-0005-0000-0000-0000741F0000}"/>
    <cellStyle name="20% - Accent4 8 2 2 4 2" xfId="38934" xr:uid="{00000000-0005-0000-0000-0000751F0000}"/>
    <cellStyle name="20% - Accent4 8 2 2 5" xfId="23872" xr:uid="{00000000-0005-0000-0000-0000761F0000}"/>
    <cellStyle name="20% - Accent4 8 2 3" xfId="5686" xr:uid="{00000000-0005-0000-0000-0000771F0000}"/>
    <cellStyle name="20% - Accent4 8 2 3 2" xfId="8986" xr:uid="{00000000-0005-0000-0000-0000781F0000}"/>
    <cellStyle name="20% - Accent4 8 2 3 2 2" xfId="16781" xr:uid="{00000000-0005-0000-0000-0000791F0000}"/>
    <cellStyle name="20% - Accent4 8 2 3 2 2 2" xfId="34417" xr:uid="{00000000-0005-0000-0000-00007A1F0000}"/>
    <cellStyle name="20% - Accent4 8 2 3 2 3" xfId="27374" xr:uid="{00000000-0005-0000-0000-00007B1F0000}"/>
    <cellStyle name="20% - Accent4 8 2 3 3" xfId="13542" xr:uid="{00000000-0005-0000-0000-00007C1F0000}"/>
    <cellStyle name="20% - Accent4 8 2 3 3 2" xfId="31182" xr:uid="{00000000-0005-0000-0000-00007D1F0000}"/>
    <cellStyle name="20% - Accent4 8 2 3 4" xfId="24509" xr:uid="{00000000-0005-0000-0000-00007E1F0000}"/>
    <cellStyle name="20% - Accent4 8 2 4" xfId="6316" xr:uid="{00000000-0005-0000-0000-00007F1F0000}"/>
    <cellStyle name="20% - Accent4 8 2 4 2" xfId="9526" xr:uid="{00000000-0005-0000-0000-0000801F0000}"/>
    <cellStyle name="20% - Accent4 8 2 4 2 2" xfId="17320" xr:uid="{00000000-0005-0000-0000-0000811F0000}"/>
    <cellStyle name="20% - Accent4 8 2 4 2 2 2" xfId="34957" xr:uid="{00000000-0005-0000-0000-0000821F0000}"/>
    <cellStyle name="20% - Accent4 8 2 4 2 3" xfId="27910" xr:uid="{00000000-0005-0000-0000-0000831F0000}"/>
    <cellStyle name="20% - Accent4 8 2 4 3" xfId="14105" xr:uid="{00000000-0005-0000-0000-0000841F0000}"/>
    <cellStyle name="20% - Accent4 8 2 4 3 2" xfId="31740" xr:uid="{00000000-0005-0000-0000-0000851F0000}"/>
    <cellStyle name="20% - Accent4 8 2 4 4" xfId="25046" xr:uid="{00000000-0005-0000-0000-0000861F0000}"/>
    <cellStyle name="20% - Accent4 8 2 5" xfId="6854" xr:uid="{00000000-0005-0000-0000-0000871F0000}"/>
    <cellStyle name="20% - Accent4 8 2 5 2" xfId="10064" xr:uid="{00000000-0005-0000-0000-0000881F0000}"/>
    <cellStyle name="20% - Accent4 8 2 5 2 2" xfId="17857" xr:uid="{00000000-0005-0000-0000-0000891F0000}"/>
    <cellStyle name="20% - Accent4 8 2 5 2 2 2" xfId="35494" xr:uid="{00000000-0005-0000-0000-00008A1F0000}"/>
    <cellStyle name="20% - Accent4 8 2 5 2 3" xfId="28447" xr:uid="{00000000-0005-0000-0000-00008B1F0000}"/>
    <cellStyle name="20% - Accent4 8 2 5 3" xfId="14642" xr:uid="{00000000-0005-0000-0000-00008C1F0000}"/>
    <cellStyle name="20% - Accent4 8 2 5 3 2" xfId="32277" xr:uid="{00000000-0005-0000-0000-00008D1F0000}"/>
    <cellStyle name="20% - Accent4 8 2 5 4" xfId="25584" xr:uid="{00000000-0005-0000-0000-00008E1F0000}"/>
    <cellStyle name="20% - Accent4 8 2 6" xfId="7679" xr:uid="{00000000-0005-0000-0000-00008F1F0000}"/>
    <cellStyle name="20% - Accent4 8 2 6 2" xfId="15476" xr:uid="{00000000-0005-0000-0000-0000901F0000}"/>
    <cellStyle name="20% - Accent4 8 2 6 2 2" xfId="33111" xr:uid="{00000000-0005-0000-0000-0000911F0000}"/>
    <cellStyle name="20% - Accent4 8 2 6 3" xfId="26112" xr:uid="{00000000-0005-0000-0000-0000921F0000}"/>
    <cellStyle name="20% - Accent4 8 2 7" xfId="11253" xr:uid="{00000000-0005-0000-0000-0000931F0000}"/>
    <cellStyle name="20% - Accent4 8 2 7 2" xfId="28981" xr:uid="{00000000-0005-0000-0000-0000941F0000}"/>
    <cellStyle name="20% - Accent4 8 2 8" xfId="22076" xr:uid="{00000000-0005-0000-0000-0000951F0000}"/>
    <cellStyle name="20% - Accent4 8 2 8 2" xfId="38780" xr:uid="{00000000-0005-0000-0000-0000961F0000}"/>
    <cellStyle name="20% - Accent4 8 2 9" xfId="23247" xr:uid="{00000000-0005-0000-0000-0000971F0000}"/>
    <cellStyle name="20% - Accent4 8 3" xfId="496" xr:uid="{00000000-0005-0000-0000-0000981F0000}"/>
    <cellStyle name="20% - Accent4 8 3 10" xfId="22723" xr:uid="{00000000-0005-0000-0000-0000991F0000}"/>
    <cellStyle name="20% - Accent4 8 3 10 2" xfId="38933" xr:uid="{00000000-0005-0000-0000-00009A1F0000}"/>
    <cellStyle name="20% - Accent4 8 3 11" xfId="23248" xr:uid="{00000000-0005-0000-0000-00009B1F0000}"/>
    <cellStyle name="20% - Accent4 8 3 12" xfId="51802" xr:uid="{00000000-0005-0000-0000-00009C1F0000}"/>
    <cellStyle name="20% - Accent4 8 3 2" xfId="497" xr:uid="{00000000-0005-0000-0000-00009D1F0000}"/>
    <cellStyle name="20% - Accent4 8 3 2 2" xfId="3713" xr:uid="{00000000-0005-0000-0000-00009E1F0000}"/>
    <cellStyle name="20% - Accent4 8 3 2 2 2" xfId="8325" xr:uid="{00000000-0005-0000-0000-00009F1F0000}"/>
    <cellStyle name="20% - Accent4 8 3 2 2 2 2" xfId="16121" xr:uid="{00000000-0005-0000-0000-0000A01F0000}"/>
    <cellStyle name="20% - Accent4 8 3 2 2 2 2 2" xfId="33756" xr:uid="{00000000-0005-0000-0000-0000A11F0000}"/>
    <cellStyle name="20% - Accent4 8 3 2 2 2 3" xfId="26739" xr:uid="{00000000-0005-0000-0000-0000A21F0000}"/>
    <cellStyle name="20% - Accent4 8 3 2 2 3" xfId="12442" xr:uid="{00000000-0005-0000-0000-0000A31F0000}"/>
    <cellStyle name="20% - Accent4 8 3 2 2 3 2" xfId="30113" xr:uid="{00000000-0005-0000-0000-0000A41F0000}"/>
    <cellStyle name="20% - Accent4 8 3 2 2 4" xfId="23874" xr:uid="{00000000-0005-0000-0000-0000A51F0000}"/>
    <cellStyle name="20% - Accent4 8 3 2 3" xfId="5688" xr:uid="{00000000-0005-0000-0000-0000A61F0000}"/>
    <cellStyle name="20% - Accent4 8 3 2 3 2" xfId="8988" xr:uid="{00000000-0005-0000-0000-0000A71F0000}"/>
    <cellStyle name="20% - Accent4 8 3 2 3 2 2" xfId="16783" xr:uid="{00000000-0005-0000-0000-0000A81F0000}"/>
    <cellStyle name="20% - Accent4 8 3 2 3 2 2 2" xfId="34419" xr:uid="{00000000-0005-0000-0000-0000A91F0000}"/>
    <cellStyle name="20% - Accent4 8 3 2 3 2 3" xfId="27376" xr:uid="{00000000-0005-0000-0000-0000AA1F0000}"/>
    <cellStyle name="20% - Accent4 8 3 2 3 3" xfId="13544" xr:uid="{00000000-0005-0000-0000-0000AB1F0000}"/>
    <cellStyle name="20% - Accent4 8 3 2 3 3 2" xfId="31184" xr:uid="{00000000-0005-0000-0000-0000AC1F0000}"/>
    <cellStyle name="20% - Accent4 8 3 2 3 4" xfId="24511" xr:uid="{00000000-0005-0000-0000-0000AD1F0000}"/>
    <cellStyle name="20% - Accent4 8 3 2 4" xfId="6318" xr:uid="{00000000-0005-0000-0000-0000AE1F0000}"/>
    <cellStyle name="20% - Accent4 8 3 2 4 2" xfId="9528" xr:uid="{00000000-0005-0000-0000-0000AF1F0000}"/>
    <cellStyle name="20% - Accent4 8 3 2 4 2 2" xfId="17322" xr:uid="{00000000-0005-0000-0000-0000B01F0000}"/>
    <cellStyle name="20% - Accent4 8 3 2 4 2 2 2" xfId="34959" xr:uid="{00000000-0005-0000-0000-0000B11F0000}"/>
    <cellStyle name="20% - Accent4 8 3 2 4 2 3" xfId="27912" xr:uid="{00000000-0005-0000-0000-0000B21F0000}"/>
    <cellStyle name="20% - Accent4 8 3 2 4 3" xfId="14107" xr:uid="{00000000-0005-0000-0000-0000B31F0000}"/>
    <cellStyle name="20% - Accent4 8 3 2 4 3 2" xfId="31742" xr:uid="{00000000-0005-0000-0000-0000B41F0000}"/>
    <cellStyle name="20% - Accent4 8 3 2 4 4" xfId="25048" xr:uid="{00000000-0005-0000-0000-0000B51F0000}"/>
    <cellStyle name="20% - Accent4 8 3 2 5" xfId="6856" xr:uid="{00000000-0005-0000-0000-0000B61F0000}"/>
    <cellStyle name="20% - Accent4 8 3 2 5 2" xfId="10066" xr:uid="{00000000-0005-0000-0000-0000B71F0000}"/>
    <cellStyle name="20% - Accent4 8 3 2 5 2 2" xfId="17859" xr:uid="{00000000-0005-0000-0000-0000B81F0000}"/>
    <cellStyle name="20% - Accent4 8 3 2 5 2 2 2" xfId="35496" xr:uid="{00000000-0005-0000-0000-0000B91F0000}"/>
    <cellStyle name="20% - Accent4 8 3 2 5 2 3" xfId="28449" xr:uid="{00000000-0005-0000-0000-0000BA1F0000}"/>
    <cellStyle name="20% - Accent4 8 3 2 5 3" xfId="14644" xr:uid="{00000000-0005-0000-0000-0000BB1F0000}"/>
    <cellStyle name="20% - Accent4 8 3 2 5 3 2" xfId="32279" xr:uid="{00000000-0005-0000-0000-0000BC1F0000}"/>
    <cellStyle name="20% - Accent4 8 3 2 5 4" xfId="25586" xr:uid="{00000000-0005-0000-0000-0000BD1F0000}"/>
    <cellStyle name="20% - Accent4 8 3 2 6" xfId="7681" xr:uid="{00000000-0005-0000-0000-0000BE1F0000}"/>
    <cellStyle name="20% - Accent4 8 3 2 6 2" xfId="15478" xr:uid="{00000000-0005-0000-0000-0000BF1F0000}"/>
    <cellStyle name="20% - Accent4 8 3 2 6 2 2" xfId="33113" xr:uid="{00000000-0005-0000-0000-0000C01F0000}"/>
    <cellStyle name="20% - Accent4 8 3 2 6 3" xfId="26114" xr:uid="{00000000-0005-0000-0000-0000C11F0000}"/>
    <cellStyle name="20% - Accent4 8 3 2 7" xfId="11255" xr:uid="{00000000-0005-0000-0000-0000C21F0000}"/>
    <cellStyle name="20% - Accent4 8 3 2 7 2" xfId="28983" xr:uid="{00000000-0005-0000-0000-0000C31F0000}"/>
    <cellStyle name="20% - Accent4 8 3 2 8" xfId="23249" xr:uid="{00000000-0005-0000-0000-0000C41F0000}"/>
    <cellStyle name="20% - Accent4 8 3 2 9" xfId="51803" xr:uid="{00000000-0005-0000-0000-0000C51F0000}"/>
    <cellStyle name="20% - Accent4 8 3 3" xfId="3714" xr:uid="{00000000-0005-0000-0000-0000C61F0000}"/>
    <cellStyle name="20% - Accent4 8 3 3 2" xfId="5689" xr:uid="{00000000-0005-0000-0000-0000C71F0000}"/>
    <cellStyle name="20% - Accent4 8 3 3 2 2" xfId="8989" xr:uid="{00000000-0005-0000-0000-0000C81F0000}"/>
    <cellStyle name="20% - Accent4 8 3 3 2 2 2" xfId="16784" xr:uid="{00000000-0005-0000-0000-0000C91F0000}"/>
    <cellStyle name="20% - Accent4 8 3 3 2 2 2 2" xfId="34420" xr:uid="{00000000-0005-0000-0000-0000CA1F0000}"/>
    <cellStyle name="20% - Accent4 8 3 3 2 2 3" xfId="27377" xr:uid="{00000000-0005-0000-0000-0000CB1F0000}"/>
    <cellStyle name="20% - Accent4 8 3 3 2 3" xfId="13545" xr:uid="{00000000-0005-0000-0000-0000CC1F0000}"/>
    <cellStyle name="20% - Accent4 8 3 3 2 3 2" xfId="31185" xr:uid="{00000000-0005-0000-0000-0000CD1F0000}"/>
    <cellStyle name="20% - Accent4 8 3 3 2 4" xfId="24512" xr:uid="{00000000-0005-0000-0000-0000CE1F0000}"/>
    <cellStyle name="20% - Accent4 8 3 3 3" xfId="6319" xr:uid="{00000000-0005-0000-0000-0000CF1F0000}"/>
    <cellStyle name="20% - Accent4 8 3 3 3 2" xfId="9529" xr:uid="{00000000-0005-0000-0000-0000D01F0000}"/>
    <cellStyle name="20% - Accent4 8 3 3 3 2 2" xfId="17323" xr:uid="{00000000-0005-0000-0000-0000D11F0000}"/>
    <cellStyle name="20% - Accent4 8 3 3 3 2 2 2" xfId="34960" xr:uid="{00000000-0005-0000-0000-0000D21F0000}"/>
    <cellStyle name="20% - Accent4 8 3 3 3 2 3" xfId="27913" xr:uid="{00000000-0005-0000-0000-0000D31F0000}"/>
    <cellStyle name="20% - Accent4 8 3 3 3 3" xfId="14108" xr:uid="{00000000-0005-0000-0000-0000D41F0000}"/>
    <cellStyle name="20% - Accent4 8 3 3 3 3 2" xfId="31743" xr:uid="{00000000-0005-0000-0000-0000D51F0000}"/>
    <cellStyle name="20% - Accent4 8 3 3 3 4" xfId="25049" xr:uid="{00000000-0005-0000-0000-0000D61F0000}"/>
    <cellStyle name="20% - Accent4 8 3 3 4" xfId="6857" xr:uid="{00000000-0005-0000-0000-0000D71F0000}"/>
    <cellStyle name="20% - Accent4 8 3 3 4 2" xfId="10067" xr:uid="{00000000-0005-0000-0000-0000D81F0000}"/>
    <cellStyle name="20% - Accent4 8 3 3 4 2 2" xfId="17860" xr:uid="{00000000-0005-0000-0000-0000D91F0000}"/>
    <cellStyle name="20% - Accent4 8 3 3 4 2 2 2" xfId="35497" xr:uid="{00000000-0005-0000-0000-0000DA1F0000}"/>
    <cellStyle name="20% - Accent4 8 3 3 4 2 3" xfId="28450" xr:uid="{00000000-0005-0000-0000-0000DB1F0000}"/>
    <cellStyle name="20% - Accent4 8 3 3 4 3" xfId="14645" xr:uid="{00000000-0005-0000-0000-0000DC1F0000}"/>
    <cellStyle name="20% - Accent4 8 3 3 4 3 2" xfId="32280" xr:uid="{00000000-0005-0000-0000-0000DD1F0000}"/>
    <cellStyle name="20% - Accent4 8 3 3 4 4" xfId="25587" xr:uid="{00000000-0005-0000-0000-0000DE1F0000}"/>
    <cellStyle name="20% - Accent4 8 3 3 5" xfId="8326" xr:uid="{00000000-0005-0000-0000-0000DF1F0000}"/>
    <cellStyle name="20% - Accent4 8 3 3 5 2" xfId="16122" xr:uid="{00000000-0005-0000-0000-0000E01F0000}"/>
    <cellStyle name="20% - Accent4 8 3 3 5 2 2" xfId="33757" xr:uid="{00000000-0005-0000-0000-0000E11F0000}"/>
    <cellStyle name="20% - Accent4 8 3 3 5 3" xfId="26740" xr:uid="{00000000-0005-0000-0000-0000E21F0000}"/>
    <cellStyle name="20% - Accent4 8 3 3 6" xfId="12443" xr:uid="{00000000-0005-0000-0000-0000E31F0000}"/>
    <cellStyle name="20% - Accent4 8 3 3 6 2" xfId="30114" xr:uid="{00000000-0005-0000-0000-0000E41F0000}"/>
    <cellStyle name="20% - Accent4 8 3 3 7" xfId="23875" xr:uid="{00000000-0005-0000-0000-0000E51F0000}"/>
    <cellStyle name="20% - Accent4 8 3 4" xfId="3712" xr:uid="{00000000-0005-0000-0000-0000E61F0000}"/>
    <cellStyle name="20% - Accent4 8 3 4 2" xfId="8324" xr:uid="{00000000-0005-0000-0000-0000E71F0000}"/>
    <cellStyle name="20% - Accent4 8 3 4 2 2" xfId="16120" xr:uid="{00000000-0005-0000-0000-0000E81F0000}"/>
    <cellStyle name="20% - Accent4 8 3 4 2 2 2" xfId="33755" xr:uid="{00000000-0005-0000-0000-0000E91F0000}"/>
    <cellStyle name="20% - Accent4 8 3 4 2 3" xfId="26738" xr:uid="{00000000-0005-0000-0000-0000EA1F0000}"/>
    <cellStyle name="20% - Accent4 8 3 4 3" xfId="12441" xr:uid="{00000000-0005-0000-0000-0000EB1F0000}"/>
    <cellStyle name="20% - Accent4 8 3 4 3 2" xfId="30112" xr:uid="{00000000-0005-0000-0000-0000EC1F0000}"/>
    <cellStyle name="20% - Accent4 8 3 4 4" xfId="23873" xr:uid="{00000000-0005-0000-0000-0000ED1F0000}"/>
    <cellStyle name="20% - Accent4 8 3 5" xfId="5687" xr:uid="{00000000-0005-0000-0000-0000EE1F0000}"/>
    <cellStyle name="20% - Accent4 8 3 5 2" xfId="8987" xr:uid="{00000000-0005-0000-0000-0000EF1F0000}"/>
    <cellStyle name="20% - Accent4 8 3 5 2 2" xfId="16782" xr:uid="{00000000-0005-0000-0000-0000F01F0000}"/>
    <cellStyle name="20% - Accent4 8 3 5 2 2 2" xfId="34418" xr:uid="{00000000-0005-0000-0000-0000F11F0000}"/>
    <cellStyle name="20% - Accent4 8 3 5 2 3" xfId="27375" xr:uid="{00000000-0005-0000-0000-0000F21F0000}"/>
    <cellStyle name="20% - Accent4 8 3 5 3" xfId="13543" xr:uid="{00000000-0005-0000-0000-0000F31F0000}"/>
    <cellStyle name="20% - Accent4 8 3 5 3 2" xfId="31183" xr:uid="{00000000-0005-0000-0000-0000F41F0000}"/>
    <cellStyle name="20% - Accent4 8 3 5 4" xfId="24510" xr:uid="{00000000-0005-0000-0000-0000F51F0000}"/>
    <cellStyle name="20% - Accent4 8 3 6" xfId="6317" xr:uid="{00000000-0005-0000-0000-0000F61F0000}"/>
    <cellStyle name="20% - Accent4 8 3 6 2" xfId="9527" xr:uid="{00000000-0005-0000-0000-0000F71F0000}"/>
    <cellStyle name="20% - Accent4 8 3 6 2 2" xfId="17321" xr:uid="{00000000-0005-0000-0000-0000F81F0000}"/>
    <cellStyle name="20% - Accent4 8 3 6 2 2 2" xfId="34958" xr:uid="{00000000-0005-0000-0000-0000F91F0000}"/>
    <cellStyle name="20% - Accent4 8 3 6 2 3" xfId="27911" xr:uid="{00000000-0005-0000-0000-0000FA1F0000}"/>
    <cellStyle name="20% - Accent4 8 3 6 3" xfId="14106" xr:uid="{00000000-0005-0000-0000-0000FB1F0000}"/>
    <cellStyle name="20% - Accent4 8 3 6 3 2" xfId="31741" xr:uid="{00000000-0005-0000-0000-0000FC1F0000}"/>
    <cellStyle name="20% - Accent4 8 3 6 4" xfId="25047" xr:uid="{00000000-0005-0000-0000-0000FD1F0000}"/>
    <cellStyle name="20% - Accent4 8 3 7" xfId="6855" xr:uid="{00000000-0005-0000-0000-0000FE1F0000}"/>
    <cellStyle name="20% - Accent4 8 3 7 2" xfId="10065" xr:uid="{00000000-0005-0000-0000-0000FF1F0000}"/>
    <cellStyle name="20% - Accent4 8 3 7 2 2" xfId="17858" xr:uid="{00000000-0005-0000-0000-000000200000}"/>
    <cellStyle name="20% - Accent4 8 3 7 2 2 2" xfId="35495" xr:uid="{00000000-0005-0000-0000-000001200000}"/>
    <cellStyle name="20% - Accent4 8 3 7 2 3" xfId="28448" xr:uid="{00000000-0005-0000-0000-000002200000}"/>
    <cellStyle name="20% - Accent4 8 3 7 3" xfId="14643" xr:uid="{00000000-0005-0000-0000-000003200000}"/>
    <cellStyle name="20% - Accent4 8 3 7 3 2" xfId="32278" xr:uid="{00000000-0005-0000-0000-000004200000}"/>
    <cellStyle name="20% - Accent4 8 3 7 4" xfId="25585" xr:uid="{00000000-0005-0000-0000-000005200000}"/>
    <cellStyle name="20% - Accent4 8 3 8" xfId="7680" xr:uid="{00000000-0005-0000-0000-000006200000}"/>
    <cellStyle name="20% - Accent4 8 3 8 2" xfId="15477" xr:uid="{00000000-0005-0000-0000-000007200000}"/>
    <cellStyle name="20% - Accent4 8 3 8 2 2" xfId="33112" xr:uid="{00000000-0005-0000-0000-000008200000}"/>
    <cellStyle name="20% - Accent4 8 3 8 3" xfId="26113" xr:uid="{00000000-0005-0000-0000-000009200000}"/>
    <cellStyle name="20% - Accent4 8 3 9" xfId="11254" xr:uid="{00000000-0005-0000-0000-00000A200000}"/>
    <cellStyle name="20% - Accent4 8 3 9 2" xfId="28982" xr:uid="{00000000-0005-0000-0000-00000B200000}"/>
    <cellStyle name="20% - Accent4 8 4" xfId="498" xr:uid="{00000000-0005-0000-0000-00000C200000}"/>
    <cellStyle name="20% - Accent4 8 4 2" xfId="3715" xr:uid="{00000000-0005-0000-0000-00000D200000}"/>
    <cellStyle name="20% - Accent4 8 4 2 2" xfId="8327" xr:uid="{00000000-0005-0000-0000-00000E200000}"/>
    <cellStyle name="20% - Accent4 8 4 2 2 2" xfId="16123" xr:uid="{00000000-0005-0000-0000-00000F200000}"/>
    <cellStyle name="20% - Accent4 8 4 2 2 2 2" xfId="33758" xr:uid="{00000000-0005-0000-0000-000010200000}"/>
    <cellStyle name="20% - Accent4 8 4 2 2 3" xfId="26741" xr:uid="{00000000-0005-0000-0000-000011200000}"/>
    <cellStyle name="20% - Accent4 8 4 2 3" xfId="12444" xr:uid="{00000000-0005-0000-0000-000012200000}"/>
    <cellStyle name="20% - Accent4 8 4 2 3 2" xfId="30115" xr:uid="{00000000-0005-0000-0000-000013200000}"/>
    <cellStyle name="20% - Accent4 8 4 2 4" xfId="23876" xr:uid="{00000000-0005-0000-0000-000014200000}"/>
    <cellStyle name="20% - Accent4 8 4 3" xfId="5690" xr:uid="{00000000-0005-0000-0000-000015200000}"/>
    <cellStyle name="20% - Accent4 8 4 3 2" xfId="8990" xr:uid="{00000000-0005-0000-0000-000016200000}"/>
    <cellStyle name="20% - Accent4 8 4 3 2 2" xfId="16785" xr:uid="{00000000-0005-0000-0000-000017200000}"/>
    <cellStyle name="20% - Accent4 8 4 3 2 2 2" xfId="34421" xr:uid="{00000000-0005-0000-0000-000018200000}"/>
    <cellStyle name="20% - Accent4 8 4 3 2 3" xfId="27378" xr:uid="{00000000-0005-0000-0000-000019200000}"/>
    <cellStyle name="20% - Accent4 8 4 3 3" xfId="13546" xr:uid="{00000000-0005-0000-0000-00001A200000}"/>
    <cellStyle name="20% - Accent4 8 4 3 3 2" xfId="31186" xr:uid="{00000000-0005-0000-0000-00001B200000}"/>
    <cellStyle name="20% - Accent4 8 4 3 4" xfId="24513" xr:uid="{00000000-0005-0000-0000-00001C200000}"/>
    <cellStyle name="20% - Accent4 8 4 4" xfId="6320" xr:uid="{00000000-0005-0000-0000-00001D200000}"/>
    <cellStyle name="20% - Accent4 8 4 4 2" xfId="9530" xr:uid="{00000000-0005-0000-0000-00001E200000}"/>
    <cellStyle name="20% - Accent4 8 4 4 2 2" xfId="17324" xr:uid="{00000000-0005-0000-0000-00001F200000}"/>
    <cellStyle name="20% - Accent4 8 4 4 2 2 2" xfId="34961" xr:uid="{00000000-0005-0000-0000-000020200000}"/>
    <cellStyle name="20% - Accent4 8 4 4 2 3" xfId="27914" xr:uid="{00000000-0005-0000-0000-000021200000}"/>
    <cellStyle name="20% - Accent4 8 4 4 3" xfId="14109" xr:uid="{00000000-0005-0000-0000-000022200000}"/>
    <cellStyle name="20% - Accent4 8 4 4 3 2" xfId="31744" xr:uid="{00000000-0005-0000-0000-000023200000}"/>
    <cellStyle name="20% - Accent4 8 4 4 4" xfId="25050" xr:uid="{00000000-0005-0000-0000-000024200000}"/>
    <cellStyle name="20% - Accent4 8 4 5" xfId="6858" xr:uid="{00000000-0005-0000-0000-000025200000}"/>
    <cellStyle name="20% - Accent4 8 4 5 2" xfId="10068" xr:uid="{00000000-0005-0000-0000-000026200000}"/>
    <cellStyle name="20% - Accent4 8 4 5 2 2" xfId="17861" xr:uid="{00000000-0005-0000-0000-000027200000}"/>
    <cellStyle name="20% - Accent4 8 4 5 2 2 2" xfId="35498" xr:uid="{00000000-0005-0000-0000-000028200000}"/>
    <cellStyle name="20% - Accent4 8 4 5 2 3" xfId="28451" xr:uid="{00000000-0005-0000-0000-000029200000}"/>
    <cellStyle name="20% - Accent4 8 4 5 3" xfId="14646" xr:uid="{00000000-0005-0000-0000-00002A200000}"/>
    <cellStyle name="20% - Accent4 8 4 5 3 2" xfId="32281" xr:uid="{00000000-0005-0000-0000-00002B200000}"/>
    <cellStyle name="20% - Accent4 8 4 5 4" xfId="25588" xr:uid="{00000000-0005-0000-0000-00002C200000}"/>
    <cellStyle name="20% - Accent4 8 4 6" xfId="7682" xr:uid="{00000000-0005-0000-0000-00002D200000}"/>
    <cellStyle name="20% - Accent4 8 4 6 2" xfId="15479" xr:uid="{00000000-0005-0000-0000-00002E200000}"/>
    <cellStyle name="20% - Accent4 8 4 6 2 2" xfId="33114" xr:uid="{00000000-0005-0000-0000-00002F200000}"/>
    <cellStyle name="20% - Accent4 8 4 6 3" xfId="26115" xr:uid="{00000000-0005-0000-0000-000030200000}"/>
    <cellStyle name="20% - Accent4 8 4 7" xfId="11256" xr:uid="{00000000-0005-0000-0000-000031200000}"/>
    <cellStyle name="20% - Accent4 8 4 7 2" xfId="28984" xr:uid="{00000000-0005-0000-0000-000032200000}"/>
    <cellStyle name="20% - Accent4 8 4 8" xfId="23250" xr:uid="{00000000-0005-0000-0000-000033200000}"/>
    <cellStyle name="20% - Accent4 8 4 9" xfId="51804" xr:uid="{00000000-0005-0000-0000-000034200000}"/>
    <cellStyle name="20% - Accent4 8 5" xfId="499" xr:uid="{00000000-0005-0000-0000-000035200000}"/>
    <cellStyle name="20% - Accent4 8 5 2" xfId="3716" xr:uid="{00000000-0005-0000-0000-000036200000}"/>
    <cellStyle name="20% - Accent4 8 5 2 2" xfId="8328" xr:uid="{00000000-0005-0000-0000-000037200000}"/>
    <cellStyle name="20% - Accent4 8 5 2 2 2" xfId="16124" xr:uid="{00000000-0005-0000-0000-000038200000}"/>
    <cellStyle name="20% - Accent4 8 5 2 2 2 2" xfId="33759" xr:uid="{00000000-0005-0000-0000-000039200000}"/>
    <cellStyle name="20% - Accent4 8 5 2 2 3" xfId="26742" xr:uid="{00000000-0005-0000-0000-00003A200000}"/>
    <cellStyle name="20% - Accent4 8 5 2 3" xfId="12445" xr:uid="{00000000-0005-0000-0000-00003B200000}"/>
    <cellStyle name="20% - Accent4 8 5 2 3 2" xfId="30116" xr:uid="{00000000-0005-0000-0000-00003C200000}"/>
    <cellStyle name="20% - Accent4 8 5 2 4" xfId="23877" xr:uid="{00000000-0005-0000-0000-00003D200000}"/>
    <cellStyle name="20% - Accent4 8 5 3" xfId="5691" xr:uid="{00000000-0005-0000-0000-00003E200000}"/>
    <cellStyle name="20% - Accent4 8 5 3 2" xfId="8991" xr:uid="{00000000-0005-0000-0000-00003F200000}"/>
    <cellStyle name="20% - Accent4 8 5 3 2 2" xfId="16786" xr:uid="{00000000-0005-0000-0000-000040200000}"/>
    <cellStyle name="20% - Accent4 8 5 3 2 2 2" xfId="34422" xr:uid="{00000000-0005-0000-0000-000041200000}"/>
    <cellStyle name="20% - Accent4 8 5 3 2 3" xfId="27379" xr:uid="{00000000-0005-0000-0000-000042200000}"/>
    <cellStyle name="20% - Accent4 8 5 3 3" xfId="13547" xr:uid="{00000000-0005-0000-0000-000043200000}"/>
    <cellStyle name="20% - Accent4 8 5 3 3 2" xfId="31187" xr:uid="{00000000-0005-0000-0000-000044200000}"/>
    <cellStyle name="20% - Accent4 8 5 3 4" xfId="24514" xr:uid="{00000000-0005-0000-0000-000045200000}"/>
    <cellStyle name="20% - Accent4 8 5 4" xfId="6321" xr:uid="{00000000-0005-0000-0000-000046200000}"/>
    <cellStyle name="20% - Accent4 8 5 4 2" xfId="9531" xr:uid="{00000000-0005-0000-0000-000047200000}"/>
    <cellStyle name="20% - Accent4 8 5 4 2 2" xfId="17325" xr:uid="{00000000-0005-0000-0000-000048200000}"/>
    <cellStyle name="20% - Accent4 8 5 4 2 2 2" xfId="34962" xr:uid="{00000000-0005-0000-0000-000049200000}"/>
    <cellStyle name="20% - Accent4 8 5 4 2 3" xfId="27915" xr:uid="{00000000-0005-0000-0000-00004A200000}"/>
    <cellStyle name="20% - Accent4 8 5 4 3" xfId="14110" xr:uid="{00000000-0005-0000-0000-00004B200000}"/>
    <cellStyle name="20% - Accent4 8 5 4 3 2" xfId="31745" xr:uid="{00000000-0005-0000-0000-00004C200000}"/>
    <cellStyle name="20% - Accent4 8 5 4 4" xfId="25051" xr:uid="{00000000-0005-0000-0000-00004D200000}"/>
    <cellStyle name="20% - Accent4 8 5 5" xfId="6859" xr:uid="{00000000-0005-0000-0000-00004E200000}"/>
    <cellStyle name="20% - Accent4 8 5 5 2" xfId="10069" xr:uid="{00000000-0005-0000-0000-00004F200000}"/>
    <cellStyle name="20% - Accent4 8 5 5 2 2" xfId="17862" xr:uid="{00000000-0005-0000-0000-000050200000}"/>
    <cellStyle name="20% - Accent4 8 5 5 2 2 2" xfId="35499" xr:uid="{00000000-0005-0000-0000-000051200000}"/>
    <cellStyle name="20% - Accent4 8 5 5 2 3" xfId="28452" xr:uid="{00000000-0005-0000-0000-000052200000}"/>
    <cellStyle name="20% - Accent4 8 5 5 3" xfId="14647" xr:uid="{00000000-0005-0000-0000-000053200000}"/>
    <cellStyle name="20% - Accent4 8 5 5 3 2" xfId="32282" xr:uid="{00000000-0005-0000-0000-000054200000}"/>
    <cellStyle name="20% - Accent4 8 5 5 4" xfId="25589" xr:uid="{00000000-0005-0000-0000-000055200000}"/>
    <cellStyle name="20% - Accent4 8 5 6" xfId="7683" xr:uid="{00000000-0005-0000-0000-000056200000}"/>
    <cellStyle name="20% - Accent4 8 5 6 2" xfId="15480" xr:uid="{00000000-0005-0000-0000-000057200000}"/>
    <cellStyle name="20% - Accent4 8 5 6 2 2" xfId="33115" xr:uid="{00000000-0005-0000-0000-000058200000}"/>
    <cellStyle name="20% - Accent4 8 5 6 3" xfId="26116" xr:uid="{00000000-0005-0000-0000-000059200000}"/>
    <cellStyle name="20% - Accent4 8 5 7" xfId="11257" xr:uid="{00000000-0005-0000-0000-00005A200000}"/>
    <cellStyle name="20% - Accent4 8 5 7 2" xfId="28985" xr:uid="{00000000-0005-0000-0000-00005B200000}"/>
    <cellStyle name="20% - Accent4 8 5 8" xfId="23251" xr:uid="{00000000-0005-0000-0000-00005C200000}"/>
    <cellStyle name="20% - Accent4 8 5 9" xfId="51805" xr:uid="{00000000-0005-0000-0000-00005D200000}"/>
    <cellStyle name="20% - Accent4 8 6" xfId="500" xr:uid="{00000000-0005-0000-0000-00005E200000}"/>
    <cellStyle name="20% - Accent4 8 6 2" xfId="3717" xr:uid="{00000000-0005-0000-0000-00005F200000}"/>
    <cellStyle name="20% - Accent4 8 6 2 2" xfId="8329" xr:uid="{00000000-0005-0000-0000-000060200000}"/>
    <cellStyle name="20% - Accent4 8 6 2 2 2" xfId="16125" xr:uid="{00000000-0005-0000-0000-000061200000}"/>
    <cellStyle name="20% - Accent4 8 6 2 2 2 2" xfId="33760" xr:uid="{00000000-0005-0000-0000-000062200000}"/>
    <cellStyle name="20% - Accent4 8 6 2 2 3" xfId="26743" xr:uid="{00000000-0005-0000-0000-000063200000}"/>
    <cellStyle name="20% - Accent4 8 6 2 3" xfId="12446" xr:uid="{00000000-0005-0000-0000-000064200000}"/>
    <cellStyle name="20% - Accent4 8 6 2 3 2" xfId="30117" xr:uid="{00000000-0005-0000-0000-000065200000}"/>
    <cellStyle name="20% - Accent4 8 6 2 4" xfId="23878" xr:uid="{00000000-0005-0000-0000-000066200000}"/>
    <cellStyle name="20% - Accent4 8 6 3" xfId="5692" xr:uid="{00000000-0005-0000-0000-000067200000}"/>
    <cellStyle name="20% - Accent4 8 6 3 2" xfId="8992" xr:uid="{00000000-0005-0000-0000-000068200000}"/>
    <cellStyle name="20% - Accent4 8 6 3 2 2" xfId="16787" xr:uid="{00000000-0005-0000-0000-000069200000}"/>
    <cellStyle name="20% - Accent4 8 6 3 2 2 2" xfId="34423" xr:uid="{00000000-0005-0000-0000-00006A200000}"/>
    <cellStyle name="20% - Accent4 8 6 3 2 3" xfId="27380" xr:uid="{00000000-0005-0000-0000-00006B200000}"/>
    <cellStyle name="20% - Accent4 8 6 3 3" xfId="13548" xr:uid="{00000000-0005-0000-0000-00006C200000}"/>
    <cellStyle name="20% - Accent4 8 6 3 3 2" xfId="31188" xr:uid="{00000000-0005-0000-0000-00006D200000}"/>
    <cellStyle name="20% - Accent4 8 6 3 4" xfId="24515" xr:uid="{00000000-0005-0000-0000-00006E200000}"/>
    <cellStyle name="20% - Accent4 8 6 4" xfId="6322" xr:uid="{00000000-0005-0000-0000-00006F200000}"/>
    <cellStyle name="20% - Accent4 8 6 4 2" xfId="9532" xr:uid="{00000000-0005-0000-0000-000070200000}"/>
    <cellStyle name="20% - Accent4 8 6 4 2 2" xfId="17326" xr:uid="{00000000-0005-0000-0000-000071200000}"/>
    <cellStyle name="20% - Accent4 8 6 4 2 2 2" xfId="34963" xr:uid="{00000000-0005-0000-0000-000072200000}"/>
    <cellStyle name="20% - Accent4 8 6 4 2 3" xfId="27916" xr:uid="{00000000-0005-0000-0000-000073200000}"/>
    <cellStyle name="20% - Accent4 8 6 4 3" xfId="14111" xr:uid="{00000000-0005-0000-0000-000074200000}"/>
    <cellStyle name="20% - Accent4 8 6 4 3 2" xfId="31746" xr:uid="{00000000-0005-0000-0000-000075200000}"/>
    <cellStyle name="20% - Accent4 8 6 4 4" xfId="25052" xr:uid="{00000000-0005-0000-0000-000076200000}"/>
    <cellStyle name="20% - Accent4 8 6 5" xfId="6860" xr:uid="{00000000-0005-0000-0000-000077200000}"/>
    <cellStyle name="20% - Accent4 8 6 5 2" xfId="10070" xr:uid="{00000000-0005-0000-0000-000078200000}"/>
    <cellStyle name="20% - Accent4 8 6 5 2 2" xfId="17863" xr:uid="{00000000-0005-0000-0000-000079200000}"/>
    <cellStyle name="20% - Accent4 8 6 5 2 2 2" xfId="35500" xr:uid="{00000000-0005-0000-0000-00007A200000}"/>
    <cellStyle name="20% - Accent4 8 6 5 2 3" xfId="28453" xr:uid="{00000000-0005-0000-0000-00007B200000}"/>
    <cellStyle name="20% - Accent4 8 6 5 3" xfId="14648" xr:uid="{00000000-0005-0000-0000-00007C200000}"/>
    <cellStyle name="20% - Accent4 8 6 5 3 2" xfId="32283" xr:uid="{00000000-0005-0000-0000-00007D200000}"/>
    <cellStyle name="20% - Accent4 8 6 5 4" xfId="25590" xr:uid="{00000000-0005-0000-0000-00007E200000}"/>
    <cellStyle name="20% - Accent4 8 6 6" xfId="7684" xr:uid="{00000000-0005-0000-0000-00007F200000}"/>
    <cellStyle name="20% - Accent4 8 6 6 2" xfId="15481" xr:uid="{00000000-0005-0000-0000-000080200000}"/>
    <cellStyle name="20% - Accent4 8 6 6 2 2" xfId="33116" xr:uid="{00000000-0005-0000-0000-000081200000}"/>
    <cellStyle name="20% - Accent4 8 6 6 3" xfId="26117" xr:uid="{00000000-0005-0000-0000-000082200000}"/>
    <cellStyle name="20% - Accent4 8 6 7" xfId="11258" xr:uid="{00000000-0005-0000-0000-000083200000}"/>
    <cellStyle name="20% - Accent4 8 6 7 2" xfId="28986" xr:uid="{00000000-0005-0000-0000-000084200000}"/>
    <cellStyle name="20% - Accent4 8 6 8" xfId="23252" xr:uid="{00000000-0005-0000-0000-000085200000}"/>
    <cellStyle name="20% - Accent4 8 6 9" xfId="51806" xr:uid="{00000000-0005-0000-0000-000086200000}"/>
    <cellStyle name="20% - Accent4 8 7" xfId="501" xr:uid="{00000000-0005-0000-0000-000087200000}"/>
    <cellStyle name="20% - Accent4 8 7 10" xfId="51807" xr:uid="{00000000-0005-0000-0000-000088200000}"/>
    <cellStyle name="20% - Accent4 8 7 2" xfId="502" xr:uid="{00000000-0005-0000-0000-000089200000}"/>
    <cellStyle name="20% - Accent4 8 7 2 2" xfId="8331" xr:uid="{00000000-0005-0000-0000-00008A200000}"/>
    <cellStyle name="20% - Accent4 8 7 2 2 2" xfId="16127" xr:uid="{00000000-0005-0000-0000-00008B200000}"/>
    <cellStyle name="20% - Accent4 8 7 2 2 2 2" xfId="33762" xr:uid="{00000000-0005-0000-0000-00008C200000}"/>
    <cellStyle name="20% - Accent4 8 7 2 2 3" xfId="26745" xr:uid="{00000000-0005-0000-0000-00008D200000}"/>
    <cellStyle name="20% - Accent4 8 7 2 3" xfId="12448" xr:uid="{00000000-0005-0000-0000-00008E200000}"/>
    <cellStyle name="20% - Accent4 8 7 2 3 2" xfId="30119" xr:uid="{00000000-0005-0000-0000-00008F200000}"/>
    <cellStyle name="20% - Accent4 8 7 2 4" xfId="23880" xr:uid="{00000000-0005-0000-0000-000090200000}"/>
    <cellStyle name="20% - Accent4 8 7 3" xfId="3718" xr:uid="{00000000-0005-0000-0000-000091200000}"/>
    <cellStyle name="20% - Accent4 8 7 3 2" xfId="8330" xr:uid="{00000000-0005-0000-0000-000092200000}"/>
    <cellStyle name="20% - Accent4 8 7 3 2 2" xfId="16126" xr:uid="{00000000-0005-0000-0000-000093200000}"/>
    <cellStyle name="20% - Accent4 8 7 3 2 2 2" xfId="33761" xr:uid="{00000000-0005-0000-0000-000094200000}"/>
    <cellStyle name="20% - Accent4 8 7 3 2 3" xfId="26744" xr:uid="{00000000-0005-0000-0000-000095200000}"/>
    <cellStyle name="20% - Accent4 8 7 3 3" xfId="12447" xr:uid="{00000000-0005-0000-0000-000096200000}"/>
    <cellStyle name="20% - Accent4 8 7 3 3 2" xfId="30118" xr:uid="{00000000-0005-0000-0000-000097200000}"/>
    <cellStyle name="20% - Accent4 8 7 3 4" xfId="23879" xr:uid="{00000000-0005-0000-0000-000098200000}"/>
    <cellStyle name="20% - Accent4 8 7 4" xfId="5693" xr:uid="{00000000-0005-0000-0000-000099200000}"/>
    <cellStyle name="20% - Accent4 8 7 4 2" xfId="8993" xr:uid="{00000000-0005-0000-0000-00009A200000}"/>
    <cellStyle name="20% - Accent4 8 7 4 2 2" xfId="16788" xr:uid="{00000000-0005-0000-0000-00009B200000}"/>
    <cellStyle name="20% - Accent4 8 7 4 2 2 2" xfId="34424" xr:uid="{00000000-0005-0000-0000-00009C200000}"/>
    <cellStyle name="20% - Accent4 8 7 4 2 3" xfId="27381" xr:uid="{00000000-0005-0000-0000-00009D200000}"/>
    <cellStyle name="20% - Accent4 8 7 4 3" xfId="13549" xr:uid="{00000000-0005-0000-0000-00009E200000}"/>
    <cellStyle name="20% - Accent4 8 7 4 3 2" xfId="31189" xr:uid="{00000000-0005-0000-0000-00009F200000}"/>
    <cellStyle name="20% - Accent4 8 7 4 4" xfId="24516" xr:uid="{00000000-0005-0000-0000-0000A0200000}"/>
    <cellStyle name="20% - Accent4 8 7 5" xfId="6323" xr:uid="{00000000-0005-0000-0000-0000A1200000}"/>
    <cellStyle name="20% - Accent4 8 7 5 2" xfId="9533" xr:uid="{00000000-0005-0000-0000-0000A2200000}"/>
    <cellStyle name="20% - Accent4 8 7 5 2 2" xfId="17327" xr:uid="{00000000-0005-0000-0000-0000A3200000}"/>
    <cellStyle name="20% - Accent4 8 7 5 2 2 2" xfId="34964" xr:uid="{00000000-0005-0000-0000-0000A4200000}"/>
    <cellStyle name="20% - Accent4 8 7 5 2 3" xfId="27917" xr:uid="{00000000-0005-0000-0000-0000A5200000}"/>
    <cellStyle name="20% - Accent4 8 7 5 3" xfId="14112" xr:uid="{00000000-0005-0000-0000-0000A6200000}"/>
    <cellStyle name="20% - Accent4 8 7 5 3 2" xfId="31747" xr:uid="{00000000-0005-0000-0000-0000A7200000}"/>
    <cellStyle name="20% - Accent4 8 7 5 4" xfId="25053" xr:uid="{00000000-0005-0000-0000-0000A8200000}"/>
    <cellStyle name="20% - Accent4 8 7 6" xfId="6861" xr:uid="{00000000-0005-0000-0000-0000A9200000}"/>
    <cellStyle name="20% - Accent4 8 7 6 2" xfId="10071" xr:uid="{00000000-0005-0000-0000-0000AA200000}"/>
    <cellStyle name="20% - Accent4 8 7 6 2 2" xfId="17864" xr:uid="{00000000-0005-0000-0000-0000AB200000}"/>
    <cellStyle name="20% - Accent4 8 7 6 2 2 2" xfId="35501" xr:uid="{00000000-0005-0000-0000-0000AC200000}"/>
    <cellStyle name="20% - Accent4 8 7 6 2 3" xfId="28454" xr:uid="{00000000-0005-0000-0000-0000AD200000}"/>
    <cellStyle name="20% - Accent4 8 7 6 3" xfId="14649" xr:uid="{00000000-0005-0000-0000-0000AE200000}"/>
    <cellStyle name="20% - Accent4 8 7 6 3 2" xfId="32284" xr:uid="{00000000-0005-0000-0000-0000AF200000}"/>
    <cellStyle name="20% - Accent4 8 7 6 4" xfId="25591" xr:uid="{00000000-0005-0000-0000-0000B0200000}"/>
    <cellStyle name="20% - Accent4 8 7 7" xfId="7685" xr:uid="{00000000-0005-0000-0000-0000B1200000}"/>
    <cellStyle name="20% - Accent4 8 7 7 2" xfId="15482" xr:uid="{00000000-0005-0000-0000-0000B2200000}"/>
    <cellStyle name="20% - Accent4 8 7 7 2 2" xfId="33117" xr:uid="{00000000-0005-0000-0000-0000B3200000}"/>
    <cellStyle name="20% - Accent4 8 7 7 3" xfId="26118" xr:uid="{00000000-0005-0000-0000-0000B4200000}"/>
    <cellStyle name="20% - Accent4 8 7 8" xfId="11259" xr:uid="{00000000-0005-0000-0000-0000B5200000}"/>
    <cellStyle name="20% - Accent4 8 7 8 2" xfId="28987" xr:uid="{00000000-0005-0000-0000-0000B6200000}"/>
    <cellStyle name="20% - Accent4 8 7 9" xfId="23253" xr:uid="{00000000-0005-0000-0000-0000B7200000}"/>
    <cellStyle name="20% - Accent4 8 8" xfId="3719" xr:uid="{00000000-0005-0000-0000-0000B8200000}"/>
    <cellStyle name="20% - Accent4 8 8 2" xfId="8332" xr:uid="{00000000-0005-0000-0000-0000B9200000}"/>
    <cellStyle name="20% - Accent4 8 8 2 2" xfId="16128" xr:uid="{00000000-0005-0000-0000-0000BA200000}"/>
    <cellStyle name="20% - Accent4 8 8 2 2 2" xfId="33763" xr:uid="{00000000-0005-0000-0000-0000BB200000}"/>
    <cellStyle name="20% - Accent4 8 8 2 3" xfId="26746" xr:uid="{00000000-0005-0000-0000-0000BC200000}"/>
    <cellStyle name="20% - Accent4 8 8 3" xfId="12449" xr:uid="{00000000-0005-0000-0000-0000BD200000}"/>
    <cellStyle name="20% - Accent4 8 8 3 2" xfId="30120" xr:uid="{00000000-0005-0000-0000-0000BE200000}"/>
    <cellStyle name="20% - Accent4 8 8 4" xfId="23881" xr:uid="{00000000-0005-0000-0000-0000BF200000}"/>
    <cellStyle name="20% - Accent4 8 9" xfId="3720" xr:uid="{00000000-0005-0000-0000-0000C0200000}"/>
    <cellStyle name="20% - Accent4 8 9 2" xfId="8333" xr:uid="{00000000-0005-0000-0000-0000C1200000}"/>
    <cellStyle name="20% - Accent4 8 9 2 2" xfId="16129" xr:uid="{00000000-0005-0000-0000-0000C2200000}"/>
    <cellStyle name="20% - Accent4 8 9 2 2 2" xfId="33764" xr:uid="{00000000-0005-0000-0000-0000C3200000}"/>
    <cellStyle name="20% - Accent4 8 9 2 3" xfId="26747" xr:uid="{00000000-0005-0000-0000-0000C4200000}"/>
    <cellStyle name="20% - Accent4 8 9 3" xfId="12450" xr:uid="{00000000-0005-0000-0000-0000C5200000}"/>
    <cellStyle name="20% - Accent4 8 9 3 2" xfId="30121" xr:uid="{00000000-0005-0000-0000-0000C6200000}"/>
    <cellStyle name="20% - Accent4 8 9 4" xfId="23882" xr:uid="{00000000-0005-0000-0000-0000C7200000}"/>
    <cellStyle name="20% - Accent4 9" xfId="503" xr:uid="{00000000-0005-0000-0000-0000C8200000}"/>
    <cellStyle name="20% - Accent4 9 10" xfId="3721" xr:uid="{00000000-0005-0000-0000-0000C9200000}"/>
    <cellStyle name="20% - Accent4 9 10 2" xfId="8334" xr:uid="{00000000-0005-0000-0000-0000CA200000}"/>
    <cellStyle name="20% - Accent4 9 10 2 2" xfId="16130" xr:uid="{00000000-0005-0000-0000-0000CB200000}"/>
    <cellStyle name="20% - Accent4 9 10 2 2 2" xfId="33765" xr:uid="{00000000-0005-0000-0000-0000CC200000}"/>
    <cellStyle name="20% - Accent4 9 10 2 3" xfId="26748" xr:uid="{00000000-0005-0000-0000-0000CD200000}"/>
    <cellStyle name="20% - Accent4 9 10 3" xfId="12451" xr:uid="{00000000-0005-0000-0000-0000CE200000}"/>
    <cellStyle name="20% - Accent4 9 10 3 2" xfId="30122" xr:uid="{00000000-0005-0000-0000-0000CF200000}"/>
    <cellStyle name="20% - Accent4 9 10 4" xfId="23883" xr:uid="{00000000-0005-0000-0000-0000D0200000}"/>
    <cellStyle name="20% - Accent4 9 11" xfId="5694" xr:uid="{00000000-0005-0000-0000-0000D1200000}"/>
    <cellStyle name="20% - Accent4 9 11 2" xfId="8994" xr:uid="{00000000-0005-0000-0000-0000D2200000}"/>
    <cellStyle name="20% - Accent4 9 11 2 2" xfId="16789" xr:uid="{00000000-0005-0000-0000-0000D3200000}"/>
    <cellStyle name="20% - Accent4 9 11 2 2 2" xfId="34425" xr:uid="{00000000-0005-0000-0000-0000D4200000}"/>
    <cellStyle name="20% - Accent4 9 11 2 3" xfId="27382" xr:uid="{00000000-0005-0000-0000-0000D5200000}"/>
    <cellStyle name="20% - Accent4 9 11 3" xfId="13550" xr:uid="{00000000-0005-0000-0000-0000D6200000}"/>
    <cellStyle name="20% - Accent4 9 11 3 2" xfId="31190" xr:uid="{00000000-0005-0000-0000-0000D7200000}"/>
    <cellStyle name="20% - Accent4 9 11 4" xfId="24517" xr:uid="{00000000-0005-0000-0000-0000D8200000}"/>
    <cellStyle name="20% - Accent4 9 12" xfId="6324" xr:uid="{00000000-0005-0000-0000-0000D9200000}"/>
    <cellStyle name="20% - Accent4 9 12 2" xfId="9534" xr:uid="{00000000-0005-0000-0000-0000DA200000}"/>
    <cellStyle name="20% - Accent4 9 12 2 2" xfId="17328" xr:uid="{00000000-0005-0000-0000-0000DB200000}"/>
    <cellStyle name="20% - Accent4 9 12 2 2 2" xfId="34965" xr:uid="{00000000-0005-0000-0000-0000DC200000}"/>
    <cellStyle name="20% - Accent4 9 12 2 3" xfId="27918" xr:uid="{00000000-0005-0000-0000-0000DD200000}"/>
    <cellStyle name="20% - Accent4 9 12 3" xfId="14113" xr:uid="{00000000-0005-0000-0000-0000DE200000}"/>
    <cellStyle name="20% - Accent4 9 12 3 2" xfId="31748" xr:uid="{00000000-0005-0000-0000-0000DF200000}"/>
    <cellStyle name="20% - Accent4 9 12 4" xfId="25054" xr:uid="{00000000-0005-0000-0000-0000E0200000}"/>
    <cellStyle name="20% - Accent4 9 13" xfId="6862" xr:uid="{00000000-0005-0000-0000-0000E1200000}"/>
    <cellStyle name="20% - Accent4 9 13 2" xfId="10072" xr:uid="{00000000-0005-0000-0000-0000E2200000}"/>
    <cellStyle name="20% - Accent4 9 13 2 2" xfId="17865" xr:uid="{00000000-0005-0000-0000-0000E3200000}"/>
    <cellStyle name="20% - Accent4 9 13 2 2 2" xfId="35502" xr:uid="{00000000-0005-0000-0000-0000E4200000}"/>
    <cellStyle name="20% - Accent4 9 13 2 3" xfId="28455" xr:uid="{00000000-0005-0000-0000-0000E5200000}"/>
    <cellStyle name="20% - Accent4 9 13 3" xfId="14650" xr:uid="{00000000-0005-0000-0000-0000E6200000}"/>
    <cellStyle name="20% - Accent4 9 13 3 2" xfId="32285" xr:uid="{00000000-0005-0000-0000-0000E7200000}"/>
    <cellStyle name="20% - Accent4 9 13 4" xfId="25592" xr:uid="{00000000-0005-0000-0000-0000E8200000}"/>
    <cellStyle name="20% - Accent4 9 14" xfId="7686" xr:uid="{00000000-0005-0000-0000-0000E9200000}"/>
    <cellStyle name="20% - Accent4 9 14 2" xfId="15483" xr:uid="{00000000-0005-0000-0000-0000EA200000}"/>
    <cellStyle name="20% - Accent4 9 14 2 2" xfId="33118" xr:uid="{00000000-0005-0000-0000-0000EB200000}"/>
    <cellStyle name="20% - Accent4 9 14 3" xfId="26119" xr:uid="{00000000-0005-0000-0000-0000EC200000}"/>
    <cellStyle name="20% - Accent4 9 15" xfId="11260" xr:uid="{00000000-0005-0000-0000-0000ED200000}"/>
    <cellStyle name="20% - Accent4 9 15 2" xfId="28988" xr:uid="{00000000-0005-0000-0000-0000EE200000}"/>
    <cellStyle name="20% - Accent4 9 16" xfId="22077" xr:uid="{00000000-0005-0000-0000-0000EF200000}"/>
    <cellStyle name="20% - Accent4 9 16 2" xfId="38781" xr:uid="{00000000-0005-0000-0000-0000F0200000}"/>
    <cellStyle name="20% - Accent4 9 17" xfId="23254" xr:uid="{00000000-0005-0000-0000-0000F1200000}"/>
    <cellStyle name="20% - Accent4 9 18" xfId="51808" xr:uid="{00000000-0005-0000-0000-0000F2200000}"/>
    <cellStyle name="20% - Accent4 9 2" xfId="504" xr:uid="{00000000-0005-0000-0000-0000F3200000}"/>
    <cellStyle name="20% - Accent4 9 2 10" xfId="51809" xr:uid="{00000000-0005-0000-0000-0000F4200000}"/>
    <cellStyle name="20% - Accent4 9 2 2" xfId="3722" xr:uid="{00000000-0005-0000-0000-0000F5200000}"/>
    <cellStyle name="20% - Accent4 9 2 2 2" xfId="8335" xr:uid="{00000000-0005-0000-0000-0000F6200000}"/>
    <cellStyle name="20% - Accent4 9 2 2 2 2" xfId="16131" xr:uid="{00000000-0005-0000-0000-0000F7200000}"/>
    <cellStyle name="20% - Accent4 9 2 2 2 2 2" xfId="33766" xr:uid="{00000000-0005-0000-0000-0000F8200000}"/>
    <cellStyle name="20% - Accent4 9 2 2 2 3" xfId="26749" xr:uid="{00000000-0005-0000-0000-0000F9200000}"/>
    <cellStyle name="20% - Accent4 9 2 2 3" xfId="12452" xr:uid="{00000000-0005-0000-0000-0000FA200000}"/>
    <cellStyle name="20% - Accent4 9 2 2 3 2" xfId="30123" xr:uid="{00000000-0005-0000-0000-0000FB200000}"/>
    <cellStyle name="20% - Accent4 9 2 2 4" xfId="23884" xr:uid="{00000000-0005-0000-0000-0000FC200000}"/>
    <cellStyle name="20% - Accent4 9 2 3" xfId="5695" xr:uid="{00000000-0005-0000-0000-0000FD200000}"/>
    <cellStyle name="20% - Accent4 9 2 3 2" xfId="8995" xr:uid="{00000000-0005-0000-0000-0000FE200000}"/>
    <cellStyle name="20% - Accent4 9 2 3 2 2" xfId="16790" xr:uid="{00000000-0005-0000-0000-0000FF200000}"/>
    <cellStyle name="20% - Accent4 9 2 3 2 2 2" xfId="34426" xr:uid="{00000000-0005-0000-0000-000000210000}"/>
    <cellStyle name="20% - Accent4 9 2 3 2 3" xfId="27383" xr:uid="{00000000-0005-0000-0000-000001210000}"/>
    <cellStyle name="20% - Accent4 9 2 3 3" xfId="13551" xr:uid="{00000000-0005-0000-0000-000002210000}"/>
    <cellStyle name="20% - Accent4 9 2 3 3 2" xfId="31191" xr:uid="{00000000-0005-0000-0000-000003210000}"/>
    <cellStyle name="20% - Accent4 9 2 3 4" xfId="24518" xr:uid="{00000000-0005-0000-0000-000004210000}"/>
    <cellStyle name="20% - Accent4 9 2 4" xfId="6325" xr:uid="{00000000-0005-0000-0000-000005210000}"/>
    <cellStyle name="20% - Accent4 9 2 4 2" xfId="9535" xr:uid="{00000000-0005-0000-0000-000006210000}"/>
    <cellStyle name="20% - Accent4 9 2 4 2 2" xfId="17329" xr:uid="{00000000-0005-0000-0000-000007210000}"/>
    <cellStyle name="20% - Accent4 9 2 4 2 2 2" xfId="34966" xr:uid="{00000000-0005-0000-0000-000008210000}"/>
    <cellStyle name="20% - Accent4 9 2 4 2 3" xfId="27919" xr:uid="{00000000-0005-0000-0000-000009210000}"/>
    <cellStyle name="20% - Accent4 9 2 4 3" xfId="14114" xr:uid="{00000000-0005-0000-0000-00000A210000}"/>
    <cellStyle name="20% - Accent4 9 2 4 3 2" xfId="31749" xr:uid="{00000000-0005-0000-0000-00000B210000}"/>
    <cellStyle name="20% - Accent4 9 2 4 4" xfId="25055" xr:uid="{00000000-0005-0000-0000-00000C210000}"/>
    <cellStyle name="20% - Accent4 9 2 5" xfId="6863" xr:uid="{00000000-0005-0000-0000-00000D210000}"/>
    <cellStyle name="20% - Accent4 9 2 5 2" xfId="10073" xr:uid="{00000000-0005-0000-0000-00000E210000}"/>
    <cellStyle name="20% - Accent4 9 2 5 2 2" xfId="17866" xr:uid="{00000000-0005-0000-0000-00000F210000}"/>
    <cellStyle name="20% - Accent4 9 2 5 2 2 2" xfId="35503" xr:uid="{00000000-0005-0000-0000-000010210000}"/>
    <cellStyle name="20% - Accent4 9 2 5 2 3" xfId="28456" xr:uid="{00000000-0005-0000-0000-000011210000}"/>
    <cellStyle name="20% - Accent4 9 2 5 3" xfId="14651" xr:uid="{00000000-0005-0000-0000-000012210000}"/>
    <cellStyle name="20% - Accent4 9 2 5 3 2" xfId="32286" xr:uid="{00000000-0005-0000-0000-000013210000}"/>
    <cellStyle name="20% - Accent4 9 2 5 4" xfId="25593" xr:uid="{00000000-0005-0000-0000-000014210000}"/>
    <cellStyle name="20% - Accent4 9 2 6" xfId="7687" xr:uid="{00000000-0005-0000-0000-000015210000}"/>
    <cellStyle name="20% - Accent4 9 2 6 2" xfId="15484" xr:uid="{00000000-0005-0000-0000-000016210000}"/>
    <cellStyle name="20% - Accent4 9 2 6 2 2" xfId="33119" xr:uid="{00000000-0005-0000-0000-000017210000}"/>
    <cellStyle name="20% - Accent4 9 2 6 3" xfId="26120" xr:uid="{00000000-0005-0000-0000-000018210000}"/>
    <cellStyle name="20% - Accent4 9 2 7" xfId="11261" xr:uid="{00000000-0005-0000-0000-000019210000}"/>
    <cellStyle name="20% - Accent4 9 2 7 2" xfId="28989" xr:uid="{00000000-0005-0000-0000-00001A210000}"/>
    <cellStyle name="20% - Accent4 9 2 8" xfId="22725" xr:uid="{00000000-0005-0000-0000-00001B210000}"/>
    <cellStyle name="20% - Accent4 9 2 8 2" xfId="38935" xr:uid="{00000000-0005-0000-0000-00001C210000}"/>
    <cellStyle name="20% - Accent4 9 2 9" xfId="23255" xr:uid="{00000000-0005-0000-0000-00001D210000}"/>
    <cellStyle name="20% - Accent4 9 3" xfId="505" xr:uid="{00000000-0005-0000-0000-00001E210000}"/>
    <cellStyle name="20% - Accent4 9 3 10" xfId="23256" xr:uid="{00000000-0005-0000-0000-00001F210000}"/>
    <cellStyle name="20% - Accent4 9 3 11" xfId="51810" xr:uid="{00000000-0005-0000-0000-000020210000}"/>
    <cellStyle name="20% - Accent4 9 3 2" xfId="506" xr:uid="{00000000-0005-0000-0000-000021210000}"/>
    <cellStyle name="20% - Accent4 9 3 2 2" xfId="3724" xr:uid="{00000000-0005-0000-0000-000022210000}"/>
    <cellStyle name="20% - Accent4 9 3 2 2 2" xfId="8337" xr:uid="{00000000-0005-0000-0000-000023210000}"/>
    <cellStyle name="20% - Accent4 9 3 2 2 2 2" xfId="16133" xr:uid="{00000000-0005-0000-0000-000024210000}"/>
    <cellStyle name="20% - Accent4 9 3 2 2 2 2 2" xfId="33768" xr:uid="{00000000-0005-0000-0000-000025210000}"/>
    <cellStyle name="20% - Accent4 9 3 2 2 2 3" xfId="26751" xr:uid="{00000000-0005-0000-0000-000026210000}"/>
    <cellStyle name="20% - Accent4 9 3 2 2 3" xfId="12454" xr:uid="{00000000-0005-0000-0000-000027210000}"/>
    <cellStyle name="20% - Accent4 9 3 2 2 3 2" xfId="30125" xr:uid="{00000000-0005-0000-0000-000028210000}"/>
    <cellStyle name="20% - Accent4 9 3 2 2 4" xfId="23886" xr:uid="{00000000-0005-0000-0000-000029210000}"/>
    <cellStyle name="20% - Accent4 9 3 2 3" xfId="5697" xr:uid="{00000000-0005-0000-0000-00002A210000}"/>
    <cellStyle name="20% - Accent4 9 3 2 3 2" xfId="8997" xr:uid="{00000000-0005-0000-0000-00002B210000}"/>
    <cellStyle name="20% - Accent4 9 3 2 3 2 2" xfId="16792" xr:uid="{00000000-0005-0000-0000-00002C210000}"/>
    <cellStyle name="20% - Accent4 9 3 2 3 2 2 2" xfId="34428" xr:uid="{00000000-0005-0000-0000-00002D210000}"/>
    <cellStyle name="20% - Accent4 9 3 2 3 2 3" xfId="27385" xr:uid="{00000000-0005-0000-0000-00002E210000}"/>
    <cellStyle name="20% - Accent4 9 3 2 3 3" xfId="13553" xr:uid="{00000000-0005-0000-0000-00002F210000}"/>
    <cellStyle name="20% - Accent4 9 3 2 3 3 2" xfId="31193" xr:uid="{00000000-0005-0000-0000-000030210000}"/>
    <cellStyle name="20% - Accent4 9 3 2 3 4" xfId="24520" xr:uid="{00000000-0005-0000-0000-000031210000}"/>
    <cellStyle name="20% - Accent4 9 3 2 4" xfId="6327" xr:uid="{00000000-0005-0000-0000-000032210000}"/>
    <cellStyle name="20% - Accent4 9 3 2 4 2" xfId="9537" xr:uid="{00000000-0005-0000-0000-000033210000}"/>
    <cellStyle name="20% - Accent4 9 3 2 4 2 2" xfId="17331" xr:uid="{00000000-0005-0000-0000-000034210000}"/>
    <cellStyle name="20% - Accent4 9 3 2 4 2 2 2" xfId="34968" xr:uid="{00000000-0005-0000-0000-000035210000}"/>
    <cellStyle name="20% - Accent4 9 3 2 4 2 3" xfId="27921" xr:uid="{00000000-0005-0000-0000-000036210000}"/>
    <cellStyle name="20% - Accent4 9 3 2 4 3" xfId="14116" xr:uid="{00000000-0005-0000-0000-000037210000}"/>
    <cellStyle name="20% - Accent4 9 3 2 4 3 2" xfId="31751" xr:uid="{00000000-0005-0000-0000-000038210000}"/>
    <cellStyle name="20% - Accent4 9 3 2 4 4" xfId="25057" xr:uid="{00000000-0005-0000-0000-000039210000}"/>
    <cellStyle name="20% - Accent4 9 3 2 5" xfId="6865" xr:uid="{00000000-0005-0000-0000-00003A210000}"/>
    <cellStyle name="20% - Accent4 9 3 2 5 2" xfId="10075" xr:uid="{00000000-0005-0000-0000-00003B210000}"/>
    <cellStyle name="20% - Accent4 9 3 2 5 2 2" xfId="17868" xr:uid="{00000000-0005-0000-0000-00003C210000}"/>
    <cellStyle name="20% - Accent4 9 3 2 5 2 2 2" xfId="35505" xr:uid="{00000000-0005-0000-0000-00003D210000}"/>
    <cellStyle name="20% - Accent4 9 3 2 5 2 3" xfId="28458" xr:uid="{00000000-0005-0000-0000-00003E210000}"/>
    <cellStyle name="20% - Accent4 9 3 2 5 3" xfId="14653" xr:uid="{00000000-0005-0000-0000-00003F210000}"/>
    <cellStyle name="20% - Accent4 9 3 2 5 3 2" xfId="32288" xr:uid="{00000000-0005-0000-0000-000040210000}"/>
    <cellStyle name="20% - Accent4 9 3 2 5 4" xfId="25595" xr:uid="{00000000-0005-0000-0000-000041210000}"/>
    <cellStyle name="20% - Accent4 9 3 2 6" xfId="7689" xr:uid="{00000000-0005-0000-0000-000042210000}"/>
    <cellStyle name="20% - Accent4 9 3 2 6 2" xfId="15486" xr:uid="{00000000-0005-0000-0000-000043210000}"/>
    <cellStyle name="20% - Accent4 9 3 2 6 2 2" xfId="33121" xr:uid="{00000000-0005-0000-0000-000044210000}"/>
    <cellStyle name="20% - Accent4 9 3 2 6 3" xfId="26122" xr:uid="{00000000-0005-0000-0000-000045210000}"/>
    <cellStyle name="20% - Accent4 9 3 2 7" xfId="11263" xr:uid="{00000000-0005-0000-0000-000046210000}"/>
    <cellStyle name="20% - Accent4 9 3 2 7 2" xfId="28991" xr:uid="{00000000-0005-0000-0000-000047210000}"/>
    <cellStyle name="20% - Accent4 9 3 2 8" xfId="23257" xr:uid="{00000000-0005-0000-0000-000048210000}"/>
    <cellStyle name="20% - Accent4 9 3 2 9" xfId="51811" xr:uid="{00000000-0005-0000-0000-000049210000}"/>
    <cellStyle name="20% - Accent4 9 3 3" xfId="3725" xr:uid="{00000000-0005-0000-0000-00004A210000}"/>
    <cellStyle name="20% - Accent4 9 3 3 2" xfId="5698" xr:uid="{00000000-0005-0000-0000-00004B210000}"/>
    <cellStyle name="20% - Accent4 9 3 3 2 2" xfId="8998" xr:uid="{00000000-0005-0000-0000-00004C210000}"/>
    <cellStyle name="20% - Accent4 9 3 3 2 2 2" xfId="16793" xr:uid="{00000000-0005-0000-0000-00004D210000}"/>
    <cellStyle name="20% - Accent4 9 3 3 2 2 2 2" xfId="34429" xr:uid="{00000000-0005-0000-0000-00004E210000}"/>
    <cellStyle name="20% - Accent4 9 3 3 2 2 3" xfId="27386" xr:uid="{00000000-0005-0000-0000-00004F210000}"/>
    <cellStyle name="20% - Accent4 9 3 3 2 3" xfId="13554" xr:uid="{00000000-0005-0000-0000-000050210000}"/>
    <cellStyle name="20% - Accent4 9 3 3 2 3 2" xfId="31194" xr:uid="{00000000-0005-0000-0000-000051210000}"/>
    <cellStyle name="20% - Accent4 9 3 3 2 4" xfId="24521" xr:uid="{00000000-0005-0000-0000-000052210000}"/>
    <cellStyle name="20% - Accent4 9 3 3 3" xfId="6328" xr:uid="{00000000-0005-0000-0000-000053210000}"/>
    <cellStyle name="20% - Accent4 9 3 3 3 2" xfId="9538" xr:uid="{00000000-0005-0000-0000-000054210000}"/>
    <cellStyle name="20% - Accent4 9 3 3 3 2 2" xfId="17332" xr:uid="{00000000-0005-0000-0000-000055210000}"/>
    <cellStyle name="20% - Accent4 9 3 3 3 2 2 2" xfId="34969" xr:uid="{00000000-0005-0000-0000-000056210000}"/>
    <cellStyle name="20% - Accent4 9 3 3 3 2 3" xfId="27922" xr:uid="{00000000-0005-0000-0000-000057210000}"/>
    <cellStyle name="20% - Accent4 9 3 3 3 3" xfId="14117" xr:uid="{00000000-0005-0000-0000-000058210000}"/>
    <cellStyle name="20% - Accent4 9 3 3 3 3 2" xfId="31752" xr:uid="{00000000-0005-0000-0000-000059210000}"/>
    <cellStyle name="20% - Accent4 9 3 3 3 4" xfId="25058" xr:uid="{00000000-0005-0000-0000-00005A210000}"/>
    <cellStyle name="20% - Accent4 9 3 3 4" xfId="6866" xr:uid="{00000000-0005-0000-0000-00005B210000}"/>
    <cellStyle name="20% - Accent4 9 3 3 4 2" xfId="10076" xr:uid="{00000000-0005-0000-0000-00005C210000}"/>
    <cellStyle name="20% - Accent4 9 3 3 4 2 2" xfId="17869" xr:uid="{00000000-0005-0000-0000-00005D210000}"/>
    <cellStyle name="20% - Accent4 9 3 3 4 2 2 2" xfId="35506" xr:uid="{00000000-0005-0000-0000-00005E210000}"/>
    <cellStyle name="20% - Accent4 9 3 3 4 2 3" xfId="28459" xr:uid="{00000000-0005-0000-0000-00005F210000}"/>
    <cellStyle name="20% - Accent4 9 3 3 4 3" xfId="14654" xr:uid="{00000000-0005-0000-0000-000060210000}"/>
    <cellStyle name="20% - Accent4 9 3 3 4 3 2" xfId="32289" xr:uid="{00000000-0005-0000-0000-000061210000}"/>
    <cellStyle name="20% - Accent4 9 3 3 4 4" xfId="25596" xr:uid="{00000000-0005-0000-0000-000062210000}"/>
    <cellStyle name="20% - Accent4 9 3 3 5" xfId="8338" xr:uid="{00000000-0005-0000-0000-000063210000}"/>
    <cellStyle name="20% - Accent4 9 3 3 5 2" xfId="16134" xr:uid="{00000000-0005-0000-0000-000064210000}"/>
    <cellStyle name="20% - Accent4 9 3 3 5 2 2" xfId="33769" xr:uid="{00000000-0005-0000-0000-000065210000}"/>
    <cellStyle name="20% - Accent4 9 3 3 5 3" xfId="26752" xr:uid="{00000000-0005-0000-0000-000066210000}"/>
    <cellStyle name="20% - Accent4 9 3 3 6" xfId="12455" xr:uid="{00000000-0005-0000-0000-000067210000}"/>
    <cellStyle name="20% - Accent4 9 3 3 6 2" xfId="30126" xr:uid="{00000000-0005-0000-0000-000068210000}"/>
    <cellStyle name="20% - Accent4 9 3 3 7" xfId="23887" xr:uid="{00000000-0005-0000-0000-000069210000}"/>
    <cellStyle name="20% - Accent4 9 3 4" xfId="3723" xr:uid="{00000000-0005-0000-0000-00006A210000}"/>
    <cellStyle name="20% - Accent4 9 3 4 2" xfId="8336" xr:uid="{00000000-0005-0000-0000-00006B210000}"/>
    <cellStyle name="20% - Accent4 9 3 4 2 2" xfId="16132" xr:uid="{00000000-0005-0000-0000-00006C210000}"/>
    <cellStyle name="20% - Accent4 9 3 4 2 2 2" xfId="33767" xr:uid="{00000000-0005-0000-0000-00006D210000}"/>
    <cellStyle name="20% - Accent4 9 3 4 2 3" xfId="26750" xr:uid="{00000000-0005-0000-0000-00006E210000}"/>
    <cellStyle name="20% - Accent4 9 3 4 3" xfId="12453" xr:uid="{00000000-0005-0000-0000-00006F210000}"/>
    <cellStyle name="20% - Accent4 9 3 4 3 2" xfId="30124" xr:uid="{00000000-0005-0000-0000-000070210000}"/>
    <cellStyle name="20% - Accent4 9 3 4 4" xfId="23885" xr:uid="{00000000-0005-0000-0000-000071210000}"/>
    <cellStyle name="20% - Accent4 9 3 5" xfId="5696" xr:uid="{00000000-0005-0000-0000-000072210000}"/>
    <cellStyle name="20% - Accent4 9 3 5 2" xfId="8996" xr:uid="{00000000-0005-0000-0000-000073210000}"/>
    <cellStyle name="20% - Accent4 9 3 5 2 2" xfId="16791" xr:uid="{00000000-0005-0000-0000-000074210000}"/>
    <cellStyle name="20% - Accent4 9 3 5 2 2 2" xfId="34427" xr:uid="{00000000-0005-0000-0000-000075210000}"/>
    <cellStyle name="20% - Accent4 9 3 5 2 3" xfId="27384" xr:uid="{00000000-0005-0000-0000-000076210000}"/>
    <cellStyle name="20% - Accent4 9 3 5 3" xfId="13552" xr:uid="{00000000-0005-0000-0000-000077210000}"/>
    <cellStyle name="20% - Accent4 9 3 5 3 2" xfId="31192" xr:uid="{00000000-0005-0000-0000-000078210000}"/>
    <cellStyle name="20% - Accent4 9 3 5 4" xfId="24519" xr:uid="{00000000-0005-0000-0000-000079210000}"/>
    <cellStyle name="20% - Accent4 9 3 6" xfId="6326" xr:uid="{00000000-0005-0000-0000-00007A210000}"/>
    <cellStyle name="20% - Accent4 9 3 6 2" xfId="9536" xr:uid="{00000000-0005-0000-0000-00007B210000}"/>
    <cellStyle name="20% - Accent4 9 3 6 2 2" xfId="17330" xr:uid="{00000000-0005-0000-0000-00007C210000}"/>
    <cellStyle name="20% - Accent4 9 3 6 2 2 2" xfId="34967" xr:uid="{00000000-0005-0000-0000-00007D210000}"/>
    <cellStyle name="20% - Accent4 9 3 6 2 3" xfId="27920" xr:uid="{00000000-0005-0000-0000-00007E210000}"/>
    <cellStyle name="20% - Accent4 9 3 6 3" xfId="14115" xr:uid="{00000000-0005-0000-0000-00007F210000}"/>
    <cellStyle name="20% - Accent4 9 3 6 3 2" xfId="31750" xr:uid="{00000000-0005-0000-0000-000080210000}"/>
    <cellStyle name="20% - Accent4 9 3 6 4" xfId="25056" xr:uid="{00000000-0005-0000-0000-000081210000}"/>
    <cellStyle name="20% - Accent4 9 3 7" xfId="6864" xr:uid="{00000000-0005-0000-0000-000082210000}"/>
    <cellStyle name="20% - Accent4 9 3 7 2" xfId="10074" xr:uid="{00000000-0005-0000-0000-000083210000}"/>
    <cellStyle name="20% - Accent4 9 3 7 2 2" xfId="17867" xr:uid="{00000000-0005-0000-0000-000084210000}"/>
    <cellStyle name="20% - Accent4 9 3 7 2 2 2" xfId="35504" xr:uid="{00000000-0005-0000-0000-000085210000}"/>
    <cellStyle name="20% - Accent4 9 3 7 2 3" xfId="28457" xr:uid="{00000000-0005-0000-0000-000086210000}"/>
    <cellStyle name="20% - Accent4 9 3 7 3" xfId="14652" xr:uid="{00000000-0005-0000-0000-000087210000}"/>
    <cellStyle name="20% - Accent4 9 3 7 3 2" xfId="32287" xr:uid="{00000000-0005-0000-0000-000088210000}"/>
    <cellStyle name="20% - Accent4 9 3 7 4" xfId="25594" xr:uid="{00000000-0005-0000-0000-000089210000}"/>
    <cellStyle name="20% - Accent4 9 3 8" xfId="7688" xr:uid="{00000000-0005-0000-0000-00008A210000}"/>
    <cellStyle name="20% - Accent4 9 3 8 2" xfId="15485" xr:uid="{00000000-0005-0000-0000-00008B210000}"/>
    <cellStyle name="20% - Accent4 9 3 8 2 2" xfId="33120" xr:uid="{00000000-0005-0000-0000-00008C210000}"/>
    <cellStyle name="20% - Accent4 9 3 8 3" xfId="26121" xr:uid="{00000000-0005-0000-0000-00008D210000}"/>
    <cellStyle name="20% - Accent4 9 3 9" xfId="11262" xr:uid="{00000000-0005-0000-0000-00008E210000}"/>
    <cellStyle name="20% - Accent4 9 3 9 2" xfId="28990" xr:uid="{00000000-0005-0000-0000-00008F210000}"/>
    <cellStyle name="20% - Accent4 9 4" xfId="507" xr:uid="{00000000-0005-0000-0000-000090210000}"/>
    <cellStyle name="20% - Accent4 9 4 2" xfId="3726" xr:uid="{00000000-0005-0000-0000-000091210000}"/>
    <cellStyle name="20% - Accent4 9 4 2 2" xfId="8339" xr:uid="{00000000-0005-0000-0000-000092210000}"/>
    <cellStyle name="20% - Accent4 9 4 2 2 2" xfId="16135" xr:uid="{00000000-0005-0000-0000-000093210000}"/>
    <cellStyle name="20% - Accent4 9 4 2 2 2 2" xfId="33770" xr:uid="{00000000-0005-0000-0000-000094210000}"/>
    <cellStyle name="20% - Accent4 9 4 2 2 3" xfId="26753" xr:uid="{00000000-0005-0000-0000-000095210000}"/>
    <cellStyle name="20% - Accent4 9 4 2 3" xfId="12456" xr:uid="{00000000-0005-0000-0000-000096210000}"/>
    <cellStyle name="20% - Accent4 9 4 2 3 2" xfId="30127" xr:uid="{00000000-0005-0000-0000-000097210000}"/>
    <cellStyle name="20% - Accent4 9 4 2 4" xfId="23888" xr:uid="{00000000-0005-0000-0000-000098210000}"/>
    <cellStyle name="20% - Accent4 9 4 3" xfId="5699" xr:uid="{00000000-0005-0000-0000-000099210000}"/>
    <cellStyle name="20% - Accent4 9 4 3 2" xfId="8999" xr:uid="{00000000-0005-0000-0000-00009A210000}"/>
    <cellStyle name="20% - Accent4 9 4 3 2 2" xfId="16794" xr:uid="{00000000-0005-0000-0000-00009B210000}"/>
    <cellStyle name="20% - Accent4 9 4 3 2 2 2" xfId="34430" xr:uid="{00000000-0005-0000-0000-00009C210000}"/>
    <cellStyle name="20% - Accent4 9 4 3 2 3" xfId="27387" xr:uid="{00000000-0005-0000-0000-00009D210000}"/>
    <cellStyle name="20% - Accent4 9 4 3 3" xfId="13555" xr:uid="{00000000-0005-0000-0000-00009E210000}"/>
    <cellStyle name="20% - Accent4 9 4 3 3 2" xfId="31195" xr:uid="{00000000-0005-0000-0000-00009F210000}"/>
    <cellStyle name="20% - Accent4 9 4 3 4" xfId="24522" xr:uid="{00000000-0005-0000-0000-0000A0210000}"/>
    <cellStyle name="20% - Accent4 9 4 4" xfId="6329" xr:uid="{00000000-0005-0000-0000-0000A1210000}"/>
    <cellStyle name="20% - Accent4 9 4 4 2" xfId="9539" xr:uid="{00000000-0005-0000-0000-0000A2210000}"/>
    <cellStyle name="20% - Accent4 9 4 4 2 2" xfId="17333" xr:uid="{00000000-0005-0000-0000-0000A3210000}"/>
    <cellStyle name="20% - Accent4 9 4 4 2 2 2" xfId="34970" xr:uid="{00000000-0005-0000-0000-0000A4210000}"/>
    <cellStyle name="20% - Accent4 9 4 4 2 3" xfId="27923" xr:uid="{00000000-0005-0000-0000-0000A5210000}"/>
    <cellStyle name="20% - Accent4 9 4 4 3" xfId="14118" xr:uid="{00000000-0005-0000-0000-0000A6210000}"/>
    <cellStyle name="20% - Accent4 9 4 4 3 2" xfId="31753" xr:uid="{00000000-0005-0000-0000-0000A7210000}"/>
    <cellStyle name="20% - Accent4 9 4 4 4" xfId="25059" xr:uid="{00000000-0005-0000-0000-0000A8210000}"/>
    <cellStyle name="20% - Accent4 9 4 5" xfId="6867" xr:uid="{00000000-0005-0000-0000-0000A9210000}"/>
    <cellStyle name="20% - Accent4 9 4 5 2" xfId="10077" xr:uid="{00000000-0005-0000-0000-0000AA210000}"/>
    <cellStyle name="20% - Accent4 9 4 5 2 2" xfId="17870" xr:uid="{00000000-0005-0000-0000-0000AB210000}"/>
    <cellStyle name="20% - Accent4 9 4 5 2 2 2" xfId="35507" xr:uid="{00000000-0005-0000-0000-0000AC210000}"/>
    <cellStyle name="20% - Accent4 9 4 5 2 3" xfId="28460" xr:uid="{00000000-0005-0000-0000-0000AD210000}"/>
    <cellStyle name="20% - Accent4 9 4 5 3" xfId="14655" xr:uid="{00000000-0005-0000-0000-0000AE210000}"/>
    <cellStyle name="20% - Accent4 9 4 5 3 2" xfId="32290" xr:uid="{00000000-0005-0000-0000-0000AF210000}"/>
    <cellStyle name="20% - Accent4 9 4 5 4" xfId="25597" xr:uid="{00000000-0005-0000-0000-0000B0210000}"/>
    <cellStyle name="20% - Accent4 9 4 6" xfId="7690" xr:uid="{00000000-0005-0000-0000-0000B1210000}"/>
    <cellStyle name="20% - Accent4 9 4 6 2" xfId="15487" xr:uid="{00000000-0005-0000-0000-0000B2210000}"/>
    <cellStyle name="20% - Accent4 9 4 6 2 2" xfId="33122" xr:uid="{00000000-0005-0000-0000-0000B3210000}"/>
    <cellStyle name="20% - Accent4 9 4 6 3" xfId="26123" xr:uid="{00000000-0005-0000-0000-0000B4210000}"/>
    <cellStyle name="20% - Accent4 9 4 7" xfId="11264" xr:uid="{00000000-0005-0000-0000-0000B5210000}"/>
    <cellStyle name="20% - Accent4 9 4 7 2" xfId="28992" xr:uid="{00000000-0005-0000-0000-0000B6210000}"/>
    <cellStyle name="20% - Accent4 9 4 8" xfId="23258" xr:uid="{00000000-0005-0000-0000-0000B7210000}"/>
    <cellStyle name="20% - Accent4 9 4 9" xfId="51812" xr:uid="{00000000-0005-0000-0000-0000B8210000}"/>
    <cellStyle name="20% - Accent4 9 5" xfId="508" xr:uid="{00000000-0005-0000-0000-0000B9210000}"/>
    <cellStyle name="20% - Accent4 9 5 2" xfId="3727" xr:uid="{00000000-0005-0000-0000-0000BA210000}"/>
    <cellStyle name="20% - Accent4 9 5 2 2" xfId="8340" xr:uid="{00000000-0005-0000-0000-0000BB210000}"/>
    <cellStyle name="20% - Accent4 9 5 2 2 2" xfId="16136" xr:uid="{00000000-0005-0000-0000-0000BC210000}"/>
    <cellStyle name="20% - Accent4 9 5 2 2 2 2" xfId="33771" xr:uid="{00000000-0005-0000-0000-0000BD210000}"/>
    <cellStyle name="20% - Accent4 9 5 2 2 3" xfId="26754" xr:uid="{00000000-0005-0000-0000-0000BE210000}"/>
    <cellStyle name="20% - Accent4 9 5 2 3" xfId="12457" xr:uid="{00000000-0005-0000-0000-0000BF210000}"/>
    <cellStyle name="20% - Accent4 9 5 2 3 2" xfId="30128" xr:uid="{00000000-0005-0000-0000-0000C0210000}"/>
    <cellStyle name="20% - Accent4 9 5 2 4" xfId="23889" xr:uid="{00000000-0005-0000-0000-0000C1210000}"/>
    <cellStyle name="20% - Accent4 9 5 3" xfId="5700" xr:uid="{00000000-0005-0000-0000-0000C2210000}"/>
    <cellStyle name="20% - Accent4 9 5 3 2" xfId="9000" xr:uid="{00000000-0005-0000-0000-0000C3210000}"/>
    <cellStyle name="20% - Accent4 9 5 3 2 2" xfId="16795" xr:uid="{00000000-0005-0000-0000-0000C4210000}"/>
    <cellStyle name="20% - Accent4 9 5 3 2 2 2" xfId="34431" xr:uid="{00000000-0005-0000-0000-0000C5210000}"/>
    <cellStyle name="20% - Accent4 9 5 3 2 3" xfId="27388" xr:uid="{00000000-0005-0000-0000-0000C6210000}"/>
    <cellStyle name="20% - Accent4 9 5 3 3" xfId="13556" xr:uid="{00000000-0005-0000-0000-0000C7210000}"/>
    <cellStyle name="20% - Accent4 9 5 3 3 2" xfId="31196" xr:uid="{00000000-0005-0000-0000-0000C8210000}"/>
    <cellStyle name="20% - Accent4 9 5 3 4" xfId="24523" xr:uid="{00000000-0005-0000-0000-0000C9210000}"/>
    <cellStyle name="20% - Accent4 9 5 4" xfId="6330" xr:uid="{00000000-0005-0000-0000-0000CA210000}"/>
    <cellStyle name="20% - Accent4 9 5 4 2" xfId="9540" xr:uid="{00000000-0005-0000-0000-0000CB210000}"/>
    <cellStyle name="20% - Accent4 9 5 4 2 2" xfId="17334" xr:uid="{00000000-0005-0000-0000-0000CC210000}"/>
    <cellStyle name="20% - Accent4 9 5 4 2 2 2" xfId="34971" xr:uid="{00000000-0005-0000-0000-0000CD210000}"/>
    <cellStyle name="20% - Accent4 9 5 4 2 3" xfId="27924" xr:uid="{00000000-0005-0000-0000-0000CE210000}"/>
    <cellStyle name="20% - Accent4 9 5 4 3" xfId="14119" xr:uid="{00000000-0005-0000-0000-0000CF210000}"/>
    <cellStyle name="20% - Accent4 9 5 4 3 2" xfId="31754" xr:uid="{00000000-0005-0000-0000-0000D0210000}"/>
    <cellStyle name="20% - Accent4 9 5 4 4" xfId="25060" xr:uid="{00000000-0005-0000-0000-0000D1210000}"/>
    <cellStyle name="20% - Accent4 9 5 5" xfId="6868" xr:uid="{00000000-0005-0000-0000-0000D2210000}"/>
    <cellStyle name="20% - Accent4 9 5 5 2" xfId="10078" xr:uid="{00000000-0005-0000-0000-0000D3210000}"/>
    <cellStyle name="20% - Accent4 9 5 5 2 2" xfId="17871" xr:uid="{00000000-0005-0000-0000-0000D4210000}"/>
    <cellStyle name="20% - Accent4 9 5 5 2 2 2" xfId="35508" xr:uid="{00000000-0005-0000-0000-0000D5210000}"/>
    <cellStyle name="20% - Accent4 9 5 5 2 3" xfId="28461" xr:uid="{00000000-0005-0000-0000-0000D6210000}"/>
    <cellStyle name="20% - Accent4 9 5 5 3" xfId="14656" xr:uid="{00000000-0005-0000-0000-0000D7210000}"/>
    <cellStyle name="20% - Accent4 9 5 5 3 2" xfId="32291" xr:uid="{00000000-0005-0000-0000-0000D8210000}"/>
    <cellStyle name="20% - Accent4 9 5 5 4" xfId="25598" xr:uid="{00000000-0005-0000-0000-0000D9210000}"/>
    <cellStyle name="20% - Accent4 9 5 6" xfId="7691" xr:uid="{00000000-0005-0000-0000-0000DA210000}"/>
    <cellStyle name="20% - Accent4 9 5 6 2" xfId="15488" xr:uid="{00000000-0005-0000-0000-0000DB210000}"/>
    <cellStyle name="20% - Accent4 9 5 6 2 2" xfId="33123" xr:uid="{00000000-0005-0000-0000-0000DC210000}"/>
    <cellStyle name="20% - Accent4 9 5 6 3" xfId="26124" xr:uid="{00000000-0005-0000-0000-0000DD210000}"/>
    <cellStyle name="20% - Accent4 9 5 7" xfId="11265" xr:uid="{00000000-0005-0000-0000-0000DE210000}"/>
    <cellStyle name="20% - Accent4 9 5 7 2" xfId="28993" xr:uid="{00000000-0005-0000-0000-0000DF210000}"/>
    <cellStyle name="20% - Accent4 9 5 8" xfId="23259" xr:uid="{00000000-0005-0000-0000-0000E0210000}"/>
    <cellStyle name="20% - Accent4 9 5 9" xfId="51813" xr:uid="{00000000-0005-0000-0000-0000E1210000}"/>
    <cellStyle name="20% - Accent4 9 6" xfId="509" xr:uid="{00000000-0005-0000-0000-0000E2210000}"/>
    <cellStyle name="20% - Accent4 9 6 2" xfId="3728" xr:uid="{00000000-0005-0000-0000-0000E3210000}"/>
    <cellStyle name="20% - Accent4 9 6 2 2" xfId="8341" xr:uid="{00000000-0005-0000-0000-0000E4210000}"/>
    <cellStyle name="20% - Accent4 9 6 2 2 2" xfId="16137" xr:uid="{00000000-0005-0000-0000-0000E5210000}"/>
    <cellStyle name="20% - Accent4 9 6 2 2 2 2" xfId="33772" xr:uid="{00000000-0005-0000-0000-0000E6210000}"/>
    <cellStyle name="20% - Accent4 9 6 2 2 3" xfId="26755" xr:uid="{00000000-0005-0000-0000-0000E7210000}"/>
    <cellStyle name="20% - Accent4 9 6 2 3" xfId="12458" xr:uid="{00000000-0005-0000-0000-0000E8210000}"/>
    <cellStyle name="20% - Accent4 9 6 2 3 2" xfId="30129" xr:uid="{00000000-0005-0000-0000-0000E9210000}"/>
    <cellStyle name="20% - Accent4 9 6 2 4" xfId="23890" xr:uid="{00000000-0005-0000-0000-0000EA210000}"/>
    <cellStyle name="20% - Accent4 9 6 3" xfId="5701" xr:uid="{00000000-0005-0000-0000-0000EB210000}"/>
    <cellStyle name="20% - Accent4 9 6 3 2" xfId="9001" xr:uid="{00000000-0005-0000-0000-0000EC210000}"/>
    <cellStyle name="20% - Accent4 9 6 3 2 2" xfId="16796" xr:uid="{00000000-0005-0000-0000-0000ED210000}"/>
    <cellStyle name="20% - Accent4 9 6 3 2 2 2" xfId="34432" xr:uid="{00000000-0005-0000-0000-0000EE210000}"/>
    <cellStyle name="20% - Accent4 9 6 3 2 3" xfId="27389" xr:uid="{00000000-0005-0000-0000-0000EF210000}"/>
    <cellStyle name="20% - Accent4 9 6 3 3" xfId="13557" xr:uid="{00000000-0005-0000-0000-0000F0210000}"/>
    <cellStyle name="20% - Accent4 9 6 3 3 2" xfId="31197" xr:uid="{00000000-0005-0000-0000-0000F1210000}"/>
    <cellStyle name="20% - Accent4 9 6 3 4" xfId="24524" xr:uid="{00000000-0005-0000-0000-0000F2210000}"/>
    <cellStyle name="20% - Accent4 9 6 4" xfId="6331" xr:uid="{00000000-0005-0000-0000-0000F3210000}"/>
    <cellStyle name="20% - Accent4 9 6 4 2" xfId="9541" xr:uid="{00000000-0005-0000-0000-0000F4210000}"/>
    <cellStyle name="20% - Accent4 9 6 4 2 2" xfId="17335" xr:uid="{00000000-0005-0000-0000-0000F5210000}"/>
    <cellStyle name="20% - Accent4 9 6 4 2 2 2" xfId="34972" xr:uid="{00000000-0005-0000-0000-0000F6210000}"/>
    <cellStyle name="20% - Accent4 9 6 4 2 3" xfId="27925" xr:uid="{00000000-0005-0000-0000-0000F7210000}"/>
    <cellStyle name="20% - Accent4 9 6 4 3" xfId="14120" xr:uid="{00000000-0005-0000-0000-0000F8210000}"/>
    <cellStyle name="20% - Accent4 9 6 4 3 2" xfId="31755" xr:uid="{00000000-0005-0000-0000-0000F9210000}"/>
    <cellStyle name="20% - Accent4 9 6 4 4" xfId="25061" xr:uid="{00000000-0005-0000-0000-0000FA210000}"/>
    <cellStyle name="20% - Accent4 9 6 5" xfId="6869" xr:uid="{00000000-0005-0000-0000-0000FB210000}"/>
    <cellStyle name="20% - Accent4 9 6 5 2" xfId="10079" xr:uid="{00000000-0005-0000-0000-0000FC210000}"/>
    <cellStyle name="20% - Accent4 9 6 5 2 2" xfId="17872" xr:uid="{00000000-0005-0000-0000-0000FD210000}"/>
    <cellStyle name="20% - Accent4 9 6 5 2 2 2" xfId="35509" xr:uid="{00000000-0005-0000-0000-0000FE210000}"/>
    <cellStyle name="20% - Accent4 9 6 5 2 3" xfId="28462" xr:uid="{00000000-0005-0000-0000-0000FF210000}"/>
    <cellStyle name="20% - Accent4 9 6 5 3" xfId="14657" xr:uid="{00000000-0005-0000-0000-000000220000}"/>
    <cellStyle name="20% - Accent4 9 6 5 3 2" xfId="32292" xr:uid="{00000000-0005-0000-0000-000001220000}"/>
    <cellStyle name="20% - Accent4 9 6 5 4" xfId="25599" xr:uid="{00000000-0005-0000-0000-000002220000}"/>
    <cellStyle name="20% - Accent4 9 6 6" xfId="7692" xr:uid="{00000000-0005-0000-0000-000003220000}"/>
    <cellStyle name="20% - Accent4 9 6 6 2" xfId="15489" xr:uid="{00000000-0005-0000-0000-000004220000}"/>
    <cellStyle name="20% - Accent4 9 6 6 2 2" xfId="33124" xr:uid="{00000000-0005-0000-0000-000005220000}"/>
    <cellStyle name="20% - Accent4 9 6 6 3" xfId="26125" xr:uid="{00000000-0005-0000-0000-000006220000}"/>
    <cellStyle name="20% - Accent4 9 6 7" xfId="11266" xr:uid="{00000000-0005-0000-0000-000007220000}"/>
    <cellStyle name="20% - Accent4 9 6 7 2" xfId="28994" xr:uid="{00000000-0005-0000-0000-000008220000}"/>
    <cellStyle name="20% - Accent4 9 6 8" xfId="23260" xr:uid="{00000000-0005-0000-0000-000009220000}"/>
    <cellStyle name="20% - Accent4 9 6 9" xfId="51814" xr:uid="{00000000-0005-0000-0000-00000A220000}"/>
    <cellStyle name="20% - Accent4 9 7" xfId="510" xr:uid="{00000000-0005-0000-0000-00000B220000}"/>
    <cellStyle name="20% - Accent4 9 7 10" xfId="51815" xr:uid="{00000000-0005-0000-0000-00000C220000}"/>
    <cellStyle name="20% - Accent4 9 7 2" xfId="511" xr:uid="{00000000-0005-0000-0000-00000D220000}"/>
    <cellStyle name="20% - Accent4 9 7 2 2" xfId="8343" xr:uid="{00000000-0005-0000-0000-00000E220000}"/>
    <cellStyle name="20% - Accent4 9 7 2 2 2" xfId="16139" xr:uid="{00000000-0005-0000-0000-00000F220000}"/>
    <cellStyle name="20% - Accent4 9 7 2 2 2 2" xfId="33774" xr:uid="{00000000-0005-0000-0000-000010220000}"/>
    <cellStyle name="20% - Accent4 9 7 2 2 3" xfId="26757" xr:uid="{00000000-0005-0000-0000-000011220000}"/>
    <cellStyle name="20% - Accent4 9 7 2 3" xfId="12460" xr:uid="{00000000-0005-0000-0000-000012220000}"/>
    <cellStyle name="20% - Accent4 9 7 2 3 2" xfId="30131" xr:uid="{00000000-0005-0000-0000-000013220000}"/>
    <cellStyle name="20% - Accent4 9 7 2 4" xfId="23892" xr:uid="{00000000-0005-0000-0000-000014220000}"/>
    <cellStyle name="20% - Accent4 9 7 3" xfId="3729" xr:uid="{00000000-0005-0000-0000-000015220000}"/>
    <cellStyle name="20% - Accent4 9 7 3 2" xfId="8342" xr:uid="{00000000-0005-0000-0000-000016220000}"/>
    <cellStyle name="20% - Accent4 9 7 3 2 2" xfId="16138" xr:uid="{00000000-0005-0000-0000-000017220000}"/>
    <cellStyle name="20% - Accent4 9 7 3 2 2 2" xfId="33773" xr:uid="{00000000-0005-0000-0000-000018220000}"/>
    <cellStyle name="20% - Accent4 9 7 3 2 3" xfId="26756" xr:uid="{00000000-0005-0000-0000-000019220000}"/>
    <cellStyle name="20% - Accent4 9 7 3 3" xfId="12459" xr:uid="{00000000-0005-0000-0000-00001A220000}"/>
    <cellStyle name="20% - Accent4 9 7 3 3 2" xfId="30130" xr:uid="{00000000-0005-0000-0000-00001B220000}"/>
    <cellStyle name="20% - Accent4 9 7 3 4" xfId="23891" xr:uid="{00000000-0005-0000-0000-00001C220000}"/>
    <cellStyle name="20% - Accent4 9 7 4" xfId="5702" xr:uid="{00000000-0005-0000-0000-00001D220000}"/>
    <cellStyle name="20% - Accent4 9 7 4 2" xfId="9002" xr:uid="{00000000-0005-0000-0000-00001E220000}"/>
    <cellStyle name="20% - Accent4 9 7 4 2 2" xfId="16797" xr:uid="{00000000-0005-0000-0000-00001F220000}"/>
    <cellStyle name="20% - Accent4 9 7 4 2 2 2" xfId="34433" xr:uid="{00000000-0005-0000-0000-000020220000}"/>
    <cellStyle name="20% - Accent4 9 7 4 2 3" xfId="27390" xr:uid="{00000000-0005-0000-0000-000021220000}"/>
    <cellStyle name="20% - Accent4 9 7 4 3" xfId="13558" xr:uid="{00000000-0005-0000-0000-000022220000}"/>
    <cellStyle name="20% - Accent4 9 7 4 3 2" xfId="31198" xr:uid="{00000000-0005-0000-0000-000023220000}"/>
    <cellStyle name="20% - Accent4 9 7 4 4" xfId="24525" xr:uid="{00000000-0005-0000-0000-000024220000}"/>
    <cellStyle name="20% - Accent4 9 7 5" xfId="6332" xr:uid="{00000000-0005-0000-0000-000025220000}"/>
    <cellStyle name="20% - Accent4 9 7 5 2" xfId="9542" xr:uid="{00000000-0005-0000-0000-000026220000}"/>
    <cellStyle name="20% - Accent4 9 7 5 2 2" xfId="17336" xr:uid="{00000000-0005-0000-0000-000027220000}"/>
    <cellStyle name="20% - Accent4 9 7 5 2 2 2" xfId="34973" xr:uid="{00000000-0005-0000-0000-000028220000}"/>
    <cellStyle name="20% - Accent4 9 7 5 2 3" xfId="27926" xr:uid="{00000000-0005-0000-0000-000029220000}"/>
    <cellStyle name="20% - Accent4 9 7 5 3" xfId="14121" xr:uid="{00000000-0005-0000-0000-00002A220000}"/>
    <cellStyle name="20% - Accent4 9 7 5 3 2" xfId="31756" xr:uid="{00000000-0005-0000-0000-00002B220000}"/>
    <cellStyle name="20% - Accent4 9 7 5 4" xfId="25062" xr:uid="{00000000-0005-0000-0000-00002C220000}"/>
    <cellStyle name="20% - Accent4 9 7 6" xfId="6870" xr:uid="{00000000-0005-0000-0000-00002D220000}"/>
    <cellStyle name="20% - Accent4 9 7 6 2" xfId="10080" xr:uid="{00000000-0005-0000-0000-00002E220000}"/>
    <cellStyle name="20% - Accent4 9 7 6 2 2" xfId="17873" xr:uid="{00000000-0005-0000-0000-00002F220000}"/>
    <cellStyle name="20% - Accent4 9 7 6 2 2 2" xfId="35510" xr:uid="{00000000-0005-0000-0000-000030220000}"/>
    <cellStyle name="20% - Accent4 9 7 6 2 3" xfId="28463" xr:uid="{00000000-0005-0000-0000-000031220000}"/>
    <cellStyle name="20% - Accent4 9 7 6 3" xfId="14658" xr:uid="{00000000-0005-0000-0000-000032220000}"/>
    <cellStyle name="20% - Accent4 9 7 6 3 2" xfId="32293" xr:uid="{00000000-0005-0000-0000-000033220000}"/>
    <cellStyle name="20% - Accent4 9 7 6 4" xfId="25600" xr:uid="{00000000-0005-0000-0000-000034220000}"/>
    <cellStyle name="20% - Accent4 9 7 7" xfId="7693" xr:uid="{00000000-0005-0000-0000-000035220000}"/>
    <cellStyle name="20% - Accent4 9 7 7 2" xfId="15490" xr:uid="{00000000-0005-0000-0000-000036220000}"/>
    <cellStyle name="20% - Accent4 9 7 7 2 2" xfId="33125" xr:uid="{00000000-0005-0000-0000-000037220000}"/>
    <cellStyle name="20% - Accent4 9 7 7 3" xfId="26126" xr:uid="{00000000-0005-0000-0000-000038220000}"/>
    <cellStyle name="20% - Accent4 9 7 8" xfId="11267" xr:uid="{00000000-0005-0000-0000-000039220000}"/>
    <cellStyle name="20% - Accent4 9 7 8 2" xfId="28995" xr:uid="{00000000-0005-0000-0000-00003A220000}"/>
    <cellStyle name="20% - Accent4 9 7 9" xfId="23261" xr:uid="{00000000-0005-0000-0000-00003B220000}"/>
    <cellStyle name="20% - Accent4 9 8" xfId="3730" xr:uid="{00000000-0005-0000-0000-00003C220000}"/>
    <cellStyle name="20% - Accent4 9 8 2" xfId="8344" xr:uid="{00000000-0005-0000-0000-00003D220000}"/>
    <cellStyle name="20% - Accent4 9 8 2 2" xfId="16140" xr:uid="{00000000-0005-0000-0000-00003E220000}"/>
    <cellStyle name="20% - Accent4 9 8 2 2 2" xfId="33775" xr:uid="{00000000-0005-0000-0000-00003F220000}"/>
    <cellStyle name="20% - Accent4 9 8 2 3" xfId="26758" xr:uid="{00000000-0005-0000-0000-000040220000}"/>
    <cellStyle name="20% - Accent4 9 8 3" xfId="12461" xr:uid="{00000000-0005-0000-0000-000041220000}"/>
    <cellStyle name="20% - Accent4 9 8 3 2" xfId="30132" xr:uid="{00000000-0005-0000-0000-000042220000}"/>
    <cellStyle name="20% - Accent4 9 8 4" xfId="23893" xr:uid="{00000000-0005-0000-0000-000043220000}"/>
    <cellStyle name="20% - Accent4 9 9" xfId="3731" xr:uid="{00000000-0005-0000-0000-000044220000}"/>
    <cellStyle name="20% - Accent4 9 9 2" xfId="8345" xr:uid="{00000000-0005-0000-0000-000045220000}"/>
    <cellStyle name="20% - Accent4 9 9 2 2" xfId="16141" xr:uid="{00000000-0005-0000-0000-000046220000}"/>
    <cellStyle name="20% - Accent4 9 9 2 2 2" xfId="33776" xr:uid="{00000000-0005-0000-0000-000047220000}"/>
    <cellStyle name="20% - Accent4 9 9 2 3" xfId="26759" xr:uid="{00000000-0005-0000-0000-000048220000}"/>
    <cellStyle name="20% - Accent4 9 9 3" xfId="12462" xr:uid="{00000000-0005-0000-0000-000049220000}"/>
    <cellStyle name="20% - Accent4 9 9 3 2" xfId="30133" xr:uid="{00000000-0005-0000-0000-00004A220000}"/>
    <cellStyle name="20% - Accent4 9 9 4" xfId="23894" xr:uid="{00000000-0005-0000-0000-00004B220000}"/>
    <cellStyle name="20% - Accent5" xfId="180" builtinId="46" customBuiltin="1"/>
    <cellStyle name="20% - Accent5 10" xfId="7509" xr:uid="{00000000-0005-0000-0000-00004D220000}"/>
    <cellStyle name="20% - Accent5 10 2" xfId="15308" xr:uid="{00000000-0005-0000-0000-00004E220000}"/>
    <cellStyle name="20% - Accent5 10 2 2" xfId="32943" xr:uid="{00000000-0005-0000-0000-00004F220000}"/>
    <cellStyle name="20% - Accent5 10 3" xfId="22078" xr:uid="{00000000-0005-0000-0000-000050220000}"/>
    <cellStyle name="20% - Accent5 10 4" xfId="25944" xr:uid="{00000000-0005-0000-0000-000051220000}"/>
    <cellStyle name="20% - Accent5 11" xfId="18877" xr:uid="{00000000-0005-0000-0000-000052220000}"/>
    <cellStyle name="20% - Accent5 11 2" xfId="36514" xr:uid="{00000000-0005-0000-0000-000053220000}"/>
    <cellStyle name="20% - Accent5 12" xfId="11268" xr:uid="{00000000-0005-0000-0000-000054220000}"/>
    <cellStyle name="20% - Accent5 12 2" xfId="28996" xr:uid="{00000000-0005-0000-0000-000055220000}"/>
    <cellStyle name="20% - Accent5 13" xfId="21935" xr:uid="{00000000-0005-0000-0000-000056220000}"/>
    <cellStyle name="20% - Accent5 13 2" xfId="38688" xr:uid="{00000000-0005-0000-0000-000057220000}"/>
    <cellStyle name="20% - Accent5 14" xfId="23076" xr:uid="{00000000-0005-0000-0000-000058220000}"/>
    <cellStyle name="20% - Accent5 15" xfId="51488" xr:uid="{00000000-0005-0000-0000-000059220000}"/>
    <cellStyle name="20% - Accent5 16" xfId="51501" xr:uid="{00000000-0005-0000-0000-00005A220000}"/>
    <cellStyle name="20% - Accent5 17" xfId="51514" xr:uid="{00000000-0005-0000-0000-00005B220000}"/>
    <cellStyle name="20% - Accent5 18" xfId="51816" xr:uid="{00000000-0005-0000-0000-00005C220000}"/>
    <cellStyle name="20% - Accent5 2" xfId="13" xr:uid="{00000000-0005-0000-0000-00005D220000}"/>
    <cellStyle name="20% - Accent5 2 10" xfId="513" xr:uid="{00000000-0005-0000-0000-00005E220000}"/>
    <cellStyle name="20% - Accent5 2 11" xfId="514" xr:uid="{00000000-0005-0000-0000-00005F220000}"/>
    <cellStyle name="20% - Accent5 2 12" xfId="515" xr:uid="{00000000-0005-0000-0000-000060220000}"/>
    <cellStyle name="20% - Accent5 2 13" xfId="516" xr:uid="{00000000-0005-0000-0000-000061220000}"/>
    <cellStyle name="20% - Accent5 2 14" xfId="517" xr:uid="{00000000-0005-0000-0000-000062220000}"/>
    <cellStyle name="20% - Accent5 2 15" xfId="3732" xr:uid="{00000000-0005-0000-0000-000063220000}"/>
    <cellStyle name="20% - Accent5 2 16" xfId="3733" xr:uid="{00000000-0005-0000-0000-000064220000}"/>
    <cellStyle name="20% - Accent5 2 17" xfId="3734" xr:uid="{00000000-0005-0000-0000-000065220000}"/>
    <cellStyle name="20% - Accent5 2 18" xfId="512" xr:uid="{00000000-0005-0000-0000-000066220000}"/>
    <cellStyle name="20% - Accent5 2 2" xfId="518" xr:uid="{00000000-0005-0000-0000-000067220000}"/>
    <cellStyle name="20% - Accent5 2 2 2" xfId="519" xr:uid="{00000000-0005-0000-0000-000068220000}"/>
    <cellStyle name="20% - Accent5 2 2 3" xfId="520" xr:uid="{00000000-0005-0000-0000-000069220000}"/>
    <cellStyle name="20% - Accent5 2 2 4" xfId="3735" xr:uid="{00000000-0005-0000-0000-00006A220000}"/>
    <cellStyle name="20% - Accent5 2 2 5" xfId="3736" xr:uid="{00000000-0005-0000-0000-00006B220000}"/>
    <cellStyle name="20% - Accent5 2 2_Sheet1" xfId="521" xr:uid="{00000000-0005-0000-0000-00006C220000}"/>
    <cellStyle name="20% - Accent5 2 3" xfId="522" xr:uid="{00000000-0005-0000-0000-00006D220000}"/>
    <cellStyle name="20% - Accent5 2 4" xfId="523" xr:uid="{00000000-0005-0000-0000-00006E220000}"/>
    <cellStyle name="20% - Accent5 2 5" xfId="524" xr:uid="{00000000-0005-0000-0000-00006F220000}"/>
    <cellStyle name="20% - Accent5 2 6" xfId="525" xr:uid="{00000000-0005-0000-0000-000070220000}"/>
    <cellStyle name="20% - Accent5 2 7" xfId="526" xr:uid="{00000000-0005-0000-0000-000071220000}"/>
    <cellStyle name="20% - Accent5 2 8" xfId="527" xr:uid="{00000000-0005-0000-0000-000072220000}"/>
    <cellStyle name="20% - Accent5 2 9" xfId="528" xr:uid="{00000000-0005-0000-0000-000073220000}"/>
    <cellStyle name="20% - Accent5 2_BallGrid" xfId="529" xr:uid="{00000000-0005-0000-0000-000074220000}"/>
    <cellStyle name="20% - Accent5 3" xfId="14" xr:uid="{00000000-0005-0000-0000-000075220000}"/>
    <cellStyle name="20% - Accent5 3 2" xfId="530" xr:uid="{00000000-0005-0000-0000-000076220000}"/>
    <cellStyle name="20% - Accent5 3 3" xfId="531" xr:uid="{00000000-0005-0000-0000-000077220000}"/>
    <cellStyle name="20% - Accent5 3 4" xfId="3737" xr:uid="{00000000-0005-0000-0000-000078220000}"/>
    <cellStyle name="20% - Accent5 4" xfId="15" xr:uid="{00000000-0005-0000-0000-000079220000}"/>
    <cellStyle name="20% - Accent5 4 2" xfId="532" xr:uid="{00000000-0005-0000-0000-00007A220000}"/>
    <cellStyle name="20% - Accent5 4 3" xfId="533" xr:uid="{00000000-0005-0000-0000-00007B220000}"/>
    <cellStyle name="20% - Accent5 4 4" xfId="3738" xr:uid="{00000000-0005-0000-0000-00007C220000}"/>
    <cellStyle name="20% - Accent5 4 5" xfId="3739" xr:uid="{00000000-0005-0000-0000-00007D220000}"/>
    <cellStyle name="20% - Accent5 5" xfId="534" xr:uid="{00000000-0005-0000-0000-00007E220000}"/>
    <cellStyle name="20% - Accent5 5 10" xfId="22079" xr:uid="{00000000-0005-0000-0000-00007F220000}"/>
    <cellStyle name="20% - Accent5 5 11" xfId="23262" xr:uid="{00000000-0005-0000-0000-000080220000}"/>
    <cellStyle name="20% - Accent5 5 12" xfId="51817" xr:uid="{00000000-0005-0000-0000-000081220000}"/>
    <cellStyle name="20% - Accent5 5 2" xfId="3741" xr:uid="{00000000-0005-0000-0000-000082220000}"/>
    <cellStyle name="20% - Accent5 5 2 2" xfId="8347" xr:uid="{00000000-0005-0000-0000-000083220000}"/>
    <cellStyle name="20% - Accent5 5 2 2 2" xfId="16143" xr:uid="{00000000-0005-0000-0000-000084220000}"/>
    <cellStyle name="20% - Accent5 5 2 2 2 2" xfId="33778" xr:uid="{00000000-0005-0000-0000-000085220000}"/>
    <cellStyle name="20% - Accent5 5 2 2 3" xfId="26761" xr:uid="{00000000-0005-0000-0000-000086220000}"/>
    <cellStyle name="20% - Accent5 5 2 3" xfId="12468" xr:uid="{00000000-0005-0000-0000-000087220000}"/>
    <cellStyle name="20% - Accent5 5 2 3 2" xfId="30139" xr:uid="{00000000-0005-0000-0000-000088220000}"/>
    <cellStyle name="20% - Accent5 5 2 4" xfId="23896" xr:uid="{00000000-0005-0000-0000-000089220000}"/>
    <cellStyle name="20% - Accent5 5 3" xfId="3742" xr:uid="{00000000-0005-0000-0000-00008A220000}"/>
    <cellStyle name="20% - Accent5 5 4" xfId="3740" xr:uid="{00000000-0005-0000-0000-00008B220000}"/>
    <cellStyle name="20% - Accent5 5 4 2" xfId="8346" xr:uid="{00000000-0005-0000-0000-00008C220000}"/>
    <cellStyle name="20% - Accent5 5 4 2 2" xfId="16142" xr:uid="{00000000-0005-0000-0000-00008D220000}"/>
    <cellStyle name="20% - Accent5 5 4 2 2 2" xfId="33777" xr:uid="{00000000-0005-0000-0000-00008E220000}"/>
    <cellStyle name="20% - Accent5 5 4 2 3" xfId="26760" xr:uid="{00000000-0005-0000-0000-00008F220000}"/>
    <cellStyle name="20% - Accent5 5 4 3" xfId="12467" xr:uid="{00000000-0005-0000-0000-000090220000}"/>
    <cellStyle name="20% - Accent5 5 4 3 2" xfId="30138" xr:uid="{00000000-0005-0000-0000-000091220000}"/>
    <cellStyle name="20% - Accent5 5 4 4" xfId="23895" xr:uid="{00000000-0005-0000-0000-000092220000}"/>
    <cellStyle name="20% - Accent5 5 5" xfId="5704" xr:uid="{00000000-0005-0000-0000-000093220000}"/>
    <cellStyle name="20% - Accent5 5 5 2" xfId="9004" xr:uid="{00000000-0005-0000-0000-000094220000}"/>
    <cellStyle name="20% - Accent5 5 5 2 2" xfId="16799" xr:uid="{00000000-0005-0000-0000-000095220000}"/>
    <cellStyle name="20% - Accent5 5 5 2 2 2" xfId="34435" xr:uid="{00000000-0005-0000-0000-000096220000}"/>
    <cellStyle name="20% - Accent5 5 5 2 3" xfId="27392" xr:uid="{00000000-0005-0000-0000-000097220000}"/>
    <cellStyle name="20% - Accent5 5 5 3" xfId="13560" xr:uid="{00000000-0005-0000-0000-000098220000}"/>
    <cellStyle name="20% - Accent5 5 5 3 2" xfId="31200" xr:uid="{00000000-0005-0000-0000-000099220000}"/>
    <cellStyle name="20% - Accent5 5 5 4" xfId="24527" xr:uid="{00000000-0005-0000-0000-00009A220000}"/>
    <cellStyle name="20% - Accent5 5 6" xfId="6334" xr:uid="{00000000-0005-0000-0000-00009B220000}"/>
    <cellStyle name="20% - Accent5 5 6 2" xfId="9544" xr:uid="{00000000-0005-0000-0000-00009C220000}"/>
    <cellStyle name="20% - Accent5 5 6 2 2" xfId="17338" xr:uid="{00000000-0005-0000-0000-00009D220000}"/>
    <cellStyle name="20% - Accent5 5 6 2 2 2" xfId="34975" xr:uid="{00000000-0005-0000-0000-00009E220000}"/>
    <cellStyle name="20% - Accent5 5 6 2 3" xfId="27928" xr:uid="{00000000-0005-0000-0000-00009F220000}"/>
    <cellStyle name="20% - Accent5 5 6 3" xfId="14123" xr:uid="{00000000-0005-0000-0000-0000A0220000}"/>
    <cellStyle name="20% - Accent5 5 6 3 2" xfId="31758" xr:uid="{00000000-0005-0000-0000-0000A1220000}"/>
    <cellStyle name="20% - Accent5 5 6 4" xfId="25064" xr:uid="{00000000-0005-0000-0000-0000A2220000}"/>
    <cellStyle name="20% - Accent5 5 7" xfId="6872" xr:uid="{00000000-0005-0000-0000-0000A3220000}"/>
    <cellStyle name="20% - Accent5 5 7 2" xfId="10082" xr:uid="{00000000-0005-0000-0000-0000A4220000}"/>
    <cellStyle name="20% - Accent5 5 7 2 2" xfId="17875" xr:uid="{00000000-0005-0000-0000-0000A5220000}"/>
    <cellStyle name="20% - Accent5 5 7 2 2 2" xfId="35512" xr:uid="{00000000-0005-0000-0000-0000A6220000}"/>
    <cellStyle name="20% - Accent5 5 7 2 3" xfId="28465" xr:uid="{00000000-0005-0000-0000-0000A7220000}"/>
    <cellStyle name="20% - Accent5 5 7 3" xfId="14660" xr:uid="{00000000-0005-0000-0000-0000A8220000}"/>
    <cellStyle name="20% - Accent5 5 7 3 2" xfId="32295" xr:uid="{00000000-0005-0000-0000-0000A9220000}"/>
    <cellStyle name="20% - Accent5 5 7 4" xfId="25602" xr:uid="{00000000-0005-0000-0000-0000AA220000}"/>
    <cellStyle name="20% - Accent5 5 8" xfId="7694" xr:uid="{00000000-0005-0000-0000-0000AB220000}"/>
    <cellStyle name="20% - Accent5 5 8 2" xfId="15491" xr:uid="{00000000-0005-0000-0000-0000AC220000}"/>
    <cellStyle name="20% - Accent5 5 8 2 2" xfId="33126" xr:uid="{00000000-0005-0000-0000-0000AD220000}"/>
    <cellStyle name="20% - Accent5 5 8 3" xfId="26127" xr:uid="{00000000-0005-0000-0000-0000AE220000}"/>
    <cellStyle name="20% - Accent5 5 9" xfId="11283" xr:uid="{00000000-0005-0000-0000-0000AF220000}"/>
    <cellStyle name="20% - Accent5 5 9 2" xfId="29011" xr:uid="{00000000-0005-0000-0000-0000B0220000}"/>
    <cellStyle name="20% - Accent5 6" xfId="3449" xr:uid="{00000000-0005-0000-0000-0000B1220000}"/>
    <cellStyle name="20% - Accent5 6 2" xfId="8075" xr:uid="{00000000-0005-0000-0000-0000B2220000}"/>
    <cellStyle name="20% - Accent5 6 2 2" xfId="15871" xr:uid="{00000000-0005-0000-0000-0000B3220000}"/>
    <cellStyle name="20% - Accent5 6 2 2 2" xfId="33506" xr:uid="{00000000-0005-0000-0000-0000B4220000}"/>
    <cellStyle name="20% - Accent5 6 2 3" xfId="26489" xr:uid="{00000000-0005-0000-0000-0000B5220000}"/>
    <cellStyle name="20% - Accent5 6 3" xfId="12183" xr:uid="{00000000-0005-0000-0000-0000B6220000}"/>
    <cellStyle name="20% - Accent5 6 3 2" xfId="29855" xr:uid="{00000000-0005-0000-0000-0000B7220000}"/>
    <cellStyle name="20% - Accent5 6 4" xfId="22080" xr:uid="{00000000-0005-0000-0000-0000B8220000}"/>
    <cellStyle name="20% - Accent5 6 5" xfId="23624" xr:uid="{00000000-0005-0000-0000-0000B9220000}"/>
    <cellStyle name="20% - Accent5 7" xfId="5703" xr:uid="{00000000-0005-0000-0000-0000BA220000}"/>
    <cellStyle name="20% - Accent5 7 2" xfId="9003" xr:uid="{00000000-0005-0000-0000-0000BB220000}"/>
    <cellStyle name="20% - Accent5 7 2 2" xfId="16798" xr:uid="{00000000-0005-0000-0000-0000BC220000}"/>
    <cellStyle name="20% - Accent5 7 2 2 2" xfId="34434" xr:uid="{00000000-0005-0000-0000-0000BD220000}"/>
    <cellStyle name="20% - Accent5 7 2 3" xfId="22726" xr:uid="{00000000-0005-0000-0000-0000BE220000}"/>
    <cellStyle name="20% - Accent5 7 2 3 2" xfId="38936" xr:uid="{00000000-0005-0000-0000-0000BF220000}"/>
    <cellStyle name="20% - Accent5 7 2 4" xfId="27391" xr:uid="{00000000-0005-0000-0000-0000C0220000}"/>
    <cellStyle name="20% - Accent5 7 3" xfId="13559" xr:uid="{00000000-0005-0000-0000-0000C1220000}"/>
    <cellStyle name="20% - Accent5 7 3 2" xfId="31199" xr:uid="{00000000-0005-0000-0000-0000C2220000}"/>
    <cellStyle name="20% - Accent5 7 4" xfId="22081" xr:uid="{00000000-0005-0000-0000-0000C3220000}"/>
    <cellStyle name="20% - Accent5 7 4 2" xfId="38782" xr:uid="{00000000-0005-0000-0000-0000C4220000}"/>
    <cellStyle name="20% - Accent5 7 5" xfId="24526" xr:uid="{00000000-0005-0000-0000-0000C5220000}"/>
    <cellStyle name="20% - Accent5 8" xfId="6333" xr:uid="{00000000-0005-0000-0000-0000C6220000}"/>
    <cellStyle name="20% - Accent5 8 2" xfId="9543" xr:uid="{00000000-0005-0000-0000-0000C7220000}"/>
    <cellStyle name="20% - Accent5 8 2 2" xfId="17337" xr:uid="{00000000-0005-0000-0000-0000C8220000}"/>
    <cellStyle name="20% - Accent5 8 2 2 2" xfId="34974" xr:uid="{00000000-0005-0000-0000-0000C9220000}"/>
    <cellStyle name="20% - Accent5 8 2 3" xfId="27927" xr:uid="{00000000-0005-0000-0000-0000CA220000}"/>
    <cellStyle name="20% - Accent5 8 3" xfId="14122" xr:uid="{00000000-0005-0000-0000-0000CB220000}"/>
    <cellStyle name="20% - Accent5 8 3 2" xfId="31757" xr:uid="{00000000-0005-0000-0000-0000CC220000}"/>
    <cellStyle name="20% - Accent5 8 4" xfId="22082" xr:uid="{00000000-0005-0000-0000-0000CD220000}"/>
    <cellStyle name="20% - Accent5 8 5" xfId="25063" xr:uid="{00000000-0005-0000-0000-0000CE220000}"/>
    <cellStyle name="20% - Accent5 9" xfId="6871" xr:uid="{00000000-0005-0000-0000-0000CF220000}"/>
    <cellStyle name="20% - Accent5 9 2" xfId="10081" xr:uid="{00000000-0005-0000-0000-0000D0220000}"/>
    <cellStyle name="20% - Accent5 9 2 2" xfId="17874" xr:uid="{00000000-0005-0000-0000-0000D1220000}"/>
    <cellStyle name="20% - Accent5 9 2 2 2" xfId="35511" xr:uid="{00000000-0005-0000-0000-0000D2220000}"/>
    <cellStyle name="20% - Accent5 9 2 3" xfId="28464" xr:uid="{00000000-0005-0000-0000-0000D3220000}"/>
    <cellStyle name="20% - Accent5 9 3" xfId="14659" xr:uid="{00000000-0005-0000-0000-0000D4220000}"/>
    <cellStyle name="20% - Accent5 9 3 2" xfId="32294" xr:uid="{00000000-0005-0000-0000-0000D5220000}"/>
    <cellStyle name="20% - Accent5 9 4" xfId="22690" xr:uid="{00000000-0005-0000-0000-0000D6220000}"/>
    <cellStyle name="20% - Accent5 9 4 2" xfId="38909" xr:uid="{00000000-0005-0000-0000-0000D7220000}"/>
    <cellStyle name="20% - Accent5 9 5" xfId="25601" xr:uid="{00000000-0005-0000-0000-0000D8220000}"/>
    <cellStyle name="20% - Accent6" xfId="184" builtinId="50" customBuiltin="1"/>
    <cellStyle name="20% - Accent6 10" xfId="7511" xr:uid="{00000000-0005-0000-0000-0000DA220000}"/>
    <cellStyle name="20% - Accent6 10 2" xfId="15310" xr:uid="{00000000-0005-0000-0000-0000DB220000}"/>
    <cellStyle name="20% - Accent6 10 2 2" xfId="32945" xr:uid="{00000000-0005-0000-0000-0000DC220000}"/>
    <cellStyle name="20% - Accent6 10 3" xfId="22084" xr:uid="{00000000-0005-0000-0000-0000DD220000}"/>
    <cellStyle name="20% - Accent6 10 3 2" xfId="38783" xr:uid="{00000000-0005-0000-0000-0000DE220000}"/>
    <cellStyle name="20% - Accent6 10 4" xfId="25946" xr:uid="{00000000-0005-0000-0000-0000DF220000}"/>
    <cellStyle name="20% - Accent6 11" xfId="18879" xr:uid="{00000000-0005-0000-0000-0000E0220000}"/>
    <cellStyle name="20% - Accent6 11 2" xfId="22085" xr:uid="{00000000-0005-0000-0000-0000E1220000}"/>
    <cellStyle name="20% - Accent6 11 2 2" xfId="38784" xr:uid="{00000000-0005-0000-0000-0000E2220000}"/>
    <cellStyle name="20% - Accent6 11 3" xfId="36516" xr:uid="{00000000-0005-0000-0000-0000E3220000}"/>
    <cellStyle name="20% - Accent6 12" xfId="11284" xr:uid="{00000000-0005-0000-0000-0000E4220000}"/>
    <cellStyle name="20% - Accent6 12 2" xfId="22087" xr:uid="{00000000-0005-0000-0000-0000E5220000}"/>
    <cellStyle name="20% - Accent6 12 2 2" xfId="38786" xr:uid="{00000000-0005-0000-0000-0000E6220000}"/>
    <cellStyle name="20% - Accent6 12 3" xfId="22086" xr:uid="{00000000-0005-0000-0000-0000E7220000}"/>
    <cellStyle name="20% - Accent6 12 3 2" xfId="38785" xr:uid="{00000000-0005-0000-0000-0000E8220000}"/>
    <cellStyle name="20% - Accent6 12 4" xfId="29012" xr:uid="{00000000-0005-0000-0000-0000E9220000}"/>
    <cellStyle name="20% - Accent6 13" xfId="22088" xr:uid="{00000000-0005-0000-0000-0000EA220000}"/>
    <cellStyle name="20% - Accent6 13 2" xfId="38787" xr:uid="{00000000-0005-0000-0000-0000EB220000}"/>
    <cellStyle name="20% - Accent6 14" xfId="22089" xr:uid="{00000000-0005-0000-0000-0000EC220000}"/>
    <cellStyle name="20% - Accent6 15" xfId="22692" xr:uid="{00000000-0005-0000-0000-0000ED220000}"/>
    <cellStyle name="20% - Accent6 15 2" xfId="38911" xr:uid="{00000000-0005-0000-0000-0000EE220000}"/>
    <cellStyle name="20% - Accent6 16" xfId="22083" xr:uid="{00000000-0005-0000-0000-0000EF220000}"/>
    <cellStyle name="20% - Accent6 17" xfId="21937" xr:uid="{00000000-0005-0000-0000-0000F0220000}"/>
    <cellStyle name="20% - Accent6 17 2" xfId="38690" xr:uid="{00000000-0005-0000-0000-0000F1220000}"/>
    <cellStyle name="20% - Accent6 18" xfId="23078" xr:uid="{00000000-0005-0000-0000-0000F2220000}"/>
    <cellStyle name="20% - Accent6 19" xfId="51490" xr:uid="{00000000-0005-0000-0000-0000F3220000}"/>
    <cellStyle name="20% - Accent6 2" xfId="16" xr:uid="{00000000-0005-0000-0000-0000F4220000}"/>
    <cellStyle name="20% - Accent6 2 10" xfId="536" xr:uid="{00000000-0005-0000-0000-0000F5220000}"/>
    <cellStyle name="20% - Accent6 2 11" xfId="537" xr:uid="{00000000-0005-0000-0000-0000F6220000}"/>
    <cellStyle name="20% - Accent6 2 12" xfId="538" xr:uid="{00000000-0005-0000-0000-0000F7220000}"/>
    <cellStyle name="20% - Accent6 2 13" xfId="539" xr:uid="{00000000-0005-0000-0000-0000F8220000}"/>
    <cellStyle name="20% - Accent6 2 14" xfId="540" xr:uid="{00000000-0005-0000-0000-0000F9220000}"/>
    <cellStyle name="20% - Accent6 2 15" xfId="3743" xr:uid="{00000000-0005-0000-0000-0000FA220000}"/>
    <cellStyle name="20% - Accent6 2 16" xfId="3744" xr:uid="{00000000-0005-0000-0000-0000FB220000}"/>
    <cellStyle name="20% - Accent6 2 17" xfId="3745" xr:uid="{00000000-0005-0000-0000-0000FC220000}"/>
    <cellStyle name="20% - Accent6 2 18" xfId="535" xr:uid="{00000000-0005-0000-0000-0000FD220000}"/>
    <cellStyle name="20% - Accent6 2 2" xfId="541" xr:uid="{00000000-0005-0000-0000-0000FE220000}"/>
    <cellStyle name="20% - Accent6 2 2 2" xfId="542" xr:uid="{00000000-0005-0000-0000-0000FF220000}"/>
    <cellStyle name="20% - Accent6 2 2 3" xfId="543" xr:uid="{00000000-0005-0000-0000-000000230000}"/>
    <cellStyle name="20% - Accent6 2 2 4" xfId="3746" xr:uid="{00000000-0005-0000-0000-000001230000}"/>
    <cellStyle name="20% - Accent6 2 2 5" xfId="3747" xr:uid="{00000000-0005-0000-0000-000002230000}"/>
    <cellStyle name="20% - Accent6 2 2_Sheet1" xfId="544" xr:uid="{00000000-0005-0000-0000-000003230000}"/>
    <cellStyle name="20% - Accent6 2 3" xfId="545" xr:uid="{00000000-0005-0000-0000-000004230000}"/>
    <cellStyle name="20% - Accent6 2 4" xfId="546" xr:uid="{00000000-0005-0000-0000-000005230000}"/>
    <cellStyle name="20% - Accent6 2 5" xfId="547" xr:uid="{00000000-0005-0000-0000-000006230000}"/>
    <cellStyle name="20% - Accent6 2 6" xfId="548" xr:uid="{00000000-0005-0000-0000-000007230000}"/>
    <cellStyle name="20% - Accent6 2 7" xfId="549" xr:uid="{00000000-0005-0000-0000-000008230000}"/>
    <cellStyle name="20% - Accent6 2 8" xfId="550" xr:uid="{00000000-0005-0000-0000-000009230000}"/>
    <cellStyle name="20% - Accent6 2 9" xfId="551" xr:uid="{00000000-0005-0000-0000-00000A230000}"/>
    <cellStyle name="20% - Accent6 2_BallGrid" xfId="552" xr:uid="{00000000-0005-0000-0000-00000B230000}"/>
    <cellStyle name="20% - Accent6 20" xfId="51503" xr:uid="{00000000-0005-0000-0000-00000C230000}"/>
    <cellStyle name="20% - Accent6 21" xfId="51516" xr:uid="{00000000-0005-0000-0000-00000D230000}"/>
    <cellStyle name="20% - Accent6 22" xfId="51818" xr:uid="{00000000-0005-0000-0000-00000E230000}"/>
    <cellStyle name="20% - Accent6 3" xfId="17" xr:uid="{00000000-0005-0000-0000-00000F230000}"/>
    <cellStyle name="20% - Accent6 3 2" xfId="553" xr:uid="{00000000-0005-0000-0000-000010230000}"/>
    <cellStyle name="20% - Accent6 3 3" xfId="554" xr:uid="{00000000-0005-0000-0000-000011230000}"/>
    <cellStyle name="20% - Accent6 3 4" xfId="3748" xr:uid="{00000000-0005-0000-0000-000012230000}"/>
    <cellStyle name="20% - Accent6 4" xfId="18" xr:uid="{00000000-0005-0000-0000-000013230000}"/>
    <cellStyle name="20% - Accent6 4 2" xfId="555" xr:uid="{00000000-0005-0000-0000-000014230000}"/>
    <cellStyle name="20% - Accent6 4 3" xfId="556" xr:uid="{00000000-0005-0000-0000-000015230000}"/>
    <cellStyle name="20% - Accent6 4 4" xfId="3749" xr:uid="{00000000-0005-0000-0000-000016230000}"/>
    <cellStyle name="20% - Accent6 4 5" xfId="3750" xr:uid="{00000000-0005-0000-0000-000017230000}"/>
    <cellStyle name="20% - Accent6 5" xfId="557" xr:uid="{00000000-0005-0000-0000-000018230000}"/>
    <cellStyle name="20% - Accent6 5 10" xfId="22090" xr:uid="{00000000-0005-0000-0000-000019230000}"/>
    <cellStyle name="20% - Accent6 5 11" xfId="23263" xr:uid="{00000000-0005-0000-0000-00001A230000}"/>
    <cellStyle name="20% - Accent6 5 12" xfId="51819" xr:uid="{00000000-0005-0000-0000-00001B230000}"/>
    <cellStyle name="20% - Accent6 5 2" xfId="3752" xr:uid="{00000000-0005-0000-0000-00001C230000}"/>
    <cellStyle name="20% - Accent6 5 2 2" xfId="8349" xr:uid="{00000000-0005-0000-0000-00001D230000}"/>
    <cellStyle name="20% - Accent6 5 2 2 2" xfId="16145" xr:uid="{00000000-0005-0000-0000-00001E230000}"/>
    <cellStyle name="20% - Accent6 5 2 2 2 2" xfId="33780" xr:uid="{00000000-0005-0000-0000-00001F230000}"/>
    <cellStyle name="20% - Accent6 5 2 2 3" xfId="26763" xr:uid="{00000000-0005-0000-0000-000020230000}"/>
    <cellStyle name="20% - Accent6 5 2 3" xfId="12479" xr:uid="{00000000-0005-0000-0000-000021230000}"/>
    <cellStyle name="20% - Accent6 5 2 3 2" xfId="30150" xr:uid="{00000000-0005-0000-0000-000022230000}"/>
    <cellStyle name="20% - Accent6 5 2 4" xfId="23898" xr:uid="{00000000-0005-0000-0000-000023230000}"/>
    <cellStyle name="20% - Accent6 5 3" xfId="3753" xr:uid="{00000000-0005-0000-0000-000024230000}"/>
    <cellStyle name="20% - Accent6 5 4" xfId="3751" xr:uid="{00000000-0005-0000-0000-000025230000}"/>
    <cellStyle name="20% - Accent6 5 4 2" xfId="8348" xr:uid="{00000000-0005-0000-0000-000026230000}"/>
    <cellStyle name="20% - Accent6 5 4 2 2" xfId="16144" xr:uid="{00000000-0005-0000-0000-000027230000}"/>
    <cellStyle name="20% - Accent6 5 4 2 2 2" xfId="33779" xr:uid="{00000000-0005-0000-0000-000028230000}"/>
    <cellStyle name="20% - Accent6 5 4 2 3" xfId="26762" xr:uid="{00000000-0005-0000-0000-000029230000}"/>
    <cellStyle name="20% - Accent6 5 4 3" xfId="12478" xr:uid="{00000000-0005-0000-0000-00002A230000}"/>
    <cellStyle name="20% - Accent6 5 4 3 2" xfId="30149" xr:uid="{00000000-0005-0000-0000-00002B230000}"/>
    <cellStyle name="20% - Accent6 5 4 4" xfId="23897" xr:uid="{00000000-0005-0000-0000-00002C230000}"/>
    <cellStyle name="20% - Accent6 5 5" xfId="5706" xr:uid="{00000000-0005-0000-0000-00002D230000}"/>
    <cellStyle name="20% - Accent6 5 5 2" xfId="9006" xr:uid="{00000000-0005-0000-0000-00002E230000}"/>
    <cellStyle name="20% - Accent6 5 5 2 2" xfId="16801" xr:uid="{00000000-0005-0000-0000-00002F230000}"/>
    <cellStyle name="20% - Accent6 5 5 2 2 2" xfId="34437" xr:uid="{00000000-0005-0000-0000-000030230000}"/>
    <cellStyle name="20% - Accent6 5 5 2 3" xfId="27394" xr:uid="{00000000-0005-0000-0000-000031230000}"/>
    <cellStyle name="20% - Accent6 5 5 3" xfId="13562" xr:uid="{00000000-0005-0000-0000-000032230000}"/>
    <cellStyle name="20% - Accent6 5 5 3 2" xfId="31202" xr:uid="{00000000-0005-0000-0000-000033230000}"/>
    <cellStyle name="20% - Accent6 5 5 4" xfId="24529" xr:uid="{00000000-0005-0000-0000-000034230000}"/>
    <cellStyle name="20% - Accent6 5 6" xfId="6336" xr:uid="{00000000-0005-0000-0000-000035230000}"/>
    <cellStyle name="20% - Accent6 5 6 2" xfId="9546" xr:uid="{00000000-0005-0000-0000-000036230000}"/>
    <cellStyle name="20% - Accent6 5 6 2 2" xfId="17340" xr:uid="{00000000-0005-0000-0000-000037230000}"/>
    <cellStyle name="20% - Accent6 5 6 2 2 2" xfId="34977" xr:uid="{00000000-0005-0000-0000-000038230000}"/>
    <cellStyle name="20% - Accent6 5 6 2 3" xfId="27930" xr:uid="{00000000-0005-0000-0000-000039230000}"/>
    <cellStyle name="20% - Accent6 5 6 3" xfId="14125" xr:uid="{00000000-0005-0000-0000-00003A230000}"/>
    <cellStyle name="20% - Accent6 5 6 3 2" xfId="31760" xr:uid="{00000000-0005-0000-0000-00003B230000}"/>
    <cellStyle name="20% - Accent6 5 6 4" xfId="25066" xr:uid="{00000000-0005-0000-0000-00003C230000}"/>
    <cellStyle name="20% - Accent6 5 7" xfId="6874" xr:uid="{00000000-0005-0000-0000-00003D230000}"/>
    <cellStyle name="20% - Accent6 5 7 2" xfId="10084" xr:uid="{00000000-0005-0000-0000-00003E230000}"/>
    <cellStyle name="20% - Accent6 5 7 2 2" xfId="17877" xr:uid="{00000000-0005-0000-0000-00003F230000}"/>
    <cellStyle name="20% - Accent6 5 7 2 2 2" xfId="35514" xr:uid="{00000000-0005-0000-0000-000040230000}"/>
    <cellStyle name="20% - Accent6 5 7 2 3" xfId="28467" xr:uid="{00000000-0005-0000-0000-000041230000}"/>
    <cellStyle name="20% - Accent6 5 7 3" xfId="14662" xr:uid="{00000000-0005-0000-0000-000042230000}"/>
    <cellStyle name="20% - Accent6 5 7 3 2" xfId="32297" xr:uid="{00000000-0005-0000-0000-000043230000}"/>
    <cellStyle name="20% - Accent6 5 7 4" xfId="25604" xr:uid="{00000000-0005-0000-0000-000044230000}"/>
    <cellStyle name="20% - Accent6 5 8" xfId="7695" xr:uid="{00000000-0005-0000-0000-000045230000}"/>
    <cellStyle name="20% - Accent6 5 8 2" xfId="15492" xr:uid="{00000000-0005-0000-0000-000046230000}"/>
    <cellStyle name="20% - Accent6 5 8 2 2" xfId="33127" xr:uid="{00000000-0005-0000-0000-000047230000}"/>
    <cellStyle name="20% - Accent6 5 8 3" xfId="26128" xr:uid="{00000000-0005-0000-0000-000048230000}"/>
    <cellStyle name="20% - Accent6 5 9" xfId="11309" xr:uid="{00000000-0005-0000-0000-000049230000}"/>
    <cellStyle name="20% - Accent6 5 9 2" xfId="29037" xr:uid="{00000000-0005-0000-0000-00004A230000}"/>
    <cellStyle name="20% - Accent6 6" xfId="3451" xr:uid="{00000000-0005-0000-0000-00004B230000}"/>
    <cellStyle name="20% - Accent6 6 2" xfId="8077" xr:uid="{00000000-0005-0000-0000-00004C230000}"/>
    <cellStyle name="20% - Accent6 6 2 2" xfId="15873" xr:uid="{00000000-0005-0000-0000-00004D230000}"/>
    <cellStyle name="20% - Accent6 6 2 2 2" xfId="33508" xr:uid="{00000000-0005-0000-0000-00004E230000}"/>
    <cellStyle name="20% - Accent6 6 2 3" xfId="26491" xr:uid="{00000000-0005-0000-0000-00004F230000}"/>
    <cellStyle name="20% - Accent6 6 3" xfId="12185" xr:uid="{00000000-0005-0000-0000-000050230000}"/>
    <cellStyle name="20% - Accent6 6 3 2" xfId="29857" xr:uid="{00000000-0005-0000-0000-000051230000}"/>
    <cellStyle name="20% - Accent6 6 4" xfId="22091" xr:uid="{00000000-0005-0000-0000-000052230000}"/>
    <cellStyle name="20% - Accent6 6 5" xfId="23626" xr:uid="{00000000-0005-0000-0000-000053230000}"/>
    <cellStyle name="20% - Accent6 7" xfId="5705" xr:uid="{00000000-0005-0000-0000-000054230000}"/>
    <cellStyle name="20% - Accent6 7 2" xfId="9005" xr:uid="{00000000-0005-0000-0000-000055230000}"/>
    <cellStyle name="20% - Accent6 7 2 2" xfId="16800" xr:uid="{00000000-0005-0000-0000-000056230000}"/>
    <cellStyle name="20% - Accent6 7 2 2 2" xfId="34436" xr:uid="{00000000-0005-0000-0000-000057230000}"/>
    <cellStyle name="20% - Accent6 7 2 3" xfId="22727" xr:uid="{00000000-0005-0000-0000-000058230000}"/>
    <cellStyle name="20% - Accent6 7 2 3 2" xfId="38937" xr:uid="{00000000-0005-0000-0000-000059230000}"/>
    <cellStyle name="20% - Accent6 7 2 4" xfId="27393" xr:uid="{00000000-0005-0000-0000-00005A230000}"/>
    <cellStyle name="20% - Accent6 7 3" xfId="13561" xr:uid="{00000000-0005-0000-0000-00005B230000}"/>
    <cellStyle name="20% - Accent6 7 3 2" xfId="31201" xr:uid="{00000000-0005-0000-0000-00005C230000}"/>
    <cellStyle name="20% - Accent6 7 4" xfId="22092" xr:uid="{00000000-0005-0000-0000-00005D230000}"/>
    <cellStyle name="20% - Accent6 7 4 2" xfId="38788" xr:uid="{00000000-0005-0000-0000-00005E230000}"/>
    <cellStyle name="20% - Accent6 7 5" xfId="24528" xr:uid="{00000000-0005-0000-0000-00005F230000}"/>
    <cellStyle name="20% - Accent6 8" xfId="6335" xr:uid="{00000000-0005-0000-0000-000060230000}"/>
    <cellStyle name="20% - Accent6 8 2" xfId="9545" xr:uid="{00000000-0005-0000-0000-000061230000}"/>
    <cellStyle name="20% - Accent6 8 2 2" xfId="17339" xr:uid="{00000000-0005-0000-0000-000062230000}"/>
    <cellStyle name="20% - Accent6 8 2 2 2" xfId="22729" xr:uid="{00000000-0005-0000-0000-000063230000}"/>
    <cellStyle name="20% - Accent6 8 2 2 2 2" xfId="38939" xr:uid="{00000000-0005-0000-0000-000064230000}"/>
    <cellStyle name="20% - Accent6 8 2 2 3" xfId="34976" xr:uid="{00000000-0005-0000-0000-000065230000}"/>
    <cellStyle name="20% - Accent6 8 2 3" xfId="22094" xr:uid="{00000000-0005-0000-0000-000066230000}"/>
    <cellStyle name="20% - Accent6 8 2 3 2" xfId="38790" xr:uid="{00000000-0005-0000-0000-000067230000}"/>
    <cellStyle name="20% - Accent6 8 2 4" xfId="27929" xr:uid="{00000000-0005-0000-0000-000068230000}"/>
    <cellStyle name="20% - Accent6 8 3" xfId="14124" xr:uid="{00000000-0005-0000-0000-000069230000}"/>
    <cellStyle name="20% - Accent6 8 3 2" xfId="22728" xr:uid="{00000000-0005-0000-0000-00006A230000}"/>
    <cellStyle name="20% - Accent6 8 3 2 2" xfId="38938" xr:uid="{00000000-0005-0000-0000-00006B230000}"/>
    <cellStyle name="20% - Accent6 8 3 3" xfId="31759" xr:uid="{00000000-0005-0000-0000-00006C230000}"/>
    <cellStyle name="20% - Accent6 8 4" xfId="22093" xr:uid="{00000000-0005-0000-0000-00006D230000}"/>
    <cellStyle name="20% - Accent6 8 4 2" xfId="38789" xr:uid="{00000000-0005-0000-0000-00006E230000}"/>
    <cellStyle name="20% - Accent6 8 5" xfId="25065" xr:uid="{00000000-0005-0000-0000-00006F230000}"/>
    <cellStyle name="20% - Accent6 9" xfId="6873" xr:uid="{00000000-0005-0000-0000-000070230000}"/>
    <cellStyle name="20% - Accent6 9 2" xfId="10083" xr:uid="{00000000-0005-0000-0000-000071230000}"/>
    <cellStyle name="20% - Accent6 9 2 2" xfId="17876" xr:uid="{00000000-0005-0000-0000-000072230000}"/>
    <cellStyle name="20% - Accent6 9 2 2 2" xfId="35513" xr:uid="{00000000-0005-0000-0000-000073230000}"/>
    <cellStyle name="20% - Accent6 9 2 3" xfId="22730" xr:uid="{00000000-0005-0000-0000-000074230000}"/>
    <cellStyle name="20% - Accent6 9 2 3 2" xfId="38940" xr:uid="{00000000-0005-0000-0000-000075230000}"/>
    <cellStyle name="20% - Accent6 9 2 4" xfId="28466" xr:uid="{00000000-0005-0000-0000-000076230000}"/>
    <cellStyle name="20% - Accent6 9 3" xfId="14661" xr:uid="{00000000-0005-0000-0000-000077230000}"/>
    <cellStyle name="20% - Accent6 9 3 2" xfId="32296" xr:uid="{00000000-0005-0000-0000-000078230000}"/>
    <cellStyle name="20% - Accent6 9 4" xfId="22095" xr:uid="{00000000-0005-0000-0000-000079230000}"/>
    <cellStyle name="20% - Accent6 9 4 2" xfId="38791" xr:uid="{00000000-0005-0000-0000-00007A230000}"/>
    <cellStyle name="20% - Accent6 9 5" xfId="25603" xr:uid="{00000000-0005-0000-0000-00007B230000}"/>
    <cellStyle name="40% - Accent1" xfId="165" builtinId="31" customBuiltin="1"/>
    <cellStyle name="40% - Accent1 10" xfId="558" xr:uid="{00000000-0005-0000-0000-00007D230000}"/>
    <cellStyle name="40% - Accent1 10 2" xfId="559" xr:uid="{00000000-0005-0000-0000-00007E230000}"/>
    <cellStyle name="40% - Accent1 10 3" xfId="560" xr:uid="{00000000-0005-0000-0000-00007F230000}"/>
    <cellStyle name="40% - Accent1 10 3 2" xfId="8350" xr:uid="{00000000-0005-0000-0000-000080230000}"/>
    <cellStyle name="40% - Accent1 10 3 2 2" xfId="16146" xr:uid="{00000000-0005-0000-0000-000081230000}"/>
    <cellStyle name="40% - Accent1 10 3 2 2 2" xfId="33781" xr:uid="{00000000-0005-0000-0000-000082230000}"/>
    <cellStyle name="40% - Accent1 10 3 2 3" xfId="26764" xr:uid="{00000000-0005-0000-0000-000083230000}"/>
    <cellStyle name="40% - Accent1 10 3 3" xfId="12481" xr:uid="{00000000-0005-0000-0000-000084230000}"/>
    <cellStyle name="40% - Accent1 10 3 3 2" xfId="30152" xr:uid="{00000000-0005-0000-0000-000085230000}"/>
    <cellStyle name="40% - Accent1 10 3 4" xfId="23899" xr:uid="{00000000-0005-0000-0000-000086230000}"/>
    <cellStyle name="40% - Accent1 10 3 5" xfId="51820" xr:uid="{00000000-0005-0000-0000-000087230000}"/>
    <cellStyle name="40% - Accent1 10 4" xfId="7696" xr:uid="{00000000-0005-0000-0000-000088230000}"/>
    <cellStyle name="40% - Accent1 10 4 2" xfId="15493" xr:uid="{00000000-0005-0000-0000-000089230000}"/>
    <cellStyle name="40% - Accent1 10 4 2 2" xfId="33128" xr:uid="{00000000-0005-0000-0000-00008A230000}"/>
    <cellStyle name="40% - Accent1 10 4 3" xfId="26129" xr:uid="{00000000-0005-0000-0000-00008B230000}"/>
    <cellStyle name="40% - Accent1 10 5" xfId="11310" xr:uid="{00000000-0005-0000-0000-00008C230000}"/>
    <cellStyle name="40% - Accent1 10 5 2" xfId="29038" xr:uid="{00000000-0005-0000-0000-00008D230000}"/>
    <cellStyle name="40% - Accent1 10 6" xfId="22097" xr:uid="{00000000-0005-0000-0000-00008E230000}"/>
    <cellStyle name="40% - Accent1 10 6 2" xfId="38792" xr:uid="{00000000-0005-0000-0000-00008F230000}"/>
    <cellStyle name="40% - Accent1 10 7" xfId="23264" xr:uid="{00000000-0005-0000-0000-000090230000}"/>
    <cellStyle name="40% - Accent1 11" xfId="561" xr:uid="{00000000-0005-0000-0000-000091230000}"/>
    <cellStyle name="40% - Accent1 11 10" xfId="51821" xr:uid="{00000000-0005-0000-0000-000092230000}"/>
    <cellStyle name="40% - Accent1 11 2" xfId="3754" xr:uid="{00000000-0005-0000-0000-000093230000}"/>
    <cellStyle name="40% - Accent1 11 2 2" xfId="8351" xr:uid="{00000000-0005-0000-0000-000094230000}"/>
    <cellStyle name="40% - Accent1 11 2 2 2" xfId="16147" xr:uid="{00000000-0005-0000-0000-000095230000}"/>
    <cellStyle name="40% - Accent1 11 2 2 2 2" xfId="33782" xr:uid="{00000000-0005-0000-0000-000096230000}"/>
    <cellStyle name="40% - Accent1 11 2 2 3" xfId="26765" xr:uid="{00000000-0005-0000-0000-000097230000}"/>
    <cellStyle name="40% - Accent1 11 2 3" xfId="12482" xr:uid="{00000000-0005-0000-0000-000098230000}"/>
    <cellStyle name="40% - Accent1 11 2 3 2" xfId="30153" xr:uid="{00000000-0005-0000-0000-000099230000}"/>
    <cellStyle name="40% - Accent1 11 2 4" xfId="23900" xr:uid="{00000000-0005-0000-0000-00009A230000}"/>
    <cellStyle name="40% - Accent1 11 3" xfId="5707" xr:uid="{00000000-0005-0000-0000-00009B230000}"/>
    <cellStyle name="40% - Accent1 11 3 2" xfId="9007" xr:uid="{00000000-0005-0000-0000-00009C230000}"/>
    <cellStyle name="40% - Accent1 11 3 2 2" xfId="16802" xr:uid="{00000000-0005-0000-0000-00009D230000}"/>
    <cellStyle name="40% - Accent1 11 3 2 2 2" xfId="34438" xr:uid="{00000000-0005-0000-0000-00009E230000}"/>
    <cellStyle name="40% - Accent1 11 3 2 3" xfId="27395" xr:uid="{00000000-0005-0000-0000-00009F230000}"/>
    <cellStyle name="40% - Accent1 11 3 3" xfId="13563" xr:uid="{00000000-0005-0000-0000-0000A0230000}"/>
    <cellStyle name="40% - Accent1 11 3 3 2" xfId="31203" xr:uid="{00000000-0005-0000-0000-0000A1230000}"/>
    <cellStyle name="40% - Accent1 11 3 4" xfId="24530" xr:uid="{00000000-0005-0000-0000-0000A2230000}"/>
    <cellStyle name="40% - Accent1 11 4" xfId="6337" xr:uid="{00000000-0005-0000-0000-0000A3230000}"/>
    <cellStyle name="40% - Accent1 11 4 2" xfId="9547" xr:uid="{00000000-0005-0000-0000-0000A4230000}"/>
    <cellStyle name="40% - Accent1 11 4 2 2" xfId="17341" xr:uid="{00000000-0005-0000-0000-0000A5230000}"/>
    <cellStyle name="40% - Accent1 11 4 2 2 2" xfId="34978" xr:uid="{00000000-0005-0000-0000-0000A6230000}"/>
    <cellStyle name="40% - Accent1 11 4 2 3" xfId="27931" xr:uid="{00000000-0005-0000-0000-0000A7230000}"/>
    <cellStyle name="40% - Accent1 11 4 3" xfId="14126" xr:uid="{00000000-0005-0000-0000-0000A8230000}"/>
    <cellStyle name="40% - Accent1 11 4 3 2" xfId="31761" xr:uid="{00000000-0005-0000-0000-0000A9230000}"/>
    <cellStyle name="40% - Accent1 11 4 4" xfId="25067" xr:uid="{00000000-0005-0000-0000-0000AA230000}"/>
    <cellStyle name="40% - Accent1 11 5" xfId="6875" xr:uid="{00000000-0005-0000-0000-0000AB230000}"/>
    <cellStyle name="40% - Accent1 11 5 2" xfId="10085" xr:uid="{00000000-0005-0000-0000-0000AC230000}"/>
    <cellStyle name="40% - Accent1 11 5 2 2" xfId="17878" xr:uid="{00000000-0005-0000-0000-0000AD230000}"/>
    <cellStyle name="40% - Accent1 11 5 2 2 2" xfId="35515" xr:uid="{00000000-0005-0000-0000-0000AE230000}"/>
    <cellStyle name="40% - Accent1 11 5 2 3" xfId="28468" xr:uid="{00000000-0005-0000-0000-0000AF230000}"/>
    <cellStyle name="40% - Accent1 11 5 3" xfId="14663" xr:uid="{00000000-0005-0000-0000-0000B0230000}"/>
    <cellStyle name="40% - Accent1 11 5 3 2" xfId="32298" xr:uid="{00000000-0005-0000-0000-0000B1230000}"/>
    <cellStyle name="40% - Accent1 11 5 4" xfId="25605" xr:uid="{00000000-0005-0000-0000-0000B2230000}"/>
    <cellStyle name="40% - Accent1 11 6" xfId="7697" xr:uid="{00000000-0005-0000-0000-0000B3230000}"/>
    <cellStyle name="40% - Accent1 11 6 2" xfId="15494" xr:uid="{00000000-0005-0000-0000-0000B4230000}"/>
    <cellStyle name="40% - Accent1 11 6 2 2" xfId="33129" xr:uid="{00000000-0005-0000-0000-0000B5230000}"/>
    <cellStyle name="40% - Accent1 11 6 3" xfId="26130" xr:uid="{00000000-0005-0000-0000-0000B6230000}"/>
    <cellStyle name="40% - Accent1 11 7" xfId="11312" xr:uid="{00000000-0005-0000-0000-0000B7230000}"/>
    <cellStyle name="40% - Accent1 11 7 2" xfId="29040" xr:uid="{00000000-0005-0000-0000-0000B8230000}"/>
    <cellStyle name="40% - Accent1 11 8" xfId="22098" xr:uid="{00000000-0005-0000-0000-0000B9230000}"/>
    <cellStyle name="40% - Accent1 11 8 2" xfId="38793" xr:uid="{00000000-0005-0000-0000-0000BA230000}"/>
    <cellStyle name="40% - Accent1 11 9" xfId="23265" xr:uid="{00000000-0005-0000-0000-0000BB230000}"/>
    <cellStyle name="40% - Accent1 12" xfId="18870" xr:uid="{00000000-0005-0000-0000-0000BC230000}"/>
    <cellStyle name="40% - Accent1 12 2" xfId="22100" xr:uid="{00000000-0005-0000-0000-0000BD230000}"/>
    <cellStyle name="40% - Accent1 12 2 2" xfId="38795" xr:uid="{00000000-0005-0000-0000-0000BE230000}"/>
    <cellStyle name="40% - Accent1 12 3" xfId="22099" xr:uid="{00000000-0005-0000-0000-0000BF230000}"/>
    <cellStyle name="40% - Accent1 12 3 2" xfId="38794" xr:uid="{00000000-0005-0000-0000-0000C0230000}"/>
    <cellStyle name="40% - Accent1 12 4" xfId="36507" xr:uid="{00000000-0005-0000-0000-0000C1230000}"/>
    <cellStyle name="40% - Accent1 13" xfId="15295" xr:uid="{00000000-0005-0000-0000-0000C2230000}"/>
    <cellStyle name="40% - Accent1 13 2" xfId="22101" xr:uid="{00000000-0005-0000-0000-0000C3230000}"/>
    <cellStyle name="40% - Accent1 13 2 2" xfId="38796" xr:uid="{00000000-0005-0000-0000-0000C4230000}"/>
    <cellStyle name="40% - Accent1 13 3" xfId="32930" xr:uid="{00000000-0005-0000-0000-0000C5230000}"/>
    <cellStyle name="40% - Accent1 14" xfId="22102" xr:uid="{00000000-0005-0000-0000-0000C6230000}"/>
    <cellStyle name="40% - Accent1 15" xfId="22679" xr:uid="{00000000-0005-0000-0000-0000C7230000}"/>
    <cellStyle name="40% - Accent1 15 2" xfId="38902" xr:uid="{00000000-0005-0000-0000-0000C8230000}"/>
    <cellStyle name="40% - Accent1 16" xfId="22096" xr:uid="{00000000-0005-0000-0000-0000C9230000}"/>
    <cellStyle name="40% - Accent1 17" xfId="23069" xr:uid="{00000000-0005-0000-0000-0000CA230000}"/>
    <cellStyle name="40% - Accent1 18" xfId="51481" xr:uid="{00000000-0005-0000-0000-0000CB230000}"/>
    <cellStyle name="40% - Accent1 19" xfId="51494" xr:uid="{00000000-0005-0000-0000-0000CC230000}"/>
    <cellStyle name="40% - Accent1 2" xfId="19" xr:uid="{00000000-0005-0000-0000-0000CD230000}"/>
    <cellStyle name="40% - Accent1 2 10" xfId="563" xr:uid="{00000000-0005-0000-0000-0000CE230000}"/>
    <cellStyle name="40% - Accent1 2 11" xfId="564" xr:uid="{00000000-0005-0000-0000-0000CF230000}"/>
    <cellStyle name="40% - Accent1 2 12" xfId="565" xr:uid="{00000000-0005-0000-0000-0000D0230000}"/>
    <cellStyle name="40% - Accent1 2 13" xfId="566" xr:uid="{00000000-0005-0000-0000-0000D1230000}"/>
    <cellStyle name="40% - Accent1 2 14" xfId="567" xr:uid="{00000000-0005-0000-0000-0000D2230000}"/>
    <cellStyle name="40% - Accent1 2 15" xfId="3755" xr:uid="{00000000-0005-0000-0000-0000D3230000}"/>
    <cellStyle name="40% - Accent1 2 16" xfId="3756" xr:uid="{00000000-0005-0000-0000-0000D4230000}"/>
    <cellStyle name="40% - Accent1 2 17" xfId="3757" xr:uid="{00000000-0005-0000-0000-0000D5230000}"/>
    <cellStyle name="40% - Accent1 2 18" xfId="562" xr:uid="{00000000-0005-0000-0000-0000D6230000}"/>
    <cellStyle name="40% - Accent1 2 2" xfId="568" xr:uid="{00000000-0005-0000-0000-0000D7230000}"/>
    <cellStyle name="40% - Accent1 2 2 2" xfId="569" xr:uid="{00000000-0005-0000-0000-0000D8230000}"/>
    <cellStyle name="40% - Accent1 2 2 3" xfId="570" xr:uid="{00000000-0005-0000-0000-0000D9230000}"/>
    <cellStyle name="40% - Accent1 2 2 4" xfId="3758" xr:uid="{00000000-0005-0000-0000-0000DA230000}"/>
    <cellStyle name="40% - Accent1 2 2 5" xfId="3759" xr:uid="{00000000-0005-0000-0000-0000DB230000}"/>
    <cellStyle name="40% - Accent1 2 2_Sheet1" xfId="571" xr:uid="{00000000-0005-0000-0000-0000DC230000}"/>
    <cellStyle name="40% - Accent1 2 3" xfId="572" xr:uid="{00000000-0005-0000-0000-0000DD230000}"/>
    <cellStyle name="40% - Accent1 2 4" xfId="573" xr:uid="{00000000-0005-0000-0000-0000DE230000}"/>
    <cellStyle name="40% - Accent1 2 5" xfId="574" xr:uid="{00000000-0005-0000-0000-0000DF230000}"/>
    <cellStyle name="40% - Accent1 2 6" xfId="575" xr:uid="{00000000-0005-0000-0000-0000E0230000}"/>
    <cellStyle name="40% - Accent1 2 7" xfId="576" xr:uid="{00000000-0005-0000-0000-0000E1230000}"/>
    <cellStyle name="40% - Accent1 2 8" xfId="577" xr:uid="{00000000-0005-0000-0000-0000E2230000}"/>
    <cellStyle name="40% - Accent1 2 9" xfId="578" xr:uid="{00000000-0005-0000-0000-0000E3230000}"/>
    <cellStyle name="40% - Accent1 2_BallGrid" xfId="579" xr:uid="{00000000-0005-0000-0000-0000E4230000}"/>
    <cellStyle name="40% - Accent1 20" xfId="51507" xr:uid="{00000000-0005-0000-0000-0000E5230000}"/>
    <cellStyle name="40% - Accent1 3" xfId="20" xr:uid="{00000000-0005-0000-0000-0000E6230000}"/>
    <cellStyle name="40% - Accent1 3 10" xfId="580" xr:uid="{00000000-0005-0000-0000-0000E7230000}"/>
    <cellStyle name="40% - Accent1 3 2" xfId="581" xr:uid="{00000000-0005-0000-0000-0000E8230000}"/>
    <cellStyle name="40% - Accent1 3 3" xfId="582" xr:uid="{00000000-0005-0000-0000-0000E9230000}"/>
    <cellStyle name="40% - Accent1 3 4" xfId="583" xr:uid="{00000000-0005-0000-0000-0000EA230000}"/>
    <cellStyle name="40% - Accent1 3 5" xfId="584" xr:uid="{00000000-0005-0000-0000-0000EB230000}"/>
    <cellStyle name="40% - Accent1 3 6" xfId="585" xr:uid="{00000000-0005-0000-0000-0000EC230000}"/>
    <cellStyle name="40% - Accent1 3 7" xfId="3760" xr:uid="{00000000-0005-0000-0000-0000ED230000}"/>
    <cellStyle name="40% - Accent1 3 8" xfId="3761" xr:uid="{00000000-0005-0000-0000-0000EE230000}"/>
    <cellStyle name="40% - Accent1 3 9" xfId="3762" xr:uid="{00000000-0005-0000-0000-0000EF230000}"/>
    <cellStyle name="40% - Accent1 3_BallGrid" xfId="586" xr:uid="{00000000-0005-0000-0000-0000F0230000}"/>
    <cellStyle name="40% - Accent1 4" xfId="21" xr:uid="{00000000-0005-0000-0000-0000F1230000}"/>
    <cellStyle name="40% - Accent1 4 2" xfId="588" xr:uid="{00000000-0005-0000-0000-0000F2230000}"/>
    <cellStyle name="40% - Accent1 4 2 2" xfId="22842" xr:uid="{00000000-0005-0000-0000-0000F3230000}"/>
    <cellStyle name="40% - Accent1 4 3" xfId="589" xr:uid="{00000000-0005-0000-0000-0000F4230000}"/>
    <cellStyle name="40% - Accent1 4 3 2" xfId="22103" xr:uid="{00000000-0005-0000-0000-0000F5230000}"/>
    <cellStyle name="40% - Accent1 4 4" xfId="590" xr:uid="{00000000-0005-0000-0000-0000F6230000}"/>
    <cellStyle name="40% - Accent1 4 5" xfId="591" xr:uid="{00000000-0005-0000-0000-0000F7230000}"/>
    <cellStyle name="40% - Accent1 4 6" xfId="3763" xr:uid="{00000000-0005-0000-0000-0000F8230000}"/>
    <cellStyle name="40% - Accent1 4 7" xfId="3764" xr:uid="{00000000-0005-0000-0000-0000F9230000}"/>
    <cellStyle name="40% - Accent1 4 8" xfId="3765" xr:uid="{00000000-0005-0000-0000-0000FA230000}"/>
    <cellStyle name="40% - Accent1 4 9" xfId="587" xr:uid="{00000000-0005-0000-0000-0000FB230000}"/>
    <cellStyle name="40% - Accent1 5" xfId="592" xr:uid="{00000000-0005-0000-0000-0000FC230000}"/>
    <cellStyle name="40% - Accent1 5 10" xfId="21946" xr:uid="{00000000-0005-0000-0000-0000FD230000}"/>
    <cellStyle name="40% - Accent1 5 10 2" xfId="38699" xr:uid="{00000000-0005-0000-0000-0000FE230000}"/>
    <cellStyle name="40% - Accent1 5 11" xfId="23266" xr:uid="{00000000-0005-0000-0000-0000FF230000}"/>
    <cellStyle name="40% - Accent1 5 12" xfId="51822" xr:uid="{00000000-0005-0000-0000-000000240000}"/>
    <cellStyle name="40% - Accent1 5 2" xfId="3767" xr:uid="{00000000-0005-0000-0000-000001240000}"/>
    <cellStyle name="40% - Accent1 5 2 2" xfId="8353" xr:uid="{00000000-0005-0000-0000-000002240000}"/>
    <cellStyle name="40% - Accent1 5 2 2 2" xfId="16149" xr:uid="{00000000-0005-0000-0000-000003240000}"/>
    <cellStyle name="40% - Accent1 5 2 2 2 2" xfId="33784" xr:uid="{00000000-0005-0000-0000-000004240000}"/>
    <cellStyle name="40% - Accent1 5 2 2 3" xfId="26767" xr:uid="{00000000-0005-0000-0000-000005240000}"/>
    <cellStyle name="40% - Accent1 5 2 3" xfId="12490" xr:uid="{00000000-0005-0000-0000-000006240000}"/>
    <cellStyle name="40% - Accent1 5 2 3 2" xfId="30161" xr:uid="{00000000-0005-0000-0000-000007240000}"/>
    <cellStyle name="40% - Accent1 5 2 4" xfId="22843" xr:uid="{00000000-0005-0000-0000-000008240000}"/>
    <cellStyle name="40% - Accent1 5 2 4 2" xfId="39019" xr:uid="{00000000-0005-0000-0000-000009240000}"/>
    <cellStyle name="40% - Accent1 5 2 5" xfId="23902" xr:uid="{00000000-0005-0000-0000-00000A240000}"/>
    <cellStyle name="40% - Accent1 5 3" xfId="3768" xr:uid="{00000000-0005-0000-0000-00000B240000}"/>
    <cellStyle name="40% - Accent1 5 3 2" xfId="22104" xr:uid="{00000000-0005-0000-0000-00000C240000}"/>
    <cellStyle name="40% - Accent1 5 4" xfId="3766" xr:uid="{00000000-0005-0000-0000-00000D240000}"/>
    <cellStyle name="40% - Accent1 5 4 2" xfId="8352" xr:uid="{00000000-0005-0000-0000-00000E240000}"/>
    <cellStyle name="40% - Accent1 5 4 2 2" xfId="16148" xr:uid="{00000000-0005-0000-0000-00000F240000}"/>
    <cellStyle name="40% - Accent1 5 4 2 2 2" xfId="33783" xr:uid="{00000000-0005-0000-0000-000010240000}"/>
    <cellStyle name="40% - Accent1 5 4 2 3" xfId="26766" xr:uid="{00000000-0005-0000-0000-000011240000}"/>
    <cellStyle name="40% - Accent1 5 4 3" xfId="12489" xr:uid="{00000000-0005-0000-0000-000012240000}"/>
    <cellStyle name="40% - Accent1 5 4 3 2" xfId="30160" xr:uid="{00000000-0005-0000-0000-000013240000}"/>
    <cellStyle name="40% - Accent1 5 4 4" xfId="23901" xr:uid="{00000000-0005-0000-0000-000014240000}"/>
    <cellStyle name="40% - Accent1 5 5" xfId="5708" xr:uid="{00000000-0005-0000-0000-000015240000}"/>
    <cellStyle name="40% - Accent1 5 5 2" xfId="9008" xr:uid="{00000000-0005-0000-0000-000016240000}"/>
    <cellStyle name="40% - Accent1 5 5 2 2" xfId="16803" xr:uid="{00000000-0005-0000-0000-000017240000}"/>
    <cellStyle name="40% - Accent1 5 5 2 2 2" xfId="34439" xr:uid="{00000000-0005-0000-0000-000018240000}"/>
    <cellStyle name="40% - Accent1 5 5 2 3" xfId="27396" xr:uid="{00000000-0005-0000-0000-000019240000}"/>
    <cellStyle name="40% - Accent1 5 5 3" xfId="13564" xr:uid="{00000000-0005-0000-0000-00001A240000}"/>
    <cellStyle name="40% - Accent1 5 5 3 2" xfId="31204" xr:uid="{00000000-0005-0000-0000-00001B240000}"/>
    <cellStyle name="40% - Accent1 5 5 4" xfId="24531" xr:uid="{00000000-0005-0000-0000-00001C240000}"/>
    <cellStyle name="40% - Accent1 5 6" xfId="6338" xr:uid="{00000000-0005-0000-0000-00001D240000}"/>
    <cellStyle name="40% - Accent1 5 6 2" xfId="9548" xr:uid="{00000000-0005-0000-0000-00001E240000}"/>
    <cellStyle name="40% - Accent1 5 6 2 2" xfId="17342" xr:uid="{00000000-0005-0000-0000-00001F240000}"/>
    <cellStyle name="40% - Accent1 5 6 2 2 2" xfId="34979" xr:uid="{00000000-0005-0000-0000-000020240000}"/>
    <cellStyle name="40% - Accent1 5 6 2 3" xfId="27932" xr:uid="{00000000-0005-0000-0000-000021240000}"/>
    <cellStyle name="40% - Accent1 5 6 3" xfId="14127" xr:uid="{00000000-0005-0000-0000-000022240000}"/>
    <cellStyle name="40% - Accent1 5 6 3 2" xfId="31762" xr:uid="{00000000-0005-0000-0000-000023240000}"/>
    <cellStyle name="40% - Accent1 5 6 4" xfId="25068" xr:uid="{00000000-0005-0000-0000-000024240000}"/>
    <cellStyle name="40% - Accent1 5 7" xfId="6876" xr:uid="{00000000-0005-0000-0000-000025240000}"/>
    <cellStyle name="40% - Accent1 5 7 2" xfId="10086" xr:uid="{00000000-0005-0000-0000-000026240000}"/>
    <cellStyle name="40% - Accent1 5 7 2 2" xfId="17879" xr:uid="{00000000-0005-0000-0000-000027240000}"/>
    <cellStyle name="40% - Accent1 5 7 2 2 2" xfId="35516" xr:uid="{00000000-0005-0000-0000-000028240000}"/>
    <cellStyle name="40% - Accent1 5 7 2 3" xfId="28469" xr:uid="{00000000-0005-0000-0000-000029240000}"/>
    <cellStyle name="40% - Accent1 5 7 3" xfId="14664" xr:uid="{00000000-0005-0000-0000-00002A240000}"/>
    <cellStyle name="40% - Accent1 5 7 3 2" xfId="32299" xr:uid="{00000000-0005-0000-0000-00002B240000}"/>
    <cellStyle name="40% - Accent1 5 7 4" xfId="25606" xr:uid="{00000000-0005-0000-0000-00002C240000}"/>
    <cellStyle name="40% - Accent1 5 8" xfId="7698" xr:uid="{00000000-0005-0000-0000-00002D240000}"/>
    <cellStyle name="40% - Accent1 5 8 2" xfId="15495" xr:uid="{00000000-0005-0000-0000-00002E240000}"/>
    <cellStyle name="40% - Accent1 5 8 2 2" xfId="33130" xr:uid="{00000000-0005-0000-0000-00002F240000}"/>
    <cellStyle name="40% - Accent1 5 8 3" xfId="26131" xr:uid="{00000000-0005-0000-0000-000030240000}"/>
    <cellStyle name="40% - Accent1 5 9" xfId="11334" xr:uid="{00000000-0005-0000-0000-000031240000}"/>
    <cellStyle name="40% - Accent1 5 9 2" xfId="29060" xr:uid="{00000000-0005-0000-0000-000032240000}"/>
    <cellStyle name="40% - Accent1 6" xfId="593" xr:uid="{00000000-0005-0000-0000-000033240000}"/>
    <cellStyle name="40% - Accent1 6 10" xfId="51823" xr:uid="{00000000-0005-0000-0000-000034240000}"/>
    <cellStyle name="40% - Accent1 6 2" xfId="3769" xr:uid="{00000000-0005-0000-0000-000035240000}"/>
    <cellStyle name="40% - Accent1 6 2 2" xfId="8354" xr:uid="{00000000-0005-0000-0000-000036240000}"/>
    <cellStyle name="40% - Accent1 6 2 2 2" xfId="16150" xr:uid="{00000000-0005-0000-0000-000037240000}"/>
    <cellStyle name="40% - Accent1 6 2 2 2 2" xfId="33785" xr:uid="{00000000-0005-0000-0000-000038240000}"/>
    <cellStyle name="40% - Accent1 6 2 2 3" xfId="26768" xr:uid="{00000000-0005-0000-0000-000039240000}"/>
    <cellStyle name="40% - Accent1 6 2 3" xfId="12491" xr:uid="{00000000-0005-0000-0000-00003A240000}"/>
    <cellStyle name="40% - Accent1 6 2 3 2" xfId="30162" xr:uid="{00000000-0005-0000-0000-00003B240000}"/>
    <cellStyle name="40% - Accent1 6 2 4" xfId="22844" xr:uid="{00000000-0005-0000-0000-00003C240000}"/>
    <cellStyle name="40% - Accent1 6 2 4 2" xfId="39020" xr:uid="{00000000-0005-0000-0000-00003D240000}"/>
    <cellStyle name="40% - Accent1 6 2 5" xfId="23903" xr:uid="{00000000-0005-0000-0000-00003E240000}"/>
    <cellStyle name="40% - Accent1 6 3" xfId="5709" xr:uid="{00000000-0005-0000-0000-00003F240000}"/>
    <cellStyle name="40% - Accent1 6 3 2" xfId="9009" xr:uid="{00000000-0005-0000-0000-000040240000}"/>
    <cellStyle name="40% - Accent1 6 3 2 2" xfId="16804" xr:uid="{00000000-0005-0000-0000-000041240000}"/>
    <cellStyle name="40% - Accent1 6 3 2 2 2" xfId="34440" xr:uid="{00000000-0005-0000-0000-000042240000}"/>
    <cellStyle name="40% - Accent1 6 3 2 3" xfId="27397" xr:uid="{00000000-0005-0000-0000-000043240000}"/>
    <cellStyle name="40% - Accent1 6 3 3" xfId="13565" xr:uid="{00000000-0005-0000-0000-000044240000}"/>
    <cellStyle name="40% - Accent1 6 3 3 2" xfId="31205" xr:uid="{00000000-0005-0000-0000-000045240000}"/>
    <cellStyle name="40% - Accent1 6 3 4" xfId="22105" xr:uid="{00000000-0005-0000-0000-000046240000}"/>
    <cellStyle name="40% - Accent1 6 3 5" xfId="24532" xr:uid="{00000000-0005-0000-0000-000047240000}"/>
    <cellStyle name="40% - Accent1 6 4" xfId="6339" xr:uid="{00000000-0005-0000-0000-000048240000}"/>
    <cellStyle name="40% - Accent1 6 4 2" xfId="9549" xr:uid="{00000000-0005-0000-0000-000049240000}"/>
    <cellStyle name="40% - Accent1 6 4 2 2" xfId="17343" xr:uid="{00000000-0005-0000-0000-00004A240000}"/>
    <cellStyle name="40% - Accent1 6 4 2 2 2" xfId="34980" xr:uid="{00000000-0005-0000-0000-00004B240000}"/>
    <cellStyle name="40% - Accent1 6 4 2 3" xfId="27933" xr:uid="{00000000-0005-0000-0000-00004C240000}"/>
    <cellStyle name="40% - Accent1 6 4 3" xfId="14128" xr:uid="{00000000-0005-0000-0000-00004D240000}"/>
    <cellStyle name="40% - Accent1 6 4 3 2" xfId="31763" xr:uid="{00000000-0005-0000-0000-00004E240000}"/>
    <cellStyle name="40% - Accent1 6 4 4" xfId="25069" xr:uid="{00000000-0005-0000-0000-00004F240000}"/>
    <cellStyle name="40% - Accent1 6 5" xfId="6877" xr:uid="{00000000-0005-0000-0000-000050240000}"/>
    <cellStyle name="40% - Accent1 6 5 2" xfId="10087" xr:uid="{00000000-0005-0000-0000-000051240000}"/>
    <cellStyle name="40% - Accent1 6 5 2 2" xfId="17880" xr:uid="{00000000-0005-0000-0000-000052240000}"/>
    <cellStyle name="40% - Accent1 6 5 2 2 2" xfId="35517" xr:uid="{00000000-0005-0000-0000-000053240000}"/>
    <cellStyle name="40% - Accent1 6 5 2 3" xfId="28470" xr:uid="{00000000-0005-0000-0000-000054240000}"/>
    <cellStyle name="40% - Accent1 6 5 3" xfId="14665" xr:uid="{00000000-0005-0000-0000-000055240000}"/>
    <cellStyle name="40% - Accent1 6 5 3 2" xfId="32300" xr:uid="{00000000-0005-0000-0000-000056240000}"/>
    <cellStyle name="40% - Accent1 6 5 4" xfId="25607" xr:uid="{00000000-0005-0000-0000-000057240000}"/>
    <cellStyle name="40% - Accent1 6 6" xfId="7699" xr:uid="{00000000-0005-0000-0000-000058240000}"/>
    <cellStyle name="40% - Accent1 6 6 2" xfId="15496" xr:uid="{00000000-0005-0000-0000-000059240000}"/>
    <cellStyle name="40% - Accent1 6 6 2 2" xfId="33131" xr:uid="{00000000-0005-0000-0000-00005A240000}"/>
    <cellStyle name="40% - Accent1 6 6 3" xfId="26132" xr:uid="{00000000-0005-0000-0000-00005B240000}"/>
    <cellStyle name="40% - Accent1 6 7" xfId="11335" xr:uid="{00000000-0005-0000-0000-00005C240000}"/>
    <cellStyle name="40% - Accent1 6 7 2" xfId="29061" xr:uid="{00000000-0005-0000-0000-00005D240000}"/>
    <cellStyle name="40% - Accent1 6 8" xfId="21947" xr:uid="{00000000-0005-0000-0000-00005E240000}"/>
    <cellStyle name="40% - Accent1 6 8 2" xfId="38700" xr:uid="{00000000-0005-0000-0000-00005F240000}"/>
    <cellStyle name="40% - Accent1 6 9" xfId="23267" xr:uid="{00000000-0005-0000-0000-000060240000}"/>
    <cellStyle name="40% - Accent1 7" xfId="594" xr:uid="{00000000-0005-0000-0000-000061240000}"/>
    <cellStyle name="40% - Accent1 7 10" xfId="51824" xr:uid="{00000000-0005-0000-0000-000062240000}"/>
    <cellStyle name="40% - Accent1 7 2" xfId="3770" xr:uid="{00000000-0005-0000-0000-000063240000}"/>
    <cellStyle name="40% - Accent1 7 2 2" xfId="8355" xr:uid="{00000000-0005-0000-0000-000064240000}"/>
    <cellStyle name="40% - Accent1 7 2 2 2" xfId="16151" xr:uid="{00000000-0005-0000-0000-000065240000}"/>
    <cellStyle name="40% - Accent1 7 2 2 2 2" xfId="33786" xr:uid="{00000000-0005-0000-0000-000066240000}"/>
    <cellStyle name="40% - Accent1 7 2 2 3" xfId="26769" xr:uid="{00000000-0005-0000-0000-000067240000}"/>
    <cellStyle name="40% - Accent1 7 2 3" xfId="12492" xr:uid="{00000000-0005-0000-0000-000068240000}"/>
    <cellStyle name="40% - Accent1 7 2 3 2" xfId="30163" xr:uid="{00000000-0005-0000-0000-000069240000}"/>
    <cellStyle name="40% - Accent1 7 2 4" xfId="22731" xr:uid="{00000000-0005-0000-0000-00006A240000}"/>
    <cellStyle name="40% - Accent1 7 2 4 2" xfId="38941" xr:uid="{00000000-0005-0000-0000-00006B240000}"/>
    <cellStyle name="40% - Accent1 7 2 5" xfId="23904" xr:uid="{00000000-0005-0000-0000-00006C240000}"/>
    <cellStyle name="40% - Accent1 7 3" xfId="5710" xr:uid="{00000000-0005-0000-0000-00006D240000}"/>
    <cellStyle name="40% - Accent1 7 3 2" xfId="9010" xr:uid="{00000000-0005-0000-0000-00006E240000}"/>
    <cellStyle name="40% - Accent1 7 3 2 2" xfId="16805" xr:uid="{00000000-0005-0000-0000-00006F240000}"/>
    <cellStyle name="40% - Accent1 7 3 2 2 2" xfId="34441" xr:uid="{00000000-0005-0000-0000-000070240000}"/>
    <cellStyle name="40% - Accent1 7 3 2 3" xfId="27398" xr:uid="{00000000-0005-0000-0000-000071240000}"/>
    <cellStyle name="40% - Accent1 7 3 3" xfId="13566" xr:uid="{00000000-0005-0000-0000-000072240000}"/>
    <cellStyle name="40% - Accent1 7 3 3 2" xfId="31206" xr:uid="{00000000-0005-0000-0000-000073240000}"/>
    <cellStyle name="40% - Accent1 7 3 4" xfId="24533" xr:uid="{00000000-0005-0000-0000-000074240000}"/>
    <cellStyle name="40% - Accent1 7 4" xfId="6340" xr:uid="{00000000-0005-0000-0000-000075240000}"/>
    <cellStyle name="40% - Accent1 7 4 2" xfId="9550" xr:uid="{00000000-0005-0000-0000-000076240000}"/>
    <cellStyle name="40% - Accent1 7 4 2 2" xfId="17344" xr:uid="{00000000-0005-0000-0000-000077240000}"/>
    <cellStyle name="40% - Accent1 7 4 2 2 2" xfId="34981" xr:uid="{00000000-0005-0000-0000-000078240000}"/>
    <cellStyle name="40% - Accent1 7 4 2 3" xfId="27934" xr:uid="{00000000-0005-0000-0000-000079240000}"/>
    <cellStyle name="40% - Accent1 7 4 3" xfId="14129" xr:uid="{00000000-0005-0000-0000-00007A240000}"/>
    <cellStyle name="40% - Accent1 7 4 3 2" xfId="31764" xr:uid="{00000000-0005-0000-0000-00007B240000}"/>
    <cellStyle name="40% - Accent1 7 4 4" xfId="25070" xr:uid="{00000000-0005-0000-0000-00007C240000}"/>
    <cellStyle name="40% - Accent1 7 5" xfId="6878" xr:uid="{00000000-0005-0000-0000-00007D240000}"/>
    <cellStyle name="40% - Accent1 7 5 2" xfId="10088" xr:uid="{00000000-0005-0000-0000-00007E240000}"/>
    <cellStyle name="40% - Accent1 7 5 2 2" xfId="17881" xr:uid="{00000000-0005-0000-0000-00007F240000}"/>
    <cellStyle name="40% - Accent1 7 5 2 2 2" xfId="35518" xr:uid="{00000000-0005-0000-0000-000080240000}"/>
    <cellStyle name="40% - Accent1 7 5 2 3" xfId="28471" xr:uid="{00000000-0005-0000-0000-000081240000}"/>
    <cellStyle name="40% - Accent1 7 5 3" xfId="14666" xr:uid="{00000000-0005-0000-0000-000082240000}"/>
    <cellStyle name="40% - Accent1 7 5 3 2" xfId="32301" xr:uid="{00000000-0005-0000-0000-000083240000}"/>
    <cellStyle name="40% - Accent1 7 5 4" xfId="25608" xr:uid="{00000000-0005-0000-0000-000084240000}"/>
    <cellStyle name="40% - Accent1 7 6" xfId="7700" xr:uid="{00000000-0005-0000-0000-000085240000}"/>
    <cellStyle name="40% - Accent1 7 6 2" xfId="15497" xr:uid="{00000000-0005-0000-0000-000086240000}"/>
    <cellStyle name="40% - Accent1 7 6 2 2" xfId="33132" xr:uid="{00000000-0005-0000-0000-000087240000}"/>
    <cellStyle name="40% - Accent1 7 6 3" xfId="26133" xr:uid="{00000000-0005-0000-0000-000088240000}"/>
    <cellStyle name="40% - Accent1 7 7" xfId="11336" xr:uid="{00000000-0005-0000-0000-000089240000}"/>
    <cellStyle name="40% - Accent1 7 7 2" xfId="29062" xr:uid="{00000000-0005-0000-0000-00008A240000}"/>
    <cellStyle name="40% - Accent1 7 8" xfId="22106" xr:uid="{00000000-0005-0000-0000-00008B240000}"/>
    <cellStyle name="40% - Accent1 7 8 2" xfId="38797" xr:uid="{00000000-0005-0000-0000-00008C240000}"/>
    <cellStyle name="40% - Accent1 7 9" xfId="23268" xr:uid="{00000000-0005-0000-0000-00008D240000}"/>
    <cellStyle name="40% - Accent1 8" xfId="595" xr:uid="{00000000-0005-0000-0000-00008E240000}"/>
    <cellStyle name="40% - Accent1 8 10" xfId="51825" xr:uid="{00000000-0005-0000-0000-00008F240000}"/>
    <cellStyle name="40% - Accent1 8 2" xfId="3771" xr:uid="{00000000-0005-0000-0000-000090240000}"/>
    <cellStyle name="40% - Accent1 8 2 2" xfId="8356" xr:uid="{00000000-0005-0000-0000-000091240000}"/>
    <cellStyle name="40% - Accent1 8 2 2 2" xfId="16152" xr:uid="{00000000-0005-0000-0000-000092240000}"/>
    <cellStyle name="40% - Accent1 8 2 2 2 2" xfId="33787" xr:uid="{00000000-0005-0000-0000-000093240000}"/>
    <cellStyle name="40% - Accent1 8 2 2 3" xfId="22733" xr:uid="{00000000-0005-0000-0000-000094240000}"/>
    <cellStyle name="40% - Accent1 8 2 2 3 2" xfId="38943" xr:uid="{00000000-0005-0000-0000-000095240000}"/>
    <cellStyle name="40% - Accent1 8 2 2 4" xfId="26770" xr:uid="{00000000-0005-0000-0000-000096240000}"/>
    <cellStyle name="40% - Accent1 8 2 3" xfId="12493" xr:uid="{00000000-0005-0000-0000-000097240000}"/>
    <cellStyle name="40% - Accent1 8 2 3 2" xfId="30164" xr:uid="{00000000-0005-0000-0000-000098240000}"/>
    <cellStyle name="40% - Accent1 8 2 4" xfId="22108" xr:uid="{00000000-0005-0000-0000-000099240000}"/>
    <cellStyle name="40% - Accent1 8 2 4 2" xfId="38799" xr:uid="{00000000-0005-0000-0000-00009A240000}"/>
    <cellStyle name="40% - Accent1 8 2 5" xfId="23905" xr:uid="{00000000-0005-0000-0000-00009B240000}"/>
    <cellStyle name="40% - Accent1 8 3" xfId="5711" xr:uid="{00000000-0005-0000-0000-00009C240000}"/>
    <cellStyle name="40% - Accent1 8 3 2" xfId="9011" xr:uid="{00000000-0005-0000-0000-00009D240000}"/>
    <cellStyle name="40% - Accent1 8 3 2 2" xfId="16806" xr:uid="{00000000-0005-0000-0000-00009E240000}"/>
    <cellStyle name="40% - Accent1 8 3 2 2 2" xfId="34442" xr:uid="{00000000-0005-0000-0000-00009F240000}"/>
    <cellStyle name="40% - Accent1 8 3 2 3" xfId="27399" xr:uid="{00000000-0005-0000-0000-0000A0240000}"/>
    <cellStyle name="40% - Accent1 8 3 3" xfId="13567" xr:uid="{00000000-0005-0000-0000-0000A1240000}"/>
    <cellStyle name="40% - Accent1 8 3 3 2" xfId="31207" xr:uid="{00000000-0005-0000-0000-0000A2240000}"/>
    <cellStyle name="40% - Accent1 8 3 4" xfId="22732" xr:uid="{00000000-0005-0000-0000-0000A3240000}"/>
    <cellStyle name="40% - Accent1 8 3 4 2" xfId="38942" xr:uid="{00000000-0005-0000-0000-0000A4240000}"/>
    <cellStyle name="40% - Accent1 8 3 5" xfId="24534" xr:uid="{00000000-0005-0000-0000-0000A5240000}"/>
    <cellStyle name="40% - Accent1 8 4" xfId="6341" xr:uid="{00000000-0005-0000-0000-0000A6240000}"/>
    <cellStyle name="40% - Accent1 8 4 2" xfId="9551" xr:uid="{00000000-0005-0000-0000-0000A7240000}"/>
    <cellStyle name="40% - Accent1 8 4 2 2" xfId="17345" xr:uid="{00000000-0005-0000-0000-0000A8240000}"/>
    <cellStyle name="40% - Accent1 8 4 2 2 2" xfId="34982" xr:uid="{00000000-0005-0000-0000-0000A9240000}"/>
    <cellStyle name="40% - Accent1 8 4 2 3" xfId="27935" xr:uid="{00000000-0005-0000-0000-0000AA240000}"/>
    <cellStyle name="40% - Accent1 8 4 3" xfId="14130" xr:uid="{00000000-0005-0000-0000-0000AB240000}"/>
    <cellStyle name="40% - Accent1 8 4 3 2" xfId="31765" xr:uid="{00000000-0005-0000-0000-0000AC240000}"/>
    <cellStyle name="40% - Accent1 8 4 4" xfId="25071" xr:uid="{00000000-0005-0000-0000-0000AD240000}"/>
    <cellStyle name="40% - Accent1 8 5" xfId="6879" xr:uid="{00000000-0005-0000-0000-0000AE240000}"/>
    <cellStyle name="40% - Accent1 8 5 2" xfId="10089" xr:uid="{00000000-0005-0000-0000-0000AF240000}"/>
    <cellStyle name="40% - Accent1 8 5 2 2" xfId="17882" xr:uid="{00000000-0005-0000-0000-0000B0240000}"/>
    <cellStyle name="40% - Accent1 8 5 2 2 2" xfId="35519" xr:uid="{00000000-0005-0000-0000-0000B1240000}"/>
    <cellStyle name="40% - Accent1 8 5 2 3" xfId="28472" xr:uid="{00000000-0005-0000-0000-0000B2240000}"/>
    <cellStyle name="40% - Accent1 8 5 3" xfId="14667" xr:uid="{00000000-0005-0000-0000-0000B3240000}"/>
    <cellStyle name="40% - Accent1 8 5 3 2" xfId="32302" xr:uid="{00000000-0005-0000-0000-0000B4240000}"/>
    <cellStyle name="40% - Accent1 8 5 4" xfId="25609" xr:uid="{00000000-0005-0000-0000-0000B5240000}"/>
    <cellStyle name="40% - Accent1 8 6" xfId="7701" xr:uid="{00000000-0005-0000-0000-0000B6240000}"/>
    <cellStyle name="40% - Accent1 8 6 2" xfId="15498" xr:uid="{00000000-0005-0000-0000-0000B7240000}"/>
    <cellStyle name="40% - Accent1 8 6 2 2" xfId="33133" xr:uid="{00000000-0005-0000-0000-0000B8240000}"/>
    <cellStyle name="40% - Accent1 8 6 3" xfId="26134" xr:uid="{00000000-0005-0000-0000-0000B9240000}"/>
    <cellStyle name="40% - Accent1 8 7" xfId="11337" xr:uid="{00000000-0005-0000-0000-0000BA240000}"/>
    <cellStyle name="40% - Accent1 8 7 2" xfId="29063" xr:uid="{00000000-0005-0000-0000-0000BB240000}"/>
    <cellStyle name="40% - Accent1 8 8" xfId="22107" xr:uid="{00000000-0005-0000-0000-0000BC240000}"/>
    <cellStyle name="40% - Accent1 8 8 2" xfId="38798" xr:uid="{00000000-0005-0000-0000-0000BD240000}"/>
    <cellStyle name="40% - Accent1 8 9" xfId="23269" xr:uid="{00000000-0005-0000-0000-0000BE240000}"/>
    <cellStyle name="40% - Accent1 9" xfId="596" xr:uid="{00000000-0005-0000-0000-0000BF240000}"/>
    <cellStyle name="40% - Accent1 9 10" xfId="51826" xr:uid="{00000000-0005-0000-0000-0000C0240000}"/>
    <cellStyle name="40% - Accent1 9 2" xfId="3772" xr:uid="{00000000-0005-0000-0000-0000C1240000}"/>
    <cellStyle name="40% - Accent1 9 2 2" xfId="8357" xr:uid="{00000000-0005-0000-0000-0000C2240000}"/>
    <cellStyle name="40% - Accent1 9 2 2 2" xfId="16153" xr:uid="{00000000-0005-0000-0000-0000C3240000}"/>
    <cellStyle name="40% - Accent1 9 2 2 2 2" xfId="33788" xr:uid="{00000000-0005-0000-0000-0000C4240000}"/>
    <cellStyle name="40% - Accent1 9 2 2 3" xfId="26771" xr:uid="{00000000-0005-0000-0000-0000C5240000}"/>
    <cellStyle name="40% - Accent1 9 2 3" xfId="12494" xr:uid="{00000000-0005-0000-0000-0000C6240000}"/>
    <cellStyle name="40% - Accent1 9 2 3 2" xfId="30165" xr:uid="{00000000-0005-0000-0000-0000C7240000}"/>
    <cellStyle name="40% - Accent1 9 2 4" xfId="22734" xr:uid="{00000000-0005-0000-0000-0000C8240000}"/>
    <cellStyle name="40% - Accent1 9 2 4 2" xfId="38944" xr:uid="{00000000-0005-0000-0000-0000C9240000}"/>
    <cellStyle name="40% - Accent1 9 2 5" xfId="23906" xr:uid="{00000000-0005-0000-0000-0000CA240000}"/>
    <cellStyle name="40% - Accent1 9 3" xfId="5712" xr:uid="{00000000-0005-0000-0000-0000CB240000}"/>
    <cellStyle name="40% - Accent1 9 3 2" xfId="9012" xr:uid="{00000000-0005-0000-0000-0000CC240000}"/>
    <cellStyle name="40% - Accent1 9 3 2 2" xfId="16807" xr:uid="{00000000-0005-0000-0000-0000CD240000}"/>
    <cellStyle name="40% - Accent1 9 3 2 2 2" xfId="34443" xr:uid="{00000000-0005-0000-0000-0000CE240000}"/>
    <cellStyle name="40% - Accent1 9 3 2 3" xfId="27400" xr:uid="{00000000-0005-0000-0000-0000CF240000}"/>
    <cellStyle name="40% - Accent1 9 3 3" xfId="13568" xr:uid="{00000000-0005-0000-0000-0000D0240000}"/>
    <cellStyle name="40% - Accent1 9 3 3 2" xfId="31208" xr:uid="{00000000-0005-0000-0000-0000D1240000}"/>
    <cellStyle name="40% - Accent1 9 3 4" xfId="24535" xr:uid="{00000000-0005-0000-0000-0000D2240000}"/>
    <cellStyle name="40% - Accent1 9 4" xfId="6342" xr:uid="{00000000-0005-0000-0000-0000D3240000}"/>
    <cellStyle name="40% - Accent1 9 4 2" xfId="9552" xr:uid="{00000000-0005-0000-0000-0000D4240000}"/>
    <cellStyle name="40% - Accent1 9 4 2 2" xfId="17346" xr:uid="{00000000-0005-0000-0000-0000D5240000}"/>
    <cellStyle name="40% - Accent1 9 4 2 2 2" xfId="34983" xr:uid="{00000000-0005-0000-0000-0000D6240000}"/>
    <cellStyle name="40% - Accent1 9 4 2 3" xfId="27936" xr:uid="{00000000-0005-0000-0000-0000D7240000}"/>
    <cellStyle name="40% - Accent1 9 4 3" xfId="14131" xr:uid="{00000000-0005-0000-0000-0000D8240000}"/>
    <cellStyle name="40% - Accent1 9 4 3 2" xfId="31766" xr:uid="{00000000-0005-0000-0000-0000D9240000}"/>
    <cellStyle name="40% - Accent1 9 4 4" xfId="25072" xr:uid="{00000000-0005-0000-0000-0000DA240000}"/>
    <cellStyle name="40% - Accent1 9 5" xfId="6880" xr:uid="{00000000-0005-0000-0000-0000DB240000}"/>
    <cellStyle name="40% - Accent1 9 5 2" xfId="10090" xr:uid="{00000000-0005-0000-0000-0000DC240000}"/>
    <cellStyle name="40% - Accent1 9 5 2 2" xfId="17883" xr:uid="{00000000-0005-0000-0000-0000DD240000}"/>
    <cellStyle name="40% - Accent1 9 5 2 2 2" xfId="35520" xr:uid="{00000000-0005-0000-0000-0000DE240000}"/>
    <cellStyle name="40% - Accent1 9 5 2 3" xfId="28473" xr:uid="{00000000-0005-0000-0000-0000DF240000}"/>
    <cellStyle name="40% - Accent1 9 5 3" xfId="14668" xr:uid="{00000000-0005-0000-0000-0000E0240000}"/>
    <cellStyle name="40% - Accent1 9 5 3 2" xfId="32303" xr:uid="{00000000-0005-0000-0000-0000E1240000}"/>
    <cellStyle name="40% - Accent1 9 5 4" xfId="25610" xr:uid="{00000000-0005-0000-0000-0000E2240000}"/>
    <cellStyle name="40% - Accent1 9 6" xfId="7702" xr:uid="{00000000-0005-0000-0000-0000E3240000}"/>
    <cellStyle name="40% - Accent1 9 6 2" xfId="15499" xr:uid="{00000000-0005-0000-0000-0000E4240000}"/>
    <cellStyle name="40% - Accent1 9 6 2 2" xfId="33134" xr:uid="{00000000-0005-0000-0000-0000E5240000}"/>
    <cellStyle name="40% - Accent1 9 6 3" xfId="26135" xr:uid="{00000000-0005-0000-0000-0000E6240000}"/>
    <cellStyle name="40% - Accent1 9 7" xfId="11338" xr:uid="{00000000-0005-0000-0000-0000E7240000}"/>
    <cellStyle name="40% - Accent1 9 7 2" xfId="29064" xr:uid="{00000000-0005-0000-0000-0000E8240000}"/>
    <cellStyle name="40% - Accent1 9 8" xfId="22109" xr:uid="{00000000-0005-0000-0000-0000E9240000}"/>
    <cellStyle name="40% - Accent1 9 8 2" xfId="38800" xr:uid="{00000000-0005-0000-0000-0000EA240000}"/>
    <cellStyle name="40% - Accent1 9 9" xfId="23270" xr:uid="{00000000-0005-0000-0000-0000EB240000}"/>
    <cellStyle name="40% - Accent2" xfId="169" builtinId="35" customBuiltin="1"/>
    <cellStyle name="40% - Accent2 10" xfId="597" xr:uid="{00000000-0005-0000-0000-0000ED240000}"/>
    <cellStyle name="40% - Accent2 10 2" xfId="598" xr:uid="{00000000-0005-0000-0000-0000EE240000}"/>
    <cellStyle name="40% - Accent2 10 3" xfId="599" xr:uid="{00000000-0005-0000-0000-0000EF240000}"/>
    <cellStyle name="40% - Accent2 10 3 2" xfId="8358" xr:uid="{00000000-0005-0000-0000-0000F0240000}"/>
    <cellStyle name="40% - Accent2 10 3 2 2" xfId="16154" xr:uid="{00000000-0005-0000-0000-0000F1240000}"/>
    <cellStyle name="40% - Accent2 10 3 2 2 2" xfId="33789" xr:uid="{00000000-0005-0000-0000-0000F2240000}"/>
    <cellStyle name="40% - Accent2 10 3 2 3" xfId="26772" xr:uid="{00000000-0005-0000-0000-0000F3240000}"/>
    <cellStyle name="40% - Accent2 10 3 3" xfId="12495" xr:uid="{00000000-0005-0000-0000-0000F4240000}"/>
    <cellStyle name="40% - Accent2 10 3 3 2" xfId="30166" xr:uid="{00000000-0005-0000-0000-0000F5240000}"/>
    <cellStyle name="40% - Accent2 10 3 4" xfId="23907" xr:uid="{00000000-0005-0000-0000-0000F6240000}"/>
    <cellStyle name="40% - Accent2 10 3 5" xfId="51827" xr:uid="{00000000-0005-0000-0000-0000F7240000}"/>
    <cellStyle name="40% - Accent2 10 4" xfId="7703" xr:uid="{00000000-0005-0000-0000-0000F8240000}"/>
    <cellStyle name="40% - Accent2 10 4 2" xfId="15500" xr:uid="{00000000-0005-0000-0000-0000F9240000}"/>
    <cellStyle name="40% - Accent2 10 4 2 2" xfId="33135" xr:uid="{00000000-0005-0000-0000-0000FA240000}"/>
    <cellStyle name="40% - Accent2 10 4 3" xfId="26136" xr:uid="{00000000-0005-0000-0000-0000FB240000}"/>
    <cellStyle name="40% - Accent2 10 5" xfId="11339" xr:uid="{00000000-0005-0000-0000-0000FC240000}"/>
    <cellStyle name="40% - Accent2 10 5 2" xfId="29065" xr:uid="{00000000-0005-0000-0000-0000FD240000}"/>
    <cellStyle name="40% - Accent2 10 6" xfId="22110" xr:uid="{00000000-0005-0000-0000-0000FE240000}"/>
    <cellStyle name="40% - Accent2 10 7" xfId="23271" xr:uid="{00000000-0005-0000-0000-0000FF240000}"/>
    <cellStyle name="40% - Accent2 11" xfId="600" xr:uid="{00000000-0005-0000-0000-000000250000}"/>
    <cellStyle name="40% - Accent2 11 2" xfId="3773" xr:uid="{00000000-0005-0000-0000-000001250000}"/>
    <cellStyle name="40% - Accent2 11 2 2" xfId="8359" xr:uid="{00000000-0005-0000-0000-000002250000}"/>
    <cellStyle name="40% - Accent2 11 2 2 2" xfId="16155" xr:uid="{00000000-0005-0000-0000-000003250000}"/>
    <cellStyle name="40% - Accent2 11 2 2 2 2" xfId="33790" xr:uid="{00000000-0005-0000-0000-000004250000}"/>
    <cellStyle name="40% - Accent2 11 2 2 3" xfId="26773" xr:uid="{00000000-0005-0000-0000-000005250000}"/>
    <cellStyle name="40% - Accent2 11 2 3" xfId="12496" xr:uid="{00000000-0005-0000-0000-000006250000}"/>
    <cellStyle name="40% - Accent2 11 2 3 2" xfId="30167" xr:uid="{00000000-0005-0000-0000-000007250000}"/>
    <cellStyle name="40% - Accent2 11 2 4" xfId="23908" xr:uid="{00000000-0005-0000-0000-000008250000}"/>
    <cellStyle name="40% - Accent2 11 3" xfId="5713" xr:uid="{00000000-0005-0000-0000-000009250000}"/>
    <cellStyle name="40% - Accent2 11 3 2" xfId="9013" xr:uid="{00000000-0005-0000-0000-00000A250000}"/>
    <cellStyle name="40% - Accent2 11 3 2 2" xfId="16808" xr:uid="{00000000-0005-0000-0000-00000B250000}"/>
    <cellStyle name="40% - Accent2 11 3 2 2 2" xfId="34444" xr:uid="{00000000-0005-0000-0000-00000C250000}"/>
    <cellStyle name="40% - Accent2 11 3 2 3" xfId="27401" xr:uid="{00000000-0005-0000-0000-00000D250000}"/>
    <cellStyle name="40% - Accent2 11 3 3" xfId="13569" xr:uid="{00000000-0005-0000-0000-00000E250000}"/>
    <cellStyle name="40% - Accent2 11 3 3 2" xfId="31209" xr:uid="{00000000-0005-0000-0000-00000F250000}"/>
    <cellStyle name="40% - Accent2 11 3 4" xfId="24536" xr:uid="{00000000-0005-0000-0000-000010250000}"/>
    <cellStyle name="40% - Accent2 11 4" xfId="6343" xr:uid="{00000000-0005-0000-0000-000011250000}"/>
    <cellStyle name="40% - Accent2 11 4 2" xfId="9553" xr:uid="{00000000-0005-0000-0000-000012250000}"/>
    <cellStyle name="40% - Accent2 11 4 2 2" xfId="17347" xr:uid="{00000000-0005-0000-0000-000013250000}"/>
    <cellStyle name="40% - Accent2 11 4 2 2 2" xfId="34984" xr:uid="{00000000-0005-0000-0000-000014250000}"/>
    <cellStyle name="40% - Accent2 11 4 2 3" xfId="27937" xr:uid="{00000000-0005-0000-0000-000015250000}"/>
    <cellStyle name="40% - Accent2 11 4 3" xfId="14132" xr:uid="{00000000-0005-0000-0000-000016250000}"/>
    <cellStyle name="40% - Accent2 11 4 3 2" xfId="31767" xr:uid="{00000000-0005-0000-0000-000017250000}"/>
    <cellStyle name="40% - Accent2 11 4 4" xfId="25073" xr:uid="{00000000-0005-0000-0000-000018250000}"/>
    <cellStyle name="40% - Accent2 11 5" xfId="6881" xr:uid="{00000000-0005-0000-0000-000019250000}"/>
    <cellStyle name="40% - Accent2 11 5 2" xfId="10091" xr:uid="{00000000-0005-0000-0000-00001A250000}"/>
    <cellStyle name="40% - Accent2 11 5 2 2" xfId="17884" xr:uid="{00000000-0005-0000-0000-00001B250000}"/>
    <cellStyle name="40% - Accent2 11 5 2 2 2" xfId="35521" xr:uid="{00000000-0005-0000-0000-00001C250000}"/>
    <cellStyle name="40% - Accent2 11 5 2 3" xfId="28474" xr:uid="{00000000-0005-0000-0000-00001D250000}"/>
    <cellStyle name="40% - Accent2 11 5 3" xfId="14669" xr:uid="{00000000-0005-0000-0000-00001E250000}"/>
    <cellStyle name="40% - Accent2 11 5 3 2" xfId="32304" xr:uid="{00000000-0005-0000-0000-00001F250000}"/>
    <cellStyle name="40% - Accent2 11 5 4" xfId="25611" xr:uid="{00000000-0005-0000-0000-000020250000}"/>
    <cellStyle name="40% - Accent2 11 6" xfId="7704" xr:uid="{00000000-0005-0000-0000-000021250000}"/>
    <cellStyle name="40% - Accent2 11 6 2" xfId="15501" xr:uid="{00000000-0005-0000-0000-000022250000}"/>
    <cellStyle name="40% - Accent2 11 6 2 2" xfId="33136" xr:uid="{00000000-0005-0000-0000-000023250000}"/>
    <cellStyle name="40% - Accent2 11 6 3" xfId="26137" xr:uid="{00000000-0005-0000-0000-000024250000}"/>
    <cellStyle name="40% - Accent2 11 7" xfId="11340" xr:uid="{00000000-0005-0000-0000-000025250000}"/>
    <cellStyle name="40% - Accent2 11 7 2" xfId="29066" xr:uid="{00000000-0005-0000-0000-000026250000}"/>
    <cellStyle name="40% - Accent2 11 8" xfId="23272" xr:uid="{00000000-0005-0000-0000-000027250000}"/>
    <cellStyle name="40% - Accent2 11 9" xfId="51828" xr:uid="{00000000-0005-0000-0000-000028250000}"/>
    <cellStyle name="40% - Accent2 12" xfId="18872" xr:uid="{00000000-0005-0000-0000-000029250000}"/>
    <cellStyle name="40% - Accent2 12 2" xfId="36509" xr:uid="{00000000-0005-0000-0000-00002A250000}"/>
    <cellStyle name="40% - Accent2 13" xfId="15297" xr:uid="{00000000-0005-0000-0000-00002B250000}"/>
    <cellStyle name="40% - Accent2 13 2" xfId="32932" xr:uid="{00000000-0005-0000-0000-00002C250000}"/>
    <cellStyle name="40% - Accent2 14" xfId="23071" xr:uid="{00000000-0005-0000-0000-00002D250000}"/>
    <cellStyle name="40% - Accent2 15" xfId="51483" xr:uid="{00000000-0005-0000-0000-00002E250000}"/>
    <cellStyle name="40% - Accent2 16" xfId="51496" xr:uid="{00000000-0005-0000-0000-00002F250000}"/>
    <cellStyle name="40% - Accent2 17" xfId="51509" xr:uid="{00000000-0005-0000-0000-000030250000}"/>
    <cellStyle name="40% - Accent2 2" xfId="22" xr:uid="{00000000-0005-0000-0000-000031250000}"/>
    <cellStyle name="40% - Accent2 2 10" xfId="602" xr:uid="{00000000-0005-0000-0000-000032250000}"/>
    <cellStyle name="40% - Accent2 2 11" xfId="603" xr:uid="{00000000-0005-0000-0000-000033250000}"/>
    <cellStyle name="40% - Accent2 2 12" xfId="604" xr:uid="{00000000-0005-0000-0000-000034250000}"/>
    <cellStyle name="40% - Accent2 2 13" xfId="605" xr:uid="{00000000-0005-0000-0000-000035250000}"/>
    <cellStyle name="40% - Accent2 2 14" xfId="606" xr:uid="{00000000-0005-0000-0000-000036250000}"/>
    <cellStyle name="40% - Accent2 2 15" xfId="3774" xr:uid="{00000000-0005-0000-0000-000037250000}"/>
    <cellStyle name="40% - Accent2 2 16" xfId="3775" xr:uid="{00000000-0005-0000-0000-000038250000}"/>
    <cellStyle name="40% - Accent2 2 17" xfId="3776" xr:uid="{00000000-0005-0000-0000-000039250000}"/>
    <cellStyle name="40% - Accent2 2 18" xfId="601" xr:uid="{00000000-0005-0000-0000-00003A250000}"/>
    <cellStyle name="40% - Accent2 2 2" xfId="607" xr:uid="{00000000-0005-0000-0000-00003B250000}"/>
    <cellStyle name="40% - Accent2 2 2 2" xfId="608" xr:uid="{00000000-0005-0000-0000-00003C250000}"/>
    <cellStyle name="40% - Accent2 2 2 3" xfId="609" xr:uid="{00000000-0005-0000-0000-00003D250000}"/>
    <cellStyle name="40% - Accent2 2 2 4" xfId="3777" xr:uid="{00000000-0005-0000-0000-00003E250000}"/>
    <cellStyle name="40% - Accent2 2 2 5" xfId="3778" xr:uid="{00000000-0005-0000-0000-00003F250000}"/>
    <cellStyle name="40% - Accent2 2 2_Sheet1" xfId="610" xr:uid="{00000000-0005-0000-0000-000040250000}"/>
    <cellStyle name="40% - Accent2 2 3" xfId="611" xr:uid="{00000000-0005-0000-0000-000041250000}"/>
    <cellStyle name="40% - Accent2 2 4" xfId="612" xr:uid="{00000000-0005-0000-0000-000042250000}"/>
    <cellStyle name="40% - Accent2 2 5" xfId="613" xr:uid="{00000000-0005-0000-0000-000043250000}"/>
    <cellStyle name="40% - Accent2 2 6" xfId="614" xr:uid="{00000000-0005-0000-0000-000044250000}"/>
    <cellStyle name="40% - Accent2 2 7" xfId="615" xr:uid="{00000000-0005-0000-0000-000045250000}"/>
    <cellStyle name="40% - Accent2 2 8" xfId="616" xr:uid="{00000000-0005-0000-0000-000046250000}"/>
    <cellStyle name="40% - Accent2 2 9" xfId="617" xr:uid="{00000000-0005-0000-0000-000047250000}"/>
    <cellStyle name="40% - Accent2 2_BallGrid" xfId="618" xr:uid="{00000000-0005-0000-0000-000048250000}"/>
    <cellStyle name="40% - Accent2 3" xfId="23" xr:uid="{00000000-0005-0000-0000-000049250000}"/>
    <cellStyle name="40% - Accent2 3 10" xfId="619" xr:uid="{00000000-0005-0000-0000-00004A250000}"/>
    <cellStyle name="40% - Accent2 3 2" xfId="620" xr:uid="{00000000-0005-0000-0000-00004B250000}"/>
    <cellStyle name="40% - Accent2 3 3" xfId="621" xr:uid="{00000000-0005-0000-0000-00004C250000}"/>
    <cellStyle name="40% - Accent2 3 4" xfId="622" xr:uid="{00000000-0005-0000-0000-00004D250000}"/>
    <cellStyle name="40% - Accent2 3 5" xfId="623" xr:uid="{00000000-0005-0000-0000-00004E250000}"/>
    <cellStyle name="40% - Accent2 3 6" xfId="624" xr:uid="{00000000-0005-0000-0000-00004F250000}"/>
    <cellStyle name="40% - Accent2 3 7" xfId="3779" xr:uid="{00000000-0005-0000-0000-000050250000}"/>
    <cellStyle name="40% - Accent2 3 8" xfId="3780" xr:uid="{00000000-0005-0000-0000-000051250000}"/>
    <cellStyle name="40% - Accent2 3 9" xfId="3781" xr:uid="{00000000-0005-0000-0000-000052250000}"/>
    <cellStyle name="40% - Accent2 3_BallGrid" xfId="625" xr:uid="{00000000-0005-0000-0000-000053250000}"/>
    <cellStyle name="40% - Accent2 4" xfId="24" xr:uid="{00000000-0005-0000-0000-000054250000}"/>
    <cellStyle name="40% - Accent2 4 2" xfId="627" xr:uid="{00000000-0005-0000-0000-000055250000}"/>
    <cellStyle name="40% - Accent2 4 2 2" xfId="22845" xr:uid="{00000000-0005-0000-0000-000056250000}"/>
    <cellStyle name="40% - Accent2 4 3" xfId="628" xr:uid="{00000000-0005-0000-0000-000057250000}"/>
    <cellStyle name="40% - Accent2 4 3 2" xfId="22111" xr:uid="{00000000-0005-0000-0000-000058250000}"/>
    <cellStyle name="40% - Accent2 4 4" xfId="629" xr:uid="{00000000-0005-0000-0000-000059250000}"/>
    <cellStyle name="40% - Accent2 4 5" xfId="630" xr:uid="{00000000-0005-0000-0000-00005A250000}"/>
    <cellStyle name="40% - Accent2 4 6" xfId="3782" xr:uid="{00000000-0005-0000-0000-00005B250000}"/>
    <cellStyle name="40% - Accent2 4 7" xfId="3783" xr:uid="{00000000-0005-0000-0000-00005C250000}"/>
    <cellStyle name="40% - Accent2 4 8" xfId="3784" xr:uid="{00000000-0005-0000-0000-00005D250000}"/>
    <cellStyle name="40% - Accent2 4 9" xfId="626" xr:uid="{00000000-0005-0000-0000-00005E250000}"/>
    <cellStyle name="40% - Accent2 5" xfId="631" xr:uid="{00000000-0005-0000-0000-00005F250000}"/>
    <cellStyle name="40% - Accent2 5 10" xfId="21948" xr:uid="{00000000-0005-0000-0000-000060250000}"/>
    <cellStyle name="40% - Accent2 5 10 2" xfId="38701" xr:uid="{00000000-0005-0000-0000-000061250000}"/>
    <cellStyle name="40% - Accent2 5 11" xfId="23273" xr:uid="{00000000-0005-0000-0000-000062250000}"/>
    <cellStyle name="40% - Accent2 5 12" xfId="51829" xr:uid="{00000000-0005-0000-0000-000063250000}"/>
    <cellStyle name="40% - Accent2 5 2" xfId="3786" xr:uid="{00000000-0005-0000-0000-000064250000}"/>
    <cellStyle name="40% - Accent2 5 2 2" xfId="8361" xr:uid="{00000000-0005-0000-0000-000065250000}"/>
    <cellStyle name="40% - Accent2 5 2 2 2" xfId="16157" xr:uid="{00000000-0005-0000-0000-000066250000}"/>
    <cellStyle name="40% - Accent2 5 2 2 2 2" xfId="33792" xr:uid="{00000000-0005-0000-0000-000067250000}"/>
    <cellStyle name="40% - Accent2 5 2 2 3" xfId="26775" xr:uid="{00000000-0005-0000-0000-000068250000}"/>
    <cellStyle name="40% - Accent2 5 2 3" xfId="12506" xr:uid="{00000000-0005-0000-0000-000069250000}"/>
    <cellStyle name="40% - Accent2 5 2 3 2" xfId="30174" xr:uid="{00000000-0005-0000-0000-00006A250000}"/>
    <cellStyle name="40% - Accent2 5 2 4" xfId="22846" xr:uid="{00000000-0005-0000-0000-00006B250000}"/>
    <cellStyle name="40% - Accent2 5 2 4 2" xfId="39021" xr:uid="{00000000-0005-0000-0000-00006C250000}"/>
    <cellStyle name="40% - Accent2 5 2 5" xfId="23910" xr:uid="{00000000-0005-0000-0000-00006D250000}"/>
    <cellStyle name="40% - Accent2 5 3" xfId="3787" xr:uid="{00000000-0005-0000-0000-00006E250000}"/>
    <cellStyle name="40% - Accent2 5 3 2" xfId="22112" xr:uid="{00000000-0005-0000-0000-00006F250000}"/>
    <cellStyle name="40% - Accent2 5 4" xfId="3785" xr:uid="{00000000-0005-0000-0000-000070250000}"/>
    <cellStyle name="40% - Accent2 5 4 2" xfId="8360" xr:uid="{00000000-0005-0000-0000-000071250000}"/>
    <cellStyle name="40% - Accent2 5 4 2 2" xfId="16156" xr:uid="{00000000-0005-0000-0000-000072250000}"/>
    <cellStyle name="40% - Accent2 5 4 2 2 2" xfId="33791" xr:uid="{00000000-0005-0000-0000-000073250000}"/>
    <cellStyle name="40% - Accent2 5 4 2 3" xfId="26774" xr:uid="{00000000-0005-0000-0000-000074250000}"/>
    <cellStyle name="40% - Accent2 5 4 3" xfId="12505" xr:uid="{00000000-0005-0000-0000-000075250000}"/>
    <cellStyle name="40% - Accent2 5 4 3 2" xfId="30173" xr:uid="{00000000-0005-0000-0000-000076250000}"/>
    <cellStyle name="40% - Accent2 5 4 4" xfId="23909" xr:uid="{00000000-0005-0000-0000-000077250000}"/>
    <cellStyle name="40% - Accent2 5 5" xfId="5714" xr:uid="{00000000-0005-0000-0000-000078250000}"/>
    <cellStyle name="40% - Accent2 5 5 2" xfId="9014" xr:uid="{00000000-0005-0000-0000-000079250000}"/>
    <cellStyle name="40% - Accent2 5 5 2 2" xfId="16809" xr:uid="{00000000-0005-0000-0000-00007A250000}"/>
    <cellStyle name="40% - Accent2 5 5 2 2 2" xfId="34445" xr:uid="{00000000-0005-0000-0000-00007B250000}"/>
    <cellStyle name="40% - Accent2 5 5 2 3" xfId="27402" xr:uid="{00000000-0005-0000-0000-00007C250000}"/>
    <cellStyle name="40% - Accent2 5 5 3" xfId="13570" xr:uid="{00000000-0005-0000-0000-00007D250000}"/>
    <cellStyle name="40% - Accent2 5 5 3 2" xfId="31210" xr:uid="{00000000-0005-0000-0000-00007E250000}"/>
    <cellStyle name="40% - Accent2 5 5 4" xfId="24537" xr:uid="{00000000-0005-0000-0000-00007F250000}"/>
    <cellStyle name="40% - Accent2 5 6" xfId="6344" xr:uid="{00000000-0005-0000-0000-000080250000}"/>
    <cellStyle name="40% - Accent2 5 6 2" xfId="9554" xr:uid="{00000000-0005-0000-0000-000081250000}"/>
    <cellStyle name="40% - Accent2 5 6 2 2" xfId="17348" xr:uid="{00000000-0005-0000-0000-000082250000}"/>
    <cellStyle name="40% - Accent2 5 6 2 2 2" xfId="34985" xr:uid="{00000000-0005-0000-0000-000083250000}"/>
    <cellStyle name="40% - Accent2 5 6 2 3" xfId="27938" xr:uid="{00000000-0005-0000-0000-000084250000}"/>
    <cellStyle name="40% - Accent2 5 6 3" xfId="14133" xr:uid="{00000000-0005-0000-0000-000085250000}"/>
    <cellStyle name="40% - Accent2 5 6 3 2" xfId="31768" xr:uid="{00000000-0005-0000-0000-000086250000}"/>
    <cellStyle name="40% - Accent2 5 6 4" xfId="25074" xr:uid="{00000000-0005-0000-0000-000087250000}"/>
    <cellStyle name="40% - Accent2 5 7" xfId="6882" xr:uid="{00000000-0005-0000-0000-000088250000}"/>
    <cellStyle name="40% - Accent2 5 7 2" xfId="10092" xr:uid="{00000000-0005-0000-0000-000089250000}"/>
    <cellStyle name="40% - Accent2 5 7 2 2" xfId="17885" xr:uid="{00000000-0005-0000-0000-00008A250000}"/>
    <cellStyle name="40% - Accent2 5 7 2 2 2" xfId="35522" xr:uid="{00000000-0005-0000-0000-00008B250000}"/>
    <cellStyle name="40% - Accent2 5 7 2 3" xfId="28475" xr:uid="{00000000-0005-0000-0000-00008C250000}"/>
    <cellStyle name="40% - Accent2 5 7 3" xfId="14670" xr:uid="{00000000-0005-0000-0000-00008D250000}"/>
    <cellStyle name="40% - Accent2 5 7 3 2" xfId="32305" xr:uid="{00000000-0005-0000-0000-00008E250000}"/>
    <cellStyle name="40% - Accent2 5 7 4" xfId="25612" xr:uid="{00000000-0005-0000-0000-00008F250000}"/>
    <cellStyle name="40% - Accent2 5 8" xfId="7705" xr:uid="{00000000-0005-0000-0000-000090250000}"/>
    <cellStyle name="40% - Accent2 5 8 2" xfId="15502" xr:uid="{00000000-0005-0000-0000-000091250000}"/>
    <cellStyle name="40% - Accent2 5 8 2 2" xfId="33137" xr:uid="{00000000-0005-0000-0000-000092250000}"/>
    <cellStyle name="40% - Accent2 5 8 3" xfId="26138" xr:uid="{00000000-0005-0000-0000-000093250000}"/>
    <cellStyle name="40% - Accent2 5 9" xfId="11348" xr:uid="{00000000-0005-0000-0000-000094250000}"/>
    <cellStyle name="40% - Accent2 5 9 2" xfId="29071" xr:uid="{00000000-0005-0000-0000-000095250000}"/>
    <cellStyle name="40% - Accent2 6" xfId="632" xr:uid="{00000000-0005-0000-0000-000096250000}"/>
    <cellStyle name="40% - Accent2 6 10" xfId="51830" xr:uid="{00000000-0005-0000-0000-000097250000}"/>
    <cellStyle name="40% - Accent2 6 2" xfId="3788" xr:uid="{00000000-0005-0000-0000-000098250000}"/>
    <cellStyle name="40% - Accent2 6 2 2" xfId="8362" xr:uid="{00000000-0005-0000-0000-000099250000}"/>
    <cellStyle name="40% - Accent2 6 2 2 2" xfId="16158" xr:uid="{00000000-0005-0000-0000-00009A250000}"/>
    <cellStyle name="40% - Accent2 6 2 2 2 2" xfId="33793" xr:uid="{00000000-0005-0000-0000-00009B250000}"/>
    <cellStyle name="40% - Accent2 6 2 2 3" xfId="26776" xr:uid="{00000000-0005-0000-0000-00009C250000}"/>
    <cellStyle name="40% - Accent2 6 2 3" xfId="12507" xr:uid="{00000000-0005-0000-0000-00009D250000}"/>
    <cellStyle name="40% - Accent2 6 2 3 2" xfId="30175" xr:uid="{00000000-0005-0000-0000-00009E250000}"/>
    <cellStyle name="40% - Accent2 6 2 4" xfId="22847" xr:uid="{00000000-0005-0000-0000-00009F250000}"/>
    <cellStyle name="40% - Accent2 6 2 4 2" xfId="39022" xr:uid="{00000000-0005-0000-0000-0000A0250000}"/>
    <cellStyle name="40% - Accent2 6 2 5" xfId="23911" xr:uid="{00000000-0005-0000-0000-0000A1250000}"/>
    <cellStyle name="40% - Accent2 6 3" xfId="5715" xr:uid="{00000000-0005-0000-0000-0000A2250000}"/>
    <cellStyle name="40% - Accent2 6 3 2" xfId="9015" xr:uid="{00000000-0005-0000-0000-0000A3250000}"/>
    <cellStyle name="40% - Accent2 6 3 2 2" xfId="16810" xr:uid="{00000000-0005-0000-0000-0000A4250000}"/>
    <cellStyle name="40% - Accent2 6 3 2 2 2" xfId="34446" xr:uid="{00000000-0005-0000-0000-0000A5250000}"/>
    <cellStyle name="40% - Accent2 6 3 2 3" xfId="27403" xr:uid="{00000000-0005-0000-0000-0000A6250000}"/>
    <cellStyle name="40% - Accent2 6 3 3" xfId="13571" xr:uid="{00000000-0005-0000-0000-0000A7250000}"/>
    <cellStyle name="40% - Accent2 6 3 3 2" xfId="31211" xr:uid="{00000000-0005-0000-0000-0000A8250000}"/>
    <cellStyle name="40% - Accent2 6 3 4" xfId="22113" xr:uid="{00000000-0005-0000-0000-0000A9250000}"/>
    <cellStyle name="40% - Accent2 6 3 5" xfId="24538" xr:uid="{00000000-0005-0000-0000-0000AA250000}"/>
    <cellStyle name="40% - Accent2 6 4" xfId="6345" xr:uid="{00000000-0005-0000-0000-0000AB250000}"/>
    <cellStyle name="40% - Accent2 6 4 2" xfId="9555" xr:uid="{00000000-0005-0000-0000-0000AC250000}"/>
    <cellStyle name="40% - Accent2 6 4 2 2" xfId="17349" xr:uid="{00000000-0005-0000-0000-0000AD250000}"/>
    <cellStyle name="40% - Accent2 6 4 2 2 2" xfId="34986" xr:uid="{00000000-0005-0000-0000-0000AE250000}"/>
    <cellStyle name="40% - Accent2 6 4 2 3" xfId="27939" xr:uid="{00000000-0005-0000-0000-0000AF250000}"/>
    <cellStyle name="40% - Accent2 6 4 3" xfId="14134" xr:uid="{00000000-0005-0000-0000-0000B0250000}"/>
    <cellStyle name="40% - Accent2 6 4 3 2" xfId="31769" xr:uid="{00000000-0005-0000-0000-0000B1250000}"/>
    <cellStyle name="40% - Accent2 6 4 4" xfId="25075" xr:uid="{00000000-0005-0000-0000-0000B2250000}"/>
    <cellStyle name="40% - Accent2 6 5" xfId="6883" xr:uid="{00000000-0005-0000-0000-0000B3250000}"/>
    <cellStyle name="40% - Accent2 6 5 2" xfId="10093" xr:uid="{00000000-0005-0000-0000-0000B4250000}"/>
    <cellStyle name="40% - Accent2 6 5 2 2" xfId="17886" xr:uid="{00000000-0005-0000-0000-0000B5250000}"/>
    <cellStyle name="40% - Accent2 6 5 2 2 2" xfId="35523" xr:uid="{00000000-0005-0000-0000-0000B6250000}"/>
    <cellStyle name="40% - Accent2 6 5 2 3" xfId="28476" xr:uid="{00000000-0005-0000-0000-0000B7250000}"/>
    <cellStyle name="40% - Accent2 6 5 3" xfId="14671" xr:uid="{00000000-0005-0000-0000-0000B8250000}"/>
    <cellStyle name="40% - Accent2 6 5 3 2" xfId="32306" xr:uid="{00000000-0005-0000-0000-0000B9250000}"/>
    <cellStyle name="40% - Accent2 6 5 4" xfId="25613" xr:uid="{00000000-0005-0000-0000-0000BA250000}"/>
    <cellStyle name="40% - Accent2 6 6" xfId="7706" xr:uid="{00000000-0005-0000-0000-0000BB250000}"/>
    <cellStyle name="40% - Accent2 6 6 2" xfId="15503" xr:uid="{00000000-0005-0000-0000-0000BC250000}"/>
    <cellStyle name="40% - Accent2 6 6 2 2" xfId="33138" xr:uid="{00000000-0005-0000-0000-0000BD250000}"/>
    <cellStyle name="40% - Accent2 6 6 3" xfId="26139" xr:uid="{00000000-0005-0000-0000-0000BE250000}"/>
    <cellStyle name="40% - Accent2 6 7" xfId="11349" xr:uid="{00000000-0005-0000-0000-0000BF250000}"/>
    <cellStyle name="40% - Accent2 6 7 2" xfId="29072" xr:uid="{00000000-0005-0000-0000-0000C0250000}"/>
    <cellStyle name="40% - Accent2 6 8" xfId="21949" xr:uid="{00000000-0005-0000-0000-0000C1250000}"/>
    <cellStyle name="40% - Accent2 6 8 2" xfId="38702" xr:uid="{00000000-0005-0000-0000-0000C2250000}"/>
    <cellStyle name="40% - Accent2 6 9" xfId="23274" xr:uid="{00000000-0005-0000-0000-0000C3250000}"/>
    <cellStyle name="40% - Accent2 7" xfId="633" xr:uid="{00000000-0005-0000-0000-0000C4250000}"/>
    <cellStyle name="40% - Accent2 7 10" xfId="51831" xr:uid="{00000000-0005-0000-0000-0000C5250000}"/>
    <cellStyle name="40% - Accent2 7 2" xfId="3789" xr:uid="{00000000-0005-0000-0000-0000C6250000}"/>
    <cellStyle name="40% - Accent2 7 2 2" xfId="8363" xr:uid="{00000000-0005-0000-0000-0000C7250000}"/>
    <cellStyle name="40% - Accent2 7 2 2 2" xfId="16159" xr:uid="{00000000-0005-0000-0000-0000C8250000}"/>
    <cellStyle name="40% - Accent2 7 2 2 2 2" xfId="33794" xr:uid="{00000000-0005-0000-0000-0000C9250000}"/>
    <cellStyle name="40% - Accent2 7 2 2 3" xfId="26777" xr:uid="{00000000-0005-0000-0000-0000CA250000}"/>
    <cellStyle name="40% - Accent2 7 2 3" xfId="12508" xr:uid="{00000000-0005-0000-0000-0000CB250000}"/>
    <cellStyle name="40% - Accent2 7 2 3 2" xfId="30176" xr:uid="{00000000-0005-0000-0000-0000CC250000}"/>
    <cellStyle name="40% - Accent2 7 2 4" xfId="22735" xr:uid="{00000000-0005-0000-0000-0000CD250000}"/>
    <cellStyle name="40% - Accent2 7 2 4 2" xfId="38945" xr:uid="{00000000-0005-0000-0000-0000CE250000}"/>
    <cellStyle name="40% - Accent2 7 2 5" xfId="23912" xr:uid="{00000000-0005-0000-0000-0000CF250000}"/>
    <cellStyle name="40% - Accent2 7 3" xfId="5716" xr:uid="{00000000-0005-0000-0000-0000D0250000}"/>
    <cellStyle name="40% - Accent2 7 3 2" xfId="9016" xr:uid="{00000000-0005-0000-0000-0000D1250000}"/>
    <cellStyle name="40% - Accent2 7 3 2 2" xfId="16811" xr:uid="{00000000-0005-0000-0000-0000D2250000}"/>
    <cellStyle name="40% - Accent2 7 3 2 2 2" xfId="34447" xr:uid="{00000000-0005-0000-0000-0000D3250000}"/>
    <cellStyle name="40% - Accent2 7 3 2 3" xfId="27404" xr:uid="{00000000-0005-0000-0000-0000D4250000}"/>
    <cellStyle name="40% - Accent2 7 3 3" xfId="13572" xr:uid="{00000000-0005-0000-0000-0000D5250000}"/>
    <cellStyle name="40% - Accent2 7 3 3 2" xfId="31212" xr:uid="{00000000-0005-0000-0000-0000D6250000}"/>
    <cellStyle name="40% - Accent2 7 3 4" xfId="24539" xr:uid="{00000000-0005-0000-0000-0000D7250000}"/>
    <cellStyle name="40% - Accent2 7 4" xfId="6346" xr:uid="{00000000-0005-0000-0000-0000D8250000}"/>
    <cellStyle name="40% - Accent2 7 4 2" xfId="9556" xr:uid="{00000000-0005-0000-0000-0000D9250000}"/>
    <cellStyle name="40% - Accent2 7 4 2 2" xfId="17350" xr:uid="{00000000-0005-0000-0000-0000DA250000}"/>
    <cellStyle name="40% - Accent2 7 4 2 2 2" xfId="34987" xr:uid="{00000000-0005-0000-0000-0000DB250000}"/>
    <cellStyle name="40% - Accent2 7 4 2 3" xfId="27940" xr:uid="{00000000-0005-0000-0000-0000DC250000}"/>
    <cellStyle name="40% - Accent2 7 4 3" xfId="14135" xr:uid="{00000000-0005-0000-0000-0000DD250000}"/>
    <cellStyle name="40% - Accent2 7 4 3 2" xfId="31770" xr:uid="{00000000-0005-0000-0000-0000DE250000}"/>
    <cellStyle name="40% - Accent2 7 4 4" xfId="25076" xr:uid="{00000000-0005-0000-0000-0000DF250000}"/>
    <cellStyle name="40% - Accent2 7 5" xfId="6884" xr:uid="{00000000-0005-0000-0000-0000E0250000}"/>
    <cellStyle name="40% - Accent2 7 5 2" xfId="10094" xr:uid="{00000000-0005-0000-0000-0000E1250000}"/>
    <cellStyle name="40% - Accent2 7 5 2 2" xfId="17887" xr:uid="{00000000-0005-0000-0000-0000E2250000}"/>
    <cellStyle name="40% - Accent2 7 5 2 2 2" xfId="35524" xr:uid="{00000000-0005-0000-0000-0000E3250000}"/>
    <cellStyle name="40% - Accent2 7 5 2 3" xfId="28477" xr:uid="{00000000-0005-0000-0000-0000E4250000}"/>
    <cellStyle name="40% - Accent2 7 5 3" xfId="14672" xr:uid="{00000000-0005-0000-0000-0000E5250000}"/>
    <cellStyle name="40% - Accent2 7 5 3 2" xfId="32307" xr:uid="{00000000-0005-0000-0000-0000E6250000}"/>
    <cellStyle name="40% - Accent2 7 5 4" xfId="25614" xr:uid="{00000000-0005-0000-0000-0000E7250000}"/>
    <cellStyle name="40% - Accent2 7 6" xfId="7707" xr:uid="{00000000-0005-0000-0000-0000E8250000}"/>
    <cellStyle name="40% - Accent2 7 6 2" xfId="15504" xr:uid="{00000000-0005-0000-0000-0000E9250000}"/>
    <cellStyle name="40% - Accent2 7 6 2 2" xfId="33139" xr:uid="{00000000-0005-0000-0000-0000EA250000}"/>
    <cellStyle name="40% - Accent2 7 6 3" xfId="26140" xr:uid="{00000000-0005-0000-0000-0000EB250000}"/>
    <cellStyle name="40% - Accent2 7 7" xfId="11350" xr:uid="{00000000-0005-0000-0000-0000EC250000}"/>
    <cellStyle name="40% - Accent2 7 7 2" xfId="29073" xr:uid="{00000000-0005-0000-0000-0000ED250000}"/>
    <cellStyle name="40% - Accent2 7 8" xfId="22114" xr:uid="{00000000-0005-0000-0000-0000EE250000}"/>
    <cellStyle name="40% - Accent2 7 8 2" xfId="38801" xr:uid="{00000000-0005-0000-0000-0000EF250000}"/>
    <cellStyle name="40% - Accent2 7 9" xfId="23275" xr:uid="{00000000-0005-0000-0000-0000F0250000}"/>
    <cellStyle name="40% - Accent2 8" xfId="634" xr:uid="{00000000-0005-0000-0000-0000F1250000}"/>
    <cellStyle name="40% - Accent2 8 10" xfId="51832" xr:uid="{00000000-0005-0000-0000-0000F2250000}"/>
    <cellStyle name="40% - Accent2 8 2" xfId="3790" xr:uid="{00000000-0005-0000-0000-0000F3250000}"/>
    <cellStyle name="40% - Accent2 8 2 2" xfId="8364" xr:uid="{00000000-0005-0000-0000-0000F4250000}"/>
    <cellStyle name="40% - Accent2 8 2 2 2" xfId="16160" xr:uid="{00000000-0005-0000-0000-0000F5250000}"/>
    <cellStyle name="40% - Accent2 8 2 2 2 2" xfId="33795" xr:uid="{00000000-0005-0000-0000-0000F6250000}"/>
    <cellStyle name="40% - Accent2 8 2 2 3" xfId="26778" xr:uid="{00000000-0005-0000-0000-0000F7250000}"/>
    <cellStyle name="40% - Accent2 8 2 3" xfId="12509" xr:uid="{00000000-0005-0000-0000-0000F8250000}"/>
    <cellStyle name="40% - Accent2 8 2 3 2" xfId="30177" xr:uid="{00000000-0005-0000-0000-0000F9250000}"/>
    <cellStyle name="40% - Accent2 8 2 4" xfId="23913" xr:uid="{00000000-0005-0000-0000-0000FA250000}"/>
    <cellStyle name="40% - Accent2 8 3" xfId="5717" xr:uid="{00000000-0005-0000-0000-0000FB250000}"/>
    <cellStyle name="40% - Accent2 8 3 2" xfId="9017" xr:uid="{00000000-0005-0000-0000-0000FC250000}"/>
    <cellStyle name="40% - Accent2 8 3 2 2" xfId="16812" xr:uid="{00000000-0005-0000-0000-0000FD250000}"/>
    <cellStyle name="40% - Accent2 8 3 2 2 2" xfId="34448" xr:uid="{00000000-0005-0000-0000-0000FE250000}"/>
    <cellStyle name="40% - Accent2 8 3 2 3" xfId="27405" xr:uid="{00000000-0005-0000-0000-0000FF250000}"/>
    <cellStyle name="40% - Accent2 8 3 3" xfId="13573" xr:uid="{00000000-0005-0000-0000-000000260000}"/>
    <cellStyle name="40% - Accent2 8 3 3 2" xfId="31213" xr:uid="{00000000-0005-0000-0000-000001260000}"/>
    <cellStyle name="40% - Accent2 8 3 4" xfId="24540" xr:uid="{00000000-0005-0000-0000-000002260000}"/>
    <cellStyle name="40% - Accent2 8 4" xfId="6347" xr:uid="{00000000-0005-0000-0000-000003260000}"/>
    <cellStyle name="40% - Accent2 8 4 2" xfId="9557" xr:uid="{00000000-0005-0000-0000-000004260000}"/>
    <cellStyle name="40% - Accent2 8 4 2 2" xfId="17351" xr:uid="{00000000-0005-0000-0000-000005260000}"/>
    <cellStyle name="40% - Accent2 8 4 2 2 2" xfId="34988" xr:uid="{00000000-0005-0000-0000-000006260000}"/>
    <cellStyle name="40% - Accent2 8 4 2 3" xfId="27941" xr:uid="{00000000-0005-0000-0000-000007260000}"/>
    <cellStyle name="40% - Accent2 8 4 3" xfId="14136" xr:uid="{00000000-0005-0000-0000-000008260000}"/>
    <cellStyle name="40% - Accent2 8 4 3 2" xfId="31771" xr:uid="{00000000-0005-0000-0000-000009260000}"/>
    <cellStyle name="40% - Accent2 8 4 4" xfId="25077" xr:uid="{00000000-0005-0000-0000-00000A260000}"/>
    <cellStyle name="40% - Accent2 8 5" xfId="6885" xr:uid="{00000000-0005-0000-0000-00000B260000}"/>
    <cellStyle name="40% - Accent2 8 5 2" xfId="10095" xr:uid="{00000000-0005-0000-0000-00000C260000}"/>
    <cellStyle name="40% - Accent2 8 5 2 2" xfId="17888" xr:uid="{00000000-0005-0000-0000-00000D260000}"/>
    <cellStyle name="40% - Accent2 8 5 2 2 2" xfId="35525" xr:uid="{00000000-0005-0000-0000-00000E260000}"/>
    <cellStyle name="40% - Accent2 8 5 2 3" xfId="28478" xr:uid="{00000000-0005-0000-0000-00000F260000}"/>
    <cellStyle name="40% - Accent2 8 5 3" xfId="14673" xr:uid="{00000000-0005-0000-0000-000010260000}"/>
    <cellStyle name="40% - Accent2 8 5 3 2" xfId="32308" xr:uid="{00000000-0005-0000-0000-000011260000}"/>
    <cellStyle name="40% - Accent2 8 5 4" xfId="25615" xr:uid="{00000000-0005-0000-0000-000012260000}"/>
    <cellStyle name="40% - Accent2 8 6" xfId="7708" xr:uid="{00000000-0005-0000-0000-000013260000}"/>
    <cellStyle name="40% - Accent2 8 6 2" xfId="15505" xr:uid="{00000000-0005-0000-0000-000014260000}"/>
    <cellStyle name="40% - Accent2 8 6 2 2" xfId="33140" xr:uid="{00000000-0005-0000-0000-000015260000}"/>
    <cellStyle name="40% - Accent2 8 6 3" xfId="26141" xr:uid="{00000000-0005-0000-0000-000016260000}"/>
    <cellStyle name="40% - Accent2 8 7" xfId="11351" xr:uid="{00000000-0005-0000-0000-000017260000}"/>
    <cellStyle name="40% - Accent2 8 7 2" xfId="29074" xr:uid="{00000000-0005-0000-0000-000018260000}"/>
    <cellStyle name="40% - Accent2 8 8" xfId="22115" xr:uid="{00000000-0005-0000-0000-000019260000}"/>
    <cellStyle name="40% - Accent2 8 9" xfId="23276" xr:uid="{00000000-0005-0000-0000-00001A260000}"/>
    <cellStyle name="40% - Accent2 9" xfId="635" xr:uid="{00000000-0005-0000-0000-00001B260000}"/>
    <cellStyle name="40% - Accent2 9 10" xfId="51833" xr:uid="{00000000-0005-0000-0000-00001C260000}"/>
    <cellStyle name="40% - Accent2 9 2" xfId="3791" xr:uid="{00000000-0005-0000-0000-00001D260000}"/>
    <cellStyle name="40% - Accent2 9 2 2" xfId="8365" xr:uid="{00000000-0005-0000-0000-00001E260000}"/>
    <cellStyle name="40% - Accent2 9 2 2 2" xfId="16161" xr:uid="{00000000-0005-0000-0000-00001F260000}"/>
    <cellStyle name="40% - Accent2 9 2 2 2 2" xfId="33796" xr:uid="{00000000-0005-0000-0000-000020260000}"/>
    <cellStyle name="40% - Accent2 9 2 2 3" xfId="26779" xr:uid="{00000000-0005-0000-0000-000021260000}"/>
    <cellStyle name="40% - Accent2 9 2 3" xfId="12510" xr:uid="{00000000-0005-0000-0000-000022260000}"/>
    <cellStyle name="40% - Accent2 9 2 3 2" xfId="30178" xr:uid="{00000000-0005-0000-0000-000023260000}"/>
    <cellStyle name="40% - Accent2 9 2 4" xfId="23914" xr:uid="{00000000-0005-0000-0000-000024260000}"/>
    <cellStyle name="40% - Accent2 9 3" xfId="5718" xr:uid="{00000000-0005-0000-0000-000025260000}"/>
    <cellStyle name="40% - Accent2 9 3 2" xfId="9018" xr:uid="{00000000-0005-0000-0000-000026260000}"/>
    <cellStyle name="40% - Accent2 9 3 2 2" xfId="16813" xr:uid="{00000000-0005-0000-0000-000027260000}"/>
    <cellStyle name="40% - Accent2 9 3 2 2 2" xfId="34449" xr:uid="{00000000-0005-0000-0000-000028260000}"/>
    <cellStyle name="40% - Accent2 9 3 2 3" xfId="27406" xr:uid="{00000000-0005-0000-0000-000029260000}"/>
    <cellStyle name="40% - Accent2 9 3 3" xfId="13574" xr:uid="{00000000-0005-0000-0000-00002A260000}"/>
    <cellStyle name="40% - Accent2 9 3 3 2" xfId="31214" xr:uid="{00000000-0005-0000-0000-00002B260000}"/>
    <cellStyle name="40% - Accent2 9 3 4" xfId="24541" xr:uid="{00000000-0005-0000-0000-00002C260000}"/>
    <cellStyle name="40% - Accent2 9 4" xfId="6348" xr:uid="{00000000-0005-0000-0000-00002D260000}"/>
    <cellStyle name="40% - Accent2 9 4 2" xfId="9558" xr:uid="{00000000-0005-0000-0000-00002E260000}"/>
    <cellStyle name="40% - Accent2 9 4 2 2" xfId="17352" xr:uid="{00000000-0005-0000-0000-00002F260000}"/>
    <cellStyle name="40% - Accent2 9 4 2 2 2" xfId="34989" xr:uid="{00000000-0005-0000-0000-000030260000}"/>
    <cellStyle name="40% - Accent2 9 4 2 3" xfId="27942" xr:uid="{00000000-0005-0000-0000-000031260000}"/>
    <cellStyle name="40% - Accent2 9 4 3" xfId="14137" xr:uid="{00000000-0005-0000-0000-000032260000}"/>
    <cellStyle name="40% - Accent2 9 4 3 2" xfId="31772" xr:uid="{00000000-0005-0000-0000-000033260000}"/>
    <cellStyle name="40% - Accent2 9 4 4" xfId="25078" xr:uid="{00000000-0005-0000-0000-000034260000}"/>
    <cellStyle name="40% - Accent2 9 5" xfId="6886" xr:uid="{00000000-0005-0000-0000-000035260000}"/>
    <cellStyle name="40% - Accent2 9 5 2" xfId="10096" xr:uid="{00000000-0005-0000-0000-000036260000}"/>
    <cellStyle name="40% - Accent2 9 5 2 2" xfId="17889" xr:uid="{00000000-0005-0000-0000-000037260000}"/>
    <cellStyle name="40% - Accent2 9 5 2 2 2" xfId="35526" xr:uid="{00000000-0005-0000-0000-000038260000}"/>
    <cellStyle name="40% - Accent2 9 5 2 3" xfId="28479" xr:uid="{00000000-0005-0000-0000-000039260000}"/>
    <cellStyle name="40% - Accent2 9 5 3" xfId="14674" xr:uid="{00000000-0005-0000-0000-00003A260000}"/>
    <cellStyle name="40% - Accent2 9 5 3 2" xfId="32309" xr:uid="{00000000-0005-0000-0000-00003B260000}"/>
    <cellStyle name="40% - Accent2 9 5 4" xfId="25616" xr:uid="{00000000-0005-0000-0000-00003C260000}"/>
    <cellStyle name="40% - Accent2 9 6" xfId="7709" xr:uid="{00000000-0005-0000-0000-00003D260000}"/>
    <cellStyle name="40% - Accent2 9 6 2" xfId="15506" xr:uid="{00000000-0005-0000-0000-00003E260000}"/>
    <cellStyle name="40% - Accent2 9 6 2 2" xfId="33141" xr:uid="{00000000-0005-0000-0000-00003F260000}"/>
    <cellStyle name="40% - Accent2 9 6 3" xfId="26142" xr:uid="{00000000-0005-0000-0000-000040260000}"/>
    <cellStyle name="40% - Accent2 9 7" xfId="11352" xr:uid="{00000000-0005-0000-0000-000041260000}"/>
    <cellStyle name="40% - Accent2 9 7 2" xfId="29075" xr:uid="{00000000-0005-0000-0000-000042260000}"/>
    <cellStyle name="40% - Accent2 9 8" xfId="22682" xr:uid="{00000000-0005-0000-0000-000043260000}"/>
    <cellStyle name="40% - Accent2 9 8 2" xfId="38904" xr:uid="{00000000-0005-0000-0000-000044260000}"/>
    <cellStyle name="40% - Accent2 9 9" xfId="23277" xr:uid="{00000000-0005-0000-0000-000045260000}"/>
    <cellStyle name="40% - Accent3" xfId="173" builtinId="39" customBuiltin="1"/>
    <cellStyle name="40% - Accent3 10" xfId="636" xr:uid="{00000000-0005-0000-0000-000047260000}"/>
    <cellStyle name="40% - Accent3 10 2" xfId="637" xr:uid="{00000000-0005-0000-0000-000048260000}"/>
    <cellStyle name="40% - Accent3 10 3" xfId="638" xr:uid="{00000000-0005-0000-0000-000049260000}"/>
    <cellStyle name="40% - Accent3 10 3 2" xfId="8366" xr:uid="{00000000-0005-0000-0000-00004A260000}"/>
    <cellStyle name="40% - Accent3 10 3 2 2" xfId="16162" xr:uid="{00000000-0005-0000-0000-00004B260000}"/>
    <cellStyle name="40% - Accent3 10 3 2 2 2" xfId="33797" xr:uid="{00000000-0005-0000-0000-00004C260000}"/>
    <cellStyle name="40% - Accent3 10 3 2 3" xfId="26780" xr:uid="{00000000-0005-0000-0000-00004D260000}"/>
    <cellStyle name="40% - Accent3 10 3 3" xfId="12511" xr:uid="{00000000-0005-0000-0000-00004E260000}"/>
    <cellStyle name="40% - Accent3 10 3 3 2" xfId="30179" xr:uid="{00000000-0005-0000-0000-00004F260000}"/>
    <cellStyle name="40% - Accent3 10 3 4" xfId="23915" xr:uid="{00000000-0005-0000-0000-000050260000}"/>
    <cellStyle name="40% - Accent3 10 3 5" xfId="51834" xr:uid="{00000000-0005-0000-0000-000051260000}"/>
    <cellStyle name="40% - Accent3 10 4" xfId="7710" xr:uid="{00000000-0005-0000-0000-000052260000}"/>
    <cellStyle name="40% - Accent3 10 4 2" xfId="15507" xr:uid="{00000000-0005-0000-0000-000053260000}"/>
    <cellStyle name="40% - Accent3 10 4 2 2" xfId="33142" xr:uid="{00000000-0005-0000-0000-000054260000}"/>
    <cellStyle name="40% - Accent3 10 4 3" xfId="26143" xr:uid="{00000000-0005-0000-0000-000055260000}"/>
    <cellStyle name="40% - Accent3 10 5" xfId="11353" xr:uid="{00000000-0005-0000-0000-000056260000}"/>
    <cellStyle name="40% - Accent3 10 5 2" xfId="29076" xr:uid="{00000000-0005-0000-0000-000057260000}"/>
    <cellStyle name="40% - Accent3 10 6" xfId="22117" xr:uid="{00000000-0005-0000-0000-000058260000}"/>
    <cellStyle name="40% - Accent3 10 6 2" xfId="38802" xr:uid="{00000000-0005-0000-0000-000059260000}"/>
    <cellStyle name="40% - Accent3 10 7" xfId="23278" xr:uid="{00000000-0005-0000-0000-00005A260000}"/>
    <cellStyle name="40% - Accent3 11" xfId="639" xr:uid="{00000000-0005-0000-0000-00005B260000}"/>
    <cellStyle name="40% - Accent3 11 10" xfId="3792" xr:uid="{00000000-0005-0000-0000-00005C260000}"/>
    <cellStyle name="40% - Accent3 11 10 2" xfId="8367" xr:uid="{00000000-0005-0000-0000-00005D260000}"/>
    <cellStyle name="40% - Accent3 11 10 2 2" xfId="16163" xr:uid="{00000000-0005-0000-0000-00005E260000}"/>
    <cellStyle name="40% - Accent3 11 10 2 2 2" xfId="33798" xr:uid="{00000000-0005-0000-0000-00005F260000}"/>
    <cellStyle name="40% - Accent3 11 10 2 3" xfId="26781" xr:uid="{00000000-0005-0000-0000-000060260000}"/>
    <cellStyle name="40% - Accent3 11 10 3" xfId="12512" xr:uid="{00000000-0005-0000-0000-000061260000}"/>
    <cellStyle name="40% - Accent3 11 10 3 2" xfId="30180" xr:uid="{00000000-0005-0000-0000-000062260000}"/>
    <cellStyle name="40% - Accent3 11 10 4" xfId="23916" xr:uid="{00000000-0005-0000-0000-000063260000}"/>
    <cellStyle name="40% - Accent3 11 11" xfId="5719" xr:uid="{00000000-0005-0000-0000-000064260000}"/>
    <cellStyle name="40% - Accent3 11 11 2" xfId="9019" xr:uid="{00000000-0005-0000-0000-000065260000}"/>
    <cellStyle name="40% - Accent3 11 11 2 2" xfId="16814" xr:uid="{00000000-0005-0000-0000-000066260000}"/>
    <cellStyle name="40% - Accent3 11 11 2 2 2" xfId="34450" xr:uid="{00000000-0005-0000-0000-000067260000}"/>
    <cellStyle name="40% - Accent3 11 11 2 3" xfId="27407" xr:uid="{00000000-0005-0000-0000-000068260000}"/>
    <cellStyle name="40% - Accent3 11 11 3" xfId="13575" xr:uid="{00000000-0005-0000-0000-000069260000}"/>
    <cellStyle name="40% - Accent3 11 11 3 2" xfId="31215" xr:uid="{00000000-0005-0000-0000-00006A260000}"/>
    <cellStyle name="40% - Accent3 11 11 4" xfId="24542" xr:uid="{00000000-0005-0000-0000-00006B260000}"/>
    <cellStyle name="40% - Accent3 11 12" xfId="6349" xr:uid="{00000000-0005-0000-0000-00006C260000}"/>
    <cellStyle name="40% - Accent3 11 12 2" xfId="9559" xr:uid="{00000000-0005-0000-0000-00006D260000}"/>
    <cellStyle name="40% - Accent3 11 12 2 2" xfId="17353" xr:uid="{00000000-0005-0000-0000-00006E260000}"/>
    <cellStyle name="40% - Accent3 11 12 2 2 2" xfId="34990" xr:uid="{00000000-0005-0000-0000-00006F260000}"/>
    <cellStyle name="40% - Accent3 11 12 2 3" xfId="27943" xr:uid="{00000000-0005-0000-0000-000070260000}"/>
    <cellStyle name="40% - Accent3 11 12 3" xfId="14138" xr:uid="{00000000-0005-0000-0000-000071260000}"/>
    <cellStyle name="40% - Accent3 11 12 3 2" xfId="31773" xr:uid="{00000000-0005-0000-0000-000072260000}"/>
    <cellStyle name="40% - Accent3 11 12 4" xfId="25079" xr:uid="{00000000-0005-0000-0000-000073260000}"/>
    <cellStyle name="40% - Accent3 11 13" xfId="6887" xr:uid="{00000000-0005-0000-0000-000074260000}"/>
    <cellStyle name="40% - Accent3 11 13 2" xfId="10097" xr:uid="{00000000-0005-0000-0000-000075260000}"/>
    <cellStyle name="40% - Accent3 11 13 2 2" xfId="17890" xr:uid="{00000000-0005-0000-0000-000076260000}"/>
    <cellStyle name="40% - Accent3 11 13 2 2 2" xfId="35527" xr:uid="{00000000-0005-0000-0000-000077260000}"/>
    <cellStyle name="40% - Accent3 11 13 2 3" xfId="28480" xr:uid="{00000000-0005-0000-0000-000078260000}"/>
    <cellStyle name="40% - Accent3 11 13 3" xfId="14675" xr:uid="{00000000-0005-0000-0000-000079260000}"/>
    <cellStyle name="40% - Accent3 11 13 3 2" xfId="32310" xr:uid="{00000000-0005-0000-0000-00007A260000}"/>
    <cellStyle name="40% - Accent3 11 13 4" xfId="25617" xr:uid="{00000000-0005-0000-0000-00007B260000}"/>
    <cellStyle name="40% - Accent3 11 14" xfId="7711" xr:uid="{00000000-0005-0000-0000-00007C260000}"/>
    <cellStyle name="40% - Accent3 11 14 2" xfId="15508" xr:uid="{00000000-0005-0000-0000-00007D260000}"/>
    <cellStyle name="40% - Accent3 11 14 2 2" xfId="33143" xr:uid="{00000000-0005-0000-0000-00007E260000}"/>
    <cellStyle name="40% - Accent3 11 14 3" xfId="26144" xr:uid="{00000000-0005-0000-0000-00007F260000}"/>
    <cellStyle name="40% - Accent3 11 15" xfId="11354" xr:uid="{00000000-0005-0000-0000-000080260000}"/>
    <cellStyle name="40% - Accent3 11 15 2" xfId="29077" xr:uid="{00000000-0005-0000-0000-000081260000}"/>
    <cellStyle name="40% - Accent3 11 16" xfId="22118" xr:uid="{00000000-0005-0000-0000-000082260000}"/>
    <cellStyle name="40% - Accent3 11 16 2" xfId="38803" xr:uid="{00000000-0005-0000-0000-000083260000}"/>
    <cellStyle name="40% - Accent3 11 17" xfId="23279" xr:uid="{00000000-0005-0000-0000-000084260000}"/>
    <cellStyle name="40% - Accent3 11 18" xfId="51835" xr:uid="{00000000-0005-0000-0000-000085260000}"/>
    <cellStyle name="40% - Accent3 11 2" xfId="640" xr:uid="{00000000-0005-0000-0000-000086260000}"/>
    <cellStyle name="40% - Accent3 11 2 2" xfId="3793" xr:uid="{00000000-0005-0000-0000-000087260000}"/>
    <cellStyle name="40% - Accent3 11 2 2 2" xfId="8368" xr:uid="{00000000-0005-0000-0000-000088260000}"/>
    <cellStyle name="40% - Accent3 11 2 2 2 2" xfId="16164" xr:uid="{00000000-0005-0000-0000-000089260000}"/>
    <cellStyle name="40% - Accent3 11 2 2 2 2 2" xfId="33799" xr:uid="{00000000-0005-0000-0000-00008A260000}"/>
    <cellStyle name="40% - Accent3 11 2 2 2 3" xfId="26782" xr:uid="{00000000-0005-0000-0000-00008B260000}"/>
    <cellStyle name="40% - Accent3 11 2 2 3" xfId="12513" xr:uid="{00000000-0005-0000-0000-00008C260000}"/>
    <cellStyle name="40% - Accent3 11 2 2 3 2" xfId="30181" xr:uid="{00000000-0005-0000-0000-00008D260000}"/>
    <cellStyle name="40% - Accent3 11 2 2 4" xfId="23917" xr:uid="{00000000-0005-0000-0000-00008E260000}"/>
    <cellStyle name="40% - Accent3 11 2 3" xfId="5720" xr:uid="{00000000-0005-0000-0000-00008F260000}"/>
    <cellStyle name="40% - Accent3 11 2 3 2" xfId="9020" xr:uid="{00000000-0005-0000-0000-000090260000}"/>
    <cellStyle name="40% - Accent3 11 2 3 2 2" xfId="16815" xr:uid="{00000000-0005-0000-0000-000091260000}"/>
    <cellStyle name="40% - Accent3 11 2 3 2 2 2" xfId="34451" xr:uid="{00000000-0005-0000-0000-000092260000}"/>
    <cellStyle name="40% - Accent3 11 2 3 2 3" xfId="27408" xr:uid="{00000000-0005-0000-0000-000093260000}"/>
    <cellStyle name="40% - Accent3 11 2 3 3" xfId="13576" xr:uid="{00000000-0005-0000-0000-000094260000}"/>
    <cellStyle name="40% - Accent3 11 2 3 3 2" xfId="31216" xr:uid="{00000000-0005-0000-0000-000095260000}"/>
    <cellStyle name="40% - Accent3 11 2 3 4" xfId="24543" xr:uid="{00000000-0005-0000-0000-000096260000}"/>
    <cellStyle name="40% - Accent3 11 2 4" xfId="6350" xr:uid="{00000000-0005-0000-0000-000097260000}"/>
    <cellStyle name="40% - Accent3 11 2 4 2" xfId="9560" xr:uid="{00000000-0005-0000-0000-000098260000}"/>
    <cellStyle name="40% - Accent3 11 2 4 2 2" xfId="17354" xr:uid="{00000000-0005-0000-0000-000099260000}"/>
    <cellStyle name="40% - Accent3 11 2 4 2 2 2" xfId="34991" xr:uid="{00000000-0005-0000-0000-00009A260000}"/>
    <cellStyle name="40% - Accent3 11 2 4 2 3" xfId="27944" xr:uid="{00000000-0005-0000-0000-00009B260000}"/>
    <cellStyle name="40% - Accent3 11 2 4 3" xfId="14139" xr:uid="{00000000-0005-0000-0000-00009C260000}"/>
    <cellStyle name="40% - Accent3 11 2 4 3 2" xfId="31774" xr:uid="{00000000-0005-0000-0000-00009D260000}"/>
    <cellStyle name="40% - Accent3 11 2 4 4" xfId="25080" xr:uid="{00000000-0005-0000-0000-00009E260000}"/>
    <cellStyle name="40% - Accent3 11 2 5" xfId="6888" xr:uid="{00000000-0005-0000-0000-00009F260000}"/>
    <cellStyle name="40% - Accent3 11 2 5 2" xfId="10098" xr:uid="{00000000-0005-0000-0000-0000A0260000}"/>
    <cellStyle name="40% - Accent3 11 2 5 2 2" xfId="17891" xr:uid="{00000000-0005-0000-0000-0000A1260000}"/>
    <cellStyle name="40% - Accent3 11 2 5 2 2 2" xfId="35528" xr:uid="{00000000-0005-0000-0000-0000A2260000}"/>
    <cellStyle name="40% - Accent3 11 2 5 2 3" xfId="28481" xr:uid="{00000000-0005-0000-0000-0000A3260000}"/>
    <cellStyle name="40% - Accent3 11 2 5 3" xfId="14676" xr:uid="{00000000-0005-0000-0000-0000A4260000}"/>
    <cellStyle name="40% - Accent3 11 2 5 3 2" xfId="32311" xr:uid="{00000000-0005-0000-0000-0000A5260000}"/>
    <cellStyle name="40% - Accent3 11 2 5 4" xfId="25618" xr:uid="{00000000-0005-0000-0000-0000A6260000}"/>
    <cellStyle name="40% - Accent3 11 2 6" xfId="7712" xr:uid="{00000000-0005-0000-0000-0000A7260000}"/>
    <cellStyle name="40% - Accent3 11 2 6 2" xfId="15509" xr:uid="{00000000-0005-0000-0000-0000A8260000}"/>
    <cellStyle name="40% - Accent3 11 2 6 2 2" xfId="33144" xr:uid="{00000000-0005-0000-0000-0000A9260000}"/>
    <cellStyle name="40% - Accent3 11 2 6 3" xfId="26145" xr:uid="{00000000-0005-0000-0000-0000AA260000}"/>
    <cellStyle name="40% - Accent3 11 2 7" xfId="11355" xr:uid="{00000000-0005-0000-0000-0000AB260000}"/>
    <cellStyle name="40% - Accent3 11 2 7 2" xfId="29078" xr:uid="{00000000-0005-0000-0000-0000AC260000}"/>
    <cellStyle name="40% - Accent3 11 2 8" xfId="23280" xr:uid="{00000000-0005-0000-0000-0000AD260000}"/>
    <cellStyle name="40% - Accent3 11 2 9" xfId="51836" xr:uid="{00000000-0005-0000-0000-0000AE260000}"/>
    <cellStyle name="40% - Accent3 11 3" xfId="641" xr:uid="{00000000-0005-0000-0000-0000AF260000}"/>
    <cellStyle name="40% - Accent3 11 3 10" xfId="23281" xr:uid="{00000000-0005-0000-0000-0000B0260000}"/>
    <cellStyle name="40% - Accent3 11 3 11" xfId="51837" xr:uid="{00000000-0005-0000-0000-0000B1260000}"/>
    <cellStyle name="40% - Accent3 11 3 2" xfId="642" xr:uid="{00000000-0005-0000-0000-0000B2260000}"/>
    <cellStyle name="40% - Accent3 11 3 2 2" xfId="3795" xr:uid="{00000000-0005-0000-0000-0000B3260000}"/>
    <cellStyle name="40% - Accent3 11 3 2 2 2" xfId="8370" xr:uid="{00000000-0005-0000-0000-0000B4260000}"/>
    <cellStyle name="40% - Accent3 11 3 2 2 2 2" xfId="16166" xr:uid="{00000000-0005-0000-0000-0000B5260000}"/>
    <cellStyle name="40% - Accent3 11 3 2 2 2 2 2" xfId="33801" xr:uid="{00000000-0005-0000-0000-0000B6260000}"/>
    <cellStyle name="40% - Accent3 11 3 2 2 2 3" xfId="26784" xr:uid="{00000000-0005-0000-0000-0000B7260000}"/>
    <cellStyle name="40% - Accent3 11 3 2 2 3" xfId="12515" xr:uid="{00000000-0005-0000-0000-0000B8260000}"/>
    <cellStyle name="40% - Accent3 11 3 2 2 3 2" xfId="30183" xr:uid="{00000000-0005-0000-0000-0000B9260000}"/>
    <cellStyle name="40% - Accent3 11 3 2 2 4" xfId="23919" xr:uid="{00000000-0005-0000-0000-0000BA260000}"/>
    <cellStyle name="40% - Accent3 11 3 2 3" xfId="5722" xr:uid="{00000000-0005-0000-0000-0000BB260000}"/>
    <cellStyle name="40% - Accent3 11 3 2 3 2" xfId="9022" xr:uid="{00000000-0005-0000-0000-0000BC260000}"/>
    <cellStyle name="40% - Accent3 11 3 2 3 2 2" xfId="16817" xr:uid="{00000000-0005-0000-0000-0000BD260000}"/>
    <cellStyle name="40% - Accent3 11 3 2 3 2 2 2" xfId="34453" xr:uid="{00000000-0005-0000-0000-0000BE260000}"/>
    <cellStyle name="40% - Accent3 11 3 2 3 2 3" xfId="27410" xr:uid="{00000000-0005-0000-0000-0000BF260000}"/>
    <cellStyle name="40% - Accent3 11 3 2 3 3" xfId="13578" xr:uid="{00000000-0005-0000-0000-0000C0260000}"/>
    <cellStyle name="40% - Accent3 11 3 2 3 3 2" xfId="31218" xr:uid="{00000000-0005-0000-0000-0000C1260000}"/>
    <cellStyle name="40% - Accent3 11 3 2 3 4" xfId="24545" xr:uid="{00000000-0005-0000-0000-0000C2260000}"/>
    <cellStyle name="40% - Accent3 11 3 2 4" xfId="6352" xr:uid="{00000000-0005-0000-0000-0000C3260000}"/>
    <cellStyle name="40% - Accent3 11 3 2 4 2" xfId="9562" xr:uid="{00000000-0005-0000-0000-0000C4260000}"/>
    <cellStyle name="40% - Accent3 11 3 2 4 2 2" xfId="17356" xr:uid="{00000000-0005-0000-0000-0000C5260000}"/>
    <cellStyle name="40% - Accent3 11 3 2 4 2 2 2" xfId="34993" xr:uid="{00000000-0005-0000-0000-0000C6260000}"/>
    <cellStyle name="40% - Accent3 11 3 2 4 2 3" xfId="27946" xr:uid="{00000000-0005-0000-0000-0000C7260000}"/>
    <cellStyle name="40% - Accent3 11 3 2 4 3" xfId="14141" xr:uid="{00000000-0005-0000-0000-0000C8260000}"/>
    <cellStyle name="40% - Accent3 11 3 2 4 3 2" xfId="31776" xr:uid="{00000000-0005-0000-0000-0000C9260000}"/>
    <cellStyle name="40% - Accent3 11 3 2 4 4" xfId="25082" xr:uid="{00000000-0005-0000-0000-0000CA260000}"/>
    <cellStyle name="40% - Accent3 11 3 2 5" xfId="6890" xr:uid="{00000000-0005-0000-0000-0000CB260000}"/>
    <cellStyle name="40% - Accent3 11 3 2 5 2" xfId="10100" xr:uid="{00000000-0005-0000-0000-0000CC260000}"/>
    <cellStyle name="40% - Accent3 11 3 2 5 2 2" xfId="17893" xr:uid="{00000000-0005-0000-0000-0000CD260000}"/>
    <cellStyle name="40% - Accent3 11 3 2 5 2 2 2" xfId="35530" xr:uid="{00000000-0005-0000-0000-0000CE260000}"/>
    <cellStyle name="40% - Accent3 11 3 2 5 2 3" xfId="28483" xr:uid="{00000000-0005-0000-0000-0000CF260000}"/>
    <cellStyle name="40% - Accent3 11 3 2 5 3" xfId="14678" xr:uid="{00000000-0005-0000-0000-0000D0260000}"/>
    <cellStyle name="40% - Accent3 11 3 2 5 3 2" xfId="32313" xr:uid="{00000000-0005-0000-0000-0000D1260000}"/>
    <cellStyle name="40% - Accent3 11 3 2 5 4" xfId="25620" xr:uid="{00000000-0005-0000-0000-0000D2260000}"/>
    <cellStyle name="40% - Accent3 11 3 2 6" xfId="7714" xr:uid="{00000000-0005-0000-0000-0000D3260000}"/>
    <cellStyle name="40% - Accent3 11 3 2 6 2" xfId="15511" xr:uid="{00000000-0005-0000-0000-0000D4260000}"/>
    <cellStyle name="40% - Accent3 11 3 2 6 2 2" xfId="33146" xr:uid="{00000000-0005-0000-0000-0000D5260000}"/>
    <cellStyle name="40% - Accent3 11 3 2 6 3" xfId="26147" xr:uid="{00000000-0005-0000-0000-0000D6260000}"/>
    <cellStyle name="40% - Accent3 11 3 2 7" xfId="11357" xr:uid="{00000000-0005-0000-0000-0000D7260000}"/>
    <cellStyle name="40% - Accent3 11 3 2 7 2" xfId="29080" xr:uid="{00000000-0005-0000-0000-0000D8260000}"/>
    <cellStyle name="40% - Accent3 11 3 2 8" xfId="23282" xr:uid="{00000000-0005-0000-0000-0000D9260000}"/>
    <cellStyle name="40% - Accent3 11 3 2 9" xfId="51838" xr:uid="{00000000-0005-0000-0000-0000DA260000}"/>
    <cellStyle name="40% - Accent3 11 3 3" xfId="3796" xr:uid="{00000000-0005-0000-0000-0000DB260000}"/>
    <cellStyle name="40% - Accent3 11 3 3 2" xfId="5723" xr:uid="{00000000-0005-0000-0000-0000DC260000}"/>
    <cellStyle name="40% - Accent3 11 3 3 2 2" xfId="9023" xr:uid="{00000000-0005-0000-0000-0000DD260000}"/>
    <cellStyle name="40% - Accent3 11 3 3 2 2 2" xfId="16818" xr:uid="{00000000-0005-0000-0000-0000DE260000}"/>
    <cellStyle name="40% - Accent3 11 3 3 2 2 2 2" xfId="34454" xr:uid="{00000000-0005-0000-0000-0000DF260000}"/>
    <cellStyle name="40% - Accent3 11 3 3 2 2 3" xfId="27411" xr:uid="{00000000-0005-0000-0000-0000E0260000}"/>
    <cellStyle name="40% - Accent3 11 3 3 2 3" xfId="13579" xr:uid="{00000000-0005-0000-0000-0000E1260000}"/>
    <cellStyle name="40% - Accent3 11 3 3 2 3 2" xfId="31219" xr:uid="{00000000-0005-0000-0000-0000E2260000}"/>
    <cellStyle name="40% - Accent3 11 3 3 2 4" xfId="24546" xr:uid="{00000000-0005-0000-0000-0000E3260000}"/>
    <cellStyle name="40% - Accent3 11 3 3 3" xfId="6353" xr:uid="{00000000-0005-0000-0000-0000E4260000}"/>
    <cellStyle name="40% - Accent3 11 3 3 3 2" xfId="9563" xr:uid="{00000000-0005-0000-0000-0000E5260000}"/>
    <cellStyle name="40% - Accent3 11 3 3 3 2 2" xfId="17357" xr:uid="{00000000-0005-0000-0000-0000E6260000}"/>
    <cellStyle name="40% - Accent3 11 3 3 3 2 2 2" xfId="34994" xr:uid="{00000000-0005-0000-0000-0000E7260000}"/>
    <cellStyle name="40% - Accent3 11 3 3 3 2 3" xfId="27947" xr:uid="{00000000-0005-0000-0000-0000E8260000}"/>
    <cellStyle name="40% - Accent3 11 3 3 3 3" xfId="14142" xr:uid="{00000000-0005-0000-0000-0000E9260000}"/>
    <cellStyle name="40% - Accent3 11 3 3 3 3 2" xfId="31777" xr:uid="{00000000-0005-0000-0000-0000EA260000}"/>
    <cellStyle name="40% - Accent3 11 3 3 3 4" xfId="25083" xr:uid="{00000000-0005-0000-0000-0000EB260000}"/>
    <cellStyle name="40% - Accent3 11 3 3 4" xfId="6891" xr:uid="{00000000-0005-0000-0000-0000EC260000}"/>
    <cellStyle name="40% - Accent3 11 3 3 4 2" xfId="10101" xr:uid="{00000000-0005-0000-0000-0000ED260000}"/>
    <cellStyle name="40% - Accent3 11 3 3 4 2 2" xfId="17894" xr:uid="{00000000-0005-0000-0000-0000EE260000}"/>
    <cellStyle name="40% - Accent3 11 3 3 4 2 2 2" xfId="35531" xr:uid="{00000000-0005-0000-0000-0000EF260000}"/>
    <cellStyle name="40% - Accent3 11 3 3 4 2 3" xfId="28484" xr:uid="{00000000-0005-0000-0000-0000F0260000}"/>
    <cellStyle name="40% - Accent3 11 3 3 4 3" xfId="14679" xr:uid="{00000000-0005-0000-0000-0000F1260000}"/>
    <cellStyle name="40% - Accent3 11 3 3 4 3 2" xfId="32314" xr:uid="{00000000-0005-0000-0000-0000F2260000}"/>
    <cellStyle name="40% - Accent3 11 3 3 4 4" xfId="25621" xr:uid="{00000000-0005-0000-0000-0000F3260000}"/>
    <cellStyle name="40% - Accent3 11 3 3 5" xfId="8371" xr:uid="{00000000-0005-0000-0000-0000F4260000}"/>
    <cellStyle name="40% - Accent3 11 3 3 5 2" xfId="16167" xr:uid="{00000000-0005-0000-0000-0000F5260000}"/>
    <cellStyle name="40% - Accent3 11 3 3 5 2 2" xfId="33802" xr:uid="{00000000-0005-0000-0000-0000F6260000}"/>
    <cellStyle name="40% - Accent3 11 3 3 5 3" xfId="26785" xr:uid="{00000000-0005-0000-0000-0000F7260000}"/>
    <cellStyle name="40% - Accent3 11 3 3 6" xfId="12516" xr:uid="{00000000-0005-0000-0000-0000F8260000}"/>
    <cellStyle name="40% - Accent3 11 3 3 6 2" xfId="30184" xr:uid="{00000000-0005-0000-0000-0000F9260000}"/>
    <cellStyle name="40% - Accent3 11 3 3 7" xfId="23920" xr:uid="{00000000-0005-0000-0000-0000FA260000}"/>
    <cellStyle name="40% - Accent3 11 3 4" xfId="3794" xr:uid="{00000000-0005-0000-0000-0000FB260000}"/>
    <cellStyle name="40% - Accent3 11 3 4 2" xfId="8369" xr:uid="{00000000-0005-0000-0000-0000FC260000}"/>
    <cellStyle name="40% - Accent3 11 3 4 2 2" xfId="16165" xr:uid="{00000000-0005-0000-0000-0000FD260000}"/>
    <cellStyle name="40% - Accent3 11 3 4 2 2 2" xfId="33800" xr:uid="{00000000-0005-0000-0000-0000FE260000}"/>
    <cellStyle name="40% - Accent3 11 3 4 2 3" xfId="26783" xr:uid="{00000000-0005-0000-0000-0000FF260000}"/>
    <cellStyle name="40% - Accent3 11 3 4 3" xfId="12514" xr:uid="{00000000-0005-0000-0000-000000270000}"/>
    <cellStyle name="40% - Accent3 11 3 4 3 2" xfId="30182" xr:uid="{00000000-0005-0000-0000-000001270000}"/>
    <cellStyle name="40% - Accent3 11 3 4 4" xfId="23918" xr:uid="{00000000-0005-0000-0000-000002270000}"/>
    <cellStyle name="40% - Accent3 11 3 5" xfId="5721" xr:uid="{00000000-0005-0000-0000-000003270000}"/>
    <cellStyle name="40% - Accent3 11 3 5 2" xfId="9021" xr:uid="{00000000-0005-0000-0000-000004270000}"/>
    <cellStyle name="40% - Accent3 11 3 5 2 2" xfId="16816" xr:uid="{00000000-0005-0000-0000-000005270000}"/>
    <cellStyle name="40% - Accent3 11 3 5 2 2 2" xfId="34452" xr:uid="{00000000-0005-0000-0000-000006270000}"/>
    <cellStyle name="40% - Accent3 11 3 5 2 3" xfId="27409" xr:uid="{00000000-0005-0000-0000-000007270000}"/>
    <cellStyle name="40% - Accent3 11 3 5 3" xfId="13577" xr:uid="{00000000-0005-0000-0000-000008270000}"/>
    <cellStyle name="40% - Accent3 11 3 5 3 2" xfId="31217" xr:uid="{00000000-0005-0000-0000-000009270000}"/>
    <cellStyle name="40% - Accent3 11 3 5 4" xfId="24544" xr:uid="{00000000-0005-0000-0000-00000A270000}"/>
    <cellStyle name="40% - Accent3 11 3 6" xfId="6351" xr:uid="{00000000-0005-0000-0000-00000B270000}"/>
    <cellStyle name="40% - Accent3 11 3 6 2" xfId="9561" xr:uid="{00000000-0005-0000-0000-00000C270000}"/>
    <cellStyle name="40% - Accent3 11 3 6 2 2" xfId="17355" xr:uid="{00000000-0005-0000-0000-00000D270000}"/>
    <cellStyle name="40% - Accent3 11 3 6 2 2 2" xfId="34992" xr:uid="{00000000-0005-0000-0000-00000E270000}"/>
    <cellStyle name="40% - Accent3 11 3 6 2 3" xfId="27945" xr:uid="{00000000-0005-0000-0000-00000F270000}"/>
    <cellStyle name="40% - Accent3 11 3 6 3" xfId="14140" xr:uid="{00000000-0005-0000-0000-000010270000}"/>
    <cellStyle name="40% - Accent3 11 3 6 3 2" xfId="31775" xr:uid="{00000000-0005-0000-0000-000011270000}"/>
    <cellStyle name="40% - Accent3 11 3 6 4" xfId="25081" xr:uid="{00000000-0005-0000-0000-000012270000}"/>
    <cellStyle name="40% - Accent3 11 3 7" xfId="6889" xr:uid="{00000000-0005-0000-0000-000013270000}"/>
    <cellStyle name="40% - Accent3 11 3 7 2" xfId="10099" xr:uid="{00000000-0005-0000-0000-000014270000}"/>
    <cellStyle name="40% - Accent3 11 3 7 2 2" xfId="17892" xr:uid="{00000000-0005-0000-0000-000015270000}"/>
    <cellStyle name="40% - Accent3 11 3 7 2 2 2" xfId="35529" xr:uid="{00000000-0005-0000-0000-000016270000}"/>
    <cellStyle name="40% - Accent3 11 3 7 2 3" xfId="28482" xr:uid="{00000000-0005-0000-0000-000017270000}"/>
    <cellStyle name="40% - Accent3 11 3 7 3" xfId="14677" xr:uid="{00000000-0005-0000-0000-000018270000}"/>
    <cellStyle name="40% - Accent3 11 3 7 3 2" xfId="32312" xr:uid="{00000000-0005-0000-0000-000019270000}"/>
    <cellStyle name="40% - Accent3 11 3 7 4" xfId="25619" xr:uid="{00000000-0005-0000-0000-00001A270000}"/>
    <cellStyle name="40% - Accent3 11 3 8" xfId="7713" xr:uid="{00000000-0005-0000-0000-00001B270000}"/>
    <cellStyle name="40% - Accent3 11 3 8 2" xfId="15510" xr:uid="{00000000-0005-0000-0000-00001C270000}"/>
    <cellStyle name="40% - Accent3 11 3 8 2 2" xfId="33145" xr:uid="{00000000-0005-0000-0000-00001D270000}"/>
    <cellStyle name="40% - Accent3 11 3 8 3" xfId="26146" xr:uid="{00000000-0005-0000-0000-00001E270000}"/>
    <cellStyle name="40% - Accent3 11 3 9" xfId="11356" xr:uid="{00000000-0005-0000-0000-00001F270000}"/>
    <cellStyle name="40% - Accent3 11 3 9 2" xfId="29079" xr:uid="{00000000-0005-0000-0000-000020270000}"/>
    <cellStyle name="40% - Accent3 11 4" xfId="643" xr:uid="{00000000-0005-0000-0000-000021270000}"/>
    <cellStyle name="40% - Accent3 11 4 2" xfId="3797" xr:uid="{00000000-0005-0000-0000-000022270000}"/>
    <cellStyle name="40% - Accent3 11 4 2 2" xfId="8372" xr:uid="{00000000-0005-0000-0000-000023270000}"/>
    <cellStyle name="40% - Accent3 11 4 2 2 2" xfId="16168" xr:uid="{00000000-0005-0000-0000-000024270000}"/>
    <cellStyle name="40% - Accent3 11 4 2 2 2 2" xfId="33803" xr:uid="{00000000-0005-0000-0000-000025270000}"/>
    <cellStyle name="40% - Accent3 11 4 2 2 3" xfId="26786" xr:uid="{00000000-0005-0000-0000-000026270000}"/>
    <cellStyle name="40% - Accent3 11 4 2 3" xfId="12517" xr:uid="{00000000-0005-0000-0000-000027270000}"/>
    <cellStyle name="40% - Accent3 11 4 2 3 2" xfId="30185" xr:uid="{00000000-0005-0000-0000-000028270000}"/>
    <cellStyle name="40% - Accent3 11 4 2 4" xfId="23921" xr:uid="{00000000-0005-0000-0000-000029270000}"/>
    <cellStyle name="40% - Accent3 11 4 3" xfId="5724" xr:uid="{00000000-0005-0000-0000-00002A270000}"/>
    <cellStyle name="40% - Accent3 11 4 3 2" xfId="9024" xr:uid="{00000000-0005-0000-0000-00002B270000}"/>
    <cellStyle name="40% - Accent3 11 4 3 2 2" xfId="16819" xr:uid="{00000000-0005-0000-0000-00002C270000}"/>
    <cellStyle name="40% - Accent3 11 4 3 2 2 2" xfId="34455" xr:uid="{00000000-0005-0000-0000-00002D270000}"/>
    <cellStyle name="40% - Accent3 11 4 3 2 3" xfId="27412" xr:uid="{00000000-0005-0000-0000-00002E270000}"/>
    <cellStyle name="40% - Accent3 11 4 3 3" xfId="13580" xr:uid="{00000000-0005-0000-0000-00002F270000}"/>
    <cellStyle name="40% - Accent3 11 4 3 3 2" xfId="31220" xr:uid="{00000000-0005-0000-0000-000030270000}"/>
    <cellStyle name="40% - Accent3 11 4 3 4" xfId="24547" xr:uid="{00000000-0005-0000-0000-000031270000}"/>
    <cellStyle name="40% - Accent3 11 4 4" xfId="6354" xr:uid="{00000000-0005-0000-0000-000032270000}"/>
    <cellStyle name="40% - Accent3 11 4 4 2" xfId="9564" xr:uid="{00000000-0005-0000-0000-000033270000}"/>
    <cellStyle name="40% - Accent3 11 4 4 2 2" xfId="17358" xr:uid="{00000000-0005-0000-0000-000034270000}"/>
    <cellStyle name="40% - Accent3 11 4 4 2 2 2" xfId="34995" xr:uid="{00000000-0005-0000-0000-000035270000}"/>
    <cellStyle name="40% - Accent3 11 4 4 2 3" xfId="27948" xr:uid="{00000000-0005-0000-0000-000036270000}"/>
    <cellStyle name="40% - Accent3 11 4 4 3" xfId="14143" xr:uid="{00000000-0005-0000-0000-000037270000}"/>
    <cellStyle name="40% - Accent3 11 4 4 3 2" xfId="31778" xr:uid="{00000000-0005-0000-0000-000038270000}"/>
    <cellStyle name="40% - Accent3 11 4 4 4" xfId="25084" xr:uid="{00000000-0005-0000-0000-000039270000}"/>
    <cellStyle name="40% - Accent3 11 4 5" xfId="6892" xr:uid="{00000000-0005-0000-0000-00003A270000}"/>
    <cellStyle name="40% - Accent3 11 4 5 2" xfId="10102" xr:uid="{00000000-0005-0000-0000-00003B270000}"/>
    <cellStyle name="40% - Accent3 11 4 5 2 2" xfId="17895" xr:uid="{00000000-0005-0000-0000-00003C270000}"/>
    <cellStyle name="40% - Accent3 11 4 5 2 2 2" xfId="35532" xr:uid="{00000000-0005-0000-0000-00003D270000}"/>
    <cellStyle name="40% - Accent3 11 4 5 2 3" xfId="28485" xr:uid="{00000000-0005-0000-0000-00003E270000}"/>
    <cellStyle name="40% - Accent3 11 4 5 3" xfId="14680" xr:uid="{00000000-0005-0000-0000-00003F270000}"/>
    <cellStyle name="40% - Accent3 11 4 5 3 2" xfId="32315" xr:uid="{00000000-0005-0000-0000-000040270000}"/>
    <cellStyle name="40% - Accent3 11 4 5 4" xfId="25622" xr:uid="{00000000-0005-0000-0000-000041270000}"/>
    <cellStyle name="40% - Accent3 11 4 6" xfId="7715" xr:uid="{00000000-0005-0000-0000-000042270000}"/>
    <cellStyle name="40% - Accent3 11 4 6 2" xfId="15512" xr:uid="{00000000-0005-0000-0000-000043270000}"/>
    <cellStyle name="40% - Accent3 11 4 6 2 2" xfId="33147" xr:uid="{00000000-0005-0000-0000-000044270000}"/>
    <cellStyle name="40% - Accent3 11 4 6 3" xfId="26148" xr:uid="{00000000-0005-0000-0000-000045270000}"/>
    <cellStyle name="40% - Accent3 11 4 7" xfId="11358" xr:uid="{00000000-0005-0000-0000-000046270000}"/>
    <cellStyle name="40% - Accent3 11 4 7 2" xfId="29081" xr:uid="{00000000-0005-0000-0000-000047270000}"/>
    <cellStyle name="40% - Accent3 11 4 8" xfId="23283" xr:uid="{00000000-0005-0000-0000-000048270000}"/>
    <cellStyle name="40% - Accent3 11 4 9" xfId="51839" xr:uid="{00000000-0005-0000-0000-000049270000}"/>
    <cellStyle name="40% - Accent3 11 5" xfId="644" xr:uid="{00000000-0005-0000-0000-00004A270000}"/>
    <cellStyle name="40% - Accent3 11 5 2" xfId="3798" xr:uid="{00000000-0005-0000-0000-00004B270000}"/>
    <cellStyle name="40% - Accent3 11 5 2 2" xfId="8373" xr:uid="{00000000-0005-0000-0000-00004C270000}"/>
    <cellStyle name="40% - Accent3 11 5 2 2 2" xfId="16169" xr:uid="{00000000-0005-0000-0000-00004D270000}"/>
    <cellStyle name="40% - Accent3 11 5 2 2 2 2" xfId="33804" xr:uid="{00000000-0005-0000-0000-00004E270000}"/>
    <cellStyle name="40% - Accent3 11 5 2 2 3" xfId="26787" xr:uid="{00000000-0005-0000-0000-00004F270000}"/>
    <cellStyle name="40% - Accent3 11 5 2 3" xfId="12518" xr:uid="{00000000-0005-0000-0000-000050270000}"/>
    <cellStyle name="40% - Accent3 11 5 2 3 2" xfId="30186" xr:uid="{00000000-0005-0000-0000-000051270000}"/>
    <cellStyle name="40% - Accent3 11 5 2 4" xfId="23922" xr:uid="{00000000-0005-0000-0000-000052270000}"/>
    <cellStyle name="40% - Accent3 11 5 3" xfId="5725" xr:uid="{00000000-0005-0000-0000-000053270000}"/>
    <cellStyle name="40% - Accent3 11 5 3 2" xfId="9025" xr:uid="{00000000-0005-0000-0000-000054270000}"/>
    <cellStyle name="40% - Accent3 11 5 3 2 2" xfId="16820" xr:uid="{00000000-0005-0000-0000-000055270000}"/>
    <cellStyle name="40% - Accent3 11 5 3 2 2 2" xfId="34456" xr:uid="{00000000-0005-0000-0000-000056270000}"/>
    <cellStyle name="40% - Accent3 11 5 3 2 3" xfId="27413" xr:uid="{00000000-0005-0000-0000-000057270000}"/>
    <cellStyle name="40% - Accent3 11 5 3 3" xfId="13581" xr:uid="{00000000-0005-0000-0000-000058270000}"/>
    <cellStyle name="40% - Accent3 11 5 3 3 2" xfId="31221" xr:uid="{00000000-0005-0000-0000-000059270000}"/>
    <cellStyle name="40% - Accent3 11 5 3 4" xfId="24548" xr:uid="{00000000-0005-0000-0000-00005A270000}"/>
    <cellStyle name="40% - Accent3 11 5 4" xfId="6355" xr:uid="{00000000-0005-0000-0000-00005B270000}"/>
    <cellStyle name="40% - Accent3 11 5 4 2" xfId="9565" xr:uid="{00000000-0005-0000-0000-00005C270000}"/>
    <cellStyle name="40% - Accent3 11 5 4 2 2" xfId="17359" xr:uid="{00000000-0005-0000-0000-00005D270000}"/>
    <cellStyle name="40% - Accent3 11 5 4 2 2 2" xfId="34996" xr:uid="{00000000-0005-0000-0000-00005E270000}"/>
    <cellStyle name="40% - Accent3 11 5 4 2 3" xfId="27949" xr:uid="{00000000-0005-0000-0000-00005F270000}"/>
    <cellStyle name="40% - Accent3 11 5 4 3" xfId="14144" xr:uid="{00000000-0005-0000-0000-000060270000}"/>
    <cellStyle name="40% - Accent3 11 5 4 3 2" xfId="31779" xr:uid="{00000000-0005-0000-0000-000061270000}"/>
    <cellStyle name="40% - Accent3 11 5 4 4" xfId="25085" xr:uid="{00000000-0005-0000-0000-000062270000}"/>
    <cellStyle name="40% - Accent3 11 5 5" xfId="6893" xr:uid="{00000000-0005-0000-0000-000063270000}"/>
    <cellStyle name="40% - Accent3 11 5 5 2" xfId="10103" xr:uid="{00000000-0005-0000-0000-000064270000}"/>
    <cellStyle name="40% - Accent3 11 5 5 2 2" xfId="17896" xr:uid="{00000000-0005-0000-0000-000065270000}"/>
    <cellStyle name="40% - Accent3 11 5 5 2 2 2" xfId="35533" xr:uid="{00000000-0005-0000-0000-000066270000}"/>
    <cellStyle name="40% - Accent3 11 5 5 2 3" xfId="28486" xr:uid="{00000000-0005-0000-0000-000067270000}"/>
    <cellStyle name="40% - Accent3 11 5 5 3" xfId="14681" xr:uid="{00000000-0005-0000-0000-000068270000}"/>
    <cellStyle name="40% - Accent3 11 5 5 3 2" xfId="32316" xr:uid="{00000000-0005-0000-0000-000069270000}"/>
    <cellStyle name="40% - Accent3 11 5 5 4" xfId="25623" xr:uid="{00000000-0005-0000-0000-00006A270000}"/>
    <cellStyle name="40% - Accent3 11 5 6" xfId="7716" xr:uid="{00000000-0005-0000-0000-00006B270000}"/>
    <cellStyle name="40% - Accent3 11 5 6 2" xfId="15513" xr:uid="{00000000-0005-0000-0000-00006C270000}"/>
    <cellStyle name="40% - Accent3 11 5 6 2 2" xfId="33148" xr:uid="{00000000-0005-0000-0000-00006D270000}"/>
    <cellStyle name="40% - Accent3 11 5 6 3" xfId="26149" xr:uid="{00000000-0005-0000-0000-00006E270000}"/>
    <cellStyle name="40% - Accent3 11 5 7" xfId="11359" xr:uid="{00000000-0005-0000-0000-00006F270000}"/>
    <cellStyle name="40% - Accent3 11 5 7 2" xfId="29082" xr:uid="{00000000-0005-0000-0000-000070270000}"/>
    <cellStyle name="40% - Accent3 11 5 8" xfId="23284" xr:uid="{00000000-0005-0000-0000-000071270000}"/>
    <cellStyle name="40% - Accent3 11 5 9" xfId="51840" xr:uid="{00000000-0005-0000-0000-000072270000}"/>
    <cellStyle name="40% - Accent3 11 6" xfId="645" xr:uid="{00000000-0005-0000-0000-000073270000}"/>
    <cellStyle name="40% - Accent3 11 6 2" xfId="3799" xr:uid="{00000000-0005-0000-0000-000074270000}"/>
    <cellStyle name="40% - Accent3 11 6 2 2" xfId="8374" xr:uid="{00000000-0005-0000-0000-000075270000}"/>
    <cellStyle name="40% - Accent3 11 6 2 2 2" xfId="16170" xr:uid="{00000000-0005-0000-0000-000076270000}"/>
    <cellStyle name="40% - Accent3 11 6 2 2 2 2" xfId="33805" xr:uid="{00000000-0005-0000-0000-000077270000}"/>
    <cellStyle name="40% - Accent3 11 6 2 2 3" xfId="26788" xr:uid="{00000000-0005-0000-0000-000078270000}"/>
    <cellStyle name="40% - Accent3 11 6 2 3" xfId="12519" xr:uid="{00000000-0005-0000-0000-000079270000}"/>
    <cellStyle name="40% - Accent3 11 6 2 3 2" xfId="30187" xr:uid="{00000000-0005-0000-0000-00007A270000}"/>
    <cellStyle name="40% - Accent3 11 6 2 4" xfId="23923" xr:uid="{00000000-0005-0000-0000-00007B270000}"/>
    <cellStyle name="40% - Accent3 11 6 3" xfId="5726" xr:uid="{00000000-0005-0000-0000-00007C270000}"/>
    <cellStyle name="40% - Accent3 11 6 3 2" xfId="9026" xr:uid="{00000000-0005-0000-0000-00007D270000}"/>
    <cellStyle name="40% - Accent3 11 6 3 2 2" xfId="16821" xr:uid="{00000000-0005-0000-0000-00007E270000}"/>
    <cellStyle name="40% - Accent3 11 6 3 2 2 2" xfId="34457" xr:uid="{00000000-0005-0000-0000-00007F270000}"/>
    <cellStyle name="40% - Accent3 11 6 3 2 3" xfId="27414" xr:uid="{00000000-0005-0000-0000-000080270000}"/>
    <cellStyle name="40% - Accent3 11 6 3 3" xfId="13582" xr:uid="{00000000-0005-0000-0000-000081270000}"/>
    <cellStyle name="40% - Accent3 11 6 3 3 2" xfId="31222" xr:uid="{00000000-0005-0000-0000-000082270000}"/>
    <cellStyle name="40% - Accent3 11 6 3 4" xfId="24549" xr:uid="{00000000-0005-0000-0000-000083270000}"/>
    <cellStyle name="40% - Accent3 11 6 4" xfId="6356" xr:uid="{00000000-0005-0000-0000-000084270000}"/>
    <cellStyle name="40% - Accent3 11 6 4 2" xfId="9566" xr:uid="{00000000-0005-0000-0000-000085270000}"/>
    <cellStyle name="40% - Accent3 11 6 4 2 2" xfId="17360" xr:uid="{00000000-0005-0000-0000-000086270000}"/>
    <cellStyle name="40% - Accent3 11 6 4 2 2 2" xfId="34997" xr:uid="{00000000-0005-0000-0000-000087270000}"/>
    <cellStyle name="40% - Accent3 11 6 4 2 3" xfId="27950" xr:uid="{00000000-0005-0000-0000-000088270000}"/>
    <cellStyle name="40% - Accent3 11 6 4 3" xfId="14145" xr:uid="{00000000-0005-0000-0000-000089270000}"/>
    <cellStyle name="40% - Accent3 11 6 4 3 2" xfId="31780" xr:uid="{00000000-0005-0000-0000-00008A270000}"/>
    <cellStyle name="40% - Accent3 11 6 4 4" xfId="25086" xr:uid="{00000000-0005-0000-0000-00008B270000}"/>
    <cellStyle name="40% - Accent3 11 6 5" xfId="6894" xr:uid="{00000000-0005-0000-0000-00008C270000}"/>
    <cellStyle name="40% - Accent3 11 6 5 2" xfId="10104" xr:uid="{00000000-0005-0000-0000-00008D270000}"/>
    <cellStyle name="40% - Accent3 11 6 5 2 2" xfId="17897" xr:uid="{00000000-0005-0000-0000-00008E270000}"/>
    <cellStyle name="40% - Accent3 11 6 5 2 2 2" xfId="35534" xr:uid="{00000000-0005-0000-0000-00008F270000}"/>
    <cellStyle name="40% - Accent3 11 6 5 2 3" xfId="28487" xr:uid="{00000000-0005-0000-0000-000090270000}"/>
    <cellStyle name="40% - Accent3 11 6 5 3" xfId="14682" xr:uid="{00000000-0005-0000-0000-000091270000}"/>
    <cellStyle name="40% - Accent3 11 6 5 3 2" xfId="32317" xr:uid="{00000000-0005-0000-0000-000092270000}"/>
    <cellStyle name="40% - Accent3 11 6 5 4" xfId="25624" xr:uid="{00000000-0005-0000-0000-000093270000}"/>
    <cellStyle name="40% - Accent3 11 6 6" xfId="7717" xr:uid="{00000000-0005-0000-0000-000094270000}"/>
    <cellStyle name="40% - Accent3 11 6 6 2" xfId="15514" xr:uid="{00000000-0005-0000-0000-000095270000}"/>
    <cellStyle name="40% - Accent3 11 6 6 2 2" xfId="33149" xr:uid="{00000000-0005-0000-0000-000096270000}"/>
    <cellStyle name="40% - Accent3 11 6 6 3" xfId="26150" xr:uid="{00000000-0005-0000-0000-000097270000}"/>
    <cellStyle name="40% - Accent3 11 6 7" xfId="11360" xr:uid="{00000000-0005-0000-0000-000098270000}"/>
    <cellStyle name="40% - Accent3 11 6 7 2" xfId="29083" xr:uid="{00000000-0005-0000-0000-000099270000}"/>
    <cellStyle name="40% - Accent3 11 6 8" xfId="23285" xr:uid="{00000000-0005-0000-0000-00009A270000}"/>
    <cellStyle name="40% - Accent3 11 6 9" xfId="51841" xr:uid="{00000000-0005-0000-0000-00009B270000}"/>
    <cellStyle name="40% - Accent3 11 7" xfId="646" xr:uid="{00000000-0005-0000-0000-00009C270000}"/>
    <cellStyle name="40% - Accent3 11 7 10" xfId="51842" xr:uid="{00000000-0005-0000-0000-00009D270000}"/>
    <cellStyle name="40% - Accent3 11 7 2" xfId="647" xr:uid="{00000000-0005-0000-0000-00009E270000}"/>
    <cellStyle name="40% - Accent3 11 7 2 2" xfId="8376" xr:uid="{00000000-0005-0000-0000-00009F270000}"/>
    <cellStyle name="40% - Accent3 11 7 2 2 2" xfId="16172" xr:uid="{00000000-0005-0000-0000-0000A0270000}"/>
    <cellStyle name="40% - Accent3 11 7 2 2 2 2" xfId="33807" xr:uid="{00000000-0005-0000-0000-0000A1270000}"/>
    <cellStyle name="40% - Accent3 11 7 2 2 3" xfId="26790" xr:uid="{00000000-0005-0000-0000-0000A2270000}"/>
    <cellStyle name="40% - Accent3 11 7 2 3" xfId="12521" xr:uid="{00000000-0005-0000-0000-0000A3270000}"/>
    <cellStyle name="40% - Accent3 11 7 2 3 2" xfId="30189" xr:uid="{00000000-0005-0000-0000-0000A4270000}"/>
    <cellStyle name="40% - Accent3 11 7 2 4" xfId="23925" xr:uid="{00000000-0005-0000-0000-0000A5270000}"/>
    <cellStyle name="40% - Accent3 11 7 3" xfId="3800" xr:uid="{00000000-0005-0000-0000-0000A6270000}"/>
    <cellStyle name="40% - Accent3 11 7 3 2" xfId="8375" xr:uid="{00000000-0005-0000-0000-0000A7270000}"/>
    <cellStyle name="40% - Accent3 11 7 3 2 2" xfId="16171" xr:uid="{00000000-0005-0000-0000-0000A8270000}"/>
    <cellStyle name="40% - Accent3 11 7 3 2 2 2" xfId="33806" xr:uid="{00000000-0005-0000-0000-0000A9270000}"/>
    <cellStyle name="40% - Accent3 11 7 3 2 3" xfId="26789" xr:uid="{00000000-0005-0000-0000-0000AA270000}"/>
    <cellStyle name="40% - Accent3 11 7 3 3" xfId="12520" xr:uid="{00000000-0005-0000-0000-0000AB270000}"/>
    <cellStyle name="40% - Accent3 11 7 3 3 2" xfId="30188" xr:uid="{00000000-0005-0000-0000-0000AC270000}"/>
    <cellStyle name="40% - Accent3 11 7 3 4" xfId="23924" xr:uid="{00000000-0005-0000-0000-0000AD270000}"/>
    <cellStyle name="40% - Accent3 11 7 4" xfId="5727" xr:uid="{00000000-0005-0000-0000-0000AE270000}"/>
    <cellStyle name="40% - Accent3 11 7 4 2" xfId="9027" xr:uid="{00000000-0005-0000-0000-0000AF270000}"/>
    <cellStyle name="40% - Accent3 11 7 4 2 2" xfId="16822" xr:uid="{00000000-0005-0000-0000-0000B0270000}"/>
    <cellStyle name="40% - Accent3 11 7 4 2 2 2" xfId="34458" xr:uid="{00000000-0005-0000-0000-0000B1270000}"/>
    <cellStyle name="40% - Accent3 11 7 4 2 3" xfId="27415" xr:uid="{00000000-0005-0000-0000-0000B2270000}"/>
    <cellStyle name="40% - Accent3 11 7 4 3" xfId="13583" xr:uid="{00000000-0005-0000-0000-0000B3270000}"/>
    <cellStyle name="40% - Accent3 11 7 4 3 2" xfId="31223" xr:uid="{00000000-0005-0000-0000-0000B4270000}"/>
    <cellStyle name="40% - Accent3 11 7 4 4" xfId="24550" xr:uid="{00000000-0005-0000-0000-0000B5270000}"/>
    <cellStyle name="40% - Accent3 11 7 5" xfId="6357" xr:uid="{00000000-0005-0000-0000-0000B6270000}"/>
    <cellStyle name="40% - Accent3 11 7 5 2" xfId="9567" xr:uid="{00000000-0005-0000-0000-0000B7270000}"/>
    <cellStyle name="40% - Accent3 11 7 5 2 2" xfId="17361" xr:uid="{00000000-0005-0000-0000-0000B8270000}"/>
    <cellStyle name="40% - Accent3 11 7 5 2 2 2" xfId="34998" xr:uid="{00000000-0005-0000-0000-0000B9270000}"/>
    <cellStyle name="40% - Accent3 11 7 5 2 3" xfId="27951" xr:uid="{00000000-0005-0000-0000-0000BA270000}"/>
    <cellStyle name="40% - Accent3 11 7 5 3" xfId="14146" xr:uid="{00000000-0005-0000-0000-0000BB270000}"/>
    <cellStyle name="40% - Accent3 11 7 5 3 2" xfId="31781" xr:uid="{00000000-0005-0000-0000-0000BC270000}"/>
    <cellStyle name="40% - Accent3 11 7 5 4" xfId="25087" xr:uid="{00000000-0005-0000-0000-0000BD270000}"/>
    <cellStyle name="40% - Accent3 11 7 6" xfId="6895" xr:uid="{00000000-0005-0000-0000-0000BE270000}"/>
    <cellStyle name="40% - Accent3 11 7 6 2" xfId="10105" xr:uid="{00000000-0005-0000-0000-0000BF270000}"/>
    <cellStyle name="40% - Accent3 11 7 6 2 2" xfId="17898" xr:uid="{00000000-0005-0000-0000-0000C0270000}"/>
    <cellStyle name="40% - Accent3 11 7 6 2 2 2" xfId="35535" xr:uid="{00000000-0005-0000-0000-0000C1270000}"/>
    <cellStyle name="40% - Accent3 11 7 6 2 3" xfId="28488" xr:uid="{00000000-0005-0000-0000-0000C2270000}"/>
    <cellStyle name="40% - Accent3 11 7 6 3" xfId="14683" xr:uid="{00000000-0005-0000-0000-0000C3270000}"/>
    <cellStyle name="40% - Accent3 11 7 6 3 2" xfId="32318" xr:uid="{00000000-0005-0000-0000-0000C4270000}"/>
    <cellStyle name="40% - Accent3 11 7 6 4" xfId="25625" xr:uid="{00000000-0005-0000-0000-0000C5270000}"/>
    <cellStyle name="40% - Accent3 11 7 7" xfId="7718" xr:uid="{00000000-0005-0000-0000-0000C6270000}"/>
    <cellStyle name="40% - Accent3 11 7 7 2" xfId="15515" xr:uid="{00000000-0005-0000-0000-0000C7270000}"/>
    <cellStyle name="40% - Accent3 11 7 7 2 2" xfId="33150" xr:uid="{00000000-0005-0000-0000-0000C8270000}"/>
    <cellStyle name="40% - Accent3 11 7 7 3" xfId="26151" xr:uid="{00000000-0005-0000-0000-0000C9270000}"/>
    <cellStyle name="40% - Accent3 11 7 8" xfId="11361" xr:uid="{00000000-0005-0000-0000-0000CA270000}"/>
    <cellStyle name="40% - Accent3 11 7 8 2" xfId="29084" xr:uid="{00000000-0005-0000-0000-0000CB270000}"/>
    <cellStyle name="40% - Accent3 11 7 9" xfId="23286" xr:uid="{00000000-0005-0000-0000-0000CC270000}"/>
    <cellStyle name="40% - Accent3 11 8" xfId="3801" xr:uid="{00000000-0005-0000-0000-0000CD270000}"/>
    <cellStyle name="40% - Accent3 11 8 2" xfId="8377" xr:uid="{00000000-0005-0000-0000-0000CE270000}"/>
    <cellStyle name="40% - Accent3 11 8 2 2" xfId="16173" xr:uid="{00000000-0005-0000-0000-0000CF270000}"/>
    <cellStyle name="40% - Accent3 11 8 2 2 2" xfId="33808" xr:uid="{00000000-0005-0000-0000-0000D0270000}"/>
    <cellStyle name="40% - Accent3 11 8 2 3" xfId="26791" xr:uid="{00000000-0005-0000-0000-0000D1270000}"/>
    <cellStyle name="40% - Accent3 11 8 3" xfId="12522" xr:uid="{00000000-0005-0000-0000-0000D2270000}"/>
    <cellStyle name="40% - Accent3 11 8 3 2" xfId="30190" xr:uid="{00000000-0005-0000-0000-0000D3270000}"/>
    <cellStyle name="40% - Accent3 11 8 4" xfId="23926" xr:uid="{00000000-0005-0000-0000-0000D4270000}"/>
    <cellStyle name="40% - Accent3 11 9" xfId="3802" xr:uid="{00000000-0005-0000-0000-0000D5270000}"/>
    <cellStyle name="40% - Accent3 11 9 2" xfId="8378" xr:uid="{00000000-0005-0000-0000-0000D6270000}"/>
    <cellStyle name="40% - Accent3 11 9 2 2" xfId="16174" xr:uid="{00000000-0005-0000-0000-0000D7270000}"/>
    <cellStyle name="40% - Accent3 11 9 2 2 2" xfId="33809" xr:uid="{00000000-0005-0000-0000-0000D8270000}"/>
    <cellStyle name="40% - Accent3 11 9 2 3" xfId="26792" xr:uid="{00000000-0005-0000-0000-0000D9270000}"/>
    <cellStyle name="40% - Accent3 11 9 3" xfId="12523" xr:uid="{00000000-0005-0000-0000-0000DA270000}"/>
    <cellStyle name="40% - Accent3 11 9 3 2" xfId="30191" xr:uid="{00000000-0005-0000-0000-0000DB270000}"/>
    <cellStyle name="40% - Accent3 11 9 4" xfId="23927" xr:uid="{00000000-0005-0000-0000-0000DC270000}"/>
    <cellStyle name="40% - Accent3 12" xfId="648" xr:uid="{00000000-0005-0000-0000-0000DD270000}"/>
    <cellStyle name="40% - Accent3 12 2" xfId="3803" xr:uid="{00000000-0005-0000-0000-0000DE270000}"/>
    <cellStyle name="40% - Accent3 12 2 2" xfId="8379" xr:uid="{00000000-0005-0000-0000-0000DF270000}"/>
    <cellStyle name="40% - Accent3 12 2 2 2" xfId="16175" xr:uid="{00000000-0005-0000-0000-0000E0270000}"/>
    <cellStyle name="40% - Accent3 12 2 2 2 2" xfId="33810" xr:uid="{00000000-0005-0000-0000-0000E1270000}"/>
    <cellStyle name="40% - Accent3 12 2 2 3" xfId="26793" xr:uid="{00000000-0005-0000-0000-0000E2270000}"/>
    <cellStyle name="40% - Accent3 12 2 3" xfId="12524" xr:uid="{00000000-0005-0000-0000-0000E3270000}"/>
    <cellStyle name="40% - Accent3 12 2 3 2" xfId="30192" xr:uid="{00000000-0005-0000-0000-0000E4270000}"/>
    <cellStyle name="40% - Accent3 12 2 4" xfId="22120" xr:uid="{00000000-0005-0000-0000-0000E5270000}"/>
    <cellStyle name="40% - Accent3 12 2 4 2" xfId="38805" xr:uid="{00000000-0005-0000-0000-0000E6270000}"/>
    <cellStyle name="40% - Accent3 12 2 5" xfId="23928" xr:uid="{00000000-0005-0000-0000-0000E7270000}"/>
    <cellStyle name="40% - Accent3 12 3" xfId="7719" xr:uid="{00000000-0005-0000-0000-0000E8270000}"/>
    <cellStyle name="40% - Accent3 12 3 2" xfId="15516" xr:uid="{00000000-0005-0000-0000-0000E9270000}"/>
    <cellStyle name="40% - Accent3 12 3 2 2" xfId="33151" xr:uid="{00000000-0005-0000-0000-0000EA270000}"/>
    <cellStyle name="40% - Accent3 12 3 3" xfId="26152" xr:uid="{00000000-0005-0000-0000-0000EB270000}"/>
    <cellStyle name="40% - Accent3 12 4" xfId="11362" xr:uid="{00000000-0005-0000-0000-0000EC270000}"/>
    <cellStyle name="40% - Accent3 12 4 2" xfId="29085" xr:uid="{00000000-0005-0000-0000-0000ED270000}"/>
    <cellStyle name="40% - Accent3 12 5" xfId="22119" xr:uid="{00000000-0005-0000-0000-0000EE270000}"/>
    <cellStyle name="40% - Accent3 12 5 2" xfId="38804" xr:uid="{00000000-0005-0000-0000-0000EF270000}"/>
    <cellStyle name="40% - Accent3 12 6" xfId="23287" xr:uid="{00000000-0005-0000-0000-0000F0270000}"/>
    <cellStyle name="40% - Accent3 12 7" xfId="51843" xr:uid="{00000000-0005-0000-0000-0000F1270000}"/>
    <cellStyle name="40% - Accent3 13" xfId="18874" xr:uid="{00000000-0005-0000-0000-0000F2270000}"/>
    <cellStyle name="40% - Accent3 13 2" xfId="22121" xr:uid="{00000000-0005-0000-0000-0000F3270000}"/>
    <cellStyle name="40% - Accent3 13 2 2" xfId="38806" xr:uid="{00000000-0005-0000-0000-0000F4270000}"/>
    <cellStyle name="40% - Accent3 13 3" xfId="36511" xr:uid="{00000000-0005-0000-0000-0000F5270000}"/>
    <cellStyle name="40% - Accent3 14" xfId="15299" xr:uid="{00000000-0005-0000-0000-0000F6270000}"/>
    <cellStyle name="40% - Accent3 14 2" xfId="22122" xr:uid="{00000000-0005-0000-0000-0000F7270000}"/>
    <cellStyle name="40% - Accent3 14 3" xfId="32934" xr:uid="{00000000-0005-0000-0000-0000F8270000}"/>
    <cellStyle name="40% - Accent3 15" xfId="22684" xr:uid="{00000000-0005-0000-0000-0000F9270000}"/>
    <cellStyle name="40% - Accent3 15 2" xfId="38906" xr:uid="{00000000-0005-0000-0000-0000FA270000}"/>
    <cellStyle name="40% - Accent3 16" xfId="22116" xr:uid="{00000000-0005-0000-0000-0000FB270000}"/>
    <cellStyle name="40% - Accent3 17" xfId="23073" xr:uid="{00000000-0005-0000-0000-0000FC270000}"/>
    <cellStyle name="40% - Accent3 18" xfId="51485" xr:uid="{00000000-0005-0000-0000-0000FD270000}"/>
    <cellStyle name="40% - Accent3 19" xfId="51498" xr:uid="{00000000-0005-0000-0000-0000FE270000}"/>
    <cellStyle name="40% - Accent3 2" xfId="25" xr:uid="{00000000-0005-0000-0000-0000FF270000}"/>
    <cellStyle name="40% - Accent3 2 10" xfId="650" xr:uid="{00000000-0005-0000-0000-000000280000}"/>
    <cellStyle name="40% - Accent3 2 11" xfId="651" xr:uid="{00000000-0005-0000-0000-000001280000}"/>
    <cellStyle name="40% - Accent3 2 12" xfId="652" xr:uid="{00000000-0005-0000-0000-000002280000}"/>
    <cellStyle name="40% - Accent3 2 13" xfId="653" xr:uid="{00000000-0005-0000-0000-000003280000}"/>
    <cellStyle name="40% - Accent3 2 14" xfId="654" xr:uid="{00000000-0005-0000-0000-000004280000}"/>
    <cellStyle name="40% - Accent3 2 15" xfId="3804" xr:uid="{00000000-0005-0000-0000-000005280000}"/>
    <cellStyle name="40% - Accent3 2 16" xfId="3805" xr:uid="{00000000-0005-0000-0000-000006280000}"/>
    <cellStyle name="40% - Accent3 2 17" xfId="3806" xr:uid="{00000000-0005-0000-0000-000007280000}"/>
    <cellStyle name="40% - Accent3 2 18" xfId="649" xr:uid="{00000000-0005-0000-0000-000008280000}"/>
    <cellStyle name="40% - Accent3 2 2" xfId="655" xr:uid="{00000000-0005-0000-0000-000009280000}"/>
    <cellStyle name="40% - Accent3 2 2 2" xfId="656" xr:uid="{00000000-0005-0000-0000-00000A280000}"/>
    <cellStyle name="40% - Accent3 2 2 3" xfId="657" xr:uid="{00000000-0005-0000-0000-00000B280000}"/>
    <cellStyle name="40% - Accent3 2 2 4" xfId="3807" xr:uid="{00000000-0005-0000-0000-00000C280000}"/>
    <cellStyle name="40% - Accent3 2 2 5" xfId="3808" xr:uid="{00000000-0005-0000-0000-00000D280000}"/>
    <cellStyle name="40% - Accent3 2 2_Sheet1" xfId="658" xr:uid="{00000000-0005-0000-0000-00000E280000}"/>
    <cellStyle name="40% - Accent3 2 3" xfId="659" xr:uid="{00000000-0005-0000-0000-00000F280000}"/>
    <cellStyle name="40% - Accent3 2 4" xfId="660" xr:uid="{00000000-0005-0000-0000-000010280000}"/>
    <cellStyle name="40% - Accent3 2 5" xfId="661" xr:uid="{00000000-0005-0000-0000-000011280000}"/>
    <cellStyle name="40% - Accent3 2 6" xfId="662" xr:uid="{00000000-0005-0000-0000-000012280000}"/>
    <cellStyle name="40% - Accent3 2 7" xfId="663" xr:uid="{00000000-0005-0000-0000-000013280000}"/>
    <cellStyle name="40% - Accent3 2 8" xfId="664" xr:uid="{00000000-0005-0000-0000-000014280000}"/>
    <cellStyle name="40% - Accent3 2 9" xfId="665" xr:uid="{00000000-0005-0000-0000-000015280000}"/>
    <cellStyle name="40% - Accent3 2_BallGrid" xfId="666" xr:uid="{00000000-0005-0000-0000-000016280000}"/>
    <cellStyle name="40% - Accent3 20" xfId="51511" xr:uid="{00000000-0005-0000-0000-000017280000}"/>
    <cellStyle name="40% - Accent3 3" xfId="26" xr:uid="{00000000-0005-0000-0000-000018280000}"/>
    <cellStyle name="40% - Accent3 3 10" xfId="667" xr:uid="{00000000-0005-0000-0000-000019280000}"/>
    <cellStyle name="40% - Accent3 3 2" xfId="668" xr:uid="{00000000-0005-0000-0000-00001A280000}"/>
    <cellStyle name="40% - Accent3 3 3" xfId="669" xr:uid="{00000000-0005-0000-0000-00001B280000}"/>
    <cellStyle name="40% - Accent3 3 4" xfId="670" xr:uid="{00000000-0005-0000-0000-00001C280000}"/>
    <cellStyle name="40% - Accent3 3 5" xfId="671" xr:uid="{00000000-0005-0000-0000-00001D280000}"/>
    <cellStyle name="40% - Accent3 3 6" xfId="672" xr:uid="{00000000-0005-0000-0000-00001E280000}"/>
    <cellStyle name="40% - Accent3 3 7" xfId="3809" xr:uid="{00000000-0005-0000-0000-00001F280000}"/>
    <cellStyle name="40% - Accent3 3 8" xfId="3810" xr:uid="{00000000-0005-0000-0000-000020280000}"/>
    <cellStyle name="40% - Accent3 3 9" xfId="3811" xr:uid="{00000000-0005-0000-0000-000021280000}"/>
    <cellStyle name="40% - Accent3 3_BallGrid" xfId="673" xr:uid="{00000000-0005-0000-0000-000022280000}"/>
    <cellStyle name="40% - Accent3 4" xfId="27" xr:uid="{00000000-0005-0000-0000-000023280000}"/>
    <cellStyle name="40% - Accent3 4 2" xfId="675" xr:uid="{00000000-0005-0000-0000-000024280000}"/>
    <cellStyle name="40% - Accent3 4 2 2" xfId="22848" xr:uid="{00000000-0005-0000-0000-000025280000}"/>
    <cellStyle name="40% - Accent3 4 3" xfId="676" xr:uid="{00000000-0005-0000-0000-000026280000}"/>
    <cellStyle name="40% - Accent3 4 3 2" xfId="22123" xr:uid="{00000000-0005-0000-0000-000027280000}"/>
    <cellStyle name="40% - Accent3 4 4" xfId="677" xr:uid="{00000000-0005-0000-0000-000028280000}"/>
    <cellStyle name="40% - Accent3 4 5" xfId="678" xr:uid="{00000000-0005-0000-0000-000029280000}"/>
    <cellStyle name="40% - Accent3 4 6" xfId="3812" xr:uid="{00000000-0005-0000-0000-00002A280000}"/>
    <cellStyle name="40% - Accent3 4 7" xfId="3813" xr:uid="{00000000-0005-0000-0000-00002B280000}"/>
    <cellStyle name="40% - Accent3 4 8" xfId="3814" xr:uid="{00000000-0005-0000-0000-00002C280000}"/>
    <cellStyle name="40% - Accent3 4 9" xfId="674" xr:uid="{00000000-0005-0000-0000-00002D280000}"/>
    <cellStyle name="40% - Accent3 5" xfId="679" xr:uid="{00000000-0005-0000-0000-00002E280000}"/>
    <cellStyle name="40% - Accent3 5 10" xfId="3816" xr:uid="{00000000-0005-0000-0000-00002F280000}"/>
    <cellStyle name="40% - Accent3 5 10 2" xfId="8381" xr:uid="{00000000-0005-0000-0000-000030280000}"/>
    <cellStyle name="40% - Accent3 5 10 2 2" xfId="16177" xr:uid="{00000000-0005-0000-0000-000031280000}"/>
    <cellStyle name="40% - Accent3 5 10 2 2 2" xfId="33812" xr:uid="{00000000-0005-0000-0000-000032280000}"/>
    <cellStyle name="40% - Accent3 5 10 2 3" xfId="26795" xr:uid="{00000000-0005-0000-0000-000033280000}"/>
    <cellStyle name="40% - Accent3 5 10 3" xfId="12529" xr:uid="{00000000-0005-0000-0000-000034280000}"/>
    <cellStyle name="40% - Accent3 5 10 3 2" xfId="30197" xr:uid="{00000000-0005-0000-0000-000035280000}"/>
    <cellStyle name="40% - Accent3 5 10 4" xfId="23930" xr:uid="{00000000-0005-0000-0000-000036280000}"/>
    <cellStyle name="40% - Accent3 5 11" xfId="3815" xr:uid="{00000000-0005-0000-0000-000037280000}"/>
    <cellStyle name="40% - Accent3 5 11 2" xfId="8380" xr:uid="{00000000-0005-0000-0000-000038280000}"/>
    <cellStyle name="40% - Accent3 5 11 2 2" xfId="16176" xr:uid="{00000000-0005-0000-0000-000039280000}"/>
    <cellStyle name="40% - Accent3 5 11 2 2 2" xfId="33811" xr:uid="{00000000-0005-0000-0000-00003A280000}"/>
    <cellStyle name="40% - Accent3 5 11 2 3" xfId="26794" xr:uid="{00000000-0005-0000-0000-00003B280000}"/>
    <cellStyle name="40% - Accent3 5 11 3" xfId="12528" xr:uid="{00000000-0005-0000-0000-00003C280000}"/>
    <cellStyle name="40% - Accent3 5 11 3 2" xfId="30196" xr:uid="{00000000-0005-0000-0000-00003D280000}"/>
    <cellStyle name="40% - Accent3 5 11 4" xfId="23929" xr:uid="{00000000-0005-0000-0000-00003E280000}"/>
    <cellStyle name="40% - Accent3 5 12" xfId="5728" xr:uid="{00000000-0005-0000-0000-00003F280000}"/>
    <cellStyle name="40% - Accent3 5 12 2" xfId="9028" xr:uid="{00000000-0005-0000-0000-000040280000}"/>
    <cellStyle name="40% - Accent3 5 12 2 2" xfId="16823" xr:uid="{00000000-0005-0000-0000-000041280000}"/>
    <cellStyle name="40% - Accent3 5 12 2 2 2" xfId="34459" xr:uid="{00000000-0005-0000-0000-000042280000}"/>
    <cellStyle name="40% - Accent3 5 12 2 3" xfId="27416" xr:uid="{00000000-0005-0000-0000-000043280000}"/>
    <cellStyle name="40% - Accent3 5 12 3" xfId="13584" xr:uid="{00000000-0005-0000-0000-000044280000}"/>
    <cellStyle name="40% - Accent3 5 12 3 2" xfId="31224" xr:uid="{00000000-0005-0000-0000-000045280000}"/>
    <cellStyle name="40% - Accent3 5 12 4" xfId="24551" xr:uid="{00000000-0005-0000-0000-000046280000}"/>
    <cellStyle name="40% - Accent3 5 13" xfId="6358" xr:uid="{00000000-0005-0000-0000-000047280000}"/>
    <cellStyle name="40% - Accent3 5 13 2" xfId="9568" xr:uid="{00000000-0005-0000-0000-000048280000}"/>
    <cellStyle name="40% - Accent3 5 13 2 2" xfId="17362" xr:uid="{00000000-0005-0000-0000-000049280000}"/>
    <cellStyle name="40% - Accent3 5 13 2 2 2" xfId="34999" xr:uid="{00000000-0005-0000-0000-00004A280000}"/>
    <cellStyle name="40% - Accent3 5 13 2 3" xfId="27952" xr:uid="{00000000-0005-0000-0000-00004B280000}"/>
    <cellStyle name="40% - Accent3 5 13 3" xfId="14147" xr:uid="{00000000-0005-0000-0000-00004C280000}"/>
    <cellStyle name="40% - Accent3 5 13 3 2" xfId="31782" xr:uid="{00000000-0005-0000-0000-00004D280000}"/>
    <cellStyle name="40% - Accent3 5 13 4" xfId="25088" xr:uid="{00000000-0005-0000-0000-00004E280000}"/>
    <cellStyle name="40% - Accent3 5 14" xfId="6896" xr:uid="{00000000-0005-0000-0000-00004F280000}"/>
    <cellStyle name="40% - Accent3 5 14 2" xfId="10106" xr:uid="{00000000-0005-0000-0000-000050280000}"/>
    <cellStyle name="40% - Accent3 5 14 2 2" xfId="17899" xr:uid="{00000000-0005-0000-0000-000051280000}"/>
    <cellStyle name="40% - Accent3 5 14 2 2 2" xfId="35536" xr:uid="{00000000-0005-0000-0000-000052280000}"/>
    <cellStyle name="40% - Accent3 5 14 2 3" xfId="28489" xr:uid="{00000000-0005-0000-0000-000053280000}"/>
    <cellStyle name="40% - Accent3 5 14 3" xfId="14684" xr:uid="{00000000-0005-0000-0000-000054280000}"/>
    <cellStyle name="40% - Accent3 5 14 3 2" xfId="32319" xr:uid="{00000000-0005-0000-0000-000055280000}"/>
    <cellStyle name="40% - Accent3 5 14 4" xfId="25626" xr:uid="{00000000-0005-0000-0000-000056280000}"/>
    <cellStyle name="40% - Accent3 5 15" xfId="7720" xr:uid="{00000000-0005-0000-0000-000057280000}"/>
    <cellStyle name="40% - Accent3 5 15 2" xfId="15517" xr:uid="{00000000-0005-0000-0000-000058280000}"/>
    <cellStyle name="40% - Accent3 5 15 2 2" xfId="33152" xr:uid="{00000000-0005-0000-0000-000059280000}"/>
    <cellStyle name="40% - Accent3 5 15 3" xfId="26153" xr:uid="{00000000-0005-0000-0000-00005A280000}"/>
    <cellStyle name="40% - Accent3 5 16" xfId="11381" xr:uid="{00000000-0005-0000-0000-00005B280000}"/>
    <cellStyle name="40% - Accent3 5 16 2" xfId="29103" xr:uid="{00000000-0005-0000-0000-00005C280000}"/>
    <cellStyle name="40% - Accent3 5 17" xfId="21950" xr:uid="{00000000-0005-0000-0000-00005D280000}"/>
    <cellStyle name="40% - Accent3 5 17 2" xfId="38703" xr:uid="{00000000-0005-0000-0000-00005E280000}"/>
    <cellStyle name="40% - Accent3 5 18" xfId="23288" xr:uid="{00000000-0005-0000-0000-00005F280000}"/>
    <cellStyle name="40% - Accent3 5 19" xfId="51844" xr:uid="{00000000-0005-0000-0000-000060280000}"/>
    <cellStyle name="40% - Accent3 5 2" xfId="680" xr:uid="{00000000-0005-0000-0000-000061280000}"/>
    <cellStyle name="40% - Accent3 5 2 10" xfId="51845" xr:uid="{00000000-0005-0000-0000-000062280000}"/>
    <cellStyle name="40% - Accent3 5 2 2" xfId="3817" xr:uid="{00000000-0005-0000-0000-000063280000}"/>
    <cellStyle name="40% - Accent3 5 2 2 2" xfId="8382" xr:uid="{00000000-0005-0000-0000-000064280000}"/>
    <cellStyle name="40% - Accent3 5 2 2 2 2" xfId="16178" xr:uid="{00000000-0005-0000-0000-000065280000}"/>
    <cellStyle name="40% - Accent3 5 2 2 2 2 2" xfId="33813" xr:uid="{00000000-0005-0000-0000-000066280000}"/>
    <cellStyle name="40% - Accent3 5 2 2 2 3" xfId="26796" xr:uid="{00000000-0005-0000-0000-000067280000}"/>
    <cellStyle name="40% - Accent3 5 2 2 3" xfId="12530" xr:uid="{00000000-0005-0000-0000-000068280000}"/>
    <cellStyle name="40% - Accent3 5 2 2 3 2" xfId="30198" xr:uid="{00000000-0005-0000-0000-000069280000}"/>
    <cellStyle name="40% - Accent3 5 2 2 4" xfId="23931" xr:uid="{00000000-0005-0000-0000-00006A280000}"/>
    <cellStyle name="40% - Accent3 5 2 3" xfId="5729" xr:uid="{00000000-0005-0000-0000-00006B280000}"/>
    <cellStyle name="40% - Accent3 5 2 3 2" xfId="9029" xr:uid="{00000000-0005-0000-0000-00006C280000}"/>
    <cellStyle name="40% - Accent3 5 2 3 2 2" xfId="16824" xr:uid="{00000000-0005-0000-0000-00006D280000}"/>
    <cellStyle name="40% - Accent3 5 2 3 2 2 2" xfId="34460" xr:uid="{00000000-0005-0000-0000-00006E280000}"/>
    <cellStyle name="40% - Accent3 5 2 3 2 3" xfId="27417" xr:uid="{00000000-0005-0000-0000-00006F280000}"/>
    <cellStyle name="40% - Accent3 5 2 3 3" xfId="13585" xr:uid="{00000000-0005-0000-0000-000070280000}"/>
    <cellStyle name="40% - Accent3 5 2 3 3 2" xfId="31225" xr:uid="{00000000-0005-0000-0000-000071280000}"/>
    <cellStyle name="40% - Accent3 5 2 3 4" xfId="24552" xr:uid="{00000000-0005-0000-0000-000072280000}"/>
    <cellStyle name="40% - Accent3 5 2 4" xfId="6359" xr:uid="{00000000-0005-0000-0000-000073280000}"/>
    <cellStyle name="40% - Accent3 5 2 4 2" xfId="9569" xr:uid="{00000000-0005-0000-0000-000074280000}"/>
    <cellStyle name="40% - Accent3 5 2 4 2 2" xfId="17363" xr:uid="{00000000-0005-0000-0000-000075280000}"/>
    <cellStyle name="40% - Accent3 5 2 4 2 2 2" xfId="35000" xr:uid="{00000000-0005-0000-0000-000076280000}"/>
    <cellStyle name="40% - Accent3 5 2 4 2 3" xfId="27953" xr:uid="{00000000-0005-0000-0000-000077280000}"/>
    <cellStyle name="40% - Accent3 5 2 4 3" xfId="14148" xr:uid="{00000000-0005-0000-0000-000078280000}"/>
    <cellStyle name="40% - Accent3 5 2 4 3 2" xfId="31783" xr:uid="{00000000-0005-0000-0000-000079280000}"/>
    <cellStyle name="40% - Accent3 5 2 4 4" xfId="25089" xr:uid="{00000000-0005-0000-0000-00007A280000}"/>
    <cellStyle name="40% - Accent3 5 2 5" xfId="6897" xr:uid="{00000000-0005-0000-0000-00007B280000}"/>
    <cellStyle name="40% - Accent3 5 2 5 2" xfId="10107" xr:uid="{00000000-0005-0000-0000-00007C280000}"/>
    <cellStyle name="40% - Accent3 5 2 5 2 2" xfId="17900" xr:uid="{00000000-0005-0000-0000-00007D280000}"/>
    <cellStyle name="40% - Accent3 5 2 5 2 2 2" xfId="35537" xr:uid="{00000000-0005-0000-0000-00007E280000}"/>
    <cellStyle name="40% - Accent3 5 2 5 2 3" xfId="28490" xr:uid="{00000000-0005-0000-0000-00007F280000}"/>
    <cellStyle name="40% - Accent3 5 2 5 3" xfId="14685" xr:uid="{00000000-0005-0000-0000-000080280000}"/>
    <cellStyle name="40% - Accent3 5 2 5 3 2" xfId="32320" xr:uid="{00000000-0005-0000-0000-000081280000}"/>
    <cellStyle name="40% - Accent3 5 2 5 4" xfId="25627" xr:uid="{00000000-0005-0000-0000-000082280000}"/>
    <cellStyle name="40% - Accent3 5 2 6" xfId="7721" xr:uid="{00000000-0005-0000-0000-000083280000}"/>
    <cellStyle name="40% - Accent3 5 2 6 2" xfId="15518" xr:uid="{00000000-0005-0000-0000-000084280000}"/>
    <cellStyle name="40% - Accent3 5 2 6 2 2" xfId="33153" xr:uid="{00000000-0005-0000-0000-000085280000}"/>
    <cellStyle name="40% - Accent3 5 2 6 3" xfId="26154" xr:uid="{00000000-0005-0000-0000-000086280000}"/>
    <cellStyle name="40% - Accent3 5 2 7" xfId="11382" xr:uid="{00000000-0005-0000-0000-000087280000}"/>
    <cellStyle name="40% - Accent3 5 2 7 2" xfId="29104" xr:uid="{00000000-0005-0000-0000-000088280000}"/>
    <cellStyle name="40% - Accent3 5 2 8" xfId="22849" xr:uid="{00000000-0005-0000-0000-000089280000}"/>
    <cellStyle name="40% - Accent3 5 2 8 2" xfId="39023" xr:uid="{00000000-0005-0000-0000-00008A280000}"/>
    <cellStyle name="40% - Accent3 5 2 9" xfId="23289" xr:uid="{00000000-0005-0000-0000-00008B280000}"/>
    <cellStyle name="40% - Accent3 5 3" xfId="681" xr:uid="{00000000-0005-0000-0000-00008C280000}"/>
    <cellStyle name="40% - Accent3 5 3 10" xfId="22124" xr:uid="{00000000-0005-0000-0000-00008D280000}"/>
    <cellStyle name="40% - Accent3 5 3 11" xfId="23290" xr:uid="{00000000-0005-0000-0000-00008E280000}"/>
    <cellStyle name="40% - Accent3 5 3 12" xfId="51846" xr:uid="{00000000-0005-0000-0000-00008F280000}"/>
    <cellStyle name="40% - Accent3 5 3 2" xfId="682" xr:uid="{00000000-0005-0000-0000-000090280000}"/>
    <cellStyle name="40% - Accent3 5 3 2 2" xfId="3819" xr:uid="{00000000-0005-0000-0000-000091280000}"/>
    <cellStyle name="40% - Accent3 5 3 2 2 2" xfId="8384" xr:uid="{00000000-0005-0000-0000-000092280000}"/>
    <cellStyle name="40% - Accent3 5 3 2 2 2 2" xfId="16180" xr:uid="{00000000-0005-0000-0000-000093280000}"/>
    <cellStyle name="40% - Accent3 5 3 2 2 2 2 2" xfId="33815" xr:uid="{00000000-0005-0000-0000-000094280000}"/>
    <cellStyle name="40% - Accent3 5 3 2 2 2 3" xfId="26798" xr:uid="{00000000-0005-0000-0000-000095280000}"/>
    <cellStyle name="40% - Accent3 5 3 2 2 3" xfId="12532" xr:uid="{00000000-0005-0000-0000-000096280000}"/>
    <cellStyle name="40% - Accent3 5 3 2 2 3 2" xfId="30200" xr:uid="{00000000-0005-0000-0000-000097280000}"/>
    <cellStyle name="40% - Accent3 5 3 2 2 4" xfId="23933" xr:uid="{00000000-0005-0000-0000-000098280000}"/>
    <cellStyle name="40% - Accent3 5 3 2 3" xfId="5731" xr:uid="{00000000-0005-0000-0000-000099280000}"/>
    <cellStyle name="40% - Accent3 5 3 2 3 2" xfId="9031" xr:uid="{00000000-0005-0000-0000-00009A280000}"/>
    <cellStyle name="40% - Accent3 5 3 2 3 2 2" xfId="16826" xr:uid="{00000000-0005-0000-0000-00009B280000}"/>
    <cellStyle name="40% - Accent3 5 3 2 3 2 2 2" xfId="34462" xr:uid="{00000000-0005-0000-0000-00009C280000}"/>
    <cellStyle name="40% - Accent3 5 3 2 3 2 3" xfId="27419" xr:uid="{00000000-0005-0000-0000-00009D280000}"/>
    <cellStyle name="40% - Accent3 5 3 2 3 3" xfId="13587" xr:uid="{00000000-0005-0000-0000-00009E280000}"/>
    <cellStyle name="40% - Accent3 5 3 2 3 3 2" xfId="31227" xr:uid="{00000000-0005-0000-0000-00009F280000}"/>
    <cellStyle name="40% - Accent3 5 3 2 3 4" xfId="24554" xr:uid="{00000000-0005-0000-0000-0000A0280000}"/>
    <cellStyle name="40% - Accent3 5 3 2 4" xfId="6361" xr:uid="{00000000-0005-0000-0000-0000A1280000}"/>
    <cellStyle name="40% - Accent3 5 3 2 4 2" xfId="9571" xr:uid="{00000000-0005-0000-0000-0000A2280000}"/>
    <cellStyle name="40% - Accent3 5 3 2 4 2 2" xfId="17365" xr:uid="{00000000-0005-0000-0000-0000A3280000}"/>
    <cellStyle name="40% - Accent3 5 3 2 4 2 2 2" xfId="35002" xr:uid="{00000000-0005-0000-0000-0000A4280000}"/>
    <cellStyle name="40% - Accent3 5 3 2 4 2 3" xfId="27955" xr:uid="{00000000-0005-0000-0000-0000A5280000}"/>
    <cellStyle name="40% - Accent3 5 3 2 4 3" xfId="14150" xr:uid="{00000000-0005-0000-0000-0000A6280000}"/>
    <cellStyle name="40% - Accent3 5 3 2 4 3 2" xfId="31785" xr:uid="{00000000-0005-0000-0000-0000A7280000}"/>
    <cellStyle name="40% - Accent3 5 3 2 4 4" xfId="25091" xr:uid="{00000000-0005-0000-0000-0000A8280000}"/>
    <cellStyle name="40% - Accent3 5 3 2 5" xfId="6899" xr:uid="{00000000-0005-0000-0000-0000A9280000}"/>
    <cellStyle name="40% - Accent3 5 3 2 5 2" xfId="10109" xr:uid="{00000000-0005-0000-0000-0000AA280000}"/>
    <cellStyle name="40% - Accent3 5 3 2 5 2 2" xfId="17902" xr:uid="{00000000-0005-0000-0000-0000AB280000}"/>
    <cellStyle name="40% - Accent3 5 3 2 5 2 2 2" xfId="35539" xr:uid="{00000000-0005-0000-0000-0000AC280000}"/>
    <cellStyle name="40% - Accent3 5 3 2 5 2 3" xfId="28492" xr:uid="{00000000-0005-0000-0000-0000AD280000}"/>
    <cellStyle name="40% - Accent3 5 3 2 5 3" xfId="14687" xr:uid="{00000000-0005-0000-0000-0000AE280000}"/>
    <cellStyle name="40% - Accent3 5 3 2 5 3 2" xfId="32322" xr:uid="{00000000-0005-0000-0000-0000AF280000}"/>
    <cellStyle name="40% - Accent3 5 3 2 5 4" xfId="25629" xr:uid="{00000000-0005-0000-0000-0000B0280000}"/>
    <cellStyle name="40% - Accent3 5 3 2 6" xfId="7723" xr:uid="{00000000-0005-0000-0000-0000B1280000}"/>
    <cellStyle name="40% - Accent3 5 3 2 6 2" xfId="15520" xr:uid="{00000000-0005-0000-0000-0000B2280000}"/>
    <cellStyle name="40% - Accent3 5 3 2 6 2 2" xfId="33155" xr:uid="{00000000-0005-0000-0000-0000B3280000}"/>
    <cellStyle name="40% - Accent3 5 3 2 6 3" xfId="26156" xr:uid="{00000000-0005-0000-0000-0000B4280000}"/>
    <cellStyle name="40% - Accent3 5 3 2 7" xfId="11384" xr:uid="{00000000-0005-0000-0000-0000B5280000}"/>
    <cellStyle name="40% - Accent3 5 3 2 7 2" xfId="29106" xr:uid="{00000000-0005-0000-0000-0000B6280000}"/>
    <cellStyle name="40% - Accent3 5 3 2 8" xfId="23291" xr:uid="{00000000-0005-0000-0000-0000B7280000}"/>
    <cellStyle name="40% - Accent3 5 3 2 9" xfId="51847" xr:uid="{00000000-0005-0000-0000-0000B8280000}"/>
    <cellStyle name="40% - Accent3 5 3 3" xfId="3820" xr:uid="{00000000-0005-0000-0000-0000B9280000}"/>
    <cellStyle name="40% - Accent3 5 3 3 2" xfId="5732" xr:uid="{00000000-0005-0000-0000-0000BA280000}"/>
    <cellStyle name="40% - Accent3 5 3 3 2 2" xfId="9032" xr:uid="{00000000-0005-0000-0000-0000BB280000}"/>
    <cellStyle name="40% - Accent3 5 3 3 2 2 2" xfId="16827" xr:uid="{00000000-0005-0000-0000-0000BC280000}"/>
    <cellStyle name="40% - Accent3 5 3 3 2 2 2 2" xfId="34463" xr:uid="{00000000-0005-0000-0000-0000BD280000}"/>
    <cellStyle name="40% - Accent3 5 3 3 2 2 3" xfId="27420" xr:uid="{00000000-0005-0000-0000-0000BE280000}"/>
    <cellStyle name="40% - Accent3 5 3 3 2 3" xfId="13588" xr:uid="{00000000-0005-0000-0000-0000BF280000}"/>
    <cellStyle name="40% - Accent3 5 3 3 2 3 2" xfId="31228" xr:uid="{00000000-0005-0000-0000-0000C0280000}"/>
    <cellStyle name="40% - Accent3 5 3 3 2 4" xfId="24555" xr:uid="{00000000-0005-0000-0000-0000C1280000}"/>
    <cellStyle name="40% - Accent3 5 3 3 3" xfId="6362" xr:uid="{00000000-0005-0000-0000-0000C2280000}"/>
    <cellStyle name="40% - Accent3 5 3 3 3 2" xfId="9572" xr:uid="{00000000-0005-0000-0000-0000C3280000}"/>
    <cellStyle name="40% - Accent3 5 3 3 3 2 2" xfId="17366" xr:uid="{00000000-0005-0000-0000-0000C4280000}"/>
    <cellStyle name="40% - Accent3 5 3 3 3 2 2 2" xfId="35003" xr:uid="{00000000-0005-0000-0000-0000C5280000}"/>
    <cellStyle name="40% - Accent3 5 3 3 3 2 3" xfId="27956" xr:uid="{00000000-0005-0000-0000-0000C6280000}"/>
    <cellStyle name="40% - Accent3 5 3 3 3 3" xfId="14151" xr:uid="{00000000-0005-0000-0000-0000C7280000}"/>
    <cellStyle name="40% - Accent3 5 3 3 3 3 2" xfId="31786" xr:uid="{00000000-0005-0000-0000-0000C8280000}"/>
    <cellStyle name="40% - Accent3 5 3 3 3 4" xfId="25092" xr:uid="{00000000-0005-0000-0000-0000C9280000}"/>
    <cellStyle name="40% - Accent3 5 3 3 4" xfId="6900" xr:uid="{00000000-0005-0000-0000-0000CA280000}"/>
    <cellStyle name="40% - Accent3 5 3 3 4 2" xfId="10110" xr:uid="{00000000-0005-0000-0000-0000CB280000}"/>
    <cellStyle name="40% - Accent3 5 3 3 4 2 2" xfId="17903" xr:uid="{00000000-0005-0000-0000-0000CC280000}"/>
    <cellStyle name="40% - Accent3 5 3 3 4 2 2 2" xfId="35540" xr:uid="{00000000-0005-0000-0000-0000CD280000}"/>
    <cellStyle name="40% - Accent3 5 3 3 4 2 3" xfId="28493" xr:uid="{00000000-0005-0000-0000-0000CE280000}"/>
    <cellStyle name="40% - Accent3 5 3 3 4 3" xfId="14688" xr:uid="{00000000-0005-0000-0000-0000CF280000}"/>
    <cellStyle name="40% - Accent3 5 3 3 4 3 2" xfId="32323" xr:uid="{00000000-0005-0000-0000-0000D0280000}"/>
    <cellStyle name="40% - Accent3 5 3 3 4 4" xfId="25630" xr:uid="{00000000-0005-0000-0000-0000D1280000}"/>
    <cellStyle name="40% - Accent3 5 3 3 5" xfId="8385" xr:uid="{00000000-0005-0000-0000-0000D2280000}"/>
    <cellStyle name="40% - Accent3 5 3 3 5 2" xfId="16181" xr:uid="{00000000-0005-0000-0000-0000D3280000}"/>
    <cellStyle name="40% - Accent3 5 3 3 5 2 2" xfId="33816" xr:uid="{00000000-0005-0000-0000-0000D4280000}"/>
    <cellStyle name="40% - Accent3 5 3 3 5 3" xfId="26799" xr:uid="{00000000-0005-0000-0000-0000D5280000}"/>
    <cellStyle name="40% - Accent3 5 3 3 6" xfId="12533" xr:uid="{00000000-0005-0000-0000-0000D6280000}"/>
    <cellStyle name="40% - Accent3 5 3 3 6 2" xfId="30201" xr:uid="{00000000-0005-0000-0000-0000D7280000}"/>
    <cellStyle name="40% - Accent3 5 3 3 7" xfId="23934" xr:uid="{00000000-0005-0000-0000-0000D8280000}"/>
    <cellStyle name="40% - Accent3 5 3 4" xfId="3818" xr:uid="{00000000-0005-0000-0000-0000D9280000}"/>
    <cellStyle name="40% - Accent3 5 3 4 2" xfId="8383" xr:uid="{00000000-0005-0000-0000-0000DA280000}"/>
    <cellStyle name="40% - Accent3 5 3 4 2 2" xfId="16179" xr:uid="{00000000-0005-0000-0000-0000DB280000}"/>
    <cellStyle name="40% - Accent3 5 3 4 2 2 2" xfId="33814" xr:uid="{00000000-0005-0000-0000-0000DC280000}"/>
    <cellStyle name="40% - Accent3 5 3 4 2 3" xfId="26797" xr:uid="{00000000-0005-0000-0000-0000DD280000}"/>
    <cellStyle name="40% - Accent3 5 3 4 3" xfId="12531" xr:uid="{00000000-0005-0000-0000-0000DE280000}"/>
    <cellStyle name="40% - Accent3 5 3 4 3 2" xfId="30199" xr:uid="{00000000-0005-0000-0000-0000DF280000}"/>
    <cellStyle name="40% - Accent3 5 3 4 4" xfId="23932" xr:uid="{00000000-0005-0000-0000-0000E0280000}"/>
    <cellStyle name="40% - Accent3 5 3 5" xfId="5730" xr:uid="{00000000-0005-0000-0000-0000E1280000}"/>
    <cellStyle name="40% - Accent3 5 3 5 2" xfId="9030" xr:uid="{00000000-0005-0000-0000-0000E2280000}"/>
    <cellStyle name="40% - Accent3 5 3 5 2 2" xfId="16825" xr:uid="{00000000-0005-0000-0000-0000E3280000}"/>
    <cellStyle name="40% - Accent3 5 3 5 2 2 2" xfId="34461" xr:uid="{00000000-0005-0000-0000-0000E4280000}"/>
    <cellStyle name="40% - Accent3 5 3 5 2 3" xfId="27418" xr:uid="{00000000-0005-0000-0000-0000E5280000}"/>
    <cellStyle name="40% - Accent3 5 3 5 3" xfId="13586" xr:uid="{00000000-0005-0000-0000-0000E6280000}"/>
    <cellStyle name="40% - Accent3 5 3 5 3 2" xfId="31226" xr:uid="{00000000-0005-0000-0000-0000E7280000}"/>
    <cellStyle name="40% - Accent3 5 3 5 4" xfId="24553" xr:uid="{00000000-0005-0000-0000-0000E8280000}"/>
    <cellStyle name="40% - Accent3 5 3 6" xfId="6360" xr:uid="{00000000-0005-0000-0000-0000E9280000}"/>
    <cellStyle name="40% - Accent3 5 3 6 2" xfId="9570" xr:uid="{00000000-0005-0000-0000-0000EA280000}"/>
    <cellStyle name="40% - Accent3 5 3 6 2 2" xfId="17364" xr:uid="{00000000-0005-0000-0000-0000EB280000}"/>
    <cellStyle name="40% - Accent3 5 3 6 2 2 2" xfId="35001" xr:uid="{00000000-0005-0000-0000-0000EC280000}"/>
    <cellStyle name="40% - Accent3 5 3 6 2 3" xfId="27954" xr:uid="{00000000-0005-0000-0000-0000ED280000}"/>
    <cellStyle name="40% - Accent3 5 3 6 3" xfId="14149" xr:uid="{00000000-0005-0000-0000-0000EE280000}"/>
    <cellStyle name="40% - Accent3 5 3 6 3 2" xfId="31784" xr:uid="{00000000-0005-0000-0000-0000EF280000}"/>
    <cellStyle name="40% - Accent3 5 3 6 4" xfId="25090" xr:uid="{00000000-0005-0000-0000-0000F0280000}"/>
    <cellStyle name="40% - Accent3 5 3 7" xfId="6898" xr:uid="{00000000-0005-0000-0000-0000F1280000}"/>
    <cellStyle name="40% - Accent3 5 3 7 2" xfId="10108" xr:uid="{00000000-0005-0000-0000-0000F2280000}"/>
    <cellStyle name="40% - Accent3 5 3 7 2 2" xfId="17901" xr:uid="{00000000-0005-0000-0000-0000F3280000}"/>
    <cellStyle name="40% - Accent3 5 3 7 2 2 2" xfId="35538" xr:uid="{00000000-0005-0000-0000-0000F4280000}"/>
    <cellStyle name="40% - Accent3 5 3 7 2 3" xfId="28491" xr:uid="{00000000-0005-0000-0000-0000F5280000}"/>
    <cellStyle name="40% - Accent3 5 3 7 3" xfId="14686" xr:uid="{00000000-0005-0000-0000-0000F6280000}"/>
    <cellStyle name="40% - Accent3 5 3 7 3 2" xfId="32321" xr:uid="{00000000-0005-0000-0000-0000F7280000}"/>
    <cellStyle name="40% - Accent3 5 3 7 4" xfId="25628" xr:uid="{00000000-0005-0000-0000-0000F8280000}"/>
    <cellStyle name="40% - Accent3 5 3 8" xfId="7722" xr:uid="{00000000-0005-0000-0000-0000F9280000}"/>
    <cellStyle name="40% - Accent3 5 3 8 2" xfId="15519" xr:uid="{00000000-0005-0000-0000-0000FA280000}"/>
    <cellStyle name="40% - Accent3 5 3 8 2 2" xfId="33154" xr:uid="{00000000-0005-0000-0000-0000FB280000}"/>
    <cellStyle name="40% - Accent3 5 3 8 3" xfId="26155" xr:uid="{00000000-0005-0000-0000-0000FC280000}"/>
    <cellStyle name="40% - Accent3 5 3 9" xfId="11383" xr:uid="{00000000-0005-0000-0000-0000FD280000}"/>
    <cellStyle name="40% - Accent3 5 3 9 2" xfId="29105" xr:uid="{00000000-0005-0000-0000-0000FE280000}"/>
    <cellStyle name="40% - Accent3 5 4" xfId="683" xr:uid="{00000000-0005-0000-0000-0000FF280000}"/>
    <cellStyle name="40% - Accent3 5 4 10" xfId="52914" xr:uid="{00000000-0005-0000-0000-000000290000}"/>
    <cellStyle name="40% - Accent3 5 4 2" xfId="3821" xr:uid="{00000000-0005-0000-0000-000001290000}"/>
    <cellStyle name="40% - Accent3 5 4 2 2" xfId="8386" xr:uid="{00000000-0005-0000-0000-000002290000}"/>
    <cellStyle name="40% - Accent3 5 4 2 2 2" xfId="16182" xr:uid="{00000000-0005-0000-0000-000003290000}"/>
    <cellStyle name="40% - Accent3 5 4 2 2 2 2" xfId="33817" xr:uid="{00000000-0005-0000-0000-000004290000}"/>
    <cellStyle name="40% - Accent3 5 4 2 2 3" xfId="26800" xr:uid="{00000000-0005-0000-0000-000005290000}"/>
    <cellStyle name="40% - Accent3 5 4 2 3" xfId="12534" xr:uid="{00000000-0005-0000-0000-000006290000}"/>
    <cellStyle name="40% - Accent3 5 4 2 3 2" xfId="30202" xr:uid="{00000000-0005-0000-0000-000007290000}"/>
    <cellStyle name="40% - Accent3 5 4 2 4" xfId="23935" xr:uid="{00000000-0005-0000-0000-000008290000}"/>
    <cellStyle name="40% - Accent3 5 4 3" xfId="5733" xr:uid="{00000000-0005-0000-0000-000009290000}"/>
    <cellStyle name="40% - Accent3 5 4 3 2" xfId="9033" xr:uid="{00000000-0005-0000-0000-00000A290000}"/>
    <cellStyle name="40% - Accent3 5 4 3 2 2" xfId="16828" xr:uid="{00000000-0005-0000-0000-00000B290000}"/>
    <cellStyle name="40% - Accent3 5 4 3 2 2 2" xfId="34464" xr:uid="{00000000-0005-0000-0000-00000C290000}"/>
    <cellStyle name="40% - Accent3 5 4 3 2 3" xfId="27421" xr:uid="{00000000-0005-0000-0000-00000D290000}"/>
    <cellStyle name="40% - Accent3 5 4 3 3" xfId="13589" xr:uid="{00000000-0005-0000-0000-00000E290000}"/>
    <cellStyle name="40% - Accent3 5 4 3 3 2" xfId="31229" xr:uid="{00000000-0005-0000-0000-00000F290000}"/>
    <cellStyle name="40% - Accent3 5 4 3 4" xfId="24556" xr:uid="{00000000-0005-0000-0000-000010290000}"/>
    <cellStyle name="40% - Accent3 5 4 4" xfId="6363" xr:uid="{00000000-0005-0000-0000-000011290000}"/>
    <cellStyle name="40% - Accent3 5 4 4 2" xfId="9573" xr:uid="{00000000-0005-0000-0000-000012290000}"/>
    <cellStyle name="40% - Accent3 5 4 4 2 2" xfId="17367" xr:uid="{00000000-0005-0000-0000-000013290000}"/>
    <cellStyle name="40% - Accent3 5 4 4 2 2 2" xfId="35004" xr:uid="{00000000-0005-0000-0000-000014290000}"/>
    <cellStyle name="40% - Accent3 5 4 4 2 3" xfId="27957" xr:uid="{00000000-0005-0000-0000-000015290000}"/>
    <cellStyle name="40% - Accent3 5 4 4 3" xfId="14152" xr:uid="{00000000-0005-0000-0000-000016290000}"/>
    <cellStyle name="40% - Accent3 5 4 4 3 2" xfId="31787" xr:uid="{00000000-0005-0000-0000-000017290000}"/>
    <cellStyle name="40% - Accent3 5 4 4 4" xfId="25093" xr:uid="{00000000-0005-0000-0000-000018290000}"/>
    <cellStyle name="40% - Accent3 5 4 5" xfId="6901" xr:uid="{00000000-0005-0000-0000-000019290000}"/>
    <cellStyle name="40% - Accent3 5 4 5 2" xfId="10111" xr:uid="{00000000-0005-0000-0000-00001A290000}"/>
    <cellStyle name="40% - Accent3 5 4 5 2 2" xfId="17904" xr:uid="{00000000-0005-0000-0000-00001B290000}"/>
    <cellStyle name="40% - Accent3 5 4 5 2 2 2" xfId="35541" xr:uid="{00000000-0005-0000-0000-00001C290000}"/>
    <cellStyle name="40% - Accent3 5 4 5 2 3" xfId="28494" xr:uid="{00000000-0005-0000-0000-00001D290000}"/>
    <cellStyle name="40% - Accent3 5 4 5 3" xfId="14689" xr:uid="{00000000-0005-0000-0000-00001E290000}"/>
    <cellStyle name="40% - Accent3 5 4 5 3 2" xfId="32324" xr:uid="{00000000-0005-0000-0000-00001F290000}"/>
    <cellStyle name="40% - Accent3 5 4 5 4" xfId="25631" xr:uid="{00000000-0005-0000-0000-000020290000}"/>
    <cellStyle name="40% - Accent3 5 4 6" xfId="7724" xr:uid="{00000000-0005-0000-0000-000021290000}"/>
    <cellStyle name="40% - Accent3 5 4 6 2" xfId="15521" xr:uid="{00000000-0005-0000-0000-000022290000}"/>
    <cellStyle name="40% - Accent3 5 4 6 2 2" xfId="33156" xr:uid="{00000000-0005-0000-0000-000023290000}"/>
    <cellStyle name="40% - Accent3 5 4 6 3" xfId="26157" xr:uid="{00000000-0005-0000-0000-000024290000}"/>
    <cellStyle name="40% - Accent3 5 4 7" xfId="11385" xr:uid="{00000000-0005-0000-0000-000025290000}"/>
    <cellStyle name="40% - Accent3 5 4 7 2" xfId="29107" xr:uid="{00000000-0005-0000-0000-000026290000}"/>
    <cellStyle name="40% - Accent3 5 4 8" xfId="23292" xr:uid="{00000000-0005-0000-0000-000027290000}"/>
    <cellStyle name="40% - Accent3 5 4 9" xfId="51848" xr:uid="{00000000-0005-0000-0000-000028290000}"/>
    <cellStyle name="40% - Accent3 5 5" xfId="684" xr:uid="{00000000-0005-0000-0000-000029290000}"/>
    <cellStyle name="40% - Accent3 5 5 2" xfId="3822" xr:uid="{00000000-0005-0000-0000-00002A290000}"/>
    <cellStyle name="40% - Accent3 5 5 2 2" xfId="8387" xr:uid="{00000000-0005-0000-0000-00002B290000}"/>
    <cellStyle name="40% - Accent3 5 5 2 2 2" xfId="16183" xr:uid="{00000000-0005-0000-0000-00002C290000}"/>
    <cellStyle name="40% - Accent3 5 5 2 2 2 2" xfId="33818" xr:uid="{00000000-0005-0000-0000-00002D290000}"/>
    <cellStyle name="40% - Accent3 5 5 2 2 3" xfId="26801" xr:uid="{00000000-0005-0000-0000-00002E290000}"/>
    <cellStyle name="40% - Accent3 5 5 2 3" xfId="12535" xr:uid="{00000000-0005-0000-0000-00002F290000}"/>
    <cellStyle name="40% - Accent3 5 5 2 3 2" xfId="30203" xr:uid="{00000000-0005-0000-0000-000030290000}"/>
    <cellStyle name="40% - Accent3 5 5 2 4" xfId="23936" xr:uid="{00000000-0005-0000-0000-000031290000}"/>
    <cellStyle name="40% - Accent3 5 5 3" xfId="5734" xr:uid="{00000000-0005-0000-0000-000032290000}"/>
    <cellStyle name="40% - Accent3 5 5 3 2" xfId="9034" xr:uid="{00000000-0005-0000-0000-000033290000}"/>
    <cellStyle name="40% - Accent3 5 5 3 2 2" xfId="16829" xr:uid="{00000000-0005-0000-0000-000034290000}"/>
    <cellStyle name="40% - Accent3 5 5 3 2 2 2" xfId="34465" xr:uid="{00000000-0005-0000-0000-000035290000}"/>
    <cellStyle name="40% - Accent3 5 5 3 2 3" xfId="27422" xr:uid="{00000000-0005-0000-0000-000036290000}"/>
    <cellStyle name="40% - Accent3 5 5 3 3" xfId="13590" xr:uid="{00000000-0005-0000-0000-000037290000}"/>
    <cellStyle name="40% - Accent3 5 5 3 3 2" xfId="31230" xr:uid="{00000000-0005-0000-0000-000038290000}"/>
    <cellStyle name="40% - Accent3 5 5 3 4" xfId="24557" xr:uid="{00000000-0005-0000-0000-000039290000}"/>
    <cellStyle name="40% - Accent3 5 5 4" xfId="6364" xr:uid="{00000000-0005-0000-0000-00003A290000}"/>
    <cellStyle name="40% - Accent3 5 5 4 2" xfId="9574" xr:uid="{00000000-0005-0000-0000-00003B290000}"/>
    <cellStyle name="40% - Accent3 5 5 4 2 2" xfId="17368" xr:uid="{00000000-0005-0000-0000-00003C290000}"/>
    <cellStyle name="40% - Accent3 5 5 4 2 2 2" xfId="35005" xr:uid="{00000000-0005-0000-0000-00003D290000}"/>
    <cellStyle name="40% - Accent3 5 5 4 2 3" xfId="27958" xr:uid="{00000000-0005-0000-0000-00003E290000}"/>
    <cellStyle name="40% - Accent3 5 5 4 3" xfId="14153" xr:uid="{00000000-0005-0000-0000-00003F290000}"/>
    <cellStyle name="40% - Accent3 5 5 4 3 2" xfId="31788" xr:uid="{00000000-0005-0000-0000-000040290000}"/>
    <cellStyle name="40% - Accent3 5 5 4 4" xfId="25094" xr:uid="{00000000-0005-0000-0000-000041290000}"/>
    <cellStyle name="40% - Accent3 5 5 5" xfId="6902" xr:uid="{00000000-0005-0000-0000-000042290000}"/>
    <cellStyle name="40% - Accent3 5 5 5 2" xfId="10112" xr:uid="{00000000-0005-0000-0000-000043290000}"/>
    <cellStyle name="40% - Accent3 5 5 5 2 2" xfId="17905" xr:uid="{00000000-0005-0000-0000-000044290000}"/>
    <cellStyle name="40% - Accent3 5 5 5 2 2 2" xfId="35542" xr:uid="{00000000-0005-0000-0000-000045290000}"/>
    <cellStyle name="40% - Accent3 5 5 5 2 3" xfId="28495" xr:uid="{00000000-0005-0000-0000-000046290000}"/>
    <cellStyle name="40% - Accent3 5 5 5 3" xfId="14690" xr:uid="{00000000-0005-0000-0000-000047290000}"/>
    <cellStyle name="40% - Accent3 5 5 5 3 2" xfId="32325" xr:uid="{00000000-0005-0000-0000-000048290000}"/>
    <cellStyle name="40% - Accent3 5 5 5 4" xfId="25632" xr:uid="{00000000-0005-0000-0000-000049290000}"/>
    <cellStyle name="40% - Accent3 5 5 6" xfId="7725" xr:uid="{00000000-0005-0000-0000-00004A290000}"/>
    <cellStyle name="40% - Accent3 5 5 6 2" xfId="15522" xr:uid="{00000000-0005-0000-0000-00004B290000}"/>
    <cellStyle name="40% - Accent3 5 5 6 2 2" xfId="33157" xr:uid="{00000000-0005-0000-0000-00004C290000}"/>
    <cellStyle name="40% - Accent3 5 5 6 3" xfId="26158" xr:uid="{00000000-0005-0000-0000-00004D290000}"/>
    <cellStyle name="40% - Accent3 5 5 7" xfId="11386" xr:uid="{00000000-0005-0000-0000-00004E290000}"/>
    <cellStyle name="40% - Accent3 5 5 7 2" xfId="29108" xr:uid="{00000000-0005-0000-0000-00004F290000}"/>
    <cellStyle name="40% - Accent3 5 5 8" xfId="23293" xr:uid="{00000000-0005-0000-0000-000050290000}"/>
    <cellStyle name="40% - Accent3 5 5 9" xfId="51849" xr:uid="{00000000-0005-0000-0000-000051290000}"/>
    <cellStyle name="40% - Accent3 5 6" xfId="685" xr:uid="{00000000-0005-0000-0000-000052290000}"/>
    <cellStyle name="40% - Accent3 5 6 2" xfId="3823" xr:uid="{00000000-0005-0000-0000-000053290000}"/>
    <cellStyle name="40% - Accent3 5 6 2 2" xfId="8388" xr:uid="{00000000-0005-0000-0000-000054290000}"/>
    <cellStyle name="40% - Accent3 5 6 2 2 2" xfId="16184" xr:uid="{00000000-0005-0000-0000-000055290000}"/>
    <cellStyle name="40% - Accent3 5 6 2 2 2 2" xfId="33819" xr:uid="{00000000-0005-0000-0000-000056290000}"/>
    <cellStyle name="40% - Accent3 5 6 2 2 3" xfId="26802" xr:uid="{00000000-0005-0000-0000-000057290000}"/>
    <cellStyle name="40% - Accent3 5 6 2 3" xfId="12536" xr:uid="{00000000-0005-0000-0000-000058290000}"/>
    <cellStyle name="40% - Accent3 5 6 2 3 2" xfId="30204" xr:uid="{00000000-0005-0000-0000-000059290000}"/>
    <cellStyle name="40% - Accent3 5 6 2 4" xfId="23937" xr:uid="{00000000-0005-0000-0000-00005A290000}"/>
    <cellStyle name="40% - Accent3 5 6 3" xfId="5735" xr:uid="{00000000-0005-0000-0000-00005B290000}"/>
    <cellStyle name="40% - Accent3 5 6 3 2" xfId="9035" xr:uid="{00000000-0005-0000-0000-00005C290000}"/>
    <cellStyle name="40% - Accent3 5 6 3 2 2" xfId="16830" xr:uid="{00000000-0005-0000-0000-00005D290000}"/>
    <cellStyle name="40% - Accent3 5 6 3 2 2 2" xfId="34466" xr:uid="{00000000-0005-0000-0000-00005E290000}"/>
    <cellStyle name="40% - Accent3 5 6 3 2 3" xfId="27423" xr:uid="{00000000-0005-0000-0000-00005F290000}"/>
    <cellStyle name="40% - Accent3 5 6 3 3" xfId="13591" xr:uid="{00000000-0005-0000-0000-000060290000}"/>
    <cellStyle name="40% - Accent3 5 6 3 3 2" xfId="31231" xr:uid="{00000000-0005-0000-0000-000061290000}"/>
    <cellStyle name="40% - Accent3 5 6 3 4" xfId="24558" xr:uid="{00000000-0005-0000-0000-000062290000}"/>
    <cellStyle name="40% - Accent3 5 6 4" xfId="6365" xr:uid="{00000000-0005-0000-0000-000063290000}"/>
    <cellStyle name="40% - Accent3 5 6 4 2" xfId="9575" xr:uid="{00000000-0005-0000-0000-000064290000}"/>
    <cellStyle name="40% - Accent3 5 6 4 2 2" xfId="17369" xr:uid="{00000000-0005-0000-0000-000065290000}"/>
    <cellStyle name="40% - Accent3 5 6 4 2 2 2" xfId="35006" xr:uid="{00000000-0005-0000-0000-000066290000}"/>
    <cellStyle name="40% - Accent3 5 6 4 2 3" xfId="27959" xr:uid="{00000000-0005-0000-0000-000067290000}"/>
    <cellStyle name="40% - Accent3 5 6 4 3" xfId="14154" xr:uid="{00000000-0005-0000-0000-000068290000}"/>
    <cellStyle name="40% - Accent3 5 6 4 3 2" xfId="31789" xr:uid="{00000000-0005-0000-0000-000069290000}"/>
    <cellStyle name="40% - Accent3 5 6 4 4" xfId="25095" xr:uid="{00000000-0005-0000-0000-00006A290000}"/>
    <cellStyle name="40% - Accent3 5 6 5" xfId="6903" xr:uid="{00000000-0005-0000-0000-00006B290000}"/>
    <cellStyle name="40% - Accent3 5 6 5 2" xfId="10113" xr:uid="{00000000-0005-0000-0000-00006C290000}"/>
    <cellStyle name="40% - Accent3 5 6 5 2 2" xfId="17906" xr:uid="{00000000-0005-0000-0000-00006D290000}"/>
    <cellStyle name="40% - Accent3 5 6 5 2 2 2" xfId="35543" xr:uid="{00000000-0005-0000-0000-00006E290000}"/>
    <cellStyle name="40% - Accent3 5 6 5 2 3" xfId="28496" xr:uid="{00000000-0005-0000-0000-00006F290000}"/>
    <cellStyle name="40% - Accent3 5 6 5 3" xfId="14691" xr:uid="{00000000-0005-0000-0000-000070290000}"/>
    <cellStyle name="40% - Accent3 5 6 5 3 2" xfId="32326" xr:uid="{00000000-0005-0000-0000-000071290000}"/>
    <cellStyle name="40% - Accent3 5 6 5 4" xfId="25633" xr:uid="{00000000-0005-0000-0000-000072290000}"/>
    <cellStyle name="40% - Accent3 5 6 6" xfId="7726" xr:uid="{00000000-0005-0000-0000-000073290000}"/>
    <cellStyle name="40% - Accent3 5 6 6 2" xfId="15523" xr:uid="{00000000-0005-0000-0000-000074290000}"/>
    <cellStyle name="40% - Accent3 5 6 6 2 2" xfId="33158" xr:uid="{00000000-0005-0000-0000-000075290000}"/>
    <cellStyle name="40% - Accent3 5 6 6 3" xfId="26159" xr:uid="{00000000-0005-0000-0000-000076290000}"/>
    <cellStyle name="40% - Accent3 5 6 7" xfId="11387" xr:uid="{00000000-0005-0000-0000-000077290000}"/>
    <cellStyle name="40% - Accent3 5 6 7 2" xfId="29109" xr:uid="{00000000-0005-0000-0000-000078290000}"/>
    <cellStyle name="40% - Accent3 5 6 8" xfId="23294" xr:uid="{00000000-0005-0000-0000-000079290000}"/>
    <cellStyle name="40% - Accent3 5 6 9" xfId="51850" xr:uid="{00000000-0005-0000-0000-00007A290000}"/>
    <cellStyle name="40% - Accent3 5 7" xfId="686" xr:uid="{00000000-0005-0000-0000-00007B290000}"/>
    <cellStyle name="40% - Accent3 5 7 10" xfId="51851" xr:uid="{00000000-0005-0000-0000-00007C290000}"/>
    <cellStyle name="40% - Accent3 5 7 2" xfId="687" xr:uid="{00000000-0005-0000-0000-00007D290000}"/>
    <cellStyle name="40% - Accent3 5 7 2 2" xfId="8390" xr:uid="{00000000-0005-0000-0000-00007E290000}"/>
    <cellStyle name="40% - Accent3 5 7 2 2 2" xfId="16186" xr:uid="{00000000-0005-0000-0000-00007F290000}"/>
    <cellStyle name="40% - Accent3 5 7 2 2 2 2" xfId="33821" xr:uid="{00000000-0005-0000-0000-000080290000}"/>
    <cellStyle name="40% - Accent3 5 7 2 2 3" xfId="26804" xr:uid="{00000000-0005-0000-0000-000081290000}"/>
    <cellStyle name="40% - Accent3 5 7 2 3" xfId="12538" xr:uid="{00000000-0005-0000-0000-000082290000}"/>
    <cellStyle name="40% - Accent3 5 7 2 3 2" xfId="30206" xr:uid="{00000000-0005-0000-0000-000083290000}"/>
    <cellStyle name="40% - Accent3 5 7 2 4" xfId="23939" xr:uid="{00000000-0005-0000-0000-000084290000}"/>
    <cellStyle name="40% - Accent3 5 7 3" xfId="3824" xr:uid="{00000000-0005-0000-0000-000085290000}"/>
    <cellStyle name="40% - Accent3 5 7 3 2" xfId="8389" xr:uid="{00000000-0005-0000-0000-000086290000}"/>
    <cellStyle name="40% - Accent3 5 7 3 2 2" xfId="16185" xr:uid="{00000000-0005-0000-0000-000087290000}"/>
    <cellStyle name="40% - Accent3 5 7 3 2 2 2" xfId="33820" xr:uid="{00000000-0005-0000-0000-000088290000}"/>
    <cellStyle name="40% - Accent3 5 7 3 2 3" xfId="26803" xr:uid="{00000000-0005-0000-0000-000089290000}"/>
    <cellStyle name="40% - Accent3 5 7 3 3" xfId="12537" xr:uid="{00000000-0005-0000-0000-00008A290000}"/>
    <cellStyle name="40% - Accent3 5 7 3 3 2" xfId="30205" xr:uid="{00000000-0005-0000-0000-00008B290000}"/>
    <cellStyle name="40% - Accent3 5 7 3 4" xfId="23938" xr:uid="{00000000-0005-0000-0000-00008C290000}"/>
    <cellStyle name="40% - Accent3 5 7 4" xfId="5736" xr:uid="{00000000-0005-0000-0000-00008D290000}"/>
    <cellStyle name="40% - Accent3 5 7 4 2" xfId="9036" xr:uid="{00000000-0005-0000-0000-00008E290000}"/>
    <cellStyle name="40% - Accent3 5 7 4 2 2" xfId="16831" xr:uid="{00000000-0005-0000-0000-00008F290000}"/>
    <cellStyle name="40% - Accent3 5 7 4 2 2 2" xfId="34467" xr:uid="{00000000-0005-0000-0000-000090290000}"/>
    <cellStyle name="40% - Accent3 5 7 4 2 3" xfId="27424" xr:uid="{00000000-0005-0000-0000-000091290000}"/>
    <cellStyle name="40% - Accent3 5 7 4 3" xfId="13592" xr:uid="{00000000-0005-0000-0000-000092290000}"/>
    <cellStyle name="40% - Accent3 5 7 4 3 2" xfId="31232" xr:uid="{00000000-0005-0000-0000-000093290000}"/>
    <cellStyle name="40% - Accent3 5 7 4 4" xfId="24559" xr:uid="{00000000-0005-0000-0000-000094290000}"/>
    <cellStyle name="40% - Accent3 5 7 5" xfId="6366" xr:uid="{00000000-0005-0000-0000-000095290000}"/>
    <cellStyle name="40% - Accent3 5 7 5 2" xfId="9576" xr:uid="{00000000-0005-0000-0000-000096290000}"/>
    <cellStyle name="40% - Accent3 5 7 5 2 2" xfId="17370" xr:uid="{00000000-0005-0000-0000-000097290000}"/>
    <cellStyle name="40% - Accent3 5 7 5 2 2 2" xfId="35007" xr:uid="{00000000-0005-0000-0000-000098290000}"/>
    <cellStyle name="40% - Accent3 5 7 5 2 3" xfId="27960" xr:uid="{00000000-0005-0000-0000-000099290000}"/>
    <cellStyle name="40% - Accent3 5 7 5 3" xfId="14155" xr:uid="{00000000-0005-0000-0000-00009A290000}"/>
    <cellStyle name="40% - Accent3 5 7 5 3 2" xfId="31790" xr:uid="{00000000-0005-0000-0000-00009B290000}"/>
    <cellStyle name="40% - Accent3 5 7 5 4" xfId="25096" xr:uid="{00000000-0005-0000-0000-00009C290000}"/>
    <cellStyle name="40% - Accent3 5 7 6" xfId="6904" xr:uid="{00000000-0005-0000-0000-00009D290000}"/>
    <cellStyle name="40% - Accent3 5 7 6 2" xfId="10114" xr:uid="{00000000-0005-0000-0000-00009E290000}"/>
    <cellStyle name="40% - Accent3 5 7 6 2 2" xfId="17907" xr:uid="{00000000-0005-0000-0000-00009F290000}"/>
    <cellStyle name="40% - Accent3 5 7 6 2 2 2" xfId="35544" xr:uid="{00000000-0005-0000-0000-0000A0290000}"/>
    <cellStyle name="40% - Accent3 5 7 6 2 3" xfId="28497" xr:uid="{00000000-0005-0000-0000-0000A1290000}"/>
    <cellStyle name="40% - Accent3 5 7 6 3" xfId="14692" xr:uid="{00000000-0005-0000-0000-0000A2290000}"/>
    <cellStyle name="40% - Accent3 5 7 6 3 2" xfId="32327" xr:uid="{00000000-0005-0000-0000-0000A3290000}"/>
    <cellStyle name="40% - Accent3 5 7 6 4" xfId="25634" xr:uid="{00000000-0005-0000-0000-0000A4290000}"/>
    <cellStyle name="40% - Accent3 5 7 7" xfId="7727" xr:uid="{00000000-0005-0000-0000-0000A5290000}"/>
    <cellStyle name="40% - Accent3 5 7 7 2" xfId="15524" xr:uid="{00000000-0005-0000-0000-0000A6290000}"/>
    <cellStyle name="40% - Accent3 5 7 7 2 2" xfId="33159" xr:uid="{00000000-0005-0000-0000-0000A7290000}"/>
    <cellStyle name="40% - Accent3 5 7 7 3" xfId="26160" xr:uid="{00000000-0005-0000-0000-0000A8290000}"/>
    <cellStyle name="40% - Accent3 5 7 8" xfId="11388" xr:uid="{00000000-0005-0000-0000-0000A9290000}"/>
    <cellStyle name="40% - Accent3 5 7 8 2" xfId="29110" xr:uid="{00000000-0005-0000-0000-0000AA290000}"/>
    <cellStyle name="40% - Accent3 5 7 9" xfId="23295" xr:uid="{00000000-0005-0000-0000-0000AB290000}"/>
    <cellStyle name="40% - Accent3 5 8" xfId="3825" xr:uid="{00000000-0005-0000-0000-0000AC290000}"/>
    <cellStyle name="40% - Accent3 5 8 2" xfId="8391" xr:uid="{00000000-0005-0000-0000-0000AD290000}"/>
    <cellStyle name="40% - Accent3 5 8 2 2" xfId="16187" xr:uid="{00000000-0005-0000-0000-0000AE290000}"/>
    <cellStyle name="40% - Accent3 5 8 2 2 2" xfId="33822" xr:uid="{00000000-0005-0000-0000-0000AF290000}"/>
    <cellStyle name="40% - Accent3 5 8 2 3" xfId="26805" xr:uid="{00000000-0005-0000-0000-0000B0290000}"/>
    <cellStyle name="40% - Accent3 5 8 3" xfId="12539" xr:uid="{00000000-0005-0000-0000-0000B1290000}"/>
    <cellStyle name="40% - Accent3 5 8 3 2" xfId="30207" xr:uid="{00000000-0005-0000-0000-0000B2290000}"/>
    <cellStyle name="40% - Accent3 5 8 4" xfId="23940" xr:uid="{00000000-0005-0000-0000-0000B3290000}"/>
    <cellStyle name="40% - Accent3 5 9" xfId="3826" xr:uid="{00000000-0005-0000-0000-0000B4290000}"/>
    <cellStyle name="40% - Accent3 6" xfId="688" xr:uid="{00000000-0005-0000-0000-0000B5290000}"/>
    <cellStyle name="40% - Accent3 6 10" xfId="3827" xr:uid="{00000000-0005-0000-0000-0000B6290000}"/>
    <cellStyle name="40% - Accent3 6 10 2" xfId="8392" xr:uid="{00000000-0005-0000-0000-0000B7290000}"/>
    <cellStyle name="40% - Accent3 6 10 2 2" xfId="16188" xr:uid="{00000000-0005-0000-0000-0000B8290000}"/>
    <cellStyle name="40% - Accent3 6 10 2 2 2" xfId="33823" xr:uid="{00000000-0005-0000-0000-0000B9290000}"/>
    <cellStyle name="40% - Accent3 6 10 2 3" xfId="26806" xr:uid="{00000000-0005-0000-0000-0000BA290000}"/>
    <cellStyle name="40% - Accent3 6 10 3" xfId="12541" xr:uid="{00000000-0005-0000-0000-0000BB290000}"/>
    <cellStyle name="40% - Accent3 6 10 3 2" xfId="30209" xr:uid="{00000000-0005-0000-0000-0000BC290000}"/>
    <cellStyle name="40% - Accent3 6 10 4" xfId="23941" xr:uid="{00000000-0005-0000-0000-0000BD290000}"/>
    <cellStyle name="40% - Accent3 6 11" xfId="5737" xr:uid="{00000000-0005-0000-0000-0000BE290000}"/>
    <cellStyle name="40% - Accent3 6 11 2" xfId="9037" xr:uid="{00000000-0005-0000-0000-0000BF290000}"/>
    <cellStyle name="40% - Accent3 6 11 2 2" xfId="16832" xr:uid="{00000000-0005-0000-0000-0000C0290000}"/>
    <cellStyle name="40% - Accent3 6 11 2 2 2" xfId="34468" xr:uid="{00000000-0005-0000-0000-0000C1290000}"/>
    <cellStyle name="40% - Accent3 6 11 2 3" xfId="27425" xr:uid="{00000000-0005-0000-0000-0000C2290000}"/>
    <cellStyle name="40% - Accent3 6 11 3" xfId="13593" xr:uid="{00000000-0005-0000-0000-0000C3290000}"/>
    <cellStyle name="40% - Accent3 6 11 3 2" xfId="31233" xr:uid="{00000000-0005-0000-0000-0000C4290000}"/>
    <cellStyle name="40% - Accent3 6 11 4" xfId="24560" xr:uid="{00000000-0005-0000-0000-0000C5290000}"/>
    <cellStyle name="40% - Accent3 6 12" xfId="6367" xr:uid="{00000000-0005-0000-0000-0000C6290000}"/>
    <cellStyle name="40% - Accent3 6 12 2" xfId="9577" xr:uid="{00000000-0005-0000-0000-0000C7290000}"/>
    <cellStyle name="40% - Accent3 6 12 2 2" xfId="17371" xr:uid="{00000000-0005-0000-0000-0000C8290000}"/>
    <cellStyle name="40% - Accent3 6 12 2 2 2" xfId="35008" xr:uid="{00000000-0005-0000-0000-0000C9290000}"/>
    <cellStyle name="40% - Accent3 6 12 2 3" xfId="27961" xr:uid="{00000000-0005-0000-0000-0000CA290000}"/>
    <cellStyle name="40% - Accent3 6 12 3" xfId="14156" xr:uid="{00000000-0005-0000-0000-0000CB290000}"/>
    <cellStyle name="40% - Accent3 6 12 3 2" xfId="31791" xr:uid="{00000000-0005-0000-0000-0000CC290000}"/>
    <cellStyle name="40% - Accent3 6 12 4" xfId="25097" xr:uid="{00000000-0005-0000-0000-0000CD290000}"/>
    <cellStyle name="40% - Accent3 6 13" xfId="6905" xr:uid="{00000000-0005-0000-0000-0000CE290000}"/>
    <cellStyle name="40% - Accent3 6 13 2" xfId="10115" xr:uid="{00000000-0005-0000-0000-0000CF290000}"/>
    <cellStyle name="40% - Accent3 6 13 2 2" xfId="17908" xr:uid="{00000000-0005-0000-0000-0000D0290000}"/>
    <cellStyle name="40% - Accent3 6 13 2 2 2" xfId="35545" xr:uid="{00000000-0005-0000-0000-0000D1290000}"/>
    <cellStyle name="40% - Accent3 6 13 2 3" xfId="28498" xr:uid="{00000000-0005-0000-0000-0000D2290000}"/>
    <cellStyle name="40% - Accent3 6 13 3" xfId="14693" xr:uid="{00000000-0005-0000-0000-0000D3290000}"/>
    <cellStyle name="40% - Accent3 6 13 3 2" xfId="32328" xr:uid="{00000000-0005-0000-0000-0000D4290000}"/>
    <cellStyle name="40% - Accent3 6 13 4" xfId="25635" xr:uid="{00000000-0005-0000-0000-0000D5290000}"/>
    <cellStyle name="40% - Accent3 6 14" xfId="7728" xr:uid="{00000000-0005-0000-0000-0000D6290000}"/>
    <cellStyle name="40% - Accent3 6 14 2" xfId="15525" xr:uid="{00000000-0005-0000-0000-0000D7290000}"/>
    <cellStyle name="40% - Accent3 6 14 2 2" xfId="33160" xr:uid="{00000000-0005-0000-0000-0000D8290000}"/>
    <cellStyle name="40% - Accent3 6 14 3" xfId="26161" xr:uid="{00000000-0005-0000-0000-0000D9290000}"/>
    <cellStyle name="40% - Accent3 6 15" xfId="11389" xr:uid="{00000000-0005-0000-0000-0000DA290000}"/>
    <cellStyle name="40% - Accent3 6 15 2" xfId="29111" xr:uid="{00000000-0005-0000-0000-0000DB290000}"/>
    <cellStyle name="40% - Accent3 6 16" xfId="21951" xr:uid="{00000000-0005-0000-0000-0000DC290000}"/>
    <cellStyle name="40% - Accent3 6 16 2" xfId="38704" xr:uid="{00000000-0005-0000-0000-0000DD290000}"/>
    <cellStyle name="40% - Accent3 6 17" xfId="23296" xr:uid="{00000000-0005-0000-0000-0000DE290000}"/>
    <cellStyle name="40% - Accent3 6 18" xfId="51852" xr:uid="{00000000-0005-0000-0000-0000DF290000}"/>
    <cellStyle name="40% - Accent3 6 2" xfId="689" xr:uid="{00000000-0005-0000-0000-0000E0290000}"/>
    <cellStyle name="40% - Accent3 6 2 10" xfId="51853" xr:uid="{00000000-0005-0000-0000-0000E1290000}"/>
    <cellStyle name="40% - Accent3 6 2 2" xfId="3828" xr:uid="{00000000-0005-0000-0000-0000E2290000}"/>
    <cellStyle name="40% - Accent3 6 2 2 2" xfId="8393" xr:uid="{00000000-0005-0000-0000-0000E3290000}"/>
    <cellStyle name="40% - Accent3 6 2 2 2 2" xfId="16189" xr:uid="{00000000-0005-0000-0000-0000E4290000}"/>
    <cellStyle name="40% - Accent3 6 2 2 2 2 2" xfId="33824" xr:uid="{00000000-0005-0000-0000-0000E5290000}"/>
    <cellStyle name="40% - Accent3 6 2 2 2 3" xfId="26807" xr:uid="{00000000-0005-0000-0000-0000E6290000}"/>
    <cellStyle name="40% - Accent3 6 2 2 3" xfId="12542" xr:uid="{00000000-0005-0000-0000-0000E7290000}"/>
    <cellStyle name="40% - Accent3 6 2 2 3 2" xfId="30210" xr:uid="{00000000-0005-0000-0000-0000E8290000}"/>
    <cellStyle name="40% - Accent3 6 2 2 4" xfId="23942" xr:uid="{00000000-0005-0000-0000-0000E9290000}"/>
    <cellStyle name="40% - Accent3 6 2 3" xfId="5738" xr:uid="{00000000-0005-0000-0000-0000EA290000}"/>
    <cellStyle name="40% - Accent3 6 2 3 2" xfId="9038" xr:uid="{00000000-0005-0000-0000-0000EB290000}"/>
    <cellStyle name="40% - Accent3 6 2 3 2 2" xfId="16833" xr:uid="{00000000-0005-0000-0000-0000EC290000}"/>
    <cellStyle name="40% - Accent3 6 2 3 2 2 2" xfId="34469" xr:uid="{00000000-0005-0000-0000-0000ED290000}"/>
    <cellStyle name="40% - Accent3 6 2 3 2 3" xfId="27426" xr:uid="{00000000-0005-0000-0000-0000EE290000}"/>
    <cellStyle name="40% - Accent3 6 2 3 3" xfId="13594" xr:uid="{00000000-0005-0000-0000-0000EF290000}"/>
    <cellStyle name="40% - Accent3 6 2 3 3 2" xfId="31234" xr:uid="{00000000-0005-0000-0000-0000F0290000}"/>
    <cellStyle name="40% - Accent3 6 2 3 4" xfId="24561" xr:uid="{00000000-0005-0000-0000-0000F1290000}"/>
    <cellStyle name="40% - Accent3 6 2 4" xfId="6368" xr:uid="{00000000-0005-0000-0000-0000F2290000}"/>
    <cellStyle name="40% - Accent3 6 2 4 2" xfId="9578" xr:uid="{00000000-0005-0000-0000-0000F3290000}"/>
    <cellStyle name="40% - Accent3 6 2 4 2 2" xfId="17372" xr:uid="{00000000-0005-0000-0000-0000F4290000}"/>
    <cellStyle name="40% - Accent3 6 2 4 2 2 2" xfId="35009" xr:uid="{00000000-0005-0000-0000-0000F5290000}"/>
    <cellStyle name="40% - Accent3 6 2 4 2 3" xfId="27962" xr:uid="{00000000-0005-0000-0000-0000F6290000}"/>
    <cellStyle name="40% - Accent3 6 2 4 3" xfId="14157" xr:uid="{00000000-0005-0000-0000-0000F7290000}"/>
    <cellStyle name="40% - Accent3 6 2 4 3 2" xfId="31792" xr:uid="{00000000-0005-0000-0000-0000F8290000}"/>
    <cellStyle name="40% - Accent3 6 2 4 4" xfId="25098" xr:uid="{00000000-0005-0000-0000-0000F9290000}"/>
    <cellStyle name="40% - Accent3 6 2 5" xfId="6906" xr:uid="{00000000-0005-0000-0000-0000FA290000}"/>
    <cellStyle name="40% - Accent3 6 2 5 2" xfId="10116" xr:uid="{00000000-0005-0000-0000-0000FB290000}"/>
    <cellStyle name="40% - Accent3 6 2 5 2 2" xfId="17909" xr:uid="{00000000-0005-0000-0000-0000FC290000}"/>
    <cellStyle name="40% - Accent3 6 2 5 2 2 2" xfId="35546" xr:uid="{00000000-0005-0000-0000-0000FD290000}"/>
    <cellStyle name="40% - Accent3 6 2 5 2 3" xfId="28499" xr:uid="{00000000-0005-0000-0000-0000FE290000}"/>
    <cellStyle name="40% - Accent3 6 2 5 3" xfId="14694" xr:uid="{00000000-0005-0000-0000-0000FF290000}"/>
    <cellStyle name="40% - Accent3 6 2 5 3 2" xfId="32329" xr:uid="{00000000-0005-0000-0000-0000002A0000}"/>
    <cellStyle name="40% - Accent3 6 2 5 4" xfId="25636" xr:uid="{00000000-0005-0000-0000-0000012A0000}"/>
    <cellStyle name="40% - Accent3 6 2 6" xfId="7729" xr:uid="{00000000-0005-0000-0000-0000022A0000}"/>
    <cellStyle name="40% - Accent3 6 2 6 2" xfId="15526" xr:uid="{00000000-0005-0000-0000-0000032A0000}"/>
    <cellStyle name="40% - Accent3 6 2 6 2 2" xfId="33161" xr:uid="{00000000-0005-0000-0000-0000042A0000}"/>
    <cellStyle name="40% - Accent3 6 2 6 3" xfId="26162" xr:uid="{00000000-0005-0000-0000-0000052A0000}"/>
    <cellStyle name="40% - Accent3 6 2 7" xfId="11390" xr:uid="{00000000-0005-0000-0000-0000062A0000}"/>
    <cellStyle name="40% - Accent3 6 2 7 2" xfId="29112" xr:uid="{00000000-0005-0000-0000-0000072A0000}"/>
    <cellStyle name="40% - Accent3 6 2 8" xfId="22850" xr:uid="{00000000-0005-0000-0000-0000082A0000}"/>
    <cellStyle name="40% - Accent3 6 2 8 2" xfId="39024" xr:uid="{00000000-0005-0000-0000-0000092A0000}"/>
    <cellStyle name="40% - Accent3 6 2 9" xfId="23297" xr:uid="{00000000-0005-0000-0000-00000A2A0000}"/>
    <cellStyle name="40% - Accent3 6 3" xfId="690" xr:uid="{00000000-0005-0000-0000-00000B2A0000}"/>
    <cellStyle name="40% - Accent3 6 3 10" xfId="22125" xr:uid="{00000000-0005-0000-0000-00000C2A0000}"/>
    <cellStyle name="40% - Accent3 6 3 11" xfId="23298" xr:uid="{00000000-0005-0000-0000-00000D2A0000}"/>
    <cellStyle name="40% - Accent3 6 3 12" xfId="51854" xr:uid="{00000000-0005-0000-0000-00000E2A0000}"/>
    <cellStyle name="40% - Accent3 6 3 2" xfId="691" xr:uid="{00000000-0005-0000-0000-00000F2A0000}"/>
    <cellStyle name="40% - Accent3 6 3 2 2" xfId="3830" xr:uid="{00000000-0005-0000-0000-0000102A0000}"/>
    <cellStyle name="40% - Accent3 6 3 2 2 2" xfId="8395" xr:uid="{00000000-0005-0000-0000-0000112A0000}"/>
    <cellStyle name="40% - Accent3 6 3 2 2 2 2" xfId="16191" xr:uid="{00000000-0005-0000-0000-0000122A0000}"/>
    <cellStyle name="40% - Accent3 6 3 2 2 2 2 2" xfId="33826" xr:uid="{00000000-0005-0000-0000-0000132A0000}"/>
    <cellStyle name="40% - Accent3 6 3 2 2 2 3" xfId="26809" xr:uid="{00000000-0005-0000-0000-0000142A0000}"/>
    <cellStyle name="40% - Accent3 6 3 2 2 3" xfId="12544" xr:uid="{00000000-0005-0000-0000-0000152A0000}"/>
    <cellStyle name="40% - Accent3 6 3 2 2 3 2" xfId="30212" xr:uid="{00000000-0005-0000-0000-0000162A0000}"/>
    <cellStyle name="40% - Accent3 6 3 2 2 4" xfId="23944" xr:uid="{00000000-0005-0000-0000-0000172A0000}"/>
    <cellStyle name="40% - Accent3 6 3 2 3" xfId="5740" xr:uid="{00000000-0005-0000-0000-0000182A0000}"/>
    <cellStyle name="40% - Accent3 6 3 2 3 2" xfId="9040" xr:uid="{00000000-0005-0000-0000-0000192A0000}"/>
    <cellStyle name="40% - Accent3 6 3 2 3 2 2" xfId="16835" xr:uid="{00000000-0005-0000-0000-00001A2A0000}"/>
    <cellStyle name="40% - Accent3 6 3 2 3 2 2 2" xfId="34471" xr:uid="{00000000-0005-0000-0000-00001B2A0000}"/>
    <cellStyle name="40% - Accent3 6 3 2 3 2 3" xfId="27428" xr:uid="{00000000-0005-0000-0000-00001C2A0000}"/>
    <cellStyle name="40% - Accent3 6 3 2 3 3" xfId="13596" xr:uid="{00000000-0005-0000-0000-00001D2A0000}"/>
    <cellStyle name="40% - Accent3 6 3 2 3 3 2" xfId="31236" xr:uid="{00000000-0005-0000-0000-00001E2A0000}"/>
    <cellStyle name="40% - Accent3 6 3 2 3 4" xfId="24563" xr:uid="{00000000-0005-0000-0000-00001F2A0000}"/>
    <cellStyle name="40% - Accent3 6 3 2 4" xfId="6370" xr:uid="{00000000-0005-0000-0000-0000202A0000}"/>
    <cellStyle name="40% - Accent3 6 3 2 4 2" xfId="9580" xr:uid="{00000000-0005-0000-0000-0000212A0000}"/>
    <cellStyle name="40% - Accent3 6 3 2 4 2 2" xfId="17374" xr:uid="{00000000-0005-0000-0000-0000222A0000}"/>
    <cellStyle name="40% - Accent3 6 3 2 4 2 2 2" xfId="35011" xr:uid="{00000000-0005-0000-0000-0000232A0000}"/>
    <cellStyle name="40% - Accent3 6 3 2 4 2 3" xfId="27964" xr:uid="{00000000-0005-0000-0000-0000242A0000}"/>
    <cellStyle name="40% - Accent3 6 3 2 4 3" xfId="14159" xr:uid="{00000000-0005-0000-0000-0000252A0000}"/>
    <cellStyle name="40% - Accent3 6 3 2 4 3 2" xfId="31794" xr:uid="{00000000-0005-0000-0000-0000262A0000}"/>
    <cellStyle name="40% - Accent3 6 3 2 4 4" xfId="25100" xr:uid="{00000000-0005-0000-0000-0000272A0000}"/>
    <cellStyle name="40% - Accent3 6 3 2 5" xfId="6908" xr:uid="{00000000-0005-0000-0000-0000282A0000}"/>
    <cellStyle name="40% - Accent3 6 3 2 5 2" xfId="10118" xr:uid="{00000000-0005-0000-0000-0000292A0000}"/>
    <cellStyle name="40% - Accent3 6 3 2 5 2 2" xfId="17911" xr:uid="{00000000-0005-0000-0000-00002A2A0000}"/>
    <cellStyle name="40% - Accent3 6 3 2 5 2 2 2" xfId="35548" xr:uid="{00000000-0005-0000-0000-00002B2A0000}"/>
    <cellStyle name="40% - Accent3 6 3 2 5 2 3" xfId="28501" xr:uid="{00000000-0005-0000-0000-00002C2A0000}"/>
    <cellStyle name="40% - Accent3 6 3 2 5 3" xfId="14696" xr:uid="{00000000-0005-0000-0000-00002D2A0000}"/>
    <cellStyle name="40% - Accent3 6 3 2 5 3 2" xfId="32331" xr:uid="{00000000-0005-0000-0000-00002E2A0000}"/>
    <cellStyle name="40% - Accent3 6 3 2 5 4" xfId="25638" xr:uid="{00000000-0005-0000-0000-00002F2A0000}"/>
    <cellStyle name="40% - Accent3 6 3 2 6" xfId="7731" xr:uid="{00000000-0005-0000-0000-0000302A0000}"/>
    <cellStyle name="40% - Accent3 6 3 2 6 2" xfId="15528" xr:uid="{00000000-0005-0000-0000-0000312A0000}"/>
    <cellStyle name="40% - Accent3 6 3 2 6 2 2" xfId="33163" xr:uid="{00000000-0005-0000-0000-0000322A0000}"/>
    <cellStyle name="40% - Accent3 6 3 2 6 3" xfId="26164" xr:uid="{00000000-0005-0000-0000-0000332A0000}"/>
    <cellStyle name="40% - Accent3 6 3 2 7" xfId="11392" xr:uid="{00000000-0005-0000-0000-0000342A0000}"/>
    <cellStyle name="40% - Accent3 6 3 2 7 2" xfId="29114" xr:uid="{00000000-0005-0000-0000-0000352A0000}"/>
    <cellStyle name="40% - Accent3 6 3 2 8" xfId="23299" xr:uid="{00000000-0005-0000-0000-0000362A0000}"/>
    <cellStyle name="40% - Accent3 6 3 2 9" xfId="51855" xr:uid="{00000000-0005-0000-0000-0000372A0000}"/>
    <cellStyle name="40% - Accent3 6 3 3" xfId="3831" xr:uid="{00000000-0005-0000-0000-0000382A0000}"/>
    <cellStyle name="40% - Accent3 6 3 3 2" xfId="5741" xr:uid="{00000000-0005-0000-0000-0000392A0000}"/>
    <cellStyle name="40% - Accent3 6 3 3 2 2" xfId="9041" xr:uid="{00000000-0005-0000-0000-00003A2A0000}"/>
    <cellStyle name="40% - Accent3 6 3 3 2 2 2" xfId="16836" xr:uid="{00000000-0005-0000-0000-00003B2A0000}"/>
    <cellStyle name="40% - Accent3 6 3 3 2 2 2 2" xfId="34472" xr:uid="{00000000-0005-0000-0000-00003C2A0000}"/>
    <cellStyle name="40% - Accent3 6 3 3 2 2 3" xfId="27429" xr:uid="{00000000-0005-0000-0000-00003D2A0000}"/>
    <cellStyle name="40% - Accent3 6 3 3 2 3" xfId="13597" xr:uid="{00000000-0005-0000-0000-00003E2A0000}"/>
    <cellStyle name="40% - Accent3 6 3 3 2 3 2" xfId="31237" xr:uid="{00000000-0005-0000-0000-00003F2A0000}"/>
    <cellStyle name="40% - Accent3 6 3 3 2 4" xfId="24564" xr:uid="{00000000-0005-0000-0000-0000402A0000}"/>
    <cellStyle name="40% - Accent3 6 3 3 3" xfId="6371" xr:uid="{00000000-0005-0000-0000-0000412A0000}"/>
    <cellStyle name="40% - Accent3 6 3 3 3 2" xfId="9581" xr:uid="{00000000-0005-0000-0000-0000422A0000}"/>
    <cellStyle name="40% - Accent3 6 3 3 3 2 2" xfId="17375" xr:uid="{00000000-0005-0000-0000-0000432A0000}"/>
    <cellStyle name="40% - Accent3 6 3 3 3 2 2 2" xfId="35012" xr:uid="{00000000-0005-0000-0000-0000442A0000}"/>
    <cellStyle name="40% - Accent3 6 3 3 3 2 3" xfId="27965" xr:uid="{00000000-0005-0000-0000-0000452A0000}"/>
    <cellStyle name="40% - Accent3 6 3 3 3 3" xfId="14160" xr:uid="{00000000-0005-0000-0000-0000462A0000}"/>
    <cellStyle name="40% - Accent3 6 3 3 3 3 2" xfId="31795" xr:uid="{00000000-0005-0000-0000-0000472A0000}"/>
    <cellStyle name="40% - Accent3 6 3 3 3 4" xfId="25101" xr:uid="{00000000-0005-0000-0000-0000482A0000}"/>
    <cellStyle name="40% - Accent3 6 3 3 4" xfId="6909" xr:uid="{00000000-0005-0000-0000-0000492A0000}"/>
    <cellStyle name="40% - Accent3 6 3 3 4 2" xfId="10119" xr:uid="{00000000-0005-0000-0000-00004A2A0000}"/>
    <cellStyle name="40% - Accent3 6 3 3 4 2 2" xfId="17912" xr:uid="{00000000-0005-0000-0000-00004B2A0000}"/>
    <cellStyle name="40% - Accent3 6 3 3 4 2 2 2" xfId="35549" xr:uid="{00000000-0005-0000-0000-00004C2A0000}"/>
    <cellStyle name="40% - Accent3 6 3 3 4 2 3" xfId="28502" xr:uid="{00000000-0005-0000-0000-00004D2A0000}"/>
    <cellStyle name="40% - Accent3 6 3 3 4 3" xfId="14697" xr:uid="{00000000-0005-0000-0000-00004E2A0000}"/>
    <cellStyle name="40% - Accent3 6 3 3 4 3 2" xfId="32332" xr:uid="{00000000-0005-0000-0000-00004F2A0000}"/>
    <cellStyle name="40% - Accent3 6 3 3 4 4" xfId="25639" xr:uid="{00000000-0005-0000-0000-0000502A0000}"/>
    <cellStyle name="40% - Accent3 6 3 3 5" xfId="8396" xr:uid="{00000000-0005-0000-0000-0000512A0000}"/>
    <cellStyle name="40% - Accent3 6 3 3 5 2" xfId="16192" xr:uid="{00000000-0005-0000-0000-0000522A0000}"/>
    <cellStyle name="40% - Accent3 6 3 3 5 2 2" xfId="33827" xr:uid="{00000000-0005-0000-0000-0000532A0000}"/>
    <cellStyle name="40% - Accent3 6 3 3 5 3" xfId="26810" xr:uid="{00000000-0005-0000-0000-0000542A0000}"/>
    <cellStyle name="40% - Accent3 6 3 3 6" xfId="12545" xr:uid="{00000000-0005-0000-0000-0000552A0000}"/>
    <cellStyle name="40% - Accent3 6 3 3 6 2" xfId="30213" xr:uid="{00000000-0005-0000-0000-0000562A0000}"/>
    <cellStyle name="40% - Accent3 6 3 3 7" xfId="23945" xr:uid="{00000000-0005-0000-0000-0000572A0000}"/>
    <cellStyle name="40% - Accent3 6 3 4" xfId="3829" xr:uid="{00000000-0005-0000-0000-0000582A0000}"/>
    <cellStyle name="40% - Accent3 6 3 4 2" xfId="8394" xr:uid="{00000000-0005-0000-0000-0000592A0000}"/>
    <cellStyle name="40% - Accent3 6 3 4 2 2" xfId="16190" xr:uid="{00000000-0005-0000-0000-00005A2A0000}"/>
    <cellStyle name="40% - Accent3 6 3 4 2 2 2" xfId="33825" xr:uid="{00000000-0005-0000-0000-00005B2A0000}"/>
    <cellStyle name="40% - Accent3 6 3 4 2 3" xfId="26808" xr:uid="{00000000-0005-0000-0000-00005C2A0000}"/>
    <cellStyle name="40% - Accent3 6 3 4 3" xfId="12543" xr:uid="{00000000-0005-0000-0000-00005D2A0000}"/>
    <cellStyle name="40% - Accent3 6 3 4 3 2" xfId="30211" xr:uid="{00000000-0005-0000-0000-00005E2A0000}"/>
    <cellStyle name="40% - Accent3 6 3 4 4" xfId="23943" xr:uid="{00000000-0005-0000-0000-00005F2A0000}"/>
    <cellStyle name="40% - Accent3 6 3 5" xfId="5739" xr:uid="{00000000-0005-0000-0000-0000602A0000}"/>
    <cellStyle name="40% - Accent3 6 3 5 2" xfId="9039" xr:uid="{00000000-0005-0000-0000-0000612A0000}"/>
    <cellStyle name="40% - Accent3 6 3 5 2 2" xfId="16834" xr:uid="{00000000-0005-0000-0000-0000622A0000}"/>
    <cellStyle name="40% - Accent3 6 3 5 2 2 2" xfId="34470" xr:uid="{00000000-0005-0000-0000-0000632A0000}"/>
    <cellStyle name="40% - Accent3 6 3 5 2 3" xfId="27427" xr:uid="{00000000-0005-0000-0000-0000642A0000}"/>
    <cellStyle name="40% - Accent3 6 3 5 3" xfId="13595" xr:uid="{00000000-0005-0000-0000-0000652A0000}"/>
    <cellStyle name="40% - Accent3 6 3 5 3 2" xfId="31235" xr:uid="{00000000-0005-0000-0000-0000662A0000}"/>
    <cellStyle name="40% - Accent3 6 3 5 4" xfId="24562" xr:uid="{00000000-0005-0000-0000-0000672A0000}"/>
    <cellStyle name="40% - Accent3 6 3 6" xfId="6369" xr:uid="{00000000-0005-0000-0000-0000682A0000}"/>
    <cellStyle name="40% - Accent3 6 3 6 2" xfId="9579" xr:uid="{00000000-0005-0000-0000-0000692A0000}"/>
    <cellStyle name="40% - Accent3 6 3 6 2 2" xfId="17373" xr:uid="{00000000-0005-0000-0000-00006A2A0000}"/>
    <cellStyle name="40% - Accent3 6 3 6 2 2 2" xfId="35010" xr:uid="{00000000-0005-0000-0000-00006B2A0000}"/>
    <cellStyle name="40% - Accent3 6 3 6 2 3" xfId="27963" xr:uid="{00000000-0005-0000-0000-00006C2A0000}"/>
    <cellStyle name="40% - Accent3 6 3 6 3" xfId="14158" xr:uid="{00000000-0005-0000-0000-00006D2A0000}"/>
    <cellStyle name="40% - Accent3 6 3 6 3 2" xfId="31793" xr:uid="{00000000-0005-0000-0000-00006E2A0000}"/>
    <cellStyle name="40% - Accent3 6 3 6 4" xfId="25099" xr:uid="{00000000-0005-0000-0000-00006F2A0000}"/>
    <cellStyle name="40% - Accent3 6 3 7" xfId="6907" xr:uid="{00000000-0005-0000-0000-0000702A0000}"/>
    <cellStyle name="40% - Accent3 6 3 7 2" xfId="10117" xr:uid="{00000000-0005-0000-0000-0000712A0000}"/>
    <cellStyle name="40% - Accent3 6 3 7 2 2" xfId="17910" xr:uid="{00000000-0005-0000-0000-0000722A0000}"/>
    <cellStyle name="40% - Accent3 6 3 7 2 2 2" xfId="35547" xr:uid="{00000000-0005-0000-0000-0000732A0000}"/>
    <cellStyle name="40% - Accent3 6 3 7 2 3" xfId="28500" xr:uid="{00000000-0005-0000-0000-0000742A0000}"/>
    <cellStyle name="40% - Accent3 6 3 7 3" xfId="14695" xr:uid="{00000000-0005-0000-0000-0000752A0000}"/>
    <cellStyle name="40% - Accent3 6 3 7 3 2" xfId="32330" xr:uid="{00000000-0005-0000-0000-0000762A0000}"/>
    <cellStyle name="40% - Accent3 6 3 7 4" xfId="25637" xr:uid="{00000000-0005-0000-0000-0000772A0000}"/>
    <cellStyle name="40% - Accent3 6 3 8" xfId="7730" xr:uid="{00000000-0005-0000-0000-0000782A0000}"/>
    <cellStyle name="40% - Accent3 6 3 8 2" xfId="15527" xr:uid="{00000000-0005-0000-0000-0000792A0000}"/>
    <cellStyle name="40% - Accent3 6 3 8 2 2" xfId="33162" xr:uid="{00000000-0005-0000-0000-00007A2A0000}"/>
    <cellStyle name="40% - Accent3 6 3 8 3" xfId="26163" xr:uid="{00000000-0005-0000-0000-00007B2A0000}"/>
    <cellStyle name="40% - Accent3 6 3 9" xfId="11391" xr:uid="{00000000-0005-0000-0000-00007C2A0000}"/>
    <cellStyle name="40% - Accent3 6 3 9 2" xfId="29113" xr:uid="{00000000-0005-0000-0000-00007D2A0000}"/>
    <cellStyle name="40% - Accent3 6 4" xfId="692" xr:uid="{00000000-0005-0000-0000-00007E2A0000}"/>
    <cellStyle name="40% - Accent3 6 4 10" xfId="52915" xr:uid="{00000000-0005-0000-0000-00007F2A0000}"/>
    <cellStyle name="40% - Accent3 6 4 2" xfId="3832" xr:uid="{00000000-0005-0000-0000-0000802A0000}"/>
    <cellStyle name="40% - Accent3 6 4 2 2" xfId="8397" xr:uid="{00000000-0005-0000-0000-0000812A0000}"/>
    <cellStyle name="40% - Accent3 6 4 2 2 2" xfId="16193" xr:uid="{00000000-0005-0000-0000-0000822A0000}"/>
    <cellStyle name="40% - Accent3 6 4 2 2 2 2" xfId="33828" xr:uid="{00000000-0005-0000-0000-0000832A0000}"/>
    <cellStyle name="40% - Accent3 6 4 2 2 3" xfId="26811" xr:uid="{00000000-0005-0000-0000-0000842A0000}"/>
    <cellStyle name="40% - Accent3 6 4 2 3" xfId="12546" xr:uid="{00000000-0005-0000-0000-0000852A0000}"/>
    <cellStyle name="40% - Accent3 6 4 2 3 2" xfId="30214" xr:uid="{00000000-0005-0000-0000-0000862A0000}"/>
    <cellStyle name="40% - Accent3 6 4 2 4" xfId="23946" xr:uid="{00000000-0005-0000-0000-0000872A0000}"/>
    <cellStyle name="40% - Accent3 6 4 3" xfId="5742" xr:uid="{00000000-0005-0000-0000-0000882A0000}"/>
    <cellStyle name="40% - Accent3 6 4 3 2" xfId="9042" xr:uid="{00000000-0005-0000-0000-0000892A0000}"/>
    <cellStyle name="40% - Accent3 6 4 3 2 2" xfId="16837" xr:uid="{00000000-0005-0000-0000-00008A2A0000}"/>
    <cellStyle name="40% - Accent3 6 4 3 2 2 2" xfId="34473" xr:uid="{00000000-0005-0000-0000-00008B2A0000}"/>
    <cellStyle name="40% - Accent3 6 4 3 2 3" xfId="27430" xr:uid="{00000000-0005-0000-0000-00008C2A0000}"/>
    <cellStyle name="40% - Accent3 6 4 3 3" xfId="13598" xr:uid="{00000000-0005-0000-0000-00008D2A0000}"/>
    <cellStyle name="40% - Accent3 6 4 3 3 2" xfId="31238" xr:uid="{00000000-0005-0000-0000-00008E2A0000}"/>
    <cellStyle name="40% - Accent3 6 4 3 4" xfId="24565" xr:uid="{00000000-0005-0000-0000-00008F2A0000}"/>
    <cellStyle name="40% - Accent3 6 4 4" xfId="6372" xr:uid="{00000000-0005-0000-0000-0000902A0000}"/>
    <cellStyle name="40% - Accent3 6 4 4 2" xfId="9582" xr:uid="{00000000-0005-0000-0000-0000912A0000}"/>
    <cellStyle name="40% - Accent3 6 4 4 2 2" xfId="17376" xr:uid="{00000000-0005-0000-0000-0000922A0000}"/>
    <cellStyle name="40% - Accent3 6 4 4 2 2 2" xfId="35013" xr:uid="{00000000-0005-0000-0000-0000932A0000}"/>
    <cellStyle name="40% - Accent3 6 4 4 2 3" xfId="27966" xr:uid="{00000000-0005-0000-0000-0000942A0000}"/>
    <cellStyle name="40% - Accent3 6 4 4 3" xfId="14161" xr:uid="{00000000-0005-0000-0000-0000952A0000}"/>
    <cellStyle name="40% - Accent3 6 4 4 3 2" xfId="31796" xr:uid="{00000000-0005-0000-0000-0000962A0000}"/>
    <cellStyle name="40% - Accent3 6 4 4 4" xfId="25102" xr:uid="{00000000-0005-0000-0000-0000972A0000}"/>
    <cellStyle name="40% - Accent3 6 4 5" xfId="6910" xr:uid="{00000000-0005-0000-0000-0000982A0000}"/>
    <cellStyle name="40% - Accent3 6 4 5 2" xfId="10120" xr:uid="{00000000-0005-0000-0000-0000992A0000}"/>
    <cellStyle name="40% - Accent3 6 4 5 2 2" xfId="17913" xr:uid="{00000000-0005-0000-0000-00009A2A0000}"/>
    <cellStyle name="40% - Accent3 6 4 5 2 2 2" xfId="35550" xr:uid="{00000000-0005-0000-0000-00009B2A0000}"/>
    <cellStyle name="40% - Accent3 6 4 5 2 3" xfId="28503" xr:uid="{00000000-0005-0000-0000-00009C2A0000}"/>
    <cellStyle name="40% - Accent3 6 4 5 3" xfId="14698" xr:uid="{00000000-0005-0000-0000-00009D2A0000}"/>
    <cellStyle name="40% - Accent3 6 4 5 3 2" xfId="32333" xr:uid="{00000000-0005-0000-0000-00009E2A0000}"/>
    <cellStyle name="40% - Accent3 6 4 5 4" xfId="25640" xr:uid="{00000000-0005-0000-0000-00009F2A0000}"/>
    <cellStyle name="40% - Accent3 6 4 6" xfId="7732" xr:uid="{00000000-0005-0000-0000-0000A02A0000}"/>
    <cellStyle name="40% - Accent3 6 4 6 2" xfId="15529" xr:uid="{00000000-0005-0000-0000-0000A12A0000}"/>
    <cellStyle name="40% - Accent3 6 4 6 2 2" xfId="33164" xr:uid="{00000000-0005-0000-0000-0000A22A0000}"/>
    <cellStyle name="40% - Accent3 6 4 6 3" xfId="26165" xr:uid="{00000000-0005-0000-0000-0000A32A0000}"/>
    <cellStyle name="40% - Accent3 6 4 7" xfId="11393" xr:uid="{00000000-0005-0000-0000-0000A42A0000}"/>
    <cellStyle name="40% - Accent3 6 4 7 2" xfId="29115" xr:uid="{00000000-0005-0000-0000-0000A52A0000}"/>
    <cellStyle name="40% - Accent3 6 4 8" xfId="23300" xr:uid="{00000000-0005-0000-0000-0000A62A0000}"/>
    <cellStyle name="40% - Accent3 6 4 9" xfId="51856" xr:uid="{00000000-0005-0000-0000-0000A72A0000}"/>
    <cellStyle name="40% - Accent3 6 5" xfId="693" xr:uid="{00000000-0005-0000-0000-0000A82A0000}"/>
    <cellStyle name="40% - Accent3 6 5 2" xfId="3833" xr:uid="{00000000-0005-0000-0000-0000A92A0000}"/>
    <cellStyle name="40% - Accent3 6 5 2 2" xfId="8398" xr:uid="{00000000-0005-0000-0000-0000AA2A0000}"/>
    <cellStyle name="40% - Accent3 6 5 2 2 2" xfId="16194" xr:uid="{00000000-0005-0000-0000-0000AB2A0000}"/>
    <cellStyle name="40% - Accent3 6 5 2 2 2 2" xfId="33829" xr:uid="{00000000-0005-0000-0000-0000AC2A0000}"/>
    <cellStyle name="40% - Accent3 6 5 2 2 3" xfId="26812" xr:uid="{00000000-0005-0000-0000-0000AD2A0000}"/>
    <cellStyle name="40% - Accent3 6 5 2 3" xfId="12547" xr:uid="{00000000-0005-0000-0000-0000AE2A0000}"/>
    <cellStyle name="40% - Accent3 6 5 2 3 2" xfId="30215" xr:uid="{00000000-0005-0000-0000-0000AF2A0000}"/>
    <cellStyle name="40% - Accent3 6 5 2 4" xfId="23947" xr:uid="{00000000-0005-0000-0000-0000B02A0000}"/>
    <cellStyle name="40% - Accent3 6 5 3" xfId="5743" xr:uid="{00000000-0005-0000-0000-0000B12A0000}"/>
    <cellStyle name="40% - Accent3 6 5 3 2" xfId="9043" xr:uid="{00000000-0005-0000-0000-0000B22A0000}"/>
    <cellStyle name="40% - Accent3 6 5 3 2 2" xfId="16838" xr:uid="{00000000-0005-0000-0000-0000B32A0000}"/>
    <cellStyle name="40% - Accent3 6 5 3 2 2 2" xfId="34474" xr:uid="{00000000-0005-0000-0000-0000B42A0000}"/>
    <cellStyle name="40% - Accent3 6 5 3 2 3" xfId="27431" xr:uid="{00000000-0005-0000-0000-0000B52A0000}"/>
    <cellStyle name="40% - Accent3 6 5 3 3" xfId="13599" xr:uid="{00000000-0005-0000-0000-0000B62A0000}"/>
    <cellStyle name="40% - Accent3 6 5 3 3 2" xfId="31239" xr:uid="{00000000-0005-0000-0000-0000B72A0000}"/>
    <cellStyle name="40% - Accent3 6 5 3 4" xfId="24566" xr:uid="{00000000-0005-0000-0000-0000B82A0000}"/>
    <cellStyle name="40% - Accent3 6 5 4" xfId="6373" xr:uid="{00000000-0005-0000-0000-0000B92A0000}"/>
    <cellStyle name="40% - Accent3 6 5 4 2" xfId="9583" xr:uid="{00000000-0005-0000-0000-0000BA2A0000}"/>
    <cellStyle name="40% - Accent3 6 5 4 2 2" xfId="17377" xr:uid="{00000000-0005-0000-0000-0000BB2A0000}"/>
    <cellStyle name="40% - Accent3 6 5 4 2 2 2" xfId="35014" xr:uid="{00000000-0005-0000-0000-0000BC2A0000}"/>
    <cellStyle name="40% - Accent3 6 5 4 2 3" xfId="27967" xr:uid="{00000000-0005-0000-0000-0000BD2A0000}"/>
    <cellStyle name="40% - Accent3 6 5 4 3" xfId="14162" xr:uid="{00000000-0005-0000-0000-0000BE2A0000}"/>
    <cellStyle name="40% - Accent3 6 5 4 3 2" xfId="31797" xr:uid="{00000000-0005-0000-0000-0000BF2A0000}"/>
    <cellStyle name="40% - Accent3 6 5 4 4" xfId="25103" xr:uid="{00000000-0005-0000-0000-0000C02A0000}"/>
    <cellStyle name="40% - Accent3 6 5 5" xfId="6911" xr:uid="{00000000-0005-0000-0000-0000C12A0000}"/>
    <cellStyle name="40% - Accent3 6 5 5 2" xfId="10121" xr:uid="{00000000-0005-0000-0000-0000C22A0000}"/>
    <cellStyle name="40% - Accent3 6 5 5 2 2" xfId="17914" xr:uid="{00000000-0005-0000-0000-0000C32A0000}"/>
    <cellStyle name="40% - Accent3 6 5 5 2 2 2" xfId="35551" xr:uid="{00000000-0005-0000-0000-0000C42A0000}"/>
    <cellStyle name="40% - Accent3 6 5 5 2 3" xfId="28504" xr:uid="{00000000-0005-0000-0000-0000C52A0000}"/>
    <cellStyle name="40% - Accent3 6 5 5 3" xfId="14699" xr:uid="{00000000-0005-0000-0000-0000C62A0000}"/>
    <cellStyle name="40% - Accent3 6 5 5 3 2" xfId="32334" xr:uid="{00000000-0005-0000-0000-0000C72A0000}"/>
    <cellStyle name="40% - Accent3 6 5 5 4" xfId="25641" xr:uid="{00000000-0005-0000-0000-0000C82A0000}"/>
    <cellStyle name="40% - Accent3 6 5 6" xfId="7733" xr:uid="{00000000-0005-0000-0000-0000C92A0000}"/>
    <cellStyle name="40% - Accent3 6 5 6 2" xfId="15530" xr:uid="{00000000-0005-0000-0000-0000CA2A0000}"/>
    <cellStyle name="40% - Accent3 6 5 6 2 2" xfId="33165" xr:uid="{00000000-0005-0000-0000-0000CB2A0000}"/>
    <cellStyle name="40% - Accent3 6 5 6 3" xfId="26166" xr:uid="{00000000-0005-0000-0000-0000CC2A0000}"/>
    <cellStyle name="40% - Accent3 6 5 7" xfId="11394" xr:uid="{00000000-0005-0000-0000-0000CD2A0000}"/>
    <cellStyle name="40% - Accent3 6 5 7 2" xfId="29116" xr:uid="{00000000-0005-0000-0000-0000CE2A0000}"/>
    <cellStyle name="40% - Accent3 6 5 8" xfId="23301" xr:uid="{00000000-0005-0000-0000-0000CF2A0000}"/>
    <cellStyle name="40% - Accent3 6 5 9" xfId="51857" xr:uid="{00000000-0005-0000-0000-0000D02A0000}"/>
    <cellStyle name="40% - Accent3 6 6" xfId="694" xr:uid="{00000000-0005-0000-0000-0000D12A0000}"/>
    <cellStyle name="40% - Accent3 6 6 2" xfId="3834" xr:uid="{00000000-0005-0000-0000-0000D22A0000}"/>
    <cellStyle name="40% - Accent3 6 6 2 2" xfId="8399" xr:uid="{00000000-0005-0000-0000-0000D32A0000}"/>
    <cellStyle name="40% - Accent3 6 6 2 2 2" xfId="16195" xr:uid="{00000000-0005-0000-0000-0000D42A0000}"/>
    <cellStyle name="40% - Accent3 6 6 2 2 2 2" xfId="33830" xr:uid="{00000000-0005-0000-0000-0000D52A0000}"/>
    <cellStyle name="40% - Accent3 6 6 2 2 3" xfId="26813" xr:uid="{00000000-0005-0000-0000-0000D62A0000}"/>
    <cellStyle name="40% - Accent3 6 6 2 3" xfId="12548" xr:uid="{00000000-0005-0000-0000-0000D72A0000}"/>
    <cellStyle name="40% - Accent3 6 6 2 3 2" xfId="30216" xr:uid="{00000000-0005-0000-0000-0000D82A0000}"/>
    <cellStyle name="40% - Accent3 6 6 2 4" xfId="23948" xr:uid="{00000000-0005-0000-0000-0000D92A0000}"/>
    <cellStyle name="40% - Accent3 6 6 3" xfId="5744" xr:uid="{00000000-0005-0000-0000-0000DA2A0000}"/>
    <cellStyle name="40% - Accent3 6 6 3 2" xfId="9044" xr:uid="{00000000-0005-0000-0000-0000DB2A0000}"/>
    <cellStyle name="40% - Accent3 6 6 3 2 2" xfId="16839" xr:uid="{00000000-0005-0000-0000-0000DC2A0000}"/>
    <cellStyle name="40% - Accent3 6 6 3 2 2 2" xfId="34475" xr:uid="{00000000-0005-0000-0000-0000DD2A0000}"/>
    <cellStyle name="40% - Accent3 6 6 3 2 3" xfId="27432" xr:uid="{00000000-0005-0000-0000-0000DE2A0000}"/>
    <cellStyle name="40% - Accent3 6 6 3 3" xfId="13600" xr:uid="{00000000-0005-0000-0000-0000DF2A0000}"/>
    <cellStyle name="40% - Accent3 6 6 3 3 2" xfId="31240" xr:uid="{00000000-0005-0000-0000-0000E02A0000}"/>
    <cellStyle name="40% - Accent3 6 6 3 4" xfId="24567" xr:uid="{00000000-0005-0000-0000-0000E12A0000}"/>
    <cellStyle name="40% - Accent3 6 6 4" xfId="6374" xr:uid="{00000000-0005-0000-0000-0000E22A0000}"/>
    <cellStyle name="40% - Accent3 6 6 4 2" xfId="9584" xr:uid="{00000000-0005-0000-0000-0000E32A0000}"/>
    <cellStyle name="40% - Accent3 6 6 4 2 2" xfId="17378" xr:uid="{00000000-0005-0000-0000-0000E42A0000}"/>
    <cellStyle name="40% - Accent3 6 6 4 2 2 2" xfId="35015" xr:uid="{00000000-0005-0000-0000-0000E52A0000}"/>
    <cellStyle name="40% - Accent3 6 6 4 2 3" xfId="27968" xr:uid="{00000000-0005-0000-0000-0000E62A0000}"/>
    <cellStyle name="40% - Accent3 6 6 4 3" xfId="14163" xr:uid="{00000000-0005-0000-0000-0000E72A0000}"/>
    <cellStyle name="40% - Accent3 6 6 4 3 2" xfId="31798" xr:uid="{00000000-0005-0000-0000-0000E82A0000}"/>
    <cellStyle name="40% - Accent3 6 6 4 4" xfId="25104" xr:uid="{00000000-0005-0000-0000-0000E92A0000}"/>
    <cellStyle name="40% - Accent3 6 6 5" xfId="6912" xr:uid="{00000000-0005-0000-0000-0000EA2A0000}"/>
    <cellStyle name="40% - Accent3 6 6 5 2" xfId="10122" xr:uid="{00000000-0005-0000-0000-0000EB2A0000}"/>
    <cellStyle name="40% - Accent3 6 6 5 2 2" xfId="17915" xr:uid="{00000000-0005-0000-0000-0000EC2A0000}"/>
    <cellStyle name="40% - Accent3 6 6 5 2 2 2" xfId="35552" xr:uid="{00000000-0005-0000-0000-0000ED2A0000}"/>
    <cellStyle name="40% - Accent3 6 6 5 2 3" xfId="28505" xr:uid="{00000000-0005-0000-0000-0000EE2A0000}"/>
    <cellStyle name="40% - Accent3 6 6 5 3" xfId="14700" xr:uid="{00000000-0005-0000-0000-0000EF2A0000}"/>
    <cellStyle name="40% - Accent3 6 6 5 3 2" xfId="32335" xr:uid="{00000000-0005-0000-0000-0000F02A0000}"/>
    <cellStyle name="40% - Accent3 6 6 5 4" xfId="25642" xr:uid="{00000000-0005-0000-0000-0000F12A0000}"/>
    <cellStyle name="40% - Accent3 6 6 6" xfId="7734" xr:uid="{00000000-0005-0000-0000-0000F22A0000}"/>
    <cellStyle name="40% - Accent3 6 6 6 2" xfId="15531" xr:uid="{00000000-0005-0000-0000-0000F32A0000}"/>
    <cellStyle name="40% - Accent3 6 6 6 2 2" xfId="33166" xr:uid="{00000000-0005-0000-0000-0000F42A0000}"/>
    <cellStyle name="40% - Accent3 6 6 6 3" xfId="26167" xr:uid="{00000000-0005-0000-0000-0000F52A0000}"/>
    <cellStyle name="40% - Accent3 6 6 7" xfId="11395" xr:uid="{00000000-0005-0000-0000-0000F62A0000}"/>
    <cellStyle name="40% - Accent3 6 6 7 2" xfId="29117" xr:uid="{00000000-0005-0000-0000-0000F72A0000}"/>
    <cellStyle name="40% - Accent3 6 6 8" xfId="23302" xr:uid="{00000000-0005-0000-0000-0000F82A0000}"/>
    <cellStyle name="40% - Accent3 6 6 9" xfId="51858" xr:uid="{00000000-0005-0000-0000-0000F92A0000}"/>
    <cellStyle name="40% - Accent3 6 7" xfId="695" xr:uid="{00000000-0005-0000-0000-0000FA2A0000}"/>
    <cellStyle name="40% - Accent3 6 7 10" xfId="51859" xr:uid="{00000000-0005-0000-0000-0000FB2A0000}"/>
    <cellStyle name="40% - Accent3 6 7 2" xfId="696" xr:uid="{00000000-0005-0000-0000-0000FC2A0000}"/>
    <cellStyle name="40% - Accent3 6 7 2 2" xfId="8401" xr:uid="{00000000-0005-0000-0000-0000FD2A0000}"/>
    <cellStyle name="40% - Accent3 6 7 2 2 2" xfId="16197" xr:uid="{00000000-0005-0000-0000-0000FE2A0000}"/>
    <cellStyle name="40% - Accent3 6 7 2 2 2 2" xfId="33832" xr:uid="{00000000-0005-0000-0000-0000FF2A0000}"/>
    <cellStyle name="40% - Accent3 6 7 2 2 3" xfId="26815" xr:uid="{00000000-0005-0000-0000-0000002B0000}"/>
    <cellStyle name="40% - Accent3 6 7 2 3" xfId="12550" xr:uid="{00000000-0005-0000-0000-0000012B0000}"/>
    <cellStyle name="40% - Accent3 6 7 2 3 2" xfId="30218" xr:uid="{00000000-0005-0000-0000-0000022B0000}"/>
    <cellStyle name="40% - Accent3 6 7 2 4" xfId="23950" xr:uid="{00000000-0005-0000-0000-0000032B0000}"/>
    <cellStyle name="40% - Accent3 6 7 3" xfId="3835" xr:uid="{00000000-0005-0000-0000-0000042B0000}"/>
    <cellStyle name="40% - Accent3 6 7 3 2" xfId="8400" xr:uid="{00000000-0005-0000-0000-0000052B0000}"/>
    <cellStyle name="40% - Accent3 6 7 3 2 2" xfId="16196" xr:uid="{00000000-0005-0000-0000-0000062B0000}"/>
    <cellStyle name="40% - Accent3 6 7 3 2 2 2" xfId="33831" xr:uid="{00000000-0005-0000-0000-0000072B0000}"/>
    <cellStyle name="40% - Accent3 6 7 3 2 3" xfId="26814" xr:uid="{00000000-0005-0000-0000-0000082B0000}"/>
    <cellStyle name="40% - Accent3 6 7 3 3" xfId="12549" xr:uid="{00000000-0005-0000-0000-0000092B0000}"/>
    <cellStyle name="40% - Accent3 6 7 3 3 2" xfId="30217" xr:uid="{00000000-0005-0000-0000-00000A2B0000}"/>
    <cellStyle name="40% - Accent3 6 7 3 4" xfId="23949" xr:uid="{00000000-0005-0000-0000-00000B2B0000}"/>
    <cellStyle name="40% - Accent3 6 7 4" xfId="5745" xr:uid="{00000000-0005-0000-0000-00000C2B0000}"/>
    <cellStyle name="40% - Accent3 6 7 4 2" xfId="9045" xr:uid="{00000000-0005-0000-0000-00000D2B0000}"/>
    <cellStyle name="40% - Accent3 6 7 4 2 2" xfId="16840" xr:uid="{00000000-0005-0000-0000-00000E2B0000}"/>
    <cellStyle name="40% - Accent3 6 7 4 2 2 2" xfId="34476" xr:uid="{00000000-0005-0000-0000-00000F2B0000}"/>
    <cellStyle name="40% - Accent3 6 7 4 2 3" xfId="27433" xr:uid="{00000000-0005-0000-0000-0000102B0000}"/>
    <cellStyle name="40% - Accent3 6 7 4 3" xfId="13601" xr:uid="{00000000-0005-0000-0000-0000112B0000}"/>
    <cellStyle name="40% - Accent3 6 7 4 3 2" xfId="31241" xr:uid="{00000000-0005-0000-0000-0000122B0000}"/>
    <cellStyle name="40% - Accent3 6 7 4 4" xfId="24568" xr:uid="{00000000-0005-0000-0000-0000132B0000}"/>
    <cellStyle name="40% - Accent3 6 7 5" xfId="6375" xr:uid="{00000000-0005-0000-0000-0000142B0000}"/>
    <cellStyle name="40% - Accent3 6 7 5 2" xfId="9585" xr:uid="{00000000-0005-0000-0000-0000152B0000}"/>
    <cellStyle name="40% - Accent3 6 7 5 2 2" xfId="17379" xr:uid="{00000000-0005-0000-0000-0000162B0000}"/>
    <cellStyle name="40% - Accent3 6 7 5 2 2 2" xfId="35016" xr:uid="{00000000-0005-0000-0000-0000172B0000}"/>
    <cellStyle name="40% - Accent3 6 7 5 2 3" xfId="27969" xr:uid="{00000000-0005-0000-0000-0000182B0000}"/>
    <cellStyle name="40% - Accent3 6 7 5 3" xfId="14164" xr:uid="{00000000-0005-0000-0000-0000192B0000}"/>
    <cellStyle name="40% - Accent3 6 7 5 3 2" xfId="31799" xr:uid="{00000000-0005-0000-0000-00001A2B0000}"/>
    <cellStyle name="40% - Accent3 6 7 5 4" xfId="25105" xr:uid="{00000000-0005-0000-0000-00001B2B0000}"/>
    <cellStyle name="40% - Accent3 6 7 6" xfId="6913" xr:uid="{00000000-0005-0000-0000-00001C2B0000}"/>
    <cellStyle name="40% - Accent3 6 7 6 2" xfId="10123" xr:uid="{00000000-0005-0000-0000-00001D2B0000}"/>
    <cellStyle name="40% - Accent3 6 7 6 2 2" xfId="17916" xr:uid="{00000000-0005-0000-0000-00001E2B0000}"/>
    <cellStyle name="40% - Accent3 6 7 6 2 2 2" xfId="35553" xr:uid="{00000000-0005-0000-0000-00001F2B0000}"/>
    <cellStyle name="40% - Accent3 6 7 6 2 3" xfId="28506" xr:uid="{00000000-0005-0000-0000-0000202B0000}"/>
    <cellStyle name="40% - Accent3 6 7 6 3" xfId="14701" xr:uid="{00000000-0005-0000-0000-0000212B0000}"/>
    <cellStyle name="40% - Accent3 6 7 6 3 2" xfId="32336" xr:uid="{00000000-0005-0000-0000-0000222B0000}"/>
    <cellStyle name="40% - Accent3 6 7 6 4" xfId="25643" xr:uid="{00000000-0005-0000-0000-0000232B0000}"/>
    <cellStyle name="40% - Accent3 6 7 7" xfId="7735" xr:uid="{00000000-0005-0000-0000-0000242B0000}"/>
    <cellStyle name="40% - Accent3 6 7 7 2" xfId="15532" xr:uid="{00000000-0005-0000-0000-0000252B0000}"/>
    <cellStyle name="40% - Accent3 6 7 7 2 2" xfId="33167" xr:uid="{00000000-0005-0000-0000-0000262B0000}"/>
    <cellStyle name="40% - Accent3 6 7 7 3" xfId="26168" xr:uid="{00000000-0005-0000-0000-0000272B0000}"/>
    <cellStyle name="40% - Accent3 6 7 8" xfId="11396" xr:uid="{00000000-0005-0000-0000-0000282B0000}"/>
    <cellStyle name="40% - Accent3 6 7 8 2" xfId="29118" xr:uid="{00000000-0005-0000-0000-0000292B0000}"/>
    <cellStyle name="40% - Accent3 6 7 9" xfId="23303" xr:uid="{00000000-0005-0000-0000-00002A2B0000}"/>
    <cellStyle name="40% - Accent3 6 8" xfId="3836" xr:uid="{00000000-0005-0000-0000-00002B2B0000}"/>
    <cellStyle name="40% - Accent3 6 8 2" xfId="8402" xr:uid="{00000000-0005-0000-0000-00002C2B0000}"/>
    <cellStyle name="40% - Accent3 6 8 2 2" xfId="16198" xr:uid="{00000000-0005-0000-0000-00002D2B0000}"/>
    <cellStyle name="40% - Accent3 6 8 2 2 2" xfId="33833" xr:uid="{00000000-0005-0000-0000-00002E2B0000}"/>
    <cellStyle name="40% - Accent3 6 8 2 3" xfId="26816" xr:uid="{00000000-0005-0000-0000-00002F2B0000}"/>
    <cellStyle name="40% - Accent3 6 8 3" xfId="12551" xr:uid="{00000000-0005-0000-0000-0000302B0000}"/>
    <cellStyle name="40% - Accent3 6 8 3 2" xfId="30219" xr:uid="{00000000-0005-0000-0000-0000312B0000}"/>
    <cellStyle name="40% - Accent3 6 8 4" xfId="23951" xr:uid="{00000000-0005-0000-0000-0000322B0000}"/>
    <cellStyle name="40% - Accent3 6 9" xfId="3837" xr:uid="{00000000-0005-0000-0000-0000332B0000}"/>
    <cellStyle name="40% - Accent3 6 9 2" xfId="8403" xr:uid="{00000000-0005-0000-0000-0000342B0000}"/>
    <cellStyle name="40% - Accent3 6 9 2 2" xfId="16199" xr:uid="{00000000-0005-0000-0000-0000352B0000}"/>
    <cellStyle name="40% - Accent3 6 9 2 2 2" xfId="33834" xr:uid="{00000000-0005-0000-0000-0000362B0000}"/>
    <cellStyle name="40% - Accent3 6 9 2 3" xfId="26817" xr:uid="{00000000-0005-0000-0000-0000372B0000}"/>
    <cellStyle name="40% - Accent3 6 9 3" xfId="12552" xr:uid="{00000000-0005-0000-0000-0000382B0000}"/>
    <cellStyle name="40% - Accent3 6 9 3 2" xfId="30220" xr:uid="{00000000-0005-0000-0000-0000392B0000}"/>
    <cellStyle name="40% - Accent3 6 9 4" xfId="23952" xr:uid="{00000000-0005-0000-0000-00003A2B0000}"/>
    <cellStyle name="40% - Accent3 7" xfId="697" xr:uid="{00000000-0005-0000-0000-00003B2B0000}"/>
    <cellStyle name="40% - Accent3 7 10" xfId="3838" xr:uid="{00000000-0005-0000-0000-00003C2B0000}"/>
    <cellStyle name="40% - Accent3 7 10 2" xfId="8404" xr:uid="{00000000-0005-0000-0000-00003D2B0000}"/>
    <cellStyle name="40% - Accent3 7 10 2 2" xfId="16200" xr:uid="{00000000-0005-0000-0000-00003E2B0000}"/>
    <cellStyle name="40% - Accent3 7 10 2 2 2" xfId="33835" xr:uid="{00000000-0005-0000-0000-00003F2B0000}"/>
    <cellStyle name="40% - Accent3 7 10 2 3" xfId="26818" xr:uid="{00000000-0005-0000-0000-0000402B0000}"/>
    <cellStyle name="40% - Accent3 7 10 3" xfId="12553" xr:uid="{00000000-0005-0000-0000-0000412B0000}"/>
    <cellStyle name="40% - Accent3 7 10 3 2" xfId="30221" xr:uid="{00000000-0005-0000-0000-0000422B0000}"/>
    <cellStyle name="40% - Accent3 7 10 4" xfId="23953" xr:uid="{00000000-0005-0000-0000-0000432B0000}"/>
    <cellStyle name="40% - Accent3 7 11" xfId="5746" xr:uid="{00000000-0005-0000-0000-0000442B0000}"/>
    <cellStyle name="40% - Accent3 7 11 2" xfId="9046" xr:uid="{00000000-0005-0000-0000-0000452B0000}"/>
    <cellStyle name="40% - Accent3 7 11 2 2" xfId="16841" xr:uid="{00000000-0005-0000-0000-0000462B0000}"/>
    <cellStyle name="40% - Accent3 7 11 2 2 2" xfId="34477" xr:uid="{00000000-0005-0000-0000-0000472B0000}"/>
    <cellStyle name="40% - Accent3 7 11 2 3" xfId="27434" xr:uid="{00000000-0005-0000-0000-0000482B0000}"/>
    <cellStyle name="40% - Accent3 7 11 3" xfId="13602" xr:uid="{00000000-0005-0000-0000-0000492B0000}"/>
    <cellStyle name="40% - Accent3 7 11 3 2" xfId="31242" xr:uid="{00000000-0005-0000-0000-00004A2B0000}"/>
    <cellStyle name="40% - Accent3 7 11 4" xfId="24569" xr:uid="{00000000-0005-0000-0000-00004B2B0000}"/>
    <cellStyle name="40% - Accent3 7 12" xfId="6376" xr:uid="{00000000-0005-0000-0000-00004C2B0000}"/>
    <cellStyle name="40% - Accent3 7 12 2" xfId="9586" xr:uid="{00000000-0005-0000-0000-00004D2B0000}"/>
    <cellStyle name="40% - Accent3 7 12 2 2" xfId="17380" xr:uid="{00000000-0005-0000-0000-00004E2B0000}"/>
    <cellStyle name="40% - Accent3 7 12 2 2 2" xfId="35017" xr:uid="{00000000-0005-0000-0000-00004F2B0000}"/>
    <cellStyle name="40% - Accent3 7 12 2 3" xfId="27970" xr:uid="{00000000-0005-0000-0000-0000502B0000}"/>
    <cellStyle name="40% - Accent3 7 12 3" xfId="14165" xr:uid="{00000000-0005-0000-0000-0000512B0000}"/>
    <cellStyle name="40% - Accent3 7 12 3 2" xfId="31800" xr:uid="{00000000-0005-0000-0000-0000522B0000}"/>
    <cellStyle name="40% - Accent3 7 12 4" xfId="25106" xr:uid="{00000000-0005-0000-0000-0000532B0000}"/>
    <cellStyle name="40% - Accent3 7 13" xfId="6914" xr:uid="{00000000-0005-0000-0000-0000542B0000}"/>
    <cellStyle name="40% - Accent3 7 13 2" xfId="10124" xr:uid="{00000000-0005-0000-0000-0000552B0000}"/>
    <cellStyle name="40% - Accent3 7 13 2 2" xfId="17917" xr:uid="{00000000-0005-0000-0000-0000562B0000}"/>
    <cellStyle name="40% - Accent3 7 13 2 2 2" xfId="35554" xr:uid="{00000000-0005-0000-0000-0000572B0000}"/>
    <cellStyle name="40% - Accent3 7 13 2 3" xfId="28507" xr:uid="{00000000-0005-0000-0000-0000582B0000}"/>
    <cellStyle name="40% - Accent3 7 13 3" xfId="14702" xr:uid="{00000000-0005-0000-0000-0000592B0000}"/>
    <cellStyle name="40% - Accent3 7 13 3 2" xfId="32337" xr:uid="{00000000-0005-0000-0000-00005A2B0000}"/>
    <cellStyle name="40% - Accent3 7 13 4" xfId="25644" xr:uid="{00000000-0005-0000-0000-00005B2B0000}"/>
    <cellStyle name="40% - Accent3 7 14" xfId="7736" xr:uid="{00000000-0005-0000-0000-00005C2B0000}"/>
    <cellStyle name="40% - Accent3 7 14 2" xfId="15533" xr:uid="{00000000-0005-0000-0000-00005D2B0000}"/>
    <cellStyle name="40% - Accent3 7 14 2 2" xfId="33168" xr:uid="{00000000-0005-0000-0000-00005E2B0000}"/>
    <cellStyle name="40% - Accent3 7 14 3" xfId="26169" xr:uid="{00000000-0005-0000-0000-00005F2B0000}"/>
    <cellStyle name="40% - Accent3 7 15" xfId="11397" xr:uid="{00000000-0005-0000-0000-0000602B0000}"/>
    <cellStyle name="40% - Accent3 7 15 2" xfId="29119" xr:uid="{00000000-0005-0000-0000-0000612B0000}"/>
    <cellStyle name="40% - Accent3 7 16" xfId="22126" xr:uid="{00000000-0005-0000-0000-0000622B0000}"/>
    <cellStyle name="40% - Accent3 7 16 2" xfId="38807" xr:uid="{00000000-0005-0000-0000-0000632B0000}"/>
    <cellStyle name="40% - Accent3 7 17" xfId="23304" xr:uid="{00000000-0005-0000-0000-0000642B0000}"/>
    <cellStyle name="40% - Accent3 7 18" xfId="51860" xr:uid="{00000000-0005-0000-0000-0000652B0000}"/>
    <cellStyle name="40% - Accent3 7 2" xfId="698" xr:uid="{00000000-0005-0000-0000-0000662B0000}"/>
    <cellStyle name="40% - Accent3 7 2 10" xfId="51861" xr:uid="{00000000-0005-0000-0000-0000672B0000}"/>
    <cellStyle name="40% - Accent3 7 2 2" xfId="3839" xr:uid="{00000000-0005-0000-0000-0000682B0000}"/>
    <cellStyle name="40% - Accent3 7 2 2 2" xfId="8405" xr:uid="{00000000-0005-0000-0000-0000692B0000}"/>
    <cellStyle name="40% - Accent3 7 2 2 2 2" xfId="16201" xr:uid="{00000000-0005-0000-0000-00006A2B0000}"/>
    <cellStyle name="40% - Accent3 7 2 2 2 2 2" xfId="33836" xr:uid="{00000000-0005-0000-0000-00006B2B0000}"/>
    <cellStyle name="40% - Accent3 7 2 2 2 3" xfId="26819" xr:uid="{00000000-0005-0000-0000-00006C2B0000}"/>
    <cellStyle name="40% - Accent3 7 2 2 3" xfId="12554" xr:uid="{00000000-0005-0000-0000-00006D2B0000}"/>
    <cellStyle name="40% - Accent3 7 2 2 3 2" xfId="30222" xr:uid="{00000000-0005-0000-0000-00006E2B0000}"/>
    <cellStyle name="40% - Accent3 7 2 2 4" xfId="23954" xr:uid="{00000000-0005-0000-0000-00006F2B0000}"/>
    <cellStyle name="40% - Accent3 7 2 3" xfId="5747" xr:uid="{00000000-0005-0000-0000-0000702B0000}"/>
    <cellStyle name="40% - Accent3 7 2 3 2" xfId="9047" xr:uid="{00000000-0005-0000-0000-0000712B0000}"/>
    <cellStyle name="40% - Accent3 7 2 3 2 2" xfId="16842" xr:uid="{00000000-0005-0000-0000-0000722B0000}"/>
    <cellStyle name="40% - Accent3 7 2 3 2 2 2" xfId="34478" xr:uid="{00000000-0005-0000-0000-0000732B0000}"/>
    <cellStyle name="40% - Accent3 7 2 3 2 3" xfId="27435" xr:uid="{00000000-0005-0000-0000-0000742B0000}"/>
    <cellStyle name="40% - Accent3 7 2 3 3" xfId="13603" xr:uid="{00000000-0005-0000-0000-0000752B0000}"/>
    <cellStyle name="40% - Accent3 7 2 3 3 2" xfId="31243" xr:uid="{00000000-0005-0000-0000-0000762B0000}"/>
    <cellStyle name="40% - Accent3 7 2 3 4" xfId="24570" xr:uid="{00000000-0005-0000-0000-0000772B0000}"/>
    <cellStyle name="40% - Accent3 7 2 4" xfId="6377" xr:uid="{00000000-0005-0000-0000-0000782B0000}"/>
    <cellStyle name="40% - Accent3 7 2 4 2" xfId="9587" xr:uid="{00000000-0005-0000-0000-0000792B0000}"/>
    <cellStyle name="40% - Accent3 7 2 4 2 2" xfId="17381" xr:uid="{00000000-0005-0000-0000-00007A2B0000}"/>
    <cellStyle name="40% - Accent3 7 2 4 2 2 2" xfId="35018" xr:uid="{00000000-0005-0000-0000-00007B2B0000}"/>
    <cellStyle name="40% - Accent3 7 2 4 2 3" xfId="27971" xr:uid="{00000000-0005-0000-0000-00007C2B0000}"/>
    <cellStyle name="40% - Accent3 7 2 4 3" xfId="14166" xr:uid="{00000000-0005-0000-0000-00007D2B0000}"/>
    <cellStyle name="40% - Accent3 7 2 4 3 2" xfId="31801" xr:uid="{00000000-0005-0000-0000-00007E2B0000}"/>
    <cellStyle name="40% - Accent3 7 2 4 4" xfId="25107" xr:uid="{00000000-0005-0000-0000-00007F2B0000}"/>
    <cellStyle name="40% - Accent3 7 2 5" xfId="6915" xr:uid="{00000000-0005-0000-0000-0000802B0000}"/>
    <cellStyle name="40% - Accent3 7 2 5 2" xfId="10125" xr:uid="{00000000-0005-0000-0000-0000812B0000}"/>
    <cellStyle name="40% - Accent3 7 2 5 2 2" xfId="17918" xr:uid="{00000000-0005-0000-0000-0000822B0000}"/>
    <cellStyle name="40% - Accent3 7 2 5 2 2 2" xfId="35555" xr:uid="{00000000-0005-0000-0000-0000832B0000}"/>
    <cellStyle name="40% - Accent3 7 2 5 2 3" xfId="28508" xr:uid="{00000000-0005-0000-0000-0000842B0000}"/>
    <cellStyle name="40% - Accent3 7 2 5 3" xfId="14703" xr:uid="{00000000-0005-0000-0000-0000852B0000}"/>
    <cellStyle name="40% - Accent3 7 2 5 3 2" xfId="32338" xr:uid="{00000000-0005-0000-0000-0000862B0000}"/>
    <cellStyle name="40% - Accent3 7 2 5 4" xfId="25645" xr:uid="{00000000-0005-0000-0000-0000872B0000}"/>
    <cellStyle name="40% - Accent3 7 2 6" xfId="7737" xr:uid="{00000000-0005-0000-0000-0000882B0000}"/>
    <cellStyle name="40% - Accent3 7 2 6 2" xfId="15534" xr:uid="{00000000-0005-0000-0000-0000892B0000}"/>
    <cellStyle name="40% - Accent3 7 2 6 2 2" xfId="33169" xr:uid="{00000000-0005-0000-0000-00008A2B0000}"/>
    <cellStyle name="40% - Accent3 7 2 6 3" xfId="26170" xr:uid="{00000000-0005-0000-0000-00008B2B0000}"/>
    <cellStyle name="40% - Accent3 7 2 7" xfId="11398" xr:uid="{00000000-0005-0000-0000-00008C2B0000}"/>
    <cellStyle name="40% - Accent3 7 2 7 2" xfId="29120" xr:uid="{00000000-0005-0000-0000-00008D2B0000}"/>
    <cellStyle name="40% - Accent3 7 2 8" xfId="22736" xr:uid="{00000000-0005-0000-0000-00008E2B0000}"/>
    <cellStyle name="40% - Accent3 7 2 8 2" xfId="38946" xr:uid="{00000000-0005-0000-0000-00008F2B0000}"/>
    <cellStyle name="40% - Accent3 7 2 9" xfId="23305" xr:uid="{00000000-0005-0000-0000-0000902B0000}"/>
    <cellStyle name="40% - Accent3 7 3" xfId="699" xr:uid="{00000000-0005-0000-0000-0000912B0000}"/>
    <cellStyle name="40% - Accent3 7 3 10" xfId="23306" xr:uid="{00000000-0005-0000-0000-0000922B0000}"/>
    <cellStyle name="40% - Accent3 7 3 11" xfId="51862" xr:uid="{00000000-0005-0000-0000-0000932B0000}"/>
    <cellStyle name="40% - Accent3 7 3 2" xfId="700" xr:uid="{00000000-0005-0000-0000-0000942B0000}"/>
    <cellStyle name="40% - Accent3 7 3 2 2" xfId="3841" xr:uid="{00000000-0005-0000-0000-0000952B0000}"/>
    <cellStyle name="40% - Accent3 7 3 2 2 2" xfId="8407" xr:uid="{00000000-0005-0000-0000-0000962B0000}"/>
    <cellStyle name="40% - Accent3 7 3 2 2 2 2" xfId="16203" xr:uid="{00000000-0005-0000-0000-0000972B0000}"/>
    <cellStyle name="40% - Accent3 7 3 2 2 2 2 2" xfId="33838" xr:uid="{00000000-0005-0000-0000-0000982B0000}"/>
    <cellStyle name="40% - Accent3 7 3 2 2 2 3" xfId="26821" xr:uid="{00000000-0005-0000-0000-0000992B0000}"/>
    <cellStyle name="40% - Accent3 7 3 2 2 3" xfId="12556" xr:uid="{00000000-0005-0000-0000-00009A2B0000}"/>
    <cellStyle name="40% - Accent3 7 3 2 2 3 2" xfId="30224" xr:uid="{00000000-0005-0000-0000-00009B2B0000}"/>
    <cellStyle name="40% - Accent3 7 3 2 2 4" xfId="23956" xr:uid="{00000000-0005-0000-0000-00009C2B0000}"/>
    <cellStyle name="40% - Accent3 7 3 2 3" xfId="5749" xr:uid="{00000000-0005-0000-0000-00009D2B0000}"/>
    <cellStyle name="40% - Accent3 7 3 2 3 2" xfId="9049" xr:uid="{00000000-0005-0000-0000-00009E2B0000}"/>
    <cellStyle name="40% - Accent3 7 3 2 3 2 2" xfId="16844" xr:uid="{00000000-0005-0000-0000-00009F2B0000}"/>
    <cellStyle name="40% - Accent3 7 3 2 3 2 2 2" xfId="34480" xr:uid="{00000000-0005-0000-0000-0000A02B0000}"/>
    <cellStyle name="40% - Accent3 7 3 2 3 2 3" xfId="27437" xr:uid="{00000000-0005-0000-0000-0000A12B0000}"/>
    <cellStyle name="40% - Accent3 7 3 2 3 3" xfId="13605" xr:uid="{00000000-0005-0000-0000-0000A22B0000}"/>
    <cellStyle name="40% - Accent3 7 3 2 3 3 2" xfId="31245" xr:uid="{00000000-0005-0000-0000-0000A32B0000}"/>
    <cellStyle name="40% - Accent3 7 3 2 3 4" xfId="24572" xr:uid="{00000000-0005-0000-0000-0000A42B0000}"/>
    <cellStyle name="40% - Accent3 7 3 2 4" xfId="6379" xr:uid="{00000000-0005-0000-0000-0000A52B0000}"/>
    <cellStyle name="40% - Accent3 7 3 2 4 2" xfId="9589" xr:uid="{00000000-0005-0000-0000-0000A62B0000}"/>
    <cellStyle name="40% - Accent3 7 3 2 4 2 2" xfId="17383" xr:uid="{00000000-0005-0000-0000-0000A72B0000}"/>
    <cellStyle name="40% - Accent3 7 3 2 4 2 2 2" xfId="35020" xr:uid="{00000000-0005-0000-0000-0000A82B0000}"/>
    <cellStyle name="40% - Accent3 7 3 2 4 2 3" xfId="27973" xr:uid="{00000000-0005-0000-0000-0000A92B0000}"/>
    <cellStyle name="40% - Accent3 7 3 2 4 3" xfId="14168" xr:uid="{00000000-0005-0000-0000-0000AA2B0000}"/>
    <cellStyle name="40% - Accent3 7 3 2 4 3 2" xfId="31803" xr:uid="{00000000-0005-0000-0000-0000AB2B0000}"/>
    <cellStyle name="40% - Accent3 7 3 2 4 4" xfId="25109" xr:uid="{00000000-0005-0000-0000-0000AC2B0000}"/>
    <cellStyle name="40% - Accent3 7 3 2 5" xfId="6917" xr:uid="{00000000-0005-0000-0000-0000AD2B0000}"/>
    <cellStyle name="40% - Accent3 7 3 2 5 2" xfId="10127" xr:uid="{00000000-0005-0000-0000-0000AE2B0000}"/>
    <cellStyle name="40% - Accent3 7 3 2 5 2 2" xfId="17920" xr:uid="{00000000-0005-0000-0000-0000AF2B0000}"/>
    <cellStyle name="40% - Accent3 7 3 2 5 2 2 2" xfId="35557" xr:uid="{00000000-0005-0000-0000-0000B02B0000}"/>
    <cellStyle name="40% - Accent3 7 3 2 5 2 3" xfId="28510" xr:uid="{00000000-0005-0000-0000-0000B12B0000}"/>
    <cellStyle name="40% - Accent3 7 3 2 5 3" xfId="14705" xr:uid="{00000000-0005-0000-0000-0000B22B0000}"/>
    <cellStyle name="40% - Accent3 7 3 2 5 3 2" xfId="32340" xr:uid="{00000000-0005-0000-0000-0000B32B0000}"/>
    <cellStyle name="40% - Accent3 7 3 2 5 4" xfId="25647" xr:uid="{00000000-0005-0000-0000-0000B42B0000}"/>
    <cellStyle name="40% - Accent3 7 3 2 6" xfId="7739" xr:uid="{00000000-0005-0000-0000-0000B52B0000}"/>
    <cellStyle name="40% - Accent3 7 3 2 6 2" xfId="15536" xr:uid="{00000000-0005-0000-0000-0000B62B0000}"/>
    <cellStyle name="40% - Accent3 7 3 2 6 2 2" xfId="33171" xr:uid="{00000000-0005-0000-0000-0000B72B0000}"/>
    <cellStyle name="40% - Accent3 7 3 2 6 3" xfId="26172" xr:uid="{00000000-0005-0000-0000-0000B82B0000}"/>
    <cellStyle name="40% - Accent3 7 3 2 7" xfId="11400" xr:uid="{00000000-0005-0000-0000-0000B92B0000}"/>
    <cellStyle name="40% - Accent3 7 3 2 7 2" xfId="29122" xr:uid="{00000000-0005-0000-0000-0000BA2B0000}"/>
    <cellStyle name="40% - Accent3 7 3 2 8" xfId="23307" xr:uid="{00000000-0005-0000-0000-0000BB2B0000}"/>
    <cellStyle name="40% - Accent3 7 3 2 9" xfId="51863" xr:uid="{00000000-0005-0000-0000-0000BC2B0000}"/>
    <cellStyle name="40% - Accent3 7 3 3" xfId="3842" xr:uid="{00000000-0005-0000-0000-0000BD2B0000}"/>
    <cellStyle name="40% - Accent3 7 3 3 2" xfId="5750" xr:uid="{00000000-0005-0000-0000-0000BE2B0000}"/>
    <cellStyle name="40% - Accent3 7 3 3 2 2" xfId="9050" xr:uid="{00000000-0005-0000-0000-0000BF2B0000}"/>
    <cellStyle name="40% - Accent3 7 3 3 2 2 2" xfId="16845" xr:uid="{00000000-0005-0000-0000-0000C02B0000}"/>
    <cellStyle name="40% - Accent3 7 3 3 2 2 2 2" xfId="34481" xr:uid="{00000000-0005-0000-0000-0000C12B0000}"/>
    <cellStyle name="40% - Accent3 7 3 3 2 2 3" xfId="27438" xr:uid="{00000000-0005-0000-0000-0000C22B0000}"/>
    <cellStyle name="40% - Accent3 7 3 3 2 3" xfId="13606" xr:uid="{00000000-0005-0000-0000-0000C32B0000}"/>
    <cellStyle name="40% - Accent3 7 3 3 2 3 2" xfId="31246" xr:uid="{00000000-0005-0000-0000-0000C42B0000}"/>
    <cellStyle name="40% - Accent3 7 3 3 2 4" xfId="24573" xr:uid="{00000000-0005-0000-0000-0000C52B0000}"/>
    <cellStyle name="40% - Accent3 7 3 3 3" xfId="6380" xr:uid="{00000000-0005-0000-0000-0000C62B0000}"/>
    <cellStyle name="40% - Accent3 7 3 3 3 2" xfId="9590" xr:uid="{00000000-0005-0000-0000-0000C72B0000}"/>
    <cellStyle name="40% - Accent3 7 3 3 3 2 2" xfId="17384" xr:uid="{00000000-0005-0000-0000-0000C82B0000}"/>
    <cellStyle name="40% - Accent3 7 3 3 3 2 2 2" xfId="35021" xr:uid="{00000000-0005-0000-0000-0000C92B0000}"/>
    <cellStyle name="40% - Accent3 7 3 3 3 2 3" xfId="27974" xr:uid="{00000000-0005-0000-0000-0000CA2B0000}"/>
    <cellStyle name="40% - Accent3 7 3 3 3 3" xfId="14169" xr:uid="{00000000-0005-0000-0000-0000CB2B0000}"/>
    <cellStyle name="40% - Accent3 7 3 3 3 3 2" xfId="31804" xr:uid="{00000000-0005-0000-0000-0000CC2B0000}"/>
    <cellStyle name="40% - Accent3 7 3 3 3 4" xfId="25110" xr:uid="{00000000-0005-0000-0000-0000CD2B0000}"/>
    <cellStyle name="40% - Accent3 7 3 3 4" xfId="6918" xr:uid="{00000000-0005-0000-0000-0000CE2B0000}"/>
    <cellStyle name="40% - Accent3 7 3 3 4 2" xfId="10128" xr:uid="{00000000-0005-0000-0000-0000CF2B0000}"/>
    <cellStyle name="40% - Accent3 7 3 3 4 2 2" xfId="17921" xr:uid="{00000000-0005-0000-0000-0000D02B0000}"/>
    <cellStyle name="40% - Accent3 7 3 3 4 2 2 2" xfId="35558" xr:uid="{00000000-0005-0000-0000-0000D12B0000}"/>
    <cellStyle name="40% - Accent3 7 3 3 4 2 3" xfId="28511" xr:uid="{00000000-0005-0000-0000-0000D22B0000}"/>
    <cellStyle name="40% - Accent3 7 3 3 4 3" xfId="14706" xr:uid="{00000000-0005-0000-0000-0000D32B0000}"/>
    <cellStyle name="40% - Accent3 7 3 3 4 3 2" xfId="32341" xr:uid="{00000000-0005-0000-0000-0000D42B0000}"/>
    <cellStyle name="40% - Accent3 7 3 3 4 4" xfId="25648" xr:uid="{00000000-0005-0000-0000-0000D52B0000}"/>
    <cellStyle name="40% - Accent3 7 3 3 5" xfId="8408" xr:uid="{00000000-0005-0000-0000-0000D62B0000}"/>
    <cellStyle name="40% - Accent3 7 3 3 5 2" xfId="16204" xr:uid="{00000000-0005-0000-0000-0000D72B0000}"/>
    <cellStyle name="40% - Accent3 7 3 3 5 2 2" xfId="33839" xr:uid="{00000000-0005-0000-0000-0000D82B0000}"/>
    <cellStyle name="40% - Accent3 7 3 3 5 3" xfId="26822" xr:uid="{00000000-0005-0000-0000-0000D92B0000}"/>
    <cellStyle name="40% - Accent3 7 3 3 6" xfId="12557" xr:uid="{00000000-0005-0000-0000-0000DA2B0000}"/>
    <cellStyle name="40% - Accent3 7 3 3 6 2" xfId="30225" xr:uid="{00000000-0005-0000-0000-0000DB2B0000}"/>
    <cellStyle name="40% - Accent3 7 3 3 7" xfId="23957" xr:uid="{00000000-0005-0000-0000-0000DC2B0000}"/>
    <cellStyle name="40% - Accent3 7 3 4" xfId="3840" xr:uid="{00000000-0005-0000-0000-0000DD2B0000}"/>
    <cellStyle name="40% - Accent3 7 3 4 2" xfId="8406" xr:uid="{00000000-0005-0000-0000-0000DE2B0000}"/>
    <cellStyle name="40% - Accent3 7 3 4 2 2" xfId="16202" xr:uid="{00000000-0005-0000-0000-0000DF2B0000}"/>
    <cellStyle name="40% - Accent3 7 3 4 2 2 2" xfId="33837" xr:uid="{00000000-0005-0000-0000-0000E02B0000}"/>
    <cellStyle name="40% - Accent3 7 3 4 2 3" xfId="26820" xr:uid="{00000000-0005-0000-0000-0000E12B0000}"/>
    <cellStyle name="40% - Accent3 7 3 4 3" xfId="12555" xr:uid="{00000000-0005-0000-0000-0000E22B0000}"/>
    <cellStyle name="40% - Accent3 7 3 4 3 2" xfId="30223" xr:uid="{00000000-0005-0000-0000-0000E32B0000}"/>
    <cellStyle name="40% - Accent3 7 3 4 4" xfId="23955" xr:uid="{00000000-0005-0000-0000-0000E42B0000}"/>
    <cellStyle name="40% - Accent3 7 3 5" xfId="5748" xr:uid="{00000000-0005-0000-0000-0000E52B0000}"/>
    <cellStyle name="40% - Accent3 7 3 5 2" xfId="9048" xr:uid="{00000000-0005-0000-0000-0000E62B0000}"/>
    <cellStyle name="40% - Accent3 7 3 5 2 2" xfId="16843" xr:uid="{00000000-0005-0000-0000-0000E72B0000}"/>
    <cellStyle name="40% - Accent3 7 3 5 2 2 2" xfId="34479" xr:uid="{00000000-0005-0000-0000-0000E82B0000}"/>
    <cellStyle name="40% - Accent3 7 3 5 2 3" xfId="27436" xr:uid="{00000000-0005-0000-0000-0000E92B0000}"/>
    <cellStyle name="40% - Accent3 7 3 5 3" xfId="13604" xr:uid="{00000000-0005-0000-0000-0000EA2B0000}"/>
    <cellStyle name="40% - Accent3 7 3 5 3 2" xfId="31244" xr:uid="{00000000-0005-0000-0000-0000EB2B0000}"/>
    <cellStyle name="40% - Accent3 7 3 5 4" xfId="24571" xr:uid="{00000000-0005-0000-0000-0000EC2B0000}"/>
    <cellStyle name="40% - Accent3 7 3 6" xfId="6378" xr:uid="{00000000-0005-0000-0000-0000ED2B0000}"/>
    <cellStyle name="40% - Accent3 7 3 6 2" xfId="9588" xr:uid="{00000000-0005-0000-0000-0000EE2B0000}"/>
    <cellStyle name="40% - Accent3 7 3 6 2 2" xfId="17382" xr:uid="{00000000-0005-0000-0000-0000EF2B0000}"/>
    <cellStyle name="40% - Accent3 7 3 6 2 2 2" xfId="35019" xr:uid="{00000000-0005-0000-0000-0000F02B0000}"/>
    <cellStyle name="40% - Accent3 7 3 6 2 3" xfId="27972" xr:uid="{00000000-0005-0000-0000-0000F12B0000}"/>
    <cellStyle name="40% - Accent3 7 3 6 3" xfId="14167" xr:uid="{00000000-0005-0000-0000-0000F22B0000}"/>
    <cellStyle name="40% - Accent3 7 3 6 3 2" xfId="31802" xr:uid="{00000000-0005-0000-0000-0000F32B0000}"/>
    <cellStyle name="40% - Accent3 7 3 6 4" xfId="25108" xr:uid="{00000000-0005-0000-0000-0000F42B0000}"/>
    <cellStyle name="40% - Accent3 7 3 7" xfId="6916" xr:uid="{00000000-0005-0000-0000-0000F52B0000}"/>
    <cellStyle name="40% - Accent3 7 3 7 2" xfId="10126" xr:uid="{00000000-0005-0000-0000-0000F62B0000}"/>
    <cellStyle name="40% - Accent3 7 3 7 2 2" xfId="17919" xr:uid="{00000000-0005-0000-0000-0000F72B0000}"/>
    <cellStyle name="40% - Accent3 7 3 7 2 2 2" xfId="35556" xr:uid="{00000000-0005-0000-0000-0000F82B0000}"/>
    <cellStyle name="40% - Accent3 7 3 7 2 3" xfId="28509" xr:uid="{00000000-0005-0000-0000-0000F92B0000}"/>
    <cellStyle name="40% - Accent3 7 3 7 3" xfId="14704" xr:uid="{00000000-0005-0000-0000-0000FA2B0000}"/>
    <cellStyle name="40% - Accent3 7 3 7 3 2" xfId="32339" xr:uid="{00000000-0005-0000-0000-0000FB2B0000}"/>
    <cellStyle name="40% - Accent3 7 3 7 4" xfId="25646" xr:uid="{00000000-0005-0000-0000-0000FC2B0000}"/>
    <cellStyle name="40% - Accent3 7 3 8" xfId="7738" xr:uid="{00000000-0005-0000-0000-0000FD2B0000}"/>
    <cellStyle name="40% - Accent3 7 3 8 2" xfId="15535" xr:uid="{00000000-0005-0000-0000-0000FE2B0000}"/>
    <cellStyle name="40% - Accent3 7 3 8 2 2" xfId="33170" xr:uid="{00000000-0005-0000-0000-0000FF2B0000}"/>
    <cellStyle name="40% - Accent3 7 3 8 3" xfId="26171" xr:uid="{00000000-0005-0000-0000-0000002C0000}"/>
    <cellStyle name="40% - Accent3 7 3 9" xfId="11399" xr:uid="{00000000-0005-0000-0000-0000012C0000}"/>
    <cellStyle name="40% - Accent3 7 3 9 2" xfId="29121" xr:uid="{00000000-0005-0000-0000-0000022C0000}"/>
    <cellStyle name="40% - Accent3 7 4" xfId="701" xr:uid="{00000000-0005-0000-0000-0000032C0000}"/>
    <cellStyle name="40% - Accent3 7 4 2" xfId="3843" xr:uid="{00000000-0005-0000-0000-0000042C0000}"/>
    <cellStyle name="40% - Accent3 7 4 2 2" xfId="8409" xr:uid="{00000000-0005-0000-0000-0000052C0000}"/>
    <cellStyle name="40% - Accent3 7 4 2 2 2" xfId="16205" xr:uid="{00000000-0005-0000-0000-0000062C0000}"/>
    <cellStyle name="40% - Accent3 7 4 2 2 2 2" xfId="33840" xr:uid="{00000000-0005-0000-0000-0000072C0000}"/>
    <cellStyle name="40% - Accent3 7 4 2 2 3" xfId="26823" xr:uid="{00000000-0005-0000-0000-0000082C0000}"/>
    <cellStyle name="40% - Accent3 7 4 2 3" xfId="12558" xr:uid="{00000000-0005-0000-0000-0000092C0000}"/>
    <cellStyle name="40% - Accent3 7 4 2 3 2" xfId="30226" xr:uid="{00000000-0005-0000-0000-00000A2C0000}"/>
    <cellStyle name="40% - Accent3 7 4 2 4" xfId="23958" xr:uid="{00000000-0005-0000-0000-00000B2C0000}"/>
    <cellStyle name="40% - Accent3 7 4 3" xfId="5751" xr:uid="{00000000-0005-0000-0000-00000C2C0000}"/>
    <cellStyle name="40% - Accent3 7 4 3 2" xfId="9051" xr:uid="{00000000-0005-0000-0000-00000D2C0000}"/>
    <cellStyle name="40% - Accent3 7 4 3 2 2" xfId="16846" xr:uid="{00000000-0005-0000-0000-00000E2C0000}"/>
    <cellStyle name="40% - Accent3 7 4 3 2 2 2" xfId="34482" xr:uid="{00000000-0005-0000-0000-00000F2C0000}"/>
    <cellStyle name="40% - Accent3 7 4 3 2 3" xfId="27439" xr:uid="{00000000-0005-0000-0000-0000102C0000}"/>
    <cellStyle name="40% - Accent3 7 4 3 3" xfId="13607" xr:uid="{00000000-0005-0000-0000-0000112C0000}"/>
    <cellStyle name="40% - Accent3 7 4 3 3 2" xfId="31247" xr:uid="{00000000-0005-0000-0000-0000122C0000}"/>
    <cellStyle name="40% - Accent3 7 4 3 4" xfId="24574" xr:uid="{00000000-0005-0000-0000-0000132C0000}"/>
    <cellStyle name="40% - Accent3 7 4 4" xfId="6381" xr:uid="{00000000-0005-0000-0000-0000142C0000}"/>
    <cellStyle name="40% - Accent3 7 4 4 2" xfId="9591" xr:uid="{00000000-0005-0000-0000-0000152C0000}"/>
    <cellStyle name="40% - Accent3 7 4 4 2 2" xfId="17385" xr:uid="{00000000-0005-0000-0000-0000162C0000}"/>
    <cellStyle name="40% - Accent3 7 4 4 2 2 2" xfId="35022" xr:uid="{00000000-0005-0000-0000-0000172C0000}"/>
    <cellStyle name="40% - Accent3 7 4 4 2 3" xfId="27975" xr:uid="{00000000-0005-0000-0000-0000182C0000}"/>
    <cellStyle name="40% - Accent3 7 4 4 3" xfId="14170" xr:uid="{00000000-0005-0000-0000-0000192C0000}"/>
    <cellStyle name="40% - Accent3 7 4 4 3 2" xfId="31805" xr:uid="{00000000-0005-0000-0000-00001A2C0000}"/>
    <cellStyle name="40% - Accent3 7 4 4 4" xfId="25111" xr:uid="{00000000-0005-0000-0000-00001B2C0000}"/>
    <cellStyle name="40% - Accent3 7 4 5" xfId="6919" xr:uid="{00000000-0005-0000-0000-00001C2C0000}"/>
    <cellStyle name="40% - Accent3 7 4 5 2" xfId="10129" xr:uid="{00000000-0005-0000-0000-00001D2C0000}"/>
    <cellStyle name="40% - Accent3 7 4 5 2 2" xfId="17922" xr:uid="{00000000-0005-0000-0000-00001E2C0000}"/>
    <cellStyle name="40% - Accent3 7 4 5 2 2 2" xfId="35559" xr:uid="{00000000-0005-0000-0000-00001F2C0000}"/>
    <cellStyle name="40% - Accent3 7 4 5 2 3" xfId="28512" xr:uid="{00000000-0005-0000-0000-0000202C0000}"/>
    <cellStyle name="40% - Accent3 7 4 5 3" xfId="14707" xr:uid="{00000000-0005-0000-0000-0000212C0000}"/>
    <cellStyle name="40% - Accent3 7 4 5 3 2" xfId="32342" xr:uid="{00000000-0005-0000-0000-0000222C0000}"/>
    <cellStyle name="40% - Accent3 7 4 5 4" xfId="25649" xr:uid="{00000000-0005-0000-0000-0000232C0000}"/>
    <cellStyle name="40% - Accent3 7 4 6" xfId="7740" xr:uid="{00000000-0005-0000-0000-0000242C0000}"/>
    <cellStyle name="40% - Accent3 7 4 6 2" xfId="15537" xr:uid="{00000000-0005-0000-0000-0000252C0000}"/>
    <cellStyle name="40% - Accent3 7 4 6 2 2" xfId="33172" xr:uid="{00000000-0005-0000-0000-0000262C0000}"/>
    <cellStyle name="40% - Accent3 7 4 6 3" xfId="26173" xr:uid="{00000000-0005-0000-0000-0000272C0000}"/>
    <cellStyle name="40% - Accent3 7 4 7" xfId="11401" xr:uid="{00000000-0005-0000-0000-0000282C0000}"/>
    <cellStyle name="40% - Accent3 7 4 7 2" xfId="29123" xr:uid="{00000000-0005-0000-0000-0000292C0000}"/>
    <cellStyle name="40% - Accent3 7 4 8" xfId="23308" xr:uid="{00000000-0005-0000-0000-00002A2C0000}"/>
    <cellStyle name="40% - Accent3 7 4 9" xfId="51864" xr:uid="{00000000-0005-0000-0000-00002B2C0000}"/>
    <cellStyle name="40% - Accent3 7 5" xfId="702" xr:uid="{00000000-0005-0000-0000-00002C2C0000}"/>
    <cellStyle name="40% - Accent3 7 5 2" xfId="3844" xr:uid="{00000000-0005-0000-0000-00002D2C0000}"/>
    <cellStyle name="40% - Accent3 7 5 2 2" xfId="8410" xr:uid="{00000000-0005-0000-0000-00002E2C0000}"/>
    <cellStyle name="40% - Accent3 7 5 2 2 2" xfId="16206" xr:uid="{00000000-0005-0000-0000-00002F2C0000}"/>
    <cellStyle name="40% - Accent3 7 5 2 2 2 2" xfId="33841" xr:uid="{00000000-0005-0000-0000-0000302C0000}"/>
    <cellStyle name="40% - Accent3 7 5 2 2 3" xfId="26824" xr:uid="{00000000-0005-0000-0000-0000312C0000}"/>
    <cellStyle name="40% - Accent3 7 5 2 3" xfId="12559" xr:uid="{00000000-0005-0000-0000-0000322C0000}"/>
    <cellStyle name="40% - Accent3 7 5 2 3 2" xfId="30227" xr:uid="{00000000-0005-0000-0000-0000332C0000}"/>
    <cellStyle name="40% - Accent3 7 5 2 4" xfId="23959" xr:uid="{00000000-0005-0000-0000-0000342C0000}"/>
    <cellStyle name="40% - Accent3 7 5 3" xfId="5752" xr:uid="{00000000-0005-0000-0000-0000352C0000}"/>
    <cellStyle name="40% - Accent3 7 5 3 2" xfId="9052" xr:uid="{00000000-0005-0000-0000-0000362C0000}"/>
    <cellStyle name="40% - Accent3 7 5 3 2 2" xfId="16847" xr:uid="{00000000-0005-0000-0000-0000372C0000}"/>
    <cellStyle name="40% - Accent3 7 5 3 2 2 2" xfId="34483" xr:uid="{00000000-0005-0000-0000-0000382C0000}"/>
    <cellStyle name="40% - Accent3 7 5 3 2 3" xfId="27440" xr:uid="{00000000-0005-0000-0000-0000392C0000}"/>
    <cellStyle name="40% - Accent3 7 5 3 3" xfId="13608" xr:uid="{00000000-0005-0000-0000-00003A2C0000}"/>
    <cellStyle name="40% - Accent3 7 5 3 3 2" xfId="31248" xr:uid="{00000000-0005-0000-0000-00003B2C0000}"/>
    <cellStyle name="40% - Accent3 7 5 3 4" xfId="24575" xr:uid="{00000000-0005-0000-0000-00003C2C0000}"/>
    <cellStyle name="40% - Accent3 7 5 4" xfId="6382" xr:uid="{00000000-0005-0000-0000-00003D2C0000}"/>
    <cellStyle name="40% - Accent3 7 5 4 2" xfId="9592" xr:uid="{00000000-0005-0000-0000-00003E2C0000}"/>
    <cellStyle name="40% - Accent3 7 5 4 2 2" xfId="17386" xr:uid="{00000000-0005-0000-0000-00003F2C0000}"/>
    <cellStyle name="40% - Accent3 7 5 4 2 2 2" xfId="35023" xr:uid="{00000000-0005-0000-0000-0000402C0000}"/>
    <cellStyle name="40% - Accent3 7 5 4 2 3" xfId="27976" xr:uid="{00000000-0005-0000-0000-0000412C0000}"/>
    <cellStyle name="40% - Accent3 7 5 4 3" xfId="14171" xr:uid="{00000000-0005-0000-0000-0000422C0000}"/>
    <cellStyle name="40% - Accent3 7 5 4 3 2" xfId="31806" xr:uid="{00000000-0005-0000-0000-0000432C0000}"/>
    <cellStyle name="40% - Accent3 7 5 4 4" xfId="25112" xr:uid="{00000000-0005-0000-0000-0000442C0000}"/>
    <cellStyle name="40% - Accent3 7 5 5" xfId="6920" xr:uid="{00000000-0005-0000-0000-0000452C0000}"/>
    <cellStyle name="40% - Accent3 7 5 5 2" xfId="10130" xr:uid="{00000000-0005-0000-0000-0000462C0000}"/>
    <cellStyle name="40% - Accent3 7 5 5 2 2" xfId="17923" xr:uid="{00000000-0005-0000-0000-0000472C0000}"/>
    <cellStyle name="40% - Accent3 7 5 5 2 2 2" xfId="35560" xr:uid="{00000000-0005-0000-0000-0000482C0000}"/>
    <cellStyle name="40% - Accent3 7 5 5 2 3" xfId="28513" xr:uid="{00000000-0005-0000-0000-0000492C0000}"/>
    <cellStyle name="40% - Accent3 7 5 5 3" xfId="14708" xr:uid="{00000000-0005-0000-0000-00004A2C0000}"/>
    <cellStyle name="40% - Accent3 7 5 5 3 2" xfId="32343" xr:uid="{00000000-0005-0000-0000-00004B2C0000}"/>
    <cellStyle name="40% - Accent3 7 5 5 4" xfId="25650" xr:uid="{00000000-0005-0000-0000-00004C2C0000}"/>
    <cellStyle name="40% - Accent3 7 5 6" xfId="7741" xr:uid="{00000000-0005-0000-0000-00004D2C0000}"/>
    <cellStyle name="40% - Accent3 7 5 6 2" xfId="15538" xr:uid="{00000000-0005-0000-0000-00004E2C0000}"/>
    <cellStyle name="40% - Accent3 7 5 6 2 2" xfId="33173" xr:uid="{00000000-0005-0000-0000-00004F2C0000}"/>
    <cellStyle name="40% - Accent3 7 5 6 3" xfId="26174" xr:uid="{00000000-0005-0000-0000-0000502C0000}"/>
    <cellStyle name="40% - Accent3 7 5 7" xfId="11402" xr:uid="{00000000-0005-0000-0000-0000512C0000}"/>
    <cellStyle name="40% - Accent3 7 5 7 2" xfId="29124" xr:uid="{00000000-0005-0000-0000-0000522C0000}"/>
    <cellStyle name="40% - Accent3 7 5 8" xfId="23309" xr:uid="{00000000-0005-0000-0000-0000532C0000}"/>
    <cellStyle name="40% - Accent3 7 5 9" xfId="51865" xr:uid="{00000000-0005-0000-0000-0000542C0000}"/>
    <cellStyle name="40% - Accent3 7 6" xfId="703" xr:uid="{00000000-0005-0000-0000-0000552C0000}"/>
    <cellStyle name="40% - Accent3 7 6 2" xfId="3845" xr:uid="{00000000-0005-0000-0000-0000562C0000}"/>
    <cellStyle name="40% - Accent3 7 6 2 2" xfId="8411" xr:uid="{00000000-0005-0000-0000-0000572C0000}"/>
    <cellStyle name="40% - Accent3 7 6 2 2 2" xfId="16207" xr:uid="{00000000-0005-0000-0000-0000582C0000}"/>
    <cellStyle name="40% - Accent3 7 6 2 2 2 2" xfId="33842" xr:uid="{00000000-0005-0000-0000-0000592C0000}"/>
    <cellStyle name="40% - Accent3 7 6 2 2 3" xfId="26825" xr:uid="{00000000-0005-0000-0000-00005A2C0000}"/>
    <cellStyle name="40% - Accent3 7 6 2 3" xfId="12560" xr:uid="{00000000-0005-0000-0000-00005B2C0000}"/>
    <cellStyle name="40% - Accent3 7 6 2 3 2" xfId="30228" xr:uid="{00000000-0005-0000-0000-00005C2C0000}"/>
    <cellStyle name="40% - Accent3 7 6 2 4" xfId="23960" xr:uid="{00000000-0005-0000-0000-00005D2C0000}"/>
    <cellStyle name="40% - Accent3 7 6 3" xfId="5753" xr:uid="{00000000-0005-0000-0000-00005E2C0000}"/>
    <cellStyle name="40% - Accent3 7 6 3 2" xfId="9053" xr:uid="{00000000-0005-0000-0000-00005F2C0000}"/>
    <cellStyle name="40% - Accent3 7 6 3 2 2" xfId="16848" xr:uid="{00000000-0005-0000-0000-0000602C0000}"/>
    <cellStyle name="40% - Accent3 7 6 3 2 2 2" xfId="34484" xr:uid="{00000000-0005-0000-0000-0000612C0000}"/>
    <cellStyle name="40% - Accent3 7 6 3 2 3" xfId="27441" xr:uid="{00000000-0005-0000-0000-0000622C0000}"/>
    <cellStyle name="40% - Accent3 7 6 3 3" xfId="13609" xr:uid="{00000000-0005-0000-0000-0000632C0000}"/>
    <cellStyle name="40% - Accent3 7 6 3 3 2" xfId="31249" xr:uid="{00000000-0005-0000-0000-0000642C0000}"/>
    <cellStyle name="40% - Accent3 7 6 3 4" xfId="24576" xr:uid="{00000000-0005-0000-0000-0000652C0000}"/>
    <cellStyle name="40% - Accent3 7 6 4" xfId="6383" xr:uid="{00000000-0005-0000-0000-0000662C0000}"/>
    <cellStyle name="40% - Accent3 7 6 4 2" xfId="9593" xr:uid="{00000000-0005-0000-0000-0000672C0000}"/>
    <cellStyle name="40% - Accent3 7 6 4 2 2" xfId="17387" xr:uid="{00000000-0005-0000-0000-0000682C0000}"/>
    <cellStyle name="40% - Accent3 7 6 4 2 2 2" xfId="35024" xr:uid="{00000000-0005-0000-0000-0000692C0000}"/>
    <cellStyle name="40% - Accent3 7 6 4 2 3" xfId="27977" xr:uid="{00000000-0005-0000-0000-00006A2C0000}"/>
    <cellStyle name="40% - Accent3 7 6 4 3" xfId="14172" xr:uid="{00000000-0005-0000-0000-00006B2C0000}"/>
    <cellStyle name="40% - Accent3 7 6 4 3 2" xfId="31807" xr:uid="{00000000-0005-0000-0000-00006C2C0000}"/>
    <cellStyle name="40% - Accent3 7 6 4 4" xfId="25113" xr:uid="{00000000-0005-0000-0000-00006D2C0000}"/>
    <cellStyle name="40% - Accent3 7 6 5" xfId="6921" xr:uid="{00000000-0005-0000-0000-00006E2C0000}"/>
    <cellStyle name="40% - Accent3 7 6 5 2" xfId="10131" xr:uid="{00000000-0005-0000-0000-00006F2C0000}"/>
    <cellStyle name="40% - Accent3 7 6 5 2 2" xfId="17924" xr:uid="{00000000-0005-0000-0000-0000702C0000}"/>
    <cellStyle name="40% - Accent3 7 6 5 2 2 2" xfId="35561" xr:uid="{00000000-0005-0000-0000-0000712C0000}"/>
    <cellStyle name="40% - Accent3 7 6 5 2 3" xfId="28514" xr:uid="{00000000-0005-0000-0000-0000722C0000}"/>
    <cellStyle name="40% - Accent3 7 6 5 3" xfId="14709" xr:uid="{00000000-0005-0000-0000-0000732C0000}"/>
    <cellStyle name="40% - Accent3 7 6 5 3 2" xfId="32344" xr:uid="{00000000-0005-0000-0000-0000742C0000}"/>
    <cellStyle name="40% - Accent3 7 6 5 4" xfId="25651" xr:uid="{00000000-0005-0000-0000-0000752C0000}"/>
    <cellStyle name="40% - Accent3 7 6 6" xfId="7742" xr:uid="{00000000-0005-0000-0000-0000762C0000}"/>
    <cellStyle name="40% - Accent3 7 6 6 2" xfId="15539" xr:uid="{00000000-0005-0000-0000-0000772C0000}"/>
    <cellStyle name="40% - Accent3 7 6 6 2 2" xfId="33174" xr:uid="{00000000-0005-0000-0000-0000782C0000}"/>
    <cellStyle name="40% - Accent3 7 6 6 3" xfId="26175" xr:uid="{00000000-0005-0000-0000-0000792C0000}"/>
    <cellStyle name="40% - Accent3 7 6 7" xfId="11403" xr:uid="{00000000-0005-0000-0000-00007A2C0000}"/>
    <cellStyle name="40% - Accent3 7 6 7 2" xfId="29125" xr:uid="{00000000-0005-0000-0000-00007B2C0000}"/>
    <cellStyle name="40% - Accent3 7 6 8" xfId="23310" xr:uid="{00000000-0005-0000-0000-00007C2C0000}"/>
    <cellStyle name="40% - Accent3 7 6 9" xfId="51866" xr:uid="{00000000-0005-0000-0000-00007D2C0000}"/>
    <cellStyle name="40% - Accent3 7 7" xfId="704" xr:uid="{00000000-0005-0000-0000-00007E2C0000}"/>
    <cellStyle name="40% - Accent3 7 7 10" xfId="51867" xr:uid="{00000000-0005-0000-0000-00007F2C0000}"/>
    <cellStyle name="40% - Accent3 7 7 2" xfId="705" xr:uid="{00000000-0005-0000-0000-0000802C0000}"/>
    <cellStyle name="40% - Accent3 7 7 2 2" xfId="8413" xr:uid="{00000000-0005-0000-0000-0000812C0000}"/>
    <cellStyle name="40% - Accent3 7 7 2 2 2" xfId="16209" xr:uid="{00000000-0005-0000-0000-0000822C0000}"/>
    <cellStyle name="40% - Accent3 7 7 2 2 2 2" xfId="33844" xr:uid="{00000000-0005-0000-0000-0000832C0000}"/>
    <cellStyle name="40% - Accent3 7 7 2 2 3" xfId="26827" xr:uid="{00000000-0005-0000-0000-0000842C0000}"/>
    <cellStyle name="40% - Accent3 7 7 2 3" xfId="12562" xr:uid="{00000000-0005-0000-0000-0000852C0000}"/>
    <cellStyle name="40% - Accent3 7 7 2 3 2" xfId="30230" xr:uid="{00000000-0005-0000-0000-0000862C0000}"/>
    <cellStyle name="40% - Accent3 7 7 2 4" xfId="23962" xr:uid="{00000000-0005-0000-0000-0000872C0000}"/>
    <cellStyle name="40% - Accent3 7 7 3" xfId="3846" xr:uid="{00000000-0005-0000-0000-0000882C0000}"/>
    <cellStyle name="40% - Accent3 7 7 3 2" xfId="8412" xr:uid="{00000000-0005-0000-0000-0000892C0000}"/>
    <cellStyle name="40% - Accent3 7 7 3 2 2" xfId="16208" xr:uid="{00000000-0005-0000-0000-00008A2C0000}"/>
    <cellStyle name="40% - Accent3 7 7 3 2 2 2" xfId="33843" xr:uid="{00000000-0005-0000-0000-00008B2C0000}"/>
    <cellStyle name="40% - Accent3 7 7 3 2 3" xfId="26826" xr:uid="{00000000-0005-0000-0000-00008C2C0000}"/>
    <cellStyle name="40% - Accent3 7 7 3 3" xfId="12561" xr:uid="{00000000-0005-0000-0000-00008D2C0000}"/>
    <cellStyle name="40% - Accent3 7 7 3 3 2" xfId="30229" xr:uid="{00000000-0005-0000-0000-00008E2C0000}"/>
    <cellStyle name="40% - Accent3 7 7 3 4" xfId="23961" xr:uid="{00000000-0005-0000-0000-00008F2C0000}"/>
    <cellStyle name="40% - Accent3 7 7 4" xfId="5754" xr:uid="{00000000-0005-0000-0000-0000902C0000}"/>
    <cellStyle name="40% - Accent3 7 7 4 2" xfId="9054" xr:uid="{00000000-0005-0000-0000-0000912C0000}"/>
    <cellStyle name="40% - Accent3 7 7 4 2 2" xfId="16849" xr:uid="{00000000-0005-0000-0000-0000922C0000}"/>
    <cellStyle name="40% - Accent3 7 7 4 2 2 2" xfId="34485" xr:uid="{00000000-0005-0000-0000-0000932C0000}"/>
    <cellStyle name="40% - Accent3 7 7 4 2 3" xfId="27442" xr:uid="{00000000-0005-0000-0000-0000942C0000}"/>
    <cellStyle name="40% - Accent3 7 7 4 3" xfId="13610" xr:uid="{00000000-0005-0000-0000-0000952C0000}"/>
    <cellStyle name="40% - Accent3 7 7 4 3 2" xfId="31250" xr:uid="{00000000-0005-0000-0000-0000962C0000}"/>
    <cellStyle name="40% - Accent3 7 7 4 4" xfId="24577" xr:uid="{00000000-0005-0000-0000-0000972C0000}"/>
    <cellStyle name="40% - Accent3 7 7 5" xfId="6384" xr:uid="{00000000-0005-0000-0000-0000982C0000}"/>
    <cellStyle name="40% - Accent3 7 7 5 2" xfId="9594" xr:uid="{00000000-0005-0000-0000-0000992C0000}"/>
    <cellStyle name="40% - Accent3 7 7 5 2 2" xfId="17388" xr:uid="{00000000-0005-0000-0000-00009A2C0000}"/>
    <cellStyle name="40% - Accent3 7 7 5 2 2 2" xfId="35025" xr:uid="{00000000-0005-0000-0000-00009B2C0000}"/>
    <cellStyle name="40% - Accent3 7 7 5 2 3" xfId="27978" xr:uid="{00000000-0005-0000-0000-00009C2C0000}"/>
    <cellStyle name="40% - Accent3 7 7 5 3" xfId="14173" xr:uid="{00000000-0005-0000-0000-00009D2C0000}"/>
    <cellStyle name="40% - Accent3 7 7 5 3 2" xfId="31808" xr:uid="{00000000-0005-0000-0000-00009E2C0000}"/>
    <cellStyle name="40% - Accent3 7 7 5 4" xfId="25114" xr:uid="{00000000-0005-0000-0000-00009F2C0000}"/>
    <cellStyle name="40% - Accent3 7 7 6" xfId="6922" xr:uid="{00000000-0005-0000-0000-0000A02C0000}"/>
    <cellStyle name="40% - Accent3 7 7 6 2" xfId="10132" xr:uid="{00000000-0005-0000-0000-0000A12C0000}"/>
    <cellStyle name="40% - Accent3 7 7 6 2 2" xfId="17925" xr:uid="{00000000-0005-0000-0000-0000A22C0000}"/>
    <cellStyle name="40% - Accent3 7 7 6 2 2 2" xfId="35562" xr:uid="{00000000-0005-0000-0000-0000A32C0000}"/>
    <cellStyle name="40% - Accent3 7 7 6 2 3" xfId="28515" xr:uid="{00000000-0005-0000-0000-0000A42C0000}"/>
    <cellStyle name="40% - Accent3 7 7 6 3" xfId="14710" xr:uid="{00000000-0005-0000-0000-0000A52C0000}"/>
    <cellStyle name="40% - Accent3 7 7 6 3 2" xfId="32345" xr:uid="{00000000-0005-0000-0000-0000A62C0000}"/>
    <cellStyle name="40% - Accent3 7 7 6 4" xfId="25652" xr:uid="{00000000-0005-0000-0000-0000A72C0000}"/>
    <cellStyle name="40% - Accent3 7 7 7" xfId="7743" xr:uid="{00000000-0005-0000-0000-0000A82C0000}"/>
    <cellStyle name="40% - Accent3 7 7 7 2" xfId="15540" xr:uid="{00000000-0005-0000-0000-0000A92C0000}"/>
    <cellStyle name="40% - Accent3 7 7 7 2 2" xfId="33175" xr:uid="{00000000-0005-0000-0000-0000AA2C0000}"/>
    <cellStyle name="40% - Accent3 7 7 7 3" xfId="26176" xr:uid="{00000000-0005-0000-0000-0000AB2C0000}"/>
    <cellStyle name="40% - Accent3 7 7 8" xfId="11404" xr:uid="{00000000-0005-0000-0000-0000AC2C0000}"/>
    <cellStyle name="40% - Accent3 7 7 8 2" xfId="29126" xr:uid="{00000000-0005-0000-0000-0000AD2C0000}"/>
    <cellStyle name="40% - Accent3 7 7 9" xfId="23311" xr:uid="{00000000-0005-0000-0000-0000AE2C0000}"/>
    <cellStyle name="40% - Accent3 7 8" xfId="3847" xr:uid="{00000000-0005-0000-0000-0000AF2C0000}"/>
    <cellStyle name="40% - Accent3 7 8 2" xfId="8414" xr:uid="{00000000-0005-0000-0000-0000B02C0000}"/>
    <cellStyle name="40% - Accent3 7 8 2 2" xfId="16210" xr:uid="{00000000-0005-0000-0000-0000B12C0000}"/>
    <cellStyle name="40% - Accent3 7 8 2 2 2" xfId="33845" xr:uid="{00000000-0005-0000-0000-0000B22C0000}"/>
    <cellStyle name="40% - Accent3 7 8 2 3" xfId="26828" xr:uid="{00000000-0005-0000-0000-0000B32C0000}"/>
    <cellStyle name="40% - Accent3 7 8 3" xfId="12563" xr:uid="{00000000-0005-0000-0000-0000B42C0000}"/>
    <cellStyle name="40% - Accent3 7 8 3 2" xfId="30231" xr:uid="{00000000-0005-0000-0000-0000B52C0000}"/>
    <cellStyle name="40% - Accent3 7 8 4" xfId="23963" xr:uid="{00000000-0005-0000-0000-0000B62C0000}"/>
    <cellStyle name="40% - Accent3 7 9" xfId="3848" xr:uid="{00000000-0005-0000-0000-0000B72C0000}"/>
    <cellStyle name="40% - Accent3 7 9 2" xfId="8415" xr:uid="{00000000-0005-0000-0000-0000B82C0000}"/>
    <cellStyle name="40% - Accent3 7 9 2 2" xfId="16211" xr:uid="{00000000-0005-0000-0000-0000B92C0000}"/>
    <cellStyle name="40% - Accent3 7 9 2 2 2" xfId="33846" xr:uid="{00000000-0005-0000-0000-0000BA2C0000}"/>
    <cellStyle name="40% - Accent3 7 9 2 3" xfId="26829" xr:uid="{00000000-0005-0000-0000-0000BB2C0000}"/>
    <cellStyle name="40% - Accent3 7 9 3" xfId="12564" xr:uid="{00000000-0005-0000-0000-0000BC2C0000}"/>
    <cellStyle name="40% - Accent3 7 9 3 2" xfId="30232" xr:uid="{00000000-0005-0000-0000-0000BD2C0000}"/>
    <cellStyle name="40% - Accent3 7 9 4" xfId="23964" xr:uid="{00000000-0005-0000-0000-0000BE2C0000}"/>
    <cellStyle name="40% - Accent3 8" xfId="706" xr:uid="{00000000-0005-0000-0000-0000BF2C0000}"/>
    <cellStyle name="40% - Accent3 8 10" xfId="3849" xr:uid="{00000000-0005-0000-0000-0000C02C0000}"/>
    <cellStyle name="40% - Accent3 8 10 2" xfId="8416" xr:uid="{00000000-0005-0000-0000-0000C12C0000}"/>
    <cellStyle name="40% - Accent3 8 10 2 2" xfId="16212" xr:uid="{00000000-0005-0000-0000-0000C22C0000}"/>
    <cellStyle name="40% - Accent3 8 10 2 2 2" xfId="33847" xr:uid="{00000000-0005-0000-0000-0000C32C0000}"/>
    <cellStyle name="40% - Accent3 8 10 2 3" xfId="26830" xr:uid="{00000000-0005-0000-0000-0000C42C0000}"/>
    <cellStyle name="40% - Accent3 8 10 3" xfId="12565" xr:uid="{00000000-0005-0000-0000-0000C52C0000}"/>
    <cellStyle name="40% - Accent3 8 10 3 2" xfId="30233" xr:uid="{00000000-0005-0000-0000-0000C62C0000}"/>
    <cellStyle name="40% - Accent3 8 10 4" xfId="23965" xr:uid="{00000000-0005-0000-0000-0000C72C0000}"/>
    <cellStyle name="40% - Accent3 8 11" xfId="5755" xr:uid="{00000000-0005-0000-0000-0000C82C0000}"/>
    <cellStyle name="40% - Accent3 8 11 2" xfId="9055" xr:uid="{00000000-0005-0000-0000-0000C92C0000}"/>
    <cellStyle name="40% - Accent3 8 11 2 2" xfId="16850" xr:uid="{00000000-0005-0000-0000-0000CA2C0000}"/>
    <cellStyle name="40% - Accent3 8 11 2 2 2" xfId="34486" xr:uid="{00000000-0005-0000-0000-0000CB2C0000}"/>
    <cellStyle name="40% - Accent3 8 11 2 3" xfId="27443" xr:uid="{00000000-0005-0000-0000-0000CC2C0000}"/>
    <cellStyle name="40% - Accent3 8 11 3" xfId="13611" xr:uid="{00000000-0005-0000-0000-0000CD2C0000}"/>
    <cellStyle name="40% - Accent3 8 11 3 2" xfId="31251" xr:uid="{00000000-0005-0000-0000-0000CE2C0000}"/>
    <cellStyle name="40% - Accent3 8 11 4" xfId="24578" xr:uid="{00000000-0005-0000-0000-0000CF2C0000}"/>
    <cellStyle name="40% - Accent3 8 12" xfId="6385" xr:uid="{00000000-0005-0000-0000-0000D02C0000}"/>
    <cellStyle name="40% - Accent3 8 12 2" xfId="9595" xr:uid="{00000000-0005-0000-0000-0000D12C0000}"/>
    <cellStyle name="40% - Accent3 8 12 2 2" xfId="17389" xr:uid="{00000000-0005-0000-0000-0000D22C0000}"/>
    <cellStyle name="40% - Accent3 8 12 2 2 2" xfId="35026" xr:uid="{00000000-0005-0000-0000-0000D32C0000}"/>
    <cellStyle name="40% - Accent3 8 12 2 3" xfId="27979" xr:uid="{00000000-0005-0000-0000-0000D42C0000}"/>
    <cellStyle name="40% - Accent3 8 12 3" xfId="14174" xr:uid="{00000000-0005-0000-0000-0000D52C0000}"/>
    <cellStyle name="40% - Accent3 8 12 3 2" xfId="31809" xr:uid="{00000000-0005-0000-0000-0000D62C0000}"/>
    <cellStyle name="40% - Accent3 8 12 4" xfId="25115" xr:uid="{00000000-0005-0000-0000-0000D72C0000}"/>
    <cellStyle name="40% - Accent3 8 13" xfId="6923" xr:uid="{00000000-0005-0000-0000-0000D82C0000}"/>
    <cellStyle name="40% - Accent3 8 13 2" xfId="10133" xr:uid="{00000000-0005-0000-0000-0000D92C0000}"/>
    <cellStyle name="40% - Accent3 8 13 2 2" xfId="17926" xr:uid="{00000000-0005-0000-0000-0000DA2C0000}"/>
    <cellStyle name="40% - Accent3 8 13 2 2 2" xfId="35563" xr:uid="{00000000-0005-0000-0000-0000DB2C0000}"/>
    <cellStyle name="40% - Accent3 8 13 2 3" xfId="28516" xr:uid="{00000000-0005-0000-0000-0000DC2C0000}"/>
    <cellStyle name="40% - Accent3 8 13 3" xfId="14711" xr:uid="{00000000-0005-0000-0000-0000DD2C0000}"/>
    <cellStyle name="40% - Accent3 8 13 3 2" xfId="32346" xr:uid="{00000000-0005-0000-0000-0000DE2C0000}"/>
    <cellStyle name="40% - Accent3 8 13 4" xfId="25653" xr:uid="{00000000-0005-0000-0000-0000DF2C0000}"/>
    <cellStyle name="40% - Accent3 8 14" xfId="7744" xr:uid="{00000000-0005-0000-0000-0000E02C0000}"/>
    <cellStyle name="40% - Accent3 8 14 2" xfId="15541" xr:uid="{00000000-0005-0000-0000-0000E12C0000}"/>
    <cellStyle name="40% - Accent3 8 14 2 2" xfId="33176" xr:uid="{00000000-0005-0000-0000-0000E22C0000}"/>
    <cellStyle name="40% - Accent3 8 14 3" xfId="26177" xr:uid="{00000000-0005-0000-0000-0000E32C0000}"/>
    <cellStyle name="40% - Accent3 8 15" xfId="11405" xr:uid="{00000000-0005-0000-0000-0000E42C0000}"/>
    <cellStyle name="40% - Accent3 8 15 2" xfId="29127" xr:uid="{00000000-0005-0000-0000-0000E52C0000}"/>
    <cellStyle name="40% - Accent3 8 16" xfId="22127" xr:uid="{00000000-0005-0000-0000-0000E62C0000}"/>
    <cellStyle name="40% - Accent3 8 16 2" xfId="38808" xr:uid="{00000000-0005-0000-0000-0000E72C0000}"/>
    <cellStyle name="40% - Accent3 8 17" xfId="23312" xr:uid="{00000000-0005-0000-0000-0000E82C0000}"/>
    <cellStyle name="40% - Accent3 8 18" xfId="51868" xr:uid="{00000000-0005-0000-0000-0000E92C0000}"/>
    <cellStyle name="40% - Accent3 8 2" xfId="707" xr:uid="{00000000-0005-0000-0000-0000EA2C0000}"/>
    <cellStyle name="40% - Accent3 8 2 10" xfId="51869" xr:uid="{00000000-0005-0000-0000-0000EB2C0000}"/>
    <cellStyle name="40% - Accent3 8 2 2" xfId="3850" xr:uid="{00000000-0005-0000-0000-0000EC2C0000}"/>
    <cellStyle name="40% - Accent3 8 2 2 2" xfId="8417" xr:uid="{00000000-0005-0000-0000-0000ED2C0000}"/>
    <cellStyle name="40% - Accent3 8 2 2 2 2" xfId="16213" xr:uid="{00000000-0005-0000-0000-0000EE2C0000}"/>
    <cellStyle name="40% - Accent3 8 2 2 2 2 2" xfId="33848" xr:uid="{00000000-0005-0000-0000-0000EF2C0000}"/>
    <cellStyle name="40% - Accent3 8 2 2 2 3" xfId="26831" xr:uid="{00000000-0005-0000-0000-0000F02C0000}"/>
    <cellStyle name="40% - Accent3 8 2 2 3" xfId="12566" xr:uid="{00000000-0005-0000-0000-0000F12C0000}"/>
    <cellStyle name="40% - Accent3 8 2 2 3 2" xfId="30234" xr:uid="{00000000-0005-0000-0000-0000F22C0000}"/>
    <cellStyle name="40% - Accent3 8 2 2 4" xfId="22738" xr:uid="{00000000-0005-0000-0000-0000F32C0000}"/>
    <cellStyle name="40% - Accent3 8 2 2 4 2" xfId="38948" xr:uid="{00000000-0005-0000-0000-0000F42C0000}"/>
    <cellStyle name="40% - Accent3 8 2 2 5" xfId="23966" xr:uid="{00000000-0005-0000-0000-0000F52C0000}"/>
    <cellStyle name="40% - Accent3 8 2 3" xfId="5756" xr:uid="{00000000-0005-0000-0000-0000F62C0000}"/>
    <cellStyle name="40% - Accent3 8 2 3 2" xfId="9056" xr:uid="{00000000-0005-0000-0000-0000F72C0000}"/>
    <cellStyle name="40% - Accent3 8 2 3 2 2" xfId="16851" xr:uid="{00000000-0005-0000-0000-0000F82C0000}"/>
    <cellStyle name="40% - Accent3 8 2 3 2 2 2" xfId="34487" xr:uid="{00000000-0005-0000-0000-0000F92C0000}"/>
    <cellStyle name="40% - Accent3 8 2 3 2 3" xfId="27444" xr:uid="{00000000-0005-0000-0000-0000FA2C0000}"/>
    <cellStyle name="40% - Accent3 8 2 3 3" xfId="13612" xr:uid="{00000000-0005-0000-0000-0000FB2C0000}"/>
    <cellStyle name="40% - Accent3 8 2 3 3 2" xfId="31252" xr:uid="{00000000-0005-0000-0000-0000FC2C0000}"/>
    <cellStyle name="40% - Accent3 8 2 3 4" xfId="24579" xr:uid="{00000000-0005-0000-0000-0000FD2C0000}"/>
    <cellStyle name="40% - Accent3 8 2 4" xfId="6386" xr:uid="{00000000-0005-0000-0000-0000FE2C0000}"/>
    <cellStyle name="40% - Accent3 8 2 4 2" xfId="9596" xr:uid="{00000000-0005-0000-0000-0000FF2C0000}"/>
    <cellStyle name="40% - Accent3 8 2 4 2 2" xfId="17390" xr:uid="{00000000-0005-0000-0000-0000002D0000}"/>
    <cellStyle name="40% - Accent3 8 2 4 2 2 2" xfId="35027" xr:uid="{00000000-0005-0000-0000-0000012D0000}"/>
    <cellStyle name="40% - Accent3 8 2 4 2 3" xfId="27980" xr:uid="{00000000-0005-0000-0000-0000022D0000}"/>
    <cellStyle name="40% - Accent3 8 2 4 3" xfId="14175" xr:uid="{00000000-0005-0000-0000-0000032D0000}"/>
    <cellStyle name="40% - Accent3 8 2 4 3 2" xfId="31810" xr:uid="{00000000-0005-0000-0000-0000042D0000}"/>
    <cellStyle name="40% - Accent3 8 2 4 4" xfId="25116" xr:uid="{00000000-0005-0000-0000-0000052D0000}"/>
    <cellStyle name="40% - Accent3 8 2 5" xfId="6924" xr:uid="{00000000-0005-0000-0000-0000062D0000}"/>
    <cellStyle name="40% - Accent3 8 2 5 2" xfId="10134" xr:uid="{00000000-0005-0000-0000-0000072D0000}"/>
    <cellStyle name="40% - Accent3 8 2 5 2 2" xfId="17927" xr:uid="{00000000-0005-0000-0000-0000082D0000}"/>
    <cellStyle name="40% - Accent3 8 2 5 2 2 2" xfId="35564" xr:uid="{00000000-0005-0000-0000-0000092D0000}"/>
    <cellStyle name="40% - Accent3 8 2 5 2 3" xfId="28517" xr:uid="{00000000-0005-0000-0000-00000A2D0000}"/>
    <cellStyle name="40% - Accent3 8 2 5 3" xfId="14712" xr:uid="{00000000-0005-0000-0000-00000B2D0000}"/>
    <cellStyle name="40% - Accent3 8 2 5 3 2" xfId="32347" xr:uid="{00000000-0005-0000-0000-00000C2D0000}"/>
    <cellStyle name="40% - Accent3 8 2 5 4" xfId="25654" xr:uid="{00000000-0005-0000-0000-00000D2D0000}"/>
    <cellStyle name="40% - Accent3 8 2 6" xfId="7745" xr:uid="{00000000-0005-0000-0000-00000E2D0000}"/>
    <cellStyle name="40% - Accent3 8 2 6 2" xfId="15542" xr:uid="{00000000-0005-0000-0000-00000F2D0000}"/>
    <cellStyle name="40% - Accent3 8 2 6 2 2" xfId="33177" xr:uid="{00000000-0005-0000-0000-0000102D0000}"/>
    <cellStyle name="40% - Accent3 8 2 6 3" xfId="26178" xr:uid="{00000000-0005-0000-0000-0000112D0000}"/>
    <cellStyle name="40% - Accent3 8 2 7" xfId="11406" xr:uid="{00000000-0005-0000-0000-0000122D0000}"/>
    <cellStyle name="40% - Accent3 8 2 7 2" xfId="29128" xr:uid="{00000000-0005-0000-0000-0000132D0000}"/>
    <cellStyle name="40% - Accent3 8 2 8" xfId="22128" xr:uid="{00000000-0005-0000-0000-0000142D0000}"/>
    <cellStyle name="40% - Accent3 8 2 8 2" xfId="38809" xr:uid="{00000000-0005-0000-0000-0000152D0000}"/>
    <cellStyle name="40% - Accent3 8 2 9" xfId="23313" xr:uid="{00000000-0005-0000-0000-0000162D0000}"/>
    <cellStyle name="40% - Accent3 8 3" xfId="708" xr:uid="{00000000-0005-0000-0000-0000172D0000}"/>
    <cellStyle name="40% - Accent3 8 3 10" xfId="22737" xr:uid="{00000000-0005-0000-0000-0000182D0000}"/>
    <cellStyle name="40% - Accent3 8 3 10 2" xfId="38947" xr:uid="{00000000-0005-0000-0000-0000192D0000}"/>
    <cellStyle name="40% - Accent3 8 3 11" xfId="23314" xr:uid="{00000000-0005-0000-0000-00001A2D0000}"/>
    <cellStyle name="40% - Accent3 8 3 12" xfId="51870" xr:uid="{00000000-0005-0000-0000-00001B2D0000}"/>
    <cellStyle name="40% - Accent3 8 3 2" xfId="709" xr:uid="{00000000-0005-0000-0000-00001C2D0000}"/>
    <cellStyle name="40% - Accent3 8 3 2 2" xfId="3852" xr:uid="{00000000-0005-0000-0000-00001D2D0000}"/>
    <cellStyle name="40% - Accent3 8 3 2 2 2" xfId="8419" xr:uid="{00000000-0005-0000-0000-00001E2D0000}"/>
    <cellStyle name="40% - Accent3 8 3 2 2 2 2" xfId="16215" xr:uid="{00000000-0005-0000-0000-00001F2D0000}"/>
    <cellStyle name="40% - Accent3 8 3 2 2 2 2 2" xfId="33850" xr:uid="{00000000-0005-0000-0000-0000202D0000}"/>
    <cellStyle name="40% - Accent3 8 3 2 2 2 3" xfId="26833" xr:uid="{00000000-0005-0000-0000-0000212D0000}"/>
    <cellStyle name="40% - Accent3 8 3 2 2 3" xfId="12568" xr:uid="{00000000-0005-0000-0000-0000222D0000}"/>
    <cellStyle name="40% - Accent3 8 3 2 2 3 2" xfId="30236" xr:uid="{00000000-0005-0000-0000-0000232D0000}"/>
    <cellStyle name="40% - Accent3 8 3 2 2 4" xfId="23968" xr:uid="{00000000-0005-0000-0000-0000242D0000}"/>
    <cellStyle name="40% - Accent3 8 3 2 3" xfId="5758" xr:uid="{00000000-0005-0000-0000-0000252D0000}"/>
    <cellStyle name="40% - Accent3 8 3 2 3 2" xfId="9058" xr:uid="{00000000-0005-0000-0000-0000262D0000}"/>
    <cellStyle name="40% - Accent3 8 3 2 3 2 2" xfId="16853" xr:uid="{00000000-0005-0000-0000-0000272D0000}"/>
    <cellStyle name="40% - Accent3 8 3 2 3 2 2 2" xfId="34489" xr:uid="{00000000-0005-0000-0000-0000282D0000}"/>
    <cellStyle name="40% - Accent3 8 3 2 3 2 3" xfId="27446" xr:uid="{00000000-0005-0000-0000-0000292D0000}"/>
    <cellStyle name="40% - Accent3 8 3 2 3 3" xfId="13614" xr:uid="{00000000-0005-0000-0000-00002A2D0000}"/>
    <cellStyle name="40% - Accent3 8 3 2 3 3 2" xfId="31254" xr:uid="{00000000-0005-0000-0000-00002B2D0000}"/>
    <cellStyle name="40% - Accent3 8 3 2 3 4" xfId="24581" xr:uid="{00000000-0005-0000-0000-00002C2D0000}"/>
    <cellStyle name="40% - Accent3 8 3 2 4" xfId="6388" xr:uid="{00000000-0005-0000-0000-00002D2D0000}"/>
    <cellStyle name="40% - Accent3 8 3 2 4 2" xfId="9598" xr:uid="{00000000-0005-0000-0000-00002E2D0000}"/>
    <cellStyle name="40% - Accent3 8 3 2 4 2 2" xfId="17392" xr:uid="{00000000-0005-0000-0000-00002F2D0000}"/>
    <cellStyle name="40% - Accent3 8 3 2 4 2 2 2" xfId="35029" xr:uid="{00000000-0005-0000-0000-0000302D0000}"/>
    <cellStyle name="40% - Accent3 8 3 2 4 2 3" xfId="27982" xr:uid="{00000000-0005-0000-0000-0000312D0000}"/>
    <cellStyle name="40% - Accent3 8 3 2 4 3" xfId="14177" xr:uid="{00000000-0005-0000-0000-0000322D0000}"/>
    <cellStyle name="40% - Accent3 8 3 2 4 3 2" xfId="31812" xr:uid="{00000000-0005-0000-0000-0000332D0000}"/>
    <cellStyle name="40% - Accent3 8 3 2 4 4" xfId="25118" xr:uid="{00000000-0005-0000-0000-0000342D0000}"/>
    <cellStyle name="40% - Accent3 8 3 2 5" xfId="6926" xr:uid="{00000000-0005-0000-0000-0000352D0000}"/>
    <cellStyle name="40% - Accent3 8 3 2 5 2" xfId="10136" xr:uid="{00000000-0005-0000-0000-0000362D0000}"/>
    <cellStyle name="40% - Accent3 8 3 2 5 2 2" xfId="17929" xr:uid="{00000000-0005-0000-0000-0000372D0000}"/>
    <cellStyle name="40% - Accent3 8 3 2 5 2 2 2" xfId="35566" xr:uid="{00000000-0005-0000-0000-0000382D0000}"/>
    <cellStyle name="40% - Accent3 8 3 2 5 2 3" xfId="28519" xr:uid="{00000000-0005-0000-0000-0000392D0000}"/>
    <cellStyle name="40% - Accent3 8 3 2 5 3" xfId="14714" xr:uid="{00000000-0005-0000-0000-00003A2D0000}"/>
    <cellStyle name="40% - Accent3 8 3 2 5 3 2" xfId="32349" xr:uid="{00000000-0005-0000-0000-00003B2D0000}"/>
    <cellStyle name="40% - Accent3 8 3 2 5 4" xfId="25656" xr:uid="{00000000-0005-0000-0000-00003C2D0000}"/>
    <cellStyle name="40% - Accent3 8 3 2 6" xfId="7747" xr:uid="{00000000-0005-0000-0000-00003D2D0000}"/>
    <cellStyle name="40% - Accent3 8 3 2 6 2" xfId="15544" xr:uid="{00000000-0005-0000-0000-00003E2D0000}"/>
    <cellStyle name="40% - Accent3 8 3 2 6 2 2" xfId="33179" xr:uid="{00000000-0005-0000-0000-00003F2D0000}"/>
    <cellStyle name="40% - Accent3 8 3 2 6 3" xfId="26180" xr:uid="{00000000-0005-0000-0000-0000402D0000}"/>
    <cellStyle name="40% - Accent3 8 3 2 7" xfId="11408" xr:uid="{00000000-0005-0000-0000-0000412D0000}"/>
    <cellStyle name="40% - Accent3 8 3 2 7 2" xfId="29130" xr:uid="{00000000-0005-0000-0000-0000422D0000}"/>
    <cellStyle name="40% - Accent3 8 3 2 8" xfId="23315" xr:uid="{00000000-0005-0000-0000-0000432D0000}"/>
    <cellStyle name="40% - Accent3 8 3 2 9" xfId="51871" xr:uid="{00000000-0005-0000-0000-0000442D0000}"/>
    <cellStyle name="40% - Accent3 8 3 3" xfId="3853" xr:uid="{00000000-0005-0000-0000-0000452D0000}"/>
    <cellStyle name="40% - Accent3 8 3 3 2" xfId="5759" xr:uid="{00000000-0005-0000-0000-0000462D0000}"/>
    <cellStyle name="40% - Accent3 8 3 3 2 2" xfId="9059" xr:uid="{00000000-0005-0000-0000-0000472D0000}"/>
    <cellStyle name="40% - Accent3 8 3 3 2 2 2" xfId="16854" xr:uid="{00000000-0005-0000-0000-0000482D0000}"/>
    <cellStyle name="40% - Accent3 8 3 3 2 2 2 2" xfId="34490" xr:uid="{00000000-0005-0000-0000-0000492D0000}"/>
    <cellStyle name="40% - Accent3 8 3 3 2 2 3" xfId="27447" xr:uid="{00000000-0005-0000-0000-00004A2D0000}"/>
    <cellStyle name="40% - Accent3 8 3 3 2 3" xfId="13615" xr:uid="{00000000-0005-0000-0000-00004B2D0000}"/>
    <cellStyle name="40% - Accent3 8 3 3 2 3 2" xfId="31255" xr:uid="{00000000-0005-0000-0000-00004C2D0000}"/>
    <cellStyle name="40% - Accent3 8 3 3 2 4" xfId="24582" xr:uid="{00000000-0005-0000-0000-00004D2D0000}"/>
    <cellStyle name="40% - Accent3 8 3 3 3" xfId="6389" xr:uid="{00000000-0005-0000-0000-00004E2D0000}"/>
    <cellStyle name="40% - Accent3 8 3 3 3 2" xfId="9599" xr:uid="{00000000-0005-0000-0000-00004F2D0000}"/>
    <cellStyle name="40% - Accent3 8 3 3 3 2 2" xfId="17393" xr:uid="{00000000-0005-0000-0000-0000502D0000}"/>
    <cellStyle name="40% - Accent3 8 3 3 3 2 2 2" xfId="35030" xr:uid="{00000000-0005-0000-0000-0000512D0000}"/>
    <cellStyle name="40% - Accent3 8 3 3 3 2 3" xfId="27983" xr:uid="{00000000-0005-0000-0000-0000522D0000}"/>
    <cellStyle name="40% - Accent3 8 3 3 3 3" xfId="14178" xr:uid="{00000000-0005-0000-0000-0000532D0000}"/>
    <cellStyle name="40% - Accent3 8 3 3 3 3 2" xfId="31813" xr:uid="{00000000-0005-0000-0000-0000542D0000}"/>
    <cellStyle name="40% - Accent3 8 3 3 3 4" xfId="25119" xr:uid="{00000000-0005-0000-0000-0000552D0000}"/>
    <cellStyle name="40% - Accent3 8 3 3 4" xfId="6927" xr:uid="{00000000-0005-0000-0000-0000562D0000}"/>
    <cellStyle name="40% - Accent3 8 3 3 4 2" xfId="10137" xr:uid="{00000000-0005-0000-0000-0000572D0000}"/>
    <cellStyle name="40% - Accent3 8 3 3 4 2 2" xfId="17930" xr:uid="{00000000-0005-0000-0000-0000582D0000}"/>
    <cellStyle name="40% - Accent3 8 3 3 4 2 2 2" xfId="35567" xr:uid="{00000000-0005-0000-0000-0000592D0000}"/>
    <cellStyle name="40% - Accent3 8 3 3 4 2 3" xfId="28520" xr:uid="{00000000-0005-0000-0000-00005A2D0000}"/>
    <cellStyle name="40% - Accent3 8 3 3 4 3" xfId="14715" xr:uid="{00000000-0005-0000-0000-00005B2D0000}"/>
    <cellStyle name="40% - Accent3 8 3 3 4 3 2" xfId="32350" xr:uid="{00000000-0005-0000-0000-00005C2D0000}"/>
    <cellStyle name="40% - Accent3 8 3 3 4 4" xfId="25657" xr:uid="{00000000-0005-0000-0000-00005D2D0000}"/>
    <cellStyle name="40% - Accent3 8 3 3 5" xfId="8420" xr:uid="{00000000-0005-0000-0000-00005E2D0000}"/>
    <cellStyle name="40% - Accent3 8 3 3 5 2" xfId="16216" xr:uid="{00000000-0005-0000-0000-00005F2D0000}"/>
    <cellStyle name="40% - Accent3 8 3 3 5 2 2" xfId="33851" xr:uid="{00000000-0005-0000-0000-0000602D0000}"/>
    <cellStyle name="40% - Accent3 8 3 3 5 3" xfId="26834" xr:uid="{00000000-0005-0000-0000-0000612D0000}"/>
    <cellStyle name="40% - Accent3 8 3 3 6" xfId="12569" xr:uid="{00000000-0005-0000-0000-0000622D0000}"/>
    <cellStyle name="40% - Accent3 8 3 3 6 2" xfId="30237" xr:uid="{00000000-0005-0000-0000-0000632D0000}"/>
    <cellStyle name="40% - Accent3 8 3 3 7" xfId="23969" xr:uid="{00000000-0005-0000-0000-0000642D0000}"/>
    <cellStyle name="40% - Accent3 8 3 4" xfId="3851" xr:uid="{00000000-0005-0000-0000-0000652D0000}"/>
    <cellStyle name="40% - Accent3 8 3 4 2" xfId="8418" xr:uid="{00000000-0005-0000-0000-0000662D0000}"/>
    <cellStyle name="40% - Accent3 8 3 4 2 2" xfId="16214" xr:uid="{00000000-0005-0000-0000-0000672D0000}"/>
    <cellStyle name="40% - Accent3 8 3 4 2 2 2" xfId="33849" xr:uid="{00000000-0005-0000-0000-0000682D0000}"/>
    <cellStyle name="40% - Accent3 8 3 4 2 3" xfId="26832" xr:uid="{00000000-0005-0000-0000-0000692D0000}"/>
    <cellStyle name="40% - Accent3 8 3 4 3" xfId="12567" xr:uid="{00000000-0005-0000-0000-00006A2D0000}"/>
    <cellStyle name="40% - Accent3 8 3 4 3 2" xfId="30235" xr:uid="{00000000-0005-0000-0000-00006B2D0000}"/>
    <cellStyle name="40% - Accent3 8 3 4 4" xfId="23967" xr:uid="{00000000-0005-0000-0000-00006C2D0000}"/>
    <cellStyle name="40% - Accent3 8 3 5" xfId="5757" xr:uid="{00000000-0005-0000-0000-00006D2D0000}"/>
    <cellStyle name="40% - Accent3 8 3 5 2" xfId="9057" xr:uid="{00000000-0005-0000-0000-00006E2D0000}"/>
    <cellStyle name="40% - Accent3 8 3 5 2 2" xfId="16852" xr:uid="{00000000-0005-0000-0000-00006F2D0000}"/>
    <cellStyle name="40% - Accent3 8 3 5 2 2 2" xfId="34488" xr:uid="{00000000-0005-0000-0000-0000702D0000}"/>
    <cellStyle name="40% - Accent3 8 3 5 2 3" xfId="27445" xr:uid="{00000000-0005-0000-0000-0000712D0000}"/>
    <cellStyle name="40% - Accent3 8 3 5 3" xfId="13613" xr:uid="{00000000-0005-0000-0000-0000722D0000}"/>
    <cellStyle name="40% - Accent3 8 3 5 3 2" xfId="31253" xr:uid="{00000000-0005-0000-0000-0000732D0000}"/>
    <cellStyle name="40% - Accent3 8 3 5 4" xfId="24580" xr:uid="{00000000-0005-0000-0000-0000742D0000}"/>
    <cellStyle name="40% - Accent3 8 3 6" xfId="6387" xr:uid="{00000000-0005-0000-0000-0000752D0000}"/>
    <cellStyle name="40% - Accent3 8 3 6 2" xfId="9597" xr:uid="{00000000-0005-0000-0000-0000762D0000}"/>
    <cellStyle name="40% - Accent3 8 3 6 2 2" xfId="17391" xr:uid="{00000000-0005-0000-0000-0000772D0000}"/>
    <cellStyle name="40% - Accent3 8 3 6 2 2 2" xfId="35028" xr:uid="{00000000-0005-0000-0000-0000782D0000}"/>
    <cellStyle name="40% - Accent3 8 3 6 2 3" xfId="27981" xr:uid="{00000000-0005-0000-0000-0000792D0000}"/>
    <cellStyle name="40% - Accent3 8 3 6 3" xfId="14176" xr:uid="{00000000-0005-0000-0000-00007A2D0000}"/>
    <cellStyle name="40% - Accent3 8 3 6 3 2" xfId="31811" xr:uid="{00000000-0005-0000-0000-00007B2D0000}"/>
    <cellStyle name="40% - Accent3 8 3 6 4" xfId="25117" xr:uid="{00000000-0005-0000-0000-00007C2D0000}"/>
    <cellStyle name="40% - Accent3 8 3 7" xfId="6925" xr:uid="{00000000-0005-0000-0000-00007D2D0000}"/>
    <cellStyle name="40% - Accent3 8 3 7 2" xfId="10135" xr:uid="{00000000-0005-0000-0000-00007E2D0000}"/>
    <cellStyle name="40% - Accent3 8 3 7 2 2" xfId="17928" xr:uid="{00000000-0005-0000-0000-00007F2D0000}"/>
    <cellStyle name="40% - Accent3 8 3 7 2 2 2" xfId="35565" xr:uid="{00000000-0005-0000-0000-0000802D0000}"/>
    <cellStyle name="40% - Accent3 8 3 7 2 3" xfId="28518" xr:uid="{00000000-0005-0000-0000-0000812D0000}"/>
    <cellStyle name="40% - Accent3 8 3 7 3" xfId="14713" xr:uid="{00000000-0005-0000-0000-0000822D0000}"/>
    <cellStyle name="40% - Accent3 8 3 7 3 2" xfId="32348" xr:uid="{00000000-0005-0000-0000-0000832D0000}"/>
    <cellStyle name="40% - Accent3 8 3 7 4" xfId="25655" xr:uid="{00000000-0005-0000-0000-0000842D0000}"/>
    <cellStyle name="40% - Accent3 8 3 8" xfId="7746" xr:uid="{00000000-0005-0000-0000-0000852D0000}"/>
    <cellStyle name="40% - Accent3 8 3 8 2" xfId="15543" xr:uid="{00000000-0005-0000-0000-0000862D0000}"/>
    <cellStyle name="40% - Accent3 8 3 8 2 2" xfId="33178" xr:uid="{00000000-0005-0000-0000-0000872D0000}"/>
    <cellStyle name="40% - Accent3 8 3 8 3" xfId="26179" xr:uid="{00000000-0005-0000-0000-0000882D0000}"/>
    <cellStyle name="40% - Accent3 8 3 9" xfId="11407" xr:uid="{00000000-0005-0000-0000-0000892D0000}"/>
    <cellStyle name="40% - Accent3 8 3 9 2" xfId="29129" xr:uid="{00000000-0005-0000-0000-00008A2D0000}"/>
    <cellStyle name="40% - Accent3 8 4" xfId="710" xr:uid="{00000000-0005-0000-0000-00008B2D0000}"/>
    <cellStyle name="40% - Accent3 8 4 2" xfId="3854" xr:uid="{00000000-0005-0000-0000-00008C2D0000}"/>
    <cellStyle name="40% - Accent3 8 4 2 2" xfId="8421" xr:uid="{00000000-0005-0000-0000-00008D2D0000}"/>
    <cellStyle name="40% - Accent3 8 4 2 2 2" xfId="16217" xr:uid="{00000000-0005-0000-0000-00008E2D0000}"/>
    <cellStyle name="40% - Accent3 8 4 2 2 2 2" xfId="33852" xr:uid="{00000000-0005-0000-0000-00008F2D0000}"/>
    <cellStyle name="40% - Accent3 8 4 2 2 3" xfId="26835" xr:uid="{00000000-0005-0000-0000-0000902D0000}"/>
    <cellStyle name="40% - Accent3 8 4 2 3" xfId="12570" xr:uid="{00000000-0005-0000-0000-0000912D0000}"/>
    <cellStyle name="40% - Accent3 8 4 2 3 2" xfId="30238" xr:uid="{00000000-0005-0000-0000-0000922D0000}"/>
    <cellStyle name="40% - Accent3 8 4 2 4" xfId="23970" xr:uid="{00000000-0005-0000-0000-0000932D0000}"/>
    <cellStyle name="40% - Accent3 8 4 3" xfId="5760" xr:uid="{00000000-0005-0000-0000-0000942D0000}"/>
    <cellStyle name="40% - Accent3 8 4 3 2" xfId="9060" xr:uid="{00000000-0005-0000-0000-0000952D0000}"/>
    <cellStyle name="40% - Accent3 8 4 3 2 2" xfId="16855" xr:uid="{00000000-0005-0000-0000-0000962D0000}"/>
    <cellStyle name="40% - Accent3 8 4 3 2 2 2" xfId="34491" xr:uid="{00000000-0005-0000-0000-0000972D0000}"/>
    <cellStyle name="40% - Accent3 8 4 3 2 3" xfId="27448" xr:uid="{00000000-0005-0000-0000-0000982D0000}"/>
    <cellStyle name="40% - Accent3 8 4 3 3" xfId="13616" xr:uid="{00000000-0005-0000-0000-0000992D0000}"/>
    <cellStyle name="40% - Accent3 8 4 3 3 2" xfId="31256" xr:uid="{00000000-0005-0000-0000-00009A2D0000}"/>
    <cellStyle name="40% - Accent3 8 4 3 4" xfId="24583" xr:uid="{00000000-0005-0000-0000-00009B2D0000}"/>
    <cellStyle name="40% - Accent3 8 4 4" xfId="6390" xr:uid="{00000000-0005-0000-0000-00009C2D0000}"/>
    <cellStyle name="40% - Accent3 8 4 4 2" xfId="9600" xr:uid="{00000000-0005-0000-0000-00009D2D0000}"/>
    <cellStyle name="40% - Accent3 8 4 4 2 2" xfId="17394" xr:uid="{00000000-0005-0000-0000-00009E2D0000}"/>
    <cellStyle name="40% - Accent3 8 4 4 2 2 2" xfId="35031" xr:uid="{00000000-0005-0000-0000-00009F2D0000}"/>
    <cellStyle name="40% - Accent3 8 4 4 2 3" xfId="27984" xr:uid="{00000000-0005-0000-0000-0000A02D0000}"/>
    <cellStyle name="40% - Accent3 8 4 4 3" xfId="14179" xr:uid="{00000000-0005-0000-0000-0000A12D0000}"/>
    <cellStyle name="40% - Accent3 8 4 4 3 2" xfId="31814" xr:uid="{00000000-0005-0000-0000-0000A22D0000}"/>
    <cellStyle name="40% - Accent3 8 4 4 4" xfId="25120" xr:uid="{00000000-0005-0000-0000-0000A32D0000}"/>
    <cellStyle name="40% - Accent3 8 4 5" xfId="6928" xr:uid="{00000000-0005-0000-0000-0000A42D0000}"/>
    <cellStyle name="40% - Accent3 8 4 5 2" xfId="10138" xr:uid="{00000000-0005-0000-0000-0000A52D0000}"/>
    <cellStyle name="40% - Accent3 8 4 5 2 2" xfId="17931" xr:uid="{00000000-0005-0000-0000-0000A62D0000}"/>
    <cellStyle name="40% - Accent3 8 4 5 2 2 2" xfId="35568" xr:uid="{00000000-0005-0000-0000-0000A72D0000}"/>
    <cellStyle name="40% - Accent3 8 4 5 2 3" xfId="28521" xr:uid="{00000000-0005-0000-0000-0000A82D0000}"/>
    <cellStyle name="40% - Accent3 8 4 5 3" xfId="14716" xr:uid="{00000000-0005-0000-0000-0000A92D0000}"/>
    <cellStyle name="40% - Accent3 8 4 5 3 2" xfId="32351" xr:uid="{00000000-0005-0000-0000-0000AA2D0000}"/>
    <cellStyle name="40% - Accent3 8 4 5 4" xfId="25658" xr:uid="{00000000-0005-0000-0000-0000AB2D0000}"/>
    <cellStyle name="40% - Accent3 8 4 6" xfId="7748" xr:uid="{00000000-0005-0000-0000-0000AC2D0000}"/>
    <cellStyle name="40% - Accent3 8 4 6 2" xfId="15545" xr:uid="{00000000-0005-0000-0000-0000AD2D0000}"/>
    <cellStyle name="40% - Accent3 8 4 6 2 2" xfId="33180" xr:uid="{00000000-0005-0000-0000-0000AE2D0000}"/>
    <cellStyle name="40% - Accent3 8 4 6 3" xfId="26181" xr:uid="{00000000-0005-0000-0000-0000AF2D0000}"/>
    <cellStyle name="40% - Accent3 8 4 7" xfId="11409" xr:uid="{00000000-0005-0000-0000-0000B02D0000}"/>
    <cellStyle name="40% - Accent3 8 4 7 2" xfId="29131" xr:uid="{00000000-0005-0000-0000-0000B12D0000}"/>
    <cellStyle name="40% - Accent3 8 4 8" xfId="23316" xr:uid="{00000000-0005-0000-0000-0000B22D0000}"/>
    <cellStyle name="40% - Accent3 8 4 9" xfId="51872" xr:uid="{00000000-0005-0000-0000-0000B32D0000}"/>
    <cellStyle name="40% - Accent3 8 5" xfId="711" xr:uid="{00000000-0005-0000-0000-0000B42D0000}"/>
    <cellStyle name="40% - Accent3 8 5 2" xfId="3855" xr:uid="{00000000-0005-0000-0000-0000B52D0000}"/>
    <cellStyle name="40% - Accent3 8 5 2 2" xfId="8422" xr:uid="{00000000-0005-0000-0000-0000B62D0000}"/>
    <cellStyle name="40% - Accent3 8 5 2 2 2" xfId="16218" xr:uid="{00000000-0005-0000-0000-0000B72D0000}"/>
    <cellStyle name="40% - Accent3 8 5 2 2 2 2" xfId="33853" xr:uid="{00000000-0005-0000-0000-0000B82D0000}"/>
    <cellStyle name="40% - Accent3 8 5 2 2 3" xfId="26836" xr:uid="{00000000-0005-0000-0000-0000B92D0000}"/>
    <cellStyle name="40% - Accent3 8 5 2 3" xfId="12571" xr:uid="{00000000-0005-0000-0000-0000BA2D0000}"/>
    <cellStyle name="40% - Accent3 8 5 2 3 2" xfId="30239" xr:uid="{00000000-0005-0000-0000-0000BB2D0000}"/>
    <cellStyle name="40% - Accent3 8 5 2 4" xfId="23971" xr:uid="{00000000-0005-0000-0000-0000BC2D0000}"/>
    <cellStyle name="40% - Accent3 8 5 3" xfId="5761" xr:uid="{00000000-0005-0000-0000-0000BD2D0000}"/>
    <cellStyle name="40% - Accent3 8 5 3 2" xfId="9061" xr:uid="{00000000-0005-0000-0000-0000BE2D0000}"/>
    <cellStyle name="40% - Accent3 8 5 3 2 2" xfId="16856" xr:uid="{00000000-0005-0000-0000-0000BF2D0000}"/>
    <cellStyle name="40% - Accent3 8 5 3 2 2 2" xfId="34492" xr:uid="{00000000-0005-0000-0000-0000C02D0000}"/>
    <cellStyle name="40% - Accent3 8 5 3 2 3" xfId="27449" xr:uid="{00000000-0005-0000-0000-0000C12D0000}"/>
    <cellStyle name="40% - Accent3 8 5 3 3" xfId="13617" xr:uid="{00000000-0005-0000-0000-0000C22D0000}"/>
    <cellStyle name="40% - Accent3 8 5 3 3 2" xfId="31257" xr:uid="{00000000-0005-0000-0000-0000C32D0000}"/>
    <cellStyle name="40% - Accent3 8 5 3 4" xfId="24584" xr:uid="{00000000-0005-0000-0000-0000C42D0000}"/>
    <cellStyle name="40% - Accent3 8 5 4" xfId="6391" xr:uid="{00000000-0005-0000-0000-0000C52D0000}"/>
    <cellStyle name="40% - Accent3 8 5 4 2" xfId="9601" xr:uid="{00000000-0005-0000-0000-0000C62D0000}"/>
    <cellStyle name="40% - Accent3 8 5 4 2 2" xfId="17395" xr:uid="{00000000-0005-0000-0000-0000C72D0000}"/>
    <cellStyle name="40% - Accent3 8 5 4 2 2 2" xfId="35032" xr:uid="{00000000-0005-0000-0000-0000C82D0000}"/>
    <cellStyle name="40% - Accent3 8 5 4 2 3" xfId="27985" xr:uid="{00000000-0005-0000-0000-0000C92D0000}"/>
    <cellStyle name="40% - Accent3 8 5 4 3" xfId="14180" xr:uid="{00000000-0005-0000-0000-0000CA2D0000}"/>
    <cellStyle name="40% - Accent3 8 5 4 3 2" xfId="31815" xr:uid="{00000000-0005-0000-0000-0000CB2D0000}"/>
    <cellStyle name="40% - Accent3 8 5 4 4" xfId="25121" xr:uid="{00000000-0005-0000-0000-0000CC2D0000}"/>
    <cellStyle name="40% - Accent3 8 5 5" xfId="6929" xr:uid="{00000000-0005-0000-0000-0000CD2D0000}"/>
    <cellStyle name="40% - Accent3 8 5 5 2" xfId="10139" xr:uid="{00000000-0005-0000-0000-0000CE2D0000}"/>
    <cellStyle name="40% - Accent3 8 5 5 2 2" xfId="17932" xr:uid="{00000000-0005-0000-0000-0000CF2D0000}"/>
    <cellStyle name="40% - Accent3 8 5 5 2 2 2" xfId="35569" xr:uid="{00000000-0005-0000-0000-0000D02D0000}"/>
    <cellStyle name="40% - Accent3 8 5 5 2 3" xfId="28522" xr:uid="{00000000-0005-0000-0000-0000D12D0000}"/>
    <cellStyle name="40% - Accent3 8 5 5 3" xfId="14717" xr:uid="{00000000-0005-0000-0000-0000D22D0000}"/>
    <cellStyle name="40% - Accent3 8 5 5 3 2" xfId="32352" xr:uid="{00000000-0005-0000-0000-0000D32D0000}"/>
    <cellStyle name="40% - Accent3 8 5 5 4" xfId="25659" xr:uid="{00000000-0005-0000-0000-0000D42D0000}"/>
    <cellStyle name="40% - Accent3 8 5 6" xfId="7749" xr:uid="{00000000-0005-0000-0000-0000D52D0000}"/>
    <cellStyle name="40% - Accent3 8 5 6 2" xfId="15546" xr:uid="{00000000-0005-0000-0000-0000D62D0000}"/>
    <cellStyle name="40% - Accent3 8 5 6 2 2" xfId="33181" xr:uid="{00000000-0005-0000-0000-0000D72D0000}"/>
    <cellStyle name="40% - Accent3 8 5 6 3" xfId="26182" xr:uid="{00000000-0005-0000-0000-0000D82D0000}"/>
    <cellStyle name="40% - Accent3 8 5 7" xfId="11410" xr:uid="{00000000-0005-0000-0000-0000D92D0000}"/>
    <cellStyle name="40% - Accent3 8 5 7 2" xfId="29132" xr:uid="{00000000-0005-0000-0000-0000DA2D0000}"/>
    <cellStyle name="40% - Accent3 8 5 8" xfId="23317" xr:uid="{00000000-0005-0000-0000-0000DB2D0000}"/>
    <cellStyle name="40% - Accent3 8 5 9" xfId="51873" xr:uid="{00000000-0005-0000-0000-0000DC2D0000}"/>
    <cellStyle name="40% - Accent3 8 6" xfId="712" xr:uid="{00000000-0005-0000-0000-0000DD2D0000}"/>
    <cellStyle name="40% - Accent3 8 6 2" xfId="3856" xr:uid="{00000000-0005-0000-0000-0000DE2D0000}"/>
    <cellStyle name="40% - Accent3 8 6 2 2" xfId="8423" xr:uid="{00000000-0005-0000-0000-0000DF2D0000}"/>
    <cellStyle name="40% - Accent3 8 6 2 2 2" xfId="16219" xr:uid="{00000000-0005-0000-0000-0000E02D0000}"/>
    <cellStyle name="40% - Accent3 8 6 2 2 2 2" xfId="33854" xr:uid="{00000000-0005-0000-0000-0000E12D0000}"/>
    <cellStyle name="40% - Accent3 8 6 2 2 3" xfId="26837" xr:uid="{00000000-0005-0000-0000-0000E22D0000}"/>
    <cellStyle name="40% - Accent3 8 6 2 3" xfId="12572" xr:uid="{00000000-0005-0000-0000-0000E32D0000}"/>
    <cellStyle name="40% - Accent3 8 6 2 3 2" xfId="30240" xr:uid="{00000000-0005-0000-0000-0000E42D0000}"/>
    <cellStyle name="40% - Accent3 8 6 2 4" xfId="23972" xr:uid="{00000000-0005-0000-0000-0000E52D0000}"/>
    <cellStyle name="40% - Accent3 8 6 3" xfId="5762" xr:uid="{00000000-0005-0000-0000-0000E62D0000}"/>
    <cellStyle name="40% - Accent3 8 6 3 2" xfId="9062" xr:uid="{00000000-0005-0000-0000-0000E72D0000}"/>
    <cellStyle name="40% - Accent3 8 6 3 2 2" xfId="16857" xr:uid="{00000000-0005-0000-0000-0000E82D0000}"/>
    <cellStyle name="40% - Accent3 8 6 3 2 2 2" xfId="34493" xr:uid="{00000000-0005-0000-0000-0000E92D0000}"/>
    <cellStyle name="40% - Accent3 8 6 3 2 3" xfId="27450" xr:uid="{00000000-0005-0000-0000-0000EA2D0000}"/>
    <cellStyle name="40% - Accent3 8 6 3 3" xfId="13618" xr:uid="{00000000-0005-0000-0000-0000EB2D0000}"/>
    <cellStyle name="40% - Accent3 8 6 3 3 2" xfId="31258" xr:uid="{00000000-0005-0000-0000-0000EC2D0000}"/>
    <cellStyle name="40% - Accent3 8 6 3 4" xfId="24585" xr:uid="{00000000-0005-0000-0000-0000ED2D0000}"/>
    <cellStyle name="40% - Accent3 8 6 4" xfId="6392" xr:uid="{00000000-0005-0000-0000-0000EE2D0000}"/>
    <cellStyle name="40% - Accent3 8 6 4 2" xfId="9602" xr:uid="{00000000-0005-0000-0000-0000EF2D0000}"/>
    <cellStyle name="40% - Accent3 8 6 4 2 2" xfId="17396" xr:uid="{00000000-0005-0000-0000-0000F02D0000}"/>
    <cellStyle name="40% - Accent3 8 6 4 2 2 2" xfId="35033" xr:uid="{00000000-0005-0000-0000-0000F12D0000}"/>
    <cellStyle name="40% - Accent3 8 6 4 2 3" xfId="27986" xr:uid="{00000000-0005-0000-0000-0000F22D0000}"/>
    <cellStyle name="40% - Accent3 8 6 4 3" xfId="14181" xr:uid="{00000000-0005-0000-0000-0000F32D0000}"/>
    <cellStyle name="40% - Accent3 8 6 4 3 2" xfId="31816" xr:uid="{00000000-0005-0000-0000-0000F42D0000}"/>
    <cellStyle name="40% - Accent3 8 6 4 4" xfId="25122" xr:uid="{00000000-0005-0000-0000-0000F52D0000}"/>
    <cellStyle name="40% - Accent3 8 6 5" xfId="6930" xr:uid="{00000000-0005-0000-0000-0000F62D0000}"/>
    <cellStyle name="40% - Accent3 8 6 5 2" xfId="10140" xr:uid="{00000000-0005-0000-0000-0000F72D0000}"/>
    <cellStyle name="40% - Accent3 8 6 5 2 2" xfId="17933" xr:uid="{00000000-0005-0000-0000-0000F82D0000}"/>
    <cellStyle name="40% - Accent3 8 6 5 2 2 2" xfId="35570" xr:uid="{00000000-0005-0000-0000-0000F92D0000}"/>
    <cellStyle name="40% - Accent3 8 6 5 2 3" xfId="28523" xr:uid="{00000000-0005-0000-0000-0000FA2D0000}"/>
    <cellStyle name="40% - Accent3 8 6 5 3" xfId="14718" xr:uid="{00000000-0005-0000-0000-0000FB2D0000}"/>
    <cellStyle name="40% - Accent3 8 6 5 3 2" xfId="32353" xr:uid="{00000000-0005-0000-0000-0000FC2D0000}"/>
    <cellStyle name="40% - Accent3 8 6 5 4" xfId="25660" xr:uid="{00000000-0005-0000-0000-0000FD2D0000}"/>
    <cellStyle name="40% - Accent3 8 6 6" xfId="7750" xr:uid="{00000000-0005-0000-0000-0000FE2D0000}"/>
    <cellStyle name="40% - Accent3 8 6 6 2" xfId="15547" xr:uid="{00000000-0005-0000-0000-0000FF2D0000}"/>
    <cellStyle name="40% - Accent3 8 6 6 2 2" xfId="33182" xr:uid="{00000000-0005-0000-0000-0000002E0000}"/>
    <cellStyle name="40% - Accent3 8 6 6 3" xfId="26183" xr:uid="{00000000-0005-0000-0000-0000012E0000}"/>
    <cellStyle name="40% - Accent3 8 6 7" xfId="11411" xr:uid="{00000000-0005-0000-0000-0000022E0000}"/>
    <cellStyle name="40% - Accent3 8 6 7 2" xfId="29133" xr:uid="{00000000-0005-0000-0000-0000032E0000}"/>
    <cellStyle name="40% - Accent3 8 6 8" xfId="23318" xr:uid="{00000000-0005-0000-0000-0000042E0000}"/>
    <cellStyle name="40% - Accent3 8 6 9" xfId="51874" xr:uid="{00000000-0005-0000-0000-0000052E0000}"/>
    <cellStyle name="40% - Accent3 8 7" xfId="713" xr:uid="{00000000-0005-0000-0000-0000062E0000}"/>
    <cellStyle name="40% - Accent3 8 7 10" xfId="51875" xr:uid="{00000000-0005-0000-0000-0000072E0000}"/>
    <cellStyle name="40% - Accent3 8 7 2" xfId="714" xr:uid="{00000000-0005-0000-0000-0000082E0000}"/>
    <cellStyle name="40% - Accent3 8 7 2 2" xfId="8425" xr:uid="{00000000-0005-0000-0000-0000092E0000}"/>
    <cellStyle name="40% - Accent3 8 7 2 2 2" xfId="16221" xr:uid="{00000000-0005-0000-0000-00000A2E0000}"/>
    <cellStyle name="40% - Accent3 8 7 2 2 2 2" xfId="33856" xr:uid="{00000000-0005-0000-0000-00000B2E0000}"/>
    <cellStyle name="40% - Accent3 8 7 2 2 3" xfId="26839" xr:uid="{00000000-0005-0000-0000-00000C2E0000}"/>
    <cellStyle name="40% - Accent3 8 7 2 3" xfId="12574" xr:uid="{00000000-0005-0000-0000-00000D2E0000}"/>
    <cellStyle name="40% - Accent3 8 7 2 3 2" xfId="30242" xr:uid="{00000000-0005-0000-0000-00000E2E0000}"/>
    <cellStyle name="40% - Accent3 8 7 2 4" xfId="23974" xr:uid="{00000000-0005-0000-0000-00000F2E0000}"/>
    <cellStyle name="40% - Accent3 8 7 3" xfId="3857" xr:uid="{00000000-0005-0000-0000-0000102E0000}"/>
    <cellStyle name="40% - Accent3 8 7 3 2" xfId="8424" xr:uid="{00000000-0005-0000-0000-0000112E0000}"/>
    <cellStyle name="40% - Accent3 8 7 3 2 2" xfId="16220" xr:uid="{00000000-0005-0000-0000-0000122E0000}"/>
    <cellStyle name="40% - Accent3 8 7 3 2 2 2" xfId="33855" xr:uid="{00000000-0005-0000-0000-0000132E0000}"/>
    <cellStyle name="40% - Accent3 8 7 3 2 3" xfId="26838" xr:uid="{00000000-0005-0000-0000-0000142E0000}"/>
    <cellStyle name="40% - Accent3 8 7 3 3" xfId="12573" xr:uid="{00000000-0005-0000-0000-0000152E0000}"/>
    <cellStyle name="40% - Accent3 8 7 3 3 2" xfId="30241" xr:uid="{00000000-0005-0000-0000-0000162E0000}"/>
    <cellStyle name="40% - Accent3 8 7 3 4" xfId="23973" xr:uid="{00000000-0005-0000-0000-0000172E0000}"/>
    <cellStyle name="40% - Accent3 8 7 4" xfId="5763" xr:uid="{00000000-0005-0000-0000-0000182E0000}"/>
    <cellStyle name="40% - Accent3 8 7 4 2" xfId="9063" xr:uid="{00000000-0005-0000-0000-0000192E0000}"/>
    <cellStyle name="40% - Accent3 8 7 4 2 2" xfId="16858" xr:uid="{00000000-0005-0000-0000-00001A2E0000}"/>
    <cellStyle name="40% - Accent3 8 7 4 2 2 2" xfId="34494" xr:uid="{00000000-0005-0000-0000-00001B2E0000}"/>
    <cellStyle name="40% - Accent3 8 7 4 2 3" xfId="27451" xr:uid="{00000000-0005-0000-0000-00001C2E0000}"/>
    <cellStyle name="40% - Accent3 8 7 4 3" xfId="13619" xr:uid="{00000000-0005-0000-0000-00001D2E0000}"/>
    <cellStyle name="40% - Accent3 8 7 4 3 2" xfId="31259" xr:uid="{00000000-0005-0000-0000-00001E2E0000}"/>
    <cellStyle name="40% - Accent3 8 7 4 4" xfId="24586" xr:uid="{00000000-0005-0000-0000-00001F2E0000}"/>
    <cellStyle name="40% - Accent3 8 7 5" xfId="6393" xr:uid="{00000000-0005-0000-0000-0000202E0000}"/>
    <cellStyle name="40% - Accent3 8 7 5 2" xfId="9603" xr:uid="{00000000-0005-0000-0000-0000212E0000}"/>
    <cellStyle name="40% - Accent3 8 7 5 2 2" xfId="17397" xr:uid="{00000000-0005-0000-0000-0000222E0000}"/>
    <cellStyle name="40% - Accent3 8 7 5 2 2 2" xfId="35034" xr:uid="{00000000-0005-0000-0000-0000232E0000}"/>
    <cellStyle name="40% - Accent3 8 7 5 2 3" xfId="27987" xr:uid="{00000000-0005-0000-0000-0000242E0000}"/>
    <cellStyle name="40% - Accent3 8 7 5 3" xfId="14182" xr:uid="{00000000-0005-0000-0000-0000252E0000}"/>
    <cellStyle name="40% - Accent3 8 7 5 3 2" xfId="31817" xr:uid="{00000000-0005-0000-0000-0000262E0000}"/>
    <cellStyle name="40% - Accent3 8 7 5 4" xfId="25123" xr:uid="{00000000-0005-0000-0000-0000272E0000}"/>
    <cellStyle name="40% - Accent3 8 7 6" xfId="6931" xr:uid="{00000000-0005-0000-0000-0000282E0000}"/>
    <cellStyle name="40% - Accent3 8 7 6 2" xfId="10141" xr:uid="{00000000-0005-0000-0000-0000292E0000}"/>
    <cellStyle name="40% - Accent3 8 7 6 2 2" xfId="17934" xr:uid="{00000000-0005-0000-0000-00002A2E0000}"/>
    <cellStyle name="40% - Accent3 8 7 6 2 2 2" xfId="35571" xr:uid="{00000000-0005-0000-0000-00002B2E0000}"/>
    <cellStyle name="40% - Accent3 8 7 6 2 3" xfId="28524" xr:uid="{00000000-0005-0000-0000-00002C2E0000}"/>
    <cellStyle name="40% - Accent3 8 7 6 3" xfId="14719" xr:uid="{00000000-0005-0000-0000-00002D2E0000}"/>
    <cellStyle name="40% - Accent3 8 7 6 3 2" xfId="32354" xr:uid="{00000000-0005-0000-0000-00002E2E0000}"/>
    <cellStyle name="40% - Accent3 8 7 6 4" xfId="25661" xr:uid="{00000000-0005-0000-0000-00002F2E0000}"/>
    <cellStyle name="40% - Accent3 8 7 7" xfId="7751" xr:uid="{00000000-0005-0000-0000-0000302E0000}"/>
    <cellStyle name="40% - Accent3 8 7 7 2" xfId="15548" xr:uid="{00000000-0005-0000-0000-0000312E0000}"/>
    <cellStyle name="40% - Accent3 8 7 7 2 2" xfId="33183" xr:uid="{00000000-0005-0000-0000-0000322E0000}"/>
    <cellStyle name="40% - Accent3 8 7 7 3" xfId="26184" xr:uid="{00000000-0005-0000-0000-0000332E0000}"/>
    <cellStyle name="40% - Accent3 8 7 8" xfId="11412" xr:uid="{00000000-0005-0000-0000-0000342E0000}"/>
    <cellStyle name="40% - Accent3 8 7 8 2" xfId="29134" xr:uid="{00000000-0005-0000-0000-0000352E0000}"/>
    <cellStyle name="40% - Accent3 8 7 9" xfId="23319" xr:uid="{00000000-0005-0000-0000-0000362E0000}"/>
    <cellStyle name="40% - Accent3 8 8" xfId="3858" xr:uid="{00000000-0005-0000-0000-0000372E0000}"/>
    <cellStyle name="40% - Accent3 8 8 2" xfId="8426" xr:uid="{00000000-0005-0000-0000-0000382E0000}"/>
    <cellStyle name="40% - Accent3 8 8 2 2" xfId="16222" xr:uid="{00000000-0005-0000-0000-0000392E0000}"/>
    <cellStyle name="40% - Accent3 8 8 2 2 2" xfId="33857" xr:uid="{00000000-0005-0000-0000-00003A2E0000}"/>
    <cellStyle name="40% - Accent3 8 8 2 3" xfId="26840" xr:uid="{00000000-0005-0000-0000-00003B2E0000}"/>
    <cellStyle name="40% - Accent3 8 8 3" xfId="12575" xr:uid="{00000000-0005-0000-0000-00003C2E0000}"/>
    <cellStyle name="40% - Accent3 8 8 3 2" xfId="30243" xr:uid="{00000000-0005-0000-0000-00003D2E0000}"/>
    <cellStyle name="40% - Accent3 8 8 4" xfId="23975" xr:uid="{00000000-0005-0000-0000-00003E2E0000}"/>
    <cellStyle name="40% - Accent3 8 9" xfId="3859" xr:uid="{00000000-0005-0000-0000-00003F2E0000}"/>
    <cellStyle name="40% - Accent3 8 9 2" xfId="8427" xr:uid="{00000000-0005-0000-0000-0000402E0000}"/>
    <cellStyle name="40% - Accent3 8 9 2 2" xfId="16223" xr:uid="{00000000-0005-0000-0000-0000412E0000}"/>
    <cellStyle name="40% - Accent3 8 9 2 2 2" xfId="33858" xr:uid="{00000000-0005-0000-0000-0000422E0000}"/>
    <cellStyle name="40% - Accent3 8 9 2 3" xfId="26841" xr:uid="{00000000-0005-0000-0000-0000432E0000}"/>
    <cellStyle name="40% - Accent3 8 9 3" xfId="12576" xr:uid="{00000000-0005-0000-0000-0000442E0000}"/>
    <cellStyle name="40% - Accent3 8 9 3 2" xfId="30244" xr:uid="{00000000-0005-0000-0000-0000452E0000}"/>
    <cellStyle name="40% - Accent3 8 9 4" xfId="23976" xr:uid="{00000000-0005-0000-0000-0000462E0000}"/>
    <cellStyle name="40% - Accent3 9" xfId="715" xr:uid="{00000000-0005-0000-0000-0000472E0000}"/>
    <cellStyle name="40% - Accent3 9 10" xfId="3860" xr:uid="{00000000-0005-0000-0000-0000482E0000}"/>
    <cellStyle name="40% - Accent3 9 10 2" xfId="8428" xr:uid="{00000000-0005-0000-0000-0000492E0000}"/>
    <cellStyle name="40% - Accent3 9 10 2 2" xfId="16224" xr:uid="{00000000-0005-0000-0000-00004A2E0000}"/>
    <cellStyle name="40% - Accent3 9 10 2 2 2" xfId="33859" xr:uid="{00000000-0005-0000-0000-00004B2E0000}"/>
    <cellStyle name="40% - Accent3 9 10 2 3" xfId="26842" xr:uid="{00000000-0005-0000-0000-00004C2E0000}"/>
    <cellStyle name="40% - Accent3 9 10 3" xfId="12577" xr:uid="{00000000-0005-0000-0000-00004D2E0000}"/>
    <cellStyle name="40% - Accent3 9 10 3 2" xfId="30245" xr:uid="{00000000-0005-0000-0000-00004E2E0000}"/>
    <cellStyle name="40% - Accent3 9 10 4" xfId="23977" xr:uid="{00000000-0005-0000-0000-00004F2E0000}"/>
    <cellStyle name="40% - Accent3 9 11" xfId="5764" xr:uid="{00000000-0005-0000-0000-0000502E0000}"/>
    <cellStyle name="40% - Accent3 9 11 2" xfId="9064" xr:uid="{00000000-0005-0000-0000-0000512E0000}"/>
    <cellStyle name="40% - Accent3 9 11 2 2" xfId="16859" xr:uid="{00000000-0005-0000-0000-0000522E0000}"/>
    <cellStyle name="40% - Accent3 9 11 2 2 2" xfId="34495" xr:uid="{00000000-0005-0000-0000-0000532E0000}"/>
    <cellStyle name="40% - Accent3 9 11 2 3" xfId="27452" xr:uid="{00000000-0005-0000-0000-0000542E0000}"/>
    <cellStyle name="40% - Accent3 9 11 3" xfId="13620" xr:uid="{00000000-0005-0000-0000-0000552E0000}"/>
    <cellStyle name="40% - Accent3 9 11 3 2" xfId="31260" xr:uid="{00000000-0005-0000-0000-0000562E0000}"/>
    <cellStyle name="40% - Accent3 9 11 4" xfId="24587" xr:uid="{00000000-0005-0000-0000-0000572E0000}"/>
    <cellStyle name="40% - Accent3 9 12" xfId="6394" xr:uid="{00000000-0005-0000-0000-0000582E0000}"/>
    <cellStyle name="40% - Accent3 9 12 2" xfId="9604" xr:uid="{00000000-0005-0000-0000-0000592E0000}"/>
    <cellStyle name="40% - Accent3 9 12 2 2" xfId="17398" xr:uid="{00000000-0005-0000-0000-00005A2E0000}"/>
    <cellStyle name="40% - Accent3 9 12 2 2 2" xfId="35035" xr:uid="{00000000-0005-0000-0000-00005B2E0000}"/>
    <cellStyle name="40% - Accent3 9 12 2 3" xfId="27988" xr:uid="{00000000-0005-0000-0000-00005C2E0000}"/>
    <cellStyle name="40% - Accent3 9 12 3" xfId="14183" xr:uid="{00000000-0005-0000-0000-00005D2E0000}"/>
    <cellStyle name="40% - Accent3 9 12 3 2" xfId="31818" xr:uid="{00000000-0005-0000-0000-00005E2E0000}"/>
    <cellStyle name="40% - Accent3 9 12 4" xfId="25124" xr:uid="{00000000-0005-0000-0000-00005F2E0000}"/>
    <cellStyle name="40% - Accent3 9 13" xfId="6932" xr:uid="{00000000-0005-0000-0000-0000602E0000}"/>
    <cellStyle name="40% - Accent3 9 13 2" xfId="10142" xr:uid="{00000000-0005-0000-0000-0000612E0000}"/>
    <cellStyle name="40% - Accent3 9 13 2 2" xfId="17935" xr:uid="{00000000-0005-0000-0000-0000622E0000}"/>
    <cellStyle name="40% - Accent3 9 13 2 2 2" xfId="35572" xr:uid="{00000000-0005-0000-0000-0000632E0000}"/>
    <cellStyle name="40% - Accent3 9 13 2 3" xfId="28525" xr:uid="{00000000-0005-0000-0000-0000642E0000}"/>
    <cellStyle name="40% - Accent3 9 13 3" xfId="14720" xr:uid="{00000000-0005-0000-0000-0000652E0000}"/>
    <cellStyle name="40% - Accent3 9 13 3 2" xfId="32355" xr:uid="{00000000-0005-0000-0000-0000662E0000}"/>
    <cellStyle name="40% - Accent3 9 13 4" xfId="25662" xr:uid="{00000000-0005-0000-0000-0000672E0000}"/>
    <cellStyle name="40% - Accent3 9 14" xfId="7752" xr:uid="{00000000-0005-0000-0000-0000682E0000}"/>
    <cellStyle name="40% - Accent3 9 14 2" xfId="15549" xr:uid="{00000000-0005-0000-0000-0000692E0000}"/>
    <cellStyle name="40% - Accent3 9 14 2 2" xfId="33184" xr:uid="{00000000-0005-0000-0000-00006A2E0000}"/>
    <cellStyle name="40% - Accent3 9 14 3" xfId="26185" xr:uid="{00000000-0005-0000-0000-00006B2E0000}"/>
    <cellStyle name="40% - Accent3 9 15" xfId="11413" xr:uid="{00000000-0005-0000-0000-00006C2E0000}"/>
    <cellStyle name="40% - Accent3 9 15 2" xfId="29135" xr:uid="{00000000-0005-0000-0000-00006D2E0000}"/>
    <cellStyle name="40% - Accent3 9 16" xfId="22129" xr:uid="{00000000-0005-0000-0000-00006E2E0000}"/>
    <cellStyle name="40% - Accent3 9 16 2" xfId="38810" xr:uid="{00000000-0005-0000-0000-00006F2E0000}"/>
    <cellStyle name="40% - Accent3 9 17" xfId="23320" xr:uid="{00000000-0005-0000-0000-0000702E0000}"/>
    <cellStyle name="40% - Accent3 9 18" xfId="51876" xr:uid="{00000000-0005-0000-0000-0000712E0000}"/>
    <cellStyle name="40% - Accent3 9 2" xfId="716" xr:uid="{00000000-0005-0000-0000-0000722E0000}"/>
    <cellStyle name="40% - Accent3 9 2 10" xfId="51877" xr:uid="{00000000-0005-0000-0000-0000732E0000}"/>
    <cellStyle name="40% - Accent3 9 2 2" xfId="3861" xr:uid="{00000000-0005-0000-0000-0000742E0000}"/>
    <cellStyle name="40% - Accent3 9 2 2 2" xfId="8429" xr:uid="{00000000-0005-0000-0000-0000752E0000}"/>
    <cellStyle name="40% - Accent3 9 2 2 2 2" xfId="16225" xr:uid="{00000000-0005-0000-0000-0000762E0000}"/>
    <cellStyle name="40% - Accent3 9 2 2 2 2 2" xfId="33860" xr:uid="{00000000-0005-0000-0000-0000772E0000}"/>
    <cellStyle name="40% - Accent3 9 2 2 2 3" xfId="26843" xr:uid="{00000000-0005-0000-0000-0000782E0000}"/>
    <cellStyle name="40% - Accent3 9 2 2 3" xfId="12578" xr:uid="{00000000-0005-0000-0000-0000792E0000}"/>
    <cellStyle name="40% - Accent3 9 2 2 3 2" xfId="30246" xr:uid="{00000000-0005-0000-0000-00007A2E0000}"/>
    <cellStyle name="40% - Accent3 9 2 2 4" xfId="23978" xr:uid="{00000000-0005-0000-0000-00007B2E0000}"/>
    <cellStyle name="40% - Accent3 9 2 3" xfId="5765" xr:uid="{00000000-0005-0000-0000-00007C2E0000}"/>
    <cellStyle name="40% - Accent3 9 2 3 2" xfId="9065" xr:uid="{00000000-0005-0000-0000-00007D2E0000}"/>
    <cellStyle name="40% - Accent3 9 2 3 2 2" xfId="16860" xr:uid="{00000000-0005-0000-0000-00007E2E0000}"/>
    <cellStyle name="40% - Accent3 9 2 3 2 2 2" xfId="34496" xr:uid="{00000000-0005-0000-0000-00007F2E0000}"/>
    <cellStyle name="40% - Accent3 9 2 3 2 3" xfId="27453" xr:uid="{00000000-0005-0000-0000-0000802E0000}"/>
    <cellStyle name="40% - Accent3 9 2 3 3" xfId="13621" xr:uid="{00000000-0005-0000-0000-0000812E0000}"/>
    <cellStyle name="40% - Accent3 9 2 3 3 2" xfId="31261" xr:uid="{00000000-0005-0000-0000-0000822E0000}"/>
    <cellStyle name="40% - Accent3 9 2 3 4" xfId="24588" xr:uid="{00000000-0005-0000-0000-0000832E0000}"/>
    <cellStyle name="40% - Accent3 9 2 4" xfId="6395" xr:uid="{00000000-0005-0000-0000-0000842E0000}"/>
    <cellStyle name="40% - Accent3 9 2 4 2" xfId="9605" xr:uid="{00000000-0005-0000-0000-0000852E0000}"/>
    <cellStyle name="40% - Accent3 9 2 4 2 2" xfId="17399" xr:uid="{00000000-0005-0000-0000-0000862E0000}"/>
    <cellStyle name="40% - Accent3 9 2 4 2 2 2" xfId="35036" xr:uid="{00000000-0005-0000-0000-0000872E0000}"/>
    <cellStyle name="40% - Accent3 9 2 4 2 3" xfId="27989" xr:uid="{00000000-0005-0000-0000-0000882E0000}"/>
    <cellStyle name="40% - Accent3 9 2 4 3" xfId="14184" xr:uid="{00000000-0005-0000-0000-0000892E0000}"/>
    <cellStyle name="40% - Accent3 9 2 4 3 2" xfId="31819" xr:uid="{00000000-0005-0000-0000-00008A2E0000}"/>
    <cellStyle name="40% - Accent3 9 2 4 4" xfId="25125" xr:uid="{00000000-0005-0000-0000-00008B2E0000}"/>
    <cellStyle name="40% - Accent3 9 2 5" xfId="6933" xr:uid="{00000000-0005-0000-0000-00008C2E0000}"/>
    <cellStyle name="40% - Accent3 9 2 5 2" xfId="10143" xr:uid="{00000000-0005-0000-0000-00008D2E0000}"/>
    <cellStyle name="40% - Accent3 9 2 5 2 2" xfId="17936" xr:uid="{00000000-0005-0000-0000-00008E2E0000}"/>
    <cellStyle name="40% - Accent3 9 2 5 2 2 2" xfId="35573" xr:uid="{00000000-0005-0000-0000-00008F2E0000}"/>
    <cellStyle name="40% - Accent3 9 2 5 2 3" xfId="28526" xr:uid="{00000000-0005-0000-0000-0000902E0000}"/>
    <cellStyle name="40% - Accent3 9 2 5 3" xfId="14721" xr:uid="{00000000-0005-0000-0000-0000912E0000}"/>
    <cellStyle name="40% - Accent3 9 2 5 3 2" xfId="32356" xr:uid="{00000000-0005-0000-0000-0000922E0000}"/>
    <cellStyle name="40% - Accent3 9 2 5 4" xfId="25663" xr:uid="{00000000-0005-0000-0000-0000932E0000}"/>
    <cellStyle name="40% - Accent3 9 2 6" xfId="7753" xr:uid="{00000000-0005-0000-0000-0000942E0000}"/>
    <cellStyle name="40% - Accent3 9 2 6 2" xfId="15550" xr:uid="{00000000-0005-0000-0000-0000952E0000}"/>
    <cellStyle name="40% - Accent3 9 2 6 2 2" xfId="33185" xr:uid="{00000000-0005-0000-0000-0000962E0000}"/>
    <cellStyle name="40% - Accent3 9 2 6 3" xfId="26186" xr:uid="{00000000-0005-0000-0000-0000972E0000}"/>
    <cellStyle name="40% - Accent3 9 2 7" xfId="11414" xr:uid="{00000000-0005-0000-0000-0000982E0000}"/>
    <cellStyle name="40% - Accent3 9 2 7 2" xfId="29136" xr:uid="{00000000-0005-0000-0000-0000992E0000}"/>
    <cellStyle name="40% - Accent3 9 2 8" xfId="22739" xr:uid="{00000000-0005-0000-0000-00009A2E0000}"/>
    <cellStyle name="40% - Accent3 9 2 8 2" xfId="38949" xr:uid="{00000000-0005-0000-0000-00009B2E0000}"/>
    <cellStyle name="40% - Accent3 9 2 9" xfId="23321" xr:uid="{00000000-0005-0000-0000-00009C2E0000}"/>
    <cellStyle name="40% - Accent3 9 3" xfId="717" xr:uid="{00000000-0005-0000-0000-00009D2E0000}"/>
    <cellStyle name="40% - Accent3 9 3 10" xfId="23322" xr:uid="{00000000-0005-0000-0000-00009E2E0000}"/>
    <cellStyle name="40% - Accent3 9 3 11" xfId="51878" xr:uid="{00000000-0005-0000-0000-00009F2E0000}"/>
    <cellStyle name="40% - Accent3 9 3 2" xfId="718" xr:uid="{00000000-0005-0000-0000-0000A02E0000}"/>
    <cellStyle name="40% - Accent3 9 3 2 2" xfId="3863" xr:uid="{00000000-0005-0000-0000-0000A12E0000}"/>
    <cellStyle name="40% - Accent3 9 3 2 2 2" xfId="8431" xr:uid="{00000000-0005-0000-0000-0000A22E0000}"/>
    <cellStyle name="40% - Accent3 9 3 2 2 2 2" xfId="16227" xr:uid="{00000000-0005-0000-0000-0000A32E0000}"/>
    <cellStyle name="40% - Accent3 9 3 2 2 2 2 2" xfId="33862" xr:uid="{00000000-0005-0000-0000-0000A42E0000}"/>
    <cellStyle name="40% - Accent3 9 3 2 2 2 3" xfId="26845" xr:uid="{00000000-0005-0000-0000-0000A52E0000}"/>
    <cellStyle name="40% - Accent3 9 3 2 2 3" xfId="12580" xr:uid="{00000000-0005-0000-0000-0000A62E0000}"/>
    <cellStyle name="40% - Accent3 9 3 2 2 3 2" xfId="30248" xr:uid="{00000000-0005-0000-0000-0000A72E0000}"/>
    <cellStyle name="40% - Accent3 9 3 2 2 4" xfId="23980" xr:uid="{00000000-0005-0000-0000-0000A82E0000}"/>
    <cellStyle name="40% - Accent3 9 3 2 3" xfId="5767" xr:uid="{00000000-0005-0000-0000-0000A92E0000}"/>
    <cellStyle name="40% - Accent3 9 3 2 3 2" xfId="9067" xr:uid="{00000000-0005-0000-0000-0000AA2E0000}"/>
    <cellStyle name="40% - Accent3 9 3 2 3 2 2" xfId="16862" xr:uid="{00000000-0005-0000-0000-0000AB2E0000}"/>
    <cellStyle name="40% - Accent3 9 3 2 3 2 2 2" xfId="34498" xr:uid="{00000000-0005-0000-0000-0000AC2E0000}"/>
    <cellStyle name="40% - Accent3 9 3 2 3 2 3" xfId="27455" xr:uid="{00000000-0005-0000-0000-0000AD2E0000}"/>
    <cellStyle name="40% - Accent3 9 3 2 3 3" xfId="13623" xr:uid="{00000000-0005-0000-0000-0000AE2E0000}"/>
    <cellStyle name="40% - Accent3 9 3 2 3 3 2" xfId="31263" xr:uid="{00000000-0005-0000-0000-0000AF2E0000}"/>
    <cellStyle name="40% - Accent3 9 3 2 3 4" xfId="24590" xr:uid="{00000000-0005-0000-0000-0000B02E0000}"/>
    <cellStyle name="40% - Accent3 9 3 2 4" xfId="6397" xr:uid="{00000000-0005-0000-0000-0000B12E0000}"/>
    <cellStyle name="40% - Accent3 9 3 2 4 2" xfId="9607" xr:uid="{00000000-0005-0000-0000-0000B22E0000}"/>
    <cellStyle name="40% - Accent3 9 3 2 4 2 2" xfId="17401" xr:uid="{00000000-0005-0000-0000-0000B32E0000}"/>
    <cellStyle name="40% - Accent3 9 3 2 4 2 2 2" xfId="35038" xr:uid="{00000000-0005-0000-0000-0000B42E0000}"/>
    <cellStyle name="40% - Accent3 9 3 2 4 2 3" xfId="27991" xr:uid="{00000000-0005-0000-0000-0000B52E0000}"/>
    <cellStyle name="40% - Accent3 9 3 2 4 3" xfId="14186" xr:uid="{00000000-0005-0000-0000-0000B62E0000}"/>
    <cellStyle name="40% - Accent3 9 3 2 4 3 2" xfId="31821" xr:uid="{00000000-0005-0000-0000-0000B72E0000}"/>
    <cellStyle name="40% - Accent3 9 3 2 4 4" xfId="25127" xr:uid="{00000000-0005-0000-0000-0000B82E0000}"/>
    <cellStyle name="40% - Accent3 9 3 2 5" xfId="6935" xr:uid="{00000000-0005-0000-0000-0000B92E0000}"/>
    <cellStyle name="40% - Accent3 9 3 2 5 2" xfId="10145" xr:uid="{00000000-0005-0000-0000-0000BA2E0000}"/>
    <cellStyle name="40% - Accent3 9 3 2 5 2 2" xfId="17938" xr:uid="{00000000-0005-0000-0000-0000BB2E0000}"/>
    <cellStyle name="40% - Accent3 9 3 2 5 2 2 2" xfId="35575" xr:uid="{00000000-0005-0000-0000-0000BC2E0000}"/>
    <cellStyle name="40% - Accent3 9 3 2 5 2 3" xfId="28528" xr:uid="{00000000-0005-0000-0000-0000BD2E0000}"/>
    <cellStyle name="40% - Accent3 9 3 2 5 3" xfId="14723" xr:uid="{00000000-0005-0000-0000-0000BE2E0000}"/>
    <cellStyle name="40% - Accent3 9 3 2 5 3 2" xfId="32358" xr:uid="{00000000-0005-0000-0000-0000BF2E0000}"/>
    <cellStyle name="40% - Accent3 9 3 2 5 4" xfId="25665" xr:uid="{00000000-0005-0000-0000-0000C02E0000}"/>
    <cellStyle name="40% - Accent3 9 3 2 6" xfId="7755" xr:uid="{00000000-0005-0000-0000-0000C12E0000}"/>
    <cellStyle name="40% - Accent3 9 3 2 6 2" xfId="15552" xr:uid="{00000000-0005-0000-0000-0000C22E0000}"/>
    <cellStyle name="40% - Accent3 9 3 2 6 2 2" xfId="33187" xr:uid="{00000000-0005-0000-0000-0000C32E0000}"/>
    <cellStyle name="40% - Accent3 9 3 2 6 3" xfId="26188" xr:uid="{00000000-0005-0000-0000-0000C42E0000}"/>
    <cellStyle name="40% - Accent3 9 3 2 7" xfId="11416" xr:uid="{00000000-0005-0000-0000-0000C52E0000}"/>
    <cellStyle name="40% - Accent3 9 3 2 7 2" xfId="29138" xr:uid="{00000000-0005-0000-0000-0000C62E0000}"/>
    <cellStyle name="40% - Accent3 9 3 2 8" xfId="23323" xr:uid="{00000000-0005-0000-0000-0000C72E0000}"/>
    <cellStyle name="40% - Accent3 9 3 2 9" xfId="51879" xr:uid="{00000000-0005-0000-0000-0000C82E0000}"/>
    <cellStyle name="40% - Accent3 9 3 3" xfId="3864" xr:uid="{00000000-0005-0000-0000-0000C92E0000}"/>
    <cellStyle name="40% - Accent3 9 3 3 2" xfId="5768" xr:uid="{00000000-0005-0000-0000-0000CA2E0000}"/>
    <cellStyle name="40% - Accent3 9 3 3 2 2" xfId="9068" xr:uid="{00000000-0005-0000-0000-0000CB2E0000}"/>
    <cellStyle name="40% - Accent3 9 3 3 2 2 2" xfId="16863" xr:uid="{00000000-0005-0000-0000-0000CC2E0000}"/>
    <cellStyle name="40% - Accent3 9 3 3 2 2 2 2" xfId="34499" xr:uid="{00000000-0005-0000-0000-0000CD2E0000}"/>
    <cellStyle name="40% - Accent3 9 3 3 2 2 3" xfId="27456" xr:uid="{00000000-0005-0000-0000-0000CE2E0000}"/>
    <cellStyle name="40% - Accent3 9 3 3 2 3" xfId="13624" xr:uid="{00000000-0005-0000-0000-0000CF2E0000}"/>
    <cellStyle name="40% - Accent3 9 3 3 2 3 2" xfId="31264" xr:uid="{00000000-0005-0000-0000-0000D02E0000}"/>
    <cellStyle name="40% - Accent3 9 3 3 2 4" xfId="24591" xr:uid="{00000000-0005-0000-0000-0000D12E0000}"/>
    <cellStyle name="40% - Accent3 9 3 3 3" xfId="6398" xr:uid="{00000000-0005-0000-0000-0000D22E0000}"/>
    <cellStyle name="40% - Accent3 9 3 3 3 2" xfId="9608" xr:uid="{00000000-0005-0000-0000-0000D32E0000}"/>
    <cellStyle name="40% - Accent3 9 3 3 3 2 2" xfId="17402" xr:uid="{00000000-0005-0000-0000-0000D42E0000}"/>
    <cellStyle name="40% - Accent3 9 3 3 3 2 2 2" xfId="35039" xr:uid="{00000000-0005-0000-0000-0000D52E0000}"/>
    <cellStyle name="40% - Accent3 9 3 3 3 2 3" xfId="27992" xr:uid="{00000000-0005-0000-0000-0000D62E0000}"/>
    <cellStyle name="40% - Accent3 9 3 3 3 3" xfId="14187" xr:uid="{00000000-0005-0000-0000-0000D72E0000}"/>
    <cellStyle name="40% - Accent3 9 3 3 3 3 2" xfId="31822" xr:uid="{00000000-0005-0000-0000-0000D82E0000}"/>
    <cellStyle name="40% - Accent3 9 3 3 3 4" xfId="25128" xr:uid="{00000000-0005-0000-0000-0000D92E0000}"/>
    <cellStyle name="40% - Accent3 9 3 3 4" xfId="6936" xr:uid="{00000000-0005-0000-0000-0000DA2E0000}"/>
    <cellStyle name="40% - Accent3 9 3 3 4 2" xfId="10146" xr:uid="{00000000-0005-0000-0000-0000DB2E0000}"/>
    <cellStyle name="40% - Accent3 9 3 3 4 2 2" xfId="17939" xr:uid="{00000000-0005-0000-0000-0000DC2E0000}"/>
    <cellStyle name="40% - Accent3 9 3 3 4 2 2 2" xfId="35576" xr:uid="{00000000-0005-0000-0000-0000DD2E0000}"/>
    <cellStyle name="40% - Accent3 9 3 3 4 2 3" xfId="28529" xr:uid="{00000000-0005-0000-0000-0000DE2E0000}"/>
    <cellStyle name="40% - Accent3 9 3 3 4 3" xfId="14724" xr:uid="{00000000-0005-0000-0000-0000DF2E0000}"/>
    <cellStyle name="40% - Accent3 9 3 3 4 3 2" xfId="32359" xr:uid="{00000000-0005-0000-0000-0000E02E0000}"/>
    <cellStyle name="40% - Accent3 9 3 3 4 4" xfId="25666" xr:uid="{00000000-0005-0000-0000-0000E12E0000}"/>
    <cellStyle name="40% - Accent3 9 3 3 5" xfId="8432" xr:uid="{00000000-0005-0000-0000-0000E22E0000}"/>
    <cellStyle name="40% - Accent3 9 3 3 5 2" xfId="16228" xr:uid="{00000000-0005-0000-0000-0000E32E0000}"/>
    <cellStyle name="40% - Accent3 9 3 3 5 2 2" xfId="33863" xr:uid="{00000000-0005-0000-0000-0000E42E0000}"/>
    <cellStyle name="40% - Accent3 9 3 3 5 3" xfId="26846" xr:uid="{00000000-0005-0000-0000-0000E52E0000}"/>
    <cellStyle name="40% - Accent3 9 3 3 6" xfId="12581" xr:uid="{00000000-0005-0000-0000-0000E62E0000}"/>
    <cellStyle name="40% - Accent3 9 3 3 6 2" xfId="30249" xr:uid="{00000000-0005-0000-0000-0000E72E0000}"/>
    <cellStyle name="40% - Accent3 9 3 3 7" xfId="23981" xr:uid="{00000000-0005-0000-0000-0000E82E0000}"/>
    <cellStyle name="40% - Accent3 9 3 4" xfId="3862" xr:uid="{00000000-0005-0000-0000-0000E92E0000}"/>
    <cellStyle name="40% - Accent3 9 3 4 2" xfId="8430" xr:uid="{00000000-0005-0000-0000-0000EA2E0000}"/>
    <cellStyle name="40% - Accent3 9 3 4 2 2" xfId="16226" xr:uid="{00000000-0005-0000-0000-0000EB2E0000}"/>
    <cellStyle name="40% - Accent3 9 3 4 2 2 2" xfId="33861" xr:uid="{00000000-0005-0000-0000-0000EC2E0000}"/>
    <cellStyle name="40% - Accent3 9 3 4 2 3" xfId="26844" xr:uid="{00000000-0005-0000-0000-0000ED2E0000}"/>
    <cellStyle name="40% - Accent3 9 3 4 3" xfId="12579" xr:uid="{00000000-0005-0000-0000-0000EE2E0000}"/>
    <cellStyle name="40% - Accent3 9 3 4 3 2" xfId="30247" xr:uid="{00000000-0005-0000-0000-0000EF2E0000}"/>
    <cellStyle name="40% - Accent3 9 3 4 4" xfId="23979" xr:uid="{00000000-0005-0000-0000-0000F02E0000}"/>
    <cellStyle name="40% - Accent3 9 3 5" xfId="5766" xr:uid="{00000000-0005-0000-0000-0000F12E0000}"/>
    <cellStyle name="40% - Accent3 9 3 5 2" xfId="9066" xr:uid="{00000000-0005-0000-0000-0000F22E0000}"/>
    <cellStyle name="40% - Accent3 9 3 5 2 2" xfId="16861" xr:uid="{00000000-0005-0000-0000-0000F32E0000}"/>
    <cellStyle name="40% - Accent3 9 3 5 2 2 2" xfId="34497" xr:uid="{00000000-0005-0000-0000-0000F42E0000}"/>
    <cellStyle name="40% - Accent3 9 3 5 2 3" xfId="27454" xr:uid="{00000000-0005-0000-0000-0000F52E0000}"/>
    <cellStyle name="40% - Accent3 9 3 5 3" xfId="13622" xr:uid="{00000000-0005-0000-0000-0000F62E0000}"/>
    <cellStyle name="40% - Accent3 9 3 5 3 2" xfId="31262" xr:uid="{00000000-0005-0000-0000-0000F72E0000}"/>
    <cellStyle name="40% - Accent3 9 3 5 4" xfId="24589" xr:uid="{00000000-0005-0000-0000-0000F82E0000}"/>
    <cellStyle name="40% - Accent3 9 3 6" xfId="6396" xr:uid="{00000000-0005-0000-0000-0000F92E0000}"/>
    <cellStyle name="40% - Accent3 9 3 6 2" xfId="9606" xr:uid="{00000000-0005-0000-0000-0000FA2E0000}"/>
    <cellStyle name="40% - Accent3 9 3 6 2 2" xfId="17400" xr:uid="{00000000-0005-0000-0000-0000FB2E0000}"/>
    <cellStyle name="40% - Accent3 9 3 6 2 2 2" xfId="35037" xr:uid="{00000000-0005-0000-0000-0000FC2E0000}"/>
    <cellStyle name="40% - Accent3 9 3 6 2 3" xfId="27990" xr:uid="{00000000-0005-0000-0000-0000FD2E0000}"/>
    <cellStyle name="40% - Accent3 9 3 6 3" xfId="14185" xr:uid="{00000000-0005-0000-0000-0000FE2E0000}"/>
    <cellStyle name="40% - Accent3 9 3 6 3 2" xfId="31820" xr:uid="{00000000-0005-0000-0000-0000FF2E0000}"/>
    <cellStyle name="40% - Accent3 9 3 6 4" xfId="25126" xr:uid="{00000000-0005-0000-0000-0000002F0000}"/>
    <cellStyle name="40% - Accent3 9 3 7" xfId="6934" xr:uid="{00000000-0005-0000-0000-0000012F0000}"/>
    <cellStyle name="40% - Accent3 9 3 7 2" xfId="10144" xr:uid="{00000000-0005-0000-0000-0000022F0000}"/>
    <cellStyle name="40% - Accent3 9 3 7 2 2" xfId="17937" xr:uid="{00000000-0005-0000-0000-0000032F0000}"/>
    <cellStyle name="40% - Accent3 9 3 7 2 2 2" xfId="35574" xr:uid="{00000000-0005-0000-0000-0000042F0000}"/>
    <cellStyle name="40% - Accent3 9 3 7 2 3" xfId="28527" xr:uid="{00000000-0005-0000-0000-0000052F0000}"/>
    <cellStyle name="40% - Accent3 9 3 7 3" xfId="14722" xr:uid="{00000000-0005-0000-0000-0000062F0000}"/>
    <cellStyle name="40% - Accent3 9 3 7 3 2" xfId="32357" xr:uid="{00000000-0005-0000-0000-0000072F0000}"/>
    <cellStyle name="40% - Accent3 9 3 7 4" xfId="25664" xr:uid="{00000000-0005-0000-0000-0000082F0000}"/>
    <cellStyle name="40% - Accent3 9 3 8" xfId="7754" xr:uid="{00000000-0005-0000-0000-0000092F0000}"/>
    <cellStyle name="40% - Accent3 9 3 8 2" xfId="15551" xr:uid="{00000000-0005-0000-0000-00000A2F0000}"/>
    <cellStyle name="40% - Accent3 9 3 8 2 2" xfId="33186" xr:uid="{00000000-0005-0000-0000-00000B2F0000}"/>
    <cellStyle name="40% - Accent3 9 3 8 3" xfId="26187" xr:uid="{00000000-0005-0000-0000-00000C2F0000}"/>
    <cellStyle name="40% - Accent3 9 3 9" xfId="11415" xr:uid="{00000000-0005-0000-0000-00000D2F0000}"/>
    <cellStyle name="40% - Accent3 9 3 9 2" xfId="29137" xr:uid="{00000000-0005-0000-0000-00000E2F0000}"/>
    <cellStyle name="40% - Accent3 9 4" xfId="719" xr:uid="{00000000-0005-0000-0000-00000F2F0000}"/>
    <cellStyle name="40% - Accent3 9 4 2" xfId="3865" xr:uid="{00000000-0005-0000-0000-0000102F0000}"/>
    <cellStyle name="40% - Accent3 9 4 2 2" xfId="8433" xr:uid="{00000000-0005-0000-0000-0000112F0000}"/>
    <cellStyle name="40% - Accent3 9 4 2 2 2" xfId="16229" xr:uid="{00000000-0005-0000-0000-0000122F0000}"/>
    <cellStyle name="40% - Accent3 9 4 2 2 2 2" xfId="33864" xr:uid="{00000000-0005-0000-0000-0000132F0000}"/>
    <cellStyle name="40% - Accent3 9 4 2 2 3" xfId="26847" xr:uid="{00000000-0005-0000-0000-0000142F0000}"/>
    <cellStyle name="40% - Accent3 9 4 2 3" xfId="12582" xr:uid="{00000000-0005-0000-0000-0000152F0000}"/>
    <cellStyle name="40% - Accent3 9 4 2 3 2" xfId="30250" xr:uid="{00000000-0005-0000-0000-0000162F0000}"/>
    <cellStyle name="40% - Accent3 9 4 2 4" xfId="23982" xr:uid="{00000000-0005-0000-0000-0000172F0000}"/>
    <cellStyle name="40% - Accent3 9 4 3" xfId="5769" xr:uid="{00000000-0005-0000-0000-0000182F0000}"/>
    <cellStyle name="40% - Accent3 9 4 3 2" xfId="9069" xr:uid="{00000000-0005-0000-0000-0000192F0000}"/>
    <cellStyle name="40% - Accent3 9 4 3 2 2" xfId="16864" xr:uid="{00000000-0005-0000-0000-00001A2F0000}"/>
    <cellStyle name="40% - Accent3 9 4 3 2 2 2" xfId="34500" xr:uid="{00000000-0005-0000-0000-00001B2F0000}"/>
    <cellStyle name="40% - Accent3 9 4 3 2 3" xfId="27457" xr:uid="{00000000-0005-0000-0000-00001C2F0000}"/>
    <cellStyle name="40% - Accent3 9 4 3 3" xfId="13625" xr:uid="{00000000-0005-0000-0000-00001D2F0000}"/>
    <cellStyle name="40% - Accent3 9 4 3 3 2" xfId="31265" xr:uid="{00000000-0005-0000-0000-00001E2F0000}"/>
    <cellStyle name="40% - Accent3 9 4 3 4" xfId="24592" xr:uid="{00000000-0005-0000-0000-00001F2F0000}"/>
    <cellStyle name="40% - Accent3 9 4 4" xfId="6399" xr:uid="{00000000-0005-0000-0000-0000202F0000}"/>
    <cellStyle name="40% - Accent3 9 4 4 2" xfId="9609" xr:uid="{00000000-0005-0000-0000-0000212F0000}"/>
    <cellStyle name="40% - Accent3 9 4 4 2 2" xfId="17403" xr:uid="{00000000-0005-0000-0000-0000222F0000}"/>
    <cellStyle name="40% - Accent3 9 4 4 2 2 2" xfId="35040" xr:uid="{00000000-0005-0000-0000-0000232F0000}"/>
    <cellStyle name="40% - Accent3 9 4 4 2 3" xfId="27993" xr:uid="{00000000-0005-0000-0000-0000242F0000}"/>
    <cellStyle name="40% - Accent3 9 4 4 3" xfId="14188" xr:uid="{00000000-0005-0000-0000-0000252F0000}"/>
    <cellStyle name="40% - Accent3 9 4 4 3 2" xfId="31823" xr:uid="{00000000-0005-0000-0000-0000262F0000}"/>
    <cellStyle name="40% - Accent3 9 4 4 4" xfId="25129" xr:uid="{00000000-0005-0000-0000-0000272F0000}"/>
    <cellStyle name="40% - Accent3 9 4 5" xfId="6937" xr:uid="{00000000-0005-0000-0000-0000282F0000}"/>
    <cellStyle name="40% - Accent3 9 4 5 2" xfId="10147" xr:uid="{00000000-0005-0000-0000-0000292F0000}"/>
    <cellStyle name="40% - Accent3 9 4 5 2 2" xfId="17940" xr:uid="{00000000-0005-0000-0000-00002A2F0000}"/>
    <cellStyle name="40% - Accent3 9 4 5 2 2 2" xfId="35577" xr:uid="{00000000-0005-0000-0000-00002B2F0000}"/>
    <cellStyle name="40% - Accent3 9 4 5 2 3" xfId="28530" xr:uid="{00000000-0005-0000-0000-00002C2F0000}"/>
    <cellStyle name="40% - Accent3 9 4 5 3" xfId="14725" xr:uid="{00000000-0005-0000-0000-00002D2F0000}"/>
    <cellStyle name="40% - Accent3 9 4 5 3 2" xfId="32360" xr:uid="{00000000-0005-0000-0000-00002E2F0000}"/>
    <cellStyle name="40% - Accent3 9 4 5 4" xfId="25667" xr:uid="{00000000-0005-0000-0000-00002F2F0000}"/>
    <cellStyle name="40% - Accent3 9 4 6" xfId="7756" xr:uid="{00000000-0005-0000-0000-0000302F0000}"/>
    <cellStyle name="40% - Accent3 9 4 6 2" xfId="15553" xr:uid="{00000000-0005-0000-0000-0000312F0000}"/>
    <cellStyle name="40% - Accent3 9 4 6 2 2" xfId="33188" xr:uid="{00000000-0005-0000-0000-0000322F0000}"/>
    <cellStyle name="40% - Accent3 9 4 6 3" xfId="26189" xr:uid="{00000000-0005-0000-0000-0000332F0000}"/>
    <cellStyle name="40% - Accent3 9 4 7" xfId="11417" xr:uid="{00000000-0005-0000-0000-0000342F0000}"/>
    <cellStyle name="40% - Accent3 9 4 7 2" xfId="29139" xr:uid="{00000000-0005-0000-0000-0000352F0000}"/>
    <cellStyle name="40% - Accent3 9 4 8" xfId="23324" xr:uid="{00000000-0005-0000-0000-0000362F0000}"/>
    <cellStyle name="40% - Accent3 9 4 9" xfId="51880" xr:uid="{00000000-0005-0000-0000-0000372F0000}"/>
    <cellStyle name="40% - Accent3 9 5" xfId="720" xr:uid="{00000000-0005-0000-0000-0000382F0000}"/>
    <cellStyle name="40% - Accent3 9 5 2" xfId="3866" xr:uid="{00000000-0005-0000-0000-0000392F0000}"/>
    <cellStyle name="40% - Accent3 9 5 2 2" xfId="8434" xr:uid="{00000000-0005-0000-0000-00003A2F0000}"/>
    <cellStyle name="40% - Accent3 9 5 2 2 2" xfId="16230" xr:uid="{00000000-0005-0000-0000-00003B2F0000}"/>
    <cellStyle name="40% - Accent3 9 5 2 2 2 2" xfId="33865" xr:uid="{00000000-0005-0000-0000-00003C2F0000}"/>
    <cellStyle name="40% - Accent3 9 5 2 2 3" xfId="26848" xr:uid="{00000000-0005-0000-0000-00003D2F0000}"/>
    <cellStyle name="40% - Accent3 9 5 2 3" xfId="12583" xr:uid="{00000000-0005-0000-0000-00003E2F0000}"/>
    <cellStyle name="40% - Accent3 9 5 2 3 2" xfId="30251" xr:uid="{00000000-0005-0000-0000-00003F2F0000}"/>
    <cellStyle name="40% - Accent3 9 5 2 4" xfId="23983" xr:uid="{00000000-0005-0000-0000-0000402F0000}"/>
    <cellStyle name="40% - Accent3 9 5 3" xfId="5770" xr:uid="{00000000-0005-0000-0000-0000412F0000}"/>
    <cellStyle name="40% - Accent3 9 5 3 2" xfId="9070" xr:uid="{00000000-0005-0000-0000-0000422F0000}"/>
    <cellStyle name="40% - Accent3 9 5 3 2 2" xfId="16865" xr:uid="{00000000-0005-0000-0000-0000432F0000}"/>
    <cellStyle name="40% - Accent3 9 5 3 2 2 2" xfId="34501" xr:uid="{00000000-0005-0000-0000-0000442F0000}"/>
    <cellStyle name="40% - Accent3 9 5 3 2 3" xfId="27458" xr:uid="{00000000-0005-0000-0000-0000452F0000}"/>
    <cellStyle name="40% - Accent3 9 5 3 3" xfId="13626" xr:uid="{00000000-0005-0000-0000-0000462F0000}"/>
    <cellStyle name="40% - Accent3 9 5 3 3 2" xfId="31266" xr:uid="{00000000-0005-0000-0000-0000472F0000}"/>
    <cellStyle name="40% - Accent3 9 5 3 4" xfId="24593" xr:uid="{00000000-0005-0000-0000-0000482F0000}"/>
    <cellStyle name="40% - Accent3 9 5 4" xfId="6400" xr:uid="{00000000-0005-0000-0000-0000492F0000}"/>
    <cellStyle name="40% - Accent3 9 5 4 2" xfId="9610" xr:uid="{00000000-0005-0000-0000-00004A2F0000}"/>
    <cellStyle name="40% - Accent3 9 5 4 2 2" xfId="17404" xr:uid="{00000000-0005-0000-0000-00004B2F0000}"/>
    <cellStyle name="40% - Accent3 9 5 4 2 2 2" xfId="35041" xr:uid="{00000000-0005-0000-0000-00004C2F0000}"/>
    <cellStyle name="40% - Accent3 9 5 4 2 3" xfId="27994" xr:uid="{00000000-0005-0000-0000-00004D2F0000}"/>
    <cellStyle name="40% - Accent3 9 5 4 3" xfId="14189" xr:uid="{00000000-0005-0000-0000-00004E2F0000}"/>
    <cellStyle name="40% - Accent3 9 5 4 3 2" xfId="31824" xr:uid="{00000000-0005-0000-0000-00004F2F0000}"/>
    <cellStyle name="40% - Accent3 9 5 4 4" xfId="25130" xr:uid="{00000000-0005-0000-0000-0000502F0000}"/>
    <cellStyle name="40% - Accent3 9 5 5" xfId="6938" xr:uid="{00000000-0005-0000-0000-0000512F0000}"/>
    <cellStyle name="40% - Accent3 9 5 5 2" xfId="10148" xr:uid="{00000000-0005-0000-0000-0000522F0000}"/>
    <cellStyle name="40% - Accent3 9 5 5 2 2" xfId="17941" xr:uid="{00000000-0005-0000-0000-0000532F0000}"/>
    <cellStyle name="40% - Accent3 9 5 5 2 2 2" xfId="35578" xr:uid="{00000000-0005-0000-0000-0000542F0000}"/>
    <cellStyle name="40% - Accent3 9 5 5 2 3" xfId="28531" xr:uid="{00000000-0005-0000-0000-0000552F0000}"/>
    <cellStyle name="40% - Accent3 9 5 5 3" xfId="14726" xr:uid="{00000000-0005-0000-0000-0000562F0000}"/>
    <cellStyle name="40% - Accent3 9 5 5 3 2" xfId="32361" xr:uid="{00000000-0005-0000-0000-0000572F0000}"/>
    <cellStyle name="40% - Accent3 9 5 5 4" xfId="25668" xr:uid="{00000000-0005-0000-0000-0000582F0000}"/>
    <cellStyle name="40% - Accent3 9 5 6" xfId="7757" xr:uid="{00000000-0005-0000-0000-0000592F0000}"/>
    <cellStyle name="40% - Accent3 9 5 6 2" xfId="15554" xr:uid="{00000000-0005-0000-0000-00005A2F0000}"/>
    <cellStyle name="40% - Accent3 9 5 6 2 2" xfId="33189" xr:uid="{00000000-0005-0000-0000-00005B2F0000}"/>
    <cellStyle name="40% - Accent3 9 5 6 3" xfId="26190" xr:uid="{00000000-0005-0000-0000-00005C2F0000}"/>
    <cellStyle name="40% - Accent3 9 5 7" xfId="11418" xr:uid="{00000000-0005-0000-0000-00005D2F0000}"/>
    <cellStyle name="40% - Accent3 9 5 7 2" xfId="29140" xr:uid="{00000000-0005-0000-0000-00005E2F0000}"/>
    <cellStyle name="40% - Accent3 9 5 8" xfId="23325" xr:uid="{00000000-0005-0000-0000-00005F2F0000}"/>
    <cellStyle name="40% - Accent3 9 5 9" xfId="51881" xr:uid="{00000000-0005-0000-0000-0000602F0000}"/>
    <cellStyle name="40% - Accent3 9 6" xfId="721" xr:uid="{00000000-0005-0000-0000-0000612F0000}"/>
    <cellStyle name="40% - Accent3 9 6 2" xfId="3867" xr:uid="{00000000-0005-0000-0000-0000622F0000}"/>
    <cellStyle name="40% - Accent3 9 6 2 2" xfId="8435" xr:uid="{00000000-0005-0000-0000-0000632F0000}"/>
    <cellStyle name="40% - Accent3 9 6 2 2 2" xfId="16231" xr:uid="{00000000-0005-0000-0000-0000642F0000}"/>
    <cellStyle name="40% - Accent3 9 6 2 2 2 2" xfId="33866" xr:uid="{00000000-0005-0000-0000-0000652F0000}"/>
    <cellStyle name="40% - Accent3 9 6 2 2 3" xfId="26849" xr:uid="{00000000-0005-0000-0000-0000662F0000}"/>
    <cellStyle name="40% - Accent3 9 6 2 3" xfId="12584" xr:uid="{00000000-0005-0000-0000-0000672F0000}"/>
    <cellStyle name="40% - Accent3 9 6 2 3 2" xfId="30252" xr:uid="{00000000-0005-0000-0000-0000682F0000}"/>
    <cellStyle name="40% - Accent3 9 6 2 4" xfId="23984" xr:uid="{00000000-0005-0000-0000-0000692F0000}"/>
    <cellStyle name="40% - Accent3 9 6 3" xfId="5771" xr:uid="{00000000-0005-0000-0000-00006A2F0000}"/>
    <cellStyle name="40% - Accent3 9 6 3 2" xfId="9071" xr:uid="{00000000-0005-0000-0000-00006B2F0000}"/>
    <cellStyle name="40% - Accent3 9 6 3 2 2" xfId="16866" xr:uid="{00000000-0005-0000-0000-00006C2F0000}"/>
    <cellStyle name="40% - Accent3 9 6 3 2 2 2" xfId="34502" xr:uid="{00000000-0005-0000-0000-00006D2F0000}"/>
    <cellStyle name="40% - Accent3 9 6 3 2 3" xfId="27459" xr:uid="{00000000-0005-0000-0000-00006E2F0000}"/>
    <cellStyle name="40% - Accent3 9 6 3 3" xfId="13627" xr:uid="{00000000-0005-0000-0000-00006F2F0000}"/>
    <cellStyle name="40% - Accent3 9 6 3 3 2" xfId="31267" xr:uid="{00000000-0005-0000-0000-0000702F0000}"/>
    <cellStyle name="40% - Accent3 9 6 3 4" xfId="24594" xr:uid="{00000000-0005-0000-0000-0000712F0000}"/>
    <cellStyle name="40% - Accent3 9 6 4" xfId="6401" xr:uid="{00000000-0005-0000-0000-0000722F0000}"/>
    <cellStyle name="40% - Accent3 9 6 4 2" xfId="9611" xr:uid="{00000000-0005-0000-0000-0000732F0000}"/>
    <cellStyle name="40% - Accent3 9 6 4 2 2" xfId="17405" xr:uid="{00000000-0005-0000-0000-0000742F0000}"/>
    <cellStyle name="40% - Accent3 9 6 4 2 2 2" xfId="35042" xr:uid="{00000000-0005-0000-0000-0000752F0000}"/>
    <cellStyle name="40% - Accent3 9 6 4 2 3" xfId="27995" xr:uid="{00000000-0005-0000-0000-0000762F0000}"/>
    <cellStyle name="40% - Accent3 9 6 4 3" xfId="14190" xr:uid="{00000000-0005-0000-0000-0000772F0000}"/>
    <cellStyle name="40% - Accent3 9 6 4 3 2" xfId="31825" xr:uid="{00000000-0005-0000-0000-0000782F0000}"/>
    <cellStyle name="40% - Accent3 9 6 4 4" xfId="25131" xr:uid="{00000000-0005-0000-0000-0000792F0000}"/>
    <cellStyle name="40% - Accent3 9 6 5" xfId="6939" xr:uid="{00000000-0005-0000-0000-00007A2F0000}"/>
    <cellStyle name="40% - Accent3 9 6 5 2" xfId="10149" xr:uid="{00000000-0005-0000-0000-00007B2F0000}"/>
    <cellStyle name="40% - Accent3 9 6 5 2 2" xfId="17942" xr:uid="{00000000-0005-0000-0000-00007C2F0000}"/>
    <cellStyle name="40% - Accent3 9 6 5 2 2 2" xfId="35579" xr:uid="{00000000-0005-0000-0000-00007D2F0000}"/>
    <cellStyle name="40% - Accent3 9 6 5 2 3" xfId="28532" xr:uid="{00000000-0005-0000-0000-00007E2F0000}"/>
    <cellStyle name="40% - Accent3 9 6 5 3" xfId="14727" xr:uid="{00000000-0005-0000-0000-00007F2F0000}"/>
    <cellStyle name="40% - Accent3 9 6 5 3 2" xfId="32362" xr:uid="{00000000-0005-0000-0000-0000802F0000}"/>
    <cellStyle name="40% - Accent3 9 6 5 4" xfId="25669" xr:uid="{00000000-0005-0000-0000-0000812F0000}"/>
    <cellStyle name="40% - Accent3 9 6 6" xfId="7758" xr:uid="{00000000-0005-0000-0000-0000822F0000}"/>
    <cellStyle name="40% - Accent3 9 6 6 2" xfId="15555" xr:uid="{00000000-0005-0000-0000-0000832F0000}"/>
    <cellStyle name="40% - Accent3 9 6 6 2 2" xfId="33190" xr:uid="{00000000-0005-0000-0000-0000842F0000}"/>
    <cellStyle name="40% - Accent3 9 6 6 3" xfId="26191" xr:uid="{00000000-0005-0000-0000-0000852F0000}"/>
    <cellStyle name="40% - Accent3 9 6 7" xfId="11419" xr:uid="{00000000-0005-0000-0000-0000862F0000}"/>
    <cellStyle name="40% - Accent3 9 6 7 2" xfId="29141" xr:uid="{00000000-0005-0000-0000-0000872F0000}"/>
    <cellStyle name="40% - Accent3 9 6 8" xfId="23326" xr:uid="{00000000-0005-0000-0000-0000882F0000}"/>
    <cellStyle name="40% - Accent3 9 6 9" xfId="51882" xr:uid="{00000000-0005-0000-0000-0000892F0000}"/>
    <cellStyle name="40% - Accent3 9 7" xfId="722" xr:uid="{00000000-0005-0000-0000-00008A2F0000}"/>
    <cellStyle name="40% - Accent3 9 7 10" xfId="51883" xr:uid="{00000000-0005-0000-0000-00008B2F0000}"/>
    <cellStyle name="40% - Accent3 9 7 2" xfId="723" xr:uid="{00000000-0005-0000-0000-00008C2F0000}"/>
    <cellStyle name="40% - Accent3 9 7 2 2" xfId="8437" xr:uid="{00000000-0005-0000-0000-00008D2F0000}"/>
    <cellStyle name="40% - Accent3 9 7 2 2 2" xfId="16233" xr:uid="{00000000-0005-0000-0000-00008E2F0000}"/>
    <cellStyle name="40% - Accent3 9 7 2 2 2 2" xfId="33868" xr:uid="{00000000-0005-0000-0000-00008F2F0000}"/>
    <cellStyle name="40% - Accent3 9 7 2 2 3" xfId="26851" xr:uid="{00000000-0005-0000-0000-0000902F0000}"/>
    <cellStyle name="40% - Accent3 9 7 2 3" xfId="12586" xr:uid="{00000000-0005-0000-0000-0000912F0000}"/>
    <cellStyle name="40% - Accent3 9 7 2 3 2" xfId="30254" xr:uid="{00000000-0005-0000-0000-0000922F0000}"/>
    <cellStyle name="40% - Accent3 9 7 2 4" xfId="23986" xr:uid="{00000000-0005-0000-0000-0000932F0000}"/>
    <cellStyle name="40% - Accent3 9 7 3" xfId="3868" xr:uid="{00000000-0005-0000-0000-0000942F0000}"/>
    <cellStyle name="40% - Accent3 9 7 3 2" xfId="8436" xr:uid="{00000000-0005-0000-0000-0000952F0000}"/>
    <cellStyle name="40% - Accent3 9 7 3 2 2" xfId="16232" xr:uid="{00000000-0005-0000-0000-0000962F0000}"/>
    <cellStyle name="40% - Accent3 9 7 3 2 2 2" xfId="33867" xr:uid="{00000000-0005-0000-0000-0000972F0000}"/>
    <cellStyle name="40% - Accent3 9 7 3 2 3" xfId="26850" xr:uid="{00000000-0005-0000-0000-0000982F0000}"/>
    <cellStyle name="40% - Accent3 9 7 3 3" xfId="12585" xr:uid="{00000000-0005-0000-0000-0000992F0000}"/>
    <cellStyle name="40% - Accent3 9 7 3 3 2" xfId="30253" xr:uid="{00000000-0005-0000-0000-00009A2F0000}"/>
    <cellStyle name="40% - Accent3 9 7 3 4" xfId="23985" xr:uid="{00000000-0005-0000-0000-00009B2F0000}"/>
    <cellStyle name="40% - Accent3 9 7 4" xfId="5772" xr:uid="{00000000-0005-0000-0000-00009C2F0000}"/>
    <cellStyle name="40% - Accent3 9 7 4 2" xfId="9072" xr:uid="{00000000-0005-0000-0000-00009D2F0000}"/>
    <cellStyle name="40% - Accent3 9 7 4 2 2" xfId="16867" xr:uid="{00000000-0005-0000-0000-00009E2F0000}"/>
    <cellStyle name="40% - Accent3 9 7 4 2 2 2" xfId="34503" xr:uid="{00000000-0005-0000-0000-00009F2F0000}"/>
    <cellStyle name="40% - Accent3 9 7 4 2 3" xfId="27460" xr:uid="{00000000-0005-0000-0000-0000A02F0000}"/>
    <cellStyle name="40% - Accent3 9 7 4 3" xfId="13628" xr:uid="{00000000-0005-0000-0000-0000A12F0000}"/>
    <cellStyle name="40% - Accent3 9 7 4 3 2" xfId="31268" xr:uid="{00000000-0005-0000-0000-0000A22F0000}"/>
    <cellStyle name="40% - Accent3 9 7 4 4" xfId="24595" xr:uid="{00000000-0005-0000-0000-0000A32F0000}"/>
    <cellStyle name="40% - Accent3 9 7 5" xfId="6402" xr:uid="{00000000-0005-0000-0000-0000A42F0000}"/>
    <cellStyle name="40% - Accent3 9 7 5 2" xfId="9612" xr:uid="{00000000-0005-0000-0000-0000A52F0000}"/>
    <cellStyle name="40% - Accent3 9 7 5 2 2" xfId="17406" xr:uid="{00000000-0005-0000-0000-0000A62F0000}"/>
    <cellStyle name="40% - Accent3 9 7 5 2 2 2" xfId="35043" xr:uid="{00000000-0005-0000-0000-0000A72F0000}"/>
    <cellStyle name="40% - Accent3 9 7 5 2 3" xfId="27996" xr:uid="{00000000-0005-0000-0000-0000A82F0000}"/>
    <cellStyle name="40% - Accent3 9 7 5 3" xfId="14191" xr:uid="{00000000-0005-0000-0000-0000A92F0000}"/>
    <cellStyle name="40% - Accent3 9 7 5 3 2" xfId="31826" xr:uid="{00000000-0005-0000-0000-0000AA2F0000}"/>
    <cellStyle name="40% - Accent3 9 7 5 4" xfId="25132" xr:uid="{00000000-0005-0000-0000-0000AB2F0000}"/>
    <cellStyle name="40% - Accent3 9 7 6" xfId="6940" xr:uid="{00000000-0005-0000-0000-0000AC2F0000}"/>
    <cellStyle name="40% - Accent3 9 7 6 2" xfId="10150" xr:uid="{00000000-0005-0000-0000-0000AD2F0000}"/>
    <cellStyle name="40% - Accent3 9 7 6 2 2" xfId="17943" xr:uid="{00000000-0005-0000-0000-0000AE2F0000}"/>
    <cellStyle name="40% - Accent3 9 7 6 2 2 2" xfId="35580" xr:uid="{00000000-0005-0000-0000-0000AF2F0000}"/>
    <cellStyle name="40% - Accent3 9 7 6 2 3" xfId="28533" xr:uid="{00000000-0005-0000-0000-0000B02F0000}"/>
    <cellStyle name="40% - Accent3 9 7 6 3" xfId="14728" xr:uid="{00000000-0005-0000-0000-0000B12F0000}"/>
    <cellStyle name="40% - Accent3 9 7 6 3 2" xfId="32363" xr:uid="{00000000-0005-0000-0000-0000B22F0000}"/>
    <cellStyle name="40% - Accent3 9 7 6 4" xfId="25670" xr:uid="{00000000-0005-0000-0000-0000B32F0000}"/>
    <cellStyle name="40% - Accent3 9 7 7" xfId="7759" xr:uid="{00000000-0005-0000-0000-0000B42F0000}"/>
    <cellStyle name="40% - Accent3 9 7 7 2" xfId="15556" xr:uid="{00000000-0005-0000-0000-0000B52F0000}"/>
    <cellStyle name="40% - Accent3 9 7 7 2 2" xfId="33191" xr:uid="{00000000-0005-0000-0000-0000B62F0000}"/>
    <cellStyle name="40% - Accent3 9 7 7 3" xfId="26192" xr:uid="{00000000-0005-0000-0000-0000B72F0000}"/>
    <cellStyle name="40% - Accent3 9 7 8" xfId="11420" xr:uid="{00000000-0005-0000-0000-0000B82F0000}"/>
    <cellStyle name="40% - Accent3 9 7 8 2" xfId="29142" xr:uid="{00000000-0005-0000-0000-0000B92F0000}"/>
    <cellStyle name="40% - Accent3 9 7 9" xfId="23327" xr:uid="{00000000-0005-0000-0000-0000BA2F0000}"/>
    <cellStyle name="40% - Accent3 9 8" xfId="3869" xr:uid="{00000000-0005-0000-0000-0000BB2F0000}"/>
    <cellStyle name="40% - Accent3 9 8 2" xfId="8438" xr:uid="{00000000-0005-0000-0000-0000BC2F0000}"/>
    <cellStyle name="40% - Accent3 9 8 2 2" xfId="16234" xr:uid="{00000000-0005-0000-0000-0000BD2F0000}"/>
    <cellStyle name="40% - Accent3 9 8 2 2 2" xfId="33869" xr:uid="{00000000-0005-0000-0000-0000BE2F0000}"/>
    <cellStyle name="40% - Accent3 9 8 2 3" xfId="26852" xr:uid="{00000000-0005-0000-0000-0000BF2F0000}"/>
    <cellStyle name="40% - Accent3 9 8 3" xfId="12587" xr:uid="{00000000-0005-0000-0000-0000C02F0000}"/>
    <cellStyle name="40% - Accent3 9 8 3 2" xfId="30255" xr:uid="{00000000-0005-0000-0000-0000C12F0000}"/>
    <cellStyle name="40% - Accent3 9 8 4" xfId="23987" xr:uid="{00000000-0005-0000-0000-0000C22F0000}"/>
    <cellStyle name="40% - Accent3 9 9" xfId="3870" xr:uid="{00000000-0005-0000-0000-0000C32F0000}"/>
    <cellStyle name="40% - Accent3 9 9 2" xfId="8439" xr:uid="{00000000-0005-0000-0000-0000C42F0000}"/>
    <cellStyle name="40% - Accent3 9 9 2 2" xfId="16235" xr:uid="{00000000-0005-0000-0000-0000C52F0000}"/>
    <cellStyle name="40% - Accent3 9 9 2 2 2" xfId="33870" xr:uid="{00000000-0005-0000-0000-0000C62F0000}"/>
    <cellStyle name="40% - Accent3 9 9 2 3" xfId="26853" xr:uid="{00000000-0005-0000-0000-0000C72F0000}"/>
    <cellStyle name="40% - Accent3 9 9 3" xfId="12588" xr:uid="{00000000-0005-0000-0000-0000C82F0000}"/>
    <cellStyle name="40% - Accent3 9 9 3 2" xfId="30256" xr:uid="{00000000-0005-0000-0000-0000C92F0000}"/>
    <cellStyle name="40% - Accent3 9 9 4" xfId="23988" xr:uid="{00000000-0005-0000-0000-0000CA2F0000}"/>
    <cellStyle name="40% - Accent4" xfId="177" builtinId="43" customBuiltin="1"/>
    <cellStyle name="40% - Accent4 10" xfId="724" xr:uid="{00000000-0005-0000-0000-0000CC2F0000}"/>
    <cellStyle name="40% - Accent4 10 2" xfId="725" xr:uid="{00000000-0005-0000-0000-0000CD2F0000}"/>
    <cellStyle name="40% - Accent4 10 3" xfId="726" xr:uid="{00000000-0005-0000-0000-0000CE2F0000}"/>
    <cellStyle name="40% - Accent4 10 3 2" xfId="8440" xr:uid="{00000000-0005-0000-0000-0000CF2F0000}"/>
    <cellStyle name="40% - Accent4 10 3 2 2" xfId="16236" xr:uid="{00000000-0005-0000-0000-0000D02F0000}"/>
    <cellStyle name="40% - Accent4 10 3 2 2 2" xfId="33871" xr:uid="{00000000-0005-0000-0000-0000D12F0000}"/>
    <cellStyle name="40% - Accent4 10 3 2 3" xfId="26854" xr:uid="{00000000-0005-0000-0000-0000D22F0000}"/>
    <cellStyle name="40% - Accent4 10 3 3" xfId="12589" xr:uid="{00000000-0005-0000-0000-0000D32F0000}"/>
    <cellStyle name="40% - Accent4 10 3 3 2" xfId="30257" xr:uid="{00000000-0005-0000-0000-0000D42F0000}"/>
    <cellStyle name="40% - Accent4 10 3 4" xfId="23989" xr:uid="{00000000-0005-0000-0000-0000D52F0000}"/>
    <cellStyle name="40% - Accent4 10 3 5" xfId="51884" xr:uid="{00000000-0005-0000-0000-0000D62F0000}"/>
    <cellStyle name="40% - Accent4 10 4" xfId="7760" xr:uid="{00000000-0005-0000-0000-0000D72F0000}"/>
    <cellStyle name="40% - Accent4 10 4 2" xfId="15557" xr:uid="{00000000-0005-0000-0000-0000D82F0000}"/>
    <cellStyle name="40% - Accent4 10 4 2 2" xfId="33192" xr:uid="{00000000-0005-0000-0000-0000D92F0000}"/>
    <cellStyle name="40% - Accent4 10 4 3" xfId="26193" xr:uid="{00000000-0005-0000-0000-0000DA2F0000}"/>
    <cellStyle name="40% - Accent4 10 5" xfId="11421" xr:uid="{00000000-0005-0000-0000-0000DB2F0000}"/>
    <cellStyle name="40% - Accent4 10 5 2" xfId="29143" xr:uid="{00000000-0005-0000-0000-0000DC2F0000}"/>
    <cellStyle name="40% - Accent4 10 6" xfId="22131" xr:uid="{00000000-0005-0000-0000-0000DD2F0000}"/>
    <cellStyle name="40% - Accent4 10 6 2" xfId="38811" xr:uid="{00000000-0005-0000-0000-0000DE2F0000}"/>
    <cellStyle name="40% - Accent4 10 7" xfId="23328" xr:uid="{00000000-0005-0000-0000-0000DF2F0000}"/>
    <cellStyle name="40% - Accent4 11" xfId="727" xr:uid="{00000000-0005-0000-0000-0000E02F0000}"/>
    <cellStyle name="40% - Accent4 11 10" xfId="51885" xr:uid="{00000000-0005-0000-0000-0000E12F0000}"/>
    <cellStyle name="40% - Accent4 11 2" xfId="3871" xr:uid="{00000000-0005-0000-0000-0000E22F0000}"/>
    <cellStyle name="40% - Accent4 11 2 2" xfId="8441" xr:uid="{00000000-0005-0000-0000-0000E32F0000}"/>
    <cellStyle name="40% - Accent4 11 2 2 2" xfId="16237" xr:uid="{00000000-0005-0000-0000-0000E42F0000}"/>
    <cellStyle name="40% - Accent4 11 2 2 2 2" xfId="33872" xr:uid="{00000000-0005-0000-0000-0000E52F0000}"/>
    <cellStyle name="40% - Accent4 11 2 2 3" xfId="26855" xr:uid="{00000000-0005-0000-0000-0000E62F0000}"/>
    <cellStyle name="40% - Accent4 11 2 3" xfId="12590" xr:uid="{00000000-0005-0000-0000-0000E72F0000}"/>
    <cellStyle name="40% - Accent4 11 2 3 2" xfId="30258" xr:uid="{00000000-0005-0000-0000-0000E82F0000}"/>
    <cellStyle name="40% - Accent4 11 2 4" xfId="23990" xr:uid="{00000000-0005-0000-0000-0000E92F0000}"/>
    <cellStyle name="40% - Accent4 11 3" xfId="5773" xr:uid="{00000000-0005-0000-0000-0000EA2F0000}"/>
    <cellStyle name="40% - Accent4 11 3 2" xfId="9073" xr:uid="{00000000-0005-0000-0000-0000EB2F0000}"/>
    <cellStyle name="40% - Accent4 11 3 2 2" xfId="16868" xr:uid="{00000000-0005-0000-0000-0000EC2F0000}"/>
    <cellStyle name="40% - Accent4 11 3 2 2 2" xfId="34504" xr:uid="{00000000-0005-0000-0000-0000ED2F0000}"/>
    <cellStyle name="40% - Accent4 11 3 2 3" xfId="27461" xr:uid="{00000000-0005-0000-0000-0000EE2F0000}"/>
    <cellStyle name="40% - Accent4 11 3 3" xfId="13629" xr:uid="{00000000-0005-0000-0000-0000EF2F0000}"/>
    <cellStyle name="40% - Accent4 11 3 3 2" xfId="31269" xr:uid="{00000000-0005-0000-0000-0000F02F0000}"/>
    <cellStyle name="40% - Accent4 11 3 4" xfId="24596" xr:uid="{00000000-0005-0000-0000-0000F12F0000}"/>
    <cellStyle name="40% - Accent4 11 4" xfId="6403" xr:uid="{00000000-0005-0000-0000-0000F22F0000}"/>
    <cellStyle name="40% - Accent4 11 4 2" xfId="9613" xr:uid="{00000000-0005-0000-0000-0000F32F0000}"/>
    <cellStyle name="40% - Accent4 11 4 2 2" xfId="17407" xr:uid="{00000000-0005-0000-0000-0000F42F0000}"/>
    <cellStyle name="40% - Accent4 11 4 2 2 2" xfId="35044" xr:uid="{00000000-0005-0000-0000-0000F52F0000}"/>
    <cellStyle name="40% - Accent4 11 4 2 3" xfId="27997" xr:uid="{00000000-0005-0000-0000-0000F62F0000}"/>
    <cellStyle name="40% - Accent4 11 4 3" xfId="14192" xr:uid="{00000000-0005-0000-0000-0000F72F0000}"/>
    <cellStyle name="40% - Accent4 11 4 3 2" xfId="31827" xr:uid="{00000000-0005-0000-0000-0000F82F0000}"/>
    <cellStyle name="40% - Accent4 11 4 4" xfId="25133" xr:uid="{00000000-0005-0000-0000-0000F92F0000}"/>
    <cellStyle name="40% - Accent4 11 5" xfId="6941" xr:uid="{00000000-0005-0000-0000-0000FA2F0000}"/>
    <cellStyle name="40% - Accent4 11 5 2" xfId="10151" xr:uid="{00000000-0005-0000-0000-0000FB2F0000}"/>
    <cellStyle name="40% - Accent4 11 5 2 2" xfId="17944" xr:uid="{00000000-0005-0000-0000-0000FC2F0000}"/>
    <cellStyle name="40% - Accent4 11 5 2 2 2" xfId="35581" xr:uid="{00000000-0005-0000-0000-0000FD2F0000}"/>
    <cellStyle name="40% - Accent4 11 5 2 3" xfId="28534" xr:uid="{00000000-0005-0000-0000-0000FE2F0000}"/>
    <cellStyle name="40% - Accent4 11 5 3" xfId="14729" xr:uid="{00000000-0005-0000-0000-0000FF2F0000}"/>
    <cellStyle name="40% - Accent4 11 5 3 2" xfId="32364" xr:uid="{00000000-0005-0000-0000-000000300000}"/>
    <cellStyle name="40% - Accent4 11 5 4" xfId="25671" xr:uid="{00000000-0005-0000-0000-000001300000}"/>
    <cellStyle name="40% - Accent4 11 6" xfId="7761" xr:uid="{00000000-0005-0000-0000-000002300000}"/>
    <cellStyle name="40% - Accent4 11 6 2" xfId="15558" xr:uid="{00000000-0005-0000-0000-000003300000}"/>
    <cellStyle name="40% - Accent4 11 6 2 2" xfId="33193" xr:uid="{00000000-0005-0000-0000-000004300000}"/>
    <cellStyle name="40% - Accent4 11 6 3" xfId="26194" xr:uid="{00000000-0005-0000-0000-000005300000}"/>
    <cellStyle name="40% - Accent4 11 7" xfId="11422" xr:uid="{00000000-0005-0000-0000-000006300000}"/>
    <cellStyle name="40% - Accent4 11 7 2" xfId="29144" xr:uid="{00000000-0005-0000-0000-000007300000}"/>
    <cellStyle name="40% - Accent4 11 8" xfId="22132" xr:uid="{00000000-0005-0000-0000-000008300000}"/>
    <cellStyle name="40% - Accent4 11 8 2" xfId="38812" xr:uid="{00000000-0005-0000-0000-000009300000}"/>
    <cellStyle name="40% - Accent4 11 9" xfId="23329" xr:uid="{00000000-0005-0000-0000-00000A300000}"/>
    <cellStyle name="40% - Accent4 12" xfId="18876" xr:uid="{00000000-0005-0000-0000-00000B300000}"/>
    <cellStyle name="40% - Accent4 12 2" xfId="22134" xr:uid="{00000000-0005-0000-0000-00000C300000}"/>
    <cellStyle name="40% - Accent4 12 2 2" xfId="38814" xr:uid="{00000000-0005-0000-0000-00000D300000}"/>
    <cellStyle name="40% - Accent4 12 3" xfId="22133" xr:uid="{00000000-0005-0000-0000-00000E300000}"/>
    <cellStyle name="40% - Accent4 12 3 2" xfId="38813" xr:uid="{00000000-0005-0000-0000-00000F300000}"/>
    <cellStyle name="40% - Accent4 12 4" xfId="36513" xr:uid="{00000000-0005-0000-0000-000010300000}"/>
    <cellStyle name="40% - Accent4 13" xfId="15301" xr:uid="{00000000-0005-0000-0000-000011300000}"/>
    <cellStyle name="40% - Accent4 13 2" xfId="22135" xr:uid="{00000000-0005-0000-0000-000012300000}"/>
    <cellStyle name="40% - Accent4 13 2 2" xfId="38815" xr:uid="{00000000-0005-0000-0000-000013300000}"/>
    <cellStyle name="40% - Accent4 13 3" xfId="32936" xr:uid="{00000000-0005-0000-0000-000014300000}"/>
    <cellStyle name="40% - Accent4 14" xfId="22136" xr:uid="{00000000-0005-0000-0000-000015300000}"/>
    <cellStyle name="40% - Accent4 15" xfId="22688" xr:uid="{00000000-0005-0000-0000-000016300000}"/>
    <cellStyle name="40% - Accent4 15 2" xfId="38908" xr:uid="{00000000-0005-0000-0000-000017300000}"/>
    <cellStyle name="40% - Accent4 16" xfId="22130" xr:uid="{00000000-0005-0000-0000-000018300000}"/>
    <cellStyle name="40% - Accent4 17" xfId="23075" xr:uid="{00000000-0005-0000-0000-000019300000}"/>
    <cellStyle name="40% - Accent4 18" xfId="51487" xr:uid="{00000000-0005-0000-0000-00001A300000}"/>
    <cellStyle name="40% - Accent4 19" xfId="51500" xr:uid="{00000000-0005-0000-0000-00001B300000}"/>
    <cellStyle name="40% - Accent4 2" xfId="28" xr:uid="{00000000-0005-0000-0000-00001C300000}"/>
    <cellStyle name="40% - Accent4 2 10" xfId="729" xr:uid="{00000000-0005-0000-0000-00001D300000}"/>
    <cellStyle name="40% - Accent4 2 11" xfId="730" xr:uid="{00000000-0005-0000-0000-00001E300000}"/>
    <cellStyle name="40% - Accent4 2 12" xfId="731" xr:uid="{00000000-0005-0000-0000-00001F300000}"/>
    <cellStyle name="40% - Accent4 2 13" xfId="732" xr:uid="{00000000-0005-0000-0000-000020300000}"/>
    <cellStyle name="40% - Accent4 2 14" xfId="733" xr:uid="{00000000-0005-0000-0000-000021300000}"/>
    <cellStyle name="40% - Accent4 2 15" xfId="3872" xr:uid="{00000000-0005-0000-0000-000022300000}"/>
    <cellStyle name="40% - Accent4 2 16" xfId="3873" xr:uid="{00000000-0005-0000-0000-000023300000}"/>
    <cellStyle name="40% - Accent4 2 17" xfId="3874" xr:uid="{00000000-0005-0000-0000-000024300000}"/>
    <cellStyle name="40% - Accent4 2 18" xfId="728" xr:uid="{00000000-0005-0000-0000-000025300000}"/>
    <cellStyle name="40% - Accent4 2 2" xfId="734" xr:uid="{00000000-0005-0000-0000-000026300000}"/>
    <cellStyle name="40% - Accent4 2 2 2" xfId="735" xr:uid="{00000000-0005-0000-0000-000027300000}"/>
    <cellStyle name="40% - Accent4 2 2 3" xfId="736" xr:uid="{00000000-0005-0000-0000-000028300000}"/>
    <cellStyle name="40% - Accent4 2 2 4" xfId="3875" xr:uid="{00000000-0005-0000-0000-000029300000}"/>
    <cellStyle name="40% - Accent4 2 2 5" xfId="3876" xr:uid="{00000000-0005-0000-0000-00002A300000}"/>
    <cellStyle name="40% - Accent4 2 2_Sheet1" xfId="737" xr:uid="{00000000-0005-0000-0000-00002B300000}"/>
    <cellStyle name="40% - Accent4 2 3" xfId="738" xr:uid="{00000000-0005-0000-0000-00002C300000}"/>
    <cellStyle name="40% - Accent4 2 4" xfId="739" xr:uid="{00000000-0005-0000-0000-00002D300000}"/>
    <cellStyle name="40% - Accent4 2 5" xfId="740" xr:uid="{00000000-0005-0000-0000-00002E300000}"/>
    <cellStyle name="40% - Accent4 2 6" xfId="741" xr:uid="{00000000-0005-0000-0000-00002F300000}"/>
    <cellStyle name="40% - Accent4 2 7" xfId="742" xr:uid="{00000000-0005-0000-0000-000030300000}"/>
    <cellStyle name="40% - Accent4 2 8" xfId="743" xr:uid="{00000000-0005-0000-0000-000031300000}"/>
    <cellStyle name="40% - Accent4 2 9" xfId="744" xr:uid="{00000000-0005-0000-0000-000032300000}"/>
    <cellStyle name="40% - Accent4 2_BallGrid" xfId="745" xr:uid="{00000000-0005-0000-0000-000033300000}"/>
    <cellStyle name="40% - Accent4 20" xfId="51513" xr:uid="{00000000-0005-0000-0000-000034300000}"/>
    <cellStyle name="40% - Accent4 3" xfId="29" xr:uid="{00000000-0005-0000-0000-000035300000}"/>
    <cellStyle name="40% - Accent4 3 10" xfId="746" xr:uid="{00000000-0005-0000-0000-000036300000}"/>
    <cellStyle name="40% - Accent4 3 2" xfId="747" xr:uid="{00000000-0005-0000-0000-000037300000}"/>
    <cellStyle name="40% - Accent4 3 3" xfId="748" xr:uid="{00000000-0005-0000-0000-000038300000}"/>
    <cellStyle name="40% - Accent4 3 4" xfId="749" xr:uid="{00000000-0005-0000-0000-000039300000}"/>
    <cellStyle name="40% - Accent4 3 5" xfId="750" xr:uid="{00000000-0005-0000-0000-00003A300000}"/>
    <cellStyle name="40% - Accent4 3 6" xfId="751" xr:uid="{00000000-0005-0000-0000-00003B300000}"/>
    <cellStyle name="40% - Accent4 3 7" xfId="3877" xr:uid="{00000000-0005-0000-0000-00003C300000}"/>
    <cellStyle name="40% - Accent4 3 8" xfId="3878" xr:uid="{00000000-0005-0000-0000-00003D300000}"/>
    <cellStyle name="40% - Accent4 3 9" xfId="3879" xr:uid="{00000000-0005-0000-0000-00003E300000}"/>
    <cellStyle name="40% - Accent4 3_BallGrid" xfId="752" xr:uid="{00000000-0005-0000-0000-00003F300000}"/>
    <cellStyle name="40% - Accent4 4" xfId="30" xr:uid="{00000000-0005-0000-0000-000040300000}"/>
    <cellStyle name="40% - Accent4 4 2" xfId="754" xr:uid="{00000000-0005-0000-0000-000041300000}"/>
    <cellStyle name="40% - Accent4 4 2 2" xfId="22851" xr:uid="{00000000-0005-0000-0000-000042300000}"/>
    <cellStyle name="40% - Accent4 4 3" xfId="755" xr:uid="{00000000-0005-0000-0000-000043300000}"/>
    <cellStyle name="40% - Accent4 4 3 2" xfId="22137" xr:uid="{00000000-0005-0000-0000-000044300000}"/>
    <cellStyle name="40% - Accent4 4 4" xfId="756" xr:uid="{00000000-0005-0000-0000-000045300000}"/>
    <cellStyle name="40% - Accent4 4 5" xfId="757" xr:uid="{00000000-0005-0000-0000-000046300000}"/>
    <cellStyle name="40% - Accent4 4 6" xfId="3880" xr:uid="{00000000-0005-0000-0000-000047300000}"/>
    <cellStyle name="40% - Accent4 4 7" xfId="3881" xr:uid="{00000000-0005-0000-0000-000048300000}"/>
    <cellStyle name="40% - Accent4 4 8" xfId="3882" xr:uid="{00000000-0005-0000-0000-000049300000}"/>
    <cellStyle name="40% - Accent4 4 9" xfId="753" xr:uid="{00000000-0005-0000-0000-00004A300000}"/>
    <cellStyle name="40% - Accent4 5" xfId="758" xr:uid="{00000000-0005-0000-0000-00004B300000}"/>
    <cellStyle name="40% - Accent4 5 10" xfId="21952" xr:uid="{00000000-0005-0000-0000-00004C300000}"/>
    <cellStyle name="40% - Accent4 5 10 2" xfId="38705" xr:uid="{00000000-0005-0000-0000-00004D300000}"/>
    <cellStyle name="40% - Accent4 5 11" xfId="23330" xr:uid="{00000000-0005-0000-0000-00004E300000}"/>
    <cellStyle name="40% - Accent4 5 12" xfId="51886" xr:uid="{00000000-0005-0000-0000-00004F300000}"/>
    <cellStyle name="40% - Accent4 5 2" xfId="3884" xr:uid="{00000000-0005-0000-0000-000050300000}"/>
    <cellStyle name="40% - Accent4 5 2 2" xfId="8443" xr:uid="{00000000-0005-0000-0000-000051300000}"/>
    <cellStyle name="40% - Accent4 5 2 2 2" xfId="16239" xr:uid="{00000000-0005-0000-0000-000052300000}"/>
    <cellStyle name="40% - Accent4 5 2 2 2 2" xfId="33874" xr:uid="{00000000-0005-0000-0000-000053300000}"/>
    <cellStyle name="40% - Accent4 5 2 2 3" xfId="26857" xr:uid="{00000000-0005-0000-0000-000054300000}"/>
    <cellStyle name="40% - Accent4 5 2 3" xfId="12593" xr:uid="{00000000-0005-0000-0000-000055300000}"/>
    <cellStyle name="40% - Accent4 5 2 3 2" xfId="30260" xr:uid="{00000000-0005-0000-0000-000056300000}"/>
    <cellStyle name="40% - Accent4 5 2 4" xfId="22852" xr:uid="{00000000-0005-0000-0000-000057300000}"/>
    <cellStyle name="40% - Accent4 5 2 4 2" xfId="39025" xr:uid="{00000000-0005-0000-0000-000058300000}"/>
    <cellStyle name="40% - Accent4 5 2 5" xfId="23992" xr:uid="{00000000-0005-0000-0000-000059300000}"/>
    <cellStyle name="40% - Accent4 5 3" xfId="3885" xr:uid="{00000000-0005-0000-0000-00005A300000}"/>
    <cellStyle name="40% - Accent4 5 3 2" xfId="22138" xr:uid="{00000000-0005-0000-0000-00005B300000}"/>
    <cellStyle name="40% - Accent4 5 4" xfId="3883" xr:uid="{00000000-0005-0000-0000-00005C300000}"/>
    <cellStyle name="40% - Accent4 5 4 2" xfId="8442" xr:uid="{00000000-0005-0000-0000-00005D300000}"/>
    <cellStyle name="40% - Accent4 5 4 2 2" xfId="16238" xr:uid="{00000000-0005-0000-0000-00005E300000}"/>
    <cellStyle name="40% - Accent4 5 4 2 2 2" xfId="33873" xr:uid="{00000000-0005-0000-0000-00005F300000}"/>
    <cellStyle name="40% - Accent4 5 4 2 3" xfId="26856" xr:uid="{00000000-0005-0000-0000-000060300000}"/>
    <cellStyle name="40% - Accent4 5 4 3" xfId="12592" xr:uid="{00000000-0005-0000-0000-000061300000}"/>
    <cellStyle name="40% - Accent4 5 4 3 2" xfId="30259" xr:uid="{00000000-0005-0000-0000-000062300000}"/>
    <cellStyle name="40% - Accent4 5 4 4" xfId="23991" xr:uid="{00000000-0005-0000-0000-000063300000}"/>
    <cellStyle name="40% - Accent4 5 5" xfId="5774" xr:uid="{00000000-0005-0000-0000-000064300000}"/>
    <cellStyle name="40% - Accent4 5 5 2" xfId="9074" xr:uid="{00000000-0005-0000-0000-000065300000}"/>
    <cellStyle name="40% - Accent4 5 5 2 2" xfId="16869" xr:uid="{00000000-0005-0000-0000-000066300000}"/>
    <cellStyle name="40% - Accent4 5 5 2 2 2" xfId="34505" xr:uid="{00000000-0005-0000-0000-000067300000}"/>
    <cellStyle name="40% - Accent4 5 5 2 3" xfId="27462" xr:uid="{00000000-0005-0000-0000-000068300000}"/>
    <cellStyle name="40% - Accent4 5 5 3" xfId="13630" xr:uid="{00000000-0005-0000-0000-000069300000}"/>
    <cellStyle name="40% - Accent4 5 5 3 2" xfId="31270" xr:uid="{00000000-0005-0000-0000-00006A300000}"/>
    <cellStyle name="40% - Accent4 5 5 4" xfId="24597" xr:uid="{00000000-0005-0000-0000-00006B300000}"/>
    <cellStyle name="40% - Accent4 5 6" xfId="6404" xr:uid="{00000000-0005-0000-0000-00006C300000}"/>
    <cellStyle name="40% - Accent4 5 6 2" xfId="9614" xr:uid="{00000000-0005-0000-0000-00006D300000}"/>
    <cellStyle name="40% - Accent4 5 6 2 2" xfId="17408" xr:uid="{00000000-0005-0000-0000-00006E300000}"/>
    <cellStyle name="40% - Accent4 5 6 2 2 2" xfId="35045" xr:uid="{00000000-0005-0000-0000-00006F300000}"/>
    <cellStyle name="40% - Accent4 5 6 2 3" xfId="27998" xr:uid="{00000000-0005-0000-0000-000070300000}"/>
    <cellStyle name="40% - Accent4 5 6 3" xfId="14193" xr:uid="{00000000-0005-0000-0000-000071300000}"/>
    <cellStyle name="40% - Accent4 5 6 3 2" xfId="31828" xr:uid="{00000000-0005-0000-0000-000072300000}"/>
    <cellStyle name="40% - Accent4 5 6 4" xfId="25134" xr:uid="{00000000-0005-0000-0000-000073300000}"/>
    <cellStyle name="40% - Accent4 5 7" xfId="6942" xr:uid="{00000000-0005-0000-0000-000074300000}"/>
    <cellStyle name="40% - Accent4 5 7 2" xfId="10152" xr:uid="{00000000-0005-0000-0000-000075300000}"/>
    <cellStyle name="40% - Accent4 5 7 2 2" xfId="17945" xr:uid="{00000000-0005-0000-0000-000076300000}"/>
    <cellStyle name="40% - Accent4 5 7 2 2 2" xfId="35582" xr:uid="{00000000-0005-0000-0000-000077300000}"/>
    <cellStyle name="40% - Accent4 5 7 2 3" xfId="28535" xr:uid="{00000000-0005-0000-0000-000078300000}"/>
    <cellStyle name="40% - Accent4 5 7 3" xfId="14730" xr:uid="{00000000-0005-0000-0000-000079300000}"/>
    <cellStyle name="40% - Accent4 5 7 3 2" xfId="32365" xr:uid="{00000000-0005-0000-0000-00007A300000}"/>
    <cellStyle name="40% - Accent4 5 7 4" xfId="25672" xr:uid="{00000000-0005-0000-0000-00007B300000}"/>
    <cellStyle name="40% - Accent4 5 8" xfId="7762" xr:uid="{00000000-0005-0000-0000-00007C300000}"/>
    <cellStyle name="40% - Accent4 5 8 2" xfId="15559" xr:uid="{00000000-0005-0000-0000-00007D300000}"/>
    <cellStyle name="40% - Accent4 5 8 2 2" xfId="33194" xr:uid="{00000000-0005-0000-0000-00007E300000}"/>
    <cellStyle name="40% - Accent4 5 8 3" xfId="26195" xr:uid="{00000000-0005-0000-0000-00007F300000}"/>
    <cellStyle name="40% - Accent4 5 9" xfId="11430" xr:uid="{00000000-0005-0000-0000-000080300000}"/>
    <cellStyle name="40% - Accent4 5 9 2" xfId="29151" xr:uid="{00000000-0005-0000-0000-000081300000}"/>
    <cellStyle name="40% - Accent4 6" xfId="759" xr:uid="{00000000-0005-0000-0000-000082300000}"/>
    <cellStyle name="40% - Accent4 6 10" xfId="51887" xr:uid="{00000000-0005-0000-0000-000083300000}"/>
    <cellStyle name="40% - Accent4 6 2" xfId="3886" xr:uid="{00000000-0005-0000-0000-000084300000}"/>
    <cellStyle name="40% - Accent4 6 2 2" xfId="8444" xr:uid="{00000000-0005-0000-0000-000085300000}"/>
    <cellStyle name="40% - Accent4 6 2 2 2" xfId="16240" xr:uid="{00000000-0005-0000-0000-000086300000}"/>
    <cellStyle name="40% - Accent4 6 2 2 2 2" xfId="33875" xr:uid="{00000000-0005-0000-0000-000087300000}"/>
    <cellStyle name="40% - Accent4 6 2 2 3" xfId="26858" xr:uid="{00000000-0005-0000-0000-000088300000}"/>
    <cellStyle name="40% - Accent4 6 2 3" xfId="12594" xr:uid="{00000000-0005-0000-0000-000089300000}"/>
    <cellStyle name="40% - Accent4 6 2 3 2" xfId="30261" xr:uid="{00000000-0005-0000-0000-00008A300000}"/>
    <cellStyle name="40% - Accent4 6 2 4" xfId="22853" xr:uid="{00000000-0005-0000-0000-00008B300000}"/>
    <cellStyle name="40% - Accent4 6 2 4 2" xfId="39026" xr:uid="{00000000-0005-0000-0000-00008C300000}"/>
    <cellStyle name="40% - Accent4 6 2 5" xfId="23993" xr:uid="{00000000-0005-0000-0000-00008D300000}"/>
    <cellStyle name="40% - Accent4 6 3" xfId="5775" xr:uid="{00000000-0005-0000-0000-00008E300000}"/>
    <cellStyle name="40% - Accent4 6 3 2" xfId="9075" xr:uid="{00000000-0005-0000-0000-00008F300000}"/>
    <cellStyle name="40% - Accent4 6 3 2 2" xfId="16870" xr:uid="{00000000-0005-0000-0000-000090300000}"/>
    <cellStyle name="40% - Accent4 6 3 2 2 2" xfId="34506" xr:uid="{00000000-0005-0000-0000-000091300000}"/>
    <cellStyle name="40% - Accent4 6 3 2 3" xfId="27463" xr:uid="{00000000-0005-0000-0000-000092300000}"/>
    <cellStyle name="40% - Accent4 6 3 3" xfId="13631" xr:uid="{00000000-0005-0000-0000-000093300000}"/>
    <cellStyle name="40% - Accent4 6 3 3 2" xfId="31271" xr:uid="{00000000-0005-0000-0000-000094300000}"/>
    <cellStyle name="40% - Accent4 6 3 4" xfId="22139" xr:uid="{00000000-0005-0000-0000-000095300000}"/>
    <cellStyle name="40% - Accent4 6 3 5" xfId="24598" xr:uid="{00000000-0005-0000-0000-000096300000}"/>
    <cellStyle name="40% - Accent4 6 4" xfId="6405" xr:uid="{00000000-0005-0000-0000-000097300000}"/>
    <cellStyle name="40% - Accent4 6 4 2" xfId="9615" xr:uid="{00000000-0005-0000-0000-000098300000}"/>
    <cellStyle name="40% - Accent4 6 4 2 2" xfId="17409" xr:uid="{00000000-0005-0000-0000-000099300000}"/>
    <cellStyle name="40% - Accent4 6 4 2 2 2" xfId="35046" xr:uid="{00000000-0005-0000-0000-00009A300000}"/>
    <cellStyle name="40% - Accent4 6 4 2 3" xfId="27999" xr:uid="{00000000-0005-0000-0000-00009B300000}"/>
    <cellStyle name="40% - Accent4 6 4 3" xfId="14194" xr:uid="{00000000-0005-0000-0000-00009C300000}"/>
    <cellStyle name="40% - Accent4 6 4 3 2" xfId="31829" xr:uid="{00000000-0005-0000-0000-00009D300000}"/>
    <cellStyle name="40% - Accent4 6 4 4" xfId="25135" xr:uid="{00000000-0005-0000-0000-00009E300000}"/>
    <cellStyle name="40% - Accent4 6 5" xfId="6943" xr:uid="{00000000-0005-0000-0000-00009F300000}"/>
    <cellStyle name="40% - Accent4 6 5 2" xfId="10153" xr:uid="{00000000-0005-0000-0000-0000A0300000}"/>
    <cellStyle name="40% - Accent4 6 5 2 2" xfId="17946" xr:uid="{00000000-0005-0000-0000-0000A1300000}"/>
    <cellStyle name="40% - Accent4 6 5 2 2 2" xfId="35583" xr:uid="{00000000-0005-0000-0000-0000A2300000}"/>
    <cellStyle name="40% - Accent4 6 5 2 3" xfId="28536" xr:uid="{00000000-0005-0000-0000-0000A3300000}"/>
    <cellStyle name="40% - Accent4 6 5 3" xfId="14731" xr:uid="{00000000-0005-0000-0000-0000A4300000}"/>
    <cellStyle name="40% - Accent4 6 5 3 2" xfId="32366" xr:uid="{00000000-0005-0000-0000-0000A5300000}"/>
    <cellStyle name="40% - Accent4 6 5 4" xfId="25673" xr:uid="{00000000-0005-0000-0000-0000A6300000}"/>
    <cellStyle name="40% - Accent4 6 6" xfId="7763" xr:uid="{00000000-0005-0000-0000-0000A7300000}"/>
    <cellStyle name="40% - Accent4 6 6 2" xfId="15560" xr:uid="{00000000-0005-0000-0000-0000A8300000}"/>
    <cellStyle name="40% - Accent4 6 6 2 2" xfId="33195" xr:uid="{00000000-0005-0000-0000-0000A9300000}"/>
    <cellStyle name="40% - Accent4 6 6 3" xfId="26196" xr:uid="{00000000-0005-0000-0000-0000AA300000}"/>
    <cellStyle name="40% - Accent4 6 7" xfId="11431" xr:uid="{00000000-0005-0000-0000-0000AB300000}"/>
    <cellStyle name="40% - Accent4 6 7 2" xfId="29152" xr:uid="{00000000-0005-0000-0000-0000AC300000}"/>
    <cellStyle name="40% - Accent4 6 8" xfId="21953" xr:uid="{00000000-0005-0000-0000-0000AD300000}"/>
    <cellStyle name="40% - Accent4 6 8 2" xfId="38706" xr:uid="{00000000-0005-0000-0000-0000AE300000}"/>
    <cellStyle name="40% - Accent4 6 9" xfId="23331" xr:uid="{00000000-0005-0000-0000-0000AF300000}"/>
    <cellStyle name="40% - Accent4 7" xfId="760" xr:uid="{00000000-0005-0000-0000-0000B0300000}"/>
    <cellStyle name="40% - Accent4 7 10" xfId="51888" xr:uid="{00000000-0005-0000-0000-0000B1300000}"/>
    <cellStyle name="40% - Accent4 7 2" xfId="3887" xr:uid="{00000000-0005-0000-0000-0000B2300000}"/>
    <cellStyle name="40% - Accent4 7 2 2" xfId="8445" xr:uid="{00000000-0005-0000-0000-0000B3300000}"/>
    <cellStyle name="40% - Accent4 7 2 2 2" xfId="16241" xr:uid="{00000000-0005-0000-0000-0000B4300000}"/>
    <cellStyle name="40% - Accent4 7 2 2 2 2" xfId="33876" xr:uid="{00000000-0005-0000-0000-0000B5300000}"/>
    <cellStyle name="40% - Accent4 7 2 2 3" xfId="26859" xr:uid="{00000000-0005-0000-0000-0000B6300000}"/>
    <cellStyle name="40% - Accent4 7 2 3" xfId="12595" xr:uid="{00000000-0005-0000-0000-0000B7300000}"/>
    <cellStyle name="40% - Accent4 7 2 3 2" xfId="30262" xr:uid="{00000000-0005-0000-0000-0000B8300000}"/>
    <cellStyle name="40% - Accent4 7 2 4" xfId="22740" xr:uid="{00000000-0005-0000-0000-0000B9300000}"/>
    <cellStyle name="40% - Accent4 7 2 4 2" xfId="38950" xr:uid="{00000000-0005-0000-0000-0000BA300000}"/>
    <cellStyle name="40% - Accent4 7 2 5" xfId="23994" xr:uid="{00000000-0005-0000-0000-0000BB300000}"/>
    <cellStyle name="40% - Accent4 7 3" xfId="5776" xr:uid="{00000000-0005-0000-0000-0000BC300000}"/>
    <cellStyle name="40% - Accent4 7 3 2" xfId="9076" xr:uid="{00000000-0005-0000-0000-0000BD300000}"/>
    <cellStyle name="40% - Accent4 7 3 2 2" xfId="16871" xr:uid="{00000000-0005-0000-0000-0000BE300000}"/>
    <cellStyle name="40% - Accent4 7 3 2 2 2" xfId="34507" xr:uid="{00000000-0005-0000-0000-0000BF300000}"/>
    <cellStyle name="40% - Accent4 7 3 2 3" xfId="27464" xr:uid="{00000000-0005-0000-0000-0000C0300000}"/>
    <cellStyle name="40% - Accent4 7 3 3" xfId="13632" xr:uid="{00000000-0005-0000-0000-0000C1300000}"/>
    <cellStyle name="40% - Accent4 7 3 3 2" xfId="31272" xr:uid="{00000000-0005-0000-0000-0000C2300000}"/>
    <cellStyle name="40% - Accent4 7 3 4" xfId="24599" xr:uid="{00000000-0005-0000-0000-0000C3300000}"/>
    <cellStyle name="40% - Accent4 7 4" xfId="6406" xr:uid="{00000000-0005-0000-0000-0000C4300000}"/>
    <cellStyle name="40% - Accent4 7 4 2" xfId="9616" xr:uid="{00000000-0005-0000-0000-0000C5300000}"/>
    <cellStyle name="40% - Accent4 7 4 2 2" xfId="17410" xr:uid="{00000000-0005-0000-0000-0000C6300000}"/>
    <cellStyle name="40% - Accent4 7 4 2 2 2" xfId="35047" xr:uid="{00000000-0005-0000-0000-0000C7300000}"/>
    <cellStyle name="40% - Accent4 7 4 2 3" xfId="28000" xr:uid="{00000000-0005-0000-0000-0000C8300000}"/>
    <cellStyle name="40% - Accent4 7 4 3" xfId="14195" xr:uid="{00000000-0005-0000-0000-0000C9300000}"/>
    <cellStyle name="40% - Accent4 7 4 3 2" xfId="31830" xr:uid="{00000000-0005-0000-0000-0000CA300000}"/>
    <cellStyle name="40% - Accent4 7 4 4" xfId="25136" xr:uid="{00000000-0005-0000-0000-0000CB300000}"/>
    <cellStyle name="40% - Accent4 7 5" xfId="6944" xr:uid="{00000000-0005-0000-0000-0000CC300000}"/>
    <cellStyle name="40% - Accent4 7 5 2" xfId="10154" xr:uid="{00000000-0005-0000-0000-0000CD300000}"/>
    <cellStyle name="40% - Accent4 7 5 2 2" xfId="17947" xr:uid="{00000000-0005-0000-0000-0000CE300000}"/>
    <cellStyle name="40% - Accent4 7 5 2 2 2" xfId="35584" xr:uid="{00000000-0005-0000-0000-0000CF300000}"/>
    <cellStyle name="40% - Accent4 7 5 2 3" xfId="28537" xr:uid="{00000000-0005-0000-0000-0000D0300000}"/>
    <cellStyle name="40% - Accent4 7 5 3" xfId="14732" xr:uid="{00000000-0005-0000-0000-0000D1300000}"/>
    <cellStyle name="40% - Accent4 7 5 3 2" xfId="32367" xr:uid="{00000000-0005-0000-0000-0000D2300000}"/>
    <cellStyle name="40% - Accent4 7 5 4" xfId="25674" xr:uid="{00000000-0005-0000-0000-0000D3300000}"/>
    <cellStyle name="40% - Accent4 7 6" xfId="7764" xr:uid="{00000000-0005-0000-0000-0000D4300000}"/>
    <cellStyle name="40% - Accent4 7 6 2" xfId="15561" xr:uid="{00000000-0005-0000-0000-0000D5300000}"/>
    <cellStyle name="40% - Accent4 7 6 2 2" xfId="33196" xr:uid="{00000000-0005-0000-0000-0000D6300000}"/>
    <cellStyle name="40% - Accent4 7 6 3" xfId="26197" xr:uid="{00000000-0005-0000-0000-0000D7300000}"/>
    <cellStyle name="40% - Accent4 7 7" xfId="11432" xr:uid="{00000000-0005-0000-0000-0000D8300000}"/>
    <cellStyle name="40% - Accent4 7 7 2" xfId="29153" xr:uid="{00000000-0005-0000-0000-0000D9300000}"/>
    <cellStyle name="40% - Accent4 7 8" xfId="22140" xr:uid="{00000000-0005-0000-0000-0000DA300000}"/>
    <cellStyle name="40% - Accent4 7 8 2" xfId="38816" xr:uid="{00000000-0005-0000-0000-0000DB300000}"/>
    <cellStyle name="40% - Accent4 7 9" xfId="23332" xr:uid="{00000000-0005-0000-0000-0000DC300000}"/>
    <cellStyle name="40% - Accent4 8" xfId="761" xr:uid="{00000000-0005-0000-0000-0000DD300000}"/>
    <cellStyle name="40% - Accent4 8 10" xfId="51889" xr:uid="{00000000-0005-0000-0000-0000DE300000}"/>
    <cellStyle name="40% - Accent4 8 2" xfId="3888" xr:uid="{00000000-0005-0000-0000-0000DF300000}"/>
    <cellStyle name="40% - Accent4 8 2 2" xfId="8446" xr:uid="{00000000-0005-0000-0000-0000E0300000}"/>
    <cellStyle name="40% - Accent4 8 2 2 2" xfId="16242" xr:uid="{00000000-0005-0000-0000-0000E1300000}"/>
    <cellStyle name="40% - Accent4 8 2 2 2 2" xfId="33877" xr:uid="{00000000-0005-0000-0000-0000E2300000}"/>
    <cellStyle name="40% - Accent4 8 2 2 3" xfId="22742" xr:uid="{00000000-0005-0000-0000-0000E3300000}"/>
    <cellStyle name="40% - Accent4 8 2 2 3 2" xfId="38952" xr:uid="{00000000-0005-0000-0000-0000E4300000}"/>
    <cellStyle name="40% - Accent4 8 2 2 4" xfId="26860" xr:uid="{00000000-0005-0000-0000-0000E5300000}"/>
    <cellStyle name="40% - Accent4 8 2 3" xfId="12596" xr:uid="{00000000-0005-0000-0000-0000E6300000}"/>
    <cellStyle name="40% - Accent4 8 2 3 2" xfId="30263" xr:uid="{00000000-0005-0000-0000-0000E7300000}"/>
    <cellStyle name="40% - Accent4 8 2 4" xfId="22142" xr:uid="{00000000-0005-0000-0000-0000E8300000}"/>
    <cellStyle name="40% - Accent4 8 2 4 2" xfId="38818" xr:uid="{00000000-0005-0000-0000-0000E9300000}"/>
    <cellStyle name="40% - Accent4 8 2 5" xfId="23995" xr:uid="{00000000-0005-0000-0000-0000EA300000}"/>
    <cellStyle name="40% - Accent4 8 3" xfId="5777" xr:uid="{00000000-0005-0000-0000-0000EB300000}"/>
    <cellStyle name="40% - Accent4 8 3 2" xfId="9077" xr:uid="{00000000-0005-0000-0000-0000EC300000}"/>
    <cellStyle name="40% - Accent4 8 3 2 2" xfId="16872" xr:uid="{00000000-0005-0000-0000-0000ED300000}"/>
    <cellStyle name="40% - Accent4 8 3 2 2 2" xfId="34508" xr:uid="{00000000-0005-0000-0000-0000EE300000}"/>
    <cellStyle name="40% - Accent4 8 3 2 3" xfId="27465" xr:uid="{00000000-0005-0000-0000-0000EF300000}"/>
    <cellStyle name="40% - Accent4 8 3 3" xfId="13633" xr:uid="{00000000-0005-0000-0000-0000F0300000}"/>
    <cellStyle name="40% - Accent4 8 3 3 2" xfId="31273" xr:uid="{00000000-0005-0000-0000-0000F1300000}"/>
    <cellStyle name="40% - Accent4 8 3 4" xfId="22741" xr:uid="{00000000-0005-0000-0000-0000F2300000}"/>
    <cellStyle name="40% - Accent4 8 3 4 2" xfId="38951" xr:uid="{00000000-0005-0000-0000-0000F3300000}"/>
    <cellStyle name="40% - Accent4 8 3 5" xfId="24600" xr:uid="{00000000-0005-0000-0000-0000F4300000}"/>
    <cellStyle name="40% - Accent4 8 4" xfId="6407" xr:uid="{00000000-0005-0000-0000-0000F5300000}"/>
    <cellStyle name="40% - Accent4 8 4 2" xfId="9617" xr:uid="{00000000-0005-0000-0000-0000F6300000}"/>
    <cellStyle name="40% - Accent4 8 4 2 2" xfId="17411" xr:uid="{00000000-0005-0000-0000-0000F7300000}"/>
    <cellStyle name="40% - Accent4 8 4 2 2 2" xfId="35048" xr:uid="{00000000-0005-0000-0000-0000F8300000}"/>
    <cellStyle name="40% - Accent4 8 4 2 3" xfId="28001" xr:uid="{00000000-0005-0000-0000-0000F9300000}"/>
    <cellStyle name="40% - Accent4 8 4 3" xfId="14196" xr:uid="{00000000-0005-0000-0000-0000FA300000}"/>
    <cellStyle name="40% - Accent4 8 4 3 2" xfId="31831" xr:uid="{00000000-0005-0000-0000-0000FB300000}"/>
    <cellStyle name="40% - Accent4 8 4 4" xfId="25137" xr:uid="{00000000-0005-0000-0000-0000FC300000}"/>
    <cellStyle name="40% - Accent4 8 5" xfId="6945" xr:uid="{00000000-0005-0000-0000-0000FD300000}"/>
    <cellStyle name="40% - Accent4 8 5 2" xfId="10155" xr:uid="{00000000-0005-0000-0000-0000FE300000}"/>
    <cellStyle name="40% - Accent4 8 5 2 2" xfId="17948" xr:uid="{00000000-0005-0000-0000-0000FF300000}"/>
    <cellStyle name="40% - Accent4 8 5 2 2 2" xfId="35585" xr:uid="{00000000-0005-0000-0000-000000310000}"/>
    <cellStyle name="40% - Accent4 8 5 2 3" xfId="28538" xr:uid="{00000000-0005-0000-0000-000001310000}"/>
    <cellStyle name="40% - Accent4 8 5 3" xfId="14733" xr:uid="{00000000-0005-0000-0000-000002310000}"/>
    <cellStyle name="40% - Accent4 8 5 3 2" xfId="32368" xr:uid="{00000000-0005-0000-0000-000003310000}"/>
    <cellStyle name="40% - Accent4 8 5 4" xfId="25675" xr:uid="{00000000-0005-0000-0000-000004310000}"/>
    <cellStyle name="40% - Accent4 8 6" xfId="7765" xr:uid="{00000000-0005-0000-0000-000005310000}"/>
    <cellStyle name="40% - Accent4 8 6 2" xfId="15562" xr:uid="{00000000-0005-0000-0000-000006310000}"/>
    <cellStyle name="40% - Accent4 8 6 2 2" xfId="33197" xr:uid="{00000000-0005-0000-0000-000007310000}"/>
    <cellStyle name="40% - Accent4 8 6 3" xfId="26198" xr:uid="{00000000-0005-0000-0000-000008310000}"/>
    <cellStyle name="40% - Accent4 8 7" xfId="11433" xr:uid="{00000000-0005-0000-0000-000009310000}"/>
    <cellStyle name="40% - Accent4 8 7 2" xfId="29154" xr:uid="{00000000-0005-0000-0000-00000A310000}"/>
    <cellStyle name="40% - Accent4 8 8" xfId="22141" xr:uid="{00000000-0005-0000-0000-00000B310000}"/>
    <cellStyle name="40% - Accent4 8 8 2" xfId="38817" xr:uid="{00000000-0005-0000-0000-00000C310000}"/>
    <cellStyle name="40% - Accent4 8 9" xfId="23333" xr:uid="{00000000-0005-0000-0000-00000D310000}"/>
    <cellStyle name="40% - Accent4 9" xfId="762" xr:uid="{00000000-0005-0000-0000-00000E310000}"/>
    <cellStyle name="40% - Accent4 9 10" xfId="51890" xr:uid="{00000000-0005-0000-0000-00000F310000}"/>
    <cellStyle name="40% - Accent4 9 2" xfId="3889" xr:uid="{00000000-0005-0000-0000-000010310000}"/>
    <cellStyle name="40% - Accent4 9 2 2" xfId="8447" xr:uid="{00000000-0005-0000-0000-000011310000}"/>
    <cellStyle name="40% - Accent4 9 2 2 2" xfId="16243" xr:uid="{00000000-0005-0000-0000-000012310000}"/>
    <cellStyle name="40% - Accent4 9 2 2 2 2" xfId="33878" xr:uid="{00000000-0005-0000-0000-000013310000}"/>
    <cellStyle name="40% - Accent4 9 2 2 3" xfId="26861" xr:uid="{00000000-0005-0000-0000-000014310000}"/>
    <cellStyle name="40% - Accent4 9 2 3" xfId="12597" xr:uid="{00000000-0005-0000-0000-000015310000}"/>
    <cellStyle name="40% - Accent4 9 2 3 2" xfId="30264" xr:uid="{00000000-0005-0000-0000-000016310000}"/>
    <cellStyle name="40% - Accent4 9 2 4" xfId="22743" xr:uid="{00000000-0005-0000-0000-000017310000}"/>
    <cellStyle name="40% - Accent4 9 2 4 2" xfId="38953" xr:uid="{00000000-0005-0000-0000-000018310000}"/>
    <cellStyle name="40% - Accent4 9 2 5" xfId="23996" xr:uid="{00000000-0005-0000-0000-000019310000}"/>
    <cellStyle name="40% - Accent4 9 3" xfId="5778" xr:uid="{00000000-0005-0000-0000-00001A310000}"/>
    <cellStyle name="40% - Accent4 9 3 2" xfId="9078" xr:uid="{00000000-0005-0000-0000-00001B310000}"/>
    <cellStyle name="40% - Accent4 9 3 2 2" xfId="16873" xr:uid="{00000000-0005-0000-0000-00001C310000}"/>
    <cellStyle name="40% - Accent4 9 3 2 2 2" xfId="34509" xr:uid="{00000000-0005-0000-0000-00001D310000}"/>
    <cellStyle name="40% - Accent4 9 3 2 3" xfId="27466" xr:uid="{00000000-0005-0000-0000-00001E310000}"/>
    <cellStyle name="40% - Accent4 9 3 3" xfId="13634" xr:uid="{00000000-0005-0000-0000-00001F310000}"/>
    <cellStyle name="40% - Accent4 9 3 3 2" xfId="31274" xr:uid="{00000000-0005-0000-0000-000020310000}"/>
    <cellStyle name="40% - Accent4 9 3 4" xfId="24601" xr:uid="{00000000-0005-0000-0000-000021310000}"/>
    <cellStyle name="40% - Accent4 9 4" xfId="6408" xr:uid="{00000000-0005-0000-0000-000022310000}"/>
    <cellStyle name="40% - Accent4 9 4 2" xfId="9618" xr:uid="{00000000-0005-0000-0000-000023310000}"/>
    <cellStyle name="40% - Accent4 9 4 2 2" xfId="17412" xr:uid="{00000000-0005-0000-0000-000024310000}"/>
    <cellStyle name="40% - Accent4 9 4 2 2 2" xfId="35049" xr:uid="{00000000-0005-0000-0000-000025310000}"/>
    <cellStyle name="40% - Accent4 9 4 2 3" xfId="28002" xr:uid="{00000000-0005-0000-0000-000026310000}"/>
    <cellStyle name="40% - Accent4 9 4 3" xfId="14197" xr:uid="{00000000-0005-0000-0000-000027310000}"/>
    <cellStyle name="40% - Accent4 9 4 3 2" xfId="31832" xr:uid="{00000000-0005-0000-0000-000028310000}"/>
    <cellStyle name="40% - Accent4 9 4 4" xfId="25138" xr:uid="{00000000-0005-0000-0000-000029310000}"/>
    <cellStyle name="40% - Accent4 9 5" xfId="6946" xr:uid="{00000000-0005-0000-0000-00002A310000}"/>
    <cellStyle name="40% - Accent4 9 5 2" xfId="10156" xr:uid="{00000000-0005-0000-0000-00002B310000}"/>
    <cellStyle name="40% - Accent4 9 5 2 2" xfId="17949" xr:uid="{00000000-0005-0000-0000-00002C310000}"/>
    <cellStyle name="40% - Accent4 9 5 2 2 2" xfId="35586" xr:uid="{00000000-0005-0000-0000-00002D310000}"/>
    <cellStyle name="40% - Accent4 9 5 2 3" xfId="28539" xr:uid="{00000000-0005-0000-0000-00002E310000}"/>
    <cellStyle name="40% - Accent4 9 5 3" xfId="14734" xr:uid="{00000000-0005-0000-0000-00002F310000}"/>
    <cellStyle name="40% - Accent4 9 5 3 2" xfId="32369" xr:uid="{00000000-0005-0000-0000-000030310000}"/>
    <cellStyle name="40% - Accent4 9 5 4" xfId="25676" xr:uid="{00000000-0005-0000-0000-000031310000}"/>
    <cellStyle name="40% - Accent4 9 6" xfId="7766" xr:uid="{00000000-0005-0000-0000-000032310000}"/>
    <cellStyle name="40% - Accent4 9 6 2" xfId="15563" xr:uid="{00000000-0005-0000-0000-000033310000}"/>
    <cellStyle name="40% - Accent4 9 6 2 2" xfId="33198" xr:uid="{00000000-0005-0000-0000-000034310000}"/>
    <cellStyle name="40% - Accent4 9 6 3" xfId="26199" xr:uid="{00000000-0005-0000-0000-000035310000}"/>
    <cellStyle name="40% - Accent4 9 7" xfId="11434" xr:uid="{00000000-0005-0000-0000-000036310000}"/>
    <cellStyle name="40% - Accent4 9 7 2" xfId="29155" xr:uid="{00000000-0005-0000-0000-000037310000}"/>
    <cellStyle name="40% - Accent4 9 8" xfId="22143" xr:uid="{00000000-0005-0000-0000-000038310000}"/>
    <cellStyle name="40% - Accent4 9 8 2" xfId="38819" xr:uid="{00000000-0005-0000-0000-000039310000}"/>
    <cellStyle name="40% - Accent4 9 9" xfId="23334" xr:uid="{00000000-0005-0000-0000-00003A310000}"/>
    <cellStyle name="40% - Accent5" xfId="181" builtinId="47" customBuiltin="1"/>
    <cellStyle name="40% - Accent5 10" xfId="7510" xr:uid="{00000000-0005-0000-0000-00003C310000}"/>
    <cellStyle name="40% - Accent5 10 2" xfId="15309" xr:uid="{00000000-0005-0000-0000-00003D310000}"/>
    <cellStyle name="40% - Accent5 10 2 2" xfId="32944" xr:uid="{00000000-0005-0000-0000-00003E310000}"/>
    <cellStyle name="40% - Accent5 10 3" xfId="22144" xr:uid="{00000000-0005-0000-0000-00003F310000}"/>
    <cellStyle name="40% - Accent5 10 4" xfId="25945" xr:uid="{00000000-0005-0000-0000-000040310000}"/>
    <cellStyle name="40% - Accent5 11" xfId="18878" xr:uid="{00000000-0005-0000-0000-000041310000}"/>
    <cellStyle name="40% - Accent5 11 2" xfId="36515" xr:uid="{00000000-0005-0000-0000-000042310000}"/>
    <cellStyle name="40% - Accent5 12" xfId="11435" xr:uid="{00000000-0005-0000-0000-000043310000}"/>
    <cellStyle name="40% - Accent5 12 2" xfId="29156" xr:uid="{00000000-0005-0000-0000-000044310000}"/>
    <cellStyle name="40% - Accent5 13" xfId="21936" xr:uid="{00000000-0005-0000-0000-000045310000}"/>
    <cellStyle name="40% - Accent5 13 2" xfId="38689" xr:uid="{00000000-0005-0000-0000-000046310000}"/>
    <cellStyle name="40% - Accent5 14" xfId="23077" xr:uid="{00000000-0005-0000-0000-000047310000}"/>
    <cellStyle name="40% - Accent5 15" xfId="51489" xr:uid="{00000000-0005-0000-0000-000048310000}"/>
    <cellStyle name="40% - Accent5 16" xfId="51502" xr:uid="{00000000-0005-0000-0000-000049310000}"/>
    <cellStyle name="40% - Accent5 17" xfId="51515" xr:uid="{00000000-0005-0000-0000-00004A310000}"/>
    <cellStyle name="40% - Accent5 18" xfId="51891" xr:uid="{00000000-0005-0000-0000-00004B310000}"/>
    <cellStyle name="40% - Accent5 2" xfId="31" xr:uid="{00000000-0005-0000-0000-00004C310000}"/>
    <cellStyle name="40% - Accent5 2 10" xfId="764" xr:uid="{00000000-0005-0000-0000-00004D310000}"/>
    <cellStyle name="40% - Accent5 2 11" xfId="765" xr:uid="{00000000-0005-0000-0000-00004E310000}"/>
    <cellStyle name="40% - Accent5 2 12" xfId="766" xr:uid="{00000000-0005-0000-0000-00004F310000}"/>
    <cellStyle name="40% - Accent5 2 13" xfId="767" xr:uid="{00000000-0005-0000-0000-000050310000}"/>
    <cellStyle name="40% - Accent5 2 14" xfId="768" xr:uid="{00000000-0005-0000-0000-000051310000}"/>
    <cellStyle name="40% - Accent5 2 15" xfId="3890" xr:uid="{00000000-0005-0000-0000-000052310000}"/>
    <cellStyle name="40% - Accent5 2 16" xfId="3891" xr:uid="{00000000-0005-0000-0000-000053310000}"/>
    <cellStyle name="40% - Accent5 2 17" xfId="3892" xr:uid="{00000000-0005-0000-0000-000054310000}"/>
    <cellStyle name="40% - Accent5 2 18" xfId="763" xr:uid="{00000000-0005-0000-0000-000055310000}"/>
    <cellStyle name="40% - Accent5 2 2" xfId="769" xr:uid="{00000000-0005-0000-0000-000056310000}"/>
    <cellStyle name="40% - Accent5 2 2 2" xfId="770" xr:uid="{00000000-0005-0000-0000-000057310000}"/>
    <cellStyle name="40% - Accent5 2 2 3" xfId="771" xr:uid="{00000000-0005-0000-0000-000058310000}"/>
    <cellStyle name="40% - Accent5 2 2 4" xfId="3893" xr:uid="{00000000-0005-0000-0000-000059310000}"/>
    <cellStyle name="40% - Accent5 2 2 5" xfId="3894" xr:uid="{00000000-0005-0000-0000-00005A310000}"/>
    <cellStyle name="40% - Accent5 2 2_Sheet1" xfId="772" xr:uid="{00000000-0005-0000-0000-00005B310000}"/>
    <cellStyle name="40% - Accent5 2 3" xfId="773" xr:uid="{00000000-0005-0000-0000-00005C310000}"/>
    <cellStyle name="40% - Accent5 2 4" xfId="774" xr:uid="{00000000-0005-0000-0000-00005D310000}"/>
    <cellStyle name="40% - Accent5 2 5" xfId="775" xr:uid="{00000000-0005-0000-0000-00005E310000}"/>
    <cellStyle name="40% - Accent5 2 6" xfId="776" xr:uid="{00000000-0005-0000-0000-00005F310000}"/>
    <cellStyle name="40% - Accent5 2 7" xfId="777" xr:uid="{00000000-0005-0000-0000-000060310000}"/>
    <cellStyle name="40% - Accent5 2 8" xfId="778" xr:uid="{00000000-0005-0000-0000-000061310000}"/>
    <cellStyle name="40% - Accent5 2 9" xfId="779" xr:uid="{00000000-0005-0000-0000-000062310000}"/>
    <cellStyle name="40% - Accent5 2_BallGrid" xfId="780" xr:uid="{00000000-0005-0000-0000-000063310000}"/>
    <cellStyle name="40% - Accent5 3" xfId="32" xr:uid="{00000000-0005-0000-0000-000064310000}"/>
    <cellStyle name="40% - Accent5 3 2" xfId="781" xr:uid="{00000000-0005-0000-0000-000065310000}"/>
    <cellStyle name="40% - Accent5 3 3" xfId="782" xr:uid="{00000000-0005-0000-0000-000066310000}"/>
    <cellStyle name="40% - Accent5 3 4" xfId="3895" xr:uid="{00000000-0005-0000-0000-000067310000}"/>
    <cellStyle name="40% - Accent5 4" xfId="33" xr:uid="{00000000-0005-0000-0000-000068310000}"/>
    <cellStyle name="40% - Accent5 4 2" xfId="783" xr:uid="{00000000-0005-0000-0000-000069310000}"/>
    <cellStyle name="40% - Accent5 4 3" xfId="784" xr:uid="{00000000-0005-0000-0000-00006A310000}"/>
    <cellStyle name="40% - Accent5 4 4" xfId="3896" xr:uid="{00000000-0005-0000-0000-00006B310000}"/>
    <cellStyle name="40% - Accent5 4 5" xfId="3897" xr:uid="{00000000-0005-0000-0000-00006C310000}"/>
    <cellStyle name="40% - Accent5 5" xfId="785" xr:uid="{00000000-0005-0000-0000-00006D310000}"/>
    <cellStyle name="40% - Accent5 5 10" xfId="22145" xr:uid="{00000000-0005-0000-0000-00006E310000}"/>
    <cellStyle name="40% - Accent5 5 11" xfId="23335" xr:uid="{00000000-0005-0000-0000-00006F310000}"/>
    <cellStyle name="40% - Accent5 5 12" xfId="51892" xr:uid="{00000000-0005-0000-0000-000070310000}"/>
    <cellStyle name="40% - Accent5 5 2" xfId="3899" xr:uid="{00000000-0005-0000-0000-000071310000}"/>
    <cellStyle name="40% - Accent5 5 2 2" xfId="8449" xr:uid="{00000000-0005-0000-0000-000072310000}"/>
    <cellStyle name="40% - Accent5 5 2 2 2" xfId="16245" xr:uid="{00000000-0005-0000-0000-000073310000}"/>
    <cellStyle name="40% - Accent5 5 2 2 2 2" xfId="33880" xr:uid="{00000000-0005-0000-0000-000074310000}"/>
    <cellStyle name="40% - Accent5 5 2 2 3" xfId="26863" xr:uid="{00000000-0005-0000-0000-000075310000}"/>
    <cellStyle name="40% - Accent5 5 2 3" xfId="12599" xr:uid="{00000000-0005-0000-0000-000076310000}"/>
    <cellStyle name="40% - Accent5 5 2 3 2" xfId="30266" xr:uid="{00000000-0005-0000-0000-000077310000}"/>
    <cellStyle name="40% - Accent5 5 2 4" xfId="23998" xr:uid="{00000000-0005-0000-0000-000078310000}"/>
    <cellStyle name="40% - Accent5 5 3" xfId="3900" xr:uid="{00000000-0005-0000-0000-000079310000}"/>
    <cellStyle name="40% - Accent5 5 4" xfId="3898" xr:uid="{00000000-0005-0000-0000-00007A310000}"/>
    <cellStyle name="40% - Accent5 5 4 2" xfId="8448" xr:uid="{00000000-0005-0000-0000-00007B310000}"/>
    <cellStyle name="40% - Accent5 5 4 2 2" xfId="16244" xr:uid="{00000000-0005-0000-0000-00007C310000}"/>
    <cellStyle name="40% - Accent5 5 4 2 2 2" xfId="33879" xr:uid="{00000000-0005-0000-0000-00007D310000}"/>
    <cellStyle name="40% - Accent5 5 4 2 3" xfId="26862" xr:uid="{00000000-0005-0000-0000-00007E310000}"/>
    <cellStyle name="40% - Accent5 5 4 3" xfId="12598" xr:uid="{00000000-0005-0000-0000-00007F310000}"/>
    <cellStyle name="40% - Accent5 5 4 3 2" xfId="30265" xr:uid="{00000000-0005-0000-0000-000080310000}"/>
    <cellStyle name="40% - Accent5 5 4 4" xfId="23997" xr:uid="{00000000-0005-0000-0000-000081310000}"/>
    <cellStyle name="40% - Accent5 5 5" xfId="5780" xr:uid="{00000000-0005-0000-0000-000082310000}"/>
    <cellStyle name="40% - Accent5 5 5 2" xfId="9080" xr:uid="{00000000-0005-0000-0000-000083310000}"/>
    <cellStyle name="40% - Accent5 5 5 2 2" xfId="16875" xr:uid="{00000000-0005-0000-0000-000084310000}"/>
    <cellStyle name="40% - Accent5 5 5 2 2 2" xfId="34511" xr:uid="{00000000-0005-0000-0000-000085310000}"/>
    <cellStyle name="40% - Accent5 5 5 2 3" xfId="27468" xr:uid="{00000000-0005-0000-0000-000086310000}"/>
    <cellStyle name="40% - Accent5 5 5 3" xfId="13636" xr:uid="{00000000-0005-0000-0000-000087310000}"/>
    <cellStyle name="40% - Accent5 5 5 3 2" xfId="31276" xr:uid="{00000000-0005-0000-0000-000088310000}"/>
    <cellStyle name="40% - Accent5 5 5 4" xfId="24603" xr:uid="{00000000-0005-0000-0000-000089310000}"/>
    <cellStyle name="40% - Accent5 5 6" xfId="6410" xr:uid="{00000000-0005-0000-0000-00008A310000}"/>
    <cellStyle name="40% - Accent5 5 6 2" xfId="9620" xr:uid="{00000000-0005-0000-0000-00008B310000}"/>
    <cellStyle name="40% - Accent5 5 6 2 2" xfId="17414" xr:uid="{00000000-0005-0000-0000-00008C310000}"/>
    <cellStyle name="40% - Accent5 5 6 2 2 2" xfId="35051" xr:uid="{00000000-0005-0000-0000-00008D310000}"/>
    <cellStyle name="40% - Accent5 5 6 2 3" xfId="28004" xr:uid="{00000000-0005-0000-0000-00008E310000}"/>
    <cellStyle name="40% - Accent5 5 6 3" xfId="14199" xr:uid="{00000000-0005-0000-0000-00008F310000}"/>
    <cellStyle name="40% - Accent5 5 6 3 2" xfId="31834" xr:uid="{00000000-0005-0000-0000-000090310000}"/>
    <cellStyle name="40% - Accent5 5 6 4" xfId="25140" xr:uid="{00000000-0005-0000-0000-000091310000}"/>
    <cellStyle name="40% - Accent5 5 7" xfId="6948" xr:uid="{00000000-0005-0000-0000-000092310000}"/>
    <cellStyle name="40% - Accent5 5 7 2" xfId="10158" xr:uid="{00000000-0005-0000-0000-000093310000}"/>
    <cellStyle name="40% - Accent5 5 7 2 2" xfId="17951" xr:uid="{00000000-0005-0000-0000-000094310000}"/>
    <cellStyle name="40% - Accent5 5 7 2 2 2" xfId="35588" xr:uid="{00000000-0005-0000-0000-000095310000}"/>
    <cellStyle name="40% - Accent5 5 7 2 3" xfId="28541" xr:uid="{00000000-0005-0000-0000-000096310000}"/>
    <cellStyle name="40% - Accent5 5 7 3" xfId="14736" xr:uid="{00000000-0005-0000-0000-000097310000}"/>
    <cellStyle name="40% - Accent5 5 7 3 2" xfId="32371" xr:uid="{00000000-0005-0000-0000-000098310000}"/>
    <cellStyle name="40% - Accent5 5 7 4" xfId="25678" xr:uid="{00000000-0005-0000-0000-000099310000}"/>
    <cellStyle name="40% - Accent5 5 8" xfId="7767" xr:uid="{00000000-0005-0000-0000-00009A310000}"/>
    <cellStyle name="40% - Accent5 5 8 2" xfId="15564" xr:uid="{00000000-0005-0000-0000-00009B310000}"/>
    <cellStyle name="40% - Accent5 5 8 2 2" xfId="33199" xr:uid="{00000000-0005-0000-0000-00009C310000}"/>
    <cellStyle name="40% - Accent5 5 8 3" xfId="26200" xr:uid="{00000000-0005-0000-0000-00009D310000}"/>
    <cellStyle name="40% - Accent5 5 9" xfId="11436" xr:uid="{00000000-0005-0000-0000-00009E310000}"/>
    <cellStyle name="40% - Accent5 5 9 2" xfId="29157" xr:uid="{00000000-0005-0000-0000-00009F310000}"/>
    <cellStyle name="40% - Accent5 6" xfId="3450" xr:uid="{00000000-0005-0000-0000-0000A0310000}"/>
    <cellStyle name="40% - Accent5 6 2" xfId="8076" xr:uid="{00000000-0005-0000-0000-0000A1310000}"/>
    <cellStyle name="40% - Accent5 6 2 2" xfId="15872" xr:uid="{00000000-0005-0000-0000-0000A2310000}"/>
    <cellStyle name="40% - Accent5 6 2 2 2" xfId="33507" xr:uid="{00000000-0005-0000-0000-0000A3310000}"/>
    <cellStyle name="40% - Accent5 6 2 3" xfId="26490" xr:uid="{00000000-0005-0000-0000-0000A4310000}"/>
    <cellStyle name="40% - Accent5 6 3" xfId="12184" xr:uid="{00000000-0005-0000-0000-0000A5310000}"/>
    <cellStyle name="40% - Accent5 6 3 2" xfId="29856" xr:uid="{00000000-0005-0000-0000-0000A6310000}"/>
    <cellStyle name="40% - Accent5 6 4" xfId="22146" xr:uid="{00000000-0005-0000-0000-0000A7310000}"/>
    <cellStyle name="40% - Accent5 6 5" xfId="23625" xr:uid="{00000000-0005-0000-0000-0000A8310000}"/>
    <cellStyle name="40% - Accent5 7" xfId="5779" xr:uid="{00000000-0005-0000-0000-0000A9310000}"/>
    <cellStyle name="40% - Accent5 7 2" xfId="9079" xr:uid="{00000000-0005-0000-0000-0000AA310000}"/>
    <cellStyle name="40% - Accent5 7 2 2" xfId="16874" xr:uid="{00000000-0005-0000-0000-0000AB310000}"/>
    <cellStyle name="40% - Accent5 7 2 2 2" xfId="34510" xr:uid="{00000000-0005-0000-0000-0000AC310000}"/>
    <cellStyle name="40% - Accent5 7 2 3" xfId="22744" xr:uid="{00000000-0005-0000-0000-0000AD310000}"/>
    <cellStyle name="40% - Accent5 7 2 3 2" xfId="38954" xr:uid="{00000000-0005-0000-0000-0000AE310000}"/>
    <cellStyle name="40% - Accent5 7 2 4" xfId="27467" xr:uid="{00000000-0005-0000-0000-0000AF310000}"/>
    <cellStyle name="40% - Accent5 7 3" xfId="13635" xr:uid="{00000000-0005-0000-0000-0000B0310000}"/>
    <cellStyle name="40% - Accent5 7 3 2" xfId="31275" xr:uid="{00000000-0005-0000-0000-0000B1310000}"/>
    <cellStyle name="40% - Accent5 7 4" xfId="22147" xr:uid="{00000000-0005-0000-0000-0000B2310000}"/>
    <cellStyle name="40% - Accent5 7 4 2" xfId="38820" xr:uid="{00000000-0005-0000-0000-0000B3310000}"/>
    <cellStyle name="40% - Accent5 7 5" xfId="24602" xr:uid="{00000000-0005-0000-0000-0000B4310000}"/>
    <cellStyle name="40% - Accent5 8" xfId="6409" xr:uid="{00000000-0005-0000-0000-0000B5310000}"/>
    <cellStyle name="40% - Accent5 8 2" xfId="9619" xr:uid="{00000000-0005-0000-0000-0000B6310000}"/>
    <cellStyle name="40% - Accent5 8 2 2" xfId="17413" xr:uid="{00000000-0005-0000-0000-0000B7310000}"/>
    <cellStyle name="40% - Accent5 8 2 2 2" xfId="35050" xr:uid="{00000000-0005-0000-0000-0000B8310000}"/>
    <cellStyle name="40% - Accent5 8 2 3" xfId="28003" xr:uid="{00000000-0005-0000-0000-0000B9310000}"/>
    <cellStyle name="40% - Accent5 8 3" xfId="14198" xr:uid="{00000000-0005-0000-0000-0000BA310000}"/>
    <cellStyle name="40% - Accent5 8 3 2" xfId="31833" xr:uid="{00000000-0005-0000-0000-0000BB310000}"/>
    <cellStyle name="40% - Accent5 8 4" xfId="22148" xr:uid="{00000000-0005-0000-0000-0000BC310000}"/>
    <cellStyle name="40% - Accent5 8 5" xfId="25139" xr:uid="{00000000-0005-0000-0000-0000BD310000}"/>
    <cellStyle name="40% - Accent5 9" xfId="6947" xr:uid="{00000000-0005-0000-0000-0000BE310000}"/>
    <cellStyle name="40% - Accent5 9 2" xfId="10157" xr:uid="{00000000-0005-0000-0000-0000BF310000}"/>
    <cellStyle name="40% - Accent5 9 2 2" xfId="17950" xr:uid="{00000000-0005-0000-0000-0000C0310000}"/>
    <cellStyle name="40% - Accent5 9 2 2 2" xfId="35587" xr:uid="{00000000-0005-0000-0000-0000C1310000}"/>
    <cellStyle name="40% - Accent5 9 2 3" xfId="28540" xr:uid="{00000000-0005-0000-0000-0000C2310000}"/>
    <cellStyle name="40% - Accent5 9 3" xfId="14735" xr:uid="{00000000-0005-0000-0000-0000C3310000}"/>
    <cellStyle name="40% - Accent5 9 3 2" xfId="32370" xr:uid="{00000000-0005-0000-0000-0000C4310000}"/>
    <cellStyle name="40% - Accent5 9 4" xfId="22691" xr:uid="{00000000-0005-0000-0000-0000C5310000}"/>
    <cellStyle name="40% - Accent5 9 4 2" xfId="38910" xr:uid="{00000000-0005-0000-0000-0000C6310000}"/>
    <cellStyle name="40% - Accent5 9 5" xfId="25677" xr:uid="{00000000-0005-0000-0000-0000C7310000}"/>
    <cellStyle name="40% - Accent6" xfId="185" builtinId="51" customBuiltin="1"/>
    <cellStyle name="40% - Accent6 10" xfId="786" xr:uid="{00000000-0005-0000-0000-0000C9310000}"/>
    <cellStyle name="40% - Accent6 10 2" xfId="787" xr:uid="{00000000-0005-0000-0000-0000CA310000}"/>
    <cellStyle name="40% - Accent6 10 3" xfId="788" xr:uid="{00000000-0005-0000-0000-0000CB310000}"/>
    <cellStyle name="40% - Accent6 10 3 2" xfId="8450" xr:uid="{00000000-0005-0000-0000-0000CC310000}"/>
    <cellStyle name="40% - Accent6 10 3 2 2" xfId="16246" xr:uid="{00000000-0005-0000-0000-0000CD310000}"/>
    <cellStyle name="40% - Accent6 10 3 2 2 2" xfId="33881" xr:uid="{00000000-0005-0000-0000-0000CE310000}"/>
    <cellStyle name="40% - Accent6 10 3 2 3" xfId="26864" xr:uid="{00000000-0005-0000-0000-0000CF310000}"/>
    <cellStyle name="40% - Accent6 10 3 3" xfId="12600" xr:uid="{00000000-0005-0000-0000-0000D0310000}"/>
    <cellStyle name="40% - Accent6 10 3 3 2" xfId="30267" xr:uid="{00000000-0005-0000-0000-0000D1310000}"/>
    <cellStyle name="40% - Accent6 10 3 4" xfId="23999" xr:uid="{00000000-0005-0000-0000-0000D2310000}"/>
    <cellStyle name="40% - Accent6 10 3 5" xfId="51893" xr:uid="{00000000-0005-0000-0000-0000D3310000}"/>
    <cellStyle name="40% - Accent6 10 4" xfId="7768" xr:uid="{00000000-0005-0000-0000-0000D4310000}"/>
    <cellStyle name="40% - Accent6 10 4 2" xfId="15565" xr:uid="{00000000-0005-0000-0000-0000D5310000}"/>
    <cellStyle name="40% - Accent6 10 4 2 2" xfId="33200" xr:uid="{00000000-0005-0000-0000-0000D6310000}"/>
    <cellStyle name="40% - Accent6 10 4 3" xfId="26201" xr:uid="{00000000-0005-0000-0000-0000D7310000}"/>
    <cellStyle name="40% - Accent6 10 5" xfId="11437" xr:uid="{00000000-0005-0000-0000-0000D8310000}"/>
    <cellStyle name="40% - Accent6 10 5 2" xfId="29158" xr:uid="{00000000-0005-0000-0000-0000D9310000}"/>
    <cellStyle name="40% - Accent6 10 6" xfId="22150" xr:uid="{00000000-0005-0000-0000-0000DA310000}"/>
    <cellStyle name="40% - Accent6 10 6 2" xfId="38821" xr:uid="{00000000-0005-0000-0000-0000DB310000}"/>
    <cellStyle name="40% - Accent6 10 7" xfId="23336" xr:uid="{00000000-0005-0000-0000-0000DC310000}"/>
    <cellStyle name="40% - Accent6 11" xfId="789" xr:uid="{00000000-0005-0000-0000-0000DD310000}"/>
    <cellStyle name="40% - Accent6 11 10" xfId="51894" xr:uid="{00000000-0005-0000-0000-0000DE310000}"/>
    <cellStyle name="40% - Accent6 11 2" xfId="3901" xr:uid="{00000000-0005-0000-0000-0000DF310000}"/>
    <cellStyle name="40% - Accent6 11 2 2" xfId="8451" xr:uid="{00000000-0005-0000-0000-0000E0310000}"/>
    <cellStyle name="40% - Accent6 11 2 2 2" xfId="16247" xr:uid="{00000000-0005-0000-0000-0000E1310000}"/>
    <cellStyle name="40% - Accent6 11 2 2 2 2" xfId="33882" xr:uid="{00000000-0005-0000-0000-0000E2310000}"/>
    <cellStyle name="40% - Accent6 11 2 2 3" xfId="26865" xr:uid="{00000000-0005-0000-0000-0000E3310000}"/>
    <cellStyle name="40% - Accent6 11 2 3" xfId="12601" xr:uid="{00000000-0005-0000-0000-0000E4310000}"/>
    <cellStyle name="40% - Accent6 11 2 3 2" xfId="30268" xr:uid="{00000000-0005-0000-0000-0000E5310000}"/>
    <cellStyle name="40% - Accent6 11 2 4" xfId="24000" xr:uid="{00000000-0005-0000-0000-0000E6310000}"/>
    <cellStyle name="40% - Accent6 11 3" xfId="5781" xr:uid="{00000000-0005-0000-0000-0000E7310000}"/>
    <cellStyle name="40% - Accent6 11 3 2" xfId="9081" xr:uid="{00000000-0005-0000-0000-0000E8310000}"/>
    <cellStyle name="40% - Accent6 11 3 2 2" xfId="16876" xr:uid="{00000000-0005-0000-0000-0000E9310000}"/>
    <cellStyle name="40% - Accent6 11 3 2 2 2" xfId="34512" xr:uid="{00000000-0005-0000-0000-0000EA310000}"/>
    <cellStyle name="40% - Accent6 11 3 2 3" xfId="27469" xr:uid="{00000000-0005-0000-0000-0000EB310000}"/>
    <cellStyle name="40% - Accent6 11 3 3" xfId="13637" xr:uid="{00000000-0005-0000-0000-0000EC310000}"/>
    <cellStyle name="40% - Accent6 11 3 3 2" xfId="31277" xr:uid="{00000000-0005-0000-0000-0000ED310000}"/>
    <cellStyle name="40% - Accent6 11 3 4" xfId="24604" xr:uid="{00000000-0005-0000-0000-0000EE310000}"/>
    <cellStyle name="40% - Accent6 11 4" xfId="6411" xr:uid="{00000000-0005-0000-0000-0000EF310000}"/>
    <cellStyle name="40% - Accent6 11 4 2" xfId="9621" xr:uid="{00000000-0005-0000-0000-0000F0310000}"/>
    <cellStyle name="40% - Accent6 11 4 2 2" xfId="17415" xr:uid="{00000000-0005-0000-0000-0000F1310000}"/>
    <cellStyle name="40% - Accent6 11 4 2 2 2" xfId="35052" xr:uid="{00000000-0005-0000-0000-0000F2310000}"/>
    <cellStyle name="40% - Accent6 11 4 2 3" xfId="28005" xr:uid="{00000000-0005-0000-0000-0000F3310000}"/>
    <cellStyle name="40% - Accent6 11 4 3" xfId="14200" xr:uid="{00000000-0005-0000-0000-0000F4310000}"/>
    <cellStyle name="40% - Accent6 11 4 3 2" xfId="31835" xr:uid="{00000000-0005-0000-0000-0000F5310000}"/>
    <cellStyle name="40% - Accent6 11 4 4" xfId="25141" xr:uid="{00000000-0005-0000-0000-0000F6310000}"/>
    <cellStyle name="40% - Accent6 11 5" xfId="6949" xr:uid="{00000000-0005-0000-0000-0000F7310000}"/>
    <cellStyle name="40% - Accent6 11 5 2" xfId="10159" xr:uid="{00000000-0005-0000-0000-0000F8310000}"/>
    <cellStyle name="40% - Accent6 11 5 2 2" xfId="17952" xr:uid="{00000000-0005-0000-0000-0000F9310000}"/>
    <cellStyle name="40% - Accent6 11 5 2 2 2" xfId="35589" xr:uid="{00000000-0005-0000-0000-0000FA310000}"/>
    <cellStyle name="40% - Accent6 11 5 2 3" xfId="28542" xr:uid="{00000000-0005-0000-0000-0000FB310000}"/>
    <cellStyle name="40% - Accent6 11 5 3" xfId="14737" xr:uid="{00000000-0005-0000-0000-0000FC310000}"/>
    <cellStyle name="40% - Accent6 11 5 3 2" xfId="32372" xr:uid="{00000000-0005-0000-0000-0000FD310000}"/>
    <cellStyle name="40% - Accent6 11 5 4" xfId="25679" xr:uid="{00000000-0005-0000-0000-0000FE310000}"/>
    <cellStyle name="40% - Accent6 11 6" xfId="7769" xr:uid="{00000000-0005-0000-0000-0000FF310000}"/>
    <cellStyle name="40% - Accent6 11 6 2" xfId="15566" xr:uid="{00000000-0005-0000-0000-000000320000}"/>
    <cellStyle name="40% - Accent6 11 6 2 2" xfId="33201" xr:uid="{00000000-0005-0000-0000-000001320000}"/>
    <cellStyle name="40% - Accent6 11 6 3" xfId="26202" xr:uid="{00000000-0005-0000-0000-000002320000}"/>
    <cellStyle name="40% - Accent6 11 7" xfId="11438" xr:uid="{00000000-0005-0000-0000-000003320000}"/>
    <cellStyle name="40% - Accent6 11 7 2" xfId="29159" xr:uid="{00000000-0005-0000-0000-000004320000}"/>
    <cellStyle name="40% - Accent6 11 8" xfId="22151" xr:uid="{00000000-0005-0000-0000-000005320000}"/>
    <cellStyle name="40% - Accent6 11 8 2" xfId="38822" xr:uid="{00000000-0005-0000-0000-000006320000}"/>
    <cellStyle name="40% - Accent6 11 9" xfId="23337" xr:uid="{00000000-0005-0000-0000-000007320000}"/>
    <cellStyle name="40% - Accent6 12" xfId="18880" xr:uid="{00000000-0005-0000-0000-000008320000}"/>
    <cellStyle name="40% - Accent6 12 2" xfId="22153" xr:uid="{00000000-0005-0000-0000-000009320000}"/>
    <cellStyle name="40% - Accent6 12 2 2" xfId="38824" xr:uid="{00000000-0005-0000-0000-00000A320000}"/>
    <cellStyle name="40% - Accent6 12 3" xfId="22152" xr:uid="{00000000-0005-0000-0000-00000B320000}"/>
    <cellStyle name="40% - Accent6 12 3 2" xfId="38823" xr:uid="{00000000-0005-0000-0000-00000C320000}"/>
    <cellStyle name="40% - Accent6 12 4" xfId="36517" xr:uid="{00000000-0005-0000-0000-00000D320000}"/>
    <cellStyle name="40% - Accent6 13" xfId="15304" xr:uid="{00000000-0005-0000-0000-00000E320000}"/>
    <cellStyle name="40% - Accent6 13 2" xfId="22154" xr:uid="{00000000-0005-0000-0000-00000F320000}"/>
    <cellStyle name="40% - Accent6 13 2 2" xfId="38825" xr:uid="{00000000-0005-0000-0000-000010320000}"/>
    <cellStyle name="40% - Accent6 13 3" xfId="32939" xr:uid="{00000000-0005-0000-0000-000011320000}"/>
    <cellStyle name="40% - Accent6 14" xfId="22155" xr:uid="{00000000-0005-0000-0000-000012320000}"/>
    <cellStyle name="40% - Accent6 15" xfId="22693" xr:uid="{00000000-0005-0000-0000-000013320000}"/>
    <cellStyle name="40% - Accent6 15 2" xfId="38912" xr:uid="{00000000-0005-0000-0000-000014320000}"/>
    <cellStyle name="40% - Accent6 16" xfId="22149" xr:uid="{00000000-0005-0000-0000-000015320000}"/>
    <cellStyle name="40% - Accent6 17" xfId="23079" xr:uid="{00000000-0005-0000-0000-000016320000}"/>
    <cellStyle name="40% - Accent6 18" xfId="51491" xr:uid="{00000000-0005-0000-0000-000017320000}"/>
    <cellStyle name="40% - Accent6 19" xfId="51504" xr:uid="{00000000-0005-0000-0000-000018320000}"/>
    <cellStyle name="40% - Accent6 2" xfId="34" xr:uid="{00000000-0005-0000-0000-000019320000}"/>
    <cellStyle name="40% - Accent6 2 10" xfId="791" xr:uid="{00000000-0005-0000-0000-00001A320000}"/>
    <cellStyle name="40% - Accent6 2 11" xfId="792" xr:uid="{00000000-0005-0000-0000-00001B320000}"/>
    <cellStyle name="40% - Accent6 2 12" xfId="793" xr:uid="{00000000-0005-0000-0000-00001C320000}"/>
    <cellStyle name="40% - Accent6 2 13" xfId="794" xr:uid="{00000000-0005-0000-0000-00001D320000}"/>
    <cellStyle name="40% - Accent6 2 14" xfId="795" xr:uid="{00000000-0005-0000-0000-00001E320000}"/>
    <cellStyle name="40% - Accent6 2 15" xfId="3902" xr:uid="{00000000-0005-0000-0000-00001F320000}"/>
    <cellStyle name="40% - Accent6 2 16" xfId="3903" xr:uid="{00000000-0005-0000-0000-000020320000}"/>
    <cellStyle name="40% - Accent6 2 17" xfId="3904" xr:uid="{00000000-0005-0000-0000-000021320000}"/>
    <cellStyle name="40% - Accent6 2 18" xfId="790" xr:uid="{00000000-0005-0000-0000-000022320000}"/>
    <cellStyle name="40% - Accent6 2 2" xfId="796" xr:uid="{00000000-0005-0000-0000-000023320000}"/>
    <cellStyle name="40% - Accent6 2 2 2" xfId="797" xr:uid="{00000000-0005-0000-0000-000024320000}"/>
    <cellStyle name="40% - Accent6 2 2 3" xfId="798" xr:uid="{00000000-0005-0000-0000-000025320000}"/>
    <cellStyle name="40% - Accent6 2 2 4" xfId="3905" xr:uid="{00000000-0005-0000-0000-000026320000}"/>
    <cellStyle name="40% - Accent6 2 2 5" xfId="3906" xr:uid="{00000000-0005-0000-0000-000027320000}"/>
    <cellStyle name="40% - Accent6 2 2_Sheet1" xfId="799" xr:uid="{00000000-0005-0000-0000-000028320000}"/>
    <cellStyle name="40% - Accent6 2 3" xfId="800" xr:uid="{00000000-0005-0000-0000-000029320000}"/>
    <cellStyle name="40% - Accent6 2 4" xfId="801" xr:uid="{00000000-0005-0000-0000-00002A320000}"/>
    <cellStyle name="40% - Accent6 2 5" xfId="802" xr:uid="{00000000-0005-0000-0000-00002B320000}"/>
    <cellStyle name="40% - Accent6 2 6" xfId="803" xr:uid="{00000000-0005-0000-0000-00002C320000}"/>
    <cellStyle name="40% - Accent6 2 7" xfId="804" xr:uid="{00000000-0005-0000-0000-00002D320000}"/>
    <cellStyle name="40% - Accent6 2 8" xfId="805" xr:uid="{00000000-0005-0000-0000-00002E320000}"/>
    <cellStyle name="40% - Accent6 2 9" xfId="806" xr:uid="{00000000-0005-0000-0000-00002F320000}"/>
    <cellStyle name="40% - Accent6 2_BallGrid" xfId="807" xr:uid="{00000000-0005-0000-0000-000030320000}"/>
    <cellStyle name="40% - Accent6 20" xfId="51517" xr:uid="{00000000-0005-0000-0000-000031320000}"/>
    <cellStyle name="40% - Accent6 3" xfId="35" xr:uid="{00000000-0005-0000-0000-000032320000}"/>
    <cellStyle name="40% - Accent6 3 10" xfId="808" xr:uid="{00000000-0005-0000-0000-000033320000}"/>
    <cellStyle name="40% - Accent6 3 2" xfId="809" xr:uid="{00000000-0005-0000-0000-000034320000}"/>
    <cellStyle name="40% - Accent6 3 3" xfId="810" xr:uid="{00000000-0005-0000-0000-000035320000}"/>
    <cellStyle name="40% - Accent6 3 4" xfId="811" xr:uid="{00000000-0005-0000-0000-000036320000}"/>
    <cellStyle name="40% - Accent6 3 5" xfId="812" xr:uid="{00000000-0005-0000-0000-000037320000}"/>
    <cellStyle name="40% - Accent6 3 6" xfId="813" xr:uid="{00000000-0005-0000-0000-000038320000}"/>
    <cellStyle name="40% - Accent6 3 7" xfId="3907" xr:uid="{00000000-0005-0000-0000-000039320000}"/>
    <cellStyle name="40% - Accent6 3 8" xfId="3908" xr:uid="{00000000-0005-0000-0000-00003A320000}"/>
    <cellStyle name="40% - Accent6 3 9" xfId="3909" xr:uid="{00000000-0005-0000-0000-00003B320000}"/>
    <cellStyle name="40% - Accent6 3_BallGrid" xfId="814" xr:uid="{00000000-0005-0000-0000-00003C320000}"/>
    <cellStyle name="40% - Accent6 4" xfId="36" xr:uid="{00000000-0005-0000-0000-00003D320000}"/>
    <cellStyle name="40% - Accent6 4 2" xfId="816" xr:uid="{00000000-0005-0000-0000-00003E320000}"/>
    <cellStyle name="40% - Accent6 4 2 2" xfId="22855" xr:uid="{00000000-0005-0000-0000-00003F320000}"/>
    <cellStyle name="40% - Accent6 4 3" xfId="817" xr:uid="{00000000-0005-0000-0000-000040320000}"/>
    <cellStyle name="40% - Accent6 4 3 2" xfId="22156" xr:uid="{00000000-0005-0000-0000-000041320000}"/>
    <cellStyle name="40% - Accent6 4 4" xfId="818" xr:uid="{00000000-0005-0000-0000-000042320000}"/>
    <cellStyle name="40% - Accent6 4 5" xfId="819" xr:uid="{00000000-0005-0000-0000-000043320000}"/>
    <cellStyle name="40% - Accent6 4 6" xfId="3910" xr:uid="{00000000-0005-0000-0000-000044320000}"/>
    <cellStyle name="40% - Accent6 4 7" xfId="3911" xr:uid="{00000000-0005-0000-0000-000045320000}"/>
    <cellStyle name="40% - Accent6 4 8" xfId="3912" xr:uid="{00000000-0005-0000-0000-000046320000}"/>
    <cellStyle name="40% - Accent6 4 9" xfId="815" xr:uid="{00000000-0005-0000-0000-000047320000}"/>
    <cellStyle name="40% - Accent6 5" xfId="820" xr:uid="{00000000-0005-0000-0000-000048320000}"/>
    <cellStyle name="40% - Accent6 5 10" xfId="21954" xr:uid="{00000000-0005-0000-0000-000049320000}"/>
    <cellStyle name="40% - Accent6 5 10 2" xfId="38707" xr:uid="{00000000-0005-0000-0000-00004A320000}"/>
    <cellStyle name="40% - Accent6 5 11" xfId="23338" xr:uid="{00000000-0005-0000-0000-00004B320000}"/>
    <cellStyle name="40% - Accent6 5 12" xfId="51895" xr:uid="{00000000-0005-0000-0000-00004C320000}"/>
    <cellStyle name="40% - Accent6 5 2" xfId="3914" xr:uid="{00000000-0005-0000-0000-00004D320000}"/>
    <cellStyle name="40% - Accent6 5 2 2" xfId="8453" xr:uid="{00000000-0005-0000-0000-00004E320000}"/>
    <cellStyle name="40% - Accent6 5 2 2 2" xfId="16249" xr:uid="{00000000-0005-0000-0000-00004F320000}"/>
    <cellStyle name="40% - Accent6 5 2 2 2 2" xfId="33884" xr:uid="{00000000-0005-0000-0000-000050320000}"/>
    <cellStyle name="40% - Accent6 5 2 2 3" xfId="26867" xr:uid="{00000000-0005-0000-0000-000051320000}"/>
    <cellStyle name="40% - Accent6 5 2 3" xfId="12604" xr:uid="{00000000-0005-0000-0000-000052320000}"/>
    <cellStyle name="40% - Accent6 5 2 3 2" xfId="30271" xr:uid="{00000000-0005-0000-0000-000053320000}"/>
    <cellStyle name="40% - Accent6 5 2 4" xfId="22856" xr:uid="{00000000-0005-0000-0000-000054320000}"/>
    <cellStyle name="40% - Accent6 5 2 4 2" xfId="39028" xr:uid="{00000000-0005-0000-0000-000055320000}"/>
    <cellStyle name="40% - Accent6 5 2 5" xfId="24002" xr:uid="{00000000-0005-0000-0000-000056320000}"/>
    <cellStyle name="40% - Accent6 5 3" xfId="3915" xr:uid="{00000000-0005-0000-0000-000057320000}"/>
    <cellStyle name="40% - Accent6 5 3 2" xfId="22157" xr:uid="{00000000-0005-0000-0000-000058320000}"/>
    <cellStyle name="40% - Accent6 5 4" xfId="3913" xr:uid="{00000000-0005-0000-0000-000059320000}"/>
    <cellStyle name="40% - Accent6 5 4 2" xfId="8452" xr:uid="{00000000-0005-0000-0000-00005A320000}"/>
    <cellStyle name="40% - Accent6 5 4 2 2" xfId="16248" xr:uid="{00000000-0005-0000-0000-00005B320000}"/>
    <cellStyle name="40% - Accent6 5 4 2 2 2" xfId="33883" xr:uid="{00000000-0005-0000-0000-00005C320000}"/>
    <cellStyle name="40% - Accent6 5 4 2 3" xfId="26866" xr:uid="{00000000-0005-0000-0000-00005D320000}"/>
    <cellStyle name="40% - Accent6 5 4 3" xfId="12603" xr:uid="{00000000-0005-0000-0000-00005E320000}"/>
    <cellStyle name="40% - Accent6 5 4 3 2" xfId="30270" xr:uid="{00000000-0005-0000-0000-00005F320000}"/>
    <cellStyle name="40% - Accent6 5 4 4" xfId="24001" xr:uid="{00000000-0005-0000-0000-000060320000}"/>
    <cellStyle name="40% - Accent6 5 5" xfId="5782" xr:uid="{00000000-0005-0000-0000-000061320000}"/>
    <cellStyle name="40% - Accent6 5 5 2" xfId="9082" xr:uid="{00000000-0005-0000-0000-000062320000}"/>
    <cellStyle name="40% - Accent6 5 5 2 2" xfId="16877" xr:uid="{00000000-0005-0000-0000-000063320000}"/>
    <cellStyle name="40% - Accent6 5 5 2 2 2" xfId="34513" xr:uid="{00000000-0005-0000-0000-000064320000}"/>
    <cellStyle name="40% - Accent6 5 5 2 3" xfId="27470" xr:uid="{00000000-0005-0000-0000-000065320000}"/>
    <cellStyle name="40% - Accent6 5 5 3" xfId="13638" xr:uid="{00000000-0005-0000-0000-000066320000}"/>
    <cellStyle name="40% - Accent6 5 5 3 2" xfId="31278" xr:uid="{00000000-0005-0000-0000-000067320000}"/>
    <cellStyle name="40% - Accent6 5 5 4" xfId="24605" xr:uid="{00000000-0005-0000-0000-000068320000}"/>
    <cellStyle name="40% - Accent6 5 6" xfId="6412" xr:uid="{00000000-0005-0000-0000-000069320000}"/>
    <cellStyle name="40% - Accent6 5 6 2" xfId="9622" xr:uid="{00000000-0005-0000-0000-00006A320000}"/>
    <cellStyle name="40% - Accent6 5 6 2 2" xfId="17416" xr:uid="{00000000-0005-0000-0000-00006B320000}"/>
    <cellStyle name="40% - Accent6 5 6 2 2 2" xfId="35053" xr:uid="{00000000-0005-0000-0000-00006C320000}"/>
    <cellStyle name="40% - Accent6 5 6 2 3" xfId="28006" xr:uid="{00000000-0005-0000-0000-00006D320000}"/>
    <cellStyle name="40% - Accent6 5 6 3" xfId="14201" xr:uid="{00000000-0005-0000-0000-00006E320000}"/>
    <cellStyle name="40% - Accent6 5 6 3 2" xfId="31836" xr:uid="{00000000-0005-0000-0000-00006F320000}"/>
    <cellStyle name="40% - Accent6 5 6 4" xfId="25142" xr:uid="{00000000-0005-0000-0000-000070320000}"/>
    <cellStyle name="40% - Accent6 5 7" xfId="6950" xr:uid="{00000000-0005-0000-0000-000071320000}"/>
    <cellStyle name="40% - Accent6 5 7 2" xfId="10160" xr:uid="{00000000-0005-0000-0000-000072320000}"/>
    <cellStyle name="40% - Accent6 5 7 2 2" xfId="17953" xr:uid="{00000000-0005-0000-0000-000073320000}"/>
    <cellStyle name="40% - Accent6 5 7 2 2 2" xfId="35590" xr:uid="{00000000-0005-0000-0000-000074320000}"/>
    <cellStyle name="40% - Accent6 5 7 2 3" xfId="28543" xr:uid="{00000000-0005-0000-0000-000075320000}"/>
    <cellStyle name="40% - Accent6 5 7 3" xfId="14738" xr:uid="{00000000-0005-0000-0000-000076320000}"/>
    <cellStyle name="40% - Accent6 5 7 3 2" xfId="32373" xr:uid="{00000000-0005-0000-0000-000077320000}"/>
    <cellStyle name="40% - Accent6 5 7 4" xfId="25680" xr:uid="{00000000-0005-0000-0000-000078320000}"/>
    <cellStyle name="40% - Accent6 5 8" xfId="7770" xr:uid="{00000000-0005-0000-0000-000079320000}"/>
    <cellStyle name="40% - Accent6 5 8 2" xfId="15567" xr:uid="{00000000-0005-0000-0000-00007A320000}"/>
    <cellStyle name="40% - Accent6 5 8 2 2" xfId="33202" xr:uid="{00000000-0005-0000-0000-00007B320000}"/>
    <cellStyle name="40% - Accent6 5 8 3" xfId="26203" xr:uid="{00000000-0005-0000-0000-00007C320000}"/>
    <cellStyle name="40% - Accent6 5 9" xfId="11442" xr:uid="{00000000-0005-0000-0000-00007D320000}"/>
    <cellStyle name="40% - Accent6 5 9 2" xfId="29162" xr:uid="{00000000-0005-0000-0000-00007E320000}"/>
    <cellStyle name="40% - Accent6 6" xfId="821" xr:uid="{00000000-0005-0000-0000-00007F320000}"/>
    <cellStyle name="40% - Accent6 6 10" xfId="51896" xr:uid="{00000000-0005-0000-0000-000080320000}"/>
    <cellStyle name="40% - Accent6 6 2" xfId="3916" xr:uid="{00000000-0005-0000-0000-000081320000}"/>
    <cellStyle name="40% - Accent6 6 2 2" xfId="8454" xr:uid="{00000000-0005-0000-0000-000082320000}"/>
    <cellStyle name="40% - Accent6 6 2 2 2" xfId="16250" xr:uid="{00000000-0005-0000-0000-000083320000}"/>
    <cellStyle name="40% - Accent6 6 2 2 2 2" xfId="33885" xr:uid="{00000000-0005-0000-0000-000084320000}"/>
    <cellStyle name="40% - Accent6 6 2 2 3" xfId="26868" xr:uid="{00000000-0005-0000-0000-000085320000}"/>
    <cellStyle name="40% - Accent6 6 2 3" xfId="12605" xr:uid="{00000000-0005-0000-0000-000086320000}"/>
    <cellStyle name="40% - Accent6 6 2 3 2" xfId="30272" xr:uid="{00000000-0005-0000-0000-000087320000}"/>
    <cellStyle name="40% - Accent6 6 2 4" xfId="22857" xr:uid="{00000000-0005-0000-0000-000088320000}"/>
    <cellStyle name="40% - Accent6 6 2 4 2" xfId="39029" xr:uid="{00000000-0005-0000-0000-000089320000}"/>
    <cellStyle name="40% - Accent6 6 2 5" xfId="24003" xr:uid="{00000000-0005-0000-0000-00008A320000}"/>
    <cellStyle name="40% - Accent6 6 3" xfId="5783" xr:uid="{00000000-0005-0000-0000-00008B320000}"/>
    <cellStyle name="40% - Accent6 6 3 2" xfId="9083" xr:uid="{00000000-0005-0000-0000-00008C320000}"/>
    <cellStyle name="40% - Accent6 6 3 2 2" xfId="16878" xr:uid="{00000000-0005-0000-0000-00008D320000}"/>
    <cellStyle name="40% - Accent6 6 3 2 2 2" xfId="34514" xr:uid="{00000000-0005-0000-0000-00008E320000}"/>
    <cellStyle name="40% - Accent6 6 3 2 3" xfId="27471" xr:uid="{00000000-0005-0000-0000-00008F320000}"/>
    <cellStyle name="40% - Accent6 6 3 3" xfId="13639" xr:uid="{00000000-0005-0000-0000-000090320000}"/>
    <cellStyle name="40% - Accent6 6 3 3 2" xfId="31279" xr:uid="{00000000-0005-0000-0000-000091320000}"/>
    <cellStyle name="40% - Accent6 6 3 4" xfId="22158" xr:uid="{00000000-0005-0000-0000-000092320000}"/>
    <cellStyle name="40% - Accent6 6 3 5" xfId="24606" xr:uid="{00000000-0005-0000-0000-000093320000}"/>
    <cellStyle name="40% - Accent6 6 4" xfId="6413" xr:uid="{00000000-0005-0000-0000-000094320000}"/>
    <cellStyle name="40% - Accent6 6 4 2" xfId="9623" xr:uid="{00000000-0005-0000-0000-000095320000}"/>
    <cellStyle name="40% - Accent6 6 4 2 2" xfId="17417" xr:uid="{00000000-0005-0000-0000-000096320000}"/>
    <cellStyle name="40% - Accent6 6 4 2 2 2" xfId="35054" xr:uid="{00000000-0005-0000-0000-000097320000}"/>
    <cellStyle name="40% - Accent6 6 4 2 3" xfId="28007" xr:uid="{00000000-0005-0000-0000-000098320000}"/>
    <cellStyle name="40% - Accent6 6 4 3" xfId="14202" xr:uid="{00000000-0005-0000-0000-000099320000}"/>
    <cellStyle name="40% - Accent6 6 4 3 2" xfId="31837" xr:uid="{00000000-0005-0000-0000-00009A320000}"/>
    <cellStyle name="40% - Accent6 6 4 4" xfId="25143" xr:uid="{00000000-0005-0000-0000-00009B320000}"/>
    <cellStyle name="40% - Accent6 6 5" xfId="6951" xr:uid="{00000000-0005-0000-0000-00009C320000}"/>
    <cellStyle name="40% - Accent6 6 5 2" xfId="10161" xr:uid="{00000000-0005-0000-0000-00009D320000}"/>
    <cellStyle name="40% - Accent6 6 5 2 2" xfId="17954" xr:uid="{00000000-0005-0000-0000-00009E320000}"/>
    <cellStyle name="40% - Accent6 6 5 2 2 2" xfId="35591" xr:uid="{00000000-0005-0000-0000-00009F320000}"/>
    <cellStyle name="40% - Accent6 6 5 2 3" xfId="28544" xr:uid="{00000000-0005-0000-0000-0000A0320000}"/>
    <cellStyle name="40% - Accent6 6 5 3" xfId="14739" xr:uid="{00000000-0005-0000-0000-0000A1320000}"/>
    <cellStyle name="40% - Accent6 6 5 3 2" xfId="32374" xr:uid="{00000000-0005-0000-0000-0000A2320000}"/>
    <cellStyle name="40% - Accent6 6 5 4" xfId="25681" xr:uid="{00000000-0005-0000-0000-0000A3320000}"/>
    <cellStyle name="40% - Accent6 6 6" xfId="7771" xr:uid="{00000000-0005-0000-0000-0000A4320000}"/>
    <cellStyle name="40% - Accent6 6 6 2" xfId="15568" xr:uid="{00000000-0005-0000-0000-0000A5320000}"/>
    <cellStyle name="40% - Accent6 6 6 2 2" xfId="33203" xr:uid="{00000000-0005-0000-0000-0000A6320000}"/>
    <cellStyle name="40% - Accent6 6 6 3" xfId="26204" xr:uid="{00000000-0005-0000-0000-0000A7320000}"/>
    <cellStyle name="40% - Accent6 6 7" xfId="11443" xr:uid="{00000000-0005-0000-0000-0000A8320000}"/>
    <cellStyle name="40% - Accent6 6 7 2" xfId="29163" xr:uid="{00000000-0005-0000-0000-0000A9320000}"/>
    <cellStyle name="40% - Accent6 6 8" xfId="21955" xr:uid="{00000000-0005-0000-0000-0000AA320000}"/>
    <cellStyle name="40% - Accent6 6 8 2" xfId="38708" xr:uid="{00000000-0005-0000-0000-0000AB320000}"/>
    <cellStyle name="40% - Accent6 6 9" xfId="23339" xr:uid="{00000000-0005-0000-0000-0000AC320000}"/>
    <cellStyle name="40% - Accent6 7" xfId="822" xr:uid="{00000000-0005-0000-0000-0000AD320000}"/>
    <cellStyle name="40% - Accent6 7 10" xfId="51897" xr:uid="{00000000-0005-0000-0000-0000AE320000}"/>
    <cellStyle name="40% - Accent6 7 2" xfId="3917" xr:uid="{00000000-0005-0000-0000-0000AF320000}"/>
    <cellStyle name="40% - Accent6 7 2 2" xfId="8455" xr:uid="{00000000-0005-0000-0000-0000B0320000}"/>
    <cellStyle name="40% - Accent6 7 2 2 2" xfId="16251" xr:uid="{00000000-0005-0000-0000-0000B1320000}"/>
    <cellStyle name="40% - Accent6 7 2 2 2 2" xfId="33886" xr:uid="{00000000-0005-0000-0000-0000B2320000}"/>
    <cellStyle name="40% - Accent6 7 2 2 3" xfId="26869" xr:uid="{00000000-0005-0000-0000-0000B3320000}"/>
    <cellStyle name="40% - Accent6 7 2 3" xfId="12606" xr:uid="{00000000-0005-0000-0000-0000B4320000}"/>
    <cellStyle name="40% - Accent6 7 2 3 2" xfId="30273" xr:uid="{00000000-0005-0000-0000-0000B5320000}"/>
    <cellStyle name="40% - Accent6 7 2 4" xfId="22745" xr:uid="{00000000-0005-0000-0000-0000B6320000}"/>
    <cellStyle name="40% - Accent6 7 2 4 2" xfId="38955" xr:uid="{00000000-0005-0000-0000-0000B7320000}"/>
    <cellStyle name="40% - Accent6 7 2 5" xfId="24004" xr:uid="{00000000-0005-0000-0000-0000B8320000}"/>
    <cellStyle name="40% - Accent6 7 3" xfId="5784" xr:uid="{00000000-0005-0000-0000-0000B9320000}"/>
    <cellStyle name="40% - Accent6 7 3 2" xfId="9084" xr:uid="{00000000-0005-0000-0000-0000BA320000}"/>
    <cellStyle name="40% - Accent6 7 3 2 2" xfId="16879" xr:uid="{00000000-0005-0000-0000-0000BB320000}"/>
    <cellStyle name="40% - Accent6 7 3 2 2 2" xfId="34515" xr:uid="{00000000-0005-0000-0000-0000BC320000}"/>
    <cellStyle name="40% - Accent6 7 3 2 3" xfId="27472" xr:uid="{00000000-0005-0000-0000-0000BD320000}"/>
    <cellStyle name="40% - Accent6 7 3 3" xfId="13640" xr:uid="{00000000-0005-0000-0000-0000BE320000}"/>
    <cellStyle name="40% - Accent6 7 3 3 2" xfId="31280" xr:uid="{00000000-0005-0000-0000-0000BF320000}"/>
    <cellStyle name="40% - Accent6 7 3 4" xfId="24607" xr:uid="{00000000-0005-0000-0000-0000C0320000}"/>
    <cellStyle name="40% - Accent6 7 4" xfId="6414" xr:uid="{00000000-0005-0000-0000-0000C1320000}"/>
    <cellStyle name="40% - Accent6 7 4 2" xfId="9624" xr:uid="{00000000-0005-0000-0000-0000C2320000}"/>
    <cellStyle name="40% - Accent6 7 4 2 2" xfId="17418" xr:uid="{00000000-0005-0000-0000-0000C3320000}"/>
    <cellStyle name="40% - Accent6 7 4 2 2 2" xfId="35055" xr:uid="{00000000-0005-0000-0000-0000C4320000}"/>
    <cellStyle name="40% - Accent6 7 4 2 3" xfId="28008" xr:uid="{00000000-0005-0000-0000-0000C5320000}"/>
    <cellStyle name="40% - Accent6 7 4 3" xfId="14203" xr:uid="{00000000-0005-0000-0000-0000C6320000}"/>
    <cellStyle name="40% - Accent6 7 4 3 2" xfId="31838" xr:uid="{00000000-0005-0000-0000-0000C7320000}"/>
    <cellStyle name="40% - Accent6 7 4 4" xfId="25144" xr:uid="{00000000-0005-0000-0000-0000C8320000}"/>
    <cellStyle name="40% - Accent6 7 5" xfId="6952" xr:uid="{00000000-0005-0000-0000-0000C9320000}"/>
    <cellStyle name="40% - Accent6 7 5 2" xfId="10162" xr:uid="{00000000-0005-0000-0000-0000CA320000}"/>
    <cellStyle name="40% - Accent6 7 5 2 2" xfId="17955" xr:uid="{00000000-0005-0000-0000-0000CB320000}"/>
    <cellStyle name="40% - Accent6 7 5 2 2 2" xfId="35592" xr:uid="{00000000-0005-0000-0000-0000CC320000}"/>
    <cellStyle name="40% - Accent6 7 5 2 3" xfId="28545" xr:uid="{00000000-0005-0000-0000-0000CD320000}"/>
    <cellStyle name="40% - Accent6 7 5 3" xfId="14740" xr:uid="{00000000-0005-0000-0000-0000CE320000}"/>
    <cellStyle name="40% - Accent6 7 5 3 2" xfId="32375" xr:uid="{00000000-0005-0000-0000-0000CF320000}"/>
    <cellStyle name="40% - Accent6 7 5 4" xfId="25682" xr:uid="{00000000-0005-0000-0000-0000D0320000}"/>
    <cellStyle name="40% - Accent6 7 6" xfId="7772" xr:uid="{00000000-0005-0000-0000-0000D1320000}"/>
    <cellStyle name="40% - Accent6 7 6 2" xfId="15569" xr:uid="{00000000-0005-0000-0000-0000D2320000}"/>
    <cellStyle name="40% - Accent6 7 6 2 2" xfId="33204" xr:uid="{00000000-0005-0000-0000-0000D3320000}"/>
    <cellStyle name="40% - Accent6 7 6 3" xfId="26205" xr:uid="{00000000-0005-0000-0000-0000D4320000}"/>
    <cellStyle name="40% - Accent6 7 7" xfId="11444" xr:uid="{00000000-0005-0000-0000-0000D5320000}"/>
    <cellStyle name="40% - Accent6 7 7 2" xfId="29164" xr:uid="{00000000-0005-0000-0000-0000D6320000}"/>
    <cellStyle name="40% - Accent6 7 8" xfId="22159" xr:uid="{00000000-0005-0000-0000-0000D7320000}"/>
    <cellStyle name="40% - Accent6 7 8 2" xfId="38826" xr:uid="{00000000-0005-0000-0000-0000D8320000}"/>
    <cellStyle name="40% - Accent6 7 9" xfId="23340" xr:uid="{00000000-0005-0000-0000-0000D9320000}"/>
    <cellStyle name="40% - Accent6 8" xfId="823" xr:uid="{00000000-0005-0000-0000-0000DA320000}"/>
    <cellStyle name="40% - Accent6 8 10" xfId="51898" xr:uid="{00000000-0005-0000-0000-0000DB320000}"/>
    <cellStyle name="40% - Accent6 8 2" xfId="3918" xr:uid="{00000000-0005-0000-0000-0000DC320000}"/>
    <cellStyle name="40% - Accent6 8 2 2" xfId="8456" xr:uid="{00000000-0005-0000-0000-0000DD320000}"/>
    <cellStyle name="40% - Accent6 8 2 2 2" xfId="16252" xr:uid="{00000000-0005-0000-0000-0000DE320000}"/>
    <cellStyle name="40% - Accent6 8 2 2 2 2" xfId="33887" xr:uid="{00000000-0005-0000-0000-0000DF320000}"/>
    <cellStyle name="40% - Accent6 8 2 2 3" xfId="22747" xr:uid="{00000000-0005-0000-0000-0000E0320000}"/>
    <cellStyle name="40% - Accent6 8 2 2 3 2" xfId="38957" xr:uid="{00000000-0005-0000-0000-0000E1320000}"/>
    <cellStyle name="40% - Accent6 8 2 2 4" xfId="26870" xr:uid="{00000000-0005-0000-0000-0000E2320000}"/>
    <cellStyle name="40% - Accent6 8 2 3" xfId="12607" xr:uid="{00000000-0005-0000-0000-0000E3320000}"/>
    <cellStyle name="40% - Accent6 8 2 3 2" xfId="30274" xr:uid="{00000000-0005-0000-0000-0000E4320000}"/>
    <cellStyle name="40% - Accent6 8 2 4" xfId="22161" xr:uid="{00000000-0005-0000-0000-0000E5320000}"/>
    <cellStyle name="40% - Accent6 8 2 4 2" xfId="38828" xr:uid="{00000000-0005-0000-0000-0000E6320000}"/>
    <cellStyle name="40% - Accent6 8 2 5" xfId="24005" xr:uid="{00000000-0005-0000-0000-0000E7320000}"/>
    <cellStyle name="40% - Accent6 8 3" xfId="5785" xr:uid="{00000000-0005-0000-0000-0000E8320000}"/>
    <cellStyle name="40% - Accent6 8 3 2" xfId="9085" xr:uid="{00000000-0005-0000-0000-0000E9320000}"/>
    <cellStyle name="40% - Accent6 8 3 2 2" xfId="16880" xr:uid="{00000000-0005-0000-0000-0000EA320000}"/>
    <cellStyle name="40% - Accent6 8 3 2 2 2" xfId="34516" xr:uid="{00000000-0005-0000-0000-0000EB320000}"/>
    <cellStyle name="40% - Accent6 8 3 2 3" xfId="27473" xr:uid="{00000000-0005-0000-0000-0000EC320000}"/>
    <cellStyle name="40% - Accent6 8 3 3" xfId="13641" xr:uid="{00000000-0005-0000-0000-0000ED320000}"/>
    <cellStyle name="40% - Accent6 8 3 3 2" xfId="31281" xr:uid="{00000000-0005-0000-0000-0000EE320000}"/>
    <cellStyle name="40% - Accent6 8 3 4" xfId="22746" xr:uid="{00000000-0005-0000-0000-0000EF320000}"/>
    <cellStyle name="40% - Accent6 8 3 4 2" xfId="38956" xr:uid="{00000000-0005-0000-0000-0000F0320000}"/>
    <cellStyle name="40% - Accent6 8 3 5" xfId="24608" xr:uid="{00000000-0005-0000-0000-0000F1320000}"/>
    <cellStyle name="40% - Accent6 8 4" xfId="6415" xr:uid="{00000000-0005-0000-0000-0000F2320000}"/>
    <cellStyle name="40% - Accent6 8 4 2" xfId="9625" xr:uid="{00000000-0005-0000-0000-0000F3320000}"/>
    <cellStyle name="40% - Accent6 8 4 2 2" xfId="17419" xr:uid="{00000000-0005-0000-0000-0000F4320000}"/>
    <cellStyle name="40% - Accent6 8 4 2 2 2" xfId="35056" xr:uid="{00000000-0005-0000-0000-0000F5320000}"/>
    <cellStyle name="40% - Accent6 8 4 2 3" xfId="28009" xr:uid="{00000000-0005-0000-0000-0000F6320000}"/>
    <cellStyle name="40% - Accent6 8 4 3" xfId="14204" xr:uid="{00000000-0005-0000-0000-0000F7320000}"/>
    <cellStyle name="40% - Accent6 8 4 3 2" xfId="31839" xr:uid="{00000000-0005-0000-0000-0000F8320000}"/>
    <cellStyle name="40% - Accent6 8 4 4" xfId="25145" xr:uid="{00000000-0005-0000-0000-0000F9320000}"/>
    <cellStyle name="40% - Accent6 8 5" xfId="6953" xr:uid="{00000000-0005-0000-0000-0000FA320000}"/>
    <cellStyle name="40% - Accent6 8 5 2" xfId="10163" xr:uid="{00000000-0005-0000-0000-0000FB320000}"/>
    <cellStyle name="40% - Accent6 8 5 2 2" xfId="17956" xr:uid="{00000000-0005-0000-0000-0000FC320000}"/>
    <cellStyle name="40% - Accent6 8 5 2 2 2" xfId="35593" xr:uid="{00000000-0005-0000-0000-0000FD320000}"/>
    <cellStyle name="40% - Accent6 8 5 2 3" xfId="28546" xr:uid="{00000000-0005-0000-0000-0000FE320000}"/>
    <cellStyle name="40% - Accent6 8 5 3" xfId="14741" xr:uid="{00000000-0005-0000-0000-0000FF320000}"/>
    <cellStyle name="40% - Accent6 8 5 3 2" xfId="32376" xr:uid="{00000000-0005-0000-0000-000000330000}"/>
    <cellStyle name="40% - Accent6 8 5 4" xfId="25683" xr:uid="{00000000-0005-0000-0000-000001330000}"/>
    <cellStyle name="40% - Accent6 8 6" xfId="7773" xr:uid="{00000000-0005-0000-0000-000002330000}"/>
    <cellStyle name="40% - Accent6 8 6 2" xfId="15570" xr:uid="{00000000-0005-0000-0000-000003330000}"/>
    <cellStyle name="40% - Accent6 8 6 2 2" xfId="33205" xr:uid="{00000000-0005-0000-0000-000004330000}"/>
    <cellStyle name="40% - Accent6 8 6 3" xfId="26206" xr:uid="{00000000-0005-0000-0000-000005330000}"/>
    <cellStyle name="40% - Accent6 8 7" xfId="11445" xr:uid="{00000000-0005-0000-0000-000006330000}"/>
    <cellStyle name="40% - Accent6 8 7 2" xfId="29165" xr:uid="{00000000-0005-0000-0000-000007330000}"/>
    <cellStyle name="40% - Accent6 8 8" xfId="22160" xr:uid="{00000000-0005-0000-0000-000008330000}"/>
    <cellStyle name="40% - Accent6 8 8 2" xfId="38827" xr:uid="{00000000-0005-0000-0000-000009330000}"/>
    <cellStyle name="40% - Accent6 8 9" xfId="23341" xr:uid="{00000000-0005-0000-0000-00000A330000}"/>
    <cellStyle name="40% - Accent6 9" xfId="824" xr:uid="{00000000-0005-0000-0000-00000B330000}"/>
    <cellStyle name="40% - Accent6 9 10" xfId="51899" xr:uid="{00000000-0005-0000-0000-00000C330000}"/>
    <cellStyle name="40% - Accent6 9 2" xfId="3919" xr:uid="{00000000-0005-0000-0000-00000D330000}"/>
    <cellStyle name="40% - Accent6 9 2 2" xfId="8457" xr:uid="{00000000-0005-0000-0000-00000E330000}"/>
    <cellStyle name="40% - Accent6 9 2 2 2" xfId="16253" xr:uid="{00000000-0005-0000-0000-00000F330000}"/>
    <cellStyle name="40% - Accent6 9 2 2 2 2" xfId="33888" xr:uid="{00000000-0005-0000-0000-000010330000}"/>
    <cellStyle name="40% - Accent6 9 2 2 3" xfId="26871" xr:uid="{00000000-0005-0000-0000-000011330000}"/>
    <cellStyle name="40% - Accent6 9 2 3" xfId="12608" xr:uid="{00000000-0005-0000-0000-000012330000}"/>
    <cellStyle name="40% - Accent6 9 2 3 2" xfId="30275" xr:uid="{00000000-0005-0000-0000-000013330000}"/>
    <cellStyle name="40% - Accent6 9 2 4" xfId="22748" xr:uid="{00000000-0005-0000-0000-000014330000}"/>
    <cellStyle name="40% - Accent6 9 2 4 2" xfId="38958" xr:uid="{00000000-0005-0000-0000-000015330000}"/>
    <cellStyle name="40% - Accent6 9 2 5" xfId="24006" xr:uid="{00000000-0005-0000-0000-000016330000}"/>
    <cellStyle name="40% - Accent6 9 3" xfId="5786" xr:uid="{00000000-0005-0000-0000-000017330000}"/>
    <cellStyle name="40% - Accent6 9 3 2" xfId="9086" xr:uid="{00000000-0005-0000-0000-000018330000}"/>
    <cellStyle name="40% - Accent6 9 3 2 2" xfId="16881" xr:uid="{00000000-0005-0000-0000-000019330000}"/>
    <cellStyle name="40% - Accent6 9 3 2 2 2" xfId="34517" xr:uid="{00000000-0005-0000-0000-00001A330000}"/>
    <cellStyle name="40% - Accent6 9 3 2 3" xfId="27474" xr:uid="{00000000-0005-0000-0000-00001B330000}"/>
    <cellStyle name="40% - Accent6 9 3 3" xfId="13642" xr:uid="{00000000-0005-0000-0000-00001C330000}"/>
    <cellStyle name="40% - Accent6 9 3 3 2" xfId="31282" xr:uid="{00000000-0005-0000-0000-00001D330000}"/>
    <cellStyle name="40% - Accent6 9 3 4" xfId="24609" xr:uid="{00000000-0005-0000-0000-00001E330000}"/>
    <cellStyle name="40% - Accent6 9 4" xfId="6416" xr:uid="{00000000-0005-0000-0000-00001F330000}"/>
    <cellStyle name="40% - Accent6 9 4 2" xfId="9626" xr:uid="{00000000-0005-0000-0000-000020330000}"/>
    <cellStyle name="40% - Accent6 9 4 2 2" xfId="17420" xr:uid="{00000000-0005-0000-0000-000021330000}"/>
    <cellStyle name="40% - Accent6 9 4 2 2 2" xfId="35057" xr:uid="{00000000-0005-0000-0000-000022330000}"/>
    <cellStyle name="40% - Accent6 9 4 2 3" xfId="28010" xr:uid="{00000000-0005-0000-0000-000023330000}"/>
    <cellStyle name="40% - Accent6 9 4 3" xfId="14205" xr:uid="{00000000-0005-0000-0000-000024330000}"/>
    <cellStyle name="40% - Accent6 9 4 3 2" xfId="31840" xr:uid="{00000000-0005-0000-0000-000025330000}"/>
    <cellStyle name="40% - Accent6 9 4 4" xfId="25146" xr:uid="{00000000-0005-0000-0000-000026330000}"/>
    <cellStyle name="40% - Accent6 9 5" xfId="6954" xr:uid="{00000000-0005-0000-0000-000027330000}"/>
    <cellStyle name="40% - Accent6 9 5 2" xfId="10164" xr:uid="{00000000-0005-0000-0000-000028330000}"/>
    <cellStyle name="40% - Accent6 9 5 2 2" xfId="17957" xr:uid="{00000000-0005-0000-0000-000029330000}"/>
    <cellStyle name="40% - Accent6 9 5 2 2 2" xfId="35594" xr:uid="{00000000-0005-0000-0000-00002A330000}"/>
    <cellStyle name="40% - Accent6 9 5 2 3" xfId="28547" xr:uid="{00000000-0005-0000-0000-00002B330000}"/>
    <cellStyle name="40% - Accent6 9 5 3" xfId="14742" xr:uid="{00000000-0005-0000-0000-00002C330000}"/>
    <cellStyle name="40% - Accent6 9 5 3 2" xfId="32377" xr:uid="{00000000-0005-0000-0000-00002D330000}"/>
    <cellStyle name="40% - Accent6 9 5 4" xfId="25684" xr:uid="{00000000-0005-0000-0000-00002E330000}"/>
    <cellStyle name="40% - Accent6 9 6" xfId="7774" xr:uid="{00000000-0005-0000-0000-00002F330000}"/>
    <cellStyle name="40% - Accent6 9 6 2" xfId="15571" xr:uid="{00000000-0005-0000-0000-000030330000}"/>
    <cellStyle name="40% - Accent6 9 6 2 2" xfId="33206" xr:uid="{00000000-0005-0000-0000-000031330000}"/>
    <cellStyle name="40% - Accent6 9 6 3" xfId="26207" xr:uid="{00000000-0005-0000-0000-000032330000}"/>
    <cellStyle name="40% - Accent6 9 7" xfId="11446" xr:uid="{00000000-0005-0000-0000-000033330000}"/>
    <cellStyle name="40% - Accent6 9 7 2" xfId="29166" xr:uid="{00000000-0005-0000-0000-000034330000}"/>
    <cellStyle name="40% - Accent6 9 8" xfId="22162" xr:uid="{00000000-0005-0000-0000-000035330000}"/>
    <cellStyle name="40% - Accent6 9 8 2" xfId="38829" xr:uid="{00000000-0005-0000-0000-000036330000}"/>
    <cellStyle name="40% - Accent6 9 9" xfId="23342" xr:uid="{00000000-0005-0000-0000-000037330000}"/>
    <cellStyle name="60% - Accent1" xfId="166" builtinId="32" customBuiltin="1"/>
    <cellStyle name="60% - Accent1 10" xfId="825" xr:uid="{00000000-0005-0000-0000-000039330000}"/>
    <cellStyle name="60% - Accent1 10 2" xfId="826" xr:uid="{00000000-0005-0000-0000-00003A330000}"/>
    <cellStyle name="60% - Accent1 10 3" xfId="827" xr:uid="{00000000-0005-0000-0000-00003B330000}"/>
    <cellStyle name="60% - Accent1 10 4" xfId="22164" xr:uid="{00000000-0005-0000-0000-00003C330000}"/>
    <cellStyle name="60% - Accent1 11" xfId="828" xr:uid="{00000000-0005-0000-0000-00003D330000}"/>
    <cellStyle name="60% - Accent1 11 2" xfId="22165" xr:uid="{00000000-0005-0000-0000-00003E330000}"/>
    <cellStyle name="60% - Accent1 12" xfId="22166" xr:uid="{00000000-0005-0000-0000-00003F330000}"/>
    <cellStyle name="60% - Accent1 12 2" xfId="22167" xr:uid="{00000000-0005-0000-0000-000040330000}"/>
    <cellStyle name="60% - Accent1 13" xfId="22168" xr:uid="{00000000-0005-0000-0000-000041330000}"/>
    <cellStyle name="60% - Accent1 14" xfId="22169" xr:uid="{00000000-0005-0000-0000-000042330000}"/>
    <cellStyle name="60% - Accent1 15" xfId="22680" xr:uid="{00000000-0005-0000-0000-000043330000}"/>
    <cellStyle name="60% - Accent1 16" xfId="22163" xr:uid="{00000000-0005-0000-0000-000044330000}"/>
    <cellStyle name="60% - Accent1 2" xfId="37" xr:uid="{00000000-0005-0000-0000-000045330000}"/>
    <cellStyle name="60% - Accent1 2 10" xfId="830" xr:uid="{00000000-0005-0000-0000-000046330000}"/>
    <cellStyle name="60% - Accent1 2 11" xfId="831" xr:uid="{00000000-0005-0000-0000-000047330000}"/>
    <cellStyle name="60% - Accent1 2 12" xfId="832" xr:uid="{00000000-0005-0000-0000-000048330000}"/>
    <cellStyle name="60% - Accent1 2 13" xfId="833" xr:uid="{00000000-0005-0000-0000-000049330000}"/>
    <cellStyle name="60% - Accent1 2 14" xfId="834" xr:uid="{00000000-0005-0000-0000-00004A330000}"/>
    <cellStyle name="60% - Accent1 2 15" xfId="3920" xr:uid="{00000000-0005-0000-0000-00004B330000}"/>
    <cellStyle name="60% - Accent1 2 16" xfId="3921" xr:uid="{00000000-0005-0000-0000-00004C330000}"/>
    <cellStyle name="60% - Accent1 2 17" xfId="3922" xr:uid="{00000000-0005-0000-0000-00004D330000}"/>
    <cellStyle name="60% - Accent1 2 18" xfId="829" xr:uid="{00000000-0005-0000-0000-00004E330000}"/>
    <cellStyle name="60% - Accent1 2 2" xfId="835" xr:uid="{00000000-0005-0000-0000-00004F330000}"/>
    <cellStyle name="60% - Accent1 2 2 2" xfId="836" xr:uid="{00000000-0005-0000-0000-000050330000}"/>
    <cellStyle name="60% - Accent1 2 2 3" xfId="837" xr:uid="{00000000-0005-0000-0000-000051330000}"/>
    <cellStyle name="60% - Accent1 2 2 4" xfId="3923" xr:uid="{00000000-0005-0000-0000-000052330000}"/>
    <cellStyle name="60% - Accent1 2 2 5" xfId="3924" xr:uid="{00000000-0005-0000-0000-000053330000}"/>
    <cellStyle name="60% - Accent1 2 2_Sheet1" xfId="838" xr:uid="{00000000-0005-0000-0000-000054330000}"/>
    <cellStyle name="60% - Accent1 2 3" xfId="839" xr:uid="{00000000-0005-0000-0000-000055330000}"/>
    <cellStyle name="60% - Accent1 2 4" xfId="840" xr:uid="{00000000-0005-0000-0000-000056330000}"/>
    <cellStyle name="60% - Accent1 2 5" xfId="841" xr:uid="{00000000-0005-0000-0000-000057330000}"/>
    <cellStyle name="60% - Accent1 2 6" xfId="842" xr:uid="{00000000-0005-0000-0000-000058330000}"/>
    <cellStyle name="60% - Accent1 2 7" xfId="843" xr:uid="{00000000-0005-0000-0000-000059330000}"/>
    <cellStyle name="60% - Accent1 2 8" xfId="844" xr:uid="{00000000-0005-0000-0000-00005A330000}"/>
    <cellStyle name="60% - Accent1 2 9" xfId="845" xr:uid="{00000000-0005-0000-0000-00005B330000}"/>
    <cellStyle name="60% - Accent1 2_BallGrid" xfId="846" xr:uid="{00000000-0005-0000-0000-00005C330000}"/>
    <cellStyle name="60% - Accent1 3" xfId="38" xr:uid="{00000000-0005-0000-0000-00005D330000}"/>
    <cellStyle name="60% - Accent1 3 10" xfId="847" xr:uid="{00000000-0005-0000-0000-00005E330000}"/>
    <cellStyle name="60% - Accent1 3 2" xfId="848" xr:uid="{00000000-0005-0000-0000-00005F330000}"/>
    <cellStyle name="60% - Accent1 3 3" xfId="849" xr:uid="{00000000-0005-0000-0000-000060330000}"/>
    <cellStyle name="60% - Accent1 3 4" xfId="850" xr:uid="{00000000-0005-0000-0000-000061330000}"/>
    <cellStyle name="60% - Accent1 3 5" xfId="851" xr:uid="{00000000-0005-0000-0000-000062330000}"/>
    <cellStyle name="60% - Accent1 3 6" xfId="852" xr:uid="{00000000-0005-0000-0000-000063330000}"/>
    <cellStyle name="60% - Accent1 3 7" xfId="3925" xr:uid="{00000000-0005-0000-0000-000064330000}"/>
    <cellStyle name="60% - Accent1 3 8" xfId="3926" xr:uid="{00000000-0005-0000-0000-000065330000}"/>
    <cellStyle name="60% - Accent1 3 9" xfId="3927" xr:uid="{00000000-0005-0000-0000-000066330000}"/>
    <cellStyle name="60% - Accent1 3_BallGrid" xfId="853" xr:uid="{00000000-0005-0000-0000-000067330000}"/>
    <cellStyle name="60% - Accent1 4" xfId="39" xr:uid="{00000000-0005-0000-0000-000068330000}"/>
    <cellStyle name="60% - Accent1 4 2" xfId="855" xr:uid="{00000000-0005-0000-0000-000069330000}"/>
    <cellStyle name="60% - Accent1 4 2 2" xfId="22858" xr:uid="{00000000-0005-0000-0000-00006A330000}"/>
    <cellStyle name="60% - Accent1 4 3" xfId="856" xr:uid="{00000000-0005-0000-0000-00006B330000}"/>
    <cellStyle name="60% - Accent1 4 3 2" xfId="22170" xr:uid="{00000000-0005-0000-0000-00006C330000}"/>
    <cellStyle name="60% - Accent1 4 4" xfId="857" xr:uid="{00000000-0005-0000-0000-00006D330000}"/>
    <cellStyle name="60% - Accent1 4 5" xfId="858" xr:uid="{00000000-0005-0000-0000-00006E330000}"/>
    <cellStyle name="60% - Accent1 4 6" xfId="3928" xr:uid="{00000000-0005-0000-0000-00006F330000}"/>
    <cellStyle name="60% - Accent1 4 7" xfId="3929" xr:uid="{00000000-0005-0000-0000-000070330000}"/>
    <cellStyle name="60% - Accent1 4 8" xfId="3930" xr:uid="{00000000-0005-0000-0000-000071330000}"/>
    <cellStyle name="60% - Accent1 4 9" xfId="854" xr:uid="{00000000-0005-0000-0000-000072330000}"/>
    <cellStyle name="60% - Accent1 5" xfId="859" xr:uid="{00000000-0005-0000-0000-000073330000}"/>
    <cellStyle name="60% - Accent1 5 2" xfId="3931" xr:uid="{00000000-0005-0000-0000-000074330000}"/>
    <cellStyle name="60% - Accent1 5 3" xfId="3932" xr:uid="{00000000-0005-0000-0000-000075330000}"/>
    <cellStyle name="60% - Accent1 5 3 2" xfId="22171" xr:uid="{00000000-0005-0000-0000-000076330000}"/>
    <cellStyle name="60% - Accent1 5 4" xfId="52916" xr:uid="{00000000-0005-0000-0000-000077330000}"/>
    <cellStyle name="60% - Accent1 6" xfId="860" xr:uid="{00000000-0005-0000-0000-000078330000}"/>
    <cellStyle name="60% - Accent1 6 2" xfId="22859" xr:uid="{00000000-0005-0000-0000-000079330000}"/>
    <cellStyle name="60% - Accent1 6 3" xfId="22172" xr:uid="{00000000-0005-0000-0000-00007A330000}"/>
    <cellStyle name="60% - Accent1 6 4" xfId="52917" xr:uid="{00000000-0005-0000-0000-00007B330000}"/>
    <cellStyle name="60% - Accent1 7" xfId="861" xr:uid="{00000000-0005-0000-0000-00007C330000}"/>
    <cellStyle name="60% - Accent1 7 2" xfId="22173" xr:uid="{00000000-0005-0000-0000-00007D330000}"/>
    <cellStyle name="60% - Accent1 8" xfId="862" xr:uid="{00000000-0005-0000-0000-00007E330000}"/>
    <cellStyle name="60% - Accent1 8 2" xfId="22175" xr:uid="{00000000-0005-0000-0000-00007F330000}"/>
    <cellStyle name="60% - Accent1 8 3" xfId="22174" xr:uid="{00000000-0005-0000-0000-000080330000}"/>
    <cellStyle name="60% - Accent1 9" xfId="863" xr:uid="{00000000-0005-0000-0000-000081330000}"/>
    <cellStyle name="60% - Accent1 9 2" xfId="22176" xr:uid="{00000000-0005-0000-0000-000082330000}"/>
    <cellStyle name="60% - Accent2" xfId="170" builtinId="36" customBuiltin="1"/>
    <cellStyle name="60% - Accent2 10" xfId="864" xr:uid="{00000000-0005-0000-0000-000084330000}"/>
    <cellStyle name="60% - Accent2 10 2" xfId="865" xr:uid="{00000000-0005-0000-0000-000085330000}"/>
    <cellStyle name="60% - Accent2 10 3" xfId="866" xr:uid="{00000000-0005-0000-0000-000086330000}"/>
    <cellStyle name="60% - Accent2 11" xfId="867" xr:uid="{00000000-0005-0000-0000-000087330000}"/>
    <cellStyle name="60% - Accent2 2" xfId="40" xr:uid="{00000000-0005-0000-0000-000088330000}"/>
    <cellStyle name="60% - Accent2 2 10" xfId="869" xr:uid="{00000000-0005-0000-0000-000089330000}"/>
    <cellStyle name="60% - Accent2 2 11" xfId="870" xr:uid="{00000000-0005-0000-0000-00008A330000}"/>
    <cellStyle name="60% - Accent2 2 12" xfId="871" xr:uid="{00000000-0005-0000-0000-00008B330000}"/>
    <cellStyle name="60% - Accent2 2 13" xfId="872" xr:uid="{00000000-0005-0000-0000-00008C330000}"/>
    <cellStyle name="60% - Accent2 2 14" xfId="873" xr:uid="{00000000-0005-0000-0000-00008D330000}"/>
    <cellStyle name="60% - Accent2 2 15" xfId="3933" xr:uid="{00000000-0005-0000-0000-00008E330000}"/>
    <cellStyle name="60% - Accent2 2 16" xfId="3934" xr:uid="{00000000-0005-0000-0000-00008F330000}"/>
    <cellStyle name="60% - Accent2 2 17" xfId="3935" xr:uid="{00000000-0005-0000-0000-000090330000}"/>
    <cellStyle name="60% - Accent2 2 18" xfId="868" xr:uid="{00000000-0005-0000-0000-000091330000}"/>
    <cellStyle name="60% - Accent2 2 2" xfId="874" xr:uid="{00000000-0005-0000-0000-000092330000}"/>
    <cellStyle name="60% - Accent2 2 2 2" xfId="875" xr:uid="{00000000-0005-0000-0000-000093330000}"/>
    <cellStyle name="60% - Accent2 2 2 3" xfId="876" xr:uid="{00000000-0005-0000-0000-000094330000}"/>
    <cellStyle name="60% - Accent2 2 2 4" xfId="3936" xr:uid="{00000000-0005-0000-0000-000095330000}"/>
    <cellStyle name="60% - Accent2 2 2 5" xfId="3937" xr:uid="{00000000-0005-0000-0000-000096330000}"/>
    <cellStyle name="60% - Accent2 2 2_Sheet1" xfId="877" xr:uid="{00000000-0005-0000-0000-000097330000}"/>
    <cellStyle name="60% - Accent2 2 3" xfId="878" xr:uid="{00000000-0005-0000-0000-000098330000}"/>
    <cellStyle name="60% - Accent2 2 4" xfId="879" xr:uid="{00000000-0005-0000-0000-000099330000}"/>
    <cellStyle name="60% - Accent2 2 5" xfId="880" xr:uid="{00000000-0005-0000-0000-00009A330000}"/>
    <cellStyle name="60% - Accent2 2 6" xfId="881" xr:uid="{00000000-0005-0000-0000-00009B330000}"/>
    <cellStyle name="60% - Accent2 2 7" xfId="882" xr:uid="{00000000-0005-0000-0000-00009C330000}"/>
    <cellStyle name="60% - Accent2 2 8" xfId="883" xr:uid="{00000000-0005-0000-0000-00009D330000}"/>
    <cellStyle name="60% - Accent2 2 9" xfId="884" xr:uid="{00000000-0005-0000-0000-00009E330000}"/>
    <cellStyle name="60% - Accent2 2_BallGrid" xfId="885" xr:uid="{00000000-0005-0000-0000-00009F330000}"/>
    <cellStyle name="60% - Accent2 3" xfId="41" xr:uid="{00000000-0005-0000-0000-0000A0330000}"/>
    <cellStyle name="60% - Accent2 3 10" xfId="886" xr:uid="{00000000-0005-0000-0000-0000A1330000}"/>
    <cellStyle name="60% - Accent2 3 2" xfId="887" xr:uid="{00000000-0005-0000-0000-0000A2330000}"/>
    <cellStyle name="60% - Accent2 3 3" xfId="888" xr:uid="{00000000-0005-0000-0000-0000A3330000}"/>
    <cellStyle name="60% - Accent2 3 4" xfId="889" xr:uid="{00000000-0005-0000-0000-0000A4330000}"/>
    <cellStyle name="60% - Accent2 3 5" xfId="890" xr:uid="{00000000-0005-0000-0000-0000A5330000}"/>
    <cellStyle name="60% - Accent2 3 6" xfId="891" xr:uid="{00000000-0005-0000-0000-0000A6330000}"/>
    <cellStyle name="60% - Accent2 3 7" xfId="3938" xr:uid="{00000000-0005-0000-0000-0000A7330000}"/>
    <cellStyle name="60% - Accent2 3 8" xfId="3939" xr:uid="{00000000-0005-0000-0000-0000A8330000}"/>
    <cellStyle name="60% - Accent2 3 9" xfId="3940" xr:uid="{00000000-0005-0000-0000-0000A9330000}"/>
    <cellStyle name="60% - Accent2 3_BallGrid" xfId="892" xr:uid="{00000000-0005-0000-0000-0000AA330000}"/>
    <cellStyle name="60% - Accent2 4" xfId="42" xr:uid="{00000000-0005-0000-0000-0000AB330000}"/>
    <cellStyle name="60% - Accent2 4 2" xfId="894" xr:uid="{00000000-0005-0000-0000-0000AC330000}"/>
    <cellStyle name="60% - Accent2 4 2 2" xfId="22860" xr:uid="{00000000-0005-0000-0000-0000AD330000}"/>
    <cellStyle name="60% - Accent2 4 3" xfId="895" xr:uid="{00000000-0005-0000-0000-0000AE330000}"/>
    <cellStyle name="60% - Accent2 4 3 2" xfId="22178" xr:uid="{00000000-0005-0000-0000-0000AF330000}"/>
    <cellStyle name="60% - Accent2 4 4" xfId="896" xr:uid="{00000000-0005-0000-0000-0000B0330000}"/>
    <cellStyle name="60% - Accent2 4 5" xfId="897" xr:uid="{00000000-0005-0000-0000-0000B1330000}"/>
    <cellStyle name="60% - Accent2 4 6" xfId="3941" xr:uid="{00000000-0005-0000-0000-0000B2330000}"/>
    <cellStyle name="60% - Accent2 4 7" xfId="3942" xr:uid="{00000000-0005-0000-0000-0000B3330000}"/>
    <cellStyle name="60% - Accent2 4 8" xfId="3943" xr:uid="{00000000-0005-0000-0000-0000B4330000}"/>
    <cellStyle name="60% - Accent2 4 9" xfId="893" xr:uid="{00000000-0005-0000-0000-0000B5330000}"/>
    <cellStyle name="60% - Accent2 5" xfId="898" xr:uid="{00000000-0005-0000-0000-0000B6330000}"/>
    <cellStyle name="60% - Accent2 5 2" xfId="3944" xr:uid="{00000000-0005-0000-0000-0000B7330000}"/>
    <cellStyle name="60% - Accent2 5 3" xfId="3945" xr:uid="{00000000-0005-0000-0000-0000B8330000}"/>
    <cellStyle name="60% - Accent2 5 3 2" xfId="22179" xr:uid="{00000000-0005-0000-0000-0000B9330000}"/>
    <cellStyle name="60% - Accent2 5 4" xfId="52918" xr:uid="{00000000-0005-0000-0000-0000BA330000}"/>
    <cellStyle name="60% - Accent2 6" xfId="899" xr:uid="{00000000-0005-0000-0000-0000BB330000}"/>
    <cellStyle name="60% - Accent2 6 2" xfId="22861" xr:uid="{00000000-0005-0000-0000-0000BC330000}"/>
    <cellStyle name="60% - Accent2 6 3" xfId="22180" xr:uid="{00000000-0005-0000-0000-0000BD330000}"/>
    <cellStyle name="60% - Accent2 6 4" xfId="52919" xr:uid="{00000000-0005-0000-0000-0000BE330000}"/>
    <cellStyle name="60% - Accent2 7" xfId="900" xr:uid="{00000000-0005-0000-0000-0000BF330000}"/>
    <cellStyle name="60% - Accent2 8" xfId="901" xr:uid="{00000000-0005-0000-0000-0000C0330000}"/>
    <cellStyle name="60% - Accent2 8 2" xfId="22181" xr:uid="{00000000-0005-0000-0000-0000C1330000}"/>
    <cellStyle name="60% - Accent2 9" xfId="902" xr:uid="{00000000-0005-0000-0000-0000C2330000}"/>
    <cellStyle name="60% - Accent2 9 2" xfId="22177" xr:uid="{00000000-0005-0000-0000-0000C3330000}"/>
    <cellStyle name="60% - Accent3" xfId="174" builtinId="40" customBuiltin="1"/>
    <cellStyle name="60% - Accent3 10" xfId="903" xr:uid="{00000000-0005-0000-0000-0000C5330000}"/>
    <cellStyle name="60% - Accent3 10 2" xfId="904" xr:uid="{00000000-0005-0000-0000-0000C6330000}"/>
    <cellStyle name="60% - Accent3 10 3" xfId="905" xr:uid="{00000000-0005-0000-0000-0000C7330000}"/>
    <cellStyle name="60% - Accent3 10 4" xfId="22183" xr:uid="{00000000-0005-0000-0000-0000C8330000}"/>
    <cellStyle name="60% - Accent3 11" xfId="906" xr:uid="{00000000-0005-0000-0000-0000C9330000}"/>
    <cellStyle name="60% - Accent3 11 10" xfId="22184" xr:uid="{00000000-0005-0000-0000-0000CA330000}"/>
    <cellStyle name="60% - Accent3 11 2" xfId="907" xr:uid="{00000000-0005-0000-0000-0000CB330000}"/>
    <cellStyle name="60% - Accent3 11 3" xfId="908" xr:uid="{00000000-0005-0000-0000-0000CC330000}"/>
    <cellStyle name="60% - Accent3 11 3 2" xfId="909" xr:uid="{00000000-0005-0000-0000-0000CD330000}"/>
    <cellStyle name="60% - Accent3 11 3 3" xfId="3946" xr:uid="{00000000-0005-0000-0000-0000CE330000}"/>
    <cellStyle name="60% - Accent3 11 4" xfId="910" xr:uid="{00000000-0005-0000-0000-0000CF330000}"/>
    <cellStyle name="60% - Accent3 11 5" xfId="911" xr:uid="{00000000-0005-0000-0000-0000D0330000}"/>
    <cellStyle name="60% - Accent3 11 6" xfId="912" xr:uid="{00000000-0005-0000-0000-0000D1330000}"/>
    <cellStyle name="60% - Accent3 11 7" xfId="913" xr:uid="{00000000-0005-0000-0000-0000D2330000}"/>
    <cellStyle name="60% - Accent3 11 7 2" xfId="914" xr:uid="{00000000-0005-0000-0000-0000D3330000}"/>
    <cellStyle name="60% - Accent3 11 7 3" xfId="3947" xr:uid="{00000000-0005-0000-0000-0000D4330000}"/>
    <cellStyle name="60% - Accent3 11 8" xfId="3948" xr:uid="{00000000-0005-0000-0000-0000D5330000}"/>
    <cellStyle name="60% - Accent3 11 9" xfId="3949" xr:uid="{00000000-0005-0000-0000-0000D6330000}"/>
    <cellStyle name="60% - Accent3 12" xfId="915" xr:uid="{00000000-0005-0000-0000-0000D7330000}"/>
    <cellStyle name="60% - Accent3 12 2" xfId="22186" xr:uid="{00000000-0005-0000-0000-0000D8330000}"/>
    <cellStyle name="60% - Accent3 12 3" xfId="22185" xr:uid="{00000000-0005-0000-0000-0000D9330000}"/>
    <cellStyle name="60% - Accent3 13" xfId="22187" xr:uid="{00000000-0005-0000-0000-0000DA330000}"/>
    <cellStyle name="60% - Accent3 14" xfId="22188" xr:uid="{00000000-0005-0000-0000-0000DB330000}"/>
    <cellStyle name="60% - Accent3 15" xfId="22685" xr:uid="{00000000-0005-0000-0000-0000DC330000}"/>
    <cellStyle name="60% - Accent3 16" xfId="22182" xr:uid="{00000000-0005-0000-0000-0000DD330000}"/>
    <cellStyle name="60% - Accent3 17" xfId="52920" xr:uid="{00000000-0005-0000-0000-0000DE330000}"/>
    <cellStyle name="60% - Accent3 2" xfId="43" xr:uid="{00000000-0005-0000-0000-0000DF330000}"/>
    <cellStyle name="60% - Accent3 2 10" xfId="917" xr:uid="{00000000-0005-0000-0000-0000E0330000}"/>
    <cellStyle name="60% - Accent3 2 11" xfId="918" xr:uid="{00000000-0005-0000-0000-0000E1330000}"/>
    <cellStyle name="60% - Accent3 2 12" xfId="919" xr:uid="{00000000-0005-0000-0000-0000E2330000}"/>
    <cellStyle name="60% - Accent3 2 13" xfId="920" xr:uid="{00000000-0005-0000-0000-0000E3330000}"/>
    <cellStyle name="60% - Accent3 2 14" xfId="921" xr:uid="{00000000-0005-0000-0000-0000E4330000}"/>
    <cellStyle name="60% - Accent3 2 15" xfId="3950" xr:uid="{00000000-0005-0000-0000-0000E5330000}"/>
    <cellStyle name="60% - Accent3 2 16" xfId="3951" xr:uid="{00000000-0005-0000-0000-0000E6330000}"/>
    <cellStyle name="60% - Accent3 2 17" xfId="3952" xr:uid="{00000000-0005-0000-0000-0000E7330000}"/>
    <cellStyle name="60% - Accent3 2 18" xfId="916" xr:uid="{00000000-0005-0000-0000-0000E8330000}"/>
    <cellStyle name="60% - Accent3 2 2" xfId="922" xr:uid="{00000000-0005-0000-0000-0000E9330000}"/>
    <cellStyle name="60% - Accent3 2 2 2" xfId="923" xr:uid="{00000000-0005-0000-0000-0000EA330000}"/>
    <cellStyle name="60% - Accent3 2 2 3" xfId="924" xr:uid="{00000000-0005-0000-0000-0000EB330000}"/>
    <cellStyle name="60% - Accent3 2 2 4" xfId="3953" xr:uid="{00000000-0005-0000-0000-0000EC330000}"/>
    <cellStyle name="60% - Accent3 2 2 5" xfId="3954" xr:uid="{00000000-0005-0000-0000-0000ED330000}"/>
    <cellStyle name="60% - Accent3 2 2_Sheet1" xfId="925" xr:uid="{00000000-0005-0000-0000-0000EE330000}"/>
    <cellStyle name="60% - Accent3 2 3" xfId="926" xr:uid="{00000000-0005-0000-0000-0000EF330000}"/>
    <cellStyle name="60% - Accent3 2 4" xfId="927" xr:uid="{00000000-0005-0000-0000-0000F0330000}"/>
    <cellStyle name="60% - Accent3 2 5" xfId="928" xr:uid="{00000000-0005-0000-0000-0000F1330000}"/>
    <cellStyle name="60% - Accent3 2 6" xfId="929" xr:uid="{00000000-0005-0000-0000-0000F2330000}"/>
    <cellStyle name="60% - Accent3 2 7" xfId="930" xr:uid="{00000000-0005-0000-0000-0000F3330000}"/>
    <cellStyle name="60% - Accent3 2 8" xfId="931" xr:uid="{00000000-0005-0000-0000-0000F4330000}"/>
    <cellStyle name="60% - Accent3 2 9" xfId="932" xr:uid="{00000000-0005-0000-0000-0000F5330000}"/>
    <cellStyle name="60% - Accent3 2_BallGrid" xfId="933" xr:uid="{00000000-0005-0000-0000-0000F6330000}"/>
    <cellStyle name="60% - Accent3 3" xfId="44" xr:uid="{00000000-0005-0000-0000-0000F7330000}"/>
    <cellStyle name="60% - Accent3 3 10" xfId="934" xr:uid="{00000000-0005-0000-0000-0000F8330000}"/>
    <cellStyle name="60% - Accent3 3 2" xfId="935" xr:uid="{00000000-0005-0000-0000-0000F9330000}"/>
    <cellStyle name="60% - Accent3 3 3" xfId="936" xr:uid="{00000000-0005-0000-0000-0000FA330000}"/>
    <cellStyle name="60% - Accent3 3 4" xfId="937" xr:uid="{00000000-0005-0000-0000-0000FB330000}"/>
    <cellStyle name="60% - Accent3 3 5" xfId="938" xr:uid="{00000000-0005-0000-0000-0000FC330000}"/>
    <cellStyle name="60% - Accent3 3 6" xfId="939" xr:uid="{00000000-0005-0000-0000-0000FD330000}"/>
    <cellStyle name="60% - Accent3 3 7" xfId="3955" xr:uid="{00000000-0005-0000-0000-0000FE330000}"/>
    <cellStyle name="60% - Accent3 3 8" xfId="3956" xr:uid="{00000000-0005-0000-0000-0000FF330000}"/>
    <cellStyle name="60% - Accent3 3 9" xfId="3957" xr:uid="{00000000-0005-0000-0000-000000340000}"/>
    <cellStyle name="60% - Accent3 3_BallGrid" xfId="940" xr:uid="{00000000-0005-0000-0000-000001340000}"/>
    <cellStyle name="60% - Accent3 4" xfId="45" xr:uid="{00000000-0005-0000-0000-000002340000}"/>
    <cellStyle name="60% - Accent3 4 2" xfId="942" xr:uid="{00000000-0005-0000-0000-000003340000}"/>
    <cellStyle name="60% - Accent3 4 2 2" xfId="22862" xr:uid="{00000000-0005-0000-0000-000004340000}"/>
    <cellStyle name="60% - Accent3 4 3" xfId="943" xr:uid="{00000000-0005-0000-0000-000005340000}"/>
    <cellStyle name="60% - Accent3 4 3 2" xfId="22189" xr:uid="{00000000-0005-0000-0000-000006340000}"/>
    <cellStyle name="60% - Accent3 4 4" xfId="944" xr:uid="{00000000-0005-0000-0000-000007340000}"/>
    <cellStyle name="60% - Accent3 4 5" xfId="945" xr:uid="{00000000-0005-0000-0000-000008340000}"/>
    <cellStyle name="60% - Accent3 4 6" xfId="3958" xr:uid="{00000000-0005-0000-0000-000009340000}"/>
    <cellStyle name="60% - Accent3 4 7" xfId="3959" xr:uid="{00000000-0005-0000-0000-00000A340000}"/>
    <cellStyle name="60% - Accent3 4 8" xfId="3960" xr:uid="{00000000-0005-0000-0000-00000B340000}"/>
    <cellStyle name="60% - Accent3 4 9" xfId="941" xr:uid="{00000000-0005-0000-0000-00000C340000}"/>
    <cellStyle name="60% - Accent3 5" xfId="946" xr:uid="{00000000-0005-0000-0000-00000D340000}"/>
    <cellStyle name="60% - Accent3 5 10" xfId="3961" xr:uid="{00000000-0005-0000-0000-00000E340000}"/>
    <cellStyle name="60% - Accent3 5 2" xfId="947" xr:uid="{00000000-0005-0000-0000-00000F340000}"/>
    <cellStyle name="60% - Accent3 5 2 2" xfId="22863" xr:uid="{00000000-0005-0000-0000-000010340000}"/>
    <cellStyle name="60% - Accent3 5 3" xfId="948" xr:uid="{00000000-0005-0000-0000-000011340000}"/>
    <cellStyle name="60% - Accent3 5 3 2" xfId="949" xr:uid="{00000000-0005-0000-0000-000012340000}"/>
    <cellStyle name="60% - Accent3 5 3 3" xfId="3962" xr:uid="{00000000-0005-0000-0000-000013340000}"/>
    <cellStyle name="60% - Accent3 5 3 4" xfId="22190" xr:uid="{00000000-0005-0000-0000-000014340000}"/>
    <cellStyle name="60% - Accent3 5 4" xfId="950" xr:uid="{00000000-0005-0000-0000-000015340000}"/>
    <cellStyle name="60% - Accent3 5 4 2" xfId="52921" xr:uid="{00000000-0005-0000-0000-000016340000}"/>
    <cellStyle name="60% - Accent3 5 5" xfId="951" xr:uid="{00000000-0005-0000-0000-000017340000}"/>
    <cellStyle name="60% - Accent3 5 6" xfId="952" xr:uid="{00000000-0005-0000-0000-000018340000}"/>
    <cellStyle name="60% - Accent3 5 7" xfId="953" xr:uid="{00000000-0005-0000-0000-000019340000}"/>
    <cellStyle name="60% - Accent3 5 7 2" xfId="954" xr:uid="{00000000-0005-0000-0000-00001A340000}"/>
    <cellStyle name="60% - Accent3 5 7 3" xfId="3963" xr:uid="{00000000-0005-0000-0000-00001B340000}"/>
    <cellStyle name="60% - Accent3 5 8" xfId="3964" xr:uid="{00000000-0005-0000-0000-00001C340000}"/>
    <cellStyle name="60% - Accent3 5 9" xfId="3965" xr:uid="{00000000-0005-0000-0000-00001D340000}"/>
    <cellStyle name="60% - Accent3 6" xfId="955" xr:uid="{00000000-0005-0000-0000-00001E340000}"/>
    <cellStyle name="60% - Accent3 6 2" xfId="956" xr:uid="{00000000-0005-0000-0000-00001F340000}"/>
    <cellStyle name="60% - Accent3 6 2 2" xfId="22864" xr:uid="{00000000-0005-0000-0000-000020340000}"/>
    <cellStyle name="60% - Accent3 6 3" xfId="957" xr:uid="{00000000-0005-0000-0000-000021340000}"/>
    <cellStyle name="60% - Accent3 6 3 2" xfId="958" xr:uid="{00000000-0005-0000-0000-000022340000}"/>
    <cellStyle name="60% - Accent3 6 3 3" xfId="3966" xr:uid="{00000000-0005-0000-0000-000023340000}"/>
    <cellStyle name="60% - Accent3 6 3 4" xfId="22191" xr:uid="{00000000-0005-0000-0000-000024340000}"/>
    <cellStyle name="60% - Accent3 6 4" xfId="959" xr:uid="{00000000-0005-0000-0000-000025340000}"/>
    <cellStyle name="60% - Accent3 6 4 2" xfId="52922" xr:uid="{00000000-0005-0000-0000-000026340000}"/>
    <cellStyle name="60% - Accent3 6 5" xfId="960" xr:uid="{00000000-0005-0000-0000-000027340000}"/>
    <cellStyle name="60% - Accent3 6 6" xfId="961" xr:uid="{00000000-0005-0000-0000-000028340000}"/>
    <cellStyle name="60% - Accent3 6 7" xfId="962" xr:uid="{00000000-0005-0000-0000-000029340000}"/>
    <cellStyle name="60% - Accent3 6 7 2" xfId="963" xr:uid="{00000000-0005-0000-0000-00002A340000}"/>
    <cellStyle name="60% - Accent3 6 7 3" xfId="3967" xr:uid="{00000000-0005-0000-0000-00002B340000}"/>
    <cellStyle name="60% - Accent3 6 8" xfId="3968" xr:uid="{00000000-0005-0000-0000-00002C340000}"/>
    <cellStyle name="60% - Accent3 6 9" xfId="3969" xr:uid="{00000000-0005-0000-0000-00002D340000}"/>
    <cellStyle name="60% - Accent3 7" xfId="964" xr:uid="{00000000-0005-0000-0000-00002E340000}"/>
    <cellStyle name="60% - Accent3 7 10" xfId="22192" xr:uid="{00000000-0005-0000-0000-00002F340000}"/>
    <cellStyle name="60% - Accent3 7 2" xfId="965" xr:uid="{00000000-0005-0000-0000-000030340000}"/>
    <cellStyle name="60% - Accent3 7 3" xfId="966" xr:uid="{00000000-0005-0000-0000-000031340000}"/>
    <cellStyle name="60% - Accent3 7 3 2" xfId="967" xr:uid="{00000000-0005-0000-0000-000032340000}"/>
    <cellStyle name="60% - Accent3 7 3 3" xfId="3970" xr:uid="{00000000-0005-0000-0000-000033340000}"/>
    <cellStyle name="60% - Accent3 7 4" xfId="968" xr:uid="{00000000-0005-0000-0000-000034340000}"/>
    <cellStyle name="60% - Accent3 7 5" xfId="969" xr:uid="{00000000-0005-0000-0000-000035340000}"/>
    <cellStyle name="60% - Accent3 7 6" xfId="970" xr:uid="{00000000-0005-0000-0000-000036340000}"/>
    <cellStyle name="60% - Accent3 7 7" xfId="971" xr:uid="{00000000-0005-0000-0000-000037340000}"/>
    <cellStyle name="60% - Accent3 7 7 2" xfId="972" xr:uid="{00000000-0005-0000-0000-000038340000}"/>
    <cellStyle name="60% - Accent3 7 7 3" xfId="3971" xr:uid="{00000000-0005-0000-0000-000039340000}"/>
    <cellStyle name="60% - Accent3 7 8" xfId="3972" xr:uid="{00000000-0005-0000-0000-00003A340000}"/>
    <cellStyle name="60% - Accent3 7 9" xfId="3973" xr:uid="{00000000-0005-0000-0000-00003B340000}"/>
    <cellStyle name="60% - Accent3 8" xfId="973" xr:uid="{00000000-0005-0000-0000-00003C340000}"/>
    <cellStyle name="60% - Accent3 8 10" xfId="22193" xr:uid="{00000000-0005-0000-0000-00003D340000}"/>
    <cellStyle name="60% - Accent3 8 2" xfId="974" xr:uid="{00000000-0005-0000-0000-00003E340000}"/>
    <cellStyle name="60% - Accent3 8 2 2" xfId="22194" xr:uid="{00000000-0005-0000-0000-00003F340000}"/>
    <cellStyle name="60% - Accent3 8 3" xfId="975" xr:uid="{00000000-0005-0000-0000-000040340000}"/>
    <cellStyle name="60% - Accent3 8 3 2" xfId="976" xr:uid="{00000000-0005-0000-0000-000041340000}"/>
    <cellStyle name="60% - Accent3 8 3 3" xfId="3974" xr:uid="{00000000-0005-0000-0000-000042340000}"/>
    <cellStyle name="60% - Accent3 8 4" xfId="977" xr:uid="{00000000-0005-0000-0000-000043340000}"/>
    <cellStyle name="60% - Accent3 8 5" xfId="978" xr:uid="{00000000-0005-0000-0000-000044340000}"/>
    <cellStyle name="60% - Accent3 8 6" xfId="979" xr:uid="{00000000-0005-0000-0000-000045340000}"/>
    <cellStyle name="60% - Accent3 8 7" xfId="980" xr:uid="{00000000-0005-0000-0000-000046340000}"/>
    <cellStyle name="60% - Accent3 8 7 2" xfId="981" xr:uid="{00000000-0005-0000-0000-000047340000}"/>
    <cellStyle name="60% - Accent3 8 7 3" xfId="3975" xr:uid="{00000000-0005-0000-0000-000048340000}"/>
    <cellStyle name="60% - Accent3 8 8" xfId="3976" xr:uid="{00000000-0005-0000-0000-000049340000}"/>
    <cellStyle name="60% - Accent3 8 9" xfId="3977" xr:uid="{00000000-0005-0000-0000-00004A340000}"/>
    <cellStyle name="60% - Accent3 9" xfId="982" xr:uid="{00000000-0005-0000-0000-00004B340000}"/>
    <cellStyle name="60% - Accent3 9 10" xfId="22195" xr:uid="{00000000-0005-0000-0000-00004C340000}"/>
    <cellStyle name="60% - Accent3 9 2" xfId="983" xr:uid="{00000000-0005-0000-0000-00004D340000}"/>
    <cellStyle name="60% - Accent3 9 3" xfId="984" xr:uid="{00000000-0005-0000-0000-00004E340000}"/>
    <cellStyle name="60% - Accent3 9 3 2" xfId="985" xr:uid="{00000000-0005-0000-0000-00004F340000}"/>
    <cellStyle name="60% - Accent3 9 3 3" xfId="3978" xr:uid="{00000000-0005-0000-0000-000050340000}"/>
    <cellStyle name="60% - Accent3 9 4" xfId="986" xr:uid="{00000000-0005-0000-0000-000051340000}"/>
    <cellStyle name="60% - Accent3 9 5" xfId="987" xr:uid="{00000000-0005-0000-0000-000052340000}"/>
    <cellStyle name="60% - Accent3 9 6" xfId="988" xr:uid="{00000000-0005-0000-0000-000053340000}"/>
    <cellStyle name="60% - Accent3 9 7" xfId="989" xr:uid="{00000000-0005-0000-0000-000054340000}"/>
    <cellStyle name="60% - Accent3 9 7 2" xfId="990" xr:uid="{00000000-0005-0000-0000-000055340000}"/>
    <cellStyle name="60% - Accent3 9 7 3" xfId="3979" xr:uid="{00000000-0005-0000-0000-000056340000}"/>
    <cellStyle name="60% - Accent3 9 8" xfId="3980" xr:uid="{00000000-0005-0000-0000-000057340000}"/>
    <cellStyle name="60% - Accent3 9 9" xfId="3981" xr:uid="{00000000-0005-0000-0000-000058340000}"/>
    <cellStyle name="60% - Accent4" xfId="178" builtinId="44" customBuiltin="1"/>
    <cellStyle name="60% - Accent4 10" xfId="991" xr:uid="{00000000-0005-0000-0000-00005A340000}"/>
    <cellStyle name="60% - Accent4 10 2" xfId="992" xr:uid="{00000000-0005-0000-0000-00005B340000}"/>
    <cellStyle name="60% - Accent4 10 3" xfId="993" xr:uid="{00000000-0005-0000-0000-00005C340000}"/>
    <cellStyle name="60% - Accent4 10 4" xfId="22197" xr:uid="{00000000-0005-0000-0000-00005D340000}"/>
    <cellStyle name="60% - Accent4 11" xfId="994" xr:uid="{00000000-0005-0000-0000-00005E340000}"/>
    <cellStyle name="60% - Accent4 11 10" xfId="22198" xr:uid="{00000000-0005-0000-0000-00005F340000}"/>
    <cellStyle name="60% - Accent4 11 2" xfId="995" xr:uid="{00000000-0005-0000-0000-000060340000}"/>
    <cellStyle name="60% - Accent4 11 3" xfId="996" xr:uid="{00000000-0005-0000-0000-000061340000}"/>
    <cellStyle name="60% - Accent4 11 3 2" xfId="997" xr:uid="{00000000-0005-0000-0000-000062340000}"/>
    <cellStyle name="60% - Accent4 11 3 3" xfId="3982" xr:uid="{00000000-0005-0000-0000-000063340000}"/>
    <cellStyle name="60% - Accent4 11 4" xfId="998" xr:uid="{00000000-0005-0000-0000-000064340000}"/>
    <cellStyle name="60% - Accent4 11 5" xfId="999" xr:uid="{00000000-0005-0000-0000-000065340000}"/>
    <cellStyle name="60% - Accent4 11 6" xfId="1000" xr:uid="{00000000-0005-0000-0000-000066340000}"/>
    <cellStyle name="60% - Accent4 11 7" xfId="1001" xr:uid="{00000000-0005-0000-0000-000067340000}"/>
    <cellStyle name="60% - Accent4 11 7 2" xfId="1002" xr:uid="{00000000-0005-0000-0000-000068340000}"/>
    <cellStyle name="60% - Accent4 11 7 3" xfId="3983" xr:uid="{00000000-0005-0000-0000-000069340000}"/>
    <cellStyle name="60% - Accent4 11 8" xfId="3984" xr:uid="{00000000-0005-0000-0000-00006A340000}"/>
    <cellStyle name="60% - Accent4 11 9" xfId="3985" xr:uid="{00000000-0005-0000-0000-00006B340000}"/>
    <cellStyle name="60% - Accent4 12" xfId="1003" xr:uid="{00000000-0005-0000-0000-00006C340000}"/>
    <cellStyle name="60% - Accent4 12 2" xfId="22200" xr:uid="{00000000-0005-0000-0000-00006D340000}"/>
    <cellStyle name="60% - Accent4 12 3" xfId="22199" xr:uid="{00000000-0005-0000-0000-00006E340000}"/>
    <cellStyle name="60% - Accent4 13" xfId="22201" xr:uid="{00000000-0005-0000-0000-00006F340000}"/>
    <cellStyle name="60% - Accent4 14" xfId="22202" xr:uid="{00000000-0005-0000-0000-000070340000}"/>
    <cellStyle name="60% - Accent4 15" xfId="22689" xr:uid="{00000000-0005-0000-0000-000071340000}"/>
    <cellStyle name="60% - Accent4 16" xfId="22196" xr:uid="{00000000-0005-0000-0000-000072340000}"/>
    <cellStyle name="60% - Accent4 17" xfId="52923" xr:uid="{00000000-0005-0000-0000-000073340000}"/>
    <cellStyle name="60% - Accent4 2" xfId="46" xr:uid="{00000000-0005-0000-0000-000074340000}"/>
    <cellStyle name="60% - Accent4 2 10" xfId="1005" xr:uid="{00000000-0005-0000-0000-000075340000}"/>
    <cellStyle name="60% - Accent4 2 11" xfId="1006" xr:uid="{00000000-0005-0000-0000-000076340000}"/>
    <cellStyle name="60% - Accent4 2 12" xfId="1007" xr:uid="{00000000-0005-0000-0000-000077340000}"/>
    <cellStyle name="60% - Accent4 2 13" xfId="1008" xr:uid="{00000000-0005-0000-0000-000078340000}"/>
    <cellStyle name="60% - Accent4 2 14" xfId="1009" xr:uid="{00000000-0005-0000-0000-000079340000}"/>
    <cellStyle name="60% - Accent4 2 15" xfId="3986" xr:uid="{00000000-0005-0000-0000-00007A340000}"/>
    <cellStyle name="60% - Accent4 2 16" xfId="3987" xr:uid="{00000000-0005-0000-0000-00007B340000}"/>
    <cellStyle name="60% - Accent4 2 17" xfId="3988" xr:uid="{00000000-0005-0000-0000-00007C340000}"/>
    <cellStyle name="60% - Accent4 2 18" xfId="1004" xr:uid="{00000000-0005-0000-0000-00007D340000}"/>
    <cellStyle name="60% - Accent4 2 2" xfId="1010" xr:uid="{00000000-0005-0000-0000-00007E340000}"/>
    <cellStyle name="60% - Accent4 2 2 2" xfId="1011" xr:uid="{00000000-0005-0000-0000-00007F340000}"/>
    <cellStyle name="60% - Accent4 2 2 3" xfId="1012" xr:uid="{00000000-0005-0000-0000-000080340000}"/>
    <cellStyle name="60% - Accent4 2 2 4" xfId="3989" xr:uid="{00000000-0005-0000-0000-000081340000}"/>
    <cellStyle name="60% - Accent4 2 2 5" xfId="3990" xr:uid="{00000000-0005-0000-0000-000082340000}"/>
    <cellStyle name="60% - Accent4 2 2_Sheet1" xfId="1013" xr:uid="{00000000-0005-0000-0000-000083340000}"/>
    <cellStyle name="60% - Accent4 2 3" xfId="1014" xr:uid="{00000000-0005-0000-0000-000084340000}"/>
    <cellStyle name="60% - Accent4 2 4" xfId="1015" xr:uid="{00000000-0005-0000-0000-000085340000}"/>
    <cellStyle name="60% - Accent4 2 5" xfId="1016" xr:uid="{00000000-0005-0000-0000-000086340000}"/>
    <cellStyle name="60% - Accent4 2 6" xfId="1017" xr:uid="{00000000-0005-0000-0000-000087340000}"/>
    <cellStyle name="60% - Accent4 2 7" xfId="1018" xr:uid="{00000000-0005-0000-0000-000088340000}"/>
    <cellStyle name="60% - Accent4 2 8" xfId="1019" xr:uid="{00000000-0005-0000-0000-000089340000}"/>
    <cellStyle name="60% - Accent4 2 9" xfId="1020" xr:uid="{00000000-0005-0000-0000-00008A340000}"/>
    <cellStyle name="60% - Accent4 2_BallGrid" xfId="1021" xr:uid="{00000000-0005-0000-0000-00008B340000}"/>
    <cellStyle name="60% - Accent4 3" xfId="47" xr:uid="{00000000-0005-0000-0000-00008C340000}"/>
    <cellStyle name="60% - Accent4 3 10" xfId="1022" xr:uid="{00000000-0005-0000-0000-00008D340000}"/>
    <cellStyle name="60% - Accent4 3 2" xfId="1023" xr:uid="{00000000-0005-0000-0000-00008E340000}"/>
    <cellStyle name="60% - Accent4 3 3" xfId="1024" xr:uid="{00000000-0005-0000-0000-00008F340000}"/>
    <cellStyle name="60% - Accent4 3 4" xfId="1025" xr:uid="{00000000-0005-0000-0000-000090340000}"/>
    <cellStyle name="60% - Accent4 3 5" xfId="1026" xr:uid="{00000000-0005-0000-0000-000091340000}"/>
    <cellStyle name="60% - Accent4 3 6" xfId="1027" xr:uid="{00000000-0005-0000-0000-000092340000}"/>
    <cellStyle name="60% - Accent4 3 7" xfId="3991" xr:uid="{00000000-0005-0000-0000-000093340000}"/>
    <cellStyle name="60% - Accent4 3 8" xfId="3992" xr:uid="{00000000-0005-0000-0000-000094340000}"/>
    <cellStyle name="60% - Accent4 3 9" xfId="3993" xr:uid="{00000000-0005-0000-0000-000095340000}"/>
    <cellStyle name="60% - Accent4 3_BallGrid" xfId="1028" xr:uid="{00000000-0005-0000-0000-000096340000}"/>
    <cellStyle name="60% - Accent4 4" xfId="48" xr:uid="{00000000-0005-0000-0000-000097340000}"/>
    <cellStyle name="60% - Accent4 4 2" xfId="1030" xr:uid="{00000000-0005-0000-0000-000098340000}"/>
    <cellStyle name="60% - Accent4 4 2 2" xfId="22865" xr:uid="{00000000-0005-0000-0000-000099340000}"/>
    <cellStyle name="60% - Accent4 4 3" xfId="1031" xr:uid="{00000000-0005-0000-0000-00009A340000}"/>
    <cellStyle name="60% - Accent4 4 3 2" xfId="22203" xr:uid="{00000000-0005-0000-0000-00009B340000}"/>
    <cellStyle name="60% - Accent4 4 4" xfId="1032" xr:uid="{00000000-0005-0000-0000-00009C340000}"/>
    <cellStyle name="60% - Accent4 4 5" xfId="1033" xr:uid="{00000000-0005-0000-0000-00009D340000}"/>
    <cellStyle name="60% - Accent4 4 6" xfId="3994" xr:uid="{00000000-0005-0000-0000-00009E340000}"/>
    <cellStyle name="60% - Accent4 4 7" xfId="3995" xr:uid="{00000000-0005-0000-0000-00009F340000}"/>
    <cellStyle name="60% - Accent4 4 8" xfId="3996" xr:uid="{00000000-0005-0000-0000-0000A0340000}"/>
    <cellStyle name="60% - Accent4 4 9" xfId="1029" xr:uid="{00000000-0005-0000-0000-0000A1340000}"/>
    <cellStyle name="60% - Accent4 5" xfId="1034" xr:uid="{00000000-0005-0000-0000-0000A2340000}"/>
    <cellStyle name="60% - Accent4 5 10" xfId="3997" xr:uid="{00000000-0005-0000-0000-0000A3340000}"/>
    <cellStyle name="60% - Accent4 5 2" xfId="1035" xr:uid="{00000000-0005-0000-0000-0000A4340000}"/>
    <cellStyle name="60% - Accent4 5 2 2" xfId="22866" xr:uid="{00000000-0005-0000-0000-0000A5340000}"/>
    <cellStyle name="60% - Accent4 5 3" xfId="1036" xr:uid="{00000000-0005-0000-0000-0000A6340000}"/>
    <cellStyle name="60% - Accent4 5 3 2" xfId="1037" xr:uid="{00000000-0005-0000-0000-0000A7340000}"/>
    <cellStyle name="60% - Accent4 5 3 3" xfId="3998" xr:uid="{00000000-0005-0000-0000-0000A8340000}"/>
    <cellStyle name="60% - Accent4 5 3 4" xfId="22204" xr:uid="{00000000-0005-0000-0000-0000A9340000}"/>
    <cellStyle name="60% - Accent4 5 4" xfId="1038" xr:uid="{00000000-0005-0000-0000-0000AA340000}"/>
    <cellStyle name="60% - Accent4 5 4 2" xfId="52924" xr:uid="{00000000-0005-0000-0000-0000AB340000}"/>
    <cellStyle name="60% - Accent4 5 5" xfId="1039" xr:uid="{00000000-0005-0000-0000-0000AC340000}"/>
    <cellStyle name="60% - Accent4 5 6" xfId="1040" xr:uid="{00000000-0005-0000-0000-0000AD340000}"/>
    <cellStyle name="60% - Accent4 5 7" xfId="1041" xr:uid="{00000000-0005-0000-0000-0000AE340000}"/>
    <cellStyle name="60% - Accent4 5 7 2" xfId="1042" xr:uid="{00000000-0005-0000-0000-0000AF340000}"/>
    <cellStyle name="60% - Accent4 5 7 3" xfId="3999" xr:uid="{00000000-0005-0000-0000-0000B0340000}"/>
    <cellStyle name="60% - Accent4 5 8" xfId="4000" xr:uid="{00000000-0005-0000-0000-0000B1340000}"/>
    <cellStyle name="60% - Accent4 5 9" xfId="4001" xr:uid="{00000000-0005-0000-0000-0000B2340000}"/>
    <cellStyle name="60% - Accent4 6" xfId="1043" xr:uid="{00000000-0005-0000-0000-0000B3340000}"/>
    <cellStyle name="60% - Accent4 6 2" xfId="1044" xr:uid="{00000000-0005-0000-0000-0000B4340000}"/>
    <cellStyle name="60% - Accent4 6 2 2" xfId="22867" xr:uid="{00000000-0005-0000-0000-0000B5340000}"/>
    <cellStyle name="60% - Accent4 6 3" xfId="1045" xr:uid="{00000000-0005-0000-0000-0000B6340000}"/>
    <cellStyle name="60% - Accent4 6 3 2" xfId="1046" xr:uid="{00000000-0005-0000-0000-0000B7340000}"/>
    <cellStyle name="60% - Accent4 6 3 3" xfId="4002" xr:uid="{00000000-0005-0000-0000-0000B8340000}"/>
    <cellStyle name="60% - Accent4 6 3 4" xfId="22205" xr:uid="{00000000-0005-0000-0000-0000B9340000}"/>
    <cellStyle name="60% - Accent4 6 4" xfId="1047" xr:uid="{00000000-0005-0000-0000-0000BA340000}"/>
    <cellStyle name="60% - Accent4 6 4 2" xfId="52925" xr:uid="{00000000-0005-0000-0000-0000BB340000}"/>
    <cellStyle name="60% - Accent4 6 5" xfId="1048" xr:uid="{00000000-0005-0000-0000-0000BC340000}"/>
    <cellStyle name="60% - Accent4 6 6" xfId="1049" xr:uid="{00000000-0005-0000-0000-0000BD340000}"/>
    <cellStyle name="60% - Accent4 6 7" xfId="1050" xr:uid="{00000000-0005-0000-0000-0000BE340000}"/>
    <cellStyle name="60% - Accent4 6 7 2" xfId="1051" xr:uid="{00000000-0005-0000-0000-0000BF340000}"/>
    <cellStyle name="60% - Accent4 6 7 3" xfId="4003" xr:uid="{00000000-0005-0000-0000-0000C0340000}"/>
    <cellStyle name="60% - Accent4 6 8" xfId="4004" xr:uid="{00000000-0005-0000-0000-0000C1340000}"/>
    <cellStyle name="60% - Accent4 6 9" xfId="4005" xr:uid="{00000000-0005-0000-0000-0000C2340000}"/>
    <cellStyle name="60% - Accent4 7" xfId="1052" xr:uid="{00000000-0005-0000-0000-0000C3340000}"/>
    <cellStyle name="60% - Accent4 7 10" xfId="22206" xr:uid="{00000000-0005-0000-0000-0000C4340000}"/>
    <cellStyle name="60% - Accent4 7 2" xfId="1053" xr:uid="{00000000-0005-0000-0000-0000C5340000}"/>
    <cellStyle name="60% - Accent4 7 3" xfId="1054" xr:uid="{00000000-0005-0000-0000-0000C6340000}"/>
    <cellStyle name="60% - Accent4 7 3 2" xfId="1055" xr:uid="{00000000-0005-0000-0000-0000C7340000}"/>
    <cellStyle name="60% - Accent4 7 3 3" xfId="4006" xr:uid="{00000000-0005-0000-0000-0000C8340000}"/>
    <cellStyle name="60% - Accent4 7 4" xfId="1056" xr:uid="{00000000-0005-0000-0000-0000C9340000}"/>
    <cellStyle name="60% - Accent4 7 5" xfId="1057" xr:uid="{00000000-0005-0000-0000-0000CA340000}"/>
    <cellStyle name="60% - Accent4 7 6" xfId="1058" xr:uid="{00000000-0005-0000-0000-0000CB340000}"/>
    <cellStyle name="60% - Accent4 7 7" xfId="1059" xr:uid="{00000000-0005-0000-0000-0000CC340000}"/>
    <cellStyle name="60% - Accent4 7 7 2" xfId="1060" xr:uid="{00000000-0005-0000-0000-0000CD340000}"/>
    <cellStyle name="60% - Accent4 7 7 3" xfId="4007" xr:uid="{00000000-0005-0000-0000-0000CE340000}"/>
    <cellStyle name="60% - Accent4 7 8" xfId="4008" xr:uid="{00000000-0005-0000-0000-0000CF340000}"/>
    <cellStyle name="60% - Accent4 7 9" xfId="4009" xr:uid="{00000000-0005-0000-0000-0000D0340000}"/>
    <cellStyle name="60% - Accent4 8" xfId="1061" xr:uid="{00000000-0005-0000-0000-0000D1340000}"/>
    <cellStyle name="60% - Accent4 8 10" xfId="22207" xr:uid="{00000000-0005-0000-0000-0000D2340000}"/>
    <cellStyle name="60% - Accent4 8 2" xfId="1062" xr:uid="{00000000-0005-0000-0000-0000D3340000}"/>
    <cellStyle name="60% - Accent4 8 2 2" xfId="22208" xr:uid="{00000000-0005-0000-0000-0000D4340000}"/>
    <cellStyle name="60% - Accent4 8 3" xfId="1063" xr:uid="{00000000-0005-0000-0000-0000D5340000}"/>
    <cellStyle name="60% - Accent4 8 3 2" xfId="1064" xr:uid="{00000000-0005-0000-0000-0000D6340000}"/>
    <cellStyle name="60% - Accent4 8 3 3" xfId="4010" xr:uid="{00000000-0005-0000-0000-0000D7340000}"/>
    <cellStyle name="60% - Accent4 8 4" xfId="1065" xr:uid="{00000000-0005-0000-0000-0000D8340000}"/>
    <cellStyle name="60% - Accent4 8 5" xfId="1066" xr:uid="{00000000-0005-0000-0000-0000D9340000}"/>
    <cellStyle name="60% - Accent4 8 6" xfId="1067" xr:uid="{00000000-0005-0000-0000-0000DA340000}"/>
    <cellStyle name="60% - Accent4 8 7" xfId="1068" xr:uid="{00000000-0005-0000-0000-0000DB340000}"/>
    <cellStyle name="60% - Accent4 8 7 2" xfId="1069" xr:uid="{00000000-0005-0000-0000-0000DC340000}"/>
    <cellStyle name="60% - Accent4 8 7 3" xfId="4011" xr:uid="{00000000-0005-0000-0000-0000DD340000}"/>
    <cellStyle name="60% - Accent4 8 8" xfId="4012" xr:uid="{00000000-0005-0000-0000-0000DE340000}"/>
    <cellStyle name="60% - Accent4 8 9" xfId="4013" xr:uid="{00000000-0005-0000-0000-0000DF340000}"/>
    <cellStyle name="60% - Accent4 9" xfId="1070" xr:uid="{00000000-0005-0000-0000-0000E0340000}"/>
    <cellStyle name="60% - Accent4 9 10" xfId="22209" xr:uid="{00000000-0005-0000-0000-0000E1340000}"/>
    <cellStyle name="60% - Accent4 9 2" xfId="1071" xr:uid="{00000000-0005-0000-0000-0000E2340000}"/>
    <cellStyle name="60% - Accent4 9 3" xfId="1072" xr:uid="{00000000-0005-0000-0000-0000E3340000}"/>
    <cellStyle name="60% - Accent4 9 3 2" xfId="1073" xr:uid="{00000000-0005-0000-0000-0000E4340000}"/>
    <cellStyle name="60% - Accent4 9 3 3" xfId="4014" xr:uid="{00000000-0005-0000-0000-0000E5340000}"/>
    <cellStyle name="60% - Accent4 9 4" xfId="1074" xr:uid="{00000000-0005-0000-0000-0000E6340000}"/>
    <cellStyle name="60% - Accent4 9 5" xfId="1075" xr:uid="{00000000-0005-0000-0000-0000E7340000}"/>
    <cellStyle name="60% - Accent4 9 6" xfId="1076" xr:uid="{00000000-0005-0000-0000-0000E8340000}"/>
    <cellStyle name="60% - Accent4 9 7" xfId="1077" xr:uid="{00000000-0005-0000-0000-0000E9340000}"/>
    <cellStyle name="60% - Accent4 9 7 2" xfId="1078" xr:uid="{00000000-0005-0000-0000-0000EA340000}"/>
    <cellStyle name="60% - Accent4 9 7 3" xfId="4015" xr:uid="{00000000-0005-0000-0000-0000EB340000}"/>
    <cellStyle name="60% - Accent4 9 8" xfId="4016" xr:uid="{00000000-0005-0000-0000-0000EC340000}"/>
    <cellStyle name="60% - Accent4 9 9" xfId="4017" xr:uid="{00000000-0005-0000-0000-0000ED340000}"/>
    <cellStyle name="60% - Accent5" xfId="182" builtinId="48" customBuiltin="1"/>
    <cellStyle name="60% - Accent5 10" xfId="1079" xr:uid="{00000000-0005-0000-0000-0000EF340000}"/>
    <cellStyle name="60% - Accent5 10 2" xfId="1080" xr:uid="{00000000-0005-0000-0000-0000F0340000}"/>
    <cellStyle name="60% - Accent5 10 3" xfId="1081" xr:uid="{00000000-0005-0000-0000-0000F1340000}"/>
    <cellStyle name="60% - Accent5 11" xfId="1082" xr:uid="{00000000-0005-0000-0000-0000F2340000}"/>
    <cellStyle name="60% - Accent5 2" xfId="49" xr:uid="{00000000-0005-0000-0000-0000F3340000}"/>
    <cellStyle name="60% - Accent5 2 10" xfId="1084" xr:uid="{00000000-0005-0000-0000-0000F4340000}"/>
    <cellStyle name="60% - Accent5 2 11" xfId="1085" xr:uid="{00000000-0005-0000-0000-0000F5340000}"/>
    <cellStyle name="60% - Accent5 2 12" xfId="1086" xr:uid="{00000000-0005-0000-0000-0000F6340000}"/>
    <cellStyle name="60% - Accent5 2 13" xfId="1087" xr:uid="{00000000-0005-0000-0000-0000F7340000}"/>
    <cellStyle name="60% - Accent5 2 14" xfId="1088" xr:uid="{00000000-0005-0000-0000-0000F8340000}"/>
    <cellStyle name="60% - Accent5 2 15" xfId="4018" xr:uid="{00000000-0005-0000-0000-0000F9340000}"/>
    <cellStyle name="60% - Accent5 2 16" xfId="4019" xr:uid="{00000000-0005-0000-0000-0000FA340000}"/>
    <cellStyle name="60% - Accent5 2 17" xfId="4020" xr:uid="{00000000-0005-0000-0000-0000FB340000}"/>
    <cellStyle name="60% - Accent5 2 18" xfId="1083" xr:uid="{00000000-0005-0000-0000-0000FC340000}"/>
    <cellStyle name="60% - Accent5 2 2" xfId="1089" xr:uid="{00000000-0005-0000-0000-0000FD340000}"/>
    <cellStyle name="60% - Accent5 2 2 2" xfId="1090" xr:uid="{00000000-0005-0000-0000-0000FE340000}"/>
    <cellStyle name="60% - Accent5 2 2 3" xfId="1091" xr:uid="{00000000-0005-0000-0000-0000FF340000}"/>
    <cellStyle name="60% - Accent5 2 2 4" xfId="4021" xr:uid="{00000000-0005-0000-0000-000000350000}"/>
    <cellStyle name="60% - Accent5 2 2 5" xfId="4022" xr:uid="{00000000-0005-0000-0000-000001350000}"/>
    <cellStyle name="60% - Accent5 2 2_Sheet1" xfId="1092" xr:uid="{00000000-0005-0000-0000-000002350000}"/>
    <cellStyle name="60% - Accent5 2 3" xfId="1093" xr:uid="{00000000-0005-0000-0000-000003350000}"/>
    <cellStyle name="60% - Accent5 2 4" xfId="1094" xr:uid="{00000000-0005-0000-0000-000004350000}"/>
    <cellStyle name="60% - Accent5 2 5" xfId="1095" xr:uid="{00000000-0005-0000-0000-000005350000}"/>
    <cellStyle name="60% - Accent5 2 6" xfId="1096" xr:uid="{00000000-0005-0000-0000-000006350000}"/>
    <cellStyle name="60% - Accent5 2 7" xfId="1097" xr:uid="{00000000-0005-0000-0000-000007350000}"/>
    <cellStyle name="60% - Accent5 2 8" xfId="1098" xr:uid="{00000000-0005-0000-0000-000008350000}"/>
    <cellStyle name="60% - Accent5 2 9" xfId="1099" xr:uid="{00000000-0005-0000-0000-000009350000}"/>
    <cellStyle name="60% - Accent5 2_BallGrid" xfId="1100" xr:uid="{00000000-0005-0000-0000-00000A350000}"/>
    <cellStyle name="60% - Accent5 3" xfId="50" xr:uid="{00000000-0005-0000-0000-00000B350000}"/>
    <cellStyle name="60% - Accent5 3 10" xfId="1101" xr:uid="{00000000-0005-0000-0000-00000C350000}"/>
    <cellStyle name="60% - Accent5 3 2" xfId="1102" xr:uid="{00000000-0005-0000-0000-00000D350000}"/>
    <cellStyle name="60% - Accent5 3 3" xfId="1103" xr:uid="{00000000-0005-0000-0000-00000E350000}"/>
    <cellStyle name="60% - Accent5 3 4" xfId="1104" xr:uid="{00000000-0005-0000-0000-00000F350000}"/>
    <cellStyle name="60% - Accent5 3 5" xfId="1105" xr:uid="{00000000-0005-0000-0000-000010350000}"/>
    <cellStyle name="60% - Accent5 3 6" xfId="1106" xr:uid="{00000000-0005-0000-0000-000011350000}"/>
    <cellStyle name="60% - Accent5 3 7" xfId="4023" xr:uid="{00000000-0005-0000-0000-000012350000}"/>
    <cellStyle name="60% - Accent5 3 8" xfId="4024" xr:uid="{00000000-0005-0000-0000-000013350000}"/>
    <cellStyle name="60% - Accent5 3 9" xfId="4025" xr:uid="{00000000-0005-0000-0000-000014350000}"/>
    <cellStyle name="60% - Accent5 3_BallGrid" xfId="1107" xr:uid="{00000000-0005-0000-0000-000015350000}"/>
    <cellStyle name="60% - Accent5 4" xfId="51" xr:uid="{00000000-0005-0000-0000-000016350000}"/>
    <cellStyle name="60% - Accent5 4 2" xfId="1109" xr:uid="{00000000-0005-0000-0000-000017350000}"/>
    <cellStyle name="60% - Accent5 4 2 2" xfId="22868" xr:uid="{00000000-0005-0000-0000-000018350000}"/>
    <cellStyle name="60% - Accent5 4 3" xfId="1110" xr:uid="{00000000-0005-0000-0000-000019350000}"/>
    <cellStyle name="60% - Accent5 4 3 2" xfId="22211" xr:uid="{00000000-0005-0000-0000-00001A350000}"/>
    <cellStyle name="60% - Accent5 4 4" xfId="1111" xr:uid="{00000000-0005-0000-0000-00001B350000}"/>
    <cellStyle name="60% - Accent5 4 5" xfId="1112" xr:uid="{00000000-0005-0000-0000-00001C350000}"/>
    <cellStyle name="60% - Accent5 4 6" xfId="4026" xr:uid="{00000000-0005-0000-0000-00001D350000}"/>
    <cellStyle name="60% - Accent5 4 7" xfId="4027" xr:uid="{00000000-0005-0000-0000-00001E350000}"/>
    <cellStyle name="60% - Accent5 4 8" xfId="4028" xr:uid="{00000000-0005-0000-0000-00001F350000}"/>
    <cellStyle name="60% - Accent5 4 9" xfId="1108" xr:uid="{00000000-0005-0000-0000-000020350000}"/>
    <cellStyle name="60% - Accent5 5" xfId="1113" xr:uid="{00000000-0005-0000-0000-000021350000}"/>
    <cellStyle name="60% - Accent5 5 2" xfId="4029" xr:uid="{00000000-0005-0000-0000-000022350000}"/>
    <cellStyle name="60% - Accent5 5 3" xfId="4030" xr:uid="{00000000-0005-0000-0000-000023350000}"/>
    <cellStyle name="60% - Accent5 5 3 2" xfId="22212" xr:uid="{00000000-0005-0000-0000-000024350000}"/>
    <cellStyle name="60% - Accent5 5 4" xfId="52926" xr:uid="{00000000-0005-0000-0000-000025350000}"/>
    <cellStyle name="60% - Accent5 6" xfId="1114" xr:uid="{00000000-0005-0000-0000-000026350000}"/>
    <cellStyle name="60% - Accent5 6 2" xfId="22869" xr:uid="{00000000-0005-0000-0000-000027350000}"/>
    <cellStyle name="60% - Accent5 6 3" xfId="22213" xr:uid="{00000000-0005-0000-0000-000028350000}"/>
    <cellStyle name="60% - Accent5 6 4" xfId="52927" xr:uid="{00000000-0005-0000-0000-000029350000}"/>
    <cellStyle name="60% - Accent5 7" xfId="1115" xr:uid="{00000000-0005-0000-0000-00002A350000}"/>
    <cellStyle name="60% - Accent5 8" xfId="1116" xr:uid="{00000000-0005-0000-0000-00002B350000}"/>
    <cellStyle name="60% - Accent5 8 2" xfId="22214" xr:uid="{00000000-0005-0000-0000-00002C350000}"/>
    <cellStyle name="60% - Accent5 9" xfId="1117" xr:uid="{00000000-0005-0000-0000-00002D350000}"/>
    <cellStyle name="60% - Accent5 9 2" xfId="22210" xr:uid="{00000000-0005-0000-0000-00002E350000}"/>
    <cellStyle name="60% - Accent6" xfId="186" builtinId="52" customBuiltin="1"/>
    <cellStyle name="60% - Accent6 10" xfId="1118" xr:uid="{00000000-0005-0000-0000-000030350000}"/>
    <cellStyle name="60% - Accent6 10 2" xfId="1119" xr:uid="{00000000-0005-0000-0000-000031350000}"/>
    <cellStyle name="60% - Accent6 10 3" xfId="1120" xr:uid="{00000000-0005-0000-0000-000032350000}"/>
    <cellStyle name="60% - Accent6 10 4" xfId="22216" xr:uid="{00000000-0005-0000-0000-000033350000}"/>
    <cellStyle name="60% - Accent6 11" xfId="1121" xr:uid="{00000000-0005-0000-0000-000034350000}"/>
    <cellStyle name="60% - Accent6 11 10" xfId="22217" xr:uid="{00000000-0005-0000-0000-000035350000}"/>
    <cellStyle name="60% - Accent6 11 2" xfId="1122" xr:uid="{00000000-0005-0000-0000-000036350000}"/>
    <cellStyle name="60% - Accent6 11 3" xfId="1123" xr:uid="{00000000-0005-0000-0000-000037350000}"/>
    <cellStyle name="60% - Accent6 11 3 2" xfId="1124" xr:uid="{00000000-0005-0000-0000-000038350000}"/>
    <cellStyle name="60% - Accent6 11 3 3" xfId="4031" xr:uid="{00000000-0005-0000-0000-000039350000}"/>
    <cellStyle name="60% - Accent6 11 4" xfId="1125" xr:uid="{00000000-0005-0000-0000-00003A350000}"/>
    <cellStyle name="60% - Accent6 11 5" xfId="1126" xr:uid="{00000000-0005-0000-0000-00003B350000}"/>
    <cellStyle name="60% - Accent6 11 6" xfId="1127" xr:uid="{00000000-0005-0000-0000-00003C350000}"/>
    <cellStyle name="60% - Accent6 11 7" xfId="1128" xr:uid="{00000000-0005-0000-0000-00003D350000}"/>
    <cellStyle name="60% - Accent6 11 7 2" xfId="1129" xr:uid="{00000000-0005-0000-0000-00003E350000}"/>
    <cellStyle name="60% - Accent6 11 7 3" xfId="4032" xr:uid="{00000000-0005-0000-0000-00003F350000}"/>
    <cellStyle name="60% - Accent6 11 8" xfId="4033" xr:uid="{00000000-0005-0000-0000-000040350000}"/>
    <cellStyle name="60% - Accent6 11 9" xfId="4034" xr:uid="{00000000-0005-0000-0000-000041350000}"/>
    <cellStyle name="60% - Accent6 12" xfId="1130" xr:uid="{00000000-0005-0000-0000-000042350000}"/>
    <cellStyle name="60% - Accent6 12 2" xfId="22219" xr:uid="{00000000-0005-0000-0000-000043350000}"/>
    <cellStyle name="60% - Accent6 12 3" xfId="22218" xr:uid="{00000000-0005-0000-0000-000044350000}"/>
    <cellStyle name="60% - Accent6 13" xfId="22220" xr:uid="{00000000-0005-0000-0000-000045350000}"/>
    <cellStyle name="60% - Accent6 14" xfId="22221" xr:uid="{00000000-0005-0000-0000-000046350000}"/>
    <cellStyle name="60% - Accent6 15" xfId="22694" xr:uid="{00000000-0005-0000-0000-000047350000}"/>
    <cellStyle name="60% - Accent6 16" xfId="22215" xr:uid="{00000000-0005-0000-0000-000048350000}"/>
    <cellStyle name="60% - Accent6 17" xfId="52928" xr:uid="{00000000-0005-0000-0000-000049350000}"/>
    <cellStyle name="60% - Accent6 2" xfId="52" xr:uid="{00000000-0005-0000-0000-00004A350000}"/>
    <cellStyle name="60% - Accent6 2 10" xfId="1132" xr:uid="{00000000-0005-0000-0000-00004B350000}"/>
    <cellStyle name="60% - Accent6 2 11" xfId="1133" xr:uid="{00000000-0005-0000-0000-00004C350000}"/>
    <cellStyle name="60% - Accent6 2 12" xfId="1134" xr:uid="{00000000-0005-0000-0000-00004D350000}"/>
    <cellStyle name="60% - Accent6 2 13" xfId="1135" xr:uid="{00000000-0005-0000-0000-00004E350000}"/>
    <cellStyle name="60% - Accent6 2 14" xfId="1136" xr:uid="{00000000-0005-0000-0000-00004F350000}"/>
    <cellStyle name="60% - Accent6 2 15" xfId="4035" xr:uid="{00000000-0005-0000-0000-000050350000}"/>
    <cellStyle name="60% - Accent6 2 16" xfId="4036" xr:uid="{00000000-0005-0000-0000-000051350000}"/>
    <cellStyle name="60% - Accent6 2 17" xfId="4037" xr:uid="{00000000-0005-0000-0000-000052350000}"/>
    <cellStyle name="60% - Accent6 2 18" xfId="1131" xr:uid="{00000000-0005-0000-0000-000053350000}"/>
    <cellStyle name="60% - Accent6 2 2" xfId="1137" xr:uid="{00000000-0005-0000-0000-000054350000}"/>
    <cellStyle name="60% - Accent6 2 2 2" xfId="1138" xr:uid="{00000000-0005-0000-0000-000055350000}"/>
    <cellStyle name="60% - Accent6 2 2 3" xfId="1139" xr:uid="{00000000-0005-0000-0000-000056350000}"/>
    <cellStyle name="60% - Accent6 2 2 4" xfId="4038" xr:uid="{00000000-0005-0000-0000-000057350000}"/>
    <cellStyle name="60% - Accent6 2 2 5" xfId="4039" xr:uid="{00000000-0005-0000-0000-000058350000}"/>
    <cellStyle name="60% - Accent6 2 2_Sheet1" xfId="1140" xr:uid="{00000000-0005-0000-0000-000059350000}"/>
    <cellStyle name="60% - Accent6 2 3" xfId="1141" xr:uid="{00000000-0005-0000-0000-00005A350000}"/>
    <cellStyle name="60% - Accent6 2 4" xfId="1142" xr:uid="{00000000-0005-0000-0000-00005B350000}"/>
    <cellStyle name="60% - Accent6 2 5" xfId="1143" xr:uid="{00000000-0005-0000-0000-00005C350000}"/>
    <cellStyle name="60% - Accent6 2 6" xfId="1144" xr:uid="{00000000-0005-0000-0000-00005D350000}"/>
    <cellStyle name="60% - Accent6 2 7" xfId="1145" xr:uid="{00000000-0005-0000-0000-00005E350000}"/>
    <cellStyle name="60% - Accent6 2 8" xfId="1146" xr:uid="{00000000-0005-0000-0000-00005F350000}"/>
    <cellStyle name="60% - Accent6 2 9" xfId="1147" xr:uid="{00000000-0005-0000-0000-000060350000}"/>
    <cellStyle name="60% - Accent6 2_BallGrid" xfId="1148" xr:uid="{00000000-0005-0000-0000-000061350000}"/>
    <cellStyle name="60% - Accent6 3" xfId="53" xr:uid="{00000000-0005-0000-0000-000062350000}"/>
    <cellStyle name="60% - Accent6 3 10" xfId="1149" xr:uid="{00000000-0005-0000-0000-000063350000}"/>
    <cellStyle name="60% - Accent6 3 2" xfId="1150" xr:uid="{00000000-0005-0000-0000-000064350000}"/>
    <cellStyle name="60% - Accent6 3 3" xfId="1151" xr:uid="{00000000-0005-0000-0000-000065350000}"/>
    <cellStyle name="60% - Accent6 3 4" xfId="1152" xr:uid="{00000000-0005-0000-0000-000066350000}"/>
    <cellStyle name="60% - Accent6 3 5" xfId="1153" xr:uid="{00000000-0005-0000-0000-000067350000}"/>
    <cellStyle name="60% - Accent6 3 6" xfId="1154" xr:uid="{00000000-0005-0000-0000-000068350000}"/>
    <cellStyle name="60% - Accent6 3 7" xfId="4040" xr:uid="{00000000-0005-0000-0000-000069350000}"/>
    <cellStyle name="60% - Accent6 3 8" xfId="4041" xr:uid="{00000000-0005-0000-0000-00006A350000}"/>
    <cellStyle name="60% - Accent6 3 9" xfId="4042" xr:uid="{00000000-0005-0000-0000-00006B350000}"/>
    <cellStyle name="60% - Accent6 3_BallGrid" xfId="1155" xr:uid="{00000000-0005-0000-0000-00006C350000}"/>
    <cellStyle name="60% - Accent6 4" xfId="54" xr:uid="{00000000-0005-0000-0000-00006D350000}"/>
    <cellStyle name="60% - Accent6 4 2" xfId="1157" xr:uid="{00000000-0005-0000-0000-00006E350000}"/>
    <cellStyle name="60% - Accent6 4 2 2" xfId="22870" xr:uid="{00000000-0005-0000-0000-00006F350000}"/>
    <cellStyle name="60% - Accent6 4 3" xfId="1158" xr:uid="{00000000-0005-0000-0000-000070350000}"/>
    <cellStyle name="60% - Accent6 4 3 2" xfId="22222" xr:uid="{00000000-0005-0000-0000-000071350000}"/>
    <cellStyle name="60% - Accent6 4 4" xfId="1159" xr:uid="{00000000-0005-0000-0000-000072350000}"/>
    <cellStyle name="60% - Accent6 4 5" xfId="1160" xr:uid="{00000000-0005-0000-0000-000073350000}"/>
    <cellStyle name="60% - Accent6 4 6" xfId="4043" xr:uid="{00000000-0005-0000-0000-000074350000}"/>
    <cellStyle name="60% - Accent6 4 7" xfId="4044" xr:uid="{00000000-0005-0000-0000-000075350000}"/>
    <cellStyle name="60% - Accent6 4 8" xfId="4045" xr:uid="{00000000-0005-0000-0000-000076350000}"/>
    <cellStyle name="60% - Accent6 4 9" xfId="1156" xr:uid="{00000000-0005-0000-0000-000077350000}"/>
    <cellStyle name="60% - Accent6 5" xfId="1161" xr:uid="{00000000-0005-0000-0000-000078350000}"/>
    <cellStyle name="60% - Accent6 5 10" xfId="4046" xr:uid="{00000000-0005-0000-0000-000079350000}"/>
    <cellStyle name="60% - Accent6 5 2" xfId="1162" xr:uid="{00000000-0005-0000-0000-00007A350000}"/>
    <cellStyle name="60% - Accent6 5 2 2" xfId="22871" xr:uid="{00000000-0005-0000-0000-00007B350000}"/>
    <cellStyle name="60% - Accent6 5 3" xfId="1163" xr:uid="{00000000-0005-0000-0000-00007C350000}"/>
    <cellStyle name="60% - Accent6 5 3 2" xfId="1164" xr:uid="{00000000-0005-0000-0000-00007D350000}"/>
    <cellStyle name="60% - Accent6 5 3 3" xfId="4047" xr:uid="{00000000-0005-0000-0000-00007E350000}"/>
    <cellStyle name="60% - Accent6 5 3 4" xfId="22223" xr:uid="{00000000-0005-0000-0000-00007F350000}"/>
    <cellStyle name="60% - Accent6 5 4" xfId="1165" xr:uid="{00000000-0005-0000-0000-000080350000}"/>
    <cellStyle name="60% - Accent6 5 4 2" xfId="52929" xr:uid="{00000000-0005-0000-0000-000081350000}"/>
    <cellStyle name="60% - Accent6 5 5" xfId="1166" xr:uid="{00000000-0005-0000-0000-000082350000}"/>
    <cellStyle name="60% - Accent6 5 6" xfId="1167" xr:uid="{00000000-0005-0000-0000-000083350000}"/>
    <cellStyle name="60% - Accent6 5 7" xfId="1168" xr:uid="{00000000-0005-0000-0000-000084350000}"/>
    <cellStyle name="60% - Accent6 5 7 2" xfId="1169" xr:uid="{00000000-0005-0000-0000-000085350000}"/>
    <cellStyle name="60% - Accent6 5 7 3" xfId="4048" xr:uid="{00000000-0005-0000-0000-000086350000}"/>
    <cellStyle name="60% - Accent6 5 8" xfId="4049" xr:uid="{00000000-0005-0000-0000-000087350000}"/>
    <cellStyle name="60% - Accent6 5 9" xfId="4050" xr:uid="{00000000-0005-0000-0000-000088350000}"/>
    <cellStyle name="60% - Accent6 6" xfId="1170" xr:uid="{00000000-0005-0000-0000-000089350000}"/>
    <cellStyle name="60% - Accent6 6 2" xfId="1171" xr:uid="{00000000-0005-0000-0000-00008A350000}"/>
    <cellStyle name="60% - Accent6 6 2 2" xfId="22872" xr:uid="{00000000-0005-0000-0000-00008B350000}"/>
    <cellStyle name="60% - Accent6 6 3" xfId="1172" xr:uid="{00000000-0005-0000-0000-00008C350000}"/>
    <cellStyle name="60% - Accent6 6 3 2" xfId="1173" xr:uid="{00000000-0005-0000-0000-00008D350000}"/>
    <cellStyle name="60% - Accent6 6 3 3" xfId="4051" xr:uid="{00000000-0005-0000-0000-00008E350000}"/>
    <cellStyle name="60% - Accent6 6 3 4" xfId="22224" xr:uid="{00000000-0005-0000-0000-00008F350000}"/>
    <cellStyle name="60% - Accent6 6 4" xfId="1174" xr:uid="{00000000-0005-0000-0000-000090350000}"/>
    <cellStyle name="60% - Accent6 6 4 2" xfId="52930" xr:uid="{00000000-0005-0000-0000-000091350000}"/>
    <cellStyle name="60% - Accent6 6 5" xfId="1175" xr:uid="{00000000-0005-0000-0000-000092350000}"/>
    <cellStyle name="60% - Accent6 6 6" xfId="1176" xr:uid="{00000000-0005-0000-0000-000093350000}"/>
    <cellStyle name="60% - Accent6 6 7" xfId="1177" xr:uid="{00000000-0005-0000-0000-000094350000}"/>
    <cellStyle name="60% - Accent6 6 7 2" xfId="1178" xr:uid="{00000000-0005-0000-0000-000095350000}"/>
    <cellStyle name="60% - Accent6 6 7 3" xfId="4052" xr:uid="{00000000-0005-0000-0000-000096350000}"/>
    <cellStyle name="60% - Accent6 6 8" xfId="4053" xr:uid="{00000000-0005-0000-0000-000097350000}"/>
    <cellStyle name="60% - Accent6 6 9" xfId="4054" xr:uid="{00000000-0005-0000-0000-000098350000}"/>
    <cellStyle name="60% - Accent6 7" xfId="1179" xr:uid="{00000000-0005-0000-0000-000099350000}"/>
    <cellStyle name="60% - Accent6 7 10" xfId="22225" xr:uid="{00000000-0005-0000-0000-00009A350000}"/>
    <cellStyle name="60% - Accent6 7 2" xfId="1180" xr:uid="{00000000-0005-0000-0000-00009B350000}"/>
    <cellStyle name="60% - Accent6 7 3" xfId="1181" xr:uid="{00000000-0005-0000-0000-00009C350000}"/>
    <cellStyle name="60% - Accent6 7 3 2" xfId="1182" xr:uid="{00000000-0005-0000-0000-00009D350000}"/>
    <cellStyle name="60% - Accent6 7 3 3" xfId="4055" xr:uid="{00000000-0005-0000-0000-00009E350000}"/>
    <cellStyle name="60% - Accent6 7 4" xfId="1183" xr:uid="{00000000-0005-0000-0000-00009F350000}"/>
    <cellStyle name="60% - Accent6 7 5" xfId="1184" xr:uid="{00000000-0005-0000-0000-0000A0350000}"/>
    <cellStyle name="60% - Accent6 7 6" xfId="1185" xr:uid="{00000000-0005-0000-0000-0000A1350000}"/>
    <cellStyle name="60% - Accent6 7 7" xfId="1186" xr:uid="{00000000-0005-0000-0000-0000A2350000}"/>
    <cellStyle name="60% - Accent6 7 7 2" xfId="1187" xr:uid="{00000000-0005-0000-0000-0000A3350000}"/>
    <cellStyle name="60% - Accent6 7 7 3" xfId="4056" xr:uid="{00000000-0005-0000-0000-0000A4350000}"/>
    <cellStyle name="60% - Accent6 7 8" xfId="4057" xr:uid="{00000000-0005-0000-0000-0000A5350000}"/>
    <cellStyle name="60% - Accent6 7 9" xfId="4058" xr:uid="{00000000-0005-0000-0000-0000A6350000}"/>
    <cellStyle name="60% - Accent6 8" xfId="1188" xr:uid="{00000000-0005-0000-0000-0000A7350000}"/>
    <cellStyle name="60% - Accent6 8 10" xfId="22226" xr:uid="{00000000-0005-0000-0000-0000A8350000}"/>
    <cellStyle name="60% - Accent6 8 2" xfId="1189" xr:uid="{00000000-0005-0000-0000-0000A9350000}"/>
    <cellStyle name="60% - Accent6 8 2 2" xfId="22227" xr:uid="{00000000-0005-0000-0000-0000AA350000}"/>
    <cellStyle name="60% - Accent6 8 3" xfId="1190" xr:uid="{00000000-0005-0000-0000-0000AB350000}"/>
    <cellStyle name="60% - Accent6 8 3 2" xfId="1191" xr:uid="{00000000-0005-0000-0000-0000AC350000}"/>
    <cellStyle name="60% - Accent6 8 3 3" xfId="4059" xr:uid="{00000000-0005-0000-0000-0000AD350000}"/>
    <cellStyle name="60% - Accent6 8 4" xfId="1192" xr:uid="{00000000-0005-0000-0000-0000AE350000}"/>
    <cellStyle name="60% - Accent6 8 5" xfId="1193" xr:uid="{00000000-0005-0000-0000-0000AF350000}"/>
    <cellStyle name="60% - Accent6 8 6" xfId="1194" xr:uid="{00000000-0005-0000-0000-0000B0350000}"/>
    <cellStyle name="60% - Accent6 8 7" xfId="1195" xr:uid="{00000000-0005-0000-0000-0000B1350000}"/>
    <cellStyle name="60% - Accent6 8 7 2" xfId="1196" xr:uid="{00000000-0005-0000-0000-0000B2350000}"/>
    <cellStyle name="60% - Accent6 8 7 3" xfId="4060" xr:uid="{00000000-0005-0000-0000-0000B3350000}"/>
    <cellStyle name="60% - Accent6 8 8" xfId="4061" xr:uid="{00000000-0005-0000-0000-0000B4350000}"/>
    <cellStyle name="60% - Accent6 8 9" xfId="4062" xr:uid="{00000000-0005-0000-0000-0000B5350000}"/>
    <cellStyle name="60% - Accent6 9" xfId="1197" xr:uid="{00000000-0005-0000-0000-0000B6350000}"/>
    <cellStyle name="60% - Accent6 9 10" xfId="22228" xr:uid="{00000000-0005-0000-0000-0000B7350000}"/>
    <cellStyle name="60% - Accent6 9 2" xfId="1198" xr:uid="{00000000-0005-0000-0000-0000B8350000}"/>
    <cellStyle name="60% - Accent6 9 3" xfId="1199" xr:uid="{00000000-0005-0000-0000-0000B9350000}"/>
    <cellStyle name="60% - Accent6 9 3 2" xfId="1200" xr:uid="{00000000-0005-0000-0000-0000BA350000}"/>
    <cellStyle name="60% - Accent6 9 3 3" xfId="4063" xr:uid="{00000000-0005-0000-0000-0000BB350000}"/>
    <cellStyle name="60% - Accent6 9 4" xfId="1201" xr:uid="{00000000-0005-0000-0000-0000BC350000}"/>
    <cellStyle name="60% - Accent6 9 5" xfId="1202" xr:uid="{00000000-0005-0000-0000-0000BD350000}"/>
    <cellStyle name="60% - Accent6 9 6" xfId="1203" xr:uid="{00000000-0005-0000-0000-0000BE350000}"/>
    <cellStyle name="60% - Accent6 9 7" xfId="1204" xr:uid="{00000000-0005-0000-0000-0000BF350000}"/>
    <cellStyle name="60% - Accent6 9 7 2" xfId="1205" xr:uid="{00000000-0005-0000-0000-0000C0350000}"/>
    <cellStyle name="60% - Accent6 9 7 3" xfId="4064" xr:uid="{00000000-0005-0000-0000-0000C1350000}"/>
    <cellStyle name="60% - Accent6 9 8" xfId="4065" xr:uid="{00000000-0005-0000-0000-0000C2350000}"/>
    <cellStyle name="60% - Accent6 9 9" xfId="4066" xr:uid="{00000000-0005-0000-0000-0000C3350000}"/>
    <cellStyle name="Accent1" xfId="163" builtinId="29" customBuiltin="1"/>
    <cellStyle name="Accent1 10" xfId="22230" xr:uid="{00000000-0005-0000-0000-0000C5350000}"/>
    <cellStyle name="Accent1 11" xfId="22231" xr:uid="{00000000-0005-0000-0000-0000C6350000}"/>
    <cellStyle name="Accent1 12" xfId="22232" xr:uid="{00000000-0005-0000-0000-0000C7350000}"/>
    <cellStyle name="Accent1 12 2" xfId="22233" xr:uid="{00000000-0005-0000-0000-0000C8350000}"/>
    <cellStyle name="Accent1 13" xfId="22234" xr:uid="{00000000-0005-0000-0000-0000C9350000}"/>
    <cellStyle name="Accent1 14" xfId="22235" xr:uid="{00000000-0005-0000-0000-0000CA350000}"/>
    <cellStyle name="Accent1 15" xfId="22678" xr:uid="{00000000-0005-0000-0000-0000CB350000}"/>
    <cellStyle name="Accent1 16" xfId="22229" xr:uid="{00000000-0005-0000-0000-0000CC350000}"/>
    <cellStyle name="Accent1 2" xfId="55" xr:uid="{00000000-0005-0000-0000-0000CD350000}"/>
    <cellStyle name="Accent1 2 10" xfId="1207" xr:uid="{00000000-0005-0000-0000-0000CE350000}"/>
    <cellStyle name="Accent1 2 11" xfId="1208" xr:uid="{00000000-0005-0000-0000-0000CF350000}"/>
    <cellStyle name="Accent1 2 12" xfId="1209" xr:uid="{00000000-0005-0000-0000-0000D0350000}"/>
    <cellStyle name="Accent1 2 13" xfId="1210" xr:uid="{00000000-0005-0000-0000-0000D1350000}"/>
    <cellStyle name="Accent1 2 14" xfId="1211" xr:uid="{00000000-0005-0000-0000-0000D2350000}"/>
    <cellStyle name="Accent1 2 15" xfId="4067" xr:uid="{00000000-0005-0000-0000-0000D3350000}"/>
    <cellStyle name="Accent1 2 16" xfId="4068" xr:uid="{00000000-0005-0000-0000-0000D4350000}"/>
    <cellStyle name="Accent1 2 17" xfId="4069" xr:uid="{00000000-0005-0000-0000-0000D5350000}"/>
    <cellStyle name="Accent1 2 18" xfId="1206" xr:uid="{00000000-0005-0000-0000-0000D6350000}"/>
    <cellStyle name="Accent1 2 2" xfId="1212" xr:uid="{00000000-0005-0000-0000-0000D7350000}"/>
    <cellStyle name="Accent1 2 2 2" xfId="1213" xr:uid="{00000000-0005-0000-0000-0000D8350000}"/>
    <cellStyle name="Accent1 2 2 3" xfId="1214" xr:uid="{00000000-0005-0000-0000-0000D9350000}"/>
    <cellStyle name="Accent1 2 2 4" xfId="4070" xr:uid="{00000000-0005-0000-0000-0000DA350000}"/>
    <cellStyle name="Accent1 2 2 5" xfId="4071" xr:uid="{00000000-0005-0000-0000-0000DB350000}"/>
    <cellStyle name="Accent1 2 2_Sheet1" xfId="1215" xr:uid="{00000000-0005-0000-0000-0000DC350000}"/>
    <cellStyle name="Accent1 2 3" xfId="1216" xr:uid="{00000000-0005-0000-0000-0000DD350000}"/>
    <cellStyle name="Accent1 2 4" xfId="1217" xr:uid="{00000000-0005-0000-0000-0000DE350000}"/>
    <cellStyle name="Accent1 2 5" xfId="1218" xr:uid="{00000000-0005-0000-0000-0000DF350000}"/>
    <cellStyle name="Accent1 2 6" xfId="1219" xr:uid="{00000000-0005-0000-0000-0000E0350000}"/>
    <cellStyle name="Accent1 2 7" xfId="1220" xr:uid="{00000000-0005-0000-0000-0000E1350000}"/>
    <cellStyle name="Accent1 2 8" xfId="1221" xr:uid="{00000000-0005-0000-0000-0000E2350000}"/>
    <cellStyle name="Accent1 2 9" xfId="1222" xr:uid="{00000000-0005-0000-0000-0000E3350000}"/>
    <cellStyle name="Accent1 2_BallGrid" xfId="1223" xr:uid="{00000000-0005-0000-0000-0000E4350000}"/>
    <cellStyle name="Accent1 3" xfId="56" xr:uid="{00000000-0005-0000-0000-0000E5350000}"/>
    <cellStyle name="Accent1 3 2" xfId="1224" xr:uid="{00000000-0005-0000-0000-0000E6350000}"/>
    <cellStyle name="Accent1 3 3" xfId="1225" xr:uid="{00000000-0005-0000-0000-0000E7350000}"/>
    <cellStyle name="Accent1 3 4" xfId="4072" xr:uid="{00000000-0005-0000-0000-0000E8350000}"/>
    <cellStyle name="Accent1 4" xfId="57" xr:uid="{00000000-0005-0000-0000-0000E9350000}"/>
    <cellStyle name="Accent1 4 2" xfId="1226" xr:uid="{00000000-0005-0000-0000-0000EA350000}"/>
    <cellStyle name="Accent1 4 3" xfId="1227" xr:uid="{00000000-0005-0000-0000-0000EB350000}"/>
    <cellStyle name="Accent1 4 4" xfId="4073" xr:uid="{00000000-0005-0000-0000-0000EC350000}"/>
    <cellStyle name="Accent1 4 5" xfId="4074" xr:uid="{00000000-0005-0000-0000-0000ED350000}"/>
    <cellStyle name="Accent1 5" xfId="1228" xr:uid="{00000000-0005-0000-0000-0000EE350000}"/>
    <cellStyle name="Accent1 5 2" xfId="4075" xr:uid="{00000000-0005-0000-0000-0000EF350000}"/>
    <cellStyle name="Accent1 5 3" xfId="4076" xr:uid="{00000000-0005-0000-0000-0000F0350000}"/>
    <cellStyle name="Accent1 5 4" xfId="22236" xr:uid="{00000000-0005-0000-0000-0000F1350000}"/>
    <cellStyle name="Accent1 6" xfId="22237" xr:uid="{00000000-0005-0000-0000-0000F2350000}"/>
    <cellStyle name="Accent1 7" xfId="22238" xr:uid="{00000000-0005-0000-0000-0000F3350000}"/>
    <cellStyle name="Accent1 8" xfId="22239" xr:uid="{00000000-0005-0000-0000-0000F4350000}"/>
    <cellStyle name="Accent1 8 2" xfId="22240" xr:uid="{00000000-0005-0000-0000-0000F5350000}"/>
    <cellStyle name="Accent1 9" xfId="22241" xr:uid="{00000000-0005-0000-0000-0000F6350000}"/>
    <cellStyle name="Accent2" xfId="167" builtinId="33" customBuiltin="1"/>
    <cellStyle name="Accent2 2" xfId="58" xr:uid="{00000000-0005-0000-0000-0000F8350000}"/>
    <cellStyle name="Accent2 2 10" xfId="1230" xr:uid="{00000000-0005-0000-0000-0000F9350000}"/>
    <cellStyle name="Accent2 2 11" xfId="1231" xr:uid="{00000000-0005-0000-0000-0000FA350000}"/>
    <cellStyle name="Accent2 2 12" xfId="1232" xr:uid="{00000000-0005-0000-0000-0000FB350000}"/>
    <cellStyle name="Accent2 2 13" xfId="1233" xr:uid="{00000000-0005-0000-0000-0000FC350000}"/>
    <cellStyle name="Accent2 2 14" xfId="1234" xr:uid="{00000000-0005-0000-0000-0000FD350000}"/>
    <cellStyle name="Accent2 2 15" xfId="4077" xr:uid="{00000000-0005-0000-0000-0000FE350000}"/>
    <cellStyle name="Accent2 2 16" xfId="4078" xr:uid="{00000000-0005-0000-0000-0000FF350000}"/>
    <cellStyle name="Accent2 2 17" xfId="4079" xr:uid="{00000000-0005-0000-0000-000000360000}"/>
    <cellStyle name="Accent2 2 18" xfId="1229" xr:uid="{00000000-0005-0000-0000-000001360000}"/>
    <cellStyle name="Accent2 2 2" xfId="1235" xr:uid="{00000000-0005-0000-0000-000002360000}"/>
    <cellStyle name="Accent2 2 2 2" xfId="1236" xr:uid="{00000000-0005-0000-0000-000003360000}"/>
    <cellStyle name="Accent2 2 2 3" xfId="1237" xr:uid="{00000000-0005-0000-0000-000004360000}"/>
    <cellStyle name="Accent2 2 2 4" xfId="4080" xr:uid="{00000000-0005-0000-0000-000005360000}"/>
    <cellStyle name="Accent2 2 2 5" xfId="4081" xr:uid="{00000000-0005-0000-0000-000006360000}"/>
    <cellStyle name="Accent2 2 2_Sheet1" xfId="1238" xr:uid="{00000000-0005-0000-0000-000007360000}"/>
    <cellStyle name="Accent2 2 3" xfId="1239" xr:uid="{00000000-0005-0000-0000-000008360000}"/>
    <cellStyle name="Accent2 2 4" xfId="1240" xr:uid="{00000000-0005-0000-0000-000009360000}"/>
    <cellStyle name="Accent2 2 5" xfId="1241" xr:uid="{00000000-0005-0000-0000-00000A360000}"/>
    <cellStyle name="Accent2 2 6" xfId="1242" xr:uid="{00000000-0005-0000-0000-00000B360000}"/>
    <cellStyle name="Accent2 2 7" xfId="1243" xr:uid="{00000000-0005-0000-0000-00000C360000}"/>
    <cellStyle name="Accent2 2 8" xfId="1244" xr:uid="{00000000-0005-0000-0000-00000D360000}"/>
    <cellStyle name="Accent2 2 9" xfId="1245" xr:uid="{00000000-0005-0000-0000-00000E360000}"/>
    <cellStyle name="Accent2 2_BallGrid" xfId="1246" xr:uid="{00000000-0005-0000-0000-00000F360000}"/>
    <cellStyle name="Accent2 3" xfId="59" xr:uid="{00000000-0005-0000-0000-000010360000}"/>
    <cellStyle name="Accent2 3 2" xfId="1247" xr:uid="{00000000-0005-0000-0000-000011360000}"/>
    <cellStyle name="Accent2 3 2 2" xfId="22243" xr:uid="{00000000-0005-0000-0000-000012360000}"/>
    <cellStyle name="Accent2 3 3" xfId="1248" xr:uid="{00000000-0005-0000-0000-000013360000}"/>
    <cellStyle name="Accent2 3 4" xfId="4082" xr:uid="{00000000-0005-0000-0000-000014360000}"/>
    <cellStyle name="Accent2 4" xfId="60" xr:uid="{00000000-0005-0000-0000-000015360000}"/>
    <cellStyle name="Accent2 4 2" xfId="1249" xr:uid="{00000000-0005-0000-0000-000016360000}"/>
    <cellStyle name="Accent2 4 3" xfId="1250" xr:uid="{00000000-0005-0000-0000-000017360000}"/>
    <cellStyle name="Accent2 4 4" xfId="4083" xr:uid="{00000000-0005-0000-0000-000018360000}"/>
    <cellStyle name="Accent2 4 5" xfId="4084" xr:uid="{00000000-0005-0000-0000-000019360000}"/>
    <cellStyle name="Accent2 5" xfId="1251" xr:uid="{00000000-0005-0000-0000-00001A360000}"/>
    <cellStyle name="Accent2 5 2" xfId="4085" xr:uid="{00000000-0005-0000-0000-00001B360000}"/>
    <cellStyle name="Accent2 5 3" xfId="4086" xr:uid="{00000000-0005-0000-0000-00001C360000}"/>
    <cellStyle name="Accent2 5 4" xfId="22244" xr:uid="{00000000-0005-0000-0000-00001D360000}"/>
    <cellStyle name="Accent2 6" xfId="22245" xr:uid="{00000000-0005-0000-0000-00001E360000}"/>
    <cellStyle name="Accent2 7" xfId="22246" xr:uid="{00000000-0005-0000-0000-00001F360000}"/>
    <cellStyle name="Accent2 8" xfId="22242" xr:uid="{00000000-0005-0000-0000-000020360000}"/>
    <cellStyle name="Accent3" xfId="171" builtinId="37" customBuiltin="1"/>
    <cellStyle name="Accent3 10" xfId="1252" xr:uid="{00000000-0005-0000-0000-000022360000}"/>
    <cellStyle name="Accent3 10 2" xfId="1253" xr:uid="{00000000-0005-0000-0000-000023360000}"/>
    <cellStyle name="Accent3 10 3" xfId="1254" xr:uid="{00000000-0005-0000-0000-000024360000}"/>
    <cellStyle name="Accent3 11" xfId="1255" xr:uid="{00000000-0005-0000-0000-000025360000}"/>
    <cellStyle name="Accent3 2" xfId="61" xr:uid="{00000000-0005-0000-0000-000026360000}"/>
    <cellStyle name="Accent3 2 10" xfId="1257" xr:uid="{00000000-0005-0000-0000-000027360000}"/>
    <cellStyle name="Accent3 2 11" xfId="1258" xr:uid="{00000000-0005-0000-0000-000028360000}"/>
    <cellStyle name="Accent3 2 12" xfId="1259" xr:uid="{00000000-0005-0000-0000-000029360000}"/>
    <cellStyle name="Accent3 2 13" xfId="1260" xr:uid="{00000000-0005-0000-0000-00002A360000}"/>
    <cellStyle name="Accent3 2 14" xfId="1261" xr:uid="{00000000-0005-0000-0000-00002B360000}"/>
    <cellStyle name="Accent3 2 15" xfId="4087" xr:uid="{00000000-0005-0000-0000-00002C360000}"/>
    <cellStyle name="Accent3 2 16" xfId="4088" xr:uid="{00000000-0005-0000-0000-00002D360000}"/>
    <cellStyle name="Accent3 2 17" xfId="4089" xr:uid="{00000000-0005-0000-0000-00002E360000}"/>
    <cellStyle name="Accent3 2 18" xfId="1256" xr:uid="{00000000-0005-0000-0000-00002F360000}"/>
    <cellStyle name="Accent3 2 2" xfId="1262" xr:uid="{00000000-0005-0000-0000-000030360000}"/>
    <cellStyle name="Accent3 2 2 2" xfId="1263" xr:uid="{00000000-0005-0000-0000-000031360000}"/>
    <cellStyle name="Accent3 2 2 3" xfId="1264" xr:uid="{00000000-0005-0000-0000-000032360000}"/>
    <cellStyle name="Accent3 2 2 4" xfId="4090" xr:uid="{00000000-0005-0000-0000-000033360000}"/>
    <cellStyle name="Accent3 2 2 5" xfId="4091" xr:uid="{00000000-0005-0000-0000-000034360000}"/>
    <cellStyle name="Accent3 2 2_Sheet1" xfId="1265" xr:uid="{00000000-0005-0000-0000-000035360000}"/>
    <cellStyle name="Accent3 2 3" xfId="1266" xr:uid="{00000000-0005-0000-0000-000036360000}"/>
    <cellStyle name="Accent3 2 4" xfId="1267" xr:uid="{00000000-0005-0000-0000-000037360000}"/>
    <cellStyle name="Accent3 2 5" xfId="1268" xr:uid="{00000000-0005-0000-0000-000038360000}"/>
    <cellStyle name="Accent3 2 6" xfId="1269" xr:uid="{00000000-0005-0000-0000-000039360000}"/>
    <cellStyle name="Accent3 2 7" xfId="1270" xr:uid="{00000000-0005-0000-0000-00003A360000}"/>
    <cellStyle name="Accent3 2 8" xfId="1271" xr:uid="{00000000-0005-0000-0000-00003B360000}"/>
    <cellStyle name="Accent3 2 9" xfId="1272" xr:uid="{00000000-0005-0000-0000-00003C360000}"/>
    <cellStyle name="Accent3 2_BallGrid" xfId="1273" xr:uid="{00000000-0005-0000-0000-00003D360000}"/>
    <cellStyle name="Accent3 3" xfId="62" xr:uid="{00000000-0005-0000-0000-00003E360000}"/>
    <cellStyle name="Accent3 3 10" xfId="1274" xr:uid="{00000000-0005-0000-0000-00003F360000}"/>
    <cellStyle name="Accent3 3 2" xfId="1275" xr:uid="{00000000-0005-0000-0000-000040360000}"/>
    <cellStyle name="Accent3 3 3" xfId="1276" xr:uid="{00000000-0005-0000-0000-000041360000}"/>
    <cellStyle name="Accent3 3 4" xfId="1277" xr:uid="{00000000-0005-0000-0000-000042360000}"/>
    <cellStyle name="Accent3 3 5" xfId="1278" xr:uid="{00000000-0005-0000-0000-000043360000}"/>
    <cellStyle name="Accent3 3 6" xfId="1279" xr:uid="{00000000-0005-0000-0000-000044360000}"/>
    <cellStyle name="Accent3 3 7" xfId="4092" xr:uid="{00000000-0005-0000-0000-000045360000}"/>
    <cellStyle name="Accent3 3 8" xfId="4093" xr:uid="{00000000-0005-0000-0000-000046360000}"/>
    <cellStyle name="Accent3 3 9" xfId="4094" xr:uid="{00000000-0005-0000-0000-000047360000}"/>
    <cellStyle name="Accent3 3_BallGrid" xfId="1280" xr:uid="{00000000-0005-0000-0000-000048360000}"/>
    <cellStyle name="Accent3 4" xfId="63" xr:uid="{00000000-0005-0000-0000-000049360000}"/>
    <cellStyle name="Accent3 4 2" xfId="1282" xr:uid="{00000000-0005-0000-0000-00004A360000}"/>
    <cellStyle name="Accent3 4 2 2" xfId="22873" xr:uid="{00000000-0005-0000-0000-00004B360000}"/>
    <cellStyle name="Accent3 4 3" xfId="1283" xr:uid="{00000000-0005-0000-0000-00004C360000}"/>
    <cellStyle name="Accent3 4 3 2" xfId="22248" xr:uid="{00000000-0005-0000-0000-00004D360000}"/>
    <cellStyle name="Accent3 4 4" xfId="1284" xr:uid="{00000000-0005-0000-0000-00004E360000}"/>
    <cellStyle name="Accent3 4 5" xfId="1285" xr:uid="{00000000-0005-0000-0000-00004F360000}"/>
    <cellStyle name="Accent3 4 6" xfId="4095" xr:uid="{00000000-0005-0000-0000-000050360000}"/>
    <cellStyle name="Accent3 4 7" xfId="4096" xr:uid="{00000000-0005-0000-0000-000051360000}"/>
    <cellStyle name="Accent3 4 8" xfId="4097" xr:uid="{00000000-0005-0000-0000-000052360000}"/>
    <cellStyle name="Accent3 4 9" xfId="1281" xr:uid="{00000000-0005-0000-0000-000053360000}"/>
    <cellStyle name="Accent3 5" xfId="1286" xr:uid="{00000000-0005-0000-0000-000054360000}"/>
    <cellStyle name="Accent3 5 2" xfId="4098" xr:uid="{00000000-0005-0000-0000-000055360000}"/>
    <cellStyle name="Accent3 5 3" xfId="4099" xr:uid="{00000000-0005-0000-0000-000056360000}"/>
    <cellStyle name="Accent3 5 3 2" xfId="22249" xr:uid="{00000000-0005-0000-0000-000057360000}"/>
    <cellStyle name="Accent3 5 4" xfId="52931" xr:uid="{00000000-0005-0000-0000-000058360000}"/>
    <cellStyle name="Accent3 6" xfId="1287" xr:uid="{00000000-0005-0000-0000-000059360000}"/>
    <cellStyle name="Accent3 6 2" xfId="22874" xr:uid="{00000000-0005-0000-0000-00005A360000}"/>
    <cellStyle name="Accent3 6 3" xfId="22250" xr:uid="{00000000-0005-0000-0000-00005B360000}"/>
    <cellStyle name="Accent3 6 4" xfId="52932" xr:uid="{00000000-0005-0000-0000-00005C360000}"/>
    <cellStyle name="Accent3 7" xfId="1288" xr:uid="{00000000-0005-0000-0000-00005D360000}"/>
    <cellStyle name="Accent3 8" xfId="1289" xr:uid="{00000000-0005-0000-0000-00005E360000}"/>
    <cellStyle name="Accent3 8 2" xfId="22251" xr:uid="{00000000-0005-0000-0000-00005F360000}"/>
    <cellStyle name="Accent3 9" xfId="1290" xr:uid="{00000000-0005-0000-0000-000060360000}"/>
    <cellStyle name="Accent3 9 2" xfId="22247" xr:uid="{00000000-0005-0000-0000-000061360000}"/>
    <cellStyle name="Accent4" xfId="175" builtinId="41" customBuiltin="1"/>
    <cellStyle name="Accent4 10" xfId="1291" xr:uid="{00000000-0005-0000-0000-000063360000}"/>
    <cellStyle name="Accent4 10 2" xfId="1292" xr:uid="{00000000-0005-0000-0000-000064360000}"/>
    <cellStyle name="Accent4 10 3" xfId="1293" xr:uid="{00000000-0005-0000-0000-000065360000}"/>
    <cellStyle name="Accent4 10 4" xfId="22253" xr:uid="{00000000-0005-0000-0000-000066360000}"/>
    <cellStyle name="Accent4 11" xfId="1294" xr:uid="{00000000-0005-0000-0000-000067360000}"/>
    <cellStyle name="Accent4 11 2" xfId="22254" xr:uid="{00000000-0005-0000-0000-000068360000}"/>
    <cellStyle name="Accent4 12" xfId="22255" xr:uid="{00000000-0005-0000-0000-000069360000}"/>
    <cellStyle name="Accent4 12 2" xfId="22256" xr:uid="{00000000-0005-0000-0000-00006A360000}"/>
    <cellStyle name="Accent4 13" xfId="22257" xr:uid="{00000000-0005-0000-0000-00006B360000}"/>
    <cellStyle name="Accent4 14" xfId="22258" xr:uid="{00000000-0005-0000-0000-00006C360000}"/>
    <cellStyle name="Accent4 15" xfId="22686" xr:uid="{00000000-0005-0000-0000-00006D360000}"/>
    <cellStyle name="Accent4 16" xfId="22252" xr:uid="{00000000-0005-0000-0000-00006E360000}"/>
    <cellStyle name="Accent4 2" xfId="64" xr:uid="{00000000-0005-0000-0000-00006F360000}"/>
    <cellStyle name="Accent4 2 10" xfId="1296" xr:uid="{00000000-0005-0000-0000-000070360000}"/>
    <cellStyle name="Accent4 2 11" xfId="1297" xr:uid="{00000000-0005-0000-0000-000071360000}"/>
    <cellStyle name="Accent4 2 12" xfId="1298" xr:uid="{00000000-0005-0000-0000-000072360000}"/>
    <cellStyle name="Accent4 2 13" xfId="1299" xr:uid="{00000000-0005-0000-0000-000073360000}"/>
    <cellStyle name="Accent4 2 14" xfId="1300" xr:uid="{00000000-0005-0000-0000-000074360000}"/>
    <cellStyle name="Accent4 2 15" xfId="4100" xr:uid="{00000000-0005-0000-0000-000075360000}"/>
    <cellStyle name="Accent4 2 16" xfId="4101" xr:uid="{00000000-0005-0000-0000-000076360000}"/>
    <cellStyle name="Accent4 2 17" xfId="4102" xr:uid="{00000000-0005-0000-0000-000077360000}"/>
    <cellStyle name="Accent4 2 18" xfId="1295" xr:uid="{00000000-0005-0000-0000-000078360000}"/>
    <cellStyle name="Accent4 2 2" xfId="1301" xr:uid="{00000000-0005-0000-0000-000079360000}"/>
    <cellStyle name="Accent4 2 2 2" xfId="1302" xr:uid="{00000000-0005-0000-0000-00007A360000}"/>
    <cellStyle name="Accent4 2 2 3" xfId="1303" xr:uid="{00000000-0005-0000-0000-00007B360000}"/>
    <cellStyle name="Accent4 2 2 4" xfId="4103" xr:uid="{00000000-0005-0000-0000-00007C360000}"/>
    <cellStyle name="Accent4 2 2 5" xfId="4104" xr:uid="{00000000-0005-0000-0000-00007D360000}"/>
    <cellStyle name="Accent4 2 2_Sheet1" xfId="1304" xr:uid="{00000000-0005-0000-0000-00007E360000}"/>
    <cellStyle name="Accent4 2 3" xfId="1305" xr:uid="{00000000-0005-0000-0000-00007F360000}"/>
    <cellStyle name="Accent4 2 4" xfId="1306" xr:uid="{00000000-0005-0000-0000-000080360000}"/>
    <cellStyle name="Accent4 2 5" xfId="1307" xr:uid="{00000000-0005-0000-0000-000081360000}"/>
    <cellStyle name="Accent4 2 6" xfId="1308" xr:uid="{00000000-0005-0000-0000-000082360000}"/>
    <cellStyle name="Accent4 2 7" xfId="1309" xr:uid="{00000000-0005-0000-0000-000083360000}"/>
    <cellStyle name="Accent4 2 8" xfId="1310" xr:uid="{00000000-0005-0000-0000-000084360000}"/>
    <cellStyle name="Accent4 2 9" xfId="1311" xr:uid="{00000000-0005-0000-0000-000085360000}"/>
    <cellStyle name="Accent4 2_BallGrid" xfId="1312" xr:uid="{00000000-0005-0000-0000-000086360000}"/>
    <cellStyle name="Accent4 3" xfId="65" xr:uid="{00000000-0005-0000-0000-000087360000}"/>
    <cellStyle name="Accent4 3 10" xfId="1313" xr:uid="{00000000-0005-0000-0000-000088360000}"/>
    <cellStyle name="Accent4 3 2" xfId="1314" xr:uid="{00000000-0005-0000-0000-000089360000}"/>
    <cellStyle name="Accent4 3 3" xfId="1315" xr:uid="{00000000-0005-0000-0000-00008A360000}"/>
    <cellStyle name="Accent4 3 4" xfId="1316" xr:uid="{00000000-0005-0000-0000-00008B360000}"/>
    <cellStyle name="Accent4 3 5" xfId="1317" xr:uid="{00000000-0005-0000-0000-00008C360000}"/>
    <cellStyle name="Accent4 3 6" xfId="1318" xr:uid="{00000000-0005-0000-0000-00008D360000}"/>
    <cellStyle name="Accent4 3 7" xfId="4105" xr:uid="{00000000-0005-0000-0000-00008E360000}"/>
    <cellStyle name="Accent4 3 8" xfId="4106" xr:uid="{00000000-0005-0000-0000-00008F360000}"/>
    <cellStyle name="Accent4 3 9" xfId="4107" xr:uid="{00000000-0005-0000-0000-000090360000}"/>
    <cellStyle name="Accent4 3_BallGrid" xfId="1319" xr:uid="{00000000-0005-0000-0000-000091360000}"/>
    <cellStyle name="Accent4 4" xfId="66" xr:uid="{00000000-0005-0000-0000-000092360000}"/>
    <cellStyle name="Accent4 4 2" xfId="1321" xr:uid="{00000000-0005-0000-0000-000093360000}"/>
    <cellStyle name="Accent4 4 2 2" xfId="22875" xr:uid="{00000000-0005-0000-0000-000094360000}"/>
    <cellStyle name="Accent4 4 3" xfId="1322" xr:uid="{00000000-0005-0000-0000-000095360000}"/>
    <cellStyle name="Accent4 4 3 2" xfId="22259" xr:uid="{00000000-0005-0000-0000-000096360000}"/>
    <cellStyle name="Accent4 4 4" xfId="1323" xr:uid="{00000000-0005-0000-0000-000097360000}"/>
    <cellStyle name="Accent4 4 5" xfId="1324" xr:uid="{00000000-0005-0000-0000-000098360000}"/>
    <cellStyle name="Accent4 4 6" xfId="4108" xr:uid="{00000000-0005-0000-0000-000099360000}"/>
    <cellStyle name="Accent4 4 7" xfId="4109" xr:uid="{00000000-0005-0000-0000-00009A360000}"/>
    <cellStyle name="Accent4 4 8" xfId="4110" xr:uid="{00000000-0005-0000-0000-00009B360000}"/>
    <cellStyle name="Accent4 4 9" xfId="1320" xr:uid="{00000000-0005-0000-0000-00009C360000}"/>
    <cellStyle name="Accent4 5" xfId="1325" xr:uid="{00000000-0005-0000-0000-00009D360000}"/>
    <cellStyle name="Accent4 5 2" xfId="4111" xr:uid="{00000000-0005-0000-0000-00009E360000}"/>
    <cellStyle name="Accent4 5 3" xfId="4112" xr:uid="{00000000-0005-0000-0000-00009F360000}"/>
    <cellStyle name="Accent4 5 3 2" xfId="22260" xr:uid="{00000000-0005-0000-0000-0000A0360000}"/>
    <cellStyle name="Accent4 5 4" xfId="52933" xr:uid="{00000000-0005-0000-0000-0000A1360000}"/>
    <cellStyle name="Accent4 6" xfId="1326" xr:uid="{00000000-0005-0000-0000-0000A2360000}"/>
    <cellStyle name="Accent4 6 2" xfId="22876" xr:uid="{00000000-0005-0000-0000-0000A3360000}"/>
    <cellStyle name="Accent4 6 3" xfId="22261" xr:uid="{00000000-0005-0000-0000-0000A4360000}"/>
    <cellStyle name="Accent4 6 4" xfId="52934" xr:uid="{00000000-0005-0000-0000-0000A5360000}"/>
    <cellStyle name="Accent4 7" xfId="1327" xr:uid="{00000000-0005-0000-0000-0000A6360000}"/>
    <cellStyle name="Accent4 7 2" xfId="22262" xr:uid="{00000000-0005-0000-0000-0000A7360000}"/>
    <cellStyle name="Accent4 8" xfId="1328" xr:uid="{00000000-0005-0000-0000-0000A8360000}"/>
    <cellStyle name="Accent4 8 2" xfId="22264" xr:uid="{00000000-0005-0000-0000-0000A9360000}"/>
    <cellStyle name="Accent4 8 3" xfId="22263" xr:uid="{00000000-0005-0000-0000-0000AA360000}"/>
    <cellStyle name="Accent4 9" xfId="1329" xr:uid="{00000000-0005-0000-0000-0000AB360000}"/>
    <cellStyle name="Accent4 9 2" xfId="22265" xr:uid="{00000000-0005-0000-0000-0000AC360000}"/>
    <cellStyle name="Accent5" xfId="179" builtinId="45" customBuiltin="1"/>
    <cellStyle name="Accent5 10" xfId="1330" xr:uid="{00000000-0005-0000-0000-0000AE360000}"/>
    <cellStyle name="Accent5 10 2" xfId="1331" xr:uid="{00000000-0005-0000-0000-0000AF360000}"/>
    <cellStyle name="Accent5 10 3" xfId="1332" xr:uid="{00000000-0005-0000-0000-0000B0360000}"/>
    <cellStyle name="Accent5 11" xfId="1333" xr:uid="{00000000-0005-0000-0000-0000B1360000}"/>
    <cellStyle name="Accent5 2" xfId="67" xr:uid="{00000000-0005-0000-0000-0000B2360000}"/>
    <cellStyle name="Accent5 2 10" xfId="1335" xr:uid="{00000000-0005-0000-0000-0000B3360000}"/>
    <cellStyle name="Accent5 2 11" xfId="1336" xr:uid="{00000000-0005-0000-0000-0000B4360000}"/>
    <cellStyle name="Accent5 2 12" xfId="1337" xr:uid="{00000000-0005-0000-0000-0000B5360000}"/>
    <cellStyle name="Accent5 2 13" xfId="1338" xr:uid="{00000000-0005-0000-0000-0000B6360000}"/>
    <cellStyle name="Accent5 2 14" xfId="1339" xr:uid="{00000000-0005-0000-0000-0000B7360000}"/>
    <cellStyle name="Accent5 2 15" xfId="4113" xr:uid="{00000000-0005-0000-0000-0000B8360000}"/>
    <cellStyle name="Accent5 2 16" xfId="4114" xr:uid="{00000000-0005-0000-0000-0000B9360000}"/>
    <cellStyle name="Accent5 2 17" xfId="4115" xr:uid="{00000000-0005-0000-0000-0000BA360000}"/>
    <cellStyle name="Accent5 2 18" xfId="1334" xr:uid="{00000000-0005-0000-0000-0000BB360000}"/>
    <cellStyle name="Accent5 2 2" xfId="1340" xr:uid="{00000000-0005-0000-0000-0000BC360000}"/>
    <cellStyle name="Accent5 2 2 2" xfId="1341" xr:uid="{00000000-0005-0000-0000-0000BD360000}"/>
    <cellStyle name="Accent5 2 2 3" xfId="1342" xr:uid="{00000000-0005-0000-0000-0000BE360000}"/>
    <cellStyle name="Accent5 2 2 4" xfId="4116" xr:uid="{00000000-0005-0000-0000-0000BF360000}"/>
    <cellStyle name="Accent5 2 2 5" xfId="4117" xr:uid="{00000000-0005-0000-0000-0000C0360000}"/>
    <cellStyle name="Accent5 2 2_Sheet1" xfId="1343" xr:uid="{00000000-0005-0000-0000-0000C1360000}"/>
    <cellStyle name="Accent5 2 3" xfId="1344" xr:uid="{00000000-0005-0000-0000-0000C2360000}"/>
    <cellStyle name="Accent5 2 4" xfId="1345" xr:uid="{00000000-0005-0000-0000-0000C3360000}"/>
    <cellStyle name="Accent5 2 5" xfId="1346" xr:uid="{00000000-0005-0000-0000-0000C4360000}"/>
    <cellStyle name="Accent5 2 6" xfId="1347" xr:uid="{00000000-0005-0000-0000-0000C5360000}"/>
    <cellStyle name="Accent5 2 7" xfId="1348" xr:uid="{00000000-0005-0000-0000-0000C6360000}"/>
    <cellStyle name="Accent5 2 8" xfId="1349" xr:uid="{00000000-0005-0000-0000-0000C7360000}"/>
    <cellStyle name="Accent5 2 9" xfId="1350" xr:uid="{00000000-0005-0000-0000-0000C8360000}"/>
    <cellStyle name="Accent5 2_BallGrid" xfId="1351" xr:uid="{00000000-0005-0000-0000-0000C9360000}"/>
    <cellStyle name="Accent5 3" xfId="68" xr:uid="{00000000-0005-0000-0000-0000CA360000}"/>
    <cellStyle name="Accent5 3 10" xfId="1352" xr:uid="{00000000-0005-0000-0000-0000CB360000}"/>
    <cellStyle name="Accent5 3 2" xfId="1353" xr:uid="{00000000-0005-0000-0000-0000CC360000}"/>
    <cellStyle name="Accent5 3 3" xfId="1354" xr:uid="{00000000-0005-0000-0000-0000CD360000}"/>
    <cellStyle name="Accent5 3 4" xfId="1355" xr:uid="{00000000-0005-0000-0000-0000CE360000}"/>
    <cellStyle name="Accent5 3 5" xfId="1356" xr:uid="{00000000-0005-0000-0000-0000CF360000}"/>
    <cellStyle name="Accent5 3 6" xfId="1357" xr:uid="{00000000-0005-0000-0000-0000D0360000}"/>
    <cellStyle name="Accent5 3 7" xfId="4118" xr:uid="{00000000-0005-0000-0000-0000D1360000}"/>
    <cellStyle name="Accent5 3 8" xfId="4119" xr:uid="{00000000-0005-0000-0000-0000D2360000}"/>
    <cellStyle name="Accent5 3 9" xfId="4120" xr:uid="{00000000-0005-0000-0000-0000D3360000}"/>
    <cellStyle name="Accent5 3_BallGrid" xfId="1358" xr:uid="{00000000-0005-0000-0000-0000D4360000}"/>
    <cellStyle name="Accent5 4" xfId="69" xr:uid="{00000000-0005-0000-0000-0000D5360000}"/>
    <cellStyle name="Accent5 4 2" xfId="1360" xr:uid="{00000000-0005-0000-0000-0000D6360000}"/>
    <cellStyle name="Accent5 4 2 2" xfId="22878" xr:uid="{00000000-0005-0000-0000-0000D7360000}"/>
    <cellStyle name="Accent5 4 3" xfId="1361" xr:uid="{00000000-0005-0000-0000-0000D8360000}"/>
    <cellStyle name="Accent5 4 3 2" xfId="22267" xr:uid="{00000000-0005-0000-0000-0000D9360000}"/>
    <cellStyle name="Accent5 4 4" xfId="1362" xr:uid="{00000000-0005-0000-0000-0000DA360000}"/>
    <cellStyle name="Accent5 4 5" xfId="1363" xr:uid="{00000000-0005-0000-0000-0000DB360000}"/>
    <cellStyle name="Accent5 4 6" xfId="4121" xr:uid="{00000000-0005-0000-0000-0000DC360000}"/>
    <cellStyle name="Accent5 4 7" xfId="4122" xr:uid="{00000000-0005-0000-0000-0000DD360000}"/>
    <cellStyle name="Accent5 4 8" xfId="4123" xr:uid="{00000000-0005-0000-0000-0000DE360000}"/>
    <cellStyle name="Accent5 4 9" xfId="1359" xr:uid="{00000000-0005-0000-0000-0000DF360000}"/>
    <cellStyle name="Accent5 5" xfId="1364" xr:uid="{00000000-0005-0000-0000-0000E0360000}"/>
    <cellStyle name="Accent5 5 2" xfId="4124" xr:uid="{00000000-0005-0000-0000-0000E1360000}"/>
    <cellStyle name="Accent5 5 3" xfId="4125" xr:uid="{00000000-0005-0000-0000-0000E2360000}"/>
    <cellStyle name="Accent5 5 3 2" xfId="22268" xr:uid="{00000000-0005-0000-0000-0000E3360000}"/>
    <cellStyle name="Accent5 5 4" xfId="52935" xr:uid="{00000000-0005-0000-0000-0000E4360000}"/>
    <cellStyle name="Accent5 6" xfId="1365" xr:uid="{00000000-0005-0000-0000-0000E5360000}"/>
    <cellStyle name="Accent5 6 2" xfId="22879" xr:uid="{00000000-0005-0000-0000-0000E6360000}"/>
    <cellStyle name="Accent5 6 3" xfId="22269" xr:uid="{00000000-0005-0000-0000-0000E7360000}"/>
    <cellStyle name="Accent5 6 4" xfId="52936" xr:uid="{00000000-0005-0000-0000-0000E8360000}"/>
    <cellStyle name="Accent5 7" xfId="1366" xr:uid="{00000000-0005-0000-0000-0000E9360000}"/>
    <cellStyle name="Accent5 8" xfId="1367" xr:uid="{00000000-0005-0000-0000-0000EA360000}"/>
    <cellStyle name="Accent5 8 2" xfId="22270" xr:uid="{00000000-0005-0000-0000-0000EB360000}"/>
    <cellStyle name="Accent5 9" xfId="1368" xr:uid="{00000000-0005-0000-0000-0000EC360000}"/>
    <cellStyle name="Accent5 9 2" xfId="22266" xr:uid="{00000000-0005-0000-0000-0000ED360000}"/>
    <cellStyle name="Accent6" xfId="183" builtinId="49" customBuiltin="1"/>
    <cellStyle name="Accent6 10" xfId="1369" xr:uid="{00000000-0005-0000-0000-0000EF360000}"/>
    <cellStyle name="Accent6 10 2" xfId="1370" xr:uid="{00000000-0005-0000-0000-0000F0360000}"/>
    <cellStyle name="Accent6 10 3" xfId="1371" xr:uid="{00000000-0005-0000-0000-0000F1360000}"/>
    <cellStyle name="Accent6 11" xfId="1372" xr:uid="{00000000-0005-0000-0000-0000F2360000}"/>
    <cellStyle name="Accent6 2" xfId="70" xr:uid="{00000000-0005-0000-0000-0000F3360000}"/>
    <cellStyle name="Accent6 2 10" xfId="1374" xr:uid="{00000000-0005-0000-0000-0000F4360000}"/>
    <cellStyle name="Accent6 2 11" xfId="1375" xr:uid="{00000000-0005-0000-0000-0000F5360000}"/>
    <cellStyle name="Accent6 2 12" xfId="1376" xr:uid="{00000000-0005-0000-0000-0000F6360000}"/>
    <cellStyle name="Accent6 2 13" xfId="1377" xr:uid="{00000000-0005-0000-0000-0000F7360000}"/>
    <cellStyle name="Accent6 2 14" xfId="1378" xr:uid="{00000000-0005-0000-0000-0000F8360000}"/>
    <cellStyle name="Accent6 2 15" xfId="4126" xr:uid="{00000000-0005-0000-0000-0000F9360000}"/>
    <cellStyle name="Accent6 2 16" xfId="4127" xr:uid="{00000000-0005-0000-0000-0000FA360000}"/>
    <cellStyle name="Accent6 2 17" xfId="4128" xr:uid="{00000000-0005-0000-0000-0000FB360000}"/>
    <cellStyle name="Accent6 2 18" xfId="1373" xr:uid="{00000000-0005-0000-0000-0000FC360000}"/>
    <cellStyle name="Accent6 2 2" xfId="1379" xr:uid="{00000000-0005-0000-0000-0000FD360000}"/>
    <cellStyle name="Accent6 2 2 2" xfId="1380" xr:uid="{00000000-0005-0000-0000-0000FE360000}"/>
    <cellStyle name="Accent6 2 2 3" xfId="1381" xr:uid="{00000000-0005-0000-0000-0000FF360000}"/>
    <cellStyle name="Accent6 2 2 4" xfId="4129" xr:uid="{00000000-0005-0000-0000-000000370000}"/>
    <cellStyle name="Accent6 2 2 5" xfId="4130" xr:uid="{00000000-0005-0000-0000-000001370000}"/>
    <cellStyle name="Accent6 2 2_Sheet1" xfId="1382" xr:uid="{00000000-0005-0000-0000-000002370000}"/>
    <cellStyle name="Accent6 2 3" xfId="1383" xr:uid="{00000000-0005-0000-0000-000003370000}"/>
    <cellStyle name="Accent6 2 4" xfId="1384" xr:uid="{00000000-0005-0000-0000-000004370000}"/>
    <cellStyle name="Accent6 2 5" xfId="1385" xr:uid="{00000000-0005-0000-0000-000005370000}"/>
    <cellStyle name="Accent6 2 6" xfId="1386" xr:uid="{00000000-0005-0000-0000-000006370000}"/>
    <cellStyle name="Accent6 2 7" xfId="1387" xr:uid="{00000000-0005-0000-0000-000007370000}"/>
    <cellStyle name="Accent6 2 8" xfId="1388" xr:uid="{00000000-0005-0000-0000-000008370000}"/>
    <cellStyle name="Accent6 2 9" xfId="1389" xr:uid="{00000000-0005-0000-0000-000009370000}"/>
    <cellStyle name="Accent6 2_BallGrid" xfId="1390" xr:uid="{00000000-0005-0000-0000-00000A370000}"/>
    <cellStyle name="Accent6 3" xfId="71" xr:uid="{00000000-0005-0000-0000-00000B370000}"/>
    <cellStyle name="Accent6 3 10" xfId="1391" xr:uid="{00000000-0005-0000-0000-00000C370000}"/>
    <cellStyle name="Accent6 3 2" xfId="1392" xr:uid="{00000000-0005-0000-0000-00000D370000}"/>
    <cellStyle name="Accent6 3 3" xfId="1393" xr:uid="{00000000-0005-0000-0000-00000E370000}"/>
    <cellStyle name="Accent6 3 4" xfId="1394" xr:uid="{00000000-0005-0000-0000-00000F370000}"/>
    <cellStyle name="Accent6 3 5" xfId="1395" xr:uid="{00000000-0005-0000-0000-000010370000}"/>
    <cellStyle name="Accent6 3 6" xfId="1396" xr:uid="{00000000-0005-0000-0000-000011370000}"/>
    <cellStyle name="Accent6 3 7" xfId="4131" xr:uid="{00000000-0005-0000-0000-000012370000}"/>
    <cellStyle name="Accent6 3 8" xfId="4132" xr:uid="{00000000-0005-0000-0000-000013370000}"/>
    <cellStyle name="Accent6 3 9" xfId="4133" xr:uid="{00000000-0005-0000-0000-000014370000}"/>
    <cellStyle name="Accent6 3_BallGrid" xfId="1397" xr:uid="{00000000-0005-0000-0000-000015370000}"/>
    <cellStyle name="Accent6 4" xfId="72" xr:uid="{00000000-0005-0000-0000-000016370000}"/>
    <cellStyle name="Accent6 4 2" xfId="1399" xr:uid="{00000000-0005-0000-0000-000017370000}"/>
    <cellStyle name="Accent6 4 2 2" xfId="22880" xr:uid="{00000000-0005-0000-0000-000018370000}"/>
    <cellStyle name="Accent6 4 3" xfId="1400" xr:uid="{00000000-0005-0000-0000-000019370000}"/>
    <cellStyle name="Accent6 4 3 2" xfId="22272" xr:uid="{00000000-0005-0000-0000-00001A370000}"/>
    <cellStyle name="Accent6 4 4" xfId="1401" xr:uid="{00000000-0005-0000-0000-00001B370000}"/>
    <cellStyle name="Accent6 4 5" xfId="1402" xr:uid="{00000000-0005-0000-0000-00001C370000}"/>
    <cellStyle name="Accent6 4 6" xfId="4134" xr:uid="{00000000-0005-0000-0000-00001D370000}"/>
    <cellStyle name="Accent6 4 7" xfId="4135" xr:uid="{00000000-0005-0000-0000-00001E370000}"/>
    <cellStyle name="Accent6 4 8" xfId="4136" xr:uid="{00000000-0005-0000-0000-00001F370000}"/>
    <cellStyle name="Accent6 4 9" xfId="1398" xr:uid="{00000000-0005-0000-0000-000020370000}"/>
    <cellStyle name="Accent6 5" xfId="1403" xr:uid="{00000000-0005-0000-0000-000021370000}"/>
    <cellStyle name="Accent6 5 2" xfId="4137" xr:uid="{00000000-0005-0000-0000-000022370000}"/>
    <cellStyle name="Accent6 5 3" xfId="4138" xr:uid="{00000000-0005-0000-0000-000023370000}"/>
    <cellStyle name="Accent6 5 3 2" xfId="22273" xr:uid="{00000000-0005-0000-0000-000024370000}"/>
    <cellStyle name="Accent6 5 4" xfId="52937" xr:uid="{00000000-0005-0000-0000-000025370000}"/>
    <cellStyle name="Accent6 6" xfId="1404" xr:uid="{00000000-0005-0000-0000-000026370000}"/>
    <cellStyle name="Accent6 6 2" xfId="22881" xr:uid="{00000000-0005-0000-0000-000027370000}"/>
    <cellStyle name="Accent6 6 3" xfId="22274" xr:uid="{00000000-0005-0000-0000-000028370000}"/>
    <cellStyle name="Accent6 6 4" xfId="52938" xr:uid="{00000000-0005-0000-0000-000029370000}"/>
    <cellStyle name="Accent6 7" xfId="1405" xr:uid="{00000000-0005-0000-0000-00002A370000}"/>
    <cellStyle name="Accent6 8" xfId="1406" xr:uid="{00000000-0005-0000-0000-00002B370000}"/>
    <cellStyle name="Accent6 8 2" xfId="22275" xr:uid="{00000000-0005-0000-0000-00002C370000}"/>
    <cellStyle name="Accent6 9" xfId="1407" xr:uid="{00000000-0005-0000-0000-00002D370000}"/>
    <cellStyle name="Accent6 9 2" xfId="22271" xr:uid="{00000000-0005-0000-0000-00002E370000}"/>
    <cellStyle name="Bad" xfId="1" builtinId="27" customBuiltin="1"/>
    <cellStyle name="Bad 10" xfId="1408" xr:uid="{00000000-0005-0000-0000-000030370000}"/>
    <cellStyle name="Bad 11" xfId="1409" xr:uid="{00000000-0005-0000-0000-000031370000}"/>
    <cellStyle name="Bad 2" xfId="73" xr:uid="{00000000-0005-0000-0000-000032370000}"/>
    <cellStyle name="Bad 2 10" xfId="1410" xr:uid="{00000000-0005-0000-0000-000033370000}"/>
    <cellStyle name="Bad 2 2" xfId="1411" xr:uid="{00000000-0005-0000-0000-000034370000}"/>
    <cellStyle name="Bad 2 3" xfId="1412" xr:uid="{00000000-0005-0000-0000-000035370000}"/>
    <cellStyle name="Bad 2 3 2" xfId="22882" xr:uid="{00000000-0005-0000-0000-000036370000}"/>
    <cellStyle name="Bad 2 3 3" xfId="22278" xr:uid="{00000000-0005-0000-0000-000037370000}"/>
    <cellStyle name="Bad 2 4" xfId="1413" xr:uid="{00000000-0005-0000-0000-000038370000}"/>
    <cellStyle name="Bad 2 5" xfId="1414" xr:uid="{00000000-0005-0000-0000-000039370000}"/>
    <cellStyle name="Bad 2 5 2" xfId="22277" xr:uid="{00000000-0005-0000-0000-00003A370000}"/>
    <cellStyle name="Bad 2 6" xfId="1415" xr:uid="{00000000-0005-0000-0000-00003B370000}"/>
    <cellStyle name="Bad 2 6 2" xfId="52939" xr:uid="{00000000-0005-0000-0000-00003C370000}"/>
    <cellStyle name="Bad 2 7" xfId="4139" xr:uid="{00000000-0005-0000-0000-00003D370000}"/>
    <cellStyle name="Bad 2 8" xfId="4140" xr:uid="{00000000-0005-0000-0000-00003E370000}"/>
    <cellStyle name="Bad 2 9" xfId="4141" xr:uid="{00000000-0005-0000-0000-00003F370000}"/>
    <cellStyle name="Bad 2_BallGrid" xfId="1416" xr:uid="{00000000-0005-0000-0000-000040370000}"/>
    <cellStyle name="Bad 3" xfId="74" xr:uid="{00000000-0005-0000-0000-000041370000}"/>
    <cellStyle name="Bad 3 10" xfId="1417" xr:uid="{00000000-0005-0000-0000-000042370000}"/>
    <cellStyle name="Bad 3 2" xfId="1418" xr:uid="{00000000-0005-0000-0000-000043370000}"/>
    <cellStyle name="Bad 3 2 2" xfId="22883" xr:uid="{00000000-0005-0000-0000-000044370000}"/>
    <cellStyle name="Bad 3 2 3" xfId="22280" xr:uid="{00000000-0005-0000-0000-000045370000}"/>
    <cellStyle name="Bad 3 3" xfId="1419" xr:uid="{00000000-0005-0000-0000-000046370000}"/>
    <cellStyle name="Bad 3 3 2" xfId="22884" xr:uid="{00000000-0005-0000-0000-000047370000}"/>
    <cellStyle name="Bad 3 3 3" xfId="22281" xr:uid="{00000000-0005-0000-0000-000048370000}"/>
    <cellStyle name="Bad 3 4" xfId="1420" xr:uid="{00000000-0005-0000-0000-000049370000}"/>
    <cellStyle name="Bad 3 5" xfId="1421" xr:uid="{00000000-0005-0000-0000-00004A370000}"/>
    <cellStyle name="Bad 3 6" xfId="1422" xr:uid="{00000000-0005-0000-0000-00004B370000}"/>
    <cellStyle name="Bad 3 7" xfId="4142" xr:uid="{00000000-0005-0000-0000-00004C370000}"/>
    <cellStyle name="Bad 3 8" xfId="4143" xr:uid="{00000000-0005-0000-0000-00004D370000}"/>
    <cellStyle name="Bad 3 9" xfId="4144" xr:uid="{00000000-0005-0000-0000-00004E370000}"/>
    <cellStyle name="Bad 3_BallGrid" xfId="1423" xr:uid="{00000000-0005-0000-0000-00004F370000}"/>
    <cellStyle name="Bad 4" xfId="75" xr:uid="{00000000-0005-0000-0000-000050370000}"/>
    <cellStyle name="Bad 4 2" xfId="1425" xr:uid="{00000000-0005-0000-0000-000051370000}"/>
    <cellStyle name="Bad 4 2 2" xfId="22885" xr:uid="{00000000-0005-0000-0000-000052370000}"/>
    <cellStyle name="Bad 4 3" xfId="1426" xr:uid="{00000000-0005-0000-0000-000053370000}"/>
    <cellStyle name="Bad 4 3 2" xfId="22282" xr:uid="{00000000-0005-0000-0000-000054370000}"/>
    <cellStyle name="Bad 4 4" xfId="1427" xr:uid="{00000000-0005-0000-0000-000055370000}"/>
    <cellStyle name="Bad 4 5" xfId="1428" xr:uid="{00000000-0005-0000-0000-000056370000}"/>
    <cellStyle name="Bad 4 6" xfId="4145" xr:uid="{00000000-0005-0000-0000-000057370000}"/>
    <cellStyle name="Bad 4 7" xfId="4146" xr:uid="{00000000-0005-0000-0000-000058370000}"/>
    <cellStyle name="Bad 4 8" xfId="4147" xr:uid="{00000000-0005-0000-0000-000059370000}"/>
    <cellStyle name="Bad 4 9" xfId="1424" xr:uid="{00000000-0005-0000-0000-00005A370000}"/>
    <cellStyle name="Bad 5" xfId="1429" xr:uid="{00000000-0005-0000-0000-00005B370000}"/>
    <cellStyle name="Bad 5 2" xfId="4148" xr:uid="{00000000-0005-0000-0000-00005C370000}"/>
    <cellStyle name="Bad 5 3" xfId="4149" xr:uid="{00000000-0005-0000-0000-00005D370000}"/>
    <cellStyle name="Bad 5 4" xfId="22283" xr:uid="{00000000-0005-0000-0000-00005E370000}"/>
    <cellStyle name="Bad 6" xfId="1430" xr:uid="{00000000-0005-0000-0000-00005F370000}"/>
    <cellStyle name="Bad 6 2" xfId="22284" xr:uid="{00000000-0005-0000-0000-000060370000}"/>
    <cellStyle name="Bad 7" xfId="1431" xr:uid="{00000000-0005-0000-0000-000061370000}"/>
    <cellStyle name="Bad 7 2" xfId="22285" xr:uid="{00000000-0005-0000-0000-000062370000}"/>
    <cellStyle name="Bad 8" xfId="1432" xr:uid="{00000000-0005-0000-0000-000063370000}"/>
    <cellStyle name="Bad 8 2" xfId="1433" xr:uid="{00000000-0005-0000-0000-000064370000}"/>
    <cellStyle name="Bad 8 3" xfId="1434" xr:uid="{00000000-0005-0000-0000-000065370000}"/>
    <cellStyle name="Bad 8 4" xfId="22276" xr:uid="{00000000-0005-0000-0000-000066370000}"/>
    <cellStyle name="Bad 9" xfId="1435" xr:uid="{00000000-0005-0000-0000-000067370000}"/>
    <cellStyle name="Bad 9 2" xfId="1436" xr:uid="{00000000-0005-0000-0000-000068370000}"/>
    <cellStyle name="Bad 9 3" xfId="1437" xr:uid="{00000000-0005-0000-0000-000069370000}"/>
    <cellStyle name="Calculation" xfId="156" builtinId="22" customBuiltin="1"/>
    <cellStyle name="Calculation 10" xfId="1438" xr:uid="{00000000-0005-0000-0000-00006B370000}"/>
    <cellStyle name="Calculation 10 2" xfId="1439" xr:uid="{00000000-0005-0000-0000-00006C370000}"/>
    <cellStyle name="Calculation 10 2 2" xfId="10438" xr:uid="{00000000-0005-0000-0000-00006D370000}"/>
    <cellStyle name="Calculation 10 2 2 2" xfId="18231" xr:uid="{00000000-0005-0000-0000-00006E370000}"/>
    <cellStyle name="Calculation 10 2 2 2 2" xfId="43778" xr:uid="{00000000-0005-0000-0000-00006F370000}"/>
    <cellStyle name="Calculation 10 2 2 2 3" xfId="47687" xr:uid="{00000000-0005-0000-0000-000070370000}"/>
    <cellStyle name="Calculation 10 2 2 2 4" xfId="35868" xr:uid="{00000000-0005-0000-0000-000071370000}"/>
    <cellStyle name="Calculation 10 2 2 3" xfId="19440" xr:uid="{00000000-0005-0000-0000-000072370000}"/>
    <cellStyle name="Calculation 10 2 2 3 2" xfId="44977" xr:uid="{00000000-0005-0000-0000-000073370000}"/>
    <cellStyle name="Calculation 10 2 2 3 3" xfId="48883" xr:uid="{00000000-0005-0000-0000-000074370000}"/>
    <cellStyle name="Calculation 10 2 2 3 4" xfId="37005" xr:uid="{00000000-0005-0000-0000-000075370000}"/>
    <cellStyle name="Calculation 10 2 2 4" xfId="19835" xr:uid="{00000000-0005-0000-0000-000076370000}"/>
    <cellStyle name="Calculation 10 2 2 4 2" xfId="45372" xr:uid="{00000000-0005-0000-0000-000077370000}"/>
    <cellStyle name="Calculation 10 2 2 4 3" xfId="49278" xr:uid="{00000000-0005-0000-0000-000078370000}"/>
    <cellStyle name="Calculation 10 2 2 4 4" xfId="37353" xr:uid="{00000000-0005-0000-0000-000079370000}"/>
    <cellStyle name="Calculation 10 2 2 5" xfId="20644" xr:uid="{00000000-0005-0000-0000-00007A370000}"/>
    <cellStyle name="Calculation 10 2 2 5 2" xfId="46181" xr:uid="{00000000-0005-0000-0000-00007B370000}"/>
    <cellStyle name="Calculation 10 2 2 5 3" xfId="50087" xr:uid="{00000000-0005-0000-0000-00007C370000}"/>
    <cellStyle name="Calculation 10 2 2 5 4" xfId="38050" xr:uid="{00000000-0005-0000-0000-00007D370000}"/>
    <cellStyle name="Calculation 10 2 2 6" xfId="21297" xr:uid="{00000000-0005-0000-0000-00007E370000}"/>
    <cellStyle name="Calculation 10 2 2 6 2" xfId="46834" xr:uid="{00000000-0005-0000-0000-00007F370000}"/>
    <cellStyle name="Calculation 10 2 2 6 3" xfId="50740" xr:uid="{00000000-0005-0000-0000-000080370000}"/>
    <cellStyle name="Calculation 10 2 2 7" xfId="40637" xr:uid="{00000000-0005-0000-0000-000081370000}"/>
    <cellStyle name="Calculation 10 2 2 8" xfId="47518" xr:uid="{00000000-0005-0000-0000-000082370000}"/>
    <cellStyle name="Calculation 10 2 3" xfId="7775" xr:uid="{00000000-0005-0000-0000-000083370000}"/>
    <cellStyle name="Calculation 10 2 3 2" xfId="15572" xr:uid="{00000000-0005-0000-0000-000084370000}"/>
    <cellStyle name="Calculation 10 2 3 2 2" xfId="43251" xr:uid="{00000000-0005-0000-0000-000085370000}"/>
    <cellStyle name="Calculation 10 2 3 2 3" xfId="40306" xr:uid="{00000000-0005-0000-0000-000086370000}"/>
    <cellStyle name="Calculation 10 2 3 2 4" xfId="33207" xr:uid="{00000000-0005-0000-0000-000087370000}"/>
    <cellStyle name="Calculation 10 2 3 3" xfId="11427" xr:uid="{00000000-0005-0000-0000-000088370000}"/>
    <cellStyle name="Calculation 10 2 3 3 2" xfId="41452" xr:uid="{00000000-0005-0000-0000-000089370000}"/>
    <cellStyle name="Calculation 10 2 3 3 3" xfId="47510" xr:uid="{00000000-0005-0000-0000-00008A370000}"/>
    <cellStyle name="Calculation 10 2 3 3 4" xfId="29148" xr:uid="{00000000-0005-0000-0000-00008B370000}"/>
    <cellStyle name="Calculation 10 2 3 4" xfId="19857" xr:uid="{00000000-0005-0000-0000-00008C370000}"/>
    <cellStyle name="Calculation 10 2 3 4 2" xfId="45394" xr:uid="{00000000-0005-0000-0000-00008D370000}"/>
    <cellStyle name="Calculation 10 2 3 4 3" xfId="49300" xr:uid="{00000000-0005-0000-0000-00008E370000}"/>
    <cellStyle name="Calculation 10 2 3 4 4" xfId="37372" xr:uid="{00000000-0005-0000-0000-00008F370000}"/>
    <cellStyle name="Calculation 10 2 3 5" xfId="11690" xr:uid="{00000000-0005-0000-0000-000090370000}"/>
    <cellStyle name="Calculation 10 2 3 5 2" xfId="41697" xr:uid="{00000000-0005-0000-0000-000091370000}"/>
    <cellStyle name="Calculation 10 2 3 5 3" xfId="43702" xr:uid="{00000000-0005-0000-0000-000092370000}"/>
    <cellStyle name="Calculation 10 2 3 5 4" xfId="29383" xr:uid="{00000000-0005-0000-0000-000093370000}"/>
    <cellStyle name="Calculation 10 2 3 6" xfId="11347" xr:uid="{00000000-0005-0000-0000-000094370000}"/>
    <cellStyle name="Calculation 10 2 3 6 2" xfId="41386" xr:uid="{00000000-0005-0000-0000-000095370000}"/>
    <cellStyle name="Calculation 10 2 3 6 3" xfId="43609" xr:uid="{00000000-0005-0000-0000-000096370000}"/>
    <cellStyle name="Calculation 10 2 3 7" xfId="40110" xr:uid="{00000000-0005-0000-0000-000097370000}"/>
    <cellStyle name="Calculation 10 2 3 8" xfId="42756" xr:uid="{00000000-0005-0000-0000-000098370000}"/>
    <cellStyle name="Calculation 10 3" xfId="1440" xr:uid="{00000000-0005-0000-0000-000099370000}"/>
    <cellStyle name="Calculation 10 4" xfId="6955" xr:uid="{00000000-0005-0000-0000-00009A370000}"/>
    <cellStyle name="Calculation 10 4 10" xfId="43110" xr:uid="{00000000-0005-0000-0000-00009B370000}"/>
    <cellStyle name="Calculation 10 4 2" xfId="10485" xr:uid="{00000000-0005-0000-0000-00009C370000}"/>
    <cellStyle name="Calculation 10 4 2 2" xfId="18278" xr:uid="{00000000-0005-0000-0000-00009D370000}"/>
    <cellStyle name="Calculation 10 4 2 2 2" xfId="43825" xr:uid="{00000000-0005-0000-0000-00009E370000}"/>
    <cellStyle name="Calculation 10 4 2 2 3" xfId="47734" xr:uid="{00000000-0005-0000-0000-00009F370000}"/>
    <cellStyle name="Calculation 10 4 2 2 4" xfId="35915" xr:uid="{00000000-0005-0000-0000-0000A0370000}"/>
    <cellStyle name="Calculation 10 4 2 3" xfId="11487" xr:uid="{00000000-0005-0000-0000-0000A1370000}"/>
    <cellStyle name="Calculation 10 4 2 3 2" xfId="41498" xr:uid="{00000000-0005-0000-0000-0000A2370000}"/>
    <cellStyle name="Calculation 10 4 2 3 3" xfId="43498" xr:uid="{00000000-0005-0000-0000-0000A3370000}"/>
    <cellStyle name="Calculation 10 4 2 3 4" xfId="29202" xr:uid="{00000000-0005-0000-0000-0000A4370000}"/>
    <cellStyle name="Calculation 10 4 2 4" xfId="20253" xr:uid="{00000000-0005-0000-0000-0000A5370000}"/>
    <cellStyle name="Calculation 10 4 2 4 2" xfId="45790" xr:uid="{00000000-0005-0000-0000-0000A6370000}"/>
    <cellStyle name="Calculation 10 4 2 4 3" xfId="49696" xr:uid="{00000000-0005-0000-0000-0000A7370000}"/>
    <cellStyle name="Calculation 10 4 2 4 4" xfId="37724" xr:uid="{00000000-0005-0000-0000-0000A8370000}"/>
    <cellStyle name="Calculation 10 4 2 5" xfId="20691" xr:uid="{00000000-0005-0000-0000-0000A9370000}"/>
    <cellStyle name="Calculation 10 4 2 5 2" xfId="46228" xr:uid="{00000000-0005-0000-0000-0000AA370000}"/>
    <cellStyle name="Calculation 10 4 2 5 3" xfId="50134" xr:uid="{00000000-0005-0000-0000-0000AB370000}"/>
    <cellStyle name="Calculation 10 4 2 5 4" xfId="38097" xr:uid="{00000000-0005-0000-0000-0000AC370000}"/>
    <cellStyle name="Calculation 10 4 2 6" xfId="21344" xr:uid="{00000000-0005-0000-0000-0000AD370000}"/>
    <cellStyle name="Calculation 10 4 2 6 2" xfId="46881" xr:uid="{00000000-0005-0000-0000-0000AE370000}"/>
    <cellStyle name="Calculation 10 4 2 6 3" xfId="50787" xr:uid="{00000000-0005-0000-0000-0000AF370000}"/>
    <cellStyle name="Calculation 10 4 2 7" xfId="40684" xr:uid="{00000000-0005-0000-0000-0000B0370000}"/>
    <cellStyle name="Calculation 10 4 2 8" xfId="43746" xr:uid="{00000000-0005-0000-0000-0000B1370000}"/>
    <cellStyle name="Calculation 10 4 3" xfId="10780" xr:uid="{00000000-0005-0000-0000-0000B2370000}"/>
    <cellStyle name="Calculation 10 4 3 2" xfId="18573" xr:uid="{00000000-0005-0000-0000-0000B3370000}"/>
    <cellStyle name="Calculation 10 4 3 2 2" xfId="44120" xr:uid="{00000000-0005-0000-0000-0000B4370000}"/>
    <cellStyle name="Calculation 10 4 3 2 3" xfId="48029" xr:uid="{00000000-0005-0000-0000-0000B5370000}"/>
    <cellStyle name="Calculation 10 4 3 2 4" xfId="36210" xr:uid="{00000000-0005-0000-0000-0000B6370000}"/>
    <cellStyle name="Calculation 10 4 3 3" xfId="13923" xr:uid="{00000000-0005-0000-0000-0000B7370000}"/>
    <cellStyle name="Calculation 10 4 3 3 2" xfId="42658" xr:uid="{00000000-0005-0000-0000-0000B8370000}"/>
    <cellStyle name="Calculation 10 4 3 3 3" xfId="42679" xr:uid="{00000000-0005-0000-0000-0000B9370000}"/>
    <cellStyle name="Calculation 10 4 3 3 4" xfId="31559" xr:uid="{00000000-0005-0000-0000-0000BA370000}"/>
    <cellStyle name="Calculation 10 4 3 4" xfId="19517" xr:uid="{00000000-0005-0000-0000-0000BB370000}"/>
    <cellStyle name="Calculation 10 4 3 4 2" xfId="45054" xr:uid="{00000000-0005-0000-0000-0000BC370000}"/>
    <cellStyle name="Calculation 10 4 3 4 3" xfId="48960" xr:uid="{00000000-0005-0000-0000-0000BD370000}"/>
    <cellStyle name="Calculation 10 4 3 4 4" xfId="37065" xr:uid="{00000000-0005-0000-0000-0000BE370000}"/>
    <cellStyle name="Calculation 10 4 3 5" xfId="20986" xr:uid="{00000000-0005-0000-0000-0000BF370000}"/>
    <cellStyle name="Calculation 10 4 3 5 2" xfId="46523" xr:uid="{00000000-0005-0000-0000-0000C0370000}"/>
    <cellStyle name="Calculation 10 4 3 5 3" xfId="50429" xr:uid="{00000000-0005-0000-0000-0000C1370000}"/>
    <cellStyle name="Calculation 10 4 3 5 4" xfId="38392" xr:uid="{00000000-0005-0000-0000-0000C2370000}"/>
    <cellStyle name="Calculation 10 4 3 6" xfId="21639" xr:uid="{00000000-0005-0000-0000-0000C3370000}"/>
    <cellStyle name="Calculation 10 4 3 6 2" xfId="47176" xr:uid="{00000000-0005-0000-0000-0000C4370000}"/>
    <cellStyle name="Calculation 10 4 3 6 3" xfId="51082" xr:uid="{00000000-0005-0000-0000-0000C5370000}"/>
    <cellStyle name="Calculation 10 4 3 7" xfId="40979" xr:uid="{00000000-0005-0000-0000-0000C6370000}"/>
    <cellStyle name="Calculation 10 4 3 8" xfId="39493" xr:uid="{00000000-0005-0000-0000-0000C7370000}"/>
    <cellStyle name="Calculation 10 4 4" xfId="14743" xr:uid="{00000000-0005-0000-0000-0000C8370000}"/>
    <cellStyle name="Calculation 10 4 4 2" xfId="42859" xr:uid="{00000000-0005-0000-0000-0000C9370000}"/>
    <cellStyle name="Calculation 10 4 4 3" xfId="41955" xr:uid="{00000000-0005-0000-0000-0000CA370000}"/>
    <cellStyle name="Calculation 10 4 4 4" xfId="32378" xr:uid="{00000000-0005-0000-0000-0000CB370000}"/>
    <cellStyle name="Calculation 10 4 5" xfId="13044" xr:uid="{00000000-0005-0000-0000-0000CC370000}"/>
    <cellStyle name="Calculation 10 4 5 2" xfId="42265" xr:uid="{00000000-0005-0000-0000-0000CD370000}"/>
    <cellStyle name="Calculation 10 4 5 3" xfId="43196" xr:uid="{00000000-0005-0000-0000-0000CE370000}"/>
    <cellStyle name="Calculation 10 4 5 4" xfId="30693" xr:uid="{00000000-0005-0000-0000-0000CF370000}"/>
    <cellStyle name="Calculation 10 4 6" xfId="19530" xr:uid="{00000000-0005-0000-0000-0000D0370000}"/>
    <cellStyle name="Calculation 10 4 6 2" xfId="45067" xr:uid="{00000000-0005-0000-0000-0000D1370000}"/>
    <cellStyle name="Calculation 10 4 6 3" xfId="48973" xr:uid="{00000000-0005-0000-0000-0000D2370000}"/>
    <cellStyle name="Calculation 10 4 6 4" xfId="37077" xr:uid="{00000000-0005-0000-0000-0000D3370000}"/>
    <cellStyle name="Calculation 10 4 7" xfId="20496" xr:uid="{00000000-0005-0000-0000-0000D4370000}"/>
    <cellStyle name="Calculation 10 4 7 2" xfId="46033" xr:uid="{00000000-0005-0000-0000-0000D5370000}"/>
    <cellStyle name="Calculation 10 4 7 3" xfId="49939" xr:uid="{00000000-0005-0000-0000-0000D6370000}"/>
    <cellStyle name="Calculation 10 4 7 4" xfId="37940" xr:uid="{00000000-0005-0000-0000-0000D7370000}"/>
    <cellStyle name="Calculation 10 4 8" xfId="19821" xr:uid="{00000000-0005-0000-0000-0000D8370000}"/>
    <cellStyle name="Calculation 10 4 8 2" xfId="45358" xr:uid="{00000000-0005-0000-0000-0000D9370000}"/>
    <cellStyle name="Calculation 10 4 8 3" xfId="49264" xr:uid="{00000000-0005-0000-0000-0000DA370000}"/>
    <cellStyle name="Calculation 10 4 9" xfId="39719" xr:uid="{00000000-0005-0000-0000-0000DB370000}"/>
    <cellStyle name="Calculation 10 5" xfId="22287" xr:uid="{00000000-0005-0000-0000-0000DC370000}"/>
    <cellStyle name="Calculation 11" xfId="1441" xr:uid="{00000000-0005-0000-0000-0000DD370000}"/>
    <cellStyle name="Calculation 11 2" xfId="22288" xr:uid="{00000000-0005-0000-0000-0000DE370000}"/>
    <cellStyle name="Calculation 12" xfId="22289" xr:uid="{00000000-0005-0000-0000-0000DF370000}"/>
    <cellStyle name="Calculation 12 2" xfId="22290" xr:uid="{00000000-0005-0000-0000-0000E0370000}"/>
    <cellStyle name="Calculation 13" xfId="22291" xr:uid="{00000000-0005-0000-0000-0000E1370000}"/>
    <cellStyle name="Calculation 14" xfId="22292" xr:uid="{00000000-0005-0000-0000-0000E2370000}"/>
    <cellStyle name="Calculation 14 2" xfId="23030" xr:uid="{00000000-0005-0000-0000-0000E3370000}"/>
    <cellStyle name="Calculation 14 2 2" xfId="47631" xr:uid="{00000000-0005-0000-0000-0000E4370000}"/>
    <cellStyle name="Calculation 14 2 3" xfId="51442" xr:uid="{00000000-0005-0000-0000-0000E5370000}"/>
    <cellStyle name="Calculation 14 3" xfId="47523" xr:uid="{00000000-0005-0000-0000-0000E6370000}"/>
    <cellStyle name="Calculation 14 4" xfId="51378" xr:uid="{00000000-0005-0000-0000-0000E7370000}"/>
    <cellStyle name="Calculation 14 5" xfId="52940" xr:uid="{00000000-0005-0000-0000-0000E8370000}"/>
    <cellStyle name="Calculation 15" xfId="22675" xr:uid="{00000000-0005-0000-0000-0000E9370000}"/>
    <cellStyle name="Calculation 16" xfId="22286" xr:uid="{00000000-0005-0000-0000-0000EA370000}"/>
    <cellStyle name="Calculation 16 2" xfId="23029" xr:uid="{00000000-0005-0000-0000-0000EB370000}"/>
    <cellStyle name="Calculation 16 2 2" xfId="47630" xr:uid="{00000000-0005-0000-0000-0000EC370000}"/>
    <cellStyle name="Calculation 16 2 3" xfId="51441" xr:uid="{00000000-0005-0000-0000-0000ED370000}"/>
    <cellStyle name="Calculation 16 3" xfId="47522" xr:uid="{00000000-0005-0000-0000-0000EE370000}"/>
    <cellStyle name="Calculation 16 4" xfId="51377" xr:uid="{00000000-0005-0000-0000-0000EF370000}"/>
    <cellStyle name="Calculation 16 5" xfId="52941" xr:uid="{00000000-0005-0000-0000-0000F0370000}"/>
    <cellStyle name="Calculation 2" xfId="76" xr:uid="{00000000-0005-0000-0000-0000F1370000}"/>
    <cellStyle name="Calculation 2 10" xfId="1443" xr:uid="{00000000-0005-0000-0000-0000F2370000}"/>
    <cellStyle name="Calculation 2 10 2" xfId="6957" xr:uid="{00000000-0005-0000-0000-0000F3370000}"/>
    <cellStyle name="Calculation 2 10 2 10" xfId="40636" xr:uid="{00000000-0005-0000-0000-0000F4370000}"/>
    <cellStyle name="Calculation 2 10 2 2" xfId="10487" xr:uid="{00000000-0005-0000-0000-0000F5370000}"/>
    <cellStyle name="Calculation 2 10 2 2 2" xfId="18280" xr:uid="{00000000-0005-0000-0000-0000F6370000}"/>
    <cellStyle name="Calculation 2 10 2 2 2 2" xfId="43827" xr:uid="{00000000-0005-0000-0000-0000F7370000}"/>
    <cellStyle name="Calculation 2 10 2 2 2 3" xfId="47736" xr:uid="{00000000-0005-0000-0000-0000F8370000}"/>
    <cellStyle name="Calculation 2 10 2 2 2 4" xfId="35917" xr:uid="{00000000-0005-0000-0000-0000F9370000}"/>
    <cellStyle name="Calculation 2 10 2 2 3" xfId="11488" xr:uid="{00000000-0005-0000-0000-0000FA370000}"/>
    <cellStyle name="Calculation 2 10 2 2 3 2" xfId="41499" xr:uid="{00000000-0005-0000-0000-0000FB370000}"/>
    <cellStyle name="Calculation 2 10 2 2 3 3" xfId="40359" xr:uid="{00000000-0005-0000-0000-0000FC370000}"/>
    <cellStyle name="Calculation 2 10 2 2 3 4" xfId="29203" xr:uid="{00000000-0005-0000-0000-0000FD370000}"/>
    <cellStyle name="Calculation 2 10 2 2 4" xfId="19553" xr:uid="{00000000-0005-0000-0000-0000FE370000}"/>
    <cellStyle name="Calculation 2 10 2 2 4 2" xfId="45090" xr:uid="{00000000-0005-0000-0000-0000FF370000}"/>
    <cellStyle name="Calculation 2 10 2 2 4 3" xfId="48996" xr:uid="{00000000-0005-0000-0000-000000380000}"/>
    <cellStyle name="Calculation 2 10 2 2 4 4" xfId="37095" xr:uid="{00000000-0005-0000-0000-000001380000}"/>
    <cellStyle name="Calculation 2 10 2 2 5" xfId="20693" xr:uid="{00000000-0005-0000-0000-000002380000}"/>
    <cellStyle name="Calculation 2 10 2 2 5 2" xfId="46230" xr:uid="{00000000-0005-0000-0000-000003380000}"/>
    <cellStyle name="Calculation 2 10 2 2 5 3" xfId="50136" xr:uid="{00000000-0005-0000-0000-000004380000}"/>
    <cellStyle name="Calculation 2 10 2 2 5 4" xfId="38099" xr:uid="{00000000-0005-0000-0000-000005380000}"/>
    <cellStyle name="Calculation 2 10 2 2 6" xfId="21346" xr:uid="{00000000-0005-0000-0000-000006380000}"/>
    <cellStyle name="Calculation 2 10 2 2 6 2" xfId="46883" xr:uid="{00000000-0005-0000-0000-000007380000}"/>
    <cellStyle name="Calculation 2 10 2 2 6 3" xfId="50789" xr:uid="{00000000-0005-0000-0000-000008380000}"/>
    <cellStyle name="Calculation 2 10 2 2 7" xfId="40686" xr:uid="{00000000-0005-0000-0000-000009380000}"/>
    <cellStyle name="Calculation 2 10 2 2 8" xfId="39716" xr:uid="{00000000-0005-0000-0000-00000A380000}"/>
    <cellStyle name="Calculation 2 10 2 3" xfId="10782" xr:uid="{00000000-0005-0000-0000-00000B380000}"/>
    <cellStyle name="Calculation 2 10 2 3 2" xfId="18575" xr:uid="{00000000-0005-0000-0000-00000C380000}"/>
    <cellStyle name="Calculation 2 10 2 3 2 2" xfId="44122" xr:uid="{00000000-0005-0000-0000-00000D380000}"/>
    <cellStyle name="Calculation 2 10 2 3 2 3" xfId="48031" xr:uid="{00000000-0005-0000-0000-00000E380000}"/>
    <cellStyle name="Calculation 2 10 2 3 2 4" xfId="36212" xr:uid="{00000000-0005-0000-0000-00000F380000}"/>
    <cellStyle name="Calculation 2 10 2 3 3" xfId="20150" xr:uid="{00000000-0005-0000-0000-000010380000}"/>
    <cellStyle name="Calculation 2 10 2 3 3 2" xfId="45687" xr:uid="{00000000-0005-0000-0000-000011380000}"/>
    <cellStyle name="Calculation 2 10 2 3 3 3" xfId="49593" xr:uid="{00000000-0005-0000-0000-000012380000}"/>
    <cellStyle name="Calculation 2 10 2 3 3 4" xfId="37636" xr:uid="{00000000-0005-0000-0000-000013380000}"/>
    <cellStyle name="Calculation 2 10 2 3 4" xfId="18949" xr:uid="{00000000-0005-0000-0000-000014380000}"/>
    <cellStyle name="Calculation 2 10 2 3 4 2" xfId="44486" xr:uid="{00000000-0005-0000-0000-000015380000}"/>
    <cellStyle name="Calculation 2 10 2 3 4 3" xfId="48392" xr:uid="{00000000-0005-0000-0000-000016380000}"/>
    <cellStyle name="Calculation 2 10 2 3 4 4" xfId="36575" xr:uid="{00000000-0005-0000-0000-000017380000}"/>
    <cellStyle name="Calculation 2 10 2 3 5" xfId="20988" xr:uid="{00000000-0005-0000-0000-000018380000}"/>
    <cellStyle name="Calculation 2 10 2 3 5 2" xfId="46525" xr:uid="{00000000-0005-0000-0000-000019380000}"/>
    <cellStyle name="Calculation 2 10 2 3 5 3" xfId="50431" xr:uid="{00000000-0005-0000-0000-00001A380000}"/>
    <cellStyle name="Calculation 2 10 2 3 5 4" xfId="38394" xr:uid="{00000000-0005-0000-0000-00001B380000}"/>
    <cellStyle name="Calculation 2 10 2 3 6" xfId="21641" xr:uid="{00000000-0005-0000-0000-00001C380000}"/>
    <cellStyle name="Calculation 2 10 2 3 6 2" xfId="47178" xr:uid="{00000000-0005-0000-0000-00001D380000}"/>
    <cellStyle name="Calculation 2 10 2 3 6 3" xfId="51084" xr:uid="{00000000-0005-0000-0000-00001E380000}"/>
    <cellStyle name="Calculation 2 10 2 3 7" xfId="40981" xr:uid="{00000000-0005-0000-0000-00001F380000}"/>
    <cellStyle name="Calculation 2 10 2 3 8" xfId="43383" xr:uid="{00000000-0005-0000-0000-000020380000}"/>
    <cellStyle name="Calculation 2 10 2 4" xfId="14745" xr:uid="{00000000-0005-0000-0000-000021380000}"/>
    <cellStyle name="Calculation 2 10 2 4 2" xfId="42861" xr:uid="{00000000-0005-0000-0000-000022380000}"/>
    <cellStyle name="Calculation 2 10 2 4 3" xfId="40168" xr:uid="{00000000-0005-0000-0000-000023380000}"/>
    <cellStyle name="Calculation 2 10 2 4 4" xfId="32380" xr:uid="{00000000-0005-0000-0000-000024380000}"/>
    <cellStyle name="Calculation 2 10 2 5" xfId="11269" xr:uid="{00000000-0005-0000-0000-000025380000}"/>
    <cellStyle name="Calculation 2 10 2 5 2" xfId="41316" xr:uid="{00000000-0005-0000-0000-000026380000}"/>
    <cellStyle name="Calculation 2 10 2 5 3" xfId="43613" xr:uid="{00000000-0005-0000-0000-000027380000}"/>
    <cellStyle name="Calculation 2 10 2 5 4" xfId="28997" xr:uid="{00000000-0005-0000-0000-000028380000}"/>
    <cellStyle name="Calculation 2 10 2 6" xfId="18997" xr:uid="{00000000-0005-0000-0000-000029380000}"/>
    <cellStyle name="Calculation 2 10 2 6 2" xfId="44534" xr:uid="{00000000-0005-0000-0000-00002A380000}"/>
    <cellStyle name="Calculation 2 10 2 6 3" xfId="48440" xr:uid="{00000000-0005-0000-0000-00002B380000}"/>
    <cellStyle name="Calculation 2 10 2 6 4" xfId="36619" xr:uid="{00000000-0005-0000-0000-00002C380000}"/>
    <cellStyle name="Calculation 2 10 2 7" xfId="20278" xr:uid="{00000000-0005-0000-0000-00002D380000}"/>
    <cellStyle name="Calculation 2 10 2 7 2" xfId="45815" xr:uid="{00000000-0005-0000-0000-00002E380000}"/>
    <cellStyle name="Calculation 2 10 2 7 3" xfId="49721" xr:uid="{00000000-0005-0000-0000-00002F380000}"/>
    <cellStyle name="Calculation 2 10 2 7 4" xfId="37746" xr:uid="{00000000-0005-0000-0000-000030380000}"/>
    <cellStyle name="Calculation 2 10 2 8" xfId="12813" xr:uid="{00000000-0005-0000-0000-000031380000}"/>
    <cellStyle name="Calculation 2 10 2 8 2" xfId="42227" xr:uid="{00000000-0005-0000-0000-000032380000}"/>
    <cellStyle name="Calculation 2 10 2 8 3" xfId="39308" xr:uid="{00000000-0005-0000-0000-000033380000}"/>
    <cellStyle name="Calculation 2 10 2 9" xfId="39721" xr:uid="{00000000-0005-0000-0000-000034380000}"/>
    <cellStyle name="Calculation 2 10 3" xfId="52943" xr:uid="{00000000-0005-0000-0000-000035380000}"/>
    <cellStyle name="Calculation 2 11" xfId="1444" xr:uid="{00000000-0005-0000-0000-000036380000}"/>
    <cellStyle name="Calculation 2 11 2" xfId="6958" xr:uid="{00000000-0005-0000-0000-000037380000}"/>
    <cellStyle name="Calculation 2 11 2 10" xfId="39970" xr:uid="{00000000-0005-0000-0000-000038380000}"/>
    <cellStyle name="Calculation 2 11 2 2" xfId="10488" xr:uid="{00000000-0005-0000-0000-000039380000}"/>
    <cellStyle name="Calculation 2 11 2 2 2" xfId="18281" xr:uid="{00000000-0005-0000-0000-00003A380000}"/>
    <cellStyle name="Calculation 2 11 2 2 2 2" xfId="43828" xr:uid="{00000000-0005-0000-0000-00003B380000}"/>
    <cellStyle name="Calculation 2 11 2 2 2 3" xfId="47737" xr:uid="{00000000-0005-0000-0000-00003C380000}"/>
    <cellStyle name="Calculation 2 11 2 2 2 4" xfId="35918" xr:uid="{00000000-0005-0000-0000-00003D380000}"/>
    <cellStyle name="Calculation 2 11 2 2 3" xfId="19622" xr:uid="{00000000-0005-0000-0000-00003E380000}"/>
    <cellStyle name="Calculation 2 11 2 2 3 2" xfId="45159" xr:uid="{00000000-0005-0000-0000-00003F380000}"/>
    <cellStyle name="Calculation 2 11 2 2 3 3" xfId="49065" xr:uid="{00000000-0005-0000-0000-000040380000}"/>
    <cellStyle name="Calculation 2 11 2 2 3 4" xfId="37162" xr:uid="{00000000-0005-0000-0000-000041380000}"/>
    <cellStyle name="Calculation 2 11 2 2 4" xfId="18951" xr:uid="{00000000-0005-0000-0000-000042380000}"/>
    <cellStyle name="Calculation 2 11 2 2 4 2" xfId="44488" xr:uid="{00000000-0005-0000-0000-000043380000}"/>
    <cellStyle name="Calculation 2 11 2 2 4 3" xfId="48394" xr:uid="{00000000-0005-0000-0000-000044380000}"/>
    <cellStyle name="Calculation 2 11 2 2 4 4" xfId="36577" xr:uid="{00000000-0005-0000-0000-000045380000}"/>
    <cellStyle name="Calculation 2 11 2 2 5" xfId="20694" xr:uid="{00000000-0005-0000-0000-000046380000}"/>
    <cellStyle name="Calculation 2 11 2 2 5 2" xfId="46231" xr:uid="{00000000-0005-0000-0000-000047380000}"/>
    <cellStyle name="Calculation 2 11 2 2 5 3" xfId="50137" xr:uid="{00000000-0005-0000-0000-000048380000}"/>
    <cellStyle name="Calculation 2 11 2 2 5 4" xfId="38100" xr:uid="{00000000-0005-0000-0000-000049380000}"/>
    <cellStyle name="Calculation 2 11 2 2 6" xfId="21347" xr:uid="{00000000-0005-0000-0000-00004A380000}"/>
    <cellStyle name="Calculation 2 11 2 2 6 2" xfId="46884" xr:uid="{00000000-0005-0000-0000-00004B380000}"/>
    <cellStyle name="Calculation 2 11 2 2 6 3" xfId="50790" xr:uid="{00000000-0005-0000-0000-00004C380000}"/>
    <cellStyle name="Calculation 2 11 2 2 7" xfId="40687" xr:uid="{00000000-0005-0000-0000-00004D380000}"/>
    <cellStyle name="Calculation 2 11 2 2 8" xfId="42753" xr:uid="{00000000-0005-0000-0000-00004E380000}"/>
    <cellStyle name="Calculation 2 11 2 3" xfId="10783" xr:uid="{00000000-0005-0000-0000-00004F380000}"/>
    <cellStyle name="Calculation 2 11 2 3 2" xfId="18576" xr:uid="{00000000-0005-0000-0000-000050380000}"/>
    <cellStyle name="Calculation 2 11 2 3 2 2" xfId="44123" xr:uid="{00000000-0005-0000-0000-000051380000}"/>
    <cellStyle name="Calculation 2 11 2 3 2 3" xfId="48032" xr:uid="{00000000-0005-0000-0000-000052380000}"/>
    <cellStyle name="Calculation 2 11 2 3 2 4" xfId="36213" xr:uid="{00000000-0005-0000-0000-000053380000}"/>
    <cellStyle name="Calculation 2 11 2 3 3" xfId="19409" xr:uid="{00000000-0005-0000-0000-000054380000}"/>
    <cellStyle name="Calculation 2 11 2 3 3 2" xfId="44946" xr:uid="{00000000-0005-0000-0000-000055380000}"/>
    <cellStyle name="Calculation 2 11 2 3 3 3" xfId="48852" xr:uid="{00000000-0005-0000-0000-000056380000}"/>
    <cellStyle name="Calculation 2 11 2 3 3 4" xfId="36974" xr:uid="{00000000-0005-0000-0000-000057380000}"/>
    <cellStyle name="Calculation 2 11 2 3 4" xfId="19674" xr:uid="{00000000-0005-0000-0000-000058380000}"/>
    <cellStyle name="Calculation 2 11 2 3 4 2" xfId="45211" xr:uid="{00000000-0005-0000-0000-000059380000}"/>
    <cellStyle name="Calculation 2 11 2 3 4 3" xfId="49117" xr:uid="{00000000-0005-0000-0000-00005A380000}"/>
    <cellStyle name="Calculation 2 11 2 3 4 4" xfId="37207" xr:uid="{00000000-0005-0000-0000-00005B380000}"/>
    <cellStyle name="Calculation 2 11 2 3 5" xfId="20989" xr:uid="{00000000-0005-0000-0000-00005C380000}"/>
    <cellStyle name="Calculation 2 11 2 3 5 2" xfId="46526" xr:uid="{00000000-0005-0000-0000-00005D380000}"/>
    <cellStyle name="Calculation 2 11 2 3 5 3" xfId="50432" xr:uid="{00000000-0005-0000-0000-00005E380000}"/>
    <cellStyle name="Calculation 2 11 2 3 5 4" xfId="38395" xr:uid="{00000000-0005-0000-0000-00005F380000}"/>
    <cellStyle name="Calculation 2 11 2 3 6" xfId="21642" xr:uid="{00000000-0005-0000-0000-000060380000}"/>
    <cellStyle name="Calculation 2 11 2 3 6 2" xfId="47179" xr:uid="{00000000-0005-0000-0000-000061380000}"/>
    <cellStyle name="Calculation 2 11 2 3 6 3" xfId="51085" xr:uid="{00000000-0005-0000-0000-000062380000}"/>
    <cellStyle name="Calculation 2 11 2 3 7" xfId="40982" xr:uid="{00000000-0005-0000-0000-000063380000}"/>
    <cellStyle name="Calculation 2 11 2 3 8" xfId="40245" xr:uid="{00000000-0005-0000-0000-000064380000}"/>
    <cellStyle name="Calculation 2 11 2 4" xfId="14746" xr:uid="{00000000-0005-0000-0000-000065380000}"/>
    <cellStyle name="Calculation 2 11 2 4 2" xfId="42862" xr:uid="{00000000-0005-0000-0000-000066380000}"/>
    <cellStyle name="Calculation 2 11 2 4 3" xfId="39282" xr:uid="{00000000-0005-0000-0000-000067380000}"/>
    <cellStyle name="Calculation 2 11 2 4 4" xfId="32381" xr:uid="{00000000-0005-0000-0000-000068380000}"/>
    <cellStyle name="Calculation 2 11 2 5" xfId="13046" xr:uid="{00000000-0005-0000-0000-000069380000}"/>
    <cellStyle name="Calculation 2 11 2 5 2" xfId="42267" xr:uid="{00000000-0005-0000-0000-00006A380000}"/>
    <cellStyle name="Calculation 2 11 2 5 3" xfId="42797" xr:uid="{00000000-0005-0000-0000-00006B380000}"/>
    <cellStyle name="Calculation 2 11 2 5 4" xfId="30695" xr:uid="{00000000-0005-0000-0000-00006C380000}"/>
    <cellStyle name="Calculation 2 11 2 6" xfId="12611" xr:uid="{00000000-0005-0000-0000-00006D380000}"/>
    <cellStyle name="Calculation 2 11 2 6 2" xfId="42090" xr:uid="{00000000-0005-0000-0000-00006E380000}"/>
    <cellStyle name="Calculation 2 11 2 6 3" xfId="39663" xr:uid="{00000000-0005-0000-0000-00006F380000}"/>
    <cellStyle name="Calculation 2 11 2 6 4" xfId="30277" xr:uid="{00000000-0005-0000-0000-000070380000}"/>
    <cellStyle name="Calculation 2 11 2 7" xfId="19184" xr:uid="{00000000-0005-0000-0000-000071380000}"/>
    <cellStyle name="Calculation 2 11 2 7 2" xfId="44721" xr:uid="{00000000-0005-0000-0000-000072380000}"/>
    <cellStyle name="Calculation 2 11 2 7 3" xfId="48627" xr:uid="{00000000-0005-0000-0000-000073380000}"/>
    <cellStyle name="Calculation 2 11 2 7 4" xfId="36771" xr:uid="{00000000-0005-0000-0000-000074380000}"/>
    <cellStyle name="Calculation 2 11 2 8" xfId="19547" xr:uid="{00000000-0005-0000-0000-000075380000}"/>
    <cellStyle name="Calculation 2 11 2 8 2" xfId="45084" xr:uid="{00000000-0005-0000-0000-000076380000}"/>
    <cellStyle name="Calculation 2 11 2 8 3" xfId="48990" xr:uid="{00000000-0005-0000-0000-000077380000}"/>
    <cellStyle name="Calculation 2 11 2 9" xfId="39722" xr:uid="{00000000-0005-0000-0000-000078380000}"/>
    <cellStyle name="Calculation 2 11 3" xfId="52944" xr:uid="{00000000-0005-0000-0000-000079380000}"/>
    <cellStyle name="Calculation 2 12" xfId="1445" xr:uid="{00000000-0005-0000-0000-00007A380000}"/>
    <cellStyle name="Calculation 2 12 2" xfId="6959" xr:uid="{00000000-0005-0000-0000-00007B380000}"/>
    <cellStyle name="Calculation 2 12 2 10" xfId="42770" xr:uid="{00000000-0005-0000-0000-00007C380000}"/>
    <cellStyle name="Calculation 2 12 2 2" xfId="10489" xr:uid="{00000000-0005-0000-0000-00007D380000}"/>
    <cellStyle name="Calculation 2 12 2 2 2" xfId="18282" xr:uid="{00000000-0005-0000-0000-00007E380000}"/>
    <cellStyle name="Calculation 2 12 2 2 2 2" xfId="43829" xr:uid="{00000000-0005-0000-0000-00007F380000}"/>
    <cellStyle name="Calculation 2 12 2 2 2 3" xfId="47738" xr:uid="{00000000-0005-0000-0000-000080380000}"/>
    <cellStyle name="Calculation 2 12 2 2 2 4" xfId="35919" xr:uid="{00000000-0005-0000-0000-000081380000}"/>
    <cellStyle name="Calculation 2 12 2 2 3" xfId="20178" xr:uid="{00000000-0005-0000-0000-000082380000}"/>
    <cellStyle name="Calculation 2 12 2 2 3 2" xfId="45715" xr:uid="{00000000-0005-0000-0000-000083380000}"/>
    <cellStyle name="Calculation 2 12 2 2 3 3" xfId="49621" xr:uid="{00000000-0005-0000-0000-000084380000}"/>
    <cellStyle name="Calculation 2 12 2 2 3 4" xfId="37664" xr:uid="{00000000-0005-0000-0000-000085380000}"/>
    <cellStyle name="Calculation 2 12 2 2 4" xfId="19091" xr:uid="{00000000-0005-0000-0000-000086380000}"/>
    <cellStyle name="Calculation 2 12 2 2 4 2" xfId="44628" xr:uid="{00000000-0005-0000-0000-000087380000}"/>
    <cellStyle name="Calculation 2 12 2 2 4 3" xfId="48534" xr:uid="{00000000-0005-0000-0000-000088380000}"/>
    <cellStyle name="Calculation 2 12 2 2 4 4" xfId="36687" xr:uid="{00000000-0005-0000-0000-000089380000}"/>
    <cellStyle name="Calculation 2 12 2 2 5" xfId="20695" xr:uid="{00000000-0005-0000-0000-00008A380000}"/>
    <cellStyle name="Calculation 2 12 2 2 5 2" xfId="46232" xr:uid="{00000000-0005-0000-0000-00008B380000}"/>
    <cellStyle name="Calculation 2 12 2 2 5 3" xfId="50138" xr:uid="{00000000-0005-0000-0000-00008C380000}"/>
    <cellStyle name="Calculation 2 12 2 2 5 4" xfId="38101" xr:uid="{00000000-0005-0000-0000-00008D380000}"/>
    <cellStyle name="Calculation 2 12 2 2 6" xfId="21348" xr:uid="{00000000-0005-0000-0000-00008E380000}"/>
    <cellStyle name="Calculation 2 12 2 2 6 2" xfId="46885" xr:uid="{00000000-0005-0000-0000-00008F380000}"/>
    <cellStyle name="Calculation 2 12 2 2 6 3" xfId="50791" xr:uid="{00000000-0005-0000-0000-000090380000}"/>
    <cellStyle name="Calculation 2 12 2 2 7" xfId="40688" xr:uid="{00000000-0005-0000-0000-000091380000}"/>
    <cellStyle name="Calculation 2 12 2 2 8" xfId="43642" xr:uid="{00000000-0005-0000-0000-000092380000}"/>
    <cellStyle name="Calculation 2 12 2 3" xfId="10784" xr:uid="{00000000-0005-0000-0000-000093380000}"/>
    <cellStyle name="Calculation 2 12 2 3 2" xfId="18577" xr:uid="{00000000-0005-0000-0000-000094380000}"/>
    <cellStyle name="Calculation 2 12 2 3 2 2" xfId="44124" xr:uid="{00000000-0005-0000-0000-000095380000}"/>
    <cellStyle name="Calculation 2 12 2 3 2 3" xfId="48033" xr:uid="{00000000-0005-0000-0000-000096380000}"/>
    <cellStyle name="Calculation 2 12 2 3 2 4" xfId="36214" xr:uid="{00000000-0005-0000-0000-000097380000}"/>
    <cellStyle name="Calculation 2 12 2 3 3" xfId="20016" xr:uid="{00000000-0005-0000-0000-000098380000}"/>
    <cellStyle name="Calculation 2 12 2 3 3 2" xfId="45553" xr:uid="{00000000-0005-0000-0000-000099380000}"/>
    <cellStyle name="Calculation 2 12 2 3 3 3" xfId="49459" xr:uid="{00000000-0005-0000-0000-00009A380000}"/>
    <cellStyle name="Calculation 2 12 2 3 3 4" xfId="37514" xr:uid="{00000000-0005-0000-0000-00009B380000}"/>
    <cellStyle name="Calculation 2 12 2 3 4" xfId="12086" xr:uid="{00000000-0005-0000-0000-00009C380000}"/>
    <cellStyle name="Calculation 2 12 2 3 4 2" xfId="41831" xr:uid="{00000000-0005-0000-0000-00009D380000}"/>
    <cellStyle name="Calculation 2 12 2 3 4 3" xfId="39143" xr:uid="{00000000-0005-0000-0000-00009E380000}"/>
    <cellStyle name="Calculation 2 12 2 3 4 4" xfId="29762" xr:uid="{00000000-0005-0000-0000-00009F380000}"/>
    <cellStyle name="Calculation 2 12 2 3 5" xfId="20990" xr:uid="{00000000-0005-0000-0000-0000A0380000}"/>
    <cellStyle name="Calculation 2 12 2 3 5 2" xfId="46527" xr:uid="{00000000-0005-0000-0000-0000A1380000}"/>
    <cellStyle name="Calculation 2 12 2 3 5 3" xfId="50433" xr:uid="{00000000-0005-0000-0000-0000A2380000}"/>
    <cellStyle name="Calculation 2 12 2 3 5 4" xfId="38396" xr:uid="{00000000-0005-0000-0000-0000A3380000}"/>
    <cellStyle name="Calculation 2 12 2 3 6" xfId="21643" xr:uid="{00000000-0005-0000-0000-0000A4380000}"/>
    <cellStyle name="Calculation 2 12 2 3 6 2" xfId="47180" xr:uid="{00000000-0005-0000-0000-0000A5380000}"/>
    <cellStyle name="Calculation 2 12 2 3 6 3" xfId="51086" xr:uid="{00000000-0005-0000-0000-0000A6380000}"/>
    <cellStyle name="Calculation 2 12 2 3 7" xfId="40983" xr:uid="{00000000-0005-0000-0000-0000A7380000}"/>
    <cellStyle name="Calculation 2 12 2 3 8" xfId="39385" xr:uid="{00000000-0005-0000-0000-0000A8380000}"/>
    <cellStyle name="Calculation 2 12 2 4" xfId="14747" xr:uid="{00000000-0005-0000-0000-0000A9380000}"/>
    <cellStyle name="Calculation 2 12 2 4 2" xfId="42863" xr:uid="{00000000-0005-0000-0000-0000AA380000}"/>
    <cellStyle name="Calculation 2 12 2 4 3" xfId="39066" xr:uid="{00000000-0005-0000-0000-0000AB380000}"/>
    <cellStyle name="Calculation 2 12 2 4 4" xfId="32382" xr:uid="{00000000-0005-0000-0000-0000AC380000}"/>
    <cellStyle name="Calculation 2 12 2 5" xfId="13047" xr:uid="{00000000-0005-0000-0000-0000AD380000}"/>
    <cellStyle name="Calculation 2 12 2 5 2" xfId="42268" xr:uid="{00000000-0005-0000-0000-0000AE380000}"/>
    <cellStyle name="Calculation 2 12 2 5 3" xfId="43685" xr:uid="{00000000-0005-0000-0000-0000AF380000}"/>
    <cellStyle name="Calculation 2 12 2 5 4" xfId="30696" xr:uid="{00000000-0005-0000-0000-0000B0380000}"/>
    <cellStyle name="Calculation 2 12 2 6" xfId="12862" xr:uid="{00000000-0005-0000-0000-0000B1380000}"/>
    <cellStyle name="Calculation 2 12 2 6 2" xfId="42245" xr:uid="{00000000-0005-0000-0000-0000B2380000}"/>
    <cellStyle name="Calculation 2 12 2 6 3" xfId="42693" xr:uid="{00000000-0005-0000-0000-0000B3380000}"/>
    <cellStyle name="Calculation 2 12 2 6 4" xfId="30514" xr:uid="{00000000-0005-0000-0000-0000B4380000}"/>
    <cellStyle name="Calculation 2 12 2 7" xfId="18984" xr:uid="{00000000-0005-0000-0000-0000B5380000}"/>
    <cellStyle name="Calculation 2 12 2 7 2" xfId="44521" xr:uid="{00000000-0005-0000-0000-0000B6380000}"/>
    <cellStyle name="Calculation 2 12 2 7 3" xfId="48427" xr:uid="{00000000-0005-0000-0000-0000B7380000}"/>
    <cellStyle name="Calculation 2 12 2 7 4" xfId="36608" xr:uid="{00000000-0005-0000-0000-0000B8380000}"/>
    <cellStyle name="Calculation 2 12 2 8" xfId="20231" xr:uid="{00000000-0005-0000-0000-0000B9380000}"/>
    <cellStyle name="Calculation 2 12 2 8 2" xfId="45768" xr:uid="{00000000-0005-0000-0000-0000BA380000}"/>
    <cellStyle name="Calculation 2 12 2 8 3" xfId="49674" xr:uid="{00000000-0005-0000-0000-0000BB380000}"/>
    <cellStyle name="Calculation 2 12 2 9" xfId="39723" xr:uid="{00000000-0005-0000-0000-0000BC380000}"/>
    <cellStyle name="Calculation 2 12 3" xfId="52945" xr:uid="{00000000-0005-0000-0000-0000BD380000}"/>
    <cellStyle name="Calculation 2 13" xfId="1446" xr:uid="{00000000-0005-0000-0000-0000BE380000}"/>
    <cellStyle name="Calculation 2 13 2" xfId="6960" xr:uid="{00000000-0005-0000-0000-0000BF380000}"/>
    <cellStyle name="Calculation 2 13 2 10" xfId="43658" xr:uid="{00000000-0005-0000-0000-0000C0380000}"/>
    <cellStyle name="Calculation 2 13 2 2" xfId="10490" xr:uid="{00000000-0005-0000-0000-0000C1380000}"/>
    <cellStyle name="Calculation 2 13 2 2 2" xfId="18283" xr:uid="{00000000-0005-0000-0000-0000C2380000}"/>
    <cellStyle name="Calculation 2 13 2 2 2 2" xfId="43830" xr:uid="{00000000-0005-0000-0000-0000C3380000}"/>
    <cellStyle name="Calculation 2 13 2 2 2 3" xfId="47739" xr:uid="{00000000-0005-0000-0000-0000C4380000}"/>
    <cellStyle name="Calculation 2 13 2 2 2 4" xfId="35920" xr:uid="{00000000-0005-0000-0000-0000C5380000}"/>
    <cellStyle name="Calculation 2 13 2 2 3" xfId="19437" xr:uid="{00000000-0005-0000-0000-0000C6380000}"/>
    <cellStyle name="Calculation 2 13 2 2 3 2" xfId="44974" xr:uid="{00000000-0005-0000-0000-0000C7380000}"/>
    <cellStyle name="Calculation 2 13 2 2 3 3" xfId="48880" xr:uid="{00000000-0005-0000-0000-0000C8380000}"/>
    <cellStyle name="Calculation 2 13 2 2 3 4" xfId="37002" xr:uid="{00000000-0005-0000-0000-0000C9380000}"/>
    <cellStyle name="Calculation 2 13 2 2 4" xfId="12656" xr:uid="{00000000-0005-0000-0000-0000CA380000}"/>
    <cellStyle name="Calculation 2 13 2 2 4 2" xfId="42135" xr:uid="{00000000-0005-0000-0000-0000CB380000}"/>
    <cellStyle name="Calculation 2 13 2 2 4 3" xfId="42564" xr:uid="{00000000-0005-0000-0000-0000CC380000}"/>
    <cellStyle name="Calculation 2 13 2 2 4 4" xfId="30321" xr:uid="{00000000-0005-0000-0000-0000CD380000}"/>
    <cellStyle name="Calculation 2 13 2 2 5" xfId="20696" xr:uid="{00000000-0005-0000-0000-0000CE380000}"/>
    <cellStyle name="Calculation 2 13 2 2 5 2" xfId="46233" xr:uid="{00000000-0005-0000-0000-0000CF380000}"/>
    <cellStyle name="Calculation 2 13 2 2 5 3" xfId="50139" xr:uid="{00000000-0005-0000-0000-0000D0380000}"/>
    <cellStyle name="Calculation 2 13 2 2 5 4" xfId="38102" xr:uid="{00000000-0005-0000-0000-0000D1380000}"/>
    <cellStyle name="Calculation 2 13 2 2 6" xfId="21349" xr:uid="{00000000-0005-0000-0000-0000D2380000}"/>
    <cellStyle name="Calculation 2 13 2 2 6 2" xfId="46886" xr:uid="{00000000-0005-0000-0000-0000D3380000}"/>
    <cellStyle name="Calculation 2 13 2 2 6 3" xfId="50792" xr:uid="{00000000-0005-0000-0000-0000D4380000}"/>
    <cellStyle name="Calculation 2 13 2 2 7" xfId="40689" xr:uid="{00000000-0005-0000-0000-0000D5380000}"/>
    <cellStyle name="Calculation 2 13 2 2 8" xfId="40500" xr:uid="{00000000-0005-0000-0000-0000D6380000}"/>
    <cellStyle name="Calculation 2 13 2 3" xfId="10785" xr:uid="{00000000-0005-0000-0000-0000D7380000}"/>
    <cellStyle name="Calculation 2 13 2 3 2" xfId="18578" xr:uid="{00000000-0005-0000-0000-0000D8380000}"/>
    <cellStyle name="Calculation 2 13 2 3 2 2" xfId="44125" xr:uid="{00000000-0005-0000-0000-0000D9380000}"/>
    <cellStyle name="Calculation 2 13 2 3 2 3" xfId="48034" xr:uid="{00000000-0005-0000-0000-0000DA380000}"/>
    <cellStyle name="Calculation 2 13 2 3 2 4" xfId="36215" xr:uid="{00000000-0005-0000-0000-0000DB380000}"/>
    <cellStyle name="Calculation 2 13 2 3 3" xfId="19282" xr:uid="{00000000-0005-0000-0000-0000DC380000}"/>
    <cellStyle name="Calculation 2 13 2 3 3 2" xfId="44819" xr:uid="{00000000-0005-0000-0000-0000DD380000}"/>
    <cellStyle name="Calculation 2 13 2 3 3 3" xfId="48725" xr:uid="{00000000-0005-0000-0000-0000DE380000}"/>
    <cellStyle name="Calculation 2 13 2 3 3 4" xfId="36860" xr:uid="{00000000-0005-0000-0000-0000DF380000}"/>
    <cellStyle name="Calculation 2 13 2 3 4" xfId="18924" xr:uid="{00000000-0005-0000-0000-0000E0380000}"/>
    <cellStyle name="Calculation 2 13 2 3 4 2" xfId="44461" xr:uid="{00000000-0005-0000-0000-0000E1380000}"/>
    <cellStyle name="Calculation 2 13 2 3 4 3" xfId="48367" xr:uid="{00000000-0005-0000-0000-0000E2380000}"/>
    <cellStyle name="Calculation 2 13 2 3 4 4" xfId="36552" xr:uid="{00000000-0005-0000-0000-0000E3380000}"/>
    <cellStyle name="Calculation 2 13 2 3 5" xfId="20991" xr:uid="{00000000-0005-0000-0000-0000E4380000}"/>
    <cellStyle name="Calculation 2 13 2 3 5 2" xfId="46528" xr:uid="{00000000-0005-0000-0000-0000E5380000}"/>
    <cellStyle name="Calculation 2 13 2 3 5 3" xfId="50434" xr:uid="{00000000-0005-0000-0000-0000E6380000}"/>
    <cellStyle name="Calculation 2 13 2 3 5 4" xfId="38397" xr:uid="{00000000-0005-0000-0000-0000E7380000}"/>
    <cellStyle name="Calculation 2 13 2 3 6" xfId="21644" xr:uid="{00000000-0005-0000-0000-0000E8380000}"/>
    <cellStyle name="Calculation 2 13 2 3 6 2" xfId="47181" xr:uid="{00000000-0005-0000-0000-0000E9380000}"/>
    <cellStyle name="Calculation 2 13 2 3 6 3" xfId="51087" xr:uid="{00000000-0005-0000-0000-0000EA380000}"/>
    <cellStyle name="Calculation 2 13 2 3 7" xfId="40984" xr:uid="{00000000-0005-0000-0000-0000EB380000}"/>
    <cellStyle name="Calculation 2 13 2 3 8" xfId="39192" xr:uid="{00000000-0005-0000-0000-0000EC380000}"/>
    <cellStyle name="Calculation 2 13 2 4" xfId="14748" xr:uid="{00000000-0005-0000-0000-0000ED380000}"/>
    <cellStyle name="Calculation 2 13 2 4 2" xfId="42864" xr:uid="{00000000-0005-0000-0000-0000EE380000}"/>
    <cellStyle name="Calculation 2 13 2 4 3" xfId="41954" xr:uid="{00000000-0005-0000-0000-0000EF380000}"/>
    <cellStyle name="Calculation 2 13 2 4 4" xfId="32383" xr:uid="{00000000-0005-0000-0000-0000F0380000}"/>
    <cellStyle name="Calculation 2 13 2 5" xfId="13048" xr:uid="{00000000-0005-0000-0000-0000F1380000}"/>
    <cellStyle name="Calculation 2 13 2 5 2" xfId="42269" xr:uid="{00000000-0005-0000-0000-0000F2380000}"/>
    <cellStyle name="Calculation 2 13 2 5 3" xfId="40543" xr:uid="{00000000-0005-0000-0000-0000F3380000}"/>
    <cellStyle name="Calculation 2 13 2 5 4" xfId="30697" xr:uid="{00000000-0005-0000-0000-0000F4380000}"/>
    <cellStyle name="Calculation 2 13 2 6" xfId="19158" xr:uid="{00000000-0005-0000-0000-0000F5380000}"/>
    <cellStyle name="Calculation 2 13 2 6 2" xfId="44695" xr:uid="{00000000-0005-0000-0000-0000F6380000}"/>
    <cellStyle name="Calculation 2 13 2 6 3" xfId="48601" xr:uid="{00000000-0005-0000-0000-0000F7380000}"/>
    <cellStyle name="Calculation 2 13 2 6 4" xfId="36750" xr:uid="{00000000-0005-0000-0000-0000F8380000}"/>
    <cellStyle name="Calculation 2 13 2 7" xfId="11482" xr:uid="{00000000-0005-0000-0000-0000F9380000}"/>
    <cellStyle name="Calculation 2 13 2 7 2" xfId="41493" xr:uid="{00000000-0005-0000-0000-0000FA380000}"/>
    <cellStyle name="Calculation 2 13 2 7 3" xfId="42718" xr:uid="{00000000-0005-0000-0000-0000FB380000}"/>
    <cellStyle name="Calculation 2 13 2 7 4" xfId="29197" xr:uid="{00000000-0005-0000-0000-0000FC380000}"/>
    <cellStyle name="Calculation 2 13 2 8" xfId="19170" xr:uid="{00000000-0005-0000-0000-0000FD380000}"/>
    <cellStyle name="Calculation 2 13 2 8 2" xfId="44707" xr:uid="{00000000-0005-0000-0000-0000FE380000}"/>
    <cellStyle name="Calculation 2 13 2 8 3" xfId="48613" xr:uid="{00000000-0005-0000-0000-0000FF380000}"/>
    <cellStyle name="Calculation 2 13 2 9" xfId="39724" xr:uid="{00000000-0005-0000-0000-000000390000}"/>
    <cellStyle name="Calculation 2 13 3" xfId="52946" xr:uid="{00000000-0005-0000-0000-000001390000}"/>
    <cellStyle name="Calculation 2 14" xfId="1447" xr:uid="{00000000-0005-0000-0000-000002390000}"/>
    <cellStyle name="Calculation 2 14 2" xfId="6961" xr:uid="{00000000-0005-0000-0000-000003390000}"/>
    <cellStyle name="Calculation 2 14 2 10" xfId="40516" xr:uid="{00000000-0005-0000-0000-000004390000}"/>
    <cellStyle name="Calculation 2 14 2 2" xfId="10491" xr:uid="{00000000-0005-0000-0000-000005390000}"/>
    <cellStyle name="Calculation 2 14 2 2 2" xfId="18284" xr:uid="{00000000-0005-0000-0000-000006390000}"/>
    <cellStyle name="Calculation 2 14 2 2 2 2" xfId="43831" xr:uid="{00000000-0005-0000-0000-000007390000}"/>
    <cellStyle name="Calculation 2 14 2 2 2 3" xfId="47740" xr:uid="{00000000-0005-0000-0000-000008390000}"/>
    <cellStyle name="Calculation 2 14 2 2 2 4" xfId="35921" xr:uid="{00000000-0005-0000-0000-000009390000}"/>
    <cellStyle name="Calculation 2 14 2 2 3" xfId="20044" xr:uid="{00000000-0005-0000-0000-00000A390000}"/>
    <cellStyle name="Calculation 2 14 2 2 3 2" xfId="45581" xr:uid="{00000000-0005-0000-0000-00000B390000}"/>
    <cellStyle name="Calculation 2 14 2 2 3 3" xfId="49487" xr:uid="{00000000-0005-0000-0000-00000C390000}"/>
    <cellStyle name="Calculation 2 14 2 2 3 4" xfId="37542" xr:uid="{00000000-0005-0000-0000-00000D390000}"/>
    <cellStyle name="Calculation 2 14 2 2 4" xfId="20072" xr:uid="{00000000-0005-0000-0000-00000E390000}"/>
    <cellStyle name="Calculation 2 14 2 2 4 2" xfId="45609" xr:uid="{00000000-0005-0000-0000-00000F390000}"/>
    <cellStyle name="Calculation 2 14 2 2 4 3" xfId="49515" xr:uid="{00000000-0005-0000-0000-000010390000}"/>
    <cellStyle name="Calculation 2 14 2 2 4 4" xfId="37566" xr:uid="{00000000-0005-0000-0000-000011390000}"/>
    <cellStyle name="Calculation 2 14 2 2 5" xfId="20697" xr:uid="{00000000-0005-0000-0000-000012390000}"/>
    <cellStyle name="Calculation 2 14 2 2 5 2" xfId="46234" xr:uid="{00000000-0005-0000-0000-000013390000}"/>
    <cellStyle name="Calculation 2 14 2 2 5 3" xfId="50140" xr:uid="{00000000-0005-0000-0000-000014390000}"/>
    <cellStyle name="Calculation 2 14 2 2 5 4" xfId="38103" xr:uid="{00000000-0005-0000-0000-000015390000}"/>
    <cellStyle name="Calculation 2 14 2 2 6" xfId="21350" xr:uid="{00000000-0005-0000-0000-000016390000}"/>
    <cellStyle name="Calculation 2 14 2 2 6 2" xfId="46887" xr:uid="{00000000-0005-0000-0000-000017390000}"/>
    <cellStyle name="Calculation 2 14 2 2 6 3" xfId="50793" xr:uid="{00000000-0005-0000-0000-000018390000}"/>
    <cellStyle name="Calculation 2 14 2 2 7" xfId="40690" xr:uid="{00000000-0005-0000-0000-000019390000}"/>
    <cellStyle name="Calculation 2 14 2 2 8" xfId="39610" xr:uid="{00000000-0005-0000-0000-00001A390000}"/>
    <cellStyle name="Calculation 2 14 2 3" xfId="10786" xr:uid="{00000000-0005-0000-0000-00001B390000}"/>
    <cellStyle name="Calculation 2 14 2 3 2" xfId="18579" xr:uid="{00000000-0005-0000-0000-00001C390000}"/>
    <cellStyle name="Calculation 2 14 2 3 2 2" xfId="44126" xr:uid="{00000000-0005-0000-0000-00001D390000}"/>
    <cellStyle name="Calculation 2 14 2 3 2 3" xfId="48035" xr:uid="{00000000-0005-0000-0000-00001E390000}"/>
    <cellStyle name="Calculation 2 14 2 3 2 4" xfId="36216" xr:uid="{00000000-0005-0000-0000-00001F390000}"/>
    <cellStyle name="Calculation 2 14 2 3 3" xfId="19891" xr:uid="{00000000-0005-0000-0000-000020390000}"/>
    <cellStyle name="Calculation 2 14 2 3 3 2" xfId="45428" xr:uid="{00000000-0005-0000-0000-000021390000}"/>
    <cellStyle name="Calculation 2 14 2 3 3 3" xfId="49334" xr:uid="{00000000-0005-0000-0000-000022390000}"/>
    <cellStyle name="Calculation 2 14 2 3 3 4" xfId="37405" xr:uid="{00000000-0005-0000-0000-000023390000}"/>
    <cellStyle name="Calculation 2 14 2 3 4" xfId="19504" xr:uid="{00000000-0005-0000-0000-000024390000}"/>
    <cellStyle name="Calculation 2 14 2 3 4 2" xfId="45041" xr:uid="{00000000-0005-0000-0000-000025390000}"/>
    <cellStyle name="Calculation 2 14 2 3 4 3" xfId="48947" xr:uid="{00000000-0005-0000-0000-000026390000}"/>
    <cellStyle name="Calculation 2 14 2 3 4 4" xfId="37053" xr:uid="{00000000-0005-0000-0000-000027390000}"/>
    <cellStyle name="Calculation 2 14 2 3 5" xfId="20992" xr:uid="{00000000-0005-0000-0000-000028390000}"/>
    <cellStyle name="Calculation 2 14 2 3 5 2" xfId="46529" xr:uid="{00000000-0005-0000-0000-000029390000}"/>
    <cellStyle name="Calculation 2 14 2 3 5 3" xfId="50435" xr:uid="{00000000-0005-0000-0000-00002A390000}"/>
    <cellStyle name="Calculation 2 14 2 3 5 4" xfId="38398" xr:uid="{00000000-0005-0000-0000-00002B390000}"/>
    <cellStyle name="Calculation 2 14 2 3 6" xfId="21645" xr:uid="{00000000-0005-0000-0000-00002C390000}"/>
    <cellStyle name="Calculation 2 14 2 3 6 2" xfId="47182" xr:uid="{00000000-0005-0000-0000-00002D390000}"/>
    <cellStyle name="Calculation 2 14 2 3 6 3" xfId="51088" xr:uid="{00000000-0005-0000-0000-00002E390000}"/>
    <cellStyle name="Calculation 2 14 2 3 7" xfId="40985" xr:uid="{00000000-0005-0000-0000-00002F390000}"/>
    <cellStyle name="Calculation 2 14 2 3 8" xfId="47592" xr:uid="{00000000-0005-0000-0000-000030390000}"/>
    <cellStyle name="Calculation 2 14 2 4" xfId="14749" xr:uid="{00000000-0005-0000-0000-000031390000}"/>
    <cellStyle name="Calculation 2 14 2 4 2" xfId="42865" xr:uid="{00000000-0005-0000-0000-000032390000}"/>
    <cellStyle name="Calculation 2 14 2 4 3" xfId="43308" xr:uid="{00000000-0005-0000-0000-000033390000}"/>
    <cellStyle name="Calculation 2 14 2 4 4" xfId="32384" xr:uid="{00000000-0005-0000-0000-000034390000}"/>
    <cellStyle name="Calculation 2 14 2 5" xfId="13049" xr:uid="{00000000-0005-0000-0000-000035390000}"/>
    <cellStyle name="Calculation 2 14 2 5 2" xfId="42270" xr:uid="{00000000-0005-0000-0000-000036390000}"/>
    <cellStyle name="Calculation 2 14 2 5 3" xfId="39653" xr:uid="{00000000-0005-0000-0000-000037390000}"/>
    <cellStyle name="Calculation 2 14 2 5 4" xfId="30698" xr:uid="{00000000-0005-0000-0000-000038390000}"/>
    <cellStyle name="Calculation 2 14 2 6" xfId="13244" xr:uid="{00000000-0005-0000-0000-000039390000}"/>
    <cellStyle name="Calculation 2 14 2 6 2" xfId="42425" xr:uid="{00000000-0005-0000-0000-00003A390000}"/>
    <cellStyle name="Calculation 2 14 2 6 3" xfId="42687" xr:uid="{00000000-0005-0000-0000-00003B390000}"/>
    <cellStyle name="Calculation 2 14 2 6 4" xfId="30889" xr:uid="{00000000-0005-0000-0000-00003C390000}"/>
    <cellStyle name="Calculation 2 14 2 7" xfId="12063" xr:uid="{00000000-0005-0000-0000-00003D390000}"/>
    <cellStyle name="Calculation 2 14 2 7 2" xfId="41816" xr:uid="{00000000-0005-0000-0000-00003E390000}"/>
    <cellStyle name="Calculation 2 14 2 7 3" xfId="40064" xr:uid="{00000000-0005-0000-0000-00003F390000}"/>
    <cellStyle name="Calculation 2 14 2 7 4" xfId="29741" xr:uid="{00000000-0005-0000-0000-000040390000}"/>
    <cellStyle name="Calculation 2 14 2 8" xfId="20501" xr:uid="{00000000-0005-0000-0000-000041390000}"/>
    <cellStyle name="Calculation 2 14 2 8 2" xfId="46038" xr:uid="{00000000-0005-0000-0000-000042390000}"/>
    <cellStyle name="Calculation 2 14 2 8 3" xfId="49944" xr:uid="{00000000-0005-0000-0000-000043390000}"/>
    <cellStyle name="Calculation 2 14 2 9" xfId="39725" xr:uid="{00000000-0005-0000-0000-000044390000}"/>
    <cellStyle name="Calculation 2 15" xfId="4150" xr:uid="{00000000-0005-0000-0000-000045390000}"/>
    <cellStyle name="Calculation 2 15 2" xfId="6962" xr:uid="{00000000-0005-0000-0000-000046390000}"/>
    <cellStyle name="Calculation 2 15 2 10" xfId="39626" xr:uid="{00000000-0005-0000-0000-000047390000}"/>
    <cellStyle name="Calculation 2 15 2 2" xfId="10492" xr:uid="{00000000-0005-0000-0000-000048390000}"/>
    <cellStyle name="Calculation 2 15 2 2 2" xfId="18285" xr:uid="{00000000-0005-0000-0000-000049390000}"/>
    <cellStyle name="Calculation 2 15 2 2 2 2" xfId="43832" xr:uid="{00000000-0005-0000-0000-00004A390000}"/>
    <cellStyle name="Calculation 2 15 2 2 2 3" xfId="47741" xr:uid="{00000000-0005-0000-0000-00004B390000}"/>
    <cellStyle name="Calculation 2 15 2 2 2 4" xfId="35922" xr:uid="{00000000-0005-0000-0000-00004C390000}"/>
    <cellStyle name="Calculation 2 15 2 2 3" xfId="19310" xr:uid="{00000000-0005-0000-0000-00004D390000}"/>
    <cellStyle name="Calculation 2 15 2 2 3 2" xfId="44847" xr:uid="{00000000-0005-0000-0000-00004E390000}"/>
    <cellStyle name="Calculation 2 15 2 2 3 3" xfId="48753" xr:uid="{00000000-0005-0000-0000-00004F390000}"/>
    <cellStyle name="Calculation 2 15 2 2 3 4" xfId="36888" xr:uid="{00000000-0005-0000-0000-000050390000}"/>
    <cellStyle name="Calculation 2 15 2 2 4" xfId="11651" xr:uid="{00000000-0005-0000-0000-000051390000}"/>
    <cellStyle name="Calculation 2 15 2 2 4 2" xfId="41662" xr:uid="{00000000-0005-0000-0000-000052390000}"/>
    <cellStyle name="Calculation 2 15 2 2 4 3" xfId="42710" xr:uid="{00000000-0005-0000-0000-000053390000}"/>
    <cellStyle name="Calculation 2 15 2 2 4 4" xfId="29350" xr:uid="{00000000-0005-0000-0000-000054390000}"/>
    <cellStyle name="Calculation 2 15 2 2 5" xfId="20698" xr:uid="{00000000-0005-0000-0000-000055390000}"/>
    <cellStyle name="Calculation 2 15 2 2 5 2" xfId="46235" xr:uid="{00000000-0005-0000-0000-000056390000}"/>
    <cellStyle name="Calculation 2 15 2 2 5 3" xfId="50141" xr:uid="{00000000-0005-0000-0000-000057390000}"/>
    <cellStyle name="Calculation 2 15 2 2 5 4" xfId="38104" xr:uid="{00000000-0005-0000-0000-000058390000}"/>
    <cellStyle name="Calculation 2 15 2 2 6" xfId="21351" xr:uid="{00000000-0005-0000-0000-000059390000}"/>
    <cellStyle name="Calculation 2 15 2 2 6 2" xfId="46888" xr:uid="{00000000-0005-0000-0000-00005A390000}"/>
    <cellStyle name="Calculation 2 15 2 2 6 3" xfId="50794" xr:uid="{00000000-0005-0000-0000-00005B390000}"/>
    <cellStyle name="Calculation 2 15 2 2 7" xfId="40691" xr:uid="{00000000-0005-0000-0000-00005C390000}"/>
    <cellStyle name="Calculation 2 15 2 2 8" xfId="42618" xr:uid="{00000000-0005-0000-0000-00005D390000}"/>
    <cellStyle name="Calculation 2 15 2 3" xfId="10787" xr:uid="{00000000-0005-0000-0000-00005E390000}"/>
    <cellStyle name="Calculation 2 15 2 3 2" xfId="18580" xr:uid="{00000000-0005-0000-0000-00005F390000}"/>
    <cellStyle name="Calculation 2 15 2 3 2 2" xfId="44127" xr:uid="{00000000-0005-0000-0000-000060390000}"/>
    <cellStyle name="Calculation 2 15 2 3 2 3" xfId="48036" xr:uid="{00000000-0005-0000-0000-000061390000}"/>
    <cellStyle name="Calculation 2 15 2 3 2 4" xfId="36217" xr:uid="{00000000-0005-0000-0000-000062390000}"/>
    <cellStyle name="Calculation 2 15 2 3 3" xfId="19114" xr:uid="{00000000-0005-0000-0000-000063390000}"/>
    <cellStyle name="Calculation 2 15 2 3 3 2" xfId="44651" xr:uid="{00000000-0005-0000-0000-000064390000}"/>
    <cellStyle name="Calculation 2 15 2 3 3 3" xfId="48557" xr:uid="{00000000-0005-0000-0000-000065390000}"/>
    <cellStyle name="Calculation 2 15 2 3 3 4" xfId="36709" xr:uid="{00000000-0005-0000-0000-000066390000}"/>
    <cellStyle name="Calculation 2 15 2 3 4" xfId="11670" xr:uid="{00000000-0005-0000-0000-000067390000}"/>
    <cellStyle name="Calculation 2 15 2 3 4 2" xfId="41681" xr:uid="{00000000-0005-0000-0000-000068390000}"/>
    <cellStyle name="Calculation 2 15 2 3 4 3" xfId="40561" xr:uid="{00000000-0005-0000-0000-000069390000}"/>
    <cellStyle name="Calculation 2 15 2 3 4 4" xfId="29366" xr:uid="{00000000-0005-0000-0000-00006A390000}"/>
    <cellStyle name="Calculation 2 15 2 3 5" xfId="20993" xr:uid="{00000000-0005-0000-0000-00006B390000}"/>
    <cellStyle name="Calculation 2 15 2 3 5 2" xfId="46530" xr:uid="{00000000-0005-0000-0000-00006C390000}"/>
    <cellStyle name="Calculation 2 15 2 3 5 3" xfId="50436" xr:uid="{00000000-0005-0000-0000-00006D390000}"/>
    <cellStyle name="Calculation 2 15 2 3 5 4" xfId="38399" xr:uid="{00000000-0005-0000-0000-00006E390000}"/>
    <cellStyle name="Calculation 2 15 2 3 6" xfId="21646" xr:uid="{00000000-0005-0000-0000-00006F390000}"/>
    <cellStyle name="Calculation 2 15 2 3 6 2" xfId="47183" xr:uid="{00000000-0005-0000-0000-000070390000}"/>
    <cellStyle name="Calculation 2 15 2 3 6 3" xfId="51089" xr:uid="{00000000-0005-0000-0000-000071390000}"/>
    <cellStyle name="Calculation 2 15 2 3 7" xfId="40986" xr:uid="{00000000-0005-0000-0000-000072390000}"/>
    <cellStyle name="Calculation 2 15 2 3 8" xfId="39191" xr:uid="{00000000-0005-0000-0000-000073390000}"/>
    <cellStyle name="Calculation 2 15 2 4" xfId="14750" xr:uid="{00000000-0005-0000-0000-000074390000}"/>
    <cellStyle name="Calculation 2 15 2 4 2" xfId="42866" xr:uid="{00000000-0005-0000-0000-000075390000}"/>
    <cellStyle name="Calculation 2 15 2 4 3" xfId="40167" xr:uid="{00000000-0005-0000-0000-000076390000}"/>
    <cellStyle name="Calculation 2 15 2 4 4" xfId="32385" xr:uid="{00000000-0005-0000-0000-000077390000}"/>
    <cellStyle name="Calculation 2 15 2 5" xfId="11270" xr:uid="{00000000-0005-0000-0000-000078390000}"/>
    <cellStyle name="Calculation 2 15 2 5 2" xfId="41317" xr:uid="{00000000-0005-0000-0000-000079390000}"/>
    <cellStyle name="Calculation 2 15 2 5 3" xfId="40471" xr:uid="{00000000-0005-0000-0000-00007A390000}"/>
    <cellStyle name="Calculation 2 15 2 5 4" xfId="28998" xr:uid="{00000000-0005-0000-0000-00007B390000}"/>
    <cellStyle name="Calculation 2 15 2 6" xfId="19967" xr:uid="{00000000-0005-0000-0000-00007C390000}"/>
    <cellStyle name="Calculation 2 15 2 6 2" xfId="45504" xr:uid="{00000000-0005-0000-0000-00007D390000}"/>
    <cellStyle name="Calculation 2 15 2 6 3" xfId="49410" xr:uid="{00000000-0005-0000-0000-00007E390000}"/>
    <cellStyle name="Calculation 2 15 2 6 4" xfId="37472" xr:uid="{00000000-0005-0000-0000-00007F390000}"/>
    <cellStyle name="Calculation 2 15 2 7" xfId="18887" xr:uid="{00000000-0005-0000-0000-000080390000}"/>
    <cellStyle name="Calculation 2 15 2 7 2" xfId="44424" xr:uid="{00000000-0005-0000-0000-000081390000}"/>
    <cellStyle name="Calculation 2 15 2 7 3" xfId="48330" xr:uid="{00000000-0005-0000-0000-000082390000}"/>
    <cellStyle name="Calculation 2 15 2 7 4" xfId="36523" xr:uid="{00000000-0005-0000-0000-000083390000}"/>
    <cellStyle name="Calculation 2 15 2 8" xfId="20625" xr:uid="{00000000-0005-0000-0000-000084390000}"/>
    <cellStyle name="Calculation 2 15 2 8 2" xfId="46162" xr:uid="{00000000-0005-0000-0000-000085390000}"/>
    <cellStyle name="Calculation 2 15 2 8 3" xfId="50068" xr:uid="{00000000-0005-0000-0000-000086390000}"/>
    <cellStyle name="Calculation 2 15 2 9" xfId="39726" xr:uid="{00000000-0005-0000-0000-000087390000}"/>
    <cellStyle name="Calculation 2 16" xfId="4151" xr:uid="{00000000-0005-0000-0000-000088390000}"/>
    <cellStyle name="Calculation 2 16 2" xfId="6963" xr:uid="{00000000-0005-0000-0000-000089390000}"/>
    <cellStyle name="Calculation 2 16 2 10" xfId="42634" xr:uid="{00000000-0005-0000-0000-00008A390000}"/>
    <cellStyle name="Calculation 2 16 2 2" xfId="10493" xr:uid="{00000000-0005-0000-0000-00008B390000}"/>
    <cellStyle name="Calculation 2 16 2 2 2" xfId="18286" xr:uid="{00000000-0005-0000-0000-00008C390000}"/>
    <cellStyle name="Calculation 2 16 2 2 2 2" xfId="43833" xr:uid="{00000000-0005-0000-0000-00008D390000}"/>
    <cellStyle name="Calculation 2 16 2 2 2 3" xfId="47742" xr:uid="{00000000-0005-0000-0000-00008E390000}"/>
    <cellStyle name="Calculation 2 16 2 2 2 4" xfId="35923" xr:uid="{00000000-0005-0000-0000-00008F390000}"/>
    <cellStyle name="Calculation 2 16 2 2 3" xfId="19919" xr:uid="{00000000-0005-0000-0000-000090390000}"/>
    <cellStyle name="Calculation 2 16 2 2 3 2" xfId="45456" xr:uid="{00000000-0005-0000-0000-000091390000}"/>
    <cellStyle name="Calculation 2 16 2 2 3 3" xfId="49362" xr:uid="{00000000-0005-0000-0000-000092390000}"/>
    <cellStyle name="Calculation 2 16 2 2 3 4" xfId="37433" xr:uid="{00000000-0005-0000-0000-000093390000}"/>
    <cellStyle name="Calculation 2 16 2 2 4" xfId="11076" xr:uid="{00000000-0005-0000-0000-000094390000}"/>
    <cellStyle name="Calculation 2 16 2 2 4 2" xfId="41275" xr:uid="{00000000-0005-0000-0000-000095390000}"/>
    <cellStyle name="Calculation 2 16 2 2 4 3" xfId="40366" xr:uid="{00000000-0005-0000-0000-000096390000}"/>
    <cellStyle name="Calculation 2 16 2 2 4 4" xfId="28806" xr:uid="{00000000-0005-0000-0000-000097390000}"/>
    <cellStyle name="Calculation 2 16 2 2 5" xfId="20699" xr:uid="{00000000-0005-0000-0000-000098390000}"/>
    <cellStyle name="Calculation 2 16 2 2 5 2" xfId="46236" xr:uid="{00000000-0005-0000-0000-000099390000}"/>
    <cellStyle name="Calculation 2 16 2 2 5 3" xfId="50142" xr:uid="{00000000-0005-0000-0000-00009A390000}"/>
    <cellStyle name="Calculation 2 16 2 2 5 4" xfId="38105" xr:uid="{00000000-0005-0000-0000-00009B390000}"/>
    <cellStyle name="Calculation 2 16 2 2 6" xfId="21352" xr:uid="{00000000-0005-0000-0000-00009C390000}"/>
    <cellStyle name="Calculation 2 16 2 2 6 2" xfId="46889" xr:uid="{00000000-0005-0000-0000-00009D390000}"/>
    <cellStyle name="Calculation 2 16 2 2 6 3" xfId="50795" xr:uid="{00000000-0005-0000-0000-00009E390000}"/>
    <cellStyle name="Calculation 2 16 2 2 7" xfId="40692" xr:uid="{00000000-0005-0000-0000-00009F390000}"/>
    <cellStyle name="Calculation 2 16 2 2 8" xfId="43531" xr:uid="{00000000-0005-0000-0000-0000A0390000}"/>
    <cellStyle name="Calculation 2 16 2 3" xfId="10788" xr:uid="{00000000-0005-0000-0000-0000A1390000}"/>
    <cellStyle name="Calculation 2 16 2 3 2" xfId="18581" xr:uid="{00000000-0005-0000-0000-0000A2390000}"/>
    <cellStyle name="Calculation 2 16 2 3 2 2" xfId="44128" xr:uid="{00000000-0005-0000-0000-0000A3390000}"/>
    <cellStyle name="Calculation 2 16 2 3 2 3" xfId="48037" xr:uid="{00000000-0005-0000-0000-0000A4390000}"/>
    <cellStyle name="Calculation 2 16 2 3 2 4" xfId="36218" xr:uid="{00000000-0005-0000-0000-0000A5390000}"/>
    <cellStyle name="Calculation 2 16 2 3 3" xfId="19728" xr:uid="{00000000-0005-0000-0000-0000A6390000}"/>
    <cellStyle name="Calculation 2 16 2 3 3 2" xfId="45265" xr:uid="{00000000-0005-0000-0000-0000A7390000}"/>
    <cellStyle name="Calculation 2 16 2 3 3 3" xfId="49171" xr:uid="{00000000-0005-0000-0000-0000A8390000}"/>
    <cellStyle name="Calculation 2 16 2 3 3 4" xfId="37255" xr:uid="{00000000-0005-0000-0000-0000A9390000}"/>
    <cellStyle name="Calculation 2 16 2 3 4" xfId="12826" xr:uid="{00000000-0005-0000-0000-0000AA390000}"/>
    <cellStyle name="Calculation 2 16 2 3 4 2" xfId="42229" xr:uid="{00000000-0005-0000-0000-0000AB390000}"/>
    <cellStyle name="Calculation 2 16 2 3 4 3" xfId="42560" xr:uid="{00000000-0005-0000-0000-0000AC390000}"/>
    <cellStyle name="Calculation 2 16 2 3 4 4" xfId="30481" xr:uid="{00000000-0005-0000-0000-0000AD390000}"/>
    <cellStyle name="Calculation 2 16 2 3 5" xfId="20994" xr:uid="{00000000-0005-0000-0000-0000AE390000}"/>
    <cellStyle name="Calculation 2 16 2 3 5 2" xfId="46531" xr:uid="{00000000-0005-0000-0000-0000AF390000}"/>
    <cellStyle name="Calculation 2 16 2 3 5 3" xfId="50437" xr:uid="{00000000-0005-0000-0000-0000B0390000}"/>
    <cellStyle name="Calculation 2 16 2 3 5 4" xfId="38400" xr:uid="{00000000-0005-0000-0000-0000B1390000}"/>
    <cellStyle name="Calculation 2 16 2 3 6" xfId="21647" xr:uid="{00000000-0005-0000-0000-0000B2390000}"/>
    <cellStyle name="Calculation 2 16 2 3 6 2" xfId="47184" xr:uid="{00000000-0005-0000-0000-0000B3390000}"/>
    <cellStyle name="Calculation 2 16 2 3 6 3" xfId="51090" xr:uid="{00000000-0005-0000-0000-0000B4390000}"/>
    <cellStyle name="Calculation 2 16 2 3 7" xfId="40987" xr:uid="{00000000-0005-0000-0000-0000B5390000}"/>
    <cellStyle name="Calculation 2 16 2 3 8" xfId="47516" xr:uid="{00000000-0005-0000-0000-0000B6390000}"/>
    <cellStyle name="Calculation 2 16 2 4" xfId="14751" xr:uid="{00000000-0005-0000-0000-0000B7390000}"/>
    <cellStyle name="Calculation 2 16 2 4 2" xfId="42867" xr:uid="{00000000-0005-0000-0000-0000B8390000}"/>
    <cellStyle name="Calculation 2 16 2 4 3" xfId="39281" xr:uid="{00000000-0005-0000-0000-0000B9390000}"/>
    <cellStyle name="Calculation 2 16 2 4 4" xfId="32386" xr:uid="{00000000-0005-0000-0000-0000BA390000}"/>
    <cellStyle name="Calculation 2 16 2 5" xfId="11271" xr:uid="{00000000-0005-0000-0000-0000BB390000}"/>
    <cellStyle name="Calculation 2 16 2 5 2" xfId="41318" xr:uid="{00000000-0005-0000-0000-0000BC390000}"/>
    <cellStyle name="Calculation 2 16 2 5 3" xfId="39582" xr:uid="{00000000-0005-0000-0000-0000BD390000}"/>
    <cellStyle name="Calculation 2 16 2 5 4" xfId="28999" xr:uid="{00000000-0005-0000-0000-0000BE390000}"/>
    <cellStyle name="Calculation 2 16 2 6" xfId="11593" xr:uid="{00000000-0005-0000-0000-0000BF390000}"/>
    <cellStyle name="Calculation 2 16 2 6 2" xfId="41604" xr:uid="{00000000-0005-0000-0000-0000C0390000}"/>
    <cellStyle name="Calculation 2 16 2 6 3" xfId="40072" xr:uid="{00000000-0005-0000-0000-0000C1390000}"/>
    <cellStyle name="Calculation 2 16 2 6 4" xfId="29300" xr:uid="{00000000-0005-0000-0000-0000C2390000}"/>
    <cellStyle name="Calculation 2 16 2 7" xfId="18906" xr:uid="{00000000-0005-0000-0000-0000C3390000}"/>
    <cellStyle name="Calculation 2 16 2 7 2" xfId="44443" xr:uid="{00000000-0005-0000-0000-0000C4390000}"/>
    <cellStyle name="Calculation 2 16 2 7 3" xfId="48349" xr:uid="{00000000-0005-0000-0000-0000C5390000}"/>
    <cellStyle name="Calculation 2 16 2 7 4" xfId="36539" xr:uid="{00000000-0005-0000-0000-0000C6390000}"/>
    <cellStyle name="Calculation 2 16 2 8" xfId="19180" xr:uid="{00000000-0005-0000-0000-0000C7390000}"/>
    <cellStyle name="Calculation 2 16 2 8 2" xfId="44717" xr:uid="{00000000-0005-0000-0000-0000C8390000}"/>
    <cellStyle name="Calculation 2 16 2 8 3" xfId="48623" xr:uid="{00000000-0005-0000-0000-0000C9390000}"/>
    <cellStyle name="Calculation 2 16 2 9" xfId="39727" xr:uid="{00000000-0005-0000-0000-0000CA390000}"/>
    <cellStyle name="Calculation 2 17" xfId="4152" xr:uid="{00000000-0005-0000-0000-0000CB390000}"/>
    <cellStyle name="Calculation 2 17 2" xfId="10456" xr:uid="{00000000-0005-0000-0000-0000CC390000}"/>
    <cellStyle name="Calculation 2 17 2 2" xfId="18249" xr:uid="{00000000-0005-0000-0000-0000CD390000}"/>
    <cellStyle name="Calculation 2 17 2 2 2" xfId="43796" xr:uid="{00000000-0005-0000-0000-0000CE390000}"/>
    <cellStyle name="Calculation 2 17 2 2 3" xfId="47705" xr:uid="{00000000-0005-0000-0000-0000CF390000}"/>
    <cellStyle name="Calculation 2 17 2 2 4" xfId="35886" xr:uid="{00000000-0005-0000-0000-0000D0390000}"/>
    <cellStyle name="Calculation 2 17 2 3" xfId="20048" xr:uid="{00000000-0005-0000-0000-0000D1390000}"/>
    <cellStyle name="Calculation 2 17 2 3 2" xfId="45585" xr:uid="{00000000-0005-0000-0000-0000D2390000}"/>
    <cellStyle name="Calculation 2 17 2 3 3" xfId="49491" xr:uid="{00000000-0005-0000-0000-0000D3390000}"/>
    <cellStyle name="Calculation 2 17 2 3 4" xfId="37546" xr:uid="{00000000-0005-0000-0000-0000D4390000}"/>
    <cellStyle name="Calculation 2 17 2 4" xfId="12602" xr:uid="{00000000-0005-0000-0000-0000D5390000}"/>
    <cellStyle name="Calculation 2 17 2 4 2" xfId="42087" xr:uid="{00000000-0005-0000-0000-0000D6390000}"/>
    <cellStyle name="Calculation 2 17 2 4 3" xfId="40194" xr:uid="{00000000-0005-0000-0000-0000D7390000}"/>
    <cellStyle name="Calculation 2 17 2 4 4" xfId="30269" xr:uid="{00000000-0005-0000-0000-0000D8390000}"/>
    <cellStyle name="Calculation 2 17 2 5" xfId="20662" xr:uid="{00000000-0005-0000-0000-0000D9390000}"/>
    <cellStyle name="Calculation 2 17 2 5 2" xfId="46199" xr:uid="{00000000-0005-0000-0000-0000DA390000}"/>
    <cellStyle name="Calculation 2 17 2 5 3" xfId="50105" xr:uid="{00000000-0005-0000-0000-0000DB390000}"/>
    <cellStyle name="Calculation 2 17 2 5 4" xfId="38068" xr:uid="{00000000-0005-0000-0000-0000DC390000}"/>
    <cellStyle name="Calculation 2 17 2 6" xfId="21315" xr:uid="{00000000-0005-0000-0000-0000DD390000}"/>
    <cellStyle name="Calculation 2 17 2 6 2" xfId="46852" xr:uid="{00000000-0005-0000-0000-0000DE390000}"/>
    <cellStyle name="Calculation 2 17 2 6 3" xfId="50758" xr:uid="{00000000-0005-0000-0000-0000DF390000}"/>
    <cellStyle name="Calculation 2 17 2 7" xfId="40655" xr:uid="{00000000-0005-0000-0000-0000E0390000}"/>
    <cellStyle name="Calculation 2 17 2 8" xfId="39404" xr:uid="{00000000-0005-0000-0000-0000E1390000}"/>
    <cellStyle name="Calculation 2 17 3" xfId="8458" xr:uid="{00000000-0005-0000-0000-0000E2390000}"/>
    <cellStyle name="Calculation 2 17 3 2" xfId="16254" xr:uid="{00000000-0005-0000-0000-0000E3390000}"/>
    <cellStyle name="Calculation 2 17 3 2 2" xfId="43405" xr:uid="{00000000-0005-0000-0000-0000E4390000}"/>
    <cellStyle name="Calculation 2 17 3 2 3" xfId="41278" xr:uid="{00000000-0005-0000-0000-0000E5390000}"/>
    <cellStyle name="Calculation 2 17 3 2 4" xfId="33889" xr:uid="{00000000-0005-0000-0000-0000E6390000}"/>
    <cellStyle name="Calculation 2 17 3 3" xfId="12128" xr:uid="{00000000-0005-0000-0000-0000E7390000}"/>
    <cellStyle name="Calculation 2 17 3 3 2" xfId="41873" xr:uid="{00000000-0005-0000-0000-0000E8390000}"/>
    <cellStyle name="Calculation 2 17 3 3 3" xfId="44417" xr:uid="{00000000-0005-0000-0000-0000E9390000}"/>
    <cellStyle name="Calculation 2 17 3 3 4" xfId="29801" xr:uid="{00000000-0005-0000-0000-0000EA390000}"/>
    <cellStyle name="Calculation 2 17 3 4" xfId="18972" xr:uid="{00000000-0005-0000-0000-0000EB390000}"/>
    <cellStyle name="Calculation 2 17 3 4 2" xfId="44509" xr:uid="{00000000-0005-0000-0000-0000EC390000}"/>
    <cellStyle name="Calculation 2 17 3 4 3" xfId="48415" xr:uid="{00000000-0005-0000-0000-0000ED390000}"/>
    <cellStyle name="Calculation 2 17 3 4 4" xfId="36597" xr:uid="{00000000-0005-0000-0000-0000EE390000}"/>
    <cellStyle name="Calculation 2 17 3 5" xfId="19801" xr:uid="{00000000-0005-0000-0000-0000EF390000}"/>
    <cellStyle name="Calculation 2 17 3 5 2" xfId="45338" xr:uid="{00000000-0005-0000-0000-0000F0390000}"/>
    <cellStyle name="Calculation 2 17 3 5 3" xfId="49244" xr:uid="{00000000-0005-0000-0000-0000F1390000}"/>
    <cellStyle name="Calculation 2 17 3 5 4" xfId="37324" xr:uid="{00000000-0005-0000-0000-0000F2390000}"/>
    <cellStyle name="Calculation 2 17 3 6" xfId="11601" xr:uid="{00000000-0005-0000-0000-0000F3390000}"/>
    <cellStyle name="Calculation 2 17 3 6 2" xfId="41612" xr:uid="{00000000-0005-0000-0000-0000F4390000}"/>
    <cellStyle name="Calculation 2 17 3 6 3" xfId="39571" xr:uid="{00000000-0005-0000-0000-0000F5390000}"/>
    <cellStyle name="Calculation 2 17 3 7" xfId="40267" xr:uid="{00000000-0005-0000-0000-0000F6390000}"/>
    <cellStyle name="Calculation 2 17 3 8" xfId="39235" xr:uid="{00000000-0005-0000-0000-0000F7390000}"/>
    <cellStyle name="Calculation 2 18" xfId="6956" xr:uid="{00000000-0005-0000-0000-0000F8390000}"/>
    <cellStyle name="Calculation 2 18 10" xfId="43777" xr:uid="{00000000-0005-0000-0000-0000F9390000}"/>
    <cellStyle name="Calculation 2 18 2" xfId="10486" xr:uid="{00000000-0005-0000-0000-0000FA390000}"/>
    <cellStyle name="Calculation 2 18 2 2" xfId="18279" xr:uid="{00000000-0005-0000-0000-0000FB390000}"/>
    <cellStyle name="Calculation 2 18 2 2 2" xfId="43826" xr:uid="{00000000-0005-0000-0000-0000FC390000}"/>
    <cellStyle name="Calculation 2 18 2 2 3" xfId="47735" xr:uid="{00000000-0005-0000-0000-0000FD390000}"/>
    <cellStyle name="Calculation 2 18 2 2 4" xfId="35916" xr:uid="{00000000-0005-0000-0000-0000FE390000}"/>
    <cellStyle name="Calculation 2 18 2 3" xfId="19766" xr:uid="{00000000-0005-0000-0000-0000FF390000}"/>
    <cellStyle name="Calculation 2 18 2 3 2" xfId="45303" xr:uid="{00000000-0005-0000-0000-0000003A0000}"/>
    <cellStyle name="Calculation 2 18 2 3 3" xfId="49209" xr:uid="{00000000-0005-0000-0000-0000013A0000}"/>
    <cellStyle name="Calculation 2 18 2 3 4" xfId="37293" xr:uid="{00000000-0005-0000-0000-0000023A0000}"/>
    <cellStyle name="Calculation 2 18 2 4" xfId="19262" xr:uid="{00000000-0005-0000-0000-0000033A0000}"/>
    <cellStyle name="Calculation 2 18 2 4 2" xfId="44799" xr:uid="{00000000-0005-0000-0000-0000043A0000}"/>
    <cellStyle name="Calculation 2 18 2 4 3" xfId="48705" xr:uid="{00000000-0005-0000-0000-0000053A0000}"/>
    <cellStyle name="Calculation 2 18 2 4 4" xfId="36840" xr:uid="{00000000-0005-0000-0000-0000063A0000}"/>
    <cellStyle name="Calculation 2 18 2 5" xfId="20692" xr:uid="{00000000-0005-0000-0000-0000073A0000}"/>
    <cellStyle name="Calculation 2 18 2 5 2" xfId="46229" xr:uid="{00000000-0005-0000-0000-0000083A0000}"/>
    <cellStyle name="Calculation 2 18 2 5 3" xfId="50135" xr:uid="{00000000-0005-0000-0000-0000093A0000}"/>
    <cellStyle name="Calculation 2 18 2 5 4" xfId="38098" xr:uid="{00000000-0005-0000-0000-00000A3A0000}"/>
    <cellStyle name="Calculation 2 18 2 6" xfId="21345" xr:uid="{00000000-0005-0000-0000-00000B3A0000}"/>
    <cellStyle name="Calculation 2 18 2 6 2" xfId="46882" xr:uid="{00000000-0005-0000-0000-00000C3A0000}"/>
    <cellStyle name="Calculation 2 18 2 6 3" xfId="50788" xr:uid="{00000000-0005-0000-0000-00000D3A0000}"/>
    <cellStyle name="Calculation 2 18 2 7" xfId="40685" xr:uid="{00000000-0005-0000-0000-00000E3A0000}"/>
    <cellStyle name="Calculation 2 18 2 8" xfId="40605" xr:uid="{00000000-0005-0000-0000-00000F3A0000}"/>
    <cellStyle name="Calculation 2 18 3" xfId="10781" xr:uid="{00000000-0005-0000-0000-0000103A0000}"/>
    <cellStyle name="Calculation 2 18 3 2" xfId="18574" xr:uid="{00000000-0005-0000-0000-0000113A0000}"/>
    <cellStyle name="Calculation 2 18 3 2 2" xfId="44121" xr:uid="{00000000-0005-0000-0000-0000123A0000}"/>
    <cellStyle name="Calculation 2 18 3 2 3" xfId="48030" xr:uid="{00000000-0005-0000-0000-0000133A0000}"/>
    <cellStyle name="Calculation 2 18 3 2 4" xfId="36211" xr:uid="{00000000-0005-0000-0000-0000143A0000}"/>
    <cellStyle name="Calculation 2 18 3 3" xfId="19597" xr:uid="{00000000-0005-0000-0000-0000153A0000}"/>
    <cellStyle name="Calculation 2 18 3 3 2" xfId="45134" xr:uid="{00000000-0005-0000-0000-0000163A0000}"/>
    <cellStyle name="Calculation 2 18 3 3 3" xfId="49040" xr:uid="{00000000-0005-0000-0000-0000173A0000}"/>
    <cellStyle name="Calculation 2 18 3 3 4" xfId="37137" xr:uid="{00000000-0005-0000-0000-0000183A0000}"/>
    <cellStyle name="Calculation 2 18 3 4" xfId="19054" xr:uid="{00000000-0005-0000-0000-0000193A0000}"/>
    <cellStyle name="Calculation 2 18 3 4 2" xfId="44591" xr:uid="{00000000-0005-0000-0000-00001A3A0000}"/>
    <cellStyle name="Calculation 2 18 3 4 3" xfId="48497" xr:uid="{00000000-0005-0000-0000-00001B3A0000}"/>
    <cellStyle name="Calculation 2 18 3 4 4" xfId="36654" xr:uid="{00000000-0005-0000-0000-00001C3A0000}"/>
    <cellStyle name="Calculation 2 18 3 5" xfId="20987" xr:uid="{00000000-0005-0000-0000-00001D3A0000}"/>
    <cellStyle name="Calculation 2 18 3 5 2" xfId="46524" xr:uid="{00000000-0005-0000-0000-00001E3A0000}"/>
    <cellStyle name="Calculation 2 18 3 5 3" xfId="50430" xr:uid="{00000000-0005-0000-0000-00001F3A0000}"/>
    <cellStyle name="Calculation 2 18 3 5 4" xfId="38393" xr:uid="{00000000-0005-0000-0000-0000203A0000}"/>
    <cellStyle name="Calculation 2 18 3 6" xfId="21640" xr:uid="{00000000-0005-0000-0000-0000213A0000}"/>
    <cellStyle name="Calculation 2 18 3 6 2" xfId="47177" xr:uid="{00000000-0005-0000-0000-0000223A0000}"/>
    <cellStyle name="Calculation 2 18 3 6 3" xfId="51083" xr:uid="{00000000-0005-0000-0000-0000233A0000}"/>
    <cellStyle name="Calculation 2 18 3 7" xfId="40980" xr:uid="{00000000-0005-0000-0000-0000243A0000}"/>
    <cellStyle name="Calculation 2 18 3 8" xfId="42064" xr:uid="{00000000-0005-0000-0000-0000253A0000}"/>
    <cellStyle name="Calculation 2 18 4" xfId="14744" xr:uid="{00000000-0005-0000-0000-0000263A0000}"/>
    <cellStyle name="Calculation 2 18 4 2" xfId="42860" xr:uid="{00000000-0005-0000-0000-0000273A0000}"/>
    <cellStyle name="Calculation 2 18 4 3" xfId="43309" xr:uid="{00000000-0005-0000-0000-0000283A0000}"/>
    <cellStyle name="Calculation 2 18 4 4" xfId="32379" xr:uid="{00000000-0005-0000-0000-0000293A0000}"/>
    <cellStyle name="Calculation 2 18 5" xfId="13045" xr:uid="{00000000-0005-0000-0000-00002A3A0000}"/>
    <cellStyle name="Calculation 2 18 5 2" xfId="42266" xr:uid="{00000000-0005-0000-0000-00002B3A0000}"/>
    <cellStyle name="Calculation 2 18 5 3" xfId="40055" xr:uid="{00000000-0005-0000-0000-00002C3A0000}"/>
    <cellStyle name="Calculation 2 18 5 4" xfId="30694" xr:uid="{00000000-0005-0000-0000-00002D3A0000}"/>
    <cellStyle name="Calculation 2 18 6" xfId="20222" xr:uid="{00000000-0005-0000-0000-00002E3A0000}"/>
    <cellStyle name="Calculation 2 18 6 2" xfId="45759" xr:uid="{00000000-0005-0000-0000-00002F3A0000}"/>
    <cellStyle name="Calculation 2 18 6 3" xfId="49665" xr:uid="{00000000-0005-0000-0000-0000303A0000}"/>
    <cellStyle name="Calculation 2 18 6 4" xfId="37699" xr:uid="{00000000-0005-0000-0000-0000313A0000}"/>
    <cellStyle name="Calculation 2 18 7" xfId="11627" xr:uid="{00000000-0005-0000-0000-0000323A0000}"/>
    <cellStyle name="Calculation 2 18 7 2" xfId="41638" xr:uid="{00000000-0005-0000-0000-0000333A0000}"/>
    <cellStyle name="Calculation 2 18 7 3" xfId="42022" xr:uid="{00000000-0005-0000-0000-0000343A0000}"/>
    <cellStyle name="Calculation 2 18 7 4" xfId="29330" xr:uid="{00000000-0005-0000-0000-0000353A0000}"/>
    <cellStyle name="Calculation 2 18 8" xfId="12062" xr:uid="{00000000-0005-0000-0000-0000363A0000}"/>
    <cellStyle name="Calculation 2 18 8 2" xfId="41815" xr:uid="{00000000-0005-0000-0000-0000373A0000}"/>
    <cellStyle name="Calculation 2 18 8 3" xfId="43204" xr:uid="{00000000-0005-0000-0000-0000383A0000}"/>
    <cellStyle name="Calculation 2 18 9" xfId="39720" xr:uid="{00000000-0005-0000-0000-0000393A0000}"/>
    <cellStyle name="Calculation 2 19" xfId="1442" xr:uid="{00000000-0005-0000-0000-00003A3A0000}"/>
    <cellStyle name="Calculation 2 2" xfId="1448" xr:uid="{00000000-0005-0000-0000-00003B3A0000}"/>
    <cellStyle name="Calculation 2 2 2" xfId="1449" xr:uid="{00000000-0005-0000-0000-00003C3A0000}"/>
    <cellStyle name="Calculation 2 2 2 2" xfId="6965" xr:uid="{00000000-0005-0000-0000-00003D3A0000}"/>
    <cellStyle name="Calculation 2 2 2 2 10" xfId="40410" xr:uid="{00000000-0005-0000-0000-00003E3A0000}"/>
    <cellStyle name="Calculation 2 2 2 2 2" xfId="10495" xr:uid="{00000000-0005-0000-0000-00003F3A0000}"/>
    <cellStyle name="Calculation 2 2 2 2 2 2" xfId="18288" xr:uid="{00000000-0005-0000-0000-0000403A0000}"/>
    <cellStyle name="Calculation 2 2 2 2 2 2 2" xfId="43835" xr:uid="{00000000-0005-0000-0000-0000413A0000}"/>
    <cellStyle name="Calculation 2 2 2 2 2 2 3" xfId="47744" xr:uid="{00000000-0005-0000-0000-0000423A0000}"/>
    <cellStyle name="Calculation 2 2 2 2 2 2 4" xfId="35925" xr:uid="{00000000-0005-0000-0000-0000433A0000}"/>
    <cellStyle name="Calculation 2 2 2 2 2 3" xfId="19764" xr:uid="{00000000-0005-0000-0000-0000443A0000}"/>
    <cellStyle name="Calculation 2 2 2 2 2 3 2" xfId="45301" xr:uid="{00000000-0005-0000-0000-0000453A0000}"/>
    <cellStyle name="Calculation 2 2 2 2 2 3 3" xfId="49207" xr:uid="{00000000-0005-0000-0000-0000463A0000}"/>
    <cellStyle name="Calculation 2 2 2 2 2 3 4" xfId="37291" xr:uid="{00000000-0005-0000-0000-0000473A0000}"/>
    <cellStyle name="Calculation 2 2 2 2 2 4" xfId="19207" xr:uid="{00000000-0005-0000-0000-0000483A0000}"/>
    <cellStyle name="Calculation 2 2 2 2 2 4 2" xfId="44744" xr:uid="{00000000-0005-0000-0000-0000493A0000}"/>
    <cellStyle name="Calculation 2 2 2 2 2 4 3" xfId="48650" xr:uid="{00000000-0005-0000-0000-00004A3A0000}"/>
    <cellStyle name="Calculation 2 2 2 2 2 4 4" xfId="36792" xr:uid="{00000000-0005-0000-0000-00004B3A0000}"/>
    <cellStyle name="Calculation 2 2 2 2 2 5" xfId="20701" xr:uid="{00000000-0005-0000-0000-00004C3A0000}"/>
    <cellStyle name="Calculation 2 2 2 2 2 5 2" xfId="46238" xr:uid="{00000000-0005-0000-0000-00004D3A0000}"/>
    <cellStyle name="Calculation 2 2 2 2 2 5 3" xfId="50144" xr:uid="{00000000-0005-0000-0000-00004E3A0000}"/>
    <cellStyle name="Calculation 2 2 2 2 2 5 4" xfId="38107" xr:uid="{00000000-0005-0000-0000-00004F3A0000}"/>
    <cellStyle name="Calculation 2 2 2 2 2 6" xfId="21354" xr:uid="{00000000-0005-0000-0000-0000503A0000}"/>
    <cellStyle name="Calculation 2 2 2 2 2 6 2" xfId="46891" xr:uid="{00000000-0005-0000-0000-0000513A0000}"/>
    <cellStyle name="Calculation 2 2 2 2 2 6 3" xfId="50797" xr:uid="{00000000-0005-0000-0000-0000523A0000}"/>
    <cellStyle name="Calculation 2 2 2 2 2 7" xfId="40694" xr:uid="{00000000-0005-0000-0000-0000533A0000}"/>
    <cellStyle name="Calculation 2 2 2 2 2 8" xfId="39506" xr:uid="{00000000-0005-0000-0000-0000543A0000}"/>
    <cellStyle name="Calculation 2 2 2 2 3" xfId="10790" xr:uid="{00000000-0005-0000-0000-0000553A0000}"/>
    <cellStyle name="Calculation 2 2 2 2 3 2" xfId="18583" xr:uid="{00000000-0005-0000-0000-0000563A0000}"/>
    <cellStyle name="Calculation 2 2 2 2 3 2 2" xfId="44130" xr:uid="{00000000-0005-0000-0000-0000573A0000}"/>
    <cellStyle name="Calculation 2 2 2 2 3 2 3" xfId="48039" xr:uid="{00000000-0005-0000-0000-0000583A0000}"/>
    <cellStyle name="Calculation 2 2 2 2 3 2 4" xfId="36220" xr:uid="{00000000-0005-0000-0000-0000593A0000}"/>
    <cellStyle name="Calculation 2 2 2 2 3 3" xfId="13334" xr:uid="{00000000-0005-0000-0000-00005A3A0000}"/>
    <cellStyle name="Calculation 2 2 2 2 3 3 2" xfId="42504" xr:uid="{00000000-0005-0000-0000-00005B3A0000}"/>
    <cellStyle name="Calculation 2 2 2 2 3 3 3" xfId="40050" xr:uid="{00000000-0005-0000-0000-00005C3A0000}"/>
    <cellStyle name="Calculation 2 2 2 2 3 3 4" xfId="30974" xr:uid="{00000000-0005-0000-0000-00005D3A0000}"/>
    <cellStyle name="Calculation 2 2 2 2 3 4" xfId="19519" xr:uid="{00000000-0005-0000-0000-00005E3A0000}"/>
    <cellStyle name="Calculation 2 2 2 2 3 4 2" xfId="45056" xr:uid="{00000000-0005-0000-0000-00005F3A0000}"/>
    <cellStyle name="Calculation 2 2 2 2 3 4 3" xfId="48962" xr:uid="{00000000-0005-0000-0000-0000603A0000}"/>
    <cellStyle name="Calculation 2 2 2 2 3 4 4" xfId="37067" xr:uid="{00000000-0005-0000-0000-0000613A0000}"/>
    <cellStyle name="Calculation 2 2 2 2 3 5" xfId="20996" xr:uid="{00000000-0005-0000-0000-0000623A0000}"/>
    <cellStyle name="Calculation 2 2 2 2 3 5 2" xfId="46533" xr:uid="{00000000-0005-0000-0000-0000633A0000}"/>
    <cellStyle name="Calculation 2 2 2 2 3 5 3" xfId="50439" xr:uid="{00000000-0005-0000-0000-0000643A0000}"/>
    <cellStyle name="Calculation 2 2 2 2 3 5 4" xfId="38402" xr:uid="{00000000-0005-0000-0000-0000653A0000}"/>
    <cellStyle name="Calculation 2 2 2 2 3 6" xfId="21649" xr:uid="{00000000-0005-0000-0000-0000663A0000}"/>
    <cellStyle name="Calculation 2 2 2 2 3 6 2" xfId="47186" xr:uid="{00000000-0005-0000-0000-0000673A0000}"/>
    <cellStyle name="Calculation 2 2 2 2 3 6 3" xfId="51092" xr:uid="{00000000-0005-0000-0000-0000683A0000}"/>
    <cellStyle name="Calculation 2 2 2 2 3 7" xfId="40989" xr:uid="{00000000-0005-0000-0000-0000693A0000}"/>
    <cellStyle name="Calculation 2 2 2 2 3 8" xfId="43235" xr:uid="{00000000-0005-0000-0000-00006A3A0000}"/>
    <cellStyle name="Calculation 2 2 2 2 4" xfId="14753" xr:uid="{00000000-0005-0000-0000-00006B3A0000}"/>
    <cellStyle name="Calculation 2 2 2 2 4 2" xfId="42869" xr:uid="{00000000-0005-0000-0000-00006C3A0000}"/>
    <cellStyle name="Calculation 2 2 2 2 4 3" xfId="43307" xr:uid="{00000000-0005-0000-0000-00006D3A0000}"/>
    <cellStyle name="Calculation 2 2 2 2 4 4" xfId="32388" xr:uid="{00000000-0005-0000-0000-00006E3A0000}"/>
    <cellStyle name="Calculation 2 2 2 2 5" xfId="11272" xr:uid="{00000000-0005-0000-0000-00006F3A0000}"/>
    <cellStyle name="Calculation 2 2 2 2 5 2" xfId="41319" xr:uid="{00000000-0005-0000-0000-0000703A0000}"/>
    <cellStyle name="Calculation 2 2 2 2 5 3" xfId="42590" xr:uid="{00000000-0005-0000-0000-0000713A0000}"/>
    <cellStyle name="Calculation 2 2 2 2 5 4" xfId="29000" xr:uid="{00000000-0005-0000-0000-0000723A0000}"/>
    <cellStyle name="Calculation 2 2 2 2 6" xfId="19203" xr:uid="{00000000-0005-0000-0000-0000733A0000}"/>
    <cellStyle name="Calculation 2 2 2 2 6 2" xfId="44740" xr:uid="{00000000-0005-0000-0000-0000743A0000}"/>
    <cellStyle name="Calculation 2 2 2 2 6 3" xfId="48646" xr:uid="{00000000-0005-0000-0000-0000753A0000}"/>
    <cellStyle name="Calculation 2 2 2 2 6 4" xfId="36788" xr:uid="{00000000-0005-0000-0000-0000763A0000}"/>
    <cellStyle name="Calculation 2 2 2 2 7" xfId="20481" xr:uid="{00000000-0005-0000-0000-0000773A0000}"/>
    <cellStyle name="Calculation 2 2 2 2 7 2" xfId="46018" xr:uid="{00000000-0005-0000-0000-0000783A0000}"/>
    <cellStyle name="Calculation 2 2 2 2 7 3" xfId="49924" xr:uid="{00000000-0005-0000-0000-0000793A0000}"/>
    <cellStyle name="Calculation 2 2 2 2 7 4" xfId="37931" xr:uid="{00000000-0005-0000-0000-00007A3A0000}"/>
    <cellStyle name="Calculation 2 2 2 2 8" xfId="19017" xr:uid="{00000000-0005-0000-0000-00007B3A0000}"/>
    <cellStyle name="Calculation 2 2 2 2 8 2" xfId="44554" xr:uid="{00000000-0005-0000-0000-00007C3A0000}"/>
    <cellStyle name="Calculation 2 2 2 2 8 3" xfId="48460" xr:uid="{00000000-0005-0000-0000-00007D3A0000}"/>
    <cellStyle name="Calculation 2 2 2 2 9" xfId="39729" xr:uid="{00000000-0005-0000-0000-00007E3A0000}"/>
    <cellStyle name="Calculation 2 2 2 3" xfId="52948" xr:uid="{00000000-0005-0000-0000-00007F3A0000}"/>
    <cellStyle name="Calculation 2 2 3" xfId="1450" xr:uid="{00000000-0005-0000-0000-0000803A0000}"/>
    <cellStyle name="Calculation 2 2 3 2" xfId="6966" xr:uid="{00000000-0005-0000-0000-0000813A0000}"/>
    <cellStyle name="Calculation 2 2 3 2 10" xfId="39522" xr:uid="{00000000-0005-0000-0000-0000823A0000}"/>
    <cellStyle name="Calculation 2 2 3 2 2" xfId="10496" xr:uid="{00000000-0005-0000-0000-0000833A0000}"/>
    <cellStyle name="Calculation 2 2 3 2 2 2" xfId="18289" xr:uid="{00000000-0005-0000-0000-0000843A0000}"/>
    <cellStyle name="Calculation 2 2 3 2 2 2 2" xfId="43836" xr:uid="{00000000-0005-0000-0000-0000853A0000}"/>
    <cellStyle name="Calculation 2 2 3 2 2 2 3" xfId="47745" xr:uid="{00000000-0005-0000-0000-0000863A0000}"/>
    <cellStyle name="Calculation 2 2 3 2 2 2 4" xfId="35926" xr:uid="{00000000-0005-0000-0000-0000873A0000}"/>
    <cellStyle name="Calculation 2 2 3 2 2 3" xfId="11490" xr:uid="{00000000-0005-0000-0000-0000883A0000}"/>
    <cellStyle name="Calculation 2 2 3 2 2 3 2" xfId="41501" xr:uid="{00000000-0005-0000-0000-0000893A0000}"/>
    <cellStyle name="Calculation 2 2 3 2 2 3 3" xfId="42029" xr:uid="{00000000-0005-0000-0000-00008A3A0000}"/>
    <cellStyle name="Calculation 2 2 3 2 2 3 4" xfId="29205" xr:uid="{00000000-0005-0000-0000-00008B3A0000}"/>
    <cellStyle name="Calculation 2 2 3 2 2 4" xfId="11682" xr:uid="{00000000-0005-0000-0000-00008C3A0000}"/>
    <cellStyle name="Calculation 2 2 3 2 2 4 2" xfId="41693" xr:uid="{00000000-0005-0000-0000-00008D3A0000}"/>
    <cellStyle name="Calculation 2 2 3 2 2 4 3" xfId="40205" xr:uid="{00000000-0005-0000-0000-00008E3A0000}"/>
    <cellStyle name="Calculation 2 2 3 2 2 4 4" xfId="29375" xr:uid="{00000000-0005-0000-0000-00008F3A0000}"/>
    <cellStyle name="Calculation 2 2 3 2 2 5" xfId="20702" xr:uid="{00000000-0005-0000-0000-0000903A0000}"/>
    <cellStyle name="Calculation 2 2 3 2 2 5 2" xfId="46239" xr:uid="{00000000-0005-0000-0000-0000913A0000}"/>
    <cellStyle name="Calculation 2 2 3 2 2 5 3" xfId="50145" xr:uid="{00000000-0005-0000-0000-0000923A0000}"/>
    <cellStyle name="Calculation 2 2 3 2 2 5 4" xfId="38108" xr:uid="{00000000-0005-0000-0000-0000933A0000}"/>
    <cellStyle name="Calculation 2 2 3 2 2 6" xfId="21355" xr:uid="{00000000-0005-0000-0000-0000943A0000}"/>
    <cellStyle name="Calculation 2 2 3 2 2 6 2" xfId="46892" xr:uid="{00000000-0005-0000-0000-0000953A0000}"/>
    <cellStyle name="Calculation 2 2 3 2 2 6 3" xfId="50798" xr:uid="{00000000-0005-0000-0000-0000963A0000}"/>
    <cellStyle name="Calculation 2 2 3 2 2 7" xfId="40695" xr:uid="{00000000-0005-0000-0000-0000973A0000}"/>
    <cellStyle name="Calculation 2 2 3 2 2 8" xfId="42080" xr:uid="{00000000-0005-0000-0000-0000983A0000}"/>
    <cellStyle name="Calculation 2 2 3 2 3" xfId="10791" xr:uid="{00000000-0005-0000-0000-0000993A0000}"/>
    <cellStyle name="Calculation 2 2 3 2 3 2" xfId="18584" xr:uid="{00000000-0005-0000-0000-00009A3A0000}"/>
    <cellStyle name="Calculation 2 2 3 2 3 2 2" xfId="44131" xr:uid="{00000000-0005-0000-0000-00009B3A0000}"/>
    <cellStyle name="Calculation 2 2 3 2 3 2 3" xfId="48040" xr:uid="{00000000-0005-0000-0000-00009C3A0000}"/>
    <cellStyle name="Calculation 2 2 3 2 3 2 4" xfId="36221" xr:uid="{00000000-0005-0000-0000-00009D3A0000}"/>
    <cellStyle name="Calculation 2 2 3 2 3 3" xfId="19596" xr:uid="{00000000-0005-0000-0000-00009E3A0000}"/>
    <cellStyle name="Calculation 2 2 3 2 3 3 2" xfId="45133" xr:uid="{00000000-0005-0000-0000-00009F3A0000}"/>
    <cellStyle name="Calculation 2 2 3 2 3 3 3" xfId="49039" xr:uid="{00000000-0005-0000-0000-0000A03A0000}"/>
    <cellStyle name="Calculation 2 2 3 2 3 3 4" xfId="37136" xr:uid="{00000000-0005-0000-0000-0000A13A0000}"/>
    <cellStyle name="Calculation 2 2 3 2 3 4" xfId="11559" xr:uid="{00000000-0005-0000-0000-0000A23A0000}"/>
    <cellStyle name="Calculation 2 2 3 2 3 4 2" xfId="41570" xr:uid="{00000000-0005-0000-0000-0000A33A0000}"/>
    <cellStyle name="Calculation 2 2 3 2 3 4 3" xfId="40567" xr:uid="{00000000-0005-0000-0000-0000A43A0000}"/>
    <cellStyle name="Calculation 2 2 3 2 3 4 4" xfId="29271" xr:uid="{00000000-0005-0000-0000-0000A53A0000}"/>
    <cellStyle name="Calculation 2 2 3 2 3 5" xfId="20997" xr:uid="{00000000-0005-0000-0000-0000A63A0000}"/>
    <cellStyle name="Calculation 2 2 3 2 3 5 2" xfId="46534" xr:uid="{00000000-0005-0000-0000-0000A73A0000}"/>
    <cellStyle name="Calculation 2 2 3 2 3 5 3" xfId="50440" xr:uid="{00000000-0005-0000-0000-0000A83A0000}"/>
    <cellStyle name="Calculation 2 2 3 2 3 5 4" xfId="38403" xr:uid="{00000000-0005-0000-0000-0000A93A0000}"/>
    <cellStyle name="Calculation 2 2 3 2 3 6" xfId="21650" xr:uid="{00000000-0005-0000-0000-0000AA3A0000}"/>
    <cellStyle name="Calculation 2 2 3 2 3 6 2" xfId="47187" xr:uid="{00000000-0005-0000-0000-0000AB3A0000}"/>
    <cellStyle name="Calculation 2 2 3 2 3 6 3" xfId="51093" xr:uid="{00000000-0005-0000-0000-0000AC3A0000}"/>
    <cellStyle name="Calculation 2 2 3 2 3 7" xfId="40990" xr:uid="{00000000-0005-0000-0000-0000AD3A0000}"/>
    <cellStyle name="Calculation 2 2 3 2 3 8" xfId="40094" xr:uid="{00000000-0005-0000-0000-0000AE3A0000}"/>
    <cellStyle name="Calculation 2 2 3 2 4" xfId="14754" xr:uid="{00000000-0005-0000-0000-0000AF3A0000}"/>
    <cellStyle name="Calculation 2 2 3 2 4 2" xfId="42870" xr:uid="{00000000-0005-0000-0000-0000B03A0000}"/>
    <cellStyle name="Calculation 2 2 3 2 4 3" xfId="40166" xr:uid="{00000000-0005-0000-0000-0000B13A0000}"/>
    <cellStyle name="Calculation 2 2 3 2 4 4" xfId="32389" xr:uid="{00000000-0005-0000-0000-0000B23A0000}"/>
    <cellStyle name="Calculation 2 2 3 2 5" xfId="13050" xr:uid="{00000000-0005-0000-0000-0000B33A0000}"/>
    <cellStyle name="Calculation 2 2 3 2 5 2" xfId="42271" xr:uid="{00000000-0005-0000-0000-0000B43A0000}"/>
    <cellStyle name="Calculation 2 2 3 2 5 3" xfId="42690" xr:uid="{00000000-0005-0000-0000-0000B53A0000}"/>
    <cellStyle name="Calculation 2 2 3 2 5 4" xfId="30699" xr:uid="{00000000-0005-0000-0000-0000B63A0000}"/>
    <cellStyle name="Calculation 2 2 3 2 6" xfId="20185" xr:uid="{00000000-0005-0000-0000-0000B73A0000}"/>
    <cellStyle name="Calculation 2 2 3 2 6 2" xfId="45722" xr:uid="{00000000-0005-0000-0000-0000B83A0000}"/>
    <cellStyle name="Calculation 2 2 3 2 6 3" xfId="49628" xr:uid="{00000000-0005-0000-0000-0000B93A0000}"/>
    <cellStyle name="Calculation 2 2 3 2 6 4" xfId="37670" xr:uid="{00000000-0005-0000-0000-0000BA3A0000}"/>
    <cellStyle name="Calculation 2 2 3 2 7" xfId="20235" xr:uid="{00000000-0005-0000-0000-0000BB3A0000}"/>
    <cellStyle name="Calculation 2 2 3 2 7 2" xfId="45772" xr:uid="{00000000-0005-0000-0000-0000BC3A0000}"/>
    <cellStyle name="Calculation 2 2 3 2 7 3" xfId="49678" xr:uid="{00000000-0005-0000-0000-0000BD3A0000}"/>
    <cellStyle name="Calculation 2 2 3 2 7 4" xfId="37708" xr:uid="{00000000-0005-0000-0000-0000BE3A0000}"/>
    <cellStyle name="Calculation 2 2 3 2 8" xfId="20065" xr:uid="{00000000-0005-0000-0000-0000BF3A0000}"/>
    <cellStyle name="Calculation 2 2 3 2 8 2" xfId="45602" xr:uid="{00000000-0005-0000-0000-0000C03A0000}"/>
    <cellStyle name="Calculation 2 2 3 2 8 3" xfId="49508" xr:uid="{00000000-0005-0000-0000-0000C13A0000}"/>
    <cellStyle name="Calculation 2 2 3 2 9" xfId="39730" xr:uid="{00000000-0005-0000-0000-0000C23A0000}"/>
    <cellStyle name="Calculation 2 2 3 3" xfId="22886" xr:uid="{00000000-0005-0000-0000-0000C33A0000}"/>
    <cellStyle name="Calculation 2 2 3 3 2" xfId="47611" xr:uid="{00000000-0005-0000-0000-0000C43A0000}"/>
    <cellStyle name="Calculation 2 2 3 3 3" xfId="51426" xr:uid="{00000000-0005-0000-0000-0000C53A0000}"/>
    <cellStyle name="Calculation 2 2 3 3 4" xfId="39031" xr:uid="{00000000-0005-0000-0000-0000C63A0000}"/>
    <cellStyle name="Calculation 2 2 3 4" xfId="23054" xr:uid="{00000000-0005-0000-0000-0000C73A0000}"/>
    <cellStyle name="Calculation 2 2 3 4 2" xfId="47655" xr:uid="{00000000-0005-0000-0000-0000C83A0000}"/>
    <cellStyle name="Calculation 2 2 3 4 3" xfId="51466" xr:uid="{00000000-0005-0000-0000-0000C93A0000}"/>
    <cellStyle name="Calculation 2 2 3 5" xfId="52949" xr:uid="{00000000-0005-0000-0000-0000CA3A0000}"/>
    <cellStyle name="Calculation 2 2 4" xfId="4153" xr:uid="{00000000-0005-0000-0000-0000CB3A0000}"/>
    <cellStyle name="Calculation 2 2 4 2" xfId="6967" xr:uid="{00000000-0005-0000-0000-0000CC3A0000}"/>
    <cellStyle name="Calculation 2 2 4 2 10" xfId="42203" xr:uid="{00000000-0005-0000-0000-0000CD3A0000}"/>
    <cellStyle name="Calculation 2 2 4 2 2" xfId="10497" xr:uid="{00000000-0005-0000-0000-0000CE3A0000}"/>
    <cellStyle name="Calculation 2 2 4 2 2 2" xfId="18290" xr:uid="{00000000-0005-0000-0000-0000CF3A0000}"/>
    <cellStyle name="Calculation 2 2 4 2 2 2 2" xfId="43837" xr:uid="{00000000-0005-0000-0000-0000D03A0000}"/>
    <cellStyle name="Calculation 2 2 4 2 2 2 3" xfId="47746" xr:uid="{00000000-0005-0000-0000-0000D13A0000}"/>
    <cellStyle name="Calculation 2 2 4 2 2 2 4" xfId="35927" xr:uid="{00000000-0005-0000-0000-0000D23A0000}"/>
    <cellStyle name="Calculation 2 2 4 2 2 3" xfId="19765" xr:uid="{00000000-0005-0000-0000-0000D33A0000}"/>
    <cellStyle name="Calculation 2 2 4 2 2 3 2" xfId="45302" xr:uid="{00000000-0005-0000-0000-0000D43A0000}"/>
    <cellStyle name="Calculation 2 2 4 2 2 3 3" xfId="49208" xr:uid="{00000000-0005-0000-0000-0000D53A0000}"/>
    <cellStyle name="Calculation 2 2 4 2 2 3 4" xfId="37292" xr:uid="{00000000-0005-0000-0000-0000D63A0000}"/>
    <cellStyle name="Calculation 2 2 4 2 2 4" xfId="19067" xr:uid="{00000000-0005-0000-0000-0000D73A0000}"/>
    <cellStyle name="Calculation 2 2 4 2 2 4 2" xfId="44604" xr:uid="{00000000-0005-0000-0000-0000D83A0000}"/>
    <cellStyle name="Calculation 2 2 4 2 2 4 3" xfId="48510" xr:uid="{00000000-0005-0000-0000-0000D93A0000}"/>
    <cellStyle name="Calculation 2 2 4 2 2 4 4" xfId="36666" xr:uid="{00000000-0005-0000-0000-0000DA3A0000}"/>
    <cellStyle name="Calculation 2 2 4 2 2 5" xfId="20703" xr:uid="{00000000-0005-0000-0000-0000DB3A0000}"/>
    <cellStyle name="Calculation 2 2 4 2 2 5 2" xfId="46240" xr:uid="{00000000-0005-0000-0000-0000DC3A0000}"/>
    <cellStyle name="Calculation 2 2 4 2 2 5 3" xfId="50146" xr:uid="{00000000-0005-0000-0000-0000DD3A0000}"/>
    <cellStyle name="Calculation 2 2 4 2 2 5 4" xfId="38109" xr:uid="{00000000-0005-0000-0000-0000DE3A0000}"/>
    <cellStyle name="Calculation 2 2 4 2 2 6" xfId="21356" xr:uid="{00000000-0005-0000-0000-0000DF3A0000}"/>
    <cellStyle name="Calculation 2 2 4 2 2 6 2" xfId="46893" xr:uid="{00000000-0005-0000-0000-0000E03A0000}"/>
    <cellStyle name="Calculation 2 2 4 2 2 6 3" xfId="50799" xr:uid="{00000000-0005-0000-0000-0000E13A0000}"/>
    <cellStyle name="Calculation 2 2 4 2 2 7" xfId="40696" xr:uid="{00000000-0005-0000-0000-0000E23A0000}"/>
    <cellStyle name="Calculation 2 2 4 2 2 8" xfId="43399" xr:uid="{00000000-0005-0000-0000-0000E33A0000}"/>
    <cellStyle name="Calculation 2 2 4 2 3" xfId="10792" xr:uid="{00000000-0005-0000-0000-0000E43A0000}"/>
    <cellStyle name="Calculation 2 2 4 2 3 2" xfId="18585" xr:uid="{00000000-0005-0000-0000-0000E53A0000}"/>
    <cellStyle name="Calculation 2 2 4 2 3 2 2" xfId="44132" xr:uid="{00000000-0005-0000-0000-0000E63A0000}"/>
    <cellStyle name="Calculation 2 2 4 2 3 2 3" xfId="48041" xr:uid="{00000000-0005-0000-0000-0000E73A0000}"/>
    <cellStyle name="Calculation 2 2 4 2 3 2 4" xfId="36222" xr:uid="{00000000-0005-0000-0000-0000E83A0000}"/>
    <cellStyle name="Calculation 2 2 4 2 3 3" xfId="20149" xr:uid="{00000000-0005-0000-0000-0000E93A0000}"/>
    <cellStyle name="Calculation 2 2 4 2 3 3 2" xfId="45686" xr:uid="{00000000-0005-0000-0000-0000EA3A0000}"/>
    <cellStyle name="Calculation 2 2 4 2 3 3 3" xfId="49592" xr:uid="{00000000-0005-0000-0000-0000EB3A0000}"/>
    <cellStyle name="Calculation 2 2 4 2 3 3 4" xfId="37635" xr:uid="{00000000-0005-0000-0000-0000EC3A0000}"/>
    <cellStyle name="Calculation 2 2 4 2 3 4" xfId="11543" xr:uid="{00000000-0005-0000-0000-0000ED3A0000}"/>
    <cellStyle name="Calculation 2 2 4 2 3 4 2" xfId="41554" xr:uid="{00000000-0005-0000-0000-0000EE3A0000}"/>
    <cellStyle name="Calculation 2 2 4 2 3 4 3" xfId="43601" xr:uid="{00000000-0005-0000-0000-0000EF3A0000}"/>
    <cellStyle name="Calculation 2 2 4 2 3 4 4" xfId="29257" xr:uid="{00000000-0005-0000-0000-0000F03A0000}"/>
    <cellStyle name="Calculation 2 2 4 2 3 5" xfId="20998" xr:uid="{00000000-0005-0000-0000-0000F13A0000}"/>
    <cellStyle name="Calculation 2 2 4 2 3 5 2" xfId="46535" xr:uid="{00000000-0005-0000-0000-0000F23A0000}"/>
    <cellStyle name="Calculation 2 2 4 2 3 5 3" xfId="50441" xr:uid="{00000000-0005-0000-0000-0000F33A0000}"/>
    <cellStyle name="Calculation 2 2 4 2 3 5 4" xfId="38404" xr:uid="{00000000-0005-0000-0000-0000F43A0000}"/>
    <cellStyle name="Calculation 2 2 4 2 3 6" xfId="21651" xr:uid="{00000000-0005-0000-0000-0000F53A0000}"/>
    <cellStyle name="Calculation 2 2 4 2 3 6 2" xfId="47188" xr:uid="{00000000-0005-0000-0000-0000F63A0000}"/>
    <cellStyle name="Calculation 2 2 4 2 3 6 3" xfId="51094" xr:uid="{00000000-0005-0000-0000-0000F73A0000}"/>
    <cellStyle name="Calculation 2 2 4 2 3 7" xfId="40991" xr:uid="{00000000-0005-0000-0000-0000F83A0000}"/>
    <cellStyle name="Calculation 2 2 4 2 3 8" xfId="42842" xr:uid="{00000000-0005-0000-0000-0000F93A0000}"/>
    <cellStyle name="Calculation 2 2 4 2 4" xfId="14755" xr:uid="{00000000-0005-0000-0000-0000FA3A0000}"/>
    <cellStyle name="Calculation 2 2 4 2 4 2" xfId="42871" xr:uid="{00000000-0005-0000-0000-0000FB3A0000}"/>
    <cellStyle name="Calculation 2 2 4 2 4 3" xfId="39280" xr:uid="{00000000-0005-0000-0000-0000FC3A0000}"/>
    <cellStyle name="Calculation 2 2 4 2 4 4" xfId="32390" xr:uid="{00000000-0005-0000-0000-0000FD3A0000}"/>
    <cellStyle name="Calculation 2 2 4 2 5" xfId="13051" xr:uid="{00000000-0005-0000-0000-0000FE3A0000}"/>
    <cellStyle name="Calculation 2 2 4 2 5 2" xfId="42272" xr:uid="{00000000-0005-0000-0000-0000FF3A0000}"/>
    <cellStyle name="Calculation 2 2 4 2 5 3" xfId="43578" xr:uid="{00000000-0005-0000-0000-0000003B0000}"/>
    <cellStyle name="Calculation 2 2 4 2 5 4" xfId="30700" xr:uid="{00000000-0005-0000-0000-0000013B0000}"/>
    <cellStyle name="Calculation 2 2 4 2 6" xfId="19342" xr:uid="{00000000-0005-0000-0000-0000023B0000}"/>
    <cellStyle name="Calculation 2 2 4 2 6 2" xfId="44879" xr:uid="{00000000-0005-0000-0000-0000033B0000}"/>
    <cellStyle name="Calculation 2 2 4 2 6 3" xfId="48785" xr:uid="{00000000-0005-0000-0000-0000043B0000}"/>
    <cellStyle name="Calculation 2 2 4 2 6 4" xfId="36914" xr:uid="{00000000-0005-0000-0000-0000053B0000}"/>
    <cellStyle name="Calculation 2 2 4 2 7" xfId="19261" xr:uid="{00000000-0005-0000-0000-0000063B0000}"/>
    <cellStyle name="Calculation 2 2 4 2 7 2" xfId="44798" xr:uid="{00000000-0005-0000-0000-0000073B0000}"/>
    <cellStyle name="Calculation 2 2 4 2 7 3" xfId="48704" xr:uid="{00000000-0005-0000-0000-0000083B0000}"/>
    <cellStyle name="Calculation 2 2 4 2 7 4" xfId="36839" xr:uid="{00000000-0005-0000-0000-0000093B0000}"/>
    <cellStyle name="Calculation 2 2 4 2 8" xfId="18947" xr:uid="{00000000-0005-0000-0000-00000A3B0000}"/>
    <cellStyle name="Calculation 2 2 4 2 8 2" xfId="44484" xr:uid="{00000000-0005-0000-0000-00000B3B0000}"/>
    <cellStyle name="Calculation 2 2 4 2 8 3" xfId="48390" xr:uid="{00000000-0005-0000-0000-00000C3B0000}"/>
    <cellStyle name="Calculation 2 2 4 2 9" xfId="39731" xr:uid="{00000000-0005-0000-0000-00000D3B0000}"/>
    <cellStyle name="Calculation 2 2 4 3" xfId="22293" xr:uid="{00000000-0005-0000-0000-00000E3B0000}"/>
    <cellStyle name="Calculation 2 2 4 3 2" xfId="47524" xr:uid="{00000000-0005-0000-0000-00000F3B0000}"/>
    <cellStyle name="Calculation 2 2 4 3 3" xfId="51379" xr:uid="{00000000-0005-0000-0000-0000103B0000}"/>
    <cellStyle name="Calculation 2 2 4 3 4" xfId="38830" xr:uid="{00000000-0005-0000-0000-0000113B0000}"/>
    <cellStyle name="Calculation 2 2 4 4" xfId="23031" xr:uid="{00000000-0005-0000-0000-0000123B0000}"/>
    <cellStyle name="Calculation 2 2 4 4 2" xfId="47632" xr:uid="{00000000-0005-0000-0000-0000133B0000}"/>
    <cellStyle name="Calculation 2 2 4 4 3" xfId="51443" xr:uid="{00000000-0005-0000-0000-0000143B0000}"/>
    <cellStyle name="Calculation 2 2 4 5" xfId="52950" xr:uid="{00000000-0005-0000-0000-0000153B0000}"/>
    <cellStyle name="Calculation 2 2 5" xfId="4154" xr:uid="{00000000-0005-0000-0000-0000163B0000}"/>
    <cellStyle name="Calculation 2 2 5 2" xfId="10457" xr:uid="{00000000-0005-0000-0000-0000173B0000}"/>
    <cellStyle name="Calculation 2 2 5 2 2" xfId="18250" xr:uid="{00000000-0005-0000-0000-0000183B0000}"/>
    <cellStyle name="Calculation 2 2 5 2 2 2" xfId="43797" xr:uid="{00000000-0005-0000-0000-0000193B0000}"/>
    <cellStyle name="Calculation 2 2 5 2 2 3" xfId="47706" xr:uid="{00000000-0005-0000-0000-00001A3B0000}"/>
    <cellStyle name="Calculation 2 2 5 2 2 4" xfId="35887" xr:uid="{00000000-0005-0000-0000-00001B3B0000}"/>
    <cellStyle name="Calculation 2 2 5 2 3" xfId="19314" xr:uid="{00000000-0005-0000-0000-00001C3B0000}"/>
    <cellStyle name="Calculation 2 2 5 2 3 2" xfId="44851" xr:uid="{00000000-0005-0000-0000-00001D3B0000}"/>
    <cellStyle name="Calculation 2 2 5 2 3 3" xfId="48757" xr:uid="{00000000-0005-0000-0000-00001E3B0000}"/>
    <cellStyle name="Calculation 2 2 5 2 3 4" xfId="36892" xr:uid="{00000000-0005-0000-0000-00001F3B0000}"/>
    <cellStyle name="Calculation 2 2 5 2 4" xfId="11573" xr:uid="{00000000-0005-0000-0000-0000203B0000}"/>
    <cellStyle name="Calculation 2 2 5 2 4 2" xfId="41584" xr:uid="{00000000-0005-0000-0000-0000213B0000}"/>
    <cellStyle name="Calculation 2 2 5 2 4 3" xfId="42819" xr:uid="{00000000-0005-0000-0000-0000223B0000}"/>
    <cellStyle name="Calculation 2 2 5 2 4 4" xfId="29284" xr:uid="{00000000-0005-0000-0000-0000233B0000}"/>
    <cellStyle name="Calculation 2 2 5 2 5" xfId="20663" xr:uid="{00000000-0005-0000-0000-0000243B0000}"/>
    <cellStyle name="Calculation 2 2 5 2 5 2" xfId="46200" xr:uid="{00000000-0005-0000-0000-0000253B0000}"/>
    <cellStyle name="Calculation 2 2 5 2 5 3" xfId="50106" xr:uid="{00000000-0005-0000-0000-0000263B0000}"/>
    <cellStyle name="Calculation 2 2 5 2 5 4" xfId="38069" xr:uid="{00000000-0005-0000-0000-0000273B0000}"/>
    <cellStyle name="Calculation 2 2 5 2 6" xfId="21316" xr:uid="{00000000-0005-0000-0000-0000283B0000}"/>
    <cellStyle name="Calculation 2 2 5 2 6 2" xfId="46853" xr:uid="{00000000-0005-0000-0000-0000293B0000}"/>
    <cellStyle name="Calculation 2 2 5 2 6 3" xfId="50759" xr:uid="{00000000-0005-0000-0000-00002A3B0000}"/>
    <cellStyle name="Calculation 2 2 5 2 7" xfId="40656" xr:uid="{00000000-0005-0000-0000-00002B3B0000}"/>
    <cellStyle name="Calculation 2 2 5 2 8" xfId="41446" xr:uid="{00000000-0005-0000-0000-00002C3B0000}"/>
    <cellStyle name="Calculation 2 2 5 3" xfId="8459" xr:uid="{00000000-0005-0000-0000-00002D3B0000}"/>
    <cellStyle name="Calculation 2 2 5 3 2" xfId="16255" xr:uid="{00000000-0005-0000-0000-00002E3B0000}"/>
    <cellStyle name="Calculation 2 2 5 3 2 2" xfId="43406" xr:uid="{00000000-0005-0000-0000-00002F3B0000}"/>
    <cellStyle name="Calculation 2 2 5 3 2 3" xfId="43174" xr:uid="{00000000-0005-0000-0000-0000303B0000}"/>
    <cellStyle name="Calculation 2 2 5 3 2 4" xfId="33890" xr:uid="{00000000-0005-0000-0000-0000313B0000}"/>
    <cellStyle name="Calculation 2 2 5 3 3" xfId="12129" xr:uid="{00000000-0005-0000-0000-0000323B0000}"/>
    <cellStyle name="Calculation 2 2 5 3 3 2" xfId="41874" xr:uid="{00000000-0005-0000-0000-0000333B0000}"/>
    <cellStyle name="Calculation 2 2 5 3 3 3" xfId="47495" xr:uid="{00000000-0005-0000-0000-0000343B0000}"/>
    <cellStyle name="Calculation 2 2 5 3 3 4" xfId="29802" xr:uid="{00000000-0005-0000-0000-0000353B0000}"/>
    <cellStyle name="Calculation 2 2 5 3 4" xfId="20310" xr:uid="{00000000-0005-0000-0000-0000363B0000}"/>
    <cellStyle name="Calculation 2 2 5 3 4 2" xfId="45847" xr:uid="{00000000-0005-0000-0000-0000373B0000}"/>
    <cellStyle name="Calculation 2 2 5 3 4 3" xfId="49753" xr:uid="{00000000-0005-0000-0000-0000383B0000}"/>
    <cellStyle name="Calculation 2 2 5 3 4 4" xfId="37775" xr:uid="{00000000-0005-0000-0000-0000393B0000}"/>
    <cellStyle name="Calculation 2 2 5 3 5" xfId="18908" xr:uid="{00000000-0005-0000-0000-00003A3B0000}"/>
    <cellStyle name="Calculation 2 2 5 3 5 2" xfId="44445" xr:uid="{00000000-0005-0000-0000-00003B3B0000}"/>
    <cellStyle name="Calculation 2 2 5 3 5 3" xfId="48351" xr:uid="{00000000-0005-0000-0000-00003C3B0000}"/>
    <cellStyle name="Calculation 2 2 5 3 5 4" xfId="36540" xr:uid="{00000000-0005-0000-0000-00003D3B0000}"/>
    <cellStyle name="Calculation 2 2 5 3 6" xfId="13294" xr:uid="{00000000-0005-0000-0000-00003E3B0000}"/>
    <cellStyle name="Calculation 2 2 5 3 6 2" xfId="42464" xr:uid="{00000000-0005-0000-0000-00003F3B0000}"/>
    <cellStyle name="Calculation 2 2 5 3 6 3" xfId="40173" xr:uid="{00000000-0005-0000-0000-0000403B0000}"/>
    <cellStyle name="Calculation 2 2 5 3 7" xfId="40268" xr:uid="{00000000-0005-0000-0000-0000413B0000}"/>
    <cellStyle name="Calculation 2 2 5 3 8" xfId="39234" xr:uid="{00000000-0005-0000-0000-0000423B0000}"/>
    <cellStyle name="Calculation 2 2 6" xfId="6964" xr:uid="{00000000-0005-0000-0000-0000433B0000}"/>
    <cellStyle name="Calculation 2 2 6 10" xfId="43547" xr:uid="{00000000-0005-0000-0000-0000443B0000}"/>
    <cellStyle name="Calculation 2 2 6 2" xfId="10494" xr:uid="{00000000-0005-0000-0000-0000453B0000}"/>
    <cellStyle name="Calculation 2 2 6 2 2" xfId="18287" xr:uid="{00000000-0005-0000-0000-0000463B0000}"/>
    <cellStyle name="Calculation 2 2 6 2 2 2" xfId="43834" xr:uid="{00000000-0005-0000-0000-0000473B0000}"/>
    <cellStyle name="Calculation 2 2 6 2 2 3" xfId="47743" xr:uid="{00000000-0005-0000-0000-0000483B0000}"/>
    <cellStyle name="Calculation 2 2 6 2 2 4" xfId="35924" xr:uid="{00000000-0005-0000-0000-0000493B0000}"/>
    <cellStyle name="Calculation 2 2 6 2 3" xfId="19142" xr:uid="{00000000-0005-0000-0000-00004A3B0000}"/>
    <cellStyle name="Calculation 2 2 6 2 3 2" xfId="44679" xr:uid="{00000000-0005-0000-0000-00004B3B0000}"/>
    <cellStyle name="Calculation 2 2 6 2 3 3" xfId="48585" xr:uid="{00000000-0005-0000-0000-00004C3B0000}"/>
    <cellStyle name="Calculation 2 2 6 2 3 4" xfId="36737" xr:uid="{00000000-0005-0000-0000-00004D3B0000}"/>
    <cellStyle name="Calculation 2 2 6 2 4" xfId="20260" xr:uid="{00000000-0005-0000-0000-00004E3B0000}"/>
    <cellStyle name="Calculation 2 2 6 2 4 2" xfId="45797" xr:uid="{00000000-0005-0000-0000-00004F3B0000}"/>
    <cellStyle name="Calculation 2 2 6 2 4 3" xfId="49703" xr:uid="{00000000-0005-0000-0000-0000503B0000}"/>
    <cellStyle name="Calculation 2 2 6 2 4 4" xfId="37731" xr:uid="{00000000-0005-0000-0000-0000513B0000}"/>
    <cellStyle name="Calculation 2 2 6 2 5" xfId="20700" xr:uid="{00000000-0005-0000-0000-0000523B0000}"/>
    <cellStyle name="Calculation 2 2 6 2 5 2" xfId="46237" xr:uid="{00000000-0005-0000-0000-0000533B0000}"/>
    <cellStyle name="Calculation 2 2 6 2 5 3" xfId="50143" xr:uid="{00000000-0005-0000-0000-0000543B0000}"/>
    <cellStyle name="Calculation 2 2 6 2 5 4" xfId="38106" xr:uid="{00000000-0005-0000-0000-0000553B0000}"/>
    <cellStyle name="Calculation 2 2 6 2 6" xfId="21353" xr:uid="{00000000-0005-0000-0000-0000563B0000}"/>
    <cellStyle name="Calculation 2 2 6 2 6 2" xfId="46890" xr:uid="{00000000-0005-0000-0000-0000573B0000}"/>
    <cellStyle name="Calculation 2 2 6 2 6 3" xfId="50796" xr:uid="{00000000-0005-0000-0000-0000583B0000}"/>
    <cellStyle name="Calculation 2 2 6 2 7" xfId="40693" xr:uid="{00000000-0005-0000-0000-0000593B0000}"/>
    <cellStyle name="Calculation 2 2 6 2 8" xfId="40394" xr:uid="{00000000-0005-0000-0000-00005A3B0000}"/>
    <cellStyle name="Calculation 2 2 6 3" xfId="10789" xr:uid="{00000000-0005-0000-0000-00005B3B0000}"/>
    <cellStyle name="Calculation 2 2 6 3 2" xfId="18582" xr:uid="{00000000-0005-0000-0000-00005C3B0000}"/>
    <cellStyle name="Calculation 2 2 6 3 2 2" xfId="44129" xr:uid="{00000000-0005-0000-0000-00005D3B0000}"/>
    <cellStyle name="Calculation 2 2 6 3 2 3" xfId="48038" xr:uid="{00000000-0005-0000-0000-00005E3B0000}"/>
    <cellStyle name="Calculation 2 2 6 3 2 4" xfId="36219" xr:uid="{00000000-0005-0000-0000-00005F3B0000}"/>
    <cellStyle name="Calculation 2 2 6 3 3" xfId="11511" xr:uid="{00000000-0005-0000-0000-0000603B0000}"/>
    <cellStyle name="Calculation 2 2 6 3 3 2" xfId="41522" xr:uid="{00000000-0005-0000-0000-0000613B0000}"/>
    <cellStyle name="Calculation 2 2 6 3 3 3" xfId="43351" xr:uid="{00000000-0005-0000-0000-0000623B0000}"/>
    <cellStyle name="Calculation 2 2 6 3 3 4" xfId="29226" xr:uid="{00000000-0005-0000-0000-0000633B0000}"/>
    <cellStyle name="Calculation 2 2 6 3 4" xfId="12699" xr:uid="{00000000-0005-0000-0000-0000643B0000}"/>
    <cellStyle name="Calculation 2 2 6 3 4 2" xfId="42178" xr:uid="{00000000-0005-0000-0000-0000653B0000}"/>
    <cellStyle name="Calculation 2 2 6 3 4 3" xfId="39313" xr:uid="{00000000-0005-0000-0000-0000663B0000}"/>
    <cellStyle name="Calculation 2 2 6 3 4 4" xfId="30359" xr:uid="{00000000-0005-0000-0000-0000673B0000}"/>
    <cellStyle name="Calculation 2 2 6 3 5" xfId="20995" xr:uid="{00000000-0005-0000-0000-0000683B0000}"/>
    <cellStyle name="Calculation 2 2 6 3 5 2" xfId="46532" xr:uid="{00000000-0005-0000-0000-0000693B0000}"/>
    <cellStyle name="Calculation 2 2 6 3 5 3" xfId="50438" xr:uid="{00000000-0005-0000-0000-00006A3B0000}"/>
    <cellStyle name="Calculation 2 2 6 3 5 4" xfId="38401" xr:uid="{00000000-0005-0000-0000-00006B3B0000}"/>
    <cellStyle name="Calculation 2 2 6 3 6" xfId="21648" xr:uid="{00000000-0005-0000-0000-00006C3B0000}"/>
    <cellStyle name="Calculation 2 2 6 3 6 2" xfId="47185" xr:uid="{00000000-0005-0000-0000-00006D3B0000}"/>
    <cellStyle name="Calculation 2 2 6 3 6 3" xfId="51091" xr:uid="{00000000-0005-0000-0000-00006E3B0000}"/>
    <cellStyle name="Calculation 2 2 6 3 7" xfId="40988" xr:uid="{00000000-0005-0000-0000-00006F3B0000}"/>
    <cellStyle name="Calculation 2 2 6 3 8" xfId="41432" xr:uid="{00000000-0005-0000-0000-0000703B0000}"/>
    <cellStyle name="Calculation 2 2 6 4" xfId="14752" xr:uid="{00000000-0005-0000-0000-0000713B0000}"/>
    <cellStyle name="Calculation 2 2 6 4 2" xfId="42868" xr:uid="{00000000-0005-0000-0000-0000723B0000}"/>
    <cellStyle name="Calculation 2 2 6 4 3" xfId="41953" xr:uid="{00000000-0005-0000-0000-0000733B0000}"/>
    <cellStyle name="Calculation 2 2 6 4 4" xfId="32387" xr:uid="{00000000-0005-0000-0000-0000743B0000}"/>
    <cellStyle name="Calculation 2 2 6 5" xfId="11273" xr:uid="{00000000-0005-0000-0000-0000753B0000}"/>
    <cellStyle name="Calculation 2 2 6 5 2" xfId="41320" xr:uid="{00000000-0005-0000-0000-0000763B0000}"/>
    <cellStyle name="Calculation 2 2 6 5 3" xfId="43503" xr:uid="{00000000-0005-0000-0000-0000773B0000}"/>
    <cellStyle name="Calculation 2 2 6 5 4" xfId="29001" xr:uid="{00000000-0005-0000-0000-0000783B0000}"/>
    <cellStyle name="Calculation 2 2 6 6" xfId="19700" xr:uid="{00000000-0005-0000-0000-0000793B0000}"/>
    <cellStyle name="Calculation 2 2 6 6 2" xfId="45237" xr:uid="{00000000-0005-0000-0000-00007A3B0000}"/>
    <cellStyle name="Calculation 2 2 6 6 3" xfId="49143" xr:uid="{00000000-0005-0000-0000-00007B3B0000}"/>
    <cellStyle name="Calculation 2 2 6 6 4" xfId="37229" xr:uid="{00000000-0005-0000-0000-00007C3B0000}"/>
    <cellStyle name="Calculation 2 2 6 7" xfId="19003" xr:uid="{00000000-0005-0000-0000-00007D3B0000}"/>
    <cellStyle name="Calculation 2 2 6 7 2" xfId="44540" xr:uid="{00000000-0005-0000-0000-00007E3B0000}"/>
    <cellStyle name="Calculation 2 2 6 7 3" xfId="48446" xr:uid="{00000000-0005-0000-0000-00007F3B0000}"/>
    <cellStyle name="Calculation 2 2 6 7 4" xfId="36625" xr:uid="{00000000-0005-0000-0000-0000803B0000}"/>
    <cellStyle name="Calculation 2 2 6 8" xfId="20226" xr:uid="{00000000-0005-0000-0000-0000813B0000}"/>
    <cellStyle name="Calculation 2 2 6 8 2" xfId="45763" xr:uid="{00000000-0005-0000-0000-0000823B0000}"/>
    <cellStyle name="Calculation 2 2 6 8 3" xfId="49669" xr:uid="{00000000-0005-0000-0000-0000833B0000}"/>
    <cellStyle name="Calculation 2 2 6 9" xfId="39728" xr:uid="{00000000-0005-0000-0000-0000843B0000}"/>
    <cellStyle name="Calculation 2 2 7" xfId="52947" xr:uid="{00000000-0005-0000-0000-0000853B0000}"/>
    <cellStyle name="Calculation 2 2_Sheet1" xfId="1451" xr:uid="{00000000-0005-0000-0000-0000863B0000}"/>
    <cellStyle name="Calculation 2 20" xfId="52750" xr:uid="{00000000-0005-0000-0000-0000873B0000}"/>
    <cellStyle name="Calculation 2 21" xfId="52747" xr:uid="{00000000-0005-0000-0000-0000883B0000}"/>
    <cellStyle name="Calculation 2 22" xfId="52749" xr:uid="{00000000-0005-0000-0000-0000893B0000}"/>
    <cellStyle name="Calculation 2 23" xfId="52773" xr:uid="{00000000-0005-0000-0000-00008A3B0000}"/>
    <cellStyle name="Calculation 2 24" xfId="52748" xr:uid="{00000000-0005-0000-0000-00008B3B0000}"/>
    <cellStyle name="Calculation 2 25" xfId="52746" xr:uid="{00000000-0005-0000-0000-00008C3B0000}"/>
    <cellStyle name="Calculation 2 26" xfId="52778" xr:uid="{00000000-0005-0000-0000-00008D3B0000}"/>
    <cellStyle name="Calculation 2 27" xfId="52745" xr:uid="{00000000-0005-0000-0000-00008E3B0000}"/>
    <cellStyle name="Calculation 2 28" xfId="52810" xr:uid="{00000000-0005-0000-0000-00008F3B0000}"/>
    <cellStyle name="Calculation 2 29" xfId="52806" xr:uid="{00000000-0005-0000-0000-0000903B0000}"/>
    <cellStyle name="Calculation 2 3" xfId="1452" xr:uid="{00000000-0005-0000-0000-0000913B0000}"/>
    <cellStyle name="Calculation 2 3 2" xfId="6968" xr:uid="{00000000-0005-0000-0000-0000923B0000}"/>
    <cellStyle name="Calculation 2 3 2 10" xfId="43430" xr:uid="{00000000-0005-0000-0000-0000933B0000}"/>
    <cellStyle name="Calculation 2 3 2 2" xfId="10498" xr:uid="{00000000-0005-0000-0000-0000943B0000}"/>
    <cellStyle name="Calculation 2 3 2 2 2" xfId="18291" xr:uid="{00000000-0005-0000-0000-0000953B0000}"/>
    <cellStyle name="Calculation 2 3 2 2 2 2" xfId="43838" xr:uid="{00000000-0005-0000-0000-0000963B0000}"/>
    <cellStyle name="Calculation 2 3 2 2 2 3" xfId="47747" xr:uid="{00000000-0005-0000-0000-0000973B0000}"/>
    <cellStyle name="Calculation 2 3 2 2 2 4" xfId="35928" xr:uid="{00000000-0005-0000-0000-0000983B0000}"/>
    <cellStyle name="Calculation 2 3 2 2 3" xfId="11489" xr:uid="{00000000-0005-0000-0000-0000993B0000}"/>
    <cellStyle name="Calculation 2 3 2 2 3 2" xfId="41500" xr:uid="{00000000-0005-0000-0000-00009A3B0000}"/>
    <cellStyle name="Calculation 2 3 2 2 3 3" xfId="39471" xr:uid="{00000000-0005-0000-0000-00009B3B0000}"/>
    <cellStyle name="Calculation 2 3 2 2 3 4" xfId="29204" xr:uid="{00000000-0005-0000-0000-00009C3B0000}"/>
    <cellStyle name="Calculation 2 3 2 2 4" xfId="20121" xr:uid="{00000000-0005-0000-0000-00009D3B0000}"/>
    <cellStyle name="Calculation 2 3 2 2 4 2" xfId="45658" xr:uid="{00000000-0005-0000-0000-00009E3B0000}"/>
    <cellStyle name="Calculation 2 3 2 2 4 3" xfId="49564" xr:uid="{00000000-0005-0000-0000-00009F3B0000}"/>
    <cellStyle name="Calculation 2 3 2 2 4 4" xfId="37607" xr:uid="{00000000-0005-0000-0000-0000A03B0000}"/>
    <cellStyle name="Calculation 2 3 2 2 5" xfId="20704" xr:uid="{00000000-0005-0000-0000-0000A13B0000}"/>
    <cellStyle name="Calculation 2 3 2 2 5 2" xfId="46241" xr:uid="{00000000-0005-0000-0000-0000A23B0000}"/>
    <cellStyle name="Calculation 2 3 2 2 5 3" xfId="50147" xr:uid="{00000000-0005-0000-0000-0000A33B0000}"/>
    <cellStyle name="Calculation 2 3 2 2 5 4" xfId="38110" xr:uid="{00000000-0005-0000-0000-0000A43B0000}"/>
    <cellStyle name="Calculation 2 3 2 2 6" xfId="21357" xr:uid="{00000000-0005-0000-0000-0000A53B0000}"/>
    <cellStyle name="Calculation 2 3 2 2 6 2" xfId="46894" xr:uid="{00000000-0005-0000-0000-0000A63B0000}"/>
    <cellStyle name="Calculation 2 3 2 2 6 3" xfId="50800" xr:uid="{00000000-0005-0000-0000-0000A73B0000}"/>
    <cellStyle name="Calculation 2 3 2 2 7" xfId="40697" xr:uid="{00000000-0005-0000-0000-0000A83B0000}"/>
    <cellStyle name="Calculation 2 3 2 2 8" xfId="40261" xr:uid="{00000000-0005-0000-0000-0000A93B0000}"/>
    <cellStyle name="Calculation 2 3 2 3" xfId="10793" xr:uid="{00000000-0005-0000-0000-0000AA3B0000}"/>
    <cellStyle name="Calculation 2 3 2 3 2" xfId="18586" xr:uid="{00000000-0005-0000-0000-0000AB3B0000}"/>
    <cellStyle name="Calculation 2 3 2 3 2 2" xfId="44133" xr:uid="{00000000-0005-0000-0000-0000AC3B0000}"/>
    <cellStyle name="Calculation 2 3 2 3 2 3" xfId="48042" xr:uid="{00000000-0005-0000-0000-0000AD3B0000}"/>
    <cellStyle name="Calculation 2 3 2 3 2 4" xfId="36223" xr:uid="{00000000-0005-0000-0000-0000AE3B0000}"/>
    <cellStyle name="Calculation 2 3 2 3 3" xfId="19408" xr:uid="{00000000-0005-0000-0000-0000AF3B0000}"/>
    <cellStyle name="Calculation 2 3 2 3 3 2" xfId="44945" xr:uid="{00000000-0005-0000-0000-0000B03B0000}"/>
    <cellStyle name="Calculation 2 3 2 3 3 3" xfId="48851" xr:uid="{00000000-0005-0000-0000-0000B13B0000}"/>
    <cellStyle name="Calculation 2 3 2 3 3 4" xfId="36973" xr:uid="{00000000-0005-0000-0000-0000B23B0000}"/>
    <cellStyle name="Calculation 2 3 2 3 4" xfId="11641" xr:uid="{00000000-0005-0000-0000-0000B33B0000}"/>
    <cellStyle name="Calculation 2 3 2 3 4 2" xfId="41652" xr:uid="{00000000-0005-0000-0000-0000B43B0000}"/>
    <cellStyle name="Calculation 2 3 2 3 4 3" xfId="39164" xr:uid="{00000000-0005-0000-0000-0000B53B0000}"/>
    <cellStyle name="Calculation 2 3 2 3 4 4" xfId="29342" xr:uid="{00000000-0005-0000-0000-0000B63B0000}"/>
    <cellStyle name="Calculation 2 3 2 3 5" xfId="20999" xr:uid="{00000000-0005-0000-0000-0000B73B0000}"/>
    <cellStyle name="Calculation 2 3 2 3 5 2" xfId="46536" xr:uid="{00000000-0005-0000-0000-0000B83B0000}"/>
    <cellStyle name="Calculation 2 3 2 3 5 3" xfId="50442" xr:uid="{00000000-0005-0000-0000-0000B93B0000}"/>
    <cellStyle name="Calculation 2 3 2 3 5 4" xfId="38405" xr:uid="{00000000-0005-0000-0000-0000BA3B0000}"/>
    <cellStyle name="Calculation 2 3 2 3 6" xfId="21652" xr:uid="{00000000-0005-0000-0000-0000BB3B0000}"/>
    <cellStyle name="Calculation 2 3 2 3 6 2" xfId="47189" xr:uid="{00000000-0005-0000-0000-0000BC3B0000}"/>
    <cellStyle name="Calculation 2 3 2 3 6 3" xfId="51095" xr:uid="{00000000-0005-0000-0000-0000BD3B0000}"/>
    <cellStyle name="Calculation 2 3 2 3 7" xfId="40992" xr:uid="{00000000-0005-0000-0000-0000BE3B0000}"/>
    <cellStyle name="Calculation 2 3 2 3 8" xfId="43731" xr:uid="{00000000-0005-0000-0000-0000BF3B0000}"/>
    <cellStyle name="Calculation 2 3 2 4" xfId="14756" xr:uid="{00000000-0005-0000-0000-0000C03B0000}"/>
    <cellStyle name="Calculation 2 3 2 4 2" xfId="42872" xr:uid="{00000000-0005-0000-0000-0000C13B0000}"/>
    <cellStyle name="Calculation 2 3 2 4 3" xfId="41294" xr:uid="{00000000-0005-0000-0000-0000C23B0000}"/>
    <cellStyle name="Calculation 2 3 2 4 4" xfId="32391" xr:uid="{00000000-0005-0000-0000-0000C33B0000}"/>
    <cellStyle name="Calculation 2 3 2 5" xfId="13052" xr:uid="{00000000-0005-0000-0000-0000C43B0000}"/>
    <cellStyle name="Calculation 2 3 2 5 2" xfId="42273" xr:uid="{00000000-0005-0000-0000-0000C53B0000}"/>
    <cellStyle name="Calculation 2 3 2 5 3" xfId="40439" xr:uid="{00000000-0005-0000-0000-0000C63B0000}"/>
    <cellStyle name="Calculation 2 3 2 5 4" xfId="30701" xr:uid="{00000000-0005-0000-0000-0000C73B0000}"/>
    <cellStyle name="Calculation 2 3 2 6" xfId="20379" xr:uid="{00000000-0005-0000-0000-0000C83B0000}"/>
    <cellStyle name="Calculation 2 3 2 6 2" xfId="45916" xr:uid="{00000000-0005-0000-0000-0000C93B0000}"/>
    <cellStyle name="Calculation 2 3 2 6 3" xfId="49822" xr:uid="{00000000-0005-0000-0000-0000CA3B0000}"/>
    <cellStyle name="Calculation 2 3 2 6 4" xfId="37835" xr:uid="{00000000-0005-0000-0000-0000CB3B0000}"/>
    <cellStyle name="Calculation 2 3 2 7" xfId="18999" xr:uid="{00000000-0005-0000-0000-0000CC3B0000}"/>
    <cellStyle name="Calculation 2 3 2 7 2" xfId="44536" xr:uid="{00000000-0005-0000-0000-0000CD3B0000}"/>
    <cellStyle name="Calculation 2 3 2 7 3" xfId="48442" xr:uid="{00000000-0005-0000-0000-0000CE3B0000}"/>
    <cellStyle name="Calculation 2 3 2 7 4" xfId="36621" xr:uid="{00000000-0005-0000-0000-0000CF3B0000}"/>
    <cellStyle name="Calculation 2 3 2 8" xfId="12503" xr:uid="{00000000-0005-0000-0000-0000D03B0000}"/>
    <cellStyle name="Calculation 2 3 2 8 2" xfId="42016" xr:uid="{00000000-0005-0000-0000-0000D13B0000}"/>
    <cellStyle name="Calculation 2 3 2 8 3" xfId="42568" xr:uid="{00000000-0005-0000-0000-0000D23B0000}"/>
    <cellStyle name="Calculation 2 3 2 9" xfId="39732" xr:uid="{00000000-0005-0000-0000-0000D33B0000}"/>
    <cellStyle name="Calculation 2 3 3" xfId="52951" xr:uid="{00000000-0005-0000-0000-0000D43B0000}"/>
    <cellStyle name="Calculation 2 30" xfId="52811" xr:uid="{00000000-0005-0000-0000-0000D53B0000}"/>
    <cellStyle name="Calculation 2 31" xfId="52807" xr:uid="{00000000-0005-0000-0000-0000D63B0000}"/>
    <cellStyle name="Calculation 2 32" xfId="52809" xr:uid="{00000000-0005-0000-0000-0000D73B0000}"/>
    <cellStyle name="Calculation 2 33" xfId="52804" xr:uid="{00000000-0005-0000-0000-0000D83B0000}"/>
    <cellStyle name="Calculation 2 34" xfId="52840" xr:uid="{00000000-0005-0000-0000-0000D93B0000}"/>
    <cellStyle name="Calculation 2 35" xfId="52805" xr:uid="{00000000-0005-0000-0000-0000DA3B0000}"/>
    <cellStyle name="Calculation 2 36" xfId="52783" xr:uid="{00000000-0005-0000-0000-0000DB3B0000}"/>
    <cellStyle name="Calculation 2 37" xfId="52844" xr:uid="{00000000-0005-0000-0000-0000DC3B0000}"/>
    <cellStyle name="Calculation 2 38" xfId="52812" xr:uid="{00000000-0005-0000-0000-0000DD3B0000}"/>
    <cellStyle name="Calculation 2 39" xfId="52846" xr:uid="{00000000-0005-0000-0000-0000DE3B0000}"/>
    <cellStyle name="Calculation 2 4" xfId="1453" xr:uid="{00000000-0005-0000-0000-0000DF3B0000}"/>
    <cellStyle name="Calculation 2 4 2" xfId="6969" xr:uid="{00000000-0005-0000-0000-0000E03B0000}"/>
    <cellStyle name="Calculation 2 4 2 10" xfId="40292" xr:uid="{00000000-0005-0000-0000-0000E13B0000}"/>
    <cellStyle name="Calculation 2 4 2 2" xfId="10499" xr:uid="{00000000-0005-0000-0000-0000E23B0000}"/>
    <cellStyle name="Calculation 2 4 2 2 2" xfId="18292" xr:uid="{00000000-0005-0000-0000-0000E33B0000}"/>
    <cellStyle name="Calculation 2 4 2 2 2 2" xfId="43839" xr:uid="{00000000-0005-0000-0000-0000E43B0000}"/>
    <cellStyle name="Calculation 2 4 2 2 2 3" xfId="47748" xr:uid="{00000000-0005-0000-0000-0000E53B0000}"/>
    <cellStyle name="Calculation 2 4 2 2 2 4" xfId="35929" xr:uid="{00000000-0005-0000-0000-0000E63B0000}"/>
    <cellStyle name="Calculation 2 4 2 2 3" xfId="12156" xr:uid="{00000000-0005-0000-0000-0000E73B0000}"/>
    <cellStyle name="Calculation 2 4 2 2 3 2" xfId="41901" xr:uid="{00000000-0005-0000-0000-0000E83B0000}"/>
    <cellStyle name="Calculation 2 4 2 2 3 3" xfId="40063" xr:uid="{00000000-0005-0000-0000-0000E93B0000}"/>
    <cellStyle name="Calculation 2 4 2 2 3 4" xfId="29828" xr:uid="{00000000-0005-0000-0000-0000EA3B0000}"/>
    <cellStyle name="Calculation 2 4 2 2 4" xfId="12688" xr:uid="{00000000-0005-0000-0000-0000EB3B0000}"/>
    <cellStyle name="Calculation 2 4 2 2 4 2" xfId="42167" xr:uid="{00000000-0005-0000-0000-0000EC3B0000}"/>
    <cellStyle name="Calculation 2 4 2 2 4 3" xfId="43691" xr:uid="{00000000-0005-0000-0000-0000ED3B0000}"/>
    <cellStyle name="Calculation 2 4 2 2 4 4" xfId="30349" xr:uid="{00000000-0005-0000-0000-0000EE3B0000}"/>
    <cellStyle name="Calculation 2 4 2 2 5" xfId="20705" xr:uid="{00000000-0005-0000-0000-0000EF3B0000}"/>
    <cellStyle name="Calculation 2 4 2 2 5 2" xfId="46242" xr:uid="{00000000-0005-0000-0000-0000F03B0000}"/>
    <cellStyle name="Calculation 2 4 2 2 5 3" xfId="50148" xr:uid="{00000000-0005-0000-0000-0000F13B0000}"/>
    <cellStyle name="Calculation 2 4 2 2 5 4" xfId="38111" xr:uid="{00000000-0005-0000-0000-0000F23B0000}"/>
    <cellStyle name="Calculation 2 4 2 2 6" xfId="21358" xr:uid="{00000000-0005-0000-0000-0000F33B0000}"/>
    <cellStyle name="Calculation 2 4 2 2 6 2" xfId="46895" xr:uid="{00000000-0005-0000-0000-0000F43B0000}"/>
    <cellStyle name="Calculation 2 4 2 2 6 3" xfId="50801" xr:uid="{00000000-0005-0000-0000-0000F53B0000}"/>
    <cellStyle name="Calculation 2 4 2 2 7" xfId="40698" xr:uid="{00000000-0005-0000-0000-0000F63B0000}"/>
    <cellStyle name="Calculation 2 4 2 2 8" xfId="39401" xr:uid="{00000000-0005-0000-0000-0000F73B0000}"/>
    <cellStyle name="Calculation 2 4 2 3" xfId="10794" xr:uid="{00000000-0005-0000-0000-0000F83B0000}"/>
    <cellStyle name="Calculation 2 4 2 3 2" xfId="18587" xr:uid="{00000000-0005-0000-0000-0000F93B0000}"/>
    <cellStyle name="Calculation 2 4 2 3 2 2" xfId="44134" xr:uid="{00000000-0005-0000-0000-0000FA3B0000}"/>
    <cellStyle name="Calculation 2 4 2 3 2 3" xfId="48043" xr:uid="{00000000-0005-0000-0000-0000FB3B0000}"/>
    <cellStyle name="Calculation 2 4 2 3 2 4" xfId="36224" xr:uid="{00000000-0005-0000-0000-0000FC3B0000}"/>
    <cellStyle name="Calculation 2 4 2 3 3" xfId="20015" xr:uid="{00000000-0005-0000-0000-0000FD3B0000}"/>
    <cellStyle name="Calculation 2 4 2 3 3 2" xfId="45552" xr:uid="{00000000-0005-0000-0000-0000FE3B0000}"/>
    <cellStyle name="Calculation 2 4 2 3 3 3" xfId="49458" xr:uid="{00000000-0005-0000-0000-0000FF3B0000}"/>
    <cellStyle name="Calculation 2 4 2 3 3 4" xfId="37513" xr:uid="{00000000-0005-0000-0000-0000003C0000}"/>
    <cellStyle name="Calculation 2 4 2 3 4" xfId="11768" xr:uid="{00000000-0005-0000-0000-0000013C0000}"/>
    <cellStyle name="Calculation 2 4 2 3 4 2" xfId="41736" xr:uid="{00000000-0005-0000-0000-0000023C0000}"/>
    <cellStyle name="Calculation 2 4 2 3 4 3" xfId="39160" xr:uid="{00000000-0005-0000-0000-0000033C0000}"/>
    <cellStyle name="Calculation 2 4 2 3 4 4" xfId="29455" xr:uid="{00000000-0005-0000-0000-0000043C0000}"/>
    <cellStyle name="Calculation 2 4 2 3 5" xfId="21000" xr:uid="{00000000-0005-0000-0000-0000053C0000}"/>
    <cellStyle name="Calculation 2 4 2 3 5 2" xfId="46537" xr:uid="{00000000-0005-0000-0000-0000063C0000}"/>
    <cellStyle name="Calculation 2 4 2 3 5 3" xfId="50443" xr:uid="{00000000-0005-0000-0000-0000073C0000}"/>
    <cellStyle name="Calculation 2 4 2 3 5 4" xfId="38406" xr:uid="{00000000-0005-0000-0000-0000083C0000}"/>
    <cellStyle name="Calculation 2 4 2 3 6" xfId="21653" xr:uid="{00000000-0005-0000-0000-0000093C0000}"/>
    <cellStyle name="Calculation 2 4 2 3 6 2" xfId="47190" xr:uid="{00000000-0005-0000-0000-00000A3C0000}"/>
    <cellStyle name="Calculation 2 4 2 3 6 3" xfId="51096" xr:uid="{00000000-0005-0000-0000-00000B3C0000}"/>
    <cellStyle name="Calculation 2 4 2 3 7" xfId="40993" xr:uid="{00000000-0005-0000-0000-00000C3C0000}"/>
    <cellStyle name="Calculation 2 4 2 3 8" xfId="40590" xr:uid="{00000000-0005-0000-0000-00000D3C0000}"/>
    <cellStyle name="Calculation 2 4 2 4" xfId="14757" xr:uid="{00000000-0005-0000-0000-00000E3C0000}"/>
    <cellStyle name="Calculation 2 4 2 4 2" xfId="42873" xr:uid="{00000000-0005-0000-0000-00000F3C0000}"/>
    <cellStyle name="Calculation 2 4 2 4 3" xfId="43187" xr:uid="{00000000-0005-0000-0000-0000103C0000}"/>
    <cellStyle name="Calculation 2 4 2 4 4" xfId="32392" xr:uid="{00000000-0005-0000-0000-0000113C0000}"/>
    <cellStyle name="Calculation 2 4 2 5" xfId="13053" xr:uid="{00000000-0005-0000-0000-0000123C0000}"/>
    <cellStyle name="Calculation 2 4 2 5 2" xfId="42274" xr:uid="{00000000-0005-0000-0000-0000133C0000}"/>
    <cellStyle name="Calculation 2 4 2 5 3" xfId="39546" xr:uid="{00000000-0005-0000-0000-0000143C0000}"/>
    <cellStyle name="Calculation 2 4 2 5 4" xfId="30702" xr:uid="{00000000-0005-0000-0000-0000153C0000}"/>
    <cellStyle name="Calculation 2 4 2 6" xfId="20333" xr:uid="{00000000-0005-0000-0000-0000163C0000}"/>
    <cellStyle name="Calculation 2 4 2 6 2" xfId="45870" xr:uid="{00000000-0005-0000-0000-0000173C0000}"/>
    <cellStyle name="Calculation 2 4 2 6 3" xfId="49776" xr:uid="{00000000-0005-0000-0000-0000183C0000}"/>
    <cellStyle name="Calculation 2 4 2 6 4" xfId="37797" xr:uid="{00000000-0005-0000-0000-0000193C0000}"/>
    <cellStyle name="Calculation 2 4 2 7" xfId="13299" xr:uid="{00000000-0005-0000-0000-00001A3C0000}"/>
    <cellStyle name="Calculation 2 4 2 7 2" xfId="42469" xr:uid="{00000000-0005-0000-0000-00001B3C0000}"/>
    <cellStyle name="Calculation 2 4 2 7 3" xfId="40049" xr:uid="{00000000-0005-0000-0000-00001C3C0000}"/>
    <cellStyle name="Calculation 2 4 2 7 4" xfId="30943" xr:uid="{00000000-0005-0000-0000-00001D3C0000}"/>
    <cellStyle name="Calculation 2 4 2 8" xfId="11846" xr:uid="{00000000-0005-0000-0000-00001E3C0000}"/>
    <cellStyle name="Calculation 2 4 2 8 2" xfId="41764" xr:uid="{00000000-0005-0000-0000-00001F3C0000}"/>
    <cellStyle name="Calculation 2 4 2 8 3" xfId="42574" xr:uid="{00000000-0005-0000-0000-0000203C0000}"/>
    <cellStyle name="Calculation 2 4 2 9" xfId="39733" xr:uid="{00000000-0005-0000-0000-0000213C0000}"/>
    <cellStyle name="Calculation 2 4 3" xfId="52952" xr:uid="{00000000-0005-0000-0000-0000223C0000}"/>
    <cellStyle name="Calculation 2 40" xfId="52813" xr:uid="{00000000-0005-0000-0000-0000233C0000}"/>
    <cellStyle name="Calculation 2 41" xfId="52808" xr:uid="{00000000-0005-0000-0000-0000243C0000}"/>
    <cellStyle name="Calculation 2 42" xfId="52815" xr:uid="{00000000-0005-0000-0000-0000253C0000}"/>
    <cellStyle name="Calculation 2 43" xfId="52814" xr:uid="{00000000-0005-0000-0000-0000263C0000}"/>
    <cellStyle name="Calculation 2 44" xfId="52816" xr:uid="{00000000-0005-0000-0000-0000273C0000}"/>
    <cellStyle name="Calculation 2 45" xfId="52872" xr:uid="{00000000-0005-0000-0000-0000283C0000}"/>
    <cellStyle name="Calculation 2 46" xfId="52868" xr:uid="{00000000-0005-0000-0000-0000293C0000}"/>
    <cellStyle name="Calculation 2 47" xfId="52870" xr:uid="{00000000-0005-0000-0000-00002A3C0000}"/>
    <cellStyle name="Calculation 2 48" xfId="52866" xr:uid="{00000000-0005-0000-0000-00002B3C0000}"/>
    <cellStyle name="Calculation 2 49" xfId="52893" xr:uid="{00000000-0005-0000-0000-00002C3C0000}"/>
    <cellStyle name="Calculation 2 5" xfId="1454" xr:uid="{00000000-0005-0000-0000-00002D3C0000}"/>
    <cellStyle name="Calculation 2 5 2" xfId="6970" xr:uid="{00000000-0005-0000-0000-00002E3C0000}"/>
    <cellStyle name="Calculation 2 5 2 10" xfId="39422" xr:uid="{00000000-0005-0000-0000-00002F3C0000}"/>
    <cellStyle name="Calculation 2 5 2 2" xfId="10500" xr:uid="{00000000-0005-0000-0000-0000303C0000}"/>
    <cellStyle name="Calculation 2 5 2 2 2" xfId="18293" xr:uid="{00000000-0005-0000-0000-0000313C0000}"/>
    <cellStyle name="Calculation 2 5 2 2 2 2" xfId="43840" xr:uid="{00000000-0005-0000-0000-0000323C0000}"/>
    <cellStyle name="Calculation 2 5 2 2 2 3" xfId="47749" xr:uid="{00000000-0005-0000-0000-0000333C0000}"/>
    <cellStyle name="Calculation 2 5 2 2 2 4" xfId="35930" xr:uid="{00000000-0005-0000-0000-0000343C0000}"/>
    <cellStyle name="Calculation 2 5 2 2 3" xfId="19621" xr:uid="{00000000-0005-0000-0000-0000353C0000}"/>
    <cellStyle name="Calculation 2 5 2 2 3 2" xfId="45158" xr:uid="{00000000-0005-0000-0000-0000363C0000}"/>
    <cellStyle name="Calculation 2 5 2 2 3 3" xfId="49064" xr:uid="{00000000-0005-0000-0000-0000373C0000}"/>
    <cellStyle name="Calculation 2 5 2 2 3 4" xfId="37161" xr:uid="{00000000-0005-0000-0000-0000383C0000}"/>
    <cellStyle name="Calculation 2 5 2 2 4" xfId="20212" xr:uid="{00000000-0005-0000-0000-0000393C0000}"/>
    <cellStyle name="Calculation 2 5 2 2 4 2" xfId="45749" xr:uid="{00000000-0005-0000-0000-00003A3C0000}"/>
    <cellStyle name="Calculation 2 5 2 2 4 3" xfId="49655" xr:uid="{00000000-0005-0000-0000-00003B3C0000}"/>
    <cellStyle name="Calculation 2 5 2 2 4 4" xfId="37690" xr:uid="{00000000-0005-0000-0000-00003C3C0000}"/>
    <cellStyle name="Calculation 2 5 2 2 5" xfId="20706" xr:uid="{00000000-0005-0000-0000-00003D3C0000}"/>
    <cellStyle name="Calculation 2 5 2 2 5 2" xfId="46243" xr:uid="{00000000-0005-0000-0000-00003E3C0000}"/>
    <cellStyle name="Calculation 2 5 2 2 5 3" xfId="50149" xr:uid="{00000000-0005-0000-0000-00003F3C0000}"/>
    <cellStyle name="Calculation 2 5 2 2 5 4" xfId="38112" xr:uid="{00000000-0005-0000-0000-0000403C0000}"/>
    <cellStyle name="Calculation 2 5 2 2 6" xfId="21359" xr:uid="{00000000-0005-0000-0000-0000413C0000}"/>
    <cellStyle name="Calculation 2 5 2 2 6 2" xfId="46896" xr:uid="{00000000-0005-0000-0000-0000423C0000}"/>
    <cellStyle name="Calculation 2 5 2 2 6 3" xfId="50802" xr:uid="{00000000-0005-0000-0000-0000433C0000}"/>
    <cellStyle name="Calculation 2 5 2 2 7" xfId="40699" xr:uid="{00000000-0005-0000-0000-0000443C0000}"/>
    <cellStyle name="Calculation 2 5 2 2 8" xfId="39203" xr:uid="{00000000-0005-0000-0000-0000453C0000}"/>
    <cellStyle name="Calculation 2 5 2 3" xfId="10795" xr:uid="{00000000-0005-0000-0000-0000463C0000}"/>
    <cellStyle name="Calculation 2 5 2 3 2" xfId="18588" xr:uid="{00000000-0005-0000-0000-0000473C0000}"/>
    <cellStyle name="Calculation 2 5 2 3 2 2" xfId="44135" xr:uid="{00000000-0005-0000-0000-0000483C0000}"/>
    <cellStyle name="Calculation 2 5 2 3 2 3" xfId="48044" xr:uid="{00000000-0005-0000-0000-0000493C0000}"/>
    <cellStyle name="Calculation 2 5 2 3 2 4" xfId="36225" xr:uid="{00000000-0005-0000-0000-00004A3C0000}"/>
    <cellStyle name="Calculation 2 5 2 3 3" xfId="19281" xr:uid="{00000000-0005-0000-0000-00004B3C0000}"/>
    <cellStyle name="Calculation 2 5 2 3 3 2" xfId="44818" xr:uid="{00000000-0005-0000-0000-00004C3C0000}"/>
    <cellStyle name="Calculation 2 5 2 3 3 3" xfId="48724" xr:uid="{00000000-0005-0000-0000-00004D3C0000}"/>
    <cellStyle name="Calculation 2 5 2 3 3 4" xfId="36859" xr:uid="{00000000-0005-0000-0000-00004E3C0000}"/>
    <cellStyle name="Calculation 2 5 2 3 4" xfId="20263" xr:uid="{00000000-0005-0000-0000-00004F3C0000}"/>
    <cellStyle name="Calculation 2 5 2 3 4 2" xfId="45800" xr:uid="{00000000-0005-0000-0000-0000503C0000}"/>
    <cellStyle name="Calculation 2 5 2 3 4 3" xfId="49706" xr:uid="{00000000-0005-0000-0000-0000513C0000}"/>
    <cellStyle name="Calculation 2 5 2 3 4 4" xfId="37733" xr:uid="{00000000-0005-0000-0000-0000523C0000}"/>
    <cellStyle name="Calculation 2 5 2 3 5" xfId="21001" xr:uid="{00000000-0005-0000-0000-0000533C0000}"/>
    <cellStyle name="Calculation 2 5 2 3 5 2" xfId="46538" xr:uid="{00000000-0005-0000-0000-0000543C0000}"/>
    <cellStyle name="Calculation 2 5 2 3 5 3" xfId="50444" xr:uid="{00000000-0005-0000-0000-0000553C0000}"/>
    <cellStyle name="Calculation 2 5 2 3 5 4" xfId="38407" xr:uid="{00000000-0005-0000-0000-0000563C0000}"/>
    <cellStyle name="Calculation 2 5 2 3 6" xfId="21654" xr:uid="{00000000-0005-0000-0000-0000573C0000}"/>
    <cellStyle name="Calculation 2 5 2 3 6 2" xfId="47191" xr:uid="{00000000-0005-0000-0000-0000583C0000}"/>
    <cellStyle name="Calculation 2 5 2 3 6 3" xfId="51097" xr:uid="{00000000-0005-0000-0000-0000593C0000}"/>
    <cellStyle name="Calculation 2 5 2 3 7" xfId="40994" xr:uid="{00000000-0005-0000-0000-00005A3C0000}"/>
    <cellStyle name="Calculation 2 5 2 3 8" xfId="39701" xr:uid="{00000000-0005-0000-0000-00005B3C0000}"/>
    <cellStyle name="Calculation 2 5 2 4" xfId="14758" xr:uid="{00000000-0005-0000-0000-00005C3C0000}"/>
    <cellStyle name="Calculation 2 5 2 4 2" xfId="42874" xr:uid="{00000000-0005-0000-0000-00005D3C0000}"/>
    <cellStyle name="Calculation 2 5 2 4 3" xfId="40046" xr:uid="{00000000-0005-0000-0000-00005E3C0000}"/>
    <cellStyle name="Calculation 2 5 2 4 4" xfId="32393" xr:uid="{00000000-0005-0000-0000-00005F3C0000}"/>
    <cellStyle name="Calculation 2 5 2 5" xfId="11274" xr:uid="{00000000-0005-0000-0000-0000603C0000}"/>
    <cellStyle name="Calculation 2 5 2 5 2" xfId="41321" xr:uid="{00000000-0005-0000-0000-0000613C0000}"/>
    <cellStyle name="Calculation 2 5 2 5 3" xfId="40365" xr:uid="{00000000-0005-0000-0000-0000623C0000}"/>
    <cellStyle name="Calculation 2 5 2 5 4" xfId="29002" xr:uid="{00000000-0005-0000-0000-0000633C0000}"/>
    <cellStyle name="Calculation 2 5 2 6" xfId="19830" xr:uid="{00000000-0005-0000-0000-0000643C0000}"/>
    <cellStyle name="Calculation 2 5 2 6 2" xfId="45367" xr:uid="{00000000-0005-0000-0000-0000653C0000}"/>
    <cellStyle name="Calculation 2 5 2 6 3" xfId="49273" xr:uid="{00000000-0005-0000-0000-0000663C0000}"/>
    <cellStyle name="Calculation 2 5 2 6 4" xfId="37348" xr:uid="{00000000-0005-0000-0000-0000673C0000}"/>
    <cellStyle name="Calculation 2 5 2 7" xfId="19168" xr:uid="{00000000-0005-0000-0000-0000683C0000}"/>
    <cellStyle name="Calculation 2 5 2 7 2" xfId="44705" xr:uid="{00000000-0005-0000-0000-0000693C0000}"/>
    <cellStyle name="Calculation 2 5 2 7 3" xfId="48611" xr:uid="{00000000-0005-0000-0000-00006A3C0000}"/>
    <cellStyle name="Calculation 2 5 2 7 4" xfId="36760" xr:uid="{00000000-0005-0000-0000-00006B3C0000}"/>
    <cellStyle name="Calculation 2 5 2 8" xfId="11537" xr:uid="{00000000-0005-0000-0000-00006C3C0000}"/>
    <cellStyle name="Calculation 2 5 2 8 2" xfId="41548" xr:uid="{00000000-0005-0000-0000-00006D3C0000}"/>
    <cellStyle name="Calculation 2 5 2 8 3" xfId="40073" xr:uid="{00000000-0005-0000-0000-00006E3C0000}"/>
    <cellStyle name="Calculation 2 5 2 9" xfId="39734" xr:uid="{00000000-0005-0000-0000-00006F3C0000}"/>
    <cellStyle name="Calculation 2 5 3" xfId="52953" xr:uid="{00000000-0005-0000-0000-0000703C0000}"/>
    <cellStyle name="Calculation 2 50" xfId="52867" xr:uid="{00000000-0005-0000-0000-0000713C0000}"/>
    <cellStyle name="Calculation 2 51" xfId="52895" xr:uid="{00000000-0005-0000-0000-0000723C0000}"/>
    <cellStyle name="Calculation 2 52" xfId="52869" xr:uid="{00000000-0005-0000-0000-0000733C0000}"/>
    <cellStyle name="Calculation 2 53" xfId="52876" xr:uid="{00000000-0005-0000-0000-0000743C0000}"/>
    <cellStyle name="Calculation 2 54" xfId="52874" xr:uid="{00000000-0005-0000-0000-0000753C0000}"/>
    <cellStyle name="Calculation 2 55" xfId="52875" xr:uid="{00000000-0005-0000-0000-0000763C0000}"/>
    <cellStyle name="Calculation 2 56" xfId="52873" xr:uid="{00000000-0005-0000-0000-0000773C0000}"/>
    <cellStyle name="Calculation 2 57" xfId="52904" xr:uid="{00000000-0005-0000-0000-0000783C0000}"/>
    <cellStyle name="Calculation 2 58" xfId="52871" xr:uid="{00000000-0005-0000-0000-0000793C0000}"/>
    <cellStyle name="Calculation 2 59" xfId="52942" xr:uid="{00000000-0005-0000-0000-00007A3C0000}"/>
    <cellStyle name="Calculation 2 6" xfId="1455" xr:uid="{00000000-0005-0000-0000-00007B3C0000}"/>
    <cellStyle name="Calculation 2 6 2" xfId="6971" xr:uid="{00000000-0005-0000-0000-00007C3C0000}"/>
    <cellStyle name="Calculation 2 6 2 10" xfId="39257" xr:uid="{00000000-0005-0000-0000-00007D3C0000}"/>
    <cellStyle name="Calculation 2 6 2 2" xfId="10501" xr:uid="{00000000-0005-0000-0000-00007E3C0000}"/>
    <cellStyle name="Calculation 2 6 2 2 2" xfId="18294" xr:uid="{00000000-0005-0000-0000-00007F3C0000}"/>
    <cellStyle name="Calculation 2 6 2 2 2 2" xfId="43841" xr:uid="{00000000-0005-0000-0000-0000803C0000}"/>
    <cellStyle name="Calculation 2 6 2 2 2 3" xfId="47750" xr:uid="{00000000-0005-0000-0000-0000813C0000}"/>
    <cellStyle name="Calculation 2 6 2 2 2 4" xfId="35931" xr:uid="{00000000-0005-0000-0000-0000823C0000}"/>
    <cellStyle name="Calculation 2 6 2 2 3" xfId="20177" xr:uid="{00000000-0005-0000-0000-0000833C0000}"/>
    <cellStyle name="Calculation 2 6 2 2 3 2" xfId="45714" xr:uid="{00000000-0005-0000-0000-0000843C0000}"/>
    <cellStyle name="Calculation 2 6 2 2 3 3" xfId="49620" xr:uid="{00000000-0005-0000-0000-0000853C0000}"/>
    <cellStyle name="Calculation 2 6 2 2 3 4" xfId="37663" xr:uid="{00000000-0005-0000-0000-0000863C0000}"/>
    <cellStyle name="Calculation 2 6 2 2 4" xfId="19093" xr:uid="{00000000-0005-0000-0000-0000873C0000}"/>
    <cellStyle name="Calculation 2 6 2 2 4 2" xfId="44630" xr:uid="{00000000-0005-0000-0000-0000883C0000}"/>
    <cellStyle name="Calculation 2 6 2 2 4 3" xfId="48536" xr:uid="{00000000-0005-0000-0000-0000893C0000}"/>
    <cellStyle name="Calculation 2 6 2 2 4 4" xfId="36689" xr:uid="{00000000-0005-0000-0000-00008A3C0000}"/>
    <cellStyle name="Calculation 2 6 2 2 5" xfId="20707" xr:uid="{00000000-0005-0000-0000-00008B3C0000}"/>
    <cellStyle name="Calculation 2 6 2 2 5 2" xfId="46244" xr:uid="{00000000-0005-0000-0000-00008C3C0000}"/>
    <cellStyle name="Calculation 2 6 2 2 5 3" xfId="50150" xr:uid="{00000000-0005-0000-0000-00008D3C0000}"/>
    <cellStyle name="Calculation 2 6 2 2 5 4" xfId="38113" xr:uid="{00000000-0005-0000-0000-00008E3C0000}"/>
    <cellStyle name="Calculation 2 6 2 2 6" xfId="21360" xr:uid="{00000000-0005-0000-0000-00008F3C0000}"/>
    <cellStyle name="Calculation 2 6 2 2 6 2" xfId="46897" xr:uid="{00000000-0005-0000-0000-0000903C0000}"/>
    <cellStyle name="Calculation 2 6 2 2 6 3" xfId="50803" xr:uid="{00000000-0005-0000-0000-0000913C0000}"/>
    <cellStyle name="Calculation 2 6 2 2 7" xfId="40700" xr:uid="{00000000-0005-0000-0000-0000923C0000}"/>
    <cellStyle name="Calculation 2 6 2 2 8" xfId="41444" xr:uid="{00000000-0005-0000-0000-0000933C0000}"/>
    <cellStyle name="Calculation 2 6 2 3" xfId="10796" xr:uid="{00000000-0005-0000-0000-0000943C0000}"/>
    <cellStyle name="Calculation 2 6 2 3 2" xfId="18589" xr:uid="{00000000-0005-0000-0000-0000953C0000}"/>
    <cellStyle name="Calculation 2 6 2 3 2 2" xfId="44136" xr:uid="{00000000-0005-0000-0000-0000963C0000}"/>
    <cellStyle name="Calculation 2 6 2 3 2 3" xfId="48045" xr:uid="{00000000-0005-0000-0000-0000973C0000}"/>
    <cellStyle name="Calculation 2 6 2 3 2 4" xfId="36226" xr:uid="{00000000-0005-0000-0000-0000983C0000}"/>
    <cellStyle name="Calculation 2 6 2 3 3" xfId="19890" xr:uid="{00000000-0005-0000-0000-0000993C0000}"/>
    <cellStyle name="Calculation 2 6 2 3 3 2" xfId="45427" xr:uid="{00000000-0005-0000-0000-00009A3C0000}"/>
    <cellStyle name="Calculation 2 6 2 3 3 3" xfId="49333" xr:uid="{00000000-0005-0000-0000-00009B3C0000}"/>
    <cellStyle name="Calculation 2 6 2 3 3 4" xfId="37404" xr:uid="{00000000-0005-0000-0000-00009C3C0000}"/>
    <cellStyle name="Calculation 2 6 2 3 4" xfId="19644" xr:uid="{00000000-0005-0000-0000-00009D3C0000}"/>
    <cellStyle name="Calculation 2 6 2 3 4 2" xfId="45181" xr:uid="{00000000-0005-0000-0000-00009E3C0000}"/>
    <cellStyle name="Calculation 2 6 2 3 4 3" xfId="49087" xr:uid="{00000000-0005-0000-0000-00009F3C0000}"/>
    <cellStyle name="Calculation 2 6 2 3 4 4" xfId="37180" xr:uid="{00000000-0005-0000-0000-0000A03C0000}"/>
    <cellStyle name="Calculation 2 6 2 3 5" xfId="21002" xr:uid="{00000000-0005-0000-0000-0000A13C0000}"/>
    <cellStyle name="Calculation 2 6 2 3 5 2" xfId="46539" xr:uid="{00000000-0005-0000-0000-0000A23C0000}"/>
    <cellStyle name="Calculation 2 6 2 3 5 3" xfId="50445" xr:uid="{00000000-0005-0000-0000-0000A33C0000}"/>
    <cellStyle name="Calculation 2 6 2 3 5 4" xfId="38408" xr:uid="{00000000-0005-0000-0000-0000A43C0000}"/>
    <cellStyle name="Calculation 2 6 2 3 6" xfId="21655" xr:uid="{00000000-0005-0000-0000-0000A53C0000}"/>
    <cellStyle name="Calculation 2 6 2 3 6 2" xfId="47192" xr:uid="{00000000-0005-0000-0000-0000A63C0000}"/>
    <cellStyle name="Calculation 2 6 2 3 6 3" xfId="51098" xr:uid="{00000000-0005-0000-0000-0000A73C0000}"/>
    <cellStyle name="Calculation 2 6 2 3 7" xfId="40995" xr:uid="{00000000-0005-0000-0000-0000A83C0000}"/>
    <cellStyle name="Calculation 2 6 2 3 8" xfId="42738" xr:uid="{00000000-0005-0000-0000-0000A93C0000}"/>
    <cellStyle name="Calculation 2 6 2 4" xfId="14759" xr:uid="{00000000-0005-0000-0000-0000AA3C0000}"/>
    <cellStyle name="Calculation 2 6 2 4 2" xfId="42875" xr:uid="{00000000-0005-0000-0000-0000AB3C0000}"/>
    <cellStyle name="Calculation 2 6 2 4 3" xfId="42788" xr:uid="{00000000-0005-0000-0000-0000AC3C0000}"/>
    <cellStyle name="Calculation 2 6 2 4 4" xfId="32394" xr:uid="{00000000-0005-0000-0000-0000AD3C0000}"/>
    <cellStyle name="Calculation 2 6 2 5" xfId="13054" xr:uid="{00000000-0005-0000-0000-0000AE3C0000}"/>
    <cellStyle name="Calculation 2 6 2 5 2" xfId="42275" xr:uid="{00000000-0005-0000-0000-0000AF3C0000}"/>
    <cellStyle name="Calculation 2 6 2 5 3" xfId="42556" xr:uid="{00000000-0005-0000-0000-0000B03C0000}"/>
    <cellStyle name="Calculation 2 6 2 5 4" xfId="30703" xr:uid="{00000000-0005-0000-0000-0000B13C0000}"/>
    <cellStyle name="Calculation 2 6 2 6" xfId="13910" xr:uid="{00000000-0005-0000-0000-0000B23C0000}"/>
    <cellStyle name="Calculation 2 6 2 6 2" xfId="42645" xr:uid="{00000000-0005-0000-0000-0000B33C0000}"/>
    <cellStyle name="Calculation 2 6 2 6 3" xfId="43310" xr:uid="{00000000-0005-0000-0000-0000B43C0000}"/>
    <cellStyle name="Calculation 2 6 2 6 4" xfId="31548" xr:uid="{00000000-0005-0000-0000-0000B53C0000}"/>
    <cellStyle name="Calculation 2 6 2 7" xfId="18985" xr:uid="{00000000-0005-0000-0000-0000B63C0000}"/>
    <cellStyle name="Calculation 2 6 2 7 2" xfId="44522" xr:uid="{00000000-0005-0000-0000-0000B73C0000}"/>
    <cellStyle name="Calculation 2 6 2 7 3" xfId="48428" xr:uid="{00000000-0005-0000-0000-0000B83C0000}"/>
    <cellStyle name="Calculation 2 6 2 7 4" xfId="36609" xr:uid="{00000000-0005-0000-0000-0000B93C0000}"/>
    <cellStyle name="Calculation 2 6 2 8" xfId="20627" xr:uid="{00000000-0005-0000-0000-0000BA3C0000}"/>
    <cellStyle name="Calculation 2 6 2 8 2" xfId="46164" xr:uid="{00000000-0005-0000-0000-0000BB3C0000}"/>
    <cellStyle name="Calculation 2 6 2 8 3" xfId="50070" xr:uid="{00000000-0005-0000-0000-0000BC3C0000}"/>
    <cellStyle name="Calculation 2 6 2 9" xfId="39735" xr:uid="{00000000-0005-0000-0000-0000BD3C0000}"/>
    <cellStyle name="Calculation 2 6 3" xfId="52954" xr:uid="{00000000-0005-0000-0000-0000BE3C0000}"/>
    <cellStyle name="Calculation 2 7" xfId="1456" xr:uid="{00000000-0005-0000-0000-0000BF3C0000}"/>
    <cellStyle name="Calculation 2 7 2" xfId="6972" xr:uid="{00000000-0005-0000-0000-0000C03C0000}"/>
    <cellStyle name="Calculation 2 7 2 10" xfId="39421" xr:uid="{00000000-0005-0000-0000-0000C13C0000}"/>
    <cellStyle name="Calculation 2 7 2 2" xfId="10502" xr:uid="{00000000-0005-0000-0000-0000C23C0000}"/>
    <cellStyle name="Calculation 2 7 2 2 2" xfId="18295" xr:uid="{00000000-0005-0000-0000-0000C33C0000}"/>
    <cellStyle name="Calculation 2 7 2 2 2 2" xfId="43842" xr:uid="{00000000-0005-0000-0000-0000C43C0000}"/>
    <cellStyle name="Calculation 2 7 2 2 2 3" xfId="47751" xr:uid="{00000000-0005-0000-0000-0000C53C0000}"/>
    <cellStyle name="Calculation 2 7 2 2 2 4" xfId="35932" xr:uid="{00000000-0005-0000-0000-0000C63C0000}"/>
    <cellStyle name="Calculation 2 7 2 2 3" xfId="19436" xr:uid="{00000000-0005-0000-0000-0000C73C0000}"/>
    <cellStyle name="Calculation 2 7 2 2 3 2" xfId="44973" xr:uid="{00000000-0005-0000-0000-0000C83C0000}"/>
    <cellStyle name="Calculation 2 7 2 2 3 3" xfId="48879" xr:uid="{00000000-0005-0000-0000-0000C93C0000}"/>
    <cellStyle name="Calculation 2 7 2 2 3 4" xfId="37001" xr:uid="{00000000-0005-0000-0000-0000CA3C0000}"/>
    <cellStyle name="Calculation 2 7 2 2 4" xfId="20386" xr:uid="{00000000-0005-0000-0000-0000CB3C0000}"/>
    <cellStyle name="Calculation 2 7 2 2 4 2" xfId="45923" xr:uid="{00000000-0005-0000-0000-0000CC3C0000}"/>
    <cellStyle name="Calculation 2 7 2 2 4 3" xfId="49829" xr:uid="{00000000-0005-0000-0000-0000CD3C0000}"/>
    <cellStyle name="Calculation 2 7 2 2 4 4" xfId="37840" xr:uid="{00000000-0005-0000-0000-0000CE3C0000}"/>
    <cellStyle name="Calculation 2 7 2 2 5" xfId="20708" xr:uid="{00000000-0005-0000-0000-0000CF3C0000}"/>
    <cellStyle name="Calculation 2 7 2 2 5 2" xfId="46245" xr:uid="{00000000-0005-0000-0000-0000D03C0000}"/>
    <cellStyle name="Calculation 2 7 2 2 5 3" xfId="50151" xr:uid="{00000000-0005-0000-0000-0000D13C0000}"/>
    <cellStyle name="Calculation 2 7 2 2 5 4" xfId="38114" xr:uid="{00000000-0005-0000-0000-0000D23C0000}"/>
    <cellStyle name="Calculation 2 7 2 2 6" xfId="21361" xr:uid="{00000000-0005-0000-0000-0000D33C0000}"/>
    <cellStyle name="Calculation 2 7 2 2 6 2" xfId="46898" xr:uid="{00000000-0005-0000-0000-0000D43C0000}"/>
    <cellStyle name="Calculation 2 7 2 2 6 3" xfId="50804" xr:uid="{00000000-0005-0000-0000-0000D53C0000}"/>
    <cellStyle name="Calculation 2 7 2 2 7" xfId="40701" xr:uid="{00000000-0005-0000-0000-0000D63C0000}"/>
    <cellStyle name="Calculation 2 7 2 2 8" xfId="43247" xr:uid="{00000000-0005-0000-0000-0000D73C0000}"/>
    <cellStyle name="Calculation 2 7 2 3" xfId="10797" xr:uid="{00000000-0005-0000-0000-0000D83C0000}"/>
    <cellStyle name="Calculation 2 7 2 3 2" xfId="18590" xr:uid="{00000000-0005-0000-0000-0000D93C0000}"/>
    <cellStyle name="Calculation 2 7 2 3 2 2" xfId="44137" xr:uid="{00000000-0005-0000-0000-0000DA3C0000}"/>
    <cellStyle name="Calculation 2 7 2 3 2 3" xfId="48046" xr:uid="{00000000-0005-0000-0000-0000DB3C0000}"/>
    <cellStyle name="Calculation 2 7 2 3 2 4" xfId="36227" xr:uid="{00000000-0005-0000-0000-0000DC3C0000}"/>
    <cellStyle name="Calculation 2 7 2 3 3" xfId="19113" xr:uid="{00000000-0005-0000-0000-0000DD3C0000}"/>
    <cellStyle name="Calculation 2 7 2 3 3 2" xfId="44650" xr:uid="{00000000-0005-0000-0000-0000DE3C0000}"/>
    <cellStyle name="Calculation 2 7 2 3 3 3" xfId="48556" xr:uid="{00000000-0005-0000-0000-0000DF3C0000}"/>
    <cellStyle name="Calculation 2 7 2 3 3 4" xfId="36708" xr:uid="{00000000-0005-0000-0000-0000E03C0000}"/>
    <cellStyle name="Calculation 2 7 2 3 4" xfId="19227" xr:uid="{00000000-0005-0000-0000-0000E13C0000}"/>
    <cellStyle name="Calculation 2 7 2 3 4 2" xfId="44764" xr:uid="{00000000-0005-0000-0000-0000E23C0000}"/>
    <cellStyle name="Calculation 2 7 2 3 4 3" xfId="48670" xr:uid="{00000000-0005-0000-0000-0000E33C0000}"/>
    <cellStyle name="Calculation 2 7 2 3 4 4" xfId="36810" xr:uid="{00000000-0005-0000-0000-0000E43C0000}"/>
    <cellStyle name="Calculation 2 7 2 3 5" xfId="21003" xr:uid="{00000000-0005-0000-0000-0000E53C0000}"/>
    <cellStyle name="Calculation 2 7 2 3 5 2" xfId="46540" xr:uid="{00000000-0005-0000-0000-0000E63C0000}"/>
    <cellStyle name="Calculation 2 7 2 3 5 3" xfId="50446" xr:uid="{00000000-0005-0000-0000-0000E73C0000}"/>
    <cellStyle name="Calculation 2 7 2 3 5 4" xfId="38409" xr:uid="{00000000-0005-0000-0000-0000E83C0000}"/>
    <cellStyle name="Calculation 2 7 2 3 6" xfId="21656" xr:uid="{00000000-0005-0000-0000-0000E93C0000}"/>
    <cellStyle name="Calculation 2 7 2 3 6 2" xfId="47193" xr:uid="{00000000-0005-0000-0000-0000EA3C0000}"/>
    <cellStyle name="Calculation 2 7 2 3 6 3" xfId="51099" xr:uid="{00000000-0005-0000-0000-0000EB3C0000}"/>
    <cellStyle name="Calculation 2 7 2 3 7" xfId="40996" xr:uid="{00000000-0005-0000-0000-0000EC3C0000}"/>
    <cellStyle name="Calculation 2 7 2 3 8" xfId="43627" xr:uid="{00000000-0005-0000-0000-0000ED3C0000}"/>
    <cellStyle name="Calculation 2 7 2 4" xfId="14760" xr:uid="{00000000-0005-0000-0000-0000EE3C0000}"/>
    <cellStyle name="Calculation 2 7 2 4 2" xfId="42876" xr:uid="{00000000-0005-0000-0000-0000EF3C0000}"/>
    <cellStyle name="Calculation 2 7 2 4 3" xfId="43675" xr:uid="{00000000-0005-0000-0000-0000F03C0000}"/>
    <cellStyle name="Calculation 2 7 2 4 4" xfId="32395" xr:uid="{00000000-0005-0000-0000-0000F13C0000}"/>
    <cellStyle name="Calculation 2 7 2 5" xfId="13055" xr:uid="{00000000-0005-0000-0000-0000F23C0000}"/>
    <cellStyle name="Calculation 2 7 2 5 2" xfId="42276" xr:uid="{00000000-0005-0000-0000-0000F33C0000}"/>
    <cellStyle name="Calculation 2 7 2 5 3" xfId="43467" xr:uid="{00000000-0005-0000-0000-0000F43C0000}"/>
    <cellStyle name="Calculation 2 7 2 5 4" xfId="30704" xr:uid="{00000000-0005-0000-0000-0000F53C0000}"/>
    <cellStyle name="Calculation 2 7 2 6" xfId="12861" xr:uid="{00000000-0005-0000-0000-0000F63C0000}"/>
    <cellStyle name="Calculation 2 7 2 6 2" xfId="42244" xr:uid="{00000000-0005-0000-0000-0000F73C0000}"/>
    <cellStyle name="Calculation 2 7 2 6 3" xfId="39656" xr:uid="{00000000-0005-0000-0000-0000F83C0000}"/>
    <cellStyle name="Calculation 2 7 2 6 4" xfId="30513" xr:uid="{00000000-0005-0000-0000-0000F93C0000}"/>
    <cellStyle name="Calculation 2 7 2 7" xfId="20341" xr:uid="{00000000-0005-0000-0000-0000FA3C0000}"/>
    <cellStyle name="Calculation 2 7 2 7 2" xfId="45878" xr:uid="{00000000-0005-0000-0000-0000FB3C0000}"/>
    <cellStyle name="Calculation 2 7 2 7 3" xfId="49784" xr:uid="{00000000-0005-0000-0000-0000FC3C0000}"/>
    <cellStyle name="Calculation 2 7 2 7 4" xfId="37803" xr:uid="{00000000-0005-0000-0000-0000FD3C0000}"/>
    <cellStyle name="Calculation 2 7 2 8" xfId="20528" xr:uid="{00000000-0005-0000-0000-0000FE3C0000}"/>
    <cellStyle name="Calculation 2 7 2 8 2" xfId="46065" xr:uid="{00000000-0005-0000-0000-0000FF3C0000}"/>
    <cellStyle name="Calculation 2 7 2 8 3" xfId="49971" xr:uid="{00000000-0005-0000-0000-0000003D0000}"/>
    <cellStyle name="Calculation 2 7 2 9" xfId="39736" xr:uid="{00000000-0005-0000-0000-0000013D0000}"/>
    <cellStyle name="Calculation 2 7 3" xfId="52955" xr:uid="{00000000-0005-0000-0000-0000023D0000}"/>
    <cellStyle name="Calculation 2 8" xfId="1457" xr:uid="{00000000-0005-0000-0000-0000033D0000}"/>
    <cellStyle name="Calculation 2 8 2" xfId="6973" xr:uid="{00000000-0005-0000-0000-0000043D0000}"/>
    <cellStyle name="Calculation 2 8 2 10" xfId="39256" xr:uid="{00000000-0005-0000-0000-0000053D0000}"/>
    <cellStyle name="Calculation 2 8 2 2" xfId="10503" xr:uid="{00000000-0005-0000-0000-0000063D0000}"/>
    <cellStyle name="Calculation 2 8 2 2 2" xfId="18296" xr:uid="{00000000-0005-0000-0000-0000073D0000}"/>
    <cellStyle name="Calculation 2 8 2 2 2 2" xfId="43843" xr:uid="{00000000-0005-0000-0000-0000083D0000}"/>
    <cellStyle name="Calculation 2 8 2 2 2 3" xfId="47752" xr:uid="{00000000-0005-0000-0000-0000093D0000}"/>
    <cellStyle name="Calculation 2 8 2 2 2 4" xfId="35933" xr:uid="{00000000-0005-0000-0000-00000A3D0000}"/>
    <cellStyle name="Calculation 2 8 2 2 3" xfId="20043" xr:uid="{00000000-0005-0000-0000-00000B3D0000}"/>
    <cellStyle name="Calculation 2 8 2 2 3 2" xfId="45580" xr:uid="{00000000-0005-0000-0000-00000C3D0000}"/>
    <cellStyle name="Calculation 2 8 2 2 3 3" xfId="49486" xr:uid="{00000000-0005-0000-0000-00000D3D0000}"/>
    <cellStyle name="Calculation 2 8 2 2 3 4" xfId="37541" xr:uid="{00000000-0005-0000-0000-00000E3D0000}"/>
    <cellStyle name="Calculation 2 8 2 2 4" xfId="11802" xr:uid="{00000000-0005-0000-0000-00000F3D0000}"/>
    <cellStyle name="Calculation 2 8 2 2 4 2" xfId="41752" xr:uid="{00000000-0005-0000-0000-0000103D0000}"/>
    <cellStyle name="Calculation 2 8 2 2 4 3" xfId="44415" xr:uid="{00000000-0005-0000-0000-0000113D0000}"/>
    <cellStyle name="Calculation 2 8 2 2 4 4" xfId="29488" xr:uid="{00000000-0005-0000-0000-0000123D0000}"/>
    <cellStyle name="Calculation 2 8 2 2 5" xfId="20709" xr:uid="{00000000-0005-0000-0000-0000133D0000}"/>
    <cellStyle name="Calculation 2 8 2 2 5 2" xfId="46246" xr:uid="{00000000-0005-0000-0000-0000143D0000}"/>
    <cellStyle name="Calculation 2 8 2 2 5 3" xfId="50152" xr:uid="{00000000-0005-0000-0000-0000153D0000}"/>
    <cellStyle name="Calculation 2 8 2 2 5 4" xfId="38115" xr:uid="{00000000-0005-0000-0000-0000163D0000}"/>
    <cellStyle name="Calculation 2 8 2 2 6" xfId="21362" xr:uid="{00000000-0005-0000-0000-0000173D0000}"/>
    <cellStyle name="Calculation 2 8 2 2 6 2" xfId="46899" xr:uid="{00000000-0005-0000-0000-0000183D0000}"/>
    <cellStyle name="Calculation 2 8 2 2 6 3" xfId="50805" xr:uid="{00000000-0005-0000-0000-0000193D0000}"/>
    <cellStyle name="Calculation 2 8 2 2 7" xfId="40702" xr:uid="{00000000-0005-0000-0000-00001A3D0000}"/>
    <cellStyle name="Calculation 2 8 2 2 8" xfId="40106" xr:uid="{00000000-0005-0000-0000-00001B3D0000}"/>
    <cellStyle name="Calculation 2 8 2 3" xfId="10798" xr:uid="{00000000-0005-0000-0000-00001C3D0000}"/>
    <cellStyle name="Calculation 2 8 2 3 2" xfId="18591" xr:uid="{00000000-0005-0000-0000-00001D3D0000}"/>
    <cellStyle name="Calculation 2 8 2 3 2 2" xfId="44138" xr:uid="{00000000-0005-0000-0000-00001E3D0000}"/>
    <cellStyle name="Calculation 2 8 2 3 2 3" xfId="48047" xr:uid="{00000000-0005-0000-0000-00001F3D0000}"/>
    <cellStyle name="Calculation 2 8 2 3 2 4" xfId="36228" xr:uid="{00000000-0005-0000-0000-0000203D0000}"/>
    <cellStyle name="Calculation 2 8 2 3 3" xfId="19727" xr:uid="{00000000-0005-0000-0000-0000213D0000}"/>
    <cellStyle name="Calculation 2 8 2 3 3 2" xfId="45264" xr:uid="{00000000-0005-0000-0000-0000223D0000}"/>
    <cellStyle name="Calculation 2 8 2 3 3 3" xfId="49170" xr:uid="{00000000-0005-0000-0000-0000233D0000}"/>
    <cellStyle name="Calculation 2 8 2 3 3 4" xfId="37254" xr:uid="{00000000-0005-0000-0000-0000243D0000}"/>
    <cellStyle name="Calculation 2 8 2 3 4" xfId="19937" xr:uid="{00000000-0005-0000-0000-0000253D0000}"/>
    <cellStyle name="Calculation 2 8 2 3 4 2" xfId="45474" xr:uid="{00000000-0005-0000-0000-0000263D0000}"/>
    <cellStyle name="Calculation 2 8 2 3 4 3" xfId="49380" xr:uid="{00000000-0005-0000-0000-0000273D0000}"/>
    <cellStyle name="Calculation 2 8 2 3 4 4" xfId="37447" xr:uid="{00000000-0005-0000-0000-0000283D0000}"/>
    <cellStyle name="Calculation 2 8 2 3 5" xfId="21004" xr:uid="{00000000-0005-0000-0000-0000293D0000}"/>
    <cellStyle name="Calculation 2 8 2 3 5 2" xfId="46541" xr:uid="{00000000-0005-0000-0000-00002A3D0000}"/>
    <cellStyle name="Calculation 2 8 2 3 5 3" xfId="50447" xr:uid="{00000000-0005-0000-0000-00002B3D0000}"/>
    <cellStyle name="Calculation 2 8 2 3 5 4" xfId="38410" xr:uid="{00000000-0005-0000-0000-00002C3D0000}"/>
    <cellStyle name="Calculation 2 8 2 3 6" xfId="21657" xr:uid="{00000000-0005-0000-0000-00002D3D0000}"/>
    <cellStyle name="Calculation 2 8 2 3 6 2" xfId="47194" xr:uid="{00000000-0005-0000-0000-00002E3D0000}"/>
    <cellStyle name="Calculation 2 8 2 3 6 3" xfId="51100" xr:uid="{00000000-0005-0000-0000-00002F3D0000}"/>
    <cellStyle name="Calculation 2 8 2 3 7" xfId="40997" xr:uid="{00000000-0005-0000-0000-0000303D0000}"/>
    <cellStyle name="Calculation 2 8 2 3 8" xfId="40485" xr:uid="{00000000-0005-0000-0000-0000313D0000}"/>
    <cellStyle name="Calculation 2 8 2 4" xfId="14761" xr:uid="{00000000-0005-0000-0000-0000323D0000}"/>
    <cellStyle name="Calculation 2 8 2 4 2" xfId="42877" xr:uid="{00000000-0005-0000-0000-0000333D0000}"/>
    <cellStyle name="Calculation 2 8 2 4 3" xfId="40534" xr:uid="{00000000-0005-0000-0000-0000343D0000}"/>
    <cellStyle name="Calculation 2 8 2 4 4" xfId="32396" xr:uid="{00000000-0005-0000-0000-0000353D0000}"/>
    <cellStyle name="Calculation 2 8 2 5" xfId="13056" xr:uid="{00000000-0005-0000-0000-0000363D0000}"/>
    <cellStyle name="Calculation 2 8 2 5 2" xfId="42277" xr:uid="{00000000-0005-0000-0000-0000373D0000}"/>
    <cellStyle name="Calculation 2 8 2 5 3" xfId="40329" xr:uid="{00000000-0005-0000-0000-0000383D0000}"/>
    <cellStyle name="Calculation 2 8 2 5 4" xfId="30705" xr:uid="{00000000-0005-0000-0000-0000393D0000}"/>
    <cellStyle name="Calculation 2 8 2 6" xfId="15302" xr:uid="{00000000-0005-0000-0000-00003A3D0000}"/>
    <cellStyle name="Calculation 2 8 2 6 2" xfId="43170" xr:uid="{00000000-0005-0000-0000-00003B3D0000}"/>
    <cellStyle name="Calculation 2 8 2 6 3" xfId="40034" xr:uid="{00000000-0005-0000-0000-00003C3D0000}"/>
    <cellStyle name="Calculation 2 8 2 6 4" xfId="32937" xr:uid="{00000000-0005-0000-0000-00003D3D0000}"/>
    <cellStyle name="Calculation 2 8 2 7" xfId="11645" xr:uid="{00000000-0005-0000-0000-00003E3D0000}"/>
    <cellStyle name="Calculation 2 8 2 7 2" xfId="41656" xr:uid="{00000000-0005-0000-0000-00003F3D0000}"/>
    <cellStyle name="Calculation 2 8 2 7 3" xfId="43210" xr:uid="{00000000-0005-0000-0000-0000403D0000}"/>
    <cellStyle name="Calculation 2 8 2 7 4" xfId="29345" xr:uid="{00000000-0005-0000-0000-0000413D0000}"/>
    <cellStyle name="Calculation 2 8 2 8" xfId="19452" xr:uid="{00000000-0005-0000-0000-0000423D0000}"/>
    <cellStyle name="Calculation 2 8 2 8 2" xfId="44989" xr:uid="{00000000-0005-0000-0000-0000433D0000}"/>
    <cellStyle name="Calculation 2 8 2 8 3" xfId="48895" xr:uid="{00000000-0005-0000-0000-0000443D0000}"/>
    <cellStyle name="Calculation 2 8 2 9" xfId="39737" xr:uid="{00000000-0005-0000-0000-0000453D0000}"/>
    <cellStyle name="Calculation 2 8 3" xfId="52956" xr:uid="{00000000-0005-0000-0000-0000463D0000}"/>
    <cellStyle name="Calculation 2 9" xfId="1458" xr:uid="{00000000-0005-0000-0000-0000473D0000}"/>
    <cellStyle name="Calculation 2 9 2" xfId="6974" xr:uid="{00000000-0005-0000-0000-0000483D0000}"/>
    <cellStyle name="Calculation 2 9 2 10" xfId="39420" xr:uid="{00000000-0005-0000-0000-0000493D0000}"/>
    <cellStyle name="Calculation 2 9 2 2" xfId="10504" xr:uid="{00000000-0005-0000-0000-00004A3D0000}"/>
    <cellStyle name="Calculation 2 9 2 2 2" xfId="18297" xr:uid="{00000000-0005-0000-0000-00004B3D0000}"/>
    <cellStyle name="Calculation 2 9 2 2 2 2" xfId="43844" xr:uid="{00000000-0005-0000-0000-00004C3D0000}"/>
    <cellStyle name="Calculation 2 9 2 2 2 3" xfId="47753" xr:uid="{00000000-0005-0000-0000-00004D3D0000}"/>
    <cellStyle name="Calculation 2 9 2 2 2 4" xfId="35934" xr:uid="{00000000-0005-0000-0000-00004E3D0000}"/>
    <cellStyle name="Calculation 2 9 2 2 3" xfId="19309" xr:uid="{00000000-0005-0000-0000-00004F3D0000}"/>
    <cellStyle name="Calculation 2 9 2 2 3 2" xfId="44846" xr:uid="{00000000-0005-0000-0000-0000503D0000}"/>
    <cellStyle name="Calculation 2 9 2 2 3 3" xfId="48752" xr:uid="{00000000-0005-0000-0000-0000513D0000}"/>
    <cellStyle name="Calculation 2 9 2 2 3 4" xfId="36887" xr:uid="{00000000-0005-0000-0000-0000523D0000}"/>
    <cellStyle name="Calculation 2 9 2 2 4" xfId="11652" xr:uid="{00000000-0005-0000-0000-0000533D0000}"/>
    <cellStyle name="Calculation 2 9 2 2 4 2" xfId="41663" xr:uid="{00000000-0005-0000-0000-0000543D0000}"/>
    <cellStyle name="Calculation 2 9 2 2 4 3" xfId="43598" xr:uid="{00000000-0005-0000-0000-0000553D0000}"/>
    <cellStyle name="Calculation 2 9 2 2 4 4" xfId="29351" xr:uid="{00000000-0005-0000-0000-0000563D0000}"/>
    <cellStyle name="Calculation 2 9 2 2 5" xfId="20710" xr:uid="{00000000-0005-0000-0000-0000573D0000}"/>
    <cellStyle name="Calculation 2 9 2 2 5 2" xfId="46247" xr:uid="{00000000-0005-0000-0000-0000583D0000}"/>
    <cellStyle name="Calculation 2 9 2 2 5 3" xfId="50153" xr:uid="{00000000-0005-0000-0000-0000593D0000}"/>
    <cellStyle name="Calculation 2 9 2 2 5 4" xfId="38116" xr:uid="{00000000-0005-0000-0000-00005A3D0000}"/>
    <cellStyle name="Calculation 2 9 2 2 6" xfId="21363" xr:uid="{00000000-0005-0000-0000-00005B3D0000}"/>
    <cellStyle name="Calculation 2 9 2 2 6 2" xfId="46900" xr:uid="{00000000-0005-0000-0000-00005C3D0000}"/>
    <cellStyle name="Calculation 2 9 2 2 6 3" xfId="50806" xr:uid="{00000000-0005-0000-0000-00005D3D0000}"/>
    <cellStyle name="Calculation 2 9 2 2 7" xfId="40703" xr:uid="{00000000-0005-0000-0000-00005E3D0000}"/>
    <cellStyle name="Calculation 2 9 2 2 8" xfId="42856" xr:uid="{00000000-0005-0000-0000-00005F3D0000}"/>
    <cellStyle name="Calculation 2 9 2 3" xfId="10799" xr:uid="{00000000-0005-0000-0000-0000603D0000}"/>
    <cellStyle name="Calculation 2 9 2 3 2" xfId="18592" xr:uid="{00000000-0005-0000-0000-0000613D0000}"/>
    <cellStyle name="Calculation 2 9 2 3 2 2" xfId="44139" xr:uid="{00000000-0005-0000-0000-0000623D0000}"/>
    <cellStyle name="Calculation 2 9 2 3 2 3" xfId="48048" xr:uid="{00000000-0005-0000-0000-0000633D0000}"/>
    <cellStyle name="Calculation 2 9 2 3 2 4" xfId="36229" xr:uid="{00000000-0005-0000-0000-0000643D0000}"/>
    <cellStyle name="Calculation 2 9 2 3 3" xfId="11512" xr:uid="{00000000-0005-0000-0000-0000653D0000}"/>
    <cellStyle name="Calculation 2 9 2 3 3 2" xfId="41523" xr:uid="{00000000-0005-0000-0000-0000663D0000}"/>
    <cellStyle name="Calculation 2 9 2 3 3 3" xfId="40214" xr:uid="{00000000-0005-0000-0000-0000673D0000}"/>
    <cellStyle name="Calculation 2 9 2 3 3 4" xfId="29227" xr:uid="{00000000-0005-0000-0000-0000683D0000}"/>
    <cellStyle name="Calculation 2 9 2 3 4" xfId="20119" xr:uid="{00000000-0005-0000-0000-0000693D0000}"/>
    <cellStyle name="Calculation 2 9 2 3 4 2" xfId="45656" xr:uid="{00000000-0005-0000-0000-00006A3D0000}"/>
    <cellStyle name="Calculation 2 9 2 3 4 3" xfId="49562" xr:uid="{00000000-0005-0000-0000-00006B3D0000}"/>
    <cellStyle name="Calculation 2 9 2 3 4 4" xfId="37605" xr:uid="{00000000-0005-0000-0000-00006C3D0000}"/>
    <cellStyle name="Calculation 2 9 2 3 5" xfId="21005" xr:uid="{00000000-0005-0000-0000-00006D3D0000}"/>
    <cellStyle name="Calculation 2 9 2 3 5 2" xfId="46542" xr:uid="{00000000-0005-0000-0000-00006E3D0000}"/>
    <cellStyle name="Calculation 2 9 2 3 5 3" xfId="50448" xr:uid="{00000000-0005-0000-0000-00006F3D0000}"/>
    <cellStyle name="Calculation 2 9 2 3 5 4" xfId="38411" xr:uid="{00000000-0005-0000-0000-0000703D0000}"/>
    <cellStyle name="Calculation 2 9 2 3 6" xfId="21658" xr:uid="{00000000-0005-0000-0000-0000713D0000}"/>
    <cellStyle name="Calculation 2 9 2 3 6 2" xfId="47195" xr:uid="{00000000-0005-0000-0000-0000723D0000}"/>
    <cellStyle name="Calculation 2 9 2 3 6 3" xfId="51101" xr:uid="{00000000-0005-0000-0000-0000733D0000}"/>
    <cellStyle name="Calculation 2 9 2 3 7" xfId="40998" xr:uid="{00000000-0005-0000-0000-0000743D0000}"/>
    <cellStyle name="Calculation 2 9 2 3 8" xfId="39595" xr:uid="{00000000-0005-0000-0000-0000753D0000}"/>
    <cellStyle name="Calculation 2 9 2 4" xfId="14762" xr:uid="{00000000-0005-0000-0000-0000763D0000}"/>
    <cellStyle name="Calculation 2 9 2 4 2" xfId="42878" xr:uid="{00000000-0005-0000-0000-0000773D0000}"/>
    <cellStyle name="Calculation 2 9 2 4 3" xfId="39642" xr:uid="{00000000-0005-0000-0000-0000783D0000}"/>
    <cellStyle name="Calculation 2 9 2 4 4" xfId="32397" xr:uid="{00000000-0005-0000-0000-0000793D0000}"/>
    <cellStyle name="Calculation 2 9 2 5" xfId="11275" xr:uid="{00000000-0005-0000-0000-00007A3D0000}"/>
    <cellStyle name="Calculation 2 9 2 5 2" xfId="41322" xr:uid="{00000000-0005-0000-0000-00007B3D0000}"/>
    <cellStyle name="Calculation 2 9 2 5 3" xfId="39477" xr:uid="{00000000-0005-0000-0000-00007C3D0000}"/>
    <cellStyle name="Calculation 2 9 2 5 4" xfId="29003" xr:uid="{00000000-0005-0000-0000-00007D3D0000}"/>
    <cellStyle name="Calculation 2 9 2 6" xfId="20255" xr:uid="{00000000-0005-0000-0000-00007E3D0000}"/>
    <cellStyle name="Calculation 2 9 2 6 2" xfId="45792" xr:uid="{00000000-0005-0000-0000-00007F3D0000}"/>
    <cellStyle name="Calculation 2 9 2 6 3" xfId="49698" xr:uid="{00000000-0005-0000-0000-0000803D0000}"/>
    <cellStyle name="Calculation 2 9 2 6 4" xfId="37726" xr:uid="{00000000-0005-0000-0000-0000813D0000}"/>
    <cellStyle name="Calculation 2 9 2 7" xfId="19251" xr:uid="{00000000-0005-0000-0000-0000823D0000}"/>
    <cellStyle name="Calculation 2 9 2 7 2" xfId="44788" xr:uid="{00000000-0005-0000-0000-0000833D0000}"/>
    <cellStyle name="Calculation 2 9 2 7 3" xfId="48694" xr:uid="{00000000-0005-0000-0000-0000843D0000}"/>
    <cellStyle name="Calculation 2 9 2 7 4" xfId="36829" xr:uid="{00000000-0005-0000-0000-0000853D0000}"/>
    <cellStyle name="Calculation 2 9 2 8" xfId="20349" xr:uid="{00000000-0005-0000-0000-0000863D0000}"/>
    <cellStyle name="Calculation 2 9 2 8 2" xfId="45886" xr:uid="{00000000-0005-0000-0000-0000873D0000}"/>
    <cellStyle name="Calculation 2 9 2 8 3" xfId="49792" xr:uid="{00000000-0005-0000-0000-0000883D0000}"/>
    <cellStyle name="Calculation 2 9 2 9" xfId="39738" xr:uid="{00000000-0005-0000-0000-0000893D0000}"/>
    <cellStyle name="Calculation 2 9 3" xfId="52957" xr:uid="{00000000-0005-0000-0000-00008A3D0000}"/>
    <cellStyle name="Calculation 2_BallGrid" xfId="1459" xr:uid="{00000000-0005-0000-0000-00008B3D0000}"/>
    <cellStyle name="Calculation 3" xfId="77" xr:uid="{00000000-0005-0000-0000-00008C3D0000}"/>
    <cellStyle name="Calculation 3 10" xfId="6975" xr:uid="{00000000-0005-0000-0000-00008D3D0000}"/>
    <cellStyle name="Calculation 3 10 10" xfId="39255" xr:uid="{00000000-0005-0000-0000-00008E3D0000}"/>
    <cellStyle name="Calculation 3 10 2" xfId="10505" xr:uid="{00000000-0005-0000-0000-00008F3D0000}"/>
    <cellStyle name="Calculation 3 10 2 2" xfId="18298" xr:uid="{00000000-0005-0000-0000-0000903D0000}"/>
    <cellStyle name="Calculation 3 10 2 2 2" xfId="43845" xr:uid="{00000000-0005-0000-0000-0000913D0000}"/>
    <cellStyle name="Calculation 3 10 2 2 3" xfId="47754" xr:uid="{00000000-0005-0000-0000-0000923D0000}"/>
    <cellStyle name="Calculation 3 10 2 2 4" xfId="35935" xr:uid="{00000000-0005-0000-0000-0000933D0000}"/>
    <cellStyle name="Calculation 3 10 2 3" xfId="19918" xr:uid="{00000000-0005-0000-0000-0000943D0000}"/>
    <cellStyle name="Calculation 3 10 2 3 2" xfId="45455" xr:uid="{00000000-0005-0000-0000-0000953D0000}"/>
    <cellStyle name="Calculation 3 10 2 3 3" xfId="49361" xr:uid="{00000000-0005-0000-0000-0000963D0000}"/>
    <cellStyle name="Calculation 3 10 2 3 4" xfId="37432" xr:uid="{00000000-0005-0000-0000-0000973D0000}"/>
    <cellStyle name="Calculation 3 10 2 4" xfId="12614" xr:uid="{00000000-0005-0000-0000-0000983D0000}"/>
    <cellStyle name="Calculation 3 10 2 4 2" xfId="42093" xr:uid="{00000000-0005-0000-0000-0000993D0000}"/>
    <cellStyle name="Calculation 3 10 2 4 3" xfId="40450" xr:uid="{00000000-0005-0000-0000-00009A3D0000}"/>
    <cellStyle name="Calculation 3 10 2 4 4" xfId="30280" xr:uid="{00000000-0005-0000-0000-00009B3D0000}"/>
    <cellStyle name="Calculation 3 10 2 5" xfId="20711" xr:uid="{00000000-0005-0000-0000-00009C3D0000}"/>
    <cellStyle name="Calculation 3 10 2 5 2" xfId="46248" xr:uid="{00000000-0005-0000-0000-00009D3D0000}"/>
    <cellStyle name="Calculation 3 10 2 5 3" xfId="50154" xr:uid="{00000000-0005-0000-0000-00009E3D0000}"/>
    <cellStyle name="Calculation 3 10 2 5 4" xfId="38117" xr:uid="{00000000-0005-0000-0000-00009F3D0000}"/>
    <cellStyle name="Calculation 3 10 2 6" xfId="21364" xr:uid="{00000000-0005-0000-0000-0000A03D0000}"/>
    <cellStyle name="Calculation 3 10 2 6 2" xfId="46901" xr:uid="{00000000-0005-0000-0000-0000A13D0000}"/>
    <cellStyle name="Calculation 3 10 2 6 3" xfId="50807" xr:uid="{00000000-0005-0000-0000-0000A23D0000}"/>
    <cellStyle name="Calculation 3 10 2 7" xfId="40704" xr:uid="{00000000-0005-0000-0000-0000A33D0000}"/>
    <cellStyle name="Calculation 3 10 2 8" xfId="43745" xr:uid="{00000000-0005-0000-0000-0000A43D0000}"/>
    <cellStyle name="Calculation 3 10 3" xfId="10800" xr:uid="{00000000-0005-0000-0000-0000A53D0000}"/>
    <cellStyle name="Calculation 3 10 3 2" xfId="18593" xr:uid="{00000000-0005-0000-0000-0000A63D0000}"/>
    <cellStyle name="Calculation 3 10 3 2 2" xfId="44140" xr:uid="{00000000-0005-0000-0000-0000A73D0000}"/>
    <cellStyle name="Calculation 3 10 3 2 3" xfId="48049" xr:uid="{00000000-0005-0000-0000-0000A83D0000}"/>
    <cellStyle name="Calculation 3 10 3 2 4" xfId="36230" xr:uid="{00000000-0005-0000-0000-0000A93D0000}"/>
    <cellStyle name="Calculation 3 10 3 3" xfId="13330" xr:uid="{00000000-0005-0000-0000-0000AA3D0000}"/>
    <cellStyle name="Calculation 3 10 3 3 2" xfId="42500" xr:uid="{00000000-0005-0000-0000-0000AB3D0000}"/>
    <cellStyle name="Calculation 3 10 3 3 3" xfId="39440" xr:uid="{00000000-0005-0000-0000-0000AC3D0000}"/>
    <cellStyle name="Calculation 3 10 3 3 4" xfId="30970" xr:uid="{00000000-0005-0000-0000-0000AD3D0000}"/>
    <cellStyle name="Calculation 3 10 3 4" xfId="18957" xr:uid="{00000000-0005-0000-0000-0000AE3D0000}"/>
    <cellStyle name="Calculation 3 10 3 4 2" xfId="44494" xr:uid="{00000000-0005-0000-0000-0000AF3D0000}"/>
    <cellStyle name="Calculation 3 10 3 4 3" xfId="48400" xr:uid="{00000000-0005-0000-0000-0000B03D0000}"/>
    <cellStyle name="Calculation 3 10 3 4 4" xfId="36583" xr:uid="{00000000-0005-0000-0000-0000B13D0000}"/>
    <cellStyle name="Calculation 3 10 3 5" xfId="21006" xr:uid="{00000000-0005-0000-0000-0000B23D0000}"/>
    <cellStyle name="Calculation 3 10 3 5 2" xfId="46543" xr:uid="{00000000-0005-0000-0000-0000B33D0000}"/>
    <cellStyle name="Calculation 3 10 3 5 3" xfId="50449" xr:uid="{00000000-0005-0000-0000-0000B43D0000}"/>
    <cellStyle name="Calculation 3 10 3 5 4" xfId="38412" xr:uid="{00000000-0005-0000-0000-0000B53D0000}"/>
    <cellStyle name="Calculation 3 10 3 6" xfId="21659" xr:uid="{00000000-0005-0000-0000-0000B63D0000}"/>
    <cellStyle name="Calculation 3 10 3 6 2" xfId="47196" xr:uid="{00000000-0005-0000-0000-0000B73D0000}"/>
    <cellStyle name="Calculation 3 10 3 6 3" xfId="51102" xr:uid="{00000000-0005-0000-0000-0000B83D0000}"/>
    <cellStyle name="Calculation 3 10 3 7" xfId="40999" xr:uid="{00000000-0005-0000-0000-0000B93D0000}"/>
    <cellStyle name="Calculation 3 10 3 8" xfId="42603" xr:uid="{00000000-0005-0000-0000-0000BA3D0000}"/>
    <cellStyle name="Calculation 3 10 4" xfId="14763" xr:uid="{00000000-0005-0000-0000-0000BB3D0000}"/>
    <cellStyle name="Calculation 3 10 4 2" xfId="42879" xr:uid="{00000000-0005-0000-0000-0000BC3D0000}"/>
    <cellStyle name="Calculation 3 10 4 3" xfId="42678" xr:uid="{00000000-0005-0000-0000-0000BD3D0000}"/>
    <cellStyle name="Calculation 3 10 4 4" xfId="32398" xr:uid="{00000000-0005-0000-0000-0000BE3D0000}"/>
    <cellStyle name="Calculation 3 10 5" xfId="13057" xr:uid="{00000000-0005-0000-0000-0000BF3D0000}"/>
    <cellStyle name="Calculation 3 10 5 2" xfId="42278" xr:uid="{00000000-0005-0000-0000-0000C03D0000}"/>
    <cellStyle name="Calculation 3 10 5 3" xfId="39446" xr:uid="{00000000-0005-0000-0000-0000C13D0000}"/>
    <cellStyle name="Calculation 3 10 5 4" xfId="30706" xr:uid="{00000000-0005-0000-0000-0000C23D0000}"/>
    <cellStyle name="Calculation 3 10 6" xfId="12036" xr:uid="{00000000-0005-0000-0000-0000C33D0000}"/>
    <cellStyle name="Calculation 3 10 6 2" xfId="41792" xr:uid="{00000000-0005-0000-0000-0000C43D0000}"/>
    <cellStyle name="Calculation 3 10 6 3" xfId="47505" xr:uid="{00000000-0005-0000-0000-0000C53D0000}"/>
    <cellStyle name="Calculation 3 10 6 4" xfId="29715" xr:uid="{00000000-0005-0000-0000-0000C63D0000}"/>
    <cellStyle name="Calculation 3 10 7" xfId="20529" xr:uid="{00000000-0005-0000-0000-0000C73D0000}"/>
    <cellStyle name="Calculation 3 10 7 2" xfId="46066" xr:uid="{00000000-0005-0000-0000-0000C83D0000}"/>
    <cellStyle name="Calculation 3 10 7 3" xfId="49972" xr:uid="{00000000-0005-0000-0000-0000C93D0000}"/>
    <cellStyle name="Calculation 3 10 7 4" xfId="37958" xr:uid="{00000000-0005-0000-0000-0000CA3D0000}"/>
    <cellStyle name="Calculation 3 10 8" xfId="13305" xr:uid="{00000000-0005-0000-0000-0000CB3D0000}"/>
    <cellStyle name="Calculation 3 10 8 2" xfId="42475" xr:uid="{00000000-0005-0000-0000-0000CC3D0000}"/>
    <cellStyle name="Calculation 3 10 8 3" xfId="43570" xr:uid="{00000000-0005-0000-0000-0000CD3D0000}"/>
    <cellStyle name="Calculation 3 10 9" xfId="39739" xr:uid="{00000000-0005-0000-0000-0000CE3D0000}"/>
    <cellStyle name="Calculation 3 11" xfId="1460" xr:uid="{00000000-0005-0000-0000-0000CF3D0000}"/>
    <cellStyle name="Calculation 3 12" xfId="52751" xr:uid="{00000000-0005-0000-0000-0000D03D0000}"/>
    <cellStyle name="Calculation 3 2" xfId="1461" xr:uid="{00000000-0005-0000-0000-0000D13D0000}"/>
    <cellStyle name="Calculation 3 2 2" xfId="6976" xr:uid="{00000000-0005-0000-0000-0000D23D0000}"/>
    <cellStyle name="Calculation 3 2 2 10" xfId="47597" xr:uid="{00000000-0005-0000-0000-0000D33D0000}"/>
    <cellStyle name="Calculation 3 2 2 2" xfId="10506" xr:uid="{00000000-0005-0000-0000-0000D43D0000}"/>
    <cellStyle name="Calculation 3 2 2 2 2" xfId="18299" xr:uid="{00000000-0005-0000-0000-0000D53D0000}"/>
    <cellStyle name="Calculation 3 2 2 2 2 2" xfId="43846" xr:uid="{00000000-0005-0000-0000-0000D63D0000}"/>
    <cellStyle name="Calculation 3 2 2 2 2 3" xfId="47755" xr:uid="{00000000-0005-0000-0000-0000D73D0000}"/>
    <cellStyle name="Calculation 3 2 2 2 2 4" xfId="35936" xr:uid="{00000000-0005-0000-0000-0000D83D0000}"/>
    <cellStyle name="Calculation 3 2 2 2 3" xfId="19141" xr:uid="{00000000-0005-0000-0000-0000D93D0000}"/>
    <cellStyle name="Calculation 3 2 2 2 3 2" xfId="44678" xr:uid="{00000000-0005-0000-0000-0000DA3D0000}"/>
    <cellStyle name="Calculation 3 2 2 2 3 3" xfId="48584" xr:uid="{00000000-0005-0000-0000-0000DB3D0000}"/>
    <cellStyle name="Calculation 3 2 2 2 3 4" xfId="36736" xr:uid="{00000000-0005-0000-0000-0000DC3D0000}"/>
    <cellStyle name="Calculation 3 2 2 2 4" xfId="19561" xr:uid="{00000000-0005-0000-0000-0000DD3D0000}"/>
    <cellStyle name="Calculation 3 2 2 2 4 2" xfId="45098" xr:uid="{00000000-0005-0000-0000-0000DE3D0000}"/>
    <cellStyle name="Calculation 3 2 2 2 4 3" xfId="49004" xr:uid="{00000000-0005-0000-0000-0000DF3D0000}"/>
    <cellStyle name="Calculation 3 2 2 2 4 4" xfId="37102" xr:uid="{00000000-0005-0000-0000-0000E03D0000}"/>
    <cellStyle name="Calculation 3 2 2 2 5" xfId="20712" xr:uid="{00000000-0005-0000-0000-0000E13D0000}"/>
    <cellStyle name="Calculation 3 2 2 2 5 2" xfId="46249" xr:uid="{00000000-0005-0000-0000-0000E23D0000}"/>
    <cellStyle name="Calculation 3 2 2 2 5 3" xfId="50155" xr:uid="{00000000-0005-0000-0000-0000E33D0000}"/>
    <cellStyle name="Calculation 3 2 2 2 5 4" xfId="38118" xr:uid="{00000000-0005-0000-0000-0000E43D0000}"/>
    <cellStyle name="Calculation 3 2 2 2 6" xfId="21365" xr:uid="{00000000-0005-0000-0000-0000E53D0000}"/>
    <cellStyle name="Calculation 3 2 2 2 6 2" xfId="46902" xr:uid="{00000000-0005-0000-0000-0000E63D0000}"/>
    <cellStyle name="Calculation 3 2 2 2 6 3" xfId="50808" xr:uid="{00000000-0005-0000-0000-0000E73D0000}"/>
    <cellStyle name="Calculation 3 2 2 2 7" xfId="40705" xr:uid="{00000000-0005-0000-0000-0000E83D0000}"/>
    <cellStyle name="Calculation 3 2 2 2 8" xfId="40604" xr:uid="{00000000-0005-0000-0000-0000E93D0000}"/>
    <cellStyle name="Calculation 3 2 2 3" xfId="10801" xr:uid="{00000000-0005-0000-0000-0000EA3D0000}"/>
    <cellStyle name="Calculation 3 2 2 3 2" xfId="18594" xr:uid="{00000000-0005-0000-0000-0000EB3D0000}"/>
    <cellStyle name="Calculation 3 2 2 3 2 2" xfId="44141" xr:uid="{00000000-0005-0000-0000-0000EC3D0000}"/>
    <cellStyle name="Calculation 3 2 2 3 2 3" xfId="48050" xr:uid="{00000000-0005-0000-0000-0000ED3D0000}"/>
    <cellStyle name="Calculation 3 2 2 3 2 4" xfId="36231" xr:uid="{00000000-0005-0000-0000-0000EE3D0000}"/>
    <cellStyle name="Calculation 3 2 2 3 3" xfId="19595" xr:uid="{00000000-0005-0000-0000-0000EF3D0000}"/>
    <cellStyle name="Calculation 3 2 2 3 3 2" xfId="45132" xr:uid="{00000000-0005-0000-0000-0000F03D0000}"/>
    <cellStyle name="Calculation 3 2 2 3 3 3" xfId="49038" xr:uid="{00000000-0005-0000-0000-0000F13D0000}"/>
    <cellStyle name="Calculation 3 2 2 3 3 4" xfId="37135" xr:uid="{00000000-0005-0000-0000-0000F23D0000}"/>
    <cellStyle name="Calculation 3 2 2 3 4" xfId="19243" xr:uid="{00000000-0005-0000-0000-0000F33D0000}"/>
    <cellStyle name="Calculation 3 2 2 3 4 2" xfId="44780" xr:uid="{00000000-0005-0000-0000-0000F43D0000}"/>
    <cellStyle name="Calculation 3 2 2 3 4 3" xfId="48686" xr:uid="{00000000-0005-0000-0000-0000F53D0000}"/>
    <cellStyle name="Calculation 3 2 2 3 4 4" xfId="36821" xr:uid="{00000000-0005-0000-0000-0000F63D0000}"/>
    <cellStyle name="Calculation 3 2 2 3 5" xfId="21007" xr:uid="{00000000-0005-0000-0000-0000F73D0000}"/>
    <cellStyle name="Calculation 3 2 2 3 5 2" xfId="46544" xr:uid="{00000000-0005-0000-0000-0000F83D0000}"/>
    <cellStyle name="Calculation 3 2 2 3 5 3" xfId="50450" xr:uid="{00000000-0005-0000-0000-0000F93D0000}"/>
    <cellStyle name="Calculation 3 2 2 3 5 4" xfId="38413" xr:uid="{00000000-0005-0000-0000-0000FA3D0000}"/>
    <cellStyle name="Calculation 3 2 2 3 6" xfId="21660" xr:uid="{00000000-0005-0000-0000-0000FB3D0000}"/>
    <cellStyle name="Calculation 3 2 2 3 6 2" xfId="47197" xr:uid="{00000000-0005-0000-0000-0000FC3D0000}"/>
    <cellStyle name="Calculation 3 2 2 3 6 3" xfId="51103" xr:uid="{00000000-0005-0000-0000-0000FD3D0000}"/>
    <cellStyle name="Calculation 3 2 2 3 7" xfId="41000" xr:uid="{00000000-0005-0000-0000-0000FE3D0000}"/>
    <cellStyle name="Calculation 3 2 2 3 8" xfId="43516" xr:uid="{00000000-0005-0000-0000-0000FF3D0000}"/>
    <cellStyle name="Calculation 3 2 2 4" xfId="14764" xr:uid="{00000000-0005-0000-0000-0000003E0000}"/>
    <cellStyle name="Calculation 3 2 2 4 2" xfId="42880" xr:uid="{00000000-0005-0000-0000-0000013E0000}"/>
    <cellStyle name="Calculation 3 2 2 4 3" xfId="43566" xr:uid="{00000000-0005-0000-0000-0000023E0000}"/>
    <cellStyle name="Calculation 3 2 2 4 4" xfId="32399" xr:uid="{00000000-0005-0000-0000-0000033E0000}"/>
    <cellStyle name="Calculation 3 2 2 5" xfId="11276" xr:uid="{00000000-0005-0000-0000-0000043E0000}"/>
    <cellStyle name="Calculation 3 2 2 5 2" xfId="41323" xr:uid="{00000000-0005-0000-0000-0000053E0000}"/>
    <cellStyle name="Calculation 3 2 2 5 3" xfId="42041" xr:uid="{00000000-0005-0000-0000-0000063E0000}"/>
    <cellStyle name="Calculation 3 2 2 5 4" xfId="29004" xr:uid="{00000000-0005-0000-0000-0000073E0000}"/>
    <cellStyle name="Calculation 3 2 2 6" xfId="18912" xr:uid="{00000000-0005-0000-0000-0000083E0000}"/>
    <cellStyle name="Calculation 3 2 2 6 2" xfId="44449" xr:uid="{00000000-0005-0000-0000-0000093E0000}"/>
    <cellStyle name="Calculation 3 2 2 6 3" xfId="48355" xr:uid="{00000000-0005-0000-0000-00000A3E0000}"/>
    <cellStyle name="Calculation 3 2 2 6 4" xfId="36544" xr:uid="{00000000-0005-0000-0000-00000B3E0000}"/>
    <cellStyle name="Calculation 3 2 2 7" xfId="12032" xr:uid="{00000000-0005-0000-0000-00000C3E0000}"/>
    <cellStyle name="Calculation 3 2 2 7 2" xfId="41789" xr:uid="{00000000-0005-0000-0000-00000D3E0000}"/>
    <cellStyle name="Calculation 3 2 2 7 3" xfId="39335" xr:uid="{00000000-0005-0000-0000-00000E3E0000}"/>
    <cellStyle name="Calculation 3 2 2 7 4" xfId="29712" xr:uid="{00000000-0005-0000-0000-00000F3E0000}"/>
    <cellStyle name="Calculation 3 2 2 8" xfId="20491" xr:uid="{00000000-0005-0000-0000-0000103E0000}"/>
    <cellStyle name="Calculation 3 2 2 8 2" xfId="46028" xr:uid="{00000000-0005-0000-0000-0000113E0000}"/>
    <cellStyle name="Calculation 3 2 2 8 3" xfId="49934" xr:uid="{00000000-0005-0000-0000-0000123E0000}"/>
    <cellStyle name="Calculation 3 2 2 9" xfId="39740" xr:uid="{00000000-0005-0000-0000-0000133E0000}"/>
    <cellStyle name="Calculation 3 2 3" xfId="52958" xr:uid="{00000000-0005-0000-0000-0000143E0000}"/>
    <cellStyle name="Calculation 3 3" xfId="1462" xr:uid="{00000000-0005-0000-0000-0000153E0000}"/>
    <cellStyle name="Calculation 3 3 2" xfId="6977" xr:uid="{00000000-0005-0000-0000-0000163E0000}"/>
    <cellStyle name="Calculation 3 3 2 10" xfId="41731" xr:uid="{00000000-0005-0000-0000-0000173E0000}"/>
    <cellStyle name="Calculation 3 3 2 2" xfId="10507" xr:uid="{00000000-0005-0000-0000-0000183E0000}"/>
    <cellStyle name="Calculation 3 3 2 2 2" xfId="18300" xr:uid="{00000000-0005-0000-0000-0000193E0000}"/>
    <cellStyle name="Calculation 3 3 2 2 2 2" xfId="43847" xr:uid="{00000000-0005-0000-0000-00001A3E0000}"/>
    <cellStyle name="Calculation 3 3 2 2 2 3" xfId="47756" xr:uid="{00000000-0005-0000-0000-00001B3E0000}"/>
    <cellStyle name="Calculation 3 3 2 2 2 4" xfId="35937" xr:uid="{00000000-0005-0000-0000-00001C3E0000}"/>
    <cellStyle name="Calculation 3 3 2 2 3" xfId="19763" xr:uid="{00000000-0005-0000-0000-00001D3E0000}"/>
    <cellStyle name="Calculation 3 3 2 2 3 2" xfId="45300" xr:uid="{00000000-0005-0000-0000-00001E3E0000}"/>
    <cellStyle name="Calculation 3 3 2 2 3 3" xfId="49206" xr:uid="{00000000-0005-0000-0000-00001F3E0000}"/>
    <cellStyle name="Calculation 3 3 2 2 3 4" xfId="37290" xr:uid="{00000000-0005-0000-0000-0000203E0000}"/>
    <cellStyle name="Calculation 3 3 2 2 4" xfId="19836" xr:uid="{00000000-0005-0000-0000-0000213E0000}"/>
    <cellStyle name="Calculation 3 3 2 2 4 2" xfId="45373" xr:uid="{00000000-0005-0000-0000-0000223E0000}"/>
    <cellStyle name="Calculation 3 3 2 2 4 3" xfId="49279" xr:uid="{00000000-0005-0000-0000-0000233E0000}"/>
    <cellStyle name="Calculation 3 3 2 2 4 4" xfId="37354" xr:uid="{00000000-0005-0000-0000-0000243E0000}"/>
    <cellStyle name="Calculation 3 3 2 2 5" xfId="20713" xr:uid="{00000000-0005-0000-0000-0000253E0000}"/>
    <cellStyle name="Calculation 3 3 2 2 5 2" xfId="46250" xr:uid="{00000000-0005-0000-0000-0000263E0000}"/>
    <cellStyle name="Calculation 3 3 2 2 5 3" xfId="50156" xr:uid="{00000000-0005-0000-0000-0000273E0000}"/>
    <cellStyle name="Calculation 3 3 2 2 5 4" xfId="38119" xr:uid="{00000000-0005-0000-0000-0000283E0000}"/>
    <cellStyle name="Calculation 3 3 2 2 6" xfId="21366" xr:uid="{00000000-0005-0000-0000-0000293E0000}"/>
    <cellStyle name="Calculation 3 3 2 2 6 2" xfId="46903" xr:uid="{00000000-0005-0000-0000-00002A3E0000}"/>
    <cellStyle name="Calculation 3 3 2 2 6 3" xfId="50809" xr:uid="{00000000-0005-0000-0000-00002B3E0000}"/>
    <cellStyle name="Calculation 3 3 2 2 7" xfId="40706" xr:uid="{00000000-0005-0000-0000-00002C3E0000}"/>
    <cellStyle name="Calculation 3 3 2 2 8" xfId="39715" xr:uid="{00000000-0005-0000-0000-00002D3E0000}"/>
    <cellStyle name="Calculation 3 3 2 3" xfId="10802" xr:uid="{00000000-0005-0000-0000-00002E3E0000}"/>
    <cellStyle name="Calculation 3 3 2 3 2" xfId="18595" xr:uid="{00000000-0005-0000-0000-00002F3E0000}"/>
    <cellStyle name="Calculation 3 3 2 3 2 2" xfId="44142" xr:uid="{00000000-0005-0000-0000-0000303E0000}"/>
    <cellStyle name="Calculation 3 3 2 3 2 3" xfId="48051" xr:uid="{00000000-0005-0000-0000-0000313E0000}"/>
    <cellStyle name="Calculation 3 3 2 3 2 4" xfId="36232" xr:uid="{00000000-0005-0000-0000-0000323E0000}"/>
    <cellStyle name="Calculation 3 3 2 3 3" xfId="20148" xr:uid="{00000000-0005-0000-0000-0000333E0000}"/>
    <cellStyle name="Calculation 3 3 2 3 3 2" xfId="45685" xr:uid="{00000000-0005-0000-0000-0000343E0000}"/>
    <cellStyle name="Calculation 3 3 2 3 3 3" xfId="49591" xr:uid="{00000000-0005-0000-0000-0000353E0000}"/>
    <cellStyle name="Calculation 3 3 2 3 3 4" xfId="37634" xr:uid="{00000000-0005-0000-0000-0000363E0000}"/>
    <cellStyle name="Calculation 3 3 2 3 4" xfId="19081" xr:uid="{00000000-0005-0000-0000-0000373E0000}"/>
    <cellStyle name="Calculation 3 3 2 3 4 2" xfId="44618" xr:uid="{00000000-0005-0000-0000-0000383E0000}"/>
    <cellStyle name="Calculation 3 3 2 3 4 3" xfId="48524" xr:uid="{00000000-0005-0000-0000-0000393E0000}"/>
    <cellStyle name="Calculation 3 3 2 3 4 4" xfId="36677" xr:uid="{00000000-0005-0000-0000-00003A3E0000}"/>
    <cellStyle name="Calculation 3 3 2 3 5" xfId="21008" xr:uid="{00000000-0005-0000-0000-00003B3E0000}"/>
    <cellStyle name="Calculation 3 3 2 3 5 2" xfId="46545" xr:uid="{00000000-0005-0000-0000-00003C3E0000}"/>
    <cellStyle name="Calculation 3 3 2 3 5 3" xfId="50451" xr:uid="{00000000-0005-0000-0000-00003D3E0000}"/>
    <cellStyle name="Calculation 3 3 2 3 5 4" xfId="38414" xr:uid="{00000000-0005-0000-0000-00003E3E0000}"/>
    <cellStyle name="Calculation 3 3 2 3 6" xfId="21661" xr:uid="{00000000-0005-0000-0000-00003F3E0000}"/>
    <cellStyle name="Calculation 3 3 2 3 6 2" xfId="47198" xr:uid="{00000000-0005-0000-0000-0000403E0000}"/>
    <cellStyle name="Calculation 3 3 2 3 6 3" xfId="51104" xr:uid="{00000000-0005-0000-0000-0000413E0000}"/>
    <cellStyle name="Calculation 3 3 2 3 7" xfId="41001" xr:uid="{00000000-0005-0000-0000-0000423E0000}"/>
    <cellStyle name="Calculation 3 3 2 3 8" xfId="40379" xr:uid="{00000000-0005-0000-0000-0000433E0000}"/>
    <cellStyle name="Calculation 3 3 2 4" xfId="14765" xr:uid="{00000000-0005-0000-0000-0000443E0000}"/>
    <cellStyle name="Calculation 3 3 2 4 2" xfId="42881" xr:uid="{00000000-0005-0000-0000-0000453E0000}"/>
    <cellStyle name="Calculation 3 3 2 4 3" xfId="40427" xr:uid="{00000000-0005-0000-0000-0000463E0000}"/>
    <cellStyle name="Calculation 3 3 2 4 4" xfId="32400" xr:uid="{00000000-0005-0000-0000-0000473E0000}"/>
    <cellStyle name="Calculation 3 3 2 5" xfId="11277" xr:uid="{00000000-0005-0000-0000-0000483E0000}"/>
    <cellStyle name="Calculation 3 3 2 5 2" xfId="41324" xr:uid="{00000000-0005-0000-0000-0000493E0000}"/>
    <cellStyle name="Calculation 3 3 2 5 3" xfId="43362" xr:uid="{00000000-0005-0000-0000-00004A3E0000}"/>
    <cellStyle name="Calculation 3 3 2 5 4" xfId="29005" xr:uid="{00000000-0005-0000-0000-00004B3E0000}"/>
    <cellStyle name="Calculation 3 3 2 6" xfId="19555" xr:uid="{00000000-0005-0000-0000-00004C3E0000}"/>
    <cellStyle name="Calculation 3 3 2 6 2" xfId="45092" xr:uid="{00000000-0005-0000-0000-00004D3E0000}"/>
    <cellStyle name="Calculation 3 3 2 6 3" xfId="48998" xr:uid="{00000000-0005-0000-0000-00004E3E0000}"/>
    <cellStyle name="Calculation 3 3 2 6 4" xfId="37097" xr:uid="{00000000-0005-0000-0000-00004F3E0000}"/>
    <cellStyle name="Calculation 3 3 2 7" xfId="11569" xr:uid="{00000000-0005-0000-0000-0000503E0000}"/>
    <cellStyle name="Calculation 3 3 2 7 2" xfId="41580" xr:uid="{00000000-0005-0000-0000-0000513E0000}"/>
    <cellStyle name="Calculation 3 3 2 7 3" xfId="39353" xr:uid="{00000000-0005-0000-0000-0000523E0000}"/>
    <cellStyle name="Calculation 3 3 2 7 4" xfId="29280" xr:uid="{00000000-0005-0000-0000-0000533E0000}"/>
    <cellStyle name="Calculation 3 3 2 8" xfId="12092" xr:uid="{00000000-0005-0000-0000-0000543E0000}"/>
    <cellStyle name="Calculation 3 3 2 8 2" xfId="41837" xr:uid="{00000000-0005-0000-0000-0000553E0000}"/>
    <cellStyle name="Calculation 3 3 2 8 3" xfId="39329" xr:uid="{00000000-0005-0000-0000-0000563E0000}"/>
    <cellStyle name="Calculation 3 3 2 9" xfId="39741" xr:uid="{00000000-0005-0000-0000-0000573E0000}"/>
    <cellStyle name="Calculation 3 3 3" xfId="52959" xr:uid="{00000000-0005-0000-0000-0000583E0000}"/>
    <cellStyle name="Calculation 3 4" xfId="1463" xr:uid="{00000000-0005-0000-0000-0000593E0000}"/>
    <cellStyle name="Calculation 3 4 2" xfId="6978" xr:uid="{00000000-0005-0000-0000-00005A3E0000}"/>
    <cellStyle name="Calculation 3 4 2 10" xfId="43281" xr:uid="{00000000-0005-0000-0000-00005B3E0000}"/>
    <cellStyle name="Calculation 3 4 2 2" xfId="10508" xr:uid="{00000000-0005-0000-0000-00005C3E0000}"/>
    <cellStyle name="Calculation 3 4 2 2 2" xfId="18301" xr:uid="{00000000-0005-0000-0000-00005D3E0000}"/>
    <cellStyle name="Calculation 3 4 2 2 2 2" xfId="43848" xr:uid="{00000000-0005-0000-0000-00005E3E0000}"/>
    <cellStyle name="Calculation 3 4 2 2 2 3" xfId="47757" xr:uid="{00000000-0005-0000-0000-00005F3E0000}"/>
    <cellStyle name="Calculation 3 4 2 2 2 4" xfId="35938" xr:uid="{00000000-0005-0000-0000-0000603E0000}"/>
    <cellStyle name="Calculation 3 4 2 2 3" xfId="12622" xr:uid="{00000000-0005-0000-0000-0000613E0000}"/>
    <cellStyle name="Calculation 3 4 2 2 3 2" xfId="42101" xr:uid="{00000000-0005-0000-0000-0000623E0000}"/>
    <cellStyle name="Calculation 3 4 2 2 3 3" xfId="40193" xr:uid="{00000000-0005-0000-0000-0000633E0000}"/>
    <cellStyle name="Calculation 3 4 2 2 3 4" xfId="30287" xr:uid="{00000000-0005-0000-0000-0000643E0000}"/>
    <cellStyle name="Calculation 3 4 2 2 4" xfId="11681" xr:uid="{00000000-0005-0000-0000-0000653E0000}"/>
    <cellStyle name="Calculation 3 4 2 2 4 2" xfId="41692" xr:uid="{00000000-0005-0000-0000-0000663E0000}"/>
    <cellStyle name="Calculation 3 4 2 2 4 3" xfId="43342" xr:uid="{00000000-0005-0000-0000-0000673E0000}"/>
    <cellStyle name="Calculation 3 4 2 2 4 4" xfId="29374" xr:uid="{00000000-0005-0000-0000-0000683E0000}"/>
    <cellStyle name="Calculation 3 4 2 2 5" xfId="20714" xr:uid="{00000000-0005-0000-0000-0000693E0000}"/>
    <cellStyle name="Calculation 3 4 2 2 5 2" xfId="46251" xr:uid="{00000000-0005-0000-0000-00006A3E0000}"/>
    <cellStyle name="Calculation 3 4 2 2 5 3" xfId="50157" xr:uid="{00000000-0005-0000-0000-00006B3E0000}"/>
    <cellStyle name="Calculation 3 4 2 2 5 4" xfId="38120" xr:uid="{00000000-0005-0000-0000-00006C3E0000}"/>
    <cellStyle name="Calculation 3 4 2 2 6" xfId="21367" xr:uid="{00000000-0005-0000-0000-00006D3E0000}"/>
    <cellStyle name="Calculation 3 4 2 2 6 2" xfId="46904" xr:uid="{00000000-0005-0000-0000-00006E3E0000}"/>
    <cellStyle name="Calculation 3 4 2 2 6 3" xfId="50810" xr:uid="{00000000-0005-0000-0000-00006F3E0000}"/>
    <cellStyle name="Calculation 3 4 2 2 7" xfId="40707" xr:uid="{00000000-0005-0000-0000-0000703E0000}"/>
    <cellStyle name="Calculation 3 4 2 2 8" xfId="42752" xr:uid="{00000000-0005-0000-0000-0000713E0000}"/>
    <cellStyle name="Calculation 3 4 2 3" xfId="10803" xr:uid="{00000000-0005-0000-0000-0000723E0000}"/>
    <cellStyle name="Calculation 3 4 2 3 2" xfId="18596" xr:uid="{00000000-0005-0000-0000-0000733E0000}"/>
    <cellStyle name="Calculation 3 4 2 3 2 2" xfId="44143" xr:uid="{00000000-0005-0000-0000-0000743E0000}"/>
    <cellStyle name="Calculation 3 4 2 3 2 3" xfId="48052" xr:uid="{00000000-0005-0000-0000-0000753E0000}"/>
    <cellStyle name="Calculation 3 4 2 3 2 4" xfId="36233" xr:uid="{00000000-0005-0000-0000-0000763E0000}"/>
    <cellStyle name="Calculation 3 4 2 3 3" xfId="19407" xr:uid="{00000000-0005-0000-0000-0000773E0000}"/>
    <cellStyle name="Calculation 3 4 2 3 3 2" xfId="44944" xr:uid="{00000000-0005-0000-0000-0000783E0000}"/>
    <cellStyle name="Calculation 3 4 2 3 3 3" xfId="48850" xr:uid="{00000000-0005-0000-0000-0000793E0000}"/>
    <cellStyle name="Calculation 3 4 2 3 3 4" xfId="36972" xr:uid="{00000000-0005-0000-0000-00007A3E0000}"/>
    <cellStyle name="Calculation 3 4 2 3 4" xfId="12126" xr:uid="{00000000-0005-0000-0000-00007B3E0000}"/>
    <cellStyle name="Calculation 3 4 2 3 4 2" xfId="41871" xr:uid="{00000000-0005-0000-0000-00007C3E0000}"/>
    <cellStyle name="Calculation 3 4 2 3 4 3" xfId="41331" xr:uid="{00000000-0005-0000-0000-00007D3E0000}"/>
    <cellStyle name="Calculation 3 4 2 3 4 4" xfId="29799" xr:uid="{00000000-0005-0000-0000-00007E3E0000}"/>
    <cellStyle name="Calculation 3 4 2 3 5" xfId="21009" xr:uid="{00000000-0005-0000-0000-00007F3E0000}"/>
    <cellStyle name="Calculation 3 4 2 3 5 2" xfId="46546" xr:uid="{00000000-0005-0000-0000-0000803E0000}"/>
    <cellStyle name="Calculation 3 4 2 3 5 3" xfId="50452" xr:uid="{00000000-0005-0000-0000-0000813E0000}"/>
    <cellStyle name="Calculation 3 4 2 3 5 4" xfId="38415" xr:uid="{00000000-0005-0000-0000-0000823E0000}"/>
    <cellStyle name="Calculation 3 4 2 3 6" xfId="21662" xr:uid="{00000000-0005-0000-0000-0000833E0000}"/>
    <cellStyle name="Calculation 3 4 2 3 6 2" xfId="47199" xr:uid="{00000000-0005-0000-0000-0000843E0000}"/>
    <cellStyle name="Calculation 3 4 2 3 6 3" xfId="51105" xr:uid="{00000000-0005-0000-0000-0000853E0000}"/>
    <cellStyle name="Calculation 3 4 2 3 7" xfId="41002" xr:uid="{00000000-0005-0000-0000-0000863E0000}"/>
    <cellStyle name="Calculation 3 4 2 3 8" xfId="39491" xr:uid="{00000000-0005-0000-0000-0000873E0000}"/>
    <cellStyle name="Calculation 3 4 2 4" xfId="14766" xr:uid="{00000000-0005-0000-0000-0000883E0000}"/>
    <cellStyle name="Calculation 3 4 2 4 2" xfId="42882" xr:uid="{00000000-0005-0000-0000-0000893E0000}"/>
    <cellStyle name="Calculation 3 4 2 4 3" xfId="39536" xr:uid="{00000000-0005-0000-0000-00008A3E0000}"/>
    <cellStyle name="Calculation 3 4 2 4 4" xfId="32401" xr:uid="{00000000-0005-0000-0000-00008B3E0000}"/>
    <cellStyle name="Calculation 3 4 2 5" xfId="11278" xr:uid="{00000000-0005-0000-0000-00008C3E0000}"/>
    <cellStyle name="Calculation 3 4 2 5 2" xfId="41325" xr:uid="{00000000-0005-0000-0000-00008D3E0000}"/>
    <cellStyle name="Calculation 3 4 2 5 3" xfId="40224" xr:uid="{00000000-0005-0000-0000-00008E3E0000}"/>
    <cellStyle name="Calculation 3 4 2 5 4" xfId="29006" xr:uid="{00000000-0005-0000-0000-00008F3E0000}"/>
    <cellStyle name="Calculation 3 4 2 6" xfId="11676" xr:uid="{00000000-0005-0000-0000-0000903E0000}"/>
    <cellStyle name="Calculation 3 4 2 6 2" xfId="41687" xr:uid="{00000000-0005-0000-0000-0000913E0000}"/>
    <cellStyle name="Calculation 3 4 2 6 3" xfId="42575" xr:uid="{00000000-0005-0000-0000-0000923E0000}"/>
    <cellStyle name="Calculation 3 4 2 6 4" xfId="29370" xr:uid="{00000000-0005-0000-0000-0000933E0000}"/>
    <cellStyle name="Calculation 3 4 2 7" xfId="19321" xr:uid="{00000000-0005-0000-0000-0000943E0000}"/>
    <cellStyle name="Calculation 3 4 2 7 2" xfId="44858" xr:uid="{00000000-0005-0000-0000-0000953E0000}"/>
    <cellStyle name="Calculation 3 4 2 7 3" xfId="48764" xr:uid="{00000000-0005-0000-0000-0000963E0000}"/>
    <cellStyle name="Calculation 3 4 2 7 4" xfId="36899" xr:uid="{00000000-0005-0000-0000-0000973E0000}"/>
    <cellStyle name="Calculation 3 4 2 8" xfId="19845" xr:uid="{00000000-0005-0000-0000-0000983E0000}"/>
    <cellStyle name="Calculation 3 4 2 8 2" xfId="45382" xr:uid="{00000000-0005-0000-0000-0000993E0000}"/>
    <cellStyle name="Calculation 3 4 2 8 3" xfId="49288" xr:uid="{00000000-0005-0000-0000-00009A3E0000}"/>
    <cellStyle name="Calculation 3 4 2 9" xfId="39742" xr:uid="{00000000-0005-0000-0000-00009B3E0000}"/>
    <cellStyle name="Calculation 3 4 3" xfId="52960" xr:uid="{00000000-0005-0000-0000-00009C3E0000}"/>
    <cellStyle name="Calculation 3 5" xfId="1464" xr:uid="{00000000-0005-0000-0000-00009D3E0000}"/>
    <cellStyle name="Calculation 3 5 2" xfId="6979" xr:uid="{00000000-0005-0000-0000-00009E3E0000}"/>
    <cellStyle name="Calculation 3 5 2 10" xfId="40140" xr:uid="{00000000-0005-0000-0000-00009F3E0000}"/>
    <cellStyle name="Calculation 3 5 2 2" xfId="10509" xr:uid="{00000000-0005-0000-0000-0000A03E0000}"/>
    <cellStyle name="Calculation 3 5 2 2 2" xfId="18302" xr:uid="{00000000-0005-0000-0000-0000A13E0000}"/>
    <cellStyle name="Calculation 3 5 2 2 2 2" xfId="43849" xr:uid="{00000000-0005-0000-0000-0000A23E0000}"/>
    <cellStyle name="Calculation 3 5 2 2 2 3" xfId="47758" xr:uid="{00000000-0005-0000-0000-0000A33E0000}"/>
    <cellStyle name="Calculation 3 5 2 2 2 4" xfId="35939" xr:uid="{00000000-0005-0000-0000-0000A43E0000}"/>
    <cellStyle name="Calculation 3 5 2 2 3" xfId="12157" xr:uid="{00000000-0005-0000-0000-0000A53E0000}"/>
    <cellStyle name="Calculation 3 5 2 2 3 2" xfId="41902" xr:uid="{00000000-0005-0000-0000-0000A63E0000}"/>
    <cellStyle name="Calculation 3 5 2 2 3 3" xfId="42808" xr:uid="{00000000-0005-0000-0000-0000A73E0000}"/>
    <cellStyle name="Calculation 3 5 2 2 3 4" xfId="29829" xr:uid="{00000000-0005-0000-0000-0000A83E0000}"/>
    <cellStyle name="Calculation 3 5 2 2 4" xfId="18965" xr:uid="{00000000-0005-0000-0000-0000A93E0000}"/>
    <cellStyle name="Calculation 3 5 2 2 4 2" xfId="44502" xr:uid="{00000000-0005-0000-0000-0000AA3E0000}"/>
    <cellStyle name="Calculation 3 5 2 2 4 3" xfId="48408" xr:uid="{00000000-0005-0000-0000-0000AB3E0000}"/>
    <cellStyle name="Calculation 3 5 2 2 4 4" xfId="36591" xr:uid="{00000000-0005-0000-0000-0000AC3E0000}"/>
    <cellStyle name="Calculation 3 5 2 2 5" xfId="20715" xr:uid="{00000000-0005-0000-0000-0000AD3E0000}"/>
    <cellStyle name="Calculation 3 5 2 2 5 2" xfId="46252" xr:uid="{00000000-0005-0000-0000-0000AE3E0000}"/>
    <cellStyle name="Calculation 3 5 2 2 5 3" xfId="50158" xr:uid="{00000000-0005-0000-0000-0000AF3E0000}"/>
    <cellStyle name="Calculation 3 5 2 2 5 4" xfId="38121" xr:uid="{00000000-0005-0000-0000-0000B03E0000}"/>
    <cellStyle name="Calculation 3 5 2 2 6" xfId="21368" xr:uid="{00000000-0005-0000-0000-0000B13E0000}"/>
    <cellStyle name="Calculation 3 5 2 2 6 2" xfId="46905" xr:uid="{00000000-0005-0000-0000-0000B23E0000}"/>
    <cellStyle name="Calculation 3 5 2 2 6 3" xfId="50811" xr:uid="{00000000-0005-0000-0000-0000B33E0000}"/>
    <cellStyle name="Calculation 3 5 2 2 7" xfId="40708" xr:uid="{00000000-0005-0000-0000-0000B43E0000}"/>
    <cellStyle name="Calculation 3 5 2 2 8" xfId="43641" xr:uid="{00000000-0005-0000-0000-0000B53E0000}"/>
    <cellStyle name="Calculation 3 5 2 3" xfId="10804" xr:uid="{00000000-0005-0000-0000-0000B63E0000}"/>
    <cellStyle name="Calculation 3 5 2 3 2" xfId="18597" xr:uid="{00000000-0005-0000-0000-0000B73E0000}"/>
    <cellStyle name="Calculation 3 5 2 3 2 2" xfId="44144" xr:uid="{00000000-0005-0000-0000-0000B83E0000}"/>
    <cellStyle name="Calculation 3 5 2 3 2 3" xfId="48053" xr:uid="{00000000-0005-0000-0000-0000B93E0000}"/>
    <cellStyle name="Calculation 3 5 2 3 2 4" xfId="36234" xr:uid="{00000000-0005-0000-0000-0000BA3E0000}"/>
    <cellStyle name="Calculation 3 5 2 3 3" xfId="20014" xr:uid="{00000000-0005-0000-0000-0000BB3E0000}"/>
    <cellStyle name="Calculation 3 5 2 3 3 2" xfId="45551" xr:uid="{00000000-0005-0000-0000-0000BC3E0000}"/>
    <cellStyle name="Calculation 3 5 2 3 3 3" xfId="49457" xr:uid="{00000000-0005-0000-0000-0000BD3E0000}"/>
    <cellStyle name="Calculation 3 5 2 3 3 4" xfId="37512" xr:uid="{00000000-0005-0000-0000-0000BE3E0000}"/>
    <cellStyle name="Calculation 3 5 2 3 4" xfId="11459" xr:uid="{00000000-0005-0000-0000-0000BF3E0000}"/>
    <cellStyle name="Calculation 3 5 2 3 4 2" xfId="41470" xr:uid="{00000000-0005-0000-0000-0000C03E0000}"/>
    <cellStyle name="Calculation 3 5 2 3 4 3" xfId="43607" xr:uid="{00000000-0005-0000-0000-0000C13E0000}"/>
    <cellStyle name="Calculation 3 5 2 3 4 4" xfId="29178" xr:uid="{00000000-0005-0000-0000-0000C23E0000}"/>
    <cellStyle name="Calculation 3 5 2 3 5" xfId="21010" xr:uid="{00000000-0005-0000-0000-0000C33E0000}"/>
    <cellStyle name="Calculation 3 5 2 3 5 2" xfId="46547" xr:uid="{00000000-0005-0000-0000-0000C43E0000}"/>
    <cellStyle name="Calculation 3 5 2 3 5 3" xfId="50453" xr:uid="{00000000-0005-0000-0000-0000C53E0000}"/>
    <cellStyle name="Calculation 3 5 2 3 5 4" xfId="38416" xr:uid="{00000000-0005-0000-0000-0000C63E0000}"/>
    <cellStyle name="Calculation 3 5 2 3 6" xfId="21663" xr:uid="{00000000-0005-0000-0000-0000C73E0000}"/>
    <cellStyle name="Calculation 3 5 2 3 6 2" xfId="47200" xr:uid="{00000000-0005-0000-0000-0000C83E0000}"/>
    <cellStyle name="Calculation 3 5 2 3 6 3" xfId="51106" xr:uid="{00000000-0005-0000-0000-0000C93E0000}"/>
    <cellStyle name="Calculation 3 5 2 3 7" xfId="41003" xr:uid="{00000000-0005-0000-0000-0000CA3E0000}"/>
    <cellStyle name="Calculation 3 5 2 3 8" xfId="47593" xr:uid="{00000000-0005-0000-0000-0000CB3E0000}"/>
    <cellStyle name="Calculation 3 5 2 4" xfId="14767" xr:uid="{00000000-0005-0000-0000-0000CC3E0000}"/>
    <cellStyle name="Calculation 3 5 2 4 2" xfId="42883" xr:uid="{00000000-0005-0000-0000-0000CD3E0000}"/>
    <cellStyle name="Calculation 3 5 2 4 3" xfId="42546" xr:uid="{00000000-0005-0000-0000-0000CE3E0000}"/>
    <cellStyle name="Calculation 3 5 2 4 4" xfId="32402" xr:uid="{00000000-0005-0000-0000-0000CF3E0000}"/>
    <cellStyle name="Calculation 3 5 2 5" xfId="13058" xr:uid="{00000000-0005-0000-0000-0000D03E0000}"/>
    <cellStyle name="Calculation 3 5 2 5 2" xfId="42279" xr:uid="{00000000-0005-0000-0000-0000D13E0000}"/>
    <cellStyle name="Calculation 3 5 2 5 3" xfId="41972" xr:uid="{00000000-0005-0000-0000-0000D23E0000}"/>
    <cellStyle name="Calculation 3 5 2 5 4" xfId="30707" xr:uid="{00000000-0005-0000-0000-0000D33E0000}"/>
    <cellStyle name="Calculation 3 5 2 6" xfId="19444" xr:uid="{00000000-0005-0000-0000-0000D43E0000}"/>
    <cellStyle name="Calculation 3 5 2 6 2" xfId="44981" xr:uid="{00000000-0005-0000-0000-0000D53E0000}"/>
    <cellStyle name="Calculation 3 5 2 6 3" xfId="48887" xr:uid="{00000000-0005-0000-0000-0000D63E0000}"/>
    <cellStyle name="Calculation 3 5 2 6 4" xfId="37009" xr:uid="{00000000-0005-0000-0000-0000D73E0000}"/>
    <cellStyle name="Calculation 3 5 2 7" xfId="20233" xr:uid="{00000000-0005-0000-0000-0000D83E0000}"/>
    <cellStyle name="Calculation 3 5 2 7 2" xfId="45770" xr:uid="{00000000-0005-0000-0000-0000D93E0000}"/>
    <cellStyle name="Calculation 3 5 2 7 3" xfId="49676" xr:uid="{00000000-0005-0000-0000-0000DA3E0000}"/>
    <cellStyle name="Calculation 3 5 2 7 4" xfId="37707" xr:uid="{00000000-0005-0000-0000-0000DB3E0000}"/>
    <cellStyle name="Calculation 3 5 2 8" xfId="20626" xr:uid="{00000000-0005-0000-0000-0000DC3E0000}"/>
    <cellStyle name="Calculation 3 5 2 8 2" xfId="46163" xr:uid="{00000000-0005-0000-0000-0000DD3E0000}"/>
    <cellStyle name="Calculation 3 5 2 8 3" xfId="50069" xr:uid="{00000000-0005-0000-0000-0000DE3E0000}"/>
    <cellStyle name="Calculation 3 5 2 9" xfId="39743" xr:uid="{00000000-0005-0000-0000-0000DF3E0000}"/>
    <cellStyle name="Calculation 3 5 3" xfId="52961" xr:uid="{00000000-0005-0000-0000-0000E03E0000}"/>
    <cellStyle name="Calculation 3 6" xfId="1465" xr:uid="{00000000-0005-0000-0000-0000E13E0000}"/>
    <cellStyle name="Calculation 3 6 2" xfId="6980" xr:uid="{00000000-0005-0000-0000-0000E23E0000}"/>
    <cellStyle name="Calculation 3 6 2 10" xfId="43109" xr:uid="{00000000-0005-0000-0000-0000E33E0000}"/>
    <cellStyle name="Calculation 3 6 2 2" xfId="10510" xr:uid="{00000000-0005-0000-0000-0000E43E0000}"/>
    <cellStyle name="Calculation 3 6 2 2 2" xfId="18303" xr:uid="{00000000-0005-0000-0000-0000E53E0000}"/>
    <cellStyle name="Calculation 3 6 2 2 2 2" xfId="43850" xr:uid="{00000000-0005-0000-0000-0000E63E0000}"/>
    <cellStyle name="Calculation 3 6 2 2 2 3" xfId="47759" xr:uid="{00000000-0005-0000-0000-0000E73E0000}"/>
    <cellStyle name="Calculation 3 6 2 2 2 4" xfId="35940" xr:uid="{00000000-0005-0000-0000-0000E83E0000}"/>
    <cellStyle name="Calculation 3 6 2 2 3" xfId="19620" xr:uid="{00000000-0005-0000-0000-0000E93E0000}"/>
    <cellStyle name="Calculation 3 6 2 2 3 2" xfId="45157" xr:uid="{00000000-0005-0000-0000-0000EA3E0000}"/>
    <cellStyle name="Calculation 3 6 2 2 3 3" xfId="49063" xr:uid="{00000000-0005-0000-0000-0000EB3E0000}"/>
    <cellStyle name="Calculation 3 6 2 2 3 4" xfId="37160" xr:uid="{00000000-0005-0000-0000-0000EC3E0000}"/>
    <cellStyle name="Calculation 3 6 2 2 4" xfId="12781" xr:uid="{00000000-0005-0000-0000-0000ED3E0000}"/>
    <cellStyle name="Calculation 3 6 2 2 4 2" xfId="42212" xr:uid="{00000000-0005-0000-0000-0000EE3E0000}"/>
    <cellStyle name="Calculation 3 6 2 2 4 3" xfId="39553" xr:uid="{00000000-0005-0000-0000-0000EF3E0000}"/>
    <cellStyle name="Calculation 3 6 2 2 4 4" xfId="30439" xr:uid="{00000000-0005-0000-0000-0000F03E0000}"/>
    <cellStyle name="Calculation 3 6 2 2 5" xfId="20716" xr:uid="{00000000-0005-0000-0000-0000F13E0000}"/>
    <cellStyle name="Calculation 3 6 2 2 5 2" xfId="46253" xr:uid="{00000000-0005-0000-0000-0000F23E0000}"/>
    <cellStyle name="Calculation 3 6 2 2 5 3" xfId="50159" xr:uid="{00000000-0005-0000-0000-0000F33E0000}"/>
    <cellStyle name="Calculation 3 6 2 2 5 4" xfId="38122" xr:uid="{00000000-0005-0000-0000-0000F43E0000}"/>
    <cellStyle name="Calculation 3 6 2 2 6" xfId="21369" xr:uid="{00000000-0005-0000-0000-0000F53E0000}"/>
    <cellStyle name="Calculation 3 6 2 2 6 2" xfId="46906" xr:uid="{00000000-0005-0000-0000-0000F63E0000}"/>
    <cellStyle name="Calculation 3 6 2 2 6 3" xfId="50812" xr:uid="{00000000-0005-0000-0000-0000F73E0000}"/>
    <cellStyle name="Calculation 3 6 2 2 7" xfId="40709" xr:uid="{00000000-0005-0000-0000-0000F83E0000}"/>
    <cellStyle name="Calculation 3 6 2 2 8" xfId="40499" xr:uid="{00000000-0005-0000-0000-0000F93E0000}"/>
    <cellStyle name="Calculation 3 6 2 3" xfId="10805" xr:uid="{00000000-0005-0000-0000-0000FA3E0000}"/>
    <cellStyle name="Calculation 3 6 2 3 2" xfId="18598" xr:uid="{00000000-0005-0000-0000-0000FB3E0000}"/>
    <cellStyle name="Calculation 3 6 2 3 2 2" xfId="44145" xr:uid="{00000000-0005-0000-0000-0000FC3E0000}"/>
    <cellStyle name="Calculation 3 6 2 3 2 3" xfId="48054" xr:uid="{00000000-0005-0000-0000-0000FD3E0000}"/>
    <cellStyle name="Calculation 3 6 2 3 2 4" xfId="36235" xr:uid="{00000000-0005-0000-0000-0000FE3E0000}"/>
    <cellStyle name="Calculation 3 6 2 3 3" xfId="19280" xr:uid="{00000000-0005-0000-0000-0000FF3E0000}"/>
    <cellStyle name="Calculation 3 6 2 3 3 2" xfId="44817" xr:uid="{00000000-0005-0000-0000-0000003F0000}"/>
    <cellStyle name="Calculation 3 6 2 3 3 3" xfId="48723" xr:uid="{00000000-0005-0000-0000-0000013F0000}"/>
    <cellStyle name="Calculation 3 6 2 3 3 4" xfId="36858" xr:uid="{00000000-0005-0000-0000-0000023F0000}"/>
    <cellStyle name="Calculation 3 6 2 3 4" xfId="19563" xr:uid="{00000000-0005-0000-0000-0000033F0000}"/>
    <cellStyle name="Calculation 3 6 2 3 4 2" xfId="45100" xr:uid="{00000000-0005-0000-0000-0000043F0000}"/>
    <cellStyle name="Calculation 3 6 2 3 4 3" xfId="49006" xr:uid="{00000000-0005-0000-0000-0000053F0000}"/>
    <cellStyle name="Calculation 3 6 2 3 4 4" xfId="37104" xr:uid="{00000000-0005-0000-0000-0000063F0000}"/>
    <cellStyle name="Calculation 3 6 2 3 5" xfId="21011" xr:uid="{00000000-0005-0000-0000-0000073F0000}"/>
    <cellStyle name="Calculation 3 6 2 3 5 2" xfId="46548" xr:uid="{00000000-0005-0000-0000-0000083F0000}"/>
    <cellStyle name="Calculation 3 6 2 3 5 3" xfId="50454" xr:uid="{00000000-0005-0000-0000-0000093F0000}"/>
    <cellStyle name="Calculation 3 6 2 3 5 4" xfId="38417" xr:uid="{00000000-0005-0000-0000-00000A3F0000}"/>
    <cellStyle name="Calculation 3 6 2 3 6" xfId="21664" xr:uid="{00000000-0005-0000-0000-00000B3F0000}"/>
    <cellStyle name="Calculation 3 6 2 3 6 2" xfId="47201" xr:uid="{00000000-0005-0000-0000-00000C3F0000}"/>
    <cellStyle name="Calculation 3 6 2 3 6 3" xfId="51107" xr:uid="{00000000-0005-0000-0000-00000D3F0000}"/>
    <cellStyle name="Calculation 3 6 2 3 7" xfId="41004" xr:uid="{00000000-0005-0000-0000-00000E3F0000}"/>
    <cellStyle name="Calculation 3 6 2 3 8" xfId="42062" xr:uid="{00000000-0005-0000-0000-00000F3F0000}"/>
    <cellStyle name="Calculation 3 6 2 4" xfId="14768" xr:uid="{00000000-0005-0000-0000-0000103F0000}"/>
    <cellStyle name="Calculation 3 6 2 4 2" xfId="42884" xr:uid="{00000000-0005-0000-0000-0000113F0000}"/>
    <cellStyle name="Calculation 3 6 2 4 3" xfId="43457" xr:uid="{00000000-0005-0000-0000-0000123F0000}"/>
    <cellStyle name="Calculation 3 6 2 4 4" xfId="32403" xr:uid="{00000000-0005-0000-0000-0000133F0000}"/>
    <cellStyle name="Calculation 3 6 2 5" xfId="12022" xr:uid="{00000000-0005-0000-0000-0000143F0000}"/>
    <cellStyle name="Calculation 3 6 2 5 2" xfId="41779" xr:uid="{00000000-0005-0000-0000-0000153F0000}"/>
    <cellStyle name="Calculation 3 6 2 5 3" xfId="40202" xr:uid="{00000000-0005-0000-0000-0000163F0000}"/>
    <cellStyle name="Calculation 3 6 2 5 4" xfId="29704" xr:uid="{00000000-0005-0000-0000-0000173F0000}"/>
    <cellStyle name="Calculation 3 6 2 6" xfId="19948" xr:uid="{00000000-0005-0000-0000-0000183F0000}"/>
    <cellStyle name="Calculation 3 6 2 6 2" xfId="45485" xr:uid="{00000000-0005-0000-0000-0000193F0000}"/>
    <cellStyle name="Calculation 3 6 2 6 3" xfId="49391" xr:uid="{00000000-0005-0000-0000-00001A3F0000}"/>
    <cellStyle name="Calculation 3 6 2 6 4" xfId="37456" xr:uid="{00000000-0005-0000-0000-00001B3F0000}"/>
    <cellStyle name="Calculation 3 6 2 7" xfId="18940" xr:uid="{00000000-0005-0000-0000-00001C3F0000}"/>
    <cellStyle name="Calculation 3 6 2 7 2" xfId="44477" xr:uid="{00000000-0005-0000-0000-00001D3F0000}"/>
    <cellStyle name="Calculation 3 6 2 7 3" xfId="48383" xr:uid="{00000000-0005-0000-0000-00001E3F0000}"/>
    <cellStyle name="Calculation 3 6 2 7 4" xfId="36567" xr:uid="{00000000-0005-0000-0000-00001F3F0000}"/>
    <cellStyle name="Calculation 3 6 2 8" xfId="19038" xr:uid="{00000000-0005-0000-0000-0000203F0000}"/>
    <cellStyle name="Calculation 3 6 2 8 2" xfId="44575" xr:uid="{00000000-0005-0000-0000-0000213F0000}"/>
    <cellStyle name="Calculation 3 6 2 8 3" xfId="48481" xr:uid="{00000000-0005-0000-0000-0000223F0000}"/>
    <cellStyle name="Calculation 3 6 2 9" xfId="39744" xr:uid="{00000000-0005-0000-0000-0000233F0000}"/>
    <cellStyle name="Calculation 3 7" xfId="4155" xr:uid="{00000000-0005-0000-0000-0000243F0000}"/>
    <cellStyle name="Calculation 3 7 2" xfId="6981" xr:uid="{00000000-0005-0000-0000-0000253F0000}"/>
    <cellStyle name="Calculation 3 7 2 10" xfId="43776" xr:uid="{00000000-0005-0000-0000-0000263F0000}"/>
    <cellStyle name="Calculation 3 7 2 2" xfId="10511" xr:uid="{00000000-0005-0000-0000-0000273F0000}"/>
    <cellStyle name="Calculation 3 7 2 2 2" xfId="18304" xr:uid="{00000000-0005-0000-0000-0000283F0000}"/>
    <cellStyle name="Calculation 3 7 2 2 2 2" xfId="43851" xr:uid="{00000000-0005-0000-0000-0000293F0000}"/>
    <cellStyle name="Calculation 3 7 2 2 2 3" xfId="47760" xr:uid="{00000000-0005-0000-0000-00002A3F0000}"/>
    <cellStyle name="Calculation 3 7 2 2 2 4" xfId="35941" xr:uid="{00000000-0005-0000-0000-00002B3F0000}"/>
    <cellStyle name="Calculation 3 7 2 2 3" xfId="20176" xr:uid="{00000000-0005-0000-0000-00002C3F0000}"/>
    <cellStyle name="Calculation 3 7 2 2 3 2" xfId="45713" xr:uid="{00000000-0005-0000-0000-00002D3F0000}"/>
    <cellStyle name="Calculation 3 7 2 2 3 3" xfId="49619" xr:uid="{00000000-0005-0000-0000-00002E3F0000}"/>
    <cellStyle name="Calculation 3 7 2 2 3 4" xfId="37662" xr:uid="{00000000-0005-0000-0000-00002F3F0000}"/>
    <cellStyle name="Calculation 3 7 2 2 4" xfId="19092" xr:uid="{00000000-0005-0000-0000-0000303F0000}"/>
    <cellStyle name="Calculation 3 7 2 2 4 2" xfId="44629" xr:uid="{00000000-0005-0000-0000-0000313F0000}"/>
    <cellStyle name="Calculation 3 7 2 2 4 3" xfId="48535" xr:uid="{00000000-0005-0000-0000-0000323F0000}"/>
    <cellStyle name="Calculation 3 7 2 2 4 4" xfId="36688" xr:uid="{00000000-0005-0000-0000-0000333F0000}"/>
    <cellStyle name="Calculation 3 7 2 2 5" xfId="20717" xr:uid="{00000000-0005-0000-0000-0000343F0000}"/>
    <cellStyle name="Calculation 3 7 2 2 5 2" xfId="46254" xr:uid="{00000000-0005-0000-0000-0000353F0000}"/>
    <cellStyle name="Calculation 3 7 2 2 5 3" xfId="50160" xr:uid="{00000000-0005-0000-0000-0000363F0000}"/>
    <cellStyle name="Calculation 3 7 2 2 5 4" xfId="38123" xr:uid="{00000000-0005-0000-0000-0000373F0000}"/>
    <cellStyle name="Calculation 3 7 2 2 6" xfId="21370" xr:uid="{00000000-0005-0000-0000-0000383F0000}"/>
    <cellStyle name="Calculation 3 7 2 2 6 2" xfId="46907" xr:uid="{00000000-0005-0000-0000-0000393F0000}"/>
    <cellStyle name="Calculation 3 7 2 2 6 3" xfId="50813" xr:uid="{00000000-0005-0000-0000-00003A3F0000}"/>
    <cellStyle name="Calculation 3 7 2 2 7" xfId="40710" xr:uid="{00000000-0005-0000-0000-00003B3F0000}"/>
    <cellStyle name="Calculation 3 7 2 2 8" xfId="39609" xr:uid="{00000000-0005-0000-0000-00003C3F0000}"/>
    <cellStyle name="Calculation 3 7 2 3" xfId="10806" xr:uid="{00000000-0005-0000-0000-00003D3F0000}"/>
    <cellStyle name="Calculation 3 7 2 3 2" xfId="18599" xr:uid="{00000000-0005-0000-0000-00003E3F0000}"/>
    <cellStyle name="Calculation 3 7 2 3 2 2" xfId="44146" xr:uid="{00000000-0005-0000-0000-00003F3F0000}"/>
    <cellStyle name="Calculation 3 7 2 3 2 3" xfId="48055" xr:uid="{00000000-0005-0000-0000-0000403F0000}"/>
    <cellStyle name="Calculation 3 7 2 3 2 4" xfId="36236" xr:uid="{00000000-0005-0000-0000-0000413F0000}"/>
    <cellStyle name="Calculation 3 7 2 3 3" xfId="19889" xr:uid="{00000000-0005-0000-0000-0000423F0000}"/>
    <cellStyle name="Calculation 3 7 2 3 3 2" xfId="45426" xr:uid="{00000000-0005-0000-0000-0000433F0000}"/>
    <cellStyle name="Calculation 3 7 2 3 3 3" xfId="49332" xr:uid="{00000000-0005-0000-0000-0000443F0000}"/>
    <cellStyle name="Calculation 3 7 2 3 3 4" xfId="37403" xr:uid="{00000000-0005-0000-0000-0000453F0000}"/>
    <cellStyle name="Calculation 3 7 2 3 4" xfId="11806" xr:uid="{00000000-0005-0000-0000-0000463F0000}"/>
    <cellStyle name="Calculation 3 7 2 3 4 2" xfId="41755" xr:uid="{00000000-0005-0000-0000-0000473F0000}"/>
    <cellStyle name="Calculation 3 7 2 3 4 3" xfId="42812" xr:uid="{00000000-0005-0000-0000-0000483F0000}"/>
    <cellStyle name="Calculation 3 7 2 3 4 4" xfId="29492" xr:uid="{00000000-0005-0000-0000-0000493F0000}"/>
    <cellStyle name="Calculation 3 7 2 3 5" xfId="21012" xr:uid="{00000000-0005-0000-0000-00004A3F0000}"/>
    <cellStyle name="Calculation 3 7 2 3 5 2" xfId="46549" xr:uid="{00000000-0005-0000-0000-00004B3F0000}"/>
    <cellStyle name="Calculation 3 7 2 3 5 3" xfId="50455" xr:uid="{00000000-0005-0000-0000-00004C3F0000}"/>
    <cellStyle name="Calculation 3 7 2 3 5 4" xfId="38418" xr:uid="{00000000-0005-0000-0000-00004D3F0000}"/>
    <cellStyle name="Calculation 3 7 2 3 6" xfId="21665" xr:uid="{00000000-0005-0000-0000-00004E3F0000}"/>
    <cellStyle name="Calculation 3 7 2 3 6 2" xfId="47202" xr:uid="{00000000-0005-0000-0000-00004F3F0000}"/>
    <cellStyle name="Calculation 3 7 2 3 6 3" xfId="51108" xr:uid="{00000000-0005-0000-0000-0000503F0000}"/>
    <cellStyle name="Calculation 3 7 2 3 7" xfId="41005" xr:uid="{00000000-0005-0000-0000-0000513F0000}"/>
    <cellStyle name="Calculation 3 7 2 3 8" xfId="43381" xr:uid="{00000000-0005-0000-0000-0000523F0000}"/>
    <cellStyle name="Calculation 3 7 2 4" xfId="14769" xr:uid="{00000000-0005-0000-0000-0000533F0000}"/>
    <cellStyle name="Calculation 3 7 2 4 2" xfId="42885" xr:uid="{00000000-0005-0000-0000-0000543F0000}"/>
    <cellStyle name="Calculation 3 7 2 4 3" xfId="40319" xr:uid="{00000000-0005-0000-0000-0000553F0000}"/>
    <cellStyle name="Calculation 3 7 2 4 4" xfId="32404" xr:uid="{00000000-0005-0000-0000-0000563F0000}"/>
    <cellStyle name="Calculation 3 7 2 5" xfId="13059" xr:uid="{00000000-0005-0000-0000-0000573F0000}"/>
    <cellStyle name="Calculation 3 7 2 5 2" xfId="42280" xr:uid="{00000000-0005-0000-0000-0000583F0000}"/>
    <cellStyle name="Calculation 3 7 2 5 3" xfId="43320" xr:uid="{00000000-0005-0000-0000-0000593F0000}"/>
    <cellStyle name="Calculation 3 7 2 5 4" xfId="30708" xr:uid="{00000000-0005-0000-0000-00005A3F0000}"/>
    <cellStyle name="Calculation 3 7 2 6" xfId="20322" xr:uid="{00000000-0005-0000-0000-00005B3F0000}"/>
    <cellStyle name="Calculation 3 7 2 6 2" xfId="45859" xr:uid="{00000000-0005-0000-0000-00005C3F0000}"/>
    <cellStyle name="Calculation 3 7 2 6 3" xfId="49765" xr:uid="{00000000-0005-0000-0000-00005D3F0000}"/>
    <cellStyle name="Calculation 3 7 2 6 4" xfId="37786" xr:uid="{00000000-0005-0000-0000-00005E3F0000}"/>
    <cellStyle name="Calculation 3 7 2 7" xfId="18888" xr:uid="{00000000-0005-0000-0000-00005F3F0000}"/>
    <cellStyle name="Calculation 3 7 2 7 2" xfId="44425" xr:uid="{00000000-0005-0000-0000-0000603F0000}"/>
    <cellStyle name="Calculation 3 7 2 7 3" xfId="48331" xr:uid="{00000000-0005-0000-0000-0000613F0000}"/>
    <cellStyle name="Calculation 3 7 2 7 4" xfId="36524" xr:uid="{00000000-0005-0000-0000-0000623F0000}"/>
    <cellStyle name="Calculation 3 7 2 8" xfId="12855" xr:uid="{00000000-0005-0000-0000-0000633F0000}"/>
    <cellStyle name="Calculation 3 7 2 8 2" xfId="42238" xr:uid="{00000000-0005-0000-0000-0000643F0000}"/>
    <cellStyle name="Calculation 3 7 2 8 3" xfId="41310" xr:uid="{00000000-0005-0000-0000-0000653F0000}"/>
    <cellStyle name="Calculation 3 7 2 9" xfId="39745" xr:uid="{00000000-0005-0000-0000-0000663F0000}"/>
    <cellStyle name="Calculation 3 8" xfId="4156" xr:uid="{00000000-0005-0000-0000-0000673F0000}"/>
    <cellStyle name="Calculation 3 8 2" xfId="6982" xr:uid="{00000000-0005-0000-0000-0000683F0000}"/>
    <cellStyle name="Calculation 3 8 2 10" xfId="40635" xr:uid="{00000000-0005-0000-0000-0000693F0000}"/>
    <cellStyle name="Calculation 3 8 2 2" xfId="10512" xr:uid="{00000000-0005-0000-0000-00006A3F0000}"/>
    <cellStyle name="Calculation 3 8 2 2 2" xfId="18305" xr:uid="{00000000-0005-0000-0000-00006B3F0000}"/>
    <cellStyle name="Calculation 3 8 2 2 2 2" xfId="43852" xr:uid="{00000000-0005-0000-0000-00006C3F0000}"/>
    <cellStyle name="Calculation 3 8 2 2 2 3" xfId="47761" xr:uid="{00000000-0005-0000-0000-00006D3F0000}"/>
    <cellStyle name="Calculation 3 8 2 2 2 4" xfId="35942" xr:uid="{00000000-0005-0000-0000-00006E3F0000}"/>
    <cellStyle name="Calculation 3 8 2 2 3" xfId="19435" xr:uid="{00000000-0005-0000-0000-00006F3F0000}"/>
    <cellStyle name="Calculation 3 8 2 2 3 2" xfId="44972" xr:uid="{00000000-0005-0000-0000-0000703F0000}"/>
    <cellStyle name="Calculation 3 8 2 2 3 3" xfId="48878" xr:uid="{00000000-0005-0000-0000-0000713F0000}"/>
    <cellStyle name="Calculation 3 8 2 2 3 4" xfId="37000" xr:uid="{00000000-0005-0000-0000-0000723F0000}"/>
    <cellStyle name="Calculation 3 8 2 2 4" xfId="20327" xr:uid="{00000000-0005-0000-0000-0000733F0000}"/>
    <cellStyle name="Calculation 3 8 2 2 4 2" xfId="45864" xr:uid="{00000000-0005-0000-0000-0000743F0000}"/>
    <cellStyle name="Calculation 3 8 2 2 4 3" xfId="49770" xr:uid="{00000000-0005-0000-0000-0000753F0000}"/>
    <cellStyle name="Calculation 3 8 2 2 4 4" xfId="37791" xr:uid="{00000000-0005-0000-0000-0000763F0000}"/>
    <cellStyle name="Calculation 3 8 2 2 5" xfId="20718" xr:uid="{00000000-0005-0000-0000-0000773F0000}"/>
    <cellStyle name="Calculation 3 8 2 2 5 2" xfId="46255" xr:uid="{00000000-0005-0000-0000-0000783F0000}"/>
    <cellStyle name="Calculation 3 8 2 2 5 3" xfId="50161" xr:uid="{00000000-0005-0000-0000-0000793F0000}"/>
    <cellStyle name="Calculation 3 8 2 2 5 4" xfId="38124" xr:uid="{00000000-0005-0000-0000-00007A3F0000}"/>
    <cellStyle name="Calculation 3 8 2 2 6" xfId="21371" xr:uid="{00000000-0005-0000-0000-00007B3F0000}"/>
    <cellStyle name="Calculation 3 8 2 2 6 2" xfId="46908" xr:uid="{00000000-0005-0000-0000-00007C3F0000}"/>
    <cellStyle name="Calculation 3 8 2 2 6 3" xfId="50814" xr:uid="{00000000-0005-0000-0000-00007D3F0000}"/>
    <cellStyle name="Calculation 3 8 2 2 7" xfId="40711" xr:uid="{00000000-0005-0000-0000-00007E3F0000}"/>
    <cellStyle name="Calculation 3 8 2 2 8" xfId="42617" xr:uid="{00000000-0005-0000-0000-00007F3F0000}"/>
    <cellStyle name="Calculation 3 8 2 3" xfId="10807" xr:uid="{00000000-0005-0000-0000-0000803F0000}"/>
    <cellStyle name="Calculation 3 8 2 3 2" xfId="18600" xr:uid="{00000000-0005-0000-0000-0000813F0000}"/>
    <cellStyle name="Calculation 3 8 2 3 2 2" xfId="44147" xr:uid="{00000000-0005-0000-0000-0000823F0000}"/>
    <cellStyle name="Calculation 3 8 2 3 2 3" xfId="48056" xr:uid="{00000000-0005-0000-0000-0000833F0000}"/>
    <cellStyle name="Calculation 3 8 2 3 2 4" xfId="36237" xr:uid="{00000000-0005-0000-0000-0000843F0000}"/>
    <cellStyle name="Calculation 3 8 2 3 3" xfId="19112" xr:uid="{00000000-0005-0000-0000-0000853F0000}"/>
    <cellStyle name="Calculation 3 8 2 3 3 2" xfId="44649" xr:uid="{00000000-0005-0000-0000-0000863F0000}"/>
    <cellStyle name="Calculation 3 8 2 3 3 3" xfId="48555" xr:uid="{00000000-0005-0000-0000-0000873F0000}"/>
    <cellStyle name="Calculation 3 8 2 3 3 4" xfId="36707" xr:uid="{00000000-0005-0000-0000-0000883F0000}"/>
    <cellStyle name="Calculation 3 8 2 3 4" xfId="19030" xr:uid="{00000000-0005-0000-0000-0000893F0000}"/>
    <cellStyle name="Calculation 3 8 2 3 4 2" xfId="44567" xr:uid="{00000000-0005-0000-0000-00008A3F0000}"/>
    <cellStyle name="Calculation 3 8 2 3 4 3" xfId="48473" xr:uid="{00000000-0005-0000-0000-00008B3F0000}"/>
    <cellStyle name="Calculation 3 8 2 3 4 4" xfId="36636" xr:uid="{00000000-0005-0000-0000-00008C3F0000}"/>
    <cellStyle name="Calculation 3 8 2 3 5" xfId="21013" xr:uid="{00000000-0005-0000-0000-00008D3F0000}"/>
    <cellStyle name="Calculation 3 8 2 3 5 2" xfId="46550" xr:uid="{00000000-0005-0000-0000-00008E3F0000}"/>
    <cellStyle name="Calculation 3 8 2 3 5 3" xfId="50456" xr:uid="{00000000-0005-0000-0000-00008F3F0000}"/>
    <cellStyle name="Calculation 3 8 2 3 5 4" xfId="38419" xr:uid="{00000000-0005-0000-0000-0000903F0000}"/>
    <cellStyle name="Calculation 3 8 2 3 6" xfId="21666" xr:uid="{00000000-0005-0000-0000-0000913F0000}"/>
    <cellStyle name="Calculation 3 8 2 3 6 2" xfId="47203" xr:uid="{00000000-0005-0000-0000-0000923F0000}"/>
    <cellStyle name="Calculation 3 8 2 3 6 3" xfId="51109" xr:uid="{00000000-0005-0000-0000-0000933F0000}"/>
    <cellStyle name="Calculation 3 8 2 3 7" xfId="41006" xr:uid="{00000000-0005-0000-0000-0000943F0000}"/>
    <cellStyle name="Calculation 3 8 2 3 8" xfId="40243" xr:uid="{00000000-0005-0000-0000-0000953F0000}"/>
    <cellStyle name="Calculation 3 8 2 4" xfId="14770" xr:uid="{00000000-0005-0000-0000-0000963F0000}"/>
    <cellStyle name="Calculation 3 8 2 4 2" xfId="42886" xr:uid="{00000000-0005-0000-0000-0000973F0000}"/>
    <cellStyle name="Calculation 3 8 2 4 3" xfId="39436" xr:uid="{00000000-0005-0000-0000-0000983F0000}"/>
    <cellStyle name="Calculation 3 8 2 4 4" xfId="32405" xr:uid="{00000000-0005-0000-0000-0000993F0000}"/>
    <cellStyle name="Calculation 3 8 2 5" xfId="13060" xr:uid="{00000000-0005-0000-0000-00009A3F0000}"/>
    <cellStyle name="Calculation 3 8 2 5 2" xfId="42281" xr:uid="{00000000-0005-0000-0000-00009B3F0000}"/>
    <cellStyle name="Calculation 3 8 2 5 3" xfId="40180" xr:uid="{00000000-0005-0000-0000-00009C3F0000}"/>
    <cellStyle name="Calculation 3 8 2 5 4" xfId="30709" xr:uid="{00000000-0005-0000-0000-00009D3F0000}"/>
    <cellStyle name="Calculation 3 8 2 6" xfId="20275" xr:uid="{00000000-0005-0000-0000-00009E3F0000}"/>
    <cellStyle name="Calculation 3 8 2 6 2" xfId="45812" xr:uid="{00000000-0005-0000-0000-00009F3F0000}"/>
    <cellStyle name="Calculation 3 8 2 6 3" xfId="49718" xr:uid="{00000000-0005-0000-0000-0000A03F0000}"/>
    <cellStyle name="Calculation 3 8 2 6 4" xfId="37743" xr:uid="{00000000-0005-0000-0000-0000A13F0000}"/>
    <cellStyle name="Calculation 3 8 2 7" xfId="20369" xr:uid="{00000000-0005-0000-0000-0000A23F0000}"/>
    <cellStyle name="Calculation 3 8 2 7 2" xfId="45906" xr:uid="{00000000-0005-0000-0000-0000A33F0000}"/>
    <cellStyle name="Calculation 3 8 2 7 3" xfId="49812" xr:uid="{00000000-0005-0000-0000-0000A43F0000}"/>
    <cellStyle name="Calculation 3 8 2 7 4" xfId="37825" xr:uid="{00000000-0005-0000-0000-0000A53F0000}"/>
    <cellStyle name="Calculation 3 8 2 8" xfId="20493" xr:uid="{00000000-0005-0000-0000-0000A63F0000}"/>
    <cellStyle name="Calculation 3 8 2 8 2" xfId="46030" xr:uid="{00000000-0005-0000-0000-0000A73F0000}"/>
    <cellStyle name="Calculation 3 8 2 8 3" xfId="49936" xr:uid="{00000000-0005-0000-0000-0000A83F0000}"/>
    <cellStyle name="Calculation 3 8 2 9" xfId="39746" xr:uid="{00000000-0005-0000-0000-0000A93F0000}"/>
    <cellStyle name="Calculation 3 9" xfId="4157" xr:uid="{00000000-0005-0000-0000-0000AA3F0000}"/>
    <cellStyle name="Calculation 3 9 2" xfId="10458" xr:uid="{00000000-0005-0000-0000-0000AB3F0000}"/>
    <cellStyle name="Calculation 3 9 2 2" xfId="18251" xr:uid="{00000000-0005-0000-0000-0000AC3F0000}"/>
    <cellStyle name="Calculation 3 9 2 2 2" xfId="43798" xr:uid="{00000000-0005-0000-0000-0000AD3F0000}"/>
    <cellStyle name="Calculation 3 9 2 2 3" xfId="47707" xr:uid="{00000000-0005-0000-0000-0000AE3F0000}"/>
    <cellStyle name="Calculation 3 9 2 2 4" xfId="35888" xr:uid="{00000000-0005-0000-0000-0000AF3F0000}"/>
    <cellStyle name="Calculation 3 9 2 3" xfId="19923" xr:uid="{00000000-0005-0000-0000-0000B03F0000}"/>
    <cellStyle name="Calculation 3 9 2 3 2" xfId="45460" xr:uid="{00000000-0005-0000-0000-0000B13F0000}"/>
    <cellStyle name="Calculation 3 9 2 3 3" xfId="49366" xr:uid="{00000000-0005-0000-0000-0000B23F0000}"/>
    <cellStyle name="Calculation 3 9 2 3 4" xfId="37437" xr:uid="{00000000-0005-0000-0000-0000B33F0000}"/>
    <cellStyle name="Calculation 3 9 2 4" xfId="20102" xr:uid="{00000000-0005-0000-0000-0000B43F0000}"/>
    <cellStyle name="Calculation 3 9 2 4 2" xfId="45639" xr:uid="{00000000-0005-0000-0000-0000B53F0000}"/>
    <cellStyle name="Calculation 3 9 2 4 3" xfId="49545" xr:uid="{00000000-0005-0000-0000-0000B63F0000}"/>
    <cellStyle name="Calculation 3 9 2 4 4" xfId="37591" xr:uid="{00000000-0005-0000-0000-0000B73F0000}"/>
    <cellStyle name="Calculation 3 9 2 5" xfId="20664" xr:uid="{00000000-0005-0000-0000-0000B83F0000}"/>
    <cellStyle name="Calculation 3 9 2 5 2" xfId="46201" xr:uid="{00000000-0005-0000-0000-0000B93F0000}"/>
    <cellStyle name="Calculation 3 9 2 5 3" xfId="50107" xr:uid="{00000000-0005-0000-0000-0000BA3F0000}"/>
    <cellStyle name="Calculation 3 9 2 5 4" xfId="38070" xr:uid="{00000000-0005-0000-0000-0000BB3F0000}"/>
    <cellStyle name="Calculation 3 9 2 6" xfId="21317" xr:uid="{00000000-0005-0000-0000-0000BC3F0000}"/>
    <cellStyle name="Calculation 3 9 2 6 2" xfId="46854" xr:uid="{00000000-0005-0000-0000-0000BD3F0000}"/>
    <cellStyle name="Calculation 3 9 2 6 3" xfId="50760" xr:uid="{00000000-0005-0000-0000-0000BE3F0000}"/>
    <cellStyle name="Calculation 3 9 2 7" xfId="40657" xr:uid="{00000000-0005-0000-0000-0000BF3F0000}"/>
    <cellStyle name="Calculation 3 9 2 8" xfId="43249" xr:uid="{00000000-0005-0000-0000-0000C03F0000}"/>
    <cellStyle name="Calculation 3 9 3" xfId="8460" xr:uid="{00000000-0005-0000-0000-0000C13F0000}"/>
    <cellStyle name="Calculation 3 9 3 2" xfId="16256" xr:uid="{00000000-0005-0000-0000-0000C23F0000}"/>
    <cellStyle name="Calculation 3 9 3 2 2" xfId="43407" xr:uid="{00000000-0005-0000-0000-0000C33F0000}"/>
    <cellStyle name="Calculation 3 9 3 2 3" xfId="40032" xr:uid="{00000000-0005-0000-0000-0000C43F0000}"/>
    <cellStyle name="Calculation 3 9 3 2 4" xfId="33891" xr:uid="{00000000-0005-0000-0000-0000C53F0000}"/>
    <cellStyle name="Calculation 3 9 3 3" xfId="11449" xr:uid="{00000000-0005-0000-0000-0000C63F0000}"/>
    <cellStyle name="Calculation 3 9 3 3 2" xfId="41460" xr:uid="{00000000-0005-0000-0000-0000C73F0000}"/>
    <cellStyle name="Calculation 3 9 3 3 3" xfId="40218" xr:uid="{00000000-0005-0000-0000-0000C83F0000}"/>
    <cellStyle name="Calculation 3 9 3 3 4" xfId="29169" xr:uid="{00000000-0005-0000-0000-0000C93F0000}"/>
    <cellStyle name="Calculation 3 9 3 4" xfId="19200" xr:uid="{00000000-0005-0000-0000-0000CA3F0000}"/>
    <cellStyle name="Calculation 3 9 3 4 2" xfId="44737" xr:uid="{00000000-0005-0000-0000-0000CB3F0000}"/>
    <cellStyle name="Calculation 3 9 3 4 3" xfId="48643" xr:uid="{00000000-0005-0000-0000-0000CC3F0000}"/>
    <cellStyle name="Calculation 3 9 3 4 4" xfId="36786" xr:uid="{00000000-0005-0000-0000-0000CD3F0000}"/>
    <cellStyle name="Calculation 3 9 3 5" xfId="20192" xr:uid="{00000000-0005-0000-0000-0000CE3F0000}"/>
    <cellStyle name="Calculation 3 9 3 5 2" xfId="45729" xr:uid="{00000000-0005-0000-0000-0000CF3F0000}"/>
    <cellStyle name="Calculation 3 9 3 5 3" xfId="49635" xr:uid="{00000000-0005-0000-0000-0000D03F0000}"/>
    <cellStyle name="Calculation 3 9 3 5 4" xfId="37675" xr:uid="{00000000-0005-0000-0000-0000D13F0000}"/>
    <cellStyle name="Calculation 3 9 3 6" xfId="19005" xr:uid="{00000000-0005-0000-0000-0000D23F0000}"/>
    <cellStyle name="Calculation 3 9 3 6 2" xfId="44542" xr:uid="{00000000-0005-0000-0000-0000D33F0000}"/>
    <cellStyle name="Calculation 3 9 3 6 3" xfId="48448" xr:uid="{00000000-0005-0000-0000-0000D43F0000}"/>
    <cellStyle name="Calculation 3 9 3 7" xfId="40269" xr:uid="{00000000-0005-0000-0000-0000D53F0000}"/>
    <cellStyle name="Calculation 3 9 3 8" xfId="39233" xr:uid="{00000000-0005-0000-0000-0000D63F0000}"/>
    <cellStyle name="Calculation 3_BallGrid" xfId="1466" xr:uid="{00000000-0005-0000-0000-0000D73F0000}"/>
    <cellStyle name="Calculation 4" xfId="78" xr:uid="{00000000-0005-0000-0000-0000D83F0000}"/>
    <cellStyle name="Calculation 4 10" xfId="1467" xr:uid="{00000000-0005-0000-0000-0000D93F0000}"/>
    <cellStyle name="Calculation 4 11" xfId="52752" xr:uid="{00000000-0005-0000-0000-0000DA3F0000}"/>
    <cellStyle name="Calculation 4 2" xfId="1468" xr:uid="{00000000-0005-0000-0000-0000DB3F0000}"/>
    <cellStyle name="Calculation 4 2 2" xfId="6984" xr:uid="{00000000-0005-0000-0000-0000DC3F0000}"/>
    <cellStyle name="Calculation 4 2 2 10" xfId="42769" xr:uid="{00000000-0005-0000-0000-0000DD3F0000}"/>
    <cellStyle name="Calculation 4 2 2 2" xfId="10514" xr:uid="{00000000-0005-0000-0000-0000DE3F0000}"/>
    <cellStyle name="Calculation 4 2 2 2 2" xfId="18307" xr:uid="{00000000-0005-0000-0000-0000DF3F0000}"/>
    <cellStyle name="Calculation 4 2 2 2 2 2" xfId="43854" xr:uid="{00000000-0005-0000-0000-0000E03F0000}"/>
    <cellStyle name="Calculation 4 2 2 2 2 3" xfId="47763" xr:uid="{00000000-0005-0000-0000-0000E13F0000}"/>
    <cellStyle name="Calculation 4 2 2 2 2 4" xfId="35944" xr:uid="{00000000-0005-0000-0000-0000E23F0000}"/>
    <cellStyle name="Calculation 4 2 2 2 3" xfId="19308" xr:uid="{00000000-0005-0000-0000-0000E33F0000}"/>
    <cellStyle name="Calculation 4 2 2 2 3 2" xfId="44845" xr:uid="{00000000-0005-0000-0000-0000E43F0000}"/>
    <cellStyle name="Calculation 4 2 2 2 3 3" xfId="48751" xr:uid="{00000000-0005-0000-0000-0000E53F0000}"/>
    <cellStyle name="Calculation 4 2 2 2 3 4" xfId="36886" xr:uid="{00000000-0005-0000-0000-0000E63F0000}"/>
    <cellStyle name="Calculation 4 2 2 2 4" xfId="18929" xr:uid="{00000000-0005-0000-0000-0000E73F0000}"/>
    <cellStyle name="Calculation 4 2 2 2 4 2" xfId="44466" xr:uid="{00000000-0005-0000-0000-0000E83F0000}"/>
    <cellStyle name="Calculation 4 2 2 2 4 3" xfId="48372" xr:uid="{00000000-0005-0000-0000-0000E93F0000}"/>
    <cellStyle name="Calculation 4 2 2 2 4 4" xfId="36557" xr:uid="{00000000-0005-0000-0000-0000EA3F0000}"/>
    <cellStyle name="Calculation 4 2 2 2 5" xfId="20720" xr:uid="{00000000-0005-0000-0000-0000EB3F0000}"/>
    <cellStyle name="Calculation 4 2 2 2 5 2" xfId="46257" xr:uid="{00000000-0005-0000-0000-0000EC3F0000}"/>
    <cellStyle name="Calculation 4 2 2 2 5 3" xfId="50163" xr:uid="{00000000-0005-0000-0000-0000ED3F0000}"/>
    <cellStyle name="Calculation 4 2 2 2 5 4" xfId="38126" xr:uid="{00000000-0005-0000-0000-0000EE3F0000}"/>
    <cellStyle name="Calculation 4 2 2 2 6" xfId="21373" xr:uid="{00000000-0005-0000-0000-0000EF3F0000}"/>
    <cellStyle name="Calculation 4 2 2 2 6 2" xfId="46910" xr:uid="{00000000-0005-0000-0000-0000F03F0000}"/>
    <cellStyle name="Calculation 4 2 2 2 6 3" xfId="50816" xr:uid="{00000000-0005-0000-0000-0000F13F0000}"/>
    <cellStyle name="Calculation 4 2 2 2 7" xfId="40713" xr:uid="{00000000-0005-0000-0000-0000F23F0000}"/>
    <cellStyle name="Calculation 4 2 2 2 8" xfId="40393" xr:uid="{00000000-0005-0000-0000-0000F33F0000}"/>
    <cellStyle name="Calculation 4 2 2 3" xfId="10809" xr:uid="{00000000-0005-0000-0000-0000F43F0000}"/>
    <cellStyle name="Calculation 4 2 2 3 2" xfId="18602" xr:uid="{00000000-0005-0000-0000-0000F53F0000}"/>
    <cellStyle name="Calculation 4 2 2 3 2 2" xfId="44149" xr:uid="{00000000-0005-0000-0000-0000F63F0000}"/>
    <cellStyle name="Calculation 4 2 2 3 2 3" xfId="48058" xr:uid="{00000000-0005-0000-0000-0000F73F0000}"/>
    <cellStyle name="Calculation 4 2 2 3 2 4" xfId="36239" xr:uid="{00000000-0005-0000-0000-0000F83F0000}"/>
    <cellStyle name="Calculation 4 2 2 3 3" xfId="11513" xr:uid="{00000000-0005-0000-0000-0000F93F0000}"/>
    <cellStyle name="Calculation 4 2 2 3 3 2" xfId="41524" xr:uid="{00000000-0005-0000-0000-0000FA3F0000}"/>
    <cellStyle name="Calculation 4 2 2 3 3 3" xfId="39355" xr:uid="{00000000-0005-0000-0000-0000FB3F0000}"/>
    <cellStyle name="Calculation 4 2 2 3 3 4" xfId="29228" xr:uid="{00000000-0005-0000-0000-0000FC3F0000}"/>
    <cellStyle name="Calculation 4 2 2 3 4" xfId="19378" xr:uid="{00000000-0005-0000-0000-0000FD3F0000}"/>
    <cellStyle name="Calculation 4 2 2 3 4 2" xfId="44915" xr:uid="{00000000-0005-0000-0000-0000FE3F0000}"/>
    <cellStyle name="Calculation 4 2 2 3 4 3" xfId="48821" xr:uid="{00000000-0005-0000-0000-0000FF3F0000}"/>
    <cellStyle name="Calculation 4 2 2 3 4 4" xfId="36944" xr:uid="{00000000-0005-0000-0000-000000400000}"/>
    <cellStyle name="Calculation 4 2 2 3 5" xfId="21015" xr:uid="{00000000-0005-0000-0000-000001400000}"/>
    <cellStyle name="Calculation 4 2 2 3 5 2" xfId="46552" xr:uid="{00000000-0005-0000-0000-000002400000}"/>
    <cellStyle name="Calculation 4 2 2 3 5 3" xfId="50458" xr:uid="{00000000-0005-0000-0000-000003400000}"/>
    <cellStyle name="Calculation 4 2 2 3 5 4" xfId="38421" xr:uid="{00000000-0005-0000-0000-000004400000}"/>
    <cellStyle name="Calculation 4 2 2 3 6" xfId="21668" xr:uid="{00000000-0005-0000-0000-000005400000}"/>
    <cellStyle name="Calculation 4 2 2 3 6 2" xfId="47205" xr:uid="{00000000-0005-0000-0000-000006400000}"/>
    <cellStyle name="Calculation 4 2 2 3 6 3" xfId="51111" xr:uid="{00000000-0005-0000-0000-000007400000}"/>
    <cellStyle name="Calculation 4 2 2 3 7" xfId="41008" xr:uid="{00000000-0005-0000-0000-000008400000}"/>
    <cellStyle name="Calculation 4 2 2 3 8" xfId="39190" xr:uid="{00000000-0005-0000-0000-000009400000}"/>
    <cellStyle name="Calculation 4 2 2 4" xfId="14772" xr:uid="{00000000-0005-0000-0000-00000A400000}"/>
    <cellStyle name="Calculation 4 2 2 4 2" xfId="42888" xr:uid="{00000000-0005-0000-0000-00000B400000}"/>
    <cellStyle name="Calculation 4 2 2 4 3" xfId="43305" xr:uid="{00000000-0005-0000-0000-00000C400000}"/>
    <cellStyle name="Calculation 4 2 2 4 4" xfId="32407" xr:uid="{00000000-0005-0000-0000-00000D400000}"/>
    <cellStyle name="Calculation 4 2 2 5" xfId="13062" xr:uid="{00000000-0005-0000-0000-00000E400000}"/>
    <cellStyle name="Calculation 4 2 2 5 2" xfId="42283" xr:uid="{00000000-0005-0000-0000-00000F400000}"/>
    <cellStyle name="Calculation 4 2 2 5 3" xfId="41974" xr:uid="{00000000-0005-0000-0000-000010400000}"/>
    <cellStyle name="Calculation 4 2 2 5 4" xfId="30711" xr:uid="{00000000-0005-0000-0000-000011400000}"/>
    <cellStyle name="Calculation 4 2 2 6" xfId="12863" xr:uid="{00000000-0005-0000-0000-000012400000}"/>
    <cellStyle name="Calculation 4 2 2 6 2" xfId="42246" xr:uid="{00000000-0005-0000-0000-000013400000}"/>
    <cellStyle name="Calculation 4 2 2 6 3" xfId="43581" xr:uid="{00000000-0005-0000-0000-000014400000}"/>
    <cellStyle name="Calculation 4 2 2 6 4" xfId="30515" xr:uid="{00000000-0005-0000-0000-000015400000}"/>
    <cellStyle name="Calculation 4 2 2 7" xfId="20198" xr:uid="{00000000-0005-0000-0000-000016400000}"/>
    <cellStyle name="Calculation 4 2 2 7 2" xfId="45735" xr:uid="{00000000-0005-0000-0000-000017400000}"/>
    <cellStyle name="Calculation 4 2 2 7 3" xfId="49641" xr:uid="{00000000-0005-0000-0000-000018400000}"/>
    <cellStyle name="Calculation 4 2 2 7 4" xfId="37680" xr:uid="{00000000-0005-0000-0000-000019400000}"/>
    <cellStyle name="Calculation 4 2 2 8" xfId="19237" xr:uid="{00000000-0005-0000-0000-00001A400000}"/>
    <cellStyle name="Calculation 4 2 2 8 2" xfId="44774" xr:uid="{00000000-0005-0000-0000-00001B400000}"/>
    <cellStyle name="Calculation 4 2 2 8 3" xfId="48680" xr:uid="{00000000-0005-0000-0000-00001C400000}"/>
    <cellStyle name="Calculation 4 2 2 9" xfId="39748" xr:uid="{00000000-0005-0000-0000-00001D400000}"/>
    <cellStyle name="Calculation 4 2 3" xfId="22893" xr:uid="{00000000-0005-0000-0000-00001E400000}"/>
    <cellStyle name="Calculation 4 2 3 2" xfId="47612" xr:uid="{00000000-0005-0000-0000-00001F400000}"/>
    <cellStyle name="Calculation 4 2 3 3" xfId="51427" xr:uid="{00000000-0005-0000-0000-000020400000}"/>
    <cellStyle name="Calculation 4 2 3 4" xfId="39032" xr:uid="{00000000-0005-0000-0000-000021400000}"/>
    <cellStyle name="Calculation 4 2 4" xfId="23055" xr:uid="{00000000-0005-0000-0000-000022400000}"/>
    <cellStyle name="Calculation 4 2 4 2" xfId="47656" xr:uid="{00000000-0005-0000-0000-000023400000}"/>
    <cellStyle name="Calculation 4 2 4 3" xfId="51467" xr:uid="{00000000-0005-0000-0000-000024400000}"/>
    <cellStyle name="Calculation 4 2 5" xfId="52962" xr:uid="{00000000-0005-0000-0000-000025400000}"/>
    <cellStyle name="Calculation 4 3" xfId="1469" xr:uid="{00000000-0005-0000-0000-000026400000}"/>
    <cellStyle name="Calculation 4 3 2" xfId="6985" xr:uid="{00000000-0005-0000-0000-000027400000}"/>
    <cellStyle name="Calculation 4 3 2 10" xfId="43657" xr:uid="{00000000-0005-0000-0000-000028400000}"/>
    <cellStyle name="Calculation 4 3 2 2" xfId="10515" xr:uid="{00000000-0005-0000-0000-000029400000}"/>
    <cellStyle name="Calculation 4 3 2 2 2" xfId="18308" xr:uid="{00000000-0005-0000-0000-00002A400000}"/>
    <cellStyle name="Calculation 4 3 2 2 2 2" xfId="43855" xr:uid="{00000000-0005-0000-0000-00002B400000}"/>
    <cellStyle name="Calculation 4 3 2 2 2 3" xfId="47764" xr:uid="{00000000-0005-0000-0000-00002C400000}"/>
    <cellStyle name="Calculation 4 3 2 2 2 4" xfId="35945" xr:uid="{00000000-0005-0000-0000-00002D400000}"/>
    <cellStyle name="Calculation 4 3 2 2 3" xfId="19917" xr:uid="{00000000-0005-0000-0000-00002E400000}"/>
    <cellStyle name="Calculation 4 3 2 2 3 2" xfId="45454" xr:uid="{00000000-0005-0000-0000-00002F400000}"/>
    <cellStyle name="Calculation 4 3 2 2 3 3" xfId="49360" xr:uid="{00000000-0005-0000-0000-000030400000}"/>
    <cellStyle name="Calculation 4 3 2 2 3 4" xfId="37431" xr:uid="{00000000-0005-0000-0000-000031400000}"/>
    <cellStyle name="Calculation 4 3 2 2 4" xfId="11915" xr:uid="{00000000-0005-0000-0000-000032400000}"/>
    <cellStyle name="Calculation 4 3 2 2 4 2" xfId="41776" xr:uid="{00000000-0005-0000-0000-000033400000}"/>
    <cellStyle name="Calculation 4 3 2 2 4 3" xfId="42573" xr:uid="{00000000-0005-0000-0000-000034400000}"/>
    <cellStyle name="Calculation 4 3 2 2 4 4" xfId="29598" xr:uid="{00000000-0005-0000-0000-000035400000}"/>
    <cellStyle name="Calculation 4 3 2 2 5" xfId="20721" xr:uid="{00000000-0005-0000-0000-000036400000}"/>
    <cellStyle name="Calculation 4 3 2 2 5 2" xfId="46258" xr:uid="{00000000-0005-0000-0000-000037400000}"/>
    <cellStyle name="Calculation 4 3 2 2 5 3" xfId="50164" xr:uid="{00000000-0005-0000-0000-000038400000}"/>
    <cellStyle name="Calculation 4 3 2 2 5 4" xfId="38127" xr:uid="{00000000-0005-0000-0000-000039400000}"/>
    <cellStyle name="Calculation 4 3 2 2 6" xfId="21374" xr:uid="{00000000-0005-0000-0000-00003A400000}"/>
    <cellStyle name="Calculation 4 3 2 2 6 2" xfId="46911" xr:uid="{00000000-0005-0000-0000-00003B400000}"/>
    <cellStyle name="Calculation 4 3 2 2 6 3" xfId="50817" xr:uid="{00000000-0005-0000-0000-00003C400000}"/>
    <cellStyle name="Calculation 4 3 2 2 7" xfId="40714" xr:uid="{00000000-0005-0000-0000-00003D400000}"/>
    <cellStyle name="Calculation 4 3 2 2 8" xfId="39505" xr:uid="{00000000-0005-0000-0000-00003E400000}"/>
    <cellStyle name="Calculation 4 3 2 3" xfId="10810" xr:uid="{00000000-0005-0000-0000-00003F400000}"/>
    <cellStyle name="Calculation 4 3 2 3 2" xfId="18603" xr:uid="{00000000-0005-0000-0000-000040400000}"/>
    <cellStyle name="Calculation 4 3 2 3 2 2" xfId="44150" xr:uid="{00000000-0005-0000-0000-000041400000}"/>
    <cellStyle name="Calculation 4 3 2 3 2 3" xfId="48059" xr:uid="{00000000-0005-0000-0000-000042400000}"/>
    <cellStyle name="Calculation 4 3 2 3 2 4" xfId="36240" xr:uid="{00000000-0005-0000-0000-000043400000}"/>
    <cellStyle name="Calculation 4 3 2 3 3" xfId="12166" xr:uid="{00000000-0005-0000-0000-000044400000}"/>
    <cellStyle name="Calculation 4 3 2 3 3 2" xfId="41911" xr:uid="{00000000-0005-0000-0000-000045400000}"/>
    <cellStyle name="Calculation 4 3 2 3 3 3" xfId="43485" xr:uid="{00000000-0005-0000-0000-000046400000}"/>
    <cellStyle name="Calculation 4 3 2 3 3 4" xfId="29838" xr:uid="{00000000-0005-0000-0000-000047400000}"/>
    <cellStyle name="Calculation 4 3 2 3 4" xfId="18959" xr:uid="{00000000-0005-0000-0000-000048400000}"/>
    <cellStyle name="Calculation 4 3 2 3 4 2" xfId="44496" xr:uid="{00000000-0005-0000-0000-000049400000}"/>
    <cellStyle name="Calculation 4 3 2 3 4 3" xfId="48402" xr:uid="{00000000-0005-0000-0000-00004A400000}"/>
    <cellStyle name="Calculation 4 3 2 3 4 4" xfId="36585" xr:uid="{00000000-0005-0000-0000-00004B400000}"/>
    <cellStyle name="Calculation 4 3 2 3 5" xfId="21016" xr:uid="{00000000-0005-0000-0000-00004C400000}"/>
    <cellStyle name="Calculation 4 3 2 3 5 2" xfId="46553" xr:uid="{00000000-0005-0000-0000-00004D400000}"/>
    <cellStyle name="Calculation 4 3 2 3 5 3" xfId="50459" xr:uid="{00000000-0005-0000-0000-00004E400000}"/>
    <cellStyle name="Calculation 4 3 2 3 5 4" xfId="38422" xr:uid="{00000000-0005-0000-0000-00004F400000}"/>
    <cellStyle name="Calculation 4 3 2 3 6" xfId="21669" xr:uid="{00000000-0005-0000-0000-000050400000}"/>
    <cellStyle name="Calculation 4 3 2 3 6 2" xfId="47206" xr:uid="{00000000-0005-0000-0000-000051400000}"/>
    <cellStyle name="Calculation 4 3 2 3 6 3" xfId="51112" xr:uid="{00000000-0005-0000-0000-000052400000}"/>
    <cellStyle name="Calculation 4 3 2 3 7" xfId="41009" xr:uid="{00000000-0005-0000-0000-000053400000}"/>
    <cellStyle name="Calculation 4 3 2 3 8" xfId="47515" xr:uid="{00000000-0005-0000-0000-000054400000}"/>
    <cellStyle name="Calculation 4 3 2 4" xfId="14773" xr:uid="{00000000-0005-0000-0000-000055400000}"/>
    <cellStyle name="Calculation 4 3 2 4 2" xfId="42889" xr:uid="{00000000-0005-0000-0000-000056400000}"/>
    <cellStyle name="Calculation 4 3 2 4 3" xfId="40164" xr:uid="{00000000-0005-0000-0000-000057400000}"/>
    <cellStyle name="Calculation 4 3 2 4 4" xfId="32408" xr:uid="{00000000-0005-0000-0000-000058400000}"/>
    <cellStyle name="Calculation 4 3 2 5" xfId="11279" xr:uid="{00000000-0005-0000-0000-000059400000}"/>
    <cellStyle name="Calculation 4 3 2 5 2" xfId="41326" xr:uid="{00000000-0005-0000-0000-00005A400000}"/>
    <cellStyle name="Calculation 4 3 2 5 3" xfId="39364" xr:uid="{00000000-0005-0000-0000-00005B400000}"/>
    <cellStyle name="Calculation 4 3 2 5 4" xfId="29007" xr:uid="{00000000-0005-0000-0000-00005C400000}"/>
    <cellStyle name="Calculation 4 3 2 6" xfId="20123" xr:uid="{00000000-0005-0000-0000-00005D400000}"/>
    <cellStyle name="Calculation 4 3 2 6 2" xfId="45660" xr:uid="{00000000-0005-0000-0000-00005E400000}"/>
    <cellStyle name="Calculation 4 3 2 6 3" xfId="49566" xr:uid="{00000000-0005-0000-0000-00005F400000}"/>
    <cellStyle name="Calculation 4 3 2 6 4" xfId="37609" xr:uid="{00000000-0005-0000-0000-000060400000}"/>
    <cellStyle name="Calculation 4 3 2 7" xfId="13914" xr:uid="{00000000-0005-0000-0000-000061400000}"/>
    <cellStyle name="Calculation 4 3 2 7 2" xfId="42649" xr:uid="{00000000-0005-0000-0000-000062400000}"/>
    <cellStyle name="Calculation 4 3 2 7 3" xfId="39067" xr:uid="{00000000-0005-0000-0000-000063400000}"/>
    <cellStyle name="Calculation 4 3 2 7 4" xfId="31551" xr:uid="{00000000-0005-0000-0000-000064400000}"/>
    <cellStyle name="Calculation 4 3 2 8" xfId="12498" xr:uid="{00000000-0005-0000-0000-000065400000}"/>
    <cellStyle name="Calculation 4 3 2 8 2" xfId="42011" xr:uid="{00000000-0005-0000-0000-000066400000}"/>
    <cellStyle name="Calculation 4 3 2 8 3" xfId="39664" xr:uid="{00000000-0005-0000-0000-000067400000}"/>
    <cellStyle name="Calculation 4 3 2 9" xfId="39749" xr:uid="{00000000-0005-0000-0000-000068400000}"/>
    <cellStyle name="Calculation 4 3 3" xfId="22295" xr:uid="{00000000-0005-0000-0000-000069400000}"/>
    <cellStyle name="Calculation 4 3 3 2" xfId="47525" xr:uid="{00000000-0005-0000-0000-00006A400000}"/>
    <cellStyle name="Calculation 4 3 3 3" xfId="51380" xr:uid="{00000000-0005-0000-0000-00006B400000}"/>
    <cellStyle name="Calculation 4 3 3 4" xfId="38831" xr:uid="{00000000-0005-0000-0000-00006C400000}"/>
    <cellStyle name="Calculation 4 3 4" xfId="23032" xr:uid="{00000000-0005-0000-0000-00006D400000}"/>
    <cellStyle name="Calculation 4 3 4 2" xfId="47633" xr:uid="{00000000-0005-0000-0000-00006E400000}"/>
    <cellStyle name="Calculation 4 3 4 3" xfId="51444" xr:uid="{00000000-0005-0000-0000-00006F400000}"/>
    <cellStyle name="Calculation 4 3 5" xfId="52963" xr:uid="{00000000-0005-0000-0000-000070400000}"/>
    <cellStyle name="Calculation 4 4" xfId="1470" xr:uid="{00000000-0005-0000-0000-000071400000}"/>
    <cellStyle name="Calculation 4 4 2" xfId="6986" xr:uid="{00000000-0005-0000-0000-000072400000}"/>
    <cellStyle name="Calculation 4 4 2 10" xfId="40515" xr:uid="{00000000-0005-0000-0000-000073400000}"/>
    <cellStyle name="Calculation 4 4 2 2" xfId="10516" xr:uid="{00000000-0005-0000-0000-000074400000}"/>
    <cellStyle name="Calculation 4 4 2 2 2" xfId="18309" xr:uid="{00000000-0005-0000-0000-000075400000}"/>
    <cellStyle name="Calculation 4 4 2 2 2 2" xfId="43856" xr:uid="{00000000-0005-0000-0000-000076400000}"/>
    <cellStyle name="Calculation 4 4 2 2 2 3" xfId="47765" xr:uid="{00000000-0005-0000-0000-000077400000}"/>
    <cellStyle name="Calculation 4 4 2 2 2 4" xfId="35946" xr:uid="{00000000-0005-0000-0000-000078400000}"/>
    <cellStyle name="Calculation 4 4 2 2 3" xfId="19140" xr:uid="{00000000-0005-0000-0000-000079400000}"/>
    <cellStyle name="Calculation 4 4 2 2 3 2" xfId="44677" xr:uid="{00000000-0005-0000-0000-00007A400000}"/>
    <cellStyle name="Calculation 4 4 2 2 3 3" xfId="48583" xr:uid="{00000000-0005-0000-0000-00007B400000}"/>
    <cellStyle name="Calculation 4 4 2 2 3 4" xfId="36735" xr:uid="{00000000-0005-0000-0000-00007C400000}"/>
    <cellStyle name="Calculation 4 4 2 2 4" xfId="20128" xr:uid="{00000000-0005-0000-0000-00007D400000}"/>
    <cellStyle name="Calculation 4 4 2 2 4 2" xfId="45665" xr:uid="{00000000-0005-0000-0000-00007E400000}"/>
    <cellStyle name="Calculation 4 4 2 2 4 3" xfId="49571" xr:uid="{00000000-0005-0000-0000-00007F400000}"/>
    <cellStyle name="Calculation 4 4 2 2 4 4" xfId="37614" xr:uid="{00000000-0005-0000-0000-000080400000}"/>
    <cellStyle name="Calculation 4 4 2 2 5" xfId="20722" xr:uid="{00000000-0005-0000-0000-000081400000}"/>
    <cellStyle name="Calculation 4 4 2 2 5 2" xfId="46259" xr:uid="{00000000-0005-0000-0000-000082400000}"/>
    <cellStyle name="Calculation 4 4 2 2 5 3" xfId="50165" xr:uid="{00000000-0005-0000-0000-000083400000}"/>
    <cellStyle name="Calculation 4 4 2 2 5 4" xfId="38128" xr:uid="{00000000-0005-0000-0000-000084400000}"/>
    <cellStyle name="Calculation 4 4 2 2 6" xfId="21375" xr:uid="{00000000-0005-0000-0000-000085400000}"/>
    <cellStyle name="Calculation 4 4 2 2 6 2" xfId="46912" xr:uid="{00000000-0005-0000-0000-000086400000}"/>
    <cellStyle name="Calculation 4 4 2 2 6 3" xfId="50818" xr:uid="{00000000-0005-0000-0000-000087400000}"/>
    <cellStyle name="Calculation 4 4 2 2 7" xfId="40715" xr:uid="{00000000-0005-0000-0000-000088400000}"/>
    <cellStyle name="Calculation 4 4 2 2 8" xfId="42079" xr:uid="{00000000-0005-0000-0000-000089400000}"/>
    <cellStyle name="Calculation 4 4 2 3" xfId="10811" xr:uid="{00000000-0005-0000-0000-00008A400000}"/>
    <cellStyle name="Calculation 4 4 2 3 2" xfId="18604" xr:uid="{00000000-0005-0000-0000-00008B400000}"/>
    <cellStyle name="Calculation 4 4 2 3 2 2" xfId="44151" xr:uid="{00000000-0005-0000-0000-00008C400000}"/>
    <cellStyle name="Calculation 4 4 2 3 2 3" xfId="48060" xr:uid="{00000000-0005-0000-0000-00008D400000}"/>
    <cellStyle name="Calculation 4 4 2 3 2 4" xfId="36241" xr:uid="{00000000-0005-0000-0000-00008E400000}"/>
    <cellStyle name="Calculation 4 4 2 3 3" xfId="19593" xr:uid="{00000000-0005-0000-0000-00008F400000}"/>
    <cellStyle name="Calculation 4 4 2 3 3 2" xfId="45130" xr:uid="{00000000-0005-0000-0000-000090400000}"/>
    <cellStyle name="Calculation 4 4 2 3 3 3" xfId="49036" xr:uid="{00000000-0005-0000-0000-000091400000}"/>
    <cellStyle name="Calculation 4 4 2 3 3 4" xfId="37133" xr:uid="{00000000-0005-0000-0000-000092400000}"/>
    <cellStyle name="Calculation 4 4 2 3 4" xfId="19245" xr:uid="{00000000-0005-0000-0000-000093400000}"/>
    <cellStyle name="Calculation 4 4 2 3 4 2" xfId="44782" xr:uid="{00000000-0005-0000-0000-000094400000}"/>
    <cellStyle name="Calculation 4 4 2 3 4 3" xfId="48688" xr:uid="{00000000-0005-0000-0000-000095400000}"/>
    <cellStyle name="Calculation 4 4 2 3 4 4" xfId="36823" xr:uid="{00000000-0005-0000-0000-000096400000}"/>
    <cellStyle name="Calculation 4 4 2 3 5" xfId="21017" xr:uid="{00000000-0005-0000-0000-000097400000}"/>
    <cellStyle name="Calculation 4 4 2 3 5 2" xfId="46554" xr:uid="{00000000-0005-0000-0000-000098400000}"/>
    <cellStyle name="Calculation 4 4 2 3 5 3" xfId="50460" xr:uid="{00000000-0005-0000-0000-000099400000}"/>
    <cellStyle name="Calculation 4 4 2 3 5 4" xfId="38423" xr:uid="{00000000-0005-0000-0000-00009A400000}"/>
    <cellStyle name="Calculation 4 4 2 3 6" xfId="21670" xr:uid="{00000000-0005-0000-0000-00009B400000}"/>
    <cellStyle name="Calculation 4 4 2 3 6 2" xfId="47207" xr:uid="{00000000-0005-0000-0000-00009C400000}"/>
    <cellStyle name="Calculation 4 4 2 3 6 3" xfId="51113" xr:uid="{00000000-0005-0000-0000-00009D400000}"/>
    <cellStyle name="Calculation 4 4 2 3 7" xfId="41010" xr:uid="{00000000-0005-0000-0000-00009E400000}"/>
    <cellStyle name="Calculation 4 4 2 3 8" xfId="41431" xr:uid="{00000000-0005-0000-0000-00009F400000}"/>
    <cellStyle name="Calculation 4 4 2 4" xfId="14774" xr:uid="{00000000-0005-0000-0000-0000A0400000}"/>
    <cellStyle name="Calculation 4 4 2 4 2" xfId="42890" xr:uid="{00000000-0005-0000-0000-0000A1400000}"/>
    <cellStyle name="Calculation 4 4 2 4 3" xfId="39278" xr:uid="{00000000-0005-0000-0000-0000A2400000}"/>
    <cellStyle name="Calculation 4 4 2 4 4" xfId="32409" xr:uid="{00000000-0005-0000-0000-0000A3400000}"/>
    <cellStyle name="Calculation 4 4 2 5" xfId="12464" xr:uid="{00000000-0005-0000-0000-0000A4400000}"/>
    <cellStyle name="Calculation 4 4 2 5 2" xfId="41985" xr:uid="{00000000-0005-0000-0000-0000A5400000}"/>
    <cellStyle name="Calculation 4 4 2 5 3" xfId="42569" xr:uid="{00000000-0005-0000-0000-0000A6400000}"/>
    <cellStyle name="Calculation 4 4 2 5 4" xfId="30135" xr:uid="{00000000-0005-0000-0000-0000A7400000}"/>
    <cellStyle name="Calculation 4 4 2 6" xfId="19670" xr:uid="{00000000-0005-0000-0000-0000A8400000}"/>
    <cellStyle name="Calculation 4 4 2 6 2" xfId="45207" xr:uid="{00000000-0005-0000-0000-0000A9400000}"/>
    <cellStyle name="Calculation 4 4 2 6 3" xfId="49113" xr:uid="{00000000-0005-0000-0000-0000AA400000}"/>
    <cellStyle name="Calculation 4 4 2 6 4" xfId="37204" xr:uid="{00000000-0005-0000-0000-0000AB400000}"/>
    <cellStyle name="Calculation 4 4 2 7" xfId="12402" xr:uid="{00000000-0005-0000-0000-0000AC400000}"/>
    <cellStyle name="Calculation 4 4 2 7 2" xfId="41968" xr:uid="{00000000-0005-0000-0000-0000AD400000}"/>
    <cellStyle name="Calculation 4 4 2 7 3" xfId="40343" xr:uid="{00000000-0005-0000-0000-0000AE400000}"/>
    <cellStyle name="Calculation 4 4 2 7 4" xfId="30073" xr:uid="{00000000-0005-0000-0000-0000AF400000}"/>
    <cellStyle name="Calculation 4 4 2 8" xfId="19071" xr:uid="{00000000-0005-0000-0000-0000B0400000}"/>
    <cellStyle name="Calculation 4 4 2 8 2" xfId="44608" xr:uid="{00000000-0005-0000-0000-0000B1400000}"/>
    <cellStyle name="Calculation 4 4 2 8 3" xfId="48514" xr:uid="{00000000-0005-0000-0000-0000B2400000}"/>
    <cellStyle name="Calculation 4 4 2 9" xfId="39750" xr:uid="{00000000-0005-0000-0000-0000B3400000}"/>
    <cellStyle name="Calculation 4 4 3" xfId="52964" xr:uid="{00000000-0005-0000-0000-0000B4400000}"/>
    <cellStyle name="Calculation 4 5" xfId="1471" xr:uid="{00000000-0005-0000-0000-0000B5400000}"/>
    <cellStyle name="Calculation 4 5 2" xfId="6987" xr:uid="{00000000-0005-0000-0000-0000B6400000}"/>
    <cellStyle name="Calculation 4 5 2 10" xfId="39625" xr:uid="{00000000-0005-0000-0000-0000B7400000}"/>
    <cellStyle name="Calculation 4 5 2 2" xfId="10517" xr:uid="{00000000-0005-0000-0000-0000B8400000}"/>
    <cellStyle name="Calculation 4 5 2 2 2" xfId="18310" xr:uid="{00000000-0005-0000-0000-0000B9400000}"/>
    <cellStyle name="Calculation 4 5 2 2 2 2" xfId="43857" xr:uid="{00000000-0005-0000-0000-0000BA400000}"/>
    <cellStyle name="Calculation 4 5 2 2 2 3" xfId="47766" xr:uid="{00000000-0005-0000-0000-0000BB400000}"/>
    <cellStyle name="Calculation 4 5 2 2 2 4" xfId="35947" xr:uid="{00000000-0005-0000-0000-0000BC400000}"/>
    <cellStyle name="Calculation 4 5 2 2 3" xfId="19762" xr:uid="{00000000-0005-0000-0000-0000BD400000}"/>
    <cellStyle name="Calculation 4 5 2 2 3 2" xfId="45299" xr:uid="{00000000-0005-0000-0000-0000BE400000}"/>
    <cellStyle name="Calculation 4 5 2 2 3 3" xfId="49205" xr:uid="{00000000-0005-0000-0000-0000BF400000}"/>
    <cellStyle name="Calculation 4 5 2 2 3 4" xfId="37289" xr:uid="{00000000-0005-0000-0000-0000C0400000}"/>
    <cellStyle name="Calculation 4 5 2 2 4" xfId="12651" xr:uid="{00000000-0005-0000-0000-0000C1400000}"/>
    <cellStyle name="Calculation 4 5 2 2 4 2" xfId="42130" xr:uid="{00000000-0005-0000-0000-0000C2400000}"/>
    <cellStyle name="Calculation 4 5 2 2 4 3" xfId="39661" xr:uid="{00000000-0005-0000-0000-0000C3400000}"/>
    <cellStyle name="Calculation 4 5 2 2 4 4" xfId="30316" xr:uid="{00000000-0005-0000-0000-0000C4400000}"/>
    <cellStyle name="Calculation 4 5 2 2 5" xfId="20723" xr:uid="{00000000-0005-0000-0000-0000C5400000}"/>
    <cellStyle name="Calculation 4 5 2 2 5 2" xfId="46260" xr:uid="{00000000-0005-0000-0000-0000C6400000}"/>
    <cellStyle name="Calculation 4 5 2 2 5 3" xfId="50166" xr:uid="{00000000-0005-0000-0000-0000C7400000}"/>
    <cellStyle name="Calculation 4 5 2 2 5 4" xfId="38129" xr:uid="{00000000-0005-0000-0000-0000C8400000}"/>
    <cellStyle name="Calculation 4 5 2 2 6" xfId="21376" xr:uid="{00000000-0005-0000-0000-0000C9400000}"/>
    <cellStyle name="Calculation 4 5 2 2 6 2" xfId="46913" xr:uid="{00000000-0005-0000-0000-0000CA400000}"/>
    <cellStyle name="Calculation 4 5 2 2 6 3" xfId="50819" xr:uid="{00000000-0005-0000-0000-0000CB400000}"/>
    <cellStyle name="Calculation 4 5 2 2 7" xfId="40716" xr:uid="{00000000-0005-0000-0000-0000CC400000}"/>
    <cellStyle name="Calculation 4 5 2 2 8" xfId="43398" xr:uid="{00000000-0005-0000-0000-0000CD400000}"/>
    <cellStyle name="Calculation 4 5 2 3" xfId="10812" xr:uid="{00000000-0005-0000-0000-0000CE400000}"/>
    <cellStyle name="Calculation 4 5 2 3 2" xfId="18605" xr:uid="{00000000-0005-0000-0000-0000CF400000}"/>
    <cellStyle name="Calculation 4 5 2 3 2 2" xfId="44152" xr:uid="{00000000-0005-0000-0000-0000D0400000}"/>
    <cellStyle name="Calculation 4 5 2 3 2 3" xfId="48061" xr:uid="{00000000-0005-0000-0000-0000D1400000}"/>
    <cellStyle name="Calculation 4 5 2 3 2 4" xfId="36242" xr:uid="{00000000-0005-0000-0000-0000D2400000}"/>
    <cellStyle name="Calculation 4 5 2 3 3" xfId="20145" xr:uid="{00000000-0005-0000-0000-0000D3400000}"/>
    <cellStyle name="Calculation 4 5 2 3 3 2" xfId="45682" xr:uid="{00000000-0005-0000-0000-0000D4400000}"/>
    <cellStyle name="Calculation 4 5 2 3 3 3" xfId="49588" xr:uid="{00000000-0005-0000-0000-0000D5400000}"/>
    <cellStyle name="Calculation 4 5 2 3 3 4" xfId="37631" xr:uid="{00000000-0005-0000-0000-0000D6400000}"/>
    <cellStyle name="Calculation 4 5 2 3 4" xfId="11544" xr:uid="{00000000-0005-0000-0000-0000D7400000}"/>
    <cellStyle name="Calculation 4 5 2 3 4 2" xfId="41555" xr:uid="{00000000-0005-0000-0000-0000D8400000}"/>
    <cellStyle name="Calculation 4 5 2 3 4 3" xfId="40461" xr:uid="{00000000-0005-0000-0000-0000D9400000}"/>
    <cellStyle name="Calculation 4 5 2 3 4 4" xfId="29258" xr:uid="{00000000-0005-0000-0000-0000DA400000}"/>
    <cellStyle name="Calculation 4 5 2 3 5" xfId="21018" xr:uid="{00000000-0005-0000-0000-0000DB400000}"/>
    <cellStyle name="Calculation 4 5 2 3 5 2" xfId="46555" xr:uid="{00000000-0005-0000-0000-0000DC400000}"/>
    <cellStyle name="Calculation 4 5 2 3 5 3" xfId="50461" xr:uid="{00000000-0005-0000-0000-0000DD400000}"/>
    <cellStyle name="Calculation 4 5 2 3 5 4" xfId="38424" xr:uid="{00000000-0005-0000-0000-0000DE400000}"/>
    <cellStyle name="Calculation 4 5 2 3 6" xfId="21671" xr:uid="{00000000-0005-0000-0000-0000DF400000}"/>
    <cellStyle name="Calculation 4 5 2 3 6 2" xfId="47208" xr:uid="{00000000-0005-0000-0000-0000E0400000}"/>
    <cellStyle name="Calculation 4 5 2 3 6 3" xfId="51114" xr:uid="{00000000-0005-0000-0000-0000E1400000}"/>
    <cellStyle name="Calculation 4 5 2 3 7" xfId="41011" xr:uid="{00000000-0005-0000-0000-0000E2400000}"/>
    <cellStyle name="Calculation 4 5 2 3 8" xfId="43234" xr:uid="{00000000-0005-0000-0000-0000E3400000}"/>
    <cellStyle name="Calculation 4 5 2 4" xfId="14775" xr:uid="{00000000-0005-0000-0000-0000E4400000}"/>
    <cellStyle name="Calculation 4 5 2 4 2" xfId="42891" xr:uid="{00000000-0005-0000-0000-0000E5400000}"/>
    <cellStyle name="Calculation 4 5 2 4 3" xfId="41952" xr:uid="{00000000-0005-0000-0000-0000E6400000}"/>
    <cellStyle name="Calculation 4 5 2 4 4" xfId="32410" xr:uid="{00000000-0005-0000-0000-0000E7400000}"/>
    <cellStyle name="Calculation 4 5 2 5" xfId="11280" xr:uid="{00000000-0005-0000-0000-0000E8400000}"/>
    <cellStyle name="Calculation 4 5 2 5 2" xfId="41327" xr:uid="{00000000-0005-0000-0000-0000E9400000}"/>
    <cellStyle name="Calculation 4 5 2 5 3" xfId="39178" xr:uid="{00000000-0005-0000-0000-0000EA400000}"/>
    <cellStyle name="Calculation 4 5 2 5 4" xfId="29008" xr:uid="{00000000-0005-0000-0000-0000EB400000}"/>
    <cellStyle name="Calculation 4 5 2 6" xfId="11452" xr:uid="{00000000-0005-0000-0000-0000EC400000}"/>
    <cellStyle name="Calculation 4 5 2 6 2" xfId="41463" xr:uid="{00000000-0005-0000-0000-0000ED400000}"/>
    <cellStyle name="Calculation 4 5 2 6 3" xfId="43219" xr:uid="{00000000-0005-0000-0000-0000EE400000}"/>
    <cellStyle name="Calculation 4 5 2 6 4" xfId="29172" xr:uid="{00000000-0005-0000-0000-0000EF400000}"/>
    <cellStyle name="Calculation 4 5 2 7" xfId="12647" xr:uid="{00000000-0005-0000-0000-0000F0400000}"/>
    <cellStyle name="Calculation 4 5 2 7 2" xfId="42126" xr:uid="{00000000-0005-0000-0000-0000F1400000}"/>
    <cellStyle name="Calculation 4 5 2 7 3" xfId="40060" xr:uid="{00000000-0005-0000-0000-0000F2400000}"/>
    <cellStyle name="Calculation 4 5 2 7 4" xfId="30312" xr:uid="{00000000-0005-0000-0000-0000F3400000}"/>
    <cellStyle name="Calculation 4 5 2 8" xfId="12807" xr:uid="{00000000-0005-0000-0000-0000F4400000}"/>
    <cellStyle name="Calculation 4 5 2 8 2" xfId="42222" xr:uid="{00000000-0005-0000-0000-0000F5400000}"/>
    <cellStyle name="Calculation 4 5 2 8 3" xfId="43473" xr:uid="{00000000-0005-0000-0000-0000F6400000}"/>
    <cellStyle name="Calculation 4 5 2 9" xfId="39751" xr:uid="{00000000-0005-0000-0000-0000F7400000}"/>
    <cellStyle name="Calculation 4 6" xfId="4158" xr:uid="{00000000-0005-0000-0000-0000F8400000}"/>
    <cellStyle name="Calculation 4 6 2" xfId="6988" xr:uid="{00000000-0005-0000-0000-0000F9400000}"/>
    <cellStyle name="Calculation 4 6 2 10" xfId="42633" xr:uid="{00000000-0005-0000-0000-0000FA400000}"/>
    <cellStyle name="Calculation 4 6 2 2" xfId="10518" xr:uid="{00000000-0005-0000-0000-0000FB400000}"/>
    <cellStyle name="Calculation 4 6 2 2 2" xfId="18311" xr:uid="{00000000-0005-0000-0000-0000FC400000}"/>
    <cellStyle name="Calculation 4 6 2 2 2 2" xfId="43858" xr:uid="{00000000-0005-0000-0000-0000FD400000}"/>
    <cellStyle name="Calculation 4 6 2 2 2 3" xfId="47767" xr:uid="{00000000-0005-0000-0000-0000FE400000}"/>
    <cellStyle name="Calculation 4 6 2 2 2 4" xfId="35948" xr:uid="{00000000-0005-0000-0000-0000FF400000}"/>
    <cellStyle name="Calculation 4 6 2 2 3" xfId="12621" xr:uid="{00000000-0005-0000-0000-000000410000}"/>
    <cellStyle name="Calculation 4 6 2 2 3 2" xfId="42100" xr:uid="{00000000-0005-0000-0000-000001410000}"/>
    <cellStyle name="Calculation 4 6 2 2 3 3" xfId="43335" xr:uid="{00000000-0005-0000-0000-000002410000}"/>
    <cellStyle name="Calculation 4 6 2 2 3 4" xfId="30286" xr:uid="{00000000-0005-0000-0000-000003410000}"/>
    <cellStyle name="Calculation 4 6 2 2 4" xfId="19380" xr:uid="{00000000-0005-0000-0000-000004410000}"/>
    <cellStyle name="Calculation 4 6 2 2 4 2" xfId="44917" xr:uid="{00000000-0005-0000-0000-000005410000}"/>
    <cellStyle name="Calculation 4 6 2 2 4 3" xfId="48823" xr:uid="{00000000-0005-0000-0000-000006410000}"/>
    <cellStyle name="Calculation 4 6 2 2 4 4" xfId="36946" xr:uid="{00000000-0005-0000-0000-000007410000}"/>
    <cellStyle name="Calculation 4 6 2 2 5" xfId="20724" xr:uid="{00000000-0005-0000-0000-000008410000}"/>
    <cellStyle name="Calculation 4 6 2 2 5 2" xfId="46261" xr:uid="{00000000-0005-0000-0000-000009410000}"/>
    <cellStyle name="Calculation 4 6 2 2 5 3" xfId="50167" xr:uid="{00000000-0005-0000-0000-00000A410000}"/>
    <cellStyle name="Calculation 4 6 2 2 5 4" xfId="38130" xr:uid="{00000000-0005-0000-0000-00000B410000}"/>
    <cellStyle name="Calculation 4 6 2 2 6" xfId="21377" xr:uid="{00000000-0005-0000-0000-00000C410000}"/>
    <cellStyle name="Calculation 4 6 2 2 6 2" xfId="46914" xr:uid="{00000000-0005-0000-0000-00000D410000}"/>
    <cellStyle name="Calculation 4 6 2 2 6 3" xfId="50820" xr:uid="{00000000-0005-0000-0000-00000E410000}"/>
    <cellStyle name="Calculation 4 6 2 2 7" xfId="40717" xr:uid="{00000000-0005-0000-0000-00000F410000}"/>
    <cellStyle name="Calculation 4 6 2 2 8" xfId="40260" xr:uid="{00000000-0005-0000-0000-000010410000}"/>
    <cellStyle name="Calculation 4 6 2 3" xfId="10813" xr:uid="{00000000-0005-0000-0000-000011410000}"/>
    <cellStyle name="Calculation 4 6 2 3 2" xfId="18606" xr:uid="{00000000-0005-0000-0000-000012410000}"/>
    <cellStyle name="Calculation 4 6 2 3 2 2" xfId="44153" xr:uid="{00000000-0005-0000-0000-000013410000}"/>
    <cellStyle name="Calculation 4 6 2 3 2 3" xfId="48062" xr:uid="{00000000-0005-0000-0000-000014410000}"/>
    <cellStyle name="Calculation 4 6 2 3 2 4" xfId="36243" xr:uid="{00000000-0005-0000-0000-000015410000}"/>
    <cellStyle name="Calculation 4 6 2 3 3" xfId="19404" xr:uid="{00000000-0005-0000-0000-000016410000}"/>
    <cellStyle name="Calculation 4 6 2 3 3 2" xfId="44941" xr:uid="{00000000-0005-0000-0000-000017410000}"/>
    <cellStyle name="Calculation 4 6 2 3 3 3" xfId="48847" xr:uid="{00000000-0005-0000-0000-000018410000}"/>
    <cellStyle name="Calculation 4 6 2 3 3 4" xfId="36969" xr:uid="{00000000-0005-0000-0000-000019410000}"/>
    <cellStyle name="Calculation 4 6 2 3 4" xfId="11825" xr:uid="{00000000-0005-0000-0000-00001A410000}"/>
    <cellStyle name="Calculation 4 6 2 3 4 2" xfId="41763" xr:uid="{00000000-0005-0000-0000-00001B410000}"/>
    <cellStyle name="Calculation 4 6 2 3 4 3" xfId="43206" xr:uid="{00000000-0005-0000-0000-00001C410000}"/>
    <cellStyle name="Calculation 4 6 2 3 4 4" xfId="29510" xr:uid="{00000000-0005-0000-0000-00001D410000}"/>
    <cellStyle name="Calculation 4 6 2 3 5" xfId="21019" xr:uid="{00000000-0005-0000-0000-00001E410000}"/>
    <cellStyle name="Calculation 4 6 2 3 5 2" xfId="46556" xr:uid="{00000000-0005-0000-0000-00001F410000}"/>
    <cellStyle name="Calculation 4 6 2 3 5 3" xfId="50462" xr:uid="{00000000-0005-0000-0000-000020410000}"/>
    <cellStyle name="Calculation 4 6 2 3 5 4" xfId="38425" xr:uid="{00000000-0005-0000-0000-000021410000}"/>
    <cellStyle name="Calculation 4 6 2 3 6" xfId="21672" xr:uid="{00000000-0005-0000-0000-000022410000}"/>
    <cellStyle name="Calculation 4 6 2 3 6 2" xfId="47209" xr:uid="{00000000-0005-0000-0000-000023410000}"/>
    <cellStyle name="Calculation 4 6 2 3 6 3" xfId="51115" xr:uid="{00000000-0005-0000-0000-000024410000}"/>
    <cellStyle name="Calculation 4 6 2 3 7" xfId="41012" xr:uid="{00000000-0005-0000-0000-000025410000}"/>
    <cellStyle name="Calculation 4 6 2 3 8" xfId="40093" xr:uid="{00000000-0005-0000-0000-000026410000}"/>
    <cellStyle name="Calculation 4 6 2 4" xfId="14776" xr:uid="{00000000-0005-0000-0000-000027410000}"/>
    <cellStyle name="Calculation 4 6 2 4 2" xfId="42892" xr:uid="{00000000-0005-0000-0000-000028410000}"/>
    <cellStyle name="Calculation 4 6 2 4 3" xfId="43306" xr:uid="{00000000-0005-0000-0000-000029410000}"/>
    <cellStyle name="Calculation 4 6 2 4 4" xfId="32411" xr:uid="{00000000-0005-0000-0000-00002A410000}"/>
    <cellStyle name="Calculation 4 6 2 5" xfId="13063" xr:uid="{00000000-0005-0000-0000-00002B410000}"/>
    <cellStyle name="Calculation 4 6 2 5 2" xfId="42284" xr:uid="{00000000-0005-0000-0000-00002C410000}"/>
    <cellStyle name="Calculation 4 6 2 5 3" xfId="43322" xr:uid="{00000000-0005-0000-0000-00002D410000}"/>
    <cellStyle name="Calculation 4 6 2 5 4" xfId="30712" xr:uid="{00000000-0005-0000-0000-00002E410000}"/>
    <cellStyle name="Calculation 4 6 2 6" xfId="19631" xr:uid="{00000000-0005-0000-0000-00002F410000}"/>
    <cellStyle name="Calculation 4 6 2 6 2" xfId="45168" xr:uid="{00000000-0005-0000-0000-000030410000}"/>
    <cellStyle name="Calculation 4 6 2 6 3" xfId="49074" xr:uid="{00000000-0005-0000-0000-000031410000}"/>
    <cellStyle name="Calculation 4 6 2 6 4" xfId="37170" xr:uid="{00000000-0005-0000-0000-000032410000}"/>
    <cellStyle name="Calculation 4 6 2 7" xfId="19392" xr:uid="{00000000-0005-0000-0000-000033410000}"/>
    <cellStyle name="Calculation 4 6 2 7 2" xfId="44929" xr:uid="{00000000-0005-0000-0000-000034410000}"/>
    <cellStyle name="Calculation 4 6 2 7 3" xfId="48835" xr:uid="{00000000-0005-0000-0000-000035410000}"/>
    <cellStyle name="Calculation 4 6 2 7 4" xfId="36957" xr:uid="{00000000-0005-0000-0000-000036410000}"/>
    <cellStyle name="Calculation 4 6 2 8" xfId="12659" xr:uid="{00000000-0005-0000-0000-000037410000}"/>
    <cellStyle name="Calculation 4 6 2 8 2" xfId="42138" xr:uid="{00000000-0005-0000-0000-000038410000}"/>
    <cellStyle name="Calculation 4 6 2 8 3" xfId="39453" xr:uid="{00000000-0005-0000-0000-000039410000}"/>
    <cellStyle name="Calculation 4 6 2 9" xfId="39752" xr:uid="{00000000-0005-0000-0000-00003A410000}"/>
    <cellStyle name="Calculation 4 7" xfId="4159" xr:uid="{00000000-0005-0000-0000-00003B410000}"/>
    <cellStyle name="Calculation 4 7 2" xfId="6989" xr:uid="{00000000-0005-0000-0000-00003C410000}"/>
    <cellStyle name="Calculation 4 7 2 10" xfId="43546" xr:uid="{00000000-0005-0000-0000-00003D410000}"/>
    <cellStyle name="Calculation 4 7 2 2" xfId="10519" xr:uid="{00000000-0005-0000-0000-00003E410000}"/>
    <cellStyle name="Calculation 4 7 2 2 2" xfId="18312" xr:uid="{00000000-0005-0000-0000-00003F410000}"/>
    <cellStyle name="Calculation 4 7 2 2 2 2" xfId="43859" xr:uid="{00000000-0005-0000-0000-000040410000}"/>
    <cellStyle name="Calculation 4 7 2 2 2 3" xfId="47768" xr:uid="{00000000-0005-0000-0000-000041410000}"/>
    <cellStyle name="Calculation 4 7 2 2 2 4" xfId="35949" xr:uid="{00000000-0005-0000-0000-000042410000}"/>
    <cellStyle name="Calculation 4 7 2 2 3" xfId="12158" xr:uid="{00000000-0005-0000-0000-000043410000}"/>
    <cellStyle name="Calculation 4 7 2 2 3 2" xfId="41903" xr:uid="{00000000-0005-0000-0000-000044410000}"/>
    <cellStyle name="Calculation 4 7 2 2 3 3" xfId="43698" xr:uid="{00000000-0005-0000-0000-000045410000}"/>
    <cellStyle name="Calculation 4 7 2 2 3 4" xfId="29830" xr:uid="{00000000-0005-0000-0000-000046410000}"/>
    <cellStyle name="Calculation 4 7 2 2 4" xfId="12759" xr:uid="{00000000-0005-0000-0000-000047410000}"/>
    <cellStyle name="Calculation 4 7 2 2 4 2" xfId="42204" xr:uid="{00000000-0005-0000-0000-000048410000}"/>
    <cellStyle name="Calculation 4 7 2 2 4 3" xfId="43329" xr:uid="{00000000-0005-0000-0000-000049410000}"/>
    <cellStyle name="Calculation 4 7 2 2 4 4" xfId="30417" xr:uid="{00000000-0005-0000-0000-00004A410000}"/>
    <cellStyle name="Calculation 4 7 2 2 5" xfId="20725" xr:uid="{00000000-0005-0000-0000-00004B410000}"/>
    <cellStyle name="Calculation 4 7 2 2 5 2" xfId="46262" xr:uid="{00000000-0005-0000-0000-00004C410000}"/>
    <cellStyle name="Calculation 4 7 2 2 5 3" xfId="50168" xr:uid="{00000000-0005-0000-0000-00004D410000}"/>
    <cellStyle name="Calculation 4 7 2 2 5 4" xfId="38131" xr:uid="{00000000-0005-0000-0000-00004E410000}"/>
    <cellStyle name="Calculation 4 7 2 2 6" xfId="21378" xr:uid="{00000000-0005-0000-0000-00004F410000}"/>
    <cellStyle name="Calculation 4 7 2 2 6 2" xfId="46915" xr:uid="{00000000-0005-0000-0000-000050410000}"/>
    <cellStyle name="Calculation 4 7 2 2 6 3" xfId="50821" xr:uid="{00000000-0005-0000-0000-000051410000}"/>
    <cellStyle name="Calculation 4 7 2 2 7" xfId="40718" xr:uid="{00000000-0005-0000-0000-000052410000}"/>
    <cellStyle name="Calculation 4 7 2 2 8" xfId="39400" xr:uid="{00000000-0005-0000-0000-000053410000}"/>
    <cellStyle name="Calculation 4 7 2 3" xfId="10814" xr:uid="{00000000-0005-0000-0000-000054410000}"/>
    <cellStyle name="Calculation 4 7 2 3 2" xfId="18607" xr:uid="{00000000-0005-0000-0000-000055410000}"/>
    <cellStyle name="Calculation 4 7 2 3 2 2" xfId="44154" xr:uid="{00000000-0005-0000-0000-000056410000}"/>
    <cellStyle name="Calculation 4 7 2 3 2 3" xfId="48063" xr:uid="{00000000-0005-0000-0000-000057410000}"/>
    <cellStyle name="Calculation 4 7 2 3 2 4" xfId="36244" xr:uid="{00000000-0005-0000-0000-000058410000}"/>
    <cellStyle name="Calculation 4 7 2 3 3" xfId="20011" xr:uid="{00000000-0005-0000-0000-000059410000}"/>
    <cellStyle name="Calculation 4 7 2 3 3 2" xfId="45548" xr:uid="{00000000-0005-0000-0000-00005A410000}"/>
    <cellStyle name="Calculation 4 7 2 3 3 3" xfId="49454" xr:uid="{00000000-0005-0000-0000-00005B410000}"/>
    <cellStyle name="Calculation 4 7 2 3 3 4" xfId="37509" xr:uid="{00000000-0005-0000-0000-00005C410000}"/>
    <cellStyle name="Calculation 4 7 2 3 4" xfId="11885" xr:uid="{00000000-0005-0000-0000-00005D410000}"/>
    <cellStyle name="Calculation 4 7 2 3 4 2" xfId="41775" xr:uid="{00000000-0005-0000-0000-00005E410000}"/>
    <cellStyle name="Calculation 4 7 2 3 4 3" xfId="43700" xr:uid="{00000000-0005-0000-0000-00005F410000}"/>
    <cellStyle name="Calculation 4 7 2 3 4 4" xfId="29568" xr:uid="{00000000-0005-0000-0000-000060410000}"/>
    <cellStyle name="Calculation 4 7 2 3 5" xfId="21020" xr:uid="{00000000-0005-0000-0000-000061410000}"/>
    <cellStyle name="Calculation 4 7 2 3 5 2" xfId="46557" xr:uid="{00000000-0005-0000-0000-000062410000}"/>
    <cellStyle name="Calculation 4 7 2 3 5 3" xfId="50463" xr:uid="{00000000-0005-0000-0000-000063410000}"/>
    <cellStyle name="Calculation 4 7 2 3 5 4" xfId="38426" xr:uid="{00000000-0005-0000-0000-000064410000}"/>
    <cellStyle name="Calculation 4 7 2 3 6" xfId="21673" xr:uid="{00000000-0005-0000-0000-000065410000}"/>
    <cellStyle name="Calculation 4 7 2 3 6 2" xfId="47210" xr:uid="{00000000-0005-0000-0000-000066410000}"/>
    <cellStyle name="Calculation 4 7 2 3 6 3" xfId="51116" xr:uid="{00000000-0005-0000-0000-000067410000}"/>
    <cellStyle name="Calculation 4 7 2 3 7" xfId="41013" xr:uid="{00000000-0005-0000-0000-000068410000}"/>
    <cellStyle name="Calculation 4 7 2 3 8" xfId="42841" xr:uid="{00000000-0005-0000-0000-000069410000}"/>
    <cellStyle name="Calculation 4 7 2 4" xfId="14777" xr:uid="{00000000-0005-0000-0000-00006A410000}"/>
    <cellStyle name="Calculation 4 7 2 4 2" xfId="42893" xr:uid="{00000000-0005-0000-0000-00006B410000}"/>
    <cellStyle name="Calculation 4 7 2 4 3" xfId="40165" xr:uid="{00000000-0005-0000-0000-00006C410000}"/>
    <cellStyle name="Calculation 4 7 2 4 4" xfId="32412" xr:uid="{00000000-0005-0000-0000-00006D410000}"/>
    <cellStyle name="Calculation 4 7 2 5" xfId="13064" xr:uid="{00000000-0005-0000-0000-00006E410000}"/>
    <cellStyle name="Calculation 4 7 2 5 2" xfId="42285" xr:uid="{00000000-0005-0000-0000-00006F410000}"/>
    <cellStyle name="Calculation 4 7 2 5 3" xfId="40182" xr:uid="{00000000-0005-0000-0000-000070410000}"/>
    <cellStyle name="Calculation 4 7 2 5 4" xfId="30713" xr:uid="{00000000-0005-0000-0000-000071410000}"/>
    <cellStyle name="Calculation 4 7 2 6" xfId="12037" xr:uid="{00000000-0005-0000-0000-000072410000}"/>
    <cellStyle name="Calculation 4 7 2 6 2" xfId="41793" xr:uid="{00000000-0005-0000-0000-000073410000}"/>
    <cellStyle name="Calculation 4 7 2 6 3" xfId="42809" xr:uid="{00000000-0005-0000-0000-000074410000}"/>
    <cellStyle name="Calculation 4 7 2 6 4" xfId="29716" xr:uid="{00000000-0005-0000-0000-000075410000}"/>
    <cellStyle name="Calculation 4 7 2 7" xfId="19862" xr:uid="{00000000-0005-0000-0000-000076410000}"/>
    <cellStyle name="Calculation 4 7 2 7 2" xfId="45399" xr:uid="{00000000-0005-0000-0000-000077410000}"/>
    <cellStyle name="Calculation 4 7 2 7 3" xfId="49305" xr:uid="{00000000-0005-0000-0000-000078410000}"/>
    <cellStyle name="Calculation 4 7 2 7 4" xfId="37376" xr:uid="{00000000-0005-0000-0000-000079410000}"/>
    <cellStyle name="Calculation 4 7 2 8" xfId="18933" xr:uid="{00000000-0005-0000-0000-00007A410000}"/>
    <cellStyle name="Calculation 4 7 2 8 2" xfId="44470" xr:uid="{00000000-0005-0000-0000-00007B410000}"/>
    <cellStyle name="Calculation 4 7 2 8 3" xfId="48376" xr:uid="{00000000-0005-0000-0000-00007C410000}"/>
    <cellStyle name="Calculation 4 7 2 9" xfId="39753" xr:uid="{00000000-0005-0000-0000-00007D410000}"/>
    <cellStyle name="Calculation 4 8" xfId="4160" xr:uid="{00000000-0005-0000-0000-00007E410000}"/>
    <cellStyle name="Calculation 4 8 2" xfId="10459" xr:uid="{00000000-0005-0000-0000-00007F410000}"/>
    <cellStyle name="Calculation 4 8 2 2" xfId="18252" xr:uid="{00000000-0005-0000-0000-000080410000}"/>
    <cellStyle name="Calculation 4 8 2 2 2" xfId="43799" xr:uid="{00000000-0005-0000-0000-000081410000}"/>
    <cellStyle name="Calculation 4 8 2 2 3" xfId="47708" xr:uid="{00000000-0005-0000-0000-000082410000}"/>
    <cellStyle name="Calculation 4 8 2 2 4" xfId="35889" xr:uid="{00000000-0005-0000-0000-000083410000}"/>
    <cellStyle name="Calculation 4 8 2 3" xfId="19146" xr:uid="{00000000-0005-0000-0000-000084410000}"/>
    <cellStyle name="Calculation 4 8 2 3 2" xfId="44683" xr:uid="{00000000-0005-0000-0000-000085410000}"/>
    <cellStyle name="Calculation 4 8 2 3 3" xfId="48589" xr:uid="{00000000-0005-0000-0000-000086410000}"/>
    <cellStyle name="Calculation 4 8 2 3 4" xfId="36741" xr:uid="{00000000-0005-0000-0000-000087410000}"/>
    <cellStyle name="Calculation 4 8 2 4" xfId="19359" xr:uid="{00000000-0005-0000-0000-000088410000}"/>
    <cellStyle name="Calculation 4 8 2 4 2" xfId="44896" xr:uid="{00000000-0005-0000-0000-000089410000}"/>
    <cellStyle name="Calculation 4 8 2 4 3" xfId="48802" xr:uid="{00000000-0005-0000-0000-00008A410000}"/>
    <cellStyle name="Calculation 4 8 2 4 4" xfId="36928" xr:uid="{00000000-0005-0000-0000-00008B410000}"/>
    <cellStyle name="Calculation 4 8 2 5" xfId="20665" xr:uid="{00000000-0005-0000-0000-00008C410000}"/>
    <cellStyle name="Calculation 4 8 2 5 2" xfId="46202" xr:uid="{00000000-0005-0000-0000-00008D410000}"/>
    <cellStyle name="Calculation 4 8 2 5 3" xfId="50108" xr:uid="{00000000-0005-0000-0000-00008E410000}"/>
    <cellStyle name="Calculation 4 8 2 5 4" xfId="38071" xr:uid="{00000000-0005-0000-0000-00008F410000}"/>
    <cellStyle name="Calculation 4 8 2 6" xfId="21318" xr:uid="{00000000-0005-0000-0000-000090410000}"/>
    <cellStyle name="Calculation 4 8 2 6 2" xfId="46855" xr:uid="{00000000-0005-0000-0000-000091410000}"/>
    <cellStyle name="Calculation 4 8 2 6 3" xfId="50761" xr:uid="{00000000-0005-0000-0000-000092410000}"/>
    <cellStyle name="Calculation 4 8 2 7" xfId="40658" xr:uid="{00000000-0005-0000-0000-000093410000}"/>
    <cellStyle name="Calculation 4 8 2 8" xfId="40108" xr:uid="{00000000-0005-0000-0000-000094410000}"/>
    <cellStyle name="Calculation 4 8 3" xfId="8461" xr:uid="{00000000-0005-0000-0000-000095410000}"/>
    <cellStyle name="Calculation 4 8 3 2" xfId="16257" xr:uid="{00000000-0005-0000-0000-000096410000}"/>
    <cellStyle name="Calculation 4 8 3 2 2" xfId="43408" xr:uid="{00000000-0005-0000-0000-000097410000}"/>
    <cellStyle name="Calculation 4 8 3 2 3" xfId="42772" xr:uid="{00000000-0005-0000-0000-000098410000}"/>
    <cellStyle name="Calculation 4 8 3 2 4" xfId="33892" xr:uid="{00000000-0005-0000-0000-000099410000}"/>
    <cellStyle name="Calculation 4 8 3 3" xfId="11450" xr:uid="{00000000-0005-0000-0000-00009A410000}"/>
    <cellStyle name="Calculation 4 8 3 3 2" xfId="41461" xr:uid="{00000000-0005-0000-0000-00009B410000}"/>
    <cellStyle name="Calculation 4 8 3 3 3" xfId="39359" xr:uid="{00000000-0005-0000-0000-00009C410000}"/>
    <cellStyle name="Calculation 4 8 3 3 4" xfId="29170" xr:uid="{00000000-0005-0000-0000-00009D410000}"/>
    <cellStyle name="Calculation 4 8 3 4" xfId="19854" xr:uid="{00000000-0005-0000-0000-00009E410000}"/>
    <cellStyle name="Calculation 4 8 3 4 2" xfId="45391" xr:uid="{00000000-0005-0000-0000-00009F410000}"/>
    <cellStyle name="Calculation 4 8 3 4 3" xfId="49297" xr:uid="{00000000-0005-0000-0000-0000A0410000}"/>
    <cellStyle name="Calculation 4 8 3 4 4" xfId="37370" xr:uid="{00000000-0005-0000-0000-0000A1410000}"/>
    <cellStyle name="Calculation 4 8 3 5" xfId="19001" xr:uid="{00000000-0005-0000-0000-0000A2410000}"/>
    <cellStyle name="Calculation 4 8 3 5 2" xfId="44538" xr:uid="{00000000-0005-0000-0000-0000A3410000}"/>
    <cellStyle name="Calculation 4 8 3 5 3" xfId="48444" xr:uid="{00000000-0005-0000-0000-0000A4410000}"/>
    <cellStyle name="Calculation 4 8 3 5 4" xfId="36623" xr:uid="{00000000-0005-0000-0000-0000A5410000}"/>
    <cellStyle name="Calculation 4 8 3 6" xfId="11604" xr:uid="{00000000-0005-0000-0000-0000A6410000}"/>
    <cellStyle name="Calculation 4 8 3 6 2" xfId="41615" xr:uid="{00000000-0005-0000-0000-0000A7410000}"/>
    <cellStyle name="Calculation 4 8 3 6 3" xfId="40353" xr:uid="{00000000-0005-0000-0000-0000A8410000}"/>
    <cellStyle name="Calculation 4 8 3 7" xfId="40270" xr:uid="{00000000-0005-0000-0000-0000A9410000}"/>
    <cellStyle name="Calculation 4 8 3 8" xfId="39232" xr:uid="{00000000-0005-0000-0000-0000AA410000}"/>
    <cellStyle name="Calculation 4 9" xfId="6983" xr:uid="{00000000-0005-0000-0000-0000AB410000}"/>
    <cellStyle name="Calculation 4 9 10" xfId="39969" xr:uid="{00000000-0005-0000-0000-0000AC410000}"/>
    <cellStyle name="Calculation 4 9 2" xfId="10513" xr:uid="{00000000-0005-0000-0000-0000AD410000}"/>
    <cellStyle name="Calculation 4 9 2 2" xfId="18306" xr:uid="{00000000-0005-0000-0000-0000AE410000}"/>
    <cellStyle name="Calculation 4 9 2 2 2" xfId="43853" xr:uid="{00000000-0005-0000-0000-0000AF410000}"/>
    <cellStyle name="Calculation 4 9 2 2 3" xfId="47762" xr:uid="{00000000-0005-0000-0000-0000B0410000}"/>
    <cellStyle name="Calculation 4 9 2 2 4" xfId="35943" xr:uid="{00000000-0005-0000-0000-0000B1410000}"/>
    <cellStyle name="Calculation 4 9 2 3" xfId="20042" xr:uid="{00000000-0005-0000-0000-0000B2410000}"/>
    <cellStyle name="Calculation 4 9 2 3 2" xfId="45579" xr:uid="{00000000-0005-0000-0000-0000B3410000}"/>
    <cellStyle name="Calculation 4 9 2 3 3" xfId="49485" xr:uid="{00000000-0005-0000-0000-0000B4410000}"/>
    <cellStyle name="Calculation 4 9 2 3 4" xfId="37540" xr:uid="{00000000-0005-0000-0000-0000B5410000}"/>
    <cellStyle name="Calculation 4 9 2 4" xfId="19328" xr:uid="{00000000-0005-0000-0000-0000B6410000}"/>
    <cellStyle name="Calculation 4 9 2 4 2" xfId="44865" xr:uid="{00000000-0005-0000-0000-0000B7410000}"/>
    <cellStyle name="Calculation 4 9 2 4 3" xfId="48771" xr:uid="{00000000-0005-0000-0000-0000B8410000}"/>
    <cellStyle name="Calculation 4 9 2 4 4" xfId="36904" xr:uid="{00000000-0005-0000-0000-0000B9410000}"/>
    <cellStyle name="Calculation 4 9 2 5" xfId="20719" xr:uid="{00000000-0005-0000-0000-0000BA410000}"/>
    <cellStyle name="Calculation 4 9 2 5 2" xfId="46256" xr:uid="{00000000-0005-0000-0000-0000BB410000}"/>
    <cellStyle name="Calculation 4 9 2 5 3" xfId="50162" xr:uid="{00000000-0005-0000-0000-0000BC410000}"/>
    <cellStyle name="Calculation 4 9 2 5 4" xfId="38125" xr:uid="{00000000-0005-0000-0000-0000BD410000}"/>
    <cellStyle name="Calculation 4 9 2 6" xfId="21372" xr:uid="{00000000-0005-0000-0000-0000BE410000}"/>
    <cellStyle name="Calculation 4 9 2 6 2" xfId="46909" xr:uid="{00000000-0005-0000-0000-0000BF410000}"/>
    <cellStyle name="Calculation 4 9 2 6 3" xfId="50815" xr:uid="{00000000-0005-0000-0000-0000C0410000}"/>
    <cellStyle name="Calculation 4 9 2 7" xfId="40712" xr:uid="{00000000-0005-0000-0000-0000C1410000}"/>
    <cellStyle name="Calculation 4 9 2 8" xfId="43530" xr:uid="{00000000-0005-0000-0000-0000C2410000}"/>
    <cellStyle name="Calculation 4 9 3" xfId="10808" xr:uid="{00000000-0005-0000-0000-0000C3410000}"/>
    <cellStyle name="Calculation 4 9 3 2" xfId="18601" xr:uid="{00000000-0005-0000-0000-0000C4410000}"/>
    <cellStyle name="Calculation 4 9 3 2 2" xfId="44148" xr:uid="{00000000-0005-0000-0000-0000C5410000}"/>
    <cellStyle name="Calculation 4 9 3 2 3" xfId="48057" xr:uid="{00000000-0005-0000-0000-0000C6410000}"/>
    <cellStyle name="Calculation 4 9 3 2 4" xfId="36238" xr:uid="{00000000-0005-0000-0000-0000C7410000}"/>
    <cellStyle name="Calculation 4 9 3 3" xfId="19726" xr:uid="{00000000-0005-0000-0000-0000C8410000}"/>
    <cellStyle name="Calculation 4 9 3 3 2" xfId="45263" xr:uid="{00000000-0005-0000-0000-0000C9410000}"/>
    <cellStyle name="Calculation 4 9 3 3 3" xfId="49169" xr:uid="{00000000-0005-0000-0000-0000CA410000}"/>
    <cellStyle name="Calculation 4 9 3 3 4" xfId="37253" xr:uid="{00000000-0005-0000-0000-0000CB410000}"/>
    <cellStyle name="Calculation 4 9 3 4" xfId="11226" xr:uid="{00000000-0005-0000-0000-0000CC410000}"/>
    <cellStyle name="Calculation 4 9 3 4 2" xfId="41305" xr:uid="{00000000-0005-0000-0000-0000CD410000}"/>
    <cellStyle name="Calculation 4 9 3 4 3" xfId="40577" xr:uid="{00000000-0005-0000-0000-0000CE410000}"/>
    <cellStyle name="Calculation 4 9 3 4 4" xfId="28954" xr:uid="{00000000-0005-0000-0000-0000CF410000}"/>
    <cellStyle name="Calculation 4 9 3 5" xfId="21014" xr:uid="{00000000-0005-0000-0000-0000D0410000}"/>
    <cellStyle name="Calculation 4 9 3 5 2" xfId="46551" xr:uid="{00000000-0005-0000-0000-0000D1410000}"/>
    <cellStyle name="Calculation 4 9 3 5 3" xfId="50457" xr:uid="{00000000-0005-0000-0000-0000D2410000}"/>
    <cellStyle name="Calculation 4 9 3 5 4" xfId="38420" xr:uid="{00000000-0005-0000-0000-0000D3410000}"/>
    <cellStyle name="Calculation 4 9 3 6" xfId="21667" xr:uid="{00000000-0005-0000-0000-0000D4410000}"/>
    <cellStyle name="Calculation 4 9 3 6 2" xfId="47204" xr:uid="{00000000-0005-0000-0000-0000D5410000}"/>
    <cellStyle name="Calculation 4 9 3 6 3" xfId="51110" xr:uid="{00000000-0005-0000-0000-0000D6410000}"/>
    <cellStyle name="Calculation 4 9 3 7" xfId="41007" xr:uid="{00000000-0005-0000-0000-0000D7410000}"/>
    <cellStyle name="Calculation 4 9 3 8" xfId="39383" xr:uid="{00000000-0005-0000-0000-0000D8410000}"/>
    <cellStyle name="Calculation 4 9 4" xfId="14771" xr:uid="{00000000-0005-0000-0000-0000D9410000}"/>
    <cellStyle name="Calculation 4 9 4 2" xfId="42887" xr:uid="{00000000-0005-0000-0000-0000DA410000}"/>
    <cellStyle name="Calculation 4 9 4 3" xfId="41951" xr:uid="{00000000-0005-0000-0000-0000DB410000}"/>
    <cellStyle name="Calculation 4 9 4 4" xfId="32406" xr:uid="{00000000-0005-0000-0000-0000DC410000}"/>
    <cellStyle name="Calculation 4 9 5" xfId="13061" xr:uid="{00000000-0005-0000-0000-0000DD410000}"/>
    <cellStyle name="Calculation 4 9 5 2" xfId="42282" xr:uid="{00000000-0005-0000-0000-0000DE410000}"/>
    <cellStyle name="Calculation 4 9 5 3" xfId="39303" xr:uid="{00000000-0005-0000-0000-0000DF410000}"/>
    <cellStyle name="Calculation 4 9 5 4" xfId="30710" xr:uid="{00000000-0005-0000-0000-0000E0410000}"/>
    <cellStyle name="Calculation 4 9 6" xfId="19642" xr:uid="{00000000-0005-0000-0000-0000E1410000}"/>
    <cellStyle name="Calculation 4 9 6 2" xfId="45179" xr:uid="{00000000-0005-0000-0000-0000E2410000}"/>
    <cellStyle name="Calculation 4 9 6 3" xfId="49085" xr:uid="{00000000-0005-0000-0000-0000E3410000}"/>
    <cellStyle name="Calculation 4 9 6 4" xfId="37178" xr:uid="{00000000-0005-0000-0000-0000E4410000}"/>
    <cellStyle name="Calculation 4 9 7" xfId="20519" xr:uid="{00000000-0005-0000-0000-0000E5410000}"/>
    <cellStyle name="Calculation 4 9 7 2" xfId="46056" xr:uid="{00000000-0005-0000-0000-0000E6410000}"/>
    <cellStyle name="Calculation 4 9 7 3" xfId="49962" xr:uid="{00000000-0005-0000-0000-0000E7410000}"/>
    <cellStyle name="Calculation 4 9 7 4" xfId="37952" xr:uid="{00000000-0005-0000-0000-0000E8410000}"/>
    <cellStyle name="Calculation 4 9 8" xfId="11345" xr:uid="{00000000-0005-0000-0000-0000E9410000}"/>
    <cellStyle name="Calculation 4 9 8 2" xfId="41384" xr:uid="{00000000-0005-0000-0000-0000EA410000}"/>
    <cellStyle name="Calculation 4 9 8 3" xfId="39684" xr:uid="{00000000-0005-0000-0000-0000EB410000}"/>
    <cellStyle name="Calculation 4 9 9" xfId="39747" xr:uid="{00000000-0005-0000-0000-0000EC410000}"/>
    <cellStyle name="Calculation 5" xfId="1472" xr:uid="{00000000-0005-0000-0000-0000ED410000}"/>
    <cellStyle name="Calculation 5 2" xfId="4161" xr:uid="{00000000-0005-0000-0000-0000EE410000}"/>
    <cellStyle name="Calculation 5 3" xfId="4162" xr:uid="{00000000-0005-0000-0000-0000EF410000}"/>
    <cellStyle name="Calculation 5 3 2" xfId="10460" xr:uid="{00000000-0005-0000-0000-0000F0410000}"/>
    <cellStyle name="Calculation 5 3 2 2" xfId="18253" xr:uid="{00000000-0005-0000-0000-0000F1410000}"/>
    <cellStyle name="Calculation 5 3 2 2 2" xfId="43800" xr:uid="{00000000-0005-0000-0000-0000F2410000}"/>
    <cellStyle name="Calculation 5 3 2 2 3" xfId="47709" xr:uid="{00000000-0005-0000-0000-0000F3410000}"/>
    <cellStyle name="Calculation 5 3 2 2 4" xfId="35890" xr:uid="{00000000-0005-0000-0000-0000F4410000}"/>
    <cellStyle name="Calculation 5 3 2 3" xfId="19771" xr:uid="{00000000-0005-0000-0000-0000F5410000}"/>
    <cellStyle name="Calculation 5 3 2 3 2" xfId="45308" xr:uid="{00000000-0005-0000-0000-0000F6410000}"/>
    <cellStyle name="Calculation 5 3 2 3 3" xfId="49214" xr:uid="{00000000-0005-0000-0000-0000F7410000}"/>
    <cellStyle name="Calculation 5 3 2 3 4" xfId="37298" xr:uid="{00000000-0005-0000-0000-0000F8410000}"/>
    <cellStyle name="Calculation 5 3 2 4" xfId="12650" xr:uid="{00000000-0005-0000-0000-0000F9410000}"/>
    <cellStyle name="Calculation 5 3 2 4 2" xfId="42129" xr:uid="{00000000-0005-0000-0000-0000FA410000}"/>
    <cellStyle name="Calculation 5 3 2 4 3" xfId="40551" xr:uid="{00000000-0005-0000-0000-0000FB410000}"/>
    <cellStyle name="Calculation 5 3 2 4 4" xfId="30315" xr:uid="{00000000-0005-0000-0000-0000FC410000}"/>
    <cellStyle name="Calculation 5 3 2 5" xfId="20666" xr:uid="{00000000-0005-0000-0000-0000FD410000}"/>
    <cellStyle name="Calculation 5 3 2 5 2" xfId="46203" xr:uid="{00000000-0005-0000-0000-0000FE410000}"/>
    <cellStyle name="Calculation 5 3 2 5 3" xfId="50109" xr:uid="{00000000-0005-0000-0000-0000FF410000}"/>
    <cellStyle name="Calculation 5 3 2 5 4" xfId="38072" xr:uid="{00000000-0005-0000-0000-000000420000}"/>
    <cellStyle name="Calculation 5 3 2 6" xfId="21319" xr:uid="{00000000-0005-0000-0000-000001420000}"/>
    <cellStyle name="Calculation 5 3 2 6 2" xfId="46856" xr:uid="{00000000-0005-0000-0000-000002420000}"/>
    <cellStyle name="Calculation 5 3 2 6 3" xfId="50762" xr:uid="{00000000-0005-0000-0000-000003420000}"/>
    <cellStyle name="Calculation 5 3 2 7" xfId="40659" xr:uid="{00000000-0005-0000-0000-000004420000}"/>
    <cellStyle name="Calculation 5 3 2 8" xfId="42858" xr:uid="{00000000-0005-0000-0000-000005420000}"/>
    <cellStyle name="Calculation 5 3 3" xfId="8462" xr:uid="{00000000-0005-0000-0000-000006420000}"/>
    <cellStyle name="Calculation 5 3 3 2" xfId="16258" xr:uid="{00000000-0005-0000-0000-000007420000}"/>
    <cellStyle name="Calculation 5 3 3 2 2" xfId="43409" xr:uid="{00000000-0005-0000-0000-000008420000}"/>
    <cellStyle name="Calculation 5 3 3 2 3" xfId="43660" xr:uid="{00000000-0005-0000-0000-000009420000}"/>
    <cellStyle name="Calculation 5 3 3 2 4" xfId="33893" xr:uid="{00000000-0005-0000-0000-00000A420000}"/>
    <cellStyle name="Calculation 5 3 3 3" xfId="11451" xr:uid="{00000000-0005-0000-0000-00000B420000}"/>
    <cellStyle name="Calculation 5 3 3 3 2" xfId="41462" xr:uid="{00000000-0005-0000-0000-00000C420000}"/>
    <cellStyle name="Calculation 5 3 3 3 3" xfId="41398" xr:uid="{00000000-0005-0000-0000-00000D420000}"/>
    <cellStyle name="Calculation 5 3 3 3 4" xfId="29171" xr:uid="{00000000-0005-0000-0000-00000E420000}"/>
    <cellStyle name="Calculation 5 3 3 4" xfId="19828" xr:uid="{00000000-0005-0000-0000-00000F420000}"/>
    <cellStyle name="Calculation 5 3 3 4 2" xfId="45365" xr:uid="{00000000-0005-0000-0000-000010420000}"/>
    <cellStyle name="Calculation 5 3 3 4 3" xfId="49271" xr:uid="{00000000-0005-0000-0000-000011420000}"/>
    <cellStyle name="Calculation 5 3 3 4 4" xfId="37346" xr:uid="{00000000-0005-0000-0000-000012420000}"/>
    <cellStyle name="Calculation 5 3 3 5" xfId="20355" xr:uid="{00000000-0005-0000-0000-000013420000}"/>
    <cellStyle name="Calculation 5 3 3 5 2" xfId="45892" xr:uid="{00000000-0005-0000-0000-000014420000}"/>
    <cellStyle name="Calculation 5 3 3 5 3" xfId="49798" xr:uid="{00000000-0005-0000-0000-000015420000}"/>
    <cellStyle name="Calculation 5 3 3 5 4" xfId="37811" xr:uid="{00000000-0005-0000-0000-000016420000}"/>
    <cellStyle name="Calculation 5 3 3 6" xfId="19859" xr:uid="{00000000-0005-0000-0000-000017420000}"/>
    <cellStyle name="Calculation 5 3 3 6 2" xfId="45396" xr:uid="{00000000-0005-0000-0000-000018420000}"/>
    <cellStyle name="Calculation 5 3 3 6 3" xfId="49302" xr:uid="{00000000-0005-0000-0000-000019420000}"/>
    <cellStyle name="Calculation 5 3 3 7" xfId="40271" xr:uid="{00000000-0005-0000-0000-00001A420000}"/>
    <cellStyle name="Calculation 5 3 3 8" xfId="39231" xr:uid="{00000000-0005-0000-0000-00001B420000}"/>
    <cellStyle name="Calculation 5 3 4" xfId="22296" xr:uid="{00000000-0005-0000-0000-00001C420000}"/>
    <cellStyle name="Calculation 5 3 4 2" xfId="47526" xr:uid="{00000000-0005-0000-0000-00001D420000}"/>
    <cellStyle name="Calculation 5 3 4 3" xfId="51381" xr:uid="{00000000-0005-0000-0000-00001E420000}"/>
    <cellStyle name="Calculation 5 3 4 4" xfId="38832" xr:uid="{00000000-0005-0000-0000-00001F420000}"/>
    <cellStyle name="Calculation 5 3 5" xfId="23033" xr:uid="{00000000-0005-0000-0000-000020420000}"/>
    <cellStyle name="Calculation 5 3 5 2" xfId="47634" xr:uid="{00000000-0005-0000-0000-000021420000}"/>
    <cellStyle name="Calculation 5 3 5 3" xfId="51445" xr:uid="{00000000-0005-0000-0000-000022420000}"/>
    <cellStyle name="Calculation 5 3 6" xfId="52966" xr:uid="{00000000-0005-0000-0000-000023420000}"/>
    <cellStyle name="Calculation 5 4" xfId="52967" xr:uid="{00000000-0005-0000-0000-000024420000}"/>
    <cellStyle name="Calculation 5 5" xfId="52965" xr:uid="{00000000-0005-0000-0000-000025420000}"/>
    <cellStyle name="Calculation 6" xfId="1473" xr:uid="{00000000-0005-0000-0000-000026420000}"/>
    <cellStyle name="Calculation 6 2" xfId="22894" xr:uid="{00000000-0005-0000-0000-000027420000}"/>
    <cellStyle name="Calculation 6 3" xfId="22297" xr:uid="{00000000-0005-0000-0000-000028420000}"/>
    <cellStyle name="Calculation 6 3 2" xfId="23034" xr:uid="{00000000-0005-0000-0000-000029420000}"/>
    <cellStyle name="Calculation 6 3 2 2" xfId="47635" xr:uid="{00000000-0005-0000-0000-00002A420000}"/>
    <cellStyle name="Calculation 6 3 2 3" xfId="51446" xr:uid="{00000000-0005-0000-0000-00002B420000}"/>
    <cellStyle name="Calculation 6 3 3" xfId="47527" xr:uid="{00000000-0005-0000-0000-00002C420000}"/>
    <cellStyle name="Calculation 6 3 4" xfId="51382" xr:uid="{00000000-0005-0000-0000-00002D420000}"/>
    <cellStyle name="Calculation 6 3 5" xfId="52969" xr:uid="{00000000-0005-0000-0000-00002E420000}"/>
    <cellStyle name="Calculation 6 4" xfId="52970" xr:uid="{00000000-0005-0000-0000-00002F420000}"/>
    <cellStyle name="Calculation 6 5" xfId="52968" xr:uid="{00000000-0005-0000-0000-000030420000}"/>
    <cellStyle name="Calculation 7" xfId="1474" xr:uid="{00000000-0005-0000-0000-000031420000}"/>
    <cellStyle name="Calculation 7 2" xfId="22298" xr:uid="{00000000-0005-0000-0000-000032420000}"/>
    <cellStyle name="Calculation 8" xfId="1475" xr:uid="{00000000-0005-0000-0000-000033420000}"/>
    <cellStyle name="Calculation 8 2" xfId="22300" xr:uid="{00000000-0005-0000-0000-000034420000}"/>
    <cellStyle name="Calculation 8 3" xfId="22299" xr:uid="{00000000-0005-0000-0000-000035420000}"/>
    <cellStyle name="Calculation 9" xfId="1476" xr:uid="{00000000-0005-0000-0000-000036420000}"/>
    <cellStyle name="Calculation 9 2" xfId="22301" xr:uid="{00000000-0005-0000-0000-000037420000}"/>
    <cellStyle name="Check Cell" xfId="158" builtinId="23" customBuiltin="1"/>
    <cellStyle name="Check Cell 2" xfId="79" xr:uid="{00000000-0005-0000-0000-000039420000}"/>
    <cellStyle name="Check Cell 2 10" xfId="1478" xr:uid="{00000000-0005-0000-0000-00003A420000}"/>
    <cellStyle name="Check Cell 2 11" xfId="1479" xr:uid="{00000000-0005-0000-0000-00003B420000}"/>
    <cellStyle name="Check Cell 2 12" xfId="1480" xr:uid="{00000000-0005-0000-0000-00003C420000}"/>
    <cellStyle name="Check Cell 2 13" xfId="1481" xr:uid="{00000000-0005-0000-0000-00003D420000}"/>
    <cellStyle name="Check Cell 2 14" xfId="1482" xr:uid="{00000000-0005-0000-0000-00003E420000}"/>
    <cellStyle name="Check Cell 2 15" xfId="4163" xr:uid="{00000000-0005-0000-0000-00003F420000}"/>
    <cellStyle name="Check Cell 2 16" xfId="4164" xr:uid="{00000000-0005-0000-0000-000040420000}"/>
    <cellStyle name="Check Cell 2 17" xfId="4165" xr:uid="{00000000-0005-0000-0000-000041420000}"/>
    <cellStyle name="Check Cell 2 18" xfId="1477" xr:uid="{00000000-0005-0000-0000-000042420000}"/>
    <cellStyle name="Check Cell 2 2" xfId="1483" xr:uid="{00000000-0005-0000-0000-000043420000}"/>
    <cellStyle name="Check Cell 2 2 2" xfId="1484" xr:uid="{00000000-0005-0000-0000-000044420000}"/>
    <cellStyle name="Check Cell 2 2 3" xfId="1485" xr:uid="{00000000-0005-0000-0000-000045420000}"/>
    <cellStyle name="Check Cell 2 2 4" xfId="4166" xr:uid="{00000000-0005-0000-0000-000046420000}"/>
    <cellStyle name="Check Cell 2 2 5" xfId="4167" xr:uid="{00000000-0005-0000-0000-000047420000}"/>
    <cellStyle name="Check Cell 2 2_Sheet1" xfId="1486" xr:uid="{00000000-0005-0000-0000-000048420000}"/>
    <cellStyle name="Check Cell 2 3" xfId="1487" xr:uid="{00000000-0005-0000-0000-000049420000}"/>
    <cellStyle name="Check Cell 2 4" xfId="1488" xr:uid="{00000000-0005-0000-0000-00004A420000}"/>
    <cellStyle name="Check Cell 2 5" xfId="1489" xr:uid="{00000000-0005-0000-0000-00004B420000}"/>
    <cellStyle name="Check Cell 2 6" xfId="1490" xr:uid="{00000000-0005-0000-0000-00004C420000}"/>
    <cellStyle name="Check Cell 2 7" xfId="1491" xr:uid="{00000000-0005-0000-0000-00004D420000}"/>
    <cellStyle name="Check Cell 2 8" xfId="1492" xr:uid="{00000000-0005-0000-0000-00004E420000}"/>
    <cellStyle name="Check Cell 2 9" xfId="1493" xr:uid="{00000000-0005-0000-0000-00004F420000}"/>
    <cellStyle name="Check Cell 2_BallGrid" xfId="1494" xr:uid="{00000000-0005-0000-0000-000050420000}"/>
    <cellStyle name="Check Cell 3" xfId="80" xr:uid="{00000000-0005-0000-0000-000051420000}"/>
    <cellStyle name="Check Cell 3 2" xfId="1495" xr:uid="{00000000-0005-0000-0000-000052420000}"/>
    <cellStyle name="Check Cell 3 2 2" xfId="22303" xr:uid="{00000000-0005-0000-0000-000053420000}"/>
    <cellStyle name="Check Cell 3 3" xfId="1496" xr:uid="{00000000-0005-0000-0000-000054420000}"/>
    <cellStyle name="Check Cell 3 4" xfId="4168" xr:uid="{00000000-0005-0000-0000-000055420000}"/>
    <cellStyle name="Check Cell 4" xfId="81" xr:uid="{00000000-0005-0000-0000-000056420000}"/>
    <cellStyle name="Check Cell 4 2" xfId="1497" xr:uid="{00000000-0005-0000-0000-000057420000}"/>
    <cellStyle name="Check Cell 4 3" xfId="1498" xr:uid="{00000000-0005-0000-0000-000058420000}"/>
    <cellStyle name="Check Cell 4 4" xfId="4169" xr:uid="{00000000-0005-0000-0000-000059420000}"/>
    <cellStyle name="Check Cell 4 5" xfId="4170" xr:uid="{00000000-0005-0000-0000-00005A420000}"/>
    <cellStyle name="Check Cell 5" xfId="1499" xr:uid="{00000000-0005-0000-0000-00005B420000}"/>
    <cellStyle name="Check Cell 5 2" xfId="4171" xr:uid="{00000000-0005-0000-0000-00005C420000}"/>
    <cellStyle name="Check Cell 5 3" xfId="4172" xr:uid="{00000000-0005-0000-0000-00005D420000}"/>
    <cellStyle name="Check Cell 5 4" xfId="22304" xr:uid="{00000000-0005-0000-0000-00005E420000}"/>
    <cellStyle name="Check Cell 6" xfId="22305" xr:uid="{00000000-0005-0000-0000-00005F420000}"/>
    <cellStyle name="Check Cell 7" xfId="22306" xr:uid="{00000000-0005-0000-0000-000060420000}"/>
    <cellStyle name="Check Cell 8" xfId="22302" xr:uid="{00000000-0005-0000-0000-000061420000}"/>
    <cellStyle name="Explanatory Text" xfId="161" builtinId="53" customBuiltin="1"/>
    <cellStyle name="Explanatory Text 2" xfId="82" xr:uid="{00000000-0005-0000-0000-000063420000}"/>
    <cellStyle name="Explanatory Text 2 10" xfId="1501" xr:uid="{00000000-0005-0000-0000-000064420000}"/>
    <cellStyle name="Explanatory Text 2 11" xfId="1502" xr:uid="{00000000-0005-0000-0000-000065420000}"/>
    <cellStyle name="Explanatory Text 2 12" xfId="1503" xr:uid="{00000000-0005-0000-0000-000066420000}"/>
    <cellStyle name="Explanatory Text 2 13" xfId="1504" xr:uid="{00000000-0005-0000-0000-000067420000}"/>
    <cellStyle name="Explanatory Text 2 13 2" xfId="22308" xr:uid="{00000000-0005-0000-0000-000068420000}"/>
    <cellStyle name="Explanatory Text 2 14" xfId="1505" xr:uid="{00000000-0005-0000-0000-000069420000}"/>
    <cellStyle name="Explanatory Text 2 14 2" xfId="52971" xr:uid="{00000000-0005-0000-0000-00006A420000}"/>
    <cellStyle name="Explanatory Text 2 15" xfId="4173" xr:uid="{00000000-0005-0000-0000-00006B420000}"/>
    <cellStyle name="Explanatory Text 2 16" xfId="4174" xr:uid="{00000000-0005-0000-0000-00006C420000}"/>
    <cellStyle name="Explanatory Text 2 17" xfId="4175" xr:uid="{00000000-0005-0000-0000-00006D420000}"/>
    <cellStyle name="Explanatory Text 2 18" xfId="1500" xr:uid="{00000000-0005-0000-0000-00006E420000}"/>
    <cellStyle name="Explanatory Text 2 2" xfId="1506" xr:uid="{00000000-0005-0000-0000-00006F420000}"/>
    <cellStyle name="Explanatory Text 2 2 2" xfId="1507" xr:uid="{00000000-0005-0000-0000-000070420000}"/>
    <cellStyle name="Explanatory Text 2 2 3" xfId="1508" xr:uid="{00000000-0005-0000-0000-000071420000}"/>
    <cellStyle name="Explanatory Text 2 2 3 2" xfId="22897" xr:uid="{00000000-0005-0000-0000-000072420000}"/>
    <cellStyle name="Explanatory Text 2 2 4" xfId="4176" xr:uid="{00000000-0005-0000-0000-000073420000}"/>
    <cellStyle name="Explanatory Text 2 2 4 2" xfId="22309" xr:uid="{00000000-0005-0000-0000-000074420000}"/>
    <cellStyle name="Explanatory Text 2 2 5" xfId="4177" xr:uid="{00000000-0005-0000-0000-000075420000}"/>
    <cellStyle name="Explanatory Text 2 2_Sheet1" xfId="1509" xr:uid="{00000000-0005-0000-0000-000076420000}"/>
    <cellStyle name="Explanatory Text 2 3" xfId="1510" xr:uid="{00000000-0005-0000-0000-000077420000}"/>
    <cellStyle name="Explanatory Text 2 3 2" xfId="22898" xr:uid="{00000000-0005-0000-0000-000078420000}"/>
    <cellStyle name="Explanatory Text 2 3 3" xfId="22310" xr:uid="{00000000-0005-0000-0000-000079420000}"/>
    <cellStyle name="Explanatory Text 2 4" xfId="1511" xr:uid="{00000000-0005-0000-0000-00007A420000}"/>
    <cellStyle name="Explanatory Text 2 5" xfId="1512" xr:uid="{00000000-0005-0000-0000-00007B420000}"/>
    <cellStyle name="Explanatory Text 2 6" xfId="1513" xr:uid="{00000000-0005-0000-0000-00007C420000}"/>
    <cellStyle name="Explanatory Text 2 7" xfId="1514" xr:uid="{00000000-0005-0000-0000-00007D420000}"/>
    <cellStyle name="Explanatory Text 2 8" xfId="1515" xr:uid="{00000000-0005-0000-0000-00007E420000}"/>
    <cellStyle name="Explanatory Text 2 9" xfId="1516" xr:uid="{00000000-0005-0000-0000-00007F420000}"/>
    <cellStyle name="Explanatory Text 2_BallGrid" xfId="1517" xr:uid="{00000000-0005-0000-0000-000080420000}"/>
    <cellStyle name="Explanatory Text 3" xfId="83" xr:uid="{00000000-0005-0000-0000-000081420000}"/>
    <cellStyle name="Explanatory Text 3 2" xfId="1518" xr:uid="{00000000-0005-0000-0000-000082420000}"/>
    <cellStyle name="Explanatory Text 3 2 2" xfId="22311" xr:uid="{00000000-0005-0000-0000-000083420000}"/>
    <cellStyle name="Explanatory Text 3 3" xfId="1519" xr:uid="{00000000-0005-0000-0000-000084420000}"/>
    <cellStyle name="Explanatory Text 3 4" xfId="4178" xr:uid="{00000000-0005-0000-0000-000085420000}"/>
    <cellStyle name="Explanatory Text 4" xfId="84" xr:uid="{00000000-0005-0000-0000-000086420000}"/>
    <cellStyle name="Explanatory Text 4 2" xfId="1520" xr:uid="{00000000-0005-0000-0000-000087420000}"/>
    <cellStyle name="Explanatory Text 4 3" xfId="1521" xr:uid="{00000000-0005-0000-0000-000088420000}"/>
    <cellStyle name="Explanatory Text 4 4" xfId="4179" xr:uid="{00000000-0005-0000-0000-000089420000}"/>
    <cellStyle name="Explanatory Text 4 5" xfId="4180" xr:uid="{00000000-0005-0000-0000-00008A420000}"/>
    <cellStyle name="Explanatory Text 5" xfId="1522" xr:uid="{00000000-0005-0000-0000-00008B420000}"/>
    <cellStyle name="Explanatory Text 5 2" xfId="4181" xr:uid="{00000000-0005-0000-0000-00008C420000}"/>
    <cellStyle name="Explanatory Text 5 3" xfId="4182" xr:uid="{00000000-0005-0000-0000-00008D420000}"/>
    <cellStyle name="Explanatory Text 5 4" xfId="22312" xr:uid="{00000000-0005-0000-0000-00008E420000}"/>
    <cellStyle name="Explanatory Text 6" xfId="22313" xr:uid="{00000000-0005-0000-0000-00008F420000}"/>
    <cellStyle name="Explanatory Text 7" xfId="22314" xr:uid="{00000000-0005-0000-0000-000090420000}"/>
    <cellStyle name="Explanatory Text 8" xfId="22307" xr:uid="{00000000-0005-0000-0000-000091420000}"/>
    <cellStyle name="Good" xfId="154" builtinId="26" customBuiltin="1"/>
    <cellStyle name="Good 2" xfId="85" xr:uid="{00000000-0005-0000-0000-000093420000}"/>
    <cellStyle name="Good 2 10" xfId="1524" xr:uid="{00000000-0005-0000-0000-000094420000}"/>
    <cellStyle name="Good 2 11" xfId="1525" xr:uid="{00000000-0005-0000-0000-000095420000}"/>
    <cellStyle name="Good 2 12" xfId="1526" xr:uid="{00000000-0005-0000-0000-000096420000}"/>
    <cellStyle name="Good 2 13" xfId="1527" xr:uid="{00000000-0005-0000-0000-000097420000}"/>
    <cellStyle name="Good 2 14" xfId="1528" xr:uid="{00000000-0005-0000-0000-000098420000}"/>
    <cellStyle name="Good 2 15" xfId="4183" xr:uid="{00000000-0005-0000-0000-000099420000}"/>
    <cellStyle name="Good 2 16" xfId="4184" xr:uid="{00000000-0005-0000-0000-00009A420000}"/>
    <cellStyle name="Good 2 17" xfId="4185" xr:uid="{00000000-0005-0000-0000-00009B420000}"/>
    <cellStyle name="Good 2 18" xfId="1523" xr:uid="{00000000-0005-0000-0000-00009C420000}"/>
    <cellStyle name="Good 2 2" xfId="1529" xr:uid="{00000000-0005-0000-0000-00009D420000}"/>
    <cellStyle name="Good 2 2 2" xfId="1530" xr:uid="{00000000-0005-0000-0000-00009E420000}"/>
    <cellStyle name="Good 2 2 3" xfId="1531" xr:uid="{00000000-0005-0000-0000-00009F420000}"/>
    <cellStyle name="Good 2 2 4" xfId="4186" xr:uid="{00000000-0005-0000-0000-0000A0420000}"/>
    <cellStyle name="Good 2 2 5" xfId="4187" xr:uid="{00000000-0005-0000-0000-0000A1420000}"/>
    <cellStyle name="Good 2 2_Sheet1" xfId="1532" xr:uid="{00000000-0005-0000-0000-0000A2420000}"/>
    <cellStyle name="Good 2 3" xfId="1533" xr:uid="{00000000-0005-0000-0000-0000A3420000}"/>
    <cellStyle name="Good 2 4" xfId="1534" xr:uid="{00000000-0005-0000-0000-0000A4420000}"/>
    <cellStyle name="Good 2 5" xfId="1535" xr:uid="{00000000-0005-0000-0000-0000A5420000}"/>
    <cellStyle name="Good 2 6" xfId="1536" xr:uid="{00000000-0005-0000-0000-0000A6420000}"/>
    <cellStyle name="Good 2 7" xfId="1537" xr:uid="{00000000-0005-0000-0000-0000A7420000}"/>
    <cellStyle name="Good 2 8" xfId="1538" xr:uid="{00000000-0005-0000-0000-0000A8420000}"/>
    <cellStyle name="Good 2 9" xfId="1539" xr:uid="{00000000-0005-0000-0000-0000A9420000}"/>
    <cellStyle name="Good 2_BallGrid" xfId="1540" xr:uid="{00000000-0005-0000-0000-0000AA420000}"/>
    <cellStyle name="Good 3" xfId="86" xr:uid="{00000000-0005-0000-0000-0000AB420000}"/>
    <cellStyle name="Good 3 2" xfId="1541" xr:uid="{00000000-0005-0000-0000-0000AC420000}"/>
    <cellStyle name="Good 3 2 2" xfId="22316" xr:uid="{00000000-0005-0000-0000-0000AD420000}"/>
    <cellStyle name="Good 3 3" xfId="1542" xr:uid="{00000000-0005-0000-0000-0000AE420000}"/>
    <cellStyle name="Good 3 4" xfId="4188" xr:uid="{00000000-0005-0000-0000-0000AF420000}"/>
    <cellStyle name="Good 4" xfId="87" xr:uid="{00000000-0005-0000-0000-0000B0420000}"/>
    <cellStyle name="Good 4 2" xfId="1543" xr:uid="{00000000-0005-0000-0000-0000B1420000}"/>
    <cellStyle name="Good 4 3" xfId="1544" xr:uid="{00000000-0005-0000-0000-0000B2420000}"/>
    <cellStyle name="Good 4 4" xfId="4189" xr:uid="{00000000-0005-0000-0000-0000B3420000}"/>
    <cellStyle name="Good 4 5" xfId="4190" xr:uid="{00000000-0005-0000-0000-0000B4420000}"/>
    <cellStyle name="Good 5" xfId="1545" xr:uid="{00000000-0005-0000-0000-0000B5420000}"/>
    <cellStyle name="Good 5 2" xfId="4191" xr:uid="{00000000-0005-0000-0000-0000B6420000}"/>
    <cellStyle name="Good 5 3" xfId="4192" xr:uid="{00000000-0005-0000-0000-0000B7420000}"/>
    <cellStyle name="Good 5 4" xfId="22317" xr:uid="{00000000-0005-0000-0000-0000B8420000}"/>
    <cellStyle name="Good 6" xfId="22318" xr:uid="{00000000-0005-0000-0000-0000B9420000}"/>
    <cellStyle name="Good 7" xfId="22319" xr:uid="{00000000-0005-0000-0000-0000BA420000}"/>
    <cellStyle name="Good 8" xfId="22315" xr:uid="{00000000-0005-0000-0000-0000BB420000}"/>
    <cellStyle name="Grey" xfId="1546" xr:uid="{00000000-0005-0000-0000-0000BC420000}"/>
    <cellStyle name="Grey 2" xfId="1547" xr:uid="{00000000-0005-0000-0000-0000BD420000}"/>
    <cellStyle name="Grey 2 2" xfId="1548" xr:uid="{00000000-0005-0000-0000-0000BE420000}"/>
    <cellStyle name="Grey 2 3" xfId="1549" xr:uid="{00000000-0005-0000-0000-0000BF420000}"/>
    <cellStyle name="Grey 2_BallGrid" xfId="1550" xr:uid="{00000000-0005-0000-0000-0000C0420000}"/>
    <cellStyle name="Grey 3" xfId="1551" xr:uid="{00000000-0005-0000-0000-0000C1420000}"/>
    <cellStyle name="Grey 3 2" xfId="1552" xr:uid="{00000000-0005-0000-0000-0000C2420000}"/>
    <cellStyle name="Grey 3 3" xfId="1553" xr:uid="{00000000-0005-0000-0000-0000C3420000}"/>
    <cellStyle name="Grey 3_BallGrid" xfId="1554" xr:uid="{00000000-0005-0000-0000-0000C4420000}"/>
    <cellStyle name="Grey 4" xfId="1555" xr:uid="{00000000-0005-0000-0000-0000C5420000}"/>
    <cellStyle name="Grey 4 2" xfId="1556" xr:uid="{00000000-0005-0000-0000-0000C6420000}"/>
    <cellStyle name="Grey 4 3" xfId="1557" xr:uid="{00000000-0005-0000-0000-0000C7420000}"/>
    <cellStyle name="Grey 4_BallGrid" xfId="1558" xr:uid="{00000000-0005-0000-0000-0000C8420000}"/>
    <cellStyle name="Grey 5" xfId="1559" xr:uid="{00000000-0005-0000-0000-0000C9420000}"/>
    <cellStyle name="Grey 5 2" xfId="1560" xr:uid="{00000000-0005-0000-0000-0000CA420000}"/>
    <cellStyle name="Grey 5 3" xfId="1561" xr:uid="{00000000-0005-0000-0000-0000CB420000}"/>
    <cellStyle name="Grey 5_BallGrid" xfId="1562" xr:uid="{00000000-0005-0000-0000-0000CC420000}"/>
    <cellStyle name="Grey 6" xfId="1563" xr:uid="{00000000-0005-0000-0000-0000CD420000}"/>
    <cellStyle name="Grey 6 2" xfId="1564" xr:uid="{00000000-0005-0000-0000-0000CE420000}"/>
    <cellStyle name="Grey 7" xfId="1565" xr:uid="{00000000-0005-0000-0000-0000CF420000}"/>
    <cellStyle name="Grey_BallGrid" xfId="1566" xr:uid="{00000000-0005-0000-0000-0000D0420000}"/>
    <cellStyle name="Heading 1" xfId="150" builtinId="16" customBuiltin="1"/>
    <cellStyle name="Heading 1 10" xfId="1567" xr:uid="{00000000-0005-0000-0000-0000D2420000}"/>
    <cellStyle name="Heading 1 10 2" xfId="22323" xr:uid="{00000000-0005-0000-0000-0000D3420000}"/>
    <cellStyle name="Heading 1 10 3" xfId="22322" xr:uid="{00000000-0005-0000-0000-0000D4420000}"/>
    <cellStyle name="Heading 1 11" xfId="22324" xr:uid="{00000000-0005-0000-0000-0000D5420000}"/>
    <cellStyle name="Heading 1 11 2" xfId="22325" xr:uid="{00000000-0005-0000-0000-0000D6420000}"/>
    <cellStyle name="Heading 1 12" xfId="22326" xr:uid="{00000000-0005-0000-0000-0000D7420000}"/>
    <cellStyle name="Heading 1 12 2" xfId="22327" xr:uid="{00000000-0005-0000-0000-0000D8420000}"/>
    <cellStyle name="Heading 1 12 2 2" xfId="22328" xr:uid="{00000000-0005-0000-0000-0000D9420000}"/>
    <cellStyle name="Heading 1 12 2 2 2" xfId="22329" xr:uid="{00000000-0005-0000-0000-0000DA420000}"/>
    <cellStyle name="Heading 1 12 2 3" xfId="22330" xr:uid="{00000000-0005-0000-0000-0000DB420000}"/>
    <cellStyle name="Heading 1 12 3" xfId="22331" xr:uid="{00000000-0005-0000-0000-0000DC420000}"/>
    <cellStyle name="Heading 1 13" xfId="22332" xr:uid="{00000000-0005-0000-0000-0000DD420000}"/>
    <cellStyle name="Heading 1 14" xfId="22333" xr:uid="{00000000-0005-0000-0000-0000DE420000}"/>
    <cellStyle name="Heading 1 15" xfId="22669" xr:uid="{00000000-0005-0000-0000-0000DF420000}"/>
    <cellStyle name="Heading 1 16" xfId="22321" xr:uid="{00000000-0005-0000-0000-0000E0420000}"/>
    <cellStyle name="Heading 1 2" xfId="88" xr:uid="{00000000-0005-0000-0000-0000E1420000}"/>
    <cellStyle name="Heading 1 2 10" xfId="1568" xr:uid="{00000000-0005-0000-0000-0000E2420000}"/>
    <cellStyle name="Heading 1 2 2" xfId="1569" xr:uid="{00000000-0005-0000-0000-0000E3420000}"/>
    <cellStyle name="Heading 1 2 3" xfId="1570" xr:uid="{00000000-0005-0000-0000-0000E4420000}"/>
    <cellStyle name="Heading 1 2 3 2" xfId="22336" xr:uid="{00000000-0005-0000-0000-0000E5420000}"/>
    <cellStyle name="Heading 1 2 3 2 2" xfId="22337" xr:uid="{00000000-0005-0000-0000-0000E6420000}"/>
    <cellStyle name="Heading 1 2 3 3" xfId="22338" xr:uid="{00000000-0005-0000-0000-0000E7420000}"/>
    <cellStyle name="Heading 1 2 3 4" xfId="22900" xr:uid="{00000000-0005-0000-0000-0000E8420000}"/>
    <cellStyle name="Heading 1 2 3 5" xfId="22335" xr:uid="{00000000-0005-0000-0000-0000E9420000}"/>
    <cellStyle name="Heading 1 2 4" xfId="1571" xr:uid="{00000000-0005-0000-0000-0000EA420000}"/>
    <cellStyle name="Heading 1 2 4 2" xfId="22339" xr:uid="{00000000-0005-0000-0000-0000EB420000}"/>
    <cellStyle name="Heading 1 2 5" xfId="1572" xr:uid="{00000000-0005-0000-0000-0000EC420000}"/>
    <cellStyle name="Heading 1 2 5 2" xfId="22340" xr:uid="{00000000-0005-0000-0000-0000ED420000}"/>
    <cellStyle name="Heading 1 2 6" xfId="1573" xr:uid="{00000000-0005-0000-0000-0000EE420000}"/>
    <cellStyle name="Heading 1 2 6 2" xfId="22899" xr:uid="{00000000-0005-0000-0000-0000EF420000}"/>
    <cellStyle name="Heading 1 2 7" xfId="4193" xr:uid="{00000000-0005-0000-0000-0000F0420000}"/>
    <cellStyle name="Heading 1 2 7 2" xfId="22334" xr:uid="{00000000-0005-0000-0000-0000F1420000}"/>
    <cellStyle name="Heading 1 2 8" xfId="4194" xr:uid="{00000000-0005-0000-0000-0000F2420000}"/>
    <cellStyle name="Heading 1 2 9" xfId="4195" xr:uid="{00000000-0005-0000-0000-0000F3420000}"/>
    <cellStyle name="Heading 1 2_BallGrid" xfId="1574" xr:uid="{00000000-0005-0000-0000-0000F4420000}"/>
    <cellStyle name="Heading 1 3" xfId="89" xr:uid="{00000000-0005-0000-0000-0000F5420000}"/>
    <cellStyle name="Heading 1 3 2" xfId="1575" xr:uid="{00000000-0005-0000-0000-0000F6420000}"/>
    <cellStyle name="Heading 1 3 2 2" xfId="22342" xr:uid="{00000000-0005-0000-0000-0000F7420000}"/>
    <cellStyle name="Heading 1 3 2 3" xfId="22341" xr:uid="{00000000-0005-0000-0000-0000F8420000}"/>
    <cellStyle name="Heading 1 3 3" xfId="1576" xr:uid="{00000000-0005-0000-0000-0000F9420000}"/>
    <cellStyle name="Heading 1 3 3 2" xfId="22344" xr:uid="{00000000-0005-0000-0000-0000FA420000}"/>
    <cellStyle name="Heading 1 3 3 3" xfId="22343" xr:uid="{00000000-0005-0000-0000-0000FB420000}"/>
    <cellStyle name="Heading 1 3 4" xfId="4196" xr:uid="{00000000-0005-0000-0000-0000FC420000}"/>
    <cellStyle name="Heading 1 3 4 2" xfId="22346" xr:uid="{00000000-0005-0000-0000-0000FD420000}"/>
    <cellStyle name="Heading 1 3 4 3" xfId="22345" xr:uid="{00000000-0005-0000-0000-0000FE420000}"/>
    <cellStyle name="Heading 1 3 5" xfId="22347" xr:uid="{00000000-0005-0000-0000-0000FF420000}"/>
    <cellStyle name="Heading 1 3 5 2" xfId="22348" xr:uid="{00000000-0005-0000-0000-000000430000}"/>
    <cellStyle name="Heading 1 3 5 2 2" xfId="22349" xr:uid="{00000000-0005-0000-0000-000001430000}"/>
    <cellStyle name="Heading 1 3 5 2 3" xfId="22350" xr:uid="{00000000-0005-0000-0000-000002430000}"/>
    <cellStyle name="Heading 1 3 5 2 3 2" xfId="22351" xr:uid="{00000000-0005-0000-0000-000003430000}"/>
    <cellStyle name="Heading 1 3 5 3" xfId="22352" xr:uid="{00000000-0005-0000-0000-000004430000}"/>
    <cellStyle name="Heading 1 3 6" xfId="22353" xr:uid="{00000000-0005-0000-0000-000005430000}"/>
    <cellStyle name="Heading 1 3 7" xfId="22354" xr:uid="{00000000-0005-0000-0000-000006430000}"/>
    <cellStyle name="Heading 1 3 7 2" xfId="22355" xr:uid="{00000000-0005-0000-0000-000007430000}"/>
    <cellStyle name="Heading 1 3 7 2 2" xfId="22356" xr:uid="{00000000-0005-0000-0000-000008430000}"/>
    <cellStyle name="Heading 1 3 7 3" xfId="22357" xr:uid="{00000000-0005-0000-0000-000009430000}"/>
    <cellStyle name="Heading 1 3 7 3 2" xfId="22358" xr:uid="{00000000-0005-0000-0000-00000A430000}"/>
    <cellStyle name="Heading 1 3 7 3 2 2" xfId="22359" xr:uid="{00000000-0005-0000-0000-00000B430000}"/>
    <cellStyle name="Heading 1 3 7 3 3" xfId="22360" xr:uid="{00000000-0005-0000-0000-00000C430000}"/>
    <cellStyle name="Heading 1 3 7 4" xfId="22361" xr:uid="{00000000-0005-0000-0000-00000D430000}"/>
    <cellStyle name="Heading 1 4" xfId="90" xr:uid="{00000000-0005-0000-0000-00000E430000}"/>
    <cellStyle name="Heading 1 4 2" xfId="1578" xr:uid="{00000000-0005-0000-0000-00000F430000}"/>
    <cellStyle name="Heading 1 4 2 2" xfId="22901" xr:uid="{00000000-0005-0000-0000-000010430000}"/>
    <cellStyle name="Heading 1 4 3" xfId="1579" xr:uid="{00000000-0005-0000-0000-000011430000}"/>
    <cellStyle name="Heading 1 4 3 2" xfId="22362" xr:uid="{00000000-0005-0000-0000-000012430000}"/>
    <cellStyle name="Heading 1 4 4" xfId="1580" xr:uid="{00000000-0005-0000-0000-000013430000}"/>
    <cellStyle name="Heading 1 4 5" xfId="1581" xr:uid="{00000000-0005-0000-0000-000014430000}"/>
    <cellStyle name="Heading 1 4 6" xfId="4197" xr:uid="{00000000-0005-0000-0000-000015430000}"/>
    <cellStyle name="Heading 1 4 7" xfId="4198" xr:uid="{00000000-0005-0000-0000-000016430000}"/>
    <cellStyle name="Heading 1 4 8" xfId="4199" xr:uid="{00000000-0005-0000-0000-000017430000}"/>
    <cellStyle name="Heading 1 4 9" xfId="1577" xr:uid="{00000000-0005-0000-0000-000018430000}"/>
    <cellStyle name="Heading 1 5" xfId="1582" xr:uid="{00000000-0005-0000-0000-000019430000}"/>
    <cellStyle name="Heading 1 5 2" xfId="4200" xr:uid="{00000000-0005-0000-0000-00001A430000}"/>
    <cellStyle name="Heading 1 5 3" xfId="4201" xr:uid="{00000000-0005-0000-0000-00001B430000}"/>
    <cellStyle name="Heading 1 6" xfId="1583" xr:uid="{00000000-0005-0000-0000-00001C430000}"/>
    <cellStyle name="Heading 1 6 2" xfId="22363" xr:uid="{00000000-0005-0000-0000-00001D430000}"/>
    <cellStyle name="Heading 1 7" xfId="1584" xr:uid="{00000000-0005-0000-0000-00001E430000}"/>
    <cellStyle name="Heading 1 7 2" xfId="22365" xr:uid="{00000000-0005-0000-0000-00001F430000}"/>
    <cellStyle name="Heading 1 7 3" xfId="22364" xr:uid="{00000000-0005-0000-0000-000020430000}"/>
    <cellStyle name="Heading 1 8" xfId="1585" xr:uid="{00000000-0005-0000-0000-000021430000}"/>
    <cellStyle name="Heading 1 8 2" xfId="22367" xr:uid="{00000000-0005-0000-0000-000022430000}"/>
    <cellStyle name="Heading 1 8 2 2" xfId="22368" xr:uid="{00000000-0005-0000-0000-000023430000}"/>
    <cellStyle name="Heading 1 8 3" xfId="22366" xr:uid="{00000000-0005-0000-0000-000024430000}"/>
    <cellStyle name="Heading 1 9" xfId="1586" xr:uid="{00000000-0005-0000-0000-000025430000}"/>
    <cellStyle name="Heading 1 9 2" xfId="22370" xr:uid="{00000000-0005-0000-0000-000026430000}"/>
    <cellStyle name="Heading 1 9 3" xfId="22749" xr:uid="{00000000-0005-0000-0000-000027430000}"/>
    <cellStyle name="Heading 1 9 3 2" xfId="52972" xr:uid="{00000000-0005-0000-0000-000028430000}"/>
    <cellStyle name="Heading 1 9 4" xfId="22369" xr:uid="{00000000-0005-0000-0000-000029430000}"/>
    <cellStyle name="Heading 2" xfId="151" builtinId="17" customBuiltin="1"/>
    <cellStyle name="Heading 2 10" xfId="1587" xr:uid="{00000000-0005-0000-0000-00002B430000}"/>
    <cellStyle name="Heading 2 10 2" xfId="22372" xr:uid="{00000000-0005-0000-0000-00002C430000}"/>
    <cellStyle name="Heading 2 11" xfId="22373" xr:uid="{00000000-0005-0000-0000-00002D430000}"/>
    <cellStyle name="Heading 2 12" xfId="22374" xr:uid="{00000000-0005-0000-0000-00002E430000}"/>
    <cellStyle name="Heading 2 12 2" xfId="22375" xr:uid="{00000000-0005-0000-0000-00002F430000}"/>
    <cellStyle name="Heading 2 13" xfId="22376" xr:uid="{00000000-0005-0000-0000-000030430000}"/>
    <cellStyle name="Heading 2 14" xfId="22377" xr:uid="{00000000-0005-0000-0000-000031430000}"/>
    <cellStyle name="Heading 2 15" xfId="22670" xr:uid="{00000000-0005-0000-0000-000032430000}"/>
    <cellStyle name="Heading 2 16" xfId="22371" xr:uid="{00000000-0005-0000-0000-000033430000}"/>
    <cellStyle name="Heading 2 2" xfId="91" xr:uid="{00000000-0005-0000-0000-000034430000}"/>
    <cellStyle name="Heading 2 2 10" xfId="1588" xr:uid="{00000000-0005-0000-0000-000035430000}"/>
    <cellStyle name="Heading 2 2 2" xfId="1589" xr:uid="{00000000-0005-0000-0000-000036430000}"/>
    <cellStyle name="Heading 2 2 3" xfId="1590" xr:uid="{00000000-0005-0000-0000-000037430000}"/>
    <cellStyle name="Heading 2 2 4" xfId="1591" xr:uid="{00000000-0005-0000-0000-000038430000}"/>
    <cellStyle name="Heading 2 2 5" xfId="1592" xr:uid="{00000000-0005-0000-0000-000039430000}"/>
    <cellStyle name="Heading 2 2 6" xfId="1593" xr:uid="{00000000-0005-0000-0000-00003A430000}"/>
    <cellStyle name="Heading 2 2 7" xfId="4202" xr:uid="{00000000-0005-0000-0000-00003B430000}"/>
    <cellStyle name="Heading 2 2 8" xfId="4203" xr:uid="{00000000-0005-0000-0000-00003C430000}"/>
    <cellStyle name="Heading 2 2 9" xfId="4204" xr:uid="{00000000-0005-0000-0000-00003D430000}"/>
    <cellStyle name="Heading 2 2_BallGrid" xfId="1594" xr:uid="{00000000-0005-0000-0000-00003E430000}"/>
    <cellStyle name="Heading 2 3" xfId="92" xr:uid="{00000000-0005-0000-0000-00003F430000}"/>
    <cellStyle name="Heading 2 3 2" xfId="1595" xr:uid="{00000000-0005-0000-0000-000040430000}"/>
    <cellStyle name="Heading 2 3 3" xfId="1596" xr:uid="{00000000-0005-0000-0000-000041430000}"/>
    <cellStyle name="Heading 2 3 4" xfId="4205" xr:uid="{00000000-0005-0000-0000-000042430000}"/>
    <cellStyle name="Heading 2 4" xfId="93" xr:uid="{00000000-0005-0000-0000-000043430000}"/>
    <cellStyle name="Heading 2 4 2" xfId="1598" xr:uid="{00000000-0005-0000-0000-000044430000}"/>
    <cellStyle name="Heading 2 4 2 2" xfId="22902" xr:uid="{00000000-0005-0000-0000-000045430000}"/>
    <cellStyle name="Heading 2 4 3" xfId="1599" xr:uid="{00000000-0005-0000-0000-000046430000}"/>
    <cellStyle name="Heading 2 4 3 2" xfId="22378" xr:uid="{00000000-0005-0000-0000-000047430000}"/>
    <cellStyle name="Heading 2 4 4" xfId="1600" xr:uid="{00000000-0005-0000-0000-000048430000}"/>
    <cellStyle name="Heading 2 4 5" xfId="1601" xr:uid="{00000000-0005-0000-0000-000049430000}"/>
    <cellStyle name="Heading 2 4 6" xfId="4206" xr:uid="{00000000-0005-0000-0000-00004A430000}"/>
    <cellStyle name="Heading 2 4 7" xfId="4207" xr:uid="{00000000-0005-0000-0000-00004B430000}"/>
    <cellStyle name="Heading 2 4 8" xfId="4208" xr:uid="{00000000-0005-0000-0000-00004C430000}"/>
    <cellStyle name="Heading 2 4 9" xfId="1597" xr:uid="{00000000-0005-0000-0000-00004D430000}"/>
    <cellStyle name="Heading 2 5" xfId="1602" xr:uid="{00000000-0005-0000-0000-00004E430000}"/>
    <cellStyle name="Heading 2 5 2" xfId="4209" xr:uid="{00000000-0005-0000-0000-00004F430000}"/>
    <cellStyle name="Heading 2 5 3" xfId="4210" xr:uid="{00000000-0005-0000-0000-000050430000}"/>
    <cellStyle name="Heading 2 6" xfId="1603" xr:uid="{00000000-0005-0000-0000-000051430000}"/>
    <cellStyle name="Heading 2 6 2" xfId="22379" xr:uid="{00000000-0005-0000-0000-000052430000}"/>
    <cellStyle name="Heading 2 7" xfId="1604" xr:uid="{00000000-0005-0000-0000-000053430000}"/>
    <cellStyle name="Heading 2 7 2" xfId="22380" xr:uid="{00000000-0005-0000-0000-000054430000}"/>
    <cellStyle name="Heading 2 8" xfId="1605" xr:uid="{00000000-0005-0000-0000-000055430000}"/>
    <cellStyle name="Heading 2 8 2" xfId="22382" xr:uid="{00000000-0005-0000-0000-000056430000}"/>
    <cellStyle name="Heading 2 8 3" xfId="22381" xr:uid="{00000000-0005-0000-0000-000057430000}"/>
    <cellStyle name="Heading 2 9" xfId="1606" xr:uid="{00000000-0005-0000-0000-000058430000}"/>
    <cellStyle name="Heading 2 9 2" xfId="22383" xr:uid="{00000000-0005-0000-0000-000059430000}"/>
    <cellStyle name="Heading 3" xfId="152" builtinId="18" customBuiltin="1"/>
    <cellStyle name="Heading 3 10" xfId="1607" xr:uid="{00000000-0005-0000-0000-00005B430000}"/>
    <cellStyle name="Heading 3 10 2" xfId="1608" xr:uid="{00000000-0005-0000-0000-00005C430000}"/>
    <cellStyle name="Heading 3 10 2 2" xfId="22385" xr:uid="{00000000-0005-0000-0000-00005D430000}"/>
    <cellStyle name="Heading 3 10 3" xfId="22384" xr:uid="{00000000-0005-0000-0000-00005E430000}"/>
    <cellStyle name="Heading 3 11" xfId="1609" xr:uid="{00000000-0005-0000-0000-00005F430000}"/>
    <cellStyle name="Heading 3 11 2" xfId="22387" xr:uid="{00000000-0005-0000-0000-000060430000}"/>
    <cellStyle name="Heading 3 11 3" xfId="22386" xr:uid="{00000000-0005-0000-0000-000061430000}"/>
    <cellStyle name="Heading 3 12" xfId="1610" xr:uid="{00000000-0005-0000-0000-000062430000}"/>
    <cellStyle name="Heading 3 12 2" xfId="22389" xr:uid="{00000000-0005-0000-0000-000063430000}"/>
    <cellStyle name="Heading 3 12 2 2" xfId="22390" xr:uid="{00000000-0005-0000-0000-000064430000}"/>
    <cellStyle name="Heading 3 12 2 2 2" xfId="22391" xr:uid="{00000000-0005-0000-0000-000065430000}"/>
    <cellStyle name="Heading 3 12 2 3" xfId="22392" xr:uid="{00000000-0005-0000-0000-000066430000}"/>
    <cellStyle name="Heading 3 12 3" xfId="22393" xr:uid="{00000000-0005-0000-0000-000067430000}"/>
    <cellStyle name="Heading 3 12 4" xfId="22388" xr:uid="{00000000-0005-0000-0000-000068430000}"/>
    <cellStyle name="Heading 3 13" xfId="1611" xr:uid="{00000000-0005-0000-0000-000069430000}"/>
    <cellStyle name="Heading 3 13 2" xfId="22394" xr:uid="{00000000-0005-0000-0000-00006A430000}"/>
    <cellStyle name="Heading 3 14" xfId="1612" xr:uid="{00000000-0005-0000-0000-00006B430000}"/>
    <cellStyle name="Heading 3 15" xfId="1613" xr:uid="{00000000-0005-0000-0000-00006C430000}"/>
    <cellStyle name="Heading 3 15 2" xfId="22671" xr:uid="{00000000-0005-0000-0000-00006D430000}"/>
    <cellStyle name="Heading 3 16" xfId="1614" xr:uid="{00000000-0005-0000-0000-00006E430000}"/>
    <cellStyle name="Heading 3 17" xfId="1615" xr:uid="{00000000-0005-0000-0000-00006F430000}"/>
    <cellStyle name="Heading 3 18" xfId="1616" xr:uid="{00000000-0005-0000-0000-000070430000}"/>
    <cellStyle name="Heading 3 2" xfId="94" xr:uid="{00000000-0005-0000-0000-000071430000}"/>
    <cellStyle name="Heading 3 2 10" xfId="1617" xr:uid="{00000000-0005-0000-0000-000072430000}"/>
    <cellStyle name="Heading 3 2 2" xfId="95" xr:uid="{00000000-0005-0000-0000-000073430000}"/>
    <cellStyle name="Heading 3 2 3" xfId="1618" xr:uid="{00000000-0005-0000-0000-000074430000}"/>
    <cellStyle name="Heading 3 2 4" xfId="1619" xr:uid="{00000000-0005-0000-0000-000075430000}"/>
    <cellStyle name="Heading 3 2 5" xfId="1620" xr:uid="{00000000-0005-0000-0000-000076430000}"/>
    <cellStyle name="Heading 3 2 6" xfId="1621" xr:uid="{00000000-0005-0000-0000-000077430000}"/>
    <cellStyle name="Heading 3 2 7" xfId="4211" xr:uid="{00000000-0005-0000-0000-000078430000}"/>
    <cellStyle name="Heading 3 2 8" xfId="4212" xr:uid="{00000000-0005-0000-0000-000079430000}"/>
    <cellStyle name="Heading 3 2 9" xfId="4213" xr:uid="{00000000-0005-0000-0000-00007A430000}"/>
    <cellStyle name="Heading 3 2_BallGrid" xfId="1622" xr:uid="{00000000-0005-0000-0000-00007B430000}"/>
    <cellStyle name="Heading 3 3" xfId="96" xr:uid="{00000000-0005-0000-0000-00007C430000}"/>
    <cellStyle name="Heading 3 3 2" xfId="97" xr:uid="{00000000-0005-0000-0000-00007D430000}"/>
    <cellStyle name="Heading 3 3 3" xfId="1623" xr:uid="{00000000-0005-0000-0000-00007E430000}"/>
    <cellStyle name="Heading 3 3 4" xfId="4214" xr:uid="{00000000-0005-0000-0000-00007F430000}"/>
    <cellStyle name="Heading 3 4" xfId="98" xr:uid="{00000000-0005-0000-0000-000080430000}"/>
    <cellStyle name="Heading 3 4 2" xfId="99" xr:uid="{00000000-0005-0000-0000-000081430000}"/>
    <cellStyle name="Heading 3 4 3" xfId="1624" xr:uid="{00000000-0005-0000-0000-000082430000}"/>
    <cellStyle name="Heading 3 4 4" xfId="4215" xr:uid="{00000000-0005-0000-0000-000083430000}"/>
    <cellStyle name="Heading 3 4 5" xfId="4216" xr:uid="{00000000-0005-0000-0000-000084430000}"/>
    <cellStyle name="Heading 3 5" xfId="100" xr:uid="{00000000-0005-0000-0000-000085430000}"/>
    <cellStyle name="Heading 3 5 2" xfId="4217" xr:uid="{00000000-0005-0000-0000-000086430000}"/>
    <cellStyle name="Heading 3 5 3" xfId="4218" xr:uid="{00000000-0005-0000-0000-000087430000}"/>
    <cellStyle name="Heading 3 5 4" xfId="1625" xr:uid="{00000000-0005-0000-0000-000088430000}"/>
    <cellStyle name="Heading 3 6" xfId="1626" xr:uid="{00000000-0005-0000-0000-000089430000}"/>
    <cellStyle name="Heading 3 6 2" xfId="21958" xr:uid="{00000000-0005-0000-0000-00008A430000}"/>
    <cellStyle name="Heading 3 7" xfId="1627" xr:uid="{00000000-0005-0000-0000-00008B430000}"/>
    <cellStyle name="Heading 3 7 2" xfId="1628" xr:uid="{00000000-0005-0000-0000-00008C430000}"/>
    <cellStyle name="Heading 3 7 2 2" xfId="22397" xr:uid="{00000000-0005-0000-0000-00008D430000}"/>
    <cellStyle name="Heading 3 7 3" xfId="22396" xr:uid="{00000000-0005-0000-0000-00008E430000}"/>
    <cellStyle name="Heading 3 8" xfId="1629" xr:uid="{00000000-0005-0000-0000-00008F430000}"/>
    <cellStyle name="Heading 3 8 2" xfId="22399" xr:uid="{00000000-0005-0000-0000-000090430000}"/>
    <cellStyle name="Heading 3 8 2 2" xfId="22400" xr:uid="{00000000-0005-0000-0000-000091430000}"/>
    <cellStyle name="Heading 3 8 3" xfId="22398" xr:uid="{00000000-0005-0000-0000-000092430000}"/>
    <cellStyle name="Heading 3 9" xfId="1630" xr:uid="{00000000-0005-0000-0000-000093430000}"/>
    <cellStyle name="Heading 3 9 2" xfId="1631" xr:uid="{00000000-0005-0000-0000-000094430000}"/>
    <cellStyle name="Heading 3 9 2 2" xfId="22402" xr:uid="{00000000-0005-0000-0000-000095430000}"/>
    <cellStyle name="Heading 3 9 3" xfId="1632" xr:uid="{00000000-0005-0000-0000-000096430000}"/>
    <cellStyle name="Heading 3 9 3 2" xfId="22750" xr:uid="{00000000-0005-0000-0000-000097430000}"/>
    <cellStyle name="Heading 3 9 3 2 2" xfId="53366" xr:uid="{00000000-0005-0000-0000-000098430000}"/>
    <cellStyle name="Heading 3 9 3 3" xfId="52973" xr:uid="{00000000-0005-0000-0000-000099430000}"/>
    <cellStyle name="Heading 3 9 4" xfId="22401" xr:uid="{00000000-0005-0000-0000-00009A430000}"/>
    <cellStyle name="Heading 4" xfId="153" builtinId="19" customBuiltin="1"/>
    <cellStyle name="Heading 4 10" xfId="1634" xr:uid="{00000000-0005-0000-0000-00009C430000}"/>
    <cellStyle name="Heading 4 10 2" xfId="22405" xr:uid="{00000000-0005-0000-0000-00009D430000}"/>
    <cellStyle name="Heading 4 10 3" xfId="22404" xr:uid="{00000000-0005-0000-0000-00009E430000}"/>
    <cellStyle name="Heading 4 11" xfId="1635" xr:uid="{00000000-0005-0000-0000-00009F430000}"/>
    <cellStyle name="Heading 4 11 2" xfId="22407" xr:uid="{00000000-0005-0000-0000-0000A0430000}"/>
    <cellStyle name="Heading 4 11 3" xfId="22406" xr:uid="{00000000-0005-0000-0000-0000A1430000}"/>
    <cellStyle name="Heading 4 12" xfId="1636" xr:uid="{00000000-0005-0000-0000-0000A2430000}"/>
    <cellStyle name="Heading 4 12 2" xfId="22409" xr:uid="{00000000-0005-0000-0000-0000A3430000}"/>
    <cellStyle name="Heading 4 12 2 2" xfId="22410" xr:uid="{00000000-0005-0000-0000-0000A4430000}"/>
    <cellStyle name="Heading 4 12 2 2 2" xfId="22411" xr:uid="{00000000-0005-0000-0000-0000A5430000}"/>
    <cellStyle name="Heading 4 12 2 3" xfId="22412" xr:uid="{00000000-0005-0000-0000-0000A6430000}"/>
    <cellStyle name="Heading 4 12 3" xfId="22413" xr:uid="{00000000-0005-0000-0000-0000A7430000}"/>
    <cellStyle name="Heading 4 12 4" xfId="22408" xr:uid="{00000000-0005-0000-0000-0000A8430000}"/>
    <cellStyle name="Heading 4 13" xfId="1637" xr:uid="{00000000-0005-0000-0000-0000A9430000}"/>
    <cellStyle name="Heading 4 13 2" xfId="22414" xr:uid="{00000000-0005-0000-0000-0000AA430000}"/>
    <cellStyle name="Heading 4 14" xfId="1638" xr:uid="{00000000-0005-0000-0000-0000AB430000}"/>
    <cellStyle name="Heading 4 14 2" xfId="22415" xr:uid="{00000000-0005-0000-0000-0000AC430000}"/>
    <cellStyle name="Heading 4 15" xfId="1639" xr:uid="{00000000-0005-0000-0000-0000AD430000}"/>
    <cellStyle name="Heading 4 15 2" xfId="22672" xr:uid="{00000000-0005-0000-0000-0000AE430000}"/>
    <cellStyle name="Heading 4 16" xfId="1640" xr:uid="{00000000-0005-0000-0000-0000AF430000}"/>
    <cellStyle name="Heading 4 16 2" xfId="22403" xr:uid="{00000000-0005-0000-0000-0000B0430000}"/>
    <cellStyle name="Heading 4 17" xfId="1641" xr:uid="{00000000-0005-0000-0000-0000B1430000}"/>
    <cellStyle name="Heading 4 18" xfId="1642" xr:uid="{00000000-0005-0000-0000-0000B2430000}"/>
    <cellStyle name="Heading 4 19" xfId="1633" xr:uid="{00000000-0005-0000-0000-0000B3430000}"/>
    <cellStyle name="Heading 4 2" xfId="101" xr:uid="{00000000-0005-0000-0000-0000B4430000}"/>
    <cellStyle name="Heading 4 2 10" xfId="1643" xr:uid="{00000000-0005-0000-0000-0000B5430000}"/>
    <cellStyle name="Heading 4 2 2" xfId="1644" xr:uid="{00000000-0005-0000-0000-0000B6430000}"/>
    <cellStyle name="Heading 4 2 3" xfId="1645" xr:uid="{00000000-0005-0000-0000-0000B7430000}"/>
    <cellStyle name="Heading 4 2 4" xfId="1646" xr:uid="{00000000-0005-0000-0000-0000B8430000}"/>
    <cellStyle name="Heading 4 2 5" xfId="1647" xr:uid="{00000000-0005-0000-0000-0000B9430000}"/>
    <cellStyle name="Heading 4 2 6" xfId="1648" xr:uid="{00000000-0005-0000-0000-0000BA430000}"/>
    <cellStyle name="Heading 4 2 7" xfId="4219" xr:uid="{00000000-0005-0000-0000-0000BB430000}"/>
    <cellStyle name="Heading 4 2 8" xfId="4220" xr:uid="{00000000-0005-0000-0000-0000BC430000}"/>
    <cellStyle name="Heading 4 2 9" xfId="4221" xr:uid="{00000000-0005-0000-0000-0000BD430000}"/>
    <cellStyle name="Heading 4 2_BallGrid" xfId="1649" xr:uid="{00000000-0005-0000-0000-0000BE430000}"/>
    <cellStyle name="Heading 4 3" xfId="102" xr:uid="{00000000-0005-0000-0000-0000BF430000}"/>
    <cellStyle name="Heading 4 3 2" xfId="1650" xr:uid="{00000000-0005-0000-0000-0000C0430000}"/>
    <cellStyle name="Heading 4 3 3" xfId="1651" xr:uid="{00000000-0005-0000-0000-0000C1430000}"/>
    <cellStyle name="Heading 4 3 4" xfId="4222" xr:uid="{00000000-0005-0000-0000-0000C2430000}"/>
    <cellStyle name="Heading 4 4" xfId="103" xr:uid="{00000000-0005-0000-0000-0000C3430000}"/>
    <cellStyle name="Heading 4 4 2" xfId="1653" xr:uid="{00000000-0005-0000-0000-0000C4430000}"/>
    <cellStyle name="Heading 4 4 2 2" xfId="22903" xr:uid="{00000000-0005-0000-0000-0000C5430000}"/>
    <cellStyle name="Heading 4 4 3" xfId="1654" xr:uid="{00000000-0005-0000-0000-0000C6430000}"/>
    <cellStyle name="Heading 4 4 3 2" xfId="22417" xr:uid="{00000000-0005-0000-0000-0000C7430000}"/>
    <cellStyle name="Heading 4 4 4" xfId="1655" xr:uid="{00000000-0005-0000-0000-0000C8430000}"/>
    <cellStyle name="Heading 4 4 5" xfId="1656" xr:uid="{00000000-0005-0000-0000-0000C9430000}"/>
    <cellStyle name="Heading 4 4 6" xfId="4223" xr:uid="{00000000-0005-0000-0000-0000CA430000}"/>
    <cellStyle name="Heading 4 4 7" xfId="4224" xr:uid="{00000000-0005-0000-0000-0000CB430000}"/>
    <cellStyle name="Heading 4 4 8" xfId="4225" xr:uid="{00000000-0005-0000-0000-0000CC430000}"/>
    <cellStyle name="Heading 4 4 9" xfId="1652" xr:uid="{00000000-0005-0000-0000-0000CD430000}"/>
    <cellStyle name="Heading 4 5" xfId="1657" xr:uid="{00000000-0005-0000-0000-0000CE430000}"/>
    <cellStyle name="Heading 4 5 2" xfId="4226" xr:uid="{00000000-0005-0000-0000-0000CF430000}"/>
    <cellStyle name="Heading 4 5 3" xfId="4227" xr:uid="{00000000-0005-0000-0000-0000D0430000}"/>
    <cellStyle name="Heading 4 5 4" xfId="21959" xr:uid="{00000000-0005-0000-0000-0000D1430000}"/>
    <cellStyle name="Heading 4 6" xfId="1658" xr:uid="{00000000-0005-0000-0000-0000D2430000}"/>
    <cellStyle name="Heading 4 6 2" xfId="1659" xr:uid="{00000000-0005-0000-0000-0000D3430000}"/>
    <cellStyle name="Heading 4 7" xfId="1660" xr:uid="{00000000-0005-0000-0000-0000D4430000}"/>
    <cellStyle name="Heading 4 7 2" xfId="22420" xr:uid="{00000000-0005-0000-0000-0000D5430000}"/>
    <cellStyle name="Heading 4 7 3" xfId="23027" xr:uid="{00000000-0005-0000-0000-0000D6430000}"/>
    <cellStyle name="Heading 4 7 4" xfId="22419" xr:uid="{00000000-0005-0000-0000-0000D7430000}"/>
    <cellStyle name="Heading 4 7 5" xfId="22009" xr:uid="{00000000-0005-0000-0000-0000D8430000}"/>
    <cellStyle name="Heading 4 8" xfId="1661" xr:uid="{00000000-0005-0000-0000-0000D9430000}"/>
    <cellStyle name="Heading 4 8 2" xfId="1662" xr:uid="{00000000-0005-0000-0000-0000DA430000}"/>
    <cellStyle name="Heading 4 8 2 2" xfId="22423" xr:uid="{00000000-0005-0000-0000-0000DB430000}"/>
    <cellStyle name="Heading 4 8 2 3" xfId="22422" xr:uid="{00000000-0005-0000-0000-0000DC430000}"/>
    <cellStyle name="Heading 4 8 3" xfId="1663" xr:uid="{00000000-0005-0000-0000-0000DD430000}"/>
    <cellStyle name="Heading 4 8 4" xfId="22421" xr:uid="{00000000-0005-0000-0000-0000DE430000}"/>
    <cellStyle name="Heading 4 9" xfId="1664" xr:uid="{00000000-0005-0000-0000-0000DF430000}"/>
    <cellStyle name="Heading 4 9 2" xfId="1665" xr:uid="{00000000-0005-0000-0000-0000E0430000}"/>
    <cellStyle name="Heading 4 9 2 2" xfId="22425" xr:uid="{00000000-0005-0000-0000-0000E1430000}"/>
    <cellStyle name="Heading 4 9 3" xfId="22751" xr:uid="{00000000-0005-0000-0000-0000E2430000}"/>
    <cellStyle name="Heading 4 9 3 2" xfId="52974" xr:uid="{00000000-0005-0000-0000-0000E3430000}"/>
    <cellStyle name="Heading 4 9 4" xfId="22424" xr:uid="{00000000-0005-0000-0000-0000E4430000}"/>
    <cellStyle name="Hyperlink 10" xfId="1666" xr:uid="{00000000-0005-0000-0000-0000E5430000}"/>
    <cellStyle name="Hyperlink 10 2" xfId="1667" xr:uid="{00000000-0005-0000-0000-0000E6430000}"/>
    <cellStyle name="Hyperlink 10 3" xfId="1668" xr:uid="{00000000-0005-0000-0000-0000E7430000}"/>
    <cellStyle name="Hyperlink 10_BallGrid" xfId="1669" xr:uid="{00000000-0005-0000-0000-0000E8430000}"/>
    <cellStyle name="Hyperlink 11" xfId="1670" xr:uid="{00000000-0005-0000-0000-0000E9430000}"/>
    <cellStyle name="Hyperlink 11 2" xfId="1671" xr:uid="{00000000-0005-0000-0000-0000EA430000}"/>
    <cellStyle name="Hyperlink 11 3" xfId="1672" xr:uid="{00000000-0005-0000-0000-0000EB430000}"/>
    <cellStyle name="Hyperlink 11_BallGrid" xfId="1673" xr:uid="{00000000-0005-0000-0000-0000EC430000}"/>
    <cellStyle name="Hyperlink 12" xfId="1674" xr:uid="{00000000-0005-0000-0000-0000ED430000}"/>
    <cellStyle name="Hyperlink 12 2" xfId="1675" xr:uid="{00000000-0005-0000-0000-0000EE430000}"/>
    <cellStyle name="Hyperlink 12 3" xfId="1676" xr:uid="{00000000-0005-0000-0000-0000EF430000}"/>
    <cellStyle name="Hyperlink 12_BallGrid" xfId="1677" xr:uid="{00000000-0005-0000-0000-0000F0430000}"/>
    <cellStyle name="Hyperlink 13" xfId="1678" xr:uid="{00000000-0005-0000-0000-0000F1430000}"/>
    <cellStyle name="Hyperlink 13 2" xfId="1679" xr:uid="{00000000-0005-0000-0000-0000F2430000}"/>
    <cellStyle name="Hyperlink 13 3" xfId="1680" xr:uid="{00000000-0005-0000-0000-0000F3430000}"/>
    <cellStyle name="Hyperlink 13_BallGrid" xfId="1681" xr:uid="{00000000-0005-0000-0000-0000F4430000}"/>
    <cellStyle name="Hyperlink 14" xfId="1682" xr:uid="{00000000-0005-0000-0000-0000F5430000}"/>
    <cellStyle name="Hyperlink 14 2" xfId="1683" xr:uid="{00000000-0005-0000-0000-0000F6430000}"/>
    <cellStyle name="Hyperlink 14 3" xfId="1684" xr:uid="{00000000-0005-0000-0000-0000F7430000}"/>
    <cellStyle name="Hyperlink 14_BallGrid" xfId="1685" xr:uid="{00000000-0005-0000-0000-0000F8430000}"/>
    <cellStyle name="Hyperlink 15" xfId="1686" xr:uid="{00000000-0005-0000-0000-0000F9430000}"/>
    <cellStyle name="Hyperlink 15 2" xfId="1687" xr:uid="{00000000-0005-0000-0000-0000FA430000}"/>
    <cellStyle name="Hyperlink 15 3" xfId="1688" xr:uid="{00000000-0005-0000-0000-0000FB430000}"/>
    <cellStyle name="Hyperlink 15_BallGrid" xfId="1689" xr:uid="{00000000-0005-0000-0000-0000FC430000}"/>
    <cellStyle name="Hyperlink 16" xfId="1690" xr:uid="{00000000-0005-0000-0000-0000FD430000}"/>
    <cellStyle name="Hyperlink 16 2" xfId="1691" xr:uid="{00000000-0005-0000-0000-0000FE430000}"/>
    <cellStyle name="Hyperlink 16 3" xfId="1692" xr:uid="{00000000-0005-0000-0000-0000FF430000}"/>
    <cellStyle name="Hyperlink 16_BallGrid" xfId="1693" xr:uid="{00000000-0005-0000-0000-000000440000}"/>
    <cellStyle name="Hyperlink 17" xfId="1694" xr:uid="{00000000-0005-0000-0000-000001440000}"/>
    <cellStyle name="Hyperlink 17 2" xfId="1695" xr:uid="{00000000-0005-0000-0000-000002440000}"/>
    <cellStyle name="Hyperlink 17 3" xfId="1696" xr:uid="{00000000-0005-0000-0000-000003440000}"/>
    <cellStyle name="Hyperlink 17_BallGrid" xfId="1697" xr:uid="{00000000-0005-0000-0000-000004440000}"/>
    <cellStyle name="Hyperlink 18" xfId="1698" xr:uid="{00000000-0005-0000-0000-000005440000}"/>
    <cellStyle name="Hyperlink 18 2" xfId="1699" xr:uid="{00000000-0005-0000-0000-000006440000}"/>
    <cellStyle name="Hyperlink 18 3" xfId="1700" xr:uid="{00000000-0005-0000-0000-000007440000}"/>
    <cellStyle name="Hyperlink 18_BallGrid" xfId="1701" xr:uid="{00000000-0005-0000-0000-000008440000}"/>
    <cellStyle name="Hyperlink 19" xfId="1702" xr:uid="{00000000-0005-0000-0000-000009440000}"/>
    <cellStyle name="Hyperlink 19 2" xfId="1703" xr:uid="{00000000-0005-0000-0000-00000A440000}"/>
    <cellStyle name="Hyperlink 19 3" xfId="1704" xr:uid="{00000000-0005-0000-0000-00000B440000}"/>
    <cellStyle name="Hyperlink 19_BallGrid" xfId="1705" xr:uid="{00000000-0005-0000-0000-00000C440000}"/>
    <cellStyle name="Hyperlink 2" xfId="104" xr:uid="{00000000-0005-0000-0000-00000D440000}"/>
    <cellStyle name="Hyperlink 2 2" xfId="1707" xr:uid="{00000000-0005-0000-0000-00000E440000}"/>
    <cellStyle name="Hyperlink 2 3" xfId="1708" xr:uid="{00000000-0005-0000-0000-00000F440000}"/>
    <cellStyle name="Hyperlink 2 4" xfId="1709" xr:uid="{00000000-0005-0000-0000-000010440000}"/>
    <cellStyle name="Hyperlink 2 5" xfId="1710" xr:uid="{00000000-0005-0000-0000-000011440000}"/>
    <cellStyle name="Hyperlink 2 6" xfId="4228" xr:uid="{00000000-0005-0000-0000-000012440000}"/>
    <cellStyle name="Hyperlink 2 7" xfId="4229" xr:uid="{00000000-0005-0000-0000-000013440000}"/>
    <cellStyle name="Hyperlink 2 8" xfId="1706" xr:uid="{00000000-0005-0000-0000-000014440000}"/>
    <cellStyle name="Hyperlink 2_BallGrid" xfId="1711" xr:uid="{00000000-0005-0000-0000-000015440000}"/>
    <cellStyle name="Hyperlink 20" xfId="1712" xr:uid="{00000000-0005-0000-0000-000016440000}"/>
    <cellStyle name="Hyperlink 20 2" xfId="1713" xr:uid="{00000000-0005-0000-0000-000017440000}"/>
    <cellStyle name="Hyperlink 20 3" xfId="1714" xr:uid="{00000000-0005-0000-0000-000018440000}"/>
    <cellStyle name="Hyperlink 20_BallGrid" xfId="1715" xr:uid="{00000000-0005-0000-0000-000019440000}"/>
    <cellStyle name="Hyperlink 21" xfId="1716" xr:uid="{00000000-0005-0000-0000-00001A440000}"/>
    <cellStyle name="Hyperlink 21 2" xfId="1717" xr:uid="{00000000-0005-0000-0000-00001B440000}"/>
    <cellStyle name="Hyperlink 21 3" xfId="1718" xr:uid="{00000000-0005-0000-0000-00001C440000}"/>
    <cellStyle name="Hyperlink 21_BallGrid" xfId="1719" xr:uid="{00000000-0005-0000-0000-00001D440000}"/>
    <cellStyle name="Hyperlink 22" xfId="1720" xr:uid="{00000000-0005-0000-0000-00001E440000}"/>
    <cellStyle name="Hyperlink 22 2" xfId="1721" xr:uid="{00000000-0005-0000-0000-00001F440000}"/>
    <cellStyle name="Hyperlink 22 3" xfId="1722" xr:uid="{00000000-0005-0000-0000-000020440000}"/>
    <cellStyle name="Hyperlink 22_BallGrid" xfId="1723" xr:uid="{00000000-0005-0000-0000-000021440000}"/>
    <cellStyle name="Hyperlink 23" xfId="1724" xr:uid="{00000000-0005-0000-0000-000022440000}"/>
    <cellStyle name="Hyperlink 23 2" xfId="1725" xr:uid="{00000000-0005-0000-0000-000023440000}"/>
    <cellStyle name="Hyperlink 23 3" xfId="1726" xr:uid="{00000000-0005-0000-0000-000024440000}"/>
    <cellStyle name="Hyperlink 23_BallGrid" xfId="1727" xr:uid="{00000000-0005-0000-0000-000025440000}"/>
    <cellStyle name="Hyperlink 24" xfId="1728" xr:uid="{00000000-0005-0000-0000-000026440000}"/>
    <cellStyle name="Hyperlink 24 2" xfId="1729" xr:uid="{00000000-0005-0000-0000-000027440000}"/>
    <cellStyle name="Hyperlink 24 3" xfId="1730" xr:uid="{00000000-0005-0000-0000-000028440000}"/>
    <cellStyle name="Hyperlink 24_BallGrid" xfId="1731" xr:uid="{00000000-0005-0000-0000-000029440000}"/>
    <cellStyle name="Hyperlink 25" xfId="1732" xr:uid="{00000000-0005-0000-0000-00002A440000}"/>
    <cellStyle name="Hyperlink 25 2" xfId="1733" xr:uid="{00000000-0005-0000-0000-00002B440000}"/>
    <cellStyle name="Hyperlink 25 3" xfId="1734" xr:uid="{00000000-0005-0000-0000-00002C440000}"/>
    <cellStyle name="Hyperlink 25_BallGrid" xfId="1735" xr:uid="{00000000-0005-0000-0000-00002D440000}"/>
    <cellStyle name="Hyperlink 26" xfId="1736" xr:uid="{00000000-0005-0000-0000-00002E440000}"/>
    <cellStyle name="Hyperlink 26 2" xfId="1737" xr:uid="{00000000-0005-0000-0000-00002F440000}"/>
    <cellStyle name="Hyperlink 26 3" xfId="1738" xr:uid="{00000000-0005-0000-0000-000030440000}"/>
    <cellStyle name="Hyperlink 26_BallGrid" xfId="1739" xr:uid="{00000000-0005-0000-0000-000031440000}"/>
    <cellStyle name="Hyperlink 27" xfId="1740" xr:uid="{00000000-0005-0000-0000-000032440000}"/>
    <cellStyle name="Hyperlink 27 2" xfId="1741" xr:uid="{00000000-0005-0000-0000-000033440000}"/>
    <cellStyle name="Hyperlink 27 3" xfId="1742" xr:uid="{00000000-0005-0000-0000-000034440000}"/>
    <cellStyle name="Hyperlink 27_BallGrid" xfId="1743" xr:uid="{00000000-0005-0000-0000-000035440000}"/>
    <cellStyle name="Hyperlink 28" xfId="1744" xr:uid="{00000000-0005-0000-0000-000036440000}"/>
    <cellStyle name="Hyperlink 28 2" xfId="1745" xr:uid="{00000000-0005-0000-0000-000037440000}"/>
    <cellStyle name="Hyperlink 28 3" xfId="1746" xr:uid="{00000000-0005-0000-0000-000038440000}"/>
    <cellStyle name="Hyperlink 28_BallGrid" xfId="1747" xr:uid="{00000000-0005-0000-0000-000039440000}"/>
    <cellStyle name="Hyperlink 29" xfId="52975" xr:uid="{00000000-0005-0000-0000-00003A440000}"/>
    <cellStyle name="Hyperlink 3" xfId="105" xr:uid="{00000000-0005-0000-0000-00003B440000}"/>
    <cellStyle name="Hyperlink 3 2" xfId="1749" xr:uid="{00000000-0005-0000-0000-00003C440000}"/>
    <cellStyle name="Hyperlink 3 2 2" xfId="22905" xr:uid="{00000000-0005-0000-0000-00003D440000}"/>
    <cellStyle name="Hyperlink 3 2 3" xfId="22704" xr:uid="{00000000-0005-0000-0000-00003E440000}"/>
    <cellStyle name="Hyperlink 3 3" xfId="1750" xr:uid="{00000000-0005-0000-0000-00003F440000}"/>
    <cellStyle name="Hyperlink 3 4" xfId="22426" xr:uid="{00000000-0005-0000-0000-000040440000}"/>
    <cellStyle name="Hyperlink 3 5" xfId="1748" xr:uid="{00000000-0005-0000-0000-000041440000}"/>
    <cellStyle name="Hyperlink 3_BallGrid" xfId="1751" xr:uid="{00000000-0005-0000-0000-000042440000}"/>
    <cellStyle name="Hyperlink 30" xfId="52976" xr:uid="{00000000-0005-0000-0000-000043440000}"/>
    <cellStyle name="Hyperlink 4" xfId="1752" xr:uid="{00000000-0005-0000-0000-000044440000}"/>
    <cellStyle name="Hyperlink 4 2" xfId="1753" xr:uid="{00000000-0005-0000-0000-000045440000}"/>
    <cellStyle name="Hyperlink 4 3" xfId="1754" xr:uid="{00000000-0005-0000-0000-000046440000}"/>
    <cellStyle name="Hyperlink 4_BallGrid" xfId="1755" xr:uid="{00000000-0005-0000-0000-000047440000}"/>
    <cellStyle name="Hyperlink 5" xfId="1756" xr:uid="{00000000-0005-0000-0000-000048440000}"/>
    <cellStyle name="Hyperlink 5 2" xfId="1757" xr:uid="{00000000-0005-0000-0000-000049440000}"/>
    <cellStyle name="Hyperlink 5 3" xfId="1758" xr:uid="{00000000-0005-0000-0000-00004A440000}"/>
    <cellStyle name="Hyperlink 5_BallGrid" xfId="1759" xr:uid="{00000000-0005-0000-0000-00004B440000}"/>
    <cellStyle name="Hyperlink 6" xfId="1760" xr:uid="{00000000-0005-0000-0000-00004C440000}"/>
    <cellStyle name="Hyperlink 6 2" xfId="1761" xr:uid="{00000000-0005-0000-0000-00004D440000}"/>
    <cellStyle name="Hyperlink 6 3" xfId="1762" xr:uid="{00000000-0005-0000-0000-00004E440000}"/>
    <cellStyle name="Hyperlink 6_BallGrid" xfId="1763" xr:uid="{00000000-0005-0000-0000-00004F440000}"/>
    <cellStyle name="Hyperlink 7" xfId="1764" xr:uid="{00000000-0005-0000-0000-000050440000}"/>
    <cellStyle name="Hyperlink 7 2" xfId="1765" xr:uid="{00000000-0005-0000-0000-000051440000}"/>
    <cellStyle name="Hyperlink 7 3" xfId="1766" xr:uid="{00000000-0005-0000-0000-000052440000}"/>
    <cellStyle name="Hyperlink 7_BallGrid" xfId="1767" xr:uid="{00000000-0005-0000-0000-000053440000}"/>
    <cellStyle name="Hyperlink 8" xfId="1768" xr:uid="{00000000-0005-0000-0000-000054440000}"/>
    <cellStyle name="Hyperlink 8 2" xfId="1769" xr:uid="{00000000-0005-0000-0000-000055440000}"/>
    <cellStyle name="Hyperlink 8 3" xfId="1770" xr:uid="{00000000-0005-0000-0000-000056440000}"/>
    <cellStyle name="Hyperlink 8_BallGrid" xfId="1771" xr:uid="{00000000-0005-0000-0000-000057440000}"/>
    <cellStyle name="Hyperlink 9" xfId="1772" xr:uid="{00000000-0005-0000-0000-000058440000}"/>
    <cellStyle name="Hyperlink 9 2" xfId="1773" xr:uid="{00000000-0005-0000-0000-000059440000}"/>
    <cellStyle name="Hyperlink 9 3" xfId="1774" xr:uid="{00000000-0005-0000-0000-00005A440000}"/>
    <cellStyle name="Hyperlink 9_BallGrid" xfId="1775" xr:uid="{00000000-0005-0000-0000-00005B440000}"/>
    <cellStyle name="Input" xfId="3" builtinId="20" customBuiltin="1"/>
    <cellStyle name="Input [yellow]" xfId="1776" xr:uid="{00000000-0005-0000-0000-00005D440000}"/>
    <cellStyle name="Input [yellow] 10" xfId="7776" xr:uid="{00000000-0005-0000-0000-00005E440000}"/>
    <cellStyle name="Input [yellow] 10 2" xfId="15573" xr:uid="{00000000-0005-0000-0000-00005F440000}"/>
    <cellStyle name="Input [yellow] 10 2 2" xfId="43252" xr:uid="{00000000-0005-0000-0000-000060440000}"/>
    <cellStyle name="Input [yellow] 10 2 3" xfId="39423" xr:uid="{00000000-0005-0000-0000-000061440000}"/>
    <cellStyle name="Input [yellow] 10 2 4" xfId="33208" xr:uid="{00000000-0005-0000-0000-000062440000}"/>
    <cellStyle name="Input [yellow] 10 3" xfId="19483" xr:uid="{00000000-0005-0000-0000-000063440000}"/>
    <cellStyle name="Input [yellow] 10 3 2" xfId="45020" xr:uid="{00000000-0005-0000-0000-000064440000}"/>
    <cellStyle name="Input [yellow] 10 3 3" xfId="48926" xr:uid="{00000000-0005-0000-0000-000065440000}"/>
    <cellStyle name="Input [yellow] 10 3 4" xfId="37039" xr:uid="{00000000-0005-0000-0000-000066440000}"/>
    <cellStyle name="Input [yellow] 10 4" xfId="20270" xr:uid="{00000000-0005-0000-0000-000067440000}"/>
    <cellStyle name="Input [yellow] 10 4 2" xfId="45807" xr:uid="{00000000-0005-0000-0000-000068440000}"/>
    <cellStyle name="Input [yellow] 10 4 3" xfId="49713" xr:uid="{00000000-0005-0000-0000-000069440000}"/>
    <cellStyle name="Input [yellow] 10 4 4" xfId="37740" xr:uid="{00000000-0005-0000-0000-00006A440000}"/>
    <cellStyle name="Input [yellow] 10 5" xfId="11590" xr:uid="{00000000-0005-0000-0000-00006B440000}"/>
    <cellStyle name="Input [yellow] 10 5 2" xfId="41601" xr:uid="{00000000-0005-0000-0000-00006C440000}"/>
    <cellStyle name="Input [yellow] 10 5 3" xfId="39168" xr:uid="{00000000-0005-0000-0000-00006D440000}"/>
    <cellStyle name="Input [yellow] 10 5 4" xfId="29298" xr:uid="{00000000-0005-0000-0000-00006E440000}"/>
    <cellStyle name="Input [yellow] 10 6" xfId="19632" xr:uid="{00000000-0005-0000-0000-00006F440000}"/>
    <cellStyle name="Input [yellow] 10 6 2" xfId="45169" xr:uid="{00000000-0005-0000-0000-000070440000}"/>
    <cellStyle name="Input [yellow] 10 6 3" xfId="49075" xr:uid="{00000000-0005-0000-0000-000071440000}"/>
    <cellStyle name="Input [yellow] 10 7" xfId="40111" xr:uid="{00000000-0005-0000-0000-000072440000}"/>
    <cellStyle name="Input [yellow] 10 8" xfId="39613" xr:uid="{00000000-0005-0000-0000-000073440000}"/>
    <cellStyle name="Input [yellow] 11" xfId="52977" xr:uid="{00000000-0005-0000-0000-000074440000}"/>
    <cellStyle name="Input [yellow] 2" xfId="1777" xr:uid="{00000000-0005-0000-0000-000075440000}"/>
    <cellStyle name="Input [yellow] 2 2" xfId="1778" xr:uid="{00000000-0005-0000-0000-000076440000}"/>
    <cellStyle name="Input [yellow] 2 2 2" xfId="6992" xr:uid="{00000000-0005-0000-0000-000077440000}"/>
    <cellStyle name="Input [yellow] 2 2 2 10" xfId="39756" xr:uid="{00000000-0005-0000-0000-000078440000}"/>
    <cellStyle name="Input [yellow] 2 2 2 11" xfId="42202" xr:uid="{00000000-0005-0000-0000-000079440000}"/>
    <cellStyle name="Input [yellow] 2 2 2 2" xfId="10522" xr:uid="{00000000-0005-0000-0000-00007A440000}"/>
    <cellStyle name="Input [yellow] 2 2 2 2 2" xfId="18315" xr:uid="{00000000-0005-0000-0000-00007B440000}"/>
    <cellStyle name="Input [yellow] 2 2 2 2 2 2" xfId="43862" xr:uid="{00000000-0005-0000-0000-00007C440000}"/>
    <cellStyle name="Input [yellow] 2 2 2 2 2 3" xfId="47771" xr:uid="{00000000-0005-0000-0000-00007D440000}"/>
    <cellStyle name="Input [yellow] 2 2 2 2 2 4" xfId="35952" xr:uid="{00000000-0005-0000-0000-00007E440000}"/>
    <cellStyle name="Input [yellow] 2 2 2 2 3" xfId="19434" xr:uid="{00000000-0005-0000-0000-00007F440000}"/>
    <cellStyle name="Input [yellow] 2 2 2 2 3 2" xfId="44971" xr:uid="{00000000-0005-0000-0000-000080440000}"/>
    <cellStyle name="Input [yellow] 2 2 2 2 3 3" xfId="48877" xr:uid="{00000000-0005-0000-0000-000081440000}"/>
    <cellStyle name="Input [yellow] 2 2 2 2 3 4" xfId="36999" xr:uid="{00000000-0005-0000-0000-000082440000}"/>
    <cellStyle name="Input [yellow] 2 2 2 2 4" xfId="19571" xr:uid="{00000000-0005-0000-0000-000083440000}"/>
    <cellStyle name="Input [yellow] 2 2 2 2 4 2" xfId="45108" xr:uid="{00000000-0005-0000-0000-000084440000}"/>
    <cellStyle name="Input [yellow] 2 2 2 2 4 3" xfId="49014" xr:uid="{00000000-0005-0000-0000-000085440000}"/>
    <cellStyle name="Input [yellow] 2 2 2 2 4 4" xfId="37112" xr:uid="{00000000-0005-0000-0000-000086440000}"/>
    <cellStyle name="Input [yellow] 2 2 2 2 5" xfId="20728" xr:uid="{00000000-0005-0000-0000-000087440000}"/>
    <cellStyle name="Input [yellow] 2 2 2 2 5 2" xfId="46265" xr:uid="{00000000-0005-0000-0000-000088440000}"/>
    <cellStyle name="Input [yellow] 2 2 2 2 5 3" xfId="50171" xr:uid="{00000000-0005-0000-0000-000089440000}"/>
    <cellStyle name="Input [yellow] 2 2 2 2 5 4" xfId="38134" xr:uid="{00000000-0005-0000-0000-00008A440000}"/>
    <cellStyle name="Input [yellow] 2 2 2 2 6" xfId="21381" xr:uid="{00000000-0005-0000-0000-00008B440000}"/>
    <cellStyle name="Input [yellow] 2 2 2 2 6 2" xfId="46918" xr:uid="{00000000-0005-0000-0000-00008C440000}"/>
    <cellStyle name="Input [yellow] 2 2 2 2 6 3" xfId="50824" xr:uid="{00000000-0005-0000-0000-00008D440000}"/>
    <cellStyle name="Input [yellow] 2 2 2 2 7" xfId="40721" xr:uid="{00000000-0005-0000-0000-00008E440000}"/>
    <cellStyle name="Input [yellow] 2 2 2 2 8" xfId="43246" xr:uid="{00000000-0005-0000-0000-00008F440000}"/>
    <cellStyle name="Input [yellow] 2 2 2 3" xfId="10817" xr:uid="{00000000-0005-0000-0000-000090440000}"/>
    <cellStyle name="Input [yellow] 2 2 2 3 2" xfId="18610" xr:uid="{00000000-0005-0000-0000-000091440000}"/>
    <cellStyle name="Input [yellow] 2 2 2 3 2 2" xfId="44157" xr:uid="{00000000-0005-0000-0000-000092440000}"/>
    <cellStyle name="Input [yellow] 2 2 2 3 2 3" xfId="48066" xr:uid="{00000000-0005-0000-0000-000093440000}"/>
    <cellStyle name="Input [yellow] 2 2 2 3 2 4" xfId="36247" xr:uid="{00000000-0005-0000-0000-000094440000}"/>
    <cellStyle name="Input [yellow] 2 2 2 3 3" xfId="19109" xr:uid="{00000000-0005-0000-0000-000095440000}"/>
    <cellStyle name="Input [yellow] 2 2 2 3 3 2" xfId="44646" xr:uid="{00000000-0005-0000-0000-000096440000}"/>
    <cellStyle name="Input [yellow] 2 2 2 3 3 3" xfId="48552" xr:uid="{00000000-0005-0000-0000-000097440000}"/>
    <cellStyle name="Input [yellow] 2 2 2 3 3 4" xfId="36704" xr:uid="{00000000-0005-0000-0000-000098440000}"/>
    <cellStyle name="Input [yellow] 2 2 2 3 4" xfId="11671" xr:uid="{00000000-0005-0000-0000-000099440000}"/>
    <cellStyle name="Input [yellow] 2 2 2 3 4 2" xfId="41682" xr:uid="{00000000-0005-0000-0000-00009A440000}"/>
    <cellStyle name="Input [yellow] 2 2 2 3 4 3" xfId="39672" xr:uid="{00000000-0005-0000-0000-00009B440000}"/>
    <cellStyle name="Input [yellow] 2 2 2 3 4 4" xfId="29367" xr:uid="{00000000-0005-0000-0000-00009C440000}"/>
    <cellStyle name="Input [yellow] 2 2 2 3 5" xfId="21023" xr:uid="{00000000-0005-0000-0000-00009D440000}"/>
    <cellStyle name="Input [yellow] 2 2 2 3 5 2" xfId="46560" xr:uid="{00000000-0005-0000-0000-00009E440000}"/>
    <cellStyle name="Input [yellow] 2 2 2 3 5 3" xfId="50466" xr:uid="{00000000-0005-0000-0000-00009F440000}"/>
    <cellStyle name="Input [yellow] 2 2 2 3 5 4" xfId="38429" xr:uid="{00000000-0005-0000-0000-0000A0440000}"/>
    <cellStyle name="Input [yellow] 2 2 2 3 6" xfId="21676" xr:uid="{00000000-0005-0000-0000-0000A1440000}"/>
    <cellStyle name="Input [yellow] 2 2 2 3 6 2" xfId="47213" xr:uid="{00000000-0005-0000-0000-0000A2440000}"/>
    <cellStyle name="Input [yellow] 2 2 2 3 6 3" xfId="51119" xr:uid="{00000000-0005-0000-0000-0000A3440000}"/>
    <cellStyle name="Input [yellow] 2 2 2 3 7" xfId="41016" xr:uid="{00000000-0005-0000-0000-0000A4440000}"/>
    <cellStyle name="Input [yellow] 2 2 2 3 8" xfId="39700" xr:uid="{00000000-0005-0000-0000-0000A5440000}"/>
    <cellStyle name="Input [yellow] 2 2 2 4" xfId="10167" xr:uid="{00000000-0005-0000-0000-0000A6440000}"/>
    <cellStyle name="Input [yellow] 2 2 2 4 2" xfId="17960" xr:uid="{00000000-0005-0000-0000-0000A7440000}"/>
    <cellStyle name="Input [yellow] 2 2 2 4 2 2" xfId="43750" xr:uid="{00000000-0005-0000-0000-0000A8440000}"/>
    <cellStyle name="Input [yellow] 2 2 2 4 2 3" xfId="47673" xr:uid="{00000000-0005-0000-0000-0000A9440000}"/>
    <cellStyle name="Input [yellow] 2 2 2 4 2 4" xfId="35597" xr:uid="{00000000-0005-0000-0000-0000AA440000}"/>
    <cellStyle name="Input [yellow] 2 2 2 4 3" xfId="20055" xr:uid="{00000000-0005-0000-0000-0000AB440000}"/>
    <cellStyle name="Input [yellow] 2 2 2 4 3 2" xfId="45592" xr:uid="{00000000-0005-0000-0000-0000AC440000}"/>
    <cellStyle name="Input [yellow] 2 2 2 4 3 3" xfId="49498" xr:uid="{00000000-0005-0000-0000-0000AD440000}"/>
    <cellStyle name="Input [yellow] 2 2 2 4 3 4" xfId="37551" xr:uid="{00000000-0005-0000-0000-0000AE440000}"/>
    <cellStyle name="Input [yellow] 2 2 2 4 4" xfId="20066" xr:uid="{00000000-0005-0000-0000-0000AF440000}"/>
    <cellStyle name="Input [yellow] 2 2 2 4 4 2" xfId="45603" xr:uid="{00000000-0005-0000-0000-0000B0440000}"/>
    <cellStyle name="Input [yellow] 2 2 2 4 4 3" xfId="49509" xr:uid="{00000000-0005-0000-0000-0000B1440000}"/>
    <cellStyle name="Input [yellow] 2 2 2 4 4 4" xfId="37560" xr:uid="{00000000-0005-0000-0000-0000B2440000}"/>
    <cellStyle name="Input [yellow] 2 2 2 4 5" xfId="20630" xr:uid="{00000000-0005-0000-0000-0000B3440000}"/>
    <cellStyle name="Input [yellow] 2 2 2 4 5 2" xfId="46167" xr:uid="{00000000-0005-0000-0000-0000B4440000}"/>
    <cellStyle name="Input [yellow] 2 2 2 4 5 3" xfId="50073" xr:uid="{00000000-0005-0000-0000-0000B5440000}"/>
    <cellStyle name="Input [yellow] 2 2 2 4 5 4" xfId="38036" xr:uid="{00000000-0005-0000-0000-0000B6440000}"/>
    <cellStyle name="Input [yellow] 2 2 2 4 6" xfId="21283" xr:uid="{00000000-0005-0000-0000-0000B7440000}"/>
    <cellStyle name="Input [yellow] 2 2 2 4 6 2" xfId="46820" xr:uid="{00000000-0005-0000-0000-0000B8440000}"/>
    <cellStyle name="Input [yellow] 2 2 2 4 6 3" xfId="50726" xr:uid="{00000000-0005-0000-0000-0000B9440000}"/>
    <cellStyle name="Input [yellow] 2 2 2 4 7" xfId="40609" xr:uid="{00000000-0005-0000-0000-0000BA440000}"/>
    <cellStyle name="Input [yellow] 2 2 2 4 8" xfId="42755" xr:uid="{00000000-0005-0000-0000-0000BB440000}"/>
    <cellStyle name="Input [yellow] 2 2 2 5" xfId="14780" xr:uid="{00000000-0005-0000-0000-0000BC440000}"/>
    <cellStyle name="Input [yellow] 2 2 2 5 2" xfId="42896" xr:uid="{00000000-0005-0000-0000-0000BD440000}"/>
    <cellStyle name="Input [yellow] 2 2 2 5 3" xfId="41293" xr:uid="{00000000-0005-0000-0000-0000BE440000}"/>
    <cellStyle name="Input [yellow] 2 2 2 5 4" xfId="32415" xr:uid="{00000000-0005-0000-0000-0000BF440000}"/>
    <cellStyle name="Input [yellow] 2 2 2 6" xfId="13067" xr:uid="{00000000-0005-0000-0000-0000C0440000}"/>
    <cellStyle name="Input [yellow] 2 2 2 6 2" xfId="42288" xr:uid="{00000000-0005-0000-0000-0000C1440000}"/>
    <cellStyle name="Input [yellow] 2 2 2 6 3" xfId="40545" xr:uid="{00000000-0005-0000-0000-0000C2440000}"/>
    <cellStyle name="Input [yellow] 2 2 2 6 4" xfId="30716" xr:uid="{00000000-0005-0000-0000-0000C3440000}"/>
    <cellStyle name="Input [yellow] 2 2 2 7" xfId="19217" xr:uid="{00000000-0005-0000-0000-0000C4440000}"/>
    <cellStyle name="Input [yellow] 2 2 2 7 2" xfId="44754" xr:uid="{00000000-0005-0000-0000-0000C5440000}"/>
    <cellStyle name="Input [yellow] 2 2 2 7 3" xfId="48660" xr:uid="{00000000-0005-0000-0000-0000C6440000}"/>
    <cellStyle name="Input [yellow] 2 2 2 7 4" xfId="36802" xr:uid="{00000000-0005-0000-0000-0000C7440000}"/>
    <cellStyle name="Input [yellow] 2 2 2 8" xfId="19369" xr:uid="{00000000-0005-0000-0000-0000C8440000}"/>
    <cellStyle name="Input [yellow] 2 2 2 8 2" xfId="44906" xr:uid="{00000000-0005-0000-0000-0000C9440000}"/>
    <cellStyle name="Input [yellow] 2 2 2 8 3" xfId="48812" xr:uid="{00000000-0005-0000-0000-0000CA440000}"/>
    <cellStyle name="Input [yellow] 2 2 2 8 4" xfId="36937" xr:uid="{00000000-0005-0000-0000-0000CB440000}"/>
    <cellStyle name="Input [yellow] 2 2 2 9" xfId="20262" xr:uid="{00000000-0005-0000-0000-0000CC440000}"/>
    <cellStyle name="Input [yellow] 2 2 2 9 2" xfId="45799" xr:uid="{00000000-0005-0000-0000-0000CD440000}"/>
    <cellStyle name="Input [yellow] 2 2 2 9 3" xfId="49705" xr:uid="{00000000-0005-0000-0000-0000CE440000}"/>
    <cellStyle name="Input [yellow] 2 2 2 9 4" xfId="37732" xr:uid="{00000000-0005-0000-0000-0000CF440000}"/>
    <cellStyle name="Input [yellow] 2 2 3" xfId="10441" xr:uid="{00000000-0005-0000-0000-0000D0440000}"/>
    <cellStyle name="Input [yellow] 2 2 3 2" xfId="18234" xr:uid="{00000000-0005-0000-0000-0000D1440000}"/>
    <cellStyle name="Input [yellow] 2 2 3 2 2" xfId="43781" xr:uid="{00000000-0005-0000-0000-0000D2440000}"/>
    <cellStyle name="Input [yellow] 2 2 3 2 3" xfId="47690" xr:uid="{00000000-0005-0000-0000-0000D3440000}"/>
    <cellStyle name="Input [yellow] 2 2 3 2 4" xfId="35871" xr:uid="{00000000-0005-0000-0000-0000D4440000}"/>
    <cellStyle name="Input [yellow] 2 2 3 3" xfId="19922" xr:uid="{00000000-0005-0000-0000-0000D5440000}"/>
    <cellStyle name="Input [yellow] 2 2 3 3 2" xfId="45459" xr:uid="{00000000-0005-0000-0000-0000D6440000}"/>
    <cellStyle name="Input [yellow] 2 2 3 3 3" xfId="49365" xr:uid="{00000000-0005-0000-0000-0000D7440000}"/>
    <cellStyle name="Input [yellow] 2 2 3 3 4" xfId="37436" xr:uid="{00000000-0005-0000-0000-0000D8440000}"/>
    <cellStyle name="Input [yellow] 2 2 3 4" xfId="19344" xr:uid="{00000000-0005-0000-0000-0000D9440000}"/>
    <cellStyle name="Input [yellow] 2 2 3 4 2" xfId="44881" xr:uid="{00000000-0005-0000-0000-0000DA440000}"/>
    <cellStyle name="Input [yellow] 2 2 3 4 3" xfId="48787" xr:uid="{00000000-0005-0000-0000-0000DB440000}"/>
    <cellStyle name="Input [yellow] 2 2 3 4 4" xfId="36916" xr:uid="{00000000-0005-0000-0000-0000DC440000}"/>
    <cellStyle name="Input [yellow] 2 2 3 5" xfId="20647" xr:uid="{00000000-0005-0000-0000-0000DD440000}"/>
    <cellStyle name="Input [yellow] 2 2 3 5 2" xfId="46184" xr:uid="{00000000-0005-0000-0000-0000DE440000}"/>
    <cellStyle name="Input [yellow] 2 2 3 5 3" xfId="50090" xr:uid="{00000000-0005-0000-0000-0000DF440000}"/>
    <cellStyle name="Input [yellow] 2 2 3 5 4" xfId="38053" xr:uid="{00000000-0005-0000-0000-0000E0440000}"/>
    <cellStyle name="Input [yellow] 2 2 3 6" xfId="21300" xr:uid="{00000000-0005-0000-0000-0000E1440000}"/>
    <cellStyle name="Input [yellow] 2 2 3 6 2" xfId="46837" xr:uid="{00000000-0005-0000-0000-0000E2440000}"/>
    <cellStyle name="Input [yellow] 2 2 3 6 3" xfId="50743" xr:uid="{00000000-0005-0000-0000-0000E3440000}"/>
    <cellStyle name="Input [yellow] 2 2 3 7" xfId="40640" xr:uid="{00000000-0005-0000-0000-0000E4440000}"/>
    <cellStyle name="Input [yellow] 2 2 3 8" xfId="40109" xr:uid="{00000000-0005-0000-0000-0000E5440000}"/>
    <cellStyle name="Input [yellow] 2 2 4" xfId="7778" xr:uid="{00000000-0005-0000-0000-0000E6440000}"/>
    <cellStyle name="Input [yellow] 2 2 4 2" xfId="15575" xr:uid="{00000000-0005-0000-0000-0000E7440000}"/>
    <cellStyle name="Input [yellow] 2 2 4 2 2" xfId="43254" xr:uid="{00000000-0005-0000-0000-0000E8440000}"/>
    <cellStyle name="Input [yellow] 2 2 4 2 3" xfId="43288" xr:uid="{00000000-0005-0000-0000-0000E9440000}"/>
    <cellStyle name="Input [yellow] 2 2 4 2 4" xfId="33210" xr:uid="{00000000-0005-0000-0000-0000EA440000}"/>
    <cellStyle name="Input [yellow] 2 2 4 3" xfId="19346" xr:uid="{00000000-0005-0000-0000-0000EB440000}"/>
    <cellStyle name="Input [yellow] 2 2 4 3 2" xfId="44883" xr:uid="{00000000-0005-0000-0000-0000EC440000}"/>
    <cellStyle name="Input [yellow] 2 2 4 3 3" xfId="48789" xr:uid="{00000000-0005-0000-0000-0000ED440000}"/>
    <cellStyle name="Input [yellow] 2 2 4 3 4" xfId="36918" xr:uid="{00000000-0005-0000-0000-0000EE440000}"/>
    <cellStyle name="Input [yellow] 2 2 4 4" xfId="12661" xr:uid="{00000000-0005-0000-0000-0000EF440000}"/>
    <cellStyle name="Input [yellow] 2 2 4 4 2" xfId="42140" xr:uid="{00000000-0005-0000-0000-0000F0440000}"/>
    <cellStyle name="Input [yellow] 2 2 4 4 3" xfId="43333" xr:uid="{00000000-0005-0000-0000-0000F1440000}"/>
    <cellStyle name="Input [yellow] 2 2 4 4 4" xfId="30325" xr:uid="{00000000-0005-0000-0000-0000F2440000}"/>
    <cellStyle name="Input [yellow] 2 2 4 5" xfId="11648" xr:uid="{00000000-0005-0000-0000-0000F3440000}"/>
    <cellStyle name="Input [yellow] 2 2 4 5 2" xfId="41659" xr:uid="{00000000-0005-0000-0000-0000F4440000}"/>
    <cellStyle name="Input [yellow] 2 2 4 5 3" xfId="43704" xr:uid="{00000000-0005-0000-0000-0000F5440000}"/>
    <cellStyle name="Input [yellow] 2 2 4 5 4" xfId="29347" xr:uid="{00000000-0005-0000-0000-0000F6440000}"/>
    <cellStyle name="Input [yellow] 2 2 4 6" xfId="19050" xr:uid="{00000000-0005-0000-0000-0000F7440000}"/>
    <cellStyle name="Input [yellow] 2 2 4 6 2" xfId="44587" xr:uid="{00000000-0005-0000-0000-0000F8440000}"/>
    <cellStyle name="Input [yellow] 2 2 4 6 3" xfId="48493" xr:uid="{00000000-0005-0000-0000-0000F9440000}"/>
    <cellStyle name="Input [yellow] 2 2 4 7" xfId="40113" xr:uid="{00000000-0005-0000-0000-0000FA440000}"/>
    <cellStyle name="Input [yellow] 2 2 4 8" xfId="42621" xr:uid="{00000000-0005-0000-0000-0000FB440000}"/>
    <cellStyle name="Input [yellow] 2 2 5" xfId="52979" xr:uid="{00000000-0005-0000-0000-0000FC440000}"/>
    <cellStyle name="Input [yellow] 2 3" xfId="1779" xr:uid="{00000000-0005-0000-0000-0000FD440000}"/>
    <cellStyle name="Input [yellow] 2 3 2" xfId="6993" xr:uid="{00000000-0005-0000-0000-0000FE440000}"/>
    <cellStyle name="Input [yellow] 2 3 2 10" xfId="39757" xr:uid="{00000000-0005-0000-0000-0000FF440000}"/>
    <cellStyle name="Input [yellow] 2 3 2 11" xfId="43429" xr:uid="{00000000-0005-0000-0000-000000450000}"/>
    <cellStyle name="Input [yellow] 2 3 2 2" xfId="10523" xr:uid="{00000000-0005-0000-0000-000001450000}"/>
    <cellStyle name="Input [yellow] 2 3 2 2 2" xfId="18316" xr:uid="{00000000-0005-0000-0000-000002450000}"/>
    <cellStyle name="Input [yellow] 2 3 2 2 2 2" xfId="43863" xr:uid="{00000000-0005-0000-0000-000003450000}"/>
    <cellStyle name="Input [yellow] 2 3 2 2 2 3" xfId="47772" xr:uid="{00000000-0005-0000-0000-000004450000}"/>
    <cellStyle name="Input [yellow] 2 3 2 2 2 4" xfId="35953" xr:uid="{00000000-0005-0000-0000-000005450000}"/>
    <cellStyle name="Input [yellow] 2 3 2 2 3" xfId="20041" xr:uid="{00000000-0005-0000-0000-000006450000}"/>
    <cellStyle name="Input [yellow] 2 3 2 2 3 2" xfId="45578" xr:uid="{00000000-0005-0000-0000-000007450000}"/>
    <cellStyle name="Input [yellow] 2 3 2 2 3 3" xfId="49484" xr:uid="{00000000-0005-0000-0000-000008450000}"/>
    <cellStyle name="Input [yellow] 2 3 2 2 3 4" xfId="37539" xr:uid="{00000000-0005-0000-0000-000009450000}"/>
    <cellStyle name="Input [yellow] 2 3 2 2 4" xfId="12898" xr:uid="{00000000-0005-0000-0000-00000A450000}"/>
    <cellStyle name="Input [yellow] 2 3 2 2 4 2" xfId="42253" xr:uid="{00000000-0005-0000-0000-00000B450000}"/>
    <cellStyle name="Input [yellow] 2 3 2 2 4 3" xfId="43582" xr:uid="{00000000-0005-0000-0000-00000C450000}"/>
    <cellStyle name="Input [yellow] 2 3 2 2 4 4" xfId="30548" xr:uid="{00000000-0005-0000-0000-00000D450000}"/>
    <cellStyle name="Input [yellow] 2 3 2 2 5" xfId="20729" xr:uid="{00000000-0005-0000-0000-00000E450000}"/>
    <cellStyle name="Input [yellow] 2 3 2 2 5 2" xfId="46266" xr:uid="{00000000-0005-0000-0000-00000F450000}"/>
    <cellStyle name="Input [yellow] 2 3 2 2 5 3" xfId="50172" xr:uid="{00000000-0005-0000-0000-000010450000}"/>
    <cellStyle name="Input [yellow] 2 3 2 2 5 4" xfId="38135" xr:uid="{00000000-0005-0000-0000-000011450000}"/>
    <cellStyle name="Input [yellow] 2 3 2 2 6" xfId="21382" xr:uid="{00000000-0005-0000-0000-000012450000}"/>
    <cellStyle name="Input [yellow] 2 3 2 2 6 2" xfId="46919" xr:uid="{00000000-0005-0000-0000-000013450000}"/>
    <cellStyle name="Input [yellow] 2 3 2 2 6 3" xfId="50825" xr:uid="{00000000-0005-0000-0000-000014450000}"/>
    <cellStyle name="Input [yellow] 2 3 2 2 7" xfId="40722" xr:uid="{00000000-0005-0000-0000-000015450000}"/>
    <cellStyle name="Input [yellow] 2 3 2 2 8" xfId="40105" xr:uid="{00000000-0005-0000-0000-000016450000}"/>
    <cellStyle name="Input [yellow] 2 3 2 3" xfId="10818" xr:uid="{00000000-0005-0000-0000-000017450000}"/>
    <cellStyle name="Input [yellow] 2 3 2 3 2" xfId="18611" xr:uid="{00000000-0005-0000-0000-000018450000}"/>
    <cellStyle name="Input [yellow] 2 3 2 3 2 2" xfId="44158" xr:uid="{00000000-0005-0000-0000-000019450000}"/>
    <cellStyle name="Input [yellow] 2 3 2 3 2 3" xfId="48067" xr:uid="{00000000-0005-0000-0000-00001A450000}"/>
    <cellStyle name="Input [yellow] 2 3 2 3 2 4" xfId="36248" xr:uid="{00000000-0005-0000-0000-00001B450000}"/>
    <cellStyle name="Input [yellow] 2 3 2 3 3" xfId="19723" xr:uid="{00000000-0005-0000-0000-00001C450000}"/>
    <cellStyle name="Input [yellow] 2 3 2 3 3 2" xfId="45260" xr:uid="{00000000-0005-0000-0000-00001D450000}"/>
    <cellStyle name="Input [yellow] 2 3 2 3 3 3" xfId="49166" xr:uid="{00000000-0005-0000-0000-00001E450000}"/>
    <cellStyle name="Input [yellow] 2 3 2 3 3 4" xfId="37250" xr:uid="{00000000-0005-0000-0000-00001F450000}"/>
    <cellStyle name="Input [yellow] 2 3 2 3 4" xfId="19252" xr:uid="{00000000-0005-0000-0000-000020450000}"/>
    <cellStyle name="Input [yellow] 2 3 2 3 4 2" xfId="44789" xr:uid="{00000000-0005-0000-0000-000021450000}"/>
    <cellStyle name="Input [yellow] 2 3 2 3 4 3" xfId="48695" xr:uid="{00000000-0005-0000-0000-000022450000}"/>
    <cellStyle name="Input [yellow] 2 3 2 3 4 4" xfId="36830" xr:uid="{00000000-0005-0000-0000-000023450000}"/>
    <cellStyle name="Input [yellow] 2 3 2 3 5" xfId="21024" xr:uid="{00000000-0005-0000-0000-000024450000}"/>
    <cellStyle name="Input [yellow] 2 3 2 3 5 2" xfId="46561" xr:uid="{00000000-0005-0000-0000-000025450000}"/>
    <cellStyle name="Input [yellow] 2 3 2 3 5 3" xfId="50467" xr:uid="{00000000-0005-0000-0000-000026450000}"/>
    <cellStyle name="Input [yellow] 2 3 2 3 5 4" xfId="38430" xr:uid="{00000000-0005-0000-0000-000027450000}"/>
    <cellStyle name="Input [yellow] 2 3 2 3 6" xfId="21677" xr:uid="{00000000-0005-0000-0000-000028450000}"/>
    <cellStyle name="Input [yellow] 2 3 2 3 6 2" xfId="47214" xr:uid="{00000000-0005-0000-0000-000029450000}"/>
    <cellStyle name="Input [yellow] 2 3 2 3 6 3" xfId="51120" xr:uid="{00000000-0005-0000-0000-00002A450000}"/>
    <cellStyle name="Input [yellow] 2 3 2 3 7" xfId="41017" xr:uid="{00000000-0005-0000-0000-00002B450000}"/>
    <cellStyle name="Input [yellow] 2 3 2 3 8" xfId="42737" xr:uid="{00000000-0005-0000-0000-00002C450000}"/>
    <cellStyle name="Input [yellow] 2 3 2 4" xfId="10168" xr:uid="{00000000-0005-0000-0000-00002D450000}"/>
    <cellStyle name="Input [yellow] 2 3 2 4 2" xfId="17961" xr:uid="{00000000-0005-0000-0000-00002E450000}"/>
    <cellStyle name="Input [yellow] 2 3 2 4 2 2" xfId="43751" xr:uid="{00000000-0005-0000-0000-00002F450000}"/>
    <cellStyle name="Input [yellow] 2 3 2 4 2 3" xfId="47674" xr:uid="{00000000-0005-0000-0000-000030450000}"/>
    <cellStyle name="Input [yellow] 2 3 2 4 2 4" xfId="35598" xr:uid="{00000000-0005-0000-0000-000031450000}"/>
    <cellStyle name="Input [yellow] 2 3 2 4 3" xfId="19319" xr:uid="{00000000-0005-0000-0000-000032450000}"/>
    <cellStyle name="Input [yellow] 2 3 2 4 3 2" xfId="44856" xr:uid="{00000000-0005-0000-0000-000033450000}"/>
    <cellStyle name="Input [yellow] 2 3 2 4 3 3" xfId="48762" xr:uid="{00000000-0005-0000-0000-000034450000}"/>
    <cellStyle name="Input [yellow] 2 3 2 4 3 4" xfId="36897" xr:uid="{00000000-0005-0000-0000-000035450000}"/>
    <cellStyle name="Input [yellow] 2 3 2 4 4" xfId="11649" xr:uid="{00000000-0005-0000-0000-000036450000}"/>
    <cellStyle name="Input [yellow] 2 3 2 4 4 2" xfId="41660" xr:uid="{00000000-0005-0000-0000-000037450000}"/>
    <cellStyle name="Input [yellow] 2 3 2 4 4 3" xfId="40562" xr:uid="{00000000-0005-0000-0000-000038450000}"/>
    <cellStyle name="Input [yellow] 2 3 2 4 4 4" xfId="29348" xr:uid="{00000000-0005-0000-0000-000039450000}"/>
    <cellStyle name="Input [yellow] 2 3 2 4 5" xfId="20631" xr:uid="{00000000-0005-0000-0000-00003A450000}"/>
    <cellStyle name="Input [yellow] 2 3 2 4 5 2" xfId="46168" xr:uid="{00000000-0005-0000-0000-00003B450000}"/>
    <cellStyle name="Input [yellow] 2 3 2 4 5 3" xfId="50074" xr:uid="{00000000-0005-0000-0000-00003C450000}"/>
    <cellStyle name="Input [yellow] 2 3 2 4 5 4" xfId="38037" xr:uid="{00000000-0005-0000-0000-00003D450000}"/>
    <cellStyle name="Input [yellow] 2 3 2 4 6" xfId="21284" xr:uid="{00000000-0005-0000-0000-00003E450000}"/>
    <cellStyle name="Input [yellow] 2 3 2 4 6 2" xfId="46821" xr:uid="{00000000-0005-0000-0000-00003F450000}"/>
    <cellStyle name="Input [yellow] 2 3 2 4 6 3" xfId="50727" xr:uid="{00000000-0005-0000-0000-000040450000}"/>
    <cellStyle name="Input [yellow] 2 3 2 4 7" xfId="40610" xr:uid="{00000000-0005-0000-0000-000041450000}"/>
    <cellStyle name="Input [yellow] 2 3 2 4 8" xfId="43644" xr:uid="{00000000-0005-0000-0000-000042450000}"/>
    <cellStyle name="Input [yellow] 2 3 2 5" xfId="14781" xr:uid="{00000000-0005-0000-0000-000043450000}"/>
    <cellStyle name="Input [yellow] 2 3 2 5 2" xfId="42897" xr:uid="{00000000-0005-0000-0000-000044450000}"/>
    <cellStyle name="Input [yellow] 2 3 2 5 3" xfId="43186" xr:uid="{00000000-0005-0000-0000-000045450000}"/>
    <cellStyle name="Input [yellow] 2 3 2 5 4" xfId="32416" xr:uid="{00000000-0005-0000-0000-000046450000}"/>
    <cellStyle name="Input [yellow] 2 3 2 6" xfId="13068" xr:uid="{00000000-0005-0000-0000-000047450000}"/>
    <cellStyle name="Input [yellow] 2 3 2 6 2" xfId="42289" xr:uid="{00000000-0005-0000-0000-000048450000}"/>
    <cellStyle name="Input [yellow] 2 3 2 6 3" xfId="39655" xr:uid="{00000000-0005-0000-0000-000049450000}"/>
    <cellStyle name="Input [yellow] 2 3 2 6 4" xfId="30717" xr:uid="{00000000-0005-0000-0000-00004A450000}"/>
    <cellStyle name="Input [yellow] 2 3 2 7" xfId="19533" xr:uid="{00000000-0005-0000-0000-00004B450000}"/>
    <cellStyle name="Input [yellow] 2 3 2 7 2" xfId="45070" xr:uid="{00000000-0005-0000-0000-00004C450000}"/>
    <cellStyle name="Input [yellow] 2 3 2 7 3" xfId="48976" xr:uid="{00000000-0005-0000-0000-00004D450000}"/>
    <cellStyle name="Input [yellow] 2 3 2 7 4" xfId="37080" xr:uid="{00000000-0005-0000-0000-00004E450000}"/>
    <cellStyle name="Input [yellow] 2 3 2 8" xfId="19832" xr:uid="{00000000-0005-0000-0000-00004F450000}"/>
    <cellStyle name="Input [yellow] 2 3 2 8 2" xfId="45369" xr:uid="{00000000-0005-0000-0000-000050450000}"/>
    <cellStyle name="Input [yellow] 2 3 2 8 3" xfId="49275" xr:uid="{00000000-0005-0000-0000-000051450000}"/>
    <cellStyle name="Input [yellow] 2 3 2 8 4" xfId="37350" xr:uid="{00000000-0005-0000-0000-000052450000}"/>
    <cellStyle name="Input [yellow] 2 3 2 9" xfId="19377" xr:uid="{00000000-0005-0000-0000-000053450000}"/>
    <cellStyle name="Input [yellow] 2 3 2 9 2" xfId="44914" xr:uid="{00000000-0005-0000-0000-000054450000}"/>
    <cellStyle name="Input [yellow] 2 3 2 9 3" xfId="48820" xr:uid="{00000000-0005-0000-0000-000055450000}"/>
    <cellStyle name="Input [yellow] 2 3 2 9 4" xfId="36943" xr:uid="{00000000-0005-0000-0000-000056450000}"/>
    <cellStyle name="Input [yellow] 2 3 3" xfId="10442" xr:uid="{00000000-0005-0000-0000-000057450000}"/>
    <cellStyle name="Input [yellow] 2 3 3 2" xfId="18235" xr:uid="{00000000-0005-0000-0000-000058450000}"/>
    <cellStyle name="Input [yellow] 2 3 3 2 2" xfId="43782" xr:uid="{00000000-0005-0000-0000-000059450000}"/>
    <cellStyle name="Input [yellow] 2 3 3 2 3" xfId="47691" xr:uid="{00000000-0005-0000-0000-00005A450000}"/>
    <cellStyle name="Input [yellow] 2 3 3 2 4" xfId="35872" xr:uid="{00000000-0005-0000-0000-00005B450000}"/>
    <cellStyle name="Input [yellow] 2 3 3 3" xfId="19145" xr:uid="{00000000-0005-0000-0000-00005C450000}"/>
    <cellStyle name="Input [yellow] 2 3 3 3 2" xfId="44682" xr:uid="{00000000-0005-0000-0000-00005D450000}"/>
    <cellStyle name="Input [yellow] 2 3 3 3 3" xfId="48588" xr:uid="{00000000-0005-0000-0000-00005E450000}"/>
    <cellStyle name="Input [yellow] 2 3 3 3 4" xfId="36740" xr:uid="{00000000-0005-0000-0000-00005F450000}"/>
    <cellStyle name="Input [yellow] 2 3 3 4" xfId="19969" xr:uid="{00000000-0005-0000-0000-000060450000}"/>
    <cellStyle name="Input [yellow] 2 3 3 4 2" xfId="45506" xr:uid="{00000000-0005-0000-0000-000061450000}"/>
    <cellStyle name="Input [yellow] 2 3 3 4 3" xfId="49412" xr:uid="{00000000-0005-0000-0000-000062450000}"/>
    <cellStyle name="Input [yellow] 2 3 3 4 4" xfId="37474" xr:uid="{00000000-0005-0000-0000-000063450000}"/>
    <cellStyle name="Input [yellow] 2 3 3 5" xfId="20648" xr:uid="{00000000-0005-0000-0000-000064450000}"/>
    <cellStyle name="Input [yellow] 2 3 3 5 2" xfId="46185" xr:uid="{00000000-0005-0000-0000-000065450000}"/>
    <cellStyle name="Input [yellow] 2 3 3 5 3" xfId="50091" xr:uid="{00000000-0005-0000-0000-000066450000}"/>
    <cellStyle name="Input [yellow] 2 3 3 5 4" xfId="38054" xr:uid="{00000000-0005-0000-0000-000067450000}"/>
    <cellStyle name="Input [yellow] 2 3 3 6" xfId="21301" xr:uid="{00000000-0005-0000-0000-000068450000}"/>
    <cellStyle name="Input [yellow] 2 3 3 6 2" xfId="46838" xr:uid="{00000000-0005-0000-0000-000069450000}"/>
    <cellStyle name="Input [yellow] 2 3 3 6 3" xfId="50744" xr:uid="{00000000-0005-0000-0000-00006A450000}"/>
    <cellStyle name="Input [yellow] 2 3 3 7" xfId="40641" xr:uid="{00000000-0005-0000-0000-00006B450000}"/>
    <cellStyle name="Input [yellow] 2 3 3 8" xfId="42085" xr:uid="{00000000-0005-0000-0000-00006C450000}"/>
    <cellStyle name="Input [yellow] 2 3 4" xfId="7779" xr:uid="{00000000-0005-0000-0000-00006D450000}"/>
    <cellStyle name="Input [yellow] 2 3 4 2" xfId="15576" xr:uid="{00000000-0005-0000-0000-00006E450000}"/>
    <cellStyle name="Input [yellow] 2 3 4 2 2" xfId="43255" xr:uid="{00000000-0005-0000-0000-00006F450000}"/>
    <cellStyle name="Input [yellow] 2 3 4 2 3" xfId="40147" xr:uid="{00000000-0005-0000-0000-000070450000}"/>
    <cellStyle name="Input [yellow] 2 3 4 2 4" xfId="33211" xr:uid="{00000000-0005-0000-0000-000071450000}"/>
    <cellStyle name="Input [yellow] 2 3 4 3" xfId="19957" xr:uid="{00000000-0005-0000-0000-000072450000}"/>
    <cellStyle name="Input [yellow] 2 3 4 3 2" xfId="45494" xr:uid="{00000000-0005-0000-0000-000073450000}"/>
    <cellStyle name="Input [yellow] 2 3 4 3 3" xfId="49400" xr:uid="{00000000-0005-0000-0000-000074450000}"/>
    <cellStyle name="Input [yellow] 2 3 4 3 4" xfId="37462" xr:uid="{00000000-0005-0000-0000-000075450000}"/>
    <cellStyle name="Input [yellow] 2 3 4 4" xfId="20291" xr:uid="{00000000-0005-0000-0000-000076450000}"/>
    <cellStyle name="Input [yellow] 2 3 4 4 2" xfId="45828" xr:uid="{00000000-0005-0000-0000-000077450000}"/>
    <cellStyle name="Input [yellow] 2 3 4 4 3" xfId="49734" xr:uid="{00000000-0005-0000-0000-000078450000}"/>
    <cellStyle name="Input [yellow] 2 3 4 4 4" xfId="37758" xr:uid="{00000000-0005-0000-0000-000079450000}"/>
    <cellStyle name="Input [yellow] 2 3 4 5" xfId="19000" xr:uid="{00000000-0005-0000-0000-00007A450000}"/>
    <cellStyle name="Input [yellow] 2 3 4 5 2" xfId="44537" xr:uid="{00000000-0005-0000-0000-00007B450000}"/>
    <cellStyle name="Input [yellow] 2 3 4 5 3" xfId="48443" xr:uid="{00000000-0005-0000-0000-00007C450000}"/>
    <cellStyle name="Input [yellow] 2 3 4 5 4" xfId="36622" xr:uid="{00000000-0005-0000-0000-00007D450000}"/>
    <cellStyle name="Input [yellow] 2 3 4 6" xfId="19498" xr:uid="{00000000-0005-0000-0000-00007E450000}"/>
    <cellStyle name="Input [yellow] 2 3 4 6 2" xfId="45035" xr:uid="{00000000-0005-0000-0000-00007F450000}"/>
    <cellStyle name="Input [yellow] 2 3 4 6 3" xfId="48941" xr:uid="{00000000-0005-0000-0000-000080450000}"/>
    <cellStyle name="Input [yellow] 2 3 4 7" xfId="40114" xr:uid="{00000000-0005-0000-0000-000081450000}"/>
    <cellStyle name="Input [yellow] 2 3 4 8" xfId="43534" xr:uid="{00000000-0005-0000-0000-000082450000}"/>
    <cellStyle name="Input [yellow] 2 4" xfId="6991" xr:uid="{00000000-0005-0000-0000-000083450000}"/>
    <cellStyle name="Input [yellow] 2 4 10" xfId="39755" xr:uid="{00000000-0005-0000-0000-000084450000}"/>
    <cellStyle name="Input [yellow] 2 4 11" xfId="39521" xr:uid="{00000000-0005-0000-0000-000085450000}"/>
    <cellStyle name="Input [yellow] 2 4 2" xfId="10521" xr:uid="{00000000-0005-0000-0000-000086450000}"/>
    <cellStyle name="Input [yellow] 2 4 2 2" xfId="18314" xr:uid="{00000000-0005-0000-0000-000087450000}"/>
    <cellStyle name="Input [yellow] 2 4 2 2 2" xfId="43861" xr:uid="{00000000-0005-0000-0000-000088450000}"/>
    <cellStyle name="Input [yellow] 2 4 2 2 3" xfId="47770" xr:uid="{00000000-0005-0000-0000-000089450000}"/>
    <cellStyle name="Input [yellow] 2 4 2 2 4" xfId="35951" xr:uid="{00000000-0005-0000-0000-00008A450000}"/>
    <cellStyle name="Input [yellow] 2 4 2 3" xfId="20175" xr:uid="{00000000-0005-0000-0000-00008B450000}"/>
    <cellStyle name="Input [yellow] 2 4 2 3 2" xfId="45712" xr:uid="{00000000-0005-0000-0000-00008C450000}"/>
    <cellStyle name="Input [yellow] 2 4 2 3 3" xfId="49618" xr:uid="{00000000-0005-0000-0000-00008D450000}"/>
    <cellStyle name="Input [yellow] 2 4 2 3 4" xfId="37661" xr:uid="{00000000-0005-0000-0000-00008E450000}"/>
    <cellStyle name="Input [yellow] 2 4 2 4" xfId="11620" xr:uid="{00000000-0005-0000-0000-00008F450000}"/>
    <cellStyle name="Input [yellow] 2 4 2 4 2" xfId="41631" xr:uid="{00000000-0005-0000-0000-000090450000}"/>
    <cellStyle name="Input [yellow] 2 4 2 4 3" xfId="43599" xr:uid="{00000000-0005-0000-0000-000091450000}"/>
    <cellStyle name="Input [yellow] 2 4 2 4 4" xfId="29323" xr:uid="{00000000-0005-0000-0000-000092450000}"/>
    <cellStyle name="Input [yellow] 2 4 2 5" xfId="20727" xr:uid="{00000000-0005-0000-0000-000093450000}"/>
    <cellStyle name="Input [yellow] 2 4 2 5 2" xfId="46264" xr:uid="{00000000-0005-0000-0000-000094450000}"/>
    <cellStyle name="Input [yellow] 2 4 2 5 3" xfId="50170" xr:uid="{00000000-0005-0000-0000-000095450000}"/>
    <cellStyle name="Input [yellow] 2 4 2 5 4" xfId="38133" xr:uid="{00000000-0005-0000-0000-000096450000}"/>
    <cellStyle name="Input [yellow] 2 4 2 6" xfId="21380" xr:uid="{00000000-0005-0000-0000-000097450000}"/>
    <cellStyle name="Input [yellow] 2 4 2 6 2" xfId="46917" xr:uid="{00000000-0005-0000-0000-000098450000}"/>
    <cellStyle name="Input [yellow] 2 4 2 6 3" xfId="50823" xr:uid="{00000000-0005-0000-0000-000099450000}"/>
    <cellStyle name="Input [yellow] 2 4 2 7" xfId="40720" xr:uid="{00000000-0005-0000-0000-00009A450000}"/>
    <cellStyle name="Input [yellow] 2 4 2 8" xfId="41443" xr:uid="{00000000-0005-0000-0000-00009B450000}"/>
    <cellStyle name="Input [yellow] 2 4 3" xfId="10816" xr:uid="{00000000-0005-0000-0000-00009C450000}"/>
    <cellStyle name="Input [yellow] 2 4 3 2" xfId="18609" xr:uid="{00000000-0005-0000-0000-00009D450000}"/>
    <cellStyle name="Input [yellow] 2 4 3 2 2" xfId="44156" xr:uid="{00000000-0005-0000-0000-00009E450000}"/>
    <cellStyle name="Input [yellow] 2 4 3 2 3" xfId="48065" xr:uid="{00000000-0005-0000-0000-00009F450000}"/>
    <cellStyle name="Input [yellow] 2 4 3 2 4" xfId="36246" xr:uid="{00000000-0005-0000-0000-0000A0450000}"/>
    <cellStyle name="Input [yellow] 2 4 3 3" xfId="19886" xr:uid="{00000000-0005-0000-0000-0000A1450000}"/>
    <cellStyle name="Input [yellow] 2 4 3 3 2" xfId="45423" xr:uid="{00000000-0005-0000-0000-0000A2450000}"/>
    <cellStyle name="Input [yellow] 2 4 3 3 3" xfId="49329" xr:uid="{00000000-0005-0000-0000-0000A3450000}"/>
    <cellStyle name="Input [yellow] 2 4 3 3 4" xfId="37400" xr:uid="{00000000-0005-0000-0000-0000A4450000}"/>
    <cellStyle name="Input [yellow] 2 4 3 4" xfId="19782" xr:uid="{00000000-0005-0000-0000-0000A5450000}"/>
    <cellStyle name="Input [yellow] 2 4 3 4 2" xfId="45319" xr:uid="{00000000-0005-0000-0000-0000A6450000}"/>
    <cellStyle name="Input [yellow] 2 4 3 4 3" xfId="49225" xr:uid="{00000000-0005-0000-0000-0000A7450000}"/>
    <cellStyle name="Input [yellow] 2 4 3 4 4" xfId="37308" xr:uid="{00000000-0005-0000-0000-0000A8450000}"/>
    <cellStyle name="Input [yellow] 2 4 3 5" xfId="21022" xr:uid="{00000000-0005-0000-0000-0000A9450000}"/>
    <cellStyle name="Input [yellow] 2 4 3 5 2" xfId="46559" xr:uid="{00000000-0005-0000-0000-0000AA450000}"/>
    <cellStyle name="Input [yellow] 2 4 3 5 3" xfId="50465" xr:uid="{00000000-0005-0000-0000-0000AB450000}"/>
    <cellStyle name="Input [yellow] 2 4 3 5 4" xfId="38428" xr:uid="{00000000-0005-0000-0000-0000AC450000}"/>
    <cellStyle name="Input [yellow] 2 4 3 6" xfId="21675" xr:uid="{00000000-0005-0000-0000-0000AD450000}"/>
    <cellStyle name="Input [yellow] 2 4 3 6 2" xfId="47212" xr:uid="{00000000-0005-0000-0000-0000AE450000}"/>
    <cellStyle name="Input [yellow] 2 4 3 6 3" xfId="51118" xr:uid="{00000000-0005-0000-0000-0000AF450000}"/>
    <cellStyle name="Input [yellow] 2 4 3 7" xfId="41015" xr:uid="{00000000-0005-0000-0000-0000B0450000}"/>
    <cellStyle name="Input [yellow] 2 4 3 8" xfId="40589" xr:uid="{00000000-0005-0000-0000-0000B1450000}"/>
    <cellStyle name="Input [yellow] 2 4 4" xfId="10166" xr:uid="{00000000-0005-0000-0000-0000B2450000}"/>
    <cellStyle name="Input [yellow] 2 4 4 2" xfId="17959" xr:uid="{00000000-0005-0000-0000-0000B3450000}"/>
    <cellStyle name="Input [yellow] 2 4 4 2 2" xfId="43749" xr:uid="{00000000-0005-0000-0000-0000B4450000}"/>
    <cellStyle name="Input [yellow] 2 4 4 2 3" xfId="47672" xr:uid="{00000000-0005-0000-0000-0000B5450000}"/>
    <cellStyle name="Input [yellow] 2 4 4 2 4" xfId="35596" xr:uid="{00000000-0005-0000-0000-0000B6450000}"/>
    <cellStyle name="Input [yellow] 2 4 4 3" xfId="19446" xr:uid="{00000000-0005-0000-0000-0000B7450000}"/>
    <cellStyle name="Input [yellow] 2 4 4 3 2" xfId="44983" xr:uid="{00000000-0005-0000-0000-0000B8450000}"/>
    <cellStyle name="Input [yellow] 2 4 4 3 3" xfId="48889" xr:uid="{00000000-0005-0000-0000-0000B9450000}"/>
    <cellStyle name="Input [yellow] 2 4 4 3 4" xfId="37011" xr:uid="{00000000-0005-0000-0000-0000BA450000}"/>
    <cellStyle name="Input [yellow] 2 4 4 4" xfId="19540" xr:uid="{00000000-0005-0000-0000-0000BB450000}"/>
    <cellStyle name="Input [yellow] 2 4 4 4 2" xfId="45077" xr:uid="{00000000-0005-0000-0000-0000BC450000}"/>
    <cellStyle name="Input [yellow] 2 4 4 4 3" xfId="48983" xr:uid="{00000000-0005-0000-0000-0000BD450000}"/>
    <cellStyle name="Input [yellow] 2 4 4 4 4" xfId="37085" xr:uid="{00000000-0005-0000-0000-0000BE450000}"/>
    <cellStyle name="Input [yellow] 2 4 4 5" xfId="20629" xr:uid="{00000000-0005-0000-0000-0000BF450000}"/>
    <cellStyle name="Input [yellow] 2 4 4 5 2" xfId="46166" xr:uid="{00000000-0005-0000-0000-0000C0450000}"/>
    <cellStyle name="Input [yellow] 2 4 4 5 3" xfId="50072" xr:uid="{00000000-0005-0000-0000-0000C1450000}"/>
    <cellStyle name="Input [yellow] 2 4 4 5 4" xfId="38035" xr:uid="{00000000-0005-0000-0000-0000C2450000}"/>
    <cellStyle name="Input [yellow] 2 4 4 6" xfId="21282" xr:uid="{00000000-0005-0000-0000-0000C3450000}"/>
    <cellStyle name="Input [yellow] 2 4 4 6 2" xfId="46819" xr:uid="{00000000-0005-0000-0000-0000C4450000}"/>
    <cellStyle name="Input [yellow] 2 4 4 6 3" xfId="50725" xr:uid="{00000000-0005-0000-0000-0000C5450000}"/>
    <cellStyle name="Input [yellow] 2 4 4 7" xfId="40608" xr:uid="{00000000-0005-0000-0000-0000C6450000}"/>
    <cellStyle name="Input [yellow] 2 4 4 8" xfId="47521" xr:uid="{00000000-0005-0000-0000-0000C7450000}"/>
    <cellStyle name="Input [yellow] 2 4 5" xfId="14779" xr:uid="{00000000-0005-0000-0000-0000C8450000}"/>
    <cellStyle name="Input [yellow] 2 4 5 2" xfId="42895" xr:uid="{00000000-0005-0000-0000-0000C9450000}"/>
    <cellStyle name="Input [yellow] 2 4 5 3" xfId="39065" xr:uid="{00000000-0005-0000-0000-0000CA450000}"/>
    <cellStyle name="Input [yellow] 2 4 5 4" xfId="32414" xr:uid="{00000000-0005-0000-0000-0000CB450000}"/>
    <cellStyle name="Input [yellow] 2 4 6" xfId="13066" xr:uid="{00000000-0005-0000-0000-0000CC450000}"/>
    <cellStyle name="Input [yellow] 2 4 6 2" xfId="42287" xr:uid="{00000000-0005-0000-0000-0000CD450000}"/>
    <cellStyle name="Input [yellow] 2 4 6 3" xfId="43687" xr:uid="{00000000-0005-0000-0000-0000CE450000}"/>
    <cellStyle name="Input [yellow] 2 4 6 4" xfId="30715" xr:uid="{00000000-0005-0000-0000-0000CF450000}"/>
    <cellStyle name="Input [yellow] 2 4 7" xfId="19176" xr:uid="{00000000-0005-0000-0000-0000D0450000}"/>
    <cellStyle name="Input [yellow] 2 4 7 2" xfId="44713" xr:uid="{00000000-0005-0000-0000-0000D1450000}"/>
    <cellStyle name="Input [yellow] 2 4 7 3" xfId="48619" xr:uid="{00000000-0005-0000-0000-0000D2450000}"/>
    <cellStyle name="Input [yellow] 2 4 7 4" xfId="36767" xr:uid="{00000000-0005-0000-0000-0000D3450000}"/>
    <cellStyle name="Input [yellow] 2 4 8" xfId="18886" xr:uid="{00000000-0005-0000-0000-0000D4450000}"/>
    <cellStyle name="Input [yellow] 2 4 8 2" xfId="44423" xr:uid="{00000000-0005-0000-0000-0000D5450000}"/>
    <cellStyle name="Input [yellow] 2 4 8 3" xfId="48329" xr:uid="{00000000-0005-0000-0000-0000D6450000}"/>
    <cellStyle name="Input [yellow] 2 4 8 4" xfId="36522" xr:uid="{00000000-0005-0000-0000-0000D7450000}"/>
    <cellStyle name="Input [yellow] 2 4 9" xfId="20290" xr:uid="{00000000-0005-0000-0000-0000D8450000}"/>
    <cellStyle name="Input [yellow] 2 4 9 2" xfId="45827" xr:uid="{00000000-0005-0000-0000-0000D9450000}"/>
    <cellStyle name="Input [yellow] 2 4 9 3" xfId="49733" xr:uid="{00000000-0005-0000-0000-0000DA450000}"/>
    <cellStyle name="Input [yellow] 2 4 9 4" xfId="37757" xr:uid="{00000000-0005-0000-0000-0000DB450000}"/>
    <cellStyle name="Input [yellow] 2 5" xfId="10440" xr:uid="{00000000-0005-0000-0000-0000DC450000}"/>
    <cellStyle name="Input [yellow] 2 5 2" xfId="18233" xr:uid="{00000000-0005-0000-0000-0000DD450000}"/>
    <cellStyle name="Input [yellow] 2 5 2 2" xfId="43780" xr:uid="{00000000-0005-0000-0000-0000DE450000}"/>
    <cellStyle name="Input [yellow] 2 5 2 3" xfId="47689" xr:uid="{00000000-0005-0000-0000-0000DF450000}"/>
    <cellStyle name="Input [yellow] 2 5 2 4" xfId="35870" xr:uid="{00000000-0005-0000-0000-0000E0450000}"/>
    <cellStyle name="Input [yellow] 2 5 3" xfId="19313" xr:uid="{00000000-0005-0000-0000-0000E1450000}"/>
    <cellStyle name="Input [yellow] 2 5 3 2" xfId="44850" xr:uid="{00000000-0005-0000-0000-0000E2450000}"/>
    <cellStyle name="Input [yellow] 2 5 3 3" xfId="48756" xr:uid="{00000000-0005-0000-0000-0000E3450000}"/>
    <cellStyle name="Input [yellow] 2 5 3 4" xfId="36891" xr:uid="{00000000-0005-0000-0000-0000E4450000}"/>
    <cellStyle name="Input [yellow] 2 5 4" xfId="11574" xr:uid="{00000000-0005-0000-0000-0000E5450000}"/>
    <cellStyle name="Input [yellow] 2 5 4 2" xfId="41585" xr:uid="{00000000-0005-0000-0000-0000E6450000}"/>
    <cellStyle name="Input [yellow] 2 5 4 3" xfId="43708" xr:uid="{00000000-0005-0000-0000-0000E7450000}"/>
    <cellStyle name="Input [yellow] 2 5 4 4" xfId="29285" xr:uid="{00000000-0005-0000-0000-0000E8450000}"/>
    <cellStyle name="Input [yellow] 2 5 5" xfId="20646" xr:uid="{00000000-0005-0000-0000-0000E9450000}"/>
    <cellStyle name="Input [yellow] 2 5 5 2" xfId="46183" xr:uid="{00000000-0005-0000-0000-0000EA450000}"/>
    <cellStyle name="Input [yellow] 2 5 5 3" xfId="50089" xr:uid="{00000000-0005-0000-0000-0000EB450000}"/>
    <cellStyle name="Input [yellow] 2 5 5 4" xfId="38052" xr:uid="{00000000-0005-0000-0000-0000EC450000}"/>
    <cellStyle name="Input [yellow] 2 5 6" xfId="21299" xr:uid="{00000000-0005-0000-0000-0000ED450000}"/>
    <cellStyle name="Input [yellow] 2 5 6 2" xfId="46836" xr:uid="{00000000-0005-0000-0000-0000EE450000}"/>
    <cellStyle name="Input [yellow] 2 5 6 3" xfId="50742" xr:uid="{00000000-0005-0000-0000-0000EF450000}"/>
    <cellStyle name="Input [yellow] 2 5 7" xfId="40639" xr:uid="{00000000-0005-0000-0000-0000F0450000}"/>
    <cellStyle name="Input [yellow] 2 5 8" xfId="43250" xr:uid="{00000000-0005-0000-0000-0000F1450000}"/>
    <cellStyle name="Input [yellow] 2 6" xfId="7777" xr:uid="{00000000-0005-0000-0000-0000F2450000}"/>
    <cellStyle name="Input [yellow] 2 6 2" xfId="15574" xr:uid="{00000000-0005-0000-0000-0000F3450000}"/>
    <cellStyle name="Input [yellow] 2 6 2 2" xfId="43253" xr:uid="{00000000-0005-0000-0000-0000F4450000}"/>
    <cellStyle name="Input [yellow] 2 6 2 3" xfId="41933" xr:uid="{00000000-0005-0000-0000-0000F5450000}"/>
    <cellStyle name="Input [yellow] 2 6 2 4" xfId="33209" xr:uid="{00000000-0005-0000-0000-0000F6450000}"/>
    <cellStyle name="Input [yellow] 2 6 3" xfId="20084" xr:uid="{00000000-0005-0000-0000-0000F7450000}"/>
    <cellStyle name="Input [yellow] 2 6 3 2" xfId="45621" xr:uid="{00000000-0005-0000-0000-0000F8450000}"/>
    <cellStyle name="Input [yellow] 2 6 3 3" xfId="49527" xr:uid="{00000000-0005-0000-0000-0000F9450000}"/>
    <cellStyle name="Input [yellow] 2 6 3 4" xfId="37577" xr:uid="{00000000-0005-0000-0000-0000FA450000}"/>
    <cellStyle name="Input [yellow] 2 6 4" xfId="19471" xr:uid="{00000000-0005-0000-0000-0000FB450000}"/>
    <cellStyle name="Input [yellow] 2 6 4 2" xfId="45008" xr:uid="{00000000-0005-0000-0000-0000FC450000}"/>
    <cellStyle name="Input [yellow] 2 6 4 3" xfId="48914" xr:uid="{00000000-0005-0000-0000-0000FD450000}"/>
    <cellStyle name="Input [yellow] 2 6 4 4" xfId="37029" xr:uid="{00000000-0005-0000-0000-0000FE450000}"/>
    <cellStyle name="Input [yellow] 2 6 5" xfId="20346" xr:uid="{00000000-0005-0000-0000-0000FF450000}"/>
    <cellStyle name="Input [yellow] 2 6 5 2" xfId="45883" xr:uid="{00000000-0005-0000-0000-000000460000}"/>
    <cellStyle name="Input [yellow] 2 6 5 3" xfId="49789" xr:uid="{00000000-0005-0000-0000-000001460000}"/>
    <cellStyle name="Input [yellow] 2 6 5 4" xfId="37806" xr:uid="{00000000-0005-0000-0000-000002460000}"/>
    <cellStyle name="Input [yellow] 2 6 6" xfId="12678" xr:uid="{00000000-0005-0000-0000-000003460000}"/>
    <cellStyle name="Input [yellow] 2 6 6 2" xfId="42157" xr:uid="{00000000-0005-0000-0000-000004460000}"/>
    <cellStyle name="Input [yellow] 2 6 6 3" xfId="40336" xr:uid="{00000000-0005-0000-0000-000005460000}"/>
    <cellStyle name="Input [yellow] 2 6 7" xfId="40112" xr:uid="{00000000-0005-0000-0000-000006460000}"/>
    <cellStyle name="Input [yellow] 2 6 8" xfId="47624" xr:uid="{00000000-0005-0000-0000-000007460000}"/>
    <cellStyle name="Input [yellow] 2 7" xfId="52978" xr:uid="{00000000-0005-0000-0000-000008460000}"/>
    <cellStyle name="Input [yellow] 2_BallGrid" xfId="1780" xr:uid="{00000000-0005-0000-0000-000009460000}"/>
    <cellStyle name="Input [yellow] 3" xfId="1781" xr:uid="{00000000-0005-0000-0000-00000A460000}"/>
    <cellStyle name="Input [yellow] 3 2" xfId="1782" xr:uid="{00000000-0005-0000-0000-00000B460000}"/>
    <cellStyle name="Input [yellow] 3 2 2" xfId="6995" xr:uid="{00000000-0005-0000-0000-00000C460000}"/>
    <cellStyle name="Input [yellow] 3 2 2 10" xfId="39759" xr:uid="{00000000-0005-0000-0000-00000D460000}"/>
    <cellStyle name="Input [yellow] 3 2 2 11" xfId="39419" xr:uid="{00000000-0005-0000-0000-00000E460000}"/>
    <cellStyle name="Input [yellow] 3 2 2 2" xfId="10525" xr:uid="{00000000-0005-0000-0000-00000F460000}"/>
    <cellStyle name="Input [yellow] 3 2 2 2 2" xfId="18318" xr:uid="{00000000-0005-0000-0000-000010460000}"/>
    <cellStyle name="Input [yellow] 3 2 2 2 2 2" xfId="43865" xr:uid="{00000000-0005-0000-0000-000011460000}"/>
    <cellStyle name="Input [yellow] 3 2 2 2 2 3" xfId="47774" xr:uid="{00000000-0005-0000-0000-000012460000}"/>
    <cellStyle name="Input [yellow] 3 2 2 2 2 4" xfId="35955" xr:uid="{00000000-0005-0000-0000-000013460000}"/>
    <cellStyle name="Input [yellow] 3 2 2 2 3" xfId="19916" xr:uid="{00000000-0005-0000-0000-000014460000}"/>
    <cellStyle name="Input [yellow] 3 2 2 2 3 2" xfId="45453" xr:uid="{00000000-0005-0000-0000-000015460000}"/>
    <cellStyle name="Input [yellow] 3 2 2 2 3 3" xfId="49359" xr:uid="{00000000-0005-0000-0000-000016460000}"/>
    <cellStyle name="Input [yellow] 3 2 2 2 3 4" xfId="37430" xr:uid="{00000000-0005-0000-0000-000017460000}"/>
    <cellStyle name="Input [yellow] 3 2 2 2 4" xfId="19781" xr:uid="{00000000-0005-0000-0000-000018460000}"/>
    <cellStyle name="Input [yellow] 3 2 2 2 4 2" xfId="45318" xr:uid="{00000000-0005-0000-0000-000019460000}"/>
    <cellStyle name="Input [yellow] 3 2 2 2 4 3" xfId="49224" xr:uid="{00000000-0005-0000-0000-00001A460000}"/>
    <cellStyle name="Input [yellow] 3 2 2 2 4 4" xfId="37307" xr:uid="{00000000-0005-0000-0000-00001B460000}"/>
    <cellStyle name="Input [yellow] 3 2 2 2 5" xfId="20731" xr:uid="{00000000-0005-0000-0000-00001C460000}"/>
    <cellStyle name="Input [yellow] 3 2 2 2 5 2" xfId="46268" xr:uid="{00000000-0005-0000-0000-00001D460000}"/>
    <cellStyle name="Input [yellow] 3 2 2 2 5 3" xfId="50174" xr:uid="{00000000-0005-0000-0000-00001E460000}"/>
    <cellStyle name="Input [yellow] 3 2 2 2 5 4" xfId="38137" xr:uid="{00000000-0005-0000-0000-00001F460000}"/>
    <cellStyle name="Input [yellow] 3 2 2 2 6" xfId="21384" xr:uid="{00000000-0005-0000-0000-000020460000}"/>
    <cellStyle name="Input [yellow] 3 2 2 2 6 2" xfId="46921" xr:uid="{00000000-0005-0000-0000-000021460000}"/>
    <cellStyle name="Input [yellow] 3 2 2 2 6 3" xfId="50827" xr:uid="{00000000-0005-0000-0000-000022460000}"/>
    <cellStyle name="Input [yellow] 3 2 2 2 7" xfId="40724" xr:uid="{00000000-0005-0000-0000-000023460000}"/>
    <cellStyle name="Input [yellow] 3 2 2 2 8" xfId="43744" xr:uid="{00000000-0005-0000-0000-000024460000}"/>
    <cellStyle name="Input [yellow] 3 2 2 3" xfId="10820" xr:uid="{00000000-0005-0000-0000-000025460000}"/>
    <cellStyle name="Input [yellow] 3 2 2 3 2" xfId="18613" xr:uid="{00000000-0005-0000-0000-000026460000}"/>
    <cellStyle name="Input [yellow] 3 2 2 3 2 2" xfId="44160" xr:uid="{00000000-0005-0000-0000-000027460000}"/>
    <cellStyle name="Input [yellow] 3 2 2 3 2 3" xfId="48069" xr:uid="{00000000-0005-0000-0000-000028460000}"/>
    <cellStyle name="Input [yellow] 3 2 2 3 2 4" xfId="36250" xr:uid="{00000000-0005-0000-0000-000029460000}"/>
    <cellStyle name="Input [yellow] 3 2 2 3 3" xfId="19725" xr:uid="{00000000-0005-0000-0000-00002A460000}"/>
    <cellStyle name="Input [yellow] 3 2 2 3 3 2" xfId="45262" xr:uid="{00000000-0005-0000-0000-00002B460000}"/>
    <cellStyle name="Input [yellow] 3 2 2 3 3 3" xfId="49168" xr:uid="{00000000-0005-0000-0000-00002C460000}"/>
    <cellStyle name="Input [yellow] 3 2 2 3 3 4" xfId="37252" xr:uid="{00000000-0005-0000-0000-00002D460000}"/>
    <cellStyle name="Input [yellow] 3 2 2 3 4" xfId="20191" xr:uid="{00000000-0005-0000-0000-00002E460000}"/>
    <cellStyle name="Input [yellow] 3 2 2 3 4 2" xfId="45728" xr:uid="{00000000-0005-0000-0000-00002F460000}"/>
    <cellStyle name="Input [yellow] 3 2 2 3 4 3" xfId="49634" xr:uid="{00000000-0005-0000-0000-000030460000}"/>
    <cellStyle name="Input [yellow] 3 2 2 3 4 4" xfId="37674" xr:uid="{00000000-0005-0000-0000-000031460000}"/>
    <cellStyle name="Input [yellow] 3 2 2 3 5" xfId="21026" xr:uid="{00000000-0005-0000-0000-000032460000}"/>
    <cellStyle name="Input [yellow] 3 2 2 3 5 2" xfId="46563" xr:uid="{00000000-0005-0000-0000-000033460000}"/>
    <cellStyle name="Input [yellow] 3 2 2 3 5 3" xfId="50469" xr:uid="{00000000-0005-0000-0000-000034460000}"/>
    <cellStyle name="Input [yellow] 3 2 2 3 5 4" xfId="38432" xr:uid="{00000000-0005-0000-0000-000035460000}"/>
    <cellStyle name="Input [yellow] 3 2 2 3 6" xfId="21679" xr:uid="{00000000-0005-0000-0000-000036460000}"/>
    <cellStyle name="Input [yellow] 3 2 2 3 6 2" xfId="47216" xr:uid="{00000000-0005-0000-0000-000037460000}"/>
    <cellStyle name="Input [yellow] 3 2 2 3 6 3" xfId="51122" xr:uid="{00000000-0005-0000-0000-000038460000}"/>
    <cellStyle name="Input [yellow] 3 2 2 3 7" xfId="41019" xr:uid="{00000000-0005-0000-0000-000039460000}"/>
    <cellStyle name="Input [yellow] 3 2 2 3 8" xfId="40484" xr:uid="{00000000-0005-0000-0000-00003A460000}"/>
    <cellStyle name="Input [yellow] 3 2 2 4" xfId="10170" xr:uid="{00000000-0005-0000-0000-00003B460000}"/>
    <cellStyle name="Input [yellow] 3 2 2 4 2" xfId="17963" xr:uid="{00000000-0005-0000-0000-00003C460000}"/>
    <cellStyle name="Input [yellow] 3 2 2 4 2 2" xfId="43753" xr:uid="{00000000-0005-0000-0000-00003D460000}"/>
    <cellStyle name="Input [yellow] 3 2 2 4 2 3" xfId="47676" xr:uid="{00000000-0005-0000-0000-00003E460000}"/>
    <cellStyle name="Input [yellow] 3 2 2 4 2 4" xfId="35600" xr:uid="{00000000-0005-0000-0000-00003F460000}"/>
    <cellStyle name="Input [yellow] 3 2 2 4 3" xfId="19152" xr:uid="{00000000-0005-0000-0000-000040460000}"/>
    <cellStyle name="Input [yellow] 3 2 2 4 3 2" xfId="44689" xr:uid="{00000000-0005-0000-0000-000041460000}"/>
    <cellStyle name="Input [yellow] 3 2 2 4 3 3" xfId="48595" xr:uid="{00000000-0005-0000-0000-000042460000}"/>
    <cellStyle name="Input [yellow] 3 2 2 4 3 4" xfId="36746" xr:uid="{00000000-0005-0000-0000-000043460000}"/>
    <cellStyle name="Input [yellow] 3 2 2 4 4" xfId="18920" xr:uid="{00000000-0005-0000-0000-000044460000}"/>
    <cellStyle name="Input [yellow] 3 2 2 4 4 2" xfId="44457" xr:uid="{00000000-0005-0000-0000-000045460000}"/>
    <cellStyle name="Input [yellow] 3 2 2 4 4 3" xfId="48363" xr:uid="{00000000-0005-0000-0000-000046460000}"/>
    <cellStyle name="Input [yellow] 3 2 2 4 4 4" xfId="36550" xr:uid="{00000000-0005-0000-0000-000047460000}"/>
    <cellStyle name="Input [yellow] 3 2 2 4 5" xfId="20633" xr:uid="{00000000-0005-0000-0000-000048460000}"/>
    <cellStyle name="Input [yellow] 3 2 2 4 5 2" xfId="46170" xr:uid="{00000000-0005-0000-0000-000049460000}"/>
    <cellStyle name="Input [yellow] 3 2 2 4 5 3" xfId="50076" xr:uid="{00000000-0005-0000-0000-00004A460000}"/>
    <cellStyle name="Input [yellow] 3 2 2 4 5 4" xfId="38039" xr:uid="{00000000-0005-0000-0000-00004B460000}"/>
    <cellStyle name="Input [yellow] 3 2 2 4 6" xfId="21286" xr:uid="{00000000-0005-0000-0000-00004C460000}"/>
    <cellStyle name="Input [yellow] 3 2 2 4 6 2" xfId="46823" xr:uid="{00000000-0005-0000-0000-00004D460000}"/>
    <cellStyle name="Input [yellow] 3 2 2 4 6 3" xfId="50729" xr:uid="{00000000-0005-0000-0000-00004E460000}"/>
    <cellStyle name="Input [yellow] 3 2 2 4 7" xfId="40612" xr:uid="{00000000-0005-0000-0000-00004F460000}"/>
    <cellStyle name="Input [yellow] 3 2 2 4 8" xfId="39612" xr:uid="{00000000-0005-0000-0000-000050460000}"/>
    <cellStyle name="Input [yellow] 3 2 2 5" xfId="14783" xr:uid="{00000000-0005-0000-0000-000051460000}"/>
    <cellStyle name="Input [yellow] 3 2 2 5 2" xfId="42899" xr:uid="{00000000-0005-0000-0000-000052460000}"/>
    <cellStyle name="Input [yellow] 3 2 2 5 3" xfId="42787" xr:uid="{00000000-0005-0000-0000-000053460000}"/>
    <cellStyle name="Input [yellow] 3 2 2 5 4" xfId="32418" xr:uid="{00000000-0005-0000-0000-000054460000}"/>
    <cellStyle name="Input [yellow] 3 2 2 6" xfId="13070" xr:uid="{00000000-0005-0000-0000-000055460000}"/>
    <cellStyle name="Input [yellow] 3 2 2 6 2" xfId="42291" xr:uid="{00000000-0005-0000-0000-000056460000}"/>
    <cellStyle name="Input [yellow] 3 2 2 6 3" xfId="43580" xr:uid="{00000000-0005-0000-0000-000057460000}"/>
    <cellStyle name="Input [yellow] 3 2 2 6 4" xfId="30719" xr:uid="{00000000-0005-0000-0000-000058460000}"/>
    <cellStyle name="Input [yellow] 3 2 2 7" xfId="19490" xr:uid="{00000000-0005-0000-0000-000059460000}"/>
    <cellStyle name="Input [yellow] 3 2 2 7 2" xfId="45027" xr:uid="{00000000-0005-0000-0000-00005A460000}"/>
    <cellStyle name="Input [yellow] 3 2 2 7 3" xfId="48933" xr:uid="{00000000-0005-0000-0000-00005B460000}"/>
    <cellStyle name="Input [yellow] 3 2 2 7 4" xfId="37046" xr:uid="{00000000-0005-0000-0000-00005C460000}"/>
    <cellStyle name="Input [yellow] 3 2 2 8" xfId="19811" xr:uid="{00000000-0005-0000-0000-00005D460000}"/>
    <cellStyle name="Input [yellow] 3 2 2 8 2" xfId="45348" xr:uid="{00000000-0005-0000-0000-00005E460000}"/>
    <cellStyle name="Input [yellow] 3 2 2 8 3" xfId="49254" xr:uid="{00000000-0005-0000-0000-00005F460000}"/>
    <cellStyle name="Input [yellow] 3 2 2 8 4" xfId="37332" xr:uid="{00000000-0005-0000-0000-000060460000}"/>
    <cellStyle name="Input [yellow] 3 2 2 9" xfId="12829" xr:uid="{00000000-0005-0000-0000-000061460000}"/>
    <cellStyle name="Input [yellow] 3 2 2 9 2" xfId="42232" xr:uid="{00000000-0005-0000-0000-000062460000}"/>
    <cellStyle name="Input [yellow] 3 2 2 9 3" xfId="39449" xr:uid="{00000000-0005-0000-0000-000063460000}"/>
    <cellStyle name="Input [yellow] 3 2 2 9 4" xfId="30484" xr:uid="{00000000-0005-0000-0000-000064460000}"/>
    <cellStyle name="Input [yellow] 3 2 3" xfId="10444" xr:uid="{00000000-0005-0000-0000-000065460000}"/>
    <cellStyle name="Input [yellow] 3 2 3 2" xfId="18237" xr:uid="{00000000-0005-0000-0000-000066460000}"/>
    <cellStyle name="Input [yellow] 3 2 3 2 2" xfId="43784" xr:uid="{00000000-0005-0000-0000-000067460000}"/>
    <cellStyle name="Input [yellow] 3 2 3 2 3" xfId="47693" xr:uid="{00000000-0005-0000-0000-000068460000}"/>
    <cellStyle name="Input [yellow] 3 2 3 2 4" xfId="35874" xr:uid="{00000000-0005-0000-0000-000069460000}"/>
    <cellStyle name="Input [yellow] 3 2 3 3" xfId="11485" xr:uid="{00000000-0005-0000-0000-00006A460000}"/>
    <cellStyle name="Input [yellow] 3 2 3 3 2" xfId="41496" xr:uid="{00000000-0005-0000-0000-00006B460000}"/>
    <cellStyle name="Input [yellow] 3 2 3 3 3" xfId="39577" xr:uid="{00000000-0005-0000-0000-00006C460000}"/>
    <cellStyle name="Input [yellow] 3 2 3 3 4" xfId="29200" xr:uid="{00000000-0005-0000-0000-00006D460000}"/>
    <cellStyle name="Input [yellow] 3 2 3 4" xfId="19691" xr:uid="{00000000-0005-0000-0000-00006E460000}"/>
    <cellStyle name="Input [yellow] 3 2 3 4 2" xfId="45228" xr:uid="{00000000-0005-0000-0000-00006F460000}"/>
    <cellStyle name="Input [yellow] 3 2 3 4 3" xfId="49134" xr:uid="{00000000-0005-0000-0000-000070460000}"/>
    <cellStyle name="Input [yellow] 3 2 3 4 4" xfId="37222" xr:uid="{00000000-0005-0000-0000-000071460000}"/>
    <cellStyle name="Input [yellow] 3 2 3 5" xfId="20650" xr:uid="{00000000-0005-0000-0000-000072460000}"/>
    <cellStyle name="Input [yellow] 3 2 3 5 2" xfId="46187" xr:uid="{00000000-0005-0000-0000-000073460000}"/>
    <cellStyle name="Input [yellow] 3 2 3 5 3" xfId="50093" xr:uid="{00000000-0005-0000-0000-000074460000}"/>
    <cellStyle name="Input [yellow] 3 2 3 5 4" xfId="38056" xr:uid="{00000000-0005-0000-0000-000075460000}"/>
    <cellStyle name="Input [yellow] 3 2 3 6" xfId="21303" xr:uid="{00000000-0005-0000-0000-000076460000}"/>
    <cellStyle name="Input [yellow] 3 2 3 6 2" xfId="46840" xr:uid="{00000000-0005-0000-0000-000077460000}"/>
    <cellStyle name="Input [yellow] 3 2 3 6 3" xfId="50746" xr:uid="{00000000-0005-0000-0000-000078460000}"/>
    <cellStyle name="Input [yellow] 3 2 3 7" xfId="40643" xr:uid="{00000000-0005-0000-0000-000079460000}"/>
    <cellStyle name="Input [yellow] 3 2 3 8" xfId="40266" xr:uid="{00000000-0005-0000-0000-00007A460000}"/>
    <cellStyle name="Input [yellow] 3 2 4" xfId="7781" xr:uid="{00000000-0005-0000-0000-00007B460000}"/>
    <cellStyle name="Input [yellow] 3 2 4 2" xfId="15578" xr:uid="{00000000-0005-0000-0000-00007C460000}"/>
    <cellStyle name="Input [yellow] 3 2 4 2 2" xfId="43257" xr:uid="{00000000-0005-0000-0000-00007D460000}"/>
    <cellStyle name="Input [yellow] 3 2 4 2 3" xfId="41934" xr:uid="{00000000-0005-0000-0000-00007E460000}"/>
    <cellStyle name="Input [yellow] 3 2 4 2 4" xfId="33213" xr:uid="{00000000-0005-0000-0000-00007F460000}"/>
    <cellStyle name="Input [yellow] 3 2 4 3" xfId="19809" xr:uid="{00000000-0005-0000-0000-000080460000}"/>
    <cellStyle name="Input [yellow] 3 2 4 3 2" xfId="45346" xr:uid="{00000000-0005-0000-0000-000081460000}"/>
    <cellStyle name="Input [yellow] 3 2 4 3 3" xfId="49252" xr:uid="{00000000-0005-0000-0000-000082460000}"/>
    <cellStyle name="Input [yellow] 3 2 4 3 4" xfId="37330" xr:uid="{00000000-0005-0000-0000-000083460000}"/>
    <cellStyle name="Input [yellow] 3 2 4 4" xfId="20286" xr:uid="{00000000-0005-0000-0000-000084460000}"/>
    <cellStyle name="Input [yellow] 3 2 4 4 2" xfId="45823" xr:uid="{00000000-0005-0000-0000-000085460000}"/>
    <cellStyle name="Input [yellow] 3 2 4 4 3" xfId="49729" xr:uid="{00000000-0005-0000-0000-000086460000}"/>
    <cellStyle name="Input [yellow] 3 2 4 4 4" xfId="37754" xr:uid="{00000000-0005-0000-0000-000087460000}"/>
    <cellStyle name="Input [yellow] 3 2 4 5" xfId="18897" xr:uid="{00000000-0005-0000-0000-000088460000}"/>
    <cellStyle name="Input [yellow] 3 2 4 5 2" xfId="44434" xr:uid="{00000000-0005-0000-0000-000089460000}"/>
    <cellStyle name="Input [yellow] 3 2 4 5 3" xfId="48340" xr:uid="{00000000-0005-0000-0000-00008A460000}"/>
    <cellStyle name="Input [yellow] 3 2 4 5 4" xfId="36533" xr:uid="{00000000-0005-0000-0000-00008B460000}"/>
    <cellStyle name="Input [yellow] 3 2 4 6" xfId="19779" xr:uid="{00000000-0005-0000-0000-00008C460000}"/>
    <cellStyle name="Input [yellow] 3 2 4 6 2" xfId="45316" xr:uid="{00000000-0005-0000-0000-00008D460000}"/>
    <cellStyle name="Input [yellow] 3 2 4 6 3" xfId="49222" xr:uid="{00000000-0005-0000-0000-00008E460000}"/>
    <cellStyle name="Input [yellow] 3 2 4 7" xfId="40116" xr:uid="{00000000-0005-0000-0000-00008F460000}"/>
    <cellStyle name="Input [yellow] 3 2 4 8" xfId="39509" xr:uid="{00000000-0005-0000-0000-000090460000}"/>
    <cellStyle name="Input [yellow] 3 2 5" xfId="52981" xr:uid="{00000000-0005-0000-0000-000091460000}"/>
    <cellStyle name="Input [yellow] 3 3" xfId="1783" xr:uid="{00000000-0005-0000-0000-000092460000}"/>
    <cellStyle name="Input [yellow] 3 3 2" xfId="6996" xr:uid="{00000000-0005-0000-0000-000093460000}"/>
    <cellStyle name="Input [yellow] 3 3 2 10" xfId="39760" xr:uid="{00000000-0005-0000-0000-000094460000}"/>
    <cellStyle name="Input [yellow] 3 3 2 11" xfId="39254" xr:uid="{00000000-0005-0000-0000-000095460000}"/>
    <cellStyle name="Input [yellow] 3 3 2 2" xfId="10526" xr:uid="{00000000-0005-0000-0000-000096460000}"/>
    <cellStyle name="Input [yellow] 3 3 2 2 2" xfId="18319" xr:uid="{00000000-0005-0000-0000-000097460000}"/>
    <cellStyle name="Input [yellow] 3 3 2 2 2 2" xfId="43866" xr:uid="{00000000-0005-0000-0000-000098460000}"/>
    <cellStyle name="Input [yellow] 3 3 2 2 2 3" xfId="47775" xr:uid="{00000000-0005-0000-0000-000099460000}"/>
    <cellStyle name="Input [yellow] 3 3 2 2 2 4" xfId="35956" xr:uid="{00000000-0005-0000-0000-00009A460000}"/>
    <cellStyle name="Input [yellow] 3 3 2 2 3" xfId="19139" xr:uid="{00000000-0005-0000-0000-00009B460000}"/>
    <cellStyle name="Input [yellow] 3 3 2 2 3 2" xfId="44676" xr:uid="{00000000-0005-0000-0000-00009C460000}"/>
    <cellStyle name="Input [yellow] 3 3 2 2 3 3" xfId="48582" xr:uid="{00000000-0005-0000-0000-00009D460000}"/>
    <cellStyle name="Input [yellow] 3 3 2 2 3 4" xfId="36734" xr:uid="{00000000-0005-0000-0000-00009E460000}"/>
    <cellStyle name="Input [yellow] 3 3 2 2 4" xfId="19386" xr:uid="{00000000-0005-0000-0000-00009F460000}"/>
    <cellStyle name="Input [yellow] 3 3 2 2 4 2" xfId="44923" xr:uid="{00000000-0005-0000-0000-0000A0460000}"/>
    <cellStyle name="Input [yellow] 3 3 2 2 4 3" xfId="48829" xr:uid="{00000000-0005-0000-0000-0000A1460000}"/>
    <cellStyle name="Input [yellow] 3 3 2 2 4 4" xfId="36952" xr:uid="{00000000-0005-0000-0000-0000A2460000}"/>
    <cellStyle name="Input [yellow] 3 3 2 2 5" xfId="20732" xr:uid="{00000000-0005-0000-0000-0000A3460000}"/>
    <cellStyle name="Input [yellow] 3 3 2 2 5 2" xfId="46269" xr:uid="{00000000-0005-0000-0000-0000A4460000}"/>
    <cellStyle name="Input [yellow] 3 3 2 2 5 3" xfId="50175" xr:uid="{00000000-0005-0000-0000-0000A5460000}"/>
    <cellStyle name="Input [yellow] 3 3 2 2 5 4" xfId="38138" xr:uid="{00000000-0005-0000-0000-0000A6460000}"/>
    <cellStyle name="Input [yellow] 3 3 2 2 6" xfId="21385" xr:uid="{00000000-0005-0000-0000-0000A7460000}"/>
    <cellStyle name="Input [yellow] 3 3 2 2 6 2" xfId="46922" xr:uid="{00000000-0005-0000-0000-0000A8460000}"/>
    <cellStyle name="Input [yellow] 3 3 2 2 6 3" xfId="50828" xr:uid="{00000000-0005-0000-0000-0000A9460000}"/>
    <cellStyle name="Input [yellow] 3 3 2 2 7" xfId="40725" xr:uid="{00000000-0005-0000-0000-0000AA460000}"/>
    <cellStyle name="Input [yellow] 3 3 2 2 8" xfId="40603" xr:uid="{00000000-0005-0000-0000-0000AB460000}"/>
    <cellStyle name="Input [yellow] 3 3 2 3" xfId="10821" xr:uid="{00000000-0005-0000-0000-0000AC460000}"/>
    <cellStyle name="Input [yellow] 3 3 2 3 2" xfId="18614" xr:uid="{00000000-0005-0000-0000-0000AD460000}"/>
    <cellStyle name="Input [yellow] 3 3 2 3 2 2" xfId="44161" xr:uid="{00000000-0005-0000-0000-0000AE460000}"/>
    <cellStyle name="Input [yellow] 3 3 2 3 2 3" xfId="48070" xr:uid="{00000000-0005-0000-0000-0000AF460000}"/>
    <cellStyle name="Input [yellow] 3 3 2 3 2 4" xfId="36251" xr:uid="{00000000-0005-0000-0000-0000B0460000}"/>
    <cellStyle name="Input [yellow] 3 3 2 3 3" xfId="20147" xr:uid="{00000000-0005-0000-0000-0000B1460000}"/>
    <cellStyle name="Input [yellow] 3 3 2 3 3 2" xfId="45684" xr:uid="{00000000-0005-0000-0000-0000B2460000}"/>
    <cellStyle name="Input [yellow] 3 3 2 3 3 3" xfId="49590" xr:uid="{00000000-0005-0000-0000-0000B3460000}"/>
    <cellStyle name="Input [yellow] 3 3 2 3 3 4" xfId="37633" xr:uid="{00000000-0005-0000-0000-0000B4460000}"/>
    <cellStyle name="Input [yellow] 3 3 2 3 4" xfId="12646" xr:uid="{00000000-0005-0000-0000-0000B5460000}"/>
    <cellStyle name="Input [yellow] 3 3 2 3 4 2" xfId="42125" xr:uid="{00000000-0005-0000-0000-0000B6460000}"/>
    <cellStyle name="Input [yellow] 3 3 2 3 4 3" xfId="43200" xr:uid="{00000000-0005-0000-0000-0000B7460000}"/>
    <cellStyle name="Input [yellow] 3 3 2 3 4 4" xfId="30311" xr:uid="{00000000-0005-0000-0000-0000B8460000}"/>
    <cellStyle name="Input [yellow] 3 3 2 3 5" xfId="21027" xr:uid="{00000000-0005-0000-0000-0000B9460000}"/>
    <cellStyle name="Input [yellow] 3 3 2 3 5 2" xfId="46564" xr:uid="{00000000-0005-0000-0000-0000BA460000}"/>
    <cellStyle name="Input [yellow] 3 3 2 3 5 3" xfId="50470" xr:uid="{00000000-0005-0000-0000-0000BB460000}"/>
    <cellStyle name="Input [yellow] 3 3 2 3 5 4" xfId="38433" xr:uid="{00000000-0005-0000-0000-0000BC460000}"/>
    <cellStyle name="Input [yellow] 3 3 2 3 6" xfId="21680" xr:uid="{00000000-0005-0000-0000-0000BD460000}"/>
    <cellStyle name="Input [yellow] 3 3 2 3 6 2" xfId="47217" xr:uid="{00000000-0005-0000-0000-0000BE460000}"/>
    <cellStyle name="Input [yellow] 3 3 2 3 6 3" xfId="51123" xr:uid="{00000000-0005-0000-0000-0000BF460000}"/>
    <cellStyle name="Input [yellow] 3 3 2 3 7" xfId="41020" xr:uid="{00000000-0005-0000-0000-0000C0460000}"/>
    <cellStyle name="Input [yellow] 3 3 2 3 8" xfId="39594" xr:uid="{00000000-0005-0000-0000-0000C1460000}"/>
    <cellStyle name="Input [yellow] 3 3 2 4" xfId="10171" xr:uid="{00000000-0005-0000-0000-0000C2460000}"/>
    <cellStyle name="Input [yellow] 3 3 2 4 2" xfId="17964" xr:uid="{00000000-0005-0000-0000-0000C3460000}"/>
    <cellStyle name="Input [yellow] 3 3 2 4 2 2" xfId="43754" xr:uid="{00000000-0005-0000-0000-0000C4460000}"/>
    <cellStyle name="Input [yellow] 3 3 2 4 2 3" xfId="47677" xr:uid="{00000000-0005-0000-0000-0000C5460000}"/>
    <cellStyle name="Input [yellow] 3 3 2 4 2 4" xfId="35601" xr:uid="{00000000-0005-0000-0000-0000C6460000}"/>
    <cellStyle name="Input [yellow] 3 3 2 4 3" xfId="19778" xr:uid="{00000000-0005-0000-0000-0000C7460000}"/>
    <cellStyle name="Input [yellow] 3 3 2 4 3 2" xfId="45315" xr:uid="{00000000-0005-0000-0000-0000C8460000}"/>
    <cellStyle name="Input [yellow] 3 3 2 4 3 3" xfId="49221" xr:uid="{00000000-0005-0000-0000-0000C9460000}"/>
    <cellStyle name="Input [yellow] 3 3 2 4 3 4" xfId="37305" xr:uid="{00000000-0005-0000-0000-0000CA460000}"/>
    <cellStyle name="Input [yellow] 3 3 2 4 4" xfId="11078" xr:uid="{00000000-0005-0000-0000-0000CB460000}"/>
    <cellStyle name="Input [yellow] 3 3 2 4 4 2" xfId="41277" xr:uid="{00000000-0005-0000-0000-0000CC460000}"/>
    <cellStyle name="Input [yellow] 3 3 2 4 4 3" xfId="42043" xr:uid="{00000000-0005-0000-0000-0000CD460000}"/>
    <cellStyle name="Input [yellow] 3 3 2 4 4 4" xfId="28808" xr:uid="{00000000-0005-0000-0000-0000CE460000}"/>
    <cellStyle name="Input [yellow] 3 3 2 4 5" xfId="20634" xr:uid="{00000000-0005-0000-0000-0000CF460000}"/>
    <cellStyle name="Input [yellow] 3 3 2 4 5 2" xfId="46171" xr:uid="{00000000-0005-0000-0000-0000D0460000}"/>
    <cellStyle name="Input [yellow] 3 3 2 4 5 3" xfId="50077" xr:uid="{00000000-0005-0000-0000-0000D1460000}"/>
    <cellStyle name="Input [yellow] 3 3 2 4 5 4" xfId="38040" xr:uid="{00000000-0005-0000-0000-0000D2460000}"/>
    <cellStyle name="Input [yellow] 3 3 2 4 6" xfId="21287" xr:uid="{00000000-0005-0000-0000-0000D3460000}"/>
    <cellStyle name="Input [yellow] 3 3 2 4 6 2" xfId="46824" xr:uid="{00000000-0005-0000-0000-0000D4460000}"/>
    <cellStyle name="Input [yellow] 3 3 2 4 6 3" xfId="50730" xr:uid="{00000000-0005-0000-0000-0000D5460000}"/>
    <cellStyle name="Input [yellow] 3 3 2 4 7" xfId="40613" xr:uid="{00000000-0005-0000-0000-0000D6460000}"/>
    <cellStyle name="Input [yellow] 3 3 2 4 8" xfId="47520" xr:uid="{00000000-0005-0000-0000-0000D7460000}"/>
    <cellStyle name="Input [yellow] 3 3 2 5" xfId="14784" xr:uid="{00000000-0005-0000-0000-0000D8460000}"/>
    <cellStyle name="Input [yellow] 3 3 2 5 2" xfId="42900" xr:uid="{00000000-0005-0000-0000-0000D9460000}"/>
    <cellStyle name="Input [yellow] 3 3 2 5 3" xfId="43674" xr:uid="{00000000-0005-0000-0000-0000DA460000}"/>
    <cellStyle name="Input [yellow] 3 3 2 5 4" xfId="32419" xr:uid="{00000000-0005-0000-0000-0000DB460000}"/>
    <cellStyle name="Input [yellow] 3 3 2 6" xfId="13071" xr:uid="{00000000-0005-0000-0000-0000DC460000}"/>
    <cellStyle name="Input [yellow] 3 3 2 6 2" xfId="42292" xr:uid="{00000000-0005-0000-0000-0000DD460000}"/>
    <cellStyle name="Input [yellow] 3 3 2 6 3" xfId="40441" xr:uid="{00000000-0005-0000-0000-0000DE460000}"/>
    <cellStyle name="Input [yellow] 3 3 2 6 4" xfId="30720" xr:uid="{00000000-0005-0000-0000-0000DF460000}"/>
    <cellStyle name="Input [yellow] 3 3 2 7" xfId="20204" xr:uid="{00000000-0005-0000-0000-0000E0460000}"/>
    <cellStyle name="Input [yellow] 3 3 2 7 2" xfId="45741" xr:uid="{00000000-0005-0000-0000-0000E1460000}"/>
    <cellStyle name="Input [yellow] 3 3 2 7 3" xfId="49647" xr:uid="{00000000-0005-0000-0000-0000E2460000}"/>
    <cellStyle name="Input [yellow] 3 3 2 7 4" xfId="37686" xr:uid="{00000000-0005-0000-0000-0000E3460000}"/>
    <cellStyle name="Input [yellow] 3 3 2 8" xfId="20510" xr:uid="{00000000-0005-0000-0000-0000E4460000}"/>
    <cellStyle name="Input [yellow] 3 3 2 8 2" xfId="46047" xr:uid="{00000000-0005-0000-0000-0000E5460000}"/>
    <cellStyle name="Input [yellow] 3 3 2 8 3" xfId="49953" xr:uid="{00000000-0005-0000-0000-0000E6460000}"/>
    <cellStyle name="Input [yellow] 3 3 2 8 4" xfId="37946" xr:uid="{00000000-0005-0000-0000-0000E7460000}"/>
    <cellStyle name="Input [yellow] 3 3 2 9" xfId="20071" xr:uid="{00000000-0005-0000-0000-0000E8460000}"/>
    <cellStyle name="Input [yellow] 3 3 2 9 2" xfId="45608" xr:uid="{00000000-0005-0000-0000-0000E9460000}"/>
    <cellStyle name="Input [yellow] 3 3 2 9 3" xfId="49514" xr:uid="{00000000-0005-0000-0000-0000EA460000}"/>
    <cellStyle name="Input [yellow] 3 3 2 9 4" xfId="37565" xr:uid="{00000000-0005-0000-0000-0000EB460000}"/>
    <cellStyle name="Input [yellow] 3 3 3" xfId="10445" xr:uid="{00000000-0005-0000-0000-0000EC460000}"/>
    <cellStyle name="Input [yellow] 3 3 3 2" xfId="18238" xr:uid="{00000000-0005-0000-0000-0000ED460000}"/>
    <cellStyle name="Input [yellow] 3 3 3 2 2" xfId="43785" xr:uid="{00000000-0005-0000-0000-0000EE460000}"/>
    <cellStyle name="Input [yellow] 3 3 3 2 3" xfId="47694" xr:uid="{00000000-0005-0000-0000-0000EF460000}"/>
    <cellStyle name="Input [yellow] 3 3 3 2 4" xfId="35875" xr:uid="{00000000-0005-0000-0000-0000F0460000}"/>
    <cellStyle name="Input [yellow] 3 3 3 3" xfId="19772" xr:uid="{00000000-0005-0000-0000-0000F1460000}"/>
    <cellStyle name="Input [yellow] 3 3 3 3 2" xfId="45309" xr:uid="{00000000-0005-0000-0000-0000F2460000}"/>
    <cellStyle name="Input [yellow] 3 3 3 3 3" xfId="49215" xr:uid="{00000000-0005-0000-0000-0000F3460000}"/>
    <cellStyle name="Input [yellow] 3 3 3 3 4" xfId="37299" xr:uid="{00000000-0005-0000-0000-0000F4460000}"/>
    <cellStyle name="Input [yellow] 3 3 3 4" xfId="19068" xr:uid="{00000000-0005-0000-0000-0000F5460000}"/>
    <cellStyle name="Input [yellow] 3 3 3 4 2" xfId="44605" xr:uid="{00000000-0005-0000-0000-0000F6460000}"/>
    <cellStyle name="Input [yellow] 3 3 3 4 3" xfId="48511" xr:uid="{00000000-0005-0000-0000-0000F7460000}"/>
    <cellStyle name="Input [yellow] 3 3 3 4 4" xfId="36667" xr:uid="{00000000-0005-0000-0000-0000F8460000}"/>
    <cellStyle name="Input [yellow] 3 3 3 5" xfId="20651" xr:uid="{00000000-0005-0000-0000-0000F9460000}"/>
    <cellStyle name="Input [yellow] 3 3 3 5 2" xfId="46188" xr:uid="{00000000-0005-0000-0000-0000FA460000}"/>
    <cellStyle name="Input [yellow] 3 3 3 5 3" xfId="50094" xr:uid="{00000000-0005-0000-0000-0000FB460000}"/>
    <cellStyle name="Input [yellow] 3 3 3 5 4" xfId="38057" xr:uid="{00000000-0005-0000-0000-0000FC460000}"/>
    <cellStyle name="Input [yellow] 3 3 3 6" xfId="21304" xr:uid="{00000000-0005-0000-0000-0000FD460000}"/>
    <cellStyle name="Input [yellow] 3 3 3 6 2" xfId="46841" xr:uid="{00000000-0005-0000-0000-0000FE460000}"/>
    <cellStyle name="Input [yellow] 3 3 3 6 3" xfId="50747" xr:uid="{00000000-0005-0000-0000-0000FF460000}"/>
    <cellStyle name="Input [yellow] 3 3 3 7" xfId="40644" xr:uid="{00000000-0005-0000-0000-000000470000}"/>
    <cellStyle name="Input [yellow] 3 3 3 8" xfId="39406" xr:uid="{00000000-0005-0000-0000-000001470000}"/>
    <cellStyle name="Input [yellow] 3 3 4" xfId="7782" xr:uid="{00000000-0005-0000-0000-000002470000}"/>
    <cellStyle name="Input [yellow] 3 3 4 2" xfId="15579" xr:uid="{00000000-0005-0000-0000-000003470000}"/>
    <cellStyle name="Input [yellow] 3 3 4 2 2" xfId="43258" xr:uid="{00000000-0005-0000-0000-000004470000}"/>
    <cellStyle name="Input [yellow] 3 3 4 2 3" xfId="43289" xr:uid="{00000000-0005-0000-0000-000005470000}"/>
    <cellStyle name="Input [yellow] 3 3 4 2 4" xfId="33214" xr:uid="{00000000-0005-0000-0000-000006470000}"/>
    <cellStyle name="Input [yellow] 3 3 4 3" xfId="11429" xr:uid="{00000000-0005-0000-0000-000007470000}"/>
    <cellStyle name="Input [yellow] 3 3 4 3 2" xfId="41454" xr:uid="{00000000-0005-0000-0000-000008470000}"/>
    <cellStyle name="Input [yellow] 3 3 4 3 3" xfId="47513" xr:uid="{00000000-0005-0000-0000-000009470000}"/>
    <cellStyle name="Input [yellow] 3 3 4 3 4" xfId="29150" xr:uid="{00000000-0005-0000-0000-00000A470000}"/>
    <cellStyle name="Input [yellow] 3 3 4 4" xfId="11596" xr:uid="{00000000-0005-0000-0000-00000B470000}"/>
    <cellStyle name="Input [yellow] 3 3 4 4 2" xfId="41607" xr:uid="{00000000-0005-0000-0000-00000C470000}"/>
    <cellStyle name="Input [yellow] 3 3 4 4 3" xfId="40564" xr:uid="{00000000-0005-0000-0000-00000D470000}"/>
    <cellStyle name="Input [yellow] 3 3 4 4 4" xfId="29303" xr:uid="{00000000-0005-0000-0000-00000E470000}"/>
    <cellStyle name="Input [yellow] 3 3 4 5" xfId="11597" xr:uid="{00000000-0005-0000-0000-00000F470000}"/>
    <cellStyle name="Input [yellow] 3 3 4 5 2" xfId="41608" xr:uid="{00000000-0005-0000-0000-000010470000}"/>
    <cellStyle name="Input [yellow] 3 3 4 5 3" xfId="39675" xr:uid="{00000000-0005-0000-0000-000011470000}"/>
    <cellStyle name="Input [yellow] 3 3 4 5 4" xfId="29304" xr:uid="{00000000-0005-0000-0000-000012470000}"/>
    <cellStyle name="Input [yellow] 3 3 4 6" xfId="19225" xr:uid="{00000000-0005-0000-0000-000013470000}"/>
    <cellStyle name="Input [yellow] 3 3 4 6 2" xfId="44762" xr:uid="{00000000-0005-0000-0000-000014470000}"/>
    <cellStyle name="Input [yellow] 3 3 4 6 3" xfId="48668" xr:uid="{00000000-0005-0000-0000-000015470000}"/>
    <cellStyle name="Input [yellow] 3 3 4 7" xfId="40117" xr:uid="{00000000-0005-0000-0000-000016470000}"/>
    <cellStyle name="Input [yellow] 3 3 4 8" xfId="47549" xr:uid="{00000000-0005-0000-0000-000017470000}"/>
    <cellStyle name="Input [yellow] 3 4" xfId="6994" xr:uid="{00000000-0005-0000-0000-000018470000}"/>
    <cellStyle name="Input [yellow] 3 4 10" xfId="39758" xr:uid="{00000000-0005-0000-0000-000019470000}"/>
    <cellStyle name="Input [yellow] 3 4 11" xfId="40291" xr:uid="{00000000-0005-0000-0000-00001A470000}"/>
    <cellStyle name="Input [yellow] 3 4 2" xfId="10524" xr:uid="{00000000-0005-0000-0000-00001B470000}"/>
    <cellStyle name="Input [yellow] 3 4 2 2" xfId="18317" xr:uid="{00000000-0005-0000-0000-00001C470000}"/>
    <cellStyle name="Input [yellow] 3 4 2 2 2" xfId="43864" xr:uid="{00000000-0005-0000-0000-00001D470000}"/>
    <cellStyle name="Input [yellow] 3 4 2 2 3" xfId="47773" xr:uid="{00000000-0005-0000-0000-00001E470000}"/>
    <cellStyle name="Input [yellow] 3 4 2 2 4" xfId="35954" xr:uid="{00000000-0005-0000-0000-00001F470000}"/>
    <cellStyle name="Input [yellow] 3 4 2 3" xfId="19307" xr:uid="{00000000-0005-0000-0000-000020470000}"/>
    <cellStyle name="Input [yellow] 3 4 2 3 2" xfId="44844" xr:uid="{00000000-0005-0000-0000-000021470000}"/>
    <cellStyle name="Input [yellow] 3 4 2 3 3" xfId="48750" xr:uid="{00000000-0005-0000-0000-000022470000}"/>
    <cellStyle name="Input [yellow] 3 4 2 3 4" xfId="36885" xr:uid="{00000000-0005-0000-0000-000023470000}"/>
    <cellStyle name="Input [yellow] 3 4 2 4" xfId="20264" xr:uid="{00000000-0005-0000-0000-000024470000}"/>
    <cellStyle name="Input [yellow] 3 4 2 4 2" xfId="45801" xr:uid="{00000000-0005-0000-0000-000025470000}"/>
    <cellStyle name="Input [yellow] 3 4 2 4 3" xfId="49707" xr:uid="{00000000-0005-0000-0000-000026470000}"/>
    <cellStyle name="Input [yellow] 3 4 2 4 4" xfId="37734" xr:uid="{00000000-0005-0000-0000-000027470000}"/>
    <cellStyle name="Input [yellow] 3 4 2 5" xfId="20730" xr:uid="{00000000-0005-0000-0000-000028470000}"/>
    <cellStyle name="Input [yellow] 3 4 2 5 2" xfId="46267" xr:uid="{00000000-0005-0000-0000-000029470000}"/>
    <cellStyle name="Input [yellow] 3 4 2 5 3" xfId="50173" xr:uid="{00000000-0005-0000-0000-00002A470000}"/>
    <cellStyle name="Input [yellow] 3 4 2 5 4" xfId="38136" xr:uid="{00000000-0005-0000-0000-00002B470000}"/>
    <cellStyle name="Input [yellow] 3 4 2 6" xfId="21383" xr:uid="{00000000-0005-0000-0000-00002C470000}"/>
    <cellStyle name="Input [yellow] 3 4 2 6 2" xfId="46920" xr:uid="{00000000-0005-0000-0000-00002D470000}"/>
    <cellStyle name="Input [yellow] 3 4 2 6 3" xfId="50826" xr:uid="{00000000-0005-0000-0000-00002E470000}"/>
    <cellStyle name="Input [yellow] 3 4 2 7" xfId="40723" xr:uid="{00000000-0005-0000-0000-00002F470000}"/>
    <cellStyle name="Input [yellow] 3 4 2 8" xfId="42855" xr:uid="{00000000-0005-0000-0000-000030470000}"/>
    <cellStyle name="Input [yellow] 3 4 3" xfId="10819" xr:uid="{00000000-0005-0000-0000-000031470000}"/>
    <cellStyle name="Input [yellow] 3 4 3 2" xfId="18612" xr:uid="{00000000-0005-0000-0000-000032470000}"/>
    <cellStyle name="Input [yellow] 3 4 3 2 2" xfId="44159" xr:uid="{00000000-0005-0000-0000-000033470000}"/>
    <cellStyle name="Input [yellow] 3 4 3 2 3" xfId="48068" xr:uid="{00000000-0005-0000-0000-000034470000}"/>
    <cellStyle name="Input [yellow] 3 4 3 2 4" xfId="36249" xr:uid="{00000000-0005-0000-0000-000035470000}"/>
    <cellStyle name="Input [yellow] 3 4 3 3" xfId="12636" xr:uid="{00000000-0005-0000-0000-000036470000}"/>
    <cellStyle name="Input [yellow] 3 4 3 3 2" xfId="42115" xr:uid="{00000000-0005-0000-0000-000037470000}"/>
    <cellStyle name="Input [yellow] 3 4 3 3 3" xfId="42565" xr:uid="{00000000-0005-0000-0000-000038470000}"/>
    <cellStyle name="Input [yellow] 3 4 3 3 4" xfId="30301" xr:uid="{00000000-0005-0000-0000-000039470000}"/>
    <cellStyle name="Input [yellow] 3 4 3 4" xfId="18902" xr:uid="{00000000-0005-0000-0000-00003A470000}"/>
    <cellStyle name="Input [yellow] 3 4 3 4 2" xfId="44439" xr:uid="{00000000-0005-0000-0000-00003B470000}"/>
    <cellStyle name="Input [yellow] 3 4 3 4 3" xfId="48345" xr:uid="{00000000-0005-0000-0000-00003C470000}"/>
    <cellStyle name="Input [yellow] 3 4 3 4 4" xfId="36535" xr:uid="{00000000-0005-0000-0000-00003D470000}"/>
    <cellStyle name="Input [yellow] 3 4 3 5" xfId="21025" xr:uid="{00000000-0005-0000-0000-00003E470000}"/>
    <cellStyle name="Input [yellow] 3 4 3 5 2" xfId="46562" xr:uid="{00000000-0005-0000-0000-00003F470000}"/>
    <cellStyle name="Input [yellow] 3 4 3 5 3" xfId="50468" xr:uid="{00000000-0005-0000-0000-000040470000}"/>
    <cellStyle name="Input [yellow] 3 4 3 5 4" xfId="38431" xr:uid="{00000000-0005-0000-0000-000041470000}"/>
    <cellStyle name="Input [yellow] 3 4 3 6" xfId="21678" xr:uid="{00000000-0005-0000-0000-000042470000}"/>
    <cellStyle name="Input [yellow] 3 4 3 6 2" xfId="47215" xr:uid="{00000000-0005-0000-0000-000043470000}"/>
    <cellStyle name="Input [yellow] 3 4 3 6 3" xfId="51121" xr:uid="{00000000-0005-0000-0000-000044470000}"/>
    <cellStyle name="Input [yellow] 3 4 3 7" xfId="41018" xr:uid="{00000000-0005-0000-0000-000045470000}"/>
    <cellStyle name="Input [yellow] 3 4 3 8" xfId="43626" xr:uid="{00000000-0005-0000-0000-000046470000}"/>
    <cellStyle name="Input [yellow] 3 4 4" xfId="10169" xr:uid="{00000000-0005-0000-0000-000047470000}"/>
    <cellStyle name="Input [yellow] 3 4 4 2" xfId="17962" xr:uid="{00000000-0005-0000-0000-000048470000}"/>
    <cellStyle name="Input [yellow] 3 4 4 2 2" xfId="43752" xr:uid="{00000000-0005-0000-0000-000049470000}"/>
    <cellStyle name="Input [yellow] 3 4 4 2 3" xfId="47675" xr:uid="{00000000-0005-0000-0000-00004A470000}"/>
    <cellStyle name="Input [yellow] 3 4 4 2 4" xfId="35599" xr:uid="{00000000-0005-0000-0000-00004B470000}"/>
    <cellStyle name="Input [yellow] 3 4 4 3" xfId="19931" xr:uid="{00000000-0005-0000-0000-00004C470000}"/>
    <cellStyle name="Input [yellow] 3 4 4 3 2" xfId="45468" xr:uid="{00000000-0005-0000-0000-00004D470000}"/>
    <cellStyle name="Input [yellow] 3 4 4 3 3" xfId="49374" xr:uid="{00000000-0005-0000-0000-00004E470000}"/>
    <cellStyle name="Input [yellow] 3 4 4 3 4" xfId="37443" xr:uid="{00000000-0005-0000-0000-00004F470000}"/>
    <cellStyle name="Input [yellow] 3 4 4 4" xfId="20241" xr:uid="{00000000-0005-0000-0000-000050470000}"/>
    <cellStyle name="Input [yellow] 3 4 4 4 2" xfId="45778" xr:uid="{00000000-0005-0000-0000-000051470000}"/>
    <cellStyle name="Input [yellow] 3 4 4 4 3" xfId="49684" xr:uid="{00000000-0005-0000-0000-000052470000}"/>
    <cellStyle name="Input [yellow] 3 4 4 4 4" xfId="37714" xr:uid="{00000000-0005-0000-0000-000053470000}"/>
    <cellStyle name="Input [yellow] 3 4 4 5" xfId="20632" xr:uid="{00000000-0005-0000-0000-000054470000}"/>
    <cellStyle name="Input [yellow] 3 4 4 5 2" xfId="46169" xr:uid="{00000000-0005-0000-0000-000055470000}"/>
    <cellStyle name="Input [yellow] 3 4 4 5 3" xfId="50075" xr:uid="{00000000-0005-0000-0000-000056470000}"/>
    <cellStyle name="Input [yellow] 3 4 4 5 4" xfId="38038" xr:uid="{00000000-0005-0000-0000-000057470000}"/>
    <cellStyle name="Input [yellow] 3 4 4 6" xfId="21285" xr:uid="{00000000-0005-0000-0000-000058470000}"/>
    <cellStyle name="Input [yellow] 3 4 4 6 2" xfId="46822" xr:uid="{00000000-0005-0000-0000-000059470000}"/>
    <cellStyle name="Input [yellow] 3 4 4 6 3" xfId="50728" xr:uid="{00000000-0005-0000-0000-00005A470000}"/>
    <cellStyle name="Input [yellow] 3 4 4 7" xfId="40611" xr:uid="{00000000-0005-0000-0000-00005B470000}"/>
    <cellStyle name="Input [yellow] 3 4 4 8" xfId="40502" xr:uid="{00000000-0005-0000-0000-00005C470000}"/>
    <cellStyle name="Input [yellow] 3 4 5" xfId="14782" xr:uid="{00000000-0005-0000-0000-00005D470000}"/>
    <cellStyle name="Input [yellow] 3 4 5 2" xfId="42898" xr:uid="{00000000-0005-0000-0000-00005E470000}"/>
    <cellStyle name="Input [yellow] 3 4 5 3" xfId="40045" xr:uid="{00000000-0005-0000-0000-00005F470000}"/>
    <cellStyle name="Input [yellow] 3 4 5 4" xfId="32417" xr:uid="{00000000-0005-0000-0000-000060470000}"/>
    <cellStyle name="Input [yellow] 3 4 6" xfId="13069" xr:uid="{00000000-0005-0000-0000-000061470000}"/>
    <cellStyle name="Input [yellow] 3 4 6 2" xfId="42290" xr:uid="{00000000-0005-0000-0000-000062470000}"/>
    <cellStyle name="Input [yellow] 3 4 6 3" xfId="42692" xr:uid="{00000000-0005-0000-0000-000063470000}"/>
    <cellStyle name="Input [yellow] 3 4 6 4" xfId="30718" xr:uid="{00000000-0005-0000-0000-000064470000}"/>
    <cellStyle name="Input [yellow] 3 4 7" xfId="12732" xr:uid="{00000000-0005-0000-0000-000065470000}"/>
    <cellStyle name="Input [yellow] 3 4 7 2" xfId="42187" xr:uid="{00000000-0005-0000-0000-000066470000}"/>
    <cellStyle name="Input [yellow] 3 4 7 3" xfId="39554" xr:uid="{00000000-0005-0000-0000-000067470000}"/>
    <cellStyle name="Input [yellow] 3 4 7 4" xfId="30390" xr:uid="{00000000-0005-0000-0000-000068470000}"/>
    <cellStyle name="Input [yellow] 3 4 8" xfId="20466" xr:uid="{00000000-0005-0000-0000-000069470000}"/>
    <cellStyle name="Input [yellow] 3 4 8 2" xfId="46003" xr:uid="{00000000-0005-0000-0000-00006A470000}"/>
    <cellStyle name="Input [yellow] 3 4 8 3" xfId="49909" xr:uid="{00000000-0005-0000-0000-00006B470000}"/>
    <cellStyle name="Input [yellow] 3 4 8 4" xfId="37919" xr:uid="{00000000-0005-0000-0000-00006C470000}"/>
    <cellStyle name="Input [yellow] 3 4 9" xfId="19679" xr:uid="{00000000-0005-0000-0000-00006D470000}"/>
    <cellStyle name="Input [yellow] 3 4 9 2" xfId="45216" xr:uid="{00000000-0005-0000-0000-00006E470000}"/>
    <cellStyle name="Input [yellow] 3 4 9 3" xfId="49122" xr:uid="{00000000-0005-0000-0000-00006F470000}"/>
    <cellStyle name="Input [yellow] 3 4 9 4" xfId="37211" xr:uid="{00000000-0005-0000-0000-000070470000}"/>
    <cellStyle name="Input [yellow] 3 5" xfId="10443" xr:uid="{00000000-0005-0000-0000-000071470000}"/>
    <cellStyle name="Input [yellow] 3 5 2" xfId="18236" xr:uid="{00000000-0005-0000-0000-000072470000}"/>
    <cellStyle name="Input [yellow] 3 5 2 2" xfId="43783" xr:uid="{00000000-0005-0000-0000-000073470000}"/>
    <cellStyle name="Input [yellow] 3 5 2 3" xfId="47692" xr:uid="{00000000-0005-0000-0000-000074470000}"/>
    <cellStyle name="Input [yellow] 3 5 2 4" xfId="35873" xr:uid="{00000000-0005-0000-0000-000075470000}"/>
    <cellStyle name="Input [yellow] 3 5 3" xfId="19770" xr:uid="{00000000-0005-0000-0000-000076470000}"/>
    <cellStyle name="Input [yellow] 3 5 3 2" xfId="45307" xr:uid="{00000000-0005-0000-0000-000077470000}"/>
    <cellStyle name="Input [yellow] 3 5 3 3" xfId="49213" xr:uid="{00000000-0005-0000-0000-000078470000}"/>
    <cellStyle name="Input [yellow] 3 5 3 4" xfId="37297" xr:uid="{00000000-0005-0000-0000-000079470000}"/>
    <cellStyle name="Input [yellow] 3 5 4" xfId="20101" xr:uid="{00000000-0005-0000-0000-00007A470000}"/>
    <cellStyle name="Input [yellow] 3 5 4 2" xfId="45638" xr:uid="{00000000-0005-0000-0000-00007B470000}"/>
    <cellStyle name="Input [yellow] 3 5 4 3" xfId="49544" xr:uid="{00000000-0005-0000-0000-00007C470000}"/>
    <cellStyle name="Input [yellow] 3 5 4 4" xfId="37590" xr:uid="{00000000-0005-0000-0000-00007D470000}"/>
    <cellStyle name="Input [yellow] 3 5 5" xfId="20649" xr:uid="{00000000-0005-0000-0000-00007E470000}"/>
    <cellStyle name="Input [yellow] 3 5 5 2" xfId="46186" xr:uid="{00000000-0005-0000-0000-00007F470000}"/>
    <cellStyle name="Input [yellow] 3 5 5 3" xfId="50092" xr:uid="{00000000-0005-0000-0000-000080470000}"/>
    <cellStyle name="Input [yellow] 3 5 5 4" xfId="38055" xr:uid="{00000000-0005-0000-0000-000081470000}"/>
    <cellStyle name="Input [yellow] 3 5 6" xfId="21302" xr:uid="{00000000-0005-0000-0000-000082470000}"/>
    <cellStyle name="Input [yellow] 3 5 6 2" xfId="46839" xr:uid="{00000000-0005-0000-0000-000083470000}"/>
    <cellStyle name="Input [yellow] 3 5 6 3" xfId="50745" xr:uid="{00000000-0005-0000-0000-000084470000}"/>
    <cellStyle name="Input [yellow] 3 5 7" xfId="40642" xr:uid="{00000000-0005-0000-0000-000085470000}"/>
    <cellStyle name="Input [yellow] 3 5 8" xfId="43404" xr:uid="{00000000-0005-0000-0000-000086470000}"/>
    <cellStyle name="Input [yellow] 3 6" xfId="7780" xr:uid="{00000000-0005-0000-0000-000087470000}"/>
    <cellStyle name="Input [yellow] 3 6 2" xfId="15577" xr:uid="{00000000-0005-0000-0000-000088470000}"/>
    <cellStyle name="Input [yellow] 3 6 2 2" xfId="43256" xr:uid="{00000000-0005-0000-0000-000089470000}"/>
    <cellStyle name="Input [yellow] 3 6 2 3" xfId="39261" xr:uid="{00000000-0005-0000-0000-00008A470000}"/>
    <cellStyle name="Input [yellow] 3 6 2 4" xfId="33212" xr:uid="{00000000-0005-0000-0000-00008B470000}"/>
    <cellStyle name="Input [yellow] 3 6 3" xfId="19188" xr:uid="{00000000-0005-0000-0000-00008C470000}"/>
    <cellStyle name="Input [yellow] 3 6 3 2" xfId="44725" xr:uid="{00000000-0005-0000-0000-00008D470000}"/>
    <cellStyle name="Input [yellow] 3 6 3 3" xfId="48631" xr:uid="{00000000-0005-0000-0000-00008E470000}"/>
    <cellStyle name="Input [yellow] 3 6 3 4" xfId="36775" xr:uid="{00000000-0005-0000-0000-00008F470000}"/>
    <cellStyle name="Input [yellow] 3 6 4" xfId="19870" xr:uid="{00000000-0005-0000-0000-000090470000}"/>
    <cellStyle name="Input [yellow] 3 6 4 2" xfId="45407" xr:uid="{00000000-0005-0000-0000-000091470000}"/>
    <cellStyle name="Input [yellow] 3 6 4 3" xfId="49313" xr:uid="{00000000-0005-0000-0000-000092470000}"/>
    <cellStyle name="Input [yellow] 3 6 4 4" xfId="37384" xr:uid="{00000000-0005-0000-0000-000093470000}"/>
    <cellStyle name="Input [yellow] 3 6 5" xfId="19034" xr:uid="{00000000-0005-0000-0000-000094470000}"/>
    <cellStyle name="Input [yellow] 3 6 5 2" xfId="44571" xr:uid="{00000000-0005-0000-0000-000095470000}"/>
    <cellStyle name="Input [yellow] 3 6 5 3" xfId="48477" xr:uid="{00000000-0005-0000-0000-000096470000}"/>
    <cellStyle name="Input [yellow] 3 6 5 4" xfId="36640" xr:uid="{00000000-0005-0000-0000-000097470000}"/>
    <cellStyle name="Input [yellow] 3 6 6" xfId="20479" xr:uid="{00000000-0005-0000-0000-000098470000}"/>
    <cellStyle name="Input [yellow] 3 6 6 2" xfId="46016" xr:uid="{00000000-0005-0000-0000-000099470000}"/>
    <cellStyle name="Input [yellow] 3 6 6 3" xfId="49922" xr:uid="{00000000-0005-0000-0000-00009A470000}"/>
    <cellStyle name="Input [yellow] 3 6 7" xfId="40115" xr:uid="{00000000-0005-0000-0000-00009B470000}"/>
    <cellStyle name="Input [yellow] 3 6 8" xfId="40397" xr:uid="{00000000-0005-0000-0000-00009C470000}"/>
    <cellStyle name="Input [yellow] 3 7" xfId="52980" xr:uid="{00000000-0005-0000-0000-00009D470000}"/>
    <cellStyle name="Input [yellow] 3_BallGrid" xfId="1784" xr:uid="{00000000-0005-0000-0000-00009E470000}"/>
    <cellStyle name="Input [yellow] 4" xfId="1785" xr:uid="{00000000-0005-0000-0000-00009F470000}"/>
    <cellStyle name="Input [yellow] 4 2" xfId="1786" xr:uid="{00000000-0005-0000-0000-0000A0470000}"/>
    <cellStyle name="Input [yellow] 4 2 2" xfId="6998" xr:uid="{00000000-0005-0000-0000-0000A1470000}"/>
    <cellStyle name="Input [yellow] 4 2 2 10" xfId="39762" xr:uid="{00000000-0005-0000-0000-0000A2470000}"/>
    <cellStyle name="Input [yellow] 4 2 2 11" xfId="41730" xr:uid="{00000000-0005-0000-0000-0000A3470000}"/>
    <cellStyle name="Input [yellow] 4 2 2 2" xfId="10528" xr:uid="{00000000-0005-0000-0000-0000A4470000}"/>
    <cellStyle name="Input [yellow] 4 2 2 2 2" xfId="18321" xr:uid="{00000000-0005-0000-0000-0000A5470000}"/>
    <cellStyle name="Input [yellow] 4 2 2 2 2 2" xfId="43868" xr:uid="{00000000-0005-0000-0000-0000A6470000}"/>
    <cellStyle name="Input [yellow] 4 2 2 2 2 3" xfId="47777" xr:uid="{00000000-0005-0000-0000-0000A7470000}"/>
    <cellStyle name="Input [yellow] 4 2 2 2 2 4" xfId="35958" xr:uid="{00000000-0005-0000-0000-0000A8470000}"/>
    <cellStyle name="Input [yellow] 4 2 2 2 3" xfId="12623" xr:uid="{00000000-0005-0000-0000-0000A9470000}"/>
    <cellStyle name="Input [yellow] 4 2 2 2 3 2" xfId="42102" xr:uid="{00000000-0005-0000-0000-0000AA470000}"/>
    <cellStyle name="Input [yellow] 4 2 2 2 3 3" xfId="39316" xr:uid="{00000000-0005-0000-0000-0000AB470000}"/>
    <cellStyle name="Input [yellow] 4 2 2 2 3 4" xfId="30288" xr:uid="{00000000-0005-0000-0000-0000AC470000}"/>
    <cellStyle name="Input [yellow] 4 2 2 2 4" xfId="19986" xr:uid="{00000000-0005-0000-0000-0000AD470000}"/>
    <cellStyle name="Input [yellow] 4 2 2 2 4 2" xfId="45523" xr:uid="{00000000-0005-0000-0000-0000AE470000}"/>
    <cellStyle name="Input [yellow] 4 2 2 2 4 3" xfId="49429" xr:uid="{00000000-0005-0000-0000-0000AF470000}"/>
    <cellStyle name="Input [yellow] 4 2 2 2 4 4" xfId="37485" xr:uid="{00000000-0005-0000-0000-0000B0470000}"/>
    <cellStyle name="Input [yellow] 4 2 2 2 5" xfId="20734" xr:uid="{00000000-0005-0000-0000-0000B1470000}"/>
    <cellStyle name="Input [yellow] 4 2 2 2 5 2" xfId="46271" xr:uid="{00000000-0005-0000-0000-0000B2470000}"/>
    <cellStyle name="Input [yellow] 4 2 2 2 5 3" xfId="50177" xr:uid="{00000000-0005-0000-0000-0000B3470000}"/>
    <cellStyle name="Input [yellow] 4 2 2 2 5 4" xfId="38140" xr:uid="{00000000-0005-0000-0000-0000B4470000}"/>
    <cellStyle name="Input [yellow] 4 2 2 2 6" xfId="21387" xr:uid="{00000000-0005-0000-0000-0000B5470000}"/>
    <cellStyle name="Input [yellow] 4 2 2 2 6 2" xfId="46924" xr:uid="{00000000-0005-0000-0000-0000B6470000}"/>
    <cellStyle name="Input [yellow] 4 2 2 2 6 3" xfId="50830" xr:uid="{00000000-0005-0000-0000-0000B7470000}"/>
    <cellStyle name="Input [yellow] 4 2 2 2 7" xfId="40727" xr:uid="{00000000-0005-0000-0000-0000B8470000}"/>
    <cellStyle name="Input [yellow] 4 2 2 2 8" xfId="42751" xr:uid="{00000000-0005-0000-0000-0000B9470000}"/>
    <cellStyle name="Input [yellow] 4 2 2 3" xfId="10823" xr:uid="{00000000-0005-0000-0000-0000BA470000}"/>
    <cellStyle name="Input [yellow] 4 2 2 3 2" xfId="18616" xr:uid="{00000000-0005-0000-0000-0000BB470000}"/>
    <cellStyle name="Input [yellow] 4 2 2 3 2 2" xfId="44163" xr:uid="{00000000-0005-0000-0000-0000BC470000}"/>
    <cellStyle name="Input [yellow] 4 2 2 3 2 3" xfId="48072" xr:uid="{00000000-0005-0000-0000-0000BD470000}"/>
    <cellStyle name="Input [yellow] 4 2 2 3 2 4" xfId="36253" xr:uid="{00000000-0005-0000-0000-0000BE470000}"/>
    <cellStyle name="Input [yellow] 4 2 2 3 3" xfId="20013" xr:uid="{00000000-0005-0000-0000-0000BF470000}"/>
    <cellStyle name="Input [yellow] 4 2 2 3 3 2" xfId="45550" xr:uid="{00000000-0005-0000-0000-0000C0470000}"/>
    <cellStyle name="Input [yellow] 4 2 2 3 3 3" xfId="49456" xr:uid="{00000000-0005-0000-0000-0000C1470000}"/>
    <cellStyle name="Input [yellow] 4 2 2 3 3 4" xfId="37511" xr:uid="{00000000-0005-0000-0000-0000C2470000}"/>
    <cellStyle name="Input [yellow] 4 2 2 3 4" xfId="18882" xr:uid="{00000000-0005-0000-0000-0000C3470000}"/>
    <cellStyle name="Input [yellow] 4 2 2 3 4 2" xfId="44419" xr:uid="{00000000-0005-0000-0000-0000C4470000}"/>
    <cellStyle name="Input [yellow] 4 2 2 3 4 3" xfId="48325" xr:uid="{00000000-0005-0000-0000-0000C5470000}"/>
    <cellStyle name="Input [yellow] 4 2 2 3 4 4" xfId="36519" xr:uid="{00000000-0005-0000-0000-0000C6470000}"/>
    <cellStyle name="Input [yellow] 4 2 2 3 5" xfId="21029" xr:uid="{00000000-0005-0000-0000-0000C7470000}"/>
    <cellStyle name="Input [yellow] 4 2 2 3 5 2" xfId="46566" xr:uid="{00000000-0005-0000-0000-0000C8470000}"/>
    <cellStyle name="Input [yellow] 4 2 2 3 5 3" xfId="50472" xr:uid="{00000000-0005-0000-0000-0000C9470000}"/>
    <cellStyle name="Input [yellow] 4 2 2 3 5 4" xfId="38435" xr:uid="{00000000-0005-0000-0000-0000CA470000}"/>
    <cellStyle name="Input [yellow] 4 2 2 3 6" xfId="21682" xr:uid="{00000000-0005-0000-0000-0000CB470000}"/>
    <cellStyle name="Input [yellow] 4 2 2 3 6 2" xfId="47219" xr:uid="{00000000-0005-0000-0000-0000CC470000}"/>
    <cellStyle name="Input [yellow] 4 2 2 3 6 3" xfId="51125" xr:uid="{00000000-0005-0000-0000-0000CD470000}"/>
    <cellStyle name="Input [yellow] 4 2 2 3 7" xfId="41022" xr:uid="{00000000-0005-0000-0000-0000CE470000}"/>
    <cellStyle name="Input [yellow] 4 2 2 3 8" xfId="43515" xr:uid="{00000000-0005-0000-0000-0000CF470000}"/>
    <cellStyle name="Input [yellow] 4 2 2 4" xfId="10173" xr:uid="{00000000-0005-0000-0000-0000D0470000}"/>
    <cellStyle name="Input [yellow] 4 2 2 4 2" xfId="17966" xr:uid="{00000000-0005-0000-0000-0000D1470000}"/>
    <cellStyle name="Input [yellow] 4 2 2 4 2 2" xfId="43756" xr:uid="{00000000-0005-0000-0000-0000D2470000}"/>
    <cellStyle name="Input [yellow] 4 2 2 4 2 3" xfId="47679" xr:uid="{00000000-0005-0000-0000-0000D3470000}"/>
    <cellStyle name="Input [yellow] 4 2 2 4 2 4" xfId="35603" xr:uid="{00000000-0005-0000-0000-0000D4470000}"/>
    <cellStyle name="Input [yellow] 4 2 2 4 3" xfId="13311" xr:uid="{00000000-0005-0000-0000-0000D5470000}"/>
    <cellStyle name="Input [yellow] 4 2 2 4 3 2" xfId="42481" xr:uid="{00000000-0005-0000-0000-0000D6470000}"/>
    <cellStyle name="Input [yellow] 4 2 2 4 3 3" xfId="39438" xr:uid="{00000000-0005-0000-0000-0000D7470000}"/>
    <cellStyle name="Input [yellow] 4 2 2 4 3 4" xfId="30952" xr:uid="{00000000-0005-0000-0000-0000D8470000}"/>
    <cellStyle name="Input [yellow] 4 2 2 4 4" xfId="19368" xr:uid="{00000000-0005-0000-0000-0000D9470000}"/>
    <cellStyle name="Input [yellow] 4 2 2 4 4 2" xfId="44905" xr:uid="{00000000-0005-0000-0000-0000DA470000}"/>
    <cellStyle name="Input [yellow] 4 2 2 4 4 3" xfId="48811" xr:uid="{00000000-0005-0000-0000-0000DB470000}"/>
    <cellStyle name="Input [yellow] 4 2 2 4 4 4" xfId="36936" xr:uid="{00000000-0005-0000-0000-0000DC470000}"/>
    <cellStyle name="Input [yellow] 4 2 2 4 5" xfId="20636" xr:uid="{00000000-0005-0000-0000-0000DD470000}"/>
    <cellStyle name="Input [yellow] 4 2 2 4 5 2" xfId="46173" xr:uid="{00000000-0005-0000-0000-0000DE470000}"/>
    <cellStyle name="Input [yellow] 4 2 2 4 5 3" xfId="50079" xr:uid="{00000000-0005-0000-0000-0000DF470000}"/>
    <cellStyle name="Input [yellow] 4 2 2 4 5 4" xfId="38042" xr:uid="{00000000-0005-0000-0000-0000E0470000}"/>
    <cellStyle name="Input [yellow] 4 2 2 4 6" xfId="21289" xr:uid="{00000000-0005-0000-0000-0000E1470000}"/>
    <cellStyle name="Input [yellow] 4 2 2 4 6 2" xfId="46826" xr:uid="{00000000-0005-0000-0000-0000E2470000}"/>
    <cellStyle name="Input [yellow] 4 2 2 4 6 3" xfId="50732" xr:uid="{00000000-0005-0000-0000-0000E3470000}"/>
    <cellStyle name="Input [yellow] 4 2 2 4 7" xfId="40615" xr:uid="{00000000-0005-0000-0000-0000E4470000}"/>
    <cellStyle name="Input [yellow] 4 2 2 4 8" xfId="47595" xr:uid="{00000000-0005-0000-0000-0000E5470000}"/>
    <cellStyle name="Input [yellow] 4 2 2 5" xfId="14786" xr:uid="{00000000-0005-0000-0000-0000E6470000}"/>
    <cellStyle name="Input [yellow] 4 2 2 5 2" xfId="42902" xr:uid="{00000000-0005-0000-0000-0000E7470000}"/>
    <cellStyle name="Input [yellow] 4 2 2 5 3" xfId="39641" xr:uid="{00000000-0005-0000-0000-0000E8470000}"/>
    <cellStyle name="Input [yellow] 4 2 2 5 4" xfId="32421" xr:uid="{00000000-0005-0000-0000-0000E9470000}"/>
    <cellStyle name="Input [yellow] 4 2 2 6" xfId="13073" xr:uid="{00000000-0005-0000-0000-0000EA470000}"/>
    <cellStyle name="Input [yellow] 4 2 2 6 2" xfId="42294" xr:uid="{00000000-0005-0000-0000-0000EB470000}"/>
    <cellStyle name="Input [yellow] 4 2 2 6 3" xfId="42558" xr:uid="{00000000-0005-0000-0000-0000EC470000}"/>
    <cellStyle name="Input [yellow] 4 2 2 6 4" xfId="30722" xr:uid="{00000000-0005-0000-0000-0000ED470000}"/>
    <cellStyle name="Input [yellow] 4 2 2 7" xfId="20196" xr:uid="{00000000-0005-0000-0000-0000EE470000}"/>
    <cellStyle name="Input [yellow] 4 2 2 7 2" xfId="45733" xr:uid="{00000000-0005-0000-0000-0000EF470000}"/>
    <cellStyle name="Input [yellow] 4 2 2 7 3" xfId="49639" xr:uid="{00000000-0005-0000-0000-0000F0470000}"/>
    <cellStyle name="Input [yellow] 4 2 2 7 4" xfId="37679" xr:uid="{00000000-0005-0000-0000-0000F1470000}"/>
    <cellStyle name="Input [yellow] 4 2 2 8" xfId="12669" xr:uid="{00000000-0005-0000-0000-0000F2470000}"/>
    <cellStyle name="Input [yellow] 4 2 2 8 2" xfId="42148" xr:uid="{00000000-0005-0000-0000-0000F3470000}"/>
    <cellStyle name="Input [yellow] 4 2 2 8 3" xfId="43689" xr:uid="{00000000-0005-0000-0000-0000F4470000}"/>
    <cellStyle name="Input [yellow] 4 2 2 8 4" xfId="30333" xr:uid="{00000000-0005-0000-0000-0000F5470000}"/>
    <cellStyle name="Input [yellow] 4 2 2 9" xfId="19209" xr:uid="{00000000-0005-0000-0000-0000F6470000}"/>
    <cellStyle name="Input [yellow] 4 2 2 9 2" xfId="44746" xr:uid="{00000000-0005-0000-0000-0000F7470000}"/>
    <cellStyle name="Input [yellow] 4 2 2 9 3" xfId="48652" xr:uid="{00000000-0005-0000-0000-0000F8470000}"/>
    <cellStyle name="Input [yellow] 4 2 2 9 4" xfId="36794" xr:uid="{00000000-0005-0000-0000-0000F9470000}"/>
    <cellStyle name="Input [yellow] 4 2 3" xfId="10447" xr:uid="{00000000-0005-0000-0000-0000FA470000}"/>
    <cellStyle name="Input [yellow] 4 2 3 2" xfId="18240" xr:uid="{00000000-0005-0000-0000-0000FB470000}"/>
    <cellStyle name="Input [yellow] 4 2 3 2 2" xfId="43787" xr:uid="{00000000-0005-0000-0000-0000FC470000}"/>
    <cellStyle name="Input [yellow] 4 2 3 2 3" xfId="47696" xr:uid="{00000000-0005-0000-0000-0000FD470000}"/>
    <cellStyle name="Input [yellow] 4 2 3 2 4" xfId="35877" xr:uid="{00000000-0005-0000-0000-0000FE470000}"/>
    <cellStyle name="Input [yellow] 4 2 3 3" xfId="19442" xr:uid="{00000000-0005-0000-0000-0000FF470000}"/>
    <cellStyle name="Input [yellow] 4 2 3 3 2" xfId="44979" xr:uid="{00000000-0005-0000-0000-000000480000}"/>
    <cellStyle name="Input [yellow] 4 2 3 3 3" xfId="48885" xr:uid="{00000000-0005-0000-0000-000001480000}"/>
    <cellStyle name="Input [yellow] 4 2 3 3 4" xfId="37007" xr:uid="{00000000-0005-0000-0000-000002480000}"/>
    <cellStyle name="Input [yellow] 4 2 3 4" xfId="20387" xr:uid="{00000000-0005-0000-0000-000003480000}"/>
    <cellStyle name="Input [yellow] 4 2 3 4 2" xfId="45924" xr:uid="{00000000-0005-0000-0000-000004480000}"/>
    <cellStyle name="Input [yellow] 4 2 3 4 3" xfId="49830" xr:uid="{00000000-0005-0000-0000-000005480000}"/>
    <cellStyle name="Input [yellow] 4 2 3 4 4" xfId="37841" xr:uid="{00000000-0005-0000-0000-000006480000}"/>
    <cellStyle name="Input [yellow] 4 2 3 5" xfId="20653" xr:uid="{00000000-0005-0000-0000-000007480000}"/>
    <cellStyle name="Input [yellow] 4 2 3 5 2" xfId="46190" xr:uid="{00000000-0005-0000-0000-000008480000}"/>
    <cellStyle name="Input [yellow] 4 2 3 5 3" xfId="50096" xr:uid="{00000000-0005-0000-0000-000009480000}"/>
    <cellStyle name="Input [yellow] 4 2 3 5 4" xfId="38059" xr:uid="{00000000-0005-0000-0000-00000A480000}"/>
    <cellStyle name="Input [yellow] 4 2 3 6" xfId="21306" xr:uid="{00000000-0005-0000-0000-00000B480000}"/>
    <cellStyle name="Input [yellow] 4 2 3 6 2" xfId="46843" xr:uid="{00000000-0005-0000-0000-00000C480000}"/>
    <cellStyle name="Input [yellow] 4 2 3 6 3" xfId="50749" xr:uid="{00000000-0005-0000-0000-00000D480000}"/>
    <cellStyle name="Input [yellow] 4 2 3 7" xfId="40646" xr:uid="{00000000-0005-0000-0000-00000E480000}"/>
    <cellStyle name="Input [yellow] 4 2 3 8" xfId="39205" xr:uid="{00000000-0005-0000-0000-00000F480000}"/>
    <cellStyle name="Input [yellow] 4 2 4" xfId="7784" xr:uid="{00000000-0005-0000-0000-000010480000}"/>
    <cellStyle name="Input [yellow] 4 2 4 2" xfId="15581" xr:uid="{00000000-0005-0000-0000-000011480000}"/>
    <cellStyle name="Input [yellow] 4 2 4 2 2" xfId="43260" xr:uid="{00000000-0005-0000-0000-000012480000}"/>
    <cellStyle name="Input [yellow] 4 2 4 2 3" xfId="39262" xr:uid="{00000000-0005-0000-0000-000013480000}"/>
    <cellStyle name="Input [yellow] 4 2 4 2 4" xfId="33216" xr:uid="{00000000-0005-0000-0000-000014480000}"/>
    <cellStyle name="Input [yellow] 4 2 4 3" xfId="11428" xr:uid="{00000000-0005-0000-0000-000015480000}"/>
    <cellStyle name="Input [yellow] 4 2 4 3 2" xfId="41453" xr:uid="{00000000-0005-0000-0000-000016480000}"/>
    <cellStyle name="Input [yellow] 4 2 4 3 3" xfId="47578" xr:uid="{00000000-0005-0000-0000-000017480000}"/>
    <cellStyle name="Input [yellow] 4 2 4 3 4" xfId="29149" xr:uid="{00000000-0005-0000-0000-000018480000}"/>
    <cellStyle name="Input [yellow] 4 2 4 4" xfId="18990" xr:uid="{00000000-0005-0000-0000-000019480000}"/>
    <cellStyle name="Input [yellow] 4 2 4 4 2" xfId="44527" xr:uid="{00000000-0005-0000-0000-00001A480000}"/>
    <cellStyle name="Input [yellow] 4 2 4 4 3" xfId="48433" xr:uid="{00000000-0005-0000-0000-00001B480000}"/>
    <cellStyle name="Input [yellow] 4 2 4 4 4" xfId="36612" xr:uid="{00000000-0005-0000-0000-00001C480000}"/>
    <cellStyle name="Input [yellow] 4 2 4 5" xfId="20114" xr:uid="{00000000-0005-0000-0000-00001D480000}"/>
    <cellStyle name="Input [yellow] 4 2 4 5 2" xfId="45651" xr:uid="{00000000-0005-0000-0000-00001E480000}"/>
    <cellStyle name="Input [yellow] 4 2 4 5 3" xfId="49557" xr:uid="{00000000-0005-0000-0000-00001F480000}"/>
    <cellStyle name="Input [yellow] 4 2 4 5 4" xfId="37602" xr:uid="{00000000-0005-0000-0000-000020480000}"/>
    <cellStyle name="Input [yellow] 4 2 4 6" xfId="18988" xr:uid="{00000000-0005-0000-0000-000021480000}"/>
    <cellStyle name="Input [yellow] 4 2 4 6 2" xfId="44525" xr:uid="{00000000-0005-0000-0000-000022480000}"/>
    <cellStyle name="Input [yellow] 4 2 4 6 3" xfId="48431" xr:uid="{00000000-0005-0000-0000-000023480000}"/>
    <cellStyle name="Input [yellow] 4 2 4 7" xfId="40119" xr:uid="{00000000-0005-0000-0000-000024480000}"/>
    <cellStyle name="Input [yellow] 4 2 4 8" xfId="43418" xr:uid="{00000000-0005-0000-0000-000025480000}"/>
    <cellStyle name="Input [yellow] 4 2 5" xfId="52983" xr:uid="{00000000-0005-0000-0000-000026480000}"/>
    <cellStyle name="Input [yellow] 4 3" xfId="1787" xr:uid="{00000000-0005-0000-0000-000027480000}"/>
    <cellStyle name="Input [yellow] 4 3 2" xfId="6999" xr:uid="{00000000-0005-0000-0000-000028480000}"/>
    <cellStyle name="Input [yellow] 4 3 2 10" xfId="39763" xr:uid="{00000000-0005-0000-0000-000029480000}"/>
    <cellStyle name="Input [yellow] 4 3 2 11" xfId="43280" xr:uid="{00000000-0005-0000-0000-00002A480000}"/>
    <cellStyle name="Input [yellow] 4 3 2 2" xfId="10529" xr:uid="{00000000-0005-0000-0000-00002B480000}"/>
    <cellStyle name="Input [yellow] 4 3 2 2 2" xfId="18322" xr:uid="{00000000-0005-0000-0000-00002C480000}"/>
    <cellStyle name="Input [yellow] 4 3 2 2 2 2" xfId="43869" xr:uid="{00000000-0005-0000-0000-00002D480000}"/>
    <cellStyle name="Input [yellow] 4 3 2 2 2 3" xfId="47778" xr:uid="{00000000-0005-0000-0000-00002E480000}"/>
    <cellStyle name="Input [yellow] 4 3 2 2 2 4" xfId="35959" xr:uid="{00000000-0005-0000-0000-00002F480000}"/>
    <cellStyle name="Input [yellow] 4 3 2 2 3" xfId="13322" xr:uid="{00000000-0005-0000-0000-000030480000}"/>
    <cellStyle name="Input [yellow] 4 3 2 2 3 2" xfId="42492" xr:uid="{00000000-0005-0000-0000-000031480000}"/>
    <cellStyle name="Input [yellow] 4 3 2 2 3 3" xfId="39648" xr:uid="{00000000-0005-0000-0000-000032480000}"/>
    <cellStyle name="Input [yellow] 4 3 2 2 3 4" xfId="30962" xr:uid="{00000000-0005-0000-0000-000033480000}"/>
    <cellStyle name="Input [yellow] 4 3 2 2 4" xfId="18966" xr:uid="{00000000-0005-0000-0000-000034480000}"/>
    <cellStyle name="Input [yellow] 4 3 2 2 4 2" xfId="44503" xr:uid="{00000000-0005-0000-0000-000035480000}"/>
    <cellStyle name="Input [yellow] 4 3 2 2 4 3" xfId="48409" xr:uid="{00000000-0005-0000-0000-000036480000}"/>
    <cellStyle name="Input [yellow] 4 3 2 2 4 4" xfId="36592" xr:uid="{00000000-0005-0000-0000-000037480000}"/>
    <cellStyle name="Input [yellow] 4 3 2 2 5" xfId="20735" xr:uid="{00000000-0005-0000-0000-000038480000}"/>
    <cellStyle name="Input [yellow] 4 3 2 2 5 2" xfId="46272" xr:uid="{00000000-0005-0000-0000-000039480000}"/>
    <cellStyle name="Input [yellow] 4 3 2 2 5 3" xfId="50178" xr:uid="{00000000-0005-0000-0000-00003A480000}"/>
    <cellStyle name="Input [yellow] 4 3 2 2 5 4" xfId="38141" xr:uid="{00000000-0005-0000-0000-00003B480000}"/>
    <cellStyle name="Input [yellow] 4 3 2 2 6" xfId="21388" xr:uid="{00000000-0005-0000-0000-00003C480000}"/>
    <cellStyle name="Input [yellow] 4 3 2 2 6 2" xfId="46925" xr:uid="{00000000-0005-0000-0000-00003D480000}"/>
    <cellStyle name="Input [yellow] 4 3 2 2 6 3" xfId="50831" xr:uid="{00000000-0005-0000-0000-00003E480000}"/>
    <cellStyle name="Input [yellow] 4 3 2 2 7" xfId="40728" xr:uid="{00000000-0005-0000-0000-00003F480000}"/>
    <cellStyle name="Input [yellow] 4 3 2 2 8" xfId="43640" xr:uid="{00000000-0005-0000-0000-000040480000}"/>
    <cellStyle name="Input [yellow] 4 3 2 3" xfId="10824" xr:uid="{00000000-0005-0000-0000-000041480000}"/>
    <cellStyle name="Input [yellow] 4 3 2 3 2" xfId="18617" xr:uid="{00000000-0005-0000-0000-000042480000}"/>
    <cellStyle name="Input [yellow] 4 3 2 3 2 2" xfId="44164" xr:uid="{00000000-0005-0000-0000-000043480000}"/>
    <cellStyle name="Input [yellow] 4 3 2 3 2 3" xfId="48073" xr:uid="{00000000-0005-0000-0000-000044480000}"/>
    <cellStyle name="Input [yellow] 4 3 2 3 2 4" xfId="36254" xr:uid="{00000000-0005-0000-0000-000045480000}"/>
    <cellStyle name="Input [yellow] 4 3 2 3 3" xfId="19279" xr:uid="{00000000-0005-0000-0000-000046480000}"/>
    <cellStyle name="Input [yellow] 4 3 2 3 3 2" xfId="44816" xr:uid="{00000000-0005-0000-0000-000047480000}"/>
    <cellStyle name="Input [yellow] 4 3 2 3 3 3" xfId="48722" xr:uid="{00000000-0005-0000-0000-000048480000}"/>
    <cellStyle name="Input [yellow] 4 3 2 3 3 4" xfId="36857" xr:uid="{00000000-0005-0000-0000-000049480000}"/>
    <cellStyle name="Input [yellow] 4 3 2 3 4" xfId="20132" xr:uid="{00000000-0005-0000-0000-00004A480000}"/>
    <cellStyle name="Input [yellow] 4 3 2 3 4 2" xfId="45669" xr:uid="{00000000-0005-0000-0000-00004B480000}"/>
    <cellStyle name="Input [yellow] 4 3 2 3 4 3" xfId="49575" xr:uid="{00000000-0005-0000-0000-00004C480000}"/>
    <cellStyle name="Input [yellow] 4 3 2 3 4 4" xfId="37618" xr:uid="{00000000-0005-0000-0000-00004D480000}"/>
    <cellStyle name="Input [yellow] 4 3 2 3 5" xfId="21030" xr:uid="{00000000-0005-0000-0000-00004E480000}"/>
    <cellStyle name="Input [yellow] 4 3 2 3 5 2" xfId="46567" xr:uid="{00000000-0005-0000-0000-00004F480000}"/>
    <cellStyle name="Input [yellow] 4 3 2 3 5 3" xfId="50473" xr:uid="{00000000-0005-0000-0000-000050480000}"/>
    <cellStyle name="Input [yellow] 4 3 2 3 5 4" xfId="38436" xr:uid="{00000000-0005-0000-0000-000051480000}"/>
    <cellStyle name="Input [yellow] 4 3 2 3 6" xfId="21683" xr:uid="{00000000-0005-0000-0000-000052480000}"/>
    <cellStyle name="Input [yellow] 4 3 2 3 6 2" xfId="47220" xr:uid="{00000000-0005-0000-0000-000053480000}"/>
    <cellStyle name="Input [yellow] 4 3 2 3 6 3" xfId="51126" xr:uid="{00000000-0005-0000-0000-000054480000}"/>
    <cellStyle name="Input [yellow] 4 3 2 3 7" xfId="41023" xr:uid="{00000000-0005-0000-0000-000055480000}"/>
    <cellStyle name="Input [yellow] 4 3 2 3 8" xfId="40378" xr:uid="{00000000-0005-0000-0000-000056480000}"/>
    <cellStyle name="Input [yellow] 4 3 2 4" xfId="10174" xr:uid="{00000000-0005-0000-0000-000057480000}"/>
    <cellStyle name="Input [yellow] 4 3 2 4 2" xfId="17967" xr:uid="{00000000-0005-0000-0000-000058480000}"/>
    <cellStyle name="Input [yellow] 4 3 2 4 2 2" xfId="43757" xr:uid="{00000000-0005-0000-0000-000059480000}"/>
    <cellStyle name="Input [yellow] 4 3 2 4 2 3" xfId="47680" xr:uid="{00000000-0005-0000-0000-00005A480000}"/>
    <cellStyle name="Input [yellow] 4 3 2 4 2 4" xfId="35604" xr:uid="{00000000-0005-0000-0000-00005B480000}"/>
    <cellStyle name="Input [yellow] 4 3 2 4 3" xfId="19628" xr:uid="{00000000-0005-0000-0000-00005C480000}"/>
    <cellStyle name="Input [yellow] 4 3 2 4 3 2" xfId="45165" xr:uid="{00000000-0005-0000-0000-00005D480000}"/>
    <cellStyle name="Input [yellow] 4 3 2 4 3 3" xfId="49071" xr:uid="{00000000-0005-0000-0000-00005E480000}"/>
    <cellStyle name="Input [yellow] 4 3 2 4 3 4" xfId="37167" xr:uid="{00000000-0005-0000-0000-00005F480000}"/>
    <cellStyle name="Input [yellow] 4 3 2 4 4" xfId="19248" xr:uid="{00000000-0005-0000-0000-000060480000}"/>
    <cellStyle name="Input [yellow] 4 3 2 4 4 2" xfId="44785" xr:uid="{00000000-0005-0000-0000-000061480000}"/>
    <cellStyle name="Input [yellow] 4 3 2 4 4 3" xfId="48691" xr:uid="{00000000-0005-0000-0000-000062480000}"/>
    <cellStyle name="Input [yellow] 4 3 2 4 4 4" xfId="36826" xr:uid="{00000000-0005-0000-0000-000063480000}"/>
    <cellStyle name="Input [yellow] 4 3 2 4 5" xfId="20637" xr:uid="{00000000-0005-0000-0000-000064480000}"/>
    <cellStyle name="Input [yellow] 4 3 2 4 5 2" xfId="46174" xr:uid="{00000000-0005-0000-0000-000065480000}"/>
    <cellStyle name="Input [yellow] 4 3 2 4 5 3" xfId="50080" xr:uid="{00000000-0005-0000-0000-000066480000}"/>
    <cellStyle name="Input [yellow] 4 3 2 4 5 4" xfId="38043" xr:uid="{00000000-0005-0000-0000-000067480000}"/>
    <cellStyle name="Input [yellow] 4 3 2 4 6" xfId="21290" xr:uid="{00000000-0005-0000-0000-000068480000}"/>
    <cellStyle name="Input [yellow] 4 3 2 4 6 2" xfId="46827" xr:uid="{00000000-0005-0000-0000-000069480000}"/>
    <cellStyle name="Input [yellow] 4 3 2 4 6 3" xfId="50733" xr:uid="{00000000-0005-0000-0000-00006A480000}"/>
    <cellStyle name="Input [yellow] 4 3 2 4 7" xfId="40616" xr:uid="{00000000-0005-0000-0000-00006B480000}"/>
    <cellStyle name="Input [yellow] 4 3 2 4 8" xfId="43533" xr:uid="{00000000-0005-0000-0000-00006C480000}"/>
    <cellStyle name="Input [yellow] 4 3 2 5" xfId="14787" xr:uid="{00000000-0005-0000-0000-00006D480000}"/>
    <cellStyle name="Input [yellow] 4 3 2 5 2" xfId="42903" xr:uid="{00000000-0005-0000-0000-00006E480000}"/>
    <cellStyle name="Input [yellow] 4 3 2 5 3" xfId="42677" xr:uid="{00000000-0005-0000-0000-00006F480000}"/>
    <cellStyle name="Input [yellow] 4 3 2 5 4" xfId="32422" xr:uid="{00000000-0005-0000-0000-000070480000}"/>
    <cellStyle name="Input [yellow] 4 3 2 6" xfId="13074" xr:uid="{00000000-0005-0000-0000-000071480000}"/>
    <cellStyle name="Input [yellow] 4 3 2 6 2" xfId="42295" xr:uid="{00000000-0005-0000-0000-000072480000}"/>
    <cellStyle name="Input [yellow] 4 3 2 6 3" xfId="43469" xr:uid="{00000000-0005-0000-0000-000073480000}"/>
    <cellStyle name="Input [yellow] 4 3 2 6 4" xfId="30723" xr:uid="{00000000-0005-0000-0000-000074480000}"/>
    <cellStyle name="Input [yellow] 4 3 2 7" xfId="13245" xr:uid="{00000000-0005-0000-0000-000075480000}"/>
    <cellStyle name="Input [yellow] 4 3 2 7 2" xfId="42426" xr:uid="{00000000-0005-0000-0000-000076480000}"/>
    <cellStyle name="Input [yellow] 4 3 2 7 3" xfId="43575" xr:uid="{00000000-0005-0000-0000-000077480000}"/>
    <cellStyle name="Input [yellow] 4 3 2 7 4" xfId="30890" xr:uid="{00000000-0005-0000-0000-000078480000}"/>
    <cellStyle name="Input [yellow] 4 3 2 8" xfId="20373" xr:uid="{00000000-0005-0000-0000-000079480000}"/>
    <cellStyle name="Input [yellow] 4 3 2 8 2" xfId="45910" xr:uid="{00000000-0005-0000-0000-00007A480000}"/>
    <cellStyle name="Input [yellow] 4 3 2 8 3" xfId="49816" xr:uid="{00000000-0005-0000-0000-00007B480000}"/>
    <cellStyle name="Input [yellow] 4 3 2 8 4" xfId="37829" xr:uid="{00000000-0005-0000-0000-00007C480000}"/>
    <cellStyle name="Input [yellow] 4 3 2 9" xfId="19863" xr:uid="{00000000-0005-0000-0000-00007D480000}"/>
    <cellStyle name="Input [yellow] 4 3 2 9 2" xfId="45400" xr:uid="{00000000-0005-0000-0000-00007E480000}"/>
    <cellStyle name="Input [yellow] 4 3 2 9 3" xfId="49306" xr:uid="{00000000-0005-0000-0000-00007F480000}"/>
    <cellStyle name="Input [yellow] 4 3 2 9 4" xfId="37377" xr:uid="{00000000-0005-0000-0000-000080480000}"/>
    <cellStyle name="Input [yellow] 4 3 3" xfId="10448" xr:uid="{00000000-0005-0000-0000-000081480000}"/>
    <cellStyle name="Input [yellow] 4 3 3 2" xfId="18241" xr:uid="{00000000-0005-0000-0000-000082480000}"/>
    <cellStyle name="Input [yellow] 4 3 3 2 2" xfId="43788" xr:uid="{00000000-0005-0000-0000-000083480000}"/>
    <cellStyle name="Input [yellow] 4 3 3 2 3" xfId="47697" xr:uid="{00000000-0005-0000-0000-000084480000}"/>
    <cellStyle name="Input [yellow] 4 3 3 2 4" xfId="35878" xr:uid="{00000000-0005-0000-0000-000085480000}"/>
    <cellStyle name="Input [yellow] 4 3 3 3" xfId="20049" xr:uid="{00000000-0005-0000-0000-000086480000}"/>
    <cellStyle name="Input [yellow] 4 3 3 3 2" xfId="45586" xr:uid="{00000000-0005-0000-0000-000087480000}"/>
    <cellStyle name="Input [yellow] 4 3 3 3 3" xfId="49492" xr:uid="{00000000-0005-0000-0000-000088480000}"/>
    <cellStyle name="Input [yellow] 4 3 3 3 4" xfId="37547" xr:uid="{00000000-0005-0000-0000-000089480000}"/>
    <cellStyle name="Input [yellow] 4 3 3 4" xfId="20193" xr:uid="{00000000-0005-0000-0000-00008A480000}"/>
    <cellStyle name="Input [yellow] 4 3 3 4 2" xfId="45730" xr:uid="{00000000-0005-0000-0000-00008B480000}"/>
    <cellStyle name="Input [yellow] 4 3 3 4 3" xfId="49636" xr:uid="{00000000-0005-0000-0000-00008C480000}"/>
    <cellStyle name="Input [yellow] 4 3 3 4 4" xfId="37676" xr:uid="{00000000-0005-0000-0000-00008D480000}"/>
    <cellStyle name="Input [yellow] 4 3 3 5" xfId="20654" xr:uid="{00000000-0005-0000-0000-00008E480000}"/>
    <cellStyle name="Input [yellow] 4 3 3 5 2" xfId="46191" xr:uid="{00000000-0005-0000-0000-00008F480000}"/>
    <cellStyle name="Input [yellow] 4 3 3 5 3" xfId="50097" xr:uid="{00000000-0005-0000-0000-000090480000}"/>
    <cellStyle name="Input [yellow] 4 3 3 5 4" xfId="38060" xr:uid="{00000000-0005-0000-0000-000091480000}"/>
    <cellStyle name="Input [yellow] 4 3 3 6" xfId="21307" xr:uid="{00000000-0005-0000-0000-000092480000}"/>
    <cellStyle name="Input [yellow] 4 3 3 6 2" xfId="46844" xr:uid="{00000000-0005-0000-0000-000093480000}"/>
    <cellStyle name="Input [yellow] 4 3 3 6 3" xfId="50750" xr:uid="{00000000-0005-0000-0000-000094480000}"/>
    <cellStyle name="Input [yellow] 4 3 3 7" xfId="40647" xr:uid="{00000000-0005-0000-0000-000095480000}"/>
    <cellStyle name="Input [yellow] 4 3 3 8" xfId="40030" xr:uid="{00000000-0005-0000-0000-000096480000}"/>
    <cellStyle name="Input [yellow] 4 3 4" xfId="7785" xr:uid="{00000000-0005-0000-0000-000097480000}"/>
    <cellStyle name="Input [yellow] 4 3 4 2" xfId="15582" xr:uid="{00000000-0005-0000-0000-000098480000}"/>
    <cellStyle name="Input [yellow] 4 3 4 2 2" xfId="43261" xr:uid="{00000000-0005-0000-0000-000099480000}"/>
    <cellStyle name="Input [yellow] 4 3 4 2 3" xfId="39054" xr:uid="{00000000-0005-0000-0000-00009A480000}"/>
    <cellStyle name="Input [yellow] 4 3 4 2 4" xfId="33217" xr:uid="{00000000-0005-0000-0000-00009B480000}"/>
    <cellStyle name="Input [yellow] 4 3 4 3" xfId="13264" xr:uid="{00000000-0005-0000-0000-00009C480000}"/>
    <cellStyle name="Input [yellow] 4 3 4 3 2" xfId="42434" xr:uid="{00000000-0005-0000-0000-00009D480000}"/>
    <cellStyle name="Input [yellow] 4 3 4 3 3" xfId="42686" xr:uid="{00000000-0005-0000-0000-00009E480000}"/>
    <cellStyle name="Input [yellow] 4 3 4 3 4" xfId="30909" xr:uid="{00000000-0005-0000-0000-00009F480000}"/>
    <cellStyle name="Input [yellow] 4 3 4 4" xfId="19847" xr:uid="{00000000-0005-0000-0000-0000A0480000}"/>
    <cellStyle name="Input [yellow] 4 3 4 4 2" xfId="45384" xr:uid="{00000000-0005-0000-0000-0000A1480000}"/>
    <cellStyle name="Input [yellow] 4 3 4 4 3" xfId="49290" xr:uid="{00000000-0005-0000-0000-0000A2480000}"/>
    <cellStyle name="Input [yellow] 4 3 4 4 4" xfId="37363" xr:uid="{00000000-0005-0000-0000-0000A3480000}"/>
    <cellStyle name="Input [yellow] 4 3 4 5" xfId="11674" xr:uid="{00000000-0005-0000-0000-0000A4480000}"/>
    <cellStyle name="Input [yellow] 4 3 4 5 2" xfId="41685" xr:uid="{00000000-0005-0000-0000-0000A5480000}"/>
    <cellStyle name="Input [yellow] 4 3 4 5 3" xfId="40457" xr:uid="{00000000-0005-0000-0000-0000A6480000}"/>
    <cellStyle name="Input [yellow] 4 3 4 5 4" xfId="29368" xr:uid="{00000000-0005-0000-0000-0000A7480000}"/>
    <cellStyle name="Input [yellow] 4 3 4 6" xfId="19010" xr:uid="{00000000-0005-0000-0000-0000A8480000}"/>
    <cellStyle name="Input [yellow] 4 3 4 6 2" xfId="44547" xr:uid="{00000000-0005-0000-0000-0000A9480000}"/>
    <cellStyle name="Input [yellow] 4 3 4 6 3" xfId="48453" xr:uid="{00000000-0005-0000-0000-0000AA480000}"/>
    <cellStyle name="Input [yellow] 4 3 4 7" xfId="40120" xr:uid="{00000000-0005-0000-0000-0000AB480000}"/>
    <cellStyle name="Input [yellow] 4 3 4 8" xfId="40280" xr:uid="{00000000-0005-0000-0000-0000AC480000}"/>
    <cellStyle name="Input [yellow] 4 4" xfId="6997" xr:uid="{00000000-0005-0000-0000-0000AD480000}"/>
    <cellStyle name="Input [yellow] 4 4 10" xfId="39761" xr:uid="{00000000-0005-0000-0000-0000AE480000}"/>
    <cellStyle name="Input [yellow] 4 4 11" xfId="47605" xr:uid="{00000000-0005-0000-0000-0000AF480000}"/>
    <cellStyle name="Input [yellow] 4 4 2" xfId="10527" xr:uid="{00000000-0005-0000-0000-0000B0480000}"/>
    <cellStyle name="Input [yellow] 4 4 2 2" xfId="18320" xr:uid="{00000000-0005-0000-0000-0000B1480000}"/>
    <cellStyle name="Input [yellow] 4 4 2 2 2" xfId="43867" xr:uid="{00000000-0005-0000-0000-0000B2480000}"/>
    <cellStyle name="Input [yellow] 4 4 2 2 3" xfId="47776" xr:uid="{00000000-0005-0000-0000-0000B3480000}"/>
    <cellStyle name="Input [yellow] 4 4 2 2 4" xfId="35957" xr:uid="{00000000-0005-0000-0000-0000B4480000}"/>
    <cellStyle name="Input [yellow] 4 4 2 3" xfId="19761" xr:uid="{00000000-0005-0000-0000-0000B5480000}"/>
    <cellStyle name="Input [yellow] 4 4 2 3 2" xfId="45298" xr:uid="{00000000-0005-0000-0000-0000B6480000}"/>
    <cellStyle name="Input [yellow] 4 4 2 3 3" xfId="49204" xr:uid="{00000000-0005-0000-0000-0000B7480000}"/>
    <cellStyle name="Input [yellow] 4 4 2 3 4" xfId="37288" xr:uid="{00000000-0005-0000-0000-0000B8480000}"/>
    <cellStyle name="Input [yellow] 4 4 2 4" xfId="12652" xr:uid="{00000000-0005-0000-0000-0000B9480000}"/>
    <cellStyle name="Input [yellow] 4 4 2 4 2" xfId="42131" xr:uid="{00000000-0005-0000-0000-0000BA480000}"/>
    <cellStyle name="Input [yellow] 4 4 2 4 3" xfId="42697" xr:uid="{00000000-0005-0000-0000-0000BB480000}"/>
    <cellStyle name="Input [yellow] 4 4 2 4 4" xfId="30317" xr:uid="{00000000-0005-0000-0000-0000BC480000}"/>
    <cellStyle name="Input [yellow] 4 4 2 5" xfId="20733" xr:uid="{00000000-0005-0000-0000-0000BD480000}"/>
    <cellStyle name="Input [yellow] 4 4 2 5 2" xfId="46270" xr:uid="{00000000-0005-0000-0000-0000BE480000}"/>
    <cellStyle name="Input [yellow] 4 4 2 5 3" xfId="50176" xr:uid="{00000000-0005-0000-0000-0000BF480000}"/>
    <cellStyle name="Input [yellow] 4 4 2 5 4" xfId="38139" xr:uid="{00000000-0005-0000-0000-0000C0480000}"/>
    <cellStyle name="Input [yellow] 4 4 2 6" xfId="21386" xr:uid="{00000000-0005-0000-0000-0000C1480000}"/>
    <cellStyle name="Input [yellow] 4 4 2 6 2" xfId="46923" xr:uid="{00000000-0005-0000-0000-0000C2480000}"/>
    <cellStyle name="Input [yellow] 4 4 2 6 3" xfId="50829" xr:uid="{00000000-0005-0000-0000-0000C3480000}"/>
    <cellStyle name="Input [yellow] 4 4 2 7" xfId="40726" xr:uid="{00000000-0005-0000-0000-0000C4480000}"/>
    <cellStyle name="Input [yellow] 4 4 2 8" xfId="39714" xr:uid="{00000000-0005-0000-0000-0000C5480000}"/>
    <cellStyle name="Input [yellow] 4 4 3" xfId="10822" xr:uid="{00000000-0005-0000-0000-0000C6480000}"/>
    <cellStyle name="Input [yellow] 4 4 3 2" xfId="18615" xr:uid="{00000000-0005-0000-0000-0000C7480000}"/>
    <cellStyle name="Input [yellow] 4 4 3 2 2" xfId="44162" xr:uid="{00000000-0005-0000-0000-0000C8480000}"/>
    <cellStyle name="Input [yellow] 4 4 3 2 3" xfId="48071" xr:uid="{00000000-0005-0000-0000-0000C9480000}"/>
    <cellStyle name="Input [yellow] 4 4 3 2 4" xfId="36252" xr:uid="{00000000-0005-0000-0000-0000CA480000}"/>
    <cellStyle name="Input [yellow] 4 4 3 3" xfId="19406" xr:uid="{00000000-0005-0000-0000-0000CB480000}"/>
    <cellStyle name="Input [yellow] 4 4 3 3 2" xfId="44943" xr:uid="{00000000-0005-0000-0000-0000CC480000}"/>
    <cellStyle name="Input [yellow] 4 4 3 3 3" xfId="48849" xr:uid="{00000000-0005-0000-0000-0000CD480000}"/>
    <cellStyle name="Input [yellow] 4 4 3 3 4" xfId="36971" xr:uid="{00000000-0005-0000-0000-0000CE480000}"/>
    <cellStyle name="Input [yellow] 4 4 3 4" xfId="18884" xr:uid="{00000000-0005-0000-0000-0000CF480000}"/>
    <cellStyle name="Input [yellow] 4 4 3 4 2" xfId="44421" xr:uid="{00000000-0005-0000-0000-0000D0480000}"/>
    <cellStyle name="Input [yellow] 4 4 3 4 3" xfId="48327" xr:uid="{00000000-0005-0000-0000-0000D1480000}"/>
    <cellStyle name="Input [yellow] 4 4 3 4 4" xfId="36521" xr:uid="{00000000-0005-0000-0000-0000D2480000}"/>
    <cellStyle name="Input [yellow] 4 4 3 5" xfId="21028" xr:uid="{00000000-0005-0000-0000-0000D3480000}"/>
    <cellStyle name="Input [yellow] 4 4 3 5 2" xfId="46565" xr:uid="{00000000-0005-0000-0000-0000D4480000}"/>
    <cellStyle name="Input [yellow] 4 4 3 5 3" xfId="50471" xr:uid="{00000000-0005-0000-0000-0000D5480000}"/>
    <cellStyle name="Input [yellow] 4 4 3 5 4" xfId="38434" xr:uid="{00000000-0005-0000-0000-0000D6480000}"/>
    <cellStyle name="Input [yellow] 4 4 3 6" xfId="21681" xr:uid="{00000000-0005-0000-0000-0000D7480000}"/>
    <cellStyle name="Input [yellow] 4 4 3 6 2" xfId="47218" xr:uid="{00000000-0005-0000-0000-0000D8480000}"/>
    <cellStyle name="Input [yellow] 4 4 3 6 3" xfId="51124" xr:uid="{00000000-0005-0000-0000-0000D9480000}"/>
    <cellStyle name="Input [yellow] 4 4 3 7" xfId="41021" xr:uid="{00000000-0005-0000-0000-0000DA480000}"/>
    <cellStyle name="Input [yellow] 4 4 3 8" xfId="42602" xr:uid="{00000000-0005-0000-0000-0000DB480000}"/>
    <cellStyle name="Input [yellow] 4 4 4" xfId="10172" xr:uid="{00000000-0005-0000-0000-0000DC480000}"/>
    <cellStyle name="Input [yellow] 4 4 4 2" xfId="17965" xr:uid="{00000000-0005-0000-0000-0000DD480000}"/>
    <cellStyle name="Input [yellow] 4 4 4 2 2" xfId="43755" xr:uid="{00000000-0005-0000-0000-0000DE480000}"/>
    <cellStyle name="Input [yellow] 4 4 4 2 3" xfId="47678" xr:uid="{00000000-0005-0000-0000-0000DF480000}"/>
    <cellStyle name="Input [yellow] 4 4 4 2 4" xfId="35602" xr:uid="{00000000-0005-0000-0000-0000E0480000}"/>
    <cellStyle name="Input [yellow] 4 4 4 3" xfId="11474" xr:uid="{00000000-0005-0000-0000-0000E1480000}"/>
    <cellStyle name="Input [yellow] 4 4 4 3 2" xfId="41485" xr:uid="{00000000-0005-0000-0000-0000E2480000}"/>
    <cellStyle name="Input [yellow] 4 4 4 3 3" xfId="39173" xr:uid="{00000000-0005-0000-0000-0000E3480000}"/>
    <cellStyle name="Input [yellow] 4 4 4 3 4" xfId="29190" xr:uid="{00000000-0005-0000-0000-0000E4480000}"/>
    <cellStyle name="Input [yellow] 4 4 4 4" xfId="19852" xr:uid="{00000000-0005-0000-0000-0000E5480000}"/>
    <cellStyle name="Input [yellow] 4 4 4 4 2" xfId="45389" xr:uid="{00000000-0005-0000-0000-0000E6480000}"/>
    <cellStyle name="Input [yellow] 4 4 4 4 3" xfId="49295" xr:uid="{00000000-0005-0000-0000-0000E7480000}"/>
    <cellStyle name="Input [yellow] 4 4 4 4 4" xfId="37368" xr:uid="{00000000-0005-0000-0000-0000E8480000}"/>
    <cellStyle name="Input [yellow] 4 4 4 5" xfId="20635" xr:uid="{00000000-0005-0000-0000-0000E9480000}"/>
    <cellStyle name="Input [yellow] 4 4 4 5 2" xfId="46172" xr:uid="{00000000-0005-0000-0000-0000EA480000}"/>
    <cellStyle name="Input [yellow] 4 4 4 5 3" xfId="50078" xr:uid="{00000000-0005-0000-0000-0000EB480000}"/>
    <cellStyle name="Input [yellow] 4 4 4 5 4" xfId="38041" xr:uid="{00000000-0005-0000-0000-0000EC480000}"/>
    <cellStyle name="Input [yellow] 4 4 4 6" xfId="21288" xr:uid="{00000000-0005-0000-0000-0000ED480000}"/>
    <cellStyle name="Input [yellow] 4 4 4 6 2" xfId="46825" xr:uid="{00000000-0005-0000-0000-0000EE480000}"/>
    <cellStyle name="Input [yellow] 4 4 4 6 3" xfId="50731" xr:uid="{00000000-0005-0000-0000-0000EF480000}"/>
    <cellStyle name="Input [yellow] 4 4 4 7" xfId="40614" xr:uid="{00000000-0005-0000-0000-0000F0480000}"/>
    <cellStyle name="Input [yellow] 4 4 4 8" xfId="42620" xr:uid="{00000000-0005-0000-0000-0000F1480000}"/>
    <cellStyle name="Input [yellow] 4 4 5" xfId="14785" xr:uid="{00000000-0005-0000-0000-0000F2480000}"/>
    <cellStyle name="Input [yellow] 4 4 5 2" xfId="42901" xr:uid="{00000000-0005-0000-0000-0000F3480000}"/>
    <cellStyle name="Input [yellow] 4 4 5 3" xfId="40533" xr:uid="{00000000-0005-0000-0000-0000F4480000}"/>
    <cellStyle name="Input [yellow] 4 4 5 4" xfId="32420" xr:uid="{00000000-0005-0000-0000-0000F5480000}"/>
    <cellStyle name="Input [yellow] 4 4 6" xfId="13072" xr:uid="{00000000-0005-0000-0000-0000F6480000}"/>
    <cellStyle name="Input [yellow] 4 4 6 2" xfId="42293" xr:uid="{00000000-0005-0000-0000-0000F7480000}"/>
    <cellStyle name="Input [yellow] 4 4 6 3" xfId="39548" xr:uid="{00000000-0005-0000-0000-0000F8480000}"/>
    <cellStyle name="Input [yellow] 4 4 6 4" xfId="30721" xr:uid="{00000000-0005-0000-0000-0000F9480000}"/>
    <cellStyle name="Input [yellow] 4 4 7" xfId="19575" xr:uid="{00000000-0005-0000-0000-0000FA480000}"/>
    <cellStyle name="Input [yellow] 4 4 7 2" xfId="45112" xr:uid="{00000000-0005-0000-0000-0000FB480000}"/>
    <cellStyle name="Input [yellow] 4 4 7 3" xfId="49018" xr:uid="{00000000-0005-0000-0000-0000FC480000}"/>
    <cellStyle name="Input [yellow] 4 4 7 4" xfId="37115" xr:uid="{00000000-0005-0000-0000-0000FD480000}"/>
    <cellStyle name="Input [yellow] 4 4 8" xfId="19786" xr:uid="{00000000-0005-0000-0000-0000FE480000}"/>
    <cellStyle name="Input [yellow] 4 4 8 2" xfId="45323" xr:uid="{00000000-0005-0000-0000-0000FF480000}"/>
    <cellStyle name="Input [yellow] 4 4 8 3" xfId="49229" xr:uid="{00000000-0005-0000-0000-000000490000}"/>
    <cellStyle name="Input [yellow] 4 4 8 4" xfId="37311" xr:uid="{00000000-0005-0000-0000-000001490000}"/>
    <cellStyle name="Input [yellow] 4 4 9" xfId="20064" xr:uid="{00000000-0005-0000-0000-000002490000}"/>
    <cellStyle name="Input [yellow] 4 4 9 2" xfId="45601" xr:uid="{00000000-0005-0000-0000-000003490000}"/>
    <cellStyle name="Input [yellow] 4 4 9 3" xfId="49507" xr:uid="{00000000-0005-0000-0000-000004490000}"/>
    <cellStyle name="Input [yellow] 4 4 9 4" xfId="37559" xr:uid="{00000000-0005-0000-0000-000005490000}"/>
    <cellStyle name="Input [yellow] 4 5" xfId="10446" xr:uid="{00000000-0005-0000-0000-000006490000}"/>
    <cellStyle name="Input [yellow] 4 5 2" xfId="18239" xr:uid="{00000000-0005-0000-0000-000007490000}"/>
    <cellStyle name="Input [yellow] 4 5 2 2" xfId="43786" xr:uid="{00000000-0005-0000-0000-000008490000}"/>
    <cellStyle name="Input [yellow] 4 5 2 3" xfId="47695" xr:uid="{00000000-0005-0000-0000-000009490000}"/>
    <cellStyle name="Input [yellow] 4 5 2 4" xfId="35876" xr:uid="{00000000-0005-0000-0000-00000A490000}"/>
    <cellStyle name="Input [yellow] 4 5 3" xfId="20183" xr:uid="{00000000-0005-0000-0000-00000B490000}"/>
    <cellStyle name="Input [yellow] 4 5 3 2" xfId="45720" xr:uid="{00000000-0005-0000-0000-00000C490000}"/>
    <cellStyle name="Input [yellow] 4 5 3 3" xfId="49626" xr:uid="{00000000-0005-0000-0000-00000D490000}"/>
    <cellStyle name="Input [yellow] 4 5 3 4" xfId="37668" xr:uid="{00000000-0005-0000-0000-00000E490000}"/>
    <cellStyle name="Input [yellow] 4 5 4" xfId="19190" xr:uid="{00000000-0005-0000-0000-00000F490000}"/>
    <cellStyle name="Input [yellow] 4 5 4 2" xfId="44727" xr:uid="{00000000-0005-0000-0000-000010490000}"/>
    <cellStyle name="Input [yellow] 4 5 4 3" xfId="48633" xr:uid="{00000000-0005-0000-0000-000011490000}"/>
    <cellStyle name="Input [yellow] 4 5 4 4" xfId="36777" xr:uid="{00000000-0005-0000-0000-000012490000}"/>
    <cellStyle name="Input [yellow] 4 5 5" xfId="20652" xr:uid="{00000000-0005-0000-0000-000013490000}"/>
    <cellStyle name="Input [yellow] 4 5 5 2" xfId="46189" xr:uid="{00000000-0005-0000-0000-000014490000}"/>
    <cellStyle name="Input [yellow] 4 5 5 3" xfId="50095" xr:uid="{00000000-0005-0000-0000-000015490000}"/>
    <cellStyle name="Input [yellow] 4 5 5 4" xfId="38058" xr:uid="{00000000-0005-0000-0000-000016490000}"/>
    <cellStyle name="Input [yellow] 4 5 6" xfId="21305" xr:uid="{00000000-0005-0000-0000-000017490000}"/>
    <cellStyle name="Input [yellow] 4 5 6 2" xfId="46842" xr:uid="{00000000-0005-0000-0000-000018490000}"/>
    <cellStyle name="Input [yellow] 4 5 6 3" xfId="50748" xr:uid="{00000000-0005-0000-0000-000019490000}"/>
    <cellStyle name="Input [yellow] 4 5 7" xfId="40645" xr:uid="{00000000-0005-0000-0000-00001A490000}"/>
    <cellStyle name="Input [yellow] 4 5 8" xfId="39206" xr:uid="{00000000-0005-0000-0000-00001B490000}"/>
    <cellStyle name="Input [yellow] 4 6" xfId="7783" xr:uid="{00000000-0005-0000-0000-00001C490000}"/>
    <cellStyle name="Input [yellow] 4 6 2" xfId="15580" xr:uid="{00000000-0005-0000-0000-00001D490000}"/>
    <cellStyle name="Input [yellow] 4 6 2 2" xfId="43259" xr:uid="{00000000-0005-0000-0000-00001E490000}"/>
    <cellStyle name="Input [yellow] 4 6 2 3" xfId="40148" xr:uid="{00000000-0005-0000-0000-00001F490000}"/>
    <cellStyle name="Input [yellow] 4 6 2 4" xfId="33215" xr:uid="{00000000-0005-0000-0000-000020490000}"/>
    <cellStyle name="Input [yellow] 4 6 3" xfId="19810" xr:uid="{00000000-0005-0000-0000-000021490000}"/>
    <cellStyle name="Input [yellow] 4 6 3 2" xfId="45347" xr:uid="{00000000-0005-0000-0000-000022490000}"/>
    <cellStyle name="Input [yellow] 4 6 3 3" xfId="49253" xr:uid="{00000000-0005-0000-0000-000023490000}"/>
    <cellStyle name="Input [yellow] 4 6 3 4" xfId="37331" xr:uid="{00000000-0005-0000-0000-000024490000}"/>
    <cellStyle name="Input [yellow] 4 6 4" xfId="19181" xr:uid="{00000000-0005-0000-0000-000025490000}"/>
    <cellStyle name="Input [yellow] 4 6 4 2" xfId="44718" xr:uid="{00000000-0005-0000-0000-000026490000}"/>
    <cellStyle name="Input [yellow] 4 6 4 3" xfId="48624" xr:uid="{00000000-0005-0000-0000-000027490000}"/>
    <cellStyle name="Input [yellow] 4 6 4 4" xfId="36769" xr:uid="{00000000-0005-0000-0000-000028490000}"/>
    <cellStyle name="Input [yellow] 4 6 5" xfId="20524" xr:uid="{00000000-0005-0000-0000-000029490000}"/>
    <cellStyle name="Input [yellow] 4 6 5 2" xfId="46061" xr:uid="{00000000-0005-0000-0000-00002A490000}"/>
    <cellStyle name="Input [yellow] 4 6 5 3" xfId="49967" xr:uid="{00000000-0005-0000-0000-00002B490000}"/>
    <cellStyle name="Input [yellow] 4 6 5 4" xfId="37957" xr:uid="{00000000-0005-0000-0000-00002C490000}"/>
    <cellStyle name="Input [yellow] 4 6 6" xfId="19325" xr:uid="{00000000-0005-0000-0000-00002D490000}"/>
    <cellStyle name="Input [yellow] 4 6 6 2" xfId="44862" xr:uid="{00000000-0005-0000-0000-00002E490000}"/>
    <cellStyle name="Input [yellow] 4 6 6 3" xfId="48768" xr:uid="{00000000-0005-0000-0000-00002F490000}"/>
    <cellStyle name="Input [yellow] 4 6 7" xfId="40118" xr:uid="{00000000-0005-0000-0000-000030490000}"/>
    <cellStyle name="Input [yellow] 4 6 8" xfId="42184" xr:uid="{00000000-0005-0000-0000-000031490000}"/>
    <cellStyle name="Input [yellow] 4 7" xfId="52982" xr:uid="{00000000-0005-0000-0000-000032490000}"/>
    <cellStyle name="Input [yellow] 4_BallGrid" xfId="1788" xr:uid="{00000000-0005-0000-0000-000033490000}"/>
    <cellStyle name="Input [yellow] 5" xfId="1789" xr:uid="{00000000-0005-0000-0000-000034490000}"/>
    <cellStyle name="Input [yellow] 5 2" xfId="1790" xr:uid="{00000000-0005-0000-0000-000035490000}"/>
    <cellStyle name="Input [yellow] 5 2 2" xfId="7001" xr:uid="{00000000-0005-0000-0000-000036490000}"/>
    <cellStyle name="Input [yellow] 5 2 2 10" xfId="39765" xr:uid="{00000000-0005-0000-0000-000037490000}"/>
    <cellStyle name="Input [yellow] 5 2 2 11" xfId="43108" xr:uid="{00000000-0005-0000-0000-000038490000}"/>
    <cellStyle name="Input [yellow] 5 2 2 2" xfId="10531" xr:uid="{00000000-0005-0000-0000-000039490000}"/>
    <cellStyle name="Input [yellow] 5 2 2 2 2" xfId="18324" xr:uid="{00000000-0005-0000-0000-00003A490000}"/>
    <cellStyle name="Input [yellow] 5 2 2 2 2 2" xfId="43871" xr:uid="{00000000-0005-0000-0000-00003B490000}"/>
    <cellStyle name="Input [yellow] 5 2 2 2 2 3" xfId="47780" xr:uid="{00000000-0005-0000-0000-00003C490000}"/>
    <cellStyle name="Input [yellow] 5 2 2 2 2 4" xfId="35961" xr:uid="{00000000-0005-0000-0000-00003D490000}"/>
    <cellStyle name="Input [yellow] 5 2 2 2 3" xfId="20172" xr:uid="{00000000-0005-0000-0000-00003E490000}"/>
    <cellStyle name="Input [yellow] 5 2 2 2 3 2" xfId="45709" xr:uid="{00000000-0005-0000-0000-00003F490000}"/>
    <cellStyle name="Input [yellow] 5 2 2 2 3 3" xfId="49615" xr:uid="{00000000-0005-0000-0000-000040490000}"/>
    <cellStyle name="Input [yellow] 5 2 2 2 3 4" xfId="37658" xr:uid="{00000000-0005-0000-0000-000041490000}"/>
    <cellStyle name="Input [yellow] 5 2 2 2 4" xfId="12644" xr:uid="{00000000-0005-0000-0000-000042490000}"/>
    <cellStyle name="Input [yellow] 5 2 2 2 4 2" xfId="42123" xr:uid="{00000000-0005-0000-0000-000043490000}"/>
    <cellStyle name="Input [yellow] 5 2 2 2 4 3" xfId="39111" xr:uid="{00000000-0005-0000-0000-000044490000}"/>
    <cellStyle name="Input [yellow] 5 2 2 2 4 4" xfId="30309" xr:uid="{00000000-0005-0000-0000-000045490000}"/>
    <cellStyle name="Input [yellow] 5 2 2 2 5" xfId="20737" xr:uid="{00000000-0005-0000-0000-000046490000}"/>
    <cellStyle name="Input [yellow] 5 2 2 2 5 2" xfId="46274" xr:uid="{00000000-0005-0000-0000-000047490000}"/>
    <cellStyle name="Input [yellow] 5 2 2 2 5 3" xfId="50180" xr:uid="{00000000-0005-0000-0000-000048490000}"/>
    <cellStyle name="Input [yellow] 5 2 2 2 5 4" xfId="38143" xr:uid="{00000000-0005-0000-0000-000049490000}"/>
    <cellStyle name="Input [yellow] 5 2 2 2 6" xfId="21390" xr:uid="{00000000-0005-0000-0000-00004A490000}"/>
    <cellStyle name="Input [yellow] 5 2 2 2 6 2" xfId="46927" xr:uid="{00000000-0005-0000-0000-00004B490000}"/>
    <cellStyle name="Input [yellow] 5 2 2 2 6 3" xfId="50833" xr:uid="{00000000-0005-0000-0000-00004C490000}"/>
    <cellStyle name="Input [yellow] 5 2 2 2 7" xfId="40730" xr:uid="{00000000-0005-0000-0000-00004D490000}"/>
    <cellStyle name="Input [yellow] 5 2 2 2 8" xfId="39608" xr:uid="{00000000-0005-0000-0000-00004E490000}"/>
    <cellStyle name="Input [yellow] 5 2 2 3" xfId="10826" xr:uid="{00000000-0005-0000-0000-00004F490000}"/>
    <cellStyle name="Input [yellow] 5 2 2 3 2" xfId="18619" xr:uid="{00000000-0005-0000-0000-000050490000}"/>
    <cellStyle name="Input [yellow] 5 2 2 3 2 2" xfId="44166" xr:uid="{00000000-0005-0000-0000-000051490000}"/>
    <cellStyle name="Input [yellow] 5 2 2 3 2 3" xfId="48075" xr:uid="{00000000-0005-0000-0000-000052490000}"/>
    <cellStyle name="Input [yellow] 5 2 2 3 2 4" xfId="36256" xr:uid="{00000000-0005-0000-0000-000053490000}"/>
    <cellStyle name="Input [yellow] 5 2 2 3 3" xfId="19111" xr:uid="{00000000-0005-0000-0000-000054490000}"/>
    <cellStyle name="Input [yellow] 5 2 2 3 3 2" xfId="44648" xr:uid="{00000000-0005-0000-0000-000055490000}"/>
    <cellStyle name="Input [yellow] 5 2 2 3 3 3" xfId="48554" xr:uid="{00000000-0005-0000-0000-000056490000}"/>
    <cellStyle name="Input [yellow] 5 2 2 3 3 4" xfId="36706" xr:uid="{00000000-0005-0000-0000-000057490000}"/>
    <cellStyle name="Input [yellow] 5 2 2 3 4" xfId="19866" xr:uid="{00000000-0005-0000-0000-000058490000}"/>
    <cellStyle name="Input [yellow] 5 2 2 3 4 2" xfId="45403" xr:uid="{00000000-0005-0000-0000-000059490000}"/>
    <cellStyle name="Input [yellow] 5 2 2 3 4 3" xfId="49309" xr:uid="{00000000-0005-0000-0000-00005A490000}"/>
    <cellStyle name="Input [yellow] 5 2 2 3 4 4" xfId="37380" xr:uid="{00000000-0005-0000-0000-00005B490000}"/>
    <cellStyle name="Input [yellow] 5 2 2 3 5" xfId="21032" xr:uid="{00000000-0005-0000-0000-00005C490000}"/>
    <cellStyle name="Input [yellow] 5 2 2 3 5 2" xfId="46569" xr:uid="{00000000-0005-0000-0000-00005D490000}"/>
    <cellStyle name="Input [yellow] 5 2 2 3 5 3" xfId="50475" xr:uid="{00000000-0005-0000-0000-00005E490000}"/>
    <cellStyle name="Input [yellow] 5 2 2 3 5 4" xfId="38438" xr:uid="{00000000-0005-0000-0000-00005F490000}"/>
    <cellStyle name="Input [yellow] 5 2 2 3 6" xfId="21685" xr:uid="{00000000-0005-0000-0000-000060490000}"/>
    <cellStyle name="Input [yellow] 5 2 2 3 6 2" xfId="47222" xr:uid="{00000000-0005-0000-0000-000061490000}"/>
    <cellStyle name="Input [yellow] 5 2 2 3 6 3" xfId="51128" xr:uid="{00000000-0005-0000-0000-000062490000}"/>
    <cellStyle name="Input [yellow] 5 2 2 3 7" xfId="41025" xr:uid="{00000000-0005-0000-0000-000063490000}"/>
    <cellStyle name="Input [yellow] 5 2 2 3 8" xfId="42061" xr:uid="{00000000-0005-0000-0000-000064490000}"/>
    <cellStyle name="Input [yellow] 5 2 2 4" xfId="10176" xr:uid="{00000000-0005-0000-0000-000065490000}"/>
    <cellStyle name="Input [yellow] 5 2 2 4 2" xfId="17969" xr:uid="{00000000-0005-0000-0000-000066490000}"/>
    <cellStyle name="Input [yellow] 5 2 2 4 2 2" xfId="43759" xr:uid="{00000000-0005-0000-0000-000067490000}"/>
    <cellStyle name="Input [yellow] 5 2 2 4 2 3" xfId="47682" xr:uid="{00000000-0005-0000-0000-000068490000}"/>
    <cellStyle name="Input [yellow] 5 2 2 4 2 4" xfId="35606" xr:uid="{00000000-0005-0000-0000-000069490000}"/>
    <cellStyle name="Input [yellow] 5 2 2 4 3" xfId="19445" xr:uid="{00000000-0005-0000-0000-00006A490000}"/>
    <cellStyle name="Input [yellow] 5 2 2 4 3 2" xfId="44982" xr:uid="{00000000-0005-0000-0000-00006B490000}"/>
    <cellStyle name="Input [yellow] 5 2 2 4 3 3" xfId="48888" xr:uid="{00000000-0005-0000-0000-00006C490000}"/>
    <cellStyle name="Input [yellow] 5 2 2 4 3 4" xfId="37010" xr:uid="{00000000-0005-0000-0000-00006D490000}"/>
    <cellStyle name="Input [yellow] 5 2 2 4 4" xfId="12125" xr:uid="{00000000-0005-0000-0000-00006E490000}"/>
    <cellStyle name="Input [yellow] 5 2 2 4 4 2" xfId="41870" xr:uid="{00000000-0005-0000-0000-00006F490000}"/>
    <cellStyle name="Input [yellow] 5 2 2 4 4 3" xfId="47498" xr:uid="{00000000-0005-0000-0000-000070490000}"/>
    <cellStyle name="Input [yellow] 5 2 2 4 4 4" xfId="29798" xr:uid="{00000000-0005-0000-0000-000071490000}"/>
    <cellStyle name="Input [yellow] 5 2 2 4 5" xfId="20639" xr:uid="{00000000-0005-0000-0000-000072490000}"/>
    <cellStyle name="Input [yellow] 5 2 2 4 5 2" xfId="46176" xr:uid="{00000000-0005-0000-0000-000073490000}"/>
    <cellStyle name="Input [yellow] 5 2 2 4 5 3" xfId="50082" xr:uid="{00000000-0005-0000-0000-000074490000}"/>
    <cellStyle name="Input [yellow] 5 2 2 4 5 4" xfId="38045" xr:uid="{00000000-0005-0000-0000-000075490000}"/>
    <cellStyle name="Input [yellow] 5 2 2 4 6" xfId="21292" xr:uid="{00000000-0005-0000-0000-000076490000}"/>
    <cellStyle name="Input [yellow] 5 2 2 4 6 2" xfId="46829" xr:uid="{00000000-0005-0000-0000-000077490000}"/>
    <cellStyle name="Input [yellow] 5 2 2 4 6 3" xfId="50735" xr:uid="{00000000-0005-0000-0000-000078490000}"/>
    <cellStyle name="Input [yellow] 5 2 2 4 7" xfId="40618" xr:uid="{00000000-0005-0000-0000-000079490000}"/>
    <cellStyle name="Input [yellow] 5 2 2 4 8" xfId="39508" xr:uid="{00000000-0005-0000-0000-00007A490000}"/>
    <cellStyle name="Input [yellow] 5 2 2 5" xfId="14789" xr:uid="{00000000-0005-0000-0000-00007B490000}"/>
    <cellStyle name="Input [yellow] 5 2 2 5 2" xfId="42905" xr:uid="{00000000-0005-0000-0000-00007C490000}"/>
    <cellStyle name="Input [yellow] 5 2 2 5 3" xfId="40426" xr:uid="{00000000-0005-0000-0000-00007D490000}"/>
    <cellStyle name="Input [yellow] 5 2 2 5 4" xfId="32424" xr:uid="{00000000-0005-0000-0000-00007E490000}"/>
    <cellStyle name="Input [yellow] 5 2 2 6" xfId="13076" xr:uid="{00000000-0005-0000-0000-00007F490000}"/>
    <cellStyle name="Input [yellow] 5 2 2 6 2" xfId="42297" xr:uid="{00000000-0005-0000-0000-000080490000}"/>
    <cellStyle name="Input [yellow] 5 2 2 6 3" xfId="39448" xr:uid="{00000000-0005-0000-0000-000081490000}"/>
    <cellStyle name="Input [yellow] 5 2 2 6 4" xfId="30725" xr:uid="{00000000-0005-0000-0000-000082490000}"/>
    <cellStyle name="Input [yellow] 5 2 2 7" xfId="19800" xr:uid="{00000000-0005-0000-0000-000083490000}"/>
    <cellStyle name="Input [yellow] 5 2 2 7 2" xfId="45337" xr:uid="{00000000-0005-0000-0000-000084490000}"/>
    <cellStyle name="Input [yellow] 5 2 2 7 3" xfId="49243" xr:uid="{00000000-0005-0000-0000-000085490000}"/>
    <cellStyle name="Input [yellow] 5 2 2 7 4" xfId="37323" xr:uid="{00000000-0005-0000-0000-000086490000}"/>
    <cellStyle name="Input [yellow] 5 2 2 8" xfId="19363" xr:uid="{00000000-0005-0000-0000-000087490000}"/>
    <cellStyle name="Input [yellow] 5 2 2 8 2" xfId="44900" xr:uid="{00000000-0005-0000-0000-000088490000}"/>
    <cellStyle name="Input [yellow] 5 2 2 8 3" xfId="48806" xr:uid="{00000000-0005-0000-0000-000089490000}"/>
    <cellStyle name="Input [yellow] 5 2 2 8 4" xfId="36931" xr:uid="{00000000-0005-0000-0000-00008A490000}"/>
    <cellStyle name="Input [yellow] 5 2 2 9" xfId="12681" xr:uid="{00000000-0005-0000-0000-00008B490000}"/>
    <cellStyle name="Input [yellow] 5 2 2 9 2" xfId="42160" xr:uid="{00000000-0005-0000-0000-00008C490000}"/>
    <cellStyle name="Input [yellow] 5 2 2 9 3" xfId="43331" xr:uid="{00000000-0005-0000-0000-00008D490000}"/>
    <cellStyle name="Input [yellow] 5 2 2 9 4" xfId="30343" xr:uid="{00000000-0005-0000-0000-00008E490000}"/>
    <cellStyle name="Input [yellow] 5 2 3" xfId="10450" xr:uid="{00000000-0005-0000-0000-00008F490000}"/>
    <cellStyle name="Input [yellow] 5 2 3 2" xfId="18243" xr:uid="{00000000-0005-0000-0000-000090490000}"/>
    <cellStyle name="Input [yellow] 5 2 3 2 2" xfId="43790" xr:uid="{00000000-0005-0000-0000-000091490000}"/>
    <cellStyle name="Input [yellow] 5 2 3 2 3" xfId="47699" xr:uid="{00000000-0005-0000-0000-000092490000}"/>
    <cellStyle name="Input [yellow] 5 2 3 2 4" xfId="35880" xr:uid="{00000000-0005-0000-0000-000093490000}"/>
    <cellStyle name="Input [yellow] 5 2 3 3" xfId="19924" xr:uid="{00000000-0005-0000-0000-000094490000}"/>
    <cellStyle name="Input [yellow] 5 2 3 3 2" xfId="45461" xr:uid="{00000000-0005-0000-0000-000095490000}"/>
    <cellStyle name="Input [yellow] 5 2 3 3 3" xfId="49367" xr:uid="{00000000-0005-0000-0000-000096490000}"/>
    <cellStyle name="Input [yellow] 5 2 3 3 4" xfId="37438" xr:uid="{00000000-0005-0000-0000-000097490000}"/>
    <cellStyle name="Input [yellow] 5 2 3 4" xfId="19951" xr:uid="{00000000-0005-0000-0000-000098490000}"/>
    <cellStyle name="Input [yellow] 5 2 3 4 2" xfId="45488" xr:uid="{00000000-0005-0000-0000-000099490000}"/>
    <cellStyle name="Input [yellow] 5 2 3 4 3" xfId="49394" xr:uid="{00000000-0005-0000-0000-00009A490000}"/>
    <cellStyle name="Input [yellow] 5 2 3 4 4" xfId="37457" xr:uid="{00000000-0005-0000-0000-00009B490000}"/>
    <cellStyle name="Input [yellow] 5 2 3 5" xfId="20656" xr:uid="{00000000-0005-0000-0000-00009C490000}"/>
    <cellStyle name="Input [yellow] 5 2 3 5 2" xfId="46193" xr:uid="{00000000-0005-0000-0000-00009D490000}"/>
    <cellStyle name="Input [yellow] 5 2 3 5 3" xfId="50099" xr:uid="{00000000-0005-0000-0000-00009E490000}"/>
    <cellStyle name="Input [yellow] 5 2 3 5 4" xfId="38062" xr:uid="{00000000-0005-0000-0000-00009F490000}"/>
    <cellStyle name="Input [yellow] 5 2 3 6" xfId="21309" xr:uid="{00000000-0005-0000-0000-0000A0490000}"/>
    <cellStyle name="Input [yellow] 5 2 3 6 2" xfId="46846" xr:uid="{00000000-0005-0000-0000-0000A1490000}"/>
    <cellStyle name="Input [yellow] 5 2 3 6 3" xfId="50752" xr:uid="{00000000-0005-0000-0000-0000A2490000}"/>
    <cellStyle name="Input [yellow] 5 2 3 7" xfId="40649" xr:uid="{00000000-0005-0000-0000-0000A3490000}"/>
    <cellStyle name="Input [yellow] 5 2 3 8" xfId="43403" xr:uid="{00000000-0005-0000-0000-0000A4490000}"/>
    <cellStyle name="Input [yellow] 5 2 4" xfId="7787" xr:uid="{00000000-0005-0000-0000-0000A5490000}"/>
    <cellStyle name="Input [yellow] 5 2 4 2" xfId="15584" xr:uid="{00000000-0005-0000-0000-0000A6490000}"/>
    <cellStyle name="Input [yellow] 5 2 4 2 2" xfId="43263" xr:uid="{00000000-0005-0000-0000-0000A7490000}"/>
    <cellStyle name="Input [yellow] 5 2 4 2 3" xfId="43175" xr:uid="{00000000-0005-0000-0000-0000A8490000}"/>
    <cellStyle name="Input [yellow] 5 2 4 2 4" xfId="33219" xr:uid="{00000000-0005-0000-0000-0000A9490000}"/>
    <cellStyle name="Input [yellow] 5 2 4 3" xfId="20215" xr:uid="{00000000-0005-0000-0000-0000AA490000}"/>
    <cellStyle name="Input [yellow] 5 2 4 3 2" xfId="45752" xr:uid="{00000000-0005-0000-0000-0000AB490000}"/>
    <cellStyle name="Input [yellow] 5 2 4 3 3" xfId="49658" xr:uid="{00000000-0005-0000-0000-0000AC490000}"/>
    <cellStyle name="Input [yellow] 5 2 4 3 4" xfId="37692" xr:uid="{00000000-0005-0000-0000-0000AD490000}"/>
    <cellStyle name="Input [yellow] 5 2 4 4" xfId="20470" xr:uid="{00000000-0005-0000-0000-0000AE490000}"/>
    <cellStyle name="Input [yellow] 5 2 4 4 2" xfId="46007" xr:uid="{00000000-0005-0000-0000-0000AF490000}"/>
    <cellStyle name="Input [yellow] 5 2 4 4 3" xfId="49913" xr:uid="{00000000-0005-0000-0000-0000B0490000}"/>
    <cellStyle name="Input [yellow] 5 2 4 4 4" xfId="37923" xr:uid="{00000000-0005-0000-0000-0000B1490000}"/>
    <cellStyle name="Input [yellow] 5 2 4 5" xfId="12668" xr:uid="{00000000-0005-0000-0000-0000B2490000}"/>
    <cellStyle name="Input [yellow] 5 2 4 5 2" xfId="42147" xr:uid="{00000000-0005-0000-0000-0000B3490000}"/>
    <cellStyle name="Input [yellow] 5 2 4 5 3" xfId="42802" xr:uid="{00000000-0005-0000-0000-0000B4490000}"/>
    <cellStyle name="Input [yellow] 5 2 4 5 4" xfId="30332" xr:uid="{00000000-0005-0000-0000-0000B5490000}"/>
    <cellStyle name="Input [yellow] 5 2 4 6" xfId="11549" xr:uid="{00000000-0005-0000-0000-0000B6490000}"/>
    <cellStyle name="Input [yellow] 5 2 4 6 2" xfId="41560" xr:uid="{00000000-0005-0000-0000-0000B7490000}"/>
    <cellStyle name="Input [yellow] 5 2 4 6 3" xfId="39466" xr:uid="{00000000-0005-0000-0000-0000B8490000}"/>
    <cellStyle name="Input [yellow] 5 2 4 7" xfId="40122" xr:uid="{00000000-0005-0000-0000-0000B9490000}"/>
    <cellStyle name="Input [yellow] 5 2 4 8" xfId="39236" xr:uid="{00000000-0005-0000-0000-0000BA490000}"/>
    <cellStyle name="Input [yellow] 5 2 5" xfId="52985" xr:uid="{00000000-0005-0000-0000-0000BB490000}"/>
    <cellStyle name="Input [yellow] 5 3" xfId="1791" xr:uid="{00000000-0005-0000-0000-0000BC490000}"/>
    <cellStyle name="Input [yellow] 5 3 2" xfId="7002" xr:uid="{00000000-0005-0000-0000-0000BD490000}"/>
    <cellStyle name="Input [yellow] 5 3 2 10" xfId="39766" xr:uid="{00000000-0005-0000-0000-0000BE490000}"/>
    <cellStyle name="Input [yellow] 5 3 2 11" xfId="43775" xr:uid="{00000000-0005-0000-0000-0000BF490000}"/>
    <cellStyle name="Input [yellow] 5 3 2 2" xfId="10532" xr:uid="{00000000-0005-0000-0000-0000C0490000}"/>
    <cellStyle name="Input [yellow] 5 3 2 2 2" xfId="18325" xr:uid="{00000000-0005-0000-0000-0000C1490000}"/>
    <cellStyle name="Input [yellow] 5 3 2 2 2 2" xfId="43872" xr:uid="{00000000-0005-0000-0000-0000C2490000}"/>
    <cellStyle name="Input [yellow] 5 3 2 2 2 3" xfId="47781" xr:uid="{00000000-0005-0000-0000-0000C3490000}"/>
    <cellStyle name="Input [yellow] 5 3 2 2 2 4" xfId="35962" xr:uid="{00000000-0005-0000-0000-0000C4490000}"/>
    <cellStyle name="Input [yellow] 5 3 2 2 3" xfId="19431" xr:uid="{00000000-0005-0000-0000-0000C5490000}"/>
    <cellStyle name="Input [yellow] 5 3 2 2 3 2" xfId="44968" xr:uid="{00000000-0005-0000-0000-0000C6490000}"/>
    <cellStyle name="Input [yellow] 5 3 2 2 3 3" xfId="48874" xr:uid="{00000000-0005-0000-0000-0000C7490000}"/>
    <cellStyle name="Input [yellow] 5 3 2 2 3 4" xfId="36996" xr:uid="{00000000-0005-0000-0000-0000C8490000}"/>
    <cellStyle name="Input [yellow] 5 3 2 2 4" xfId="20326" xr:uid="{00000000-0005-0000-0000-0000C9490000}"/>
    <cellStyle name="Input [yellow] 5 3 2 2 4 2" xfId="45863" xr:uid="{00000000-0005-0000-0000-0000CA490000}"/>
    <cellStyle name="Input [yellow] 5 3 2 2 4 3" xfId="49769" xr:uid="{00000000-0005-0000-0000-0000CB490000}"/>
    <cellStyle name="Input [yellow] 5 3 2 2 4 4" xfId="37790" xr:uid="{00000000-0005-0000-0000-0000CC490000}"/>
    <cellStyle name="Input [yellow] 5 3 2 2 5" xfId="20738" xr:uid="{00000000-0005-0000-0000-0000CD490000}"/>
    <cellStyle name="Input [yellow] 5 3 2 2 5 2" xfId="46275" xr:uid="{00000000-0005-0000-0000-0000CE490000}"/>
    <cellStyle name="Input [yellow] 5 3 2 2 5 3" xfId="50181" xr:uid="{00000000-0005-0000-0000-0000CF490000}"/>
    <cellStyle name="Input [yellow] 5 3 2 2 5 4" xfId="38144" xr:uid="{00000000-0005-0000-0000-0000D0490000}"/>
    <cellStyle name="Input [yellow] 5 3 2 2 6" xfId="21391" xr:uid="{00000000-0005-0000-0000-0000D1490000}"/>
    <cellStyle name="Input [yellow] 5 3 2 2 6 2" xfId="46928" xr:uid="{00000000-0005-0000-0000-0000D2490000}"/>
    <cellStyle name="Input [yellow] 5 3 2 2 6 3" xfId="50834" xr:uid="{00000000-0005-0000-0000-0000D3490000}"/>
    <cellStyle name="Input [yellow] 5 3 2 2 7" xfId="40731" xr:uid="{00000000-0005-0000-0000-0000D4490000}"/>
    <cellStyle name="Input [yellow] 5 3 2 2 8" xfId="42616" xr:uid="{00000000-0005-0000-0000-0000D5490000}"/>
    <cellStyle name="Input [yellow] 5 3 2 3" xfId="10827" xr:uid="{00000000-0005-0000-0000-0000D6490000}"/>
    <cellStyle name="Input [yellow] 5 3 2 3 2" xfId="18620" xr:uid="{00000000-0005-0000-0000-0000D7490000}"/>
    <cellStyle name="Input [yellow] 5 3 2 3 2 2" xfId="44167" xr:uid="{00000000-0005-0000-0000-0000D8490000}"/>
    <cellStyle name="Input [yellow] 5 3 2 3 2 3" xfId="48076" xr:uid="{00000000-0005-0000-0000-0000D9490000}"/>
    <cellStyle name="Input [yellow] 5 3 2 3 2 4" xfId="36257" xr:uid="{00000000-0005-0000-0000-0000DA490000}"/>
    <cellStyle name="Input [yellow] 5 3 2 3 3" xfId="11514" xr:uid="{00000000-0005-0000-0000-0000DB490000}"/>
    <cellStyle name="Input [yellow] 5 3 2 3 3 2" xfId="41525" xr:uid="{00000000-0005-0000-0000-0000DC490000}"/>
    <cellStyle name="Input [yellow] 5 3 2 3 3 3" xfId="39171" xr:uid="{00000000-0005-0000-0000-0000DD490000}"/>
    <cellStyle name="Input [yellow] 5 3 2 3 3 4" xfId="29229" xr:uid="{00000000-0005-0000-0000-0000DE490000}"/>
    <cellStyle name="Input [yellow] 5 3 2 3 4" xfId="11684" xr:uid="{00000000-0005-0000-0000-0000DF490000}"/>
    <cellStyle name="Input [yellow] 5 3 2 3 4 2" xfId="41695" xr:uid="{00000000-0005-0000-0000-0000E0490000}"/>
    <cellStyle name="Input [yellow] 5 3 2 3 4 3" xfId="39162" xr:uid="{00000000-0005-0000-0000-0000E1490000}"/>
    <cellStyle name="Input [yellow] 5 3 2 3 4 4" xfId="29377" xr:uid="{00000000-0005-0000-0000-0000E2490000}"/>
    <cellStyle name="Input [yellow] 5 3 2 3 5" xfId="21033" xr:uid="{00000000-0005-0000-0000-0000E3490000}"/>
    <cellStyle name="Input [yellow] 5 3 2 3 5 2" xfId="46570" xr:uid="{00000000-0005-0000-0000-0000E4490000}"/>
    <cellStyle name="Input [yellow] 5 3 2 3 5 3" xfId="50476" xr:uid="{00000000-0005-0000-0000-0000E5490000}"/>
    <cellStyle name="Input [yellow] 5 3 2 3 5 4" xfId="38439" xr:uid="{00000000-0005-0000-0000-0000E6490000}"/>
    <cellStyle name="Input [yellow] 5 3 2 3 6" xfId="21686" xr:uid="{00000000-0005-0000-0000-0000E7490000}"/>
    <cellStyle name="Input [yellow] 5 3 2 3 6 2" xfId="47223" xr:uid="{00000000-0005-0000-0000-0000E8490000}"/>
    <cellStyle name="Input [yellow] 5 3 2 3 6 3" xfId="51129" xr:uid="{00000000-0005-0000-0000-0000E9490000}"/>
    <cellStyle name="Input [yellow] 5 3 2 3 7" xfId="41026" xr:uid="{00000000-0005-0000-0000-0000EA490000}"/>
    <cellStyle name="Input [yellow] 5 3 2 3 8" xfId="43380" xr:uid="{00000000-0005-0000-0000-0000EB490000}"/>
    <cellStyle name="Input [yellow] 5 3 2 4" xfId="10177" xr:uid="{00000000-0005-0000-0000-0000EC490000}"/>
    <cellStyle name="Input [yellow] 5 3 2 4 2" xfId="17970" xr:uid="{00000000-0005-0000-0000-0000ED490000}"/>
    <cellStyle name="Input [yellow] 5 3 2 4 2 2" xfId="43760" xr:uid="{00000000-0005-0000-0000-0000EE490000}"/>
    <cellStyle name="Input [yellow] 5 3 2 4 2 3" xfId="47683" xr:uid="{00000000-0005-0000-0000-0000EF490000}"/>
    <cellStyle name="Input [yellow] 5 3 2 4 2 4" xfId="35607" xr:uid="{00000000-0005-0000-0000-0000F0490000}"/>
    <cellStyle name="Input [yellow] 5 3 2 4 3" xfId="20054" xr:uid="{00000000-0005-0000-0000-0000F1490000}"/>
    <cellStyle name="Input [yellow] 5 3 2 4 3 2" xfId="45591" xr:uid="{00000000-0005-0000-0000-0000F2490000}"/>
    <cellStyle name="Input [yellow] 5 3 2 4 3 3" xfId="49497" xr:uid="{00000000-0005-0000-0000-0000F3490000}"/>
    <cellStyle name="Input [yellow] 5 3 2 4 3 4" xfId="37550" xr:uid="{00000000-0005-0000-0000-0000F4490000}"/>
    <cellStyle name="Input [yellow] 5 3 2 4 4" xfId="11884" xr:uid="{00000000-0005-0000-0000-0000F5490000}"/>
    <cellStyle name="Input [yellow] 5 3 2 4 4 2" xfId="41774" xr:uid="{00000000-0005-0000-0000-0000F6490000}"/>
    <cellStyle name="Input [yellow] 5 3 2 4 4 3" xfId="42811" xr:uid="{00000000-0005-0000-0000-0000F7490000}"/>
    <cellStyle name="Input [yellow] 5 3 2 4 4 4" xfId="29567" xr:uid="{00000000-0005-0000-0000-0000F8490000}"/>
    <cellStyle name="Input [yellow] 5 3 2 4 5" xfId="20640" xr:uid="{00000000-0005-0000-0000-0000F9490000}"/>
    <cellStyle name="Input [yellow] 5 3 2 4 5 2" xfId="46177" xr:uid="{00000000-0005-0000-0000-0000FA490000}"/>
    <cellStyle name="Input [yellow] 5 3 2 4 5 3" xfId="50083" xr:uid="{00000000-0005-0000-0000-0000FB490000}"/>
    <cellStyle name="Input [yellow] 5 3 2 4 5 4" xfId="38046" xr:uid="{00000000-0005-0000-0000-0000FC490000}"/>
    <cellStyle name="Input [yellow] 5 3 2 4 6" xfId="21293" xr:uid="{00000000-0005-0000-0000-0000FD490000}"/>
    <cellStyle name="Input [yellow] 5 3 2 4 6 2" xfId="46830" xr:uid="{00000000-0005-0000-0000-0000FE490000}"/>
    <cellStyle name="Input [yellow] 5 3 2 4 6 3" xfId="50736" xr:uid="{00000000-0005-0000-0000-0000FF490000}"/>
    <cellStyle name="Input [yellow] 5 3 2 4 7" xfId="40619" xr:uid="{00000000-0005-0000-0000-0000004A0000}"/>
    <cellStyle name="Input [yellow] 5 3 2 4 8" xfId="47519" xr:uid="{00000000-0005-0000-0000-0000014A0000}"/>
    <cellStyle name="Input [yellow] 5 3 2 5" xfId="14790" xr:uid="{00000000-0005-0000-0000-0000024A0000}"/>
    <cellStyle name="Input [yellow] 5 3 2 5 2" xfId="42906" xr:uid="{00000000-0005-0000-0000-0000034A0000}"/>
    <cellStyle name="Input [yellow] 5 3 2 5 3" xfId="39535" xr:uid="{00000000-0005-0000-0000-0000044A0000}"/>
    <cellStyle name="Input [yellow] 5 3 2 5 4" xfId="32425" xr:uid="{00000000-0005-0000-0000-0000054A0000}"/>
    <cellStyle name="Input [yellow] 5 3 2 6" xfId="13077" xr:uid="{00000000-0005-0000-0000-0000064A0000}"/>
    <cellStyle name="Input [yellow] 5 3 2 6 2" xfId="42298" xr:uid="{00000000-0005-0000-0000-0000074A0000}"/>
    <cellStyle name="Input [yellow] 5 3 2 6 3" xfId="39305" xr:uid="{00000000-0005-0000-0000-0000084A0000}"/>
    <cellStyle name="Input [yellow] 5 3 2 6 4" xfId="30726" xr:uid="{00000000-0005-0000-0000-0000094A0000}"/>
    <cellStyle name="Input [yellow] 5 3 2 7" xfId="20377" xr:uid="{00000000-0005-0000-0000-00000A4A0000}"/>
    <cellStyle name="Input [yellow] 5 3 2 7 2" xfId="45914" xr:uid="{00000000-0005-0000-0000-00000B4A0000}"/>
    <cellStyle name="Input [yellow] 5 3 2 7 3" xfId="49820" xr:uid="{00000000-0005-0000-0000-00000C4A0000}"/>
    <cellStyle name="Input [yellow] 5 3 2 7 4" xfId="37833" xr:uid="{00000000-0005-0000-0000-00000D4A0000}"/>
    <cellStyle name="Input [yellow] 5 3 2 8" xfId="20293" xr:uid="{00000000-0005-0000-0000-00000E4A0000}"/>
    <cellStyle name="Input [yellow] 5 3 2 8 2" xfId="45830" xr:uid="{00000000-0005-0000-0000-00000F4A0000}"/>
    <cellStyle name="Input [yellow] 5 3 2 8 3" xfId="49736" xr:uid="{00000000-0005-0000-0000-0000104A0000}"/>
    <cellStyle name="Input [yellow] 5 3 2 8 4" xfId="37760" xr:uid="{00000000-0005-0000-0000-0000114A0000}"/>
    <cellStyle name="Input [yellow] 5 3 2 9" xfId="19002" xr:uid="{00000000-0005-0000-0000-0000124A0000}"/>
    <cellStyle name="Input [yellow] 5 3 2 9 2" xfId="44539" xr:uid="{00000000-0005-0000-0000-0000134A0000}"/>
    <cellStyle name="Input [yellow] 5 3 2 9 3" xfId="48445" xr:uid="{00000000-0005-0000-0000-0000144A0000}"/>
    <cellStyle name="Input [yellow] 5 3 2 9 4" xfId="36624" xr:uid="{00000000-0005-0000-0000-0000154A0000}"/>
    <cellStyle name="Input [yellow] 5 3 3" xfId="10451" xr:uid="{00000000-0005-0000-0000-0000164A0000}"/>
    <cellStyle name="Input [yellow] 5 3 3 2" xfId="18244" xr:uid="{00000000-0005-0000-0000-0000174A0000}"/>
    <cellStyle name="Input [yellow] 5 3 3 2 2" xfId="43791" xr:uid="{00000000-0005-0000-0000-0000184A0000}"/>
    <cellStyle name="Input [yellow] 5 3 3 2 3" xfId="47700" xr:uid="{00000000-0005-0000-0000-0000194A0000}"/>
    <cellStyle name="Input [yellow] 5 3 3 2 4" xfId="35881" xr:uid="{00000000-0005-0000-0000-00001A4A0000}"/>
    <cellStyle name="Input [yellow] 5 3 3 3" xfId="19147" xr:uid="{00000000-0005-0000-0000-00001B4A0000}"/>
    <cellStyle name="Input [yellow] 5 3 3 3 2" xfId="44684" xr:uid="{00000000-0005-0000-0000-00001C4A0000}"/>
    <cellStyle name="Input [yellow] 5 3 3 3 3" xfId="48590" xr:uid="{00000000-0005-0000-0000-00001D4A0000}"/>
    <cellStyle name="Input [yellow] 5 3 3 3 4" xfId="36742" xr:uid="{00000000-0005-0000-0000-00001E4A0000}"/>
    <cellStyle name="Input [yellow] 5 3 3 4" xfId="19033" xr:uid="{00000000-0005-0000-0000-00001F4A0000}"/>
    <cellStyle name="Input [yellow] 5 3 3 4 2" xfId="44570" xr:uid="{00000000-0005-0000-0000-0000204A0000}"/>
    <cellStyle name="Input [yellow] 5 3 3 4 3" xfId="48476" xr:uid="{00000000-0005-0000-0000-0000214A0000}"/>
    <cellStyle name="Input [yellow] 5 3 3 4 4" xfId="36639" xr:uid="{00000000-0005-0000-0000-0000224A0000}"/>
    <cellStyle name="Input [yellow] 5 3 3 5" xfId="20657" xr:uid="{00000000-0005-0000-0000-0000234A0000}"/>
    <cellStyle name="Input [yellow] 5 3 3 5 2" xfId="46194" xr:uid="{00000000-0005-0000-0000-0000244A0000}"/>
    <cellStyle name="Input [yellow] 5 3 3 5 3" xfId="50100" xr:uid="{00000000-0005-0000-0000-0000254A0000}"/>
    <cellStyle name="Input [yellow] 5 3 3 5 4" xfId="38063" xr:uid="{00000000-0005-0000-0000-0000264A0000}"/>
    <cellStyle name="Input [yellow] 5 3 3 6" xfId="21310" xr:uid="{00000000-0005-0000-0000-0000274A0000}"/>
    <cellStyle name="Input [yellow] 5 3 3 6 2" xfId="46847" xr:uid="{00000000-0005-0000-0000-0000284A0000}"/>
    <cellStyle name="Input [yellow] 5 3 3 6 3" xfId="50753" xr:uid="{00000000-0005-0000-0000-0000294A0000}"/>
    <cellStyle name="Input [yellow] 5 3 3 7" xfId="40650" xr:uid="{00000000-0005-0000-0000-00002A4A0000}"/>
    <cellStyle name="Input [yellow] 5 3 3 8" xfId="40265" xr:uid="{00000000-0005-0000-0000-00002B4A0000}"/>
    <cellStyle name="Input [yellow] 5 3 4" xfId="7788" xr:uid="{00000000-0005-0000-0000-00002C4A0000}"/>
    <cellStyle name="Input [yellow] 5 3 4 2" xfId="15585" xr:uid="{00000000-0005-0000-0000-00002D4A0000}"/>
    <cellStyle name="Input [yellow] 5 3 4 2 2" xfId="43264" xr:uid="{00000000-0005-0000-0000-00002E4A0000}"/>
    <cellStyle name="Input [yellow] 5 3 4 2 3" xfId="40033" xr:uid="{00000000-0005-0000-0000-00002F4A0000}"/>
    <cellStyle name="Input [yellow] 5 3 4 2 4" xfId="33220" xr:uid="{00000000-0005-0000-0000-0000304A0000}"/>
    <cellStyle name="Input [yellow] 5 3 4 3" xfId="19482" xr:uid="{00000000-0005-0000-0000-0000314A0000}"/>
    <cellStyle name="Input [yellow] 5 3 4 3 2" xfId="45019" xr:uid="{00000000-0005-0000-0000-0000324A0000}"/>
    <cellStyle name="Input [yellow] 5 3 4 3 3" xfId="48925" xr:uid="{00000000-0005-0000-0000-0000334A0000}"/>
    <cellStyle name="Input [yellow] 5 3 4 3 4" xfId="37038" xr:uid="{00000000-0005-0000-0000-0000344A0000}"/>
    <cellStyle name="Input [yellow] 5 3 4 4" xfId="13296" xr:uid="{00000000-0005-0000-0000-0000354A0000}"/>
    <cellStyle name="Input [yellow] 5 3 4 4 2" xfId="42466" xr:uid="{00000000-0005-0000-0000-0000364A0000}"/>
    <cellStyle name="Input [yellow] 5 3 4 4 3" xfId="39071" xr:uid="{00000000-0005-0000-0000-0000374A0000}"/>
    <cellStyle name="Input [yellow] 5 3 4 4 4" xfId="30940" xr:uid="{00000000-0005-0000-0000-0000384A0000}"/>
    <cellStyle name="Input [yellow] 5 3 4 5" xfId="20350" xr:uid="{00000000-0005-0000-0000-0000394A0000}"/>
    <cellStyle name="Input [yellow] 5 3 4 5 2" xfId="45887" xr:uid="{00000000-0005-0000-0000-00003A4A0000}"/>
    <cellStyle name="Input [yellow] 5 3 4 5 3" xfId="49793" xr:uid="{00000000-0005-0000-0000-00003B4A0000}"/>
    <cellStyle name="Input [yellow] 5 3 4 5 4" xfId="37808" xr:uid="{00000000-0005-0000-0000-00003C4A0000}"/>
    <cellStyle name="Input [yellow] 5 3 4 6" xfId="20343" xr:uid="{00000000-0005-0000-0000-00003D4A0000}"/>
    <cellStyle name="Input [yellow] 5 3 4 6 2" xfId="45880" xr:uid="{00000000-0005-0000-0000-00003E4A0000}"/>
    <cellStyle name="Input [yellow] 5 3 4 6 3" xfId="49786" xr:uid="{00000000-0005-0000-0000-00003F4A0000}"/>
    <cellStyle name="Input [yellow] 5 3 4 7" xfId="40123" xr:uid="{00000000-0005-0000-0000-0000404A0000}"/>
    <cellStyle name="Input [yellow] 5 3 4 8" xfId="47475" xr:uid="{00000000-0005-0000-0000-0000414A0000}"/>
    <cellStyle name="Input [yellow] 5 4" xfId="7000" xr:uid="{00000000-0005-0000-0000-0000424A0000}"/>
    <cellStyle name="Input [yellow] 5 4 10" xfId="39764" xr:uid="{00000000-0005-0000-0000-0000434A0000}"/>
    <cellStyle name="Input [yellow] 5 4 11" xfId="40139" xr:uid="{00000000-0005-0000-0000-0000444A0000}"/>
    <cellStyle name="Input [yellow] 5 4 2" xfId="10530" xr:uid="{00000000-0005-0000-0000-0000454A0000}"/>
    <cellStyle name="Input [yellow] 5 4 2 2" xfId="18323" xr:uid="{00000000-0005-0000-0000-0000464A0000}"/>
    <cellStyle name="Input [yellow] 5 4 2 2 2" xfId="43870" xr:uid="{00000000-0005-0000-0000-0000474A0000}"/>
    <cellStyle name="Input [yellow] 5 4 2 2 3" xfId="47779" xr:uid="{00000000-0005-0000-0000-0000484A0000}"/>
    <cellStyle name="Input [yellow] 5 4 2 2 4" xfId="35960" xr:uid="{00000000-0005-0000-0000-0000494A0000}"/>
    <cellStyle name="Input [yellow] 5 4 2 3" xfId="19617" xr:uid="{00000000-0005-0000-0000-00004A4A0000}"/>
    <cellStyle name="Input [yellow] 5 4 2 3 2" xfId="45154" xr:uid="{00000000-0005-0000-0000-00004B4A0000}"/>
    <cellStyle name="Input [yellow] 5 4 2 3 3" xfId="49060" xr:uid="{00000000-0005-0000-0000-00004C4A0000}"/>
    <cellStyle name="Input [yellow] 5 4 2 3 4" xfId="37157" xr:uid="{00000000-0005-0000-0000-00004D4A0000}"/>
    <cellStyle name="Input [yellow] 5 4 2 4" xfId="19327" xr:uid="{00000000-0005-0000-0000-00004E4A0000}"/>
    <cellStyle name="Input [yellow] 5 4 2 4 2" xfId="44864" xr:uid="{00000000-0005-0000-0000-00004F4A0000}"/>
    <cellStyle name="Input [yellow] 5 4 2 4 3" xfId="48770" xr:uid="{00000000-0005-0000-0000-0000504A0000}"/>
    <cellStyle name="Input [yellow] 5 4 2 4 4" xfId="36903" xr:uid="{00000000-0005-0000-0000-0000514A0000}"/>
    <cellStyle name="Input [yellow] 5 4 2 5" xfId="20736" xr:uid="{00000000-0005-0000-0000-0000524A0000}"/>
    <cellStyle name="Input [yellow] 5 4 2 5 2" xfId="46273" xr:uid="{00000000-0005-0000-0000-0000534A0000}"/>
    <cellStyle name="Input [yellow] 5 4 2 5 3" xfId="50179" xr:uid="{00000000-0005-0000-0000-0000544A0000}"/>
    <cellStyle name="Input [yellow] 5 4 2 5 4" xfId="38142" xr:uid="{00000000-0005-0000-0000-0000554A0000}"/>
    <cellStyle name="Input [yellow] 5 4 2 6" xfId="21389" xr:uid="{00000000-0005-0000-0000-0000564A0000}"/>
    <cellStyle name="Input [yellow] 5 4 2 6 2" xfId="46926" xr:uid="{00000000-0005-0000-0000-0000574A0000}"/>
    <cellStyle name="Input [yellow] 5 4 2 6 3" xfId="50832" xr:uid="{00000000-0005-0000-0000-0000584A0000}"/>
    <cellStyle name="Input [yellow] 5 4 2 7" xfId="40729" xr:uid="{00000000-0005-0000-0000-0000594A0000}"/>
    <cellStyle name="Input [yellow] 5 4 2 8" xfId="40498" xr:uid="{00000000-0005-0000-0000-00005A4A0000}"/>
    <cellStyle name="Input [yellow] 5 4 3" xfId="10825" xr:uid="{00000000-0005-0000-0000-00005B4A0000}"/>
    <cellStyle name="Input [yellow] 5 4 3 2" xfId="18618" xr:uid="{00000000-0005-0000-0000-00005C4A0000}"/>
    <cellStyle name="Input [yellow] 5 4 3 2 2" xfId="44165" xr:uid="{00000000-0005-0000-0000-00005D4A0000}"/>
    <cellStyle name="Input [yellow] 5 4 3 2 3" xfId="48074" xr:uid="{00000000-0005-0000-0000-00005E4A0000}"/>
    <cellStyle name="Input [yellow] 5 4 3 2 4" xfId="36255" xr:uid="{00000000-0005-0000-0000-00005F4A0000}"/>
    <cellStyle name="Input [yellow] 5 4 3 3" xfId="19888" xr:uid="{00000000-0005-0000-0000-0000604A0000}"/>
    <cellStyle name="Input [yellow] 5 4 3 3 2" xfId="45425" xr:uid="{00000000-0005-0000-0000-0000614A0000}"/>
    <cellStyle name="Input [yellow] 5 4 3 3 3" xfId="49331" xr:uid="{00000000-0005-0000-0000-0000624A0000}"/>
    <cellStyle name="Input [yellow] 5 4 3 3 4" xfId="37402" xr:uid="{00000000-0005-0000-0000-0000634A0000}"/>
    <cellStyle name="Input [yellow] 5 4 3 4" xfId="12140" xr:uid="{00000000-0005-0000-0000-0000644A0000}"/>
    <cellStyle name="Input [yellow] 5 4 3 4 2" xfId="41885" xr:uid="{00000000-0005-0000-0000-0000654A0000}"/>
    <cellStyle name="Input [yellow] 5 4 3 4 3" xfId="43591" xr:uid="{00000000-0005-0000-0000-0000664A0000}"/>
    <cellStyle name="Input [yellow] 5 4 3 4 4" xfId="29812" xr:uid="{00000000-0005-0000-0000-0000674A0000}"/>
    <cellStyle name="Input [yellow] 5 4 3 5" xfId="21031" xr:uid="{00000000-0005-0000-0000-0000684A0000}"/>
    <cellStyle name="Input [yellow] 5 4 3 5 2" xfId="46568" xr:uid="{00000000-0005-0000-0000-0000694A0000}"/>
    <cellStyle name="Input [yellow] 5 4 3 5 3" xfId="50474" xr:uid="{00000000-0005-0000-0000-00006A4A0000}"/>
    <cellStyle name="Input [yellow] 5 4 3 5 4" xfId="38437" xr:uid="{00000000-0005-0000-0000-00006B4A0000}"/>
    <cellStyle name="Input [yellow] 5 4 3 6" xfId="21684" xr:uid="{00000000-0005-0000-0000-00006C4A0000}"/>
    <cellStyle name="Input [yellow] 5 4 3 6 2" xfId="47221" xr:uid="{00000000-0005-0000-0000-00006D4A0000}"/>
    <cellStyle name="Input [yellow] 5 4 3 6 3" xfId="51127" xr:uid="{00000000-0005-0000-0000-00006E4A0000}"/>
    <cellStyle name="Input [yellow] 5 4 3 7" xfId="41024" xr:uid="{00000000-0005-0000-0000-00006F4A0000}"/>
    <cellStyle name="Input [yellow] 5 4 3 8" xfId="39490" xr:uid="{00000000-0005-0000-0000-0000704A0000}"/>
    <cellStyle name="Input [yellow] 5 4 4" xfId="10175" xr:uid="{00000000-0005-0000-0000-0000714A0000}"/>
    <cellStyle name="Input [yellow] 5 4 4 2" xfId="17968" xr:uid="{00000000-0005-0000-0000-0000724A0000}"/>
    <cellStyle name="Input [yellow] 5 4 4 2 2" xfId="43758" xr:uid="{00000000-0005-0000-0000-0000734A0000}"/>
    <cellStyle name="Input [yellow] 5 4 4 2 3" xfId="47681" xr:uid="{00000000-0005-0000-0000-0000744A0000}"/>
    <cellStyle name="Input [yellow] 5 4 4 2 4" xfId="35605" xr:uid="{00000000-0005-0000-0000-0000754A0000}"/>
    <cellStyle name="Input [yellow] 5 4 4 3" xfId="20188" xr:uid="{00000000-0005-0000-0000-0000764A0000}"/>
    <cellStyle name="Input [yellow] 5 4 4 3 2" xfId="45725" xr:uid="{00000000-0005-0000-0000-0000774A0000}"/>
    <cellStyle name="Input [yellow] 5 4 4 3 3" xfId="49631" xr:uid="{00000000-0005-0000-0000-0000784A0000}"/>
    <cellStyle name="Input [yellow] 5 4 4 3 4" xfId="37672" xr:uid="{00000000-0005-0000-0000-0000794A0000}"/>
    <cellStyle name="Input [yellow] 5 4 4 4" xfId="20217" xr:uid="{00000000-0005-0000-0000-00007A4A0000}"/>
    <cellStyle name="Input [yellow] 5 4 4 4 2" xfId="45754" xr:uid="{00000000-0005-0000-0000-00007B4A0000}"/>
    <cellStyle name="Input [yellow] 5 4 4 4 3" xfId="49660" xr:uid="{00000000-0005-0000-0000-00007C4A0000}"/>
    <cellStyle name="Input [yellow] 5 4 4 4 4" xfId="37694" xr:uid="{00000000-0005-0000-0000-00007D4A0000}"/>
    <cellStyle name="Input [yellow] 5 4 4 5" xfId="20638" xr:uid="{00000000-0005-0000-0000-00007E4A0000}"/>
    <cellStyle name="Input [yellow] 5 4 4 5 2" xfId="46175" xr:uid="{00000000-0005-0000-0000-00007F4A0000}"/>
    <cellStyle name="Input [yellow] 5 4 4 5 3" xfId="50081" xr:uid="{00000000-0005-0000-0000-0000804A0000}"/>
    <cellStyle name="Input [yellow] 5 4 4 5 4" xfId="38044" xr:uid="{00000000-0005-0000-0000-0000814A0000}"/>
    <cellStyle name="Input [yellow] 5 4 4 6" xfId="21291" xr:uid="{00000000-0005-0000-0000-0000824A0000}"/>
    <cellStyle name="Input [yellow] 5 4 4 6 2" xfId="46828" xr:uid="{00000000-0005-0000-0000-0000834A0000}"/>
    <cellStyle name="Input [yellow] 5 4 4 6 3" xfId="50734" xr:uid="{00000000-0005-0000-0000-0000844A0000}"/>
    <cellStyle name="Input [yellow] 5 4 4 7" xfId="40617" xr:uid="{00000000-0005-0000-0000-0000854A0000}"/>
    <cellStyle name="Input [yellow] 5 4 4 8" xfId="40396" xr:uid="{00000000-0005-0000-0000-0000864A0000}"/>
    <cellStyle name="Input [yellow] 5 4 5" xfId="14788" xr:uid="{00000000-0005-0000-0000-0000874A0000}"/>
    <cellStyle name="Input [yellow] 5 4 5 2" xfId="42904" xr:uid="{00000000-0005-0000-0000-0000884A0000}"/>
    <cellStyle name="Input [yellow] 5 4 5 3" xfId="43565" xr:uid="{00000000-0005-0000-0000-0000894A0000}"/>
    <cellStyle name="Input [yellow] 5 4 5 4" xfId="32423" xr:uid="{00000000-0005-0000-0000-00008A4A0000}"/>
    <cellStyle name="Input [yellow] 5 4 6" xfId="13075" xr:uid="{00000000-0005-0000-0000-00008B4A0000}"/>
    <cellStyle name="Input [yellow] 5 4 6 2" xfId="42296" xr:uid="{00000000-0005-0000-0000-00008C4A0000}"/>
    <cellStyle name="Input [yellow] 5 4 6 3" xfId="40331" xr:uid="{00000000-0005-0000-0000-00008D4A0000}"/>
    <cellStyle name="Input [yellow] 5 4 6 4" xfId="30724" xr:uid="{00000000-0005-0000-0000-00008E4A0000}"/>
    <cellStyle name="Input [yellow] 5 4 7" xfId="19317" xr:uid="{00000000-0005-0000-0000-00008F4A0000}"/>
    <cellStyle name="Input [yellow] 5 4 7 2" xfId="44854" xr:uid="{00000000-0005-0000-0000-0000904A0000}"/>
    <cellStyle name="Input [yellow] 5 4 7 3" xfId="48760" xr:uid="{00000000-0005-0000-0000-0000914A0000}"/>
    <cellStyle name="Input [yellow] 5 4 7 4" xfId="36895" xr:uid="{00000000-0005-0000-0000-0000924A0000}"/>
    <cellStyle name="Input [yellow] 5 4 8" xfId="20104" xr:uid="{00000000-0005-0000-0000-0000934A0000}"/>
    <cellStyle name="Input [yellow] 5 4 8 2" xfId="45641" xr:uid="{00000000-0005-0000-0000-0000944A0000}"/>
    <cellStyle name="Input [yellow] 5 4 8 3" xfId="49547" xr:uid="{00000000-0005-0000-0000-0000954A0000}"/>
    <cellStyle name="Input [yellow] 5 4 8 4" xfId="37593" xr:uid="{00000000-0005-0000-0000-0000964A0000}"/>
    <cellStyle name="Input [yellow] 5 4 9" xfId="20623" xr:uid="{00000000-0005-0000-0000-0000974A0000}"/>
    <cellStyle name="Input [yellow] 5 4 9 2" xfId="46160" xr:uid="{00000000-0005-0000-0000-0000984A0000}"/>
    <cellStyle name="Input [yellow] 5 4 9 3" xfId="50066" xr:uid="{00000000-0005-0000-0000-0000994A0000}"/>
    <cellStyle name="Input [yellow] 5 4 9 4" xfId="38032" xr:uid="{00000000-0005-0000-0000-00009A4A0000}"/>
    <cellStyle name="Input [yellow] 5 5" xfId="10449" xr:uid="{00000000-0005-0000-0000-00009B4A0000}"/>
    <cellStyle name="Input [yellow] 5 5 2" xfId="18242" xr:uid="{00000000-0005-0000-0000-00009C4A0000}"/>
    <cellStyle name="Input [yellow] 5 5 2 2" xfId="43789" xr:uid="{00000000-0005-0000-0000-00009D4A0000}"/>
    <cellStyle name="Input [yellow] 5 5 2 3" xfId="47698" xr:uid="{00000000-0005-0000-0000-00009E4A0000}"/>
    <cellStyle name="Input [yellow] 5 5 2 4" xfId="35879" xr:uid="{00000000-0005-0000-0000-00009F4A0000}"/>
    <cellStyle name="Input [yellow] 5 5 3" xfId="19315" xr:uid="{00000000-0005-0000-0000-0000A04A0000}"/>
    <cellStyle name="Input [yellow] 5 5 3 2" xfId="44852" xr:uid="{00000000-0005-0000-0000-0000A14A0000}"/>
    <cellStyle name="Input [yellow] 5 5 3 3" xfId="48758" xr:uid="{00000000-0005-0000-0000-0000A24A0000}"/>
    <cellStyle name="Input [yellow] 5 5 3 4" xfId="36893" xr:uid="{00000000-0005-0000-0000-0000A34A0000}"/>
    <cellStyle name="Input [yellow] 5 5 4" xfId="11572" xr:uid="{00000000-0005-0000-0000-0000A44A0000}"/>
    <cellStyle name="Input [yellow] 5 5 4 2" xfId="41583" xr:uid="{00000000-0005-0000-0000-0000A54A0000}"/>
    <cellStyle name="Input [yellow] 5 5 4 3" xfId="40074" xr:uid="{00000000-0005-0000-0000-0000A64A0000}"/>
    <cellStyle name="Input [yellow] 5 5 4 4" xfId="29283" xr:uid="{00000000-0005-0000-0000-0000A74A0000}"/>
    <cellStyle name="Input [yellow] 5 5 5" xfId="20655" xr:uid="{00000000-0005-0000-0000-0000A84A0000}"/>
    <cellStyle name="Input [yellow] 5 5 5 2" xfId="46192" xr:uid="{00000000-0005-0000-0000-0000A94A0000}"/>
    <cellStyle name="Input [yellow] 5 5 5 3" xfId="50098" xr:uid="{00000000-0005-0000-0000-0000AA4A0000}"/>
    <cellStyle name="Input [yellow] 5 5 5 4" xfId="38061" xr:uid="{00000000-0005-0000-0000-0000AB4A0000}"/>
    <cellStyle name="Input [yellow] 5 5 6" xfId="21308" xr:uid="{00000000-0005-0000-0000-0000AC4A0000}"/>
    <cellStyle name="Input [yellow] 5 5 6 2" xfId="46845" xr:uid="{00000000-0005-0000-0000-0000AD4A0000}"/>
    <cellStyle name="Input [yellow] 5 5 6 3" xfId="50751" xr:uid="{00000000-0005-0000-0000-0000AE4A0000}"/>
    <cellStyle name="Input [yellow] 5 5 7" xfId="40648" xr:uid="{00000000-0005-0000-0000-0000AF4A0000}"/>
    <cellStyle name="Input [yellow] 5 5 8" xfId="42084" xr:uid="{00000000-0005-0000-0000-0000B04A0000}"/>
    <cellStyle name="Input [yellow] 5 6" xfId="7786" xr:uid="{00000000-0005-0000-0000-0000B14A0000}"/>
    <cellStyle name="Input [yellow] 5 6 2" xfId="15583" xr:uid="{00000000-0005-0000-0000-0000B24A0000}"/>
    <cellStyle name="Input [yellow] 5 6 2 2" xfId="43262" xr:uid="{00000000-0005-0000-0000-0000B34A0000}"/>
    <cellStyle name="Input [yellow] 5 6 2 3" xfId="41279" xr:uid="{00000000-0005-0000-0000-0000B44A0000}"/>
    <cellStyle name="Input [yellow] 5 6 2 4" xfId="33218" xr:uid="{00000000-0005-0000-0000-0000B54A0000}"/>
    <cellStyle name="Input [yellow] 5 6 3" xfId="19655" xr:uid="{00000000-0005-0000-0000-0000B64A0000}"/>
    <cellStyle name="Input [yellow] 5 6 3 2" xfId="45192" xr:uid="{00000000-0005-0000-0000-0000B74A0000}"/>
    <cellStyle name="Input [yellow] 5 6 3 3" xfId="49098" xr:uid="{00000000-0005-0000-0000-0000B84A0000}"/>
    <cellStyle name="Input [yellow] 5 6 3 4" xfId="37189" xr:uid="{00000000-0005-0000-0000-0000B94A0000}"/>
    <cellStyle name="Input [yellow] 5 6 4" xfId="19485" xr:uid="{00000000-0005-0000-0000-0000BA4A0000}"/>
    <cellStyle name="Input [yellow] 5 6 4 2" xfId="45022" xr:uid="{00000000-0005-0000-0000-0000BB4A0000}"/>
    <cellStyle name="Input [yellow] 5 6 4 3" xfId="48928" xr:uid="{00000000-0005-0000-0000-0000BC4A0000}"/>
    <cellStyle name="Input [yellow] 5 6 4 4" xfId="37041" xr:uid="{00000000-0005-0000-0000-0000BD4A0000}"/>
    <cellStyle name="Input [yellow] 5 6 5" xfId="11586" xr:uid="{00000000-0005-0000-0000-0000BE4A0000}"/>
    <cellStyle name="Input [yellow] 5 6 5 2" xfId="41597" xr:uid="{00000000-0005-0000-0000-0000BF4A0000}"/>
    <cellStyle name="Input [yellow] 5 6 5 3" xfId="43348" xr:uid="{00000000-0005-0000-0000-0000C04A0000}"/>
    <cellStyle name="Input [yellow] 5 6 5 4" xfId="29295" xr:uid="{00000000-0005-0000-0000-0000C14A0000}"/>
    <cellStyle name="Input [yellow] 5 6 6" xfId="20504" xr:uid="{00000000-0005-0000-0000-0000C24A0000}"/>
    <cellStyle name="Input [yellow] 5 6 6 2" xfId="46041" xr:uid="{00000000-0005-0000-0000-0000C34A0000}"/>
    <cellStyle name="Input [yellow] 5 6 6 3" xfId="49947" xr:uid="{00000000-0005-0000-0000-0000C44A0000}"/>
    <cellStyle name="Input [yellow] 5 6 7" xfId="40121" xr:uid="{00000000-0005-0000-0000-0000C54A0000}"/>
    <cellStyle name="Input [yellow] 5 6 8" xfId="39407" xr:uid="{00000000-0005-0000-0000-0000C64A0000}"/>
    <cellStyle name="Input [yellow] 5 7" xfId="52984" xr:uid="{00000000-0005-0000-0000-0000C74A0000}"/>
    <cellStyle name="Input [yellow] 5_BallGrid" xfId="1792" xr:uid="{00000000-0005-0000-0000-0000C84A0000}"/>
    <cellStyle name="Input [yellow] 6" xfId="1793" xr:uid="{00000000-0005-0000-0000-0000C94A0000}"/>
    <cellStyle name="Input [yellow] 6 2" xfId="1794" xr:uid="{00000000-0005-0000-0000-0000CA4A0000}"/>
    <cellStyle name="Input [yellow] 6 2 2" xfId="7004" xr:uid="{00000000-0005-0000-0000-0000CB4A0000}"/>
    <cellStyle name="Input [yellow] 6 2 2 10" xfId="39768" xr:uid="{00000000-0005-0000-0000-0000CC4A0000}"/>
    <cellStyle name="Input [yellow] 6 2 2 11" xfId="39968" xr:uid="{00000000-0005-0000-0000-0000CD4A0000}"/>
    <cellStyle name="Input [yellow] 6 2 2 2" xfId="10534" xr:uid="{00000000-0005-0000-0000-0000CE4A0000}"/>
    <cellStyle name="Input [yellow] 6 2 2 2 2" xfId="18327" xr:uid="{00000000-0005-0000-0000-0000CF4A0000}"/>
    <cellStyle name="Input [yellow] 6 2 2 2 2 2" xfId="43874" xr:uid="{00000000-0005-0000-0000-0000D04A0000}"/>
    <cellStyle name="Input [yellow] 6 2 2 2 2 3" xfId="47783" xr:uid="{00000000-0005-0000-0000-0000D14A0000}"/>
    <cellStyle name="Input [yellow] 6 2 2 2 2 4" xfId="35964" xr:uid="{00000000-0005-0000-0000-0000D24A0000}"/>
    <cellStyle name="Input [yellow] 6 2 2 2 3" xfId="19304" xr:uid="{00000000-0005-0000-0000-0000D34A0000}"/>
    <cellStyle name="Input [yellow] 6 2 2 2 3 2" xfId="44841" xr:uid="{00000000-0005-0000-0000-0000D44A0000}"/>
    <cellStyle name="Input [yellow] 6 2 2 2 3 3" xfId="48747" xr:uid="{00000000-0005-0000-0000-0000D54A0000}"/>
    <cellStyle name="Input [yellow] 6 2 2 2 3 4" xfId="36882" xr:uid="{00000000-0005-0000-0000-0000D64A0000}"/>
    <cellStyle name="Input [yellow] 6 2 2 2 4" xfId="19391" xr:uid="{00000000-0005-0000-0000-0000D74A0000}"/>
    <cellStyle name="Input [yellow] 6 2 2 2 4 2" xfId="44928" xr:uid="{00000000-0005-0000-0000-0000D84A0000}"/>
    <cellStyle name="Input [yellow] 6 2 2 2 4 3" xfId="48834" xr:uid="{00000000-0005-0000-0000-0000D94A0000}"/>
    <cellStyle name="Input [yellow] 6 2 2 2 4 4" xfId="36956" xr:uid="{00000000-0005-0000-0000-0000DA4A0000}"/>
    <cellStyle name="Input [yellow] 6 2 2 2 5" xfId="20740" xr:uid="{00000000-0005-0000-0000-0000DB4A0000}"/>
    <cellStyle name="Input [yellow] 6 2 2 2 5 2" xfId="46277" xr:uid="{00000000-0005-0000-0000-0000DC4A0000}"/>
    <cellStyle name="Input [yellow] 6 2 2 2 5 3" xfId="50183" xr:uid="{00000000-0005-0000-0000-0000DD4A0000}"/>
    <cellStyle name="Input [yellow] 6 2 2 2 5 4" xfId="38146" xr:uid="{00000000-0005-0000-0000-0000DE4A0000}"/>
    <cellStyle name="Input [yellow] 6 2 2 2 6" xfId="21393" xr:uid="{00000000-0005-0000-0000-0000DF4A0000}"/>
    <cellStyle name="Input [yellow] 6 2 2 2 6 2" xfId="46930" xr:uid="{00000000-0005-0000-0000-0000E04A0000}"/>
    <cellStyle name="Input [yellow] 6 2 2 2 6 3" xfId="50836" xr:uid="{00000000-0005-0000-0000-0000E14A0000}"/>
    <cellStyle name="Input [yellow] 6 2 2 2 7" xfId="40733" xr:uid="{00000000-0005-0000-0000-0000E24A0000}"/>
    <cellStyle name="Input [yellow] 6 2 2 2 8" xfId="40392" xr:uid="{00000000-0005-0000-0000-0000E34A0000}"/>
    <cellStyle name="Input [yellow] 6 2 2 3" xfId="10829" xr:uid="{00000000-0005-0000-0000-0000E44A0000}"/>
    <cellStyle name="Input [yellow] 6 2 2 3 2" xfId="18622" xr:uid="{00000000-0005-0000-0000-0000E54A0000}"/>
    <cellStyle name="Input [yellow] 6 2 2 3 2 2" xfId="44169" xr:uid="{00000000-0005-0000-0000-0000E64A0000}"/>
    <cellStyle name="Input [yellow] 6 2 2 3 2 3" xfId="48078" xr:uid="{00000000-0005-0000-0000-0000E74A0000}"/>
    <cellStyle name="Input [yellow] 6 2 2 3 2 4" xfId="36259" xr:uid="{00000000-0005-0000-0000-0000E84A0000}"/>
    <cellStyle name="Input [yellow] 6 2 2 3 3" xfId="20146" xr:uid="{00000000-0005-0000-0000-0000E94A0000}"/>
    <cellStyle name="Input [yellow] 6 2 2 3 3 2" xfId="45683" xr:uid="{00000000-0005-0000-0000-0000EA4A0000}"/>
    <cellStyle name="Input [yellow] 6 2 2 3 3 3" xfId="49589" xr:uid="{00000000-0005-0000-0000-0000EB4A0000}"/>
    <cellStyle name="Input [yellow] 6 2 2 3 3 4" xfId="37632" xr:uid="{00000000-0005-0000-0000-0000EC4A0000}"/>
    <cellStyle name="Input [yellow] 6 2 2 3 4" xfId="19080" xr:uid="{00000000-0005-0000-0000-0000ED4A0000}"/>
    <cellStyle name="Input [yellow] 6 2 2 3 4 2" xfId="44617" xr:uid="{00000000-0005-0000-0000-0000EE4A0000}"/>
    <cellStyle name="Input [yellow] 6 2 2 3 4 3" xfId="48523" xr:uid="{00000000-0005-0000-0000-0000EF4A0000}"/>
    <cellStyle name="Input [yellow] 6 2 2 3 4 4" xfId="36676" xr:uid="{00000000-0005-0000-0000-0000F04A0000}"/>
    <cellStyle name="Input [yellow] 6 2 2 3 5" xfId="21035" xr:uid="{00000000-0005-0000-0000-0000F14A0000}"/>
    <cellStyle name="Input [yellow] 6 2 2 3 5 2" xfId="46572" xr:uid="{00000000-0005-0000-0000-0000F24A0000}"/>
    <cellStyle name="Input [yellow] 6 2 2 3 5 3" xfId="50478" xr:uid="{00000000-0005-0000-0000-0000F34A0000}"/>
    <cellStyle name="Input [yellow] 6 2 2 3 5 4" xfId="38441" xr:uid="{00000000-0005-0000-0000-0000F44A0000}"/>
    <cellStyle name="Input [yellow] 6 2 2 3 6" xfId="21688" xr:uid="{00000000-0005-0000-0000-0000F54A0000}"/>
    <cellStyle name="Input [yellow] 6 2 2 3 6 2" xfId="47225" xr:uid="{00000000-0005-0000-0000-0000F64A0000}"/>
    <cellStyle name="Input [yellow] 6 2 2 3 6 3" xfId="51131" xr:uid="{00000000-0005-0000-0000-0000F74A0000}"/>
    <cellStyle name="Input [yellow] 6 2 2 3 7" xfId="41028" xr:uid="{00000000-0005-0000-0000-0000F84A0000}"/>
    <cellStyle name="Input [yellow] 6 2 2 3 8" xfId="39382" xr:uid="{00000000-0005-0000-0000-0000F94A0000}"/>
    <cellStyle name="Input [yellow] 6 2 2 4" xfId="10179" xr:uid="{00000000-0005-0000-0000-0000FA4A0000}"/>
    <cellStyle name="Input [yellow] 6 2 2 4 2" xfId="17972" xr:uid="{00000000-0005-0000-0000-0000FB4A0000}"/>
    <cellStyle name="Input [yellow] 6 2 2 4 2 2" xfId="43762" xr:uid="{00000000-0005-0000-0000-0000FC4A0000}"/>
    <cellStyle name="Input [yellow] 6 2 2 4 2 3" xfId="47685" xr:uid="{00000000-0005-0000-0000-0000FD4A0000}"/>
    <cellStyle name="Input [yellow] 6 2 2 4 2 4" xfId="35609" xr:uid="{00000000-0005-0000-0000-0000FE4A0000}"/>
    <cellStyle name="Input [yellow] 6 2 2 4 3" xfId="19930" xr:uid="{00000000-0005-0000-0000-0000FF4A0000}"/>
    <cellStyle name="Input [yellow] 6 2 2 4 3 2" xfId="45467" xr:uid="{00000000-0005-0000-0000-0000004B0000}"/>
    <cellStyle name="Input [yellow] 6 2 2 4 3 3" xfId="49373" xr:uid="{00000000-0005-0000-0000-0000014B0000}"/>
    <cellStyle name="Input [yellow] 6 2 2 4 3 4" xfId="37442" xr:uid="{00000000-0005-0000-0000-0000024B0000}"/>
    <cellStyle name="Input [yellow] 6 2 2 4 4" xfId="19478" xr:uid="{00000000-0005-0000-0000-0000034B0000}"/>
    <cellStyle name="Input [yellow] 6 2 2 4 4 2" xfId="45015" xr:uid="{00000000-0005-0000-0000-0000044B0000}"/>
    <cellStyle name="Input [yellow] 6 2 2 4 4 3" xfId="48921" xr:uid="{00000000-0005-0000-0000-0000054B0000}"/>
    <cellStyle name="Input [yellow] 6 2 2 4 4 4" xfId="37035" xr:uid="{00000000-0005-0000-0000-0000064B0000}"/>
    <cellStyle name="Input [yellow] 6 2 2 4 5" xfId="20642" xr:uid="{00000000-0005-0000-0000-0000074B0000}"/>
    <cellStyle name="Input [yellow] 6 2 2 4 5 2" xfId="46179" xr:uid="{00000000-0005-0000-0000-0000084B0000}"/>
    <cellStyle name="Input [yellow] 6 2 2 4 5 3" xfId="50085" xr:uid="{00000000-0005-0000-0000-0000094B0000}"/>
    <cellStyle name="Input [yellow] 6 2 2 4 5 4" xfId="38048" xr:uid="{00000000-0005-0000-0000-00000A4B0000}"/>
    <cellStyle name="Input [yellow] 6 2 2 4 6" xfId="21295" xr:uid="{00000000-0005-0000-0000-00000B4B0000}"/>
    <cellStyle name="Input [yellow] 6 2 2 4 6 2" xfId="46832" xr:uid="{00000000-0005-0000-0000-00000C4B0000}"/>
    <cellStyle name="Input [yellow] 6 2 2 4 6 3" xfId="50738" xr:uid="{00000000-0005-0000-0000-00000D4B0000}"/>
    <cellStyle name="Input [yellow] 6 2 2 4 7" xfId="40621" xr:uid="{00000000-0005-0000-0000-00000E4B0000}"/>
    <cellStyle name="Input [yellow] 6 2 2 4 8" xfId="43284" xr:uid="{00000000-0005-0000-0000-00000F4B0000}"/>
    <cellStyle name="Input [yellow] 6 2 2 5" xfId="14792" xr:uid="{00000000-0005-0000-0000-0000104B0000}"/>
    <cellStyle name="Input [yellow] 6 2 2 5 2" xfId="42908" xr:uid="{00000000-0005-0000-0000-0000114B0000}"/>
    <cellStyle name="Input [yellow] 6 2 2 5 3" xfId="43456" xr:uid="{00000000-0005-0000-0000-0000124B0000}"/>
    <cellStyle name="Input [yellow] 6 2 2 5 4" xfId="32427" xr:uid="{00000000-0005-0000-0000-0000134B0000}"/>
    <cellStyle name="Input [yellow] 6 2 2 6" xfId="11282" xr:uid="{00000000-0005-0000-0000-0000144B0000}"/>
    <cellStyle name="Input [yellow] 6 2 2 6 2" xfId="41329" xr:uid="{00000000-0005-0000-0000-0000154B0000}"/>
    <cellStyle name="Input [yellow] 6 2 2 6 3" xfId="43220" xr:uid="{00000000-0005-0000-0000-0000164B0000}"/>
    <cellStyle name="Input [yellow] 6 2 2 6 4" xfId="29010" xr:uid="{00000000-0005-0000-0000-0000174B0000}"/>
    <cellStyle name="Input [yellow] 6 2 2 7" xfId="19944" xr:uid="{00000000-0005-0000-0000-0000184B0000}"/>
    <cellStyle name="Input [yellow] 6 2 2 7 2" xfId="45481" xr:uid="{00000000-0005-0000-0000-0000194B0000}"/>
    <cellStyle name="Input [yellow] 6 2 2 7 3" xfId="49387" xr:uid="{00000000-0005-0000-0000-00001A4B0000}"/>
    <cellStyle name="Input [yellow] 6 2 2 7 4" xfId="37453" xr:uid="{00000000-0005-0000-0000-00001B4B0000}"/>
    <cellStyle name="Input [yellow] 6 2 2 8" xfId="20077" xr:uid="{00000000-0005-0000-0000-00001C4B0000}"/>
    <cellStyle name="Input [yellow] 6 2 2 8 2" xfId="45614" xr:uid="{00000000-0005-0000-0000-00001D4B0000}"/>
    <cellStyle name="Input [yellow] 6 2 2 8 3" xfId="49520" xr:uid="{00000000-0005-0000-0000-00001E4B0000}"/>
    <cellStyle name="Input [yellow] 6 2 2 8 4" xfId="37571" xr:uid="{00000000-0005-0000-0000-00001F4B0000}"/>
    <cellStyle name="Input [yellow] 6 2 2 9" xfId="12497" xr:uid="{00000000-0005-0000-0000-0000204B0000}"/>
    <cellStyle name="Input [yellow] 6 2 2 9 2" xfId="42010" xr:uid="{00000000-0005-0000-0000-0000214B0000}"/>
    <cellStyle name="Input [yellow] 6 2 2 9 3" xfId="40554" xr:uid="{00000000-0005-0000-0000-0000224B0000}"/>
    <cellStyle name="Input [yellow] 6 2 2 9 4" xfId="30168" xr:uid="{00000000-0005-0000-0000-0000234B0000}"/>
    <cellStyle name="Input [yellow] 6 2 3" xfId="10453" xr:uid="{00000000-0005-0000-0000-0000244B0000}"/>
    <cellStyle name="Input [yellow] 6 2 3 2" xfId="18246" xr:uid="{00000000-0005-0000-0000-0000254B0000}"/>
    <cellStyle name="Input [yellow] 6 2 3 2 2" xfId="43793" xr:uid="{00000000-0005-0000-0000-0000264B0000}"/>
    <cellStyle name="Input [yellow] 6 2 3 2 3" xfId="47702" xr:uid="{00000000-0005-0000-0000-0000274B0000}"/>
    <cellStyle name="Input [yellow] 6 2 3 2 4" xfId="35883" xr:uid="{00000000-0005-0000-0000-0000284B0000}"/>
    <cellStyle name="Input [yellow] 6 2 3 3" xfId="19625" xr:uid="{00000000-0005-0000-0000-0000294B0000}"/>
    <cellStyle name="Input [yellow] 6 2 3 3 2" xfId="45162" xr:uid="{00000000-0005-0000-0000-00002A4B0000}"/>
    <cellStyle name="Input [yellow] 6 2 3 3 3" xfId="49068" xr:uid="{00000000-0005-0000-0000-00002B4B0000}"/>
    <cellStyle name="Input [yellow] 6 2 3 3 4" xfId="37165" xr:uid="{00000000-0005-0000-0000-00002C4B0000}"/>
    <cellStyle name="Input [yellow] 6 2 3 4" xfId="19936" xr:uid="{00000000-0005-0000-0000-00002D4B0000}"/>
    <cellStyle name="Input [yellow] 6 2 3 4 2" xfId="45473" xr:uid="{00000000-0005-0000-0000-00002E4B0000}"/>
    <cellStyle name="Input [yellow] 6 2 3 4 3" xfId="49379" xr:uid="{00000000-0005-0000-0000-00002F4B0000}"/>
    <cellStyle name="Input [yellow] 6 2 3 4 4" xfId="37446" xr:uid="{00000000-0005-0000-0000-0000304B0000}"/>
    <cellStyle name="Input [yellow] 6 2 3 5" xfId="20659" xr:uid="{00000000-0005-0000-0000-0000314B0000}"/>
    <cellStyle name="Input [yellow] 6 2 3 5 2" xfId="46196" xr:uid="{00000000-0005-0000-0000-0000324B0000}"/>
    <cellStyle name="Input [yellow] 6 2 3 5 3" xfId="50102" xr:uid="{00000000-0005-0000-0000-0000334B0000}"/>
    <cellStyle name="Input [yellow] 6 2 3 5 4" xfId="38065" xr:uid="{00000000-0005-0000-0000-0000344B0000}"/>
    <cellStyle name="Input [yellow] 6 2 3 6" xfId="21312" xr:uid="{00000000-0005-0000-0000-0000354B0000}"/>
    <cellStyle name="Input [yellow] 6 2 3 6 2" xfId="46849" xr:uid="{00000000-0005-0000-0000-0000364B0000}"/>
    <cellStyle name="Input [yellow] 6 2 3 6 3" xfId="50755" xr:uid="{00000000-0005-0000-0000-0000374B0000}"/>
    <cellStyle name="Input [yellow] 6 2 3 7" xfId="40652" xr:uid="{00000000-0005-0000-0000-0000384B0000}"/>
    <cellStyle name="Input [yellow] 6 2 3 8" xfId="42083" xr:uid="{00000000-0005-0000-0000-0000394B0000}"/>
    <cellStyle name="Input [yellow] 6 2 4" xfId="7790" xr:uid="{00000000-0005-0000-0000-00003A4B0000}"/>
    <cellStyle name="Input [yellow] 6 2 4 2" xfId="15587" xr:uid="{00000000-0005-0000-0000-00003B4B0000}"/>
    <cellStyle name="Input [yellow] 6 2 4 2 2" xfId="43266" xr:uid="{00000000-0005-0000-0000-00003C4B0000}"/>
    <cellStyle name="Input [yellow] 6 2 4 2 3" xfId="43661" xr:uid="{00000000-0005-0000-0000-00003D4B0000}"/>
    <cellStyle name="Input [yellow] 6 2 4 2 4" xfId="33222" xr:uid="{00000000-0005-0000-0000-00003E4B0000}"/>
    <cellStyle name="Input [yellow] 6 2 4 3" xfId="19345" xr:uid="{00000000-0005-0000-0000-00003F4B0000}"/>
    <cellStyle name="Input [yellow] 6 2 4 3 2" xfId="44882" xr:uid="{00000000-0005-0000-0000-0000404B0000}"/>
    <cellStyle name="Input [yellow] 6 2 4 3 3" xfId="48788" xr:uid="{00000000-0005-0000-0000-0000414B0000}"/>
    <cellStyle name="Input [yellow] 6 2 4 3 4" xfId="36917" xr:uid="{00000000-0005-0000-0000-0000424B0000}"/>
    <cellStyle name="Input [yellow] 6 2 4 4" xfId="12662" xr:uid="{00000000-0005-0000-0000-0000434B0000}"/>
    <cellStyle name="Input [yellow] 6 2 4 4 2" xfId="42141" xr:uid="{00000000-0005-0000-0000-0000444B0000}"/>
    <cellStyle name="Input [yellow] 6 2 4 4 3" xfId="40191" xr:uid="{00000000-0005-0000-0000-0000454B0000}"/>
    <cellStyle name="Input [yellow] 6 2 4 4 4" xfId="30326" xr:uid="{00000000-0005-0000-0000-0000464B0000}"/>
    <cellStyle name="Input [yellow] 6 2 4 5" xfId="19927" xr:uid="{00000000-0005-0000-0000-0000474B0000}"/>
    <cellStyle name="Input [yellow] 6 2 4 5 2" xfId="45464" xr:uid="{00000000-0005-0000-0000-0000484B0000}"/>
    <cellStyle name="Input [yellow] 6 2 4 5 3" xfId="49370" xr:uid="{00000000-0005-0000-0000-0000494B0000}"/>
    <cellStyle name="Input [yellow] 6 2 4 5 4" xfId="37441" xr:uid="{00000000-0005-0000-0000-00004A4B0000}"/>
    <cellStyle name="Input [yellow] 6 2 4 6" xfId="19028" xr:uid="{00000000-0005-0000-0000-00004B4B0000}"/>
    <cellStyle name="Input [yellow] 6 2 4 6 2" xfId="44565" xr:uid="{00000000-0005-0000-0000-00004C4B0000}"/>
    <cellStyle name="Input [yellow] 6 2 4 6 3" xfId="48471" xr:uid="{00000000-0005-0000-0000-00004D4B0000}"/>
    <cellStyle name="Input [yellow] 6 2 4 7" xfId="40125" xr:uid="{00000000-0005-0000-0000-00004E4B0000}"/>
    <cellStyle name="Input [yellow] 6 2 4 8" xfId="43268" xr:uid="{00000000-0005-0000-0000-00004F4B0000}"/>
    <cellStyle name="Input [yellow] 6 3" xfId="7003" xr:uid="{00000000-0005-0000-0000-0000504B0000}"/>
    <cellStyle name="Input [yellow] 6 3 10" xfId="39767" xr:uid="{00000000-0005-0000-0000-0000514B0000}"/>
    <cellStyle name="Input [yellow] 6 3 11" xfId="40634" xr:uid="{00000000-0005-0000-0000-0000524B0000}"/>
    <cellStyle name="Input [yellow] 6 3 2" xfId="10533" xr:uid="{00000000-0005-0000-0000-0000534B0000}"/>
    <cellStyle name="Input [yellow] 6 3 2 2" xfId="18326" xr:uid="{00000000-0005-0000-0000-0000544B0000}"/>
    <cellStyle name="Input [yellow] 6 3 2 2 2" xfId="43873" xr:uid="{00000000-0005-0000-0000-0000554B0000}"/>
    <cellStyle name="Input [yellow] 6 3 2 2 3" xfId="47782" xr:uid="{00000000-0005-0000-0000-0000564B0000}"/>
    <cellStyle name="Input [yellow] 6 3 2 2 4" xfId="35963" xr:uid="{00000000-0005-0000-0000-0000574B0000}"/>
    <cellStyle name="Input [yellow] 6 3 2 3" xfId="20038" xr:uid="{00000000-0005-0000-0000-0000584B0000}"/>
    <cellStyle name="Input [yellow] 6 3 2 3 2" xfId="45575" xr:uid="{00000000-0005-0000-0000-0000594B0000}"/>
    <cellStyle name="Input [yellow] 6 3 2 3 3" xfId="49481" xr:uid="{00000000-0005-0000-0000-00005A4B0000}"/>
    <cellStyle name="Input [yellow] 6 3 2 3 4" xfId="37536" xr:uid="{00000000-0005-0000-0000-00005B4B0000}"/>
    <cellStyle name="Input [yellow] 6 3 2 4" xfId="19999" xr:uid="{00000000-0005-0000-0000-00005C4B0000}"/>
    <cellStyle name="Input [yellow] 6 3 2 4 2" xfId="45536" xr:uid="{00000000-0005-0000-0000-00005D4B0000}"/>
    <cellStyle name="Input [yellow] 6 3 2 4 3" xfId="49442" xr:uid="{00000000-0005-0000-0000-00005E4B0000}"/>
    <cellStyle name="Input [yellow] 6 3 2 4 4" xfId="37497" xr:uid="{00000000-0005-0000-0000-00005F4B0000}"/>
    <cellStyle name="Input [yellow] 6 3 2 5" xfId="20739" xr:uid="{00000000-0005-0000-0000-0000604B0000}"/>
    <cellStyle name="Input [yellow] 6 3 2 5 2" xfId="46276" xr:uid="{00000000-0005-0000-0000-0000614B0000}"/>
    <cellStyle name="Input [yellow] 6 3 2 5 3" xfId="50182" xr:uid="{00000000-0005-0000-0000-0000624B0000}"/>
    <cellStyle name="Input [yellow] 6 3 2 5 4" xfId="38145" xr:uid="{00000000-0005-0000-0000-0000634B0000}"/>
    <cellStyle name="Input [yellow] 6 3 2 6" xfId="21392" xr:uid="{00000000-0005-0000-0000-0000644B0000}"/>
    <cellStyle name="Input [yellow] 6 3 2 6 2" xfId="46929" xr:uid="{00000000-0005-0000-0000-0000654B0000}"/>
    <cellStyle name="Input [yellow] 6 3 2 6 3" xfId="50835" xr:uid="{00000000-0005-0000-0000-0000664B0000}"/>
    <cellStyle name="Input [yellow] 6 3 2 7" xfId="40732" xr:uid="{00000000-0005-0000-0000-0000674B0000}"/>
    <cellStyle name="Input [yellow] 6 3 2 8" xfId="43529" xr:uid="{00000000-0005-0000-0000-0000684B0000}"/>
    <cellStyle name="Input [yellow] 6 3 3" xfId="10828" xr:uid="{00000000-0005-0000-0000-0000694B0000}"/>
    <cellStyle name="Input [yellow] 6 3 3 2" xfId="18621" xr:uid="{00000000-0005-0000-0000-00006A4B0000}"/>
    <cellStyle name="Input [yellow] 6 3 3 2 2" xfId="44168" xr:uid="{00000000-0005-0000-0000-00006B4B0000}"/>
    <cellStyle name="Input [yellow] 6 3 3 2 3" xfId="48077" xr:uid="{00000000-0005-0000-0000-00006C4B0000}"/>
    <cellStyle name="Input [yellow] 6 3 3 2 4" xfId="36258" xr:uid="{00000000-0005-0000-0000-00006D4B0000}"/>
    <cellStyle name="Input [yellow] 6 3 3 3" xfId="19594" xr:uid="{00000000-0005-0000-0000-00006E4B0000}"/>
    <cellStyle name="Input [yellow] 6 3 3 3 2" xfId="45131" xr:uid="{00000000-0005-0000-0000-00006F4B0000}"/>
    <cellStyle name="Input [yellow] 6 3 3 3 3" xfId="49037" xr:uid="{00000000-0005-0000-0000-0000704B0000}"/>
    <cellStyle name="Input [yellow] 6 3 3 3 4" xfId="37134" xr:uid="{00000000-0005-0000-0000-0000714B0000}"/>
    <cellStyle name="Input [yellow] 6 3 3 4" xfId="19051" xr:uid="{00000000-0005-0000-0000-0000724B0000}"/>
    <cellStyle name="Input [yellow] 6 3 3 4 2" xfId="44588" xr:uid="{00000000-0005-0000-0000-0000734B0000}"/>
    <cellStyle name="Input [yellow] 6 3 3 4 3" xfId="48494" xr:uid="{00000000-0005-0000-0000-0000744B0000}"/>
    <cellStyle name="Input [yellow] 6 3 3 4 4" xfId="36651" xr:uid="{00000000-0005-0000-0000-0000754B0000}"/>
    <cellStyle name="Input [yellow] 6 3 3 5" xfId="21034" xr:uid="{00000000-0005-0000-0000-0000764B0000}"/>
    <cellStyle name="Input [yellow] 6 3 3 5 2" xfId="46571" xr:uid="{00000000-0005-0000-0000-0000774B0000}"/>
    <cellStyle name="Input [yellow] 6 3 3 5 3" xfId="50477" xr:uid="{00000000-0005-0000-0000-0000784B0000}"/>
    <cellStyle name="Input [yellow] 6 3 3 5 4" xfId="38440" xr:uid="{00000000-0005-0000-0000-0000794B0000}"/>
    <cellStyle name="Input [yellow] 6 3 3 6" xfId="21687" xr:uid="{00000000-0005-0000-0000-00007A4B0000}"/>
    <cellStyle name="Input [yellow] 6 3 3 6 2" xfId="47224" xr:uid="{00000000-0005-0000-0000-00007B4B0000}"/>
    <cellStyle name="Input [yellow] 6 3 3 6 3" xfId="51130" xr:uid="{00000000-0005-0000-0000-00007C4B0000}"/>
    <cellStyle name="Input [yellow] 6 3 3 7" xfId="41027" xr:uid="{00000000-0005-0000-0000-00007D4B0000}"/>
    <cellStyle name="Input [yellow] 6 3 3 8" xfId="40242" xr:uid="{00000000-0005-0000-0000-00007E4B0000}"/>
    <cellStyle name="Input [yellow] 6 3 4" xfId="10178" xr:uid="{00000000-0005-0000-0000-00007F4B0000}"/>
    <cellStyle name="Input [yellow] 6 3 4 2" xfId="17971" xr:uid="{00000000-0005-0000-0000-0000804B0000}"/>
    <cellStyle name="Input [yellow] 6 3 4 2 2" xfId="43761" xr:uid="{00000000-0005-0000-0000-0000814B0000}"/>
    <cellStyle name="Input [yellow] 6 3 4 2 3" xfId="47684" xr:uid="{00000000-0005-0000-0000-0000824B0000}"/>
    <cellStyle name="Input [yellow] 6 3 4 2 4" xfId="35608" xr:uid="{00000000-0005-0000-0000-0000834B0000}"/>
    <cellStyle name="Input [yellow] 6 3 4 3" xfId="19318" xr:uid="{00000000-0005-0000-0000-0000844B0000}"/>
    <cellStyle name="Input [yellow] 6 3 4 3 2" xfId="44855" xr:uid="{00000000-0005-0000-0000-0000854B0000}"/>
    <cellStyle name="Input [yellow] 6 3 4 3 3" xfId="48761" xr:uid="{00000000-0005-0000-0000-0000864B0000}"/>
    <cellStyle name="Input [yellow] 6 3 4 3 4" xfId="36896" xr:uid="{00000000-0005-0000-0000-0000874B0000}"/>
    <cellStyle name="Input [yellow] 6 3 4 4" xfId="11650" xr:uid="{00000000-0005-0000-0000-0000884B0000}"/>
    <cellStyle name="Input [yellow] 6 3 4 4 2" xfId="41661" xr:uid="{00000000-0005-0000-0000-0000894B0000}"/>
    <cellStyle name="Input [yellow] 6 3 4 4 3" xfId="39673" xr:uid="{00000000-0005-0000-0000-00008A4B0000}"/>
    <cellStyle name="Input [yellow] 6 3 4 4 4" xfId="29349" xr:uid="{00000000-0005-0000-0000-00008B4B0000}"/>
    <cellStyle name="Input [yellow] 6 3 4 5" xfId="20641" xr:uid="{00000000-0005-0000-0000-00008C4B0000}"/>
    <cellStyle name="Input [yellow] 6 3 4 5 2" xfId="46178" xr:uid="{00000000-0005-0000-0000-00008D4B0000}"/>
    <cellStyle name="Input [yellow] 6 3 4 5 3" xfId="50084" xr:uid="{00000000-0005-0000-0000-00008E4B0000}"/>
    <cellStyle name="Input [yellow] 6 3 4 5 4" xfId="38047" xr:uid="{00000000-0005-0000-0000-00008F4B0000}"/>
    <cellStyle name="Input [yellow] 6 3 4 6" xfId="21294" xr:uid="{00000000-0005-0000-0000-0000904B0000}"/>
    <cellStyle name="Input [yellow] 6 3 4 6 2" xfId="46831" xr:uid="{00000000-0005-0000-0000-0000914B0000}"/>
    <cellStyle name="Input [yellow] 6 3 4 6 3" xfId="50737" xr:uid="{00000000-0005-0000-0000-0000924B0000}"/>
    <cellStyle name="Input [yellow] 6 3 4 7" xfId="40620" xr:uid="{00000000-0005-0000-0000-0000934B0000}"/>
    <cellStyle name="Input [yellow] 6 3 4 8" xfId="41928" xr:uid="{00000000-0005-0000-0000-0000944B0000}"/>
    <cellStyle name="Input [yellow] 6 3 5" xfId="14791" xr:uid="{00000000-0005-0000-0000-0000954B0000}"/>
    <cellStyle name="Input [yellow] 6 3 5 2" xfId="42907" xr:uid="{00000000-0005-0000-0000-0000964B0000}"/>
    <cellStyle name="Input [yellow] 6 3 5 3" xfId="42545" xr:uid="{00000000-0005-0000-0000-0000974B0000}"/>
    <cellStyle name="Input [yellow] 6 3 5 4" xfId="32426" xr:uid="{00000000-0005-0000-0000-0000984B0000}"/>
    <cellStyle name="Input [yellow] 6 3 6" xfId="11281" xr:uid="{00000000-0005-0000-0000-0000994B0000}"/>
    <cellStyle name="Input [yellow] 6 3 6 2" xfId="41328" xr:uid="{00000000-0005-0000-0000-00009A4B0000}"/>
    <cellStyle name="Input [yellow] 6 3 6 3" xfId="41417" xr:uid="{00000000-0005-0000-0000-00009B4B0000}"/>
    <cellStyle name="Input [yellow] 6 3 6 4" xfId="29009" xr:uid="{00000000-0005-0000-0000-00009C4B0000}"/>
    <cellStyle name="Input [yellow] 6 3 7" xfId="20338" xr:uid="{00000000-0005-0000-0000-00009D4B0000}"/>
    <cellStyle name="Input [yellow] 6 3 7 2" xfId="45875" xr:uid="{00000000-0005-0000-0000-00009E4B0000}"/>
    <cellStyle name="Input [yellow] 6 3 7 3" xfId="49781" xr:uid="{00000000-0005-0000-0000-00009F4B0000}"/>
    <cellStyle name="Input [yellow] 6 3 7 4" xfId="37801" xr:uid="{00000000-0005-0000-0000-0000A04B0000}"/>
    <cellStyle name="Input [yellow] 6 3 8" xfId="12035" xr:uid="{00000000-0005-0000-0000-0000A14B0000}"/>
    <cellStyle name="Input [yellow] 6 3 8 2" xfId="41791" xr:uid="{00000000-0005-0000-0000-0000A24B0000}"/>
    <cellStyle name="Input [yellow] 6 3 8 3" xfId="40028" xr:uid="{00000000-0005-0000-0000-0000A34B0000}"/>
    <cellStyle name="Input [yellow] 6 3 8 4" xfId="29714" xr:uid="{00000000-0005-0000-0000-0000A44B0000}"/>
    <cellStyle name="Input [yellow] 6 3 9" xfId="18901" xr:uid="{00000000-0005-0000-0000-0000A54B0000}"/>
    <cellStyle name="Input [yellow] 6 3 9 2" xfId="44438" xr:uid="{00000000-0005-0000-0000-0000A64B0000}"/>
    <cellStyle name="Input [yellow] 6 3 9 3" xfId="48344" xr:uid="{00000000-0005-0000-0000-0000A74B0000}"/>
    <cellStyle name="Input [yellow] 6 3 9 4" xfId="36534" xr:uid="{00000000-0005-0000-0000-0000A84B0000}"/>
    <cellStyle name="Input [yellow] 6 4" xfId="10452" xr:uid="{00000000-0005-0000-0000-0000A94B0000}"/>
    <cellStyle name="Input [yellow] 6 4 2" xfId="18245" xr:uid="{00000000-0005-0000-0000-0000AA4B0000}"/>
    <cellStyle name="Input [yellow] 6 4 2 2" xfId="43792" xr:uid="{00000000-0005-0000-0000-0000AB4B0000}"/>
    <cellStyle name="Input [yellow] 6 4 2 3" xfId="47701" xr:uid="{00000000-0005-0000-0000-0000AC4B0000}"/>
    <cellStyle name="Input [yellow] 6 4 2 4" xfId="35882" xr:uid="{00000000-0005-0000-0000-0000AD4B0000}"/>
    <cellStyle name="Input [yellow] 6 4 3" xfId="11483" xr:uid="{00000000-0005-0000-0000-0000AE4B0000}"/>
    <cellStyle name="Input [yellow] 6 4 3 2" xfId="41494" xr:uid="{00000000-0005-0000-0000-0000AF4B0000}"/>
    <cellStyle name="Input [yellow] 6 4 3 3" xfId="43606" xr:uid="{00000000-0005-0000-0000-0000B04B0000}"/>
    <cellStyle name="Input [yellow] 6 4 3 4" xfId="29198" xr:uid="{00000000-0005-0000-0000-0000B14B0000}"/>
    <cellStyle name="Input [yellow] 6 4 4" xfId="11679" xr:uid="{00000000-0005-0000-0000-0000B24B0000}"/>
    <cellStyle name="Input [yellow] 6 4 4 2" xfId="41690" xr:uid="{00000000-0005-0000-0000-0000B34B0000}"/>
    <cellStyle name="Input [yellow] 6 4 4 3" xfId="39462" xr:uid="{00000000-0005-0000-0000-0000B44B0000}"/>
    <cellStyle name="Input [yellow] 6 4 4 4" xfId="29372" xr:uid="{00000000-0005-0000-0000-0000B54B0000}"/>
    <cellStyle name="Input [yellow] 6 4 5" xfId="20658" xr:uid="{00000000-0005-0000-0000-0000B64B0000}"/>
    <cellStyle name="Input [yellow] 6 4 5 2" xfId="46195" xr:uid="{00000000-0005-0000-0000-0000B74B0000}"/>
    <cellStyle name="Input [yellow] 6 4 5 3" xfId="50101" xr:uid="{00000000-0005-0000-0000-0000B84B0000}"/>
    <cellStyle name="Input [yellow] 6 4 5 4" xfId="38064" xr:uid="{00000000-0005-0000-0000-0000B94B0000}"/>
    <cellStyle name="Input [yellow] 6 4 6" xfId="21311" xr:uid="{00000000-0005-0000-0000-0000BA4B0000}"/>
    <cellStyle name="Input [yellow] 6 4 6 2" xfId="46848" xr:uid="{00000000-0005-0000-0000-0000BB4B0000}"/>
    <cellStyle name="Input [yellow] 6 4 6 3" xfId="50754" xr:uid="{00000000-0005-0000-0000-0000BC4B0000}"/>
    <cellStyle name="Input [yellow] 6 4 7" xfId="40651" xr:uid="{00000000-0005-0000-0000-0000BD4B0000}"/>
    <cellStyle name="Input [yellow] 6 4 8" xfId="39405" xr:uid="{00000000-0005-0000-0000-0000BE4B0000}"/>
    <cellStyle name="Input [yellow] 6 5" xfId="7789" xr:uid="{00000000-0005-0000-0000-0000BF4B0000}"/>
    <cellStyle name="Input [yellow] 6 5 2" xfId="15586" xr:uid="{00000000-0005-0000-0000-0000C04B0000}"/>
    <cellStyle name="Input [yellow] 6 5 2 2" xfId="43265" xr:uid="{00000000-0005-0000-0000-0000C14B0000}"/>
    <cellStyle name="Input [yellow] 6 5 2 3" xfId="42773" xr:uid="{00000000-0005-0000-0000-0000C24B0000}"/>
    <cellStyle name="Input [yellow] 6 5 2 4" xfId="33221" xr:uid="{00000000-0005-0000-0000-0000C34B0000}"/>
    <cellStyle name="Input [yellow] 6 5 3" xfId="20083" xr:uid="{00000000-0005-0000-0000-0000C44B0000}"/>
    <cellStyle name="Input [yellow] 6 5 3 2" xfId="45620" xr:uid="{00000000-0005-0000-0000-0000C54B0000}"/>
    <cellStyle name="Input [yellow] 6 5 3 3" xfId="49526" xr:uid="{00000000-0005-0000-0000-0000C64B0000}"/>
    <cellStyle name="Input [yellow] 6 5 3 4" xfId="37576" xr:uid="{00000000-0005-0000-0000-0000C74B0000}"/>
    <cellStyle name="Input [yellow] 6 5 4" xfId="12808" xr:uid="{00000000-0005-0000-0000-0000C84B0000}"/>
    <cellStyle name="Input [yellow] 6 5 4 2" xfId="42223" xr:uid="{00000000-0005-0000-0000-0000C94B0000}"/>
    <cellStyle name="Input [yellow] 6 5 4 3" xfId="40334" xr:uid="{00000000-0005-0000-0000-0000CA4B0000}"/>
    <cellStyle name="Input [yellow] 6 5 4 4" xfId="30464" xr:uid="{00000000-0005-0000-0000-0000CB4B0000}"/>
    <cellStyle name="Input [yellow] 6 5 5" xfId="19675" xr:uid="{00000000-0005-0000-0000-0000CC4B0000}"/>
    <cellStyle name="Input [yellow] 6 5 5 2" xfId="45212" xr:uid="{00000000-0005-0000-0000-0000CD4B0000}"/>
    <cellStyle name="Input [yellow] 6 5 5 3" xfId="49118" xr:uid="{00000000-0005-0000-0000-0000CE4B0000}"/>
    <cellStyle name="Input [yellow] 6 5 5 4" xfId="37208" xr:uid="{00000000-0005-0000-0000-0000CF4B0000}"/>
    <cellStyle name="Input [yellow] 6 5 6" xfId="19929" xr:uid="{00000000-0005-0000-0000-0000D04B0000}"/>
    <cellStyle name="Input [yellow] 6 5 6 2" xfId="45466" xr:uid="{00000000-0005-0000-0000-0000D14B0000}"/>
    <cellStyle name="Input [yellow] 6 5 6 3" xfId="49372" xr:uid="{00000000-0005-0000-0000-0000D24B0000}"/>
    <cellStyle name="Input [yellow] 6 5 7" xfId="40124" xr:uid="{00000000-0005-0000-0000-0000D34B0000}"/>
    <cellStyle name="Input [yellow] 6 5 8" xfId="41703" xr:uid="{00000000-0005-0000-0000-0000D44B0000}"/>
    <cellStyle name="Input [yellow] 6 6" xfId="52986" xr:uid="{00000000-0005-0000-0000-0000D54B0000}"/>
    <cellStyle name="Input [yellow] 7" xfId="1795" xr:uid="{00000000-0005-0000-0000-0000D64B0000}"/>
    <cellStyle name="Input [yellow] 7 2" xfId="7005" xr:uid="{00000000-0005-0000-0000-0000D74B0000}"/>
    <cellStyle name="Input [yellow] 7 2 10" xfId="39769" xr:uid="{00000000-0005-0000-0000-0000D84B0000}"/>
    <cellStyle name="Input [yellow] 7 2 11" xfId="42768" xr:uid="{00000000-0005-0000-0000-0000D94B0000}"/>
    <cellStyle name="Input [yellow] 7 2 2" xfId="10535" xr:uid="{00000000-0005-0000-0000-0000DA4B0000}"/>
    <cellStyle name="Input [yellow] 7 2 2 2" xfId="18328" xr:uid="{00000000-0005-0000-0000-0000DB4B0000}"/>
    <cellStyle name="Input [yellow] 7 2 2 2 2" xfId="43875" xr:uid="{00000000-0005-0000-0000-0000DC4B0000}"/>
    <cellStyle name="Input [yellow] 7 2 2 2 3" xfId="47784" xr:uid="{00000000-0005-0000-0000-0000DD4B0000}"/>
    <cellStyle name="Input [yellow] 7 2 2 2 4" xfId="35965" xr:uid="{00000000-0005-0000-0000-0000DE4B0000}"/>
    <cellStyle name="Input [yellow] 7 2 2 3" xfId="19913" xr:uid="{00000000-0005-0000-0000-0000DF4B0000}"/>
    <cellStyle name="Input [yellow] 7 2 2 3 2" xfId="45450" xr:uid="{00000000-0005-0000-0000-0000E04B0000}"/>
    <cellStyle name="Input [yellow] 7 2 2 3 3" xfId="49356" xr:uid="{00000000-0005-0000-0000-0000E14B0000}"/>
    <cellStyle name="Input [yellow] 7 2 2 3 4" xfId="37427" xr:uid="{00000000-0005-0000-0000-0000E24B0000}"/>
    <cellStyle name="Input [yellow] 7 2 2 4" xfId="19183" xr:uid="{00000000-0005-0000-0000-0000E34B0000}"/>
    <cellStyle name="Input [yellow] 7 2 2 4 2" xfId="44720" xr:uid="{00000000-0005-0000-0000-0000E44B0000}"/>
    <cellStyle name="Input [yellow] 7 2 2 4 3" xfId="48626" xr:uid="{00000000-0005-0000-0000-0000E54B0000}"/>
    <cellStyle name="Input [yellow] 7 2 2 4 4" xfId="36770" xr:uid="{00000000-0005-0000-0000-0000E64B0000}"/>
    <cellStyle name="Input [yellow] 7 2 2 5" xfId="20741" xr:uid="{00000000-0005-0000-0000-0000E74B0000}"/>
    <cellStyle name="Input [yellow] 7 2 2 5 2" xfId="46278" xr:uid="{00000000-0005-0000-0000-0000E84B0000}"/>
    <cellStyle name="Input [yellow] 7 2 2 5 3" xfId="50184" xr:uid="{00000000-0005-0000-0000-0000E94B0000}"/>
    <cellStyle name="Input [yellow] 7 2 2 5 4" xfId="38147" xr:uid="{00000000-0005-0000-0000-0000EA4B0000}"/>
    <cellStyle name="Input [yellow] 7 2 2 6" xfId="21394" xr:uid="{00000000-0005-0000-0000-0000EB4B0000}"/>
    <cellStyle name="Input [yellow] 7 2 2 6 2" xfId="46931" xr:uid="{00000000-0005-0000-0000-0000EC4B0000}"/>
    <cellStyle name="Input [yellow] 7 2 2 6 3" xfId="50837" xr:uid="{00000000-0005-0000-0000-0000ED4B0000}"/>
    <cellStyle name="Input [yellow] 7 2 2 7" xfId="40734" xr:uid="{00000000-0005-0000-0000-0000EE4B0000}"/>
    <cellStyle name="Input [yellow] 7 2 2 8" xfId="39504" xr:uid="{00000000-0005-0000-0000-0000EF4B0000}"/>
    <cellStyle name="Input [yellow] 7 2 3" xfId="10830" xr:uid="{00000000-0005-0000-0000-0000F04B0000}"/>
    <cellStyle name="Input [yellow] 7 2 3 2" xfId="18623" xr:uid="{00000000-0005-0000-0000-0000F14B0000}"/>
    <cellStyle name="Input [yellow] 7 2 3 2 2" xfId="44170" xr:uid="{00000000-0005-0000-0000-0000F24B0000}"/>
    <cellStyle name="Input [yellow] 7 2 3 2 3" xfId="48079" xr:uid="{00000000-0005-0000-0000-0000F34B0000}"/>
    <cellStyle name="Input [yellow] 7 2 3 2 4" xfId="36260" xr:uid="{00000000-0005-0000-0000-0000F44B0000}"/>
    <cellStyle name="Input [yellow] 7 2 3 3" xfId="19405" xr:uid="{00000000-0005-0000-0000-0000F54B0000}"/>
    <cellStyle name="Input [yellow] 7 2 3 3 2" xfId="44942" xr:uid="{00000000-0005-0000-0000-0000F64B0000}"/>
    <cellStyle name="Input [yellow] 7 2 3 3 3" xfId="48848" xr:uid="{00000000-0005-0000-0000-0000F74B0000}"/>
    <cellStyle name="Input [yellow] 7 2 3 3 4" xfId="36970" xr:uid="{00000000-0005-0000-0000-0000F84B0000}"/>
    <cellStyle name="Input [yellow] 7 2 3 4" xfId="12137" xr:uid="{00000000-0005-0000-0000-0000F94B0000}"/>
    <cellStyle name="Input [yellow] 7 2 3 4 2" xfId="41882" xr:uid="{00000000-0005-0000-0000-0000FA4B0000}"/>
    <cellStyle name="Input [yellow] 7 2 3 4 3" xfId="39666" xr:uid="{00000000-0005-0000-0000-0000FB4B0000}"/>
    <cellStyle name="Input [yellow] 7 2 3 4 4" xfId="29810" xr:uid="{00000000-0005-0000-0000-0000FC4B0000}"/>
    <cellStyle name="Input [yellow] 7 2 3 5" xfId="21036" xr:uid="{00000000-0005-0000-0000-0000FD4B0000}"/>
    <cellStyle name="Input [yellow] 7 2 3 5 2" xfId="46573" xr:uid="{00000000-0005-0000-0000-0000FE4B0000}"/>
    <cellStyle name="Input [yellow] 7 2 3 5 3" xfId="50479" xr:uid="{00000000-0005-0000-0000-0000FF4B0000}"/>
    <cellStyle name="Input [yellow] 7 2 3 5 4" xfId="38442" xr:uid="{00000000-0005-0000-0000-0000004C0000}"/>
    <cellStyle name="Input [yellow] 7 2 3 6" xfId="21689" xr:uid="{00000000-0005-0000-0000-0000014C0000}"/>
    <cellStyle name="Input [yellow] 7 2 3 6 2" xfId="47226" xr:uid="{00000000-0005-0000-0000-0000024C0000}"/>
    <cellStyle name="Input [yellow] 7 2 3 6 3" xfId="51132" xr:uid="{00000000-0005-0000-0000-0000034C0000}"/>
    <cellStyle name="Input [yellow] 7 2 3 7" xfId="41029" xr:uid="{00000000-0005-0000-0000-0000044C0000}"/>
    <cellStyle name="Input [yellow] 7 2 3 8" xfId="39189" xr:uid="{00000000-0005-0000-0000-0000054C0000}"/>
    <cellStyle name="Input [yellow] 7 2 4" xfId="10180" xr:uid="{00000000-0005-0000-0000-0000064C0000}"/>
    <cellStyle name="Input [yellow] 7 2 4 2" xfId="17973" xr:uid="{00000000-0005-0000-0000-0000074C0000}"/>
    <cellStyle name="Input [yellow] 7 2 4 2 2" xfId="43763" xr:uid="{00000000-0005-0000-0000-0000084C0000}"/>
    <cellStyle name="Input [yellow] 7 2 4 2 3" xfId="47686" xr:uid="{00000000-0005-0000-0000-0000094C0000}"/>
    <cellStyle name="Input [yellow] 7 2 4 2 4" xfId="35610" xr:uid="{00000000-0005-0000-0000-00000A4C0000}"/>
    <cellStyle name="Input [yellow] 7 2 4 3" xfId="19151" xr:uid="{00000000-0005-0000-0000-00000B4C0000}"/>
    <cellStyle name="Input [yellow] 7 2 4 3 2" xfId="44688" xr:uid="{00000000-0005-0000-0000-00000C4C0000}"/>
    <cellStyle name="Input [yellow] 7 2 4 3 3" xfId="48594" xr:uid="{00000000-0005-0000-0000-00000D4C0000}"/>
    <cellStyle name="Input [yellow] 7 2 4 3 4" xfId="36745" xr:uid="{00000000-0005-0000-0000-00000E4C0000}"/>
    <cellStyle name="Input [yellow] 7 2 4 4" xfId="20129" xr:uid="{00000000-0005-0000-0000-00000F4C0000}"/>
    <cellStyle name="Input [yellow] 7 2 4 4 2" xfId="45666" xr:uid="{00000000-0005-0000-0000-0000104C0000}"/>
    <cellStyle name="Input [yellow] 7 2 4 4 3" xfId="49572" xr:uid="{00000000-0005-0000-0000-0000114C0000}"/>
    <cellStyle name="Input [yellow] 7 2 4 4 4" xfId="37615" xr:uid="{00000000-0005-0000-0000-0000124C0000}"/>
    <cellStyle name="Input [yellow] 7 2 4 5" xfId="20643" xr:uid="{00000000-0005-0000-0000-0000134C0000}"/>
    <cellStyle name="Input [yellow] 7 2 4 5 2" xfId="46180" xr:uid="{00000000-0005-0000-0000-0000144C0000}"/>
    <cellStyle name="Input [yellow] 7 2 4 5 3" xfId="50086" xr:uid="{00000000-0005-0000-0000-0000154C0000}"/>
    <cellStyle name="Input [yellow] 7 2 4 5 4" xfId="38049" xr:uid="{00000000-0005-0000-0000-0000164C0000}"/>
    <cellStyle name="Input [yellow] 7 2 4 6" xfId="21296" xr:uid="{00000000-0005-0000-0000-0000174C0000}"/>
    <cellStyle name="Input [yellow] 7 2 4 6 2" xfId="46833" xr:uid="{00000000-0005-0000-0000-0000184C0000}"/>
    <cellStyle name="Input [yellow] 7 2 4 6 3" xfId="50739" xr:uid="{00000000-0005-0000-0000-0000194C0000}"/>
    <cellStyle name="Input [yellow] 7 2 4 7" xfId="40622" xr:uid="{00000000-0005-0000-0000-00001A4C0000}"/>
    <cellStyle name="Input [yellow] 7 2 4 8" xfId="40143" xr:uid="{00000000-0005-0000-0000-00001B4C0000}"/>
    <cellStyle name="Input [yellow] 7 2 5" xfId="14793" xr:uid="{00000000-0005-0000-0000-00001C4C0000}"/>
    <cellStyle name="Input [yellow] 7 2 5 2" xfId="42909" xr:uid="{00000000-0005-0000-0000-00001D4C0000}"/>
    <cellStyle name="Input [yellow] 7 2 5 3" xfId="40318" xr:uid="{00000000-0005-0000-0000-00001E4C0000}"/>
    <cellStyle name="Input [yellow] 7 2 5 4" xfId="32428" xr:uid="{00000000-0005-0000-0000-00001F4C0000}"/>
    <cellStyle name="Input [yellow] 7 2 6" xfId="13078" xr:uid="{00000000-0005-0000-0000-0000204C0000}"/>
    <cellStyle name="Input [yellow] 7 2 6 2" xfId="42299" xr:uid="{00000000-0005-0000-0000-0000214C0000}"/>
    <cellStyle name="Input [yellow] 7 2 6 3" xfId="41309" xr:uid="{00000000-0005-0000-0000-0000224C0000}"/>
    <cellStyle name="Input [yellow] 7 2 6 4" xfId="30727" xr:uid="{00000000-0005-0000-0000-0000234C0000}"/>
    <cellStyle name="Input [yellow] 7 2 7" xfId="19666" xr:uid="{00000000-0005-0000-0000-0000244C0000}"/>
    <cellStyle name="Input [yellow] 7 2 7 2" xfId="45203" xr:uid="{00000000-0005-0000-0000-0000254C0000}"/>
    <cellStyle name="Input [yellow] 7 2 7 3" xfId="49109" xr:uid="{00000000-0005-0000-0000-0000264C0000}"/>
    <cellStyle name="Input [yellow] 7 2 7 4" xfId="37200" xr:uid="{00000000-0005-0000-0000-0000274C0000}"/>
    <cellStyle name="Input [yellow] 7 2 8" xfId="12708" xr:uid="{00000000-0005-0000-0000-0000284C0000}"/>
    <cellStyle name="Input [yellow] 7 2 8 2" xfId="42183" xr:uid="{00000000-0005-0000-0000-0000294C0000}"/>
    <cellStyle name="Input [yellow] 7 2 8 3" xfId="43585" xr:uid="{00000000-0005-0000-0000-00002A4C0000}"/>
    <cellStyle name="Input [yellow] 7 2 8 4" xfId="30366" xr:uid="{00000000-0005-0000-0000-00002B4C0000}"/>
    <cellStyle name="Input [yellow] 7 2 9" xfId="19864" xr:uid="{00000000-0005-0000-0000-00002C4C0000}"/>
    <cellStyle name="Input [yellow] 7 2 9 2" xfId="45401" xr:uid="{00000000-0005-0000-0000-00002D4C0000}"/>
    <cellStyle name="Input [yellow] 7 2 9 3" xfId="49307" xr:uid="{00000000-0005-0000-0000-00002E4C0000}"/>
    <cellStyle name="Input [yellow] 7 2 9 4" xfId="37378" xr:uid="{00000000-0005-0000-0000-00002F4C0000}"/>
    <cellStyle name="Input [yellow] 7 3" xfId="10454" xr:uid="{00000000-0005-0000-0000-0000304C0000}"/>
    <cellStyle name="Input [yellow] 7 3 2" xfId="18247" xr:uid="{00000000-0005-0000-0000-0000314C0000}"/>
    <cellStyle name="Input [yellow] 7 3 2 2" xfId="43794" xr:uid="{00000000-0005-0000-0000-0000324C0000}"/>
    <cellStyle name="Input [yellow] 7 3 2 3" xfId="47703" xr:uid="{00000000-0005-0000-0000-0000334C0000}"/>
    <cellStyle name="Input [yellow] 7 3 2 4" xfId="35884" xr:uid="{00000000-0005-0000-0000-0000344C0000}"/>
    <cellStyle name="Input [yellow] 7 3 3" xfId="20182" xr:uid="{00000000-0005-0000-0000-0000354C0000}"/>
    <cellStyle name="Input [yellow] 7 3 3 2" xfId="45719" xr:uid="{00000000-0005-0000-0000-0000364C0000}"/>
    <cellStyle name="Input [yellow] 7 3 3 3" xfId="49625" xr:uid="{00000000-0005-0000-0000-0000374C0000}"/>
    <cellStyle name="Input [yellow] 7 3 3 4" xfId="37667" xr:uid="{00000000-0005-0000-0000-0000384C0000}"/>
    <cellStyle name="Input [yellow] 7 3 4" xfId="20462" xr:uid="{00000000-0005-0000-0000-0000394C0000}"/>
    <cellStyle name="Input [yellow] 7 3 4 2" xfId="45999" xr:uid="{00000000-0005-0000-0000-00003A4C0000}"/>
    <cellStyle name="Input [yellow] 7 3 4 3" xfId="49905" xr:uid="{00000000-0005-0000-0000-00003B4C0000}"/>
    <cellStyle name="Input [yellow] 7 3 4 4" xfId="37915" xr:uid="{00000000-0005-0000-0000-00003C4C0000}"/>
    <cellStyle name="Input [yellow] 7 3 5" xfId="20660" xr:uid="{00000000-0005-0000-0000-00003D4C0000}"/>
    <cellStyle name="Input [yellow] 7 3 5 2" xfId="46197" xr:uid="{00000000-0005-0000-0000-00003E4C0000}"/>
    <cellStyle name="Input [yellow] 7 3 5 3" xfId="50103" xr:uid="{00000000-0005-0000-0000-00003F4C0000}"/>
    <cellStyle name="Input [yellow] 7 3 5 4" xfId="38066" xr:uid="{00000000-0005-0000-0000-0000404C0000}"/>
    <cellStyle name="Input [yellow] 7 3 6" xfId="21313" xr:uid="{00000000-0005-0000-0000-0000414C0000}"/>
    <cellStyle name="Input [yellow] 7 3 6 2" xfId="46850" xr:uid="{00000000-0005-0000-0000-0000424C0000}"/>
    <cellStyle name="Input [yellow] 7 3 6 3" xfId="50756" xr:uid="{00000000-0005-0000-0000-0000434C0000}"/>
    <cellStyle name="Input [yellow] 7 3 7" xfId="40653" xr:uid="{00000000-0005-0000-0000-0000444C0000}"/>
    <cellStyle name="Input [yellow] 7 3 8" xfId="43402" xr:uid="{00000000-0005-0000-0000-0000454C0000}"/>
    <cellStyle name="Input [yellow] 7 4" xfId="7791" xr:uid="{00000000-0005-0000-0000-0000464C0000}"/>
    <cellStyle name="Input [yellow] 7 4 2" xfId="15588" xr:uid="{00000000-0005-0000-0000-0000474C0000}"/>
    <cellStyle name="Input [yellow] 7 4 2 2" xfId="43267" xr:uid="{00000000-0005-0000-0000-0000484C0000}"/>
    <cellStyle name="Input [yellow] 7 4 2 3" xfId="40519" xr:uid="{00000000-0005-0000-0000-0000494C0000}"/>
    <cellStyle name="Input [yellow] 7 4 2 4" xfId="33223" xr:uid="{00000000-0005-0000-0000-00004A4C0000}"/>
    <cellStyle name="Input [yellow] 7 4 3" xfId="19956" xr:uid="{00000000-0005-0000-0000-00004B4C0000}"/>
    <cellStyle name="Input [yellow] 7 4 3 2" xfId="45493" xr:uid="{00000000-0005-0000-0000-00004C4C0000}"/>
    <cellStyle name="Input [yellow] 7 4 3 3" xfId="49399" xr:uid="{00000000-0005-0000-0000-00004D4C0000}"/>
    <cellStyle name="Input [yellow] 7 4 3 4" xfId="37461" xr:uid="{00000000-0005-0000-0000-00004E4C0000}"/>
    <cellStyle name="Input [yellow] 7 4 4" xfId="19172" xr:uid="{00000000-0005-0000-0000-00004F4C0000}"/>
    <cellStyle name="Input [yellow] 7 4 4 2" xfId="44709" xr:uid="{00000000-0005-0000-0000-0000504C0000}"/>
    <cellStyle name="Input [yellow] 7 4 4 3" xfId="48615" xr:uid="{00000000-0005-0000-0000-0000514C0000}"/>
    <cellStyle name="Input [yellow] 7 4 4 4" xfId="36763" xr:uid="{00000000-0005-0000-0000-0000524C0000}"/>
    <cellStyle name="Input [yellow] 7 4 5" xfId="11379" xr:uid="{00000000-0005-0000-0000-0000534C0000}"/>
    <cellStyle name="Input [yellow] 7 4 5 2" xfId="41415" xr:uid="{00000000-0005-0000-0000-0000544C0000}"/>
    <cellStyle name="Input [yellow] 7 4 5 3" xfId="42037" xr:uid="{00000000-0005-0000-0000-0000554C0000}"/>
    <cellStyle name="Input [yellow] 7 4 5 4" xfId="29101" xr:uid="{00000000-0005-0000-0000-0000564C0000}"/>
    <cellStyle name="Input [yellow] 7 4 6" xfId="20086" xr:uid="{00000000-0005-0000-0000-0000574C0000}"/>
    <cellStyle name="Input [yellow] 7 4 6 2" xfId="45623" xr:uid="{00000000-0005-0000-0000-0000584C0000}"/>
    <cellStyle name="Input [yellow] 7 4 6 3" xfId="49529" xr:uid="{00000000-0005-0000-0000-0000594C0000}"/>
    <cellStyle name="Input [yellow] 7 4 7" xfId="40126" xr:uid="{00000000-0005-0000-0000-00005A4C0000}"/>
    <cellStyle name="Input [yellow] 7 4 8" xfId="40127" xr:uid="{00000000-0005-0000-0000-00005B4C0000}"/>
    <cellStyle name="Input [yellow] 8" xfId="6990" xr:uid="{00000000-0005-0000-0000-00005C4C0000}"/>
    <cellStyle name="Input [yellow] 8 10" xfId="39754" xr:uid="{00000000-0005-0000-0000-00005D4C0000}"/>
    <cellStyle name="Input [yellow] 8 11" xfId="40409" xr:uid="{00000000-0005-0000-0000-00005E4C0000}"/>
    <cellStyle name="Input [yellow] 8 2" xfId="10520" xr:uid="{00000000-0005-0000-0000-00005F4C0000}"/>
    <cellStyle name="Input [yellow] 8 2 2" xfId="18313" xr:uid="{00000000-0005-0000-0000-0000604C0000}"/>
    <cellStyle name="Input [yellow] 8 2 2 2" xfId="43860" xr:uid="{00000000-0005-0000-0000-0000614C0000}"/>
    <cellStyle name="Input [yellow] 8 2 2 3" xfId="47769" xr:uid="{00000000-0005-0000-0000-0000624C0000}"/>
    <cellStyle name="Input [yellow] 8 2 2 4" xfId="35950" xr:uid="{00000000-0005-0000-0000-0000634C0000}"/>
    <cellStyle name="Input [yellow] 8 2 3" xfId="19619" xr:uid="{00000000-0005-0000-0000-0000644C0000}"/>
    <cellStyle name="Input [yellow] 8 2 3 2" xfId="45156" xr:uid="{00000000-0005-0000-0000-0000654C0000}"/>
    <cellStyle name="Input [yellow] 8 2 3 3" xfId="49062" xr:uid="{00000000-0005-0000-0000-0000664C0000}"/>
    <cellStyle name="Input [yellow] 8 2 3 4" xfId="37159" xr:uid="{00000000-0005-0000-0000-0000674C0000}"/>
    <cellStyle name="Input [yellow] 8 2 4" xfId="19169" xr:uid="{00000000-0005-0000-0000-0000684C0000}"/>
    <cellStyle name="Input [yellow] 8 2 4 2" xfId="44706" xr:uid="{00000000-0005-0000-0000-0000694C0000}"/>
    <cellStyle name="Input [yellow] 8 2 4 3" xfId="48612" xr:uid="{00000000-0005-0000-0000-00006A4C0000}"/>
    <cellStyle name="Input [yellow] 8 2 4 4" xfId="36761" xr:uid="{00000000-0005-0000-0000-00006B4C0000}"/>
    <cellStyle name="Input [yellow] 8 2 5" xfId="20726" xr:uid="{00000000-0005-0000-0000-00006C4C0000}"/>
    <cellStyle name="Input [yellow] 8 2 5 2" xfId="46263" xr:uid="{00000000-0005-0000-0000-00006D4C0000}"/>
    <cellStyle name="Input [yellow] 8 2 5 3" xfId="50169" xr:uid="{00000000-0005-0000-0000-00006E4C0000}"/>
    <cellStyle name="Input [yellow] 8 2 5 4" xfId="38132" xr:uid="{00000000-0005-0000-0000-00006F4C0000}"/>
    <cellStyle name="Input [yellow] 8 2 6" xfId="21379" xr:uid="{00000000-0005-0000-0000-0000704C0000}"/>
    <cellStyle name="Input [yellow] 8 2 6 2" xfId="46916" xr:uid="{00000000-0005-0000-0000-0000714C0000}"/>
    <cellStyle name="Input [yellow] 8 2 6 3" xfId="50822" xr:uid="{00000000-0005-0000-0000-0000724C0000}"/>
    <cellStyle name="Input [yellow] 8 2 7" xfId="40719" xr:uid="{00000000-0005-0000-0000-0000734C0000}"/>
    <cellStyle name="Input [yellow] 8 2 8" xfId="39202" xr:uid="{00000000-0005-0000-0000-0000744C0000}"/>
    <cellStyle name="Input [yellow] 8 3" xfId="10815" xr:uid="{00000000-0005-0000-0000-0000754C0000}"/>
    <cellStyle name="Input [yellow] 8 3 2" xfId="18608" xr:uid="{00000000-0005-0000-0000-0000764C0000}"/>
    <cellStyle name="Input [yellow] 8 3 2 2" xfId="44155" xr:uid="{00000000-0005-0000-0000-0000774C0000}"/>
    <cellStyle name="Input [yellow] 8 3 2 3" xfId="48064" xr:uid="{00000000-0005-0000-0000-0000784C0000}"/>
    <cellStyle name="Input [yellow] 8 3 2 4" xfId="36245" xr:uid="{00000000-0005-0000-0000-0000794C0000}"/>
    <cellStyle name="Input [yellow] 8 3 3" xfId="19277" xr:uid="{00000000-0005-0000-0000-00007A4C0000}"/>
    <cellStyle name="Input [yellow] 8 3 3 2" xfId="44814" xr:uid="{00000000-0005-0000-0000-00007B4C0000}"/>
    <cellStyle name="Input [yellow] 8 3 3 3" xfId="48720" xr:uid="{00000000-0005-0000-0000-00007C4C0000}"/>
    <cellStyle name="Input [yellow] 8 3 3 4" xfId="36855" xr:uid="{00000000-0005-0000-0000-00007D4C0000}"/>
    <cellStyle name="Input [yellow] 8 3 4" xfId="11658" xr:uid="{00000000-0005-0000-0000-00007E4C0000}"/>
    <cellStyle name="Input [yellow] 8 3 4 2" xfId="41669" xr:uid="{00000000-0005-0000-0000-00007F4C0000}"/>
    <cellStyle name="Input [yellow] 8 3 4 3" xfId="39463" xr:uid="{00000000-0005-0000-0000-0000804C0000}"/>
    <cellStyle name="Input [yellow] 8 3 4 4" xfId="29357" xr:uid="{00000000-0005-0000-0000-0000814C0000}"/>
    <cellStyle name="Input [yellow] 8 3 5" xfId="21021" xr:uid="{00000000-0005-0000-0000-0000824C0000}"/>
    <cellStyle name="Input [yellow] 8 3 5 2" xfId="46558" xr:uid="{00000000-0005-0000-0000-0000834C0000}"/>
    <cellStyle name="Input [yellow] 8 3 5 3" xfId="50464" xr:uid="{00000000-0005-0000-0000-0000844C0000}"/>
    <cellStyle name="Input [yellow] 8 3 5 4" xfId="38427" xr:uid="{00000000-0005-0000-0000-0000854C0000}"/>
    <cellStyle name="Input [yellow] 8 3 6" xfId="21674" xr:uid="{00000000-0005-0000-0000-0000864C0000}"/>
    <cellStyle name="Input [yellow] 8 3 6 2" xfId="47211" xr:uid="{00000000-0005-0000-0000-0000874C0000}"/>
    <cellStyle name="Input [yellow] 8 3 6 3" xfId="51117" xr:uid="{00000000-0005-0000-0000-0000884C0000}"/>
    <cellStyle name="Input [yellow] 8 3 7" xfId="41014" xr:uid="{00000000-0005-0000-0000-0000894C0000}"/>
    <cellStyle name="Input [yellow] 8 3 8" xfId="43730" xr:uid="{00000000-0005-0000-0000-00008A4C0000}"/>
    <cellStyle name="Input [yellow] 8 4" xfId="10165" xr:uid="{00000000-0005-0000-0000-00008B4C0000}"/>
    <cellStyle name="Input [yellow] 8 4 2" xfId="17958" xr:uid="{00000000-0005-0000-0000-00008C4C0000}"/>
    <cellStyle name="Input [yellow] 8 4 2 2" xfId="43748" xr:uid="{00000000-0005-0000-0000-00008D4C0000}"/>
    <cellStyle name="Input [yellow] 8 4 2 3" xfId="47671" xr:uid="{00000000-0005-0000-0000-00008E4C0000}"/>
    <cellStyle name="Input [yellow] 8 4 2 4" xfId="35595" xr:uid="{00000000-0005-0000-0000-00008F4C0000}"/>
    <cellStyle name="Input [yellow] 8 4 3" xfId="20189" xr:uid="{00000000-0005-0000-0000-0000904C0000}"/>
    <cellStyle name="Input [yellow] 8 4 3 2" xfId="45726" xr:uid="{00000000-0005-0000-0000-0000914C0000}"/>
    <cellStyle name="Input [yellow] 8 4 3 3" xfId="49632" xr:uid="{00000000-0005-0000-0000-0000924C0000}"/>
    <cellStyle name="Input [yellow] 8 4 3 4" xfId="37673" xr:uid="{00000000-0005-0000-0000-0000934C0000}"/>
    <cellStyle name="Input [yellow] 8 4 4" xfId="20194" xr:uid="{00000000-0005-0000-0000-0000944C0000}"/>
    <cellStyle name="Input [yellow] 8 4 4 2" xfId="45731" xr:uid="{00000000-0005-0000-0000-0000954C0000}"/>
    <cellStyle name="Input [yellow] 8 4 4 3" xfId="49637" xr:uid="{00000000-0005-0000-0000-0000964C0000}"/>
    <cellStyle name="Input [yellow] 8 4 4 4" xfId="37677" xr:uid="{00000000-0005-0000-0000-0000974C0000}"/>
    <cellStyle name="Input [yellow] 8 4 5" xfId="20628" xr:uid="{00000000-0005-0000-0000-0000984C0000}"/>
    <cellStyle name="Input [yellow] 8 4 5 2" xfId="46165" xr:uid="{00000000-0005-0000-0000-0000994C0000}"/>
    <cellStyle name="Input [yellow] 8 4 5 3" xfId="50071" xr:uid="{00000000-0005-0000-0000-00009A4C0000}"/>
    <cellStyle name="Input [yellow] 8 4 5 4" xfId="38034" xr:uid="{00000000-0005-0000-0000-00009B4C0000}"/>
    <cellStyle name="Input [yellow] 8 4 6" xfId="21281" xr:uid="{00000000-0005-0000-0000-00009C4C0000}"/>
    <cellStyle name="Input [yellow] 8 4 6 2" xfId="46818" xr:uid="{00000000-0005-0000-0000-00009D4C0000}"/>
    <cellStyle name="Input [yellow] 8 4 6 3" xfId="50724" xr:uid="{00000000-0005-0000-0000-00009E4C0000}"/>
    <cellStyle name="Input [yellow] 8 4 7" xfId="40607" xr:uid="{00000000-0005-0000-0000-00009F4C0000}"/>
    <cellStyle name="Input [yellow] 8 4 8" xfId="39718" xr:uid="{00000000-0005-0000-0000-0000A04C0000}"/>
    <cellStyle name="Input [yellow] 8 5" xfId="14778" xr:uid="{00000000-0005-0000-0000-0000A14C0000}"/>
    <cellStyle name="Input [yellow] 8 5 2" xfId="42894" xr:uid="{00000000-0005-0000-0000-0000A24C0000}"/>
    <cellStyle name="Input [yellow] 8 5 3" xfId="39279" xr:uid="{00000000-0005-0000-0000-0000A34C0000}"/>
    <cellStyle name="Input [yellow] 8 5 4" xfId="32413" xr:uid="{00000000-0005-0000-0000-0000A44C0000}"/>
    <cellStyle name="Input [yellow] 8 6" xfId="13065" xr:uid="{00000000-0005-0000-0000-0000A54C0000}"/>
    <cellStyle name="Input [yellow] 8 6 2" xfId="42286" xr:uid="{00000000-0005-0000-0000-0000A64C0000}"/>
    <cellStyle name="Input [yellow] 8 6 3" xfId="42799" xr:uid="{00000000-0005-0000-0000-0000A74C0000}"/>
    <cellStyle name="Input [yellow] 8 6 4" xfId="30714" xr:uid="{00000000-0005-0000-0000-0000A84C0000}"/>
    <cellStyle name="Input [yellow] 8 7" xfId="20051" xr:uid="{00000000-0005-0000-0000-0000A94C0000}"/>
    <cellStyle name="Input [yellow] 8 7 2" xfId="45588" xr:uid="{00000000-0005-0000-0000-0000AA4C0000}"/>
    <cellStyle name="Input [yellow] 8 7 3" xfId="49494" xr:uid="{00000000-0005-0000-0000-0000AB4C0000}"/>
    <cellStyle name="Input [yellow] 8 7 4" xfId="37549" xr:uid="{00000000-0005-0000-0000-0000AC4C0000}"/>
    <cellStyle name="Input [yellow] 8 8" xfId="11795" xr:uid="{00000000-0005-0000-0000-0000AD4C0000}"/>
    <cellStyle name="Input [yellow] 8 8 2" xfId="41745" xr:uid="{00000000-0005-0000-0000-0000AE4C0000}"/>
    <cellStyle name="Input [yellow] 8 8 3" xfId="39154" xr:uid="{00000000-0005-0000-0000-0000AF4C0000}"/>
    <cellStyle name="Input [yellow] 8 8 4" xfId="29481" xr:uid="{00000000-0005-0000-0000-0000B04C0000}"/>
    <cellStyle name="Input [yellow] 8 9" xfId="20624" xr:uid="{00000000-0005-0000-0000-0000B14C0000}"/>
    <cellStyle name="Input [yellow] 8 9 2" xfId="46161" xr:uid="{00000000-0005-0000-0000-0000B24C0000}"/>
    <cellStyle name="Input [yellow] 8 9 3" xfId="50067" xr:uid="{00000000-0005-0000-0000-0000B34C0000}"/>
    <cellStyle name="Input [yellow] 8 9 4" xfId="38033" xr:uid="{00000000-0005-0000-0000-0000B44C0000}"/>
    <cellStyle name="Input [yellow] 9" xfId="10439" xr:uid="{00000000-0005-0000-0000-0000B54C0000}"/>
    <cellStyle name="Input [yellow] 9 2" xfId="18232" xr:uid="{00000000-0005-0000-0000-0000B64C0000}"/>
    <cellStyle name="Input [yellow] 9 2 2" xfId="43779" xr:uid="{00000000-0005-0000-0000-0000B74C0000}"/>
    <cellStyle name="Input [yellow] 9 2 3" xfId="47688" xr:uid="{00000000-0005-0000-0000-0000B84C0000}"/>
    <cellStyle name="Input [yellow] 9 2 4" xfId="35869" xr:uid="{00000000-0005-0000-0000-0000B94C0000}"/>
    <cellStyle name="Input [yellow] 9 3" xfId="20047" xr:uid="{00000000-0005-0000-0000-0000BA4C0000}"/>
    <cellStyle name="Input [yellow] 9 3 2" xfId="45584" xr:uid="{00000000-0005-0000-0000-0000BB4C0000}"/>
    <cellStyle name="Input [yellow] 9 3 3" xfId="49490" xr:uid="{00000000-0005-0000-0000-0000BC4C0000}"/>
    <cellStyle name="Input [yellow] 9 3 4" xfId="37545" xr:uid="{00000000-0005-0000-0000-0000BD4C0000}"/>
    <cellStyle name="Input [yellow] 9 4" xfId="19367" xr:uid="{00000000-0005-0000-0000-0000BE4C0000}"/>
    <cellStyle name="Input [yellow] 9 4 2" xfId="44904" xr:uid="{00000000-0005-0000-0000-0000BF4C0000}"/>
    <cellStyle name="Input [yellow] 9 4 3" xfId="48810" xr:uid="{00000000-0005-0000-0000-0000C04C0000}"/>
    <cellStyle name="Input [yellow] 9 4 4" xfId="36935" xr:uid="{00000000-0005-0000-0000-0000C14C0000}"/>
    <cellStyle name="Input [yellow] 9 5" xfId="20645" xr:uid="{00000000-0005-0000-0000-0000C24C0000}"/>
    <cellStyle name="Input [yellow] 9 5 2" xfId="46182" xr:uid="{00000000-0005-0000-0000-0000C34C0000}"/>
    <cellStyle name="Input [yellow] 9 5 3" xfId="50088" xr:uid="{00000000-0005-0000-0000-0000C44C0000}"/>
    <cellStyle name="Input [yellow] 9 5 4" xfId="38051" xr:uid="{00000000-0005-0000-0000-0000C54C0000}"/>
    <cellStyle name="Input [yellow] 9 6" xfId="21298" xr:uid="{00000000-0005-0000-0000-0000C64C0000}"/>
    <cellStyle name="Input [yellow] 9 6 2" xfId="46835" xr:uid="{00000000-0005-0000-0000-0000C74C0000}"/>
    <cellStyle name="Input [yellow] 9 6 3" xfId="50741" xr:uid="{00000000-0005-0000-0000-0000C84C0000}"/>
    <cellStyle name="Input [yellow] 9 7" xfId="40638" xr:uid="{00000000-0005-0000-0000-0000C94C0000}"/>
    <cellStyle name="Input [yellow] 9 8" xfId="41447" xr:uid="{00000000-0005-0000-0000-0000CA4C0000}"/>
    <cellStyle name="Input [yellow]_BallGrid" xfId="1796" xr:uid="{00000000-0005-0000-0000-0000CB4C0000}"/>
    <cellStyle name="Input 10" xfId="1797" xr:uid="{00000000-0005-0000-0000-0000CC4C0000}"/>
    <cellStyle name="Input 10 2" xfId="1798" xr:uid="{00000000-0005-0000-0000-0000CD4C0000}"/>
    <cellStyle name="Input 10 2 2" xfId="1799" xr:uid="{00000000-0005-0000-0000-0000CE4C0000}"/>
    <cellStyle name="Input 10 2 2 2" xfId="7008" xr:uid="{00000000-0005-0000-0000-0000CF4C0000}"/>
    <cellStyle name="Input 10 2 2 2 10" xfId="39624" xr:uid="{00000000-0005-0000-0000-0000D04C0000}"/>
    <cellStyle name="Input 10 2 2 2 2" xfId="10538" xr:uid="{00000000-0005-0000-0000-0000D14C0000}"/>
    <cellStyle name="Input 10 2 2 2 2 2" xfId="18331" xr:uid="{00000000-0005-0000-0000-0000D24C0000}"/>
    <cellStyle name="Input 10 2 2 2 2 2 2" xfId="43878" xr:uid="{00000000-0005-0000-0000-0000D34C0000}"/>
    <cellStyle name="Input 10 2 2 2 2 2 3" xfId="47787" xr:uid="{00000000-0005-0000-0000-0000D44C0000}"/>
    <cellStyle name="Input 10 2 2 2 2 2 4" xfId="35968" xr:uid="{00000000-0005-0000-0000-0000D54C0000}"/>
    <cellStyle name="Input 10 2 2 2 2 3" xfId="11492" xr:uid="{00000000-0005-0000-0000-0000D64C0000}"/>
    <cellStyle name="Input 10 2 2 2 2 3 2" xfId="41503" xr:uid="{00000000-0005-0000-0000-0000D74C0000}"/>
    <cellStyle name="Input 10 2 2 2 2 3 3" xfId="40215" xr:uid="{00000000-0005-0000-0000-0000D84C0000}"/>
    <cellStyle name="Input 10 2 2 2 2 3 4" xfId="29207" xr:uid="{00000000-0005-0000-0000-0000D94C0000}"/>
    <cellStyle name="Input 10 2 2 2 2 4" xfId="19536" xr:uid="{00000000-0005-0000-0000-0000DA4C0000}"/>
    <cellStyle name="Input 10 2 2 2 2 4 2" xfId="45073" xr:uid="{00000000-0005-0000-0000-0000DB4C0000}"/>
    <cellStyle name="Input 10 2 2 2 2 4 3" xfId="48979" xr:uid="{00000000-0005-0000-0000-0000DC4C0000}"/>
    <cellStyle name="Input 10 2 2 2 2 4 4" xfId="37083" xr:uid="{00000000-0005-0000-0000-0000DD4C0000}"/>
    <cellStyle name="Input 10 2 2 2 2 5" xfId="20744" xr:uid="{00000000-0005-0000-0000-0000DE4C0000}"/>
    <cellStyle name="Input 10 2 2 2 2 5 2" xfId="46281" xr:uid="{00000000-0005-0000-0000-0000DF4C0000}"/>
    <cellStyle name="Input 10 2 2 2 2 5 3" xfId="50187" xr:uid="{00000000-0005-0000-0000-0000E04C0000}"/>
    <cellStyle name="Input 10 2 2 2 2 5 4" xfId="38150" xr:uid="{00000000-0005-0000-0000-0000E14C0000}"/>
    <cellStyle name="Input 10 2 2 2 2 6" xfId="21397" xr:uid="{00000000-0005-0000-0000-0000E24C0000}"/>
    <cellStyle name="Input 10 2 2 2 2 6 2" xfId="46934" xr:uid="{00000000-0005-0000-0000-0000E34C0000}"/>
    <cellStyle name="Input 10 2 2 2 2 6 3" xfId="50840" xr:uid="{00000000-0005-0000-0000-0000E44C0000}"/>
    <cellStyle name="Input 10 2 2 2 2 7" xfId="40737" xr:uid="{00000000-0005-0000-0000-0000E54C0000}"/>
    <cellStyle name="Input 10 2 2 2 2 8" xfId="40259" xr:uid="{00000000-0005-0000-0000-0000E64C0000}"/>
    <cellStyle name="Input 10 2 2 2 3" xfId="10833" xr:uid="{00000000-0005-0000-0000-0000E74C0000}"/>
    <cellStyle name="Input 10 2 2 2 3 2" xfId="18626" xr:uid="{00000000-0005-0000-0000-0000E84C0000}"/>
    <cellStyle name="Input 10 2 2 2 3 2 2" xfId="44173" xr:uid="{00000000-0005-0000-0000-0000E94C0000}"/>
    <cellStyle name="Input 10 2 2 2 3 2 3" xfId="48082" xr:uid="{00000000-0005-0000-0000-0000EA4C0000}"/>
    <cellStyle name="Input 10 2 2 2 3 2 4" xfId="36263" xr:uid="{00000000-0005-0000-0000-0000EB4C0000}"/>
    <cellStyle name="Input 10 2 2 2 3 3" xfId="19887" xr:uid="{00000000-0005-0000-0000-0000EC4C0000}"/>
    <cellStyle name="Input 10 2 2 2 3 3 2" xfId="45424" xr:uid="{00000000-0005-0000-0000-0000ED4C0000}"/>
    <cellStyle name="Input 10 2 2 2 3 3 3" xfId="49330" xr:uid="{00000000-0005-0000-0000-0000EE4C0000}"/>
    <cellStyle name="Input 10 2 2 2 3 3 4" xfId="37401" xr:uid="{00000000-0005-0000-0000-0000EF4C0000}"/>
    <cellStyle name="Input 10 2 2 2 3 4" xfId="12931" xr:uid="{00000000-0005-0000-0000-0000F04C0000}"/>
    <cellStyle name="Input 10 2 2 2 3 4 2" xfId="42257" xr:uid="{00000000-0005-0000-0000-0000F14C0000}"/>
    <cellStyle name="Input 10 2 2 2 3 4 3" xfId="39306" xr:uid="{00000000-0005-0000-0000-0000F24C0000}"/>
    <cellStyle name="Input 10 2 2 2 3 4 4" xfId="30581" xr:uid="{00000000-0005-0000-0000-0000F34C0000}"/>
    <cellStyle name="Input 10 2 2 2 3 5" xfId="21039" xr:uid="{00000000-0005-0000-0000-0000F44C0000}"/>
    <cellStyle name="Input 10 2 2 2 3 5 2" xfId="46576" xr:uid="{00000000-0005-0000-0000-0000F54C0000}"/>
    <cellStyle name="Input 10 2 2 2 3 5 3" xfId="50482" xr:uid="{00000000-0005-0000-0000-0000F64C0000}"/>
    <cellStyle name="Input 10 2 2 2 3 5 4" xfId="38445" xr:uid="{00000000-0005-0000-0000-0000F74C0000}"/>
    <cellStyle name="Input 10 2 2 2 3 6" xfId="21692" xr:uid="{00000000-0005-0000-0000-0000F84C0000}"/>
    <cellStyle name="Input 10 2 2 2 3 6 2" xfId="47229" xr:uid="{00000000-0005-0000-0000-0000F94C0000}"/>
    <cellStyle name="Input 10 2 2 2 3 6 3" xfId="51135" xr:uid="{00000000-0005-0000-0000-0000FA4C0000}"/>
    <cellStyle name="Input 10 2 2 2 3 7" xfId="41032" xr:uid="{00000000-0005-0000-0000-0000FB4C0000}"/>
    <cellStyle name="Input 10 2 2 2 3 8" xfId="40241" xr:uid="{00000000-0005-0000-0000-0000FC4C0000}"/>
    <cellStyle name="Input 10 2 2 2 4" xfId="14796" xr:uid="{00000000-0005-0000-0000-0000FD4C0000}"/>
    <cellStyle name="Input 10 2 2 2 4 2" xfId="42912" xr:uid="{00000000-0005-0000-0000-0000FE4C0000}"/>
    <cellStyle name="Input 10 2 2 2 4 3" xfId="43304" xr:uid="{00000000-0005-0000-0000-0000FF4C0000}"/>
    <cellStyle name="Input 10 2 2 2 4 4" xfId="32431" xr:uid="{00000000-0005-0000-0000-0000004D0000}"/>
    <cellStyle name="Input 10 2 2 2 5" xfId="12465" xr:uid="{00000000-0005-0000-0000-0000014D0000}"/>
    <cellStyle name="Input 10 2 2 2 5 2" xfId="41986" xr:uid="{00000000-0005-0000-0000-0000024D0000}"/>
    <cellStyle name="Input 10 2 2 2 5 3" xfId="43482" xr:uid="{00000000-0005-0000-0000-0000034D0000}"/>
    <cellStyle name="Input 10 2 2 2 5 4" xfId="30136" xr:uid="{00000000-0005-0000-0000-0000044D0000}"/>
    <cellStyle name="Input 10 2 2 2 6" xfId="12852" xr:uid="{00000000-0005-0000-0000-0000054D0000}"/>
    <cellStyle name="Input 10 2 2 2 6 2" xfId="42235" xr:uid="{00000000-0005-0000-0000-0000064D0000}"/>
    <cellStyle name="Input 10 2 2 2 6 3" xfId="40185" xr:uid="{00000000-0005-0000-0000-0000074D0000}"/>
    <cellStyle name="Input 10 2 2 2 6 4" xfId="30506" xr:uid="{00000000-0005-0000-0000-0000084D0000}"/>
    <cellStyle name="Input 10 2 2 2 7" xfId="20239" xr:uid="{00000000-0005-0000-0000-0000094D0000}"/>
    <cellStyle name="Input 10 2 2 2 7 2" xfId="45776" xr:uid="{00000000-0005-0000-0000-00000A4D0000}"/>
    <cellStyle name="Input 10 2 2 2 7 3" xfId="49682" xr:uid="{00000000-0005-0000-0000-00000B4D0000}"/>
    <cellStyle name="Input 10 2 2 2 7 4" xfId="37712" xr:uid="{00000000-0005-0000-0000-00000C4D0000}"/>
    <cellStyle name="Input 10 2 2 2 8" xfId="11582" xr:uid="{00000000-0005-0000-0000-00000D4D0000}"/>
    <cellStyle name="Input 10 2 2 2 8 2" xfId="41593" xr:uid="{00000000-0005-0000-0000-00000E4D0000}"/>
    <cellStyle name="Input 10 2 2 2 8 3" xfId="43494" xr:uid="{00000000-0005-0000-0000-00000F4D0000}"/>
    <cellStyle name="Input 10 2 2 2 9" xfId="39772" xr:uid="{00000000-0005-0000-0000-0000104D0000}"/>
    <cellStyle name="Input 10 2 2 3" xfId="52989" xr:uid="{00000000-0005-0000-0000-0000114D0000}"/>
    <cellStyle name="Input 10 2 3" xfId="7007" xr:uid="{00000000-0005-0000-0000-0000124D0000}"/>
    <cellStyle name="Input 10 2 3 10" xfId="40514" xr:uid="{00000000-0005-0000-0000-0000134D0000}"/>
    <cellStyle name="Input 10 2 3 2" xfId="10537" xr:uid="{00000000-0005-0000-0000-0000144D0000}"/>
    <cellStyle name="Input 10 2 3 2 2" xfId="18330" xr:uid="{00000000-0005-0000-0000-0000154D0000}"/>
    <cellStyle name="Input 10 2 3 2 2 2" xfId="43877" xr:uid="{00000000-0005-0000-0000-0000164D0000}"/>
    <cellStyle name="Input 10 2 3 2 2 3" xfId="47786" xr:uid="{00000000-0005-0000-0000-0000174D0000}"/>
    <cellStyle name="Input 10 2 3 2 2 4" xfId="35967" xr:uid="{00000000-0005-0000-0000-0000184D0000}"/>
    <cellStyle name="Input 10 2 3 2 3" xfId="19758" xr:uid="{00000000-0005-0000-0000-0000194D0000}"/>
    <cellStyle name="Input 10 2 3 2 3 2" xfId="45295" xr:uid="{00000000-0005-0000-0000-00001A4D0000}"/>
    <cellStyle name="Input 10 2 3 2 3 3" xfId="49201" xr:uid="{00000000-0005-0000-0000-00001B4D0000}"/>
    <cellStyle name="Input 10 2 3 2 3 4" xfId="37285" xr:uid="{00000000-0005-0000-0000-00001C4D0000}"/>
    <cellStyle name="Input 10 2 3 2 4" xfId="19256" xr:uid="{00000000-0005-0000-0000-00001D4D0000}"/>
    <cellStyle name="Input 10 2 3 2 4 2" xfId="44793" xr:uid="{00000000-0005-0000-0000-00001E4D0000}"/>
    <cellStyle name="Input 10 2 3 2 4 3" xfId="48699" xr:uid="{00000000-0005-0000-0000-00001F4D0000}"/>
    <cellStyle name="Input 10 2 3 2 4 4" xfId="36834" xr:uid="{00000000-0005-0000-0000-0000204D0000}"/>
    <cellStyle name="Input 10 2 3 2 5" xfId="20743" xr:uid="{00000000-0005-0000-0000-0000214D0000}"/>
    <cellStyle name="Input 10 2 3 2 5 2" xfId="46280" xr:uid="{00000000-0005-0000-0000-0000224D0000}"/>
    <cellStyle name="Input 10 2 3 2 5 3" xfId="50186" xr:uid="{00000000-0005-0000-0000-0000234D0000}"/>
    <cellStyle name="Input 10 2 3 2 5 4" xfId="38149" xr:uid="{00000000-0005-0000-0000-0000244D0000}"/>
    <cellStyle name="Input 10 2 3 2 6" xfId="21396" xr:uid="{00000000-0005-0000-0000-0000254D0000}"/>
    <cellStyle name="Input 10 2 3 2 6 2" xfId="46933" xr:uid="{00000000-0005-0000-0000-0000264D0000}"/>
    <cellStyle name="Input 10 2 3 2 6 3" xfId="50839" xr:uid="{00000000-0005-0000-0000-0000274D0000}"/>
    <cellStyle name="Input 10 2 3 2 7" xfId="40736" xr:uid="{00000000-0005-0000-0000-0000284D0000}"/>
    <cellStyle name="Input 10 2 3 2 8" xfId="43397" xr:uid="{00000000-0005-0000-0000-0000294D0000}"/>
    <cellStyle name="Input 10 2 3 3" xfId="10832" xr:uid="{00000000-0005-0000-0000-00002A4D0000}"/>
    <cellStyle name="Input 10 2 3 3 2" xfId="18625" xr:uid="{00000000-0005-0000-0000-00002B4D0000}"/>
    <cellStyle name="Input 10 2 3 3 2 2" xfId="44172" xr:uid="{00000000-0005-0000-0000-00002C4D0000}"/>
    <cellStyle name="Input 10 2 3 3 2 3" xfId="48081" xr:uid="{00000000-0005-0000-0000-00002D4D0000}"/>
    <cellStyle name="Input 10 2 3 3 2 4" xfId="36262" xr:uid="{00000000-0005-0000-0000-00002E4D0000}"/>
    <cellStyle name="Input 10 2 3 3 3" xfId="19278" xr:uid="{00000000-0005-0000-0000-00002F4D0000}"/>
    <cellStyle name="Input 10 2 3 3 3 2" xfId="44815" xr:uid="{00000000-0005-0000-0000-0000304D0000}"/>
    <cellStyle name="Input 10 2 3 3 3 3" xfId="48721" xr:uid="{00000000-0005-0000-0000-0000314D0000}"/>
    <cellStyle name="Input 10 2 3 3 3 4" xfId="36856" xr:uid="{00000000-0005-0000-0000-0000324D0000}"/>
    <cellStyle name="Input 10 2 3 3 4" xfId="19390" xr:uid="{00000000-0005-0000-0000-0000334D0000}"/>
    <cellStyle name="Input 10 2 3 3 4 2" xfId="44927" xr:uid="{00000000-0005-0000-0000-0000344D0000}"/>
    <cellStyle name="Input 10 2 3 3 4 3" xfId="48833" xr:uid="{00000000-0005-0000-0000-0000354D0000}"/>
    <cellStyle name="Input 10 2 3 3 4 4" xfId="36955" xr:uid="{00000000-0005-0000-0000-0000364D0000}"/>
    <cellStyle name="Input 10 2 3 3 5" xfId="21038" xr:uid="{00000000-0005-0000-0000-0000374D0000}"/>
    <cellStyle name="Input 10 2 3 3 5 2" xfId="46575" xr:uid="{00000000-0005-0000-0000-0000384D0000}"/>
    <cellStyle name="Input 10 2 3 3 5 3" xfId="50481" xr:uid="{00000000-0005-0000-0000-0000394D0000}"/>
    <cellStyle name="Input 10 2 3 3 5 4" xfId="38444" xr:uid="{00000000-0005-0000-0000-00003A4D0000}"/>
    <cellStyle name="Input 10 2 3 3 6" xfId="21691" xr:uid="{00000000-0005-0000-0000-00003B4D0000}"/>
    <cellStyle name="Input 10 2 3 3 6 2" xfId="47228" xr:uid="{00000000-0005-0000-0000-00003C4D0000}"/>
    <cellStyle name="Input 10 2 3 3 6 3" xfId="51134" xr:uid="{00000000-0005-0000-0000-00003D4D0000}"/>
    <cellStyle name="Input 10 2 3 3 7" xfId="41031" xr:uid="{00000000-0005-0000-0000-00003E4D0000}"/>
    <cellStyle name="Input 10 2 3 3 8" xfId="43379" xr:uid="{00000000-0005-0000-0000-00003F4D0000}"/>
    <cellStyle name="Input 10 2 3 4" xfId="14795" xr:uid="{00000000-0005-0000-0000-0000404D0000}"/>
    <cellStyle name="Input 10 2 3 4 2" xfId="42911" xr:uid="{00000000-0005-0000-0000-0000414D0000}"/>
    <cellStyle name="Input 10 2 3 4 3" xfId="41950" xr:uid="{00000000-0005-0000-0000-0000424D0000}"/>
    <cellStyle name="Input 10 2 3 4 4" xfId="32430" xr:uid="{00000000-0005-0000-0000-0000434D0000}"/>
    <cellStyle name="Input 10 2 3 5" xfId="13080" xr:uid="{00000000-0005-0000-0000-0000444D0000}"/>
    <cellStyle name="Input 10 2 3 5 2" xfId="42301" xr:uid="{00000000-0005-0000-0000-0000454D0000}"/>
    <cellStyle name="Input 10 2 3 5 3" xfId="40056" xr:uid="{00000000-0005-0000-0000-0000464D0000}"/>
    <cellStyle name="Input 10 2 3 5 4" xfId="30729" xr:uid="{00000000-0005-0000-0000-0000474D0000}"/>
    <cellStyle name="Input 10 2 3 6" xfId="12859" xr:uid="{00000000-0005-0000-0000-0000484D0000}"/>
    <cellStyle name="Input 10 2 3 6 2" xfId="42242" xr:uid="{00000000-0005-0000-0000-0000494D0000}"/>
    <cellStyle name="Input 10 2 3 6 3" xfId="43688" xr:uid="{00000000-0005-0000-0000-00004A4D0000}"/>
    <cellStyle name="Input 10 2 3 6 4" xfId="30511" xr:uid="{00000000-0005-0000-0000-00004B4D0000}"/>
    <cellStyle name="Input 10 2 3 7" xfId="20492" xr:uid="{00000000-0005-0000-0000-00004C4D0000}"/>
    <cellStyle name="Input 10 2 3 7 2" xfId="46029" xr:uid="{00000000-0005-0000-0000-00004D4D0000}"/>
    <cellStyle name="Input 10 2 3 7 3" xfId="49935" xr:uid="{00000000-0005-0000-0000-00004E4D0000}"/>
    <cellStyle name="Input 10 2 3 7 4" xfId="37937" xr:uid="{00000000-0005-0000-0000-00004F4D0000}"/>
    <cellStyle name="Input 10 2 3 8" xfId="11629" xr:uid="{00000000-0005-0000-0000-0000504D0000}"/>
    <cellStyle name="Input 10 2 3 8 2" xfId="41640" xr:uid="{00000000-0005-0000-0000-0000514D0000}"/>
    <cellStyle name="Input 10 2 3 8 3" xfId="40208" xr:uid="{00000000-0005-0000-0000-0000524D0000}"/>
    <cellStyle name="Input 10 2 3 9" xfId="39771" xr:uid="{00000000-0005-0000-0000-0000534D0000}"/>
    <cellStyle name="Input 10 2 4" xfId="52988" xr:uid="{00000000-0005-0000-0000-0000544D0000}"/>
    <cellStyle name="Input 10 2_Sheet1" xfId="1800" xr:uid="{00000000-0005-0000-0000-0000554D0000}"/>
    <cellStyle name="Input 10 3" xfId="1801" xr:uid="{00000000-0005-0000-0000-0000564D0000}"/>
    <cellStyle name="Input 10 3 2" xfId="7009" xr:uid="{00000000-0005-0000-0000-0000574D0000}"/>
    <cellStyle name="Input 10 3 2 10" xfId="42632" xr:uid="{00000000-0005-0000-0000-0000584D0000}"/>
    <cellStyle name="Input 10 3 2 2" xfId="10539" xr:uid="{00000000-0005-0000-0000-0000594D0000}"/>
    <cellStyle name="Input 10 3 2 2 2" xfId="18332" xr:uid="{00000000-0005-0000-0000-00005A4D0000}"/>
    <cellStyle name="Input 10 3 2 2 2 2" xfId="43879" xr:uid="{00000000-0005-0000-0000-00005B4D0000}"/>
    <cellStyle name="Input 10 3 2 2 2 3" xfId="47788" xr:uid="{00000000-0005-0000-0000-00005C4D0000}"/>
    <cellStyle name="Input 10 3 2 2 2 4" xfId="35969" xr:uid="{00000000-0005-0000-0000-00005D4D0000}"/>
    <cellStyle name="Input 10 3 2 2 3" xfId="19760" xr:uid="{00000000-0005-0000-0000-00005E4D0000}"/>
    <cellStyle name="Input 10 3 2 2 3 2" xfId="45297" xr:uid="{00000000-0005-0000-0000-00005F4D0000}"/>
    <cellStyle name="Input 10 3 2 2 3 3" xfId="49203" xr:uid="{00000000-0005-0000-0000-0000604D0000}"/>
    <cellStyle name="Input 10 3 2 2 3 4" xfId="37287" xr:uid="{00000000-0005-0000-0000-0000614D0000}"/>
    <cellStyle name="Input 10 3 2 2 4" xfId="19254" xr:uid="{00000000-0005-0000-0000-0000624D0000}"/>
    <cellStyle name="Input 10 3 2 2 4 2" xfId="44791" xr:uid="{00000000-0005-0000-0000-0000634D0000}"/>
    <cellStyle name="Input 10 3 2 2 4 3" xfId="48697" xr:uid="{00000000-0005-0000-0000-0000644D0000}"/>
    <cellStyle name="Input 10 3 2 2 4 4" xfId="36832" xr:uid="{00000000-0005-0000-0000-0000654D0000}"/>
    <cellStyle name="Input 10 3 2 2 5" xfId="20745" xr:uid="{00000000-0005-0000-0000-0000664D0000}"/>
    <cellStyle name="Input 10 3 2 2 5 2" xfId="46282" xr:uid="{00000000-0005-0000-0000-0000674D0000}"/>
    <cellStyle name="Input 10 3 2 2 5 3" xfId="50188" xr:uid="{00000000-0005-0000-0000-0000684D0000}"/>
    <cellStyle name="Input 10 3 2 2 5 4" xfId="38151" xr:uid="{00000000-0005-0000-0000-0000694D0000}"/>
    <cellStyle name="Input 10 3 2 2 6" xfId="21398" xr:uid="{00000000-0005-0000-0000-00006A4D0000}"/>
    <cellStyle name="Input 10 3 2 2 6 2" xfId="46935" xr:uid="{00000000-0005-0000-0000-00006B4D0000}"/>
    <cellStyle name="Input 10 3 2 2 6 3" xfId="50841" xr:uid="{00000000-0005-0000-0000-00006C4D0000}"/>
    <cellStyle name="Input 10 3 2 2 7" xfId="40738" xr:uid="{00000000-0005-0000-0000-00006D4D0000}"/>
    <cellStyle name="Input 10 3 2 2 8" xfId="39399" xr:uid="{00000000-0005-0000-0000-00006E4D0000}"/>
    <cellStyle name="Input 10 3 2 3" xfId="10834" xr:uid="{00000000-0005-0000-0000-00006F4D0000}"/>
    <cellStyle name="Input 10 3 2 3 2" xfId="18627" xr:uid="{00000000-0005-0000-0000-0000704D0000}"/>
    <cellStyle name="Input 10 3 2 3 2 2" xfId="44174" xr:uid="{00000000-0005-0000-0000-0000714D0000}"/>
    <cellStyle name="Input 10 3 2 3 2 3" xfId="48083" xr:uid="{00000000-0005-0000-0000-0000724D0000}"/>
    <cellStyle name="Input 10 3 2 3 2 4" xfId="36264" xr:uid="{00000000-0005-0000-0000-0000734D0000}"/>
    <cellStyle name="Input 10 3 2 3 3" xfId="19110" xr:uid="{00000000-0005-0000-0000-0000744D0000}"/>
    <cellStyle name="Input 10 3 2 3 3 2" xfId="44647" xr:uid="{00000000-0005-0000-0000-0000754D0000}"/>
    <cellStyle name="Input 10 3 2 3 3 3" xfId="48553" xr:uid="{00000000-0005-0000-0000-0000764D0000}"/>
    <cellStyle name="Input 10 3 2 3 3 4" xfId="36705" xr:uid="{00000000-0005-0000-0000-0000774D0000}"/>
    <cellStyle name="Input 10 3 2 3 4" xfId="18916" xr:uid="{00000000-0005-0000-0000-0000784D0000}"/>
    <cellStyle name="Input 10 3 2 3 4 2" xfId="44453" xr:uid="{00000000-0005-0000-0000-0000794D0000}"/>
    <cellStyle name="Input 10 3 2 3 4 3" xfId="48359" xr:uid="{00000000-0005-0000-0000-00007A4D0000}"/>
    <cellStyle name="Input 10 3 2 3 4 4" xfId="36546" xr:uid="{00000000-0005-0000-0000-00007B4D0000}"/>
    <cellStyle name="Input 10 3 2 3 5" xfId="21040" xr:uid="{00000000-0005-0000-0000-00007C4D0000}"/>
    <cellStyle name="Input 10 3 2 3 5 2" xfId="46577" xr:uid="{00000000-0005-0000-0000-00007D4D0000}"/>
    <cellStyle name="Input 10 3 2 3 5 3" xfId="50483" xr:uid="{00000000-0005-0000-0000-00007E4D0000}"/>
    <cellStyle name="Input 10 3 2 3 5 4" xfId="38446" xr:uid="{00000000-0005-0000-0000-00007F4D0000}"/>
    <cellStyle name="Input 10 3 2 3 6" xfId="21693" xr:uid="{00000000-0005-0000-0000-0000804D0000}"/>
    <cellStyle name="Input 10 3 2 3 6 2" xfId="47230" xr:uid="{00000000-0005-0000-0000-0000814D0000}"/>
    <cellStyle name="Input 10 3 2 3 6 3" xfId="51136" xr:uid="{00000000-0005-0000-0000-0000824D0000}"/>
    <cellStyle name="Input 10 3 2 3 7" xfId="41033" xr:uid="{00000000-0005-0000-0000-0000834D0000}"/>
    <cellStyle name="Input 10 3 2 3 8" xfId="39381" xr:uid="{00000000-0005-0000-0000-0000844D0000}"/>
    <cellStyle name="Input 10 3 2 4" xfId="14797" xr:uid="{00000000-0005-0000-0000-0000854D0000}"/>
    <cellStyle name="Input 10 3 2 4 2" xfId="42913" xr:uid="{00000000-0005-0000-0000-0000864D0000}"/>
    <cellStyle name="Input 10 3 2 4 3" xfId="40163" xr:uid="{00000000-0005-0000-0000-0000874D0000}"/>
    <cellStyle name="Input 10 3 2 4 4" xfId="32432" xr:uid="{00000000-0005-0000-0000-0000884D0000}"/>
    <cellStyle name="Input 10 3 2 5" xfId="12466" xr:uid="{00000000-0005-0000-0000-0000894D0000}"/>
    <cellStyle name="Input 10 3 2 5 2" xfId="41987" xr:uid="{00000000-0005-0000-0000-00008A4D0000}"/>
    <cellStyle name="Input 10 3 2 5 3" xfId="40342" xr:uid="{00000000-0005-0000-0000-00008B4D0000}"/>
    <cellStyle name="Input 10 3 2 5 4" xfId="30137" xr:uid="{00000000-0005-0000-0000-00008C4D0000}"/>
    <cellStyle name="Input 10 3 2 6" xfId="13917" xr:uid="{00000000-0005-0000-0000-00008D4D0000}"/>
    <cellStyle name="Input 10 3 2 6 2" xfId="42652" xr:uid="{00000000-0005-0000-0000-00008E4D0000}"/>
    <cellStyle name="Input 10 3 2 6 3" xfId="43188" xr:uid="{00000000-0005-0000-0000-00008F4D0000}"/>
    <cellStyle name="Input 10 3 2 6 4" xfId="31553" xr:uid="{00000000-0005-0000-0000-0000904D0000}"/>
    <cellStyle name="Input 10 3 2 7" xfId="11468" xr:uid="{00000000-0005-0000-0000-0000914D0000}"/>
    <cellStyle name="Input 10 3 2 7 2" xfId="41479" xr:uid="{00000000-0005-0000-0000-0000924D0000}"/>
    <cellStyle name="Input 10 3 2 7 3" xfId="40216" xr:uid="{00000000-0005-0000-0000-0000934D0000}"/>
    <cellStyle name="Input 10 3 2 7 4" xfId="29185" xr:uid="{00000000-0005-0000-0000-0000944D0000}"/>
    <cellStyle name="Input 10 3 2 8" xfId="11666" xr:uid="{00000000-0005-0000-0000-0000954D0000}"/>
    <cellStyle name="Input 10 3 2 8 2" xfId="41677" xr:uid="{00000000-0005-0000-0000-0000964D0000}"/>
    <cellStyle name="Input 10 3 2 8 3" xfId="43209" xr:uid="{00000000-0005-0000-0000-0000974D0000}"/>
    <cellStyle name="Input 10 3 2 9" xfId="39773" xr:uid="{00000000-0005-0000-0000-0000984D0000}"/>
    <cellStyle name="Input 10 3 3" xfId="52990" xr:uid="{00000000-0005-0000-0000-0000994D0000}"/>
    <cellStyle name="Input 10 4" xfId="7006" xr:uid="{00000000-0005-0000-0000-00009A4D0000}"/>
    <cellStyle name="Input 10 4 10" xfId="43656" xr:uid="{00000000-0005-0000-0000-00009B4D0000}"/>
    <cellStyle name="Input 10 4 11" xfId="52991" xr:uid="{00000000-0005-0000-0000-00009C4D0000}"/>
    <cellStyle name="Input 10 4 2" xfId="10536" xr:uid="{00000000-0005-0000-0000-00009D4D0000}"/>
    <cellStyle name="Input 10 4 2 2" xfId="18329" xr:uid="{00000000-0005-0000-0000-00009E4D0000}"/>
    <cellStyle name="Input 10 4 2 2 2" xfId="43876" xr:uid="{00000000-0005-0000-0000-00009F4D0000}"/>
    <cellStyle name="Input 10 4 2 2 3" xfId="47785" xr:uid="{00000000-0005-0000-0000-0000A04D0000}"/>
    <cellStyle name="Input 10 4 2 2 4" xfId="35966" xr:uid="{00000000-0005-0000-0000-0000A14D0000}"/>
    <cellStyle name="Input 10 4 2 3" xfId="19136" xr:uid="{00000000-0005-0000-0000-0000A24D0000}"/>
    <cellStyle name="Input 10 4 2 3 2" xfId="44673" xr:uid="{00000000-0005-0000-0000-0000A34D0000}"/>
    <cellStyle name="Input 10 4 2 3 3" xfId="48579" xr:uid="{00000000-0005-0000-0000-0000A44D0000}"/>
    <cellStyle name="Input 10 4 2 3 4" xfId="36731" xr:uid="{00000000-0005-0000-0000-0000A54D0000}"/>
    <cellStyle name="Input 10 4 2 4" xfId="19032" xr:uid="{00000000-0005-0000-0000-0000A64D0000}"/>
    <cellStyle name="Input 10 4 2 4 2" xfId="44569" xr:uid="{00000000-0005-0000-0000-0000A74D0000}"/>
    <cellStyle name="Input 10 4 2 4 3" xfId="48475" xr:uid="{00000000-0005-0000-0000-0000A84D0000}"/>
    <cellStyle name="Input 10 4 2 4 4" xfId="36638" xr:uid="{00000000-0005-0000-0000-0000A94D0000}"/>
    <cellStyle name="Input 10 4 2 5" xfId="20742" xr:uid="{00000000-0005-0000-0000-0000AA4D0000}"/>
    <cellStyle name="Input 10 4 2 5 2" xfId="46279" xr:uid="{00000000-0005-0000-0000-0000AB4D0000}"/>
    <cellStyle name="Input 10 4 2 5 3" xfId="50185" xr:uid="{00000000-0005-0000-0000-0000AC4D0000}"/>
    <cellStyle name="Input 10 4 2 5 4" xfId="38148" xr:uid="{00000000-0005-0000-0000-0000AD4D0000}"/>
    <cellStyle name="Input 10 4 2 6" xfId="21395" xr:uid="{00000000-0005-0000-0000-0000AE4D0000}"/>
    <cellStyle name="Input 10 4 2 6 2" xfId="46932" xr:uid="{00000000-0005-0000-0000-0000AF4D0000}"/>
    <cellStyle name="Input 10 4 2 6 3" xfId="50838" xr:uid="{00000000-0005-0000-0000-0000B04D0000}"/>
    <cellStyle name="Input 10 4 2 7" xfId="40735" xr:uid="{00000000-0005-0000-0000-0000B14D0000}"/>
    <cellStyle name="Input 10 4 2 8" xfId="42078" xr:uid="{00000000-0005-0000-0000-0000B24D0000}"/>
    <cellStyle name="Input 10 4 3" xfId="10831" xr:uid="{00000000-0005-0000-0000-0000B34D0000}"/>
    <cellStyle name="Input 10 4 3 2" xfId="18624" xr:uid="{00000000-0005-0000-0000-0000B44D0000}"/>
    <cellStyle name="Input 10 4 3 2 2" xfId="44171" xr:uid="{00000000-0005-0000-0000-0000B54D0000}"/>
    <cellStyle name="Input 10 4 3 2 3" xfId="48080" xr:uid="{00000000-0005-0000-0000-0000B64D0000}"/>
    <cellStyle name="Input 10 4 3 2 4" xfId="36261" xr:uid="{00000000-0005-0000-0000-0000B74D0000}"/>
    <cellStyle name="Input 10 4 3 3" xfId="20012" xr:uid="{00000000-0005-0000-0000-0000B84D0000}"/>
    <cellStyle name="Input 10 4 3 3 2" xfId="45549" xr:uid="{00000000-0005-0000-0000-0000B94D0000}"/>
    <cellStyle name="Input 10 4 3 3 3" xfId="49455" xr:uid="{00000000-0005-0000-0000-0000BA4D0000}"/>
    <cellStyle name="Input 10 4 3 3 4" xfId="37510" xr:uid="{00000000-0005-0000-0000-0000BB4D0000}"/>
    <cellStyle name="Input 10 4 3 4" xfId="13302" xr:uid="{00000000-0005-0000-0000-0000BC4D0000}"/>
    <cellStyle name="Input 10 4 3 4 2" xfId="42472" xr:uid="{00000000-0005-0000-0000-0000BD4D0000}"/>
    <cellStyle name="Input 10 4 3 4 3" xfId="40537" xr:uid="{00000000-0005-0000-0000-0000BE4D0000}"/>
    <cellStyle name="Input 10 4 3 4 4" xfId="30946" xr:uid="{00000000-0005-0000-0000-0000BF4D0000}"/>
    <cellStyle name="Input 10 4 3 5" xfId="21037" xr:uid="{00000000-0005-0000-0000-0000C04D0000}"/>
    <cellStyle name="Input 10 4 3 5 2" xfId="46574" xr:uid="{00000000-0005-0000-0000-0000C14D0000}"/>
    <cellStyle name="Input 10 4 3 5 3" xfId="50480" xr:uid="{00000000-0005-0000-0000-0000C24D0000}"/>
    <cellStyle name="Input 10 4 3 5 4" xfId="38443" xr:uid="{00000000-0005-0000-0000-0000C34D0000}"/>
    <cellStyle name="Input 10 4 3 6" xfId="21690" xr:uid="{00000000-0005-0000-0000-0000C44D0000}"/>
    <cellStyle name="Input 10 4 3 6 2" xfId="47227" xr:uid="{00000000-0005-0000-0000-0000C54D0000}"/>
    <cellStyle name="Input 10 4 3 6 3" xfId="51133" xr:uid="{00000000-0005-0000-0000-0000C64D0000}"/>
    <cellStyle name="Input 10 4 3 7" xfId="41030" xr:uid="{00000000-0005-0000-0000-0000C74D0000}"/>
    <cellStyle name="Input 10 4 3 8" xfId="42060" xr:uid="{00000000-0005-0000-0000-0000C84D0000}"/>
    <cellStyle name="Input 10 4 4" xfId="14794" xr:uid="{00000000-0005-0000-0000-0000C94D0000}"/>
    <cellStyle name="Input 10 4 4 2" xfId="42910" xr:uid="{00000000-0005-0000-0000-0000CA4D0000}"/>
    <cellStyle name="Input 10 4 4 3" xfId="39435" xr:uid="{00000000-0005-0000-0000-0000CB4D0000}"/>
    <cellStyle name="Input 10 4 4 4" xfId="32429" xr:uid="{00000000-0005-0000-0000-0000CC4D0000}"/>
    <cellStyle name="Input 10 4 5" xfId="13079" xr:uid="{00000000-0005-0000-0000-0000CD4D0000}"/>
    <cellStyle name="Input 10 4 5 2" xfId="42300" xr:uid="{00000000-0005-0000-0000-0000CE4D0000}"/>
    <cellStyle name="Input 10 4 5 3" xfId="43197" xr:uid="{00000000-0005-0000-0000-0000CF4D0000}"/>
    <cellStyle name="Input 10 4 5 4" xfId="30728" xr:uid="{00000000-0005-0000-0000-0000D04D0000}"/>
    <cellStyle name="Input 10 4 6" xfId="19465" xr:uid="{00000000-0005-0000-0000-0000D14D0000}"/>
    <cellStyle name="Input 10 4 6 2" xfId="45002" xr:uid="{00000000-0005-0000-0000-0000D24D0000}"/>
    <cellStyle name="Input 10 4 6 3" xfId="48908" xr:uid="{00000000-0005-0000-0000-0000D34D0000}"/>
    <cellStyle name="Input 10 4 6 4" xfId="37023" xr:uid="{00000000-0005-0000-0000-0000D44D0000}"/>
    <cellStyle name="Input 10 4 7" xfId="20109" xr:uid="{00000000-0005-0000-0000-0000D54D0000}"/>
    <cellStyle name="Input 10 4 7 2" xfId="45646" xr:uid="{00000000-0005-0000-0000-0000D64D0000}"/>
    <cellStyle name="Input 10 4 7 3" xfId="49552" xr:uid="{00000000-0005-0000-0000-0000D74D0000}"/>
    <cellStyle name="Input 10 4 7 4" xfId="37597" xr:uid="{00000000-0005-0000-0000-0000D84D0000}"/>
    <cellStyle name="Input 10 4 8" xfId="19702" xr:uid="{00000000-0005-0000-0000-0000D94D0000}"/>
    <cellStyle name="Input 10 4 8 2" xfId="45239" xr:uid="{00000000-0005-0000-0000-0000DA4D0000}"/>
    <cellStyle name="Input 10 4 8 3" xfId="49145" xr:uid="{00000000-0005-0000-0000-0000DB4D0000}"/>
    <cellStyle name="Input 10 4 9" xfId="39770" xr:uid="{00000000-0005-0000-0000-0000DC4D0000}"/>
    <cellStyle name="Input 10 5" xfId="22428" xr:uid="{00000000-0005-0000-0000-0000DD4D0000}"/>
    <cellStyle name="Input 10 6" xfId="22922" xr:uid="{00000000-0005-0000-0000-0000DE4D0000}"/>
    <cellStyle name="Input 10 7" xfId="52987" xr:uid="{00000000-0005-0000-0000-0000DF4D0000}"/>
    <cellStyle name="Input 10_Sheet1" xfId="1802" xr:uid="{00000000-0005-0000-0000-0000E04D0000}"/>
    <cellStyle name="Input 11" xfId="1803" xr:uid="{00000000-0005-0000-0000-0000E14D0000}"/>
    <cellStyle name="Input 11 2" xfId="1804" xr:uid="{00000000-0005-0000-0000-0000E24D0000}"/>
    <cellStyle name="Input 11 2 2" xfId="1805" xr:uid="{00000000-0005-0000-0000-0000E34D0000}"/>
    <cellStyle name="Input 11 2 2 2" xfId="7012" xr:uid="{00000000-0005-0000-0000-0000E44D0000}"/>
    <cellStyle name="Input 11 2 2 2 10" xfId="39520" xr:uid="{00000000-0005-0000-0000-0000E54D0000}"/>
    <cellStyle name="Input 11 2 2 2 2" xfId="10542" xr:uid="{00000000-0005-0000-0000-0000E64D0000}"/>
    <cellStyle name="Input 11 2 2 2 2 2" xfId="18335" xr:uid="{00000000-0005-0000-0000-0000E74D0000}"/>
    <cellStyle name="Input 11 2 2 2 2 2 2" xfId="43882" xr:uid="{00000000-0005-0000-0000-0000E84D0000}"/>
    <cellStyle name="Input 11 2 2 2 2 2 3" xfId="47791" xr:uid="{00000000-0005-0000-0000-0000E94D0000}"/>
    <cellStyle name="Input 11 2 2 2 2 2 4" xfId="35972" xr:uid="{00000000-0005-0000-0000-0000EA4D0000}"/>
    <cellStyle name="Input 11 2 2 2 2 3" xfId="20040" xr:uid="{00000000-0005-0000-0000-0000EB4D0000}"/>
    <cellStyle name="Input 11 2 2 2 2 3 2" xfId="45577" xr:uid="{00000000-0005-0000-0000-0000EC4D0000}"/>
    <cellStyle name="Input 11 2 2 2 2 3 3" xfId="49483" xr:uid="{00000000-0005-0000-0000-0000ED4D0000}"/>
    <cellStyle name="Input 11 2 2 2 2 3 4" xfId="37538" xr:uid="{00000000-0005-0000-0000-0000EE4D0000}"/>
    <cellStyle name="Input 11 2 2 2 2 4" xfId="12616" xr:uid="{00000000-0005-0000-0000-0000EF4D0000}"/>
    <cellStyle name="Input 11 2 2 2 2 4 2" xfId="42095" xr:uid="{00000000-0005-0000-0000-0000F04D0000}"/>
    <cellStyle name="Input 11 2 2 2 2 4 3" xfId="42566" xr:uid="{00000000-0005-0000-0000-0000F14D0000}"/>
    <cellStyle name="Input 11 2 2 2 2 4 4" xfId="30282" xr:uid="{00000000-0005-0000-0000-0000F24D0000}"/>
    <cellStyle name="Input 11 2 2 2 2 5" xfId="20748" xr:uid="{00000000-0005-0000-0000-0000F34D0000}"/>
    <cellStyle name="Input 11 2 2 2 2 5 2" xfId="46285" xr:uid="{00000000-0005-0000-0000-0000F44D0000}"/>
    <cellStyle name="Input 11 2 2 2 2 5 3" xfId="50191" xr:uid="{00000000-0005-0000-0000-0000F54D0000}"/>
    <cellStyle name="Input 11 2 2 2 2 5 4" xfId="38154" xr:uid="{00000000-0005-0000-0000-0000F64D0000}"/>
    <cellStyle name="Input 11 2 2 2 2 6" xfId="21401" xr:uid="{00000000-0005-0000-0000-0000F74D0000}"/>
    <cellStyle name="Input 11 2 2 2 2 6 2" xfId="46938" xr:uid="{00000000-0005-0000-0000-0000F84D0000}"/>
    <cellStyle name="Input 11 2 2 2 2 6 3" xfId="50844" xr:uid="{00000000-0005-0000-0000-0000F94D0000}"/>
    <cellStyle name="Input 11 2 2 2 2 7" xfId="40741" xr:uid="{00000000-0005-0000-0000-0000FA4D0000}"/>
    <cellStyle name="Input 11 2 2 2 2 8" xfId="43244" xr:uid="{00000000-0005-0000-0000-0000FB4D0000}"/>
    <cellStyle name="Input 11 2 2 2 3" xfId="10837" xr:uid="{00000000-0005-0000-0000-0000FC4D0000}"/>
    <cellStyle name="Input 11 2 2 2 3 2" xfId="18630" xr:uid="{00000000-0005-0000-0000-0000FD4D0000}"/>
    <cellStyle name="Input 11 2 2 2 3 2 2" xfId="44177" xr:uid="{00000000-0005-0000-0000-0000FE4D0000}"/>
    <cellStyle name="Input 11 2 2 2 3 2 3" xfId="48086" xr:uid="{00000000-0005-0000-0000-0000FF4D0000}"/>
    <cellStyle name="Input 11 2 2 2 3 2 4" xfId="36267" xr:uid="{00000000-0005-0000-0000-0000004E0000}"/>
    <cellStyle name="Input 11 2 2 2 3 3" xfId="12167" xr:uid="{00000000-0005-0000-0000-0000014E0000}"/>
    <cellStyle name="Input 11 2 2 2 3 3 2" xfId="41912" xr:uid="{00000000-0005-0000-0000-0000024E0000}"/>
    <cellStyle name="Input 11 2 2 2 3 3 3" xfId="40345" xr:uid="{00000000-0005-0000-0000-0000034E0000}"/>
    <cellStyle name="Input 11 2 2 2 3 3 4" xfId="29839" xr:uid="{00000000-0005-0000-0000-0000044E0000}"/>
    <cellStyle name="Input 11 2 2 2 3 4" xfId="20364" xr:uid="{00000000-0005-0000-0000-0000054E0000}"/>
    <cellStyle name="Input 11 2 2 2 3 4 2" xfId="45901" xr:uid="{00000000-0005-0000-0000-0000064E0000}"/>
    <cellStyle name="Input 11 2 2 2 3 4 3" xfId="49807" xr:uid="{00000000-0005-0000-0000-0000074E0000}"/>
    <cellStyle name="Input 11 2 2 2 3 4 4" xfId="37820" xr:uid="{00000000-0005-0000-0000-0000084E0000}"/>
    <cellStyle name="Input 11 2 2 2 3 5" xfId="21043" xr:uid="{00000000-0005-0000-0000-0000094E0000}"/>
    <cellStyle name="Input 11 2 2 2 3 5 2" xfId="46580" xr:uid="{00000000-0005-0000-0000-00000A4E0000}"/>
    <cellStyle name="Input 11 2 2 2 3 5 3" xfId="50486" xr:uid="{00000000-0005-0000-0000-00000B4E0000}"/>
    <cellStyle name="Input 11 2 2 2 3 5 4" xfId="38449" xr:uid="{00000000-0005-0000-0000-00000C4E0000}"/>
    <cellStyle name="Input 11 2 2 2 3 6" xfId="21696" xr:uid="{00000000-0005-0000-0000-00000D4E0000}"/>
    <cellStyle name="Input 11 2 2 2 3 6 2" xfId="47233" xr:uid="{00000000-0005-0000-0000-00000E4E0000}"/>
    <cellStyle name="Input 11 2 2 2 3 6 3" xfId="51139" xr:uid="{00000000-0005-0000-0000-00000F4E0000}"/>
    <cellStyle name="Input 11 2 2 2 3 7" xfId="41036" xr:uid="{00000000-0005-0000-0000-0000104E0000}"/>
    <cellStyle name="Input 11 2 2 2 3 8" xfId="40240" xr:uid="{00000000-0005-0000-0000-0000114E0000}"/>
    <cellStyle name="Input 11 2 2 2 4" xfId="14800" xr:uid="{00000000-0005-0000-0000-0000124E0000}"/>
    <cellStyle name="Input 11 2 2 2 4 2" xfId="42916" xr:uid="{00000000-0005-0000-0000-0000134E0000}"/>
    <cellStyle name="Input 11 2 2 2 4 3" xfId="41292" xr:uid="{00000000-0005-0000-0000-0000144E0000}"/>
    <cellStyle name="Input 11 2 2 2 4 4" xfId="32435" xr:uid="{00000000-0005-0000-0000-0000154E0000}"/>
    <cellStyle name="Input 11 2 2 2 5" xfId="13082" xr:uid="{00000000-0005-0000-0000-0000164E0000}"/>
    <cellStyle name="Input 11 2 2 2 5 2" xfId="42303" xr:uid="{00000000-0005-0000-0000-0000174E0000}"/>
    <cellStyle name="Input 11 2 2 2 5 3" xfId="43686" xr:uid="{00000000-0005-0000-0000-0000184E0000}"/>
    <cellStyle name="Input 11 2 2 2 5 4" xfId="30731" xr:uid="{00000000-0005-0000-0000-0000194E0000}"/>
    <cellStyle name="Input 11 2 2 2 6" xfId="12038" xr:uid="{00000000-0005-0000-0000-00001A4E0000}"/>
    <cellStyle name="Input 11 2 2 2 6 2" xfId="41794" xr:uid="{00000000-0005-0000-0000-00001B4E0000}"/>
    <cellStyle name="Input 11 2 2 2 6 3" xfId="47589" xr:uid="{00000000-0005-0000-0000-00001C4E0000}"/>
    <cellStyle name="Input 11 2 2 2 6 4" xfId="29717" xr:uid="{00000000-0005-0000-0000-00001D4E0000}"/>
    <cellStyle name="Input 11 2 2 2 7" xfId="20530" xr:uid="{00000000-0005-0000-0000-00001E4E0000}"/>
    <cellStyle name="Input 11 2 2 2 7 2" xfId="46067" xr:uid="{00000000-0005-0000-0000-00001F4E0000}"/>
    <cellStyle name="Input 11 2 2 2 7 3" xfId="49973" xr:uid="{00000000-0005-0000-0000-0000204E0000}"/>
    <cellStyle name="Input 11 2 2 2 7 4" xfId="37959" xr:uid="{00000000-0005-0000-0000-0000214E0000}"/>
    <cellStyle name="Input 11 2 2 2 8" xfId="11550" xr:uid="{00000000-0005-0000-0000-0000224E0000}"/>
    <cellStyle name="Input 11 2 2 2 8 2" xfId="41561" xr:uid="{00000000-0005-0000-0000-0000234E0000}"/>
    <cellStyle name="Input 11 2 2 2 8 3" xfId="42024" xr:uid="{00000000-0005-0000-0000-0000244E0000}"/>
    <cellStyle name="Input 11 2 2 2 9" xfId="39776" xr:uid="{00000000-0005-0000-0000-0000254E0000}"/>
    <cellStyle name="Input 11 2 2 3" xfId="52994" xr:uid="{00000000-0005-0000-0000-0000264E0000}"/>
    <cellStyle name="Input 11 2 3" xfId="7011" xr:uid="{00000000-0005-0000-0000-0000274E0000}"/>
    <cellStyle name="Input 11 2 3 10" xfId="40408" xr:uid="{00000000-0005-0000-0000-0000284E0000}"/>
    <cellStyle name="Input 11 2 3 11" xfId="52995" xr:uid="{00000000-0005-0000-0000-0000294E0000}"/>
    <cellStyle name="Input 11 2 3 2" xfId="10541" xr:uid="{00000000-0005-0000-0000-00002A4E0000}"/>
    <cellStyle name="Input 11 2 3 2 2" xfId="18334" xr:uid="{00000000-0005-0000-0000-00002B4E0000}"/>
    <cellStyle name="Input 11 2 3 2 2 2" xfId="43881" xr:uid="{00000000-0005-0000-0000-00002C4E0000}"/>
    <cellStyle name="Input 11 2 3 2 2 3" xfId="47790" xr:uid="{00000000-0005-0000-0000-00002D4E0000}"/>
    <cellStyle name="Input 11 2 3 2 2 4" xfId="35971" xr:uid="{00000000-0005-0000-0000-00002E4E0000}"/>
    <cellStyle name="Input 11 2 3 2 3" xfId="19433" xr:uid="{00000000-0005-0000-0000-00002F4E0000}"/>
    <cellStyle name="Input 11 2 3 2 3 2" xfId="44970" xr:uid="{00000000-0005-0000-0000-0000304E0000}"/>
    <cellStyle name="Input 11 2 3 2 3 3" xfId="48876" xr:uid="{00000000-0005-0000-0000-0000314E0000}"/>
    <cellStyle name="Input 11 2 3 2 3 4" xfId="36998" xr:uid="{00000000-0005-0000-0000-0000324E0000}"/>
    <cellStyle name="Input 11 2 3 2 4" xfId="11562" xr:uid="{00000000-0005-0000-0000-0000334E0000}"/>
    <cellStyle name="Input 11 2 3 2 4 2" xfId="41573" xr:uid="{00000000-0005-0000-0000-0000344E0000}"/>
    <cellStyle name="Input 11 2 3 2 4 3" xfId="43603" xr:uid="{00000000-0005-0000-0000-0000354E0000}"/>
    <cellStyle name="Input 11 2 3 2 4 4" xfId="29273" xr:uid="{00000000-0005-0000-0000-0000364E0000}"/>
    <cellStyle name="Input 11 2 3 2 5" xfId="20747" xr:uid="{00000000-0005-0000-0000-0000374E0000}"/>
    <cellStyle name="Input 11 2 3 2 5 2" xfId="46284" xr:uid="{00000000-0005-0000-0000-0000384E0000}"/>
    <cellStyle name="Input 11 2 3 2 5 3" xfId="50190" xr:uid="{00000000-0005-0000-0000-0000394E0000}"/>
    <cellStyle name="Input 11 2 3 2 5 4" xfId="38153" xr:uid="{00000000-0005-0000-0000-00003A4E0000}"/>
    <cellStyle name="Input 11 2 3 2 6" xfId="21400" xr:uid="{00000000-0005-0000-0000-00003B4E0000}"/>
    <cellStyle name="Input 11 2 3 2 6 2" xfId="46937" xr:uid="{00000000-0005-0000-0000-00003C4E0000}"/>
    <cellStyle name="Input 11 2 3 2 6 3" xfId="50843" xr:uid="{00000000-0005-0000-0000-00003D4E0000}"/>
    <cellStyle name="Input 11 2 3 2 7" xfId="40740" xr:uid="{00000000-0005-0000-0000-00003E4E0000}"/>
    <cellStyle name="Input 11 2 3 2 8" xfId="41441" xr:uid="{00000000-0005-0000-0000-00003F4E0000}"/>
    <cellStyle name="Input 11 2 3 3" xfId="10836" xr:uid="{00000000-0005-0000-0000-0000404E0000}"/>
    <cellStyle name="Input 11 2 3 3 2" xfId="18629" xr:uid="{00000000-0005-0000-0000-0000414E0000}"/>
    <cellStyle name="Input 11 2 3 3 2 2" xfId="44176" xr:uid="{00000000-0005-0000-0000-0000424E0000}"/>
    <cellStyle name="Input 11 2 3 3 2 3" xfId="48085" xr:uid="{00000000-0005-0000-0000-0000434E0000}"/>
    <cellStyle name="Input 11 2 3 3 2 4" xfId="36266" xr:uid="{00000000-0005-0000-0000-0000444E0000}"/>
    <cellStyle name="Input 11 2 3 3 3" xfId="11515" xr:uid="{00000000-0005-0000-0000-0000454E0000}"/>
    <cellStyle name="Input 11 2 3 3 3 2" xfId="41526" xr:uid="{00000000-0005-0000-0000-0000464E0000}"/>
    <cellStyle name="Input 11 2 3 3 3 3" xfId="41395" xr:uid="{00000000-0005-0000-0000-0000474E0000}"/>
    <cellStyle name="Input 11 2 3 3 3 4" xfId="29230" xr:uid="{00000000-0005-0000-0000-0000484E0000}"/>
    <cellStyle name="Input 11 2 3 3 4" xfId="18903" xr:uid="{00000000-0005-0000-0000-0000494E0000}"/>
    <cellStyle name="Input 11 2 3 3 4 2" xfId="44440" xr:uid="{00000000-0005-0000-0000-00004A4E0000}"/>
    <cellStyle name="Input 11 2 3 3 4 3" xfId="48346" xr:uid="{00000000-0005-0000-0000-00004B4E0000}"/>
    <cellStyle name="Input 11 2 3 3 4 4" xfId="36536" xr:uid="{00000000-0005-0000-0000-00004C4E0000}"/>
    <cellStyle name="Input 11 2 3 3 5" xfId="21042" xr:uid="{00000000-0005-0000-0000-00004D4E0000}"/>
    <cellStyle name="Input 11 2 3 3 5 2" xfId="46579" xr:uid="{00000000-0005-0000-0000-00004E4E0000}"/>
    <cellStyle name="Input 11 2 3 3 5 3" xfId="50485" xr:uid="{00000000-0005-0000-0000-00004F4E0000}"/>
    <cellStyle name="Input 11 2 3 3 5 4" xfId="38448" xr:uid="{00000000-0005-0000-0000-0000504E0000}"/>
    <cellStyle name="Input 11 2 3 3 6" xfId="21695" xr:uid="{00000000-0005-0000-0000-0000514E0000}"/>
    <cellStyle name="Input 11 2 3 3 6 2" xfId="47232" xr:uid="{00000000-0005-0000-0000-0000524E0000}"/>
    <cellStyle name="Input 11 2 3 3 6 3" xfId="51138" xr:uid="{00000000-0005-0000-0000-0000534E0000}"/>
    <cellStyle name="Input 11 2 3 3 7" xfId="41035" xr:uid="{00000000-0005-0000-0000-0000544E0000}"/>
    <cellStyle name="Input 11 2 3 3 8" xfId="43378" xr:uid="{00000000-0005-0000-0000-0000554E0000}"/>
    <cellStyle name="Input 11 2 3 4" xfId="14799" xr:uid="{00000000-0005-0000-0000-0000564E0000}"/>
    <cellStyle name="Input 11 2 3 4 2" xfId="42915" xr:uid="{00000000-0005-0000-0000-0000574E0000}"/>
    <cellStyle name="Input 11 2 3 4 3" xfId="39064" xr:uid="{00000000-0005-0000-0000-0000584E0000}"/>
    <cellStyle name="Input 11 2 3 4 4" xfId="32434" xr:uid="{00000000-0005-0000-0000-0000594E0000}"/>
    <cellStyle name="Input 11 2 3 5" xfId="13081" xr:uid="{00000000-0005-0000-0000-00005A4E0000}"/>
    <cellStyle name="Input 11 2 3 5 2" xfId="42302" xr:uid="{00000000-0005-0000-0000-00005B4E0000}"/>
    <cellStyle name="Input 11 2 3 5 3" xfId="42798" xr:uid="{00000000-0005-0000-0000-00005C4E0000}"/>
    <cellStyle name="Input 11 2 3 5 4" xfId="30730" xr:uid="{00000000-0005-0000-0000-00005D4E0000}"/>
    <cellStyle name="Input 11 2 3 6" xfId="19459" xr:uid="{00000000-0005-0000-0000-00005E4E0000}"/>
    <cellStyle name="Input 11 2 3 6 2" xfId="44996" xr:uid="{00000000-0005-0000-0000-00005F4E0000}"/>
    <cellStyle name="Input 11 2 3 6 3" xfId="48902" xr:uid="{00000000-0005-0000-0000-0000604E0000}"/>
    <cellStyle name="Input 11 2 3 6 4" xfId="37018" xr:uid="{00000000-0005-0000-0000-0000614E0000}"/>
    <cellStyle name="Input 11 2 3 7" xfId="11473" xr:uid="{00000000-0005-0000-0000-0000624E0000}"/>
    <cellStyle name="Input 11 2 3 7 2" xfId="41484" xr:uid="{00000000-0005-0000-0000-0000634E0000}"/>
    <cellStyle name="Input 11 2 3 7 3" xfId="39358" xr:uid="{00000000-0005-0000-0000-0000644E0000}"/>
    <cellStyle name="Input 11 2 3 7 4" xfId="29189" xr:uid="{00000000-0005-0000-0000-0000654E0000}"/>
    <cellStyle name="Input 11 2 3 8" xfId="19458" xr:uid="{00000000-0005-0000-0000-0000664E0000}"/>
    <cellStyle name="Input 11 2 3 8 2" xfId="44995" xr:uid="{00000000-0005-0000-0000-0000674E0000}"/>
    <cellStyle name="Input 11 2 3 8 3" xfId="48901" xr:uid="{00000000-0005-0000-0000-0000684E0000}"/>
    <cellStyle name="Input 11 2 3 9" xfId="39775" xr:uid="{00000000-0005-0000-0000-0000694E0000}"/>
    <cellStyle name="Input 11 2 4" xfId="22430" xr:uid="{00000000-0005-0000-0000-00006A4E0000}"/>
    <cellStyle name="Input 11 2 5" xfId="52993" xr:uid="{00000000-0005-0000-0000-00006B4E0000}"/>
    <cellStyle name="Input 11 2_Sheet1" xfId="1806" xr:uid="{00000000-0005-0000-0000-00006C4E0000}"/>
    <cellStyle name="Input 11 3" xfId="1807" xr:uid="{00000000-0005-0000-0000-00006D4E0000}"/>
    <cellStyle name="Input 11 3 2" xfId="7013" xr:uid="{00000000-0005-0000-0000-00006E4E0000}"/>
    <cellStyle name="Input 11 3 2 10" xfId="42201" xr:uid="{00000000-0005-0000-0000-00006F4E0000}"/>
    <cellStyle name="Input 11 3 2 2" xfId="10543" xr:uid="{00000000-0005-0000-0000-0000704E0000}"/>
    <cellStyle name="Input 11 3 2 2 2" xfId="18336" xr:uid="{00000000-0005-0000-0000-0000714E0000}"/>
    <cellStyle name="Input 11 3 2 2 2 2" xfId="43883" xr:uid="{00000000-0005-0000-0000-0000724E0000}"/>
    <cellStyle name="Input 11 3 2 2 2 3" xfId="47792" xr:uid="{00000000-0005-0000-0000-0000734E0000}"/>
    <cellStyle name="Input 11 3 2 2 2 4" xfId="35973" xr:uid="{00000000-0005-0000-0000-0000744E0000}"/>
    <cellStyle name="Input 11 3 2 2 3" xfId="19306" xr:uid="{00000000-0005-0000-0000-0000754E0000}"/>
    <cellStyle name="Input 11 3 2 2 3 2" xfId="44843" xr:uid="{00000000-0005-0000-0000-0000764E0000}"/>
    <cellStyle name="Input 11 3 2 2 3 3" xfId="48749" xr:uid="{00000000-0005-0000-0000-0000774E0000}"/>
    <cellStyle name="Input 11 3 2 2 3 4" xfId="36884" xr:uid="{00000000-0005-0000-0000-0000784E0000}"/>
    <cellStyle name="Input 11 3 2 2 4" xfId="19564" xr:uid="{00000000-0005-0000-0000-0000794E0000}"/>
    <cellStyle name="Input 11 3 2 2 4 2" xfId="45101" xr:uid="{00000000-0005-0000-0000-00007A4E0000}"/>
    <cellStyle name="Input 11 3 2 2 4 3" xfId="49007" xr:uid="{00000000-0005-0000-0000-00007B4E0000}"/>
    <cellStyle name="Input 11 3 2 2 4 4" xfId="37105" xr:uid="{00000000-0005-0000-0000-00007C4E0000}"/>
    <cellStyle name="Input 11 3 2 2 5" xfId="20749" xr:uid="{00000000-0005-0000-0000-00007D4E0000}"/>
    <cellStyle name="Input 11 3 2 2 5 2" xfId="46286" xr:uid="{00000000-0005-0000-0000-00007E4E0000}"/>
    <cellStyle name="Input 11 3 2 2 5 3" xfId="50192" xr:uid="{00000000-0005-0000-0000-00007F4E0000}"/>
    <cellStyle name="Input 11 3 2 2 5 4" xfId="38155" xr:uid="{00000000-0005-0000-0000-0000804E0000}"/>
    <cellStyle name="Input 11 3 2 2 6" xfId="21402" xr:uid="{00000000-0005-0000-0000-0000814E0000}"/>
    <cellStyle name="Input 11 3 2 2 6 2" xfId="46939" xr:uid="{00000000-0005-0000-0000-0000824E0000}"/>
    <cellStyle name="Input 11 3 2 2 6 3" xfId="50845" xr:uid="{00000000-0005-0000-0000-0000834E0000}"/>
    <cellStyle name="Input 11 3 2 2 7" xfId="40742" xr:uid="{00000000-0005-0000-0000-0000844E0000}"/>
    <cellStyle name="Input 11 3 2 2 8" xfId="40103" xr:uid="{00000000-0005-0000-0000-0000854E0000}"/>
    <cellStyle name="Input 11 3 2 3" xfId="10838" xr:uid="{00000000-0005-0000-0000-0000864E0000}"/>
    <cellStyle name="Input 11 3 2 3 2" xfId="18631" xr:uid="{00000000-0005-0000-0000-0000874E0000}"/>
    <cellStyle name="Input 11 3 2 3 2 2" xfId="44178" xr:uid="{00000000-0005-0000-0000-0000884E0000}"/>
    <cellStyle name="Input 11 3 2 3 2 3" xfId="48087" xr:uid="{00000000-0005-0000-0000-0000894E0000}"/>
    <cellStyle name="Input 11 3 2 3 2 4" xfId="36268" xr:uid="{00000000-0005-0000-0000-00008A4E0000}"/>
    <cellStyle name="Input 11 3 2 3 3" xfId="13335" xr:uid="{00000000-0005-0000-0000-00008B4E0000}"/>
    <cellStyle name="Input 11 3 2 3 3 2" xfId="42505" xr:uid="{00000000-0005-0000-0000-00008C4E0000}"/>
    <cellStyle name="Input 11 3 2 3 3 3" xfId="42792" xr:uid="{00000000-0005-0000-0000-00008D4E0000}"/>
    <cellStyle name="Input 11 3 2 3 3 4" xfId="30975" xr:uid="{00000000-0005-0000-0000-00008E4E0000}"/>
    <cellStyle name="Input 11 3 2 3 4" xfId="18963" xr:uid="{00000000-0005-0000-0000-00008F4E0000}"/>
    <cellStyle name="Input 11 3 2 3 4 2" xfId="44500" xr:uid="{00000000-0005-0000-0000-0000904E0000}"/>
    <cellStyle name="Input 11 3 2 3 4 3" xfId="48406" xr:uid="{00000000-0005-0000-0000-0000914E0000}"/>
    <cellStyle name="Input 11 3 2 3 4 4" xfId="36589" xr:uid="{00000000-0005-0000-0000-0000924E0000}"/>
    <cellStyle name="Input 11 3 2 3 5" xfId="21044" xr:uid="{00000000-0005-0000-0000-0000934E0000}"/>
    <cellStyle name="Input 11 3 2 3 5 2" xfId="46581" xr:uid="{00000000-0005-0000-0000-0000944E0000}"/>
    <cellStyle name="Input 11 3 2 3 5 3" xfId="50487" xr:uid="{00000000-0005-0000-0000-0000954E0000}"/>
    <cellStyle name="Input 11 3 2 3 5 4" xfId="38450" xr:uid="{00000000-0005-0000-0000-0000964E0000}"/>
    <cellStyle name="Input 11 3 2 3 6" xfId="21697" xr:uid="{00000000-0005-0000-0000-0000974E0000}"/>
    <cellStyle name="Input 11 3 2 3 6 2" xfId="47234" xr:uid="{00000000-0005-0000-0000-0000984E0000}"/>
    <cellStyle name="Input 11 3 2 3 6 3" xfId="51140" xr:uid="{00000000-0005-0000-0000-0000994E0000}"/>
    <cellStyle name="Input 11 3 2 3 7" xfId="41037" xr:uid="{00000000-0005-0000-0000-00009A4E0000}"/>
    <cellStyle name="Input 11 3 2 3 8" xfId="39380" xr:uid="{00000000-0005-0000-0000-00009B4E0000}"/>
    <cellStyle name="Input 11 3 2 4" xfId="14801" xr:uid="{00000000-0005-0000-0000-00009C4E0000}"/>
    <cellStyle name="Input 11 3 2 4 2" xfId="42917" xr:uid="{00000000-0005-0000-0000-00009D4E0000}"/>
    <cellStyle name="Input 11 3 2 4 3" xfId="43185" xr:uid="{00000000-0005-0000-0000-00009E4E0000}"/>
    <cellStyle name="Input 11 3 2 4 4" xfId="32436" xr:uid="{00000000-0005-0000-0000-00009F4E0000}"/>
    <cellStyle name="Input 11 3 2 5" xfId="13083" xr:uid="{00000000-0005-0000-0000-0000A04E0000}"/>
    <cellStyle name="Input 11 3 2 5 2" xfId="42304" xr:uid="{00000000-0005-0000-0000-0000A14E0000}"/>
    <cellStyle name="Input 11 3 2 5 3" xfId="40544" xr:uid="{00000000-0005-0000-0000-0000A24E0000}"/>
    <cellStyle name="Input 11 3 2 5 4" xfId="30732" xr:uid="{00000000-0005-0000-0000-0000A34E0000}"/>
    <cellStyle name="Input 11 3 2 6" xfId="19926" xr:uid="{00000000-0005-0000-0000-0000A44E0000}"/>
    <cellStyle name="Input 11 3 2 6 2" xfId="45463" xr:uid="{00000000-0005-0000-0000-0000A54E0000}"/>
    <cellStyle name="Input 11 3 2 6 3" xfId="49369" xr:uid="{00000000-0005-0000-0000-0000A64E0000}"/>
    <cellStyle name="Input 11 3 2 6 4" xfId="37440" xr:uid="{00000000-0005-0000-0000-0000A74E0000}"/>
    <cellStyle name="Input 11 3 2 7" xfId="20471" xr:uid="{00000000-0005-0000-0000-0000A84E0000}"/>
    <cellStyle name="Input 11 3 2 7 2" xfId="46008" xr:uid="{00000000-0005-0000-0000-0000A94E0000}"/>
    <cellStyle name="Input 11 3 2 7 3" xfId="49914" xr:uid="{00000000-0005-0000-0000-0000AA4E0000}"/>
    <cellStyle name="Input 11 3 2 7 4" xfId="37924" xr:uid="{00000000-0005-0000-0000-0000AB4E0000}"/>
    <cellStyle name="Input 11 3 2 8" xfId="19057" xr:uid="{00000000-0005-0000-0000-0000AC4E0000}"/>
    <cellStyle name="Input 11 3 2 8 2" xfId="44594" xr:uid="{00000000-0005-0000-0000-0000AD4E0000}"/>
    <cellStyle name="Input 11 3 2 8 3" xfId="48500" xr:uid="{00000000-0005-0000-0000-0000AE4E0000}"/>
    <cellStyle name="Input 11 3 2 9" xfId="39777" xr:uid="{00000000-0005-0000-0000-0000AF4E0000}"/>
    <cellStyle name="Input 11 3 3" xfId="52996" xr:uid="{00000000-0005-0000-0000-0000B04E0000}"/>
    <cellStyle name="Input 11 4" xfId="7010" xr:uid="{00000000-0005-0000-0000-0000B14E0000}"/>
    <cellStyle name="Input 11 4 10" xfId="43545" xr:uid="{00000000-0005-0000-0000-0000B24E0000}"/>
    <cellStyle name="Input 11 4 11" xfId="52997" xr:uid="{00000000-0005-0000-0000-0000B34E0000}"/>
    <cellStyle name="Input 11 4 2" xfId="10540" xr:uid="{00000000-0005-0000-0000-0000B44E0000}"/>
    <cellStyle name="Input 11 4 2 2" xfId="18333" xr:uid="{00000000-0005-0000-0000-0000B54E0000}"/>
    <cellStyle name="Input 11 4 2 2 2" xfId="43880" xr:uid="{00000000-0005-0000-0000-0000B64E0000}"/>
    <cellStyle name="Input 11 4 2 2 3" xfId="47789" xr:uid="{00000000-0005-0000-0000-0000B74E0000}"/>
    <cellStyle name="Input 11 4 2 2 4" xfId="35970" xr:uid="{00000000-0005-0000-0000-0000B84E0000}"/>
    <cellStyle name="Input 11 4 2 3" xfId="20174" xr:uid="{00000000-0005-0000-0000-0000B94E0000}"/>
    <cellStyle name="Input 11 4 2 3 2" xfId="45711" xr:uid="{00000000-0005-0000-0000-0000BA4E0000}"/>
    <cellStyle name="Input 11 4 2 3 3" xfId="49617" xr:uid="{00000000-0005-0000-0000-0000BB4E0000}"/>
    <cellStyle name="Input 11 4 2 3 4" xfId="37660" xr:uid="{00000000-0005-0000-0000-0000BC4E0000}"/>
    <cellStyle name="Input 11 4 2 4" xfId="11621" xr:uid="{00000000-0005-0000-0000-0000BD4E0000}"/>
    <cellStyle name="Input 11 4 2 4 2" xfId="41632" xr:uid="{00000000-0005-0000-0000-0000BE4E0000}"/>
    <cellStyle name="Input 11 4 2 4 3" xfId="40459" xr:uid="{00000000-0005-0000-0000-0000BF4E0000}"/>
    <cellStyle name="Input 11 4 2 4 4" xfId="29324" xr:uid="{00000000-0005-0000-0000-0000C04E0000}"/>
    <cellStyle name="Input 11 4 2 5" xfId="20746" xr:uid="{00000000-0005-0000-0000-0000C14E0000}"/>
    <cellStyle name="Input 11 4 2 5 2" xfId="46283" xr:uid="{00000000-0005-0000-0000-0000C24E0000}"/>
    <cellStyle name="Input 11 4 2 5 3" xfId="50189" xr:uid="{00000000-0005-0000-0000-0000C34E0000}"/>
    <cellStyle name="Input 11 4 2 5 4" xfId="38152" xr:uid="{00000000-0005-0000-0000-0000C44E0000}"/>
    <cellStyle name="Input 11 4 2 6" xfId="21399" xr:uid="{00000000-0005-0000-0000-0000C54E0000}"/>
    <cellStyle name="Input 11 4 2 6 2" xfId="46936" xr:uid="{00000000-0005-0000-0000-0000C64E0000}"/>
    <cellStyle name="Input 11 4 2 6 3" xfId="50842" xr:uid="{00000000-0005-0000-0000-0000C74E0000}"/>
    <cellStyle name="Input 11 4 2 7" xfId="40739" xr:uid="{00000000-0005-0000-0000-0000C84E0000}"/>
    <cellStyle name="Input 11 4 2 8" xfId="39201" xr:uid="{00000000-0005-0000-0000-0000C94E0000}"/>
    <cellStyle name="Input 11 4 3" xfId="10835" xr:uid="{00000000-0005-0000-0000-0000CA4E0000}"/>
    <cellStyle name="Input 11 4 3 2" xfId="18628" xr:uid="{00000000-0005-0000-0000-0000CB4E0000}"/>
    <cellStyle name="Input 11 4 3 2 2" xfId="44175" xr:uid="{00000000-0005-0000-0000-0000CC4E0000}"/>
    <cellStyle name="Input 11 4 3 2 3" xfId="48084" xr:uid="{00000000-0005-0000-0000-0000CD4E0000}"/>
    <cellStyle name="Input 11 4 3 2 4" xfId="36265" xr:uid="{00000000-0005-0000-0000-0000CE4E0000}"/>
    <cellStyle name="Input 11 4 3 3" xfId="19724" xr:uid="{00000000-0005-0000-0000-0000CF4E0000}"/>
    <cellStyle name="Input 11 4 3 3 2" xfId="45261" xr:uid="{00000000-0005-0000-0000-0000D04E0000}"/>
    <cellStyle name="Input 11 4 3 3 3" xfId="49167" xr:uid="{00000000-0005-0000-0000-0000D14E0000}"/>
    <cellStyle name="Input 11 4 3 3 4" xfId="37251" xr:uid="{00000000-0005-0000-0000-0000D24E0000}"/>
    <cellStyle name="Input 11 4 3 4" xfId="11424" xr:uid="{00000000-0005-0000-0000-0000D34E0000}"/>
    <cellStyle name="Input 11 4 3 4 2" xfId="41449" xr:uid="{00000000-0005-0000-0000-0000D44E0000}"/>
    <cellStyle name="Input 11 4 3 4 3" xfId="39176" xr:uid="{00000000-0005-0000-0000-0000D54E0000}"/>
    <cellStyle name="Input 11 4 3 4 4" xfId="29146" xr:uid="{00000000-0005-0000-0000-0000D64E0000}"/>
    <cellStyle name="Input 11 4 3 5" xfId="21041" xr:uid="{00000000-0005-0000-0000-0000D74E0000}"/>
    <cellStyle name="Input 11 4 3 5 2" xfId="46578" xr:uid="{00000000-0005-0000-0000-0000D84E0000}"/>
    <cellStyle name="Input 11 4 3 5 3" xfId="50484" xr:uid="{00000000-0005-0000-0000-0000D94E0000}"/>
    <cellStyle name="Input 11 4 3 5 4" xfId="38447" xr:uid="{00000000-0005-0000-0000-0000DA4E0000}"/>
    <cellStyle name="Input 11 4 3 6" xfId="21694" xr:uid="{00000000-0005-0000-0000-0000DB4E0000}"/>
    <cellStyle name="Input 11 4 3 6 2" xfId="47231" xr:uid="{00000000-0005-0000-0000-0000DC4E0000}"/>
    <cellStyle name="Input 11 4 3 6 3" xfId="51137" xr:uid="{00000000-0005-0000-0000-0000DD4E0000}"/>
    <cellStyle name="Input 11 4 3 7" xfId="41034" xr:uid="{00000000-0005-0000-0000-0000DE4E0000}"/>
    <cellStyle name="Input 11 4 3 8" xfId="42059" xr:uid="{00000000-0005-0000-0000-0000DF4E0000}"/>
    <cellStyle name="Input 11 4 4" xfId="14798" xr:uid="{00000000-0005-0000-0000-0000E04E0000}"/>
    <cellStyle name="Input 11 4 4 2" xfId="42914" xr:uid="{00000000-0005-0000-0000-0000E14E0000}"/>
    <cellStyle name="Input 11 4 4 3" xfId="39277" xr:uid="{00000000-0005-0000-0000-0000E24E0000}"/>
    <cellStyle name="Input 11 4 4 4" xfId="32433" xr:uid="{00000000-0005-0000-0000-0000E34E0000}"/>
    <cellStyle name="Input 11 4 5" xfId="12469" xr:uid="{00000000-0005-0000-0000-0000E44E0000}"/>
    <cellStyle name="Input 11 4 5 2" xfId="41990" xr:uid="{00000000-0005-0000-0000-0000E54E0000}"/>
    <cellStyle name="Input 11 4 5 3" xfId="43336" xr:uid="{00000000-0005-0000-0000-0000E64E0000}"/>
    <cellStyle name="Input 11 4 5 4" xfId="30140" xr:uid="{00000000-0005-0000-0000-0000E74E0000}"/>
    <cellStyle name="Input 11 4 6" xfId="11341" xr:uid="{00000000-0005-0000-0000-0000E84E0000}"/>
    <cellStyle name="Input 11 4 6 2" xfId="41380" xr:uid="{00000000-0005-0000-0000-0000E94E0000}"/>
    <cellStyle name="Input 11 4 6 3" xfId="40079" xr:uid="{00000000-0005-0000-0000-0000EA4E0000}"/>
    <cellStyle name="Input 11 4 6 4" xfId="29067" xr:uid="{00000000-0005-0000-0000-0000EB4E0000}"/>
    <cellStyle name="Input 11 4 7" xfId="18987" xr:uid="{00000000-0005-0000-0000-0000EC4E0000}"/>
    <cellStyle name="Input 11 4 7 2" xfId="44524" xr:uid="{00000000-0005-0000-0000-0000ED4E0000}"/>
    <cellStyle name="Input 11 4 7 3" xfId="48430" xr:uid="{00000000-0005-0000-0000-0000EE4E0000}"/>
    <cellStyle name="Input 11 4 7 4" xfId="36611" xr:uid="{00000000-0005-0000-0000-0000EF4E0000}"/>
    <cellStyle name="Input 11 4 8" xfId="19627" xr:uid="{00000000-0005-0000-0000-0000F04E0000}"/>
    <cellStyle name="Input 11 4 8 2" xfId="45164" xr:uid="{00000000-0005-0000-0000-0000F14E0000}"/>
    <cellStyle name="Input 11 4 8 3" xfId="49070" xr:uid="{00000000-0005-0000-0000-0000F24E0000}"/>
    <cellStyle name="Input 11 4 9" xfId="39774" xr:uid="{00000000-0005-0000-0000-0000F34E0000}"/>
    <cellStyle name="Input 11 5" xfId="22429" xr:uid="{00000000-0005-0000-0000-0000F44E0000}"/>
    <cellStyle name="Input 11 6" xfId="52992" xr:uid="{00000000-0005-0000-0000-0000F54E0000}"/>
    <cellStyle name="Input 11_Sheet1" xfId="1808" xr:uid="{00000000-0005-0000-0000-0000F64E0000}"/>
    <cellStyle name="Input 12" xfId="1809" xr:uid="{00000000-0005-0000-0000-0000F74E0000}"/>
    <cellStyle name="Input 12 2" xfId="1810" xr:uid="{00000000-0005-0000-0000-0000F84E0000}"/>
    <cellStyle name="Input 12 2 2" xfId="1811" xr:uid="{00000000-0005-0000-0000-0000F94E0000}"/>
    <cellStyle name="Input 12 2 2 2" xfId="7016" xr:uid="{00000000-0005-0000-0000-0000FA4E0000}"/>
    <cellStyle name="Input 12 2 2 2 10" xfId="39418" xr:uid="{00000000-0005-0000-0000-0000FB4E0000}"/>
    <cellStyle name="Input 12 2 2 2 2" xfId="10546" xr:uid="{00000000-0005-0000-0000-0000FC4E0000}"/>
    <cellStyle name="Input 12 2 2 2 2 2" xfId="18339" xr:uid="{00000000-0005-0000-0000-0000FD4E0000}"/>
    <cellStyle name="Input 12 2 2 2 2 2 2" xfId="43886" xr:uid="{00000000-0005-0000-0000-0000FE4E0000}"/>
    <cellStyle name="Input 12 2 2 2 2 2 3" xfId="47795" xr:uid="{00000000-0005-0000-0000-0000FF4E0000}"/>
    <cellStyle name="Input 12 2 2 2 2 2 4" xfId="35976" xr:uid="{00000000-0005-0000-0000-0000004F0000}"/>
    <cellStyle name="Input 12 2 2 2 2 3" xfId="12624" xr:uid="{00000000-0005-0000-0000-0000014F0000}"/>
    <cellStyle name="Input 12 2 2 2 2 3 2" xfId="42103" xr:uid="{00000000-0005-0000-0000-0000024F0000}"/>
    <cellStyle name="Input 12 2 2 2 2 3 3" xfId="39112" xr:uid="{00000000-0005-0000-0000-0000034F0000}"/>
    <cellStyle name="Input 12 2 2 2 2 3 4" xfId="30289" xr:uid="{00000000-0005-0000-0000-0000044F0000}"/>
    <cellStyle name="Input 12 2 2 2 2 4" xfId="20230" xr:uid="{00000000-0005-0000-0000-0000054F0000}"/>
    <cellStyle name="Input 12 2 2 2 2 4 2" xfId="45767" xr:uid="{00000000-0005-0000-0000-0000064F0000}"/>
    <cellStyle name="Input 12 2 2 2 2 4 3" xfId="49673" xr:uid="{00000000-0005-0000-0000-0000074F0000}"/>
    <cellStyle name="Input 12 2 2 2 2 4 4" xfId="37705" xr:uid="{00000000-0005-0000-0000-0000084F0000}"/>
    <cellStyle name="Input 12 2 2 2 2 5" xfId="20752" xr:uid="{00000000-0005-0000-0000-0000094F0000}"/>
    <cellStyle name="Input 12 2 2 2 2 5 2" xfId="46289" xr:uid="{00000000-0005-0000-0000-00000A4F0000}"/>
    <cellStyle name="Input 12 2 2 2 2 5 3" xfId="50195" xr:uid="{00000000-0005-0000-0000-00000B4F0000}"/>
    <cellStyle name="Input 12 2 2 2 2 5 4" xfId="38158" xr:uid="{00000000-0005-0000-0000-00000C4F0000}"/>
    <cellStyle name="Input 12 2 2 2 2 6" xfId="21405" xr:uid="{00000000-0005-0000-0000-00000D4F0000}"/>
    <cellStyle name="Input 12 2 2 2 2 6 2" xfId="46942" xr:uid="{00000000-0005-0000-0000-00000E4F0000}"/>
    <cellStyle name="Input 12 2 2 2 2 6 3" xfId="50848" xr:uid="{00000000-0005-0000-0000-00000F4F0000}"/>
    <cellStyle name="Input 12 2 2 2 2 7" xfId="40745" xr:uid="{00000000-0005-0000-0000-0000104F0000}"/>
    <cellStyle name="Input 12 2 2 2 2 8" xfId="40600" xr:uid="{00000000-0005-0000-0000-0000114F0000}"/>
    <cellStyle name="Input 12 2 2 2 3" xfId="10841" xr:uid="{00000000-0005-0000-0000-0000124F0000}"/>
    <cellStyle name="Input 12 2 2 2 3 2" xfId="18634" xr:uid="{00000000-0005-0000-0000-0000134F0000}"/>
    <cellStyle name="Input 12 2 2 2 3 2 2" xfId="44181" xr:uid="{00000000-0005-0000-0000-0000144F0000}"/>
    <cellStyle name="Input 12 2 2 2 3 2 3" xfId="48090" xr:uid="{00000000-0005-0000-0000-0000154F0000}"/>
    <cellStyle name="Input 12 2 2 2 3 2 4" xfId="36271" xr:uid="{00000000-0005-0000-0000-0000164F0000}"/>
    <cellStyle name="Input 12 2 2 2 3 3" xfId="19403" xr:uid="{00000000-0005-0000-0000-0000174F0000}"/>
    <cellStyle name="Input 12 2 2 2 3 3 2" xfId="44940" xr:uid="{00000000-0005-0000-0000-0000184F0000}"/>
    <cellStyle name="Input 12 2 2 2 3 3 3" xfId="48846" xr:uid="{00000000-0005-0000-0000-0000194F0000}"/>
    <cellStyle name="Input 12 2 2 2 3 3 4" xfId="36968" xr:uid="{00000000-0005-0000-0000-00001A4F0000}"/>
    <cellStyle name="Input 12 2 2 2 3 4" xfId="20199" xr:uid="{00000000-0005-0000-0000-00001B4F0000}"/>
    <cellStyle name="Input 12 2 2 2 3 4 2" xfId="45736" xr:uid="{00000000-0005-0000-0000-00001C4F0000}"/>
    <cellStyle name="Input 12 2 2 2 3 4 3" xfId="49642" xr:uid="{00000000-0005-0000-0000-00001D4F0000}"/>
    <cellStyle name="Input 12 2 2 2 3 4 4" xfId="37681" xr:uid="{00000000-0005-0000-0000-00001E4F0000}"/>
    <cellStyle name="Input 12 2 2 2 3 5" xfId="21047" xr:uid="{00000000-0005-0000-0000-00001F4F0000}"/>
    <cellStyle name="Input 12 2 2 2 3 5 2" xfId="46584" xr:uid="{00000000-0005-0000-0000-0000204F0000}"/>
    <cellStyle name="Input 12 2 2 2 3 5 3" xfId="50490" xr:uid="{00000000-0005-0000-0000-0000214F0000}"/>
    <cellStyle name="Input 12 2 2 2 3 5 4" xfId="38453" xr:uid="{00000000-0005-0000-0000-0000224F0000}"/>
    <cellStyle name="Input 12 2 2 2 3 6" xfId="21700" xr:uid="{00000000-0005-0000-0000-0000234F0000}"/>
    <cellStyle name="Input 12 2 2 2 3 6 2" xfId="47237" xr:uid="{00000000-0005-0000-0000-0000244F0000}"/>
    <cellStyle name="Input 12 2 2 2 3 6 3" xfId="51143" xr:uid="{00000000-0005-0000-0000-0000254F0000}"/>
    <cellStyle name="Input 12 2 2 2 3 7" xfId="41040" xr:uid="{00000000-0005-0000-0000-0000264F0000}"/>
    <cellStyle name="Input 12 2 2 2 3 8" xfId="40092" xr:uid="{00000000-0005-0000-0000-0000274F0000}"/>
    <cellStyle name="Input 12 2 2 2 4" xfId="14804" xr:uid="{00000000-0005-0000-0000-0000284F0000}"/>
    <cellStyle name="Input 12 2 2 2 4 2" xfId="42920" xr:uid="{00000000-0005-0000-0000-0000294F0000}"/>
    <cellStyle name="Input 12 2 2 2 4 3" xfId="43673" xr:uid="{00000000-0005-0000-0000-00002A4F0000}"/>
    <cellStyle name="Input 12 2 2 2 4 4" xfId="32439" xr:uid="{00000000-0005-0000-0000-00002B4F0000}"/>
    <cellStyle name="Input 12 2 2 2 5" xfId="13086" xr:uid="{00000000-0005-0000-0000-00002C4F0000}"/>
    <cellStyle name="Input 12 2 2 2 5 2" xfId="42307" xr:uid="{00000000-0005-0000-0000-00002D4F0000}"/>
    <cellStyle name="Input 12 2 2 2 5 3" xfId="43579" xr:uid="{00000000-0005-0000-0000-00002E4F0000}"/>
    <cellStyle name="Input 12 2 2 2 5 4" xfId="30735" xr:uid="{00000000-0005-0000-0000-00002F4F0000}"/>
    <cellStyle name="Input 12 2 2 2 6" xfId="20268" xr:uid="{00000000-0005-0000-0000-0000304F0000}"/>
    <cellStyle name="Input 12 2 2 2 6 2" xfId="45805" xr:uid="{00000000-0005-0000-0000-0000314F0000}"/>
    <cellStyle name="Input 12 2 2 2 6 3" xfId="49711" xr:uid="{00000000-0005-0000-0000-0000324F0000}"/>
    <cellStyle name="Input 12 2 2 2 6 4" xfId="37738" xr:uid="{00000000-0005-0000-0000-0000334F0000}"/>
    <cellStyle name="Input 12 2 2 2 7" xfId="19678" xr:uid="{00000000-0005-0000-0000-0000344F0000}"/>
    <cellStyle name="Input 12 2 2 2 7 2" xfId="45215" xr:uid="{00000000-0005-0000-0000-0000354F0000}"/>
    <cellStyle name="Input 12 2 2 2 7 3" xfId="49121" xr:uid="{00000000-0005-0000-0000-0000364F0000}"/>
    <cellStyle name="Input 12 2 2 2 7 4" xfId="37210" xr:uid="{00000000-0005-0000-0000-0000374F0000}"/>
    <cellStyle name="Input 12 2 2 2 8" xfId="19154" xr:uid="{00000000-0005-0000-0000-0000384F0000}"/>
    <cellStyle name="Input 12 2 2 2 8 2" xfId="44691" xr:uid="{00000000-0005-0000-0000-0000394F0000}"/>
    <cellStyle name="Input 12 2 2 2 8 3" xfId="48597" xr:uid="{00000000-0005-0000-0000-00003A4F0000}"/>
    <cellStyle name="Input 12 2 2 2 9" xfId="39780" xr:uid="{00000000-0005-0000-0000-00003B4F0000}"/>
    <cellStyle name="Input 12 2 2 3" xfId="53000" xr:uid="{00000000-0005-0000-0000-00003C4F0000}"/>
    <cellStyle name="Input 12 2 3" xfId="7015" xr:uid="{00000000-0005-0000-0000-00003D4F0000}"/>
    <cellStyle name="Input 12 2 3 10" xfId="40290" xr:uid="{00000000-0005-0000-0000-00003E4F0000}"/>
    <cellStyle name="Input 12 2 3 2" xfId="10545" xr:uid="{00000000-0005-0000-0000-00003F4F0000}"/>
    <cellStyle name="Input 12 2 3 2 2" xfId="18338" xr:uid="{00000000-0005-0000-0000-0000404F0000}"/>
    <cellStyle name="Input 12 2 3 2 2 2" xfId="43885" xr:uid="{00000000-0005-0000-0000-0000414F0000}"/>
    <cellStyle name="Input 12 2 3 2 2 3" xfId="47794" xr:uid="{00000000-0005-0000-0000-0000424F0000}"/>
    <cellStyle name="Input 12 2 3 2 2 4" xfId="35975" xr:uid="{00000000-0005-0000-0000-0000434F0000}"/>
    <cellStyle name="Input 12 2 3 2 3" xfId="19138" xr:uid="{00000000-0005-0000-0000-0000444F0000}"/>
    <cellStyle name="Input 12 2 3 2 3 2" xfId="44675" xr:uid="{00000000-0005-0000-0000-0000454F0000}"/>
    <cellStyle name="Input 12 2 3 2 3 3" xfId="48581" xr:uid="{00000000-0005-0000-0000-0000464F0000}"/>
    <cellStyle name="Input 12 2 3 2 3 4" xfId="36733" xr:uid="{00000000-0005-0000-0000-0000474F0000}"/>
    <cellStyle name="Input 12 2 3 2 4" xfId="19993" xr:uid="{00000000-0005-0000-0000-0000484F0000}"/>
    <cellStyle name="Input 12 2 3 2 4 2" xfId="45530" xr:uid="{00000000-0005-0000-0000-0000494F0000}"/>
    <cellStyle name="Input 12 2 3 2 4 3" xfId="49436" xr:uid="{00000000-0005-0000-0000-00004A4F0000}"/>
    <cellStyle name="Input 12 2 3 2 4 4" xfId="37491" xr:uid="{00000000-0005-0000-0000-00004B4F0000}"/>
    <cellStyle name="Input 12 2 3 2 5" xfId="20751" xr:uid="{00000000-0005-0000-0000-00004C4F0000}"/>
    <cellStyle name="Input 12 2 3 2 5 2" xfId="46288" xr:uid="{00000000-0005-0000-0000-00004D4F0000}"/>
    <cellStyle name="Input 12 2 3 2 5 3" xfId="50194" xr:uid="{00000000-0005-0000-0000-00004E4F0000}"/>
    <cellStyle name="Input 12 2 3 2 5 4" xfId="38157" xr:uid="{00000000-0005-0000-0000-00004F4F0000}"/>
    <cellStyle name="Input 12 2 3 2 6" xfId="21404" xr:uid="{00000000-0005-0000-0000-0000504F0000}"/>
    <cellStyle name="Input 12 2 3 2 6 2" xfId="46941" xr:uid="{00000000-0005-0000-0000-0000514F0000}"/>
    <cellStyle name="Input 12 2 3 2 6 3" xfId="50847" xr:uid="{00000000-0005-0000-0000-0000524F0000}"/>
    <cellStyle name="Input 12 2 3 2 7" xfId="40744" xr:uid="{00000000-0005-0000-0000-0000534F0000}"/>
    <cellStyle name="Input 12 2 3 2 8" xfId="43741" xr:uid="{00000000-0005-0000-0000-0000544F0000}"/>
    <cellStyle name="Input 12 2 3 3" xfId="10840" xr:uid="{00000000-0005-0000-0000-0000554F0000}"/>
    <cellStyle name="Input 12 2 3 3 2" xfId="18633" xr:uid="{00000000-0005-0000-0000-0000564F0000}"/>
    <cellStyle name="Input 12 2 3 3 2 2" xfId="44180" xr:uid="{00000000-0005-0000-0000-0000574F0000}"/>
    <cellStyle name="Input 12 2 3 3 2 3" xfId="48089" xr:uid="{00000000-0005-0000-0000-0000584F0000}"/>
    <cellStyle name="Input 12 2 3 3 2 4" xfId="36270" xr:uid="{00000000-0005-0000-0000-0000594F0000}"/>
    <cellStyle name="Input 12 2 3 3 3" xfId="20144" xr:uid="{00000000-0005-0000-0000-00005A4F0000}"/>
    <cellStyle name="Input 12 2 3 3 3 2" xfId="45681" xr:uid="{00000000-0005-0000-0000-00005B4F0000}"/>
    <cellStyle name="Input 12 2 3 3 3 3" xfId="49587" xr:uid="{00000000-0005-0000-0000-00005C4F0000}"/>
    <cellStyle name="Input 12 2 3 3 3 4" xfId="37630" xr:uid="{00000000-0005-0000-0000-00005D4F0000}"/>
    <cellStyle name="Input 12 2 3 3 4" xfId="19079" xr:uid="{00000000-0005-0000-0000-00005E4F0000}"/>
    <cellStyle name="Input 12 2 3 3 4 2" xfId="44616" xr:uid="{00000000-0005-0000-0000-00005F4F0000}"/>
    <cellStyle name="Input 12 2 3 3 4 3" xfId="48522" xr:uid="{00000000-0005-0000-0000-0000604F0000}"/>
    <cellStyle name="Input 12 2 3 3 4 4" xfId="36675" xr:uid="{00000000-0005-0000-0000-0000614F0000}"/>
    <cellStyle name="Input 12 2 3 3 5" xfId="21046" xr:uid="{00000000-0005-0000-0000-0000624F0000}"/>
    <cellStyle name="Input 12 2 3 3 5 2" xfId="46583" xr:uid="{00000000-0005-0000-0000-0000634F0000}"/>
    <cellStyle name="Input 12 2 3 3 5 3" xfId="50489" xr:uid="{00000000-0005-0000-0000-0000644F0000}"/>
    <cellStyle name="Input 12 2 3 3 5 4" xfId="38452" xr:uid="{00000000-0005-0000-0000-0000654F0000}"/>
    <cellStyle name="Input 12 2 3 3 6" xfId="21699" xr:uid="{00000000-0005-0000-0000-0000664F0000}"/>
    <cellStyle name="Input 12 2 3 3 6 2" xfId="47236" xr:uid="{00000000-0005-0000-0000-0000674F0000}"/>
    <cellStyle name="Input 12 2 3 3 6 3" xfId="51142" xr:uid="{00000000-0005-0000-0000-0000684F0000}"/>
    <cellStyle name="Input 12 2 3 3 7" xfId="41039" xr:uid="{00000000-0005-0000-0000-0000694F0000}"/>
    <cellStyle name="Input 12 2 3 3 8" xfId="43233" xr:uid="{00000000-0005-0000-0000-00006A4F0000}"/>
    <cellStyle name="Input 12 2 3 4" xfId="14803" xr:uid="{00000000-0005-0000-0000-00006B4F0000}"/>
    <cellStyle name="Input 12 2 3 4 2" xfId="42919" xr:uid="{00000000-0005-0000-0000-00006C4F0000}"/>
    <cellStyle name="Input 12 2 3 4 3" xfId="42786" xr:uid="{00000000-0005-0000-0000-00006D4F0000}"/>
    <cellStyle name="Input 12 2 3 4 4" xfId="32438" xr:uid="{00000000-0005-0000-0000-00006E4F0000}"/>
    <cellStyle name="Input 12 2 3 5" xfId="13085" xr:uid="{00000000-0005-0000-0000-00006F4F0000}"/>
    <cellStyle name="Input 12 2 3 5 2" xfId="42306" xr:uid="{00000000-0005-0000-0000-0000704F0000}"/>
    <cellStyle name="Input 12 2 3 5 3" xfId="42691" xr:uid="{00000000-0005-0000-0000-0000714F0000}"/>
    <cellStyle name="Input 12 2 3 5 4" xfId="30734" xr:uid="{00000000-0005-0000-0000-0000724F0000}"/>
    <cellStyle name="Input 12 2 3 6" xfId="20320" xr:uid="{00000000-0005-0000-0000-0000734F0000}"/>
    <cellStyle name="Input 12 2 3 6 2" xfId="45857" xr:uid="{00000000-0005-0000-0000-0000744F0000}"/>
    <cellStyle name="Input 12 2 3 6 3" xfId="49763" xr:uid="{00000000-0005-0000-0000-0000754F0000}"/>
    <cellStyle name="Input 12 2 3 6 4" xfId="37784" xr:uid="{00000000-0005-0000-0000-0000764F0000}"/>
    <cellStyle name="Input 12 2 3 7" xfId="20061" xr:uid="{00000000-0005-0000-0000-0000774F0000}"/>
    <cellStyle name="Input 12 2 3 7 2" xfId="45598" xr:uid="{00000000-0005-0000-0000-0000784F0000}"/>
    <cellStyle name="Input 12 2 3 7 3" xfId="49504" xr:uid="{00000000-0005-0000-0000-0000794F0000}"/>
    <cellStyle name="Input 12 2 3 7 4" xfId="37556" xr:uid="{00000000-0005-0000-0000-00007A4F0000}"/>
    <cellStyle name="Input 12 2 3 8" xfId="19652" xr:uid="{00000000-0005-0000-0000-00007B4F0000}"/>
    <cellStyle name="Input 12 2 3 8 2" xfId="45189" xr:uid="{00000000-0005-0000-0000-00007C4F0000}"/>
    <cellStyle name="Input 12 2 3 8 3" xfId="49095" xr:uid="{00000000-0005-0000-0000-00007D4F0000}"/>
    <cellStyle name="Input 12 2 3 9" xfId="39779" xr:uid="{00000000-0005-0000-0000-00007E4F0000}"/>
    <cellStyle name="Input 12 2 4" xfId="52999" xr:uid="{00000000-0005-0000-0000-00007F4F0000}"/>
    <cellStyle name="Input 12 2_Sheet1" xfId="1812" xr:uid="{00000000-0005-0000-0000-0000804F0000}"/>
    <cellStyle name="Input 12 3" xfId="1813" xr:uid="{00000000-0005-0000-0000-0000814F0000}"/>
    <cellStyle name="Input 12 3 2" xfId="7017" xr:uid="{00000000-0005-0000-0000-0000824F0000}"/>
    <cellStyle name="Input 12 3 2 10" xfId="39253" xr:uid="{00000000-0005-0000-0000-0000834F0000}"/>
    <cellStyle name="Input 12 3 2 2" xfId="10547" xr:uid="{00000000-0005-0000-0000-0000844F0000}"/>
    <cellStyle name="Input 12 3 2 2 2" xfId="18340" xr:uid="{00000000-0005-0000-0000-0000854F0000}"/>
    <cellStyle name="Input 12 3 2 2 2 2" xfId="43887" xr:uid="{00000000-0005-0000-0000-0000864F0000}"/>
    <cellStyle name="Input 12 3 2 2 2 3" xfId="47796" xr:uid="{00000000-0005-0000-0000-0000874F0000}"/>
    <cellStyle name="Input 12 3 2 2 2 4" xfId="35977" xr:uid="{00000000-0005-0000-0000-0000884F0000}"/>
    <cellStyle name="Input 12 3 2 2 3" xfId="19618" xr:uid="{00000000-0005-0000-0000-0000894F0000}"/>
    <cellStyle name="Input 12 3 2 2 3 2" xfId="45155" xr:uid="{00000000-0005-0000-0000-00008A4F0000}"/>
    <cellStyle name="Input 12 3 2 2 3 3" xfId="49061" xr:uid="{00000000-0005-0000-0000-00008B4F0000}"/>
    <cellStyle name="Input 12 3 2 2 3 4" xfId="37158" xr:uid="{00000000-0005-0000-0000-00008C4F0000}"/>
    <cellStyle name="Input 12 3 2 2 4" xfId="11822" xr:uid="{00000000-0005-0000-0000-00008D4F0000}"/>
    <cellStyle name="Input 12 3 2 2 4 2" xfId="41760" xr:uid="{00000000-0005-0000-0000-00008E4F0000}"/>
    <cellStyle name="Input 12 3 2 2 4 3" xfId="39148" xr:uid="{00000000-0005-0000-0000-00008F4F0000}"/>
    <cellStyle name="Input 12 3 2 2 4 4" xfId="29508" xr:uid="{00000000-0005-0000-0000-0000904F0000}"/>
    <cellStyle name="Input 12 3 2 2 5" xfId="20753" xr:uid="{00000000-0005-0000-0000-0000914F0000}"/>
    <cellStyle name="Input 12 3 2 2 5 2" xfId="46290" xr:uid="{00000000-0005-0000-0000-0000924F0000}"/>
    <cellStyle name="Input 12 3 2 2 5 3" xfId="50196" xr:uid="{00000000-0005-0000-0000-0000934F0000}"/>
    <cellStyle name="Input 12 3 2 2 5 4" xfId="38159" xr:uid="{00000000-0005-0000-0000-0000944F0000}"/>
    <cellStyle name="Input 12 3 2 2 6" xfId="21406" xr:uid="{00000000-0005-0000-0000-0000954F0000}"/>
    <cellStyle name="Input 12 3 2 2 6 2" xfId="46943" xr:uid="{00000000-0005-0000-0000-0000964F0000}"/>
    <cellStyle name="Input 12 3 2 2 6 3" xfId="50849" xr:uid="{00000000-0005-0000-0000-0000974F0000}"/>
    <cellStyle name="Input 12 3 2 2 7" xfId="40746" xr:uid="{00000000-0005-0000-0000-0000984F0000}"/>
    <cellStyle name="Input 12 3 2 2 8" xfId="39711" xr:uid="{00000000-0005-0000-0000-0000994F0000}"/>
    <cellStyle name="Input 12 3 2 3" xfId="10842" xr:uid="{00000000-0005-0000-0000-00009A4F0000}"/>
    <cellStyle name="Input 12 3 2 3 2" xfId="18635" xr:uid="{00000000-0005-0000-0000-00009B4F0000}"/>
    <cellStyle name="Input 12 3 2 3 2 2" xfId="44182" xr:uid="{00000000-0005-0000-0000-00009C4F0000}"/>
    <cellStyle name="Input 12 3 2 3 2 3" xfId="48091" xr:uid="{00000000-0005-0000-0000-00009D4F0000}"/>
    <cellStyle name="Input 12 3 2 3 2 4" xfId="36272" xr:uid="{00000000-0005-0000-0000-00009E4F0000}"/>
    <cellStyle name="Input 12 3 2 3 3" xfId="20010" xr:uid="{00000000-0005-0000-0000-00009F4F0000}"/>
    <cellStyle name="Input 12 3 2 3 3 2" xfId="45547" xr:uid="{00000000-0005-0000-0000-0000A04F0000}"/>
    <cellStyle name="Input 12 3 2 3 3 3" xfId="49453" xr:uid="{00000000-0005-0000-0000-0000A14F0000}"/>
    <cellStyle name="Input 12 3 2 3 3 4" xfId="37508" xr:uid="{00000000-0005-0000-0000-0000A24F0000}"/>
    <cellStyle name="Input 12 3 2 3 4" xfId="19322" xr:uid="{00000000-0005-0000-0000-0000A34F0000}"/>
    <cellStyle name="Input 12 3 2 3 4 2" xfId="44859" xr:uid="{00000000-0005-0000-0000-0000A44F0000}"/>
    <cellStyle name="Input 12 3 2 3 4 3" xfId="48765" xr:uid="{00000000-0005-0000-0000-0000A54F0000}"/>
    <cellStyle name="Input 12 3 2 3 4 4" xfId="36900" xr:uid="{00000000-0005-0000-0000-0000A64F0000}"/>
    <cellStyle name="Input 12 3 2 3 5" xfId="21048" xr:uid="{00000000-0005-0000-0000-0000A74F0000}"/>
    <cellStyle name="Input 12 3 2 3 5 2" xfId="46585" xr:uid="{00000000-0005-0000-0000-0000A84F0000}"/>
    <cellStyle name="Input 12 3 2 3 5 3" xfId="50491" xr:uid="{00000000-0005-0000-0000-0000A94F0000}"/>
    <cellStyle name="Input 12 3 2 3 5 4" xfId="38454" xr:uid="{00000000-0005-0000-0000-0000AA4F0000}"/>
    <cellStyle name="Input 12 3 2 3 6" xfId="21701" xr:uid="{00000000-0005-0000-0000-0000AB4F0000}"/>
    <cellStyle name="Input 12 3 2 3 6 2" xfId="47238" xr:uid="{00000000-0005-0000-0000-0000AC4F0000}"/>
    <cellStyle name="Input 12 3 2 3 6 3" xfId="51144" xr:uid="{00000000-0005-0000-0000-0000AD4F0000}"/>
    <cellStyle name="Input 12 3 2 3 7" xfId="41041" xr:uid="{00000000-0005-0000-0000-0000AE4F0000}"/>
    <cellStyle name="Input 12 3 2 3 8" xfId="42840" xr:uid="{00000000-0005-0000-0000-0000AF4F0000}"/>
    <cellStyle name="Input 12 3 2 4" xfId="14805" xr:uid="{00000000-0005-0000-0000-0000B04F0000}"/>
    <cellStyle name="Input 12 3 2 4 2" xfId="42921" xr:uid="{00000000-0005-0000-0000-0000B14F0000}"/>
    <cellStyle name="Input 12 3 2 4 3" xfId="40532" xr:uid="{00000000-0005-0000-0000-0000B24F0000}"/>
    <cellStyle name="Input 12 3 2 4 4" xfId="32440" xr:uid="{00000000-0005-0000-0000-0000B34F0000}"/>
    <cellStyle name="Input 12 3 2 5" xfId="13087" xr:uid="{00000000-0005-0000-0000-0000B44F0000}"/>
    <cellStyle name="Input 12 3 2 5 2" xfId="42308" xr:uid="{00000000-0005-0000-0000-0000B54F0000}"/>
    <cellStyle name="Input 12 3 2 5 3" xfId="40440" xr:uid="{00000000-0005-0000-0000-0000B64F0000}"/>
    <cellStyle name="Input 12 3 2 5 4" xfId="30736" xr:uid="{00000000-0005-0000-0000-0000B74F0000}"/>
    <cellStyle name="Input 12 3 2 6" xfId="20069" xr:uid="{00000000-0005-0000-0000-0000B84F0000}"/>
    <cellStyle name="Input 12 3 2 6 2" xfId="45606" xr:uid="{00000000-0005-0000-0000-0000B94F0000}"/>
    <cellStyle name="Input 12 3 2 6 3" xfId="49512" xr:uid="{00000000-0005-0000-0000-0000BA4F0000}"/>
    <cellStyle name="Input 12 3 2 6 4" xfId="37563" xr:uid="{00000000-0005-0000-0000-0000BB4F0000}"/>
    <cellStyle name="Input 12 3 2 7" xfId="11695" xr:uid="{00000000-0005-0000-0000-0000BC4F0000}"/>
    <cellStyle name="Input 12 3 2 7 2" xfId="41702" xr:uid="{00000000-0005-0000-0000-0000BD4F0000}"/>
    <cellStyle name="Input 12 3 2 7 3" xfId="40456" xr:uid="{00000000-0005-0000-0000-0000BE4F0000}"/>
    <cellStyle name="Input 12 3 2 7 4" xfId="29388" xr:uid="{00000000-0005-0000-0000-0000BF4F0000}"/>
    <cellStyle name="Input 12 3 2 8" xfId="20205" xr:uid="{00000000-0005-0000-0000-0000C04F0000}"/>
    <cellStyle name="Input 12 3 2 8 2" xfId="45742" xr:uid="{00000000-0005-0000-0000-0000C14F0000}"/>
    <cellStyle name="Input 12 3 2 8 3" xfId="49648" xr:uid="{00000000-0005-0000-0000-0000C24F0000}"/>
    <cellStyle name="Input 12 3 2 9" xfId="39781" xr:uid="{00000000-0005-0000-0000-0000C34F0000}"/>
    <cellStyle name="Input 12 3 3" xfId="53001" xr:uid="{00000000-0005-0000-0000-0000C44F0000}"/>
    <cellStyle name="Input 12 4" xfId="7014" xr:uid="{00000000-0005-0000-0000-0000C54F0000}"/>
    <cellStyle name="Input 12 4 10" xfId="43428" xr:uid="{00000000-0005-0000-0000-0000C64F0000}"/>
    <cellStyle name="Input 12 4 11" xfId="53002" xr:uid="{00000000-0005-0000-0000-0000C74F0000}"/>
    <cellStyle name="Input 12 4 2" xfId="10544" xr:uid="{00000000-0005-0000-0000-0000C84F0000}"/>
    <cellStyle name="Input 12 4 2 2" xfId="18337" xr:uid="{00000000-0005-0000-0000-0000C94F0000}"/>
    <cellStyle name="Input 12 4 2 2 2" xfId="43884" xr:uid="{00000000-0005-0000-0000-0000CA4F0000}"/>
    <cellStyle name="Input 12 4 2 2 3" xfId="47793" xr:uid="{00000000-0005-0000-0000-0000CB4F0000}"/>
    <cellStyle name="Input 12 4 2 2 4" xfId="35974" xr:uid="{00000000-0005-0000-0000-0000CC4F0000}"/>
    <cellStyle name="Input 12 4 2 3" xfId="19915" xr:uid="{00000000-0005-0000-0000-0000CD4F0000}"/>
    <cellStyle name="Input 12 4 2 3 2" xfId="45452" xr:uid="{00000000-0005-0000-0000-0000CE4F0000}"/>
    <cellStyle name="Input 12 4 2 3 3" xfId="49358" xr:uid="{00000000-0005-0000-0000-0000CF4F0000}"/>
    <cellStyle name="Input 12 4 2 3 4" xfId="37429" xr:uid="{00000000-0005-0000-0000-0000D04F0000}"/>
    <cellStyle name="Input 12 4 2 4" xfId="19189" xr:uid="{00000000-0005-0000-0000-0000D14F0000}"/>
    <cellStyle name="Input 12 4 2 4 2" xfId="44726" xr:uid="{00000000-0005-0000-0000-0000D24F0000}"/>
    <cellStyle name="Input 12 4 2 4 3" xfId="48632" xr:uid="{00000000-0005-0000-0000-0000D34F0000}"/>
    <cellStyle name="Input 12 4 2 4 4" xfId="36776" xr:uid="{00000000-0005-0000-0000-0000D44F0000}"/>
    <cellStyle name="Input 12 4 2 5" xfId="20750" xr:uid="{00000000-0005-0000-0000-0000D54F0000}"/>
    <cellStyle name="Input 12 4 2 5 2" xfId="46287" xr:uid="{00000000-0005-0000-0000-0000D64F0000}"/>
    <cellStyle name="Input 12 4 2 5 3" xfId="50193" xr:uid="{00000000-0005-0000-0000-0000D74F0000}"/>
    <cellStyle name="Input 12 4 2 5 4" xfId="38156" xr:uid="{00000000-0005-0000-0000-0000D84F0000}"/>
    <cellStyle name="Input 12 4 2 6" xfId="21403" xr:uid="{00000000-0005-0000-0000-0000D94F0000}"/>
    <cellStyle name="Input 12 4 2 6 2" xfId="46940" xr:uid="{00000000-0005-0000-0000-0000DA4F0000}"/>
    <cellStyle name="Input 12 4 2 6 3" xfId="50846" xr:uid="{00000000-0005-0000-0000-0000DB4F0000}"/>
    <cellStyle name="Input 12 4 2 7" xfId="40743" xr:uid="{00000000-0005-0000-0000-0000DC4F0000}"/>
    <cellStyle name="Input 12 4 2 8" xfId="42852" xr:uid="{00000000-0005-0000-0000-0000DD4F0000}"/>
    <cellStyle name="Input 12 4 3" xfId="10839" xr:uid="{00000000-0005-0000-0000-0000DE4F0000}"/>
    <cellStyle name="Input 12 4 3 2" xfId="18632" xr:uid="{00000000-0005-0000-0000-0000DF4F0000}"/>
    <cellStyle name="Input 12 4 3 2 2" xfId="44179" xr:uid="{00000000-0005-0000-0000-0000E04F0000}"/>
    <cellStyle name="Input 12 4 3 2 3" xfId="48088" xr:uid="{00000000-0005-0000-0000-0000E14F0000}"/>
    <cellStyle name="Input 12 4 3 2 4" xfId="36269" xr:uid="{00000000-0005-0000-0000-0000E24F0000}"/>
    <cellStyle name="Input 12 4 3 3" xfId="19592" xr:uid="{00000000-0005-0000-0000-0000E34F0000}"/>
    <cellStyle name="Input 12 4 3 3 2" xfId="45129" xr:uid="{00000000-0005-0000-0000-0000E44F0000}"/>
    <cellStyle name="Input 12 4 3 3 3" xfId="49035" xr:uid="{00000000-0005-0000-0000-0000E54F0000}"/>
    <cellStyle name="Input 12 4 3 3 4" xfId="37132" xr:uid="{00000000-0005-0000-0000-0000E64F0000}"/>
    <cellStyle name="Input 12 4 3 4" xfId="19052" xr:uid="{00000000-0005-0000-0000-0000E74F0000}"/>
    <cellStyle name="Input 12 4 3 4 2" xfId="44589" xr:uid="{00000000-0005-0000-0000-0000E84F0000}"/>
    <cellStyle name="Input 12 4 3 4 3" xfId="48495" xr:uid="{00000000-0005-0000-0000-0000E94F0000}"/>
    <cellStyle name="Input 12 4 3 4 4" xfId="36652" xr:uid="{00000000-0005-0000-0000-0000EA4F0000}"/>
    <cellStyle name="Input 12 4 3 5" xfId="21045" xr:uid="{00000000-0005-0000-0000-0000EB4F0000}"/>
    <cellStyle name="Input 12 4 3 5 2" xfId="46582" xr:uid="{00000000-0005-0000-0000-0000EC4F0000}"/>
    <cellStyle name="Input 12 4 3 5 3" xfId="50488" xr:uid="{00000000-0005-0000-0000-0000ED4F0000}"/>
    <cellStyle name="Input 12 4 3 5 4" xfId="38451" xr:uid="{00000000-0005-0000-0000-0000EE4F0000}"/>
    <cellStyle name="Input 12 4 3 6" xfId="21698" xr:uid="{00000000-0005-0000-0000-0000EF4F0000}"/>
    <cellStyle name="Input 12 4 3 6 2" xfId="47235" xr:uid="{00000000-0005-0000-0000-0000F04F0000}"/>
    <cellStyle name="Input 12 4 3 6 3" xfId="51141" xr:uid="{00000000-0005-0000-0000-0000F14F0000}"/>
    <cellStyle name="Input 12 4 3 7" xfId="41038" xr:uid="{00000000-0005-0000-0000-0000F24F0000}"/>
    <cellStyle name="Input 12 4 3 8" xfId="41430" xr:uid="{00000000-0005-0000-0000-0000F34F0000}"/>
    <cellStyle name="Input 12 4 4" xfId="14802" xr:uid="{00000000-0005-0000-0000-0000F44F0000}"/>
    <cellStyle name="Input 12 4 4 2" xfId="42918" xr:uid="{00000000-0005-0000-0000-0000F54F0000}"/>
    <cellStyle name="Input 12 4 4 3" xfId="40044" xr:uid="{00000000-0005-0000-0000-0000F64F0000}"/>
    <cellStyle name="Input 12 4 4 4" xfId="32437" xr:uid="{00000000-0005-0000-0000-0000F74F0000}"/>
    <cellStyle name="Input 12 4 5" xfId="13084" xr:uid="{00000000-0005-0000-0000-0000F84F0000}"/>
    <cellStyle name="Input 12 4 5 2" xfId="42305" xr:uid="{00000000-0005-0000-0000-0000F94F0000}"/>
    <cellStyle name="Input 12 4 5 3" xfId="39654" xr:uid="{00000000-0005-0000-0000-0000FA4F0000}"/>
    <cellStyle name="Input 12 4 5 4" xfId="30733" xr:uid="{00000000-0005-0000-0000-0000FB4F0000}"/>
    <cellStyle name="Input 12 4 6" xfId="11455" xr:uid="{00000000-0005-0000-0000-0000FC4F0000}"/>
    <cellStyle name="Input 12 4 6 2" xfId="41466" xr:uid="{00000000-0005-0000-0000-0000FD4F0000}"/>
    <cellStyle name="Input 12 4 6 3" xfId="43713" xr:uid="{00000000-0005-0000-0000-0000FE4F0000}"/>
    <cellStyle name="Input 12 4 6 4" xfId="29174" xr:uid="{00000000-0005-0000-0000-0000FF4F0000}"/>
    <cellStyle name="Input 12 4 7" xfId="12124" xr:uid="{00000000-0005-0000-0000-000000500000}"/>
    <cellStyle name="Input 12 4 7 2" xfId="41869" xr:uid="{00000000-0005-0000-0000-000001500000}"/>
    <cellStyle name="Input 12 4 7 3" xfId="47497" xr:uid="{00000000-0005-0000-0000-000002500000}"/>
    <cellStyle name="Input 12 4 7 4" xfId="29797" xr:uid="{00000000-0005-0000-0000-000003500000}"/>
    <cellStyle name="Input 12 4 8" xfId="20622" xr:uid="{00000000-0005-0000-0000-000004500000}"/>
    <cellStyle name="Input 12 4 8 2" xfId="46159" xr:uid="{00000000-0005-0000-0000-000005500000}"/>
    <cellStyle name="Input 12 4 8 3" xfId="50065" xr:uid="{00000000-0005-0000-0000-000006500000}"/>
    <cellStyle name="Input 12 4 9" xfId="39778" xr:uid="{00000000-0005-0000-0000-000007500000}"/>
    <cellStyle name="Input 12 5" xfId="22431" xr:uid="{00000000-0005-0000-0000-000008500000}"/>
    <cellStyle name="Input 12 6" xfId="22921" xr:uid="{00000000-0005-0000-0000-000009500000}"/>
    <cellStyle name="Input 12 7" xfId="52998" xr:uid="{00000000-0005-0000-0000-00000A500000}"/>
    <cellStyle name="Input 12_Sheet1" xfId="1814" xr:uid="{00000000-0005-0000-0000-00000B500000}"/>
    <cellStyle name="Input 13" xfId="1815" xr:uid="{00000000-0005-0000-0000-00000C500000}"/>
    <cellStyle name="Input 13 2" xfId="1816" xr:uid="{00000000-0005-0000-0000-00000D500000}"/>
    <cellStyle name="Input 13 2 2" xfId="1817" xr:uid="{00000000-0005-0000-0000-00000E500000}"/>
    <cellStyle name="Input 13 2 2 2" xfId="7020" xr:uid="{00000000-0005-0000-0000-00000F500000}"/>
    <cellStyle name="Input 13 2 2 2 10" xfId="43279" xr:uid="{00000000-0005-0000-0000-000010500000}"/>
    <cellStyle name="Input 13 2 2 2 2" xfId="10550" xr:uid="{00000000-0005-0000-0000-000011500000}"/>
    <cellStyle name="Input 13 2 2 2 2 2" xfId="18343" xr:uid="{00000000-0005-0000-0000-000012500000}"/>
    <cellStyle name="Input 13 2 2 2 2 2 2" xfId="43890" xr:uid="{00000000-0005-0000-0000-000013500000}"/>
    <cellStyle name="Input 13 2 2 2 2 2 3" xfId="47799" xr:uid="{00000000-0005-0000-0000-000014500000}"/>
    <cellStyle name="Input 13 2 2 2 2 2 4" xfId="35980" xr:uid="{00000000-0005-0000-0000-000015500000}"/>
    <cellStyle name="Input 13 2 2 2 2 3" xfId="20039" xr:uid="{00000000-0005-0000-0000-000016500000}"/>
    <cellStyle name="Input 13 2 2 2 2 3 2" xfId="45576" xr:uid="{00000000-0005-0000-0000-000017500000}"/>
    <cellStyle name="Input 13 2 2 2 2 3 3" xfId="49482" xr:uid="{00000000-0005-0000-0000-000018500000}"/>
    <cellStyle name="Input 13 2 2 2 2 3 4" xfId="37537" xr:uid="{00000000-0005-0000-0000-000019500000}"/>
    <cellStyle name="Input 13 2 2 2 2 4" xfId="13254" xr:uid="{00000000-0005-0000-0000-00001A500000}"/>
    <cellStyle name="Input 13 2 2 2 2 4 2" xfId="42432" xr:uid="{00000000-0005-0000-0000-00001B500000}"/>
    <cellStyle name="Input 13 2 2 2 2 4 3" xfId="40175" xr:uid="{00000000-0005-0000-0000-00001C500000}"/>
    <cellStyle name="Input 13 2 2 2 2 4 4" xfId="30899" xr:uid="{00000000-0005-0000-0000-00001D500000}"/>
    <cellStyle name="Input 13 2 2 2 2 5" xfId="20756" xr:uid="{00000000-0005-0000-0000-00001E500000}"/>
    <cellStyle name="Input 13 2 2 2 2 5 2" xfId="46293" xr:uid="{00000000-0005-0000-0000-00001F500000}"/>
    <cellStyle name="Input 13 2 2 2 2 5 3" xfId="50199" xr:uid="{00000000-0005-0000-0000-000020500000}"/>
    <cellStyle name="Input 13 2 2 2 2 5 4" xfId="38162" xr:uid="{00000000-0005-0000-0000-000021500000}"/>
    <cellStyle name="Input 13 2 2 2 2 6" xfId="21409" xr:uid="{00000000-0005-0000-0000-000022500000}"/>
    <cellStyle name="Input 13 2 2 2 2 6 2" xfId="46946" xr:uid="{00000000-0005-0000-0000-000023500000}"/>
    <cellStyle name="Input 13 2 2 2 2 6 3" xfId="50852" xr:uid="{00000000-0005-0000-0000-000024500000}"/>
    <cellStyle name="Input 13 2 2 2 2 7" xfId="40749" xr:uid="{00000000-0005-0000-0000-000025500000}"/>
    <cellStyle name="Input 13 2 2 2 2 8" xfId="40495" xr:uid="{00000000-0005-0000-0000-000026500000}"/>
    <cellStyle name="Input 13 2 2 2 3" xfId="10845" xr:uid="{00000000-0005-0000-0000-000027500000}"/>
    <cellStyle name="Input 13 2 2 2 3 2" xfId="18638" xr:uid="{00000000-0005-0000-0000-000028500000}"/>
    <cellStyle name="Input 13 2 2 2 3 2 2" xfId="44185" xr:uid="{00000000-0005-0000-0000-000029500000}"/>
    <cellStyle name="Input 13 2 2 2 3 2 3" xfId="48094" xr:uid="{00000000-0005-0000-0000-00002A500000}"/>
    <cellStyle name="Input 13 2 2 2 3 2 4" xfId="36275" xr:uid="{00000000-0005-0000-0000-00002B500000}"/>
    <cellStyle name="Input 13 2 2 2 3 3" xfId="19108" xr:uid="{00000000-0005-0000-0000-00002C500000}"/>
    <cellStyle name="Input 13 2 2 2 3 3 2" xfId="44645" xr:uid="{00000000-0005-0000-0000-00002D500000}"/>
    <cellStyle name="Input 13 2 2 2 3 3 3" xfId="48551" xr:uid="{00000000-0005-0000-0000-00002E500000}"/>
    <cellStyle name="Input 13 2 2 2 3 3 4" xfId="36703" xr:uid="{00000000-0005-0000-0000-00002F500000}"/>
    <cellStyle name="Input 13 2 2 2 3 4" xfId="20257" xr:uid="{00000000-0005-0000-0000-000030500000}"/>
    <cellStyle name="Input 13 2 2 2 3 4 2" xfId="45794" xr:uid="{00000000-0005-0000-0000-000031500000}"/>
    <cellStyle name="Input 13 2 2 2 3 4 3" xfId="49700" xr:uid="{00000000-0005-0000-0000-000032500000}"/>
    <cellStyle name="Input 13 2 2 2 3 4 4" xfId="37728" xr:uid="{00000000-0005-0000-0000-000033500000}"/>
    <cellStyle name="Input 13 2 2 2 3 5" xfId="21051" xr:uid="{00000000-0005-0000-0000-000034500000}"/>
    <cellStyle name="Input 13 2 2 2 3 5 2" xfId="46588" xr:uid="{00000000-0005-0000-0000-000035500000}"/>
    <cellStyle name="Input 13 2 2 2 3 5 3" xfId="50494" xr:uid="{00000000-0005-0000-0000-000036500000}"/>
    <cellStyle name="Input 13 2 2 2 3 5 4" xfId="38457" xr:uid="{00000000-0005-0000-0000-000037500000}"/>
    <cellStyle name="Input 13 2 2 2 3 6" xfId="21704" xr:uid="{00000000-0005-0000-0000-000038500000}"/>
    <cellStyle name="Input 13 2 2 2 3 6 2" xfId="47241" xr:uid="{00000000-0005-0000-0000-000039500000}"/>
    <cellStyle name="Input 13 2 2 2 3 6 3" xfId="51147" xr:uid="{00000000-0005-0000-0000-00003A500000}"/>
    <cellStyle name="Input 13 2 2 2 3 7" xfId="41044" xr:uid="{00000000-0005-0000-0000-00003B500000}"/>
    <cellStyle name="Input 13 2 2 2 3 8" xfId="39699" xr:uid="{00000000-0005-0000-0000-00003C500000}"/>
    <cellStyle name="Input 13 2 2 2 4" xfId="14808" xr:uid="{00000000-0005-0000-0000-00003D500000}"/>
    <cellStyle name="Input 13 2 2 2 4 2" xfId="42924" xr:uid="{00000000-0005-0000-0000-00003E500000}"/>
    <cellStyle name="Input 13 2 2 2 4 3" xfId="43564" xr:uid="{00000000-0005-0000-0000-00003F500000}"/>
    <cellStyle name="Input 13 2 2 2 4 4" xfId="32443" xr:uid="{00000000-0005-0000-0000-000040500000}"/>
    <cellStyle name="Input 13 2 2 2 5" xfId="11288" xr:uid="{00000000-0005-0000-0000-000041500000}"/>
    <cellStyle name="Input 13 2 2 2 5 2" xfId="41335" xr:uid="{00000000-0005-0000-0000-000042500000}"/>
    <cellStyle name="Input 13 2 2 2 5 3" xfId="42722" xr:uid="{00000000-0005-0000-0000-000043500000}"/>
    <cellStyle name="Input 13 2 2 2 5 4" xfId="29016" xr:uid="{00000000-0005-0000-0000-000044500000}"/>
    <cellStyle name="Input 13 2 2 2 6" xfId="20232" xr:uid="{00000000-0005-0000-0000-000045500000}"/>
    <cellStyle name="Input 13 2 2 2 6 2" xfId="45769" xr:uid="{00000000-0005-0000-0000-000046500000}"/>
    <cellStyle name="Input 13 2 2 2 6 3" xfId="49675" xr:uid="{00000000-0005-0000-0000-000047500000}"/>
    <cellStyle name="Input 13 2 2 2 6 4" xfId="37706" xr:uid="{00000000-0005-0000-0000-000048500000}"/>
    <cellStyle name="Input 13 2 2 2 7" xfId="19035" xr:uid="{00000000-0005-0000-0000-000049500000}"/>
    <cellStyle name="Input 13 2 2 2 7 2" xfId="44572" xr:uid="{00000000-0005-0000-0000-00004A500000}"/>
    <cellStyle name="Input 13 2 2 2 7 3" xfId="48478" xr:uid="{00000000-0005-0000-0000-00004B500000}"/>
    <cellStyle name="Input 13 2 2 2 7 4" xfId="36641" xr:uid="{00000000-0005-0000-0000-00004C500000}"/>
    <cellStyle name="Input 13 2 2 2 8" xfId="12868" xr:uid="{00000000-0005-0000-0000-00004D500000}"/>
    <cellStyle name="Input 13 2 2 2 8 2" xfId="42251" xr:uid="{00000000-0005-0000-0000-00004E500000}"/>
    <cellStyle name="Input 13 2 2 2 8 3" xfId="40332" xr:uid="{00000000-0005-0000-0000-00004F500000}"/>
    <cellStyle name="Input 13 2 2 2 9" xfId="39784" xr:uid="{00000000-0005-0000-0000-000050500000}"/>
    <cellStyle name="Input 13 2 2 3" xfId="53005" xr:uid="{00000000-0005-0000-0000-000051500000}"/>
    <cellStyle name="Input 13 2 3" xfId="7019" xr:uid="{00000000-0005-0000-0000-000052500000}"/>
    <cellStyle name="Input 13 2 3 10" xfId="41729" xr:uid="{00000000-0005-0000-0000-000053500000}"/>
    <cellStyle name="Input 13 2 3 2" xfId="10549" xr:uid="{00000000-0005-0000-0000-000054500000}"/>
    <cellStyle name="Input 13 2 3 2 2" xfId="18342" xr:uid="{00000000-0005-0000-0000-000055500000}"/>
    <cellStyle name="Input 13 2 3 2 2 2" xfId="43889" xr:uid="{00000000-0005-0000-0000-000056500000}"/>
    <cellStyle name="Input 13 2 3 2 2 3" xfId="47798" xr:uid="{00000000-0005-0000-0000-000057500000}"/>
    <cellStyle name="Input 13 2 3 2 2 4" xfId="35979" xr:uid="{00000000-0005-0000-0000-000058500000}"/>
    <cellStyle name="Input 13 2 3 2 3" xfId="19432" xr:uid="{00000000-0005-0000-0000-000059500000}"/>
    <cellStyle name="Input 13 2 3 2 3 2" xfId="44969" xr:uid="{00000000-0005-0000-0000-00005A500000}"/>
    <cellStyle name="Input 13 2 3 2 3 3" xfId="48875" xr:uid="{00000000-0005-0000-0000-00005B500000}"/>
    <cellStyle name="Input 13 2 3 2 3 4" xfId="36997" xr:uid="{00000000-0005-0000-0000-00005C500000}"/>
    <cellStyle name="Input 13 2 3 2 4" xfId="20385" xr:uid="{00000000-0005-0000-0000-00005D500000}"/>
    <cellStyle name="Input 13 2 3 2 4 2" xfId="45922" xr:uid="{00000000-0005-0000-0000-00005E500000}"/>
    <cellStyle name="Input 13 2 3 2 4 3" xfId="49828" xr:uid="{00000000-0005-0000-0000-00005F500000}"/>
    <cellStyle name="Input 13 2 3 2 4 4" xfId="37839" xr:uid="{00000000-0005-0000-0000-000060500000}"/>
    <cellStyle name="Input 13 2 3 2 5" xfId="20755" xr:uid="{00000000-0005-0000-0000-000061500000}"/>
    <cellStyle name="Input 13 2 3 2 5 2" xfId="46292" xr:uid="{00000000-0005-0000-0000-000062500000}"/>
    <cellStyle name="Input 13 2 3 2 5 3" xfId="50198" xr:uid="{00000000-0005-0000-0000-000063500000}"/>
    <cellStyle name="Input 13 2 3 2 5 4" xfId="38161" xr:uid="{00000000-0005-0000-0000-000064500000}"/>
    <cellStyle name="Input 13 2 3 2 6" xfId="21408" xr:uid="{00000000-0005-0000-0000-000065500000}"/>
    <cellStyle name="Input 13 2 3 2 6 2" xfId="46945" xr:uid="{00000000-0005-0000-0000-000066500000}"/>
    <cellStyle name="Input 13 2 3 2 6 3" xfId="50851" xr:uid="{00000000-0005-0000-0000-000067500000}"/>
    <cellStyle name="Input 13 2 3 2 7" xfId="40748" xr:uid="{00000000-0005-0000-0000-000068500000}"/>
    <cellStyle name="Input 13 2 3 2 8" xfId="43637" xr:uid="{00000000-0005-0000-0000-000069500000}"/>
    <cellStyle name="Input 13 2 3 3" xfId="10844" xr:uid="{00000000-0005-0000-0000-00006A500000}"/>
    <cellStyle name="Input 13 2 3 3 2" xfId="18637" xr:uid="{00000000-0005-0000-0000-00006B500000}"/>
    <cellStyle name="Input 13 2 3 3 2 2" xfId="44184" xr:uid="{00000000-0005-0000-0000-00006C500000}"/>
    <cellStyle name="Input 13 2 3 3 2 3" xfId="48093" xr:uid="{00000000-0005-0000-0000-00006D500000}"/>
    <cellStyle name="Input 13 2 3 3 2 4" xfId="36274" xr:uid="{00000000-0005-0000-0000-00006E500000}"/>
    <cellStyle name="Input 13 2 3 3 3" xfId="19885" xr:uid="{00000000-0005-0000-0000-00006F500000}"/>
    <cellStyle name="Input 13 2 3 3 3 2" xfId="45422" xr:uid="{00000000-0005-0000-0000-000070500000}"/>
    <cellStyle name="Input 13 2 3 3 3 3" xfId="49328" xr:uid="{00000000-0005-0000-0000-000071500000}"/>
    <cellStyle name="Input 13 2 3 3 3 4" xfId="37399" xr:uid="{00000000-0005-0000-0000-000072500000}"/>
    <cellStyle name="Input 13 2 3 3 4" xfId="12067" xr:uid="{00000000-0005-0000-0000-000073500000}"/>
    <cellStyle name="Input 13 2 3 3 4 2" xfId="41818" xr:uid="{00000000-0005-0000-0000-000074500000}"/>
    <cellStyle name="Input 13 2 3 3 4 3" xfId="39669" xr:uid="{00000000-0005-0000-0000-000075500000}"/>
    <cellStyle name="Input 13 2 3 3 4 4" xfId="29745" xr:uid="{00000000-0005-0000-0000-000076500000}"/>
    <cellStyle name="Input 13 2 3 3 5" xfId="21050" xr:uid="{00000000-0005-0000-0000-000077500000}"/>
    <cellStyle name="Input 13 2 3 3 5 2" xfId="46587" xr:uid="{00000000-0005-0000-0000-000078500000}"/>
    <cellStyle name="Input 13 2 3 3 5 3" xfId="50493" xr:uid="{00000000-0005-0000-0000-000079500000}"/>
    <cellStyle name="Input 13 2 3 3 5 4" xfId="38456" xr:uid="{00000000-0005-0000-0000-00007A500000}"/>
    <cellStyle name="Input 13 2 3 3 6" xfId="21703" xr:uid="{00000000-0005-0000-0000-00007B500000}"/>
    <cellStyle name="Input 13 2 3 3 6 2" xfId="47240" xr:uid="{00000000-0005-0000-0000-00007C500000}"/>
    <cellStyle name="Input 13 2 3 3 6 3" xfId="51146" xr:uid="{00000000-0005-0000-0000-00007D500000}"/>
    <cellStyle name="Input 13 2 3 3 7" xfId="41043" xr:uid="{00000000-0005-0000-0000-00007E500000}"/>
    <cellStyle name="Input 13 2 3 3 8" xfId="40588" xr:uid="{00000000-0005-0000-0000-00007F500000}"/>
    <cellStyle name="Input 13 2 3 4" xfId="14807" xr:uid="{00000000-0005-0000-0000-000080500000}"/>
    <cellStyle name="Input 13 2 3 4 2" xfId="42923" xr:uid="{00000000-0005-0000-0000-000081500000}"/>
    <cellStyle name="Input 13 2 3 4 3" xfId="42676" xr:uid="{00000000-0005-0000-0000-000082500000}"/>
    <cellStyle name="Input 13 2 3 4 4" xfId="32442" xr:uid="{00000000-0005-0000-0000-000083500000}"/>
    <cellStyle name="Input 13 2 3 5" xfId="11286" xr:uid="{00000000-0005-0000-0000-000084500000}"/>
    <cellStyle name="Input 13 2 3 5 2" xfId="41333" xr:uid="{00000000-0005-0000-0000-000085500000}"/>
    <cellStyle name="Input 13 2 3 5 3" xfId="40574" xr:uid="{00000000-0005-0000-0000-000086500000}"/>
    <cellStyle name="Input 13 2 3 5 4" xfId="29014" xr:uid="{00000000-0005-0000-0000-000087500000}"/>
    <cellStyle name="Input 13 2 3 6" xfId="13265" xr:uid="{00000000-0005-0000-0000-000088500000}"/>
    <cellStyle name="Input 13 2 3 6 2" xfId="42435" xr:uid="{00000000-0005-0000-0000-000089500000}"/>
    <cellStyle name="Input 13 2 3 6 3" xfId="43574" xr:uid="{00000000-0005-0000-0000-00008A500000}"/>
    <cellStyle name="Input 13 2 3 6 4" xfId="30910" xr:uid="{00000000-0005-0000-0000-00008B500000}"/>
    <cellStyle name="Input 13 2 3 7" xfId="11077" xr:uid="{00000000-0005-0000-0000-00008C500000}"/>
    <cellStyle name="Input 13 2 3 7 2" xfId="41276" xr:uid="{00000000-0005-0000-0000-00008D500000}"/>
    <cellStyle name="Input 13 2 3 7 3" xfId="39478" xr:uid="{00000000-0005-0000-0000-00008E500000}"/>
    <cellStyle name="Input 13 2 3 7 4" xfId="28807" xr:uid="{00000000-0005-0000-0000-00008F500000}"/>
    <cellStyle name="Input 13 2 3 8" xfId="18900" xr:uid="{00000000-0005-0000-0000-000090500000}"/>
    <cellStyle name="Input 13 2 3 8 2" xfId="44437" xr:uid="{00000000-0005-0000-0000-000091500000}"/>
    <cellStyle name="Input 13 2 3 8 3" xfId="48343" xr:uid="{00000000-0005-0000-0000-000092500000}"/>
    <cellStyle name="Input 13 2 3 9" xfId="39783" xr:uid="{00000000-0005-0000-0000-000093500000}"/>
    <cellStyle name="Input 13 2 4" xfId="53004" xr:uid="{00000000-0005-0000-0000-000094500000}"/>
    <cellStyle name="Input 13 2_Sheet1" xfId="1818" xr:uid="{00000000-0005-0000-0000-000095500000}"/>
    <cellStyle name="Input 13 3" xfId="1819" xr:uid="{00000000-0005-0000-0000-000096500000}"/>
    <cellStyle name="Input 13 3 2" xfId="7021" xr:uid="{00000000-0005-0000-0000-000097500000}"/>
    <cellStyle name="Input 13 3 2 10" xfId="40138" xr:uid="{00000000-0005-0000-0000-000098500000}"/>
    <cellStyle name="Input 13 3 2 2" xfId="10551" xr:uid="{00000000-0005-0000-0000-000099500000}"/>
    <cellStyle name="Input 13 3 2 2 2" xfId="18344" xr:uid="{00000000-0005-0000-0000-00009A500000}"/>
    <cellStyle name="Input 13 3 2 2 2 2" xfId="43891" xr:uid="{00000000-0005-0000-0000-00009B500000}"/>
    <cellStyle name="Input 13 3 2 2 2 3" xfId="47800" xr:uid="{00000000-0005-0000-0000-00009C500000}"/>
    <cellStyle name="Input 13 3 2 2 2 4" xfId="35981" xr:uid="{00000000-0005-0000-0000-00009D500000}"/>
    <cellStyle name="Input 13 3 2 2 3" xfId="19305" xr:uid="{00000000-0005-0000-0000-00009E500000}"/>
    <cellStyle name="Input 13 3 2 2 3 2" xfId="44842" xr:uid="{00000000-0005-0000-0000-00009F500000}"/>
    <cellStyle name="Input 13 3 2 2 3 3" xfId="48748" xr:uid="{00000000-0005-0000-0000-0000A0500000}"/>
    <cellStyle name="Input 13 3 2 2 3 4" xfId="36883" xr:uid="{00000000-0005-0000-0000-0000A1500000}"/>
    <cellStyle name="Input 13 3 2 2 4" xfId="20133" xr:uid="{00000000-0005-0000-0000-0000A2500000}"/>
    <cellStyle name="Input 13 3 2 2 4 2" xfId="45670" xr:uid="{00000000-0005-0000-0000-0000A3500000}"/>
    <cellStyle name="Input 13 3 2 2 4 3" xfId="49576" xr:uid="{00000000-0005-0000-0000-0000A4500000}"/>
    <cellStyle name="Input 13 3 2 2 4 4" xfId="37619" xr:uid="{00000000-0005-0000-0000-0000A5500000}"/>
    <cellStyle name="Input 13 3 2 2 5" xfId="20757" xr:uid="{00000000-0005-0000-0000-0000A6500000}"/>
    <cellStyle name="Input 13 3 2 2 5 2" xfId="46294" xr:uid="{00000000-0005-0000-0000-0000A7500000}"/>
    <cellStyle name="Input 13 3 2 2 5 3" xfId="50200" xr:uid="{00000000-0005-0000-0000-0000A8500000}"/>
    <cellStyle name="Input 13 3 2 2 5 4" xfId="38163" xr:uid="{00000000-0005-0000-0000-0000A9500000}"/>
    <cellStyle name="Input 13 3 2 2 6" xfId="21410" xr:uid="{00000000-0005-0000-0000-0000AA500000}"/>
    <cellStyle name="Input 13 3 2 2 6 2" xfId="46947" xr:uid="{00000000-0005-0000-0000-0000AB500000}"/>
    <cellStyle name="Input 13 3 2 2 6 3" xfId="50853" xr:uid="{00000000-0005-0000-0000-0000AC500000}"/>
    <cellStyle name="Input 13 3 2 2 7" xfId="40750" xr:uid="{00000000-0005-0000-0000-0000AD500000}"/>
    <cellStyle name="Input 13 3 2 2 8" xfId="39605" xr:uid="{00000000-0005-0000-0000-0000AE500000}"/>
    <cellStyle name="Input 13 3 2 3" xfId="10846" xr:uid="{00000000-0005-0000-0000-0000AF500000}"/>
    <cellStyle name="Input 13 3 2 3 2" xfId="18639" xr:uid="{00000000-0005-0000-0000-0000B0500000}"/>
    <cellStyle name="Input 13 3 2 3 2 2" xfId="44186" xr:uid="{00000000-0005-0000-0000-0000B1500000}"/>
    <cellStyle name="Input 13 3 2 3 2 3" xfId="48095" xr:uid="{00000000-0005-0000-0000-0000B2500000}"/>
    <cellStyle name="Input 13 3 2 3 2 4" xfId="36276" xr:uid="{00000000-0005-0000-0000-0000B3500000}"/>
    <cellStyle name="Input 13 3 2 3 3" xfId="19722" xr:uid="{00000000-0005-0000-0000-0000B4500000}"/>
    <cellStyle name="Input 13 3 2 3 3 2" xfId="45259" xr:uid="{00000000-0005-0000-0000-0000B5500000}"/>
    <cellStyle name="Input 13 3 2 3 3 3" xfId="49165" xr:uid="{00000000-0005-0000-0000-0000B6500000}"/>
    <cellStyle name="Input 13 3 2 3 3 4" xfId="37249" xr:uid="{00000000-0005-0000-0000-0000B7500000}"/>
    <cellStyle name="Input 13 3 2 3 4" xfId="19206" xr:uid="{00000000-0005-0000-0000-0000B8500000}"/>
    <cellStyle name="Input 13 3 2 3 4 2" xfId="44743" xr:uid="{00000000-0005-0000-0000-0000B9500000}"/>
    <cellStyle name="Input 13 3 2 3 4 3" xfId="48649" xr:uid="{00000000-0005-0000-0000-0000BA500000}"/>
    <cellStyle name="Input 13 3 2 3 4 4" xfId="36791" xr:uid="{00000000-0005-0000-0000-0000BB500000}"/>
    <cellStyle name="Input 13 3 2 3 5" xfId="21052" xr:uid="{00000000-0005-0000-0000-0000BC500000}"/>
    <cellStyle name="Input 13 3 2 3 5 2" xfId="46589" xr:uid="{00000000-0005-0000-0000-0000BD500000}"/>
    <cellStyle name="Input 13 3 2 3 5 3" xfId="50495" xr:uid="{00000000-0005-0000-0000-0000BE500000}"/>
    <cellStyle name="Input 13 3 2 3 5 4" xfId="38458" xr:uid="{00000000-0005-0000-0000-0000BF500000}"/>
    <cellStyle name="Input 13 3 2 3 6" xfId="21705" xr:uid="{00000000-0005-0000-0000-0000C0500000}"/>
    <cellStyle name="Input 13 3 2 3 6 2" xfId="47242" xr:uid="{00000000-0005-0000-0000-0000C1500000}"/>
    <cellStyle name="Input 13 3 2 3 6 3" xfId="51148" xr:uid="{00000000-0005-0000-0000-0000C2500000}"/>
    <cellStyle name="Input 13 3 2 3 7" xfId="41045" xr:uid="{00000000-0005-0000-0000-0000C3500000}"/>
    <cellStyle name="Input 13 3 2 3 8" xfId="42736" xr:uid="{00000000-0005-0000-0000-0000C4500000}"/>
    <cellStyle name="Input 13 3 2 4" xfId="14809" xr:uid="{00000000-0005-0000-0000-0000C5500000}"/>
    <cellStyle name="Input 13 3 2 4 2" xfId="42925" xr:uid="{00000000-0005-0000-0000-0000C6500000}"/>
    <cellStyle name="Input 13 3 2 4 3" xfId="40425" xr:uid="{00000000-0005-0000-0000-0000C7500000}"/>
    <cellStyle name="Input 13 3 2 4 4" xfId="32444" xr:uid="{00000000-0005-0000-0000-0000C8500000}"/>
    <cellStyle name="Input 13 3 2 5" xfId="11287" xr:uid="{00000000-0005-0000-0000-0000C9500000}"/>
    <cellStyle name="Input 13 3 2 5 2" xfId="41334" xr:uid="{00000000-0005-0000-0000-0000CA500000}"/>
    <cellStyle name="Input 13 3 2 5 3" xfId="39685" xr:uid="{00000000-0005-0000-0000-0000CB500000}"/>
    <cellStyle name="Input 13 3 2 5 4" xfId="29015" xr:uid="{00000000-0005-0000-0000-0000CC500000}"/>
    <cellStyle name="Input 13 3 2 6" xfId="19382" xr:uid="{00000000-0005-0000-0000-0000CD500000}"/>
    <cellStyle name="Input 13 3 2 6 2" xfId="44919" xr:uid="{00000000-0005-0000-0000-0000CE500000}"/>
    <cellStyle name="Input 13 3 2 6 3" xfId="48825" xr:uid="{00000000-0005-0000-0000-0000CF500000}"/>
    <cellStyle name="Input 13 3 2 6 4" xfId="36948" xr:uid="{00000000-0005-0000-0000-0000D0500000}"/>
    <cellStyle name="Input 13 3 2 7" xfId="19577" xr:uid="{00000000-0005-0000-0000-0000D1500000}"/>
    <cellStyle name="Input 13 3 2 7 2" xfId="45114" xr:uid="{00000000-0005-0000-0000-0000D2500000}"/>
    <cellStyle name="Input 13 3 2 7 3" xfId="49020" xr:uid="{00000000-0005-0000-0000-0000D3500000}"/>
    <cellStyle name="Input 13 3 2 7 4" xfId="37117" xr:uid="{00000000-0005-0000-0000-0000D4500000}"/>
    <cellStyle name="Input 13 3 2 8" xfId="19455" xr:uid="{00000000-0005-0000-0000-0000D5500000}"/>
    <cellStyle name="Input 13 3 2 8 2" xfId="44992" xr:uid="{00000000-0005-0000-0000-0000D6500000}"/>
    <cellStyle name="Input 13 3 2 8 3" xfId="48898" xr:uid="{00000000-0005-0000-0000-0000D7500000}"/>
    <cellStyle name="Input 13 3 2 9" xfId="39785" xr:uid="{00000000-0005-0000-0000-0000D8500000}"/>
    <cellStyle name="Input 13 3 3" xfId="53006" xr:uid="{00000000-0005-0000-0000-0000D9500000}"/>
    <cellStyle name="Input 13 4" xfId="7018" xr:uid="{00000000-0005-0000-0000-0000DA500000}"/>
    <cellStyle name="Input 13 4 10" xfId="47596" xr:uid="{00000000-0005-0000-0000-0000DB500000}"/>
    <cellStyle name="Input 13 4 11" xfId="53007" xr:uid="{00000000-0005-0000-0000-0000DC500000}"/>
    <cellStyle name="Input 13 4 2" xfId="10548" xr:uid="{00000000-0005-0000-0000-0000DD500000}"/>
    <cellStyle name="Input 13 4 2 2" xfId="18341" xr:uid="{00000000-0005-0000-0000-0000DE500000}"/>
    <cellStyle name="Input 13 4 2 2 2" xfId="43888" xr:uid="{00000000-0005-0000-0000-0000DF500000}"/>
    <cellStyle name="Input 13 4 2 2 3" xfId="47797" xr:uid="{00000000-0005-0000-0000-0000E0500000}"/>
    <cellStyle name="Input 13 4 2 2 4" xfId="35978" xr:uid="{00000000-0005-0000-0000-0000E1500000}"/>
    <cellStyle name="Input 13 4 2 3" xfId="20173" xr:uid="{00000000-0005-0000-0000-0000E2500000}"/>
    <cellStyle name="Input 13 4 2 3 2" xfId="45710" xr:uid="{00000000-0005-0000-0000-0000E3500000}"/>
    <cellStyle name="Input 13 4 2 3 3" xfId="49616" xr:uid="{00000000-0005-0000-0000-0000E4500000}"/>
    <cellStyle name="Input 13 4 2 3 4" xfId="37659" xr:uid="{00000000-0005-0000-0000-0000E5500000}"/>
    <cellStyle name="Input 13 4 2 4" xfId="18953" xr:uid="{00000000-0005-0000-0000-0000E6500000}"/>
    <cellStyle name="Input 13 4 2 4 2" xfId="44490" xr:uid="{00000000-0005-0000-0000-0000E7500000}"/>
    <cellStyle name="Input 13 4 2 4 3" xfId="48396" xr:uid="{00000000-0005-0000-0000-0000E8500000}"/>
    <cellStyle name="Input 13 4 2 4 4" xfId="36579" xr:uid="{00000000-0005-0000-0000-0000E9500000}"/>
    <cellStyle name="Input 13 4 2 5" xfId="20754" xr:uid="{00000000-0005-0000-0000-0000EA500000}"/>
    <cellStyle name="Input 13 4 2 5 2" xfId="46291" xr:uid="{00000000-0005-0000-0000-0000EB500000}"/>
    <cellStyle name="Input 13 4 2 5 3" xfId="50197" xr:uid="{00000000-0005-0000-0000-0000EC500000}"/>
    <cellStyle name="Input 13 4 2 5 4" xfId="38160" xr:uid="{00000000-0005-0000-0000-0000ED500000}"/>
    <cellStyle name="Input 13 4 2 6" xfId="21407" xr:uid="{00000000-0005-0000-0000-0000EE500000}"/>
    <cellStyle name="Input 13 4 2 6 2" xfId="46944" xr:uid="{00000000-0005-0000-0000-0000EF500000}"/>
    <cellStyle name="Input 13 4 2 6 3" xfId="50850" xr:uid="{00000000-0005-0000-0000-0000F0500000}"/>
    <cellStyle name="Input 13 4 2 7" xfId="40747" xr:uid="{00000000-0005-0000-0000-0000F1500000}"/>
    <cellStyle name="Input 13 4 2 8" xfId="42748" xr:uid="{00000000-0005-0000-0000-0000F2500000}"/>
    <cellStyle name="Input 13 4 3" xfId="10843" xr:uid="{00000000-0005-0000-0000-0000F3500000}"/>
    <cellStyle name="Input 13 4 3 2" xfId="18636" xr:uid="{00000000-0005-0000-0000-0000F4500000}"/>
    <cellStyle name="Input 13 4 3 2 2" xfId="44183" xr:uid="{00000000-0005-0000-0000-0000F5500000}"/>
    <cellStyle name="Input 13 4 3 2 3" xfId="48092" xr:uid="{00000000-0005-0000-0000-0000F6500000}"/>
    <cellStyle name="Input 13 4 3 2 4" xfId="36273" xr:uid="{00000000-0005-0000-0000-0000F7500000}"/>
    <cellStyle name="Input 13 4 3 3" xfId="19276" xr:uid="{00000000-0005-0000-0000-0000F8500000}"/>
    <cellStyle name="Input 13 4 3 3 2" xfId="44813" xr:uid="{00000000-0005-0000-0000-0000F9500000}"/>
    <cellStyle name="Input 13 4 3 3 3" xfId="48719" xr:uid="{00000000-0005-0000-0000-0000FA500000}"/>
    <cellStyle name="Input 13 4 3 3 4" xfId="36854" xr:uid="{00000000-0005-0000-0000-0000FB500000}"/>
    <cellStyle name="Input 13 4 3 4" xfId="19997" xr:uid="{00000000-0005-0000-0000-0000FC500000}"/>
    <cellStyle name="Input 13 4 3 4 2" xfId="45534" xr:uid="{00000000-0005-0000-0000-0000FD500000}"/>
    <cellStyle name="Input 13 4 3 4 3" xfId="49440" xr:uid="{00000000-0005-0000-0000-0000FE500000}"/>
    <cellStyle name="Input 13 4 3 4 4" xfId="37495" xr:uid="{00000000-0005-0000-0000-0000FF500000}"/>
    <cellStyle name="Input 13 4 3 5" xfId="21049" xr:uid="{00000000-0005-0000-0000-000000510000}"/>
    <cellStyle name="Input 13 4 3 5 2" xfId="46586" xr:uid="{00000000-0005-0000-0000-000001510000}"/>
    <cellStyle name="Input 13 4 3 5 3" xfId="50492" xr:uid="{00000000-0005-0000-0000-000002510000}"/>
    <cellStyle name="Input 13 4 3 5 4" xfId="38455" xr:uid="{00000000-0005-0000-0000-000003510000}"/>
    <cellStyle name="Input 13 4 3 6" xfId="21702" xr:uid="{00000000-0005-0000-0000-000004510000}"/>
    <cellStyle name="Input 13 4 3 6 2" xfId="47239" xr:uid="{00000000-0005-0000-0000-000005510000}"/>
    <cellStyle name="Input 13 4 3 6 3" xfId="51145" xr:uid="{00000000-0005-0000-0000-000006510000}"/>
    <cellStyle name="Input 13 4 3 7" xfId="41042" xr:uid="{00000000-0005-0000-0000-000007510000}"/>
    <cellStyle name="Input 13 4 3 8" xfId="43729" xr:uid="{00000000-0005-0000-0000-000008510000}"/>
    <cellStyle name="Input 13 4 4" xfId="14806" xr:uid="{00000000-0005-0000-0000-000009510000}"/>
    <cellStyle name="Input 13 4 4 2" xfId="42922" xr:uid="{00000000-0005-0000-0000-00000A510000}"/>
    <cellStyle name="Input 13 4 4 3" xfId="39640" xr:uid="{00000000-0005-0000-0000-00000B510000}"/>
    <cellStyle name="Input 13 4 4 4" xfId="32441" xr:uid="{00000000-0005-0000-0000-00000C510000}"/>
    <cellStyle name="Input 13 4 5" xfId="11285" xr:uid="{00000000-0005-0000-0000-00000D510000}"/>
    <cellStyle name="Input 13 4 5 2" xfId="41332" xr:uid="{00000000-0005-0000-0000-00000E510000}"/>
    <cellStyle name="Input 13 4 5 3" xfId="43716" xr:uid="{00000000-0005-0000-0000-00000F510000}"/>
    <cellStyle name="Input 13 4 5 4" xfId="29013" xr:uid="{00000000-0005-0000-0000-000010510000}"/>
    <cellStyle name="Input 13 4 6" xfId="11478" xr:uid="{00000000-0005-0000-0000-000011510000}"/>
    <cellStyle name="Input 13 4 6 2" xfId="41489" xr:uid="{00000000-0005-0000-0000-000012510000}"/>
    <cellStyle name="Input 13 4 6 3" xfId="42823" xr:uid="{00000000-0005-0000-0000-000013510000}"/>
    <cellStyle name="Input 13 4 6 4" xfId="29194" xr:uid="{00000000-0005-0000-0000-000014510000}"/>
    <cellStyle name="Input 13 4 7" xfId="20308" xr:uid="{00000000-0005-0000-0000-000015510000}"/>
    <cellStyle name="Input 13 4 7 2" xfId="45845" xr:uid="{00000000-0005-0000-0000-000016510000}"/>
    <cellStyle name="Input 13 4 7 3" xfId="49751" xr:uid="{00000000-0005-0000-0000-000017510000}"/>
    <cellStyle name="Input 13 4 7 4" xfId="37774" xr:uid="{00000000-0005-0000-0000-000018510000}"/>
    <cellStyle name="Input 13 4 8" xfId="20503" xr:uid="{00000000-0005-0000-0000-000019510000}"/>
    <cellStyle name="Input 13 4 8 2" xfId="46040" xr:uid="{00000000-0005-0000-0000-00001A510000}"/>
    <cellStyle name="Input 13 4 8 3" xfId="49946" xr:uid="{00000000-0005-0000-0000-00001B510000}"/>
    <cellStyle name="Input 13 4 9" xfId="39782" xr:uid="{00000000-0005-0000-0000-00001C510000}"/>
    <cellStyle name="Input 13 5" xfId="22432" xr:uid="{00000000-0005-0000-0000-00001D510000}"/>
    <cellStyle name="Input 13 6" xfId="22920" xr:uid="{00000000-0005-0000-0000-00001E510000}"/>
    <cellStyle name="Input 13 7" xfId="53003" xr:uid="{00000000-0005-0000-0000-00001F510000}"/>
    <cellStyle name="Input 13_Sheet1" xfId="1820" xr:uid="{00000000-0005-0000-0000-000020510000}"/>
    <cellStyle name="Input 14" xfId="1821" xr:uid="{00000000-0005-0000-0000-000021510000}"/>
    <cellStyle name="Input 14 2" xfId="1822" xr:uid="{00000000-0005-0000-0000-000022510000}"/>
    <cellStyle name="Input 14 2 2" xfId="1823" xr:uid="{00000000-0005-0000-0000-000023510000}"/>
    <cellStyle name="Input 14 2 2 2" xfId="7024" xr:uid="{00000000-0005-0000-0000-000024510000}"/>
    <cellStyle name="Input 14 2 2 2 10" xfId="40633" xr:uid="{00000000-0005-0000-0000-000025510000}"/>
    <cellStyle name="Input 14 2 2 2 2" xfId="10554" xr:uid="{00000000-0005-0000-0000-000026510000}"/>
    <cellStyle name="Input 14 2 2 2 2 2" xfId="18347" xr:uid="{00000000-0005-0000-0000-000027510000}"/>
    <cellStyle name="Input 14 2 2 2 2 2 2" xfId="43894" xr:uid="{00000000-0005-0000-0000-000028510000}"/>
    <cellStyle name="Input 14 2 2 2 2 2 3" xfId="47803" xr:uid="{00000000-0005-0000-0000-000029510000}"/>
    <cellStyle name="Input 14 2 2 2 2 2 4" xfId="35984" xr:uid="{00000000-0005-0000-0000-00002A510000}"/>
    <cellStyle name="Input 14 2 2 2 2 3" xfId="19759" xr:uid="{00000000-0005-0000-0000-00002B510000}"/>
    <cellStyle name="Input 14 2 2 2 2 3 2" xfId="45296" xr:uid="{00000000-0005-0000-0000-00002C510000}"/>
    <cellStyle name="Input 14 2 2 2 2 3 3" xfId="49202" xr:uid="{00000000-0005-0000-0000-00002D510000}"/>
    <cellStyle name="Input 14 2 2 2 2 3 4" xfId="37286" xr:uid="{00000000-0005-0000-0000-00002E510000}"/>
    <cellStyle name="Input 14 2 2 2 2 4" xfId="19060" xr:uid="{00000000-0005-0000-0000-00002F510000}"/>
    <cellStyle name="Input 14 2 2 2 2 4 2" xfId="44597" xr:uid="{00000000-0005-0000-0000-000030510000}"/>
    <cellStyle name="Input 14 2 2 2 2 4 3" xfId="48503" xr:uid="{00000000-0005-0000-0000-000031510000}"/>
    <cellStyle name="Input 14 2 2 2 2 4 4" xfId="36659" xr:uid="{00000000-0005-0000-0000-000032510000}"/>
    <cellStyle name="Input 14 2 2 2 2 5" xfId="20760" xr:uid="{00000000-0005-0000-0000-000033510000}"/>
    <cellStyle name="Input 14 2 2 2 2 5 2" xfId="46297" xr:uid="{00000000-0005-0000-0000-000034510000}"/>
    <cellStyle name="Input 14 2 2 2 2 5 3" xfId="50203" xr:uid="{00000000-0005-0000-0000-000035510000}"/>
    <cellStyle name="Input 14 2 2 2 2 5 4" xfId="38166" xr:uid="{00000000-0005-0000-0000-000036510000}"/>
    <cellStyle name="Input 14 2 2 2 2 6" xfId="21413" xr:uid="{00000000-0005-0000-0000-000037510000}"/>
    <cellStyle name="Input 14 2 2 2 2 6 2" xfId="46950" xr:uid="{00000000-0005-0000-0000-000038510000}"/>
    <cellStyle name="Input 14 2 2 2 2 6 3" xfId="50856" xr:uid="{00000000-0005-0000-0000-000039510000}"/>
    <cellStyle name="Input 14 2 2 2 2 7" xfId="40753" xr:uid="{00000000-0005-0000-0000-00003A510000}"/>
    <cellStyle name="Input 14 2 2 2 2 8" xfId="40389" xr:uid="{00000000-0005-0000-0000-00003B510000}"/>
    <cellStyle name="Input 14 2 2 2 3" xfId="10849" xr:uid="{00000000-0005-0000-0000-00003C510000}"/>
    <cellStyle name="Input 14 2 2 2 3 2" xfId="18642" xr:uid="{00000000-0005-0000-0000-00003D510000}"/>
    <cellStyle name="Input 14 2 2 2 3 2 2" xfId="44189" xr:uid="{00000000-0005-0000-0000-00003E510000}"/>
    <cellStyle name="Input 14 2 2 2 3 2 3" xfId="48098" xr:uid="{00000000-0005-0000-0000-00003F510000}"/>
    <cellStyle name="Input 14 2 2 2 3 2 4" xfId="36279" xr:uid="{00000000-0005-0000-0000-000040510000}"/>
    <cellStyle name="Input 14 2 2 2 3 3" xfId="19591" xr:uid="{00000000-0005-0000-0000-000041510000}"/>
    <cellStyle name="Input 14 2 2 2 3 3 2" xfId="45128" xr:uid="{00000000-0005-0000-0000-000042510000}"/>
    <cellStyle name="Input 14 2 2 2 3 3 3" xfId="49034" xr:uid="{00000000-0005-0000-0000-000043510000}"/>
    <cellStyle name="Input 14 2 2 2 3 3 4" xfId="37131" xr:uid="{00000000-0005-0000-0000-000044510000}"/>
    <cellStyle name="Input 14 2 2 2 3 4" xfId="11633" xr:uid="{00000000-0005-0000-0000-000045510000}"/>
    <cellStyle name="Input 14 2 2 2 3 4 2" xfId="41644" xr:uid="{00000000-0005-0000-0000-000046510000}"/>
    <cellStyle name="Input 14 2 2 2 3 4 3" xfId="41390" xr:uid="{00000000-0005-0000-0000-000047510000}"/>
    <cellStyle name="Input 14 2 2 2 3 4 4" xfId="29334" xr:uid="{00000000-0005-0000-0000-000048510000}"/>
    <cellStyle name="Input 14 2 2 2 3 5" xfId="21055" xr:uid="{00000000-0005-0000-0000-000049510000}"/>
    <cellStyle name="Input 14 2 2 2 3 5 2" xfId="46592" xr:uid="{00000000-0005-0000-0000-00004A510000}"/>
    <cellStyle name="Input 14 2 2 2 3 5 3" xfId="50498" xr:uid="{00000000-0005-0000-0000-00004B510000}"/>
    <cellStyle name="Input 14 2 2 2 3 5 4" xfId="38461" xr:uid="{00000000-0005-0000-0000-00004C510000}"/>
    <cellStyle name="Input 14 2 2 2 3 6" xfId="21708" xr:uid="{00000000-0005-0000-0000-00004D510000}"/>
    <cellStyle name="Input 14 2 2 2 3 6 2" xfId="47245" xr:uid="{00000000-0005-0000-0000-00004E510000}"/>
    <cellStyle name="Input 14 2 2 2 3 6 3" xfId="51151" xr:uid="{00000000-0005-0000-0000-00004F510000}"/>
    <cellStyle name="Input 14 2 2 2 3 7" xfId="41048" xr:uid="{00000000-0005-0000-0000-000050510000}"/>
    <cellStyle name="Input 14 2 2 2 3 8" xfId="39593" xr:uid="{00000000-0005-0000-0000-000051510000}"/>
    <cellStyle name="Input 14 2 2 2 4" xfId="14812" xr:uid="{00000000-0005-0000-0000-000052510000}"/>
    <cellStyle name="Input 14 2 2 2 4 2" xfId="42928" xr:uid="{00000000-0005-0000-0000-000053510000}"/>
    <cellStyle name="Input 14 2 2 2 4 3" xfId="43455" xr:uid="{00000000-0005-0000-0000-000054510000}"/>
    <cellStyle name="Input 14 2 2 2 4 4" xfId="32447" xr:uid="{00000000-0005-0000-0000-000055510000}"/>
    <cellStyle name="Input 14 2 2 2 5" xfId="12023" xr:uid="{00000000-0005-0000-0000-000056510000}"/>
    <cellStyle name="Input 14 2 2 2 5 2" xfId="41780" xr:uid="{00000000-0005-0000-0000-000057510000}"/>
    <cellStyle name="Input 14 2 2 2 5 3" xfId="39336" xr:uid="{00000000-0005-0000-0000-000058510000}"/>
    <cellStyle name="Input 14 2 2 2 5 4" xfId="29705" xr:uid="{00000000-0005-0000-0000-000059510000}"/>
    <cellStyle name="Input 14 2 2 2 6" xfId="12039" xr:uid="{00000000-0005-0000-0000-00005A510000}"/>
    <cellStyle name="Input 14 2 2 2 6 2" xfId="41795" xr:uid="{00000000-0005-0000-0000-00005B510000}"/>
    <cellStyle name="Input 14 2 2 2 6 3" xfId="43699" xr:uid="{00000000-0005-0000-0000-00005C510000}"/>
    <cellStyle name="Input 14 2 2 2 6 4" xfId="29718" xr:uid="{00000000-0005-0000-0000-00005D510000}"/>
    <cellStyle name="Input 14 2 2 2 7" xfId="11800" xr:uid="{00000000-0005-0000-0000-00005E510000}"/>
    <cellStyle name="Input 14 2 2 2 7 2" xfId="41750" xr:uid="{00000000-0005-0000-0000-00005F510000}"/>
    <cellStyle name="Input 14 2 2 2 7 3" xfId="39149" xr:uid="{00000000-0005-0000-0000-000060510000}"/>
    <cellStyle name="Input 14 2 2 2 7 4" xfId="29486" xr:uid="{00000000-0005-0000-0000-000061510000}"/>
    <cellStyle name="Input 14 2 2 2 8" xfId="19950" xr:uid="{00000000-0005-0000-0000-000062510000}"/>
    <cellStyle name="Input 14 2 2 2 8 2" xfId="45487" xr:uid="{00000000-0005-0000-0000-000063510000}"/>
    <cellStyle name="Input 14 2 2 2 8 3" xfId="49393" xr:uid="{00000000-0005-0000-0000-000064510000}"/>
    <cellStyle name="Input 14 2 2 2 9" xfId="39788" xr:uid="{00000000-0005-0000-0000-000065510000}"/>
    <cellStyle name="Input 14 2 2 3" xfId="53010" xr:uid="{00000000-0005-0000-0000-000066510000}"/>
    <cellStyle name="Input 14 2 3" xfId="7023" xr:uid="{00000000-0005-0000-0000-000067510000}"/>
    <cellStyle name="Input 14 2 3 10" xfId="43774" xr:uid="{00000000-0005-0000-0000-000068510000}"/>
    <cellStyle name="Input 14 2 3 2" xfId="10553" xr:uid="{00000000-0005-0000-0000-000069510000}"/>
    <cellStyle name="Input 14 2 3 2 2" xfId="18346" xr:uid="{00000000-0005-0000-0000-00006A510000}"/>
    <cellStyle name="Input 14 2 3 2 2 2" xfId="43893" xr:uid="{00000000-0005-0000-0000-00006B510000}"/>
    <cellStyle name="Input 14 2 3 2 2 3" xfId="47802" xr:uid="{00000000-0005-0000-0000-00006C510000}"/>
    <cellStyle name="Input 14 2 3 2 2 4" xfId="35983" xr:uid="{00000000-0005-0000-0000-00006D510000}"/>
    <cellStyle name="Input 14 2 3 2 3" xfId="19137" xr:uid="{00000000-0005-0000-0000-00006E510000}"/>
    <cellStyle name="Input 14 2 3 2 3 2" xfId="44674" xr:uid="{00000000-0005-0000-0000-00006F510000}"/>
    <cellStyle name="Input 14 2 3 2 3 3" xfId="48580" xr:uid="{00000000-0005-0000-0000-000070510000}"/>
    <cellStyle name="Input 14 2 3 2 3 4" xfId="36732" xr:uid="{00000000-0005-0000-0000-000071510000}"/>
    <cellStyle name="Input 14 2 3 2 4" xfId="19229" xr:uid="{00000000-0005-0000-0000-000072510000}"/>
    <cellStyle name="Input 14 2 3 2 4 2" xfId="44766" xr:uid="{00000000-0005-0000-0000-000073510000}"/>
    <cellStyle name="Input 14 2 3 2 4 3" xfId="48672" xr:uid="{00000000-0005-0000-0000-000074510000}"/>
    <cellStyle name="Input 14 2 3 2 4 4" xfId="36812" xr:uid="{00000000-0005-0000-0000-000075510000}"/>
    <cellStyle name="Input 14 2 3 2 5" xfId="20759" xr:uid="{00000000-0005-0000-0000-000076510000}"/>
    <cellStyle name="Input 14 2 3 2 5 2" xfId="46296" xr:uid="{00000000-0005-0000-0000-000077510000}"/>
    <cellStyle name="Input 14 2 3 2 5 3" xfId="50202" xr:uid="{00000000-0005-0000-0000-000078510000}"/>
    <cellStyle name="Input 14 2 3 2 5 4" xfId="38165" xr:uid="{00000000-0005-0000-0000-000079510000}"/>
    <cellStyle name="Input 14 2 3 2 6" xfId="21412" xr:uid="{00000000-0005-0000-0000-00007A510000}"/>
    <cellStyle name="Input 14 2 3 2 6 2" xfId="46949" xr:uid="{00000000-0005-0000-0000-00007B510000}"/>
    <cellStyle name="Input 14 2 3 2 6 3" xfId="50855" xr:uid="{00000000-0005-0000-0000-00007C510000}"/>
    <cellStyle name="Input 14 2 3 2 7" xfId="40752" xr:uid="{00000000-0005-0000-0000-00007D510000}"/>
    <cellStyle name="Input 14 2 3 2 8" xfId="43526" xr:uid="{00000000-0005-0000-0000-00007E510000}"/>
    <cellStyle name="Input 14 2 3 3" xfId="10848" xr:uid="{00000000-0005-0000-0000-00007F510000}"/>
    <cellStyle name="Input 14 2 3 3 2" xfId="18641" xr:uid="{00000000-0005-0000-0000-000080510000}"/>
    <cellStyle name="Input 14 2 3 3 2 2" xfId="44188" xr:uid="{00000000-0005-0000-0000-000081510000}"/>
    <cellStyle name="Input 14 2 3 3 2 3" xfId="48097" xr:uid="{00000000-0005-0000-0000-000082510000}"/>
    <cellStyle name="Input 14 2 3 3 2 4" xfId="36278" xr:uid="{00000000-0005-0000-0000-000083510000}"/>
    <cellStyle name="Input 14 2 3 3 3" xfId="12168" xr:uid="{00000000-0005-0000-0000-000084510000}"/>
    <cellStyle name="Input 14 2 3 3 3 2" xfId="41913" xr:uid="{00000000-0005-0000-0000-000085510000}"/>
    <cellStyle name="Input 14 2 3 3 3 3" xfId="39458" xr:uid="{00000000-0005-0000-0000-000086510000}"/>
    <cellStyle name="Input 14 2 3 3 3 4" xfId="29840" xr:uid="{00000000-0005-0000-0000-000087510000}"/>
    <cellStyle name="Input 14 2 3 3 4" xfId="20303" xr:uid="{00000000-0005-0000-0000-000088510000}"/>
    <cellStyle name="Input 14 2 3 3 4 2" xfId="45840" xr:uid="{00000000-0005-0000-0000-000089510000}"/>
    <cellStyle name="Input 14 2 3 3 4 3" xfId="49746" xr:uid="{00000000-0005-0000-0000-00008A510000}"/>
    <cellStyle name="Input 14 2 3 3 4 4" xfId="37769" xr:uid="{00000000-0005-0000-0000-00008B510000}"/>
    <cellStyle name="Input 14 2 3 3 5" xfId="21054" xr:uid="{00000000-0005-0000-0000-00008C510000}"/>
    <cellStyle name="Input 14 2 3 3 5 2" xfId="46591" xr:uid="{00000000-0005-0000-0000-00008D510000}"/>
    <cellStyle name="Input 14 2 3 3 5 3" xfId="50497" xr:uid="{00000000-0005-0000-0000-00008E510000}"/>
    <cellStyle name="Input 14 2 3 3 5 4" xfId="38460" xr:uid="{00000000-0005-0000-0000-00008F510000}"/>
    <cellStyle name="Input 14 2 3 3 6" xfId="21707" xr:uid="{00000000-0005-0000-0000-000090510000}"/>
    <cellStyle name="Input 14 2 3 3 6 2" xfId="47244" xr:uid="{00000000-0005-0000-0000-000091510000}"/>
    <cellStyle name="Input 14 2 3 3 6 3" xfId="51150" xr:uid="{00000000-0005-0000-0000-000092510000}"/>
    <cellStyle name="Input 14 2 3 3 7" xfId="41047" xr:uid="{00000000-0005-0000-0000-000093510000}"/>
    <cellStyle name="Input 14 2 3 3 8" xfId="40483" xr:uid="{00000000-0005-0000-0000-000094510000}"/>
    <cellStyle name="Input 14 2 3 4" xfId="14811" xr:uid="{00000000-0005-0000-0000-000095510000}"/>
    <cellStyle name="Input 14 2 3 4 2" xfId="42927" xr:uid="{00000000-0005-0000-0000-000096510000}"/>
    <cellStyle name="Input 14 2 3 4 3" xfId="42544" xr:uid="{00000000-0005-0000-0000-000097510000}"/>
    <cellStyle name="Input 14 2 3 4 4" xfId="32446" xr:uid="{00000000-0005-0000-0000-000098510000}"/>
    <cellStyle name="Input 14 2 3 5" xfId="13089" xr:uid="{00000000-0005-0000-0000-000099510000}"/>
    <cellStyle name="Input 14 2 3 5 2" xfId="42310" xr:uid="{00000000-0005-0000-0000-00009A510000}"/>
    <cellStyle name="Input 14 2 3 5 3" xfId="42557" xr:uid="{00000000-0005-0000-0000-00009B510000}"/>
    <cellStyle name="Input 14 2 3 5 4" xfId="30738" xr:uid="{00000000-0005-0000-0000-00009C510000}"/>
    <cellStyle name="Input 14 2 3 6" xfId="20060" xr:uid="{00000000-0005-0000-0000-00009D510000}"/>
    <cellStyle name="Input 14 2 3 6 2" xfId="45597" xr:uid="{00000000-0005-0000-0000-00009E510000}"/>
    <cellStyle name="Input 14 2 3 6 3" xfId="49503" xr:uid="{00000000-0005-0000-0000-00009F510000}"/>
    <cellStyle name="Input 14 2 3 6 4" xfId="37555" xr:uid="{00000000-0005-0000-0000-0000A0510000}"/>
    <cellStyle name="Input 14 2 3 7" xfId="20070" xr:uid="{00000000-0005-0000-0000-0000A1510000}"/>
    <cellStyle name="Input 14 2 3 7 2" xfId="45607" xr:uid="{00000000-0005-0000-0000-0000A2510000}"/>
    <cellStyle name="Input 14 2 3 7 3" xfId="49513" xr:uid="{00000000-0005-0000-0000-0000A3510000}"/>
    <cellStyle name="Input 14 2 3 7 4" xfId="37564" xr:uid="{00000000-0005-0000-0000-0000A4510000}"/>
    <cellStyle name="Input 14 2 3 8" xfId="11331" xr:uid="{00000000-0005-0000-0000-0000A5510000}"/>
    <cellStyle name="Input 14 2 3 8 2" xfId="41376" xr:uid="{00000000-0005-0000-0000-0000A6510000}"/>
    <cellStyle name="Input 14 2 3 8 3" xfId="42039" xr:uid="{00000000-0005-0000-0000-0000A7510000}"/>
    <cellStyle name="Input 14 2 3 9" xfId="39787" xr:uid="{00000000-0005-0000-0000-0000A8510000}"/>
    <cellStyle name="Input 14 2 4" xfId="53009" xr:uid="{00000000-0005-0000-0000-0000A9510000}"/>
    <cellStyle name="Input 14 2_Sheet1" xfId="1824" xr:uid="{00000000-0005-0000-0000-0000AA510000}"/>
    <cellStyle name="Input 14 3" xfId="1825" xr:uid="{00000000-0005-0000-0000-0000AB510000}"/>
    <cellStyle name="Input 14 3 2" xfId="7025" xr:uid="{00000000-0005-0000-0000-0000AC510000}"/>
    <cellStyle name="Input 14 3 2 10" xfId="39967" xr:uid="{00000000-0005-0000-0000-0000AD510000}"/>
    <cellStyle name="Input 14 3 2 2" xfId="10555" xr:uid="{00000000-0005-0000-0000-0000AE510000}"/>
    <cellStyle name="Input 14 3 2 2 2" xfId="18348" xr:uid="{00000000-0005-0000-0000-0000AF510000}"/>
    <cellStyle name="Input 14 3 2 2 2 2" xfId="43895" xr:uid="{00000000-0005-0000-0000-0000B0510000}"/>
    <cellStyle name="Input 14 3 2 2 2 3" xfId="47804" xr:uid="{00000000-0005-0000-0000-0000B1510000}"/>
    <cellStyle name="Input 14 3 2 2 2 4" xfId="35985" xr:uid="{00000000-0005-0000-0000-0000B2510000}"/>
    <cellStyle name="Input 14 3 2 2 3" xfId="11491" xr:uid="{00000000-0005-0000-0000-0000B3510000}"/>
    <cellStyle name="Input 14 3 2 2 3 2" xfId="41502" xr:uid="{00000000-0005-0000-0000-0000B4510000}"/>
    <cellStyle name="Input 14 3 2 2 3 3" xfId="43352" xr:uid="{00000000-0005-0000-0000-0000B5510000}"/>
    <cellStyle name="Input 14 3 2 2 3 4" xfId="29206" xr:uid="{00000000-0005-0000-0000-0000B6510000}"/>
    <cellStyle name="Input 14 3 2 2 4" xfId="19221" xr:uid="{00000000-0005-0000-0000-0000B7510000}"/>
    <cellStyle name="Input 14 3 2 2 4 2" xfId="44758" xr:uid="{00000000-0005-0000-0000-0000B8510000}"/>
    <cellStyle name="Input 14 3 2 2 4 3" xfId="48664" xr:uid="{00000000-0005-0000-0000-0000B9510000}"/>
    <cellStyle name="Input 14 3 2 2 4 4" xfId="36806" xr:uid="{00000000-0005-0000-0000-0000BA510000}"/>
    <cellStyle name="Input 14 3 2 2 5" xfId="20761" xr:uid="{00000000-0005-0000-0000-0000BB510000}"/>
    <cellStyle name="Input 14 3 2 2 5 2" xfId="46298" xr:uid="{00000000-0005-0000-0000-0000BC510000}"/>
    <cellStyle name="Input 14 3 2 2 5 3" xfId="50204" xr:uid="{00000000-0005-0000-0000-0000BD510000}"/>
    <cellStyle name="Input 14 3 2 2 5 4" xfId="38167" xr:uid="{00000000-0005-0000-0000-0000BE510000}"/>
    <cellStyle name="Input 14 3 2 2 6" xfId="21414" xr:uid="{00000000-0005-0000-0000-0000BF510000}"/>
    <cellStyle name="Input 14 3 2 2 6 2" xfId="46951" xr:uid="{00000000-0005-0000-0000-0000C0510000}"/>
    <cellStyle name="Input 14 3 2 2 6 3" xfId="50857" xr:uid="{00000000-0005-0000-0000-0000C1510000}"/>
    <cellStyle name="Input 14 3 2 2 7" xfId="40754" xr:uid="{00000000-0005-0000-0000-0000C2510000}"/>
    <cellStyle name="Input 14 3 2 2 8" xfId="39501" xr:uid="{00000000-0005-0000-0000-0000C3510000}"/>
    <cellStyle name="Input 14 3 2 3" xfId="10850" xr:uid="{00000000-0005-0000-0000-0000C4510000}"/>
    <cellStyle name="Input 14 3 2 3 2" xfId="18643" xr:uid="{00000000-0005-0000-0000-0000C5510000}"/>
    <cellStyle name="Input 14 3 2 3 2 2" xfId="44190" xr:uid="{00000000-0005-0000-0000-0000C6510000}"/>
    <cellStyle name="Input 14 3 2 3 2 3" xfId="48099" xr:uid="{00000000-0005-0000-0000-0000C7510000}"/>
    <cellStyle name="Input 14 3 2 3 2 4" xfId="36280" xr:uid="{00000000-0005-0000-0000-0000C8510000}"/>
    <cellStyle name="Input 14 3 2 3 3" xfId="20143" xr:uid="{00000000-0005-0000-0000-0000C9510000}"/>
    <cellStyle name="Input 14 3 2 3 3 2" xfId="45680" xr:uid="{00000000-0005-0000-0000-0000CA510000}"/>
    <cellStyle name="Input 14 3 2 3 3 3" xfId="49586" xr:uid="{00000000-0005-0000-0000-0000CB510000}"/>
    <cellStyle name="Input 14 3 2 3 3 4" xfId="37629" xr:uid="{00000000-0005-0000-0000-0000CC510000}"/>
    <cellStyle name="Input 14 3 2 3 4" xfId="18950" xr:uid="{00000000-0005-0000-0000-0000CD510000}"/>
    <cellStyle name="Input 14 3 2 3 4 2" xfId="44487" xr:uid="{00000000-0005-0000-0000-0000CE510000}"/>
    <cellStyle name="Input 14 3 2 3 4 3" xfId="48393" xr:uid="{00000000-0005-0000-0000-0000CF510000}"/>
    <cellStyle name="Input 14 3 2 3 4 4" xfId="36576" xr:uid="{00000000-0005-0000-0000-0000D0510000}"/>
    <cellStyle name="Input 14 3 2 3 5" xfId="21056" xr:uid="{00000000-0005-0000-0000-0000D1510000}"/>
    <cellStyle name="Input 14 3 2 3 5 2" xfId="46593" xr:uid="{00000000-0005-0000-0000-0000D2510000}"/>
    <cellStyle name="Input 14 3 2 3 5 3" xfId="50499" xr:uid="{00000000-0005-0000-0000-0000D3510000}"/>
    <cellStyle name="Input 14 3 2 3 5 4" xfId="38462" xr:uid="{00000000-0005-0000-0000-0000D4510000}"/>
    <cellStyle name="Input 14 3 2 3 6" xfId="21709" xr:uid="{00000000-0005-0000-0000-0000D5510000}"/>
    <cellStyle name="Input 14 3 2 3 6 2" xfId="47246" xr:uid="{00000000-0005-0000-0000-0000D6510000}"/>
    <cellStyle name="Input 14 3 2 3 6 3" xfId="51152" xr:uid="{00000000-0005-0000-0000-0000D7510000}"/>
    <cellStyle name="Input 14 3 2 3 7" xfId="41049" xr:uid="{00000000-0005-0000-0000-0000D8510000}"/>
    <cellStyle name="Input 14 3 2 3 8" xfId="42601" xr:uid="{00000000-0005-0000-0000-0000D9510000}"/>
    <cellStyle name="Input 14 3 2 4" xfId="14813" xr:uid="{00000000-0005-0000-0000-0000DA510000}"/>
    <cellStyle name="Input 14 3 2 4 2" xfId="42929" xr:uid="{00000000-0005-0000-0000-0000DB510000}"/>
    <cellStyle name="Input 14 3 2 4 3" xfId="40317" xr:uid="{00000000-0005-0000-0000-0000DC510000}"/>
    <cellStyle name="Input 14 3 2 4 4" xfId="32448" xr:uid="{00000000-0005-0000-0000-0000DD510000}"/>
    <cellStyle name="Input 14 3 2 5" xfId="13090" xr:uid="{00000000-0005-0000-0000-0000DE510000}"/>
    <cellStyle name="Input 14 3 2 5 2" xfId="42311" xr:uid="{00000000-0005-0000-0000-0000DF510000}"/>
    <cellStyle name="Input 14 3 2 5 3" xfId="43468" xr:uid="{00000000-0005-0000-0000-0000E0510000}"/>
    <cellStyle name="Input 14 3 2 5 4" xfId="30739" xr:uid="{00000000-0005-0000-0000-0000E1510000}"/>
    <cellStyle name="Input 14 3 2 6" xfId="19149" xr:uid="{00000000-0005-0000-0000-0000E2510000}"/>
    <cellStyle name="Input 14 3 2 6 2" xfId="44686" xr:uid="{00000000-0005-0000-0000-0000E3510000}"/>
    <cellStyle name="Input 14 3 2 6 3" xfId="48592" xr:uid="{00000000-0005-0000-0000-0000E4510000}"/>
    <cellStyle name="Input 14 3 2 6 4" xfId="36744" xr:uid="{00000000-0005-0000-0000-0000E5510000}"/>
    <cellStyle name="Input 14 3 2 7" xfId="12860" xr:uid="{00000000-0005-0000-0000-0000E6510000}"/>
    <cellStyle name="Input 14 3 2 7 2" xfId="42243" xr:uid="{00000000-0005-0000-0000-0000E7510000}"/>
    <cellStyle name="Input 14 3 2 7 3" xfId="40547" xr:uid="{00000000-0005-0000-0000-0000E8510000}"/>
    <cellStyle name="Input 14 3 2 7 4" xfId="30512" xr:uid="{00000000-0005-0000-0000-0000E9510000}"/>
    <cellStyle name="Input 14 3 2 8" xfId="11722" xr:uid="{00000000-0005-0000-0000-0000EA510000}"/>
    <cellStyle name="Input 14 3 2 8 2" xfId="41711" xr:uid="{00000000-0005-0000-0000-0000EB510000}"/>
    <cellStyle name="Input 14 3 2 8 3" xfId="40349" xr:uid="{00000000-0005-0000-0000-0000EC510000}"/>
    <cellStyle name="Input 14 3 2 9" xfId="39789" xr:uid="{00000000-0005-0000-0000-0000ED510000}"/>
    <cellStyle name="Input 14 3 3" xfId="53011" xr:uid="{00000000-0005-0000-0000-0000EE510000}"/>
    <cellStyle name="Input 14 4" xfId="7022" xr:uid="{00000000-0005-0000-0000-0000EF510000}"/>
    <cellStyle name="Input 14 4 10" xfId="43107" xr:uid="{00000000-0005-0000-0000-0000F0510000}"/>
    <cellStyle name="Input 14 4 11" xfId="53012" xr:uid="{00000000-0005-0000-0000-0000F1510000}"/>
    <cellStyle name="Input 14 4 2" xfId="10552" xr:uid="{00000000-0005-0000-0000-0000F2510000}"/>
    <cellStyle name="Input 14 4 2 2" xfId="18345" xr:uid="{00000000-0005-0000-0000-0000F3510000}"/>
    <cellStyle name="Input 14 4 2 2 2" xfId="43892" xr:uid="{00000000-0005-0000-0000-0000F4510000}"/>
    <cellStyle name="Input 14 4 2 2 3" xfId="47801" xr:uid="{00000000-0005-0000-0000-0000F5510000}"/>
    <cellStyle name="Input 14 4 2 2 4" xfId="35982" xr:uid="{00000000-0005-0000-0000-0000F6510000}"/>
    <cellStyle name="Input 14 4 2 3" xfId="19914" xr:uid="{00000000-0005-0000-0000-0000F7510000}"/>
    <cellStyle name="Input 14 4 2 3 2" xfId="45451" xr:uid="{00000000-0005-0000-0000-0000F8510000}"/>
    <cellStyle name="Input 14 4 2 3 3" xfId="49357" xr:uid="{00000000-0005-0000-0000-0000F9510000}"/>
    <cellStyle name="Input 14 4 2 3 4" xfId="37428" xr:uid="{00000000-0005-0000-0000-0000FA510000}"/>
    <cellStyle name="Input 14 4 2 4" xfId="19973" xr:uid="{00000000-0005-0000-0000-0000FB510000}"/>
    <cellStyle name="Input 14 4 2 4 2" xfId="45510" xr:uid="{00000000-0005-0000-0000-0000FC510000}"/>
    <cellStyle name="Input 14 4 2 4 3" xfId="49416" xr:uid="{00000000-0005-0000-0000-0000FD510000}"/>
    <cellStyle name="Input 14 4 2 4 4" xfId="37477" xr:uid="{00000000-0005-0000-0000-0000FE510000}"/>
    <cellStyle name="Input 14 4 2 5" xfId="20758" xr:uid="{00000000-0005-0000-0000-0000FF510000}"/>
    <cellStyle name="Input 14 4 2 5 2" xfId="46295" xr:uid="{00000000-0005-0000-0000-000000520000}"/>
    <cellStyle name="Input 14 4 2 5 3" xfId="50201" xr:uid="{00000000-0005-0000-0000-000001520000}"/>
    <cellStyle name="Input 14 4 2 5 4" xfId="38164" xr:uid="{00000000-0005-0000-0000-000002520000}"/>
    <cellStyle name="Input 14 4 2 6" xfId="21411" xr:uid="{00000000-0005-0000-0000-000003520000}"/>
    <cellStyle name="Input 14 4 2 6 2" xfId="46948" xr:uid="{00000000-0005-0000-0000-000004520000}"/>
    <cellStyle name="Input 14 4 2 6 3" xfId="50854" xr:uid="{00000000-0005-0000-0000-000005520000}"/>
    <cellStyle name="Input 14 4 2 7" xfId="40751" xr:uid="{00000000-0005-0000-0000-000006520000}"/>
    <cellStyle name="Input 14 4 2 8" xfId="42613" xr:uid="{00000000-0005-0000-0000-000007520000}"/>
    <cellStyle name="Input 14 4 3" xfId="10847" xr:uid="{00000000-0005-0000-0000-000008520000}"/>
    <cellStyle name="Input 14 4 3 2" xfId="18640" xr:uid="{00000000-0005-0000-0000-000009520000}"/>
    <cellStyle name="Input 14 4 3 2 2" xfId="44187" xr:uid="{00000000-0005-0000-0000-00000A520000}"/>
    <cellStyle name="Input 14 4 3 2 3" xfId="48096" xr:uid="{00000000-0005-0000-0000-00000B520000}"/>
    <cellStyle name="Input 14 4 3 2 4" xfId="36277" xr:uid="{00000000-0005-0000-0000-00000C520000}"/>
    <cellStyle name="Input 14 4 3 3" xfId="12637" xr:uid="{00000000-0005-0000-0000-00000D520000}"/>
    <cellStyle name="Input 14 4 3 3 2" xfId="42116" xr:uid="{00000000-0005-0000-0000-00000E520000}"/>
    <cellStyle name="Input 14 4 3 3 3" xfId="43478" xr:uid="{00000000-0005-0000-0000-00000F520000}"/>
    <cellStyle name="Input 14 4 3 3 4" xfId="30302" xr:uid="{00000000-0005-0000-0000-000010520000}"/>
    <cellStyle name="Input 14 4 3 4" xfId="18904" xr:uid="{00000000-0005-0000-0000-000011520000}"/>
    <cellStyle name="Input 14 4 3 4 2" xfId="44441" xr:uid="{00000000-0005-0000-0000-000012520000}"/>
    <cellStyle name="Input 14 4 3 4 3" xfId="48347" xr:uid="{00000000-0005-0000-0000-000013520000}"/>
    <cellStyle name="Input 14 4 3 4 4" xfId="36537" xr:uid="{00000000-0005-0000-0000-000014520000}"/>
    <cellStyle name="Input 14 4 3 5" xfId="21053" xr:uid="{00000000-0005-0000-0000-000015520000}"/>
    <cellStyle name="Input 14 4 3 5 2" xfId="46590" xr:uid="{00000000-0005-0000-0000-000016520000}"/>
    <cellStyle name="Input 14 4 3 5 3" xfId="50496" xr:uid="{00000000-0005-0000-0000-000017520000}"/>
    <cellStyle name="Input 14 4 3 5 4" xfId="38459" xr:uid="{00000000-0005-0000-0000-000018520000}"/>
    <cellStyle name="Input 14 4 3 6" xfId="21706" xr:uid="{00000000-0005-0000-0000-000019520000}"/>
    <cellStyle name="Input 14 4 3 6 2" xfId="47243" xr:uid="{00000000-0005-0000-0000-00001A520000}"/>
    <cellStyle name="Input 14 4 3 6 3" xfId="51149" xr:uid="{00000000-0005-0000-0000-00001B520000}"/>
    <cellStyle name="Input 14 4 3 7" xfId="41046" xr:uid="{00000000-0005-0000-0000-00001C520000}"/>
    <cellStyle name="Input 14 4 3 8" xfId="43625" xr:uid="{00000000-0005-0000-0000-00001D520000}"/>
    <cellStyle name="Input 14 4 4" xfId="14810" xr:uid="{00000000-0005-0000-0000-00001E520000}"/>
    <cellStyle name="Input 14 4 4 2" xfId="42926" xr:uid="{00000000-0005-0000-0000-00001F520000}"/>
    <cellStyle name="Input 14 4 4 3" xfId="39534" xr:uid="{00000000-0005-0000-0000-000020520000}"/>
    <cellStyle name="Input 14 4 4 4" xfId="32445" xr:uid="{00000000-0005-0000-0000-000021520000}"/>
    <cellStyle name="Input 14 4 5" xfId="13088" xr:uid="{00000000-0005-0000-0000-000022520000}"/>
    <cellStyle name="Input 14 4 5 2" xfId="42309" xr:uid="{00000000-0005-0000-0000-000023520000}"/>
    <cellStyle name="Input 14 4 5 3" xfId="39547" xr:uid="{00000000-0005-0000-0000-000024520000}"/>
    <cellStyle name="Input 14 4 5 4" xfId="30737" xr:uid="{00000000-0005-0000-0000-000025520000}"/>
    <cellStyle name="Input 14 4 6" xfId="12858" xr:uid="{00000000-0005-0000-0000-000026520000}"/>
    <cellStyle name="Input 14 4 6 2" xfId="42241" xr:uid="{00000000-0005-0000-0000-000027520000}"/>
    <cellStyle name="Input 14 4 6 3" xfId="42801" xr:uid="{00000000-0005-0000-0000-000028520000}"/>
    <cellStyle name="Input 14 4 6 4" xfId="30510" xr:uid="{00000000-0005-0000-0000-000029520000}"/>
    <cellStyle name="Input 14 4 7" xfId="19018" xr:uid="{00000000-0005-0000-0000-00002A520000}"/>
    <cellStyle name="Input 14 4 7 2" xfId="44555" xr:uid="{00000000-0005-0000-0000-00002B520000}"/>
    <cellStyle name="Input 14 4 7 3" xfId="48461" xr:uid="{00000000-0005-0000-0000-00002C520000}"/>
    <cellStyle name="Input 14 4 7 4" xfId="36626" xr:uid="{00000000-0005-0000-0000-00002D520000}"/>
    <cellStyle name="Input 14 4 8" xfId="20294" xr:uid="{00000000-0005-0000-0000-00002E520000}"/>
    <cellStyle name="Input 14 4 8 2" xfId="45831" xr:uid="{00000000-0005-0000-0000-00002F520000}"/>
    <cellStyle name="Input 14 4 8 3" xfId="49737" xr:uid="{00000000-0005-0000-0000-000030520000}"/>
    <cellStyle name="Input 14 4 9" xfId="39786" xr:uid="{00000000-0005-0000-0000-000031520000}"/>
    <cellStyle name="Input 14 5" xfId="22433" xr:uid="{00000000-0005-0000-0000-000032520000}"/>
    <cellStyle name="Input 14 6" xfId="22919" xr:uid="{00000000-0005-0000-0000-000033520000}"/>
    <cellStyle name="Input 14 7" xfId="53008" xr:uid="{00000000-0005-0000-0000-000034520000}"/>
    <cellStyle name="Input 14_Sheet1" xfId="1826" xr:uid="{00000000-0005-0000-0000-000035520000}"/>
    <cellStyle name="Input 15" xfId="1827" xr:uid="{00000000-0005-0000-0000-000036520000}"/>
    <cellStyle name="Input 15 2" xfId="1828" xr:uid="{00000000-0005-0000-0000-000037520000}"/>
    <cellStyle name="Input 15 2 2" xfId="1829" xr:uid="{00000000-0005-0000-0000-000038520000}"/>
    <cellStyle name="Input 15 2 2 2" xfId="7028" xr:uid="{00000000-0005-0000-0000-000039520000}"/>
    <cellStyle name="Input 15 2 2 2 10" xfId="40513" xr:uid="{00000000-0005-0000-0000-00003A520000}"/>
    <cellStyle name="Input 15 2 2 2 2" xfId="10558" xr:uid="{00000000-0005-0000-0000-00003B520000}"/>
    <cellStyle name="Input 15 2 2 2 2 2" xfId="18351" xr:uid="{00000000-0005-0000-0000-00003C520000}"/>
    <cellStyle name="Input 15 2 2 2 2 2 2" xfId="43898" xr:uid="{00000000-0005-0000-0000-00003D520000}"/>
    <cellStyle name="Input 15 2 2 2 2 2 3" xfId="47807" xr:uid="{00000000-0005-0000-0000-00003E520000}"/>
    <cellStyle name="Input 15 2 2 2 2 2 4" xfId="35988" xr:uid="{00000000-0005-0000-0000-00003F520000}"/>
    <cellStyle name="Input 15 2 2 2 2 3" xfId="19616" xr:uid="{00000000-0005-0000-0000-000040520000}"/>
    <cellStyle name="Input 15 2 2 2 2 3 2" xfId="45153" xr:uid="{00000000-0005-0000-0000-000041520000}"/>
    <cellStyle name="Input 15 2 2 2 2 3 3" xfId="49059" xr:uid="{00000000-0005-0000-0000-000042520000}"/>
    <cellStyle name="Input 15 2 2 2 2 3 4" xfId="37156" xr:uid="{00000000-0005-0000-0000-000043520000}"/>
    <cellStyle name="Input 15 2 2 2 2 4" xfId="12999" xr:uid="{00000000-0005-0000-0000-000044520000}"/>
    <cellStyle name="Input 15 2 2 2 2 4 2" xfId="42264" xr:uid="{00000000-0005-0000-0000-000045520000}"/>
    <cellStyle name="Input 15 2 2 2 2 4 3" xfId="43323" xr:uid="{00000000-0005-0000-0000-000046520000}"/>
    <cellStyle name="Input 15 2 2 2 2 4 4" xfId="30648" xr:uid="{00000000-0005-0000-0000-000047520000}"/>
    <cellStyle name="Input 15 2 2 2 2 5" xfId="20764" xr:uid="{00000000-0005-0000-0000-000048520000}"/>
    <cellStyle name="Input 15 2 2 2 2 5 2" xfId="46301" xr:uid="{00000000-0005-0000-0000-000049520000}"/>
    <cellStyle name="Input 15 2 2 2 2 5 3" xfId="50207" xr:uid="{00000000-0005-0000-0000-00004A520000}"/>
    <cellStyle name="Input 15 2 2 2 2 5 4" xfId="38170" xr:uid="{00000000-0005-0000-0000-00004B520000}"/>
    <cellStyle name="Input 15 2 2 2 2 6" xfId="21417" xr:uid="{00000000-0005-0000-0000-00004C520000}"/>
    <cellStyle name="Input 15 2 2 2 2 6 2" xfId="46954" xr:uid="{00000000-0005-0000-0000-00004D520000}"/>
    <cellStyle name="Input 15 2 2 2 2 6 3" xfId="50860" xr:uid="{00000000-0005-0000-0000-00004E520000}"/>
    <cellStyle name="Input 15 2 2 2 2 7" xfId="40757" xr:uid="{00000000-0005-0000-0000-00004F520000}"/>
    <cellStyle name="Input 15 2 2 2 2 8" xfId="40256" xr:uid="{00000000-0005-0000-0000-000050520000}"/>
    <cellStyle name="Input 15 2 2 2 3" xfId="10853" xr:uid="{00000000-0005-0000-0000-000051520000}"/>
    <cellStyle name="Input 15 2 2 2 3 2" xfId="18646" xr:uid="{00000000-0005-0000-0000-000052520000}"/>
    <cellStyle name="Input 15 2 2 2 3 2 2" xfId="44193" xr:uid="{00000000-0005-0000-0000-000053520000}"/>
    <cellStyle name="Input 15 2 2 2 3 2 3" xfId="48102" xr:uid="{00000000-0005-0000-0000-000054520000}"/>
    <cellStyle name="Input 15 2 2 2 3 2 4" xfId="36283" xr:uid="{00000000-0005-0000-0000-000055520000}"/>
    <cellStyle name="Input 15 2 2 2 3 3" xfId="19275" xr:uid="{00000000-0005-0000-0000-000056520000}"/>
    <cellStyle name="Input 15 2 2 2 3 3 2" xfId="44812" xr:uid="{00000000-0005-0000-0000-000057520000}"/>
    <cellStyle name="Input 15 2 2 2 3 3 3" xfId="48718" xr:uid="{00000000-0005-0000-0000-000058520000}"/>
    <cellStyle name="Input 15 2 2 2 3 3 4" xfId="36853" xr:uid="{00000000-0005-0000-0000-000059520000}"/>
    <cellStyle name="Input 15 2 2 2 3 4" xfId="19235" xr:uid="{00000000-0005-0000-0000-00005A520000}"/>
    <cellStyle name="Input 15 2 2 2 3 4 2" xfId="44772" xr:uid="{00000000-0005-0000-0000-00005B520000}"/>
    <cellStyle name="Input 15 2 2 2 3 4 3" xfId="48678" xr:uid="{00000000-0005-0000-0000-00005C520000}"/>
    <cellStyle name="Input 15 2 2 2 3 4 4" xfId="36816" xr:uid="{00000000-0005-0000-0000-00005D520000}"/>
    <cellStyle name="Input 15 2 2 2 3 5" xfId="21059" xr:uid="{00000000-0005-0000-0000-00005E520000}"/>
    <cellStyle name="Input 15 2 2 2 3 5 2" xfId="46596" xr:uid="{00000000-0005-0000-0000-00005F520000}"/>
    <cellStyle name="Input 15 2 2 2 3 5 3" xfId="50502" xr:uid="{00000000-0005-0000-0000-000060520000}"/>
    <cellStyle name="Input 15 2 2 2 3 5 4" xfId="38465" xr:uid="{00000000-0005-0000-0000-000061520000}"/>
    <cellStyle name="Input 15 2 2 2 3 6" xfId="21712" xr:uid="{00000000-0005-0000-0000-000062520000}"/>
    <cellStyle name="Input 15 2 2 2 3 6 2" xfId="47249" xr:uid="{00000000-0005-0000-0000-000063520000}"/>
    <cellStyle name="Input 15 2 2 2 3 6 3" xfId="51155" xr:uid="{00000000-0005-0000-0000-000064520000}"/>
    <cellStyle name="Input 15 2 2 2 3 7" xfId="41052" xr:uid="{00000000-0005-0000-0000-000065520000}"/>
    <cellStyle name="Input 15 2 2 2 3 8" xfId="39489" xr:uid="{00000000-0005-0000-0000-000066520000}"/>
    <cellStyle name="Input 15 2 2 2 4" xfId="14816" xr:uid="{00000000-0005-0000-0000-000067520000}"/>
    <cellStyle name="Input 15 2 2 2 4 2" xfId="42932" xr:uid="{00000000-0005-0000-0000-000068520000}"/>
    <cellStyle name="Input 15 2 2 2 4 3" xfId="43303" xr:uid="{00000000-0005-0000-0000-000069520000}"/>
    <cellStyle name="Input 15 2 2 2 4 4" xfId="32451" xr:uid="{00000000-0005-0000-0000-00006A520000}"/>
    <cellStyle name="Input 15 2 2 2 5" xfId="13092" xr:uid="{00000000-0005-0000-0000-00006B520000}"/>
    <cellStyle name="Input 15 2 2 2 5 2" xfId="42313" xr:uid="{00000000-0005-0000-0000-00006C520000}"/>
    <cellStyle name="Input 15 2 2 2 5 3" xfId="39447" xr:uid="{00000000-0005-0000-0000-00006D520000}"/>
    <cellStyle name="Input 15 2 2 2 5 4" xfId="30741" xr:uid="{00000000-0005-0000-0000-00006E520000}"/>
    <cellStyle name="Input 15 2 2 2 6" xfId="19531" xr:uid="{00000000-0005-0000-0000-00006F520000}"/>
    <cellStyle name="Input 15 2 2 2 6 2" xfId="45068" xr:uid="{00000000-0005-0000-0000-000070520000}"/>
    <cellStyle name="Input 15 2 2 2 6 3" xfId="48974" xr:uid="{00000000-0005-0000-0000-000071520000}"/>
    <cellStyle name="Input 15 2 2 2 6 4" xfId="37078" xr:uid="{00000000-0005-0000-0000-000072520000}"/>
    <cellStyle name="Input 15 2 2 2 7" xfId="12797" xr:uid="{00000000-0005-0000-0000-000073520000}"/>
    <cellStyle name="Input 15 2 2 2 7 2" xfId="42217" xr:uid="{00000000-0005-0000-0000-000074520000}"/>
    <cellStyle name="Input 15 2 2 2 7 3" xfId="40058" xr:uid="{00000000-0005-0000-0000-000075520000}"/>
    <cellStyle name="Input 15 2 2 2 7 4" xfId="30454" xr:uid="{00000000-0005-0000-0000-000076520000}"/>
    <cellStyle name="Input 15 2 2 2 8" xfId="20091" xr:uid="{00000000-0005-0000-0000-000077520000}"/>
    <cellStyle name="Input 15 2 2 2 8 2" xfId="45628" xr:uid="{00000000-0005-0000-0000-000078520000}"/>
    <cellStyle name="Input 15 2 2 2 8 3" xfId="49534" xr:uid="{00000000-0005-0000-0000-000079520000}"/>
    <cellStyle name="Input 15 2 2 2 9" xfId="39792" xr:uid="{00000000-0005-0000-0000-00007A520000}"/>
    <cellStyle name="Input 15 2 2 3" xfId="53015" xr:uid="{00000000-0005-0000-0000-00007B520000}"/>
    <cellStyle name="Input 15 2 3" xfId="7027" xr:uid="{00000000-0005-0000-0000-00007C520000}"/>
    <cellStyle name="Input 15 2 3 10" xfId="43655" xr:uid="{00000000-0005-0000-0000-00007D520000}"/>
    <cellStyle name="Input 15 2 3 11" xfId="53016" xr:uid="{00000000-0005-0000-0000-00007E520000}"/>
    <cellStyle name="Input 15 2 3 2" xfId="10557" xr:uid="{00000000-0005-0000-0000-00007F520000}"/>
    <cellStyle name="Input 15 2 3 2 2" xfId="18350" xr:uid="{00000000-0005-0000-0000-000080520000}"/>
    <cellStyle name="Input 15 2 3 2 2 2" xfId="43897" xr:uid="{00000000-0005-0000-0000-000081520000}"/>
    <cellStyle name="Input 15 2 3 2 2 3" xfId="47806" xr:uid="{00000000-0005-0000-0000-000082520000}"/>
    <cellStyle name="Input 15 2 3 2 2 4" xfId="35987" xr:uid="{00000000-0005-0000-0000-000083520000}"/>
    <cellStyle name="Input 15 2 3 2 3" xfId="13323" xr:uid="{00000000-0005-0000-0000-000084520000}"/>
    <cellStyle name="Input 15 2 3 2 3 2" xfId="42493" xr:uid="{00000000-0005-0000-0000-000085520000}"/>
    <cellStyle name="Input 15 2 3 2 3 3" xfId="42684" xr:uid="{00000000-0005-0000-0000-000086520000}"/>
    <cellStyle name="Input 15 2 3 2 3 4" xfId="30963" xr:uid="{00000000-0005-0000-0000-000087520000}"/>
    <cellStyle name="Input 15 2 3 2 4" xfId="12689" xr:uid="{00000000-0005-0000-0000-000088520000}"/>
    <cellStyle name="Input 15 2 3 2 4 2" xfId="42168" xr:uid="{00000000-0005-0000-0000-000089520000}"/>
    <cellStyle name="Input 15 2 3 2 4 3" xfId="40550" xr:uid="{00000000-0005-0000-0000-00008A520000}"/>
    <cellStyle name="Input 15 2 3 2 4 4" xfId="30350" xr:uid="{00000000-0005-0000-0000-00008B520000}"/>
    <cellStyle name="Input 15 2 3 2 5" xfId="20763" xr:uid="{00000000-0005-0000-0000-00008C520000}"/>
    <cellStyle name="Input 15 2 3 2 5 2" xfId="46300" xr:uid="{00000000-0005-0000-0000-00008D520000}"/>
    <cellStyle name="Input 15 2 3 2 5 3" xfId="50206" xr:uid="{00000000-0005-0000-0000-00008E520000}"/>
    <cellStyle name="Input 15 2 3 2 5 4" xfId="38169" xr:uid="{00000000-0005-0000-0000-00008F520000}"/>
    <cellStyle name="Input 15 2 3 2 6" xfId="21416" xr:uid="{00000000-0005-0000-0000-000090520000}"/>
    <cellStyle name="Input 15 2 3 2 6 2" xfId="46953" xr:uid="{00000000-0005-0000-0000-000091520000}"/>
    <cellStyle name="Input 15 2 3 2 6 3" xfId="50859" xr:uid="{00000000-0005-0000-0000-000092520000}"/>
    <cellStyle name="Input 15 2 3 2 7" xfId="40756" xr:uid="{00000000-0005-0000-0000-000093520000}"/>
    <cellStyle name="Input 15 2 3 2 8" xfId="43394" xr:uid="{00000000-0005-0000-0000-000094520000}"/>
    <cellStyle name="Input 15 2 3 3" xfId="10852" xr:uid="{00000000-0005-0000-0000-000095520000}"/>
    <cellStyle name="Input 15 2 3 3 2" xfId="18645" xr:uid="{00000000-0005-0000-0000-000096520000}"/>
    <cellStyle name="Input 15 2 3 3 2 2" xfId="44192" xr:uid="{00000000-0005-0000-0000-000097520000}"/>
    <cellStyle name="Input 15 2 3 3 2 3" xfId="48101" xr:uid="{00000000-0005-0000-0000-000098520000}"/>
    <cellStyle name="Input 15 2 3 3 2 4" xfId="36282" xr:uid="{00000000-0005-0000-0000-000099520000}"/>
    <cellStyle name="Input 15 2 3 3 3" xfId="20009" xr:uid="{00000000-0005-0000-0000-00009A520000}"/>
    <cellStyle name="Input 15 2 3 3 3 2" xfId="45546" xr:uid="{00000000-0005-0000-0000-00009B520000}"/>
    <cellStyle name="Input 15 2 3 3 3 3" xfId="49452" xr:uid="{00000000-0005-0000-0000-00009C520000}"/>
    <cellStyle name="Input 15 2 3 3 3 4" xfId="37507" xr:uid="{00000000-0005-0000-0000-00009D520000}"/>
    <cellStyle name="Input 15 2 3 3 4" xfId="12540" xr:uid="{00000000-0005-0000-0000-00009E520000}"/>
    <cellStyle name="Input 15 2 3 3 4 2" xfId="42042" xr:uid="{00000000-0005-0000-0000-00009F520000}"/>
    <cellStyle name="Input 15 2 3 3 4 3" xfId="40451" xr:uid="{00000000-0005-0000-0000-0000A0520000}"/>
    <cellStyle name="Input 15 2 3 3 4 4" xfId="30208" xr:uid="{00000000-0005-0000-0000-0000A1520000}"/>
    <cellStyle name="Input 15 2 3 3 5" xfId="21058" xr:uid="{00000000-0005-0000-0000-0000A2520000}"/>
    <cellStyle name="Input 15 2 3 3 5 2" xfId="46595" xr:uid="{00000000-0005-0000-0000-0000A3520000}"/>
    <cellStyle name="Input 15 2 3 3 5 3" xfId="50501" xr:uid="{00000000-0005-0000-0000-0000A4520000}"/>
    <cellStyle name="Input 15 2 3 3 5 4" xfId="38464" xr:uid="{00000000-0005-0000-0000-0000A5520000}"/>
    <cellStyle name="Input 15 2 3 3 6" xfId="21711" xr:uid="{00000000-0005-0000-0000-0000A6520000}"/>
    <cellStyle name="Input 15 2 3 3 6 2" xfId="47248" xr:uid="{00000000-0005-0000-0000-0000A7520000}"/>
    <cellStyle name="Input 15 2 3 3 6 3" xfId="51154" xr:uid="{00000000-0005-0000-0000-0000A8520000}"/>
    <cellStyle name="Input 15 2 3 3 7" xfId="41051" xr:uid="{00000000-0005-0000-0000-0000A9520000}"/>
    <cellStyle name="Input 15 2 3 3 8" xfId="40377" xr:uid="{00000000-0005-0000-0000-0000AA520000}"/>
    <cellStyle name="Input 15 2 3 4" xfId="14815" xr:uid="{00000000-0005-0000-0000-0000AB520000}"/>
    <cellStyle name="Input 15 2 3 4 2" xfId="42931" xr:uid="{00000000-0005-0000-0000-0000AC520000}"/>
    <cellStyle name="Input 15 2 3 4 3" xfId="41949" xr:uid="{00000000-0005-0000-0000-0000AD520000}"/>
    <cellStyle name="Input 15 2 3 4 4" xfId="32450" xr:uid="{00000000-0005-0000-0000-0000AE520000}"/>
    <cellStyle name="Input 15 2 3 5" xfId="13091" xr:uid="{00000000-0005-0000-0000-0000AF520000}"/>
    <cellStyle name="Input 15 2 3 5 2" xfId="42312" xr:uid="{00000000-0005-0000-0000-0000B0520000}"/>
    <cellStyle name="Input 15 2 3 5 3" xfId="40330" xr:uid="{00000000-0005-0000-0000-0000B1520000}"/>
    <cellStyle name="Input 15 2 3 5 4" xfId="30740" xr:uid="{00000000-0005-0000-0000-0000B2520000}"/>
    <cellStyle name="Input 15 2 3 6" xfId="13905" xr:uid="{00000000-0005-0000-0000-0000B3520000}"/>
    <cellStyle name="Input 15 2 3 6 2" xfId="42640" xr:uid="{00000000-0005-0000-0000-0000B4520000}"/>
    <cellStyle name="Input 15 2 3 6 3" xfId="42547" xr:uid="{00000000-0005-0000-0000-0000B5520000}"/>
    <cellStyle name="Input 15 2 3 6 4" xfId="31544" xr:uid="{00000000-0005-0000-0000-0000B6520000}"/>
    <cellStyle name="Input 15 2 3 7" xfId="19376" xr:uid="{00000000-0005-0000-0000-0000B7520000}"/>
    <cellStyle name="Input 15 2 3 7 2" xfId="44913" xr:uid="{00000000-0005-0000-0000-0000B8520000}"/>
    <cellStyle name="Input 15 2 3 7 3" xfId="48819" xr:uid="{00000000-0005-0000-0000-0000B9520000}"/>
    <cellStyle name="Input 15 2 3 7 4" xfId="36942" xr:uid="{00000000-0005-0000-0000-0000BA520000}"/>
    <cellStyle name="Input 15 2 3 8" xfId="19975" xr:uid="{00000000-0005-0000-0000-0000BB520000}"/>
    <cellStyle name="Input 15 2 3 8 2" xfId="45512" xr:uid="{00000000-0005-0000-0000-0000BC520000}"/>
    <cellStyle name="Input 15 2 3 8 3" xfId="49418" xr:uid="{00000000-0005-0000-0000-0000BD520000}"/>
    <cellStyle name="Input 15 2 3 9" xfId="39791" xr:uid="{00000000-0005-0000-0000-0000BE520000}"/>
    <cellStyle name="Input 15 2 4" xfId="22435" xr:uid="{00000000-0005-0000-0000-0000BF520000}"/>
    <cellStyle name="Input 15 2 5" xfId="53014" xr:uid="{00000000-0005-0000-0000-0000C0520000}"/>
    <cellStyle name="Input 15 2_Sheet1" xfId="1830" xr:uid="{00000000-0005-0000-0000-0000C1520000}"/>
    <cellStyle name="Input 15 3" xfId="1831" xr:uid="{00000000-0005-0000-0000-0000C2520000}"/>
    <cellStyle name="Input 15 3 2" xfId="7029" xr:uid="{00000000-0005-0000-0000-0000C3520000}"/>
    <cellStyle name="Input 15 3 2 10" xfId="39623" xr:uid="{00000000-0005-0000-0000-0000C4520000}"/>
    <cellStyle name="Input 15 3 2 2" xfId="10559" xr:uid="{00000000-0005-0000-0000-0000C5520000}"/>
    <cellStyle name="Input 15 3 2 2 2" xfId="18352" xr:uid="{00000000-0005-0000-0000-0000C6520000}"/>
    <cellStyle name="Input 15 3 2 2 2 2" xfId="43899" xr:uid="{00000000-0005-0000-0000-0000C7520000}"/>
    <cellStyle name="Input 15 3 2 2 2 3" xfId="47808" xr:uid="{00000000-0005-0000-0000-0000C8520000}"/>
    <cellStyle name="Input 15 3 2 2 2 4" xfId="35989" xr:uid="{00000000-0005-0000-0000-0000C9520000}"/>
    <cellStyle name="Input 15 3 2 2 3" xfId="20171" xr:uid="{00000000-0005-0000-0000-0000CA520000}"/>
    <cellStyle name="Input 15 3 2 2 3 2" xfId="45708" xr:uid="{00000000-0005-0000-0000-0000CB520000}"/>
    <cellStyle name="Input 15 3 2 2 3 3" xfId="49614" xr:uid="{00000000-0005-0000-0000-0000CC520000}"/>
    <cellStyle name="Input 15 3 2 2 3 4" xfId="37657" xr:uid="{00000000-0005-0000-0000-0000CD520000}"/>
    <cellStyle name="Input 15 3 2 2 4" xfId="19088" xr:uid="{00000000-0005-0000-0000-0000CE520000}"/>
    <cellStyle name="Input 15 3 2 2 4 2" xfId="44625" xr:uid="{00000000-0005-0000-0000-0000CF520000}"/>
    <cellStyle name="Input 15 3 2 2 4 3" xfId="48531" xr:uid="{00000000-0005-0000-0000-0000D0520000}"/>
    <cellStyle name="Input 15 3 2 2 4 4" xfId="36684" xr:uid="{00000000-0005-0000-0000-0000D1520000}"/>
    <cellStyle name="Input 15 3 2 2 5" xfId="20765" xr:uid="{00000000-0005-0000-0000-0000D2520000}"/>
    <cellStyle name="Input 15 3 2 2 5 2" xfId="46302" xr:uid="{00000000-0005-0000-0000-0000D3520000}"/>
    <cellStyle name="Input 15 3 2 2 5 3" xfId="50208" xr:uid="{00000000-0005-0000-0000-0000D4520000}"/>
    <cellStyle name="Input 15 3 2 2 5 4" xfId="38171" xr:uid="{00000000-0005-0000-0000-0000D5520000}"/>
    <cellStyle name="Input 15 3 2 2 6" xfId="21418" xr:uid="{00000000-0005-0000-0000-0000D6520000}"/>
    <cellStyle name="Input 15 3 2 2 6 2" xfId="46955" xr:uid="{00000000-0005-0000-0000-0000D7520000}"/>
    <cellStyle name="Input 15 3 2 2 6 3" xfId="50861" xr:uid="{00000000-0005-0000-0000-0000D8520000}"/>
    <cellStyle name="Input 15 3 2 2 7" xfId="40758" xr:uid="{00000000-0005-0000-0000-0000D9520000}"/>
    <cellStyle name="Input 15 3 2 2 8" xfId="39396" xr:uid="{00000000-0005-0000-0000-0000DA520000}"/>
    <cellStyle name="Input 15 3 2 3" xfId="10854" xr:uid="{00000000-0005-0000-0000-0000DB520000}"/>
    <cellStyle name="Input 15 3 2 3 2" xfId="18647" xr:uid="{00000000-0005-0000-0000-0000DC520000}"/>
    <cellStyle name="Input 15 3 2 3 2 2" xfId="44194" xr:uid="{00000000-0005-0000-0000-0000DD520000}"/>
    <cellStyle name="Input 15 3 2 3 2 3" xfId="48103" xr:uid="{00000000-0005-0000-0000-0000DE520000}"/>
    <cellStyle name="Input 15 3 2 3 2 4" xfId="36284" xr:uid="{00000000-0005-0000-0000-0000DF520000}"/>
    <cellStyle name="Input 15 3 2 3 3" xfId="19884" xr:uid="{00000000-0005-0000-0000-0000E0520000}"/>
    <cellStyle name="Input 15 3 2 3 3 2" xfId="45421" xr:uid="{00000000-0005-0000-0000-0000E1520000}"/>
    <cellStyle name="Input 15 3 2 3 3 3" xfId="49327" xr:uid="{00000000-0005-0000-0000-0000E2520000}"/>
    <cellStyle name="Input 15 3 2 3 3 4" xfId="37398" xr:uid="{00000000-0005-0000-0000-0000E3520000}"/>
    <cellStyle name="Input 15 3 2 3 4" xfId="19072" xr:uid="{00000000-0005-0000-0000-0000E4520000}"/>
    <cellStyle name="Input 15 3 2 3 4 2" xfId="44609" xr:uid="{00000000-0005-0000-0000-0000E5520000}"/>
    <cellStyle name="Input 15 3 2 3 4 3" xfId="48515" xr:uid="{00000000-0005-0000-0000-0000E6520000}"/>
    <cellStyle name="Input 15 3 2 3 4 4" xfId="36669" xr:uid="{00000000-0005-0000-0000-0000E7520000}"/>
    <cellStyle name="Input 15 3 2 3 5" xfId="21060" xr:uid="{00000000-0005-0000-0000-0000E8520000}"/>
    <cellStyle name="Input 15 3 2 3 5 2" xfId="46597" xr:uid="{00000000-0005-0000-0000-0000E9520000}"/>
    <cellStyle name="Input 15 3 2 3 5 3" xfId="50503" xr:uid="{00000000-0005-0000-0000-0000EA520000}"/>
    <cellStyle name="Input 15 3 2 3 5 4" xfId="38466" xr:uid="{00000000-0005-0000-0000-0000EB520000}"/>
    <cellStyle name="Input 15 3 2 3 6" xfId="21713" xr:uid="{00000000-0005-0000-0000-0000EC520000}"/>
    <cellStyle name="Input 15 3 2 3 6 2" xfId="47250" xr:uid="{00000000-0005-0000-0000-0000ED520000}"/>
    <cellStyle name="Input 15 3 2 3 6 3" xfId="51156" xr:uid="{00000000-0005-0000-0000-0000EE520000}"/>
    <cellStyle name="Input 15 3 2 3 7" xfId="41053" xr:uid="{00000000-0005-0000-0000-0000EF520000}"/>
    <cellStyle name="Input 15 3 2 3 8" xfId="42057" xr:uid="{00000000-0005-0000-0000-0000F0520000}"/>
    <cellStyle name="Input 15 3 2 4" xfId="14817" xr:uid="{00000000-0005-0000-0000-0000F1520000}"/>
    <cellStyle name="Input 15 3 2 4 2" xfId="42933" xr:uid="{00000000-0005-0000-0000-0000F2520000}"/>
    <cellStyle name="Input 15 3 2 4 3" xfId="40162" xr:uid="{00000000-0005-0000-0000-0000F3520000}"/>
    <cellStyle name="Input 15 3 2 4 4" xfId="32452" xr:uid="{00000000-0005-0000-0000-0000F4520000}"/>
    <cellStyle name="Input 15 3 2 5" xfId="13093" xr:uid="{00000000-0005-0000-0000-0000F5520000}"/>
    <cellStyle name="Input 15 3 2 5 2" xfId="42314" xr:uid="{00000000-0005-0000-0000-0000F6520000}"/>
    <cellStyle name="Input 15 3 2 5 3" xfId="41973" xr:uid="{00000000-0005-0000-0000-0000F7520000}"/>
    <cellStyle name="Input 15 3 2 5 4" xfId="30742" xr:uid="{00000000-0005-0000-0000-0000F8520000}"/>
    <cellStyle name="Input 15 3 2 6" xfId="20224" xr:uid="{00000000-0005-0000-0000-0000F9520000}"/>
    <cellStyle name="Input 15 3 2 6 2" xfId="45761" xr:uid="{00000000-0005-0000-0000-0000FA520000}"/>
    <cellStyle name="Input 15 3 2 6 3" xfId="49667" xr:uid="{00000000-0005-0000-0000-0000FB520000}"/>
    <cellStyle name="Input 15 3 2 6 4" xfId="37701" xr:uid="{00000000-0005-0000-0000-0000FC520000}"/>
    <cellStyle name="Input 15 3 2 7" xfId="19161" xr:uid="{00000000-0005-0000-0000-0000FD520000}"/>
    <cellStyle name="Input 15 3 2 7 2" xfId="44698" xr:uid="{00000000-0005-0000-0000-0000FE520000}"/>
    <cellStyle name="Input 15 3 2 7 3" xfId="48604" xr:uid="{00000000-0005-0000-0000-0000FF520000}"/>
    <cellStyle name="Input 15 3 2 7 4" xfId="36753" xr:uid="{00000000-0005-0000-0000-000000530000}"/>
    <cellStyle name="Input 15 3 2 8" xfId="11454" xr:uid="{00000000-0005-0000-0000-000001530000}"/>
    <cellStyle name="Input 15 3 2 8 2" xfId="41465" xr:uid="{00000000-0005-0000-0000-000002530000}"/>
    <cellStyle name="Input 15 3 2 8 3" xfId="42824" xr:uid="{00000000-0005-0000-0000-000003530000}"/>
    <cellStyle name="Input 15 3 2 9" xfId="39793" xr:uid="{00000000-0005-0000-0000-000004530000}"/>
    <cellStyle name="Input 15 3 3" xfId="53017" xr:uid="{00000000-0005-0000-0000-000005530000}"/>
    <cellStyle name="Input 15 4" xfId="7026" xr:uid="{00000000-0005-0000-0000-000006530000}"/>
    <cellStyle name="Input 15 4 10" xfId="42767" xr:uid="{00000000-0005-0000-0000-000007530000}"/>
    <cellStyle name="Input 15 4 11" xfId="53018" xr:uid="{00000000-0005-0000-0000-000008530000}"/>
    <cellStyle name="Input 15 4 2" xfId="10556" xr:uid="{00000000-0005-0000-0000-000009530000}"/>
    <cellStyle name="Input 15 4 2 2" xfId="18349" xr:uid="{00000000-0005-0000-0000-00000A530000}"/>
    <cellStyle name="Input 15 4 2 2 2" xfId="43896" xr:uid="{00000000-0005-0000-0000-00000B530000}"/>
    <cellStyle name="Input 15 4 2 2 3" xfId="47805" xr:uid="{00000000-0005-0000-0000-00000C530000}"/>
    <cellStyle name="Input 15 4 2 2 4" xfId="35986" xr:uid="{00000000-0005-0000-0000-00000D530000}"/>
    <cellStyle name="Input 15 4 2 3" xfId="12159" xr:uid="{00000000-0005-0000-0000-00000E530000}"/>
    <cellStyle name="Input 15 4 2 3 2" xfId="41904" xr:uid="{00000000-0005-0000-0000-00000F530000}"/>
    <cellStyle name="Input 15 4 2 3 3" xfId="40558" xr:uid="{00000000-0005-0000-0000-000010530000}"/>
    <cellStyle name="Input 15 4 2 3 4" xfId="29831" xr:uid="{00000000-0005-0000-0000-000011530000}"/>
    <cellStyle name="Input 15 4 2 4" xfId="11755" xr:uid="{00000000-0005-0000-0000-000012530000}"/>
    <cellStyle name="Input 15 4 2 4 2" xfId="41732" xr:uid="{00000000-0005-0000-0000-000013530000}"/>
    <cellStyle name="Input 15 4 2 4 3" xfId="39344" xr:uid="{00000000-0005-0000-0000-000014530000}"/>
    <cellStyle name="Input 15 4 2 4 4" xfId="29442" xr:uid="{00000000-0005-0000-0000-000015530000}"/>
    <cellStyle name="Input 15 4 2 5" xfId="20762" xr:uid="{00000000-0005-0000-0000-000016530000}"/>
    <cellStyle name="Input 15 4 2 5 2" xfId="46299" xr:uid="{00000000-0005-0000-0000-000017530000}"/>
    <cellStyle name="Input 15 4 2 5 3" xfId="50205" xr:uid="{00000000-0005-0000-0000-000018530000}"/>
    <cellStyle name="Input 15 4 2 5 4" xfId="38168" xr:uid="{00000000-0005-0000-0000-000019530000}"/>
    <cellStyle name="Input 15 4 2 6" xfId="21415" xr:uid="{00000000-0005-0000-0000-00001A530000}"/>
    <cellStyle name="Input 15 4 2 6 2" xfId="46952" xr:uid="{00000000-0005-0000-0000-00001B530000}"/>
    <cellStyle name="Input 15 4 2 6 3" xfId="50858" xr:uid="{00000000-0005-0000-0000-00001C530000}"/>
    <cellStyle name="Input 15 4 2 7" xfId="40755" xr:uid="{00000000-0005-0000-0000-00001D530000}"/>
    <cellStyle name="Input 15 4 2 8" xfId="42075" xr:uid="{00000000-0005-0000-0000-00001E530000}"/>
    <cellStyle name="Input 15 4 3" xfId="10851" xr:uid="{00000000-0005-0000-0000-00001F530000}"/>
    <cellStyle name="Input 15 4 3 2" xfId="18644" xr:uid="{00000000-0005-0000-0000-000020530000}"/>
    <cellStyle name="Input 15 4 3 2 2" xfId="44191" xr:uid="{00000000-0005-0000-0000-000021530000}"/>
    <cellStyle name="Input 15 4 3 2 3" xfId="48100" xr:uid="{00000000-0005-0000-0000-000022530000}"/>
    <cellStyle name="Input 15 4 3 2 4" xfId="36281" xr:uid="{00000000-0005-0000-0000-000023530000}"/>
    <cellStyle name="Input 15 4 3 3" xfId="19402" xr:uid="{00000000-0005-0000-0000-000024530000}"/>
    <cellStyle name="Input 15 4 3 3 2" xfId="44939" xr:uid="{00000000-0005-0000-0000-000025530000}"/>
    <cellStyle name="Input 15 4 3 3 3" xfId="48845" xr:uid="{00000000-0005-0000-0000-000026530000}"/>
    <cellStyle name="Input 15 4 3 3 4" xfId="36967" xr:uid="{00000000-0005-0000-0000-000027530000}"/>
    <cellStyle name="Input 15 4 3 4" xfId="12018" xr:uid="{00000000-0005-0000-0000-000028530000}"/>
    <cellStyle name="Input 15 4 3 4 2" xfId="41778" xr:uid="{00000000-0005-0000-0000-000029530000}"/>
    <cellStyle name="Input 15 4 3 4 3" xfId="40347" xr:uid="{00000000-0005-0000-0000-00002A530000}"/>
    <cellStyle name="Input 15 4 3 4 4" xfId="29700" xr:uid="{00000000-0005-0000-0000-00002B530000}"/>
    <cellStyle name="Input 15 4 3 5" xfId="21057" xr:uid="{00000000-0005-0000-0000-00002C530000}"/>
    <cellStyle name="Input 15 4 3 5 2" xfId="46594" xr:uid="{00000000-0005-0000-0000-00002D530000}"/>
    <cellStyle name="Input 15 4 3 5 3" xfId="50500" xr:uid="{00000000-0005-0000-0000-00002E530000}"/>
    <cellStyle name="Input 15 4 3 5 4" xfId="38463" xr:uid="{00000000-0005-0000-0000-00002F530000}"/>
    <cellStyle name="Input 15 4 3 6" xfId="21710" xr:uid="{00000000-0005-0000-0000-000030530000}"/>
    <cellStyle name="Input 15 4 3 6 2" xfId="47247" xr:uid="{00000000-0005-0000-0000-000031530000}"/>
    <cellStyle name="Input 15 4 3 6 3" xfId="51153" xr:uid="{00000000-0005-0000-0000-000032530000}"/>
    <cellStyle name="Input 15 4 3 7" xfId="41050" xr:uid="{00000000-0005-0000-0000-000033530000}"/>
    <cellStyle name="Input 15 4 3 8" xfId="43514" xr:uid="{00000000-0005-0000-0000-000034530000}"/>
    <cellStyle name="Input 15 4 4" xfId="14814" xr:uid="{00000000-0005-0000-0000-000035530000}"/>
    <cellStyle name="Input 15 4 4 2" xfId="42930" xr:uid="{00000000-0005-0000-0000-000036530000}"/>
    <cellStyle name="Input 15 4 4 3" xfId="39434" xr:uid="{00000000-0005-0000-0000-000037530000}"/>
    <cellStyle name="Input 15 4 4 4" xfId="32449" xr:uid="{00000000-0005-0000-0000-000038530000}"/>
    <cellStyle name="Input 15 4 5" xfId="11289" xr:uid="{00000000-0005-0000-0000-000039530000}"/>
    <cellStyle name="Input 15 4 5 2" xfId="41336" xr:uid="{00000000-0005-0000-0000-00003A530000}"/>
    <cellStyle name="Input 15 4 5 3" xfId="43610" xr:uid="{00000000-0005-0000-0000-00003B530000}"/>
    <cellStyle name="Input 15 4 5 4" xfId="29017" xr:uid="{00000000-0005-0000-0000-00003C530000}"/>
    <cellStyle name="Input 15 4 6" xfId="19988" xr:uid="{00000000-0005-0000-0000-00003D530000}"/>
    <cellStyle name="Input 15 4 6 2" xfId="45525" xr:uid="{00000000-0005-0000-0000-00003E530000}"/>
    <cellStyle name="Input 15 4 6 3" xfId="49431" xr:uid="{00000000-0005-0000-0000-00003F530000}"/>
    <cellStyle name="Input 15 4 6 4" xfId="37487" xr:uid="{00000000-0005-0000-0000-000040530000}"/>
    <cellStyle name="Input 15 4 7" xfId="19387" xr:uid="{00000000-0005-0000-0000-000041530000}"/>
    <cellStyle name="Input 15 4 7 2" xfId="44924" xr:uid="{00000000-0005-0000-0000-000042530000}"/>
    <cellStyle name="Input 15 4 7 3" xfId="48830" xr:uid="{00000000-0005-0000-0000-000043530000}"/>
    <cellStyle name="Input 15 4 7 4" xfId="36953" xr:uid="{00000000-0005-0000-0000-000044530000}"/>
    <cellStyle name="Input 15 4 8" xfId="20621" xr:uid="{00000000-0005-0000-0000-000045530000}"/>
    <cellStyle name="Input 15 4 8 2" xfId="46158" xr:uid="{00000000-0005-0000-0000-000046530000}"/>
    <cellStyle name="Input 15 4 8 3" xfId="50064" xr:uid="{00000000-0005-0000-0000-000047530000}"/>
    <cellStyle name="Input 15 4 9" xfId="39790" xr:uid="{00000000-0005-0000-0000-000048530000}"/>
    <cellStyle name="Input 15 5" xfId="22434" xr:uid="{00000000-0005-0000-0000-000049530000}"/>
    <cellStyle name="Input 15 6" xfId="53013" xr:uid="{00000000-0005-0000-0000-00004A530000}"/>
    <cellStyle name="Input 15_Sheet1" xfId="1832" xr:uid="{00000000-0005-0000-0000-00004B530000}"/>
    <cellStyle name="Input 16" xfId="1833" xr:uid="{00000000-0005-0000-0000-00004C530000}"/>
    <cellStyle name="Input 16 2" xfId="1834" xr:uid="{00000000-0005-0000-0000-00004D530000}"/>
    <cellStyle name="Input 16 2 2" xfId="1835" xr:uid="{00000000-0005-0000-0000-00004E530000}"/>
    <cellStyle name="Input 16 2 2 2" xfId="7032" xr:uid="{00000000-0005-0000-0000-00004F530000}"/>
    <cellStyle name="Input 16 2 2 2 10" xfId="40407" xr:uid="{00000000-0005-0000-0000-000050530000}"/>
    <cellStyle name="Input 16 2 2 2 2" xfId="10562" xr:uid="{00000000-0005-0000-0000-000051530000}"/>
    <cellStyle name="Input 16 2 2 2 2 2" xfId="18355" xr:uid="{00000000-0005-0000-0000-000052530000}"/>
    <cellStyle name="Input 16 2 2 2 2 2 2" xfId="43902" xr:uid="{00000000-0005-0000-0000-000053530000}"/>
    <cellStyle name="Input 16 2 2 2 2 2 3" xfId="47811" xr:uid="{00000000-0005-0000-0000-000054530000}"/>
    <cellStyle name="Input 16 2 2 2 2 2 4" xfId="35992" xr:uid="{00000000-0005-0000-0000-000055530000}"/>
    <cellStyle name="Input 16 2 2 2 2 3" xfId="19303" xr:uid="{00000000-0005-0000-0000-000056530000}"/>
    <cellStyle name="Input 16 2 2 2 2 3 2" xfId="44840" xr:uid="{00000000-0005-0000-0000-000057530000}"/>
    <cellStyle name="Input 16 2 2 2 2 3 3" xfId="48746" xr:uid="{00000000-0005-0000-0000-000058530000}"/>
    <cellStyle name="Input 16 2 2 2 2 3 4" xfId="36881" xr:uid="{00000000-0005-0000-0000-000059530000}"/>
    <cellStyle name="Input 16 2 2 2 2 4" xfId="11653" xr:uid="{00000000-0005-0000-0000-00005A530000}"/>
    <cellStyle name="Input 16 2 2 2 2 4 2" xfId="41664" xr:uid="{00000000-0005-0000-0000-00005B530000}"/>
    <cellStyle name="Input 16 2 2 2 2 4 3" xfId="40458" xr:uid="{00000000-0005-0000-0000-00005C530000}"/>
    <cellStyle name="Input 16 2 2 2 2 4 4" xfId="29352" xr:uid="{00000000-0005-0000-0000-00005D530000}"/>
    <cellStyle name="Input 16 2 2 2 2 5" xfId="20768" xr:uid="{00000000-0005-0000-0000-00005E530000}"/>
    <cellStyle name="Input 16 2 2 2 2 5 2" xfId="46305" xr:uid="{00000000-0005-0000-0000-00005F530000}"/>
    <cellStyle name="Input 16 2 2 2 2 5 3" xfId="50211" xr:uid="{00000000-0005-0000-0000-000060530000}"/>
    <cellStyle name="Input 16 2 2 2 2 5 4" xfId="38174" xr:uid="{00000000-0005-0000-0000-000061530000}"/>
    <cellStyle name="Input 16 2 2 2 2 6" xfId="21421" xr:uid="{00000000-0005-0000-0000-000062530000}"/>
    <cellStyle name="Input 16 2 2 2 2 6 2" xfId="46958" xr:uid="{00000000-0005-0000-0000-000063530000}"/>
    <cellStyle name="Input 16 2 2 2 2 6 3" xfId="50864" xr:uid="{00000000-0005-0000-0000-000064530000}"/>
    <cellStyle name="Input 16 2 2 2 2 7" xfId="40761" xr:uid="{00000000-0005-0000-0000-000065530000}"/>
    <cellStyle name="Input 16 2 2 2 2 8" xfId="40258" xr:uid="{00000000-0005-0000-0000-000066530000}"/>
    <cellStyle name="Input 16 2 2 2 3" xfId="10857" xr:uid="{00000000-0005-0000-0000-000067530000}"/>
    <cellStyle name="Input 16 2 2 2 3 2" xfId="18650" xr:uid="{00000000-0005-0000-0000-000068530000}"/>
    <cellStyle name="Input 16 2 2 2 3 2 2" xfId="44197" xr:uid="{00000000-0005-0000-0000-000069530000}"/>
    <cellStyle name="Input 16 2 2 2 3 2 3" xfId="48106" xr:uid="{00000000-0005-0000-0000-00006A530000}"/>
    <cellStyle name="Input 16 2 2 2 3 2 4" xfId="36287" xr:uid="{00000000-0005-0000-0000-00006B530000}"/>
    <cellStyle name="Input 16 2 2 2 3 3" xfId="11516" xr:uid="{00000000-0005-0000-0000-00006C530000}"/>
    <cellStyle name="Input 16 2 2 2 3 3 2" xfId="41527" xr:uid="{00000000-0005-0000-0000-00006D530000}"/>
    <cellStyle name="Input 16 2 2 2 3 3 3" xfId="43216" xr:uid="{00000000-0005-0000-0000-00006E530000}"/>
    <cellStyle name="Input 16 2 2 2 3 3 4" xfId="29231" xr:uid="{00000000-0005-0000-0000-00006F530000}"/>
    <cellStyle name="Input 16 2 2 2 3 4" xfId="19535" xr:uid="{00000000-0005-0000-0000-000070530000}"/>
    <cellStyle name="Input 16 2 2 2 3 4 2" xfId="45072" xr:uid="{00000000-0005-0000-0000-000071530000}"/>
    <cellStyle name="Input 16 2 2 2 3 4 3" xfId="48978" xr:uid="{00000000-0005-0000-0000-000072530000}"/>
    <cellStyle name="Input 16 2 2 2 3 4 4" xfId="37082" xr:uid="{00000000-0005-0000-0000-000073530000}"/>
    <cellStyle name="Input 16 2 2 2 3 5" xfId="21063" xr:uid="{00000000-0005-0000-0000-000074530000}"/>
    <cellStyle name="Input 16 2 2 2 3 5 2" xfId="46600" xr:uid="{00000000-0005-0000-0000-000075530000}"/>
    <cellStyle name="Input 16 2 2 2 3 5 3" xfId="50506" xr:uid="{00000000-0005-0000-0000-000076530000}"/>
    <cellStyle name="Input 16 2 2 2 3 5 4" xfId="38469" xr:uid="{00000000-0005-0000-0000-000077530000}"/>
    <cellStyle name="Input 16 2 2 2 3 6" xfId="21716" xr:uid="{00000000-0005-0000-0000-000078530000}"/>
    <cellStyle name="Input 16 2 2 2 3 6 2" xfId="47253" xr:uid="{00000000-0005-0000-0000-000079530000}"/>
    <cellStyle name="Input 16 2 2 2 3 6 3" xfId="51159" xr:uid="{00000000-0005-0000-0000-00007A530000}"/>
    <cellStyle name="Input 16 2 2 2 3 7" xfId="41056" xr:uid="{00000000-0005-0000-0000-00007B530000}"/>
    <cellStyle name="Input 16 2 2 2 3 8" xfId="39378" xr:uid="{00000000-0005-0000-0000-00007C530000}"/>
    <cellStyle name="Input 16 2 2 2 4" xfId="14820" xr:uid="{00000000-0005-0000-0000-00007D530000}"/>
    <cellStyle name="Input 16 2 2 2 4 2" xfId="42936" xr:uid="{00000000-0005-0000-0000-00007E530000}"/>
    <cellStyle name="Input 16 2 2 2 4 3" xfId="41291" xr:uid="{00000000-0005-0000-0000-00007F530000}"/>
    <cellStyle name="Input 16 2 2 2 4 4" xfId="32455" xr:uid="{00000000-0005-0000-0000-000080530000}"/>
    <cellStyle name="Input 16 2 2 2 5" xfId="13095" xr:uid="{00000000-0005-0000-0000-000081530000}"/>
    <cellStyle name="Input 16 2 2 2 5 2" xfId="42316" xr:uid="{00000000-0005-0000-0000-000082530000}"/>
    <cellStyle name="Input 16 2 2 2 5 3" xfId="40181" xr:uid="{00000000-0005-0000-0000-000083530000}"/>
    <cellStyle name="Input 16 2 2 2 5 4" xfId="30744" xr:uid="{00000000-0005-0000-0000-000084530000}"/>
    <cellStyle name="Input 16 2 2 2 6" xfId="12857" xr:uid="{00000000-0005-0000-0000-000085530000}"/>
    <cellStyle name="Input 16 2 2 2 6 2" xfId="42240" xr:uid="{00000000-0005-0000-0000-000086530000}"/>
    <cellStyle name="Input 16 2 2 2 6 3" xfId="40057" xr:uid="{00000000-0005-0000-0000-000087530000}"/>
    <cellStyle name="Input 16 2 2 2 6 4" xfId="30509" xr:uid="{00000000-0005-0000-0000-000088530000}"/>
    <cellStyle name="Input 16 2 2 2 7" xfId="13303" xr:uid="{00000000-0005-0000-0000-000089530000}"/>
    <cellStyle name="Input 16 2 2 2 7 2" xfId="42473" xr:uid="{00000000-0005-0000-0000-00008A530000}"/>
    <cellStyle name="Input 16 2 2 2 7 3" xfId="39646" xr:uid="{00000000-0005-0000-0000-00008B530000}"/>
    <cellStyle name="Input 16 2 2 2 7 4" xfId="30947" xr:uid="{00000000-0005-0000-0000-00008C530000}"/>
    <cellStyle name="Input 16 2 2 2 8" xfId="20271" xr:uid="{00000000-0005-0000-0000-00008D530000}"/>
    <cellStyle name="Input 16 2 2 2 8 2" xfId="45808" xr:uid="{00000000-0005-0000-0000-00008E530000}"/>
    <cellStyle name="Input 16 2 2 2 8 3" xfId="49714" xr:uid="{00000000-0005-0000-0000-00008F530000}"/>
    <cellStyle name="Input 16 2 2 2 9" xfId="39796" xr:uid="{00000000-0005-0000-0000-000090530000}"/>
    <cellStyle name="Input 16 2 2 3" xfId="53021" xr:uid="{00000000-0005-0000-0000-000091530000}"/>
    <cellStyle name="Input 16 2 3" xfId="7031" xr:uid="{00000000-0005-0000-0000-000092530000}"/>
    <cellStyle name="Input 16 2 3 10" xfId="43544" xr:uid="{00000000-0005-0000-0000-000093530000}"/>
    <cellStyle name="Input 16 2 3 11" xfId="53022" xr:uid="{00000000-0005-0000-0000-000094530000}"/>
    <cellStyle name="Input 16 2 3 2" xfId="10561" xr:uid="{00000000-0005-0000-0000-000095530000}"/>
    <cellStyle name="Input 16 2 3 2 2" xfId="18354" xr:uid="{00000000-0005-0000-0000-000096530000}"/>
    <cellStyle name="Input 16 2 3 2 2 2" xfId="43901" xr:uid="{00000000-0005-0000-0000-000097530000}"/>
    <cellStyle name="Input 16 2 3 2 2 3" xfId="47810" xr:uid="{00000000-0005-0000-0000-000098530000}"/>
    <cellStyle name="Input 16 2 3 2 2 4" xfId="35991" xr:uid="{00000000-0005-0000-0000-000099530000}"/>
    <cellStyle name="Input 16 2 3 2 3" xfId="20037" xr:uid="{00000000-0005-0000-0000-00009A530000}"/>
    <cellStyle name="Input 16 2 3 2 3 2" xfId="45574" xr:uid="{00000000-0005-0000-0000-00009B530000}"/>
    <cellStyle name="Input 16 2 3 2 3 3" xfId="49480" xr:uid="{00000000-0005-0000-0000-00009C530000}"/>
    <cellStyle name="Input 16 2 3 2 3 4" xfId="37535" xr:uid="{00000000-0005-0000-0000-00009D530000}"/>
    <cellStyle name="Input 16 2 3 2 4" xfId="19839" xr:uid="{00000000-0005-0000-0000-00009E530000}"/>
    <cellStyle name="Input 16 2 3 2 4 2" xfId="45376" xr:uid="{00000000-0005-0000-0000-00009F530000}"/>
    <cellStyle name="Input 16 2 3 2 4 3" xfId="49282" xr:uid="{00000000-0005-0000-0000-0000A0530000}"/>
    <cellStyle name="Input 16 2 3 2 4 4" xfId="37357" xr:uid="{00000000-0005-0000-0000-0000A1530000}"/>
    <cellStyle name="Input 16 2 3 2 5" xfId="20767" xr:uid="{00000000-0005-0000-0000-0000A2530000}"/>
    <cellStyle name="Input 16 2 3 2 5 2" xfId="46304" xr:uid="{00000000-0005-0000-0000-0000A3530000}"/>
    <cellStyle name="Input 16 2 3 2 5 3" xfId="50210" xr:uid="{00000000-0005-0000-0000-0000A4530000}"/>
    <cellStyle name="Input 16 2 3 2 5 4" xfId="38173" xr:uid="{00000000-0005-0000-0000-0000A5530000}"/>
    <cellStyle name="Input 16 2 3 2 6" xfId="21420" xr:uid="{00000000-0005-0000-0000-0000A6530000}"/>
    <cellStyle name="Input 16 2 3 2 6 2" xfId="46957" xr:uid="{00000000-0005-0000-0000-0000A7530000}"/>
    <cellStyle name="Input 16 2 3 2 6 3" xfId="50863" xr:uid="{00000000-0005-0000-0000-0000A8530000}"/>
    <cellStyle name="Input 16 2 3 2 7" xfId="40760" xr:uid="{00000000-0005-0000-0000-0000A9530000}"/>
    <cellStyle name="Input 16 2 3 2 8" xfId="43396" xr:uid="{00000000-0005-0000-0000-0000AA530000}"/>
    <cellStyle name="Input 16 2 3 3" xfId="10856" xr:uid="{00000000-0005-0000-0000-0000AB530000}"/>
    <cellStyle name="Input 16 2 3 3 2" xfId="18649" xr:uid="{00000000-0005-0000-0000-0000AC530000}"/>
    <cellStyle name="Input 16 2 3 3 2 2" xfId="44196" xr:uid="{00000000-0005-0000-0000-0000AD530000}"/>
    <cellStyle name="Input 16 2 3 3 2 3" xfId="48105" xr:uid="{00000000-0005-0000-0000-0000AE530000}"/>
    <cellStyle name="Input 16 2 3 3 2 4" xfId="36286" xr:uid="{00000000-0005-0000-0000-0000AF530000}"/>
    <cellStyle name="Input 16 2 3 3 3" xfId="19720" xr:uid="{00000000-0005-0000-0000-0000B0530000}"/>
    <cellStyle name="Input 16 2 3 3 3 2" xfId="45257" xr:uid="{00000000-0005-0000-0000-0000B1530000}"/>
    <cellStyle name="Input 16 2 3 3 3 3" xfId="49163" xr:uid="{00000000-0005-0000-0000-0000B2530000}"/>
    <cellStyle name="Input 16 2 3 3 3 4" xfId="37247" xr:uid="{00000000-0005-0000-0000-0000B3530000}"/>
    <cellStyle name="Input 16 2 3 3 4" xfId="20284" xr:uid="{00000000-0005-0000-0000-0000B4530000}"/>
    <cellStyle name="Input 16 2 3 3 4 2" xfId="45821" xr:uid="{00000000-0005-0000-0000-0000B5530000}"/>
    <cellStyle name="Input 16 2 3 3 4 3" xfId="49727" xr:uid="{00000000-0005-0000-0000-0000B6530000}"/>
    <cellStyle name="Input 16 2 3 3 4 4" xfId="37752" xr:uid="{00000000-0005-0000-0000-0000B7530000}"/>
    <cellStyle name="Input 16 2 3 3 5" xfId="21062" xr:uid="{00000000-0005-0000-0000-0000B8530000}"/>
    <cellStyle name="Input 16 2 3 3 5 2" xfId="46599" xr:uid="{00000000-0005-0000-0000-0000B9530000}"/>
    <cellStyle name="Input 16 2 3 3 5 3" xfId="50505" xr:uid="{00000000-0005-0000-0000-0000BA530000}"/>
    <cellStyle name="Input 16 2 3 3 5 4" xfId="38468" xr:uid="{00000000-0005-0000-0000-0000BB530000}"/>
    <cellStyle name="Input 16 2 3 3 6" xfId="21715" xr:uid="{00000000-0005-0000-0000-0000BC530000}"/>
    <cellStyle name="Input 16 2 3 3 6 2" xfId="47252" xr:uid="{00000000-0005-0000-0000-0000BD530000}"/>
    <cellStyle name="Input 16 2 3 3 6 3" xfId="51158" xr:uid="{00000000-0005-0000-0000-0000BE530000}"/>
    <cellStyle name="Input 16 2 3 3 7" xfId="41055" xr:uid="{00000000-0005-0000-0000-0000BF530000}"/>
    <cellStyle name="Input 16 2 3 3 8" xfId="40238" xr:uid="{00000000-0005-0000-0000-0000C0530000}"/>
    <cellStyle name="Input 16 2 3 4" xfId="14819" xr:uid="{00000000-0005-0000-0000-0000C1530000}"/>
    <cellStyle name="Input 16 2 3 4 2" xfId="42935" xr:uid="{00000000-0005-0000-0000-0000C2530000}"/>
    <cellStyle name="Input 16 2 3 4 3" xfId="39063" xr:uid="{00000000-0005-0000-0000-0000C3530000}"/>
    <cellStyle name="Input 16 2 3 4 4" xfId="32454" xr:uid="{00000000-0005-0000-0000-0000C4530000}"/>
    <cellStyle name="Input 16 2 3 5" xfId="11290" xr:uid="{00000000-0005-0000-0000-0000C5530000}"/>
    <cellStyle name="Input 16 2 3 5 2" xfId="41337" xr:uid="{00000000-0005-0000-0000-0000C6530000}"/>
    <cellStyle name="Input 16 2 3 5 3" xfId="40469" xr:uid="{00000000-0005-0000-0000-0000C7530000}"/>
    <cellStyle name="Input 16 2 3 5 4" xfId="29018" xr:uid="{00000000-0005-0000-0000-0000C8530000}"/>
    <cellStyle name="Input 16 2 3 6" xfId="19223" xr:uid="{00000000-0005-0000-0000-0000C9530000}"/>
    <cellStyle name="Input 16 2 3 6 2" xfId="44760" xr:uid="{00000000-0005-0000-0000-0000CA530000}"/>
    <cellStyle name="Input 16 2 3 6 3" xfId="48666" xr:uid="{00000000-0005-0000-0000-0000CB530000}"/>
    <cellStyle name="Input 16 2 3 6 4" xfId="36808" xr:uid="{00000000-0005-0000-0000-0000CC530000}"/>
    <cellStyle name="Input 16 2 3 7" xfId="20482" xr:uid="{00000000-0005-0000-0000-0000CD530000}"/>
    <cellStyle name="Input 16 2 3 7 2" xfId="46019" xr:uid="{00000000-0005-0000-0000-0000CE530000}"/>
    <cellStyle name="Input 16 2 3 7 3" xfId="49925" xr:uid="{00000000-0005-0000-0000-0000CF530000}"/>
    <cellStyle name="Input 16 2 3 7 4" xfId="37932" xr:uid="{00000000-0005-0000-0000-0000D0530000}"/>
    <cellStyle name="Input 16 2 3 8" xfId="19004" xr:uid="{00000000-0005-0000-0000-0000D1530000}"/>
    <cellStyle name="Input 16 2 3 8 2" xfId="44541" xr:uid="{00000000-0005-0000-0000-0000D2530000}"/>
    <cellStyle name="Input 16 2 3 8 3" xfId="48447" xr:uid="{00000000-0005-0000-0000-0000D3530000}"/>
    <cellStyle name="Input 16 2 3 9" xfId="39795" xr:uid="{00000000-0005-0000-0000-0000D4530000}"/>
    <cellStyle name="Input 16 2 4" xfId="22437" xr:uid="{00000000-0005-0000-0000-0000D5530000}"/>
    <cellStyle name="Input 16 2 5" xfId="53020" xr:uid="{00000000-0005-0000-0000-0000D6530000}"/>
    <cellStyle name="Input 16 2_Sheet1" xfId="1836" xr:uid="{00000000-0005-0000-0000-0000D7530000}"/>
    <cellStyle name="Input 16 3" xfId="1837" xr:uid="{00000000-0005-0000-0000-0000D8530000}"/>
    <cellStyle name="Input 16 3 2" xfId="7033" xr:uid="{00000000-0005-0000-0000-0000D9530000}"/>
    <cellStyle name="Input 16 3 2 10" xfId="39519" xr:uid="{00000000-0005-0000-0000-0000DA530000}"/>
    <cellStyle name="Input 16 3 2 2" xfId="10563" xr:uid="{00000000-0005-0000-0000-0000DB530000}"/>
    <cellStyle name="Input 16 3 2 2 2" xfId="18356" xr:uid="{00000000-0005-0000-0000-0000DC530000}"/>
    <cellStyle name="Input 16 3 2 2 2 2" xfId="43903" xr:uid="{00000000-0005-0000-0000-0000DD530000}"/>
    <cellStyle name="Input 16 3 2 2 2 3" xfId="47812" xr:uid="{00000000-0005-0000-0000-0000DE530000}"/>
    <cellStyle name="Input 16 3 2 2 2 4" xfId="35993" xr:uid="{00000000-0005-0000-0000-0000DF530000}"/>
    <cellStyle name="Input 16 3 2 2 3" xfId="19912" xr:uid="{00000000-0005-0000-0000-0000E0530000}"/>
    <cellStyle name="Input 16 3 2 2 3 2" xfId="45449" xr:uid="{00000000-0005-0000-0000-0000E1530000}"/>
    <cellStyle name="Input 16 3 2 2 3 3" xfId="49355" xr:uid="{00000000-0005-0000-0000-0000E2530000}"/>
    <cellStyle name="Input 16 3 2 2 3 4" xfId="37426" xr:uid="{00000000-0005-0000-0000-0000E3530000}"/>
    <cellStyle name="Input 16 3 2 2 4" xfId="19208" xr:uid="{00000000-0005-0000-0000-0000E4530000}"/>
    <cellStyle name="Input 16 3 2 2 4 2" xfId="44745" xr:uid="{00000000-0005-0000-0000-0000E5530000}"/>
    <cellStyle name="Input 16 3 2 2 4 3" xfId="48651" xr:uid="{00000000-0005-0000-0000-0000E6530000}"/>
    <cellStyle name="Input 16 3 2 2 4 4" xfId="36793" xr:uid="{00000000-0005-0000-0000-0000E7530000}"/>
    <cellStyle name="Input 16 3 2 2 5" xfId="20769" xr:uid="{00000000-0005-0000-0000-0000E8530000}"/>
    <cellStyle name="Input 16 3 2 2 5 2" xfId="46306" xr:uid="{00000000-0005-0000-0000-0000E9530000}"/>
    <cellStyle name="Input 16 3 2 2 5 3" xfId="50212" xr:uid="{00000000-0005-0000-0000-0000EA530000}"/>
    <cellStyle name="Input 16 3 2 2 5 4" xfId="38175" xr:uid="{00000000-0005-0000-0000-0000EB530000}"/>
    <cellStyle name="Input 16 3 2 2 6" xfId="21422" xr:uid="{00000000-0005-0000-0000-0000EC530000}"/>
    <cellStyle name="Input 16 3 2 2 6 2" xfId="46959" xr:uid="{00000000-0005-0000-0000-0000ED530000}"/>
    <cellStyle name="Input 16 3 2 2 6 3" xfId="50865" xr:uid="{00000000-0005-0000-0000-0000EE530000}"/>
    <cellStyle name="Input 16 3 2 2 7" xfId="40762" xr:uid="{00000000-0005-0000-0000-0000EF530000}"/>
    <cellStyle name="Input 16 3 2 2 8" xfId="42854" xr:uid="{00000000-0005-0000-0000-0000F0530000}"/>
    <cellStyle name="Input 16 3 2 3" xfId="10858" xr:uid="{00000000-0005-0000-0000-0000F1530000}"/>
    <cellStyle name="Input 16 3 2 3 2" xfId="18651" xr:uid="{00000000-0005-0000-0000-0000F2530000}"/>
    <cellStyle name="Input 16 3 2 3 2 2" xfId="44198" xr:uid="{00000000-0005-0000-0000-0000F3530000}"/>
    <cellStyle name="Input 16 3 2 3 2 3" xfId="48107" xr:uid="{00000000-0005-0000-0000-0000F4530000}"/>
    <cellStyle name="Input 16 3 2 3 2 4" xfId="36288" xr:uid="{00000000-0005-0000-0000-0000F5530000}"/>
    <cellStyle name="Input 16 3 2 3 3" xfId="19721" xr:uid="{00000000-0005-0000-0000-0000F6530000}"/>
    <cellStyle name="Input 16 3 2 3 3 2" xfId="45258" xr:uid="{00000000-0005-0000-0000-0000F7530000}"/>
    <cellStyle name="Input 16 3 2 3 3 3" xfId="49164" xr:uid="{00000000-0005-0000-0000-0000F8530000}"/>
    <cellStyle name="Input 16 3 2 3 3 4" xfId="37248" xr:uid="{00000000-0005-0000-0000-0000F9530000}"/>
    <cellStyle name="Input 16 3 2 3 4" xfId="19343" xr:uid="{00000000-0005-0000-0000-0000FA530000}"/>
    <cellStyle name="Input 16 3 2 3 4 2" xfId="44880" xr:uid="{00000000-0005-0000-0000-0000FB530000}"/>
    <cellStyle name="Input 16 3 2 3 4 3" xfId="48786" xr:uid="{00000000-0005-0000-0000-0000FC530000}"/>
    <cellStyle name="Input 16 3 2 3 4 4" xfId="36915" xr:uid="{00000000-0005-0000-0000-0000FD530000}"/>
    <cellStyle name="Input 16 3 2 3 5" xfId="21064" xr:uid="{00000000-0005-0000-0000-0000FE530000}"/>
    <cellStyle name="Input 16 3 2 3 5 2" xfId="46601" xr:uid="{00000000-0005-0000-0000-0000FF530000}"/>
    <cellStyle name="Input 16 3 2 3 5 3" xfId="50507" xr:uid="{00000000-0005-0000-0000-000000540000}"/>
    <cellStyle name="Input 16 3 2 3 5 4" xfId="38470" xr:uid="{00000000-0005-0000-0000-000001540000}"/>
    <cellStyle name="Input 16 3 2 3 6" xfId="21717" xr:uid="{00000000-0005-0000-0000-000002540000}"/>
    <cellStyle name="Input 16 3 2 3 6 2" xfId="47254" xr:uid="{00000000-0005-0000-0000-000003540000}"/>
    <cellStyle name="Input 16 3 2 3 6 3" xfId="51160" xr:uid="{00000000-0005-0000-0000-000004540000}"/>
    <cellStyle name="Input 16 3 2 3 7" xfId="41057" xr:uid="{00000000-0005-0000-0000-000005540000}"/>
    <cellStyle name="Input 16 3 2 3 8" xfId="42058" xr:uid="{00000000-0005-0000-0000-000006540000}"/>
    <cellStyle name="Input 16 3 2 4" xfId="14821" xr:uid="{00000000-0005-0000-0000-000007540000}"/>
    <cellStyle name="Input 16 3 2 4 2" xfId="42937" xr:uid="{00000000-0005-0000-0000-000008540000}"/>
    <cellStyle name="Input 16 3 2 4 3" xfId="43184" xr:uid="{00000000-0005-0000-0000-000009540000}"/>
    <cellStyle name="Input 16 3 2 4 4" xfId="32456" xr:uid="{00000000-0005-0000-0000-00000A540000}"/>
    <cellStyle name="Input 16 3 2 5" xfId="13096" xr:uid="{00000000-0005-0000-0000-00000B540000}"/>
    <cellStyle name="Input 16 3 2 5 2" xfId="42317" xr:uid="{00000000-0005-0000-0000-00000C540000}"/>
    <cellStyle name="Input 16 3 2 5 3" xfId="39304" xr:uid="{00000000-0005-0000-0000-00000D540000}"/>
    <cellStyle name="Input 16 3 2 5 4" xfId="30745" xr:uid="{00000000-0005-0000-0000-00000E540000}"/>
    <cellStyle name="Input 16 3 2 6" xfId="19324" xr:uid="{00000000-0005-0000-0000-00000F540000}"/>
    <cellStyle name="Input 16 3 2 6 2" xfId="44861" xr:uid="{00000000-0005-0000-0000-000010540000}"/>
    <cellStyle name="Input 16 3 2 6 3" xfId="48767" xr:uid="{00000000-0005-0000-0000-000011540000}"/>
    <cellStyle name="Input 16 3 2 6 4" xfId="36902" xr:uid="{00000000-0005-0000-0000-000012540000}"/>
    <cellStyle name="Input 16 3 2 7" xfId="11595" xr:uid="{00000000-0005-0000-0000-000013540000}"/>
    <cellStyle name="Input 16 3 2 7 2" xfId="41606" xr:uid="{00000000-0005-0000-0000-000014540000}"/>
    <cellStyle name="Input 16 3 2 7 3" xfId="43706" xr:uid="{00000000-0005-0000-0000-000015540000}"/>
    <cellStyle name="Input 16 3 2 7 4" xfId="29302" xr:uid="{00000000-0005-0000-0000-000016540000}"/>
    <cellStyle name="Input 16 3 2 8" xfId="11346" xr:uid="{00000000-0005-0000-0000-000017540000}"/>
    <cellStyle name="Input 16 3 2 8 2" xfId="41385" xr:uid="{00000000-0005-0000-0000-000018540000}"/>
    <cellStyle name="Input 16 3 2 8 3" xfId="42721" xr:uid="{00000000-0005-0000-0000-000019540000}"/>
    <cellStyle name="Input 16 3 2 9" xfId="39797" xr:uid="{00000000-0005-0000-0000-00001A540000}"/>
    <cellStyle name="Input 16 3 3" xfId="53023" xr:uid="{00000000-0005-0000-0000-00001B540000}"/>
    <cellStyle name="Input 16 4" xfId="7030" xr:uid="{00000000-0005-0000-0000-00001C540000}"/>
    <cellStyle name="Input 16 4 10" xfId="42631" xr:uid="{00000000-0005-0000-0000-00001D540000}"/>
    <cellStyle name="Input 16 4 11" xfId="53024" xr:uid="{00000000-0005-0000-0000-00001E540000}"/>
    <cellStyle name="Input 16 4 2" xfId="10560" xr:uid="{00000000-0005-0000-0000-00001F540000}"/>
    <cellStyle name="Input 16 4 2 2" xfId="18353" xr:uid="{00000000-0005-0000-0000-000020540000}"/>
    <cellStyle name="Input 16 4 2 2 2" xfId="43900" xr:uid="{00000000-0005-0000-0000-000021540000}"/>
    <cellStyle name="Input 16 4 2 2 3" xfId="47809" xr:uid="{00000000-0005-0000-0000-000022540000}"/>
    <cellStyle name="Input 16 4 2 2 4" xfId="35990" xr:uid="{00000000-0005-0000-0000-000023540000}"/>
    <cellStyle name="Input 16 4 2 3" xfId="19430" xr:uid="{00000000-0005-0000-0000-000024540000}"/>
    <cellStyle name="Input 16 4 2 3 2" xfId="44967" xr:uid="{00000000-0005-0000-0000-000025540000}"/>
    <cellStyle name="Input 16 4 2 3 3" xfId="48873" xr:uid="{00000000-0005-0000-0000-000026540000}"/>
    <cellStyle name="Input 16 4 2 3 4" xfId="36995" xr:uid="{00000000-0005-0000-0000-000027540000}"/>
    <cellStyle name="Input 16 4 2 4" xfId="19570" xr:uid="{00000000-0005-0000-0000-000028540000}"/>
    <cellStyle name="Input 16 4 2 4 2" xfId="45107" xr:uid="{00000000-0005-0000-0000-000029540000}"/>
    <cellStyle name="Input 16 4 2 4 3" xfId="49013" xr:uid="{00000000-0005-0000-0000-00002A540000}"/>
    <cellStyle name="Input 16 4 2 4 4" xfId="37111" xr:uid="{00000000-0005-0000-0000-00002B540000}"/>
    <cellStyle name="Input 16 4 2 5" xfId="20766" xr:uid="{00000000-0005-0000-0000-00002C540000}"/>
    <cellStyle name="Input 16 4 2 5 2" xfId="46303" xr:uid="{00000000-0005-0000-0000-00002D540000}"/>
    <cellStyle name="Input 16 4 2 5 3" xfId="50209" xr:uid="{00000000-0005-0000-0000-00002E540000}"/>
    <cellStyle name="Input 16 4 2 5 4" xfId="38172" xr:uid="{00000000-0005-0000-0000-00002F540000}"/>
    <cellStyle name="Input 16 4 2 6" xfId="21419" xr:uid="{00000000-0005-0000-0000-000030540000}"/>
    <cellStyle name="Input 16 4 2 6 2" xfId="46956" xr:uid="{00000000-0005-0000-0000-000031540000}"/>
    <cellStyle name="Input 16 4 2 6 3" xfId="50862" xr:uid="{00000000-0005-0000-0000-000032540000}"/>
    <cellStyle name="Input 16 4 2 7" xfId="40759" xr:uid="{00000000-0005-0000-0000-000033540000}"/>
    <cellStyle name="Input 16 4 2 8" xfId="42077" xr:uid="{00000000-0005-0000-0000-000034540000}"/>
    <cellStyle name="Input 16 4 3" xfId="10855" xr:uid="{00000000-0005-0000-0000-000035540000}"/>
    <cellStyle name="Input 16 4 3 2" xfId="18648" xr:uid="{00000000-0005-0000-0000-000036540000}"/>
    <cellStyle name="Input 16 4 3 2 2" xfId="44195" xr:uid="{00000000-0005-0000-0000-000037540000}"/>
    <cellStyle name="Input 16 4 3 2 3" xfId="48104" xr:uid="{00000000-0005-0000-0000-000038540000}"/>
    <cellStyle name="Input 16 4 3 2 4" xfId="36285" xr:uid="{00000000-0005-0000-0000-000039540000}"/>
    <cellStyle name="Input 16 4 3 3" xfId="19107" xr:uid="{00000000-0005-0000-0000-00003A540000}"/>
    <cellStyle name="Input 16 4 3 3 2" xfId="44644" xr:uid="{00000000-0005-0000-0000-00003B540000}"/>
    <cellStyle name="Input 16 4 3 3 3" xfId="48550" xr:uid="{00000000-0005-0000-0000-00003C540000}"/>
    <cellStyle name="Input 16 4 3 3 4" xfId="36702" xr:uid="{00000000-0005-0000-0000-00003D540000}"/>
    <cellStyle name="Input 16 4 3 4" xfId="19558" xr:uid="{00000000-0005-0000-0000-00003E540000}"/>
    <cellStyle name="Input 16 4 3 4 2" xfId="45095" xr:uid="{00000000-0005-0000-0000-00003F540000}"/>
    <cellStyle name="Input 16 4 3 4 3" xfId="49001" xr:uid="{00000000-0005-0000-0000-000040540000}"/>
    <cellStyle name="Input 16 4 3 4 4" xfId="37099" xr:uid="{00000000-0005-0000-0000-000041540000}"/>
    <cellStyle name="Input 16 4 3 5" xfId="21061" xr:uid="{00000000-0005-0000-0000-000042540000}"/>
    <cellStyle name="Input 16 4 3 5 2" xfId="46598" xr:uid="{00000000-0005-0000-0000-000043540000}"/>
    <cellStyle name="Input 16 4 3 5 3" xfId="50504" xr:uid="{00000000-0005-0000-0000-000044540000}"/>
    <cellStyle name="Input 16 4 3 5 4" xfId="38467" xr:uid="{00000000-0005-0000-0000-000045540000}"/>
    <cellStyle name="Input 16 4 3 6" xfId="21714" xr:uid="{00000000-0005-0000-0000-000046540000}"/>
    <cellStyle name="Input 16 4 3 6 2" xfId="47251" xr:uid="{00000000-0005-0000-0000-000047540000}"/>
    <cellStyle name="Input 16 4 3 6 3" xfId="51157" xr:uid="{00000000-0005-0000-0000-000048540000}"/>
    <cellStyle name="Input 16 4 3 7" xfId="41054" xr:uid="{00000000-0005-0000-0000-000049540000}"/>
    <cellStyle name="Input 16 4 3 8" xfId="43376" xr:uid="{00000000-0005-0000-0000-00004A540000}"/>
    <cellStyle name="Input 16 4 4" xfId="14818" xr:uid="{00000000-0005-0000-0000-00004B540000}"/>
    <cellStyle name="Input 16 4 4 2" xfId="42934" xr:uid="{00000000-0005-0000-0000-00004C540000}"/>
    <cellStyle name="Input 16 4 4 3" xfId="39276" xr:uid="{00000000-0005-0000-0000-00004D540000}"/>
    <cellStyle name="Input 16 4 4 4" xfId="32453" xr:uid="{00000000-0005-0000-0000-00004E540000}"/>
    <cellStyle name="Input 16 4 5" xfId="13094" xr:uid="{00000000-0005-0000-0000-00004F540000}"/>
    <cellStyle name="Input 16 4 5 2" xfId="42315" xr:uid="{00000000-0005-0000-0000-000050540000}"/>
    <cellStyle name="Input 16 4 5 3" xfId="43321" xr:uid="{00000000-0005-0000-0000-000051540000}"/>
    <cellStyle name="Input 16 4 5 4" xfId="30743" xr:uid="{00000000-0005-0000-0000-000052540000}"/>
    <cellStyle name="Input 16 4 6" xfId="19331" xr:uid="{00000000-0005-0000-0000-000053540000}"/>
    <cellStyle name="Input 16 4 6 2" xfId="44868" xr:uid="{00000000-0005-0000-0000-000054540000}"/>
    <cellStyle name="Input 16 4 6 3" xfId="48774" xr:uid="{00000000-0005-0000-0000-000055540000}"/>
    <cellStyle name="Input 16 4 6 4" xfId="36906" xr:uid="{00000000-0005-0000-0000-000056540000}"/>
    <cellStyle name="Input 16 4 7" xfId="20103" xr:uid="{00000000-0005-0000-0000-000057540000}"/>
    <cellStyle name="Input 16 4 7 2" xfId="45640" xr:uid="{00000000-0005-0000-0000-000058540000}"/>
    <cellStyle name="Input 16 4 7 3" xfId="49546" xr:uid="{00000000-0005-0000-0000-000059540000}"/>
    <cellStyle name="Input 16 4 7 4" xfId="37592" xr:uid="{00000000-0005-0000-0000-00005A540000}"/>
    <cellStyle name="Input 16 4 8" xfId="19952" xr:uid="{00000000-0005-0000-0000-00005B540000}"/>
    <cellStyle name="Input 16 4 8 2" xfId="45489" xr:uid="{00000000-0005-0000-0000-00005C540000}"/>
    <cellStyle name="Input 16 4 8 3" xfId="49395" xr:uid="{00000000-0005-0000-0000-00005D540000}"/>
    <cellStyle name="Input 16 4 9" xfId="39794" xr:uid="{00000000-0005-0000-0000-00005E540000}"/>
    <cellStyle name="Input 16 5" xfId="22436" xr:uid="{00000000-0005-0000-0000-00005F540000}"/>
    <cellStyle name="Input 16 6" xfId="53019" xr:uid="{00000000-0005-0000-0000-000060540000}"/>
    <cellStyle name="Input 16_Sheet1" xfId="1838" xr:uid="{00000000-0005-0000-0000-000061540000}"/>
    <cellStyle name="Input 17" xfId="1839" xr:uid="{00000000-0005-0000-0000-000062540000}"/>
    <cellStyle name="Input 17 2" xfId="1840" xr:uid="{00000000-0005-0000-0000-000063540000}"/>
    <cellStyle name="Input 17 2 2" xfId="1841" xr:uid="{00000000-0005-0000-0000-000064540000}"/>
    <cellStyle name="Input 17 2 2 2" xfId="7036" xr:uid="{00000000-0005-0000-0000-000065540000}"/>
    <cellStyle name="Input 17 2 2 2 10" xfId="40289" xr:uid="{00000000-0005-0000-0000-000066540000}"/>
    <cellStyle name="Input 17 2 2 2 2" xfId="10566" xr:uid="{00000000-0005-0000-0000-000067540000}"/>
    <cellStyle name="Input 17 2 2 2 2 2" xfId="18359" xr:uid="{00000000-0005-0000-0000-000068540000}"/>
    <cellStyle name="Input 17 2 2 2 2 2 2" xfId="43906" xr:uid="{00000000-0005-0000-0000-000069540000}"/>
    <cellStyle name="Input 17 2 2 2 2 2 3" xfId="47815" xr:uid="{00000000-0005-0000-0000-00006A540000}"/>
    <cellStyle name="Input 17 2 2 2 2 2 4" xfId="35996" xr:uid="{00000000-0005-0000-0000-00006B540000}"/>
    <cellStyle name="Input 17 2 2 2 2 3" xfId="11493" xr:uid="{00000000-0005-0000-0000-00006C540000}"/>
    <cellStyle name="Input 17 2 2 2 2 3 2" xfId="41504" xr:uid="{00000000-0005-0000-0000-00006D540000}"/>
    <cellStyle name="Input 17 2 2 2 2 3 3" xfId="39356" xr:uid="{00000000-0005-0000-0000-00006E540000}"/>
    <cellStyle name="Input 17 2 2 2 2 3 4" xfId="29208" xr:uid="{00000000-0005-0000-0000-00006F540000}"/>
    <cellStyle name="Input 17 2 2 2 2 4" xfId="19851" xr:uid="{00000000-0005-0000-0000-000070540000}"/>
    <cellStyle name="Input 17 2 2 2 2 4 2" xfId="45388" xr:uid="{00000000-0005-0000-0000-000071540000}"/>
    <cellStyle name="Input 17 2 2 2 2 4 3" xfId="49294" xr:uid="{00000000-0005-0000-0000-000072540000}"/>
    <cellStyle name="Input 17 2 2 2 2 4 4" xfId="37367" xr:uid="{00000000-0005-0000-0000-000073540000}"/>
    <cellStyle name="Input 17 2 2 2 2 5" xfId="20772" xr:uid="{00000000-0005-0000-0000-000074540000}"/>
    <cellStyle name="Input 17 2 2 2 2 5 2" xfId="46309" xr:uid="{00000000-0005-0000-0000-000075540000}"/>
    <cellStyle name="Input 17 2 2 2 2 5 3" xfId="50215" xr:uid="{00000000-0005-0000-0000-000076540000}"/>
    <cellStyle name="Input 17 2 2 2 2 5 4" xfId="38178" xr:uid="{00000000-0005-0000-0000-000077540000}"/>
    <cellStyle name="Input 17 2 2 2 2 6" xfId="21425" xr:uid="{00000000-0005-0000-0000-000078540000}"/>
    <cellStyle name="Input 17 2 2 2 2 6 2" xfId="46962" xr:uid="{00000000-0005-0000-0000-000079540000}"/>
    <cellStyle name="Input 17 2 2 2 2 6 3" xfId="50868" xr:uid="{00000000-0005-0000-0000-00007A540000}"/>
    <cellStyle name="Input 17 2 2 2 2 7" xfId="40765" xr:uid="{00000000-0005-0000-0000-00007B540000}"/>
    <cellStyle name="Input 17 2 2 2 2 8" xfId="39713" xr:uid="{00000000-0005-0000-0000-00007C540000}"/>
    <cellStyle name="Input 17 2 2 2 3" xfId="10861" xr:uid="{00000000-0005-0000-0000-00007D540000}"/>
    <cellStyle name="Input 17 2 2 2 3 2" xfId="18654" xr:uid="{00000000-0005-0000-0000-00007E540000}"/>
    <cellStyle name="Input 17 2 2 2 3 2 2" xfId="44201" xr:uid="{00000000-0005-0000-0000-00007F540000}"/>
    <cellStyle name="Input 17 2 2 2 3 2 3" xfId="48110" xr:uid="{00000000-0005-0000-0000-000080540000}"/>
    <cellStyle name="Input 17 2 2 2 3 2 4" xfId="36291" xr:uid="{00000000-0005-0000-0000-000081540000}"/>
    <cellStyle name="Input 17 2 2 2 3 3" xfId="11517" xr:uid="{00000000-0005-0000-0000-000082540000}"/>
    <cellStyle name="Input 17 2 2 2 3 3 2" xfId="41528" xr:uid="{00000000-0005-0000-0000-000083540000}"/>
    <cellStyle name="Input 17 2 2 2 3 3 3" xfId="40075" xr:uid="{00000000-0005-0000-0000-000084540000}"/>
    <cellStyle name="Input 17 2 2 2 3 3 4" xfId="29232" xr:uid="{00000000-0005-0000-0000-000085540000}"/>
    <cellStyle name="Input 17 2 2 2 3 4" xfId="19984" xr:uid="{00000000-0005-0000-0000-000086540000}"/>
    <cellStyle name="Input 17 2 2 2 3 4 2" xfId="45521" xr:uid="{00000000-0005-0000-0000-000087540000}"/>
    <cellStyle name="Input 17 2 2 2 3 4 3" xfId="49427" xr:uid="{00000000-0005-0000-0000-000088540000}"/>
    <cellStyle name="Input 17 2 2 2 3 4 4" xfId="37483" xr:uid="{00000000-0005-0000-0000-000089540000}"/>
    <cellStyle name="Input 17 2 2 2 3 5" xfId="21067" xr:uid="{00000000-0005-0000-0000-00008A540000}"/>
    <cellStyle name="Input 17 2 2 2 3 5 2" xfId="46604" xr:uid="{00000000-0005-0000-0000-00008B540000}"/>
    <cellStyle name="Input 17 2 2 2 3 5 3" xfId="50510" xr:uid="{00000000-0005-0000-0000-00008C540000}"/>
    <cellStyle name="Input 17 2 2 2 3 5 4" xfId="38473" xr:uid="{00000000-0005-0000-0000-00008D540000}"/>
    <cellStyle name="Input 17 2 2 2 3 6" xfId="21720" xr:uid="{00000000-0005-0000-0000-00008E540000}"/>
    <cellStyle name="Input 17 2 2 2 3 6 2" xfId="47257" xr:uid="{00000000-0005-0000-0000-00008F540000}"/>
    <cellStyle name="Input 17 2 2 2 3 6 3" xfId="51163" xr:uid="{00000000-0005-0000-0000-000090540000}"/>
    <cellStyle name="Input 17 2 2 2 3 7" xfId="41060" xr:uid="{00000000-0005-0000-0000-000091540000}"/>
    <cellStyle name="Input 17 2 2 2 3 8" xfId="39379" xr:uid="{00000000-0005-0000-0000-000092540000}"/>
    <cellStyle name="Input 17 2 2 2 4" xfId="14824" xr:uid="{00000000-0005-0000-0000-000093540000}"/>
    <cellStyle name="Input 17 2 2 2 4 2" xfId="42940" xr:uid="{00000000-0005-0000-0000-000094540000}"/>
    <cellStyle name="Input 17 2 2 2 4 3" xfId="43672" xr:uid="{00000000-0005-0000-0000-000095540000}"/>
    <cellStyle name="Input 17 2 2 2 4 4" xfId="32459" xr:uid="{00000000-0005-0000-0000-000096540000}"/>
    <cellStyle name="Input 17 2 2 2 5" xfId="13098" xr:uid="{00000000-0005-0000-0000-000097540000}"/>
    <cellStyle name="Input 17 2 2 2 5 2" xfId="42319" xr:uid="{00000000-0005-0000-0000-000098540000}"/>
    <cellStyle name="Input 17 2 2 2 5 3" xfId="47489" xr:uid="{00000000-0005-0000-0000-000099540000}"/>
    <cellStyle name="Input 17 2 2 2 5 4" xfId="30747" xr:uid="{00000000-0005-0000-0000-00009A540000}"/>
    <cellStyle name="Input 17 2 2 2 6" xfId="19774" xr:uid="{00000000-0005-0000-0000-00009B540000}"/>
    <cellStyle name="Input 17 2 2 2 6 2" xfId="45311" xr:uid="{00000000-0005-0000-0000-00009C540000}"/>
    <cellStyle name="Input 17 2 2 2 6 3" xfId="49217" xr:uid="{00000000-0005-0000-0000-00009D540000}"/>
    <cellStyle name="Input 17 2 2 2 6 4" xfId="37301" xr:uid="{00000000-0005-0000-0000-00009E540000}"/>
    <cellStyle name="Input 17 2 2 2 7" xfId="12912" xr:uid="{00000000-0005-0000-0000-00009F540000}"/>
    <cellStyle name="Input 17 2 2 2 7 2" xfId="42255" xr:uid="{00000000-0005-0000-0000-0000A0540000}"/>
    <cellStyle name="Input 17 2 2 2 7 3" xfId="47609" xr:uid="{00000000-0005-0000-0000-0000A1540000}"/>
    <cellStyle name="Input 17 2 2 2 7 4" xfId="30562" xr:uid="{00000000-0005-0000-0000-0000A2540000}"/>
    <cellStyle name="Input 17 2 2 2 8" xfId="20620" xr:uid="{00000000-0005-0000-0000-0000A3540000}"/>
    <cellStyle name="Input 17 2 2 2 8 2" xfId="46157" xr:uid="{00000000-0005-0000-0000-0000A4540000}"/>
    <cellStyle name="Input 17 2 2 2 8 3" xfId="50063" xr:uid="{00000000-0005-0000-0000-0000A5540000}"/>
    <cellStyle name="Input 17 2 2 2 9" xfId="39800" xr:uid="{00000000-0005-0000-0000-0000A6540000}"/>
    <cellStyle name="Input 17 2 2 3" xfId="53027" xr:uid="{00000000-0005-0000-0000-0000A7540000}"/>
    <cellStyle name="Input 17 2 3" xfId="7035" xr:uid="{00000000-0005-0000-0000-0000A8540000}"/>
    <cellStyle name="Input 17 2 3 10" xfId="43427" xr:uid="{00000000-0005-0000-0000-0000A9540000}"/>
    <cellStyle name="Input 17 2 3 11" xfId="53028" xr:uid="{00000000-0005-0000-0000-0000AA540000}"/>
    <cellStyle name="Input 17 2 3 2" xfId="10565" xr:uid="{00000000-0005-0000-0000-0000AB540000}"/>
    <cellStyle name="Input 17 2 3 2 2" xfId="18358" xr:uid="{00000000-0005-0000-0000-0000AC540000}"/>
    <cellStyle name="Input 17 2 3 2 2 2" xfId="43905" xr:uid="{00000000-0005-0000-0000-0000AD540000}"/>
    <cellStyle name="Input 17 2 3 2 2 3" xfId="47814" xr:uid="{00000000-0005-0000-0000-0000AE540000}"/>
    <cellStyle name="Input 17 2 3 2 2 4" xfId="35995" xr:uid="{00000000-0005-0000-0000-0000AF540000}"/>
    <cellStyle name="Input 17 2 3 2 3" xfId="19757" xr:uid="{00000000-0005-0000-0000-0000B0540000}"/>
    <cellStyle name="Input 17 2 3 2 3 2" xfId="45294" xr:uid="{00000000-0005-0000-0000-0000B1540000}"/>
    <cellStyle name="Input 17 2 3 2 3 3" xfId="49200" xr:uid="{00000000-0005-0000-0000-0000B2540000}"/>
    <cellStyle name="Input 17 2 3 2 3 4" xfId="37284" xr:uid="{00000000-0005-0000-0000-0000B3540000}"/>
    <cellStyle name="Input 17 2 3 2 4" xfId="19062" xr:uid="{00000000-0005-0000-0000-0000B4540000}"/>
    <cellStyle name="Input 17 2 3 2 4 2" xfId="44599" xr:uid="{00000000-0005-0000-0000-0000B5540000}"/>
    <cellStyle name="Input 17 2 3 2 4 3" xfId="48505" xr:uid="{00000000-0005-0000-0000-0000B6540000}"/>
    <cellStyle name="Input 17 2 3 2 4 4" xfId="36661" xr:uid="{00000000-0005-0000-0000-0000B7540000}"/>
    <cellStyle name="Input 17 2 3 2 5" xfId="20771" xr:uid="{00000000-0005-0000-0000-0000B8540000}"/>
    <cellStyle name="Input 17 2 3 2 5 2" xfId="46308" xr:uid="{00000000-0005-0000-0000-0000B9540000}"/>
    <cellStyle name="Input 17 2 3 2 5 3" xfId="50214" xr:uid="{00000000-0005-0000-0000-0000BA540000}"/>
    <cellStyle name="Input 17 2 3 2 5 4" xfId="38177" xr:uid="{00000000-0005-0000-0000-0000BB540000}"/>
    <cellStyle name="Input 17 2 3 2 6" xfId="21424" xr:uid="{00000000-0005-0000-0000-0000BC540000}"/>
    <cellStyle name="Input 17 2 3 2 6 2" xfId="46961" xr:uid="{00000000-0005-0000-0000-0000BD540000}"/>
    <cellStyle name="Input 17 2 3 2 6 3" xfId="50867" xr:uid="{00000000-0005-0000-0000-0000BE540000}"/>
    <cellStyle name="Input 17 2 3 2 7" xfId="40764" xr:uid="{00000000-0005-0000-0000-0000BF540000}"/>
    <cellStyle name="Input 17 2 3 2 8" xfId="40602" xr:uid="{00000000-0005-0000-0000-0000C0540000}"/>
    <cellStyle name="Input 17 2 3 3" xfId="10860" xr:uid="{00000000-0005-0000-0000-0000C1540000}"/>
    <cellStyle name="Input 17 2 3 3 2" xfId="18653" xr:uid="{00000000-0005-0000-0000-0000C2540000}"/>
    <cellStyle name="Input 17 2 3 3 2 2" xfId="44200" xr:uid="{00000000-0005-0000-0000-0000C3540000}"/>
    <cellStyle name="Input 17 2 3 3 2 3" xfId="48109" xr:uid="{00000000-0005-0000-0000-0000C4540000}"/>
    <cellStyle name="Input 17 2 3 3 2 4" xfId="36290" xr:uid="{00000000-0005-0000-0000-0000C5540000}"/>
    <cellStyle name="Input 17 2 3 3 3" xfId="13336" xr:uid="{00000000-0005-0000-0000-0000C6540000}"/>
    <cellStyle name="Input 17 2 3 3 3 2" xfId="42506" xr:uid="{00000000-0005-0000-0000-0000C7540000}"/>
    <cellStyle name="Input 17 2 3 3 3 3" xfId="43679" xr:uid="{00000000-0005-0000-0000-0000C8540000}"/>
    <cellStyle name="Input 17 2 3 3 3 4" xfId="30976" xr:uid="{00000000-0005-0000-0000-0000C9540000}"/>
    <cellStyle name="Input 17 2 3 3 4" xfId="18961" xr:uid="{00000000-0005-0000-0000-0000CA540000}"/>
    <cellStyle name="Input 17 2 3 3 4 2" xfId="44498" xr:uid="{00000000-0005-0000-0000-0000CB540000}"/>
    <cellStyle name="Input 17 2 3 3 4 3" xfId="48404" xr:uid="{00000000-0005-0000-0000-0000CC540000}"/>
    <cellStyle name="Input 17 2 3 3 4 4" xfId="36587" xr:uid="{00000000-0005-0000-0000-0000CD540000}"/>
    <cellStyle name="Input 17 2 3 3 5" xfId="21066" xr:uid="{00000000-0005-0000-0000-0000CE540000}"/>
    <cellStyle name="Input 17 2 3 3 5 2" xfId="46603" xr:uid="{00000000-0005-0000-0000-0000CF540000}"/>
    <cellStyle name="Input 17 2 3 3 5 3" xfId="50509" xr:uid="{00000000-0005-0000-0000-0000D0540000}"/>
    <cellStyle name="Input 17 2 3 3 5 4" xfId="38472" xr:uid="{00000000-0005-0000-0000-0000D1540000}"/>
    <cellStyle name="Input 17 2 3 3 6" xfId="21719" xr:uid="{00000000-0005-0000-0000-0000D2540000}"/>
    <cellStyle name="Input 17 2 3 3 6 2" xfId="47256" xr:uid="{00000000-0005-0000-0000-0000D3540000}"/>
    <cellStyle name="Input 17 2 3 3 6 3" xfId="51162" xr:uid="{00000000-0005-0000-0000-0000D4540000}"/>
    <cellStyle name="Input 17 2 3 3 7" xfId="41059" xr:uid="{00000000-0005-0000-0000-0000D5540000}"/>
    <cellStyle name="Input 17 2 3 3 8" xfId="40239" xr:uid="{00000000-0005-0000-0000-0000D6540000}"/>
    <cellStyle name="Input 17 2 3 4" xfId="14823" xr:uid="{00000000-0005-0000-0000-0000D7540000}"/>
    <cellStyle name="Input 17 2 3 4 2" xfId="42939" xr:uid="{00000000-0005-0000-0000-0000D8540000}"/>
    <cellStyle name="Input 17 2 3 4 3" xfId="42785" xr:uid="{00000000-0005-0000-0000-0000D9540000}"/>
    <cellStyle name="Input 17 2 3 4 4" xfId="32458" xr:uid="{00000000-0005-0000-0000-0000DA540000}"/>
    <cellStyle name="Input 17 2 3 5" xfId="13097" xr:uid="{00000000-0005-0000-0000-0000DB540000}"/>
    <cellStyle name="Input 17 2 3 5 2" xfId="42318" xr:uid="{00000000-0005-0000-0000-0000DC540000}"/>
    <cellStyle name="Input 17 2 3 5 3" xfId="39106" xr:uid="{00000000-0005-0000-0000-0000DD540000}"/>
    <cellStyle name="Input 17 2 3 5 4" xfId="30746" xr:uid="{00000000-0005-0000-0000-0000DE540000}"/>
    <cellStyle name="Input 17 2 3 6" xfId="12525" xr:uid="{00000000-0005-0000-0000-0000DF540000}"/>
    <cellStyle name="Input 17 2 3 6 2" xfId="42033" xr:uid="{00000000-0005-0000-0000-0000E0540000}"/>
    <cellStyle name="Input 17 2 3 6 3" xfId="40195" xr:uid="{00000000-0005-0000-0000-0000E1540000}"/>
    <cellStyle name="Input 17 2 3 6 4" xfId="30193" xr:uid="{00000000-0005-0000-0000-0000E2540000}"/>
    <cellStyle name="Input 17 2 3 7" xfId="19942" xr:uid="{00000000-0005-0000-0000-0000E3540000}"/>
    <cellStyle name="Input 17 2 3 7 2" xfId="45479" xr:uid="{00000000-0005-0000-0000-0000E4540000}"/>
    <cellStyle name="Input 17 2 3 7 3" xfId="49385" xr:uid="{00000000-0005-0000-0000-0000E5540000}"/>
    <cellStyle name="Input 17 2 3 7 4" xfId="37451" xr:uid="{00000000-0005-0000-0000-0000E6540000}"/>
    <cellStyle name="Input 17 2 3 8" xfId="19335" xr:uid="{00000000-0005-0000-0000-0000E7540000}"/>
    <cellStyle name="Input 17 2 3 8 2" xfId="44872" xr:uid="{00000000-0005-0000-0000-0000E8540000}"/>
    <cellStyle name="Input 17 2 3 8 3" xfId="48778" xr:uid="{00000000-0005-0000-0000-0000E9540000}"/>
    <cellStyle name="Input 17 2 3 9" xfId="39799" xr:uid="{00000000-0005-0000-0000-0000EA540000}"/>
    <cellStyle name="Input 17 2 4" xfId="22439" xr:uid="{00000000-0005-0000-0000-0000EB540000}"/>
    <cellStyle name="Input 17 2 5" xfId="53026" xr:uid="{00000000-0005-0000-0000-0000EC540000}"/>
    <cellStyle name="Input 17 2_Sheet1" xfId="1842" xr:uid="{00000000-0005-0000-0000-0000ED540000}"/>
    <cellStyle name="Input 17 3" xfId="1843" xr:uid="{00000000-0005-0000-0000-0000EE540000}"/>
    <cellStyle name="Input 17 3 2" xfId="7037" xr:uid="{00000000-0005-0000-0000-0000EF540000}"/>
    <cellStyle name="Input 17 3 2 10" xfId="39417" xr:uid="{00000000-0005-0000-0000-0000F0540000}"/>
    <cellStyle name="Input 17 3 2 2" xfId="10567" xr:uid="{00000000-0005-0000-0000-0000F1540000}"/>
    <cellStyle name="Input 17 3 2 2 2" xfId="18360" xr:uid="{00000000-0005-0000-0000-0000F2540000}"/>
    <cellStyle name="Input 17 3 2 2 2 2" xfId="43907" xr:uid="{00000000-0005-0000-0000-0000F3540000}"/>
    <cellStyle name="Input 17 3 2 2 2 3" xfId="47816" xr:uid="{00000000-0005-0000-0000-0000F4540000}"/>
    <cellStyle name="Input 17 3 2 2 2 4" xfId="35997" xr:uid="{00000000-0005-0000-0000-0000F5540000}"/>
    <cellStyle name="Input 17 3 2 2 3" xfId="12160" xr:uid="{00000000-0005-0000-0000-0000F6540000}"/>
    <cellStyle name="Input 17 3 2 2 3 2" xfId="41905" xr:uid="{00000000-0005-0000-0000-0000F7540000}"/>
    <cellStyle name="Input 17 3 2 2 3 3" xfId="39667" xr:uid="{00000000-0005-0000-0000-0000F8540000}"/>
    <cellStyle name="Input 17 3 2 2 3 4" xfId="29832" xr:uid="{00000000-0005-0000-0000-0000F9540000}"/>
    <cellStyle name="Input 17 3 2 2 4" xfId="12760" xr:uid="{00000000-0005-0000-0000-0000FA540000}"/>
    <cellStyle name="Input 17 3 2 2 4 2" xfId="42205" xr:uid="{00000000-0005-0000-0000-0000FB540000}"/>
    <cellStyle name="Input 17 3 2 2 4 3" xfId="40187" xr:uid="{00000000-0005-0000-0000-0000FC540000}"/>
    <cellStyle name="Input 17 3 2 2 4 4" xfId="30418" xr:uid="{00000000-0005-0000-0000-0000FD540000}"/>
    <cellStyle name="Input 17 3 2 2 5" xfId="20773" xr:uid="{00000000-0005-0000-0000-0000FE540000}"/>
    <cellStyle name="Input 17 3 2 2 5 2" xfId="46310" xr:uid="{00000000-0005-0000-0000-0000FF540000}"/>
    <cellStyle name="Input 17 3 2 2 5 3" xfId="50216" xr:uid="{00000000-0005-0000-0000-000000550000}"/>
    <cellStyle name="Input 17 3 2 2 5 4" xfId="38179" xr:uid="{00000000-0005-0000-0000-000001550000}"/>
    <cellStyle name="Input 17 3 2 2 6" xfId="21426" xr:uid="{00000000-0005-0000-0000-000002550000}"/>
    <cellStyle name="Input 17 3 2 2 6 2" xfId="46963" xr:uid="{00000000-0005-0000-0000-000003550000}"/>
    <cellStyle name="Input 17 3 2 2 6 3" xfId="50869" xr:uid="{00000000-0005-0000-0000-000004550000}"/>
    <cellStyle name="Input 17 3 2 2 7" xfId="40766" xr:uid="{00000000-0005-0000-0000-000005550000}"/>
    <cellStyle name="Input 17 3 2 2 8" xfId="42750" xr:uid="{00000000-0005-0000-0000-000006550000}"/>
    <cellStyle name="Input 17 3 2 3" xfId="10862" xr:uid="{00000000-0005-0000-0000-000007550000}"/>
    <cellStyle name="Input 17 3 2 3 2" xfId="18655" xr:uid="{00000000-0005-0000-0000-000008550000}"/>
    <cellStyle name="Input 17 3 2 3 2 2" xfId="44202" xr:uid="{00000000-0005-0000-0000-000009550000}"/>
    <cellStyle name="Input 17 3 2 3 2 3" xfId="48111" xr:uid="{00000000-0005-0000-0000-00000A550000}"/>
    <cellStyle name="Input 17 3 2 3 2 4" xfId="36292" xr:uid="{00000000-0005-0000-0000-00000B550000}"/>
    <cellStyle name="Input 17 3 2 3 3" xfId="11518" xr:uid="{00000000-0005-0000-0000-00000C550000}"/>
    <cellStyle name="Input 17 3 2 3 3 2" xfId="41529" xr:uid="{00000000-0005-0000-0000-00000D550000}"/>
    <cellStyle name="Input 17 3 2 3 3 3" xfId="42821" xr:uid="{00000000-0005-0000-0000-00000E550000}"/>
    <cellStyle name="Input 17 3 2 3 3 4" xfId="29233" xr:uid="{00000000-0005-0000-0000-00000F550000}"/>
    <cellStyle name="Input 17 3 2 3 4" xfId="19219" xr:uid="{00000000-0005-0000-0000-000010550000}"/>
    <cellStyle name="Input 17 3 2 3 4 2" xfId="44756" xr:uid="{00000000-0005-0000-0000-000011550000}"/>
    <cellStyle name="Input 17 3 2 3 4 3" xfId="48662" xr:uid="{00000000-0005-0000-0000-000012550000}"/>
    <cellStyle name="Input 17 3 2 3 4 4" xfId="36804" xr:uid="{00000000-0005-0000-0000-000013550000}"/>
    <cellStyle name="Input 17 3 2 3 5" xfId="21068" xr:uid="{00000000-0005-0000-0000-000014550000}"/>
    <cellStyle name="Input 17 3 2 3 5 2" xfId="46605" xr:uid="{00000000-0005-0000-0000-000015550000}"/>
    <cellStyle name="Input 17 3 2 3 5 3" xfId="50511" xr:uid="{00000000-0005-0000-0000-000016550000}"/>
    <cellStyle name="Input 17 3 2 3 5 4" xfId="38474" xr:uid="{00000000-0005-0000-0000-000017550000}"/>
    <cellStyle name="Input 17 3 2 3 6" xfId="21721" xr:uid="{00000000-0005-0000-0000-000018550000}"/>
    <cellStyle name="Input 17 3 2 3 6 2" xfId="47258" xr:uid="{00000000-0005-0000-0000-000019550000}"/>
    <cellStyle name="Input 17 3 2 3 6 3" xfId="51164" xr:uid="{00000000-0005-0000-0000-00001A550000}"/>
    <cellStyle name="Input 17 3 2 3 7" xfId="41061" xr:uid="{00000000-0005-0000-0000-00001B550000}"/>
    <cellStyle name="Input 17 3 2 3 8" xfId="39188" xr:uid="{00000000-0005-0000-0000-00001C550000}"/>
    <cellStyle name="Input 17 3 2 4" xfId="14825" xr:uid="{00000000-0005-0000-0000-00001D550000}"/>
    <cellStyle name="Input 17 3 2 4 2" xfId="42941" xr:uid="{00000000-0005-0000-0000-00001E550000}"/>
    <cellStyle name="Input 17 3 2 4 3" xfId="40531" xr:uid="{00000000-0005-0000-0000-00001F550000}"/>
    <cellStyle name="Input 17 3 2 4 4" xfId="32460" xr:uid="{00000000-0005-0000-0000-000020550000}"/>
    <cellStyle name="Input 17 3 2 5" xfId="13099" xr:uid="{00000000-0005-0000-0000-000021550000}"/>
    <cellStyle name="Input 17 3 2 5 2" xfId="42320" xr:uid="{00000000-0005-0000-0000-000022550000}"/>
    <cellStyle name="Input 17 3 2 5 3" xfId="39105" xr:uid="{00000000-0005-0000-0000-000023550000}"/>
    <cellStyle name="Input 17 3 2 5 4" xfId="30748" xr:uid="{00000000-0005-0000-0000-000024550000}"/>
    <cellStyle name="Input 17 3 2 6" xfId="13290" xr:uid="{00000000-0005-0000-0000-000025550000}"/>
    <cellStyle name="Input 17 3 2 6 2" xfId="42460" xr:uid="{00000000-0005-0000-0000-000026550000}"/>
    <cellStyle name="Input 17 3 2 6 3" xfId="40324" xr:uid="{00000000-0005-0000-0000-000027550000}"/>
    <cellStyle name="Input 17 3 2 6 4" xfId="30935" xr:uid="{00000000-0005-0000-0000-000028550000}"/>
    <cellStyle name="Input 17 3 2 7" xfId="18890" xr:uid="{00000000-0005-0000-0000-000029550000}"/>
    <cellStyle name="Input 17 3 2 7 2" xfId="44427" xr:uid="{00000000-0005-0000-0000-00002A550000}"/>
    <cellStyle name="Input 17 3 2 7 3" xfId="48333" xr:uid="{00000000-0005-0000-0000-00002B550000}"/>
    <cellStyle name="Input 17 3 2 7 4" xfId="36526" xr:uid="{00000000-0005-0000-0000-00002C550000}"/>
    <cellStyle name="Input 17 3 2 8" xfId="13916" xr:uid="{00000000-0005-0000-0000-00002D550000}"/>
    <cellStyle name="Input 17 3 2 8 2" xfId="42651" xr:uid="{00000000-0005-0000-0000-00002E550000}"/>
    <cellStyle name="Input 17 3 2 8 3" xfId="41299" xr:uid="{00000000-0005-0000-0000-00002F550000}"/>
    <cellStyle name="Input 17 3 2 9" xfId="39801" xr:uid="{00000000-0005-0000-0000-000030550000}"/>
    <cellStyle name="Input 17 3 3" xfId="53029" xr:uid="{00000000-0005-0000-0000-000031550000}"/>
    <cellStyle name="Input 17 4" xfId="7034" xr:uid="{00000000-0005-0000-0000-000032550000}"/>
    <cellStyle name="Input 17 4 10" xfId="42200" xr:uid="{00000000-0005-0000-0000-000033550000}"/>
    <cellStyle name="Input 17 4 11" xfId="53030" xr:uid="{00000000-0005-0000-0000-000034550000}"/>
    <cellStyle name="Input 17 4 2" xfId="10564" xr:uid="{00000000-0005-0000-0000-000035550000}"/>
    <cellStyle name="Input 17 4 2 2" xfId="18357" xr:uid="{00000000-0005-0000-0000-000036550000}"/>
    <cellStyle name="Input 17 4 2 2 2" xfId="43904" xr:uid="{00000000-0005-0000-0000-000037550000}"/>
    <cellStyle name="Input 17 4 2 2 3" xfId="47813" xr:uid="{00000000-0005-0000-0000-000038550000}"/>
    <cellStyle name="Input 17 4 2 2 4" xfId="35994" xr:uid="{00000000-0005-0000-0000-000039550000}"/>
    <cellStyle name="Input 17 4 2 3" xfId="19135" xr:uid="{00000000-0005-0000-0000-00003A550000}"/>
    <cellStyle name="Input 17 4 2 3 2" xfId="44672" xr:uid="{00000000-0005-0000-0000-00003B550000}"/>
    <cellStyle name="Input 17 4 2 3 3" xfId="48578" xr:uid="{00000000-0005-0000-0000-00003C550000}"/>
    <cellStyle name="Input 17 4 2 3 4" xfId="36730" xr:uid="{00000000-0005-0000-0000-00003D550000}"/>
    <cellStyle name="Input 17 4 2 4" xfId="19868" xr:uid="{00000000-0005-0000-0000-00003E550000}"/>
    <cellStyle name="Input 17 4 2 4 2" xfId="45405" xr:uid="{00000000-0005-0000-0000-00003F550000}"/>
    <cellStyle name="Input 17 4 2 4 3" xfId="49311" xr:uid="{00000000-0005-0000-0000-000040550000}"/>
    <cellStyle name="Input 17 4 2 4 4" xfId="37382" xr:uid="{00000000-0005-0000-0000-000041550000}"/>
    <cellStyle name="Input 17 4 2 5" xfId="20770" xr:uid="{00000000-0005-0000-0000-000042550000}"/>
    <cellStyle name="Input 17 4 2 5 2" xfId="46307" xr:uid="{00000000-0005-0000-0000-000043550000}"/>
    <cellStyle name="Input 17 4 2 5 3" xfId="50213" xr:uid="{00000000-0005-0000-0000-000044550000}"/>
    <cellStyle name="Input 17 4 2 5 4" xfId="38176" xr:uid="{00000000-0005-0000-0000-000045550000}"/>
    <cellStyle name="Input 17 4 2 6" xfId="21423" xr:uid="{00000000-0005-0000-0000-000046550000}"/>
    <cellStyle name="Input 17 4 2 6 2" xfId="46960" xr:uid="{00000000-0005-0000-0000-000047550000}"/>
    <cellStyle name="Input 17 4 2 6 3" xfId="50866" xr:uid="{00000000-0005-0000-0000-000048550000}"/>
    <cellStyle name="Input 17 4 2 7" xfId="40763" xr:uid="{00000000-0005-0000-0000-000049550000}"/>
    <cellStyle name="Input 17 4 2 8" xfId="43743" xr:uid="{00000000-0005-0000-0000-00004A550000}"/>
    <cellStyle name="Input 17 4 3" xfId="10859" xr:uid="{00000000-0005-0000-0000-00004B550000}"/>
    <cellStyle name="Input 17 4 3 2" xfId="18652" xr:uid="{00000000-0005-0000-0000-00004C550000}"/>
    <cellStyle name="Input 17 4 3 2 2" xfId="44199" xr:uid="{00000000-0005-0000-0000-00004D550000}"/>
    <cellStyle name="Input 17 4 3 2 3" xfId="48108" xr:uid="{00000000-0005-0000-0000-00004E550000}"/>
    <cellStyle name="Input 17 4 3 2 4" xfId="36289" xr:uid="{00000000-0005-0000-0000-00004F550000}"/>
    <cellStyle name="Input 17 4 3 3" xfId="12638" xr:uid="{00000000-0005-0000-0000-000050550000}"/>
    <cellStyle name="Input 17 4 3 3 2" xfId="42117" xr:uid="{00000000-0005-0000-0000-000051550000}"/>
    <cellStyle name="Input 17 4 3 3 3" xfId="40339" xr:uid="{00000000-0005-0000-0000-000052550000}"/>
    <cellStyle name="Input 17 4 3 3 4" xfId="30303" xr:uid="{00000000-0005-0000-0000-000053550000}"/>
    <cellStyle name="Input 17 4 3 4" xfId="19196" xr:uid="{00000000-0005-0000-0000-000054550000}"/>
    <cellStyle name="Input 17 4 3 4 2" xfId="44733" xr:uid="{00000000-0005-0000-0000-000055550000}"/>
    <cellStyle name="Input 17 4 3 4 3" xfId="48639" xr:uid="{00000000-0005-0000-0000-000056550000}"/>
    <cellStyle name="Input 17 4 3 4 4" xfId="36783" xr:uid="{00000000-0005-0000-0000-000057550000}"/>
    <cellStyle name="Input 17 4 3 5" xfId="21065" xr:uid="{00000000-0005-0000-0000-000058550000}"/>
    <cellStyle name="Input 17 4 3 5 2" xfId="46602" xr:uid="{00000000-0005-0000-0000-000059550000}"/>
    <cellStyle name="Input 17 4 3 5 3" xfId="50508" xr:uid="{00000000-0005-0000-0000-00005A550000}"/>
    <cellStyle name="Input 17 4 3 5 4" xfId="38471" xr:uid="{00000000-0005-0000-0000-00005B550000}"/>
    <cellStyle name="Input 17 4 3 6" xfId="21718" xr:uid="{00000000-0005-0000-0000-00005C550000}"/>
    <cellStyle name="Input 17 4 3 6 2" xfId="47255" xr:uid="{00000000-0005-0000-0000-00005D550000}"/>
    <cellStyle name="Input 17 4 3 6 3" xfId="51161" xr:uid="{00000000-0005-0000-0000-00005E550000}"/>
    <cellStyle name="Input 17 4 3 7" xfId="41058" xr:uid="{00000000-0005-0000-0000-00005F550000}"/>
    <cellStyle name="Input 17 4 3 8" xfId="43377" xr:uid="{00000000-0005-0000-0000-000060550000}"/>
    <cellStyle name="Input 17 4 4" xfId="14822" xr:uid="{00000000-0005-0000-0000-000061550000}"/>
    <cellStyle name="Input 17 4 4 2" xfId="42938" xr:uid="{00000000-0005-0000-0000-000062550000}"/>
    <cellStyle name="Input 17 4 4 3" xfId="40043" xr:uid="{00000000-0005-0000-0000-000063550000}"/>
    <cellStyle name="Input 17 4 4 4" xfId="32457" xr:uid="{00000000-0005-0000-0000-000064550000}"/>
    <cellStyle name="Input 17 4 5" xfId="19579" xr:uid="{00000000-0005-0000-0000-000065550000}"/>
    <cellStyle name="Input 17 4 5 2" xfId="45116" xr:uid="{00000000-0005-0000-0000-000066550000}"/>
    <cellStyle name="Input 17 4 5 3" xfId="49022" xr:uid="{00000000-0005-0000-0000-000067550000}"/>
    <cellStyle name="Input 17 4 5 4" xfId="37119" xr:uid="{00000000-0005-0000-0000-000068550000}"/>
    <cellStyle name="Input 17 4 6" xfId="19242" xr:uid="{00000000-0005-0000-0000-000069550000}"/>
    <cellStyle name="Input 17 4 6 2" xfId="44779" xr:uid="{00000000-0005-0000-0000-00006A550000}"/>
    <cellStyle name="Input 17 4 6 3" xfId="48685" xr:uid="{00000000-0005-0000-0000-00006B550000}"/>
    <cellStyle name="Input 17 4 6 4" xfId="36820" xr:uid="{00000000-0005-0000-0000-00006C550000}"/>
    <cellStyle name="Input 17 4 7" xfId="11558" xr:uid="{00000000-0005-0000-0000-00006D550000}"/>
    <cellStyle name="Input 17 4 7 2" xfId="41569" xr:uid="{00000000-0005-0000-0000-00006E550000}"/>
    <cellStyle name="Input 17 4 7 3" xfId="43709" xr:uid="{00000000-0005-0000-0000-00006F550000}"/>
    <cellStyle name="Input 17 4 7 4" xfId="29270" xr:uid="{00000000-0005-0000-0000-000070550000}"/>
    <cellStyle name="Input 17 4 8" xfId="11119" xr:uid="{00000000-0005-0000-0000-000071550000}"/>
    <cellStyle name="Input 17 4 8 2" xfId="41280" xr:uid="{00000000-0005-0000-0000-000072550000}"/>
    <cellStyle name="Input 17 4 8 3" xfId="42725" xr:uid="{00000000-0005-0000-0000-000073550000}"/>
    <cellStyle name="Input 17 4 9" xfId="39798" xr:uid="{00000000-0005-0000-0000-000074550000}"/>
    <cellStyle name="Input 17 5" xfId="22438" xr:uid="{00000000-0005-0000-0000-000075550000}"/>
    <cellStyle name="Input 17 6" xfId="53025" xr:uid="{00000000-0005-0000-0000-000076550000}"/>
    <cellStyle name="Input 17_Sheet1" xfId="1844" xr:uid="{00000000-0005-0000-0000-000077550000}"/>
    <cellStyle name="Input 18" xfId="1845" xr:uid="{00000000-0005-0000-0000-000078550000}"/>
    <cellStyle name="Input 18 2" xfId="1846" xr:uid="{00000000-0005-0000-0000-000079550000}"/>
    <cellStyle name="Input 18 2 2" xfId="1847" xr:uid="{00000000-0005-0000-0000-00007A550000}"/>
    <cellStyle name="Input 18 2 2 2" xfId="7040" xr:uid="{00000000-0005-0000-0000-00007B550000}"/>
    <cellStyle name="Input 18 2 2 2 10" xfId="41728" xr:uid="{00000000-0005-0000-0000-00007C550000}"/>
    <cellStyle name="Input 18 2 2 2 2" xfId="10570" xr:uid="{00000000-0005-0000-0000-00007D550000}"/>
    <cellStyle name="Input 18 2 2 2 2 2" xfId="18363" xr:uid="{00000000-0005-0000-0000-00007E550000}"/>
    <cellStyle name="Input 18 2 2 2 2 2 2" xfId="43910" xr:uid="{00000000-0005-0000-0000-00007F550000}"/>
    <cellStyle name="Input 18 2 2 2 2 2 3" xfId="47819" xr:uid="{00000000-0005-0000-0000-000080550000}"/>
    <cellStyle name="Input 18 2 2 2 2 2 4" xfId="36000" xr:uid="{00000000-0005-0000-0000-000081550000}"/>
    <cellStyle name="Input 18 2 2 2 2 3" xfId="19429" xr:uid="{00000000-0005-0000-0000-000082550000}"/>
    <cellStyle name="Input 18 2 2 2 2 3 2" xfId="44966" xr:uid="{00000000-0005-0000-0000-000083550000}"/>
    <cellStyle name="Input 18 2 2 2 2 3 3" xfId="48872" xr:uid="{00000000-0005-0000-0000-000084550000}"/>
    <cellStyle name="Input 18 2 2 2 2 3 4" xfId="36994" xr:uid="{00000000-0005-0000-0000-000085550000}"/>
    <cellStyle name="Input 18 2 2 2 2 4" xfId="11563" xr:uid="{00000000-0005-0000-0000-000086550000}"/>
    <cellStyle name="Input 18 2 2 2 2 4 2" xfId="41574" xr:uid="{00000000-0005-0000-0000-000087550000}"/>
    <cellStyle name="Input 18 2 2 2 2 4 3" xfId="40463" xr:uid="{00000000-0005-0000-0000-000088550000}"/>
    <cellStyle name="Input 18 2 2 2 2 4 4" xfId="29274" xr:uid="{00000000-0005-0000-0000-000089550000}"/>
    <cellStyle name="Input 18 2 2 2 2 5" xfId="20776" xr:uid="{00000000-0005-0000-0000-00008A550000}"/>
    <cellStyle name="Input 18 2 2 2 2 5 2" xfId="46313" xr:uid="{00000000-0005-0000-0000-00008B550000}"/>
    <cellStyle name="Input 18 2 2 2 2 5 3" xfId="50219" xr:uid="{00000000-0005-0000-0000-00008C550000}"/>
    <cellStyle name="Input 18 2 2 2 2 5 4" xfId="38182" xr:uid="{00000000-0005-0000-0000-00008D550000}"/>
    <cellStyle name="Input 18 2 2 2 2 6" xfId="21429" xr:uid="{00000000-0005-0000-0000-00008E550000}"/>
    <cellStyle name="Input 18 2 2 2 2 6 2" xfId="46966" xr:uid="{00000000-0005-0000-0000-00008F550000}"/>
    <cellStyle name="Input 18 2 2 2 2 6 3" xfId="50872" xr:uid="{00000000-0005-0000-0000-000090550000}"/>
    <cellStyle name="Input 18 2 2 2 2 7" xfId="40769" xr:uid="{00000000-0005-0000-0000-000091550000}"/>
    <cellStyle name="Input 18 2 2 2 2 8" xfId="39607" xr:uid="{00000000-0005-0000-0000-000092550000}"/>
    <cellStyle name="Input 18 2 2 2 3" xfId="10865" xr:uid="{00000000-0005-0000-0000-000093550000}"/>
    <cellStyle name="Input 18 2 2 2 3 2" xfId="18658" xr:uid="{00000000-0005-0000-0000-000094550000}"/>
    <cellStyle name="Input 18 2 2 2 3 2 2" xfId="44205" xr:uid="{00000000-0005-0000-0000-000095550000}"/>
    <cellStyle name="Input 18 2 2 2 3 2 3" xfId="48114" xr:uid="{00000000-0005-0000-0000-000096550000}"/>
    <cellStyle name="Input 18 2 2 2 3 2 4" xfId="36295" xr:uid="{00000000-0005-0000-0000-000097550000}"/>
    <cellStyle name="Input 18 2 2 2 3 3" xfId="13337" xr:uid="{00000000-0005-0000-0000-000098550000}"/>
    <cellStyle name="Input 18 2 2 2 3 3 2" xfId="42507" xr:uid="{00000000-0005-0000-0000-000099550000}"/>
    <cellStyle name="Input 18 2 2 2 3 3 3" xfId="40538" xr:uid="{00000000-0005-0000-0000-00009A550000}"/>
    <cellStyle name="Input 18 2 2 2 3 3 4" xfId="30977" xr:uid="{00000000-0005-0000-0000-00009B550000}"/>
    <cellStyle name="Input 18 2 2 2 3 4" xfId="18962" xr:uid="{00000000-0005-0000-0000-00009C550000}"/>
    <cellStyle name="Input 18 2 2 2 3 4 2" xfId="44499" xr:uid="{00000000-0005-0000-0000-00009D550000}"/>
    <cellStyle name="Input 18 2 2 2 3 4 3" xfId="48405" xr:uid="{00000000-0005-0000-0000-00009E550000}"/>
    <cellStyle name="Input 18 2 2 2 3 4 4" xfId="36588" xr:uid="{00000000-0005-0000-0000-00009F550000}"/>
    <cellStyle name="Input 18 2 2 2 3 5" xfId="21071" xr:uid="{00000000-0005-0000-0000-0000A0550000}"/>
    <cellStyle name="Input 18 2 2 2 3 5 2" xfId="46608" xr:uid="{00000000-0005-0000-0000-0000A1550000}"/>
    <cellStyle name="Input 18 2 2 2 3 5 3" xfId="50514" xr:uid="{00000000-0005-0000-0000-0000A2550000}"/>
    <cellStyle name="Input 18 2 2 2 3 5 4" xfId="38477" xr:uid="{00000000-0005-0000-0000-0000A3550000}"/>
    <cellStyle name="Input 18 2 2 2 3 6" xfId="21724" xr:uid="{00000000-0005-0000-0000-0000A4550000}"/>
    <cellStyle name="Input 18 2 2 2 3 6 2" xfId="47261" xr:uid="{00000000-0005-0000-0000-0000A5550000}"/>
    <cellStyle name="Input 18 2 2 2 3 6 3" xfId="51167" xr:uid="{00000000-0005-0000-0000-0000A6550000}"/>
    <cellStyle name="Input 18 2 2 2 3 7" xfId="41064" xr:uid="{00000000-0005-0000-0000-0000A7550000}"/>
    <cellStyle name="Input 18 2 2 2 3 8" xfId="40091" xr:uid="{00000000-0005-0000-0000-0000A8550000}"/>
    <cellStyle name="Input 18 2 2 2 4" xfId="14828" xr:uid="{00000000-0005-0000-0000-0000A9550000}"/>
    <cellStyle name="Input 18 2 2 2 4 2" xfId="42944" xr:uid="{00000000-0005-0000-0000-0000AA550000}"/>
    <cellStyle name="Input 18 2 2 2 4 3" xfId="43563" xr:uid="{00000000-0005-0000-0000-0000AB550000}"/>
    <cellStyle name="Input 18 2 2 2 4 4" xfId="32463" xr:uid="{00000000-0005-0000-0000-0000AC550000}"/>
    <cellStyle name="Input 18 2 2 2 5" xfId="12471" xr:uid="{00000000-0005-0000-0000-0000AD550000}"/>
    <cellStyle name="Input 18 2 2 2 5 2" xfId="41992" xr:uid="{00000000-0005-0000-0000-0000AE550000}"/>
    <cellStyle name="Input 18 2 2 2 5 3" xfId="39318" xr:uid="{00000000-0005-0000-0000-0000AF550000}"/>
    <cellStyle name="Input 18 2 2 2 5 4" xfId="30142" xr:uid="{00000000-0005-0000-0000-0000B0550000}"/>
    <cellStyle name="Input 18 2 2 2 6" xfId="13295" xr:uid="{00000000-0005-0000-0000-0000B1550000}"/>
    <cellStyle name="Input 18 2 2 2 6 2" xfId="42465" xr:uid="{00000000-0005-0000-0000-0000B2550000}"/>
    <cellStyle name="Input 18 2 2 2 6 3" xfId="39287" xr:uid="{00000000-0005-0000-0000-0000B3550000}"/>
    <cellStyle name="Input 18 2 2 2 6 4" xfId="30939" xr:uid="{00000000-0005-0000-0000-0000B4550000}"/>
    <cellStyle name="Input 18 2 2 2 7" xfId="18931" xr:uid="{00000000-0005-0000-0000-0000B5550000}"/>
    <cellStyle name="Input 18 2 2 2 7 2" xfId="44468" xr:uid="{00000000-0005-0000-0000-0000B6550000}"/>
    <cellStyle name="Input 18 2 2 2 7 3" xfId="48374" xr:uid="{00000000-0005-0000-0000-0000B7550000}"/>
    <cellStyle name="Input 18 2 2 2 7 4" xfId="36559" xr:uid="{00000000-0005-0000-0000-0000B8550000}"/>
    <cellStyle name="Input 18 2 2 2 8" xfId="19672" xr:uid="{00000000-0005-0000-0000-0000B9550000}"/>
    <cellStyle name="Input 18 2 2 2 8 2" xfId="45209" xr:uid="{00000000-0005-0000-0000-0000BA550000}"/>
    <cellStyle name="Input 18 2 2 2 8 3" xfId="49115" xr:uid="{00000000-0005-0000-0000-0000BB550000}"/>
    <cellStyle name="Input 18 2 2 2 9" xfId="39804" xr:uid="{00000000-0005-0000-0000-0000BC550000}"/>
    <cellStyle name="Input 18 2 2 3" xfId="53033" xr:uid="{00000000-0005-0000-0000-0000BD550000}"/>
    <cellStyle name="Input 18 2 3" xfId="7039" xr:uid="{00000000-0005-0000-0000-0000BE550000}"/>
    <cellStyle name="Input 18 2 3 10" xfId="47604" xr:uid="{00000000-0005-0000-0000-0000BF550000}"/>
    <cellStyle name="Input 18 2 3 11" xfId="53034" xr:uid="{00000000-0005-0000-0000-0000C0550000}"/>
    <cellStyle name="Input 18 2 3 2" xfId="10569" xr:uid="{00000000-0005-0000-0000-0000C1550000}"/>
    <cellStyle name="Input 18 2 3 2 2" xfId="18362" xr:uid="{00000000-0005-0000-0000-0000C2550000}"/>
    <cellStyle name="Input 18 2 3 2 2 2" xfId="43909" xr:uid="{00000000-0005-0000-0000-0000C3550000}"/>
    <cellStyle name="Input 18 2 3 2 2 3" xfId="47818" xr:uid="{00000000-0005-0000-0000-0000C4550000}"/>
    <cellStyle name="Input 18 2 3 2 2 4" xfId="35999" xr:uid="{00000000-0005-0000-0000-0000C5550000}"/>
    <cellStyle name="Input 18 2 3 2 3" xfId="20170" xr:uid="{00000000-0005-0000-0000-0000C6550000}"/>
    <cellStyle name="Input 18 2 3 2 3 2" xfId="45707" xr:uid="{00000000-0005-0000-0000-0000C7550000}"/>
    <cellStyle name="Input 18 2 3 2 3 3" xfId="49613" xr:uid="{00000000-0005-0000-0000-0000C8550000}"/>
    <cellStyle name="Input 18 2 3 2 3 4" xfId="37656" xr:uid="{00000000-0005-0000-0000-0000C9550000}"/>
    <cellStyle name="Input 18 2 3 2 4" xfId="19090" xr:uid="{00000000-0005-0000-0000-0000CA550000}"/>
    <cellStyle name="Input 18 2 3 2 4 2" xfId="44627" xr:uid="{00000000-0005-0000-0000-0000CB550000}"/>
    <cellStyle name="Input 18 2 3 2 4 3" xfId="48533" xr:uid="{00000000-0005-0000-0000-0000CC550000}"/>
    <cellStyle name="Input 18 2 3 2 4 4" xfId="36686" xr:uid="{00000000-0005-0000-0000-0000CD550000}"/>
    <cellStyle name="Input 18 2 3 2 5" xfId="20775" xr:uid="{00000000-0005-0000-0000-0000CE550000}"/>
    <cellStyle name="Input 18 2 3 2 5 2" xfId="46312" xr:uid="{00000000-0005-0000-0000-0000CF550000}"/>
    <cellStyle name="Input 18 2 3 2 5 3" xfId="50218" xr:uid="{00000000-0005-0000-0000-0000D0550000}"/>
    <cellStyle name="Input 18 2 3 2 5 4" xfId="38181" xr:uid="{00000000-0005-0000-0000-0000D1550000}"/>
    <cellStyle name="Input 18 2 3 2 6" xfId="21428" xr:uid="{00000000-0005-0000-0000-0000D2550000}"/>
    <cellStyle name="Input 18 2 3 2 6 2" xfId="46965" xr:uid="{00000000-0005-0000-0000-0000D3550000}"/>
    <cellStyle name="Input 18 2 3 2 6 3" xfId="50871" xr:uid="{00000000-0005-0000-0000-0000D4550000}"/>
    <cellStyle name="Input 18 2 3 2 7" xfId="40768" xr:uid="{00000000-0005-0000-0000-0000D5550000}"/>
    <cellStyle name="Input 18 2 3 2 8" xfId="40497" xr:uid="{00000000-0005-0000-0000-0000D6550000}"/>
    <cellStyle name="Input 18 2 3 3" xfId="10864" xr:uid="{00000000-0005-0000-0000-0000D7550000}"/>
    <cellStyle name="Input 18 2 3 3 2" xfId="18657" xr:uid="{00000000-0005-0000-0000-0000D8550000}"/>
    <cellStyle name="Input 18 2 3 3 2 2" xfId="44204" xr:uid="{00000000-0005-0000-0000-0000D9550000}"/>
    <cellStyle name="Input 18 2 3 3 2 3" xfId="48113" xr:uid="{00000000-0005-0000-0000-0000DA550000}"/>
    <cellStyle name="Input 18 2 3 3 2 4" xfId="36294" xr:uid="{00000000-0005-0000-0000-0000DB550000}"/>
    <cellStyle name="Input 18 2 3 3 3" xfId="12169" xr:uid="{00000000-0005-0000-0000-0000DC550000}"/>
    <cellStyle name="Input 18 2 3 3 3 2" xfId="41914" xr:uid="{00000000-0005-0000-0000-0000DD550000}"/>
    <cellStyle name="Input 18 2 3 3 3 3" xfId="41988" xr:uid="{00000000-0005-0000-0000-0000DE550000}"/>
    <cellStyle name="Input 18 2 3 3 3 4" xfId="29841" xr:uid="{00000000-0005-0000-0000-0000DF550000}"/>
    <cellStyle name="Input 18 2 3 3 4" xfId="19518" xr:uid="{00000000-0005-0000-0000-0000E0550000}"/>
    <cellStyle name="Input 18 2 3 3 4 2" xfId="45055" xr:uid="{00000000-0005-0000-0000-0000E1550000}"/>
    <cellStyle name="Input 18 2 3 3 4 3" xfId="48961" xr:uid="{00000000-0005-0000-0000-0000E2550000}"/>
    <cellStyle name="Input 18 2 3 3 4 4" xfId="37066" xr:uid="{00000000-0005-0000-0000-0000E3550000}"/>
    <cellStyle name="Input 18 2 3 3 5" xfId="21070" xr:uid="{00000000-0005-0000-0000-0000E4550000}"/>
    <cellStyle name="Input 18 2 3 3 5 2" xfId="46607" xr:uid="{00000000-0005-0000-0000-0000E5550000}"/>
    <cellStyle name="Input 18 2 3 3 5 3" xfId="50513" xr:uid="{00000000-0005-0000-0000-0000E6550000}"/>
    <cellStyle name="Input 18 2 3 3 5 4" xfId="38476" xr:uid="{00000000-0005-0000-0000-0000E7550000}"/>
    <cellStyle name="Input 18 2 3 3 6" xfId="21723" xr:uid="{00000000-0005-0000-0000-0000E8550000}"/>
    <cellStyle name="Input 18 2 3 3 6 2" xfId="47260" xr:uid="{00000000-0005-0000-0000-0000E9550000}"/>
    <cellStyle name="Input 18 2 3 3 6 3" xfId="51166" xr:uid="{00000000-0005-0000-0000-0000EA550000}"/>
    <cellStyle name="Input 18 2 3 3 7" xfId="41063" xr:uid="{00000000-0005-0000-0000-0000EB550000}"/>
    <cellStyle name="Input 18 2 3 3 8" xfId="43232" xr:uid="{00000000-0005-0000-0000-0000EC550000}"/>
    <cellStyle name="Input 18 2 3 4" xfId="14827" xr:uid="{00000000-0005-0000-0000-0000ED550000}"/>
    <cellStyle name="Input 18 2 3 4 2" xfId="42943" xr:uid="{00000000-0005-0000-0000-0000EE550000}"/>
    <cellStyle name="Input 18 2 3 4 3" xfId="42675" xr:uid="{00000000-0005-0000-0000-0000EF550000}"/>
    <cellStyle name="Input 18 2 3 4 4" xfId="32462" xr:uid="{00000000-0005-0000-0000-0000F0550000}"/>
    <cellStyle name="Input 18 2 3 5" xfId="12470" xr:uid="{00000000-0005-0000-0000-0000F1550000}"/>
    <cellStyle name="Input 18 2 3 5 2" xfId="41991" xr:uid="{00000000-0005-0000-0000-0000F2550000}"/>
    <cellStyle name="Input 18 2 3 5 3" xfId="40196" xr:uid="{00000000-0005-0000-0000-0000F3550000}"/>
    <cellStyle name="Input 18 2 3 5 4" xfId="30141" xr:uid="{00000000-0005-0000-0000-0000F4550000}"/>
    <cellStyle name="Input 18 2 3 6" xfId="20096" xr:uid="{00000000-0005-0000-0000-0000F5550000}"/>
    <cellStyle name="Input 18 2 3 6 2" xfId="45633" xr:uid="{00000000-0005-0000-0000-0000F6550000}"/>
    <cellStyle name="Input 18 2 3 6 3" xfId="49539" xr:uid="{00000000-0005-0000-0000-0000F7550000}"/>
    <cellStyle name="Input 18 2 3 6 4" xfId="37586" xr:uid="{00000000-0005-0000-0000-0000F8550000}"/>
    <cellStyle name="Input 18 2 3 7" xfId="20495" xr:uid="{00000000-0005-0000-0000-0000F9550000}"/>
    <cellStyle name="Input 18 2 3 7 2" xfId="46032" xr:uid="{00000000-0005-0000-0000-0000FA550000}"/>
    <cellStyle name="Input 18 2 3 7 3" xfId="49938" xr:uid="{00000000-0005-0000-0000-0000FB550000}"/>
    <cellStyle name="Input 18 2 3 7 4" xfId="37939" xr:uid="{00000000-0005-0000-0000-0000FC550000}"/>
    <cellStyle name="Input 18 2 3 8" xfId="11785" xr:uid="{00000000-0005-0000-0000-0000FD550000}"/>
    <cellStyle name="Input 18 2 3 8 2" xfId="41739" xr:uid="{00000000-0005-0000-0000-0000FE550000}"/>
    <cellStyle name="Input 18 2 3 8 3" xfId="39157" xr:uid="{00000000-0005-0000-0000-0000FF550000}"/>
    <cellStyle name="Input 18 2 3 9" xfId="39803" xr:uid="{00000000-0005-0000-0000-000000560000}"/>
    <cellStyle name="Input 18 2 4" xfId="22441" xr:uid="{00000000-0005-0000-0000-000001560000}"/>
    <cellStyle name="Input 18 2 5" xfId="53032" xr:uid="{00000000-0005-0000-0000-000002560000}"/>
    <cellStyle name="Input 18 2_Sheet1" xfId="1848" xr:uid="{00000000-0005-0000-0000-000003560000}"/>
    <cellStyle name="Input 18 3" xfId="1849" xr:uid="{00000000-0005-0000-0000-000004560000}"/>
    <cellStyle name="Input 18 3 2" xfId="7041" xr:uid="{00000000-0005-0000-0000-000005560000}"/>
    <cellStyle name="Input 18 3 2 10" xfId="43278" xr:uid="{00000000-0005-0000-0000-000006560000}"/>
    <cellStyle name="Input 18 3 2 2" xfId="10571" xr:uid="{00000000-0005-0000-0000-000007560000}"/>
    <cellStyle name="Input 18 3 2 2 2" xfId="18364" xr:uid="{00000000-0005-0000-0000-000008560000}"/>
    <cellStyle name="Input 18 3 2 2 2 2" xfId="43911" xr:uid="{00000000-0005-0000-0000-000009560000}"/>
    <cellStyle name="Input 18 3 2 2 2 3" xfId="47820" xr:uid="{00000000-0005-0000-0000-00000A560000}"/>
    <cellStyle name="Input 18 3 2 2 2 4" xfId="36001" xr:uid="{00000000-0005-0000-0000-00000B560000}"/>
    <cellStyle name="Input 18 3 2 2 3" xfId="20036" xr:uid="{00000000-0005-0000-0000-00000C560000}"/>
    <cellStyle name="Input 18 3 2 2 3 2" xfId="45573" xr:uid="{00000000-0005-0000-0000-00000D560000}"/>
    <cellStyle name="Input 18 3 2 2 3 3" xfId="49479" xr:uid="{00000000-0005-0000-0000-00000E560000}"/>
    <cellStyle name="Input 18 3 2 2 3 4" xfId="37534" xr:uid="{00000000-0005-0000-0000-00000F560000}"/>
    <cellStyle name="Input 18 3 2 2 4" xfId="13267" xr:uid="{00000000-0005-0000-0000-000010560000}"/>
    <cellStyle name="Input 18 3 2 2 4 2" xfId="42437" xr:uid="{00000000-0005-0000-0000-000011560000}"/>
    <cellStyle name="Input 18 3 2 2 4 3" xfId="39543" xr:uid="{00000000-0005-0000-0000-000012560000}"/>
    <cellStyle name="Input 18 3 2 2 4 4" xfId="30912" xr:uid="{00000000-0005-0000-0000-000013560000}"/>
    <cellStyle name="Input 18 3 2 2 5" xfId="20777" xr:uid="{00000000-0005-0000-0000-000014560000}"/>
    <cellStyle name="Input 18 3 2 2 5 2" xfId="46314" xr:uid="{00000000-0005-0000-0000-000015560000}"/>
    <cellStyle name="Input 18 3 2 2 5 3" xfId="50220" xr:uid="{00000000-0005-0000-0000-000016560000}"/>
    <cellStyle name="Input 18 3 2 2 5 4" xfId="38183" xr:uid="{00000000-0005-0000-0000-000017560000}"/>
    <cellStyle name="Input 18 3 2 2 6" xfId="21430" xr:uid="{00000000-0005-0000-0000-000018560000}"/>
    <cellStyle name="Input 18 3 2 2 6 2" xfId="46967" xr:uid="{00000000-0005-0000-0000-000019560000}"/>
    <cellStyle name="Input 18 3 2 2 6 3" xfId="50873" xr:uid="{00000000-0005-0000-0000-00001A560000}"/>
    <cellStyle name="Input 18 3 2 2 7" xfId="40770" xr:uid="{00000000-0005-0000-0000-00001B560000}"/>
    <cellStyle name="Input 18 3 2 2 8" xfId="42615" xr:uid="{00000000-0005-0000-0000-00001C560000}"/>
    <cellStyle name="Input 18 3 2 3" xfId="10866" xr:uid="{00000000-0005-0000-0000-00001D560000}"/>
    <cellStyle name="Input 18 3 2 3 2" xfId="18659" xr:uid="{00000000-0005-0000-0000-00001E560000}"/>
    <cellStyle name="Input 18 3 2 3 2 2" xfId="44206" xr:uid="{00000000-0005-0000-0000-00001F560000}"/>
    <cellStyle name="Input 18 3 2 3 2 3" xfId="48115" xr:uid="{00000000-0005-0000-0000-000020560000}"/>
    <cellStyle name="Input 18 3 2 3 2 4" xfId="36296" xr:uid="{00000000-0005-0000-0000-000021560000}"/>
    <cellStyle name="Input 18 3 2 3 3" xfId="12170" xr:uid="{00000000-0005-0000-0000-000022560000}"/>
    <cellStyle name="Input 18 3 2 3 3 2" xfId="41915" xr:uid="{00000000-0005-0000-0000-000023560000}"/>
    <cellStyle name="Input 18 3 2 3 3 3" xfId="43337" xr:uid="{00000000-0005-0000-0000-000024560000}"/>
    <cellStyle name="Input 18 3 2 3 3 4" xfId="29842" xr:uid="{00000000-0005-0000-0000-000025560000}"/>
    <cellStyle name="Input 18 3 2 3 4" xfId="12762" xr:uid="{00000000-0005-0000-0000-000026560000}"/>
    <cellStyle name="Input 18 3 2 3 4 2" xfId="42207" xr:uid="{00000000-0005-0000-0000-000027560000}"/>
    <cellStyle name="Input 18 3 2 3 4 3" xfId="39109" xr:uid="{00000000-0005-0000-0000-000028560000}"/>
    <cellStyle name="Input 18 3 2 3 4 4" xfId="30420" xr:uid="{00000000-0005-0000-0000-000029560000}"/>
    <cellStyle name="Input 18 3 2 3 5" xfId="21072" xr:uid="{00000000-0005-0000-0000-00002A560000}"/>
    <cellStyle name="Input 18 3 2 3 5 2" xfId="46609" xr:uid="{00000000-0005-0000-0000-00002B560000}"/>
    <cellStyle name="Input 18 3 2 3 5 3" xfId="50515" xr:uid="{00000000-0005-0000-0000-00002C560000}"/>
    <cellStyle name="Input 18 3 2 3 5 4" xfId="38478" xr:uid="{00000000-0005-0000-0000-00002D560000}"/>
    <cellStyle name="Input 18 3 2 3 6" xfId="21725" xr:uid="{00000000-0005-0000-0000-00002E560000}"/>
    <cellStyle name="Input 18 3 2 3 6 2" xfId="47262" xr:uid="{00000000-0005-0000-0000-00002F560000}"/>
    <cellStyle name="Input 18 3 2 3 6 3" xfId="51168" xr:uid="{00000000-0005-0000-0000-000030560000}"/>
    <cellStyle name="Input 18 3 2 3 7" xfId="41065" xr:uid="{00000000-0005-0000-0000-000031560000}"/>
    <cellStyle name="Input 18 3 2 3 8" xfId="42839" xr:uid="{00000000-0005-0000-0000-000032560000}"/>
    <cellStyle name="Input 18 3 2 4" xfId="14829" xr:uid="{00000000-0005-0000-0000-000033560000}"/>
    <cellStyle name="Input 18 3 2 4 2" xfId="42945" xr:uid="{00000000-0005-0000-0000-000034560000}"/>
    <cellStyle name="Input 18 3 2 4 3" xfId="40424" xr:uid="{00000000-0005-0000-0000-000035560000}"/>
    <cellStyle name="Input 18 3 2 4 4" xfId="32464" xr:uid="{00000000-0005-0000-0000-000036560000}"/>
    <cellStyle name="Input 18 3 2 5" xfId="13101" xr:uid="{00000000-0005-0000-0000-000037560000}"/>
    <cellStyle name="Input 18 3 2 5 2" xfId="42322" xr:uid="{00000000-0005-0000-0000-000038560000}"/>
    <cellStyle name="Input 18 3 2 5 3" xfId="41308" xr:uid="{00000000-0005-0000-0000-000039560000}"/>
    <cellStyle name="Input 18 3 2 5 4" xfId="30750" xr:uid="{00000000-0005-0000-0000-00003A560000}"/>
    <cellStyle name="Input 18 3 2 6" xfId="20335" xr:uid="{00000000-0005-0000-0000-00003B560000}"/>
    <cellStyle name="Input 18 3 2 6 2" xfId="45872" xr:uid="{00000000-0005-0000-0000-00003C560000}"/>
    <cellStyle name="Input 18 3 2 6 3" xfId="49778" xr:uid="{00000000-0005-0000-0000-00003D560000}"/>
    <cellStyle name="Input 18 3 2 6 4" xfId="37799" xr:uid="{00000000-0005-0000-0000-00003E560000}"/>
    <cellStyle name="Input 18 3 2 7" xfId="19658" xr:uid="{00000000-0005-0000-0000-00003F560000}"/>
    <cellStyle name="Input 18 3 2 7 2" xfId="45195" xr:uid="{00000000-0005-0000-0000-000040560000}"/>
    <cellStyle name="Input 18 3 2 7 3" xfId="49101" xr:uid="{00000000-0005-0000-0000-000041560000}"/>
    <cellStyle name="Input 18 3 2 7 4" xfId="37192" xr:uid="{00000000-0005-0000-0000-000042560000}"/>
    <cellStyle name="Input 18 3 2 8" xfId="19574" xr:uid="{00000000-0005-0000-0000-000043560000}"/>
    <cellStyle name="Input 18 3 2 8 2" xfId="45111" xr:uid="{00000000-0005-0000-0000-000044560000}"/>
    <cellStyle name="Input 18 3 2 8 3" xfId="49017" xr:uid="{00000000-0005-0000-0000-000045560000}"/>
    <cellStyle name="Input 18 3 2 9" xfId="39805" xr:uid="{00000000-0005-0000-0000-000046560000}"/>
    <cellStyle name="Input 18 3 3" xfId="53035" xr:uid="{00000000-0005-0000-0000-000047560000}"/>
    <cellStyle name="Input 18 4" xfId="7038" xr:uid="{00000000-0005-0000-0000-000048560000}"/>
    <cellStyle name="Input 18 4 10" xfId="39252" xr:uid="{00000000-0005-0000-0000-000049560000}"/>
    <cellStyle name="Input 18 4 11" xfId="53036" xr:uid="{00000000-0005-0000-0000-00004A560000}"/>
    <cellStyle name="Input 18 4 2" xfId="10568" xr:uid="{00000000-0005-0000-0000-00004B560000}"/>
    <cellStyle name="Input 18 4 2 2" xfId="18361" xr:uid="{00000000-0005-0000-0000-00004C560000}"/>
    <cellStyle name="Input 18 4 2 2 2" xfId="43908" xr:uid="{00000000-0005-0000-0000-00004D560000}"/>
    <cellStyle name="Input 18 4 2 2 3" xfId="47817" xr:uid="{00000000-0005-0000-0000-00004E560000}"/>
    <cellStyle name="Input 18 4 2 2 4" xfId="35998" xr:uid="{00000000-0005-0000-0000-00004F560000}"/>
    <cellStyle name="Input 18 4 2 3" xfId="19615" xr:uid="{00000000-0005-0000-0000-000050560000}"/>
    <cellStyle name="Input 18 4 2 3 2" xfId="45152" xr:uid="{00000000-0005-0000-0000-000051560000}"/>
    <cellStyle name="Input 18 4 2 3 3" xfId="49058" xr:uid="{00000000-0005-0000-0000-000052560000}"/>
    <cellStyle name="Input 18 4 2 3 4" xfId="37155" xr:uid="{00000000-0005-0000-0000-000053560000}"/>
    <cellStyle name="Input 18 4 2 4" xfId="19448" xr:uid="{00000000-0005-0000-0000-000054560000}"/>
    <cellStyle name="Input 18 4 2 4 2" xfId="44985" xr:uid="{00000000-0005-0000-0000-000055560000}"/>
    <cellStyle name="Input 18 4 2 4 3" xfId="48891" xr:uid="{00000000-0005-0000-0000-000056560000}"/>
    <cellStyle name="Input 18 4 2 4 4" xfId="37013" xr:uid="{00000000-0005-0000-0000-000057560000}"/>
    <cellStyle name="Input 18 4 2 5" xfId="20774" xr:uid="{00000000-0005-0000-0000-000058560000}"/>
    <cellStyle name="Input 18 4 2 5 2" xfId="46311" xr:uid="{00000000-0005-0000-0000-000059560000}"/>
    <cellStyle name="Input 18 4 2 5 3" xfId="50217" xr:uid="{00000000-0005-0000-0000-00005A560000}"/>
    <cellStyle name="Input 18 4 2 5 4" xfId="38180" xr:uid="{00000000-0005-0000-0000-00005B560000}"/>
    <cellStyle name="Input 18 4 2 6" xfId="21427" xr:uid="{00000000-0005-0000-0000-00005C560000}"/>
    <cellStyle name="Input 18 4 2 6 2" xfId="46964" xr:uid="{00000000-0005-0000-0000-00005D560000}"/>
    <cellStyle name="Input 18 4 2 6 3" xfId="50870" xr:uid="{00000000-0005-0000-0000-00005E560000}"/>
    <cellStyle name="Input 18 4 2 7" xfId="40767" xr:uid="{00000000-0005-0000-0000-00005F560000}"/>
    <cellStyle name="Input 18 4 2 8" xfId="43639" xr:uid="{00000000-0005-0000-0000-000060560000}"/>
    <cellStyle name="Input 18 4 3" xfId="10863" xr:uid="{00000000-0005-0000-0000-000061560000}"/>
    <cellStyle name="Input 18 4 3 2" xfId="18656" xr:uid="{00000000-0005-0000-0000-000062560000}"/>
    <cellStyle name="Input 18 4 3 2 2" xfId="44203" xr:uid="{00000000-0005-0000-0000-000063560000}"/>
    <cellStyle name="Input 18 4 3 2 3" xfId="48112" xr:uid="{00000000-0005-0000-0000-000064560000}"/>
    <cellStyle name="Input 18 4 3 2 4" xfId="36293" xr:uid="{00000000-0005-0000-0000-000065560000}"/>
    <cellStyle name="Input 18 4 3 3" xfId="12639" xr:uid="{00000000-0005-0000-0000-000066560000}"/>
    <cellStyle name="Input 18 4 3 3 2" xfId="42118" xr:uid="{00000000-0005-0000-0000-000067560000}"/>
    <cellStyle name="Input 18 4 3 3 3" xfId="39454" xr:uid="{00000000-0005-0000-0000-000068560000}"/>
    <cellStyle name="Input 18 4 3 3 4" xfId="30304" xr:uid="{00000000-0005-0000-0000-000069560000}"/>
    <cellStyle name="Input 18 4 3 4" xfId="19667" xr:uid="{00000000-0005-0000-0000-00006A560000}"/>
    <cellStyle name="Input 18 4 3 4 2" xfId="45204" xr:uid="{00000000-0005-0000-0000-00006B560000}"/>
    <cellStyle name="Input 18 4 3 4 3" xfId="49110" xr:uid="{00000000-0005-0000-0000-00006C560000}"/>
    <cellStyle name="Input 18 4 3 4 4" xfId="37201" xr:uid="{00000000-0005-0000-0000-00006D560000}"/>
    <cellStyle name="Input 18 4 3 5" xfId="21069" xr:uid="{00000000-0005-0000-0000-00006E560000}"/>
    <cellStyle name="Input 18 4 3 5 2" xfId="46606" xr:uid="{00000000-0005-0000-0000-00006F560000}"/>
    <cellStyle name="Input 18 4 3 5 3" xfId="50512" xr:uid="{00000000-0005-0000-0000-000070560000}"/>
    <cellStyle name="Input 18 4 3 5 4" xfId="38475" xr:uid="{00000000-0005-0000-0000-000071560000}"/>
    <cellStyle name="Input 18 4 3 6" xfId="21722" xr:uid="{00000000-0005-0000-0000-000072560000}"/>
    <cellStyle name="Input 18 4 3 6 2" xfId="47259" xr:uid="{00000000-0005-0000-0000-000073560000}"/>
    <cellStyle name="Input 18 4 3 6 3" xfId="51165" xr:uid="{00000000-0005-0000-0000-000074560000}"/>
    <cellStyle name="Input 18 4 3 7" xfId="41062" xr:uid="{00000000-0005-0000-0000-000075560000}"/>
    <cellStyle name="Input 18 4 3 8" xfId="41429" xr:uid="{00000000-0005-0000-0000-000076560000}"/>
    <cellStyle name="Input 18 4 4" xfId="14826" xr:uid="{00000000-0005-0000-0000-000077560000}"/>
    <cellStyle name="Input 18 4 4 2" xfId="42942" xr:uid="{00000000-0005-0000-0000-000078560000}"/>
    <cellStyle name="Input 18 4 4 3" xfId="39639" xr:uid="{00000000-0005-0000-0000-000079560000}"/>
    <cellStyle name="Input 18 4 4 4" xfId="32461" xr:uid="{00000000-0005-0000-0000-00007A560000}"/>
    <cellStyle name="Input 18 4 5" xfId="13100" xr:uid="{00000000-0005-0000-0000-00007B560000}"/>
    <cellStyle name="Input 18 4 5 2" xfId="42321" xr:uid="{00000000-0005-0000-0000-00007C560000}"/>
    <cellStyle name="Input 18 4 5 3" xfId="47608" xr:uid="{00000000-0005-0000-0000-00007D560000}"/>
    <cellStyle name="Input 18 4 5 4" xfId="30749" xr:uid="{00000000-0005-0000-0000-00007E560000}"/>
    <cellStyle name="Input 18 4 6" xfId="20378" xr:uid="{00000000-0005-0000-0000-00007F560000}"/>
    <cellStyle name="Input 18 4 6 2" xfId="45915" xr:uid="{00000000-0005-0000-0000-000080560000}"/>
    <cellStyle name="Input 18 4 6 3" xfId="49821" xr:uid="{00000000-0005-0000-0000-000081560000}"/>
    <cellStyle name="Input 18 4 6 4" xfId="37834" xr:uid="{00000000-0005-0000-0000-000082560000}"/>
    <cellStyle name="Input 18 4 7" xfId="19827" xr:uid="{00000000-0005-0000-0000-000083560000}"/>
    <cellStyle name="Input 18 4 7 2" xfId="45364" xr:uid="{00000000-0005-0000-0000-000084560000}"/>
    <cellStyle name="Input 18 4 7 3" xfId="49270" xr:uid="{00000000-0005-0000-0000-000085560000}"/>
    <cellStyle name="Input 18 4 7 4" xfId="37345" xr:uid="{00000000-0005-0000-0000-000086560000}"/>
    <cellStyle name="Input 18 4 8" xfId="20080" xr:uid="{00000000-0005-0000-0000-000087560000}"/>
    <cellStyle name="Input 18 4 8 2" xfId="45617" xr:uid="{00000000-0005-0000-0000-000088560000}"/>
    <cellStyle name="Input 18 4 8 3" xfId="49523" xr:uid="{00000000-0005-0000-0000-000089560000}"/>
    <cellStyle name="Input 18 4 9" xfId="39802" xr:uid="{00000000-0005-0000-0000-00008A560000}"/>
    <cellStyle name="Input 18 5" xfId="22440" xr:uid="{00000000-0005-0000-0000-00008B560000}"/>
    <cellStyle name="Input 18 6" xfId="53031" xr:uid="{00000000-0005-0000-0000-00008C560000}"/>
    <cellStyle name="Input 18_Sheet1" xfId="1850" xr:uid="{00000000-0005-0000-0000-00008D560000}"/>
    <cellStyle name="Input 19" xfId="1851" xr:uid="{00000000-0005-0000-0000-00008E560000}"/>
    <cellStyle name="Input 19 2" xfId="1852" xr:uid="{00000000-0005-0000-0000-00008F560000}"/>
    <cellStyle name="Input 19 2 2" xfId="1853" xr:uid="{00000000-0005-0000-0000-000090560000}"/>
    <cellStyle name="Input 19 2 2 2" xfId="7044" xr:uid="{00000000-0005-0000-0000-000091560000}"/>
    <cellStyle name="Input 19 2 2 2 10" xfId="43773" xr:uid="{00000000-0005-0000-0000-000092560000}"/>
    <cellStyle name="Input 19 2 2 2 2" xfId="10574" xr:uid="{00000000-0005-0000-0000-000093560000}"/>
    <cellStyle name="Input 19 2 2 2 2 2" xfId="18367" xr:uid="{00000000-0005-0000-0000-000094560000}"/>
    <cellStyle name="Input 19 2 2 2 2 2 2" xfId="43914" xr:uid="{00000000-0005-0000-0000-000095560000}"/>
    <cellStyle name="Input 19 2 2 2 2 2 3" xfId="47823" xr:uid="{00000000-0005-0000-0000-000096560000}"/>
    <cellStyle name="Input 19 2 2 2 2 2 4" xfId="36004" xr:uid="{00000000-0005-0000-0000-000097560000}"/>
    <cellStyle name="Input 19 2 2 2 2 3" xfId="19134" xr:uid="{00000000-0005-0000-0000-000098560000}"/>
    <cellStyle name="Input 19 2 2 2 2 3 2" xfId="44671" xr:uid="{00000000-0005-0000-0000-000099560000}"/>
    <cellStyle name="Input 19 2 2 2 2 3 3" xfId="48577" xr:uid="{00000000-0005-0000-0000-00009A560000}"/>
    <cellStyle name="Input 19 2 2 2 2 3 4" xfId="36729" xr:uid="{00000000-0005-0000-0000-00009B560000}"/>
    <cellStyle name="Input 19 2 2 2 2 4" xfId="20259" xr:uid="{00000000-0005-0000-0000-00009C560000}"/>
    <cellStyle name="Input 19 2 2 2 2 4 2" xfId="45796" xr:uid="{00000000-0005-0000-0000-00009D560000}"/>
    <cellStyle name="Input 19 2 2 2 2 4 3" xfId="49702" xr:uid="{00000000-0005-0000-0000-00009E560000}"/>
    <cellStyle name="Input 19 2 2 2 2 4 4" xfId="37730" xr:uid="{00000000-0005-0000-0000-00009F560000}"/>
    <cellStyle name="Input 19 2 2 2 2 5" xfId="20780" xr:uid="{00000000-0005-0000-0000-0000A0560000}"/>
    <cellStyle name="Input 19 2 2 2 2 5 2" xfId="46317" xr:uid="{00000000-0005-0000-0000-0000A1560000}"/>
    <cellStyle name="Input 19 2 2 2 2 5 3" xfId="50223" xr:uid="{00000000-0005-0000-0000-0000A2560000}"/>
    <cellStyle name="Input 19 2 2 2 2 5 4" xfId="38186" xr:uid="{00000000-0005-0000-0000-0000A3560000}"/>
    <cellStyle name="Input 19 2 2 2 2 6" xfId="21433" xr:uid="{00000000-0005-0000-0000-0000A4560000}"/>
    <cellStyle name="Input 19 2 2 2 2 6 2" xfId="46970" xr:uid="{00000000-0005-0000-0000-0000A5560000}"/>
    <cellStyle name="Input 19 2 2 2 2 6 3" xfId="50876" xr:uid="{00000000-0005-0000-0000-0000A6560000}"/>
    <cellStyle name="Input 19 2 2 2 2 7" xfId="40773" xr:uid="{00000000-0005-0000-0000-0000A7560000}"/>
    <cellStyle name="Input 19 2 2 2 2 8" xfId="39503" xr:uid="{00000000-0005-0000-0000-0000A8560000}"/>
    <cellStyle name="Input 19 2 2 2 3" xfId="10869" xr:uid="{00000000-0005-0000-0000-0000A9560000}"/>
    <cellStyle name="Input 19 2 2 2 3 2" xfId="18662" xr:uid="{00000000-0005-0000-0000-0000AA560000}"/>
    <cellStyle name="Input 19 2 2 2 3 2 2" xfId="44209" xr:uid="{00000000-0005-0000-0000-0000AB560000}"/>
    <cellStyle name="Input 19 2 2 2 3 2 3" xfId="48118" xr:uid="{00000000-0005-0000-0000-0000AC560000}"/>
    <cellStyle name="Input 19 2 2 2 3 2 4" xfId="36299" xr:uid="{00000000-0005-0000-0000-0000AD560000}"/>
    <cellStyle name="Input 19 2 2 2 3 3" xfId="13339" xr:uid="{00000000-0005-0000-0000-0000AE560000}"/>
    <cellStyle name="Input 19 2 2 2 3 3 2" xfId="42509" xr:uid="{00000000-0005-0000-0000-0000AF560000}"/>
    <cellStyle name="Input 19 2 2 2 3 3 3" xfId="42683" xr:uid="{00000000-0005-0000-0000-0000B0560000}"/>
    <cellStyle name="Input 19 2 2 2 3 3 4" xfId="30979" xr:uid="{00000000-0005-0000-0000-0000B1560000}"/>
    <cellStyle name="Input 19 2 2 2 3 4" xfId="11613" xr:uid="{00000000-0005-0000-0000-0000B2560000}"/>
    <cellStyle name="Input 19 2 2 2 3 4 2" xfId="41624" xr:uid="{00000000-0005-0000-0000-0000B3560000}"/>
    <cellStyle name="Input 19 2 2 2 3 4 3" xfId="43212" xr:uid="{00000000-0005-0000-0000-0000B4560000}"/>
    <cellStyle name="Input 19 2 2 2 3 4 4" xfId="29316" xr:uid="{00000000-0005-0000-0000-0000B5560000}"/>
    <cellStyle name="Input 19 2 2 2 3 5" xfId="21075" xr:uid="{00000000-0005-0000-0000-0000B6560000}"/>
    <cellStyle name="Input 19 2 2 2 3 5 2" xfId="46612" xr:uid="{00000000-0005-0000-0000-0000B7560000}"/>
    <cellStyle name="Input 19 2 2 2 3 5 3" xfId="50518" xr:uid="{00000000-0005-0000-0000-0000B8560000}"/>
    <cellStyle name="Input 19 2 2 2 3 5 4" xfId="38481" xr:uid="{00000000-0005-0000-0000-0000B9560000}"/>
    <cellStyle name="Input 19 2 2 2 3 6" xfId="21728" xr:uid="{00000000-0005-0000-0000-0000BA560000}"/>
    <cellStyle name="Input 19 2 2 2 3 6 2" xfId="47265" xr:uid="{00000000-0005-0000-0000-0000BB560000}"/>
    <cellStyle name="Input 19 2 2 2 3 6 3" xfId="51171" xr:uid="{00000000-0005-0000-0000-0000BC560000}"/>
    <cellStyle name="Input 19 2 2 2 3 7" xfId="41068" xr:uid="{00000000-0005-0000-0000-0000BD560000}"/>
    <cellStyle name="Input 19 2 2 2 3 8" xfId="39698" xr:uid="{00000000-0005-0000-0000-0000BE560000}"/>
    <cellStyle name="Input 19 2 2 2 4" xfId="14832" xr:uid="{00000000-0005-0000-0000-0000BF560000}"/>
    <cellStyle name="Input 19 2 2 2 4 2" xfId="42948" xr:uid="{00000000-0005-0000-0000-0000C0560000}"/>
    <cellStyle name="Input 19 2 2 2 4 3" xfId="43454" xr:uid="{00000000-0005-0000-0000-0000C1560000}"/>
    <cellStyle name="Input 19 2 2 2 4 4" xfId="32467" xr:uid="{00000000-0005-0000-0000-0000C2560000}"/>
    <cellStyle name="Input 19 2 2 2 5" xfId="11292" xr:uid="{00000000-0005-0000-0000-0000C3560000}"/>
    <cellStyle name="Input 19 2 2 2 5 2" xfId="41339" xr:uid="{00000000-0005-0000-0000-0000C4560000}"/>
    <cellStyle name="Input 19 2 2 2 5 3" xfId="42587" xr:uid="{00000000-0005-0000-0000-0000C5560000}"/>
    <cellStyle name="Input 19 2 2 2 5 4" xfId="29020" xr:uid="{00000000-0005-0000-0000-0000C6560000}"/>
    <cellStyle name="Input 19 2 2 2 6" xfId="12853" xr:uid="{00000000-0005-0000-0000-0000C7560000}"/>
    <cellStyle name="Input 19 2 2 2 6 2" xfId="42236" xr:uid="{00000000-0005-0000-0000-0000C8560000}"/>
    <cellStyle name="Input 19 2 2 2 6 3" xfId="39307" xr:uid="{00000000-0005-0000-0000-0000C9560000}"/>
    <cellStyle name="Input 19 2 2 2 6 4" xfId="30507" xr:uid="{00000000-0005-0000-0000-0000CA560000}"/>
    <cellStyle name="Input 19 2 2 2 7" xfId="12144" xr:uid="{00000000-0005-0000-0000-0000CB560000}"/>
    <cellStyle name="Input 19 2 2 2 7 2" xfId="41889" xr:uid="{00000000-0005-0000-0000-0000CC560000}"/>
    <cellStyle name="Input 19 2 2 2 7 3" xfId="42570" xr:uid="{00000000-0005-0000-0000-0000CD560000}"/>
    <cellStyle name="Input 19 2 2 2 7 4" xfId="29816" xr:uid="{00000000-0005-0000-0000-0000CE560000}"/>
    <cellStyle name="Input 19 2 2 2 8" xfId="19494" xr:uid="{00000000-0005-0000-0000-0000CF560000}"/>
    <cellStyle name="Input 19 2 2 2 8 2" xfId="45031" xr:uid="{00000000-0005-0000-0000-0000D0560000}"/>
    <cellStyle name="Input 19 2 2 2 8 3" xfId="48937" xr:uid="{00000000-0005-0000-0000-0000D1560000}"/>
    <cellStyle name="Input 19 2 2 2 9" xfId="39808" xr:uid="{00000000-0005-0000-0000-0000D2560000}"/>
    <cellStyle name="Input 19 2 2 3" xfId="53039" xr:uid="{00000000-0005-0000-0000-0000D3560000}"/>
    <cellStyle name="Input 19 2 3" xfId="7043" xr:uid="{00000000-0005-0000-0000-0000D4560000}"/>
    <cellStyle name="Input 19 2 3 10" xfId="43106" xr:uid="{00000000-0005-0000-0000-0000D5560000}"/>
    <cellStyle name="Input 19 2 3 11" xfId="53040" xr:uid="{00000000-0005-0000-0000-0000D6560000}"/>
    <cellStyle name="Input 19 2 3 2" xfId="10573" xr:uid="{00000000-0005-0000-0000-0000D7560000}"/>
    <cellStyle name="Input 19 2 3 2 2" xfId="18366" xr:uid="{00000000-0005-0000-0000-0000D8560000}"/>
    <cellStyle name="Input 19 2 3 2 2 2" xfId="43913" xr:uid="{00000000-0005-0000-0000-0000D9560000}"/>
    <cellStyle name="Input 19 2 3 2 2 3" xfId="47822" xr:uid="{00000000-0005-0000-0000-0000DA560000}"/>
    <cellStyle name="Input 19 2 3 2 2 4" xfId="36003" xr:uid="{00000000-0005-0000-0000-0000DB560000}"/>
    <cellStyle name="Input 19 2 3 2 3" xfId="19911" xr:uid="{00000000-0005-0000-0000-0000DC560000}"/>
    <cellStyle name="Input 19 2 3 2 3 2" xfId="45448" xr:uid="{00000000-0005-0000-0000-0000DD560000}"/>
    <cellStyle name="Input 19 2 3 2 3 3" xfId="49354" xr:uid="{00000000-0005-0000-0000-0000DE560000}"/>
    <cellStyle name="Input 19 2 3 2 3 4" xfId="37425" xr:uid="{00000000-0005-0000-0000-0000DF560000}"/>
    <cellStyle name="Input 19 2 3 2 4" xfId="19803" xr:uid="{00000000-0005-0000-0000-0000E0560000}"/>
    <cellStyle name="Input 19 2 3 2 4 2" xfId="45340" xr:uid="{00000000-0005-0000-0000-0000E1560000}"/>
    <cellStyle name="Input 19 2 3 2 4 3" xfId="49246" xr:uid="{00000000-0005-0000-0000-0000E2560000}"/>
    <cellStyle name="Input 19 2 3 2 4 4" xfId="37325" xr:uid="{00000000-0005-0000-0000-0000E3560000}"/>
    <cellStyle name="Input 19 2 3 2 5" xfId="20779" xr:uid="{00000000-0005-0000-0000-0000E4560000}"/>
    <cellStyle name="Input 19 2 3 2 5 2" xfId="46316" xr:uid="{00000000-0005-0000-0000-0000E5560000}"/>
    <cellStyle name="Input 19 2 3 2 5 3" xfId="50222" xr:uid="{00000000-0005-0000-0000-0000E6560000}"/>
    <cellStyle name="Input 19 2 3 2 5 4" xfId="38185" xr:uid="{00000000-0005-0000-0000-0000E7560000}"/>
    <cellStyle name="Input 19 2 3 2 6" xfId="21432" xr:uid="{00000000-0005-0000-0000-0000E8560000}"/>
    <cellStyle name="Input 19 2 3 2 6 2" xfId="46969" xr:uid="{00000000-0005-0000-0000-0000E9560000}"/>
    <cellStyle name="Input 19 2 3 2 6 3" xfId="50875" xr:uid="{00000000-0005-0000-0000-0000EA560000}"/>
    <cellStyle name="Input 19 2 3 2 7" xfId="40772" xr:uid="{00000000-0005-0000-0000-0000EB560000}"/>
    <cellStyle name="Input 19 2 3 2 8" xfId="40391" xr:uid="{00000000-0005-0000-0000-0000EC560000}"/>
    <cellStyle name="Input 19 2 3 3" xfId="10868" xr:uid="{00000000-0005-0000-0000-0000ED560000}"/>
    <cellStyle name="Input 19 2 3 3 2" xfId="18661" xr:uid="{00000000-0005-0000-0000-0000EE560000}"/>
    <cellStyle name="Input 19 2 3 3 2 2" xfId="44208" xr:uid="{00000000-0005-0000-0000-0000EF560000}"/>
    <cellStyle name="Input 19 2 3 3 2 3" xfId="48117" xr:uid="{00000000-0005-0000-0000-0000F0560000}"/>
    <cellStyle name="Input 19 2 3 3 2 4" xfId="36298" xr:uid="{00000000-0005-0000-0000-0000F1560000}"/>
    <cellStyle name="Input 19 2 3 3 3" xfId="12171" xr:uid="{00000000-0005-0000-0000-0000F2560000}"/>
    <cellStyle name="Input 19 2 3 3 3 2" xfId="41916" xr:uid="{00000000-0005-0000-0000-0000F3560000}"/>
    <cellStyle name="Input 19 2 3 3 3 3" xfId="40197" xr:uid="{00000000-0005-0000-0000-0000F4560000}"/>
    <cellStyle name="Input 19 2 3 3 3 4" xfId="29843" xr:uid="{00000000-0005-0000-0000-0000F5560000}"/>
    <cellStyle name="Input 19 2 3 3 4" xfId="11756" xr:uid="{00000000-0005-0000-0000-0000F6560000}"/>
    <cellStyle name="Input 19 2 3 3 4 2" xfId="41733" xr:uid="{00000000-0005-0000-0000-0000F7560000}"/>
    <cellStyle name="Input 19 2 3 3 4 3" xfId="47473" xr:uid="{00000000-0005-0000-0000-0000F8560000}"/>
    <cellStyle name="Input 19 2 3 3 4 4" xfId="29443" xr:uid="{00000000-0005-0000-0000-0000F9560000}"/>
    <cellStyle name="Input 19 2 3 3 5" xfId="21074" xr:uid="{00000000-0005-0000-0000-0000FA560000}"/>
    <cellStyle name="Input 19 2 3 3 5 2" xfId="46611" xr:uid="{00000000-0005-0000-0000-0000FB560000}"/>
    <cellStyle name="Input 19 2 3 3 5 3" xfId="50517" xr:uid="{00000000-0005-0000-0000-0000FC560000}"/>
    <cellStyle name="Input 19 2 3 3 5 4" xfId="38480" xr:uid="{00000000-0005-0000-0000-0000FD560000}"/>
    <cellStyle name="Input 19 2 3 3 6" xfId="21727" xr:uid="{00000000-0005-0000-0000-0000FE560000}"/>
    <cellStyle name="Input 19 2 3 3 6 2" xfId="47264" xr:uid="{00000000-0005-0000-0000-0000FF560000}"/>
    <cellStyle name="Input 19 2 3 3 6 3" xfId="51170" xr:uid="{00000000-0005-0000-0000-000000570000}"/>
    <cellStyle name="Input 19 2 3 3 7" xfId="41067" xr:uid="{00000000-0005-0000-0000-000001570000}"/>
    <cellStyle name="Input 19 2 3 3 8" xfId="40587" xr:uid="{00000000-0005-0000-0000-000002570000}"/>
    <cellStyle name="Input 19 2 3 4" xfId="14831" xr:uid="{00000000-0005-0000-0000-000003570000}"/>
    <cellStyle name="Input 19 2 3 4 2" xfId="42947" xr:uid="{00000000-0005-0000-0000-000004570000}"/>
    <cellStyle name="Input 19 2 3 4 3" xfId="42543" xr:uid="{00000000-0005-0000-0000-000005570000}"/>
    <cellStyle name="Input 19 2 3 4 4" xfId="32466" xr:uid="{00000000-0005-0000-0000-000006570000}"/>
    <cellStyle name="Input 19 2 3 5" xfId="11291" xr:uid="{00000000-0005-0000-0000-000007570000}"/>
    <cellStyle name="Input 19 2 3 5 2" xfId="41338" xr:uid="{00000000-0005-0000-0000-000008570000}"/>
    <cellStyle name="Input 19 2 3 5 3" xfId="39580" xr:uid="{00000000-0005-0000-0000-000009570000}"/>
    <cellStyle name="Input 19 2 3 5 4" xfId="29019" xr:uid="{00000000-0005-0000-0000-00000A570000}"/>
    <cellStyle name="Input 19 2 3 6" xfId="19167" xr:uid="{00000000-0005-0000-0000-00000B570000}"/>
    <cellStyle name="Input 19 2 3 6 2" xfId="44704" xr:uid="{00000000-0005-0000-0000-00000C570000}"/>
    <cellStyle name="Input 19 2 3 6 3" xfId="48610" xr:uid="{00000000-0005-0000-0000-00000D570000}"/>
    <cellStyle name="Input 19 2 3 6 4" xfId="36759" xr:uid="{00000000-0005-0000-0000-00000E570000}"/>
    <cellStyle name="Input 19 2 3 7" xfId="11175" xr:uid="{00000000-0005-0000-0000-00000F570000}"/>
    <cellStyle name="Input 19 2 3 7 2" xfId="41298" xr:uid="{00000000-0005-0000-0000-000010570000}"/>
    <cellStyle name="Input 19 2 3 7 3" xfId="42829" xr:uid="{00000000-0005-0000-0000-000011570000}"/>
    <cellStyle name="Input 19 2 3 7 4" xfId="28903" xr:uid="{00000000-0005-0000-0000-000012570000}"/>
    <cellStyle name="Input 19 2 3 8" xfId="11643" xr:uid="{00000000-0005-0000-0000-000013570000}"/>
    <cellStyle name="Input 19 2 3 8 2" xfId="41654" xr:uid="{00000000-0005-0000-0000-000014570000}"/>
    <cellStyle name="Input 19 2 3 8 3" xfId="47577" xr:uid="{00000000-0005-0000-0000-000015570000}"/>
    <cellStyle name="Input 19 2 3 9" xfId="39807" xr:uid="{00000000-0005-0000-0000-000016570000}"/>
    <cellStyle name="Input 19 2 4" xfId="22443" xr:uid="{00000000-0005-0000-0000-000017570000}"/>
    <cellStyle name="Input 19 2 5" xfId="53038" xr:uid="{00000000-0005-0000-0000-000018570000}"/>
    <cellStyle name="Input 19 2_Sheet1" xfId="1854" xr:uid="{00000000-0005-0000-0000-000019570000}"/>
    <cellStyle name="Input 19 3" xfId="1855" xr:uid="{00000000-0005-0000-0000-00001A570000}"/>
    <cellStyle name="Input 19 3 2" xfId="7045" xr:uid="{00000000-0005-0000-0000-00001B570000}"/>
    <cellStyle name="Input 19 3 2 10" xfId="40632" xr:uid="{00000000-0005-0000-0000-00001C570000}"/>
    <cellStyle name="Input 19 3 2 2" xfId="10575" xr:uid="{00000000-0005-0000-0000-00001D570000}"/>
    <cellStyle name="Input 19 3 2 2 2" xfId="18368" xr:uid="{00000000-0005-0000-0000-00001E570000}"/>
    <cellStyle name="Input 19 3 2 2 2 2" xfId="43915" xr:uid="{00000000-0005-0000-0000-00001F570000}"/>
    <cellStyle name="Input 19 3 2 2 2 3" xfId="47824" xr:uid="{00000000-0005-0000-0000-000020570000}"/>
    <cellStyle name="Input 19 3 2 2 2 4" xfId="36005" xr:uid="{00000000-0005-0000-0000-000021570000}"/>
    <cellStyle name="Input 19 3 2 2 3" xfId="19756" xr:uid="{00000000-0005-0000-0000-000022570000}"/>
    <cellStyle name="Input 19 3 2 2 3 2" xfId="45293" xr:uid="{00000000-0005-0000-0000-000023570000}"/>
    <cellStyle name="Input 19 3 2 2 3 3" xfId="49199" xr:uid="{00000000-0005-0000-0000-000024570000}"/>
    <cellStyle name="Input 19 3 2 2 3 4" xfId="37283" xr:uid="{00000000-0005-0000-0000-000025570000}"/>
    <cellStyle name="Input 19 3 2 2 4" xfId="19260" xr:uid="{00000000-0005-0000-0000-000026570000}"/>
    <cellStyle name="Input 19 3 2 2 4 2" xfId="44797" xr:uid="{00000000-0005-0000-0000-000027570000}"/>
    <cellStyle name="Input 19 3 2 2 4 3" xfId="48703" xr:uid="{00000000-0005-0000-0000-000028570000}"/>
    <cellStyle name="Input 19 3 2 2 4 4" xfId="36838" xr:uid="{00000000-0005-0000-0000-000029570000}"/>
    <cellStyle name="Input 19 3 2 2 5" xfId="20781" xr:uid="{00000000-0005-0000-0000-00002A570000}"/>
    <cellStyle name="Input 19 3 2 2 5 2" xfId="46318" xr:uid="{00000000-0005-0000-0000-00002B570000}"/>
    <cellStyle name="Input 19 3 2 2 5 3" xfId="50224" xr:uid="{00000000-0005-0000-0000-00002C570000}"/>
    <cellStyle name="Input 19 3 2 2 5 4" xfId="38187" xr:uid="{00000000-0005-0000-0000-00002D570000}"/>
    <cellStyle name="Input 19 3 2 2 6" xfId="21434" xr:uid="{00000000-0005-0000-0000-00002E570000}"/>
    <cellStyle name="Input 19 3 2 2 6 2" xfId="46971" xr:uid="{00000000-0005-0000-0000-00002F570000}"/>
    <cellStyle name="Input 19 3 2 2 6 3" xfId="50877" xr:uid="{00000000-0005-0000-0000-000030570000}"/>
    <cellStyle name="Input 19 3 2 2 7" xfId="40774" xr:uid="{00000000-0005-0000-0000-000031570000}"/>
    <cellStyle name="Input 19 3 2 2 8" xfId="39398" xr:uid="{00000000-0005-0000-0000-000032570000}"/>
    <cellStyle name="Input 19 3 2 3" xfId="10870" xr:uid="{00000000-0005-0000-0000-000033570000}"/>
    <cellStyle name="Input 19 3 2 3 2" xfId="18663" xr:uid="{00000000-0005-0000-0000-000034570000}"/>
    <cellStyle name="Input 19 3 2 3 2 2" xfId="44210" xr:uid="{00000000-0005-0000-0000-000035570000}"/>
    <cellStyle name="Input 19 3 2 3 2 3" xfId="48119" xr:uid="{00000000-0005-0000-0000-000036570000}"/>
    <cellStyle name="Input 19 3 2 3 2 4" xfId="36300" xr:uid="{00000000-0005-0000-0000-000037570000}"/>
    <cellStyle name="Input 19 3 2 3 3" xfId="12640" xr:uid="{00000000-0005-0000-0000-000038570000}"/>
    <cellStyle name="Input 19 3 2 3 3 2" xfId="42119" xr:uid="{00000000-0005-0000-0000-000039570000}"/>
    <cellStyle name="Input 19 3 2 3 3 3" xfId="41981" xr:uid="{00000000-0005-0000-0000-00003A570000}"/>
    <cellStyle name="Input 19 3 2 3 3 4" xfId="30305" xr:uid="{00000000-0005-0000-0000-00003B570000}"/>
    <cellStyle name="Input 19 3 2 3 4" xfId="19849" xr:uid="{00000000-0005-0000-0000-00003C570000}"/>
    <cellStyle name="Input 19 3 2 3 4 2" xfId="45386" xr:uid="{00000000-0005-0000-0000-00003D570000}"/>
    <cellStyle name="Input 19 3 2 3 4 3" xfId="49292" xr:uid="{00000000-0005-0000-0000-00003E570000}"/>
    <cellStyle name="Input 19 3 2 3 4 4" xfId="37365" xr:uid="{00000000-0005-0000-0000-00003F570000}"/>
    <cellStyle name="Input 19 3 2 3 5" xfId="21076" xr:uid="{00000000-0005-0000-0000-000040570000}"/>
    <cellStyle name="Input 19 3 2 3 5 2" xfId="46613" xr:uid="{00000000-0005-0000-0000-000041570000}"/>
    <cellStyle name="Input 19 3 2 3 5 3" xfId="50519" xr:uid="{00000000-0005-0000-0000-000042570000}"/>
    <cellStyle name="Input 19 3 2 3 5 4" xfId="38482" xr:uid="{00000000-0005-0000-0000-000043570000}"/>
    <cellStyle name="Input 19 3 2 3 6" xfId="21729" xr:uid="{00000000-0005-0000-0000-000044570000}"/>
    <cellStyle name="Input 19 3 2 3 6 2" xfId="47266" xr:uid="{00000000-0005-0000-0000-000045570000}"/>
    <cellStyle name="Input 19 3 2 3 6 3" xfId="51172" xr:uid="{00000000-0005-0000-0000-000046570000}"/>
    <cellStyle name="Input 19 3 2 3 7" xfId="41069" xr:uid="{00000000-0005-0000-0000-000047570000}"/>
    <cellStyle name="Input 19 3 2 3 8" xfId="42735" xr:uid="{00000000-0005-0000-0000-000048570000}"/>
    <cellStyle name="Input 19 3 2 4" xfId="14833" xr:uid="{00000000-0005-0000-0000-000049570000}"/>
    <cellStyle name="Input 19 3 2 4 2" xfId="42949" xr:uid="{00000000-0005-0000-0000-00004A570000}"/>
    <cellStyle name="Input 19 3 2 4 3" xfId="40316" xr:uid="{00000000-0005-0000-0000-00004B570000}"/>
    <cellStyle name="Input 19 3 2 4 4" xfId="32468" xr:uid="{00000000-0005-0000-0000-00004C570000}"/>
    <cellStyle name="Input 19 3 2 5" xfId="13102" xr:uid="{00000000-0005-0000-0000-00004D570000}"/>
    <cellStyle name="Input 19 3 2 5 2" xfId="42323" xr:uid="{00000000-0005-0000-0000-00004E570000}"/>
    <cellStyle name="Input 19 3 2 5 3" xfId="43195" xr:uid="{00000000-0005-0000-0000-00004F570000}"/>
    <cellStyle name="Input 19 3 2 5 4" xfId="30751" xr:uid="{00000000-0005-0000-0000-000050570000}"/>
    <cellStyle name="Input 19 3 2 6" xfId="19941" xr:uid="{00000000-0005-0000-0000-000051570000}"/>
    <cellStyle name="Input 19 3 2 6 2" xfId="45478" xr:uid="{00000000-0005-0000-0000-000052570000}"/>
    <cellStyle name="Input 19 3 2 6 3" xfId="49384" xr:uid="{00000000-0005-0000-0000-000053570000}"/>
    <cellStyle name="Input 19 3 2 6 4" xfId="37450" xr:uid="{00000000-0005-0000-0000-000054570000}"/>
    <cellStyle name="Input 19 3 2 7" xfId="11728" xr:uid="{00000000-0005-0000-0000-000055570000}"/>
    <cellStyle name="Input 19 3 2 7 2" xfId="41715" xr:uid="{00000000-0005-0000-0000-000056570000}"/>
    <cellStyle name="Input 19 3 2 7 3" xfId="39345" xr:uid="{00000000-0005-0000-0000-000057570000}"/>
    <cellStyle name="Input 19 3 2 7 4" xfId="29415" xr:uid="{00000000-0005-0000-0000-000058570000}"/>
    <cellStyle name="Input 19 3 2 8" xfId="11678" xr:uid="{00000000-0005-0000-0000-000059570000}"/>
    <cellStyle name="Input 19 3 2 8 2" xfId="41689" xr:uid="{00000000-0005-0000-0000-00005A570000}"/>
    <cellStyle name="Input 19 3 2 8 3" xfId="40350" xr:uid="{00000000-0005-0000-0000-00005B570000}"/>
    <cellStyle name="Input 19 3 2 9" xfId="39809" xr:uid="{00000000-0005-0000-0000-00005C570000}"/>
    <cellStyle name="Input 19 3 3" xfId="53041" xr:uid="{00000000-0005-0000-0000-00005D570000}"/>
    <cellStyle name="Input 19 4" xfId="7042" xr:uid="{00000000-0005-0000-0000-00005E570000}"/>
    <cellStyle name="Input 19 4 10" xfId="40137" xr:uid="{00000000-0005-0000-0000-00005F570000}"/>
    <cellStyle name="Input 19 4 11" xfId="53042" xr:uid="{00000000-0005-0000-0000-000060570000}"/>
    <cellStyle name="Input 19 4 2" xfId="10572" xr:uid="{00000000-0005-0000-0000-000061570000}"/>
    <cellStyle name="Input 19 4 2 2" xfId="18365" xr:uid="{00000000-0005-0000-0000-000062570000}"/>
    <cellStyle name="Input 19 4 2 2 2" xfId="43912" xr:uid="{00000000-0005-0000-0000-000063570000}"/>
    <cellStyle name="Input 19 4 2 2 3" xfId="47821" xr:uid="{00000000-0005-0000-0000-000064570000}"/>
    <cellStyle name="Input 19 4 2 2 4" xfId="36002" xr:uid="{00000000-0005-0000-0000-000065570000}"/>
    <cellStyle name="Input 19 4 2 3" xfId="19302" xr:uid="{00000000-0005-0000-0000-000066570000}"/>
    <cellStyle name="Input 19 4 2 3 2" xfId="44839" xr:uid="{00000000-0005-0000-0000-000067570000}"/>
    <cellStyle name="Input 19 4 2 3 3" xfId="48745" xr:uid="{00000000-0005-0000-0000-000068570000}"/>
    <cellStyle name="Input 19 4 2 3 4" xfId="36880" xr:uid="{00000000-0005-0000-0000-000069570000}"/>
    <cellStyle name="Input 19 4 2 4" xfId="19998" xr:uid="{00000000-0005-0000-0000-00006A570000}"/>
    <cellStyle name="Input 19 4 2 4 2" xfId="45535" xr:uid="{00000000-0005-0000-0000-00006B570000}"/>
    <cellStyle name="Input 19 4 2 4 3" xfId="49441" xr:uid="{00000000-0005-0000-0000-00006C570000}"/>
    <cellStyle name="Input 19 4 2 4 4" xfId="37496" xr:uid="{00000000-0005-0000-0000-00006D570000}"/>
    <cellStyle name="Input 19 4 2 5" xfId="20778" xr:uid="{00000000-0005-0000-0000-00006E570000}"/>
    <cellStyle name="Input 19 4 2 5 2" xfId="46315" xr:uid="{00000000-0005-0000-0000-00006F570000}"/>
    <cellStyle name="Input 19 4 2 5 3" xfId="50221" xr:uid="{00000000-0005-0000-0000-000070570000}"/>
    <cellStyle name="Input 19 4 2 5 4" xfId="38184" xr:uid="{00000000-0005-0000-0000-000071570000}"/>
    <cellStyle name="Input 19 4 2 6" xfId="21431" xr:uid="{00000000-0005-0000-0000-000072570000}"/>
    <cellStyle name="Input 19 4 2 6 2" xfId="46968" xr:uid="{00000000-0005-0000-0000-000073570000}"/>
    <cellStyle name="Input 19 4 2 6 3" xfId="50874" xr:uid="{00000000-0005-0000-0000-000074570000}"/>
    <cellStyle name="Input 19 4 2 7" xfId="40771" xr:uid="{00000000-0005-0000-0000-000075570000}"/>
    <cellStyle name="Input 19 4 2 8" xfId="43528" xr:uid="{00000000-0005-0000-0000-000076570000}"/>
    <cellStyle name="Input 19 4 3" xfId="10867" xr:uid="{00000000-0005-0000-0000-000077570000}"/>
    <cellStyle name="Input 19 4 3 2" xfId="18660" xr:uid="{00000000-0005-0000-0000-000078570000}"/>
    <cellStyle name="Input 19 4 3 2 2" xfId="44207" xr:uid="{00000000-0005-0000-0000-000079570000}"/>
    <cellStyle name="Input 19 4 3 2 3" xfId="48116" xr:uid="{00000000-0005-0000-0000-00007A570000}"/>
    <cellStyle name="Input 19 4 3 2 4" xfId="36297" xr:uid="{00000000-0005-0000-0000-00007B570000}"/>
    <cellStyle name="Input 19 4 3 3" xfId="13338" xr:uid="{00000000-0005-0000-0000-00007C570000}"/>
    <cellStyle name="Input 19 4 3 3 2" xfId="42508" xr:uid="{00000000-0005-0000-0000-00007D570000}"/>
    <cellStyle name="Input 19 4 3 3 3" xfId="39647" xr:uid="{00000000-0005-0000-0000-00007E570000}"/>
    <cellStyle name="Input 19 4 3 3 4" xfId="30978" xr:uid="{00000000-0005-0000-0000-00007F570000}"/>
    <cellStyle name="Input 19 4 3 4" xfId="11612" xr:uid="{00000000-0005-0000-0000-000080570000}"/>
    <cellStyle name="Input 19 4 3 4 2" xfId="41623" xr:uid="{00000000-0005-0000-0000-000081570000}"/>
    <cellStyle name="Input 19 4 3 4 3" xfId="41391" xr:uid="{00000000-0005-0000-0000-000082570000}"/>
    <cellStyle name="Input 19 4 3 4 4" xfId="29315" xr:uid="{00000000-0005-0000-0000-000083570000}"/>
    <cellStyle name="Input 19 4 3 5" xfId="21073" xr:uid="{00000000-0005-0000-0000-000084570000}"/>
    <cellStyle name="Input 19 4 3 5 2" xfId="46610" xr:uid="{00000000-0005-0000-0000-000085570000}"/>
    <cellStyle name="Input 19 4 3 5 3" xfId="50516" xr:uid="{00000000-0005-0000-0000-000086570000}"/>
    <cellStyle name="Input 19 4 3 5 4" xfId="38479" xr:uid="{00000000-0005-0000-0000-000087570000}"/>
    <cellStyle name="Input 19 4 3 6" xfId="21726" xr:uid="{00000000-0005-0000-0000-000088570000}"/>
    <cellStyle name="Input 19 4 3 6 2" xfId="47263" xr:uid="{00000000-0005-0000-0000-000089570000}"/>
    <cellStyle name="Input 19 4 3 6 3" xfId="51169" xr:uid="{00000000-0005-0000-0000-00008A570000}"/>
    <cellStyle name="Input 19 4 3 7" xfId="41066" xr:uid="{00000000-0005-0000-0000-00008B570000}"/>
    <cellStyle name="Input 19 4 3 8" xfId="43728" xr:uid="{00000000-0005-0000-0000-00008C570000}"/>
    <cellStyle name="Input 19 4 4" xfId="14830" xr:uid="{00000000-0005-0000-0000-00008D570000}"/>
    <cellStyle name="Input 19 4 4 2" xfId="42946" xr:uid="{00000000-0005-0000-0000-00008E570000}"/>
    <cellStyle name="Input 19 4 4 3" xfId="39533" xr:uid="{00000000-0005-0000-0000-00008F570000}"/>
    <cellStyle name="Input 19 4 4 4" xfId="32465" xr:uid="{00000000-0005-0000-0000-000090570000}"/>
    <cellStyle name="Input 19 4 5" xfId="12472" xr:uid="{00000000-0005-0000-0000-000091570000}"/>
    <cellStyle name="Input 19 4 5 2" xfId="41993" xr:uid="{00000000-0005-0000-0000-000092570000}"/>
    <cellStyle name="Input 19 4 5 3" xfId="39114" xr:uid="{00000000-0005-0000-0000-000093570000}"/>
    <cellStyle name="Input 19 4 5 4" xfId="30143" xr:uid="{00000000-0005-0000-0000-000094570000}"/>
    <cellStyle name="Input 19 4 6" xfId="20280" xr:uid="{00000000-0005-0000-0000-000095570000}"/>
    <cellStyle name="Input 19 4 6 2" xfId="45817" xr:uid="{00000000-0005-0000-0000-000096570000}"/>
    <cellStyle name="Input 19 4 6 3" xfId="49723" xr:uid="{00000000-0005-0000-0000-000097570000}"/>
    <cellStyle name="Input 19 4 6 4" xfId="37748" xr:uid="{00000000-0005-0000-0000-000098570000}"/>
    <cellStyle name="Input 19 4 7" xfId="20511" xr:uid="{00000000-0005-0000-0000-000099570000}"/>
    <cellStyle name="Input 19 4 7 2" xfId="46048" xr:uid="{00000000-0005-0000-0000-00009A570000}"/>
    <cellStyle name="Input 19 4 7 3" xfId="49954" xr:uid="{00000000-0005-0000-0000-00009B570000}"/>
    <cellStyle name="Input 19 4 7 4" xfId="37947" xr:uid="{00000000-0005-0000-0000-00009C570000}"/>
    <cellStyle name="Input 19 4 8" xfId="12093" xr:uid="{00000000-0005-0000-0000-00009D570000}"/>
    <cellStyle name="Input 19 4 8 2" xfId="41838" xr:uid="{00000000-0005-0000-0000-00009E570000}"/>
    <cellStyle name="Input 19 4 8 3" xfId="39139" xr:uid="{00000000-0005-0000-0000-00009F570000}"/>
    <cellStyle name="Input 19 4 9" xfId="39806" xr:uid="{00000000-0005-0000-0000-0000A0570000}"/>
    <cellStyle name="Input 19 5" xfId="22442" xr:uid="{00000000-0005-0000-0000-0000A1570000}"/>
    <cellStyle name="Input 19 6" xfId="53037" xr:uid="{00000000-0005-0000-0000-0000A2570000}"/>
    <cellStyle name="Input 19_Sheet1" xfId="1856" xr:uid="{00000000-0005-0000-0000-0000A3570000}"/>
    <cellStyle name="Input 2" xfId="106" xr:uid="{00000000-0005-0000-0000-0000A4570000}"/>
    <cellStyle name="Input 2 10" xfId="1858" xr:uid="{00000000-0005-0000-0000-0000A5570000}"/>
    <cellStyle name="Input 2 10 2" xfId="7047" xr:uid="{00000000-0005-0000-0000-0000A6570000}"/>
    <cellStyle name="Input 2 10 2 10" xfId="42766" xr:uid="{00000000-0005-0000-0000-0000A7570000}"/>
    <cellStyle name="Input 2 10 2 2" xfId="10577" xr:uid="{00000000-0005-0000-0000-0000A8570000}"/>
    <cellStyle name="Input 2 10 2 2 2" xfId="18370" xr:uid="{00000000-0005-0000-0000-0000A9570000}"/>
    <cellStyle name="Input 2 10 2 2 2 2" xfId="43917" xr:uid="{00000000-0005-0000-0000-0000AA570000}"/>
    <cellStyle name="Input 2 10 2 2 2 3" xfId="47826" xr:uid="{00000000-0005-0000-0000-0000AB570000}"/>
    <cellStyle name="Input 2 10 2 2 2 4" xfId="36007" xr:uid="{00000000-0005-0000-0000-0000AC570000}"/>
    <cellStyle name="Input 2 10 2 2 3" xfId="13324" xr:uid="{00000000-0005-0000-0000-0000AD570000}"/>
    <cellStyle name="Input 2 10 2 2 3 2" xfId="42494" xr:uid="{00000000-0005-0000-0000-0000AE570000}"/>
    <cellStyle name="Input 2 10 2 2 3 3" xfId="43572" xr:uid="{00000000-0005-0000-0000-0000AF570000}"/>
    <cellStyle name="Input 2 10 2 2 3 4" xfId="30964" xr:uid="{00000000-0005-0000-0000-0000B0570000}"/>
    <cellStyle name="Input 2 10 2 2 4" xfId="11611" xr:uid="{00000000-0005-0000-0000-0000B1570000}"/>
    <cellStyle name="Input 2 10 2 2 4 2" xfId="41622" xr:uid="{00000000-0005-0000-0000-0000B2570000}"/>
    <cellStyle name="Input 2 10 2 2 4 3" xfId="47512" xr:uid="{00000000-0005-0000-0000-0000B3570000}"/>
    <cellStyle name="Input 2 10 2 2 4 4" xfId="29314" xr:uid="{00000000-0005-0000-0000-0000B4570000}"/>
    <cellStyle name="Input 2 10 2 2 5" xfId="20783" xr:uid="{00000000-0005-0000-0000-0000B5570000}"/>
    <cellStyle name="Input 2 10 2 2 5 2" xfId="46320" xr:uid="{00000000-0005-0000-0000-0000B6570000}"/>
    <cellStyle name="Input 2 10 2 2 5 3" xfId="50226" xr:uid="{00000000-0005-0000-0000-0000B7570000}"/>
    <cellStyle name="Input 2 10 2 2 5 4" xfId="38189" xr:uid="{00000000-0005-0000-0000-0000B8570000}"/>
    <cellStyle name="Input 2 10 2 2 6" xfId="21436" xr:uid="{00000000-0005-0000-0000-0000B9570000}"/>
    <cellStyle name="Input 2 10 2 2 6 2" xfId="46973" xr:uid="{00000000-0005-0000-0000-0000BA570000}"/>
    <cellStyle name="Input 2 10 2 2 6 3" xfId="50879" xr:uid="{00000000-0005-0000-0000-0000BB570000}"/>
    <cellStyle name="Input 2 10 2 2 7" xfId="40776" xr:uid="{00000000-0005-0000-0000-0000BC570000}"/>
    <cellStyle name="Input 2 10 2 2 8" xfId="43245" xr:uid="{00000000-0005-0000-0000-0000BD570000}"/>
    <cellStyle name="Input 2 10 2 3" xfId="10872" xr:uid="{00000000-0005-0000-0000-0000BE570000}"/>
    <cellStyle name="Input 2 10 2 3 2" xfId="18665" xr:uid="{00000000-0005-0000-0000-0000BF570000}"/>
    <cellStyle name="Input 2 10 2 3 2 2" xfId="44212" xr:uid="{00000000-0005-0000-0000-0000C0570000}"/>
    <cellStyle name="Input 2 10 2 3 2 3" xfId="48121" xr:uid="{00000000-0005-0000-0000-0000C1570000}"/>
    <cellStyle name="Input 2 10 2 3 2 4" xfId="36302" xr:uid="{00000000-0005-0000-0000-0000C2570000}"/>
    <cellStyle name="Input 2 10 2 3 3" xfId="11520" xr:uid="{00000000-0005-0000-0000-0000C3570000}"/>
    <cellStyle name="Input 2 10 2 3 3 2" xfId="41531" xr:uid="{00000000-0005-0000-0000-0000C4570000}"/>
    <cellStyle name="Input 2 10 2 3 3 3" xfId="40568" xr:uid="{00000000-0005-0000-0000-0000C5570000}"/>
    <cellStyle name="Input 2 10 2 3 3 4" xfId="29235" xr:uid="{00000000-0005-0000-0000-0000C6570000}"/>
    <cellStyle name="Input 2 10 2 3 4" xfId="19534" xr:uid="{00000000-0005-0000-0000-0000C7570000}"/>
    <cellStyle name="Input 2 10 2 3 4 2" xfId="45071" xr:uid="{00000000-0005-0000-0000-0000C8570000}"/>
    <cellStyle name="Input 2 10 2 3 4 3" xfId="48977" xr:uid="{00000000-0005-0000-0000-0000C9570000}"/>
    <cellStyle name="Input 2 10 2 3 4 4" xfId="37081" xr:uid="{00000000-0005-0000-0000-0000CA570000}"/>
    <cellStyle name="Input 2 10 2 3 5" xfId="21078" xr:uid="{00000000-0005-0000-0000-0000CB570000}"/>
    <cellStyle name="Input 2 10 2 3 5 2" xfId="46615" xr:uid="{00000000-0005-0000-0000-0000CC570000}"/>
    <cellStyle name="Input 2 10 2 3 5 3" xfId="50521" xr:uid="{00000000-0005-0000-0000-0000CD570000}"/>
    <cellStyle name="Input 2 10 2 3 5 4" xfId="38484" xr:uid="{00000000-0005-0000-0000-0000CE570000}"/>
    <cellStyle name="Input 2 10 2 3 6" xfId="21731" xr:uid="{00000000-0005-0000-0000-0000CF570000}"/>
    <cellStyle name="Input 2 10 2 3 6 2" xfId="47268" xr:uid="{00000000-0005-0000-0000-0000D0570000}"/>
    <cellStyle name="Input 2 10 2 3 6 3" xfId="51174" xr:uid="{00000000-0005-0000-0000-0000D1570000}"/>
    <cellStyle name="Input 2 10 2 3 7" xfId="41071" xr:uid="{00000000-0005-0000-0000-0000D2570000}"/>
    <cellStyle name="Input 2 10 2 3 8" xfId="40482" xr:uid="{00000000-0005-0000-0000-0000D3570000}"/>
    <cellStyle name="Input 2 10 2 4" xfId="14835" xr:uid="{00000000-0005-0000-0000-0000D4570000}"/>
    <cellStyle name="Input 2 10 2 4 2" xfId="42951" xr:uid="{00000000-0005-0000-0000-0000D5570000}"/>
    <cellStyle name="Input 2 10 2 4 3" xfId="41948" xr:uid="{00000000-0005-0000-0000-0000D6570000}"/>
    <cellStyle name="Input 2 10 2 4 4" xfId="32470" xr:uid="{00000000-0005-0000-0000-0000D7570000}"/>
    <cellStyle name="Input 2 10 2 5" xfId="13104" xr:uid="{00000000-0005-0000-0000-0000D8570000}"/>
    <cellStyle name="Input 2 10 2 5 2" xfId="42325" xr:uid="{00000000-0005-0000-0000-0000D9570000}"/>
    <cellStyle name="Input 2 10 2 5 3" xfId="42796" xr:uid="{00000000-0005-0000-0000-0000DA570000}"/>
    <cellStyle name="Input 2 10 2 5 4" xfId="30753" xr:uid="{00000000-0005-0000-0000-0000DB570000}"/>
    <cellStyle name="Input 2 10 2 6" xfId="19934" xr:uid="{00000000-0005-0000-0000-0000DC570000}"/>
    <cellStyle name="Input 2 10 2 6 2" xfId="45471" xr:uid="{00000000-0005-0000-0000-0000DD570000}"/>
    <cellStyle name="Input 2 10 2 6 3" xfId="49377" xr:uid="{00000000-0005-0000-0000-0000DE570000}"/>
    <cellStyle name="Input 2 10 2 6 4" xfId="37445" xr:uid="{00000000-0005-0000-0000-0000DF570000}"/>
    <cellStyle name="Input 2 10 2 7" xfId="18891" xr:uid="{00000000-0005-0000-0000-0000E0570000}"/>
    <cellStyle name="Input 2 10 2 7 2" xfId="44428" xr:uid="{00000000-0005-0000-0000-0000E1570000}"/>
    <cellStyle name="Input 2 10 2 7 3" xfId="48334" xr:uid="{00000000-0005-0000-0000-0000E2570000}"/>
    <cellStyle name="Input 2 10 2 7 4" xfId="36527" xr:uid="{00000000-0005-0000-0000-0000E3570000}"/>
    <cellStyle name="Input 2 10 2 8" xfId="19945" xr:uid="{00000000-0005-0000-0000-0000E4570000}"/>
    <cellStyle name="Input 2 10 2 8 2" xfId="45482" xr:uid="{00000000-0005-0000-0000-0000E5570000}"/>
    <cellStyle name="Input 2 10 2 8 3" xfId="49388" xr:uid="{00000000-0005-0000-0000-0000E6570000}"/>
    <cellStyle name="Input 2 10 2 9" xfId="39811" xr:uid="{00000000-0005-0000-0000-0000E7570000}"/>
    <cellStyle name="Input 2 10 3" xfId="53044" xr:uid="{00000000-0005-0000-0000-0000E8570000}"/>
    <cellStyle name="Input 2 11" xfId="1859" xr:uid="{00000000-0005-0000-0000-0000E9570000}"/>
    <cellStyle name="Input 2 11 2" xfId="7048" xr:uid="{00000000-0005-0000-0000-0000EA570000}"/>
    <cellStyle name="Input 2 11 2 10" xfId="43654" xr:uid="{00000000-0005-0000-0000-0000EB570000}"/>
    <cellStyle name="Input 2 11 2 2" xfId="10578" xr:uid="{00000000-0005-0000-0000-0000EC570000}"/>
    <cellStyle name="Input 2 11 2 2 2" xfId="18371" xr:uid="{00000000-0005-0000-0000-0000ED570000}"/>
    <cellStyle name="Input 2 11 2 2 2 2" xfId="43918" xr:uid="{00000000-0005-0000-0000-0000EE570000}"/>
    <cellStyle name="Input 2 11 2 2 2 3" xfId="47827" xr:uid="{00000000-0005-0000-0000-0000EF570000}"/>
    <cellStyle name="Input 2 11 2 2 2 4" xfId="36008" xr:uid="{00000000-0005-0000-0000-0000F0570000}"/>
    <cellStyle name="Input 2 11 2 2 3" xfId="19755" xr:uid="{00000000-0005-0000-0000-0000F1570000}"/>
    <cellStyle name="Input 2 11 2 2 3 2" xfId="45292" xr:uid="{00000000-0005-0000-0000-0000F2570000}"/>
    <cellStyle name="Input 2 11 2 2 3 3" xfId="49198" xr:uid="{00000000-0005-0000-0000-0000F3570000}"/>
    <cellStyle name="Input 2 11 2 2 3 4" xfId="37282" xr:uid="{00000000-0005-0000-0000-0000F4570000}"/>
    <cellStyle name="Input 2 11 2 2 4" xfId="19066" xr:uid="{00000000-0005-0000-0000-0000F5570000}"/>
    <cellStyle name="Input 2 11 2 2 4 2" xfId="44603" xr:uid="{00000000-0005-0000-0000-0000F6570000}"/>
    <cellStyle name="Input 2 11 2 2 4 3" xfId="48509" xr:uid="{00000000-0005-0000-0000-0000F7570000}"/>
    <cellStyle name="Input 2 11 2 2 4 4" xfId="36665" xr:uid="{00000000-0005-0000-0000-0000F8570000}"/>
    <cellStyle name="Input 2 11 2 2 5" xfId="20784" xr:uid="{00000000-0005-0000-0000-0000F9570000}"/>
    <cellStyle name="Input 2 11 2 2 5 2" xfId="46321" xr:uid="{00000000-0005-0000-0000-0000FA570000}"/>
    <cellStyle name="Input 2 11 2 2 5 3" xfId="50227" xr:uid="{00000000-0005-0000-0000-0000FB570000}"/>
    <cellStyle name="Input 2 11 2 2 5 4" xfId="38190" xr:uid="{00000000-0005-0000-0000-0000FC570000}"/>
    <cellStyle name="Input 2 11 2 2 6" xfId="21437" xr:uid="{00000000-0005-0000-0000-0000FD570000}"/>
    <cellStyle name="Input 2 11 2 2 6 2" xfId="46974" xr:uid="{00000000-0005-0000-0000-0000FE570000}"/>
    <cellStyle name="Input 2 11 2 2 6 3" xfId="50880" xr:uid="{00000000-0005-0000-0000-0000FF570000}"/>
    <cellStyle name="Input 2 11 2 2 7" xfId="40777" xr:uid="{00000000-0005-0000-0000-000000580000}"/>
    <cellStyle name="Input 2 11 2 2 8" xfId="40104" xr:uid="{00000000-0005-0000-0000-000001580000}"/>
    <cellStyle name="Input 2 11 2 3" xfId="10873" xr:uid="{00000000-0005-0000-0000-000002580000}"/>
    <cellStyle name="Input 2 11 2 3 2" xfId="18666" xr:uid="{00000000-0005-0000-0000-000003580000}"/>
    <cellStyle name="Input 2 11 2 3 2 2" xfId="44213" xr:uid="{00000000-0005-0000-0000-000004580000}"/>
    <cellStyle name="Input 2 11 2 3 2 3" xfId="48122" xr:uid="{00000000-0005-0000-0000-000005580000}"/>
    <cellStyle name="Input 2 11 2 3 2 4" xfId="36303" xr:uid="{00000000-0005-0000-0000-000006580000}"/>
    <cellStyle name="Input 2 11 2 3 3" xfId="12172" xr:uid="{00000000-0005-0000-0000-000007580000}"/>
    <cellStyle name="Input 2 11 2 3 3 2" xfId="41917" xr:uid="{00000000-0005-0000-0000-000008580000}"/>
    <cellStyle name="Input 2 11 2 3 3 3" xfId="39321" xr:uid="{00000000-0005-0000-0000-000009580000}"/>
    <cellStyle name="Input 2 11 2 3 3 4" xfId="29844" xr:uid="{00000000-0005-0000-0000-00000A580000}"/>
    <cellStyle name="Input 2 11 2 3 4" xfId="12763" xr:uid="{00000000-0005-0000-0000-00000B580000}"/>
    <cellStyle name="Input 2 11 2 3 4 2" xfId="42208" xr:uid="{00000000-0005-0000-0000-00000C580000}"/>
    <cellStyle name="Input 2 11 2 3 4 3" xfId="41976" xr:uid="{00000000-0005-0000-0000-00000D580000}"/>
    <cellStyle name="Input 2 11 2 3 4 4" xfId="30421" xr:uid="{00000000-0005-0000-0000-00000E580000}"/>
    <cellStyle name="Input 2 11 2 3 5" xfId="21079" xr:uid="{00000000-0005-0000-0000-00000F580000}"/>
    <cellStyle name="Input 2 11 2 3 5 2" xfId="46616" xr:uid="{00000000-0005-0000-0000-000010580000}"/>
    <cellStyle name="Input 2 11 2 3 5 3" xfId="50522" xr:uid="{00000000-0005-0000-0000-000011580000}"/>
    <cellStyle name="Input 2 11 2 3 5 4" xfId="38485" xr:uid="{00000000-0005-0000-0000-000012580000}"/>
    <cellStyle name="Input 2 11 2 3 6" xfId="21732" xr:uid="{00000000-0005-0000-0000-000013580000}"/>
    <cellStyle name="Input 2 11 2 3 6 2" xfId="47269" xr:uid="{00000000-0005-0000-0000-000014580000}"/>
    <cellStyle name="Input 2 11 2 3 6 3" xfId="51175" xr:uid="{00000000-0005-0000-0000-000015580000}"/>
    <cellStyle name="Input 2 11 2 3 7" xfId="41072" xr:uid="{00000000-0005-0000-0000-000016580000}"/>
    <cellStyle name="Input 2 11 2 3 8" xfId="39592" xr:uid="{00000000-0005-0000-0000-000017580000}"/>
    <cellStyle name="Input 2 11 2 4" xfId="14836" xr:uid="{00000000-0005-0000-0000-000018580000}"/>
    <cellStyle name="Input 2 11 2 4 2" xfId="42952" xr:uid="{00000000-0005-0000-0000-000019580000}"/>
    <cellStyle name="Input 2 11 2 4 3" xfId="43302" xr:uid="{00000000-0005-0000-0000-00001A580000}"/>
    <cellStyle name="Input 2 11 2 4 4" xfId="32471" xr:uid="{00000000-0005-0000-0000-00001B580000}"/>
    <cellStyle name="Input 2 11 2 5" xfId="13105" xr:uid="{00000000-0005-0000-0000-00001C580000}"/>
    <cellStyle name="Input 2 11 2 5 2" xfId="42326" xr:uid="{00000000-0005-0000-0000-00001D580000}"/>
    <cellStyle name="Input 2 11 2 5 3" xfId="43684" xr:uid="{00000000-0005-0000-0000-00001E580000}"/>
    <cellStyle name="Input 2 11 2 5 4" xfId="30754" xr:uid="{00000000-0005-0000-0000-00001F580000}"/>
    <cellStyle name="Input 2 11 2 6" xfId="11363" xr:uid="{00000000-0005-0000-0000-000020580000}"/>
    <cellStyle name="Input 2 11 2 6 2" xfId="41399" xr:uid="{00000000-0005-0000-0000-000021580000}"/>
    <cellStyle name="Input 2 11 2 6 3" xfId="42825" xr:uid="{00000000-0005-0000-0000-000022580000}"/>
    <cellStyle name="Input 2 11 2 6 4" xfId="29086" xr:uid="{00000000-0005-0000-0000-000023580000}"/>
    <cellStyle name="Input 2 11 2 7" xfId="11792" xr:uid="{00000000-0005-0000-0000-000024580000}"/>
    <cellStyle name="Input 2 11 2 7 2" xfId="41744" xr:uid="{00000000-0005-0000-0000-000025580000}"/>
    <cellStyle name="Input 2 11 2 7 3" xfId="39339" xr:uid="{00000000-0005-0000-0000-000026580000}"/>
    <cellStyle name="Input 2 11 2 7 4" xfId="29478" xr:uid="{00000000-0005-0000-0000-000027580000}"/>
    <cellStyle name="Input 2 11 2 8" xfId="11707" xr:uid="{00000000-0005-0000-0000-000028580000}"/>
    <cellStyle name="Input 2 11 2 8 2" xfId="41705" xr:uid="{00000000-0005-0000-0000-000029580000}"/>
    <cellStyle name="Input 2 11 2 8 3" xfId="47474" xr:uid="{00000000-0005-0000-0000-00002A580000}"/>
    <cellStyle name="Input 2 11 2 9" xfId="39812" xr:uid="{00000000-0005-0000-0000-00002B580000}"/>
    <cellStyle name="Input 2 11 3" xfId="53045" xr:uid="{00000000-0005-0000-0000-00002C580000}"/>
    <cellStyle name="Input 2 12" xfId="1860" xr:uid="{00000000-0005-0000-0000-00002D580000}"/>
    <cellStyle name="Input 2 12 2" xfId="7049" xr:uid="{00000000-0005-0000-0000-00002E580000}"/>
    <cellStyle name="Input 2 12 2 10" xfId="40512" xr:uid="{00000000-0005-0000-0000-00002F580000}"/>
    <cellStyle name="Input 2 12 2 2" xfId="10579" xr:uid="{00000000-0005-0000-0000-000030580000}"/>
    <cellStyle name="Input 2 12 2 2 2" xfId="18372" xr:uid="{00000000-0005-0000-0000-000031580000}"/>
    <cellStyle name="Input 2 12 2 2 2 2" xfId="43919" xr:uid="{00000000-0005-0000-0000-000032580000}"/>
    <cellStyle name="Input 2 12 2 2 2 3" xfId="47828" xr:uid="{00000000-0005-0000-0000-000033580000}"/>
    <cellStyle name="Input 2 12 2 2 2 4" xfId="36009" xr:uid="{00000000-0005-0000-0000-000034580000}"/>
    <cellStyle name="Input 2 12 2 2 3" xfId="12625" xr:uid="{00000000-0005-0000-0000-000035580000}"/>
    <cellStyle name="Input 2 12 2 2 3 2" xfId="42104" xr:uid="{00000000-0005-0000-0000-000036580000}"/>
    <cellStyle name="Input 2 12 2 2 3 3" xfId="41314" xr:uid="{00000000-0005-0000-0000-000037580000}"/>
    <cellStyle name="Input 2 12 2 2 3 4" xfId="30290" xr:uid="{00000000-0005-0000-0000-000038580000}"/>
    <cellStyle name="Input 2 12 2 2 4" xfId="19357" xr:uid="{00000000-0005-0000-0000-000039580000}"/>
    <cellStyle name="Input 2 12 2 2 4 2" xfId="44894" xr:uid="{00000000-0005-0000-0000-00003A580000}"/>
    <cellStyle name="Input 2 12 2 2 4 3" xfId="48800" xr:uid="{00000000-0005-0000-0000-00003B580000}"/>
    <cellStyle name="Input 2 12 2 2 4 4" xfId="36926" xr:uid="{00000000-0005-0000-0000-00003C580000}"/>
    <cellStyle name="Input 2 12 2 2 5" xfId="20785" xr:uid="{00000000-0005-0000-0000-00003D580000}"/>
    <cellStyle name="Input 2 12 2 2 5 2" xfId="46322" xr:uid="{00000000-0005-0000-0000-00003E580000}"/>
    <cellStyle name="Input 2 12 2 2 5 3" xfId="50228" xr:uid="{00000000-0005-0000-0000-00003F580000}"/>
    <cellStyle name="Input 2 12 2 2 5 4" xfId="38191" xr:uid="{00000000-0005-0000-0000-000040580000}"/>
    <cellStyle name="Input 2 12 2 2 6" xfId="21438" xr:uid="{00000000-0005-0000-0000-000041580000}"/>
    <cellStyle name="Input 2 12 2 2 6 2" xfId="46975" xr:uid="{00000000-0005-0000-0000-000042580000}"/>
    <cellStyle name="Input 2 12 2 2 6 3" xfId="50881" xr:uid="{00000000-0005-0000-0000-000043580000}"/>
    <cellStyle name="Input 2 12 2 2 7" xfId="40778" xr:uid="{00000000-0005-0000-0000-000044580000}"/>
    <cellStyle name="Input 2 12 2 2 8" xfId="42853" xr:uid="{00000000-0005-0000-0000-000045580000}"/>
    <cellStyle name="Input 2 12 2 3" xfId="10874" xr:uid="{00000000-0005-0000-0000-000046580000}"/>
    <cellStyle name="Input 2 12 2 3 2" xfId="18667" xr:uid="{00000000-0005-0000-0000-000047580000}"/>
    <cellStyle name="Input 2 12 2 3 2 2" xfId="44214" xr:uid="{00000000-0005-0000-0000-000048580000}"/>
    <cellStyle name="Input 2 12 2 3 2 3" xfId="48123" xr:uid="{00000000-0005-0000-0000-000049580000}"/>
    <cellStyle name="Input 2 12 2 3 2 4" xfId="36304" xr:uid="{00000000-0005-0000-0000-00004A580000}"/>
    <cellStyle name="Input 2 12 2 3 3" xfId="13340" xr:uid="{00000000-0005-0000-0000-00004B580000}"/>
    <cellStyle name="Input 2 12 2 3 3 2" xfId="42510" xr:uid="{00000000-0005-0000-0000-00004C580000}"/>
    <cellStyle name="Input 2 12 2 3 3 3" xfId="43571" xr:uid="{00000000-0005-0000-0000-00004D580000}"/>
    <cellStyle name="Input 2 12 2 3 3 4" xfId="30980" xr:uid="{00000000-0005-0000-0000-00004E580000}"/>
    <cellStyle name="Input 2 12 2 3 4" xfId="18960" xr:uid="{00000000-0005-0000-0000-00004F580000}"/>
    <cellStyle name="Input 2 12 2 3 4 2" xfId="44497" xr:uid="{00000000-0005-0000-0000-000050580000}"/>
    <cellStyle name="Input 2 12 2 3 4 3" xfId="48403" xr:uid="{00000000-0005-0000-0000-000051580000}"/>
    <cellStyle name="Input 2 12 2 3 4 4" xfId="36586" xr:uid="{00000000-0005-0000-0000-000052580000}"/>
    <cellStyle name="Input 2 12 2 3 5" xfId="21080" xr:uid="{00000000-0005-0000-0000-000053580000}"/>
    <cellStyle name="Input 2 12 2 3 5 2" xfId="46617" xr:uid="{00000000-0005-0000-0000-000054580000}"/>
    <cellStyle name="Input 2 12 2 3 5 3" xfId="50523" xr:uid="{00000000-0005-0000-0000-000055580000}"/>
    <cellStyle name="Input 2 12 2 3 5 4" xfId="38486" xr:uid="{00000000-0005-0000-0000-000056580000}"/>
    <cellStyle name="Input 2 12 2 3 6" xfId="21733" xr:uid="{00000000-0005-0000-0000-000057580000}"/>
    <cellStyle name="Input 2 12 2 3 6 2" xfId="47270" xr:uid="{00000000-0005-0000-0000-000058580000}"/>
    <cellStyle name="Input 2 12 2 3 6 3" xfId="51176" xr:uid="{00000000-0005-0000-0000-000059580000}"/>
    <cellStyle name="Input 2 12 2 3 7" xfId="41073" xr:uid="{00000000-0005-0000-0000-00005A580000}"/>
    <cellStyle name="Input 2 12 2 3 8" xfId="42600" xr:uid="{00000000-0005-0000-0000-00005B580000}"/>
    <cellStyle name="Input 2 12 2 4" xfId="14837" xr:uid="{00000000-0005-0000-0000-00005C580000}"/>
    <cellStyle name="Input 2 12 2 4 2" xfId="42953" xr:uid="{00000000-0005-0000-0000-00005D580000}"/>
    <cellStyle name="Input 2 12 2 4 3" xfId="40161" xr:uid="{00000000-0005-0000-0000-00005E580000}"/>
    <cellStyle name="Input 2 12 2 4 4" xfId="32472" xr:uid="{00000000-0005-0000-0000-00005F580000}"/>
    <cellStyle name="Input 2 12 2 5" xfId="13106" xr:uid="{00000000-0005-0000-0000-000060580000}"/>
    <cellStyle name="Input 2 12 2 5 2" xfId="42327" xr:uid="{00000000-0005-0000-0000-000061580000}"/>
    <cellStyle name="Input 2 12 2 5 3" xfId="40542" xr:uid="{00000000-0005-0000-0000-000062580000}"/>
    <cellStyle name="Input 2 12 2 5 4" xfId="30755" xr:uid="{00000000-0005-0000-0000-000063580000}"/>
    <cellStyle name="Input 2 12 2 6" xfId="12618" xr:uid="{00000000-0005-0000-0000-000064580000}"/>
    <cellStyle name="Input 2 12 2 6 2" xfId="42097" xr:uid="{00000000-0005-0000-0000-000065580000}"/>
    <cellStyle name="Input 2 12 2 6 3" xfId="40340" xr:uid="{00000000-0005-0000-0000-000066580000}"/>
    <cellStyle name="Input 2 12 2 6 4" xfId="30283" xr:uid="{00000000-0005-0000-0000-000067580000}"/>
    <cellStyle name="Input 2 12 2 7" xfId="19474" xr:uid="{00000000-0005-0000-0000-000068580000}"/>
    <cellStyle name="Input 2 12 2 7 2" xfId="45011" xr:uid="{00000000-0005-0000-0000-000069580000}"/>
    <cellStyle name="Input 2 12 2 7 3" xfId="48917" xr:uid="{00000000-0005-0000-0000-00006A580000}"/>
    <cellStyle name="Input 2 12 2 7 4" xfId="37032" xr:uid="{00000000-0005-0000-0000-00006B580000}"/>
    <cellStyle name="Input 2 12 2 8" xfId="19983" xr:uid="{00000000-0005-0000-0000-00006C580000}"/>
    <cellStyle name="Input 2 12 2 8 2" xfId="45520" xr:uid="{00000000-0005-0000-0000-00006D580000}"/>
    <cellStyle name="Input 2 12 2 8 3" xfId="49426" xr:uid="{00000000-0005-0000-0000-00006E580000}"/>
    <cellStyle name="Input 2 12 2 9" xfId="39813" xr:uid="{00000000-0005-0000-0000-00006F580000}"/>
    <cellStyle name="Input 2 12 3" xfId="53046" xr:uid="{00000000-0005-0000-0000-000070580000}"/>
    <cellStyle name="Input 2 13" xfId="1861" xr:uid="{00000000-0005-0000-0000-000071580000}"/>
    <cellStyle name="Input 2 13 2" xfId="7050" xr:uid="{00000000-0005-0000-0000-000072580000}"/>
    <cellStyle name="Input 2 13 2 10" xfId="39622" xr:uid="{00000000-0005-0000-0000-000073580000}"/>
    <cellStyle name="Input 2 13 2 2" xfId="10580" xr:uid="{00000000-0005-0000-0000-000074580000}"/>
    <cellStyle name="Input 2 13 2 2 2" xfId="18373" xr:uid="{00000000-0005-0000-0000-000075580000}"/>
    <cellStyle name="Input 2 13 2 2 2 2" xfId="43920" xr:uid="{00000000-0005-0000-0000-000076580000}"/>
    <cellStyle name="Input 2 13 2 2 2 3" xfId="47829" xr:uid="{00000000-0005-0000-0000-000077580000}"/>
    <cellStyle name="Input 2 13 2 2 2 4" xfId="36010" xr:uid="{00000000-0005-0000-0000-000078580000}"/>
    <cellStyle name="Input 2 13 2 2 3" xfId="19754" xr:uid="{00000000-0005-0000-0000-000079580000}"/>
    <cellStyle name="Input 2 13 2 2 3 2" xfId="45291" xr:uid="{00000000-0005-0000-0000-00007A580000}"/>
    <cellStyle name="Input 2 13 2 2 3 3" xfId="49197" xr:uid="{00000000-0005-0000-0000-00007B580000}"/>
    <cellStyle name="Input 2 13 2 2 3 4" xfId="37281" xr:uid="{00000000-0005-0000-0000-00007C580000}"/>
    <cellStyle name="Input 2 13 2 2 4" xfId="19258" xr:uid="{00000000-0005-0000-0000-00007D580000}"/>
    <cellStyle name="Input 2 13 2 2 4 2" xfId="44795" xr:uid="{00000000-0005-0000-0000-00007E580000}"/>
    <cellStyle name="Input 2 13 2 2 4 3" xfId="48701" xr:uid="{00000000-0005-0000-0000-00007F580000}"/>
    <cellStyle name="Input 2 13 2 2 4 4" xfId="36836" xr:uid="{00000000-0005-0000-0000-000080580000}"/>
    <cellStyle name="Input 2 13 2 2 5" xfId="20786" xr:uid="{00000000-0005-0000-0000-000081580000}"/>
    <cellStyle name="Input 2 13 2 2 5 2" xfId="46323" xr:uid="{00000000-0005-0000-0000-000082580000}"/>
    <cellStyle name="Input 2 13 2 2 5 3" xfId="50229" xr:uid="{00000000-0005-0000-0000-000083580000}"/>
    <cellStyle name="Input 2 13 2 2 5 4" xfId="38192" xr:uid="{00000000-0005-0000-0000-000084580000}"/>
    <cellStyle name="Input 2 13 2 2 6" xfId="21439" xr:uid="{00000000-0005-0000-0000-000085580000}"/>
    <cellStyle name="Input 2 13 2 2 6 2" xfId="46976" xr:uid="{00000000-0005-0000-0000-000086580000}"/>
    <cellStyle name="Input 2 13 2 2 6 3" xfId="50882" xr:uid="{00000000-0005-0000-0000-000087580000}"/>
    <cellStyle name="Input 2 13 2 2 7" xfId="40779" xr:uid="{00000000-0005-0000-0000-000088580000}"/>
    <cellStyle name="Input 2 13 2 2 8" xfId="43742" xr:uid="{00000000-0005-0000-0000-000089580000}"/>
    <cellStyle name="Input 2 13 2 3" xfId="10875" xr:uid="{00000000-0005-0000-0000-00008A580000}"/>
    <cellStyle name="Input 2 13 2 3 2" xfId="18668" xr:uid="{00000000-0005-0000-0000-00008B580000}"/>
    <cellStyle name="Input 2 13 2 3 2 2" xfId="44215" xr:uid="{00000000-0005-0000-0000-00008C580000}"/>
    <cellStyle name="Input 2 13 2 3 2 3" xfId="48124" xr:uid="{00000000-0005-0000-0000-00008D580000}"/>
    <cellStyle name="Input 2 13 2 3 2 4" xfId="36305" xr:uid="{00000000-0005-0000-0000-00008E580000}"/>
    <cellStyle name="Input 2 13 2 3 3" xfId="12173" xr:uid="{00000000-0005-0000-0000-00008F580000}"/>
    <cellStyle name="Input 2 13 2 3 3 2" xfId="41918" xr:uid="{00000000-0005-0000-0000-000090580000}"/>
    <cellStyle name="Input 2 13 2 3 3 3" xfId="39323" xr:uid="{00000000-0005-0000-0000-000091580000}"/>
    <cellStyle name="Input 2 13 2 3 3 4" xfId="29845" xr:uid="{00000000-0005-0000-0000-000092580000}"/>
    <cellStyle name="Input 2 13 2 3 4" xfId="20358" xr:uid="{00000000-0005-0000-0000-000093580000}"/>
    <cellStyle name="Input 2 13 2 3 4 2" xfId="45895" xr:uid="{00000000-0005-0000-0000-000094580000}"/>
    <cellStyle name="Input 2 13 2 3 4 3" xfId="49801" xr:uid="{00000000-0005-0000-0000-000095580000}"/>
    <cellStyle name="Input 2 13 2 3 4 4" xfId="37814" xr:uid="{00000000-0005-0000-0000-000096580000}"/>
    <cellStyle name="Input 2 13 2 3 5" xfId="21081" xr:uid="{00000000-0005-0000-0000-000097580000}"/>
    <cellStyle name="Input 2 13 2 3 5 2" xfId="46618" xr:uid="{00000000-0005-0000-0000-000098580000}"/>
    <cellStyle name="Input 2 13 2 3 5 3" xfId="50524" xr:uid="{00000000-0005-0000-0000-000099580000}"/>
    <cellStyle name="Input 2 13 2 3 5 4" xfId="38487" xr:uid="{00000000-0005-0000-0000-00009A580000}"/>
    <cellStyle name="Input 2 13 2 3 6" xfId="21734" xr:uid="{00000000-0005-0000-0000-00009B580000}"/>
    <cellStyle name="Input 2 13 2 3 6 2" xfId="47271" xr:uid="{00000000-0005-0000-0000-00009C580000}"/>
    <cellStyle name="Input 2 13 2 3 6 3" xfId="51177" xr:uid="{00000000-0005-0000-0000-00009D580000}"/>
    <cellStyle name="Input 2 13 2 3 7" xfId="41074" xr:uid="{00000000-0005-0000-0000-00009E580000}"/>
    <cellStyle name="Input 2 13 2 3 8" xfId="43513" xr:uid="{00000000-0005-0000-0000-00009F580000}"/>
    <cellStyle name="Input 2 13 2 4" xfId="14838" xr:uid="{00000000-0005-0000-0000-0000A0580000}"/>
    <cellStyle name="Input 2 13 2 4 2" xfId="42954" xr:uid="{00000000-0005-0000-0000-0000A1580000}"/>
    <cellStyle name="Input 2 13 2 4 3" xfId="39275" xr:uid="{00000000-0005-0000-0000-0000A2580000}"/>
    <cellStyle name="Input 2 13 2 4 4" xfId="32473" xr:uid="{00000000-0005-0000-0000-0000A3580000}"/>
    <cellStyle name="Input 2 13 2 5" xfId="13107" xr:uid="{00000000-0005-0000-0000-0000A4580000}"/>
    <cellStyle name="Input 2 13 2 5 2" xfId="42328" xr:uid="{00000000-0005-0000-0000-0000A5580000}"/>
    <cellStyle name="Input 2 13 2 5 3" xfId="39652" xr:uid="{00000000-0005-0000-0000-0000A6580000}"/>
    <cellStyle name="Input 2 13 2 5 4" xfId="30756" xr:uid="{00000000-0005-0000-0000-0000A7580000}"/>
    <cellStyle name="Input 2 13 2 6" xfId="19647" xr:uid="{00000000-0005-0000-0000-0000A8580000}"/>
    <cellStyle name="Input 2 13 2 6 2" xfId="45184" xr:uid="{00000000-0005-0000-0000-0000A9580000}"/>
    <cellStyle name="Input 2 13 2 6 3" xfId="49090" xr:uid="{00000000-0005-0000-0000-0000AA580000}"/>
    <cellStyle name="Input 2 13 2 6 4" xfId="37183" xr:uid="{00000000-0005-0000-0000-0000AB580000}"/>
    <cellStyle name="Input 2 13 2 7" xfId="20467" xr:uid="{00000000-0005-0000-0000-0000AC580000}"/>
    <cellStyle name="Input 2 13 2 7 2" xfId="46004" xr:uid="{00000000-0005-0000-0000-0000AD580000}"/>
    <cellStyle name="Input 2 13 2 7 3" xfId="49910" xr:uid="{00000000-0005-0000-0000-0000AE580000}"/>
    <cellStyle name="Input 2 13 2 7 4" xfId="37920" xr:uid="{00000000-0005-0000-0000-0000AF580000}"/>
    <cellStyle name="Input 2 13 2 8" xfId="12867" xr:uid="{00000000-0005-0000-0000-0000B0580000}"/>
    <cellStyle name="Input 2 13 2 8 2" xfId="42250" xr:uid="{00000000-0005-0000-0000-0000B1580000}"/>
    <cellStyle name="Input 2 13 2 8 3" xfId="43471" xr:uid="{00000000-0005-0000-0000-0000B2580000}"/>
    <cellStyle name="Input 2 13 2 9" xfId="39814" xr:uid="{00000000-0005-0000-0000-0000B3580000}"/>
    <cellStyle name="Input 2 13 3" xfId="22444" xr:uid="{00000000-0005-0000-0000-0000B4580000}"/>
    <cellStyle name="Input 2 14" xfId="1862" xr:uid="{00000000-0005-0000-0000-0000B5580000}"/>
    <cellStyle name="Input 2 14 2" xfId="7051" xr:uid="{00000000-0005-0000-0000-0000B6580000}"/>
    <cellStyle name="Input 2 14 2 10" xfId="42630" xr:uid="{00000000-0005-0000-0000-0000B7580000}"/>
    <cellStyle name="Input 2 14 2 2" xfId="10581" xr:uid="{00000000-0005-0000-0000-0000B8580000}"/>
    <cellStyle name="Input 2 14 2 2 2" xfId="18374" xr:uid="{00000000-0005-0000-0000-0000B9580000}"/>
    <cellStyle name="Input 2 14 2 2 2 2" xfId="43921" xr:uid="{00000000-0005-0000-0000-0000BA580000}"/>
    <cellStyle name="Input 2 14 2 2 2 3" xfId="47830" xr:uid="{00000000-0005-0000-0000-0000BB580000}"/>
    <cellStyle name="Input 2 14 2 2 2 4" xfId="36011" xr:uid="{00000000-0005-0000-0000-0000BC580000}"/>
    <cellStyle name="Input 2 14 2 2 3" xfId="11495" xr:uid="{00000000-0005-0000-0000-0000BD580000}"/>
    <cellStyle name="Input 2 14 2 2 3 2" xfId="41506" xr:uid="{00000000-0005-0000-0000-0000BE580000}"/>
    <cellStyle name="Input 2 14 2 2 3 3" xfId="41396" xr:uid="{00000000-0005-0000-0000-0000BF580000}"/>
    <cellStyle name="Input 2 14 2 2 3 4" xfId="29210" xr:uid="{00000000-0005-0000-0000-0000C0580000}"/>
    <cellStyle name="Input 2 14 2 2 4" xfId="20095" xr:uid="{00000000-0005-0000-0000-0000C1580000}"/>
    <cellStyle name="Input 2 14 2 2 4 2" xfId="45632" xr:uid="{00000000-0005-0000-0000-0000C2580000}"/>
    <cellStyle name="Input 2 14 2 2 4 3" xfId="49538" xr:uid="{00000000-0005-0000-0000-0000C3580000}"/>
    <cellStyle name="Input 2 14 2 2 4 4" xfId="37585" xr:uid="{00000000-0005-0000-0000-0000C4580000}"/>
    <cellStyle name="Input 2 14 2 2 5" xfId="20787" xr:uid="{00000000-0005-0000-0000-0000C5580000}"/>
    <cellStyle name="Input 2 14 2 2 5 2" xfId="46324" xr:uid="{00000000-0005-0000-0000-0000C6580000}"/>
    <cellStyle name="Input 2 14 2 2 5 3" xfId="50230" xr:uid="{00000000-0005-0000-0000-0000C7580000}"/>
    <cellStyle name="Input 2 14 2 2 5 4" xfId="38193" xr:uid="{00000000-0005-0000-0000-0000C8580000}"/>
    <cellStyle name="Input 2 14 2 2 6" xfId="21440" xr:uid="{00000000-0005-0000-0000-0000C9580000}"/>
    <cellStyle name="Input 2 14 2 2 6 2" xfId="46977" xr:uid="{00000000-0005-0000-0000-0000CA580000}"/>
    <cellStyle name="Input 2 14 2 2 6 3" xfId="50883" xr:uid="{00000000-0005-0000-0000-0000CB580000}"/>
    <cellStyle name="Input 2 14 2 2 7" xfId="40780" xr:uid="{00000000-0005-0000-0000-0000CC580000}"/>
    <cellStyle name="Input 2 14 2 2 8" xfId="40601" xr:uid="{00000000-0005-0000-0000-0000CD580000}"/>
    <cellStyle name="Input 2 14 2 3" xfId="10876" xr:uid="{00000000-0005-0000-0000-0000CE580000}"/>
    <cellStyle name="Input 2 14 2 3 2" xfId="18669" xr:uid="{00000000-0005-0000-0000-0000CF580000}"/>
    <cellStyle name="Input 2 14 2 3 2 2" xfId="44216" xr:uid="{00000000-0005-0000-0000-0000D0580000}"/>
    <cellStyle name="Input 2 14 2 3 2 3" xfId="48125" xr:uid="{00000000-0005-0000-0000-0000D1580000}"/>
    <cellStyle name="Input 2 14 2 3 2 4" xfId="36306" xr:uid="{00000000-0005-0000-0000-0000D2580000}"/>
    <cellStyle name="Input 2 14 2 3 3" xfId="13341" xr:uid="{00000000-0005-0000-0000-0000D3580000}"/>
    <cellStyle name="Input 2 14 2 3 3 2" xfId="42511" xr:uid="{00000000-0005-0000-0000-0000D4580000}"/>
    <cellStyle name="Input 2 14 2 3 3 3" xfId="40432" xr:uid="{00000000-0005-0000-0000-0000D5580000}"/>
    <cellStyle name="Input 2 14 2 3 3 4" xfId="30981" xr:uid="{00000000-0005-0000-0000-0000D6580000}"/>
    <cellStyle name="Input 2 14 2 3 4" xfId="11614" xr:uid="{00000000-0005-0000-0000-0000D7580000}"/>
    <cellStyle name="Input 2 14 2 3 4 2" xfId="41625" xr:uid="{00000000-0005-0000-0000-0000D8580000}"/>
    <cellStyle name="Input 2 14 2 3 4 3" xfId="40071" xr:uid="{00000000-0005-0000-0000-0000D9580000}"/>
    <cellStyle name="Input 2 14 2 3 4 4" xfId="29317" xr:uid="{00000000-0005-0000-0000-0000DA580000}"/>
    <cellStyle name="Input 2 14 2 3 5" xfId="21082" xr:uid="{00000000-0005-0000-0000-0000DB580000}"/>
    <cellStyle name="Input 2 14 2 3 5 2" xfId="46619" xr:uid="{00000000-0005-0000-0000-0000DC580000}"/>
    <cellStyle name="Input 2 14 2 3 5 3" xfId="50525" xr:uid="{00000000-0005-0000-0000-0000DD580000}"/>
    <cellStyle name="Input 2 14 2 3 5 4" xfId="38488" xr:uid="{00000000-0005-0000-0000-0000DE580000}"/>
    <cellStyle name="Input 2 14 2 3 6" xfId="21735" xr:uid="{00000000-0005-0000-0000-0000DF580000}"/>
    <cellStyle name="Input 2 14 2 3 6 2" xfId="47272" xr:uid="{00000000-0005-0000-0000-0000E0580000}"/>
    <cellStyle name="Input 2 14 2 3 6 3" xfId="51178" xr:uid="{00000000-0005-0000-0000-0000E1580000}"/>
    <cellStyle name="Input 2 14 2 3 7" xfId="41075" xr:uid="{00000000-0005-0000-0000-0000E2580000}"/>
    <cellStyle name="Input 2 14 2 3 8" xfId="40376" xr:uid="{00000000-0005-0000-0000-0000E3580000}"/>
    <cellStyle name="Input 2 14 2 4" xfId="14839" xr:uid="{00000000-0005-0000-0000-0000E4580000}"/>
    <cellStyle name="Input 2 14 2 4 2" xfId="42955" xr:uid="{00000000-0005-0000-0000-0000E5580000}"/>
    <cellStyle name="Input 2 14 2 4 3" xfId="39062" xr:uid="{00000000-0005-0000-0000-0000E6580000}"/>
    <cellStyle name="Input 2 14 2 4 4" xfId="32474" xr:uid="{00000000-0005-0000-0000-0000E7580000}"/>
    <cellStyle name="Input 2 14 2 5" xfId="11293" xr:uid="{00000000-0005-0000-0000-0000E8580000}"/>
    <cellStyle name="Input 2 14 2 5 2" xfId="41340" xr:uid="{00000000-0005-0000-0000-0000E9580000}"/>
    <cellStyle name="Input 2 14 2 5 3" xfId="43501" xr:uid="{00000000-0005-0000-0000-0000EA580000}"/>
    <cellStyle name="Input 2 14 2 5 4" xfId="29021" xr:uid="{00000000-0005-0000-0000-0000EB580000}"/>
    <cellStyle name="Input 2 14 2 6" xfId="20392" xr:uid="{00000000-0005-0000-0000-0000EC580000}"/>
    <cellStyle name="Input 2 14 2 6 2" xfId="45929" xr:uid="{00000000-0005-0000-0000-0000ED580000}"/>
    <cellStyle name="Input 2 14 2 6 3" xfId="49835" xr:uid="{00000000-0005-0000-0000-0000EE580000}"/>
    <cellStyle name="Input 2 14 2 6 4" xfId="37846" xr:uid="{00000000-0005-0000-0000-0000EF580000}"/>
    <cellStyle name="Input 2 14 2 7" xfId="19153" xr:uid="{00000000-0005-0000-0000-0000F0580000}"/>
    <cellStyle name="Input 2 14 2 7 2" xfId="44690" xr:uid="{00000000-0005-0000-0000-0000F1580000}"/>
    <cellStyle name="Input 2 14 2 7 3" xfId="48596" xr:uid="{00000000-0005-0000-0000-0000F2580000}"/>
    <cellStyle name="Input 2 14 2 7 4" xfId="36747" xr:uid="{00000000-0005-0000-0000-0000F3580000}"/>
    <cellStyle name="Input 2 14 2 8" xfId="19360" xr:uid="{00000000-0005-0000-0000-0000F4580000}"/>
    <cellStyle name="Input 2 14 2 8 2" xfId="44897" xr:uid="{00000000-0005-0000-0000-0000F5580000}"/>
    <cellStyle name="Input 2 14 2 8 3" xfId="48803" xr:uid="{00000000-0005-0000-0000-0000F6580000}"/>
    <cellStyle name="Input 2 14 2 9" xfId="39815" xr:uid="{00000000-0005-0000-0000-0000F7580000}"/>
    <cellStyle name="Input 2 14 3" xfId="53047" xr:uid="{00000000-0005-0000-0000-0000F8580000}"/>
    <cellStyle name="Input 2 15" xfId="4230" xr:uid="{00000000-0005-0000-0000-0000F9580000}"/>
    <cellStyle name="Input 2 15 2" xfId="7052" xr:uid="{00000000-0005-0000-0000-0000FA580000}"/>
    <cellStyle name="Input 2 15 2 10" xfId="43543" xr:uid="{00000000-0005-0000-0000-0000FB580000}"/>
    <cellStyle name="Input 2 15 2 2" xfId="10582" xr:uid="{00000000-0005-0000-0000-0000FC580000}"/>
    <cellStyle name="Input 2 15 2 2 2" xfId="18375" xr:uid="{00000000-0005-0000-0000-0000FD580000}"/>
    <cellStyle name="Input 2 15 2 2 2 2" xfId="43922" xr:uid="{00000000-0005-0000-0000-0000FE580000}"/>
    <cellStyle name="Input 2 15 2 2 2 3" xfId="47831" xr:uid="{00000000-0005-0000-0000-0000FF580000}"/>
    <cellStyle name="Input 2 15 2 2 2 4" xfId="36012" xr:uid="{00000000-0005-0000-0000-000000590000}"/>
    <cellStyle name="Input 2 15 2 2 3" xfId="19614" xr:uid="{00000000-0005-0000-0000-000001590000}"/>
    <cellStyle name="Input 2 15 2 2 3 2" xfId="45151" xr:uid="{00000000-0005-0000-0000-000002590000}"/>
    <cellStyle name="Input 2 15 2 2 3 3" xfId="49057" xr:uid="{00000000-0005-0000-0000-000003590000}"/>
    <cellStyle name="Input 2 15 2 2 3 4" xfId="37154" xr:uid="{00000000-0005-0000-0000-000004590000}"/>
    <cellStyle name="Input 2 15 2 2 4" xfId="12057" xr:uid="{00000000-0005-0000-0000-000005590000}"/>
    <cellStyle name="Input 2 15 2 2 4 2" xfId="41811" xr:uid="{00000000-0005-0000-0000-000006590000}"/>
    <cellStyle name="Input 2 15 2 2 4 3" xfId="41929" xr:uid="{00000000-0005-0000-0000-000007590000}"/>
    <cellStyle name="Input 2 15 2 2 4 4" xfId="29736" xr:uid="{00000000-0005-0000-0000-000008590000}"/>
    <cellStyle name="Input 2 15 2 2 5" xfId="20788" xr:uid="{00000000-0005-0000-0000-000009590000}"/>
    <cellStyle name="Input 2 15 2 2 5 2" xfId="46325" xr:uid="{00000000-0005-0000-0000-00000A590000}"/>
    <cellStyle name="Input 2 15 2 2 5 3" xfId="50231" xr:uid="{00000000-0005-0000-0000-00000B590000}"/>
    <cellStyle name="Input 2 15 2 2 5 4" xfId="38194" xr:uid="{00000000-0005-0000-0000-00000C590000}"/>
    <cellStyle name="Input 2 15 2 2 6" xfId="21441" xr:uid="{00000000-0005-0000-0000-00000D590000}"/>
    <cellStyle name="Input 2 15 2 2 6 2" xfId="46978" xr:uid="{00000000-0005-0000-0000-00000E590000}"/>
    <cellStyle name="Input 2 15 2 2 6 3" xfId="50884" xr:uid="{00000000-0005-0000-0000-00000F590000}"/>
    <cellStyle name="Input 2 15 2 2 7" xfId="40781" xr:uid="{00000000-0005-0000-0000-000010590000}"/>
    <cellStyle name="Input 2 15 2 2 8" xfId="39712" xr:uid="{00000000-0005-0000-0000-000011590000}"/>
    <cellStyle name="Input 2 15 2 3" xfId="10877" xr:uid="{00000000-0005-0000-0000-000012590000}"/>
    <cellStyle name="Input 2 15 2 3 2" xfId="18670" xr:uid="{00000000-0005-0000-0000-000013590000}"/>
    <cellStyle name="Input 2 15 2 3 2 2" xfId="44217" xr:uid="{00000000-0005-0000-0000-000014590000}"/>
    <cellStyle name="Input 2 15 2 3 2 3" xfId="48126" xr:uid="{00000000-0005-0000-0000-000015590000}"/>
    <cellStyle name="Input 2 15 2 3 2 4" xfId="36307" xr:uid="{00000000-0005-0000-0000-000016590000}"/>
    <cellStyle name="Input 2 15 2 3 3" xfId="12174" xr:uid="{00000000-0005-0000-0000-000017590000}"/>
    <cellStyle name="Input 2 15 2 3 3 2" xfId="41919" xr:uid="{00000000-0005-0000-0000-000018590000}"/>
    <cellStyle name="Input 2 15 2 3 3 3" xfId="41989" xr:uid="{00000000-0005-0000-0000-000019590000}"/>
    <cellStyle name="Input 2 15 2 3 3 4" xfId="29846" xr:uid="{00000000-0005-0000-0000-00001A590000}"/>
    <cellStyle name="Input 2 15 2 3 4" xfId="11615" xr:uid="{00000000-0005-0000-0000-00001B590000}"/>
    <cellStyle name="Input 2 15 2 3 4 2" xfId="41626" xr:uid="{00000000-0005-0000-0000-00001C590000}"/>
    <cellStyle name="Input 2 15 2 3 4 3" xfId="42816" xr:uid="{00000000-0005-0000-0000-00001D590000}"/>
    <cellStyle name="Input 2 15 2 3 4 4" xfId="29318" xr:uid="{00000000-0005-0000-0000-00001E590000}"/>
    <cellStyle name="Input 2 15 2 3 5" xfId="21083" xr:uid="{00000000-0005-0000-0000-00001F590000}"/>
    <cellStyle name="Input 2 15 2 3 5 2" xfId="46620" xr:uid="{00000000-0005-0000-0000-000020590000}"/>
    <cellStyle name="Input 2 15 2 3 5 3" xfId="50526" xr:uid="{00000000-0005-0000-0000-000021590000}"/>
    <cellStyle name="Input 2 15 2 3 5 4" xfId="38489" xr:uid="{00000000-0005-0000-0000-000022590000}"/>
    <cellStyle name="Input 2 15 2 3 6" xfId="21736" xr:uid="{00000000-0005-0000-0000-000023590000}"/>
    <cellStyle name="Input 2 15 2 3 6 2" xfId="47273" xr:uid="{00000000-0005-0000-0000-000024590000}"/>
    <cellStyle name="Input 2 15 2 3 6 3" xfId="51179" xr:uid="{00000000-0005-0000-0000-000025590000}"/>
    <cellStyle name="Input 2 15 2 3 7" xfId="41076" xr:uid="{00000000-0005-0000-0000-000026590000}"/>
    <cellStyle name="Input 2 15 2 3 8" xfId="39488" xr:uid="{00000000-0005-0000-0000-000027590000}"/>
    <cellStyle name="Input 2 15 2 4" xfId="14840" xr:uid="{00000000-0005-0000-0000-000028590000}"/>
    <cellStyle name="Input 2 15 2 4 2" xfId="42956" xr:uid="{00000000-0005-0000-0000-000029590000}"/>
    <cellStyle name="Input 2 15 2 4 3" xfId="41289" xr:uid="{00000000-0005-0000-0000-00002A590000}"/>
    <cellStyle name="Input 2 15 2 4 4" xfId="32475" xr:uid="{00000000-0005-0000-0000-00002B590000}"/>
    <cellStyle name="Input 2 15 2 5" xfId="12473" xr:uid="{00000000-0005-0000-0000-00002C590000}"/>
    <cellStyle name="Input 2 15 2 5 2" xfId="41994" xr:uid="{00000000-0005-0000-0000-00002D590000}"/>
    <cellStyle name="Input 2 15 2 5 3" xfId="41315" xr:uid="{00000000-0005-0000-0000-00002E590000}"/>
    <cellStyle name="Input 2 15 2 5 4" xfId="30144" xr:uid="{00000000-0005-0000-0000-00002F590000}"/>
    <cellStyle name="Input 2 15 2 6" xfId="11342" xr:uid="{00000000-0005-0000-0000-000030590000}"/>
    <cellStyle name="Input 2 15 2 6 2" xfId="41381" xr:uid="{00000000-0005-0000-0000-000031590000}"/>
    <cellStyle name="Input 2 15 2 6 3" xfId="42826" xr:uid="{00000000-0005-0000-0000-000032590000}"/>
    <cellStyle name="Input 2 15 2 6 4" xfId="29068" xr:uid="{00000000-0005-0000-0000-000033590000}"/>
    <cellStyle name="Input 2 15 2 7" xfId="19077" xr:uid="{00000000-0005-0000-0000-000034590000}"/>
    <cellStyle name="Input 2 15 2 7 2" xfId="44614" xr:uid="{00000000-0005-0000-0000-000035590000}"/>
    <cellStyle name="Input 2 15 2 7 3" xfId="48520" xr:uid="{00000000-0005-0000-0000-000036590000}"/>
    <cellStyle name="Input 2 15 2 7 4" xfId="36673" xr:uid="{00000000-0005-0000-0000-000037590000}"/>
    <cellStyle name="Input 2 15 2 8" xfId="11663" xr:uid="{00000000-0005-0000-0000-000038590000}"/>
    <cellStyle name="Input 2 15 2 8 2" xfId="41674" xr:uid="{00000000-0005-0000-0000-000039590000}"/>
    <cellStyle name="Input 2 15 2 8 3" xfId="39163" xr:uid="{00000000-0005-0000-0000-00003A590000}"/>
    <cellStyle name="Input 2 15 2 9" xfId="39816" xr:uid="{00000000-0005-0000-0000-00003B590000}"/>
    <cellStyle name="Input 2 16" xfId="4231" xr:uid="{00000000-0005-0000-0000-00003C590000}"/>
    <cellStyle name="Input 2 16 2" xfId="7053" xr:uid="{00000000-0005-0000-0000-00003D590000}"/>
    <cellStyle name="Input 2 16 2 10" xfId="40406" xr:uid="{00000000-0005-0000-0000-00003E590000}"/>
    <cellStyle name="Input 2 16 2 2" xfId="10583" xr:uid="{00000000-0005-0000-0000-00003F590000}"/>
    <cellStyle name="Input 2 16 2 2 2" xfId="18376" xr:uid="{00000000-0005-0000-0000-000040590000}"/>
    <cellStyle name="Input 2 16 2 2 2 2" xfId="43923" xr:uid="{00000000-0005-0000-0000-000041590000}"/>
    <cellStyle name="Input 2 16 2 2 2 3" xfId="47832" xr:uid="{00000000-0005-0000-0000-000042590000}"/>
    <cellStyle name="Input 2 16 2 2 2 4" xfId="36013" xr:uid="{00000000-0005-0000-0000-000043590000}"/>
    <cellStyle name="Input 2 16 2 2 3" xfId="20169" xr:uid="{00000000-0005-0000-0000-000044590000}"/>
    <cellStyle name="Input 2 16 2 2 3 2" xfId="45706" xr:uid="{00000000-0005-0000-0000-000045590000}"/>
    <cellStyle name="Input 2 16 2 2 3 3" xfId="49612" xr:uid="{00000000-0005-0000-0000-000046590000}"/>
    <cellStyle name="Input 2 16 2 2 3 4" xfId="37655" xr:uid="{00000000-0005-0000-0000-000047590000}"/>
    <cellStyle name="Input 2 16 2 2 4" xfId="11622" xr:uid="{00000000-0005-0000-0000-000048590000}"/>
    <cellStyle name="Input 2 16 2 2 4 2" xfId="41633" xr:uid="{00000000-0005-0000-0000-000049590000}"/>
    <cellStyle name="Input 2 16 2 2 4 3" xfId="39570" xr:uid="{00000000-0005-0000-0000-00004A590000}"/>
    <cellStyle name="Input 2 16 2 2 4 4" xfId="29325" xr:uid="{00000000-0005-0000-0000-00004B590000}"/>
    <cellStyle name="Input 2 16 2 2 5" xfId="20789" xr:uid="{00000000-0005-0000-0000-00004C590000}"/>
    <cellStyle name="Input 2 16 2 2 5 2" xfId="46326" xr:uid="{00000000-0005-0000-0000-00004D590000}"/>
    <cellStyle name="Input 2 16 2 2 5 3" xfId="50232" xr:uid="{00000000-0005-0000-0000-00004E590000}"/>
    <cellStyle name="Input 2 16 2 2 5 4" xfId="38195" xr:uid="{00000000-0005-0000-0000-00004F590000}"/>
    <cellStyle name="Input 2 16 2 2 6" xfId="21442" xr:uid="{00000000-0005-0000-0000-000050590000}"/>
    <cellStyle name="Input 2 16 2 2 6 2" xfId="46979" xr:uid="{00000000-0005-0000-0000-000051590000}"/>
    <cellStyle name="Input 2 16 2 2 6 3" xfId="50885" xr:uid="{00000000-0005-0000-0000-000052590000}"/>
    <cellStyle name="Input 2 16 2 2 7" xfId="40782" xr:uid="{00000000-0005-0000-0000-000053590000}"/>
    <cellStyle name="Input 2 16 2 2 8" xfId="42749" xr:uid="{00000000-0005-0000-0000-000054590000}"/>
    <cellStyle name="Input 2 16 2 3" xfId="10878" xr:uid="{00000000-0005-0000-0000-000055590000}"/>
    <cellStyle name="Input 2 16 2 3 2" xfId="18671" xr:uid="{00000000-0005-0000-0000-000056590000}"/>
    <cellStyle name="Input 2 16 2 3 2 2" xfId="44218" xr:uid="{00000000-0005-0000-0000-000057590000}"/>
    <cellStyle name="Input 2 16 2 3 2 3" xfId="48127" xr:uid="{00000000-0005-0000-0000-000058590000}"/>
    <cellStyle name="Input 2 16 2 3 2 4" xfId="36308" xr:uid="{00000000-0005-0000-0000-000059590000}"/>
    <cellStyle name="Input 2 16 2 3 3" xfId="12175" xr:uid="{00000000-0005-0000-0000-00005A590000}"/>
    <cellStyle name="Input 2 16 2 3 3 2" xfId="41920" xr:uid="{00000000-0005-0000-0000-00005B590000}"/>
    <cellStyle name="Input 2 16 2 3 3 3" xfId="43338" xr:uid="{00000000-0005-0000-0000-00005C590000}"/>
    <cellStyle name="Input 2 16 2 3 3 4" xfId="29847" xr:uid="{00000000-0005-0000-0000-00005D590000}"/>
    <cellStyle name="Input 2 16 2 3 4" xfId="18958" xr:uid="{00000000-0005-0000-0000-00005E590000}"/>
    <cellStyle name="Input 2 16 2 3 4 2" xfId="44495" xr:uid="{00000000-0005-0000-0000-00005F590000}"/>
    <cellStyle name="Input 2 16 2 3 4 3" xfId="48401" xr:uid="{00000000-0005-0000-0000-000060590000}"/>
    <cellStyle name="Input 2 16 2 3 4 4" xfId="36584" xr:uid="{00000000-0005-0000-0000-000061590000}"/>
    <cellStyle name="Input 2 16 2 3 5" xfId="21084" xr:uid="{00000000-0005-0000-0000-000062590000}"/>
    <cellStyle name="Input 2 16 2 3 5 2" xfId="46621" xr:uid="{00000000-0005-0000-0000-000063590000}"/>
    <cellStyle name="Input 2 16 2 3 5 3" xfId="50527" xr:uid="{00000000-0005-0000-0000-000064590000}"/>
    <cellStyle name="Input 2 16 2 3 5 4" xfId="38490" xr:uid="{00000000-0005-0000-0000-000065590000}"/>
    <cellStyle name="Input 2 16 2 3 6" xfId="21737" xr:uid="{00000000-0005-0000-0000-000066590000}"/>
    <cellStyle name="Input 2 16 2 3 6 2" xfId="47274" xr:uid="{00000000-0005-0000-0000-000067590000}"/>
    <cellStyle name="Input 2 16 2 3 6 3" xfId="51180" xr:uid="{00000000-0005-0000-0000-000068590000}"/>
    <cellStyle name="Input 2 16 2 3 7" xfId="41077" xr:uid="{00000000-0005-0000-0000-000069590000}"/>
    <cellStyle name="Input 2 16 2 3 8" xfId="42056" xr:uid="{00000000-0005-0000-0000-00006A590000}"/>
    <cellStyle name="Input 2 16 2 4" xfId="14841" xr:uid="{00000000-0005-0000-0000-00006B590000}"/>
    <cellStyle name="Input 2 16 2 4 2" xfId="42957" xr:uid="{00000000-0005-0000-0000-00006C590000}"/>
    <cellStyle name="Input 2 16 2 4 3" xfId="43182" xr:uid="{00000000-0005-0000-0000-00006D590000}"/>
    <cellStyle name="Input 2 16 2 4 4" xfId="32476" xr:uid="{00000000-0005-0000-0000-00006E590000}"/>
    <cellStyle name="Input 2 16 2 5" xfId="12474" xr:uid="{00000000-0005-0000-0000-00006F590000}"/>
    <cellStyle name="Input 2 16 2 5 2" xfId="41995" xr:uid="{00000000-0005-0000-0000-000070590000}"/>
    <cellStyle name="Input 2 16 2 5 3" xfId="43202" xr:uid="{00000000-0005-0000-0000-000071590000}"/>
    <cellStyle name="Input 2 16 2 5 4" xfId="30145" xr:uid="{00000000-0005-0000-0000-000072590000}"/>
    <cellStyle name="Input 2 16 2 6" xfId="19777" xr:uid="{00000000-0005-0000-0000-000073590000}"/>
    <cellStyle name="Input 2 16 2 6 2" xfId="45314" xr:uid="{00000000-0005-0000-0000-000074590000}"/>
    <cellStyle name="Input 2 16 2 6 3" xfId="49220" xr:uid="{00000000-0005-0000-0000-000075590000}"/>
    <cellStyle name="Input 2 16 2 6 4" xfId="37304" xr:uid="{00000000-0005-0000-0000-000076590000}"/>
    <cellStyle name="Input 2 16 2 7" xfId="20367" xr:uid="{00000000-0005-0000-0000-000077590000}"/>
    <cellStyle name="Input 2 16 2 7 2" xfId="45904" xr:uid="{00000000-0005-0000-0000-000078590000}"/>
    <cellStyle name="Input 2 16 2 7 3" xfId="49810" xr:uid="{00000000-0005-0000-0000-000079590000}"/>
    <cellStyle name="Input 2 16 2 7 4" xfId="37823" xr:uid="{00000000-0005-0000-0000-00007A590000}"/>
    <cellStyle name="Input 2 16 2 8" xfId="19802" xr:uid="{00000000-0005-0000-0000-00007B590000}"/>
    <cellStyle name="Input 2 16 2 8 2" xfId="45339" xr:uid="{00000000-0005-0000-0000-00007C590000}"/>
    <cellStyle name="Input 2 16 2 8 3" xfId="49245" xr:uid="{00000000-0005-0000-0000-00007D590000}"/>
    <cellStyle name="Input 2 16 2 9" xfId="39817" xr:uid="{00000000-0005-0000-0000-00007E590000}"/>
    <cellStyle name="Input 2 17" xfId="4232" xr:uid="{00000000-0005-0000-0000-00007F590000}"/>
    <cellStyle name="Input 2 17 2" xfId="10461" xr:uid="{00000000-0005-0000-0000-000080590000}"/>
    <cellStyle name="Input 2 17 2 2" xfId="18254" xr:uid="{00000000-0005-0000-0000-000081590000}"/>
    <cellStyle name="Input 2 17 2 2 2" xfId="43801" xr:uid="{00000000-0005-0000-0000-000082590000}"/>
    <cellStyle name="Input 2 17 2 2 3" xfId="47710" xr:uid="{00000000-0005-0000-0000-000083590000}"/>
    <cellStyle name="Input 2 17 2 2 4" xfId="35891" xr:uid="{00000000-0005-0000-0000-000084590000}"/>
    <cellStyle name="Input 2 17 2 3" xfId="11484" xr:uid="{00000000-0005-0000-0000-000085590000}"/>
    <cellStyle name="Input 2 17 2 3 2" xfId="41495" xr:uid="{00000000-0005-0000-0000-000086590000}"/>
    <cellStyle name="Input 2 17 2 3 3" xfId="40466" xr:uid="{00000000-0005-0000-0000-000087590000}"/>
    <cellStyle name="Input 2 17 2 3 4" xfId="29199" xr:uid="{00000000-0005-0000-0000-000088590000}"/>
    <cellStyle name="Input 2 17 2 4" xfId="12682" xr:uid="{00000000-0005-0000-0000-000089590000}"/>
    <cellStyle name="Input 2 17 2 4 2" xfId="42161" xr:uid="{00000000-0005-0000-0000-00008A590000}"/>
    <cellStyle name="Input 2 17 2 4 3" xfId="40189" xr:uid="{00000000-0005-0000-0000-00008B590000}"/>
    <cellStyle name="Input 2 17 2 4 4" xfId="30344" xr:uid="{00000000-0005-0000-0000-00008C590000}"/>
    <cellStyle name="Input 2 17 2 5" xfId="20667" xr:uid="{00000000-0005-0000-0000-00008D590000}"/>
    <cellStyle name="Input 2 17 2 5 2" xfId="46204" xr:uid="{00000000-0005-0000-0000-00008E590000}"/>
    <cellStyle name="Input 2 17 2 5 3" xfId="50110" xr:uid="{00000000-0005-0000-0000-00008F590000}"/>
    <cellStyle name="Input 2 17 2 5 4" xfId="38073" xr:uid="{00000000-0005-0000-0000-000090590000}"/>
    <cellStyle name="Input 2 17 2 6" xfId="21320" xr:uid="{00000000-0005-0000-0000-000091590000}"/>
    <cellStyle name="Input 2 17 2 6 2" xfId="46857" xr:uid="{00000000-0005-0000-0000-000092590000}"/>
    <cellStyle name="Input 2 17 2 6 3" xfId="50763" xr:uid="{00000000-0005-0000-0000-000093590000}"/>
    <cellStyle name="Input 2 17 2 7" xfId="40660" xr:uid="{00000000-0005-0000-0000-000094590000}"/>
    <cellStyle name="Input 2 17 2 8" xfId="43747" xr:uid="{00000000-0005-0000-0000-000095590000}"/>
    <cellStyle name="Input 2 17 3" xfId="8463" xr:uid="{00000000-0005-0000-0000-000096590000}"/>
    <cellStyle name="Input 2 17 3 2" xfId="16259" xr:uid="{00000000-0005-0000-0000-000097590000}"/>
    <cellStyle name="Input 2 17 3 2 2" xfId="43410" xr:uid="{00000000-0005-0000-0000-000098590000}"/>
    <cellStyle name="Input 2 17 3 2 3" xfId="40518" xr:uid="{00000000-0005-0000-0000-000099590000}"/>
    <cellStyle name="Input 2 17 3 2 4" xfId="33894" xr:uid="{00000000-0005-0000-0000-00009A590000}"/>
    <cellStyle name="Input 2 17 3 3" xfId="13292" xr:uid="{00000000-0005-0000-0000-00009B590000}"/>
    <cellStyle name="Input 2 17 3 3 2" xfId="42462" xr:uid="{00000000-0005-0000-0000-00009C590000}"/>
    <cellStyle name="Input 2 17 3 3 3" xfId="41964" xr:uid="{00000000-0005-0000-0000-00009D590000}"/>
    <cellStyle name="Input 2 17 3 3 4" xfId="30937" xr:uid="{00000000-0005-0000-0000-00009E590000}"/>
    <cellStyle name="Input 2 17 3 4" xfId="11790" xr:uid="{00000000-0005-0000-0000-00009F590000}"/>
    <cellStyle name="Input 2 17 3 4 2" xfId="41743" xr:uid="{00000000-0005-0000-0000-0000A0590000}"/>
    <cellStyle name="Input 2 17 3 4 3" xfId="39155" xr:uid="{00000000-0005-0000-0000-0000A1590000}"/>
    <cellStyle name="Input 2 17 3 4 4" xfId="29476" xr:uid="{00000000-0005-0000-0000-0000A2590000}"/>
    <cellStyle name="Input 2 17 3 5" xfId="20075" xr:uid="{00000000-0005-0000-0000-0000A3590000}"/>
    <cellStyle name="Input 2 17 3 5 2" xfId="45612" xr:uid="{00000000-0005-0000-0000-0000A4590000}"/>
    <cellStyle name="Input 2 17 3 5 3" xfId="49518" xr:uid="{00000000-0005-0000-0000-0000A5590000}"/>
    <cellStyle name="Input 2 17 3 5 4" xfId="37569" xr:uid="{00000000-0005-0000-0000-0000A6590000}"/>
    <cellStyle name="Input 2 17 3 6" xfId="12793" xr:uid="{00000000-0005-0000-0000-0000A7590000}"/>
    <cellStyle name="Input 2 17 3 6 2" xfId="42214" xr:uid="{00000000-0005-0000-0000-0000A8590000}"/>
    <cellStyle name="Input 2 17 3 6 3" xfId="39309" xr:uid="{00000000-0005-0000-0000-0000A9590000}"/>
    <cellStyle name="Input 2 17 3 7" xfId="40272" xr:uid="{00000000-0005-0000-0000-0000AA590000}"/>
    <cellStyle name="Input 2 17 3 8" xfId="39230" xr:uid="{00000000-0005-0000-0000-0000AB590000}"/>
    <cellStyle name="Input 2 18" xfId="7046" xr:uid="{00000000-0005-0000-0000-0000AC590000}"/>
    <cellStyle name="Input 2 18 10" xfId="39966" xr:uid="{00000000-0005-0000-0000-0000AD590000}"/>
    <cellStyle name="Input 2 18 2" xfId="10576" xr:uid="{00000000-0005-0000-0000-0000AE590000}"/>
    <cellStyle name="Input 2 18 2 2" xfId="18369" xr:uid="{00000000-0005-0000-0000-0000AF590000}"/>
    <cellStyle name="Input 2 18 2 2 2" xfId="43916" xr:uid="{00000000-0005-0000-0000-0000B0590000}"/>
    <cellStyle name="Input 2 18 2 2 3" xfId="47825" xr:uid="{00000000-0005-0000-0000-0000B1590000}"/>
    <cellStyle name="Input 2 18 2 2 4" xfId="36006" xr:uid="{00000000-0005-0000-0000-0000B2590000}"/>
    <cellStyle name="Input 2 18 2 3" xfId="11494" xr:uid="{00000000-0005-0000-0000-0000B3590000}"/>
    <cellStyle name="Input 2 18 2 3 2" xfId="41505" xr:uid="{00000000-0005-0000-0000-0000B4590000}"/>
    <cellStyle name="Input 2 18 2 3 3" xfId="39172" xr:uid="{00000000-0005-0000-0000-0000B5590000}"/>
    <cellStyle name="Input 2 18 2 3 4" xfId="29209" xr:uid="{00000000-0005-0000-0000-0000B6590000}"/>
    <cellStyle name="Input 2 18 2 4" xfId="18983" xr:uid="{00000000-0005-0000-0000-0000B7590000}"/>
    <cellStyle name="Input 2 18 2 4 2" xfId="44520" xr:uid="{00000000-0005-0000-0000-0000B8590000}"/>
    <cellStyle name="Input 2 18 2 4 3" xfId="48426" xr:uid="{00000000-0005-0000-0000-0000B9590000}"/>
    <cellStyle name="Input 2 18 2 4 4" xfId="36607" xr:uid="{00000000-0005-0000-0000-0000BA590000}"/>
    <cellStyle name="Input 2 18 2 5" xfId="20782" xr:uid="{00000000-0005-0000-0000-0000BB590000}"/>
    <cellStyle name="Input 2 18 2 5 2" xfId="46319" xr:uid="{00000000-0005-0000-0000-0000BC590000}"/>
    <cellStyle name="Input 2 18 2 5 3" xfId="50225" xr:uid="{00000000-0005-0000-0000-0000BD590000}"/>
    <cellStyle name="Input 2 18 2 5 4" xfId="38188" xr:uid="{00000000-0005-0000-0000-0000BE590000}"/>
    <cellStyle name="Input 2 18 2 6" xfId="21435" xr:uid="{00000000-0005-0000-0000-0000BF590000}"/>
    <cellStyle name="Input 2 18 2 6 2" xfId="46972" xr:uid="{00000000-0005-0000-0000-0000C0590000}"/>
    <cellStyle name="Input 2 18 2 6 3" xfId="50878" xr:uid="{00000000-0005-0000-0000-0000C1590000}"/>
    <cellStyle name="Input 2 18 2 7" xfId="40775" xr:uid="{00000000-0005-0000-0000-0000C2590000}"/>
    <cellStyle name="Input 2 18 2 8" xfId="41442" xr:uid="{00000000-0005-0000-0000-0000C3590000}"/>
    <cellStyle name="Input 2 18 3" xfId="10871" xr:uid="{00000000-0005-0000-0000-0000C4590000}"/>
    <cellStyle name="Input 2 18 3 2" xfId="18664" xr:uid="{00000000-0005-0000-0000-0000C5590000}"/>
    <cellStyle name="Input 2 18 3 2 2" xfId="44211" xr:uid="{00000000-0005-0000-0000-0000C6590000}"/>
    <cellStyle name="Input 2 18 3 2 3" xfId="48120" xr:uid="{00000000-0005-0000-0000-0000C7590000}"/>
    <cellStyle name="Input 2 18 3 2 4" xfId="36301" xr:uid="{00000000-0005-0000-0000-0000C8590000}"/>
    <cellStyle name="Input 2 18 3 3" xfId="11519" xr:uid="{00000000-0005-0000-0000-0000C9590000}"/>
    <cellStyle name="Input 2 18 3 3 2" xfId="41530" xr:uid="{00000000-0005-0000-0000-0000CA590000}"/>
    <cellStyle name="Input 2 18 3 3 3" xfId="43710" xr:uid="{00000000-0005-0000-0000-0000CB590000}"/>
    <cellStyle name="Input 2 18 3 3 4" xfId="29234" xr:uid="{00000000-0005-0000-0000-0000CC590000}"/>
    <cellStyle name="Input 2 18 3 4" xfId="18981" xr:uid="{00000000-0005-0000-0000-0000CD590000}"/>
    <cellStyle name="Input 2 18 3 4 2" xfId="44518" xr:uid="{00000000-0005-0000-0000-0000CE590000}"/>
    <cellStyle name="Input 2 18 3 4 3" xfId="48424" xr:uid="{00000000-0005-0000-0000-0000CF590000}"/>
    <cellStyle name="Input 2 18 3 4 4" xfId="36605" xr:uid="{00000000-0005-0000-0000-0000D0590000}"/>
    <cellStyle name="Input 2 18 3 5" xfId="21077" xr:uid="{00000000-0005-0000-0000-0000D1590000}"/>
    <cellStyle name="Input 2 18 3 5 2" xfId="46614" xr:uid="{00000000-0005-0000-0000-0000D2590000}"/>
    <cellStyle name="Input 2 18 3 5 3" xfId="50520" xr:uid="{00000000-0005-0000-0000-0000D3590000}"/>
    <cellStyle name="Input 2 18 3 5 4" xfId="38483" xr:uid="{00000000-0005-0000-0000-0000D4590000}"/>
    <cellStyle name="Input 2 18 3 6" xfId="21730" xr:uid="{00000000-0005-0000-0000-0000D5590000}"/>
    <cellStyle name="Input 2 18 3 6 2" xfId="47267" xr:uid="{00000000-0005-0000-0000-0000D6590000}"/>
    <cellStyle name="Input 2 18 3 6 3" xfId="51173" xr:uid="{00000000-0005-0000-0000-0000D7590000}"/>
    <cellStyle name="Input 2 18 3 7" xfId="41070" xr:uid="{00000000-0005-0000-0000-0000D8590000}"/>
    <cellStyle name="Input 2 18 3 8" xfId="43624" xr:uid="{00000000-0005-0000-0000-0000D9590000}"/>
    <cellStyle name="Input 2 18 4" xfId="14834" xr:uid="{00000000-0005-0000-0000-0000DA590000}"/>
    <cellStyle name="Input 2 18 4 2" xfId="42950" xr:uid="{00000000-0005-0000-0000-0000DB590000}"/>
    <cellStyle name="Input 2 18 4 3" xfId="39433" xr:uid="{00000000-0005-0000-0000-0000DC590000}"/>
    <cellStyle name="Input 2 18 4 4" xfId="32469" xr:uid="{00000000-0005-0000-0000-0000DD590000}"/>
    <cellStyle name="Input 2 18 5" xfId="13103" xr:uid="{00000000-0005-0000-0000-0000DE590000}"/>
    <cellStyle name="Input 2 18 5 2" xfId="42324" xr:uid="{00000000-0005-0000-0000-0000DF590000}"/>
    <cellStyle name="Input 2 18 5 3" xfId="40054" xr:uid="{00000000-0005-0000-0000-0000E0590000}"/>
    <cellStyle name="Input 2 18 5 4" xfId="30752" xr:uid="{00000000-0005-0000-0000-0000E1590000}"/>
    <cellStyle name="Input 2 18 6" xfId="11850" xr:uid="{00000000-0005-0000-0000-0000E2590000}"/>
    <cellStyle name="Input 2 18 6 2" xfId="41768" xr:uid="{00000000-0005-0000-0000-0000E3590000}"/>
    <cellStyle name="Input 2 18 6 3" xfId="47590" xr:uid="{00000000-0005-0000-0000-0000E4590000}"/>
    <cellStyle name="Input 2 18 6 4" xfId="29534" xr:uid="{00000000-0005-0000-0000-0000E5590000}"/>
    <cellStyle name="Input 2 18 7" xfId="19361" xr:uid="{00000000-0005-0000-0000-0000E6590000}"/>
    <cellStyle name="Input 2 18 7 2" xfId="44898" xr:uid="{00000000-0005-0000-0000-0000E7590000}"/>
    <cellStyle name="Input 2 18 7 3" xfId="48804" xr:uid="{00000000-0005-0000-0000-0000E8590000}"/>
    <cellStyle name="Input 2 18 7 4" xfId="36929" xr:uid="{00000000-0005-0000-0000-0000E9590000}"/>
    <cellStyle name="Input 2 18 8" xfId="20619" xr:uid="{00000000-0005-0000-0000-0000EA590000}"/>
    <cellStyle name="Input 2 18 8 2" xfId="46156" xr:uid="{00000000-0005-0000-0000-0000EB590000}"/>
    <cellStyle name="Input 2 18 8 3" xfId="50062" xr:uid="{00000000-0005-0000-0000-0000EC590000}"/>
    <cellStyle name="Input 2 18 9" xfId="39810" xr:uid="{00000000-0005-0000-0000-0000ED590000}"/>
    <cellStyle name="Input 2 19" xfId="1857" xr:uid="{00000000-0005-0000-0000-0000EE590000}"/>
    <cellStyle name="Input 2 2" xfId="1863" xr:uid="{00000000-0005-0000-0000-0000EF590000}"/>
    <cellStyle name="Input 2 2 2" xfId="1864" xr:uid="{00000000-0005-0000-0000-0000F0590000}"/>
    <cellStyle name="Input 2 2 2 2" xfId="7055" xr:uid="{00000000-0005-0000-0000-0000F1590000}"/>
    <cellStyle name="Input 2 2 2 2 10" xfId="42199" xr:uid="{00000000-0005-0000-0000-0000F2590000}"/>
    <cellStyle name="Input 2 2 2 2 2" xfId="10585" xr:uid="{00000000-0005-0000-0000-0000F3590000}"/>
    <cellStyle name="Input 2 2 2 2 2 2" xfId="18378" xr:uid="{00000000-0005-0000-0000-0000F4590000}"/>
    <cellStyle name="Input 2 2 2 2 2 2 2" xfId="43925" xr:uid="{00000000-0005-0000-0000-0000F5590000}"/>
    <cellStyle name="Input 2 2 2 2 2 2 3" xfId="47834" xr:uid="{00000000-0005-0000-0000-0000F6590000}"/>
    <cellStyle name="Input 2 2 2 2 2 2 4" xfId="36015" xr:uid="{00000000-0005-0000-0000-0000F7590000}"/>
    <cellStyle name="Input 2 2 2 2 2 3" xfId="20035" xr:uid="{00000000-0005-0000-0000-0000F8590000}"/>
    <cellStyle name="Input 2 2 2 2 2 3 2" xfId="45572" xr:uid="{00000000-0005-0000-0000-0000F9590000}"/>
    <cellStyle name="Input 2 2 2 2 2 3 3" xfId="49478" xr:uid="{00000000-0005-0000-0000-0000FA590000}"/>
    <cellStyle name="Input 2 2 2 2 2 3 4" xfId="37533" xr:uid="{00000000-0005-0000-0000-0000FB590000}"/>
    <cellStyle name="Input 2 2 2 2 2 4" xfId="20292" xr:uid="{00000000-0005-0000-0000-0000FC590000}"/>
    <cellStyle name="Input 2 2 2 2 2 4 2" xfId="45829" xr:uid="{00000000-0005-0000-0000-0000FD590000}"/>
    <cellStyle name="Input 2 2 2 2 2 4 3" xfId="49735" xr:uid="{00000000-0005-0000-0000-0000FE590000}"/>
    <cellStyle name="Input 2 2 2 2 2 4 4" xfId="37759" xr:uid="{00000000-0005-0000-0000-0000FF590000}"/>
    <cellStyle name="Input 2 2 2 2 2 5" xfId="20791" xr:uid="{00000000-0005-0000-0000-0000005A0000}"/>
    <cellStyle name="Input 2 2 2 2 2 5 2" xfId="46328" xr:uid="{00000000-0005-0000-0000-0000015A0000}"/>
    <cellStyle name="Input 2 2 2 2 2 5 3" xfId="50234" xr:uid="{00000000-0005-0000-0000-0000025A0000}"/>
    <cellStyle name="Input 2 2 2 2 2 5 4" xfId="38197" xr:uid="{00000000-0005-0000-0000-0000035A0000}"/>
    <cellStyle name="Input 2 2 2 2 2 6" xfId="21444" xr:uid="{00000000-0005-0000-0000-0000045A0000}"/>
    <cellStyle name="Input 2 2 2 2 2 6 2" xfId="46981" xr:uid="{00000000-0005-0000-0000-0000055A0000}"/>
    <cellStyle name="Input 2 2 2 2 2 6 3" xfId="50887" xr:uid="{00000000-0005-0000-0000-0000065A0000}"/>
    <cellStyle name="Input 2 2 2 2 2 7" xfId="40784" xr:uid="{00000000-0005-0000-0000-0000075A0000}"/>
    <cellStyle name="Input 2 2 2 2 2 8" xfId="40496" xr:uid="{00000000-0005-0000-0000-0000085A0000}"/>
    <cellStyle name="Input 2 2 2 2 3" xfId="10880" xr:uid="{00000000-0005-0000-0000-0000095A0000}"/>
    <cellStyle name="Input 2 2 2 2 3 2" xfId="18673" xr:uid="{00000000-0005-0000-0000-00000A5A0000}"/>
    <cellStyle name="Input 2 2 2 2 3 2 2" xfId="44220" xr:uid="{00000000-0005-0000-0000-00000B5A0000}"/>
    <cellStyle name="Input 2 2 2 2 3 2 3" xfId="48129" xr:uid="{00000000-0005-0000-0000-00000C5A0000}"/>
    <cellStyle name="Input 2 2 2 2 3 2 4" xfId="36310" xr:uid="{00000000-0005-0000-0000-00000D5A0000}"/>
    <cellStyle name="Input 2 2 2 2 3 3" xfId="13343" xr:uid="{00000000-0005-0000-0000-00000E5A0000}"/>
    <cellStyle name="Input 2 2 2 2 3 3 2" xfId="42513" xr:uid="{00000000-0005-0000-0000-00000F5A0000}"/>
    <cellStyle name="Input 2 2 2 2 3 3 3" xfId="42549" xr:uid="{00000000-0005-0000-0000-0000105A0000}"/>
    <cellStyle name="Input 2 2 2 2 3 3 4" xfId="30983" xr:uid="{00000000-0005-0000-0000-0000115A0000}"/>
    <cellStyle name="Input 2 2 2 2 3 4" xfId="11616" xr:uid="{00000000-0005-0000-0000-0000125A0000}"/>
    <cellStyle name="Input 2 2 2 2 3 4 2" xfId="41627" xr:uid="{00000000-0005-0000-0000-0000135A0000}"/>
    <cellStyle name="Input 2 2 2 2 3 4 3" xfId="43705" xr:uid="{00000000-0005-0000-0000-0000145A0000}"/>
    <cellStyle name="Input 2 2 2 2 3 4 4" xfId="29319" xr:uid="{00000000-0005-0000-0000-0000155A0000}"/>
    <cellStyle name="Input 2 2 2 2 3 5" xfId="21086" xr:uid="{00000000-0005-0000-0000-0000165A0000}"/>
    <cellStyle name="Input 2 2 2 2 3 5 2" xfId="46623" xr:uid="{00000000-0005-0000-0000-0000175A0000}"/>
    <cellStyle name="Input 2 2 2 2 3 5 3" xfId="50529" xr:uid="{00000000-0005-0000-0000-0000185A0000}"/>
    <cellStyle name="Input 2 2 2 2 3 5 4" xfId="38492" xr:uid="{00000000-0005-0000-0000-0000195A0000}"/>
    <cellStyle name="Input 2 2 2 2 3 6" xfId="21739" xr:uid="{00000000-0005-0000-0000-00001A5A0000}"/>
    <cellStyle name="Input 2 2 2 2 3 6 2" xfId="47276" xr:uid="{00000000-0005-0000-0000-00001B5A0000}"/>
    <cellStyle name="Input 2 2 2 2 3 6 3" xfId="51182" xr:uid="{00000000-0005-0000-0000-00001C5A0000}"/>
    <cellStyle name="Input 2 2 2 2 3 7" xfId="41079" xr:uid="{00000000-0005-0000-0000-00001D5A0000}"/>
    <cellStyle name="Input 2 2 2 2 3 8" xfId="40237" xr:uid="{00000000-0005-0000-0000-00001E5A0000}"/>
    <cellStyle name="Input 2 2 2 2 4" xfId="14843" xr:uid="{00000000-0005-0000-0000-00001F5A0000}"/>
    <cellStyle name="Input 2 2 2 2 4 2" xfId="42959" xr:uid="{00000000-0005-0000-0000-0000205A0000}"/>
    <cellStyle name="Input 2 2 2 2 4 3" xfId="42782" xr:uid="{00000000-0005-0000-0000-0000215A0000}"/>
    <cellStyle name="Input 2 2 2 2 4 4" xfId="32478" xr:uid="{00000000-0005-0000-0000-0000225A0000}"/>
    <cellStyle name="Input 2 2 2 2 5" xfId="13109" xr:uid="{00000000-0005-0000-0000-0000235A0000}"/>
    <cellStyle name="Input 2 2 2 2 5 2" xfId="42330" xr:uid="{00000000-0005-0000-0000-0000245A0000}"/>
    <cellStyle name="Input 2 2 2 2 5 3" xfId="43577" xr:uid="{00000000-0005-0000-0000-0000255A0000}"/>
    <cellStyle name="Input 2 2 2 2 5 4" xfId="30758" xr:uid="{00000000-0005-0000-0000-0000265A0000}"/>
    <cellStyle name="Input 2 2 2 2 6" xfId="20277" xr:uid="{00000000-0005-0000-0000-0000275A0000}"/>
    <cellStyle name="Input 2 2 2 2 6 2" xfId="45814" xr:uid="{00000000-0005-0000-0000-0000285A0000}"/>
    <cellStyle name="Input 2 2 2 2 6 3" xfId="49720" xr:uid="{00000000-0005-0000-0000-0000295A0000}"/>
    <cellStyle name="Input 2 2 2 2 6 4" xfId="37745" xr:uid="{00000000-0005-0000-0000-00002A5A0000}"/>
    <cellStyle name="Input 2 2 2 2 7" xfId="11571" xr:uid="{00000000-0005-0000-0000-00002B5A0000}"/>
    <cellStyle name="Input 2 2 2 2 7 2" xfId="41582" xr:uid="{00000000-0005-0000-0000-00002C5A0000}"/>
    <cellStyle name="Input 2 2 2 2 7 3" xfId="43215" xr:uid="{00000000-0005-0000-0000-00002D5A0000}"/>
    <cellStyle name="Input 2 2 2 2 7 4" xfId="29282" xr:uid="{00000000-0005-0000-0000-00002E5A0000}"/>
    <cellStyle name="Input 2 2 2 2 8" xfId="19496" xr:uid="{00000000-0005-0000-0000-00002F5A0000}"/>
    <cellStyle name="Input 2 2 2 2 8 2" xfId="45033" xr:uid="{00000000-0005-0000-0000-0000305A0000}"/>
    <cellStyle name="Input 2 2 2 2 8 3" xfId="48939" xr:uid="{00000000-0005-0000-0000-0000315A0000}"/>
    <cellStyle name="Input 2 2 2 2 9" xfId="39819" xr:uid="{00000000-0005-0000-0000-0000325A0000}"/>
    <cellStyle name="Input 2 2 2 3" xfId="53049" xr:uid="{00000000-0005-0000-0000-0000335A0000}"/>
    <cellStyle name="Input 2 2 3" xfId="1865" xr:uid="{00000000-0005-0000-0000-0000345A0000}"/>
    <cellStyle name="Input 2 2 3 2" xfId="7056" xr:uid="{00000000-0005-0000-0000-0000355A0000}"/>
    <cellStyle name="Input 2 2 3 2 10" xfId="43426" xr:uid="{00000000-0005-0000-0000-0000365A0000}"/>
    <cellStyle name="Input 2 2 3 2 2" xfId="10586" xr:uid="{00000000-0005-0000-0000-0000375A0000}"/>
    <cellStyle name="Input 2 2 3 2 2 2" xfId="18379" xr:uid="{00000000-0005-0000-0000-0000385A0000}"/>
    <cellStyle name="Input 2 2 3 2 2 2 2" xfId="43926" xr:uid="{00000000-0005-0000-0000-0000395A0000}"/>
    <cellStyle name="Input 2 2 3 2 2 2 3" xfId="47835" xr:uid="{00000000-0005-0000-0000-00003A5A0000}"/>
    <cellStyle name="Input 2 2 3 2 2 2 4" xfId="36016" xr:uid="{00000000-0005-0000-0000-00003B5A0000}"/>
    <cellStyle name="Input 2 2 3 2 2 3" xfId="19301" xr:uid="{00000000-0005-0000-0000-00003C5A0000}"/>
    <cellStyle name="Input 2 2 3 2 2 3 2" xfId="44838" xr:uid="{00000000-0005-0000-0000-00003D5A0000}"/>
    <cellStyle name="Input 2 2 3 2 2 3 3" xfId="48744" xr:uid="{00000000-0005-0000-0000-00003E5A0000}"/>
    <cellStyle name="Input 2 2 3 2 2 3 4" xfId="36879" xr:uid="{00000000-0005-0000-0000-00003F5A0000}"/>
    <cellStyle name="Input 2 2 3 2 2 4" xfId="19236" xr:uid="{00000000-0005-0000-0000-0000405A0000}"/>
    <cellStyle name="Input 2 2 3 2 2 4 2" xfId="44773" xr:uid="{00000000-0005-0000-0000-0000415A0000}"/>
    <cellStyle name="Input 2 2 3 2 2 4 3" xfId="48679" xr:uid="{00000000-0005-0000-0000-0000425A0000}"/>
    <cellStyle name="Input 2 2 3 2 2 4 4" xfId="36817" xr:uid="{00000000-0005-0000-0000-0000435A0000}"/>
    <cellStyle name="Input 2 2 3 2 2 5" xfId="20792" xr:uid="{00000000-0005-0000-0000-0000445A0000}"/>
    <cellStyle name="Input 2 2 3 2 2 5 2" xfId="46329" xr:uid="{00000000-0005-0000-0000-0000455A0000}"/>
    <cellStyle name="Input 2 2 3 2 2 5 3" xfId="50235" xr:uid="{00000000-0005-0000-0000-0000465A0000}"/>
    <cellStyle name="Input 2 2 3 2 2 5 4" xfId="38198" xr:uid="{00000000-0005-0000-0000-0000475A0000}"/>
    <cellStyle name="Input 2 2 3 2 2 6" xfId="21445" xr:uid="{00000000-0005-0000-0000-0000485A0000}"/>
    <cellStyle name="Input 2 2 3 2 2 6 2" xfId="46982" xr:uid="{00000000-0005-0000-0000-0000495A0000}"/>
    <cellStyle name="Input 2 2 3 2 2 6 3" xfId="50888" xr:uid="{00000000-0005-0000-0000-00004A5A0000}"/>
    <cellStyle name="Input 2 2 3 2 2 7" xfId="40785" xr:uid="{00000000-0005-0000-0000-00004B5A0000}"/>
    <cellStyle name="Input 2 2 3 2 2 8" xfId="39606" xr:uid="{00000000-0005-0000-0000-00004C5A0000}"/>
    <cellStyle name="Input 2 2 3 2 3" xfId="10881" xr:uid="{00000000-0005-0000-0000-00004D5A0000}"/>
    <cellStyle name="Input 2 2 3 2 3 2" xfId="18674" xr:uid="{00000000-0005-0000-0000-00004E5A0000}"/>
    <cellStyle name="Input 2 2 3 2 3 2 2" xfId="44221" xr:uid="{00000000-0005-0000-0000-00004F5A0000}"/>
    <cellStyle name="Input 2 2 3 2 3 2 3" xfId="48130" xr:uid="{00000000-0005-0000-0000-0000505A0000}"/>
    <cellStyle name="Input 2 2 3 2 3 2 4" xfId="36311" xr:uid="{00000000-0005-0000-0000-0000515A0000}"/>
    <cellStyle name="Input 2 2 3 2 3 3" xfId="12177" xr:uid="{00000000-0005-0000-0000-0000525A0000}"/>
    <cellStyle name="Input 2 2 3 2 3 3 2" xfId="41922" xr:uid="{00000000-0005-0000-0000-0000535A0000}"/>
    <cellStyle name="Input 2 2 3 2 3 3 3" xfId="39322" xr:uid="{00000000-0005-0000-0000-0000545A0000}"/>
    <cellStyle name="Input 2 2 3 2 3 3 4" xfId="29849" xr:uid="{00000000-0005-0000-0000-0000555A0000}"/>
    <cellStyle name="Input 2 2 3 2 3 4" xfId="20361" xr:uid="{00000000-0005-0000-0000-0000565A0000}"/>
    <cellStyle name="Input 2 2 3 2 3 4 2" xfId="45898" xr:uid="{00000000-0005-0000-0000-0000575A0000}"/>
    <cellStyle name="Input 2 2 3 2 3 4 3" xfId="49804" xr:uid="{00000000-0005-0000-0000-0000585A0000}"/>
    <cellStyle name="Input 2 2 3 2 3 4 4" xfId="37817" xr:uid="{00000000-0005-0000-0000-0000595A0000}"/>
    <cellStyle name="Input 2 2 3 2 3 5" xfId="21087" xr:uid="{00000000-0005-0000-0000-00005A5A0000}"/>
    <cellStyle name="Input 2 2 3 2 3 5 2" xfId="46624" xr:uid="{00000000-0005-0000-0000-00005B5A0000}"/>
    <cellStyle name="Input 2 2 3 2 3 5 3" xfId="50530" xr:uid="{00000000-0005-0000-0000-00005C5A0000}"/>
    <cellStyle name="Input 2 2 3 2 3 5 4" xfId="38493" xr:uid="{00000000-0005-0000-0000-00005D5A0000}"/>
    <cellStyle name="Input 2 2 3 2 3 6" xfId="21740" xr:uid="{00000000-0005-0000-0000-00005E5A0000}"/>
    <cellStyle name="Input 2 2 3 2 3 6 2" xfId="47277" xr:uid="{00000000-0005-0000-0000-00005F5A0000}"/>
    <cellStyle name="Input 2 2 3 2 3 6 3" xfId="51183" xr:uid="{00000000-0005-0000-0000-0000605A0000}"/>
    <cellStyle name="Input 2 2 3 2 3 7" xfId="41080" xr:uid="{00000000-0005-0000-0000-0000615A0000}"/>
    <cellStyle name="Input 2 2 3 2 3 8" xfId="39377" xr:uid="{00000000-0005-0000-0000-0000625A0000}"/>
    <cellStyle name="Input 2 2 3 2 4" xfId="14844" xr:uid="{00000000-0005-0000-0000-0000635A0000}"/>
    <cellStyle name="Input 2 2 3 2 4 2" xfId="42960" xr:uid="{00000000-0005-0000-0000-0000645A0000}"/>
    <cellStyle name="Input 2 2 3 2 4 3" xfId="43669" xr:uid="{00000000-0005-0000-0000-0000655A0000}"/>
    <cellStyle name="Input 2 2 3 2 4 4" xfId="32479" xr:uid="{00000000-0005-0000-0000-0000665A0000}"/>
    <cellStyle name="Input 2 2 3 2 5" xfId="13110" xr:uid="{00000000-0005-0000-0000-0000675A0000}"/>
    <cellStyle name="Input 2 2 3 2 5 2" xfId="42331" xr:uid="{00000000-0005-0000-0000-0000685A0000}"/>
    <cellStyle name="Input 2 2 3 2 5 3" xfId="40438" xr:uid="{00000000-0005-0000-0000-0000695A0000}"/>
    <cellStyle name="Input 2 2 3 2 5 4" xfId="30759" xr:uid="{00000000-0005-0000-0000-00006A5A0000}"/>
    <cellStyle name="Input 2 2 3 2 6" xfId="19166" xr:uid="{00000000-0005-0000-0000-00006B5A0000}"/>
    <cellStyle name="Input 2 2 3 2 6 2" xfId="44703" xr:uid="{00000000-0005-0000-0000-00006C5A0000}"/>
    <cellStyle name="Input 2 2 3 2 6 3" xfId="48609" xr:uid="{00000000-0005-0000-0000-00006D5A0000}"/>
    <cellStyle name="Input 2 2 3 2 6 4" xfId="36758" xr:uid="{00000000-0005-0000-0000-00006E5A0000}"/>
    <cellStyle name="Input 2 2 3 2 7" xfId="11694" xr:uid="{00000000-0005-0000-0000-00006F5A0000}"/>
    <cellStyle name="Input 2 2 3 2 7 2" xfId="41701" xr:uid="{00000000-0005-0000-0000-0000705A0000}"/>
    <cellStyle name="Input 2 2 3 2 7 3" xfId="43596" xr:uid="{00000000-0005-0000-0000-0000715A0000}"/>
    <cellStyle name="Input 2 2 3 2 7 4" xfId="29387" xr:uid="{00000000-0005-0000-0000-0000725A0000}"/>
    <cellStyle name="Input 2 2 3 2 8" xfId="20616" xr:uid="{00000000-0005-0000-0000-0000735A0000}"/>
    <cellStyle name="Input 2 2 3 2 8 2" xfId="46153" xr:uid="{00000000-0005-0000-0000-0000745A0000}"/>
    <cellStyle name="Input 2 2 3 2 8 3" xfId="50059" xr:uid="{00000000-0005-0000-0000-0000755A0000}"/>
    <cellStyle name="Input 2 2 3 2 9" xfId="39820" xr:uid="{00000000-0005-0000-0000-0000765A0000}"/>
    <cellStyle name="Input 2 2 3 3" xfId="22923" xr:uid="{00000000-0005-0000-0000-0000775A0000}"/>
    <cellStyle name="Input 2 2 3 3 2" xfId="47619" xr:uid="{00000000-0005-0000-0000-0000785A0000}"/>
    <cellStyle name="Input 2 2 3 3 3" xfId="51434" xr:uid="{00000000-0005-0000-0000-0000795A0000}"/>
    <cellStyle name="Input 2 2 3 3 4" xfId="39033" xr:uid="{00000000-0005-0000-0000-00007A5A0000}"/>
    <cellStyle name="Input 2 2 3 4" xfId="23063" xr:uid="{00000000-0005-0000-0000-00007B5A0000}"/>
    <cellStyle name="Input 2 2 3 4 2" xfId="47663" xr:uid="{00000000-0005-0000-0000-00007C5A0000}"/>
    <cellStyle name="Input 2 2 3 4 3" xfId="51474" xr:uid="{00000000-0005-0000-0000-00007D5A0000}"/>
    <cellStyle name="Input 2 2 3 5" xfId="53050" xr:uid="{00000000-0005-0000-0000-00007E5A0000}"/>
    <cellStyle name="Input 2 2 4" xfId="4233" xr:uid="{00000000-0005-0000-0000-00007F5A0000}"/>
    <cellStyle name="Input 2 2 4 2" xfId="7057" xr:uid="{00000000-0005-0000-0000-0000805A0000}"/>
    <cellStyle name="Input 2 2 4 2 10" xfId="40288" xr:uid="{00000000-0005-0000-0000-0000815A0000}"/>
    <cellStyle name="Input 2 2 4 2 2" xfId="10587" xr:uid="{00000000-0005-0000-0000-0000825A0000}"/>
    <cellStyle name="Input 2 2 4 2 2 2" xfId="18380" xr:uid="{00000000-0005-0000-0000-0000835A0000}"/>
    <cellStyle name="Input 2 2 4 2 2 2 2" xfId="43927" xr:uid="{00000000-0005-0000-0000-0000845A0000}"/>
    <cellStyle name="Input 2 2 4 2 2 2 3" xfId="47836" xr:uid="{00000000-0005-0000-0000-0000855A0000}"/>
    <cellStyle name="Input 2 2 4 2 2 2 4" xfId="36017" xr:uid="{00000000-0005-0000-0000-0000865A0000}"/>
    <cellStyle name="Input 2 2 4 2 2 3" xfId="19910" xr:uid="{00000000-0005-0000-0000-0000875A0000}"/>
    <cellStyle name="Input 2 2 4 2 2 3 2" xfId="45447" xr:uid="{00000000-0005-0000-0000-0000885A0000}"/>
    <cellStyle name="Input 2 2 4 2 2 3 3" xfId="49353" xr:uid="{00000000-0005-0000-0000-0000895A0000}"/>
    <cellStyle name="Input 2 2 4 2 2 3 4" xfId="37424" xr:uid="{00000000-0005-0000-0000-00008A5A0000}"/>
    <cellStyle name="Input 2 2 4 2 2 4" xfId="12058" xr:uid="{00000000-0005-0000-0000-00008B5A0000}"/>
    <cellStyle name="Input 2 2 4 2 2 4 2" xfId="41812" xr:uid="{00000000-0005-0000-0000-00008C5A0000}"/>
    <cellStyle name="Input 2 2 4 2 2 4 3" xfId="43285" xr:uid="{00000000-0005-0000-0000-00008D5A0000}"/>
    <cellStyle name="Input 2 2 4 2 2 4 4" xfId="29737" xr:uid="{00000000-0005-0000-0000-00008E5A0000}"/>
    <cellStyle name="Input 2 2 4 2 2 5" xfId="20793" xr:uid="{00000000-0005-0000-0000-00008F5A0000}"/>
    <cellStyle name="Input 2 2 4 2 2 5 2" xfId="46330" xr:uid="{00000000-0005-0000-0000-0000905A0000}"/>
    <cellStyle name="Input 2 2 4 2 2 5 3" xfId="50236" xr:uid="{00000000-0005-0000-0000-0000915A0000}"/>
    <cellStyle name="Input 2 2 4 2 2 5 4" xfId="38199" xr:uid="{00000000-0005-0000-0000-0000925A0000}"/>
    <cellStyle name="Input 2 2 4 2 2 6" xfId="21446" xr:uid="{00000000-0005-0000-0000-0000935A0000}"/>
    <cellStyle name="Input 2 2 4 2 2 6 2" xfId="46983" xr:uid="{00000000-0005-0000-0000-0000945A0000}"/>
    <cellStyle name="Input 2 2 4 2 2 6 3" xfId="50889" xr:uid="{00000000-0005-0000-0000-0000955A0000}"/>
    <cellStyle name="Input 2 2 4 2 2 7" xfId="40786" xr:uid="{00000000-0005-0000-0000-0000965A0000}"/>
    <cellStyle name="Input 2 2 4 2 2 8" xfId="42614" xr:uid="{00000000-0005-0000-0000-0000975A0000}"/>
    <cellStyle name="Input 2 2 4 2 3" xfId="10882" xr:uid="{00000000-0005-0000-0000-0000985A0000}"/>
    <cellStyle name="Input 2 2 4 2 3 2" xfId="18675" xr:uid="{00000000-0005-0000-0000-0000995A0000}"/>
    <cellStyle name="Input 2 2 4 2 3 2 2" xfId="44222" xr:uid="{00000000-0005-0000-0000-00009A5A0000}"/>
    <cellStyle name="Input 2 2 4 2 3 2 3" xfId="48131" xr:uid="{00000000-0005-0000-0000-00009B5A0000}"/>
    <cellStyle name="Input 2 2 4 2 3 2 4" xfId="36312" xr:uid="{00000000-0005-0000-0000-00009C5A0000}"/>
    <cellStyle name="Input 2 2 4 2 3 3" xfId="13344" xr:uid="{00000000-0005-0000-0000-00009D5A0000}"/>
    <cellStyle name="Input 2 2 4 2 3 3 2" xfId="42514" xr:uid="{00000000-0005-0000-0000-00009E5A0000}"/>
    <cellStyle name="Input 2 2 4 2 3 3 3" xfId="43460" xr:uid="{00000000-0005-0000-0000-00009F5A0000}"/>
    <cellStyle name="Input 2 2 4 2 3 3 4" xfId="30984" xr:uid="{00000000-0005-0000-0000-0000A05A0000}"/>
    <cellStyle name="Input 2 2 4 2 3 4" xfId="20300" xr:uid="{00000000-0005-0000-0000-0000A15A0000}"/>
    <cellStyle name="Input 2 2 4 2 3 4 2" xfId="45837" xr:uid="{00000000-0005-0000-0000-0000A25A0000}"/>
    <cellStyle name="Input 2 2 4 2 3 4 3" xfId="49743" xr:uid="{00000000-0005-0000-0000-0000A35A0000}"/>
    <cellStyle name="Input 2 2 4 2 3 4 4" xfId="37766" xr:uid="{00000000-0005-0000-0000-0000A45A0000}"/>
    <cellStyle name="Input 2 2 4 2 3 5" xfId="21088" xr:uid="{00000000-0005-0000-0000-0000A55A0000}"/>
    <cellStyle name="Input 2 2 4 2 3 5 2" xfId="46625" xr:uid="{00000000-0005-0000-0000-0000A65A0000}"/>
    <cellStyle name="Input 2 2 4 2 3 5 3" xfId="50531" xr:uid="{00000000-0005-0000-0000-0000A75A0000}"/>
    <cellStyle name="Input 2 2 4 2 3 5 4" xfId="38494" xr:uid="{00000000-0005-0000-0000-0000A85A0000}"/>
    <cellStyle name="Input 2 2 4 2 3 6" xfId="21741" xr:uid="{00000000-0005-0000-0000-0000A95A0000}"/>
    <cellStyle name="Input 2 2 4 2 3 6 2" xfId="47278" xr:uid="{00000000-0005-0000-0000-0000AA5A0000}"/>
    <cellStyle name="Input 2 2 4 2 3 6 3" xfId="51184" xr:uid="{00000000-0005-0000-0000-0000AB5A0000}"/>
    <cellStyle name="Input 2 2 4 2 3 7" xfId="41081" xr:uid="{00000000-0005-0000-0000-0000AC5A0000}"/>
    <cellStyle name="Input 2 2 4 2 3 8" xfId="39187" xr:uid="{00000000-0005-0000-0000-0000AD5A0000}"/>
    <cellStyle name="Input 2 2 4 2 4" xfId="14845" xr:uid="{00000000-0005-0000-0000-0000AE5A0000}"/>
    <cellStyle name="Input 2 2 4 2 4 2" xfId="42961" xr:uid="{00000000-0005-0000-0000-0000AF5A0000}"/>
    <cellStyle name="Input 2 2 4 2 4 3" xfId="40528" xr:uid="{00000000-0005-0000-0000-0000B05A0000}"/>
    <cellStyle name="Input 2 2 4 2 4 4" xfId="32480" xr:uid="{00000000-0005-0000-0000-0000B15A0000}"/>
    <cellStyle name="Input 2 2 4 2 5" xfId="13111" xr:uid="{00000000-0005-0000-0000-0000B25A0000}"/>
    <cellStyle name="Input 2 2 4 2 5 2" xfId="42332" xr:uid="{00000000-0005-0000-0000-0000B35A0000}"/>
    <cellStyle name="Input 2 2 4 2 5 3" xfId="39545" xr:uid="{00000000-0005-0000-0000-0000B45A0000}"/>
    <cellStyle name="Input 2 2 4 2 5 4" xfId="30760" xr:uid="{00000000-0005-0000-0000-0000B55A0000}"/>
    <cellStyle name="Input 2 2 4 2 6" xfId="11172" xr:uid="{00000000-0005-0000-0000-0000B65A0000}"/>
    <cellStyle name="Input 2 2 4 2 6 2" xfId="41295" xr:uid="{00000000-0005-0000-0000-0000B75A0000}"/>
    <cellStyle name="Input 2 2 4 2 6 3" xfId="41419" xr:uid="{00000000-0005-0000-0000-0000B85A0000}"/>
    <cellStyle name="Input 2 2 4 2 6 4" xfId="28900" xr:uid="{00000000-0005-0000-0000-0000B95A0000}"/>
    <cellStyle name="Input 2 2 4 2 7" xfId="19692" xr:uid="{00000000-0005-0000-0000-0000BA5A0000}"/>
    <cellStyle name="Input 2 2 4 2 7 2" xfId="45229" xr:uid="{00000000-0005-0000-0000-0000BB5A0000}"/>
    <cellStyle name="Input 2 2 4 2 7 3" xfId="49135" xr:uid="{00000000-0005-0000-0000-0000BC5A0000}"/>
    <cellStyle name="Input 2 2 4 2 7 4" xfId="37223" xr:uid="{00000000-0005-0000-0000-0000BD5A0000}"/>
    <cellStyle name="Input 2 2 4 2 8" xfId="20315" xr:uid="{00000000-0005-0000-0000-0000BE5A0000}"/>
    <cellStyle name="Input 2 2 4 2 8 2" xfId="45852" xr:uid="{00000000-0005-0000-0000-0000BF5A0000}"/>
    <cellStyle name="Input 2 2 4 2 8 3" xfId="49758" xr:uid="{00000000-0005-0000-0000-0000C05A0000}"/>
    <cellStyle name="Input 2 2 4 2 9" xfId="39821" xr:uid="{00000000-0005-0000-0000-0000C15A0000}"/>
    <cellStyle name="Input 2 2 4 3" xfId="22445" xr:uid="{00000000-0005-0000-0000-0000C25A0000}"/>
    <cellStyle name="Input 2 2 4 3 2" xfId="47530" xr:uid="{00000000-0005-0000-0000-0000C35A0000}"/>
    <cellStyle name="Input 2 2 4 3 3" xfId="51384" xr:uid="{00000000-0005-0000-0000-0000C45A0000}"/>
    <cellStyle name="Input 2 2 4 3 4" xfId="38834" xr:uid="{00000000-0005-0000-0000-0000C55A0000}"/>
    <cellStyle name="Input 2 2 4 4" xfId="23036" xr:uid="{00000000-0005-0000-0000-0000C65A0000}"/>
    <cellStyle name="Input 2 2 4 4 2" xfId="47637" xr:uid="{00000000-0005-0000-0000-0000C75A0000}"/>
    <cellStyle name="Input 2 2 4 4 3" xfId="51448" xr:uid="{00000000-0005-0000-0000-0000C85A0000}"/>
    <cellStyle name="Input 2 2 4 5" xfId="53051" xr:uid="{00000000-0005-0000-0000-0000C95A0000}"/>
    <cellStyle name="Input 2 2 5" xfId="4234" xr:uid="{00000000-0005-0000-0000-0000CA5A0000}"/>
    <cellStyle name="Input 2 2 5 2" xfId="10462" xr:uid="{00000000-0005-0000-0000-0000CB5A0000}"/>
    <cellStyle name="Input 2 2 5 2 2" xfId="18255" xr:uid="{00000000-0005-0000-0000-0000CC5A0000}"/>
    <cellStyle name="Input 2 2 5 2 2 2" xfId="43802" xr:uid="{00000000-0005-0000-0000-0000CD5A0000}"/>
    <cellStyle name="Input 2 2 5 2 2 3" xfId="47711" xr:uid="{00000000-0005-0000-0000-0000CE5A0000}"/>
    <cellStyle name="Input 2 2 5 2 2 4" xfId="35892" xr:uid="{00000000-0005-0000-0000-0000CF5A0000}"/>
    <cellStyle name="Input 2 2 5 2 3" xfId="13319" xr:uid="{00000000-0005-0000-0000-0000D05A0000}"/>
    <cellStyle name="Input 2 2 5 2 3 2" xfId="42489" xr:uid="{00000000-0005-0000-0000-0000D15A0000}"/>
    <cellStyle name="Input 2 2 5 2 3 3" xfId="42793" xr:uid="{00000000-0005-0000-0000-0000D25A0000}"/>
    <cellStyle name="Input 2 2 5 2 3 4" xfId="30959" xr:uid="{00000000-0005-0000-0000-0000D35A0000}"/>
    <cellStyle name="Input 2 2 5 2 4" xfId="20366" xr:uid="{00000000-0005-0000-0000-0000D45A0000}"/>
    <cellStyle name="Input 2 2 5 2 4 2" xfId="45903" xr:uid="{00000000-0005-0000-0000-0000D55A0000}"/>
    <cellStyle name="Input 2 2 5 2 4 3" xfId="49809" xr:uid="{00000000-0005-0000-0000-0000D65A0000}"/>
    <cellStyle name="Input 2 2 5 2 4 4" xfId="37822" xr:uid="{00000000-0005-0000-0000-0000D75A0000}"/>
    <cellStyle name="Input 2 2 5 2 5" xfId="20668" xr:uid="{00000000-0005-0000-0000-0000D85A0000}"/>
    <cellStyle name="Input 2 2 5 2 5 2" xfId="46205" xr:uid="{00000000-0005-0000-0000-0000D95A0000}"/>
    <cellStyle name="Input 2 2 5 2 5 3" xfId="50111" xr:uid="{00000000-0005-0000-0000-0000DA5A0000}"/>
    <cellStyle name="Input 2 2 5 2 5 4" xfId="38074" xr:uid="{00000000-0005-0000-0000-0000DB5A0000}"/>
    <cellStyle name="Input 2 2 5 2 6" xfId="21321" xr:uid="{00000000-0005-0000-0000-0000DC5A0000}"/>
    <cellStyle name="Input 2 2 5 2 6 2" xfId="46858" xr:uid="{00000000-0005-0000-0000-0000DD5A0000}"/>
    <cellStyle name="Input 2 2 5 2 6 3" xfId="50764" xr:uid="{00000000-0005-0000-0000-0000DE5A0000}"/>
    <cellStyle name="Input 2 2 5 2 7" xfId="40661" xr:uid="{00000000-0005-0000-0000-0000DF5A0000}"/>
    <cellStyle name="Input 2 2 5 2 8" xfId="40606" xr:uid="{00000000-0005-0000-0000-0000E05A0000}"/>
    <cellStyle name="Input 2 2 5 3" xfId="8464" xr:uid="{00000000-0005-0000-0000-0000E15A0000}"/>
    <cellStyle name="Input 2 2 5 3 2" xfId="16260" xr:uid="{00000000-0005-0000-0000-0000E25A0000}"/>
    <cellStyle name="Input 2 2 5 3 2 2" xfId="43411" xr:uid="{00000000-0005-0000-0000-0000E35A0000}"/>
    <cellStyle name="Input 2 2 5 3 2 3" xfId="39628" xr:uid="{00000000-0005-0000-0000-0000E45A0000}"/>
    <cellStyle name="Input 2 2 5 3 2 4" xfId="33895" xr:uid="{00000000-0005-0000-0000-0000E55A0000}"/>
    <cellStyle name="Input 2 2 5 3 3" xfId="13900" xr:uid="{00000000-0005-0000-0000-0000E65A0000}"/>
    <cellStyle name="Input 2 2 5 3 3 2" xfId="42635" xr:uid="{00000000-0005-0000-0000-0000E75A0000}"/>
    <cellStyle name="Input 2 2 5 3 3 3" xfId="39644" xr:uid="{00000000-0005-0000-0000-0000E85A0000}"/>
    <cellStyle name="Input 2 2 5 3 3 4" xfId="31540" xr:uid="{00000000-0005-0000-0000-0000E95A0000}"/>
    <cellStyle name="Input 2 2 5 3 4" xfId="12686" xr:uid="{00000000-0005-0000-0000-0000EA5A0000}"/>
    <cellStyle name="Input 2 2 5 3 4 2" xfId="42165" xr:uid="{00000000-0005-0000-0000-0000EB5A0000}"/>
    <cellStyle name="Input 2 2 5 3 4 3" xfId="40190" xr:uid="{00000000-0005-0000-0000-0000EC5A0000}"/>
    <cellStyle name="Input 2 2 5 3 4 4" xfId="30347" xr:uid="{00000000-0005-0000-0000-0000ED5A0000}"/>
    <cellStyle name="Input 2 2 5 3 5" xfId="12094" xr:uid="{00000000-0005-0000-0000-0000EE5A0000}"/>
    <cellStyle name="Input 2 2 5 3 5 2" xfId="41839" xr:uid="{00000000-0005-0000-0000-0000EF5A0000}"/>
    <cellStyle name="Input 2 2 5 3 5 3" xfId="39138" xr:uid="{00000000-0005-0000-0000-0000F05A0000}"/>
    <cellStyle name="Input 2 2 5 3 5 4" xfId="29767" xr:uid="{00000000-0005-0000-0000-0000F15A0000}"/>
    <cellStyle name="Input 2 2 5 3 6" xfId="19822" xr:uid="{00000000-0005-0000-0000-0000F25A0000}"/>
    <cellStyle name="Input 2 2 5 3 6 2" xfId="45359" xr:uid="{00000000-0005-0000-0000-0000F35A0000}"/>
    <cellStyle name="Input 2 2 5 3 6 3" xfId="49265" xr:uid="{00000000-0005-0000-0000-0000F45A0000}"/>
    <cellStyle name="Input 2 2 5 3 7" xfId="40273" xr:uid="{00000000-0005-0000-0000-0000F55A0000}"/>
    <cellStyle name="Input 2 2 5 3 8" xfId="39229" xr:uid="{00000000-0005-0000-0000-0000F65A0000}"/>
    <cellStyle name="Input 2 2 6" xfId="7054" xr:uid="{00000000-0005-0000-0000-0000F75A0000}"/>
    <cellStyle name="Input 2 2 6 10" xfId="39518" xr:uid="{00000000-0005-0000-0000-0000F85A0000}"/>
    <cellStyle name="Input 2 2 6 2" xfId="10584" xr:uid="{00000000-0005-0000-0000-0000F95A0000}"/>
    <cellStyle name="Input 2 2 6 2 2" xfId="18377" xr:uid="{00000000-0005-0000-0000-0000FA5A0000}"/>
    <cellStyle name="Input 2 2 6 2 2 2" xfId="43924" xr:uid="{00000000-0005-0000-0000-0000FB5A0000}"/>
    <cellStyle name="Input 2 2 6 2 2 3" xfId="47833" xr:uid="{00000000-0005-0000-0000-0000FC5A0000}"/>
    <cellStyle name="Input 2 2 6 2 2 4" xfId="36014" xr:uid="{00000000-0005-0000-0000-0000FD5A0000}"/>
    <cellStyle name="Input 2 2 6 2 3" xfId="19428" xr:uid="{00000000-0005-0000-0000-0000FE5A0000}"/>
    <cellStyle name="Input 2 2 6 2 3 2" xfId="44965" xr:uid="{00000000-0005-0000-0000-0000FF5A0000}"/>
    <cellStyle name="Input 2 2 6 2 3 3" xfId="48871" xr:uid="{00000000-0005-0000-0000-0000005B0000}"/>
    <cellStyle name="Input 2 2 6 2 3 4" xfId="36993" xr:uid="{00000000-0005-0000-0000-0000015B0000}"/>
    <cellStyle name="Input 2 2 6 2 4" xfId="20384" xr:uid="{00000000-0005-0000-0000-0000025B0000}"/>
    <cellStyle name="Input 2 2 6 2 4 2" xfId="45921" xr:uid="{00000000-0005-0000-0000-0000035B0000}"/>
    <cellStyle name="Input 2 2 6 2 4 3" xfId="49827" xr:uid="{00000000-0005-0000-0000-0000045B0000}"/>
    <cellStyle name="Input 2 2 6 2 4 4" xfId="37838" xr:uid="{00000000-0005-0000-0000-0000055B0000}"/>
    <cellStyle name="Input 2 2 6 2 5" xfId="20790" xr:uid="{00000000-0005-0000-0000-0000065B0000}"/>
    <cellStyle name="Input 2 2 6 2 5 2" xfId="46327" xr:uid="{00000000-0005-0000-0000-0000075B0000}"/>
    <cellStyle name="Input 2 2 6 2 5 3" xfId="50233" xr:uid="{00000000-0005-0000-0000-0000085B0000}"/>
    <cellStyle name="Input 2 2 6 2 5 4" xfId="38196" xr:uid="{00000000-0005-0000-0000-0000095B0000}"/>
    <cellStyle name="Input 2 2 6 2 6" xfId="21443" xr:uid="{00000000-0005-0000-0000-00000A5B0000}"/>
    <cellStyle name="Input 2 2 6 2 6 2" xfId="46980" xr:uid="{00000000-0005-0000-0000-00000B5B0000}"/>
    <cellStyle name="Input 2 2 6 2 6 3" xfId="50886" xr:uid="{00000000-0005-0000-0000-00000C5B0000}"/>
    <cellStyle name="Input 2 2 6 2 7" xfId="40783" xr:uid="{00000000-0005-0000-0000-00000D5B0000}"/>
    <cellStyle name="Input 2 2 6 2 8" xfId="43638" xr:uid="{00000000-0005-0000-0000-00000E5B0000}"/>
    <cellStyle name="Input 2 2 6 3" xfId="10879" xr:uid="{00000000-0005-0000-0000-00000F5B0000}"/>
    <cellStyle name="Input 2 2 6 3 2" xfId="18672" xr:uid="{00000000-0005-0000-0000-0000105B0000}"/>
    <cellStyle name="Input 2 2 6 3 2 2" xfId="44219" xr:uid="{00000000-0005-0000-0000-0000115B0000}"/>
    <cellStyle name="Input 2 2 6 3 2 3" xfId="48128" xr:uid="{00000000-0005-0000-0000-0000125B0000}"/>
    <cellStyle name="Input 2 2 6 3 2 4" xfId="36309" xr:uid="{00000000-0005-0000-0000-0000135B0000}"/>
    <cellStyle name="Input 2 2 6 3 3" xfId="12176" xr:uid="{00000000-0005-0000-0000-0000145B0000}"/>
    <cellStyle name="Input 2 2 6 3 3 2" xfId="41921" xr:uid="{00000000-0005-0000-0000-0000155B0000}"/>
    <cellStyle name="Input 2 2 6 3 3 3" xfId="40198" xr:uid="{00000000-0005-0000-0000-0000165B0000}"/>
    <cellStyle name="Input 2 2 6 3 3 4" xfId="29848" xr:uid="{00000000-0005-0000-0000-0000175B0000}"/>
    <cellStyle name="Input 2 2 6 3 4" xfId="19512" xr:uid="{00000000-0005-0000-0000-0000185B0000}"/>
    <cellStyle name="Input 2 2 6 3 4 2" xfId="45049" xr:uid="{00000000-0005-0000-0000-0000195B0000}"/>
    <cellStyle name="Input 2 2 6 3 4 3" xfId="48955" xr:uid="{00000000-0005-0000-0000-00001A5B0000}"/>
    <cellStyle name="Input 2 2 6 3 4 4" xfId="37060" xr:uid="{00000000-0005-0000-0000-00001B5B0000}"/>
    <cellStyle name="Input 2 2 6 3 5" xfId="21085" xr:uid="{00000000-0005-0000-0000-00001C5B0000}"/>
    <cellStyle name="Input 2 2 6 3 5 2" xfId="46622" xr:uid="{00000000-0005-0000-0000-00001D5B0000}"/>
    <cellStyle name="Input 2 2 6 3 5 3" xfId="50528" xr:uid="{00000000-0005-0000-0000-00001E5B0000}"/>
    <cellStyle name="Input 2 2 6 3 5 4" xfId="38491" xr:uid="{00000000-0005-0000-0000-00001F5B0000}"/>
    <cellStyle name="Input 2 2 6 3 6" xfId="21738" xr:uid="{00000000-0005-0000-0000-0000205B0000}"/>
    <cellStyle name="Input 2 2 6 3 6 2" xfId="47275" xr:uid="{00000000-0005-0000-0000-0000215B0000}"/>
    <cellStyle name="Input 2 2 6 3 6 3" xfId="51181" xr:uid="{00000000-0005-0000-0000-0000225B0000}"/>
    <cellStyle name="Input 2 2 6 3 7" xfId="41078" xr:uid="{00000000-0005-0000-0000-0000235B0000}"/>
    <cellStyle name="Input 2 2 6 3 8" xfId="43375" xr:uid="{00000000-0005-0000-0000-0000245B0000}"/>
    <cellStyle name="Input 2 2 6 4" xfId="14842" xr:uid="{00000000-0005-0000-0000-0000255B0000}"/>
    <cellStyle name="Input 2 2 6 4 2" xfId="42958" xr:uid="{00000000-0005-0000-0000-0000265B0000}"/>
    <cellStyle name="Input 2 2 6 4 3" xfId="40041" xr:uid="{00000000-0005-0000-0000-0000275B0000}"/>
    <cellStyle name="Input 2 2 6 4 4" xfId="32477" xr:uid="{00000000-0005-0000-0000-0000285B0000}"/>
    <cellStyle name="Input 2 2 6 5" xfId="13108" xr:uid="{00000000-0005-0000-0000-0000295B0000}"/>
    <cellStyle name="Input 2 2 6 5 2" xfId="42329" xr:uid="{00000000-0005-0000-0000-00002A5B0000}"/>
    <cellStyle name="Input 2 2 6 5 3" xfId="42689" xr:uid="{00000000-0005-0000-0000-00002B5B0000}"/>
    <cellStyle name="Input 2 2 6 5 4" xfId="30757" xr:uid="{00000000-0005-0000-0000-00002C5B0000}"/>
    <cellStyle name="Input 2 2 6 6" xfId="20321" xr:uid="{00000000-0005-0000-0000-00002D5B0000}"/>
    <cellStyle name="Input 2 2 6 6 2" xfId="45858" xr:uid="{00000000-0005-0000-0000-00002E5B0000}"/>
    <cellStyle name="Input 2 2 6 6 3" xfId="49764" xr:uid="{00000000-0005-0000-0000-00002F5B0000}"/>
    <cellStyle name="Input 2 2 6 6 4" xfId="37785" xr:uid="{00000000-0005-0000-0000-0000305B0000}"/>
    <cellStyle name="Input 2 2 6 7" xfId="19671" xr:uid="{00000000-0005-0000-0000-0000315B0000}"/>
    <cellStyle name="Input 2 2 6 7 2" xfId="45208" xr:uid="{00000000-0005-0000-0000-0000325B0000}"/>
    <cellStyle name="Input 2 2 6 7 3" xfId="49114" xr:uid="{00000000-0005-0000-0000-0000335B0000}"/>
    <cellStyle name="Input 2 2 6 7 4" xfId="37205" xr:uid="{00000000-0005-0000-0000-0000345B0000}"/>
    <cellStyle name="Input 2 2 6 8" xfId="19499" xr:uid="{00000000-0005-0000-0000-0000355B0000}"/>
    <cellStyle name="Input 2 2 6 8 2" xfId="45036" xr:uid="{00000000-0005-0000-0000-0000365B0000}"/>
    <cellStyle name="Input 2 2 6 8 3" xfId="48942" xr:uid="{00000000-0005-0000-0000-0000375B0000}"/>
    <cellStyle name="Input 2 2 6 9" xfId="39818" xr:uid="{00000000-0005-0000-0000-0000385B0000}"/>
    <cellStyle name="Input 2 2 7" xfId="53048" xr:uid="{00000000-0005-0000-0000-0000395B0000}"/>
    <cellStyle name="Input 2 2_Sheet1" xfId="1866" xr:uid="{00000000-0005-0000-0000-00003A5B0000}"/>
    <cellStyle name="Input 2 20" xfId="52758" xr:uid="{00000000-0005-0000-0000-00003B5B0000}"/>
    <cellStyle name="Input 2 21" xfId="52742" xr:uid="{00000000-0005-0000-0000-00003C5B0000}"/>
    <cellStyle name="Input 2 22" xfId="52755" xr:uid="{00000000-0005-0000-0000-00003D5B0000}"/>
    <cellStyle name="Input 2 23" xfId="52744" xr:uid="{00000000-0005-0000-0000-00003E5B0000}"/>
    <cellStyle name="Input 2 24" xfId="52777" xr:uid="{00000000-0005-0000-0000-00003F5B0000}"/>
    <cellStyle name="Input 2 25" xfId="52740" xr:uid="{00000000-0005-0000-0000-0000405B0000}"/>
    <cellStyle name="Input 2 26" xfId="52753" xr:uid="{00000000-0005-0000-0000-0000415B0000}"/>
    <cellStyle name="Input 2 27" xfId="52779" xr:uid="{00000000-0005-0000-0000-0000425B0000}"/>
    <cellStyle name="Input 2 28" xfId="52819" xr:uid="{00000000-0005-0000-0000-0000435B0000}"/>
    <cellStyle name="Input 2 29" xfId="52797" xr:uid="{00000000-0005-0000-0000-0000445B0000}"/>
    <cellStyle name="Input 2 3" xfId="1867" xr:uid="{00000000-0005-0000-0000-0000455B0000}"/>
    <cellStyle name="Input 2 3 2" xfId="7058" xr:uid="{00000000-0005-0000-0000-0000465B0000}"/>
    <cellStyle name="Input 2 3 2 10" xfId="39822" xr:uid="{00000000-0005-0000-0000-0000475B0000}"/>
    <cellStyle name="Input 2 3 2 11" xfId="39416" xr:uid="{00000000-0005-0000-0000-0000485B0000}"/>
    <cellStyle name="Input 2 3 2 2" xfId="10588" xr:uid="{00000000-0005-0000-0000-0000495B0000}"/>
    <cellStyle name="Input 2 3 2 2 2" xfId="18381" xr:uid="{00000000-0005-0000-0000-00004A5B0000}"/>
    <cellStyle name="Input 2 3 2 2 2 2" xfId="43928" xr:uid="{00000000-0005-0000-0000-00004B5B0000}"/>
    <cellStyle name="Input 2 3 2 2 2 3" xfId="47837" xr:uid="{00000000-0005-0000-0000-00004C5B0000}"/>
    <cellStyle name="Input 2 3 2 2 2 4" xfId="36018" xr:uid="{00000000-0005-0000-0000-00004D5B0000}"/>
    <cellStyle name="Input 2 3 2 2 3" xfId="19133" xr:uid="{00000000-0005-0000-0000-00004E5B0000}"/>
    <cellStyle name="Input 2 3 2 2 3 2" xfId="44670" xr:uid="{00000000-0005-0000-0000-00004F5B0000}"/>
    <cellStyle name="Input 2 3 2 2 3 3" xfId="48576" xr:uid="{00000000-0005-0000-0000-0000505B0000}"/>
    <cellStyle name="Input 2 3 2 2 3 4" xfId="36728" xr:uid="{00000000-0005-0000-0000-0000515B0000}"/>
    <cellStyle name="Input 2 3 2 2 4" xfId="19560" xr:uid="{00000000-0005-0000-0000-0000525B0000}"/>
    <cellStyle name="Input 2 3 2 2 4 2" xfId="45097" xr:uid="{00000000-0005-0000-0000-0000535B0000}"/>
    <cellStyle name="Input 2 3 2 2 4 3" xfId="49003" xr:uid="{00000000-0005-0000-0000-0000545B0000}"/>
    <cellStyle name="Input 2 3 2 2 4 4" xfId="37101" xr:uid="{00000000-0005-0000-0000-0000555B0000}"/>
    <cellStyle name="Input 2 3 2 2 5" xfId="20794" xr:uid="{00000000-0005-0000-0000-0000565B0000}"/>
    <cellStyle name="Input 2 3 2 2 5 2" xfId="46331" xr:uid="{00000000-0005-0000-0000-0000575B0000}"/>
    <cellStyle name="Input 2 3 2 2 5 3" xfId="50237" xr:uid="{00000000-0005-0000-0000-0000585B0000}"/>
    <cellStyle name="Input 2 3 2 2 5 4" xfId="38200" xr:uid="{00000000-0005-0000-0000-0000595B0000}"/>
    <cellStyle name="Input 2 3 2 2 6" xfId="21447" xr:uid="{00000000-0005-0000-0000-00005A5B0000}"/>
    <cellStyle name="Input 2 3 2 2 6 2" xfId="46984" xr:uid="{00000000-0005-0000-0000-00005B5B0000}"/>
    <cellStyle name="Input 2 3 2 2 6 3" xfId="50890" xr:uid="{00000000-0005-0000-0000-00005C5B0000}"/>
    <cellStyle name="Input 2 3 2 2 7" xfId="40787" xr:uid="{00000000-0005-0000-0000-00005D5B0000}"/>
    <cellStyle name="Input 2 3 2 2 8" xfId="43527" xr:uid="{00000000-0005-0000-0000-00005E5B0000}"/>
    <cellStyle name="Input 2 3 2 3" xfId="10883" xr:uid="{00000000-0005-0000-0000-00005F5B0000}"/>
    <cellStyle name="Input 2 3 2 3 2" xfId="18676" xr:uid="{00000000-0005-0000-0000-0000605B0000}"/>
    <cellStyle name="Input 2 3 2 3 2 2" xfId="44223" xr:uid="{00000000-0005-0000-0000-0000615B0000}"/>
    <cellStyle name="Input 2 3 2 3 2 3" xfId="48132" xr:uid="{00000000-0005-0000-0000-0000625B0000}"/>
    <cellStyle name="Input 2 3 2 3 2 4" xfId="36313" xr:uid="{00000000-0005-0000-0000-0000635B0000}"/>
    <cellStyle name="Input 2 3 2 3 3" xfId="13345" xr:uid="{00000000-0005-0000-0000-0000645B0000}"/>
    <cellStyle name="Input 2 3 2 3 3 2" xfId="42515" xr:uid="{00000000-0005-0000-0000-0000655B0000}"/>
    <cellStyle name="Input 2 3 2 3 3 3" xfId="40322" xr:uid="{00000000-0005-0000-0000-0000665B0000}"/>
    <cellStyle name="Input 2 3 2 3 3 4" xfId="30985" xr:uid="{00000000-0005-0000-0000-0000675B0000}"/>
    <cellStyle name="Input 2 3 2 3 4" xfId="11799" xr:uid="{00000000-0005-0000-0000-0000685B0000}"/>
    <cellStyle name="Input 2 3 2 3 4 2" xfId="41749" xr:uid="{00000000-0005-0000-0000-0000695B0000}"/>
    <cellStyle name="Input 2 3 2 3 4 3" xfId="39150" xr:uid="{00000000-0005-0000-0000-00006A5B0000}"/>
    <cellStyle name="Input 2 3 2 3 4 4" xfId="29485" xr:uid="{00000000-0005-0000-0000-00006B5B0000}"/>
    <cellStyle name="Input 2 3 2 3 5" xfId="21089" xr:uid="{00000000-0005-0000-0000-00006C5B0000}"/>
    <cellStyle name="Input 2 3 2 3 5 2" xfId="46626" xr:uid="{00000000-0005-0000-0000-00006D5B0000}"/>
    <cellStyle name="Input 2 3 2 3 5 3" xfId="50532" xr:uid="{00000000-0005-0000-0000-00006E5B0000}"/>
    <cellStyle name="Input 2 3 2 3 5 4" xfId="38495" xr:uid="{00000000-0005-0000-0000-00006F5B0000}"/>
    <cellStyle name="Input 2 3 2 3 6" xfId="21742" xr:uid="{00000000-0005-0000-0000-0000705B0000}"/>
    <cellStyle name="Input 2 3 2 3 6 2" xfId="47279" xr:uid="{00000000-0005-0000-0000-0000715B0000}"/>
    <cellStyle name="Input 2 3 2 3 6 3" xfId="51185" xr:uid="{00000000-0005-0000-0000-0000725B0000}"/>
    <cellStyle name="Input 2 3 2 3 7" xfId="41082" xr:uid="{00000000-0005-0000-0000-0000735B0000}"/>
    <cellStyle name="Input 2 3 2 3 8" xfId="41428" xr:uid="{00000000-0005-0000-0000-0000745B0000}"/>
    <cellStyle name="Input 2 3 2 4" xfId="14846" xr:uid="{00000000-0005-0000-0000-0000755B0000}"/>
    <cellStyle name="Input 2 3 2 4 2" xfId="42962" xr:uid="{00000000-0005-0000-0000-0000765B0000}"/>
    <cellStyle name="Input 2 3 2 4 3" xfId="39636" xr:uid="{00000000-0005-0000-0000-0000775B0000}"/>
    <cellStyle name="Input 2 3 2 4 4" xfId="32481" xr:uid="{00000000-0005-0000-0000-0000785B0000}"/>
    <cellStyle name="Input 2 3 2 5" xfId="13112" xr:uid="{00000000-0005-0000-0000-0000795B0000}"/>
    <cellStyle name="Input 2 3 2 5 2" xfId="42333" xr:uid="{00000000-0005-0000-0000-00007A5B0000}"/>
    <cellStyle name="Input 2 3 2 5 3" xfId="42555" xr:uid="{00000000-0005-0000-0000-00007B5B0000}"/>
    <cellStyle name="Input 2 3 2 5 4" xfId="30761" xr:uid="{00000000-0005-0000-0000-00007C5B0000}"/>
    <cellStyle name="Input 2 3 2 6" xfId="19157" xr:uid="{00000000-0005-0000-0000-00007D5B0000}"/>
    <cellStyle name="Input 2 3 2 6 2" xfId="44694" xr:uid="{00000000-0005-0000-0000-00007E5B0000}"/>
    <cellStyle name="Input 2 3 2 6 3" xfId="48600" xr:uid="{00000000-0005-0000-0000-00007F5B0000}"/>
    <cellStyle name="Input 2 3 2 6 4" xfId="36749" xr:uid="{00000000-0005-0000-0000-0000805B0000}"/>
    <cellStyle name="Input 2 3 2 7" xfId="20517" xr:uid="{00000000-0005-0000-0000-0000815B0000}"/>
    <cellStyle name="Input 2 3 2 7 2" xfId="46054" xr:uid="{00000000-0005-0000-0000-0000825B0000}"/>
    <cellStyle name="Input 2 3 2 7 3" xfId="49960" xr:uid="{00000000-0005-0000-0000-0000835B0000}"/>
    <cellStyle name="Input 2 3 2 7 4" xfId="37951" xr:uid="{00000000-0005-0000-0000-0000845B0000}"/>
    <cellStyle name="Input 2 3 2 8" xfId="11377" xr:uid="{00000000-0005-0000-0000-0000855B0000}"/>
    <cellStyle name="Input 2 3 2 8 2" xfId="41413" xr:uid="{00000000-0005-0000-0000-0000865B0000}"/>
    <cellStyle name="Input 2 3 2 8 3" xfId="40220" xr:uid="{00000000-0005-0000-0000-0000875B0000}"/>
    <cellStyle name="Input 2 3 2 9" xfId="22447" xr:uid="{00000000-0005-0000-0000-0000885B0000}"/>
    <cellStyle name="Input 2 3 3" xfId="22924" xr:uid="{00000000-0005-0000-0000-0000895B0000}"/>
    <cellStyle name="Input 2 3 3 2" xfId="23064" xr:uid="{00000000-0005-0000-0000-00008A5B0000}"/>
    <cellStyle name="Input 2 3 3 2 2" xfId="47664" xr:uid="{00000000-0005-0000-0000-00008B5B0000}"/>
    <cellStyle name="Input 2 3 3 2 3" xfId="51475" xr:uid="{00000000-0005-0000-0000-00008C5B0000}"/>
    <cellStyle name="Input 2 3 3 3" xfId="47620" xr:uid="{00000000-0005-0000-0000-00008D5B0000}"/>
    <cellStyle name="Input 2 3 3 4" xfId="51435" xr:uid="{00000000-0005-0000-0000-00008E5B0000}"/>
    <cellStyle name="Input 2 3 3 5" xfId="53053" xr:uid="{00000000-0005-0000-0000-00008F5B0000}"/>
    <cellStyle name="Input 2 3 4" xfId="22446" xr:uid="{00000000-0005-0000-0000-0000905B0000}"/>
    <cellStyle name="Input 2 3 5" xfId="53052" xr:uid="{00000000-0005-0000-0000-0000915B0000}"/>
    <cellStyle name="Input 2 30" xfId="52822" xr:uid="{00000000-0005-0000-0000-0000925B0000}"/>
    <cellStyle name="Input 2 31" xfId="52837" xr:uid="{00000000-0005-0000-0000-0000935B0000}"/>
    <cellStyle name="Input 2 32" xfId="52782" xr:uid="{00000000-0005-0000-0000-0000945B0000}"/>
    <cellStyle name="Input 2 33" xfId="52793" xr:uid="{00000000-0005-0000-0000-0000955B0000}"/>
    <cellStyle name="Input 2 34" xfId="52817" xr:uid="{00000000-0005-0000-0000-0000965B0000}"/>
    <cellStyle name="Input 2 35" xfId="52834" xr:uid="{00000000-0005-0000-0000-0000975B0000}"/>
    <cellStyle name="Input 2 36" xfId="52784" xr:uid="{00000000-0005-0000-0000-0000985B0000}"/>
    <cellStyle name="Input 2 37" xfId="52836" xr:uid="{00000000-0005-0000-0000-0000995B0000}"/>
    <cellStyle name="Input 2 38" xfId="52825" xr:uid="{00000000-0005-0000-0000-00009A5B0000}"/>
    <cellStyle name="Input 2 39" xfId="52799" xr:uid="{00000000-0005-0000-0000-00009B5B0000}"/>
    <cellStyle name="Input 2 4" xfId="1868" xr:uid="{00000000-0005-0000-0000-00009C5B0000}"/>
    <cellStyle name="Input 2 4 2" xfId="7059" xr:uid="{00000000-0005-0000-0000-00009D5B0000}"/>
    <cellStyle name="Input 2 4 2 10" xfId="39251" xr:uid="{00000000-0005-0000-0000-00009E5B0000}"/>
    <cellStyle name="Input 2 4 2 11" xfId="53055" xr:uid="{00000000-0005-0000-0000-00009F5B0000}"/>
    <cellStyle name="Input 2 4 2 2" xfId="10589" xr:uid="{00000000-0005-0000-0000-0000A05B0000}"/>
    <cellStyle name="Input 2 4 2 2 2" xfId="18382" xr:uid="{00000000-0005-0000-0000-0000A15B0000}"/>
    <cellStyle name="Input 2 4 2 2 2 2" xfId="43929" xr:uid="{00000000-0005-0000-0000-0000A25B0000}"/>
    <cellStyle name="Input 2 4 2 2 2 3" xfId="47838" xr:uid="{00000000-0005-0000-0000-0000A35B0000}"/>
    <cellStyle name="Input 2 4 2 2 2 4" xfId="36019" xr:uid="{00000000-0005-0000-0000-0000A45B0000}"/>
    <cellStyle name="Input 2 4 2 2 3" xfId="19752" xr:uid="{00000000-0005-0000-0000-0000A55B0000}"/>
    <cellStyle name="Input 2 4 2 2 3 2" xfId="45289" xr:uid="{00000000-0005-0000-0000-0000A65B0000}"/>
    <cellStyle name="Input 2 4 2 2 3 3" xfId="49195" xr:uid="{00000000-0005-0000-0000-0000A75B0000}"/>
    <cellStyle name="Input 2 4 2 2 3 4" xfId="37279" xr:uid="{00000000-0005-0000-0000-0000A85B0000}"/>
    <cellStyle name="Input 2 4 2 2 4" xfId="19259" xr:uid="{00000000-0005-0000-0000-0000A95B0000}"/>
    <cellStyle name="Input 2 4 2 2 4 2" xfId="44796" xr:uid="{00000000-0005-0000-0000-0000AA5B0000}"/>
    <cellStyle name="Input 2 4 2 2 4 3" xfId="48702" xr:uid="{00000000-0005-0000-0000-0000AB5B0000}"/>
    <cellStyle name="Input 2 4 2 2 4 4" xfId="36837" xr:uid="{00000000-0005-0000-0000-0000AC5B0000}"/>
    <cellStyle name="Input 2 4 2 2 5" xfId="20795" xr:uid="{00000000-0005-0000-0000-0000AD5B0000}"/>
    <cellStyle name="Input 2 4 2 2 5 2" xfId="46332" xr:uid="{00000000-0005-0000-0000-0000AE5B0000}"/>
    <cellStyle name="Input 2 4 2 2 5 3" xfId="50238" xr:uid="{00000000-0005-0000-0000-0000AF5B0000}"/>
    <cellStyle name="Input 2 4 2 2 5 4" xfId="38201" xr:uid="{00000000-0005-0000-0000-0000B05B0000}"/>
    <cellStyle name="Input 2 4 2 2 6" xfId="21448" xr:uid="{00000000-0005-0000-0000-0000B15B0000}"/>
    <cellStyle name="Input 2 4 2 2 6 2" xfId="46985" xr:uid="{00000000-0005-0000-0000-0000B25B0000}"/>
    <cellStyle name="Input 2 4 2 2 6 3" xfId="50891" xr:uid="{00000000-0005-0000-0000-0000B35B0000}"/>
    <cellStyle name="Input 2 4 2 2 7" xfId="40788" xr:uid="{00000000-0005-0000-0000-0000B45B0000}"/>
    <cellStyle name="Input 2 4 2 2 8" xfId="40390" xr:uid="{00000000-0005-0000-0000-0000B55B0000}"/>
    <cellStyle name="Input 2 4 2 3" xfId="10884" xr:uid="{00000000-0005-0000-0000-0000B65B0000}"/>
    <cellStyle name="Input 2 4 2 3 2" xfId="18677" xr:uid="{00000000-0005-0000-0000-0000B75B0000}"/>
    <cellStyle name="Input 2 4 2 3 2 2" xfId="44224" xr:uid="{00000000-0005-0000-0000-0000B85B0000}"/>
    <cellStyle name="Input 2 4 2 3 2 3" xfId="48133" xr:uid="{00000000-0005-0000-0000-0000B95B0000}"/>
    <cellStyle name="Input 2 4 2 3 2 4" xfId="36314" xr:uid="{00000000-0005-0000-0000-0000BA5B0000}"/>
    <cellStyle name="Input 2 4 2 3 3" xfId="13924" xr:uid="{00000000-0005-0000-0000-0000BB5B0000}"/>
    <cellStyle name="Input 2 4 2 3 3 2" xfId="42659" xr:uid="{00000000-0005-0000-0000-0000BC5B0000}"/>
    <cellStyle name="Input 2 4 2 3 3 3" xfId="43567" xr:uid="{00000000-0005-0000-0000-0000BD5B0000}"/>
    <cellStyle name="Input 2 4 2 3 3 4" xfId="31560" xr:uid="{00000000-0005-0000-0000-0000BE5B0000}"/>
    <cellStyle name="Input 2 4 2 3 4" xfId="20297" xr:uid="{00000000-0005-0000-0000-0000BF5B0000}"/>
    <cellStyle name="Input 2 4 2 3 4 2" xfId="45834" xr:uid="{00000000-0005-0000-0000-0000C05B0000}"/>
    <cellStyle name="Input 2 4 2 3 4 3" xfId="49740" xr:uid="{00000000-0005-0000-0000-0000C15B0000}"/>
    <cellStyle name="Input 2 4 2 3 4 4" xfId="37763" xr:uid="{00000000-0005-0000-0000-0000C25B0000}"/>
    <cellStyle name="Input 2 4 2 3 5" xfId="21090" xr:uid="{00000000-0005-0000-0000-0000C35B0000}"/>
    <cellStyle name="Input 2 4 2 3 5 2" xfId="46627" xr:uid="{00000000-0005-0000-0000-0000C45B0000}"/>
    <cellStyle name="Input 2 4 2 3 5 3" xfId="50533" xr:uid="{00000000-0005-0000-0000-0000C55B0000}"/>
    <cellStyle name="Input 2 4 2 3 5 4" xfId="38496" xr:uid="{00000000-0005-0000-0000-0000C65B0000}"/>
    <cellStyle name="Input 2 4 2 3 6" xfId="21743" xr:uid="{00000000-0005-0000-0000-0000C75B0000}"/>
    <cellStyle name="Input 2 4 2 3 6 2" xfId="47280" xr:uid="{00000000-0005-0000-0000-0000C85B0000}"/>
    <cellStyle name="Input 2 4 2 3 6 3" xfId="51186" xr:uid="{00000000-0005-0000-0000-0000C95B0000}"/>
    <cellStyle name="Input 2 4 2 3 7" xfId="41083" xr:uid="{00000000-0005-0000-0000-0000CA5B0000}"/>
    <cellStyle name="Input 2 4 2 3 8" xfId="43231" xr:uid="{00000000-0005-0000-0000-0000CB5B0000}"/>
    <cellStyle name="Input 2 4 2 4" xfId="14847" xr:uid="{00000000-0005-0000-0000-0000CC5B0000}"/>
    <cellStyle name="Input 2 4 2 4 2" xfId="42963" xr:uid="{00000000-0005-0000-0000-0000CD5B0000}"/>
    <cellStyle name="Input 2 4 2 4 3" xfId="42672" xr:uid="{00000000-0005-0000-0000-0000CE5B0000}"/>
    <cellStyle name="Input 2 4 2 4 4" xfId="32482" xr:uid="{00000000-0005-0000-0000-0000CF5B0000}"/>
    <cellStyle name="Input 2 4 2 5" xfId="13113" xr:uid="{00000000-0005-0000-0000-0000D05B0000}"/>
    <cellStyle name="Input 2 4 2 5 2" xfId="42334" xr:uid="{00000000-0005-0000-0000-0000D15B0000}"/>
    <cellStyle name="Input 2 4 2 5 3" xfId="43466" xr:uid="{00000000-0005-0000-0000-0000D25B0000}"/>
    <cellStyle name="Input 2 4 2 5 4" xfId="30762" xr:uid="{00000000-0005-0000-0000-0000D35B0000}"/>
    <cellStyle name="Input 2 4 2 6" xfId="12040" xr:uid="{00000000-0005-0000-0000-0000D45B0000}"/>
    <cellStyle name="Input 2 4 2 6 2" xfId="41796" xr:uid="{00000000-0005-0000-0000-0000D55B0000}"/>
    <cellStyle name="Input 2 4 2 6 3" xfId="40559" xr:uid="{00000000-0005-0000-0000-0000D65B0000}"/>
    <cellStyle name="Input 2 4 2 6 4" xfId="29719" xr:uid="{00000000-0005-0000-0000-0000D75B0000}"/>
    <cellStyle name="Input 2 4 2 7" xfId="20076" xr:uid="{00000000-0005-0000-0000-0000D85B0000}"/>
    <cellStyle name="Input 2 4 2 7 2" xfId="45613" xr:uid="{00000000-0005-0000-0000-0000D95B0000}"/>
    <cellStyle name="Input 2 4 2 7 3" xfId="49519" xr:uid="{00000000-0005-0000-0000-0000DA5B0000}"/>
    <cellStyle name="Input 2 4 2 7 4" xfId="37570" xr:uid="{00000000-0005-0000-0000-0000DB5B0000}"/>
    <cellStyle name="Input 2 4 2 8" xfId="19016" xr:uid="{00000000-0005-0000-0000-0000DC5B0000}"/>
    <cellStyle name="Input 2 4 2 8 2" xfId="44553" xr:uid="{00000000-0005-0000-0000-0000DD5B0000}"/>
    <cellStyle name="Input 2 4 2 8 3" xfId="48459" xr:uid="{00000000-0005-0000-0000-0000DE5B0000}"/>
    <cellStyle name="Input 2 4 2 9" xfId="39823" xr:uid="{00000000-0005-0000-0000-0000DF5B0000}"/>
    <cellStyle name="Input 2 4 3" xfId="22448" xr:uid="{00000000-0005-0000-0000-0000E05B0000}"/>
    <cellStyle name="Input 2 4 4" xfId="53054" xr:uid="{00000000-0005-0000-0000-0000E15B0000}"/>
    <cellStyle name="Input 2 40" xfId="52839" xr:uid="{00000000-0005-0000-0000-0000E25B0000}"/>
    <cellStyle name="Input 2 41" xfId="52801" xr:uid="{00000000-0005-0000-0000-0000E35B0000}"/>
    <cellStyle name="Input 2 42" xfId="52843" xr:uid="{00000000-0005-0000-0000-0000E45B0000}"/>
    <cellStyle name="Input 2 43" xfId="52803" xr:uid="{00000000-0005-0000-0000-0000E55B0000}"/>
    <cellStyle name="Input 2 44" xfId="52789" xr:uid="{00000000-0005-0000-0000-0000E65B0000}"/>
    <cellStyle name="Input 2 45" xfId="52881" xr:uid="{00000000-0005-0000-0000-0000E75B0000}"/>
    <cellStyle name="Input 2 46" xfId="52860" xr:uid="{00000000-0005-0000-0000-0000E85B0000}"/>
    <cellStyle name="Input 2 47" xfId="52879" xr:uid="{00000000-0005-0000-0000-0000E95B0000}"/>
    <cellStyle name="Input 2 48" xfId="52858" xr:uid="{00000000-0005-0000-0000-0000EA5B0000}"/>
    <cellStyle name="Input 2 49" xfId="52877" xr:uid="{00000000-0005-0000-0000-0000EB5B0000}"/>
    <cellStyle name="Input 2 5" xfId="1869" xr:uid="{00000000-0005-0000-0000-0000EC5B0000}"/>
    <cellStyle name="Input 2 5 2" xfId="7060" xr:uid="{00000000-0005-0000-0000-0000ED5B0000}"/>
    <cellStyle name="Input 2 5 2 10" xfId="47603" xr:uid="{00000000-0005-0000-0000-0000EE5B0000}"/>
    <cellStyle name="Input 2 5 2 2" xfId="10590" xr:uid="{00000000-0005-0000-0000-0000EF5B0000}"/>
    <cellStyle name="Input 2 5 2 2 2" xfId="18383" xr:uid="{00000000-0005-0000-0000-0000F05B0000}"/>
    <cellStyle name="Input 2 5 2 2 2 2" xfId="43930" xr:uid="{00000000-0005-0000-0000-0000F15B0000}"/>
    <cellStyle name="Input 2 5 2 2 2 3" xfId="47839" xr:uid="{00000000-0005-0000-0000-0000F25B0000}"/>
    <cellStyle name="Input 2 5 2 2 2 4" xfId="36020" xr:uid="{00000000-0005-0000-0000-0000F35B0000}"/>
    <cellStyle name="Input 2 5 2 2 3" xfId="11497" xr:uid="{00000000-0005-0000-0000-0000F45B0000}"/>
    <cellStyle name="Input 2 5 2 2 3 2" xfId="41508" xr:uid="{00000000-0005-0000-0000-0000F55B0000}"/>
    <cellStyle name="Input 2 5 2 2 3 3" xfId="40076" xr:uid="{00000000-0005-0000-0000-0000F65B0000}"/>
    <cellStyle name="Input 2 5 2 2 3 4" xfId="29212" xr:uid="{00000000-0005-0000-0000-0000F75B0000}"/>
    <cellStyle name="Input 2 5 2 2 4" xfId="19690" xr:uid="{00000000-0005-0000-0000-0000F85B0000}"/>
    <cellStyle name="Input 2 5 2 2 4 2" xfId="45227" xr:uid="{00000000-0005-0000-0000-0000F95B0000}"/>
    <cellStyle name="Input 2 5 2 2 4 3" xfId="49133" xr:uid="{00000000-0005-0000-0000-0000FA5B0000}"/>
    <cellStyle name="Input 2 5 2 2 4 4" xfId="37221" xr:uid="{00000000-0005-0000-0000-0000FB5B0000}"/>
    <cellStyle name="Input 2 5 2 2 5" xfId="20796" xr:uid="{00000000-0005-0000-0000-0000FC5B0000}"/>
    <cellStyle name="Input 2 5 2 2 5 2" xfId="46333" xr:uid="{00000000-0005-0000-0000-0000FD5B0000}"/>
    <cellStyle name="Input 2 5 2 2 5 3" xfId="50239" xr:uid="{00000000-0005-0000-0000-0000FE5B0000}"/>
    <cellStyle name="Input 2 5 2 2 5 4" xfId="38202" xr:uid="{00000000-0005-0000-0000-0000FF5B0000}"/>
    <cellStyle name="Input 2 5 2 2 6" xfId="21449" xr:uid="{00000000-0005-0000-0000-0000005C0000}"/>
    <cellStyle name="Input 2 5 2 2 6 2" xfId="46986" xr:uid="{00000000-0005-0000-0000-0000015C0000}"/>
    <cellStyle name="Input 2 5 2 2 6 3" xfId="50892" xr:uid="{00000000-0005-0000-0000-0000025C0000}"/>
    <cellStyle name="Input 2 5 2 2 7" xfId="40789" xr:uid="{00000000-0005-0000-0000-0000035C0000}"/>
    <cellStyle name="Input 2 5 2 2 8" xfId="39502" xr:uid="{00000000-0005-0000-0000-0000045C0000}"/>
    <cellStyle name="Input 2 5 2 3" xfId="10885" xr:uid="{00000000-0005-0000-0000-0000055C0000}"/>
    <cellStyle name="Input 2 5 2 3 2" xfId="18678" xr:uid="{00000000-0005-0000-0000-0000065C0000}"/>
    <cellStyle name="Input 2 5 2 3 2 2" xfId="44225" xr:uid="{00000000-0005-0000-0000-0000075C0000}"/>
    <cellStyle name="Input 2 5 2 3 2 3" xfId="48134" xr:uid="{00000000-0005-0000-0000-0000085C0000}"/>
    <cellStyle name="Input 2 5 2 3 2 4" xfId="36315" xr:uid="{00000000-0005-0000-0000-0000095C0000}"/>
    <cellStyle name="Input 2 5 2 3 3" xfId="13342" xr:uid="{00000000-0005-0000-0000-00000A5C0000}"/>
    <cellStyle name="Input 2 5 2 3 3 2" xfId="42512" xr:uid="{00000000-0005-0000-0000-00000B5C0000}"/>
    <cellStyle name="Input 2 5 2 3 3 3" xfId="39540" xr:uid="{00000000-0005-0000-0000-00000C5C0000}"/>
    <cellStyle name="Input 2 5 2 3 3 4" xfId="30982" xr:uid="{00000000-0005-0000-0000-00000D5C0000}"/>
    <cellStyle name="Input 2 5 2 3 4" xfId="11617" xr:uid="{00000000-0005-0000-0000-00000E5C0000}"/>
    <cellStyle name="Input 2 5 2 3 4 2" xfId="41628" xr:uid="{00000000-0005-0000-0000-00000F5C0000}"/>
    <cellStyle name="Input 2 5 2 3 4 3" xfId="40563" xr:uid="{00000000-0005-0000-0000-0000105C0000}"/>
    <cellStyle name="Input 2 5 2 3 4 4" xfId="29320" xr:uid="{00000000-0005-0000-0000-0000115C0000}"/>
    <cellStyle name="Input 2 5 2 3 5" xfId="21091" xr:uid="{00000000-0005-0000-0000-0000125C0000}"/>
    <cellStyle name="Input 2 5 2 3 5 2" xfId="46628" xr:uid="{00000000-0005-0000-0000-0000135C0000}"/>
    <cellStyle name="Input 2 5 2 3 5 3" xfId="50534" xr:uid="{00000000-0005-0000-0000-0000145C0000}"/>
    <cellStyle name="Input 2 5 2 3 5 4" xfId="38497" xr:uid="{00000000-0005-0000-0000-0000155C0000}"/>
    <cellStyle name="Input 2 5 2 3 6" xfId="21744" xr:uid="{00000000-0005-0000-0000-0000165C0000}"/>
    <cellStyle name="Input 2 5 2 3 6 2" xfId="47281" xr:uid="{00000000-0005-0000-0000-0000175C0000}"/>
    <cellStyle name="Input 2 5 2 3 6 3" xfId="51187" xr:uid="{00000000-0005-0000-0000-0000185C0000}"/>
    <cellStyle name="Input 2 5 2 3 7" xfId="41084" xr:uid="{00000000-0005-0000-0000-0000195C0000}"/>
    <cellStyle name="Input 2 5 2 3 8" xfId="40090" xr:uid="{00000000-0005-0000-0000-00001A5C0000}"/>
    <cellStyle name="Input 2 5 2 4" xfId="14848" xr:uid="{00000000-0005-0000-0000-00001B5C0000}"/>
    <cellStyle name="Input 2 5 2 4 2" xfId="42964" xr:uid="{00000000-0005-0000-0000-00001C5C0000}"/>
    <cellStyle name="Input 2 5 2 4 3" xfId="43560" xr:uid="{00000000-0005-0000-0000-00001D5C0000}"/>
    <cellStyle name="Input 2 5 2 4 4" xfId="32483" xr:uid="{00000000-0005-0000-0000-00001E5C0000}"/>
    <cellStyle name="Input 2 5 2 5" xfId="13114" xr:uid="{00000000-0005-0000-0000-00001F5C0000}"/>
    <cellStyle name="Input 2 5 2 5 2" xfId="42335" xr:uid="{00000000-0005-0000-0000-0000205C0000}"/>
    <cellStyle name="Input 2 5 2 5 3" xfId="40328" xr:uid="{00000000-0005-0000-0000-0000215C0000}"/>
    <cellStyle name="Input 2 5 2 5 4" xfId="30763" xr:uid="{00000000-0005-0000-0000-0000225C0000}"/>
    <cellStyle name="Input 2 5 2 6" xfId="13317" xr:uid="{00000000-0005-0000-0000-0000235C0000}"/>
    <cellStyle name="Input 2 5 2 6 2" xfId="42487" xr:uid="{00000000-0005-0000-0000-0000245C0000}"/>
    <cellStyle name="Input 2 5 2 6 3" xfId="43313" xr:uid="{00000000-0005-0000-0000-0000255C0000}"/>
    <cellStyle name="Input 2 5 2 6 4" xfId="30957" xr:uid="{00000000-0005-0000-0000-0000265C0000}"/>
    <cellStyle name="Input 2 5 2 7" xfId="19673" xr:uid="{00000000-0005-0000-0000-0000275C0000}"/>
    <cellStyle name="Input 2 5 2 7 2" xfId="45210" xr:uid="{00000000-0005-0000-0000-0000285C0000}"/>
    <cellStyle name="Input 2 5 2 7 3" xfId="49116" xr:uid="{00000000-0005-0000-0000-0000295C0000}"/>
    <cellStyle name="Input 2 5 2 7 4" xfId="37206" xr:uid="{00000000-0005-0000-0000-00002A5C0000}"/>
    <cellStyle name="Input 2 5 2 8" xfId="20208" xr:uid="{00000000-0005-0000-0000-00002B5C0000}"/>
    <cellStyle name="Input 2 5 2 8 2" xfId="45745" xr:uid="{00000000-0005-0000-0000-00002C5C0000}"/>
    <cellStyle name="Input 2 5 2 8 3" xfId="49651" xr:uid="{00000000-0005-0000-0000-00002D5C0000}"/>
    <cellStyle name="Input 2 5 2 9" xfId="39824" xr:uid="{00000000-0005-0000-0000-00002E5C0000}"/>
    <cellStyle name="Input 2 5 3" xfId="53056" xr:uid="{00000000-0005-0000-0000-00002F5C0000}"/>
    <cellStyle name="Input 2 50" xfId="52892" xr:uid="{00000000-0005-0000-0000-0000305C0000}"/>
    <cellStyle name="Input 2 51" xfId="52897" xr:uid="{00000000-0005-0000-0000-0000315C0000}"/>
    <cellStyle name="Input 2 52" xfId="52891" xr:uid="{00000000-0005-0000-0000-0000325C0000}"/>
    <cellStyle name="Input 2 53" xfId="52884" xr:uid="{00000000-0005-0000-0000-0000335C0000}"/>
    <cellStyle name="Input 2 54" xfId="52865" xr:uid="{00000000-0005-0000-0000-0000345C0000}"/>
    <cellStyle name="Input 2 55" xfId="52855" xr:uid="{00000000-0005-0000-0000-0000355C0000}"/>
    <cellStyle name="Input 2 56" xfId="52863" xr:uid="{00000000-0005-0000-0000-0000365C0000}"/>
    <cellStyle name="Input 2 57" xfId="52850" xr:uid="{00000000-0005-0000-0000-0000375C0000}"/>
    <cellStyle name="Input 2 58" xfId="52903" xr:uid="{00000000-0005-0000-0000-0000385C0000}"/>
    <cellStyle name="Input 2 59" xfId="53043" xr:uid="{00000000-0005-0000-0000-0000395C0000}"/>
    <cellStyle name="Input 2 6" xfId="1870" xr:uid="{00000000-0005-0000-0000-00003A5C0000}"/>
    <cellStyle name="Input 2 6 2" xfId="7061" xr:uid="{00000000-0005-0000-0000-00003B5C0000}"/>
    <cellStyle name="Input 2 6 2 10" xfId="41727" xr:uid="{00000000-0005-0000-0000-00003C5C0000}"/>
    <cellStyle name="Input 2 6 2 2" xfId="10591" xr:uid="{00000000-0005-0000-0000-00003D5C0000}"/>
    <cellStyle name="Input 2 6 2 2 2" xfId="18384" xr:uid="{00000000-0005-0000-0000-00003E5C0000}"/>
    <cellStyle name="Input 2 6 2 2 2 2" xfId="43931" xr:uid="{00000000-0005-0000-0000-00003F5C0000}"/>
    <cellStyle name="Input 2 6 2 2 2 3" xfId="47840" xr:uid="{00000000-0005-0000-0000-0000405C0000}"/>
    <cellStyle name="Input 2 6 2 2 2 4" xfId="36021" xr:uid="{00000000-0005-0000-0000-0000415C0000}"/>
    <cellStyle name="Input 2 6 2 2 3" xfId="19753" xr:uid="{00000000-0005-0000-0000-0000425C0000}"/>
    <cellStyle name="Input 2 6 2 2 3 2" xfId="45290" xr:uid="{00000000-0005-0000-0000-0000435C0000}"/>
    <cellStyle name="Input 2 6 2 2 3 3" xfId="49196" xr:uid="{00000000-0005-0000-0000-0000445C0000}"/>
    <cellStyle name="Input 2 6 2 2 3 4" xfId="37280" xr:uid="{00000000-0005-0000-0000-0000455C0000}"/>
    <cellStyle name="Input 2 6 2 2 4" xfId="19064" xr:uid="{00000000-0005-0000-0000-0000465C0000}"/>
    <cellStyle name="Input 2 6 2 2 4 2" xfId="44601" xr:uid="{00000000-0005-0000-0000-0000475C0000}"/>
    <cellStyle name="Input 2 6 2 2 4 3" xfId="48507" xr:uid="{00000000-0005-0000-0000-0000485C0000}"/>
    <cellStyle name="Input 2 6 2 2 4 4" xfId="36663" xr:uid="{00000000-0005-0000-0000-0000495C0000}"/>
    <cellStyle name="Input 2 6 2 2 5" xfId="20797" xr:uid="{00000000-0005-0000-0000-00004A5C0000}"/>
    <cellStyle name="Input 2 6 2 2 5 2" xfId="46334" xr:uid="{00000000-0005-0000-0000-00004B5C0000}"/>
    <cellStyle name="Input 2 6 2 2 5 3" xfId="50240" xr:uid="{00000000-0005-0000-0000-00004C5C0000}"/>
    <cellStyle name="Input 2 6 2 2 5 4" xfId="38203" xr:uid="{00000000-0005-0000-0000-00004D5C0000}"/>
    <cellStyle name="Input 2 6 2 2 6" xfId="21450" xr:uid="{00000000-0005-0000-0000-00004E5C0000}"/>
    <cellStyle name="Input 2 6 2 2 6 2" xfId="46987" xr:uid="{00000000-0005-0000-0000-00004F5C0000}"/>
    <cellStyle name="Input 2 6 2 2 6 3" xfId="50893" xr:uid="{00000000-0005-0000-0000-0000505C0000}"/>
    <cellStyle name="Input 2 6 2 2 7" xfId="40790" xr:uid="{00000000-0005-0000-0000-0000515C0000}"/>
    <cellStyle name="Input 2 6 2 2 8" xfId="42076" xr:uid="{00000000-0005-0000-0000-0000525C0000}"/>
    <cellStyle name="Input 2 6 2 3" xfId="10886" xr:uid="{00000000-0005-0000-0000-0000535C0000}"/>
    <cellStyle name="Input 2 6 2 3 2" xfId="18679" xr:uid="{00000000-0005-0000-0000-0000545C0000}"/>
    <cellStyle name="Input 2 6 2 3 2 2" xfId="44226" xr:uid="{00000000-0005-0000-0000-0000555C0000}"/>
    <cellStyle name="Input 2 6 2 3 2 3" xfId="48135" xr:uid="{00000000-0005-0000-0000-0000565C0000}"/>
    <cellStyle name="Input 2 6 2 3 2 4" xfId="36316" xr:uid="{00000000-0005-0000-0000-0000575C0000}"/>
    <cellStyle name="Input 2 6 2 3 3" xfId="12178" xr:uid="{00000000-0005-0000-0000-0000585C0000}"/>
    <cellStyle name="Input 2 6 2 3 3 2" xfId="41923" xr:uid="{00000000-0005-0000-0000-0000595C0000}"/>
    <cellStyle name="Input 2 6 2 3 3 3" xfId="47490" xr:uid="{00000000-0005-0000-0000-00005A5C0000}"/>
    <cellStyle name="Input 2 6 2 3 3 4" xfId="29850" xr:uid="{00000000-0005-0000-0000-00005B5C0000}"/>
    <cellStyle name="Input 2 6 2 3 4" xfId="18955" xr:uid="{00000000-0005-0000-0000-00005C5C0000}"/>
    <cellStyle name="Input 2 6 2 3 4 2" xfId="44492" xr:uid="{00000000-0005-0000-0000-00005D5C0000}"/>
    <cellStyle name="Input 2 6 2 3 4 3" xfId="48398" xr:uid="{00000000-0005-0000-0000-00005E5C0000}"/>
    <cellStyle name="Input 2 6 2 3 4 4" xfId="36581" xr:uid="{00000000-0005-0000-0000-00005F5C0000}"/>
    <cellStyle name="Input 2 6 2 3 5" xfId="21092" xr:uid="{00000000-0005-0000-0000-0000605C0000}"/>
    <cellStyle name="Input 2 6 2 3 5 2" xfId="46629" xr:uid="{00000000-0005-0000-0000-0000615C0000}"/>
    <cellStyle name="Input 2 6 2 3 5 3" xfId="50535" xr:uid="{00000000-0005-0000-0000-0000625C0000}"/>
    <cellStyle name="Input 2 6 2 3 5 4" xfId="38498" xr:uid="{00000000-0005-0000-0000-0000635C0000}"/>
    <cellStyle name="Input 2 6 2 3 6" xfId="21745" xr:uid="{00000000-0005-0000-0000-0000645C0000}"/>
    <cellStyle name="Input 2 6 2 3 6 2" xfId="47282" xr:uid="{00000000-0005-0000-0000-0000655C0000}"/>
    <cellStyle name="Input 2 6 2 3 6 3" xfId="51188" xr:uid="{00000000-0005-0000-0000-0000665C0000}"/>
    <cellStyle name="Input 2 6 2 3 7" xfId="41085" xr:uid="{00000000-0005-0000-0000-0000675C0000}"/>
    <cellStyle name="Input 2 6 2 3 8" xfId="42838" xr:uid="{00000000-0005-0000-0000-0000685C0000}"/>
    <cellStyle name="Input 2 6 2 4" xfId="14849" xr:uid="{00000000-0005-0000-0000-0000695C0000}"/>
    <cellStyle name="Input 2 6 2 4 2" xfId="42965" xr:uid="{00000000-0005-0000-0000-00006A5C0000}"/>
    <cellStyle name="Input 2 6 2 4 3" xfId="40421" xr:uid="{00000000-0005-0000-0000-00006B5C0000}"/>
    <cellStyle name="Input 2 6 2 4 4" xfId="32484" xr:uid="{00000000-0005-0000-0000-00006C5C0000}"/>
    <cellStyle name="Input 2 6 2 5" xfId="13115" xr:uid="{00000000-0005-0000-0000-00006D5C0000}"/>
    <cellStyle name="Input 2 6 2 5 2" xfId="42336" xr:uid="{00000000-0005-0000-0000-00006E5C0000}"/>
    <cellStyle name="Input 2 6 2 5 3" xfId="39445" xr:uid="{00000000-0005-0000-0000-00006F5C0000}"/>
    <cellStyle name="Input 2 6 2 5 4" xfId="30764" xr:uid="{00000000-0005-0000-0000-0000705C0000}"/>
    <cellStyle name="Input 2 6 2 6" xfId="20210" xr:uid="{00000000-0005-0000-0000-0000715C0000}"/>
    <cellStyle name="Input 2 6 2 6 2" xfId="45747" xr:uid="{00000000-0005-0000-0000-0000725C0000}"/>
    <cellStyle name="Input 2 6 2 6 3" xfId="49653" xr:uid="{00000000-0005-0000-0000-0000735C0000}"/>
    <cellStyle name="Input 2 6 2 6 4" xfId="37689" xr:uid="{00000000-0005-0000-0000-0000745C0000}"/>
    <cellStyle name="Input 2 6 2 7" xfId="20108" xr:uid="{00000000-0005-0000-0000-0000755C0000}"/>
    <cellStyle name="Input 2 6 2 7 2" xfId="45645" xr:uid="{00000000-0005-0000-0000-0000765C0000}"/>
    <cellStyle name="Input 2 6 2 7 3" xfId="49551" xr:uid="{00000000-0005-0000-0000-0000775C0000}"/>
    <cellStyle name="Input 2 6 2 7 4" xfId="37596" xr:uid="{00000000-0005-0000-0000-0000785C0000}"/>
    <cellStyle name="Input 2 6 2 8" xfId="20490" xr:uid="{00000000-0005-0000-0000-0000795C0000}"/>
    <cellStyle name="Input 2 6 2 8 2" xfId="46027" xr:uid="{00000000-0005-0000-0000-00007A5C0000}"/>
    <cellStyle name="Input 2 6 2 8 3" xfId="49933" xr:uid="{00000000-0005-0000-0000-00007B5C0000}"/>
    <cellStyle name="Input 2 6 2 9" xfId="39825" xr:uid="{00000000-0005-0000-0000-00007C5C0000}"/>
    <cellStyle name="Input 2 6 3" xfId="53057" xr:uid="{00000000-0005-0000-0000-00007D5C0000}"/>
    <cellStyle name="Input 2 7" xfId="1871" xr:uid="{00000000-0005-0000-0000-00007E5C0000}"/>
    <cellStyle name="Input 2 7 2" xfId="7062" xr:uid="{00000000-0005-0000-0000-00007F5C0000}"/>
    <cellStyle name="Input 2 7 2 10" xfId="43277" xr:uid="{00000000-0005-0000-0000-0000805C0000}"/>
    <cellStyle name="Input 2 7 2 2" xfId="10592" xr:uid="{00000000-0005-0000-0000-0000815C0000}"/>
    <cellStyle name="Input 2 7 2 2 2" xfId="18385" xr:uid="{00000000-0005-0000-0000-0000825C0000}"/>
    <cellStyle name="Input 2 7 2 2 2 2" xfId="43932" xr:uid="{00000000-0005-0000-0000-0000835C0000}"/>
    <cellStyle name="Input 2 7 2 2 2 3" xfId="47841" xr:uid="{00000000-0005-0000-0000-0000845C0000}"/>
    <cellStyle name="Input 2 7 2 2 2 4" xfId="36022" xr:uid="{00000000-0005-0000-0000-0000855C0000}"/>
    <cellStyle name="Input 2 7 2 2 3" xfId="11496" xr:uid="{00000000-0005-0000-0000-0000865C0000}"/>
    <cellStyle name="Input 2 7 2 2 3 2" xfId="41507" xr:uid="{00000000-0005-0000-0000-0000875C0000}"/>
    <cellStyle name="Input 2 7 2 2 3 3" xfId="43217" xr:uid="{00000000-0005-0000-0000-0000885C0000}"/>
    <cellStyle name="Input 2 7 2 2 3 4" xfId="29211" xr:uid="{00000000-0005-0000-0000-0000895C0000}"/>
    <cellStyle name="Input 2 7 2 2 4" xfId="11599" xr:uid="{00000000-0005-0000-0000-00008A5C0000}"/>
    <cellStyle name="Input 2 7 2 2 4 2" xfId="41610" xr:uid="{00000000-0005-0000-0000-00008B5C0000}"/>
    <cellStyle name="Input 2 7 2 2 4 3" xfId="43600" xr:uid="{00000000-0005-0000-0000-00008C5C0000}"/>
    <cellStyle name="Input 2 7 2 2 4 4" xfId="29306" xr:uid="{00000000-0005-0000-0000-00008D5C0000}"/>
    <cellStyle name="Input 2 7 2 2 5" xfId="20798" xr:uid="{00000000-0005-0000-0000-00008E5C0000}"/>
    <cellStyle name="Input 2 7 2 2 5 2" xfId="46335" xr:uid="{00000000-0005-0000-0000-00008F5C0000}"/>
    <cellStyle name="Input 2 7 2 2 5 3" xfId="50241" xr:uid="{00000000-0005-0000-0000-0000905C0000}"/>
    <cellStyle name="Input 2 7 2 2 5 4" xfId="38204" xr:uid="{00000000-0005-0000-0000-0000915C0000}"/>
    <cellStyle name="Input 2 7 2 2 6" xfId="21451" xr:uid="{00000000-0005-0000-0000-0000925C0000}"/>
    <cellStyle name="Input 2 7 2 2 6 2" xfId="46988" xr:uid="{00000000-0005-0000-0000-0000935C0000}"/>
    <cellStyle name="Input 2 7 2 2 6 3" xfId="50894" xr:uid="{00000000-0005-0000-0000-0000945C0000}"/>
    <cellStyle name="Input 2 7 2 2 7" xfId="40791" xr:uid="{00000000-0005-0000-0000-0000955C0000}"/>
    <cellStyle name="Input 2 7 2 2 8" xfId="43395" xr:uid="{00000000-0005-0000-0000-0000965C0000}"/>
    <cellStyle name="Input 2 7 2 3" xfId="10887" xr:uid="{00000000-0005-0000-0000-0000975C0000}"/>
    <cellStyle name="Input 2 7 2 3 2" xfId="18680" xr:uid="{00000000-0005-0000-0000-0000985C0000}"/>
    <cellStyle name="Input 2 7 2 3 2 2" xfId="44227" xr:uid="{00000000-0005-0000-0000-0000995C0000}"/>
    <cellStyle name="Input 2 7 2 3 2 3" xfId="48136" xr:uid="{00000000-0005-0000-0000-00009A5C0000}"/>
    <cellStyle name="Input 2 7 2 3 2 4" xfId="36317" xr:uid="{00000000-0005-0000-0000-00009B5C0000}"/>
    <cellStyle name="Input 2 7 2 3 3" xfId="12179" xr:uid="{00000000-0005-0000-0000-00009C5C0000}"/>
    <cellStyle name="Input 2 7 2 3 3 2" xfId="41924" xr:uid="{00000000-0005-0000-0000-00009D5C0000}"/>
    <cellStyle name="Input 2 7 2 3 3 3" xfId="39117" xr:uid="{00000000-0005-0000-0000-00009E5C0000}"/>
    <cellStyle name="Input 2 7 2 3 3 4" xfId="29851" xr:uid="{00000000-0005-0000-0000-00009F5C0000}"/>
    <cellStyle name="Input 2 7 2 3 4" xfId="20359" xr:uid="{00000000-0005-0000-0000-0000A05C0000}"/>
    <cellStyle name="Input 2 7 2 3 4 2" xfId="45896" xr:uid="{00000000-0005-0000-0000-0000A15C0000}"/>
    <cellStyle name="Input 2 7 2 3 4 3" xfId="49802" xr:uid="{00000000-0005-0000-0000-0000A25C0000}"/>
    <cellStyle name="Input 2 7 2 3 4 4" xfId="37815" xr:uid="{00000000-0005-0000-0000-0000A35C0000}"/>
    <cellStyle name="Input 2 7 2 3 5" xfId="21093" xr:uid="{00000000-0005-0000-0000-0000A45C0000}"/>
    <cellStyle name="Input 2 7 2 3 5 2" xfId="46630" xr:uid="{00000000-0005-0000-0000-0000A55C0000}"/>
    <cellStyle name="Input 2 7 2 3 5 3" xfId="50536" xr:uid="{00000000-0005-0000-0000-0000A65C0000}"/>
    <cellStyle name="Input 2 7 2 3 5 4" xfId="38499" xr:uid="{00000000-0005-0000-0000-0000A75C0000}"/>
    <cellStyle name="Input 2 7 2 3 6" xfId="21746" xr:uid="{00000000-0005-0000-0000-0000A85C0000}"/>
    <cellStyle name="Input 2 7 2 3 6 2" xfId="47283" xr:uid="{00000000-0005-0000-0000-0000A95C0000}"/>
    <cellStyle name="Input 2 7 2 3 6 3" xfId="51189" xr:uid="{00000000-0005-0000-0000-0000AA5C0000}"/>
    <cellStyle name="Input 2 7 2 3 7" xfId="41086" xr:uid="{00000000-0005-0000-0000-0000AB5C0000}"/>
    <cellStyle name="Input 2 7 2 3 8" xfId="43727" xr:uid="{00000000-0005-0000-0000-0000AC5C0000}"/>
    <cellStyle name="Input 2 7 2 4" xfId="14850" xr:uid="{00000000-0005-0000-0000-0000AD5C0000}"/>
    <cellStyle name="Input 2 7 2 4 2" xfId="42966" xr:uid="{00000000-0005-0000-0000-0000AE5C0000}"/>
    <cellStyle name="Input 2 7 2 4 3" xfId="39530" xr:uid="{00000000-0005-0000-0000-0000AF5C0000}"/>
    <cellStyle name="Input 2 7 2 4 4" xfId="32485" xr:uid="{00000000-0005-0000-0000-0000B05C0000}"/>
    <cellStyle name="Input 2 7 2 5" xfId="13116" xr:uid="{00000000-0005-0000-0000-0000B15C0000}"/>
    <cellStyle name="Input 2 7 2 5 2" xfId="42337" xr:uid="{00000000-0005-0000-0000-0000B25C0000}"/>
    <cellStyle name="Input 2 7 2 5 3" xfId="41971" xr:uid="{00000000-0005-0000-0000-0000B35C0000}"/>
    <cellStyle name="Input 2 7 2 5 4" xfId="30765" xr:uid="{00000000-0005-0000-0000-0000B45C0000}"/>
    <cellStyle name="Input 2 7 2 6" xfId="19532" xr:uid="{00000000-0005-0000-0000-0000B55C0000}"/>
    <cellStyle name="Input 2 7 2 6 2" xfId="45069" xr:uid="{00000000-0005-0000-0000-0000B65C0000}"/>
    <cellStyle name="Input 2 7 2 6 3" xfId="48975" xr:uid="{00000000-0005-0000-0000-0000B75C0000}"/>
    <cellStyle name="Input 2 7 2 6 4" xfId="37079" xr:uid="{00000000-0005-0000-0000-0000B85C0000}"/>
    <cellStyle name="Input 2 7 2 7" xfId="12794" xr:uid="{00000000-0005-0000-0000-0000B95C0000}"/>
    <cellStyle name="Input 2 7 2 7 2" xfId="42215" xr:uid="{00000000-0005-0000-0000-0000BA5C0000}"/>
    <cellStyle name="Input 2 7 2 7 3" xfId="39108" xr:uid="{00000000-0005-0000-0000-0000BB5C0000}"/>
    <cellStyle name="Input 2 7 2 7 4" xfId="30451" xr:uid="{00000000-0005-0000-0000-0000BC5C0000}"/>
    <cellStyle name="Input 2 7 2 8" xfId="12939" xr:uid="{00000000-0005-0000-0000-0000BD5C0000}"/>
    <cellStyle name="Input 2 7 2 8 2" xfId="42259" xr:uid="{00000000-0005-0000-0000-0000BE5C0000}"/>
    <cellStyle name="Input 2 7 2 8 3" xfId="40546" xr:uid="{00000000-0005-0000-0000-0000BF5C0000}"/>
    <cellStyle name="Input 2 7 2 9" xfId="39826" xr:uid="{00000000-0005-0000-0000-0000C05C0000}"/>
    <cellStyle name="Input 2 7 3" xfId="53058" xr:uid="{00000000-0005-0000-0000-0000C15C0000}"/>
    <cellStyle name="Input 2 8" xfId="1872" xr:uid="{00000000-0005-0000-0000-0000C25C0000}"/>
    <cellStyle name="Input 2 8 2" xfId="7063" xr:uid="{00000000-0005-0000-0000-0000C35C0000}"/>
    <cellStyle name="Input 2 8 2 10" xfId="40136" xr:uid="{00000000-0005-0000-0000-0000C45C0000}"/>
    <cellStyle name="Input 2 8 2 2" xfId="10593" xr:uid="{00000000-0005-0000-0000-0000C55C0000}"/>
    <cellStyle name="Input 2 8 2 2 2" xfId="18386" xr:uid="{00000000-0005-0000-0000-0000C65C0000}"/>
    <cellStyle name="Input 2 8 2 2 2 2" xfId="43933" xr:uid="{00000000-0005-0000-0000-0000C75C0000}"/>
    <cellStyle name="Input 2 8 2 2 2 3" xfId="47842" xr:uid="{00000000-0005-0000-0000-0000C85C0000}"/>
    <cellStyle name="Input 2 8 2 2 2 4" xfId="36023" xr:uid="{00000000-0005-0000-0000-0000C95C0000}"/>
    <cellStyle name="Input 2 8 2 2 3" xfId="12161" xr:uid="{00000000-0005-0000-0000-0000CA5C0000}"/>
    <cellStyle name="Input 2 8 2 2 3 2" xfId="41906" xr:uid="{00000000-0005-0000-0000-0000CB5C0000}"/>
    <cellStyle name="Input 2 8 2 2 3 3" xfId="42704" xr:uid="{00000000-0005-0000-0000-0000CC5C0000}"/>
    <cellStyle name="Input 2 8 2 2 3 4" xfId="29833" xr:uid="{00000000-0005-0000-0000-0000CD5C0000}"/>
    <cellStyle name="Input 2 8 2 2 4" xfId="20362" xr:uid="{00000000-0005-0000-0000-0000CE5C0000}"/>
    <cellStyle name="Input 2 8 2 2 4 2" xfId="45899" xr:uid="{00000000-0005-0000-0000-0000CF5C0000}"/>
    <cellStyle name="Input 2 8 2 2 4 3" xfId="49805" xr:uid="{00000000-0005-0000-0000-0000D05C0000}"/>
    <cellStyle name="Input 2 8 2 2 4 4" xfId="37818" xr:uid="{00000000-0005-0000-0000-0000D15C0000}"/>
    <cellStyle name="Input 2 8 2 2 5" xfId="20799" xr:uid="{00000000-0005-0000-0000-0000D25C0000}"/>
    <cellStyle name="Input 2 8 2 2 5 2" xfId="46336" xr:uid="{00000000-0005-0000-0000-0000D35C0000}"/>
    <cellStyle name="Input 2 8 2 2 5 3" xfId="50242" xr:uid="{00000000-0005-0000-0000-0000D45C0000}"/>
    <cellStyle name="Input 2 8 2 2 5 4" xfId="38205" xr:uid="{00000000-0005-0000-0000-0000D55C0000}"/>
    <cellStyle name="Input 2 8 2 2 6" xfId="21452" xr:uid="{00000000-0005-0000-0000-0000D65C0000}"/>
    <cellStyle name="Input 2 8 2 2 6 2" xfId="46989" xr:uid="{00000000-0005-0000-0000-0000D75C0000}"/>
    <cellStyle name="Input 2 8 2 2 6 3" xfId="50895" xr:uid="{00000000-0005-0000-0000-0000D85C0000}"/>
    <cellStyle name="Input 2 8 2 2 7" xfId="40792" xr:uid="{00000000-0005-0000-0000-0000D95C0000}"/>
    <cellStyle name="Input 2 8 2 2 8" xfId="40257" xr:uid="{00000000-0005-0000-0000-0000DA5C0000}"/>
    <cellStyle name="Input 2 8 2 3" xfId="10888" xr:uid="{00000000-0005-0000-0000-0000DB5C0000}"/>
    <cellStyle name="Input 2 8 2 3 2" xfId="18681" xr:uid="{00000000-0005-0000-0000-0000DC5C0000}"/>
    <cellStyle name="Input 2 8 2 3 2 2" xfId="44228" xr:uid="{00000000-0005-0000-0000-0000DD5C0000}"/>
    <cellStyle name="Input 2 8 2 3 2 3" xfId="48137" xr:uid="{00000000-0005-0000-0000-0000DE5C0000}"/>
    <cellStyle name="Input 2 8 2 3 2 4" xfId="36318" xr:uid="{00000000-0005-0000-0000-0000DF5C0000}"/>
    <cellStyle name="Input 2 8 2 3 3" xfId="11521" xr:uid="{00000000-0005-0000-0000-0000E05C0000}"/>
    <cellStyle name="Input 2 8 2 3 3 2" xfId="41532" xr:uid="{00000000-0005-0000-0000-0000E15C0000}"/>
    <cellStyle name="Input 2 8 2 3 3 3" xfId="39679" xr:uid="{00000000-0005-0000-0000-0000E25C0000}"/>
    <cellStyle name="Input 2 8 2 3 3 4" xfId="29236" xr:uid="{00000000-0005-0000-0000-0000E35C0000}"/>
    <cellStyle name="Input 2 8 2 3 4" xfId="20228" xr:uid="{00000000-0005-0000-0000-0000E45C0000}"/>
    <cellStyle name="Input 2 8 2 3 4 2" xfId="45765" xr:uid="{00000000-0005-0000-0000-0000E55C0000}"/>
    <cellStyle name="Input 2 8 2 3 4 3" xfId="49671" xr:uid="{00000000-0005-0000-0000-0000E65C0000}"/>
    <cellStyle name="Input 2 8 2 3 4 4" xfId="37703" xr:uid="{00000000-0005-0000-0000-0000E75C0000}"/>
    <cellStyle name="Input 2 8 2 3 5" xfId="21094" xr:uid="{00000000-0005-0000-0000-0000E85C0000}"/>
    <cellStyle name="Input 2 8 2 3 5 2" xfId="46631" xr:uid="{00000000-0005-0000-0000-0000E95C0000}"/>
    <cellStyle name="Input 2 8 2 3 5 3" xfId="50537" xr:uid="{00000000-0005-0000-0000-0000EA5C0000}"/>
    <cellStyle name="Input 2 8 2 3 5 4" xfId="38500" xr:uid="{00000000-0005-0000-0000-0000EB5C0000}"/>
    <cellStyle name="Input 2 8 2 3 6" xfId="21747" xr:uid="{00000000-0005-0000-0000-0000EC5C0000}"/>
    <cellStyle name="Input 2 8 2 3 6 2" xfId="47284" xr:uid="{00000000-0005-0000-0000-0000ED5C0000}"/>
    <cellStyle name="Input 2 8 2 3 6 3" xfId="51190" xr:uid="{00000000-0005-0000-0000-0000EE5C0000}"/>
    <cellStyle name="Input 2 8 2 3 7" xfId="41087" xr:uid="{00000000-0005-0000-0000-0000EF5C0000}"/>
    <cellStyle name="Input 2 8 2 3 8" xfId="40586" xr:uid="{00000000-0005-0000-0000-0000F05C0000}"/>
    <cellStyle name="Input 2 8 2 4" xfId="14851" xr:uid="{00000000-0005-0000-0000-0000F15C0000}"/>
    <cellStyle name="Input 2 8 2 4 2" xfId="42967" xr:uid="{00000000-0005-0000-0000-0000F25C0000}"/>
    <cellStyle name="Input 2 8 2 4 3" xfId="42540" xr:uid="{00000000-0005-0000-0000-0000F35C0000}"/>
    <cellStyle name="Input 2 8 2 4 4" xfId="32486" xr:uid="{00000000-0005-0000-0000-0000F45C0000}"/>
    <cellStyle name="Input 2 8 2 5" xfId="13117" xr:uid="{00000000-0005-0000-0000-0000F55C0000}"/>
    <cellStyle name="Input 2 8 2 5 2" xfId="42338" xr:uid="{00000000-0005-0000-0000-0000F65C0000}"/>
    <cellStyle name="Input 2 8 2 5 3" xfId="43319" xr:uid="{00000000-0005-0000-0000-0000F75C0000}"/>
    <cellStyle name="Input 2 8 2 5 4" xfId="30766" xr:uid="{00000000-0005-0000-0000-0000F85C0000}"/>
    <cellStyle name="Input 2 8 2 6" xfId="19492" xr:uid="{00000000-0005-0000-0000-0000F95C0000}"/>
    <cellStyle name="Input 2 8 2 6 2" xfId="45029" xr:uid="{00000000-0005-0000-0000-0000FA5C0000}"/>
    <cellStyle name="Input 2 8 2 6 3" xfId="48935" xr:uid="{00000000-0005-0000-0000-0000FB5C0000}"/>
    <cellStyle name="Input 2 8 2 6 4" xfId="37048" xr:uid="{00000000-0005-0000-0000-0000FC5C0000}"/>
    <cellStyle name="Input 2 8 2 7" xfId="12139" xr:uid="{00000000-0005-0000-0000-0000FD5C0000}"/>
    <cellStyle name="Input 2 8 2 7 2" xfId="41884" xr:uid="{00000000-0005-0000-0000-0000FE5C0000}"/>
    <cellStyle name="Input 2 8 2 7 3" xfId="42703" xr:uid="{00000000-0005-0000-0000-0000FF5C0000}"/>
    <cellStyle name="Input 2 8 2 7 4" xfId="29811" xr:uid="{00000000-0005-0000-0000-0000005D0000}"/>
    <cellStyle name="Input 2 8 2 8" xfId="19037" xr:uid="{00000000-0005-0000-0000-0000015D0000}"/>
    <cellStyle name="Input 2 8 2 8 2" xfId="44574" xr:uid="{00000000-0005-0000-0000-0000025D0000}"/>
    <cellStyle name="Input 2 8 2 8 3" xfId="48480" xr:uid="{00000000-0005-0000-0000-0000035D0000}"/>
    <cellStyle name="Input 2 8 2 9" xfId="39827" xr:uid="{00000000-0005-0000-0000-0000045D0000}"/>
    <cellStyle name="Input 2 8 3" xfId="53059" xr:uid="{00000000-0005-0000-0000-0000055D0000}"/>
    <cellStyle name="Input 2 9" xfId="1873" xr:uid="{00000000-0005-0000-0000-0000065D0000}"/>
    <cellStyle name="Input 2 9 2" xfId="7064" xr:uid="{00000000-0005-0000-0000-0000075D0000}"/>
    <cellStyle name="Input 2 9 2 10" xfId="43105" xr:uid="{00000000-0005-0000-0000-0000085D0000}"/>
    <cellStyle name="Input 2 9 2 2" xfId="10594" xr:uid="{00000000-0005-0000-0000-0000095D0000}"/>
    <cellStyle name="Input 2 9 2 2 2" xfId="18387" xr:uid="{00000000-0005-0000-0000-00000A5D0000}"/>
    <cellStyle name="Input 2 9 2 2 2 2" xfId="43934" xr:uid="{00000000-0005-0000-0000-00000B5D0000}"/>
    <cellStyle name="Input 2 9 2 2 2 3" xfId="47843" xr:uid="{00000000-0005-0000-0000-00000C5D0000}"/>
    <cellStyle name="Input 2 9 2 2 2 4" xfId="36024" xr:uid="{00000000-0005-0000-0000-00000D5D0000}"/>
    <cellStyle name="Input 2 9 2 2 3" xfId="19613" xr:uid="{00000000-0005-0000-0000-00000E5D0000}"/>
    <cellStyle name="Input 2 9 2 2 3 2" xfId="45150" xr:uid="{00000000-0005-0000-0000-00000F5D0000}"/>
    <cellStyle name="Input 2 9 2 2 3 3" xfId="49056" xr:uid="{00000000-0005-0000-0000-0000105D0000}"/>
    <cellStyle name="Input 2 9 2 2 3 4" xfId="37153" xr:uid="{00000000-0005-0000-0000-0000115D0000}"/>
    <cellStyle name="Input 2 9 2 2 4" xfId="19056" xr:uid="{00000000-0005-0000-0000-0000125D0000}"/>
    <cellStyle name="Input 2 9 2 2 4 2" xfId="44593" xr:uid="{00000000-0005-0000-0000-0000135D0000}"/>
    <cellStyle name="Input 2 9 2 2 4 3" xfId="48499" xr:uid="{00000000-0005-0000-0000-0000145D0000}"/>
    <cellStyle name="Input 2 9 2 2 4 4" xfId="36656" xr:uid="{00000000-0005-0000-0000-0000155D0000}"/>
    <cellStyle name="Input 2 9 2 2 5" xfId="20800" xr:uid="{00000000-0005-0000-0000-0000165D0000}"/>
    <cellStyle name="Input 2 9 2 2 5 2" xfId="46337" xr:uid="{00000000-0005-0000-0000-0000175D0000}"/>
    <cellStyle name="Input 2 9 2 2 5 3" xfId="50243" xr:uid="{00000000-0005-0000-0000-0000185D0000}"/>
    <cellStyle name="Input 2 9 2 2 5 4" xfId="38206" xr:uid="{00000000-0005-0000-0000-0000195D0000}"/>
    <cellStyle name="Input 2 9 2 2 6" xfId="21453" xr:uid="{00000000-0005-0000-0000-00001A5D0000}"/>
    <cellStyle name="Input 2 9 2 2 6 2" xfId="46990" xr:uid="{00000000-0005-0000-0000-00001B5D0000}"/>
    <cellStyle name="Input 2 9 2 2 6 3" xfId="50896" xr:uid="{00000000-0005-0000-0000-00001C5D0000}"/>
    <cellStyle name="Input 2 9 2 2 7" xfId="40793" xr:uid="{00000000-0005-0000-0000-00001D5D0000}"/>
    <cellStyle name="Input 2 9 2 2 8" xfId="39397" xr:uid="{00000000-0005-0000-0000-00001E5D0000}"/>
    <cellStyle name="Input 2 9 2 3" xfId="10889" xr:uid="{00000000-0005-0000-0000-00001F5D0000}"/>
    <cellStyle name="Input 2 9 2 3 2" xfId="18682" xr:uid="{00000000-0005-0000-0000-0000205D0000}"/>
    <cellStyle name="Input 2 9 2 3 2 2" xfId="44229" xr:uid="{00000000-0005-0000-0000-0000215D0000}"/>
    <cellStyle name="Input 2 9 2 3 2 3" xfId="48138" xr:uid="{00000000-0005-0000-0000-0000225D0000}"/>
    <cellStyle name="Input 2 9 2 3 2 4" xfId="36319" xr:uid="{00000000-0005-0000-0000-0000235D0000}"/>
    <cellStyle name="Input 2 9 2 3 3" xfId="11522" xr:uid="{00000000-0005-0000-0000-0000245D0000}"/>
    <cellStyle name="Input 2 9 2 3 3 2" xfId="41533" xr:uid="{00000000-0005-0000-0000-0000255D0000}"/>
    <cellStyle name="Input 2 9 2 3 3 3" xfId="42716" xr:uid="{00000000-0005-0000-0000-0000265D0000}"/>
    <cellStyle name="Input 2 9 2 3 3 4" xfId="29237" xr:uid="{00000000-0005-0000-0000-0000275D0000}"/>
    <cellStyle name="Input 2 9 2 3 4" xfId="12684" xr:uid="{00000000-0005-0000-0000-0000285D0000}"/>
    <cellStyle name="Input 2 9 2 3 4 2" xfId="42163" xr:uid="{00000000-0005-0000-0000-0000295D0000}"/>
    <cellStyle name="Input 2 9 2 3 4 3" xfId="41979" xr:uid="{00000000-0005-0000-0000-00002A5D0000}"/>
    <cellStyle name="Input 2 9 2 3 4 4" xfId="30346" xr:uid="{00000000-0005-0000-0000-00002B5D0000}"/>
    <cellStyle name="Input 2 9 2 3 5" xfId="21095" xr:uid="{00000000-0005-0000-0000-00002C5D0000}"/>
    <cellStyle name="Input 2 9 2 3 5 2" xfId="46632" xr:uid="{00000000-0005-0000-0000-00002D5D0000}"/>
    <cellStyle name="Input 2 9 2 3 5 3" xfId="50538" xr:uid="{00000000-0005-0000-0000-00002E5D0000}"/>
    <cellStyle name="Input 2 9 2 3 5 4" xfId="38501" xr:uid="{00000000-0005-0000-0000-00002F5D0000}"/>
    <cellStyle name="Input 2 9 2 3 6" xfId="21748" xr:uid="{00000000-0005-0000-0000-0000305D0000}"/>
    <cellStyle name="Input 2 9 2 3 6 2" xfId="47285" xr:uid="{00000000-0005-0000-0000-0000315D0000}"/>
    <cellStyle name="Input 2 9 2 3 6 3" xfId="51191" xr:uid="{00000000-0005-0000-0000-0000325D0000}"/>
    <cellStyle name="Input 2 9 2 3 7" xfId="41088" xr:uid="{00000000-0005-0000-0000-0000335D0000}"/>
    <cellStyle name="Input 2 9 2 3 8" xfId="39697" xr:uid="{00000000-0005-0000-0000-0000345D0000}"/>
    <cellStyle name="Input 2 9 2 4" xfId="14852" xr:uid="{00000000-0005-0000-0000-0000355D0000}"/>
    <cellStyle name="Input 2 9 2 4 2" xfId="42968" xr:uid="{00000000-0005-0000-0000-0000365D0000}"/>
    <cellStyle name="Input 2 9 2 4 3" xfId="43451" xr:uid="{00000000-0005-0000-0000-0000375D0000}"/>
    <cellStyle name="Input 2 9 2 4 4" xfId="32487" xr:uid="{00000000-0005-0000-0000-0000385D0000}"/>
    <cellStyle name="Input 2 9 2 5" xfId="13118" xr:uid="{00000000-0005-0000-0000-0000395D0000}"/>
    <cellStyle name="Input 2 9 2 5 2" xfId="42339" xr:uid="{00000000-0005-0000-0000-00003A5D0000}"/>
    <cellStyle name="Input 2 9 2 5 3" xfId="40179" xr:uid="{00000000-0005-0000-0000-00003B5D0000}"/>
    <cellStyle name="Input 2 9 2 5 4" xfId="30767" xr:uid="{00000000-0005-0000-0000-00003C5D0000}"/>
    <cellStyle name="Input 2 9 2 6" xfId="19790" xr:uid="{00000000-0005-0000-0000-00003D5D0000}"/>
    <cellStyle name="Input 2 9 2 6 2" xfId="45327" xr:uid="{00000000-0005-0000-0000-00003E5D0000}"/>
    <cellStyle name="Input 2 9 2 6 3" xfId="49233" xr:uid="{00000000-0005-0000-0000-00003F5D0000}"/>
    <cellStyle name="Input 2 9 2 6 4" xfId="37314" xr:uid="{00000000-0005-0000-0000-0000405D0000}"/>
    <cellStyle name="Input 2 9 2 7" xfId="18892" xr:uid="{00000000-0005-0000-0000-0000415D0000}"/>
    <cellStyle name="Input 2 9 2 7 2" xfId="44429" xr:uid="{00000000-0005-0000-0000-0000425D0000}"/>
    <cellStyle name="Input 2 9 2 7 3" xfId="48335" xr:uid="{00000000-0005-0000-0000-0000435D0000}"/>
    <cellStyle name="Input 2 9 2 7 4" xfId="36528" xr:uid="{00000000-0005-0000-0000-0000445D0000}"/>
    <cellStyle name="Input 2 9 2 8" xfId="12591" xr:uid="{00000000-0005-0000-0000-0000455D0000}"/>
    <cellStyle name="Input 2 9 2 8 2" xfId="42086" xr:uid="{00000000-0005-0000-0000-0000465D0000}"/>
    <cellStyle name="Input 2 9 2 8 3" xfId="39560" xr:uid="{00000000-0005-0000-0000-0000475D0000}"/>
    <cellStyle name="Input 2 9 2 9" xfId="39828" xr:uid="{00000000-0005-0000-0000-0000485D0000}"/>
    <cellStyle name="Input 2 9 3" xfId="53060" xr:uid="{00000000-0005-0000-0000-0000495D0000}"/>
    <cellStyle name="Input 2_BallGrid" xfId="1874" xr:uid="{00000000-0005-0000-0000-00004A5D0000}"/>
    <cellStyle name="Input 20" xfId="1875" xr:uid="{00000000-0005-0000-0000-00004B5D0000}"/>
    <cellStyle name="Input 20 2" xfId="1876" xr:uid="{00000000-0005-0000-0000-00004C5D0000}"/>
    <cellStyle name="Input 20 2 2" xfId="1877" xr:uid="{00000000-0005-0000-0000-00004D5D0000}"/>
    <cellStyle name="Input 20 2 2 2" xfId="7067" xr:uid="{00000000-0005-0000-0000-00004E5D0000}"/>
    <cellStyle name="Input 20 2 2 2 10" xfId="39965" xr:uid="{00000000-0005-0000-0000-00004F5D0000}"/>
    <cellStyle name="Input 20 2 2 2 2" xfId="10597" xr:uid="{00000000-0005-0000-0000-0000505D0000}"/>
    <cellStyle name="Input 20 2 2 2 2 2" xfId="18390" xr:uid="{00000000-0005-0000-0000-0000515D0000}"/>
    <cellStyle name="Input 20 2 2 2 2 2 2" xfId="43937" xr:uid="{00000000-0005-0000-0000-0000525D0000}"/>
    <cellStyle name="Input 20 2 2 2 2 2 3" xfId="47846" xr:uid="{00000000-0005-0000-0000-0000535D0000}"/>
    <cellStyle name="Input 20 2 2 2 2 2 4" xfId="36027" xr:uid="{00000000-0005-0000-0000-0000545D0000}"/>
    <cellStyle name="Input 20 2 2 2 2 3" xfId="20034" xr:uid="{00000000-0005-0000-0000-0000555D0000}"/>
    <cellStyle name="Input 20 2 2 2 2 3 2" xfId="45571" xr:uid="{00000000-0005-0000-0000-0000565D0000}"/>
    <cellStyle name="Input 20 2 2 2 2 3 3" xfId="49477" xr:uid="{00000000-0005-0000-0000-0000575D0000}"/>
    <cellStyle name="Input 20 2 2 2 2 3 4" xfId="37532" xr:uid="{00000000-0005-0000-0000-0000585D0000}"/>
    <cellStyle name="Input 20 2 2 2 2 4" xfId="19173" xr:uid="{00000000-0005-0000-0000-0000595D0000}"/>
    <cellStyle name="Input 20 2 2 2 2 4 2" xfId="44710" xr:uid="{00000000-0005-0000-0000-00005A5D0000}"/>
    <cellStyle name="Input 20 2 2 2 2 4 3" xfId="48616" xr:uid="{00000000-0005-0000-0000-00005B5D0000}"/>
    <cellStyle name="Input 20 2 2 2 2 4 4" xfId="36764" xr:uid="{00000000-0005-0000-0000-00005C5D0000}"/>
    <cellStyle name="Input 20 2 2 2 2 5" xfId="20803" xr:uid="{00000000-0005-0000-0000-00005D5D0000}"/>
    <cellStyle name="Input 20 2 2 2 2 5 2" xfId="46340" xr:uid="{00000000-0005-0000-0000-00005E5D0000}"/>
    <cellStyle name="Input 20 2 2 2 2 5 3" xfId="50246" xr:uid="{00000000-0005-0000-0000-00005F5D0000}"/>
    <cellStyle name="Input 20 2 2 2 2 5 4" xfId="38209" xr:uid="{00000000-0005-0000-0000-0000605D0000}"/>
    <cellStyle name="Input 20 2 2 2 2 6" xfId="21456" xr:uid="{00000000-0005-0000-0000-0000615D0000}"/>
    <cellStyle name="Input 20 2 2 2 2 6 2" xfId="46993" xr:uid="{00000000-0005-0000-0000-0000625D0000}"/>
    <cellStyle name="Input 20 2 2 2 2 6 3" xfId="50899" xr:uid="{00000000-0005-0000-0000-0000635D0000}"/>
    <cellStyle name="Input 20 2 2 2 2 7" xfId="40796" xr:uid="{00000000-0005-0000-0000-0000645D0000}"/>
    <cellStyle name="Input 20 2 2 2 2 8" xfId="47594" xr:uid="{00000000-0005-0000-0000-0000655D0000}"/>
    <cellStyle name="Input 20 2 2 2 3" xfId="10892" xr:uid="{00000000-0005-0000-0000-0000665D0000}"/>
    <cellStyle name="Input 20 2 2 2 3 2" xfId="18685" xr:uid="{00000000-0005-0000-0000-0000675D0000}"/>
    <cellStyle name="Input 20 2 2 2 3 2 2" xfId="44232" xr:uid="{00000000-0005-0000-0000-0000685D0000}"/>
    <cellStyle name="Input 20 2 2 2 3 2 3" xfId="48141" xr:uid="{00000000-0005-0000-0000-0000695D0000}"/>
    <cellStyle name="Input 20 2 2 2 3 2 4" xfId="36322" xr:uid="{00000000-0005-0000-0000-00006A5D0000}"/>
    <cellStyle name="Input 20 2 2 2 3 3" xfId="13347" xr:uid="{00000000-0005-0000-0000-00006B5D0000}"/>
    <cellStyle name="Input 20 2 2 2 3 3 2" xfId="42517" xr:uid="{00000000-0005-0000-0000-00006C5D0000}"/>
    <cellStyle name="Input 20 2 2 2 3 3 3" xfId="41962" xr:uid="{00000000-0005-0000-0000-00006D5D0000}"/>
    <cellStyle name="Input 20 2 2 2 3 3 4" xfId="30987" xr:uid="{00000000-0005-0000-0000-00006E5D0000}"/>
    <cellStyle name="Input 20 2 2 2 3 4" xfId="18956" xr:uid="{00000000-0005-0000-0000-00006F5D0000}"/>
    <cellStyle name="Input 20 2 2 2 3 4 2" xfId="44493" xr:uid="{00000000-0005-0000-0000-0000705D0000}"/>
    <cellStyle name="Input 20 2 2 2 3 4 3" xfId="48399" xr:uid="{00000000-0005-0000-0000-0000715D0000}"/>
    <cellStyle name="Input 20 2 2 2 3 4 4" xfId="36582" xr:uid="{00000000-0005-0000-0000-0000725D0000}"/>
    <cellStyle name="Input 20 2 2 2 3 5" xfId="21098" xr:uid="{00000000-0005-0000-0000-0000735D0000}"/>
    <cellStyle name="Input 20 2 2 2 3 5 2" xfId="46635" xr:uid="{00000000-0005-0000-0000-0000745D0000}"/>
    <cellStyle name="Input 20 2 2 2 3 5 3" xfId="50541" xr:uid="{00000000-0005-0000-0000-0000755D0000}"/>
    <cellStyle name="Input 20 2 2 2 3 5 4" xfId="38504" xr:uid="{00000000-0005-0000-0000-0000765D0000}"/>
    <cellStyle name="Input 20 2 2 2 3 6" xfId="21751" xr:uid="{00000000-0005-0000-0000-0000775D0000}"/>
    <cellStyle name="Input 20 2 2 2 3 6 2" xfId="47288" xr:uid="{00000000-0005-0000-0000-0000785D0000}"/>
    <cellStyle name="Input 20 2 2 2 3 6 3" xfId="51194" xr:uid="{00000000-0005-0000-0000-0000795D0000}"/>
    <cellStyle name="Input 20 2 2 2 3 7" xfId="41091" xr:uid="{00000000-0005-0000-0000-00007A5D0000}"/>
    <cellStyle name="Input 20 2 2 2 3 8" xfId="40481" xr:uid="{00000000-0005-0000-0000-00007B5D0000}"/>
    <cellStyle name="Input 20 2 2 2 4" xfId="14855" xr:uid="{00000000-0005-0000-0000-00007C5D0000}"/>
    <cellStyle name="Input 20 2 2 2 4 2" xfId="42971" xr:uid="{00000000-0005-0000-0000-00007D5D0000}"/>
    <cellStyle name="Input 20 2 2 2 4 3" xfId="41945" xr:uid="{00000000-0005-0000-0000-00007E5D0000}"/>
    <cellStyle name="Input 20 2 2 2 4 4" xfId="32490" xr:uid="{00000000-0005-0000-0000-00007F5D0000}"/>
    <cellStyle name="Input 20 2 2 2 5" xfId="12024" xr:uid="{00000000-0005-0000-0000-0000805D0000}"/>
    <cellStyle name="Input 20 2 2 2 5 2" xfId="41781" xr:uid="{00000000-0005-0000-0000-0000815D0000}"/>
    <cellStyle name="Input 20 2 2 2 5 3" xfId="39145" xr:uid="{00000000-0005-0000-0000-0000825D0000}"/>
    <cellStyle name="Input 20 2 2 2 5 4" xfId="29706" xr:uid="{00000000-0005-0000-0000-0000835D0000}"/>
    <cellStyle name="Input 20 2 2 2 6" xfId="12041" xr:uid="{00000000-0005-0000-0000-0000845D0000}"/>
    <cellStyle name="Input 20 2 2 2 6 2" xfId="41797" xr:uid="{00000000-0005-0000-0000-0000855D0000}"/>
    <cellStyle name="Input 20 2 2 2 6 3" xfId="39668" xr:uid="{00000000-0005-0000-0000-0000865D0000}"/>
    <cellStyle name="Input 20 2 2 2 6 4" xfId="29720" xr:uid="{00000000-0005-0000-0000-0000875D0000}"/>
    <cellStyle name="Input 20 2 2 2 7" xfId="12247" xr:uid="{00000000-0005-0000-0000-0000885D0000}"/>
    <cellStyle name="Input 20 2 2 2 7 2" xfId="41935" xr:uid="{00000000-0005-0000-0000-0000895D0000}"/>
    <cellStyle name="Input 20 2 2 2 7 3" xfId="43696" xr:uid="{00000000-0005-0000-0000-00008A5D0000}"/>
    <cellStyle name="Input 20 2 2 2 7 4" xfId="29918" xr:uid="{00000000-0005-0000-0000-00008B5D0000}"/>
    <cellStyle name="Input 20 2 2 2 8" xfId="20211" xr:uid="{00000000-0005-0000-0000-00008C5D0000}"/>
    <cellStyle name="Input 20 2 2 2 8 2" xfId="45748" xr:uid="{00000000-0005-0000-0000-00008D5D0000}"/>
    <cellStyle name="Input 20 2 2 2 8 3" xfId="49654" xr:uid="{00000000-0005-0000-0000-00008E5D0000}"/>
    <cellStyle name="Input 20 2 2 2 9" xfId="39831" xr:uid="{00000000-0005-0000-0000-00008F5D0000}"/>
    <cellStyle name="Input 20 2 2 3" xfId="53063" xr:uid="{00000000-0005-0000-0000-0000905D0000}"/>
    <cellStyle name="Input 20 2 3" xfId="7066" xr:uid="{00000000-0005-0000-0000-0000915D0000}"/>
    <cellStyle name="Input 20 2 3 10" xfId="40631" xr:uid="{00000000-0005-0000-0000-0000925D0000}"/>
    <cellStyle name="Input 20 2 3 11" xfId="53064" xr:uid="{00000000-0005-0000-0000-0000935D0000}"/>
    <cellStyle name="Input 20 2 3 2" xfId="10596" xr:uid="{00000000-0005-0000-0000-0000945D0000}"/>
    <cellStyle name="Input 20 2 3 2 2" xfId="18389" xr:uid="{00000000-0005-0000-0000-0000955D0000}"/>
    <cellStyle name="Input 20 2 3 2 2 2" xfId="43936" xr:uid="{00000000-0005-0000-0000-0000965D0000}"/>
    <cellStyle name="Input 20 2 3 2 2 3" xfId="47845" xr:uid="{00000000-0005-0000-0000-0000975D0000}"/>
    <cellStyle name="Input 20 2 3 2 2 4" xfId="36026" xr:uid="{00000000-0005-0000-0000-0000985D0000}"/>
    <cellStyle name="Input 20 2 3 2 3" xfId="19427" xr:uid="{00000000-0005-0000-0000-0000995D0000}"/>
    <cellStyle name="Input 20 2 3 2 3 2" xfId="44964" xr:uid="{00000000-0005-0000-0000-00009A5D0000}"/>
    <cellStyle name="Input 20 2 3 2 3 3" xfId="48870" xr:uid="{00000000-0005-0000-0000-00009B5D0000}"/>
    <cellStyle name="Input 20 2 3 2 3 4" xfId="36992" xr:uid="{00000000-0005-0000-0000-00009C5D0000}"/>
    <cellStyle name="Input 20 2 3 2 4" xfId="20325" xr:uid="{00000000-0005-0000-0000-00009D5D0000}"/>
    <cellStyle name="Input 20 2 3 2 4 2" xfId="45862" xr:uid="{00000000-0005-0000-0000-00009E5D0000}"/>
    <cellStyle name="Input 20 2 3 2 4 3" xfId="49768" xr:uid="{00000000-0005-0000-0000-00009F5D0000}"/>
    <cellStyle name="Input 20 2 3 2 4 4" xfId="37789" xr:uid="{00000000-0005-0000-0000-0000A05D0000}"/>
    <cellStyle name="Input 20 2 3 2 5" xfId="20802" xr:uid="{00000000-0005-0000-0000-0000A15D0000}"/>
    <cellStyle name="Input 20 2 3 2 5 2" xfId="46339" xr:uid="{00000000-0005-0000-0000-0000A25D0000}"/>
    <cellStyle name="Input 20 2 3 2 5 3" xfId="50245" xr:uid="{00000000-0005-0000-0000-0000A35D0000}"/>
    <cellStyle name="Input 20 2 3 2 5 4" xfId="38208" xr:uid="{00000000-0005-0000-0000-0000A45D0000}"/>
    <cellStyle name="Input 20 2 3 2 6" xfId="21455" xr:uid="{00000000-0005-0000-0000-0000A55D0000}"/>
    <cellStyle name="Input 20 2 3 2 6 2" xfId="46992" xr:uid="{00000000-0005-0000-0000-0000A65D0000}"/>
    <cellStyle name="Input 20 2 3 2 6 3" xfId="50898" xr:uid="{00000000-0005-0000-0000-0000A75D0000}"/>
    <cellStyle name="Input 20 2 3 2 7" xfId="40795" xr:uid="{00000000-0005-0000-0000-0000A85D0000}"/>
    <cellStyle name="Input 20 2 3 2 8" xfId="39199" xr:uid="{00000000-0005-0000-0000-0000A95D0000}"/>
    <cellStyle name="Input 20 2 3 3" xfId="10891" xr:uid="{00000000-0005-0000-0000-0000AA5D0000}"/>
    <cellStyle name="Input 20 2 3 3 2" xfId="18684" xr:uid="{00000000-0005-0000-0000-0000AB5D0000}"/>
    <cellStyle name="Input 20 2 3 3 2 2" xfId="44231" xr:uid="{00000000-0005-0000-0000-0000AC5D0000}"/>
    <cellStyle name="Input 20 2 3 3 2 3" xfId="48140" xr:uid="{00000000-0005-0000-0000-0000AD5D0000}"/>
    <cellStyle name="Input 20 2 3 3 2 4" xfId="36321" xr:uid="{00000000-0005-0000-0000-0000AE5D0000}"/>
    <cellStyle name="Input 20 2 3 3 3" xfId="13349" xr:uid="{00000000-0005-0000-0000-0000AF5D0000}"/>
    <cellStyle name="Input 20 2 3 3 3 2" xfId="42519" xr:uid="{00000000-0005-0000-0000-0000B05D0000}"/>
    <cellStyle name="Input 20 2 3 3 3 3" xfId="40171" xr:uid="{00000000-0005-0000-0000-0000B15D0000}"/>
    <cellStyle name="Input 20 2 3 3 3 4" xfId="30989" xr:uid="{00000000-0005-0000-0000-0000B25D0000}"/>
    <cellStyle name="Input 20 2 3 3 4" xfId="11758" xr:uid="{00000000-0005-0000-0000-0000B35D0000}"/>
    <cellStyle name="Input 20 2 3 3 4 2" xfId="41734" xr:uid="{00000000-0005-0000-0000-0000B45D0000}"/>
    <cellStyle name="Input 20 2 3 3 4 3" xfId="39343" xr:uid="{00000000-0005-0000-0000-0000B55D0000}"/>
    <cellStyle name="Input 20 2 3 3 4 4" xfId="29445" xr:uid="{00000000-0005-0000-0000-0000B65D0000}"/>
    <cellStyle name="Input 20 2 3 3 5" xfId="21097" xr:uid="{00000000-0005-0000-0000-0000B75D0000}"/>
    <cellStyle name="Input 20 2 3 3 5 2" xfId="46634" xr:uid="{00000000-0005-0000-0000-0000B85D0000}"/>
    <cellStyle name="Input 20 2 3 3 5 3" xfId="50540" xr:uid="{00000000-0005-0000-0000-0000B95D0000}"/>
    <cellStyle name="Input 20 2 3 3 5 4" xfId="38503" xr:uid="{00000000-0005-0000-0000-0000BA5D0000}"/>
    <cellStyle name="Input 20 2 3 3 6" xfId="21750" xr:uid="{00000000-0005-0000-0000-0000BB5D0000}"/>
    <cellStyle name="Input 20 2 3 3 6 2" xfId="47287" xr:uid="{00000000-0005-0000-0000-0000BC5D0000}"/>
    <cellStyle name="Input 20 2 3 3 6 3" xfId="51193" xr:uid="{00000000-0005-0000-0000-0000BD5D0000}"/>
    <cellStyle name="Input 20 2 3 3 7" xfId="41090" xr:uid="{00000000-0005-0000-0000-0000BE5D0000}"/>
    <cellStyle name="Input 20 2 3 3 8" xfId="43623" xr:uid="{00000000-0005-0000-0000-0000BF5D0000}"/>
    <cellStyle name="Input 20 2 3 4" xfId="14854" xr:uid="{00000000-0005-0000-0000-0000C05D0000}"/>
    <cellStyle name="Input 20 2 3 4 2" xfId="42970" xr:uid="{00000000-0005-0000-0000-0000C15D0000}"/>
    <cellStyle name="Input 20 2 3 4 3" xfId="39430" xr:uid="{00000000-0005-0000-0000-0000C25D0000}"/>
    <cellStyle name="Input 20 2 3 4 4" xfId="32489" xr:uid="{00000000-0005-0000-0000-0000C35D0000}"/>
    <cellStyle name="Input 20 2 3 5" xfId="13120" xr:uid="{00000000-0005-0000-0000-0000C45D0000}"/>
    <cellStyle name="Input 20 2 3 5 2" xfId="42341" xr:uid="{00000000-0005-0000-0000-0000C55D0000}"/>
    <cellStyle name="Input 20 2 3 5 3" xfId="39104" xr:uid="{00000000-0005-0000-0000-0000C65D0000}"/>
    <cellStyle name="Input 20 2 3 5 4" xfId="30769" xr:uid="{00000000-0005-0000-0000-0000C75D0000}"/>
    <cellStyle name="Input 20 2 3 6" xfId="19783" xr:uid="{00000000-0005-0000-0000-0000C85D0000}"/>
    <cellStyle name="Input 20 2 3 6 2" xfId="45320" xr:uid="{00000000-0005-0000-0000-0000C95D0000}"/>
    <cellStyle name="Input 20 2 3 6 3" xfId="49226" xr:uid="{00000000-0005-0000-0000-0000CA5D0000}"/>
    <cellStyle name="Input 20 2 3 6 4" xfId="37309" xr:uid="{00000000-0005-0000-0000-0000CB5D0000}"/>
    <cellStyle name="Input 20 2 3 7" xfId="12504" xr:uid="{00000000-0005-0000-0000-0000CC5D0000}"/>
    <cellStyle name="Input 20 2 3 7 2" xfId="42017" xr:uid="{00000000-0005-0000-0000-0000CD5D0000}"/>
    <cellStyle name="Input 20 2 3 7 3" xfId="43481" xr:uid="{00000000-0005-0000-0000-0000CE5D0000}"/>
    <cellStyle name="Input 20 2 3 7 4" xfId="30172" xr:uid="{00000000-0005-0000-0000-0000CF5D0000}"/>
    <cellStyle name="Input 20 2 3 8" xfId="11592" xr:uid="{00000000-0005-0000-0000-0000D05D0000}"/>
    <cellStyle name="Input 20 2 3 8 2" xfId="41603" xr:uid="{00000000-0005-0000-0000-0000D15D0000}"/>
    <cellStyle name="Input 20 2 3 8 3" xfId="43213" xr:uid="{00000000-0005-0000-0000-0000D25D0000}"/>
    <cellStyle name="Input 20 2 3 9" xfId="39830" xr:uid="{00000000-0005-0000-0000-0000D35D0000}"/>
    <cellStyle name="Input 20 2 4" xfId="22450" xr:uid="{00000000-0005-0000-0000-0000D45D0000}"/>
    <cellStyle name="Input 20 2 5" xfId="53062" xr:uid="{00000000-0005-0000-0000-0000D55D0000}"/>
    <cellStyle name="Input 20 2_Sheet1" xfId="1878" xr:uid="{00000000-0005-0000-0000-0000D65D0000}"/>
    <cellStyle name="Input 20 3" xfId="1879" xr:uid="{00000000-0005-0000-0000-0000D75D0000}"/>
    <cellStyle name="Input 20 3 2" xfId="7068" xr:uid="{00000000-0005-0000-0000-0000D85D0000}"/>
    <cellStyle name="Input 20 3 2 10" xfId="42765" xr:uid="{00000000-0005-0000-0000-0000D95D0000}"/>
    <cellStyle name="Input 20 3 2 2" xfId="10598" xr:uid="{00000000-0005-0000-0000-0000DA5D0000}"/>
    <cellStyle name="Input 20 3 2 2 2" xfId="18391" xr:uid="{00000000-0005-0000-0000-0000DB5D0000}"/>
    <cellStyle name="Input 20 3 2 2 2 2" xfId="43938" xr:uid="{00000000-0005-0000-0000-0000DC5D0000}"/>
    <cellStyle name="Input 20 3 2 2 2 3" xfId="47847" xr:uid="{00000000-0005-0000-0000-0000DD5D0000}"/>
    <cellStyle name="Input 20 3 2 2 2 4" xfId="36028" xr:uid="{00000000-0005-0000-0000-0000DE5D0000}"/>
    <cellStyle name="Input 20 3 2 2 3" xfId="19300" xr:uid="{00000000-0005-0000-0000-0000DF5D0000}"/>
    <cellStyle name="Input 20 3 2 2 3 2" xfId="44837" xr:uid="{00000000-0005-0000-0000-0000E05D0000}"/>
    <cellStyle name="Input 20 3 2 2 3 3" xfId="48743" xr:uid="{00000000-0005-0000-0000-0000E15D0000}"/>
    <cellStyle name="Input 20 3 2 2 3 4" xfId="36878" xr:uid="{00000000-0005-0000-0000-0000E25D0000}"/>
    <cellStyle name="Input 20 3 2 2 4" xfId="19873" xr:uid="{00000000-0005-0000-0000-0000E35D0000}"/>
    <cellStyle name="Input 20 3 2 2 4 2" xfId="45410" xr:uid="{00000000-0005-0000-0000-0000E45D0000}"/>
    <cellStyle name="Input 20 3 2 2 4 3" xfId="49316" xr:uid="{00000000-0005-0000-0000-0000E55D0000}"/>
    <cellStyle name="Input 20 3 2 2 4 4" xfId="37387" xr:uid="{00000000-0005-0000-0000-0000E65D0000}"/>
    <cellStyle name="Input 20 3 2 2 5" xfId="20804" xr:uid="{00000000-0005-0000-0000-0000E75D0000}"/>
    <cellStyle name="Input 20 3 2 2 5 2" xfId="46341" xr:uid="{00000000-0005-0000-0000-0000E85D0000}"/>
    <cellStyle name="Input 20 3 2 2 5 3" xfId="50247" xr:uid="{00000000-0005-0000-0000-0000E95D0000}"/>
    <cellStyle name="Input 20 3 2 2 5 4" xfId="38210" xr:uid="{00000000-0005-0000-0000-0000EA5D0000}"/>
    <cellStyle name="Input 20 3 2 2 6" xfId="21457" xr:uid="{00000000-0005-0000-0000-0000EB5D0000}"/>
    <cellStyle name="Input 20 3 2 2 6 2" xfId="46994" xr:uid="{00000000-0005-0000-0000-0000EC5D0000}"/>
    <cellStyle name="Input 20 3 2 2 6 3" xfId="50900" xr:uid="{00000000-0005-0000-0000-0000ED5D0000}"/>
    <cellStyle name="Input 20 3 2 2 7" xfId="40797" xr:uid="{00000000-0005-0000-0000-0000EE5D0000}"/>
    <cellStyle name="Input 20 3 2 2 8" xfId="41440" xr:uid="{00000000-0005-0000-0000-0000EF5D0000}"/>
    <cellStyle name="Input 20 3 2 3" xfId="10893" xr:uid="{00000000-0005-0000-0000-0000F05D0000}"/>
    <cellStyle name="Input 20 3 2 3 2" xfId="18686" xr:uid="{00000000-0005-0000-0000-0000F15D0000}"/>
    <cellStyle name="Input 20 3 2 3 2 2" xfId="44233" xr:uid="{00000000-0005-0000-0000-0000F25D0000}"/>
    <cellStyle name="Input 20 3 2 3 2 3" xfId="48142" xr:uid="{00000000-0005-0000-0000-0000F35D0000}"/>
    <cellStyle name="Input 20 3 2 3 2 4" xfId="36323" xr:uid="{00000000-0005-0000-0000-0000F45D0000}"/>
    <cellStyle name="Input 20 3 2 3 3" xfId="11523" xr:uid="{00000000-0005-0000-0000-0000F55D0000}"/>
    <cellStyle name="Input 20 3 2 3 3 2" xfId="41534" xr:uid="{00000000-0005-0000-0000-0000F65D0000}"/>
    <cellStyle name="Input 20 3 2 3 3 3" xfId="43604" xr:uid="{00000000-0005-0000-0000-0000F75D0000}"/>
    <cellStyle name="Input 20 3 2 3 3 4" xfId="29238" xr:uid="{00000000-0005-0000-0000-0000F85D0000}"/>
    <cellStyle name="Input 20 3 2 3 4" xfId="20093" xr:uid="{00000000-0005-0000-0000-0000F95D0000}"/>
    <cellStyle name="Input 20 3 2 3 4 2" xfId="45630" xr:uid="{00000000-0005-0000-0000-0000FA5D0000}"/>
    <cellStyle name="Input 20 3 2 3 4 3" xfId="49536" xr:uid="{00000000-0005-0000-0000-0000FB5D0000}"/>
    <cellStyle name="Input 20 3 2 3 4 4" xfId="37583" xr:uid="{00000000-0005-0000-0000-0000FC5D0000}"/>
    <cellStyle name="Input 20 3 2 3 5" xfId="21099" xr:uid="{00000000-0005-0000-0000-0000FD5D0000}"/>
    <cellStyle name="Input 20 3 2 3 5 2" xfId="46636" xr:uid="{00000000-0005-0000-0000-0000FE5D0000}"/>
    <cellStyle name="Input 20 3 2 3 5 3" xfId="50542" xr:uid="{00000000-0005-0000-0000-0000FF5D0000}"/>
    <cellStyle name="Input 20 3 2 3 5 4" xfId="38505" xr:uid="{00000000-0005-0000-0000-0000005E0000}"/>
    <cellStyle name="Input 20 3 2 3 6" xfId="21752" xr:uid="{00000000-0005-0000-0000-0000015E0000}"/>
    <cellStyle name="Input 20 3 2 3 6 2" xfId="47289" xr:uid="{00000000-0005-0000-0000-0000025E0000}"/>
    <cellStyle name="Input 20 3 2 3 6 3" xfId="51195" xr:uid="{00000000-0005-0000-0000-0000035E0000}"/>
    <cellStyle name="Input 20 3 2 3 7" xfId="41092" xr:uid="{00000000-0005-0000-0000-0000045E0000}"/>
    <cellStyle name="Input 20 3 2 3 8" xfId="39591" xr:uid="{00000000-0005-0000-0000-0000055E0000}"/>
    <cellStyle name="Input 20 3 2 4" xfId="14856" xr:uid="{00000000-0005-0000-0000-0000065E0000}"/>
    <cellStyle name="Input 20 3 2 4 2" xfId="42972" xr:uid="{00000000-0005-0000-0000-0000075E0000}"/>
    <cellStyle name="Input 20 3 2 4 3" xfId="43299" xr:uid="{00000000-0005-0000-0000-0000085E0000}"/>
    <cellStyle name="Input 20 3 2 4 4" xfId="32491" xr:uid="{00000000-0005-0000-0000-0000095E0000}"/>
    <cellStyle name="Input 20 3 2 5" xfId="13121" xr:uid="{00000000-0005-0000-0000-00000A5E0000}"/>
    <cellStyle name="Input 20 3 2 5 2" xfId="42342" xr:uid="{00000000-0005-0000-0000-00000B5E0000}"/>
    <cellStyle name="Input 20 3 2 5 3" xfId="47472" xr:uid="{00000000-0005-0000-0000-00000C5E0000}"/>
    <cellStyle name="Input 20 3 2 5 4" xfId="30770" xr:uid="{00000000-0005-0000-0000-00000D5E0000}"/>
    <cellStyle name="Input 20 3 2 6" xfId="19626" xr:uid="{00000000-0005-0000-0000-00000E5E0000}"/>
    <cellStyle name="Input 20 3 2 6 2" xfId="45163" xr:uid="{00000000-0005-0000-0000-00000F5E0000}"/>
    <cellStyle name="Input 20 3 2 6 3" xfId="49069" xr:uid="{00000000-0005-0000-0000-0000105E0000}"/>
    <cellStyle name="Input 20 3 2 6 4" xfId="37166" xr:uid="{00000000-0005-0000-0000-0000115E0000}"/>
    <cellStyle name="Input 20 3 2 7" xfId="12850" xr:uid="{00000000-0005-0000-0000-0000125E0000}"/>
    <cellStyle name="Input 20 3 2 7 2" xfId="42233" xr:uid="{00000000-0005-0000-0000-0000135E0000}"/>
    <cellStyle name="Input 20 3 2 7 3" xfId="41975" xr:uid="{00000000-0005-0000-0000-0000145E0000}"/>
    <cellStyle name="Input 20 3 2 7 4" xfId="30505" xr:uid="{00000000-0005-0000-0000-0000155E0000}"/>
    <cellStyle name="Input 20 3 2 8" xfId="20533" xr:uid="{00000000-0005-0000-0000-0000165E0000}"/>
    <cellStyle name="Input 20 3 2 8 2" xfId="46070" xr:uid="{00000000-0005-0000-0000-0000175E0000}"/>
    <cellStyle name="Input 20 3 2 8 3" xfId="49976" xr:uid="{00000000-0005-0000-0000-0000185E0000}"/>
    <cellStyle name="Input 20 3 2 9" xfId="39832" xr:uid="{00000000-0005-0000-0000-0000195E0000}"/>
    <cellStyle name="Input 20 3 3" xfId="53065" xr:uid="{00000000-0005-0000-0000-00001A5E0000}"/>
    <cellStyle name="Input 20 4" xfId="7065" xr:uid="{00000000-0005-0000-0000-00001B5E0000}"/>
    <cellStyle name="Input 20 4 10" xfId="43772" xr:uid="{00000000-0005-0000-0000-00001C5E0000}"/>
    <cellStyle name="Input 20 4 11" xfId="53066" xr:uid="{00000000-0005-0000-0000-00001D5E0000}"/>
    <cellStyle name="Input 20 4 2" xfId="10595" xr:uid="{00000000-0005-0000-0000-00001E5E0000}"/>
    <cellStyle name="Input 20 4 2 2" xfId="18388" xr:uid="{00000000-0005-0000-0000-00001F5E0000}"/>
    <cellStyle name="Input 20 4 2 2 2" xfId="43935" xr:uid="{00000000-0005-0000-0000-0000205E0000}"/>
    <cellStyle name="Input 20 4 2 2 3" xfId="47844" xr:uid="{00000000-0005-0000-0000-0000215E0000}"/>
    <cellStyle name="Input 20 4 2 2 4" xfId="36025" xr:uid="{00000000-0005-0000-0000-0000225E0000}"/>
    <cellStyle name="Input 20 4 2 3" xfId="20168" xr:uid="{00000000-0005-0000-0000-0000235E0000}"/>
    <cellStyle name="Input 20 4 2 3 2" xfId="45705" xr:uid="{00000000-0005-0000-0000-0000245E0000}"/>
    <cellStyle name="Input 20 4 2 3 3" xfId="49611" xr:uid="{00000000-0005-0000-0000-0000255E0000}"/>
    <cellStyle name="Input 20 4 2 3 4" xfId="37654" xr:uid="{00000000-0005-0000-0000-0000265E0000}"/>
    <cellStyle name="Input 20 4 2 4" xfId="18952" xr:uid="{00000000-0005-0000-0000-0000275E0000}"/>
    <cellStyle name="Input 20 4 2 4 2" xfId="44489" xr:uid="{00000000-0005-0000-0000-0000285E0000}"/>
    <cellStyle name="Input 20 4 2 4 3" xfId="48395" xr:uid="{00000000-0005-0000-0000-0000295E0000}"/>
    <cellStyle name="Input 20 4 2 4 4" xfId="36578" xr:uid="{00000000-0005-0000-0000-00002A5E0000}"/>
    <cellStyle name="Input 20 4 2 5" xfId="20801" xr:uid="{00000000-0005-0000-0000-00002B5E0000}"/>
    <cellStyle name="Input 20 4 2 5 2" xfId="46338" xr:uid="{00000000-0005-0000-0000-00002C5E0000}"/>
    <cellStyle name="Input 20 4 2 5 3" xfId="50244" xr:uid="{00000000-0005-0000-0000-00002D5E0000}"/>
    <cellStyle name="Input 20 4 2 5 4" xfId="38207" xr:uid="{00000000-0005-0000-0000-00002E5E0000}"/>
    <cellStyle name="Input 20 4 2 6" xfId="21454" xr:uid="{00000000-0005-0000-0000-00002F5E0000}"/>
    <cellStyle name="Input 20 4 2 6 2" xfId="46991" xr:uid="{00000000-0005-0000-0000-0000305E0000}"/>
    <cellStyle name="Input 20 4 2 6 3" xfId="50897" xr:uid="{00000000-0005-0000-0000-0000315E0000}"/>
    <cellStyle name="Input 20 4 2 7" xfId="40794" xr:uid="{00000000-0005-0000-0000-0000325E0000}"/>
    <cellStyle name="Input 20 4 2 8" xfId="39200" xr:uid="{00000000-0005-0000-0000-0000335E0000}"/>
    <cellStyle name="Input 20 4 3" xfId="10890" xr:uid="{00000000-0005-0000-0000-0000345E0000}"/>
    <cellStyle name="Input 20 4 3 2" xfId="18683" xr:uid="{00000000-0005-0000-0000-0000355E0000}"/>
    <cellStyle name="Input 20 4 3 2 2" xfId="44230" xr:uid="{00000000-0005-0000-0000-0000365E0000}"/>
    <cellStyle name="Input 20 4 3 2 3" xfId="48139" xr:uid="{00000000-0005-0000-0000-0000375E0000}"/>
    <cellStyle name="Input 20 4 3 2 4" xfId="36320" xr:uid="{00000000-0005-0000-0000-0000385E0000}"/>
    <cellStyle name="Input 20 4 3 3" xfId="13348" xr:uid="{00000000-0005-0000-0000-0000395E0000}"/>
    <cellStyle name="Input 20 4 3 3 2" xfId="42518" xr:uid="{00000000-0005-0000-0000-00003A5E0000}"/>
    <cellStyle name="Input 20 4 3 3 3" xfId="43312" xr:uid="{00000000-0005-0000-0000-00003B5E0000}"/>
    <cellStyle name="Input 20 4 3 3 4" xfId="30988" xr:uid="{00000000-0005-0000-0000-00003C5E0000}"/>
    <cellStyle name="Input 20 4 3 4" xfId="20298" xr:uid="{00000000-0005-0000-0000-00003D5E0000}"/>
    <cellStyle name="Input 20 4 3 4 2" xfId="45835" xr:uid="{00000000-0005-0000-0000-00003E5E0000}"/>
    <cellStyle name="Input 20 4 3 4 3" xfId="49741" xr:uid="{00000000-0005-0000-0000-00003F5E0000}"/>
    <cellStyle name="Input 20 4 3 4 4" xfId="37764" xr:uid="{00000000-0005-0000-0000-0000405E0000}"/>
    <cellStyle name="Input 20 4 3 5" xfId="21096" xr:uid="{00000000-0005-0000-0000-0000415E0000}"/>
    <cellStyle name="Input 20 4 3 5 2" xfId="46633" xr:uid="{00000000-0005-0000-0000-0000425E0000}"/>
    <cellStyle name="Input 20 4 3 5 3" xfId="50539" xr:uid="{00000000-0005-0000-0000-0000435E0000}"/>
    <cellStyle name="Input 20 4 3 5 4" xfId="38502" xr:uid="{00000000-0005-0000-0000-0000445E0000}"/>
    <cellStyle name="Input 20 4 3 6" xfId="21749" xr:uid="{00000000-0005-0000-0000-0000455E0000}"/>
    <cellStyle name="Input 20 4 3 6 2" xfId="47286" xr:uid="{00000000-0005-0000-0000-0000465E0000}"/>
    <cellStyle name="Input 20 4 3 6 3" xfId="51192" xr:uid="{00000000-0005-0000-0000-0000475E0000}"/>
    <cellStyle name="Input 20 4 3 7" xfId="41089" xr:uid="{00000000-0005-0000-0000-0000485E0000}"/>
    <cellStyle name="Input 20 4 3 8" xfId="42734" xr:uid="{00000000-0005-0000-0000-0000495E0000}"/>
    <cellStyle name="Input 20 4 4" xfId="14853" xr:uid="{00000000-0005-0000-0000-00004A5E0000}"/>
    <cellStyle name="Input 20 4 4 2" xfId="42969" xr:uid="{00000000-0005-0000-0000-00004B5E0000}"/>
    <cellStyle name="Input 20 4 4 3" xfId="40313" xr:uid="{00000000-0005-0000-0000-00004C5E0000}"/>
    <cellStyle name="Input 20 4 4 4" xfId="32488" xr:uid="{00000000-0005-0000-0000-00004D5E0000}"/>
    <cellStyle name="Input 20 4 5" xfId="13119" xr:uid="{00000000-0005-0000-0000-00004E5E0000}"/>
    <cellStyle name="Input 20 4 5 2" xfId="42340" xr:uid="{00000000-0005-0000-0000-00004F5E0000}"/>
    <cellStyle name="Input 20 4 5 3" xfId="39302" xr:uid="{00000000-0005-0000-0000-0000505E0000}"/>
    <cellStyle name="Input 20 4 5 4" xfId="30768" xr:uid="{00000000-0005-0000-0000-0000515E0000}"/>
    <cellStyle name="Input 20 4 6" xfId="12323" xr:uid="{00000000-0005-0000-0000-0000525E0000}"/>
    <cellStyle name="Input 20 4 6 2" xfId="41956" xr:uid="{00000000-0005-0000-0000-0000535E0000}"/>
    <cellStyle name="Input 20 4 6 3" xfId="40555" xr:uid="{00000000-0005-0000-0000-0000545E0000}"/>
    <cellStyle name="Input 20 4 6 4" xfId="29994" xr:uid="{00000000-0005-0000-0000-0000555E0000}"/>
    <cellStyle name="Input 20 4 7" xfId="19199" xr:uid="{00000000-0005-0000-0000-0000565E0000}"/>
    <cellStyle name="Input 20 4 7 2" xfId="44736" xr:uid="{00000000-0005-0000-0000-0000575E0000}"/>
    <cellStyle name="Input 20 4 7 3" xfId="48642" xr:uid="{00000000-0005-0000-0000-0000585E0000}"/>
    <cellStyle name="Input 20 4 7 4" xfId="36785" xr:uid="{00000000-0005-0000-0000-0000595E0000}"/>
    <cellStyle name="Input 20 4 8" xfId="20618" xr:uid="{00000000-0005-0000-0000-00005A5E0000}"/>
    <cellStyle name="Input 20 4 8 2" xfId="46155" xr:uid="{00000000-0005-0000-0000-00005B5E0000}"/>
    <cellStyle name="Input 20 4 8 3" xfId="50061" xr:uid="{00000000-0005-0000-0000-00005C5E0000}"/>
    <cellStyle name="Input 20 4 9" xfId="39829" xr:uid="{00000000-0005-0000-0000-00005D5E0000}"/>
    <cellStyle name="Input 20 5" xfId="22449" xr:uid="{00000000-0005-0000-0000-00005E5E0000}"/>
    <cellStyle name="Input 20 6" xfId="53061" xr:uid="{00000000-0005-0000-0000-00005F5E0000}"/>
    <cellStyle name="Input 20_Sheet1" xfId="1880" xr:uid="{00000000-0005-0000-0000-0000605E0000}"/>
    <cellStyle name="Input 21" xfId="1881" xr:uid="{00000000-0005-0000-0000-0000615E0000}"/>
    <cellStyle name="Input 21 2" xfId="1882" xr:uid="{00000000-0005-0000-0000-0000625E0000}"/>
    <cellStyle name="Input 21 2 2" xfId="1883" xr:uid="{00000000-0005-0000-0000-0000635E0000}"/>
    <cellStyle name="Input 21 2 2 2" xfId="7071" xr:uid="{00000000-0005-0000-0000-0000645E0000}"/>
    <cellStyle name="Input 21 2 2 2 10" xfId="39621" xr:uid="{00000000-0005-0000-0000-0000655E0000}"/>
    <cellStyle name="Input 21 2 2 2 2" xfId="10601" xr:uid="{00000000-0005-0000-0000-0000665E0000}"/>
    <cellStyle name="Input 21 2 2 2 2 2" xfId="18394" xr:uid="{00000000-0005-0000-0000-0000675E0000}"/>
    <cellStyle name="Input 21 2 2 2 2 2 2" xfId="43941" xr:uid="{00000000-0005-0000-0000-0000685E0000}"/>
    <cellStyle name="Input 21 2 2 2 2 2 3" xfId="47850" xr:uid="{00000000-0005-0000-0000-0000695E0000}"/>
    <cellStyle name="Input 21 2 2 2 2 2 4" xfId="36031" xr:uid="{00000000-0005-0000-0000-00006A5E0000}"/>
    <cellStyle name="Input 21 2 2 2 2 3" xfId="19751" xr:uid="{00000000-0005-0000-0000-00006B5E0000}"/>
    <cellStyle name="Input 21 2 2 2 2 3 2" xfId="45288" xr:uid="{00000000-0005-0000-0000-00006C5E0000}"/>
    <cellStyle name="Input 21 2 2 2 2 3 3" xfId="49194" xr:uid="{00000000-0005-0000-0000-00006D5E0000}"/>
    <cellStyle name="Input 21 2 2 2 2 3 4" xfId="37278" xr:uid="{00000000-0005-0000-0000-00006E5E0000}"/>
    <cellStyle name="Input 21 2 2 2 2 4" xfId="19065" xr:uid="{00000000-0005-0000-0000-00006F5E0000}"/>
    <cellStyle name="Input 21 2 2 2 2 4 2" xfId="44602" xr:uid="{00000000-0005-0000-0000-0000705E0000}"/>
    <cellStyle name="Input 21 2 2 2 2 4 3" xfId="48508" xr:uid="{00000000-0005-0000-0000-0000715E0000}"/>
    <cellStyle name="Input 21 2 2 2 2 4 4" xfId="36664" xr:uid="{00000000-0005-0000-0000-0000725E0000}"/>
    <cellStyle name="Input 21 2 2 2 2 5" xfId="20807" xr:uid="{00000000-0005-0000-0000-0000735E0000}"/>
    <cellStyle name="Input 21 2 2 2 2 5 2" xfId="46344" xr:uid="{00000000-0005-0000-0000-0000745E0000}"/>
    <cellStyle name="Input 21 2 2 2 2 5 3" xfId="50250" xr:uid="{00000000-0005-0000-0000-0000755E0000}"/>
    <cellStyle name="Input 21 2 2 2 2 5 4" xfId="38213" xr:uid="{00000000-0005-0000-0000-0000765E0000}"/>
    <cellStyle name="Input 21 2 2 2 2 6" xfId="21460" xr:uid="{00000000-0005-0000-0000-0000775E0000}"/>
    <cellStyle name="Input 21 2 2 2 2 6 2" xfId="46997" xr:uid="{00000000-0005-0000-0000-0000785E0000}"/>
    <cellStyle name="Input 21 2 2 2 2 6 3" xfId="50903" xr:uid="{00000000-0005-0000-0000-0000795E0000}"/>
    <cellStyle name="Input 21 2 2 2 2 7" xfId="40800" xr:uid="{00000000-0005-0000-0000-00007A5E0000}"/>
    <cellStyle name="Input 21 2 2 2 2 8" xfId="42851" xr:uid="{00000000-0005-0000-0000-00007B5E0000}"/>
    <cellStyle name="Input 21 2 2 2 3" xfId="10896" xr:uid="{00000000-0005-0000-0000-00007C5E0000}"/>
    <cellStyle name="Input 21 2 2 2 3 2" xfId="18689" xr:uid="{00000000-0005-0000-0000-00007D5E0000}"/>
    <cellStyle name="Input 21 2 2 2 3 2 2" xfId="44236" xr:uid="{00000000-0005-0000-0000-00007E5E0000}"/>
    <cellStyle name="Input 21 2 2 2 3 2 3" xfId="48145" xr:uid="{00000000-0005-0000-0000-00007F5E0000}"/>
    <cellStyle name="Input 21 2 2 2 3 2 4" xfId="36326" xr:uid="{00000000-0005-0000-0000-0000805E0000}"/>
    <cellStyle name="Input 21 2 2 2 3 3" xfId="12180" xr:uid="{00000000-0005-0000-0000-0000815E0000}"/>
    <cellStyle name="Input 21 2 2 2 3 3 2" xfId="41925" xr:uid="{00000000-0005-0000-0000-0000825E0000}"/>
    <cellStyle name="Input 21 2 2 2 3 3 3" xfId="39320" xr:uid="{00000000-0005-0000-0000-0000835E0000}"/>
    <cellStyle name="Input 21 2 2 2 3 3 4" xfId="29852" xr:uid="{00000000-0005-0000-0000-0000845E0000}"/>
    <cellStyle name="Input 21 2 2 2 3 4" xfId="20360" xr:uid="{00000000-0005-0000-0000-0000855E0000}"/>
    <cellStyle name="Input 21 2 2 2 3 4 2" xfId="45897" xr:uid="{00000000-0005-0000-0000-0000865E0000}"/>
    <cellStyle name="Input 21 2 2 2 3 4 3" xfId="49803" xr:uid="{00000000-0005-0000-0000-0000875E0000}"/>
    <cellStyle name="Input 21 2 2 2 3 4 4" xfId="37816" xr:uid="{00000000-0005-0000-0000-0000885E0000}"/>
    <cellStyle name="Input 21 2 2 2 3 5" xfId="21102" xr:uid="{00000000-0005-0000-0000-0000895E0000}"/>
    <cellStyle name="Input 21 2 2 2 3 5 2" xfId="46639" xr:uid="{00000000-0005-0000-0000-00008A5E0000}"/>
    <cellStyle name="Input 21 2 2 2 3 5 3" xfId="50545" xr:uid="{00000000-0005-0000-0000-00008B5E0000}"/>
    <cellStyle name="Input 21 2 2 2 3 5 4" xfId="38508" xr:uid="{00000000-0005-0000-0000-00008C5E0000}"/>
    <cellStyle name="Input 21 2 2 2 3 6" xfId="21755" xr:uid="{00000000-0005-0000-0000-00008D5E0000}"/>
    <cellStyle name="Input 21 2 2 2 3 6 2" xfId="47292" xr:uid="{00000000-0005-0000-0000-00008E5E0000}"/>
    <cellStyle name="Input 21 2 2 2 3 6 3" xfId="51198" xr:uid="{00000000-0005-0000-0000-00008F5E0000}"/>
    <cellStyle name="Input 21 2 2 2 3 7" xfId="41095" xr:uid="{00000000-0005-0000-0000-0000905E0000}"/>
    <cellStyle name="Input 21 2 2 2 3 8" xfId="40375" xr:uid="{00000000-0005-0000-0000-0000915E0000}"/>
    <cellStyle name="Input 21 2 2 2 4" xfId="14859" xr:uid="{00000000-0005-0000-0000-0000925E0000}"/>
    <cellStyle name="Input 21 2 2 2 4 2" xfId="42975" xr:uid="{00000000-0005-0000-0000-0000935E0000}"/>
    <cellStyle name="Input 21 2 2 2 4 3" xfId="41947" xr:uid="{00000000-0005-0000-0000-0000945E0000}"/>
    <cellStyle name="Input 21 2 2 2 4 4" xfId="32494" xr:uid="{00000000-0005-0000-0000-0000955E0000}"/>
    <cellStyle name="Input 21 2 2 2 5" xfId="13122" xr:uid="{00000000-0005-0000-0000-0000965E0000}"/>
    <cellStyle name="Input 21 2 2 2 5 2" xfId="42343" xr:uid="{00000000-0005-0000-0000-0000975E0000}"/>
    <cellStyle name="Input 21 2 2 2 5 3" xfId="41307" xr:uid="{00000000-0005-0000-0000-0000985E0000}"/>
    <cellStyle name="Input 21 2 2 2 5 4" xfId="30771" xr:uid="{00000000-0005-0000-0000-0000995E0000}"/>
    <cellStyle name="Input 21 2 2 2 6" xfId="19473" xr:uid="{00000000-0005-0000-0000-00009A5E0000}"/>
    <cellStyle name="Input 21 2 2 2 6 2" xfId="45010" xr:uid="{00000000-0005-0000-0000-00009B5E0000}"/>
    <cellStyle name="Input 21 2 2 2 6 3" xfId="48916" xr:uid="{00000000-0005-0000-0000-00009C5E0000}"/>
    <cellStyle name="Input 21 2 2 2 6 4" xfId="37031" xr:uid="{00000000-0005-0000-0000-00009D5E0000}"/>
    <cellStyle name="Input 21 2 2 2 7" xfId="11568" xr:uid="{00000000-0005-0000-0000-00009E5E0000}"/>
    <cellStyle name="Input 21 2 2 2 7 2" xfId="41579" xr:uid="{00000000-0005-0000-0000-00009F5E0000}"/>
    <cellStyle name="Input 21 2 2 2 7 3" xfId="39468" xr:uid="{00000000-0005-0000-0000-0000A05E0000}"/>
    <cellStyle name="Input 21 2 2 2 7 4" xfId="29279" xr:uid="{00000000-0005-0000-0000-0000A15E0000}"/>
    <cellStyle name="Input 21 2 2 2 8" xfId="19453" xr:uid="{00000000-0005-0000-0000-0000A25E0000}"/>
    <cellStyle name="Input 21 2 2 2 8 2" xfId="44990" xr:uid="{00000000-0005-0000-0000-0000A35E0000}"/>
    <cellStyle name="Input 21 2 2 2 8 3" xfId="48896" xr:uid="{00000000-0005-0000-0000-0000A45E0000}"/>
    <cellStyle name="Input 21 2 2 2 9" xfId="39835" xr:uid="{00000000-0005-0000-0000-0000A55E0000}"/>
    <cellStyle name="Input 21 2 2 3" xfId="53069" xr:uid="{00000000-0005-0000-0000-0000A65E0000}"/>
    <cellStyle name="Input 21 2 3" xfId="7070" xr:uid="{00000000-0005-0000-0000-0000A75E0000}"/>
    <cellStyle name="Input 21 2 3 10" xfId="40511" xr:uid="{00000000-0005-0000-0000-0000A85E0000}"/>
    <cellStyle name="Input 21 2 3 11" xfId="53070" xr:uid="{00000000-0005-0000-0000-0000A95E0000}"/>
    <cellStyle name="Input 21 2 3 2" xfId="10600" xr:uid="{00000000-0005-0000-0000-0000AA5E0000}"/>
    <cellStyle name="Input 21 2 3 2 2" xfId="18393" xr:uid="{00000000-0005-0000-0000-0000AB5E0000}"/>
    <cellStyle name="Input 21 2 3 2 2 2" xfId="43940" xr:uid="{00000000-0005-0000-0000-0000AC5E0000}"/>
    <cellStyle name="Input 21 2 3 2 2 3" xfId="47849" xr:uid="{00000000-0005-0000-0000-0000AD5E0000}"/>
    <cellStyle name="Input 21 2 3 2 2 4" xfId="36030" xr:uid="{00000000-0005-0000-0000-0000AE5E0000}"/>
    <cellStyle name="Input 21 2 3 2 3" xfId="19132" xr:uid="{00000000-0005-0000-0000-0000AF5E0000}"/>
    <cellStyle name="Input 21 2 3 2 3 2" xfId="44669" xr:uid="{00000000-0005-0000-0000-0000B05E0000}"/>
    <cellStyle name="Input 21 2 3 2 3 3" xfId="48575" xr:uid="{00000000-0005-0000-0000-0000B15E0000}"/>
    <cellStyle name="Input 21 2 3 2 3 4" xfId="36727" xr:uid="{00000000-0005-0000-0000-0000B25E0000}"/>
    <cellStyle name="Input 21 2 3 2 4" xfId="19204" xr:uid="{00000000-0005-0000-0000-0000B35E0000}"/>
    <cellStyle name="Input 21 2 3 2 4 2" xfId="44741" xr:uid="{00000000-0005-0000-0000-0000B45E0000}"/>
    <cellStyle name="Input 21 2 3 2 4 3" xfId="48647" xr:uid="{00000000-0005-0000-0000-0000B55E0000}"/>
    <cellStyle name="Input 21 2 3 2 4 4" xfId="36789" xr:uid="{00000000-0005-0000-0000-0000B65E0000}"/>
    <cellStyle name="Input 21 2 3 2 5" xfId="20806" xr:uid="{00000000-0005-0000-0000-0000B75E0000}"/>
    <cellStyle name="Input 21 2 3 2 5 2" xfId="46343" xr:uid="{00000000-0005-0000-0000-0000B85E0000}"/>
    <cellStyle name="Input 21 2 3 2 5 3" xfId="50249" xr:uid="{00000000-0005-0000-0000-0000B95E0000}"/>
    <cellStyle name="Input 21 2 3 2 5 4" xfId="38212" xr:uid="{00000000-0005-0000-0000-0000BA5E0000}"/>
    <cellStyle name="Input 21 2 3 2 6" xfId="21459" xr:uid="{00000000-0005-0000-0000-0000BB5E0000}"/>
    <cellStyle name="Input 21 2 3 2 6 2" xfId="46996" xr:uid="{00000000-0005-0000-0000-0000BC5E0000}"/>
    <cellStyle name="Input 21 2 3 2 6 3" xfId="50902" xr:uid="{00000000-0005-0000-0000-0000BD5E0000}"/>
    <cellStyle name="Input 21 2 3 2 7" xfId="40799" xr:uid="{00000000-0005-0000-0000-0000BE5E0000}"/>
    <cellStyle name="Input 21 2 3 2 8" xfId="40102" xr:uid="{00000000-0005-0000-0000-0000BF5E0000}"/>
    <cellStyle name="Input 21 2 3 3" xfId="10895" xr:uid="{00000000-0005-0000-0000-0000C05E0000}"/>
    <cellStyle name="Input 21 2 3 3 2" xfId="18688" xr:uid="{00000000-0005-0000-0000-0000C15E0000}"/>
    <cellStyle name="Input 21 2 3 3 2 2" xfId="44235" xr:uid="{00000000-0005-0000-0000-0000C25E0000}"/>
    <cellStyle name="Input 21 2 3 3 2 3" xfId="48144" xr:uid="{00000000-0005-0000-0000-0000C35E0000}"/>
    <cellStyle name="Input 21 2 3 3 2 4" xfId="36325" xr:uid="{00000000-0005-0000-0000-0000C45E0000}"/>
    <cellStyle name="Input 21 2 3 3 3" xfId="11525" xr:uid="{00000000-0005-0000-0000-0000C55E0000}"/>
    <cellStyle name="Input 21 2 3 3 3 2" xfId="41536" xr:uid="{00000000-0005-0000-0000-0000C65E0000}"/>
    <cellStyle name="Input 21 2 3 3 3 3" xfId="39575" xr:uid="{00000000-0005-0000-0000-0000C75E0000}"/>
    <cellStyle name="Input 21 2 3 3 3 4" xfId="29240" xr:uid="{00000000-0005-0000-0000-0000C85E0000}"/>
    <cellStyle name="Input 21 2 3 3 4" xfId="19688" xr:uid="{00000000-0005-0000-0000-0000C95E0000}"/>
    <cellStyle name="Input 21 2 3 3 4 2" xfId="45225" xr:uid="{00000000-0005-0000-0000-0000CA5E0000}"/>
    <cellStyle name="Input 21 2 3 3 4 3" xfId="49131" xr:uid="{00000000-0005-0000-0000-0000CB5E0000}"/>
    <cellStyle name="Input 21 2 3 3 4 4" xfId="37219" xr:uid="{00000000-0005-0000-0000-0000CC5E0000}"/>
    <cellStyle name="Input 21 2 3 3 5" xfId="21101" xr:uid="{00000000-0005-0000-0000-0000CD5E0000}"/>
    <cellStyle name="Input 21 2 3 3 5 2" xfId="46638" xr:uid="{00000000-0005-0000-0000-0000CE5E0000}"/>
    <cellStyle name="Input 21 2 3 3 5 3" xfId="50544" xr:uid="{00000000-0005-0000-0000-0000CF5E0000}"/>
    <cellStyle name="Input 21 2 3 3 5 4" xfId="38507" xr:uid="{00000000-0005-0000-0000-0000D05E0000}"/>
    <cellStyle name="Input 21 2 3 3 6" xfId="21754" xr:uid="{00000000-0005-0000-0000-0000D15E0000}"/>
    <cellStyle name="Input 21 2 3 3 6 2" xfId="47291" xr:uid="{00000000-0005-0000-0000-0000D25E0000}"/>
    <cellStyle name="Input 21 2 3 3 6 3" xfId="51197" xr:uid="{00000000-0005-0000-0000-0000D35E0000}"/>
    <cellStyle name="Input 21 2 3 3 7" xfId="41094" xr:uid="{00000000-0005-0000-0000-0000D45E0000}"/>
    <cellStyle name="Input 21 2 3 3 8" xfId="43512" xr:uid="{00000000-0005-0000-0000-0000D55E0000}"/>
    <cellStyle name="Input 21 2 3 4" xfId="14858" xr:uid="{00000000-0005-0000-0000-0000D65E0000}"/>
    <cellStyle name="Input 21 2 3 4 2" xfId="42974" xr:uid="{00000000-0005-0000-0000-0000D75E0000}"/>
    <cellStyle name="Input 21 2 3 4 3" xfId="39272" xr:uid="{00000000-0005-0000-0000-0000D85E0000}"/>
    <cellStyle name="Input 21 2 3 4 4" xfId="32493" xr:uid="{00000000-0005-0000-0000-0000D95E0000}"/>
    <cellStyle name="Input 21 2 3 5" xfId="11295" xr:uid="{00000000-0005-0000-0000-0000DA5E0000}"/>
    <cellStyle name="Input 21 2 3 5 2" xfId="41342" xr:uid="{00000000-0005-0000-0000-0000DB5E0000}"/>
    <cellStyle name="Input 21 2 3 5 3" xfId="39474" xr:uid="{00000000-0005-0000-0000-0000DC5E0000}"/>
    <cellStyle name="Input 21 2 3 5 4" xfId="29023" xr:uid="{00000000-0005-0000-0000-0000DD5E0000}"/>
    <cellStyle name="Input 21 2 3 6" xfId="19537" xr:uid="{00000000-0005-0000-0000-0000DE5E0000}"/>
    <cellStyle name="Input 21 2 3 6 2" xfId="45074" xr:uid="{00000000-0005-0000-0000-0000DF5E0000}"/>
    <cellStyle name="Input 21 2 3 6 3" xfId="48980" xr:uid="{00000000-0005-0000-0000-0000E05E0000}"/>
    <cellStyle name="Input 21 2 3 6 4" xfId="37084" xr:uid="{00000000-0005-0000-0000-0000E15E0000}"/>
    <cellStyle name="Input 21 2 3 7" xfId="19019" xr:uid="{00000000-0005-0000-0000-0000E25E0000}"/>
    <cellStyle name="Input 21 2 3 7 2" xfId="44556" xr:uid="{00000000-0005-0000-0000-0000E35E0000}"/>
    <cellStyle name="Input 21 2 3 7 3" xfId="48462" xr:uid="{00000000-0005-0000-0000-0000E45E0000}"/>
    <cellStyle name="Input 21 2 3 7 4" xfId="36627" xr:uid="{00000000-0005-0000-0000-0000E55E0000}"/>
    <cellStyle name="Input 21 2 3 8" xfId="19009" xr:uid="{00000000-0005-0000-0000-0000E65E0000}"/>
    <cellStyle name="Input 21 2 3 8 2" xfId="44546" xr:uid="{00000000-0005-0000-0000-0000E75E0000}"/>
    <cellStyle name="Input 21 2 3 8 3" xfId="48452" xr:uid="{00000000-0005-0000-0000-0000E85E0000}"/>
    <cellStyle name="Input 21 2 3 9" xfId="39834" xr:uid="{00000000-0005-0000-0000-0000E95E0000}"/>
    <cellStyle name="Input 21 2 4" xfId="22452" xr:uid="{00000000-0005-0000-0000-0000EA5E0000}"/>
    <cellStyle name="Input 21 2 5" xfId="53068" xr:uid="{00000000-0005-0000-0000-0000EB5E0000}"/>
    <cellStyle name="Input 21 2_Sheet1" xfId="1884" xr:uid="{00000000-0005-0000-0000-0000EC5E0000}"/>
    <cellStyle name="Input 21 3" xfId="1885" xr:uid="{00000000-0005-0000-0000-0000ED5E0000}"/>
    <cellStyle name="Input 21 3 2" xfId="7072" xr:uid="{00000000-0005-0000-0000-0000EE5E0000}"/>
    <cellStyle name="Input 21 3 2 10" xfId="42629" xr:uid="{00000000-0005-0000-0000-0000EF5E0000}"/>
    <cellStyle name="Input 21 3 2 2" xfId="10602" xr:uid="{00000000-0005-0000-0000-0000F05E0000}"/>
    <cellStyle name="Input 21 3 2 2 2" xfId="18395" xr:uid="{00000000-0005-0000-0000-0000F15E0000}"/>
    <cellStyle name="Input 21 3 2 2 2 2" xfId="43942" xr:uid="{00000000-0005-0000-0000-0000F25E0000}"/>
    <cellStyle name="Input 21 3 2 2 2 3" xfId="47851" xr:uid="{00000000-0005-0000-0000-0000F35E0000}"/>
    <cellStyle name="Input 21 3 2 2 2 4" xfId="36032" xr:uid="{00000000-0005-0000-0000-0000F45E0000}"/>
    <cellStyle name="Input 21 3 2 2 3" xfId="11498" xr:uid="{00000000-0005-0000-0000-0000F55E0000}"/>
    <cellStyle name="Input 21 3 2 2 3 2" xfId="41509" xr:uid="{00000000-0005-0000-0000-0000F65E0000}"/>
    <cellStyle name="Input 21 3 2 2 3 3" xfId="42822" xr:uid="{00000000-0005-0000-0000-0000F75E0000}"/>
    <cellStyle name="Input 21 3 2 2 3 4" xfId="29213" xr:uid="{00000000-0005-0000-0000-0000F85E0000}"/>
    <cellStyle name="Input 21 3 2 2 4" xfId="19197" xr:uid="{00000000-0005-0000-0000-0000F95E0000}"/>
    <cellStyle name="Input 21 3 2 2 4 2" xfId="44734" xr:uid="{00000000-0005-0000-0000-0000FA5E0000}"/>
    <cellStyle name="Input 21 3 2 2 4 3" xfId="48640" xr:uid="{00000000-0005-0000-0000-0000FB5E0000}"/>
    <cellStyle name="Input 21 3 2 2 4 4" xfId="36784" xr:uid="{00000000-0005-0000-0000-0000FC5E0000}"/>
    <cellStyle name="Input 21 3 2 2 5" xfId="20808" xr:uid="{00000000-0005-0000-0000-0000FD5E0000}"/>
    <cellStyle name="Input 21 3 2 2 5 2" xfId="46345" xr:uid="{00000000-0005-0000-0000-0000FE5E0000}"/>
    <cellStyle name="Input 21 3 2 2 5 3" xfId="50251" xr:uid="{00000000-0005-0000-0000-0000FF5E0000}"/>
    <cellStyle name="Input 21 3 2 2 5 4" xfId="38214" xr:uid="{00000000-0005-0000-0000-0000005F0000}"/>
    <cellStyle name="Input 21 3 2 2 6" xfId="21461" xr:uid="{00000000-0005-0000-0000-0000015F0000}"/>
    <cellStyle name="Input 21 3 2 2 6 2" xfId="46998" xr:uid="{00000000-0005-0000-0000-0000025F0000}"/>
    <cellStyle name="Input 21 3 2 2 6 3" xfId="50904" xr:uid="{00000000-0005-0000-0000-0000035F0000}"/>
    <cellStyle name="Input 21 3 2 2 7" xfId="40801" xr:uid="{00000000-0005-0000-0000-0000045F0000}"/>
    <cellStyle name="Input 21 3 2 2 8" xfId="43740" xr:uid="{00000000-0005-0000-0000-0000055F0000}"/>
    <cellStyle name="Input 21 3 2 3" xfId="10897" xr:uid="{00000000-0005-0000-0000-0000065F0000}"/>
    <cellStyle name="Input 21 3 2 3 2" xfId="18690" xr:uid="{00000000-0005-0000-0000-0000075F0000}"/>
    <cellStyle name="Input 21 3 2 3 2 2" xfId="44237" xr:uid="{00000000-0005-0000-0000-0000085F0000}"/>
    <cellStyle name="Input 21 3 2 3 2 3" xfId="48146" xr:uid="{00000000-0005-0000-0000-0000095F0000}"/>
    <cellStyle name="Input 21 3 2 3 2 4" xfId="36327" xr:uid="{00000000-0005-0000-0000-00000A5F0000}"/>
    <cellStyle name="Input 21 3 2 3 3" xfId="13351" xr:uid="{00000000-0005-0000-0000-00000B5F0000}"/>
    <cellStyle name="Input 21 3 2 3 3 2" xfId="42521" xr:uid="{00000000-0005-0000-0000-00000C5F0000}"/>
    <cellStyle name="Input 21 3 2 3 3 3" xfId="39070" xr:uid="{00000000-0005-0000-0000-00000D5F0000}"/>
    <cellStyle name="Input 21 3 2 3 3 4" xfId="30991" xr:uid="{00000000-0005-0000-0000-00000E5F0000}"/>
    <cellStyle name="Input 21 3 2 3 4" xfId="20299" xr:uid="{00000000-0005-0000-0000-00000F5F0000}"/>
    <cellStyle name="Input 21 3 2 3 4 2" xfId="45836" xr:uid="{00000000-0005-0000-0000-0000105F0000}"/>
    <cellStyle name="Input 21 3 2 3 4 3" xfId="49742" xr:uid="{00000000-0005-0000-0000-0000115F0000}"/>
    <cellStyle name="Input 21 3 2 3 4 4" xfId="37765" xr:uid="{00000000-0005-0000-0000-0000125F0000}"/>
    <cellStyle name="Input 21 3 2 3 5" xfId="21103" xr:uid="{00000000-0005-0000-0000-0000135F0000}"/>
    <cellStyle name="Input 21 3 2 3 5 2" xfId="46640" xr:uid="{00000000-0005-0000-0000-0000145F0000}"/>
    <cellStyle name="Input 21 3 2 3 5 3" xfId="50546" xr:uid="{00000000-0005-0000-0000-0000155F0000}"/>
    <cellStyle name="Input 21 3 2 3 5 4" xfId="38509" xr:uid="{00000000-0005-0000-0000-0000165F0000}"/>
    <cellStyle name="Input 21 3 2 3 6" xfId="21756" xr:uid="{00000000-0005-0000-0000-0000175F0000}"/>
    <cellStyle name="Input 21 3 2 3 6 2" xfId="47293" xr:uid="{00000000-0005-0000-0000-0000185F0000}"/>
    <cellStyle name="Input 21 3 2 3 6 3" xfId="51199" xr:uid="{00000000-0005-0000-0000-0000195F0000}"/>
    <cellStyle name="Input 21 3 2 3 7" xfId="41096" xr:uid="{00000000-0005-0000-0000-00001A5F0000}"/>
    <cellStyle name="Input 21 3 2 3 8" xfId="39487" xr:uid="{00000000-0005-0000-0000-00001B5F0000}"/>
    <cellStyle name="Input 21 3 2 4" xfId="14860" xr:uid="{00000000-0005-0000-0000-00001C5F0000}"/>
    <cellStyle name="Input 21 3 2 4 2" xfId="42976" xr:uid="{00000000-0005-0000-0000-00001D5F0000}"/>
    <cellStyle name="Input 21 3 2 4 3" xfId="43301" xr:uid="{00000000-0005-0000-0000-00001E5F0000}"/>
    <cellStyle name="Input 21 3 2 4 4" xfId="32495" xr:uid="{00000000-0005-0000-0000-00001F5F0000}"/>
    <cellStyle name="Input 21 3 2 5" xfId="13123" xr:uid="{00000000-0005-0000-0000-0000205F0000}"/>
    <cellStyle name="Input 21 3 2 5 2" xfId="42344" xr:uid="{00000000-0005-0000-0000-0000215F0000}"/>
    <cellStyle name="Input 21 3 2 5 3" xfId="43194" xr:uid="{00000000-0005-0000-0000-0000225F0000}"/>
    <cellStyle name="Input 21 3 2 5 4" xfId="30772" xr:uid="{00000000-0005-0000-0000-0000235F0000}"/>
    <cellStyle name="Input 21 3 2 6" xfId="12735" xr:uid="{00000000-0005-0000-0000-0000245F0000}"/>
    <cellStyle name="Input 21 3 2 6 2" xfId="42189" xr:uid="{00000000-0005-0000-0000-0000255F0000}"/>
    <cellStyle name="Input 21 3 2 6 3" xfId="40335" xr:uid="{00000000-0005-0000-0000-0000265F0000}"/>
    <cellStyle name="Input 21 3 2 6 4" xfId="30393" xr:uid="{00000000-0005-0000-0000-0000275F0000}"/>
    <cellStyle name="Input 21 3 2 7" xfId="13310" xr:uid="{00000000-0005-0000-0000-0000285F0000}"/>
    <cellStyle name="Input 21 3 2 7 2" xfId="42480" xr:uid="{00000000-0005-0000-0000-0000295F0000}"/>
    <cellStyle name="Input 21 3 2 7 3" xfId="40321" xr:uid="{00000000-0005-0000-0000-00002A5F0000}"/>
    <cellStyle name="Input 21 3 2 7 4" xfId="30951" xr:uid="{00000000-0005-0000-0000-00002B5F0000}"/>
    <cellStyle name="Input 21 3 2 8" xfId="11587" xr:uid="{00000000-0005-0000-0000-00002C5F0000}"/>
    <cellStyle name="Input 21 3 2 8 2" xfId="41598" xr:uid="{00000000-0005-0000-0000-00002D5F0000}"/>
    <cellStyle name="Input 21 3 2 8 3" xfId="40211" xr:uid="{00000000-0005-0000-0000-00002E5F0000}"/>
    <cellStyle name="Input 21 3 2 9" xfId="39836" xr:uid="{00000000-0005-0000-0000-00002F5F0000}"/>
    <cellStyle name="Input 21 3 3" xfId="53071" xr:uid="{00000000-0005-0000-0000-0000305F0000}"/>
    <cellStyle name="Input 21 4" xfId="7069" xr:uid="{00000000-0005-0000-0000-0000315F0000}"/>
    <cellStyle name="Input 21 4 10" xfId="43653" xr:uid="{00000000-0005-0000-0000-0000325F0000}"/>
    <cellStyle name="Input 21 4 11" xfId="53072" xr:uid="{00000000-0005-0000-0000-0000335F0000}"/>
    <cellStyle name="Input 21 4 2" xfId="10599" xr:uid="{00000000-0005-0000-0000-0000345F0000}"/>
    <cellStyle name="Input 21 4 2 2" xfId="18392" xr:uid="{00000000-0005-0000-0000-0000355F0000}"/>
    <cellStyle name="Input 21 4 2 2 2" xfId="43939" xr:uid="{00000000-0005-0000-0000-0000365F0000}"/>
    <cellStyle name="Input 21 4 2 2 3" xfId="47848" xr:uid="{00000000-0005-0000-0000-0000375F0000}"/>
    <cellStyle name="Input 21 4 2 2 4" xfId="36029" xr:uid="{00000000-0005-0000-0000-0000385F0000}"/>
    <cellStyle name="Input 21 4 2 3" xfId="19909" xr:uid="{00000000-0005-0000-0000-0000395F0000}"/>
    <cellStyle name="Input 21 4 2 3 2" xfId="45446" xr:uid="{00000000-0005-0000-0000-00003A5F0000}"/>
    <cellStyle name="Input 21 4 2 3 3" xfId="49352" xr:uid="{00000000-0005-0000-0000-00003B5F0000}"/>
    <cellStyle name="Input 21 4 2 3 4" xfId="37423" xr:uid="{00000000-0005-0000-0000-00003C5F0000}"/>
    <cellStyle name="Input 21 4 2 4" xfId="19074" xr:uid="{00000000-0005-0000-0000-00003D5F0000}"/>
    <cellStyle name="Input 21 4 2 4 2" xfId="44611" xr:uid="{00000000-0005-0000-0000-00003E5F0000}"/>
    <cellStyle name="Input 21 4 2 4 3" xfId="48517" xr:uid="{00000000-0005-0000-0000-00003F5F0000}"/>
    <cellStyle name="Input 21 4 2 4 4" xfId="36671" xr:uid="{00000000-0005-0000-0000-0000405F0000}"/>
    <cellStyle name="Input 21 4 2 5" xfId="20805" xr:uid="{00000000-0005-0000-0000-0000415F0000}"/>
    <cellStyle name="Input 21 4 2 5 2" xfId="46342" xr:uid="{00000000-0005-0000-0000-0000425F0000}"/>
    <cellStyle name="Input 21 4 2 5 3" xfId="50248" xr:uid="{00000000-0005-0000-0000-0000435F0000}"/>
    <cellStyle name="Input 21 4 2 5 4" xfId="38211" xr:uid="{00000000-0005-0000-0000-0000445F0000}"/>
    <cellStyle name="Input 21 4 2 6" xfId="21458" xr:uid="{00000000-0005-0000-0000-0000455F0000}"/>
    <cellStyle name="Input 21 4 2 6 2" xfId="46995" xr:uid="{00000000-0005-0000-0000-0000465F0000}"/>
    <cellStyle name="Input 21 4 2 6 3" xfId="50901" xr:uid="{00000000-0005-0000-0000-0000475F0000}"/>
    <cellStyle name="Input 21 4 2 7" xfId="40798" xr:uid="{00000000-0005-0000-0000-0000485F0000}"/>
    <cellStyle name="Input 21 4 2 8" xfId="43243" xr:uid="{00000000-0005-0000-0000-0000495F0000}"/>
    <cellStyle name="Input 21 4 3" xfId="10894" xr:uid="{00000000-0005-0000-0000-00004A5F0000}"/>
    <cellStyle name="Input 21 4 3 2" xfId="18687" xr:uid="{00000000-0005-0000-0000-00004B5F0000}"/>
    <cellStyle name="Input 21 4 3 2 2" xfId="44234" xr:uid="{00000000-0005-0000-0000-00004C5F0000}"/>
    <cellStyle name="Input 21 4 3 2 3" xfId="48143" xr:uid="{00000000-0005-0000-0000-00004D5F0000}"/>
    <cellStyle name="Input 21 4 3 2 4" xfId="36324" xr:uid="{00000000-0005-0000-0000-00004E5F0000}"/>
    <cellStyle name="Input 21 4 3 3" xfId="11524" xr:uid="{00000000-0005-0000-0000-00004F5F0000}"/>
    <cellStyle name="Input 21 4 3 3 2" xfId="41535" xr:uid="{00000000-0005-0000-0000-0000505F0000}"/>
    <cellStyle name="Input 21 4 3 3 3" xfId="40464" xr:uid="{00000000-0005-0000-0000-0000515F0000}"/>
    <cellStyle name="Input 21 4 3 3 4" xfId="29239" xr:uid="{00000000-0005-0000-0000-0000525F0000}"/>
    <cellStyle name="Input 21 4 3 4" xfId="11685" xr:uid="{00000000-0005-0000-0000-0000535F0000}"/>
    <cellStyle name="Input 21 4 3 4 2" xfId="41696" xr:uid="{00000000-0005-0000-0000-0000545F0000}"/>
    <cellStyle name="Input 21 4 3 4 3" xfId="47508" xr:uid="{00000000-0005-0000-0000-0000555F0000}"/>
    <cellStyle name="Input 21 4 3 4 4" xfId="29378" xr:uid="{00000000-0005-0000-0000-0000565F0000}"/>
    <cellStyle name="Input 21 4 3 5" xfId="21100" xr:uid="{00000000-0005-0000-0000-0000575F0000}"/>
    <cellStyle name="Input 21 4 3 5 2" xfId="46637" xr:uid="{00000000-0005-0000-0000-0000585F0000}"/>
    <cellStyle name="Input 21 4 3 5 3" xfId="50543" xr:uid="{00000000-0005-0000-0000-0000595F0000}"/>
    <cellStyle name="Input 21 4 3 5 4" xfId="38506" xr:uid="{00000000-0005-0000-0000-00005A5F0000}"/>
    <cellStyle name="Input 21 4 3 6" xfId="21753" xr:uid="{00000000-0005-0000-0000-00005B5F0000}"/>
    <cellStyle name="Input 21 4 3 6 2" xfId="47290" xr:uid="{00000000-0005-0000-0000-00005C5F0000}"/>
    <cellStyle name="Input 21 4 3 6 3" xfId="51196" xr:uid="{00000000-0005-0000-0000-00005D5F0000}"/>
    <cellStyle name="Input 21 4 3 7" xfId="41093" xr:uid="{00000000-0005-0000-0000-00005E5F0000}"/>
    <cellStyle name="Input 21 4 3 8" xfId="42599" xr:uid="{00000000-0005-0000-0000-00005F5F0000}"/>
    <cellStyle name="Input 21 4 4" xfId="14857" xr:uid="{00000000-0005-0000-0000-0000605F0000}"/>
    <cellStyle name="Input 21 4 4 2" xfId="42973" xr:uid="{00000000-0005-0000-0000-0000615F0000}"/>
    <cellStyle name="Input 21 4 4 3" xfId="40158" xr:uid="{00000000-0005-0000-0000-0000625F0000}"/>
    <cellStyle name="Input 21 4 4 4" xfId="32492" xr:uid="{00000000-0005-0000-0000-0000635F0000}"/>
    <cellStyle name="Input 21 4 5" xfId="11294" xr:uid="{00000000-0005-0000-0000-0000645F0000}"/>
    <cellStyle name="Input 21 4 5 2" xfId="41341" xr:uid="{00000000-0005-0000-0000-0000655F0000}"/>
    <cellStyle name="Input 21 4 5 3" xfId="40362" xr:uid="{00000000-0005-0000-0000-0000665F0000}"/>
    <cellStyle name="Input 21 4 5 4" xfId="29022" xr:uid="{00000000-0005-0000-0000-0000675F0000}"/>
    <cellStyle name="Input 21 4 6" xfId="19654" xr:uid="{00000000-0005-0000-0000-0000685F0000}"/>
    <cellStyle name="Input 21 4 6 2" xfId="45191" xr:uid="{00000000-0005-0000-0000-0000695F0000}"/>
    <cellStyle name="Input 21 4 6 3" xfId="49097" xr:uid="{00000000-0005-0000-0000-00006A5F0000}"/>
    <cellStyle name="Input 21 4 6 4" xfId="37188" xr:uid="{00000000-0005-0000-0000-00006B5F0000}"/>
    <cellStyle name="Input 21 4 7" xfId="20531" xr:uid="{00000000-0005-0000-0000-00006C5F0000}"/>
    <cellStyle name="Input 21 4 7 2" xfId="46068" xr:uid="{00000000-0005-0000-0000-00006D5F0000}"/>
    <cellStyle name="Input 21 4 7 3" xfId="49974" xr:uid="{00000000-0005-0000-0000-00006E5F0000}"/>
    <cellStyle name="Input 21 4 7 4" xfId="37960" xr:uid="{00000000-0005-0000-0000-00006F5F0000}"/>
    <cellStyle name="Input 21 4 8" xfId="11715" xr:uid="{00000000-0005-0000-0000-0000705F0000}"/>
    <cellStyle name="Input 21 4 8 2" xfId="41709" xr:uid="{00000000-0005-0000-0000-0000715F0000}"/>
    <cellStyle name="Input 21 4 8 3" xfId="42707" xr:uid="{00000000-0005-0000-0000-0000725F0000}"/>
    <cellStyle name="Input 21 4 9" xfId="39833" xr:uid="{00000000-0005-0000-0000-0000735F0000}"/>
    <cellStyle name="Input 21 5" xfId="22451" xr:uid="{00000000-0005-0000-0000-0000745F0000}"/>
    <cellStyle name="Input 21 6" xfId="53067" xr:uid="{00000000-0005-0000-0000-0000755F0000}"/>
    <cellStyle name="Input 21_Sheet1" xfId="1886" xr:uid="{00000000-0005-0000-0000-0000765F0000}"/>
    <cellStyle name="Input 22" xfId="1887" xr:uid="{00000000-0005-0000-0000-0000775F0000}"/>
    <cellStyle name="Input 22 2" xfId="1888" xr:uid="{00000000-0005-0000-0000-0000785F0000}"/>
    <cellStyle name="Input 22 2 2" xfId="1889" xr:uid="{00000000-0005-0000-0000-0000795F0000}"/>
    <cellStyle name="Input 22 2 2 2" xfId="7075" xr:uid="{00000000-0005-0000-0000-00007A5F0000}"/>
    <cellStyle name="Input 22 2 2 2 10" xfId="39517" xr:uid="{00000000-0005-0000-0000-00007B5F0000}"/>
    <cellStyle name="Input 22 2 2 2 2" xfId="10605" xr:uid="{00000000-0005-0000-0000-00007C5F0000}"/>
    <cellStyle name="Input 22 2 2 2 2 2" xfId="18398" xr:uid="{00000000-0005-0000-0000-00007D5F0000}"/>
    <cellStyle name="Input 22 2 2 2 2 2 2" xfId="43945" xr:uid="{00000000-0005-0000-0000-00007E5F0000}"/>
    <cellStyle name="Input 22 2 2 2 2 2 3" xfId="47854" xr:uid="{00000000-0005-0000-0000-00007F5F0000}"/>
    <cellStyle name="Input 22 2 2 2 2 2 4" xfId="36035" xr:uid="{00000000-0005-0000-0000-0000805F0000}"/>
    <cellStyle name="Input 22 2 2 2 2 3" xfId="20167" xr:uid="{00000000-0005-0000-0000-0000815F0000}"/>
    <cellStyle name="Input 22 2 2 2 2 3 2" xfId="45704" xr:uid="{00000000-0005-0000-0000-0000825F0000}"/>
    <cellStyle name="Input 22 2 2 2 2 3 3" xfId="49610" xr:uid="{00000000-0005-0000-0000-0000835F0000}"/>
    <cellStyle name="Input 22 2 2 2 2 3 4" xfId="37653" xr:uid="{00000000-0005-0000-0000-0000845F0000}"/>
    <cellStyle name="Input 22 2 2 2 2 4" xfId="19089" xr:uid="{00000000-0005-0000-0000-0000855F0000}"/>
    <cellStyle name="Input 22 2 2 2 2 4 2" xfId="44626" xr:uid="{00000000-0005-0000-0000-0000865F0000}"/>
    <cellStyle name="Input 22 2 2 2 2 4 3" xfId="48532" xr:uid="{00000000-0005-0000-0000-0000875F0000}"/>
    <cellStyle name="Input 22 2 2 2 2 4 4" xfId="36685" xr:uid="{00000000-0005-0000-0000-0000885F0000}"/>
    <cellStyle name="Input 22 2 2 2 2 5" xfId="20811" xr:uid="{00000000-0005-0000-0000-0000895F0000}"/>
    <cellStyle name="Input 22 2 2 2 2 5 2" xfId="46348" xr:uid="{00000000-0005-0000-0000-00008A5F0000}"/>
    <cellStyle name="Input 22 2 2 2 2 5 3" xfId="50254" xr:uid="{00000000-0005-0000-0000-00008B5F0000}"/>
    <cellStyle name="Input 22 2 2 2 2 5 4" xfId="38217" xr:uid="{00000000-0005-0000-0000-00008C5F0000}"/>
    <cellStyle name="Input 22 2 2 2 2 6" xfId="21464" xr:uid="{00000000-0005-0000-0000-00008D5F0000}"/>
    <cellStyle name="Input 22 2 2 2 2 6 2" xfId="47001" xr:uid="{00000000-0005-0000-0000-00008E5F0000}"/>
    <cellStyle name="Input 22 2 2 2 2 6 3" xfId="50907" xr:uid="{00000000-0005-0000-0000-00008F5F0000}"/>
    <cellStyle name="Input 22 2 2 2 2 7" xfId="40804" xr:uid="{00000000-0005-0000-0000-0000905F0000}"/>
    <cellStyle name="Input 22 2 2 2 2 8" xfId="42747" xr:uid="{00000000-0005-0000-0000-0000915F0000}"/>
    <cellStyle name="Input 22 2 2 2 3" xfId="10900" xr:uid="{00000000-0005-0000-0000-0000925F0000}"/>
    <cellStyle name="Input 22 2 2 2 3 2" xfId="18693" xr:uid="{00000000-0005-0000-0000-0000935F0000}"/>
    <cellStyle name="Input 22 2 2 2 3 2 2" xfId="44240" xr:uid="{00000000-0005-0000-0000-0000945F0000}"/>
    <cellStyle name="Input 22 2 2 2 3 2 3" xfId="48149" xr:uid="{00000000-0005-0000-0000-0000955F0000}"/>
    <cellStyle name="Input 22 2 2 2 3 2 4" xfId="36330" xr:uid="{00000000-0005-0000-0000-0000965F0000}"/>
    <cellStyle name="Input 22 2 2 2 3 3" xfId="13353" xr:uid="{00000000-0005-0000-0000-0000975F0000}"/>
    <cellStyle name="Input 22 2 2 2 3 3 2" xfId="42523" xr:uid="{00000000-0005-0000-0000-0000985F0000}"/>
    <cellStyle name="Input 22 2 2 2 3 3 3" xfId="41300" xr:uid="{00000000-0005-0000-0000-0000995F0000}"/>
    <cellStyle name="Input 22 2 2 2 3 3 4" xfId="30993" xr:uid="{00000000-0005-0000-0000-00009A5F0000}"/>
    <cellStyle name="Input 22 2 2 2 3 4" xfId="12764" xr:uid="{00000000-0005-0000-0000-00009B5F0000}"/>
    <cellStyle name="Input 22 2 2 2 3 4 2" xfId="42209" xr:uid="{00000000-0005-0000-0000-00009C5F0000}"/>
    <cellStyle name="Input 22 2 2 2 3 4 3" xfId="43328" xr:uid="{00000000-0005-0000-0000-00009D5F0000}"/>
    <cellStyle name="Input 22 2 2 2 3 4 4" xfId="30422" xr:uid="{00000000-0005-0000-0000-00009E5F0000}"/>
    <cellStyle name="Input 22 2 2 2 3 5" xfId="21106" xr:uid="{00000000-0005-0000-0000-00009F5F0000}"/>
    <cellStyle name="Input 22 2 2 2 3 5 2" xfId="46643" xr:uid="{00000000-0005-0000-0000-0000A05F0000}"/>
    <cellStyle name="Input 22 2 2 2 3 5 3" xfId="50549" xr:uid="{00000000-0005-0000-0000-0000A15F0000}"/>
    <cellStyle name="Input 22 2 2 2 3 5 4" xfId="38512" xr:uid="{00000000-0005-0000-0000-0000A25F0000}"/>
    <cellStyle name="Input 22 2 2 2 3 6" xfId="21759" xr:uid="{00000000-0005-0000-0000-0000A35F0000}"/>
    <cellStyle name="Input 22 2 2 2 3 6 2" xfId="47296" xr:uid="{00000000-0005-0000-0000-0000A45F0000}"/>
    <cellStyle name="Input 22 2 2 2 3 6 3" xfId="51202" xr:uid="{00000000-0005-0000-0000-0000A55F0000}"/>
    <cellStyle name="Input 22 2 2 2 3 7" xfId="41099" xr:uid="{00000000-0005-0000-0000-0000A65F0000}"/>
    <cellStyle name="Input 22 2 2 2 3 8" xfId="40236" xr:uid="{00000000-0005-0000-0000-0000A75F0000}"/>
    <cellStyle name="Input 22 2 2 2 4" xfId="14863" xr:uid="{00000000-0005-0000-0000-0000A85F0000}"/>
    <cellStyle name="Input 22 2 2 2 4 2" xfId="42979" xr:uid="{00000000-0005-0000-0000-0000A95F0000}"/>
    <cellStyle name="Input 22 2 2 2 4 3" xfId="43671" xr:uid="{00000000-0005-0000-0000-0000AA5F0000}"/>
    <cellStyle name="Input 22 2 2 2 4 4" xfId="32498" xr:uid="{00000000-0005-0000-0000-0000AB5F0000}"/>
    <cellStyle name="Input 22 2 2 2 5" xfId="11297" xr:uid="{00000000-0005-0000-0000-0000AC5F0000}"/>
    <cellStyle name="Input 22 2 2 2 5 2" xfId="41344" xr:uid="{00000000-0005-0000-0000-0000AD5F0000}"/>
    <cellStyle name="Input 22 2 2 2 5 3" xfId="43359" xr:uid="{00000000-0005-0000-0000-0000AE5F0000}"/>
    <cellStyle name="Input 22 2 2 2 5 4" xfId="29025" xr:uid="{00000000-0005-0000-0000-0000AF5F0000}"/>
    <cellStyle name="Input 22 2 2 2 6" xfId="18996" xr:uid="{00000000-0005-0000-0000-0000B05F0000}"/>
    <cellStyle name="Input 22 2 2 2 6 2" xfId="44533" xr:uid="{00000000-0005-0000-0000-0000B15F0000}"/>
    <cellStyle name="Input 22 2 2 2 6 3" xfId="48439" xr:uid="{00000000-0005-0000-0000-0000B25F0000}"/>
    <cellStyle name="Input 22 2 2 2 6 4" xfId="36618" xr:uid="{00000000-0005-0000-0000-0000B35F0000}"/>
    <cellStyle name="Input 22 2 2 2 7" xfId="18889" xr:uid="{00000000-0005-0000-0000-0000B45F0000}"/>
    <cellStyle name="Input 22 2 2 2 7 2" xfId="44426" xr:uid="{00000000-0005-0000-0000-0000B55F0000}"/>
    <cellStyle name="Input 22 2 2 2 7 3" xfId="48332" xr:uid="{00000000-0005-0000-0000-0000B65F0000}"/>
    <cellStyle name="Input 22 2 2 2 7 4" xfId="36525" xr:uid="{00000000-0005-0000-0000-0000B75F0000}"/>
    <cellStyle name="Input 22 2 2 2 8" xfId="11855" xr:uid="{00000000-0005-0000-0000-0000B85F0000}"/>
    <cellStyle name="Input 22 2 2 2 8 2" xfId="41773" xr:uid="{00000000-0005-0000-0000-0000B95F0000}"/>
    <cellStyle name="Input 22 2 2 2 8 3" xfId="39147" xr:uid="{00000000-0005-0000-0000-0000BA5F0000}"/>
    <cellStyle name="Input 22 2 2 2 9" xfId="39839" xr:uid="{00000000-0005-0000-0000-0000BB5F0000}"/>
    <cellStyle name="Input 22 2 2 3" xfId="53075" xr:uid="{00000000-0005-0000-0000-0000BC5F0000}"/>
    <cellStyle name="Input 22 2 3" xfId="7074" xr:uid="{00000000-0005-0000-0000-0000BD5F0000}"/>
    <cellStyle name="Input 22 2 3 10" xfId="40405" xr:uid="{00000000-0005-0000-0000-0000BE5F0000}"/>
    <cellStyle name="Input 22 2 3 11" xfId="53076" xr:uid="{00000000-0005-0000-0000-0000BF5F0000}"/>
    <cellStyle name="Input 22 2 3 2" xfId="10604" xr:uid="{00000000-0005-0000-0000-0000C05F0000}"/>
    <cellStyle name="Input 22 2 3 2 2" xfId="18397" xr:uid="{00000000-0005-0000-0000-0000C15F0000}"/>
    <cellStyle name="Input 22 2 3 2 2 2" xfId="43944" xr:uid="{00000000-0005-0000-0000-0000C25F0000}"/>
    <cellStyle name="Input 22 2 3 2 2 3" xfId="47853" xr:uid="{00000000-0005-0000-0000-0000C35F0000}"/>
    <cellStyle name="Input 22 2 3 2 2 4" xfId="36034" xr:uid="{00000000-0005-0000-0000-0000C45F0000}"/>
    <cellStyle name="Input 22 2 3 2 3" xfId="19612" xr:uid="{00000000-0005-0000-0000-0000C55F0000}"/>
    <cellStyle name="Input 22 2 3 2 3 2" xfId="45149" xr:uid="{00000000-0005-0000-0000-0000C65F0000}"/>
    <cellStyle name="Input 22 2 3 2 3 3" xfId="49055" xr:uid="{00000000-0005-0000-0000-0000C75F0000}"/>
    <cellStyle name="Input 22 2 3 2 3 4" xfId="37152" xr:uid="{00000000-0005-0000-0000-0000C85F0000}"/>
    <cellStyle name="Input 22 2 3 2 4" xfId="19055" xr:uid="{00000000-0005-0000-0000-0000C95F0000}"/>
    <cellStyle name="Input 22 2 3 2 4 2" xfId="44592" xr:uid="{00000000-0005-0000-0000-0000CA5F0000}"/>
    <cellStyle name="Input 22 2 3 2 4 3" xfId="48498" xr:uid="{00000000-0005-0000-0000-0000CB5F0000}"/>
    <cellStyle name="Input 22 2 3 2 4 4" xfId="36655" xr:uid="{00000000-0005-0000-0000-0000CC5F0000}"/>
    <cellStyle name="Input 22 2 3 2 5" xfId="20810" xr:uid="{00000000-0005-0000-0000-0000CD5F0000}"/>
    <cellStyle name="Input 22 2 3 2 5 2" xfId="46347" xr:uid="{00000000-0005-0000-0000-0000CE5F0000}"/>
    <cellStyle name="Input 22 2 3 2 5 3" xfId="50253" xr:uid="{00000000-0005-0000-0000-0000CF5F0000}"/>
    <cellStyle name="Input 22 2 3 2 5 4" xfId="38216" xr:uid="{00000000-0005-0000-0000-0000D05F0000}"/>
    <cellStyle name="Input 22 2 3 2 6" xfId="21463" xr:uid="{00000000-0005-0000-0000-0000D15F0000}"/>
    <cellStyle name="Input 22 2 3 2 6 2" xfId="47000" xr:uid="{00000000-0005-0000-0000-0000D25F0000}"/>
    <cellStyle name="Input 22 2 3 2 6 3" xfId="50906" xr:uid="{00000000-0005-0000-0000-0000D35F0000}"/>
    <cellStyle name="Input 22 2 3 2 7" xfId="40803" xr:uid="{00000000-0005-0000-0000-0000D45F0000}"/>
    <cellStyle name="Input 22 2 3 2 8" xfId="39710" xr:uid="{00000000-0005-0000-0000-0000D55F0000}"/>
    <cellStyle name="Input 22 2 3 3" xfId="10899" xr:uid="{00000000-0005-0000-0000-0000D65F0000}"/>
    <cellStyle name="Input 22 2 3 3 2" xfId="18692" xr:uid="{00000000-0005-0000-0000-0000D75F0000}"/>
    <cellStyle name="Input 22 2 3 3 2 2" xfId="44239" xr:uid="{00000000-0005-0000-0000-0000D85F0000}"/>
    <cellStyle name="Input 22 2 3 3 2 3" xfId="48148" xr:uid="{00000000-0005-0000-0000-0000D95F0000}"/>
    <cellStyle name="Input 22 2 3 3 2 4" xfId="36329" xr:uid="{00000000-0005-0000-0000-0000DA5F0000}"/>
    <cellStyle name="Input 22 2 3 3 3" xfId="13350" xr:uid="{00000000-0005-0000-0000-0000DB5F0000}"/>
    <cellStyle name="Input 22 2 3 3 3 2" xfId="42520" xr:uid="{00000000-0005-0000-0000-0000DC5F0000}"/>
    <cellStyle name="Input 22 2 3 3 3 3" xfId="39285" xr:uid="{00000000-0005-0000-0000-0000DD5F0000}"/>
    <cellStyle name="Input 22 2 3 3 3 4" xfId="30990" xr:uid="{00000000-0005-0000-0000-0000DE5F0000}"/>
    <cellStyle name="Input 22 2 3 3 4" xfId="19514" xr:uid="{00000000-0005-0000-0000-0000DF5F0000}"/>
    <cellStyle name="Input 22 2 3 3 4 2" xfId="45051" xr:uid="{00000000-0005-0000-0000-0000E05F0000}"/>
    <cellStyle name="Input 22 2 3 3 4 3" xfId="48957" xr:uid="{00000000-0005-0000-0000-0000E15F0000}"/>
    <cellStyle name="Input 22 2 3 3 4 4" xfId="37062" xr:uid="{00000000-0005-0000-0000-0000E25F0000}"/>
    <cellStyle name="Input 22 2 3 3 5" xfId="21105" xr:uid="{00000000-0005-0000-0000-0000E35F0000}"/>
    <cellStyle name="Input 22 2 3 3 5 2" xfId="46642" xr:uid="{00000000-0005-0000-0000-0000E45F0000}"/>
    <cellStyle name="Input 22 2 3 3 5 3" xfId="50548" xr:uid="{00000000-0005-0000-0000-0000E55F0000}"/>
    <cellStyle name="Input 22 2 3 3 5 4" xfId="38511" xr:uid="{00000000-0005-0000-0000-0000E65F0000}"/>
    <cellStyle name="Input 22 2 3 3 6" xfId="21758" xr:uid="{00000000-0005-0000-0000-0000E75F0000}"/>
    <cellStyle name="Input 22 2 3 3 6 2" xfId="47295" xr:uid="{00000000-0005-0000-0000-0000E85F0000}"/>
    <cellStyle name="Input 22 2 3 3 6 3" xfId="51201" xr:uid="{00000000-0005-0000-0000-0000E95F0000}"/>
    <cellStyle name="Input 22 2 3 3 7" xfId="41098" xr:uid="{00000000-0005-0000-0000-0000EA5F0000}"/>
    <cellStyle name="Input 22 2 3 3 8" xfId="43374" xr:uid="{00000000-0005-0000-0000-0000EB5F0000}"/>
    <cellStyle name="Input 22 2 3 4" xfId="14862" xr:uid="{00000000-0005-0000-0000-0000EC5F0000}"/>
    <cellStyle name="Input 22 2 3 4 2" xfId="42978" xr:uid="{00000000-0005-0000-0000-0000ED5F0000}"/>
    <cellStyle name="Input 22 2 3 4 3" xfId="42784" xr:uid="{00000000-0005-0000-0000-0000EE5F0000}"/>
    <cellStyle name="Input 22 2 3 4 4" xfId="32497" xr:uid="{00000000-0005-0000-0000-0000EF5F0000}"/>
    <cellStyle name="Input 22 2 3 5" xfId="11296" xr:uid="{00000000-0005-0000-0000-0000F05F0000}"/>
    <cellStyle name="Input 22 2 3 5 2" xfId="41343" xr:uid="{00000000-0005-0000-0000-0000F15F0000}"/>
    <cellStyle name="Input 22 2 3 5 3" xfId="42038" xr:uid="{00000000-0005-0000-0000-0000F25F0000}"/>
    <cellStyle name="Input 22 2 3 5 4" xfId="29024" xr:uid="{00000000-0005-0000-0000-0000F35F0000}"/>
    <cellStyle name="Input 22 2 3 6" xfId="19861" xr:uid="{00000000-0005-0000-0000-0000F45F0000}"/>
    <cellStyle name="Input 22 2 3 6 2" xfId="45398" xr:uid="{00000000-0005-0000-0000-0000F55F0000}"/>
    <cellStyle name="Input 22 2 3 6 3" xfId="49304" xr:uid="{00000000-0005-0000-0000-0000F65F0000}"/>
    <cellStyle name="Input 22 2 3 6 4" xfId="37375" xr:uid="{00000000-0005-0000-0000-0000F75F0000}"/>
    <cellStyle name="Input 22 2 3 7" xfId="19510" xr:uid="{00000000-0005-0000-0000-0000F85F0000}"/>
    <cellStyle name="Input 22 2 3 7 2" xfId="45047" xr:uid="{00000000-0005-0000-0000-0000F95F0000}"/>
    <cellStyle name="Input 22 2 3 7 3" xfId="48953" xr:uid="{00000000-0005-0000-0000-0000FA5F0000}"/>
    <cellStyle name="Input 22 2 3 7 4" xfId="37058" xr:uid="{00000000-0005-0000-0000-0000FB5F0000}"/>
    <cellStyle name="Input 22 2 3 8" xfId="11426" xr:uid="{00000000-0005-0000-0000-0000FC5F0000}"/>
    <cellStyle name="Input 22 2 3 8 2" xfId="41451" xr:uid="{00000000-0005-0000-0000-0000FD5F0000}"/>
    <cellStyle name="Input 22 2 3 8 3" xfId="39174" xr:uid="{00000000-0005-0000-0000-0000FE5F0000}"/>
    <cellStyle name="Input 22 2 3 9" xfId="39838" xr:uid="{00000000-0005-0000-0000-0000FF5F0000}"/>
    <cellStyle name="Input 22 2 4" xfId="22454" xr:uid="{00000000-0005-0000-0000-000000600000}"/>
    <cellStyle name="Input 22 2 5" xfId="53074" xr:uid="{00000000-0005-0000-0000-000001600000}"/>
    <cellStyle name="Input 22 2_Sheet1" xfId="1890" xr:uid="{00000000-0005-0000-0000-000002600000}"/>
    <cellStyle name="Input 22 3" xfId="1891" xr:uid="{00000000-0005-0000-0000-000003600000}"/>
    <cellStyle name="Input 22 3 2" xfId="7076" xr:uid="{00000000-0005-0000-0000-000004600000}"/>
    <cellStyle name="Input 22 3 2 10" xfId="42198" xr:uid="{00000000-0005-0000-0000-000005600000}"/>
    <cellStyle name="Input 22 3 2 2" xfId="10606" xr:uid="{00000000-0005-0000-0000-000006600000}"/>
    <cellStyle name="Input 22 3 2 2 2" xfId="18399" xr:uid="{00000000-0005-0000-0000-000007600000}"/>
    <cellStyle name="Input 22 3 2 2 2 2" xfId="43946" xr:uid="{00000000-0005-0000-0000-000008600000}"/>
    <cellStyle name="Input 22 3 2 2 2 3" xfId="47855" xr:uid="{00000000-0005-0000-0000-000009600000}"/>
    <cellStyle name="Input 22 3 2 2 2 4" xfId="36036" xr:uid="{00000000-0005-0000-0000-00000A600000}"/>
    <cellStyle name="Input 22 3 2 2 3" xfId="19426" xr:uid="{00000000-0005-0000-0000-00000B600000}"/>
    <cellStyle name="Input 22 3 2 2 3 2" xfId="44963" xr:uid="{00000000-0005-0000-0000-00000C600000}"/>
    <cellStyle name="Input 22 3 2 2 3 3" xfId="48869" xr:uid="{00000000-0005-0000-0000-00000D600000}"/>
    <cellStyle name="Input 22 3 2 2 3 4" xfId="36991" xr:uid="{00000000-0005-0000-0000-00000E600000}"/>
    <cellStyle name="Input 22 3 2 2 4" xfId="19569" xr:uid="{00000000-0005-0000-0000-00000F600000}"/>
    <cellStyle name="Input 22 3 2 2 4 2" xfId="45106" xr:uid="{00000000-0005-0000-0000-000010600000}"/>
    <cellStyle name="Input 22 3 2 2 4 3" xfId="49012" xr:uid="{00000000-0005-0000-0000-000011600000}"/>
    <cellStyle name="Input 22 3 2 2 4 4" xfId="37110" xr:uid="{00000000-0005-0000-0000-000012600000}"/>
    <cellStyle name="Input 22 3 2 2 5" xfId="20812" xr:uid="{00000000-0005-0000-0000-000013600000}"/>
    <cellStyle name="Input 22 3 2 2 5 2" xfId="46349" xr:uid="{00000000-0005-0000-0000-000014600000}"/>
    <cellStyle name="Input 22 3 2 2 5 3" xfId="50255" xr:uid="{00000000-0005-0000-0000-000015600000}"/>
    <cellStyle name="Input 22 3 2 2 5 4" xfId="38218" xr:uid="{00000000-0005-0000-0000-000016600000}"/>
    <cellStyle name="Input 22 3 2 2 6" xfId="21465" xr:uid="{00000000-0005-0000-0000-000017600000}"/>
    <cellStyle name="Input 22 3 2 2 6 2" xfId="47002" xr:uid="{00000000-0005-0000-0000-000018600000}"/>
    <cellStyle name="Input 22 3 2 2 6 3" xfId="50908" xr:uid="{00000000-0005-0000-0000-000019600000}"/>
    <cellStyle name="Input 22 3 2 2 7" xfId="40805" xr:uid="{00000000-0005-0000-0000-00001A600000}"/>
    <cellStyle name="Input 22 3 2 2 8" xfId="43636" xr:uid="{00000000-0005-0000-0000-00001B600000}"/>
    <cellStyle name="Input 22 3 2 3" xfId="10901" xr:uid="{00000000-0005-0000-0000-00001C600000}"/>
    <cellStyle name="Input 22 3 2 3 2" xfId="18694" xr:uid="{00000000-0005-0000-0000-00001D600000}"/>
    <cellStyle name="Input 22 3 2 3 2 2" xfId="44241" xr:uid="{00000000-0005-0000-0000-00001E600000}"/>
    <cellStyle name="Input 22 3 2 3 2 3" xfId="48150" xr:uid="{00000000-0005-0000-0000-00001F600000}"/>
    <cellStyle name="Input 22 3 2 3 2 4" xfId="36331" xr:uid="{00000000-0005-0000-0000-000020600000}"/>
    <cellStyle name="Input 22 3 2 3 3" xfId="13354" xr:uid="{00000000-0005-0000-0000-000021600000}"/>
    <cellStyle name="Input 22 3 2 3 3 2" xfId="42524" xr:uid="{00000000-0005-0000-0000-000022600000}"/>
    <cellStyle name="Input 22 3 2 3 3 3" xfId="43189" xr:uid="{00000000-0005-0000-0000-000023600000}"/>
    <cellStyle name="Input 22 3 2 3 3 4" xfId="30994" xr:uid="{00000000-0005-0000-0000-000024600000}"/>
    <cellStyle name="Input 22 3 2 3 4" xfId="12806" xr:uid="{00000000-0005-0000-0000-000025600000}"/>
    <cellStyle name="Input 22 3 2 3 4 2" xfId="42221" xr:uid="{00000000-0005-0000-0000-000026600000}"/>
    <cellStyle name="Input 22 3 2 3 4 3" xfId="42561" xr:uid="{00000000-0005-0000-0000-000027600000}"/>
    <cellStyle name="Input 22 3 2 3 4 4" xfId="30463" xr:uid="{00000000-0005-0000-0000-000028600000}"/>
    <cellStyle name="Input 22 3 2 3 5" xfId="21107" xr:uid="{00000000-0005-0000-0000-000029600000}"/>
    <cellStyle name="Input 22 3 2 3 5 2" xfId="46644" xr:uid="{00000000-0005-0000-0000-00002A600000}"/>
    <cellStyle name="Input 22 3 2 3 5 3" xfId="50550" xr:uid="{00000000-0005-0000-0000-00002B600000}"/>
    <cellStyle name="Input 22 3 2 3 5 4" xfId="38513" xr:uid="{00000000-0005-0000-0000-00002C600000}"/>
    <cellStyle name="Input 22 3 2 3 6" xfId="21760" xr:uid="{00000000-0005-0000-0000-00002D600000}"/>
    <cellStyle name="Input 22 3 2 3 6 2" xfId="47297" xr:uid="{00000000-0005-0000-0000-00002E600000}"/>
    <cellStyle name="Input 22 3 2 3 6 3" xfId="51203" xr:uid="{00000000-0005-0000-0000-00002F600000}"/>
    <cellStyle name="Input 22 3 2 3 7" xfId="41100" xr:uid="{00000000-0005-0000-0000-000030600000}"/>
    <cellStyle name="Input 22 3 2 3 8" xfId="39376" xr:uid="{00000000-0005-0000-0000-000031600000}"/>
    <cellStyle name="Input 22 3 2 4" xfId="14864" xr:uid="{00000000-0005-0000-0000-000032600000}"/>
    <cellStyle name="Input 22 3 2 4 2" xfId="42980" xr:uid="{00000000-0005-0000-0000-000033600000}"/>
    <cellStyle name="Input 22 3 2 4 3" xfId="40530" xr:uid="{00000000-0005-0000-0000-000034600000}"/>
    <cellStyle name="Input 22 3 2 4 4" xfId="32499" xr:uid="{00000000-0005-0000-0000-000035600000}"/>
    <cellStyle name="Input 22 3 2 5" xfId="11298" xr:uid="{00000000-0005-0000-0000-000036600000}"/>
    <cellStyle name="Input 22 3 2 5 2" xfId="41345" xr:uid="{00000000-0005-0000-0000-000037600000}"/>
    <cellStyle name="Input 22 3 2 5 3" xfId="40221" xr:uid="{00000000-0005-0000-0000-000038600000}"/>
    <cellStyle name="Input 22 3 2 5 4" xfId="29026" xr:uid="{00000000-0005-0000-0000-000039600000}"/>
    <cellStyle name="Input 22 3 2 6" xfId="11594" xr:uid="{00000000-0005-0000-0000-00003A600000}"/>
    <cellStyle name="Input 22 3 2 6 2" xfId="41605" xr:uid="{00000000-0005-0000-0000-00003B600000}"/>
    <cellStyle name="Input 22 3 2 6 3" xfId="42817" xr:uid="{00000000-0005-0000-0000-00003C600000}"/>
    <cellStyle name="Input 22 3 2 6 4" xfId="29301" xr:uid="{00000000-0005-0000-0000-00003D600000}"/>
    <cellStyle name="Input 22 3 2 7" xfId="19965" xr:uid="{00000000-0005-0000-0000-00003E600000}"/>
    <cellStyle name="Input 22 3 2 7 2" xfId="45502" xr:uid="{00000000-0005-0000-0000-00003F600000}"/>
    <cellStyle name="Input 22 3 2 7 3" xfId="49408" xr:uid="{00000000-0005-0000-0000-000040600000}"/>
    <cellStyle name="Input 22 3 2 7 4" xfId="37470" xr:uid="{00000000-0005-0000-0000-000041600000}"/>
    <cellStyle name="Input 22 3 2 8" xfId="19241" xr:uid="{00000000-0005-0000-0000-000042600000}"/>
    <cellStyle name="Input 22 3 2 8 2" xfId="44778" xr:uid="{00000000-0005-0000-0000-000043600000}"/>
    <cellStyle name="Input 22 3 2 8 3" xfId="48684" xr:uid="{00000000-0005-0000-0000-000044600000}"/>
    <cellStyle name="Input 22 3 2 9" xfId="39840" xr:uid="{00000000-0005-0000-0000-000045600000}"/>
    <cellStyle name="Input 22 3 3" xfId="53077" xr:uid="{00000000-0005-0000-0000-000046600000}"/>
    <cellStyle name="Input 22 4" xfId="7073" xr:uid="{00000000-0005-0000-0000-000047600000}"/>
    <cellStyle name="Input 22 4 10" xfId="43542" xr:uid="{00000000-0005-0000-0000-000048600000}"/>
    <cellStyle name="Input 22 4 11" xfId="53078" xr:uid="{00000000-0005-0000-0000-000049600000}"/>
    <cellStyle name="Input 22 4 2" xfId="10603" xr:uid="{00000000-0005-0000-0000-00004A600000}"/>
    <cellStyle name="Input 22 4 2 2" xfId="18396" xr:uid="{00000000-0005-0000-0000-00004B600000}"/>
    <cellStyle name="Input 22 4 2 2 2" xfId="43943" xr:uid="{00000000-0005-0000-0000-00004C600000}"/>
    <cellStyle name="Input 22 4 2 2 3" xfId="47852" xr:uid="{00000000-0005-0000-0000-00004D600000}"/>
    <cellStyle name="Input 22 4 2 2 4" xfId="36033" xr:uid="{00000000-0005-0000-0000-00004E600000}"/>
    <cellStyle name="Input 22 4 2 3" xfId="13325" xr:uid="{00000000-0005-0000-0000-00004F600000}"/>
    <cellStyle name="Input 22 4 2 3 2" xfId="42495" xr:uid="{00000000-0005-0000-0000-000050600000}"/>
    <cellStyle name="Input 22 4 2 3 3" xfId="40433" xr:uid="{00000000-0005-0000-0000-000051600000}"/>
    <cellStyle name="Input 22 4 2 3 4" xfId="30965" xr:uid="{00000000-0005-0000-0000-000052600000}"/>
    <cellStyle name="Input 22 4 2 4" xfId="18964" xr:uid="{00000000-0005-0000-0000-000053600000}"/>
    <cellStyle name="Input 22 4 2 4 2" xfId="44501" xr:uid="{00000000-0005-0000-0000-000054600000}"/>
    <cellStyle name="Input 22 4 2 4 3" xfId="48407" xr:uid="{00000000-0005-0000-0000-000055600000}"/>
    <cellStyle name="Input 22 4 2 4 4" xfId="36590" xr:uid="{00000000-0005-0000-0000-000056600000}"/>
    <cellStyle name="Input 22 4 2 5" xfId="20809" xr:uid="{00000000-0005-0000-0000-000057600000}"/>
    <cellStyle name="Input 22 4 2 5 2" xfId="46346" xr:uid="{00000000-0005-0000-0000-000058600000}"/>
    <cellStyle name="Input 22 4 2 5 3" xfId="50252" xr:uid="{00000000-0005-0000-0000-000059600000}"/>
    <cellStyle name="Input 22 4 2 5 4" xfId="38215" xr:uid="{00000000-0005-0000-0000-00005A600000}"/>
    <cellStyle name="Input 22 4 2 6" xfId="21462" xr:uid="{00000000-0005-0000-0000-00005B600000}"/>
    <cellStyle name="Input 22 4 2 6 2" xfId="46999" xr:uid="{00000000-0005-0000-0000-00005C600000}"/>
    <cellStyle name="Input 22 4 2 6 3" xfId="50905" xr:uid="{00000000-0005-0000-0000-00005D600000}"/>
    <cellStyle name="Input 22 4 2 7" xfId="40802" xr:uid="{00000000-0005-0000-0000-00005E600000}"/>
    <cellStyle name="Input 22 4 2 8" xfId="40599" xr:uid="{00000000-0005-0000-0000-00005F600000}"/>
    <cellStyle name="Input 22 4 3" xfId="10898" xr:uid="{00000000-0005-0000-0000-000060600000}"/>
    <cellStyle name="Input 22 4 3 2" xfId="18691" xr:uid="{00000000-0005-0000-0000-000061600000}"/>
    <cellStyle name="Input 22 4 3 2 2" xfId="44238" xr:uid="{00000000-0005-0000-0000-000062600000}"/>
    <cellStyle name="Input 22 4 3 2 3" xfId="48147" xr:uid="{00000000-0005-0000-0000-000063600000}"/>
    <cellStyle name="Input 22 4 3 2 4" xfId="36328" xr:uid="{00000000-0005-0000-0000-000064600000}"/>
    <cellStyle name="Input 22 4 3 3" xfId="13352" xr:uid="{00000000-0005-0000-0000-000065600000}"/>
    <cellStyle name="Input 22 4 3 3 2" xfId="42522" xr:uid="{00000000-0005-0000-0000-000066600000}"/>
    <cellStyle name="Input 22 4 3 3 3" xfId="39069" xr:uid="{00000000-0005-0000-0000-000067600000}"/>
    <cellStyle name="Input 22 4 3 3 4" xfId="30992" xr:uid="{00000000-0005-0000-0000-000068600000}"/>
    <cellStyle name="Input 22 4 3 4" xfId="19513" xr:uid="{00000000-0005-0000-0000-000069600000}"/>
    <cellStyle name="Input 22 4 3 4 2" xfId="45050" xr:uid="{00000000-0005-0000-0000-00006A600000}"/>
    <cellStyle name="Input 22 4 3 4 3" xfId="48956" xr:uid="{00000000-0005-0000-0000-00006B600000}"/>
    <cellStyle name="Input 22 4 3 4 4" xfId="37061" xr:uid="{00000000-0005-0000-0000-00006C600000}"/>
    <cellStyle name="Input 22 4 3 5" xfId="21104" xr:uid="{00000000-0005-0000-0000-00006D600000}"/>
    <cellStyle name="Input 22 4 3 5 2" xfId="46641" xr:uid="{00000000-0005-0000-0000-00006E600000}"/>
    <cellStyle name="Input 22 4 3 5 3" xfId="50547" xr:uid="{00000000-0005-0000-0000-00006F600000}"/>
    <cellStyle name="Input 22 4 3 5 4" xfId="38510" xr:uid="{00000000-0005-0000-0000-000070600000}"/>
    <cellStyle name="Input 22 4 3 6" xfId="21757" xr:uid="{00000000-0005-0000-0000-000071600000}"/>
    <cellStyle name="Input 22 4 3 6 2" xfId="47294" xr:uid="{00000000-0005-0000-0000-000072600000}"/>
    <cellStyle name="Input 22 4 3 6 3" xfId="51200" xr:uid="{00000000-0005-0000-0000-000073600000}"/>
    <cellStyle name="Input 22 4 3 7" xfId="41097" xr:uid="{00000000-0005-0000-0000-000074600000}"/>
    <cellStyle name="Input 22 4 3 8" xfId="42055" xr:uid="{00000000-0005-0000-0000-000075600000}"/>
    <cellStyle name="Input 22 4 4" xfId="14861" xr:uid="{00000000-0005-0000-0000-000076600000}"/>
    <cellStyle name="Input 22 4 4 2" xfId="42977" xr:uid="{00000000-0005-0000-0000-000077600000}"/>
    <cellStyle name="Input 22 4 4 3" xfId="40160" xr:uid="{00000000-0005-0000-0000-000078600000}"/>
    <cellStyle name="Input 22 4 4 4" xfId="32496" xr:uid="{00000000-0005-0000-0000-000079600000}"/>
    <cellStyle name="Input 22 4 5" xfId="13124" xr:uid="{00000000-0005-0000-0000-00007A600000}"/>
    <cellStyle name="Input 22 4 5 2" xfId="42345" xr:uid="{00000000-0005-0000-0000-00007B600000}"/>
    <cellStyle name="Input 22 4 5 3" xfId="40053" xr:uid="{00000000-0005-0000-0000-00007C600000}"/>
    <cellStyle name="Input 22 4 5 4" xfId="30773" xr:uid="{00000000-0005-0000-0000-00007D600000}"/>
    <cellStyle name="Input 22 4 6" xfId="12795" xr:uid="{00000000-0005-0000-0000-00007E600000}"/>
    <cellStyle name="Input 22 4 6 2" xfId="42216" xr:uid="{00000000-0005-0000-0000-00007F600000}"/>
    <cellStyle name="Input 22 4 6 3" xfId="41311" xr:uid="{00000000-0005-0000-0000-000080600000}"/>
    <cellStyle name="Input 22 4 6 4" xfId="30452" xr:uid="{00000000-0005-0000-0000-000081600000}"/>
    <cellStyle name="Input 22 4 7" xfId="19648" xr:uid="{00000000-0005-0000-0000-000082600000}"/>
    <cellStyle name="Input 22 4 7 2" xfId="45185" xr:uid="{00000000-0005-0000-0000-000083600000}"/>
    <cellStyle name="Input 22 4 7 3" xfId="49091" xr:uid="{00000000-0005-0000-0000-000084600000}"/>
    <cellStyle name="Input 22 4 7 4" xfId="37184" xr:uid="{00000000-0005-0000-0000-000085600000}"/>
    <cellStyle name="Input 22 4 8" xfId="20617" xr:uid="{00000000-0005-0000-0000-000086600000}"/>
    <cellStyle name="Input 22 4 8 2" xfId="46154" xr:uid="{00000000-0005-0000-0000-000087600000}"/>
    <cellStyle name="Input 22 4 8 3" xfId="50060" xr:uid="{00000000-0005-0000-0000-000088600000}"/>
    <cellStyle name="Input 22 4 9" xfId="39837" xr:uid="{00000000-0005-0000-0000-000089600000}"/>
    <cellStyle name="Input 22 5" xfId="22453" xr:uid="{00000000-0005-0000-0000-00008A600000}"/>
    <cellStyle name="Input 22 6" xfId="53073" xr:uid="{00000000-0005-0000-0000-00008B600000}"/>
    <cellStyle name="Input 22_Sheet1" xfId="1892" xr:uid="{00000000-0005-0000-0000-00008C600000}"/>
    <cellStyle name="Input 23" xfId="1893" xr:uid="{00000000-0005-0000-0000-00008D600000}"/>
    <cellStyle name="Input 23 2" xfId="1894" xr:uid="{00000000-0005-0000-0000-00008E600000}"/>
    <cellStyle name="Input 23 2 2" xfId="1895" xr:uid="{00000000-0005-0000-0000-00008F600000}"/>
    <cellStyle name="Input 23 2 2 2" xfId="7079" xr:uid="{00000000-0005-0000-0000-000090600000}"/>
    <cellStyle name="Input 23 2 2 2 10" xfId="39415" xr:uid="{00000000-0005-0000-0000-000091600000}"/>
    <cellStyle name="Input 23 2 2 2 2" xfId="10609" xr:uid="{00000000-0005-0000-0000-000092600000}"/>
    <cellStyle name="Input 23 2 2 2 2 2" xfId="18402" xr:uid="{00000000-0005-0000-0000-000093600000}"/>
    <cellStyle name="Input 23 2 2 2 2 2 2" xfId="43949" xr:uid="{00000000-0005-0000-0000-000094600000}"/>
    <cellStyle name="Input 23 2 2 2 2 2 3" xfId="47858" xr:uid="{00000000-0005-0000-0000-000095600000}"/>
    <cellStyle name="Input 23 2 2 2 2 2 4" xfId="36039" xr:uid="{00000000-0005-0000-0000-000096600000}"/>
    <cellStyle name="Input 23 2 2 2 2 3" xfId="19908" xr:uid="{00000000-0005-0000-0000-000097600000}"/>
    <cellStyle name="Input 23 2 2 2 2 3 2" xfId="45445" xr:uid="{00000000-0005-0000-0000-000098600000}"/>
    <cellStyle name="Input 23 2 2 2 2 3 3" xfId="49351" xr:uid="{00000000-0005-0000-0000-000099600000}"/>
    <cellStyle name="Input 23 2 2 2 2 3 4" xfId="37422" xr:uid="{00000000-0005-0000-0000-00009A600000}"/>
    <cellStyle name="Input 23 2 2 2 2 4" xfId="19073" xr:uid="{00000000-0005-0000-0000-00009B600000}"/>
    <cellStyle name="Input 23 2 2 2 2 4 2" xfId="44610" xr:uid="{00000000-0005-0000-0000-00009C600000}"/>
    <cellStyle name="Input 23 2 2 2 2 4 3" xfId="48516" xr:uid="{00000000-0005-0000-0000-00009D600000}"/>
    <cellStyle name="Input 23 2 2 2 2 4 4" xfId="36670" xr:uid="{00000000-0005-0000-0000-00009E600000}"/>
    <cellStyle name="Input 23 2 2 2 2 5" xfId="20815" xr:uid="{00000000-0005-0000-0000-00009F600000}"/>
    <cellStyle name="Input 23 2 2 2 2 5 2" xfId="46352" xr:uid="{00000000-0005-0000-0000-0000A0600000}"/>
    <cellStyle name="Input 23 2 2 2 2 5 3" xfId="50258" xr:uid="{00000000-0005-0000-0000-0000A1600000}"/>
    <cellStyle name="Input 23 2 2 2 2 5 4" xfId="38221" xr:uid="{00000000-0005-0000-0000-0000A2600000}"/>
    <cellStyle name="Input 23 2 2 2 2 6" xfId="21468" xr:uid="{00000000-0005-0000-0000-0000A3600000}"/>
    <cellStyle name="Input 23 2 2 2 2 6 2" xfId="47005" xr:uid="{00000000-0005-0000-0000-0000A4600000}"/>
    <cellStyle name="Input 23 2 2 2 2 6 3" xfId="50911" xr:uid="{00000000-0005-0000-0000-0000A5600000}"/>
    <cellStyle name="Input 23 2 2 2 2 7" xfId="40808" xr:uid="{00000000-0005-0000-0000-0000A6600000}"/>
    <cellStyle name="Input 23 2 2 2 2 8" xfId="42612" xr:uid="{00000000-0005-0000-0000-0000A7600000}"/>
    <cellStyle name="Input 23 2 2 2 3" xfId="10904" xr:uid="{00000000-0005-0000-0000-0000A8600000}"/>
    <cellStyle name="Input 23 2 2 2 3 2" xfId="18697" xr:uid="{00000000-0005-0000-0000-0000A9600000}"/>
    <cellStyle name="Input 23 2 2 2 3 2 2" xfId="44244" xr:uid="{00000000-0005-0000-0000-0000AA600000}"/>
    <cellStyle name="Input 23 2 2 2 3 2 3" xfId="48153" xr:uid="{00000000-0005-0000-0000-0000AB600000}"/>
    <cellStyle name="Input 23 2 2 2 3 2 4" xfId="36334" xr:uid="{00000000-0005-0000-0000-0000AC600000}"/>
    <cellStyle name="Input 23 2 2 2 3 3" xfId="19719" xr:uid="{00000000-0005-0000-0000-0000AD600000}"/>
    <cellStyle name="Input 23 2 2 2 3 3 2" xfId="45256" xr:uid="{00000000-0005-0000-0000-0000AE600000}"/>
    <cellStyle name="Input 23 2 2 2 3 3 3" xfId="49162" xr:uid="{00000000-0005-0000-0000-0000AF600000}"/>
    <cellStyle name="Input 23 2 2 2 3 3 4" xfId="37246" xr:uid="{00000000-0005-0000-0000-0000B0600000}"/>
    <cellStyle name="Input 23 2 2 2 3 4" xfId="19468" xr:uid="{00000000-0005-0000-0000-0000B1600000}"/>
    <cellStyle name="Input 23 2 2 2 3 4 2" xfId="45005" xr:uid="{00000000-0005-0000-0000-0000B2600000}"/>
    <cellStyle name="Input 23 2 2 2 3 4 3" xfId="48911" xr:uid="{00000000-0005-0000-0000-0000B3600000}"/>
    <cellStyle name="Input 23 2 2 2 3 4 4" xfId="37026" xr:uid="{00000000-0005-0000-0000-0000B4600000}"/>
    <cellStyle name="Input 23 2 2 2 3 5" xfId="21110" xr:uid="{00000000-0005-0000-0000-0000B5600000}"/>
    <cellStyle name="Input 23 2 2 2 3 5 2" xfId="46647" xr:uid="{00000000-0005-0000-0000-0000B6600000}"/>
    <cellStyle name="Input 23 2 2 2 3 5 3" xfId="50553" xr:uid="{00000000-0005-0000-0000-0000B7600000}"/>
    <cellStyle name="Input 23 2 2 2 3 5 4" xfId="38516" xr:uid="{00000000-0005-0000-0000-0000B8600000}"/>
    <cellStyle name="Input 23 2 2 2 3 6" xfId="21763" xr:uid="{00000000-0005-0000-0000-0000B9600000}"/>
    <cellStyle name="Input 23 2 2 2 3 6 2" xfId="47300" xr:uid="{00000000-0005-0000-0000-0000BA600000}"/>
    <cellStyle name="Input 23 2 2 2 3 6 3" xfId="51206" xr:uid="{00000000-0005-0000-0000-0000BB600000}"/>
    <cellStyle name="Input 23 2 2 2 3 7" xfId="41103" xr:uid="{00000000-0005-0000-0000-0000BC600000}"/>
    <cellStyle name="Input 23 2 2 2 3 8" xfId="43230" xr:uid="{00000000-0005-0000-0000-0000BD600000}"/>
    <cellStyle name="Input 23 2 2 2 4" xfId="14867" xr:uid="{00000000-0005-0000-0000-0000BE600000}"/>
    <cellStyle name="Input 23 2 2 2 4 2" xfId="42983" xr:uid="{00000000-0005-0000-0000-0000BF600000}"/>
    <cellStyle name="Input 23 2 2 2 4 3" xfId="43562" xr:uid="{00000000-0005-0000-0000-0000C0600000}"/>
    <cellStyle name="Input 23 2 2 2 4 4" xfId="32502" xr:uid="{00000000-0005-0000-0000-0000C1600000}"/>
    <cellStyle name="Input 23 2 2 2 5" xfId="13127" xr:uid="{00000000-0005-0000-0000-0000C2600000}"/>
    <cellStyle name="Input 23 2 2 2 5 2" xfId="42348" xr:uid="{00000000-0005-0000-0000-0000C3600000}"/>
    <cellStyle name="Input 23 2 2 2 5 3" xfId="40541" xr:uid="{00000000-0005-0000-0000-0000C4600000}"/>
    <cellStyle name="Input 23 2 2 2 5 4" xfId="30776" xr:uid="{00000000-0005-0000-0000-0000C5600000}"/>
    <cellStyle name="Input 23 2 2 2 6" xfId="11467" xr:uid="{00000000-0005-0000-0000-0000C6600000}"/>
    <cellStyle name="Input 23 2 2 2 6 2" xfId="41478" xr:uid="{00000000-0005-0000-0000-0000C7600000}"/>
    <cellStyle name="Input 23 2 2 2 6 3" xfId="43353" xr:uid="{00000000-0005-0000-0000-0000C8600000}"/>
    <cellStyle name="Input 23 2 2 2 6 4" xfId="29184" xr:uid="{00000000-0005-0000-0000-0000C9600000}"/>
    <cellStyle name="Input 23 2 2 2 7" xfId="19039" xr:uid="{00000000-0005-0000-0000-0000CA600000}"/>
    <cellStyle name="Input 23 2 2 2 7 2" xfId="44576" xr:uid="{00000000-0005-0000-0000-0000CB600000}"/>
    <cellStyle name="Input 23 2 2 2 7 3" xfId="48482" xr:uid="{00000000-0005-0000-0000-0000CC600000}"/>
    <cellStyle name="Input 23 2 2 2 7 4" xfId="36643" xr:uid="{00000000-0005-0000-0000-0000CD600000}"/>
    <cellStyle name="Input 23 2 2 2 8" xfId="19687" xr:uid="{00000000-0005-0000-0000-0000CE600000}"/>
    <cellStyle name="Input 23 2 2 2 8 2" xfId="45224" xr:uid="{00000000-0005-0000-0000-0000CF600000}"/>
    <cellStyle name="Input 23 2 2 2 8 3" xfId="49130" xr:uid="{00000000-0005-0000-0000-0000D0600000}"/>
    <cellStyle name="Input 23 2 2 2 9" xfId="39843" xr:uid="{00000000-0005-0000-0000-0000D1600000}"/>
    <cellStyle name="Input 23 2 2 3" xfId="53081" xr:uid="{00000000-0005-0000-0000-0000D2600000}"/>
    <cellStyle name="Input 23 2 3" xfId="7078" xr:uid="{00000000-0005-0000-0000-0000D3600000}"/>
    <cellStyle name="Input 23 2 3 10" xfId="40287" xr:uid="{00000000-0005-0000-0000-0000D4600000}"/>
    <cellStyle name="Input 23 2 3 11" xfId="53082" xr:uid="{00000000-0005-0000-0000-0000D5600000}"/>
    <cellStyle name="Input 23 2 3 2" xfId="10608" xr:uid="{00000000-0005-0000-0000-0000D6600000}"/>
    <cellStyle name="Input 23 2 3 2 2" xfId="18401" xr:uid="{00000000-0005-0000-0000-0000D7600000}"/>
    <cellStyle name="Input 23 2 3 2 2 2" xfId="43948" xr:uid="{00000000-0005-0000-0000-0000D8600000}"/>
    <cellStyle name="Input 23 2 3 2 2 3" xfId="47857" xr:uid="{00000000-0005-0000-0000-0000D9600000}"/>
    <cellStyle name="Input 23 2 3 2 2 4" xfId="36038" xr:uid="{00000000-0005-0000-0000-0000DA600000}"/>
    <cellStyle name="Input 23 2 3 2 3" xfId="19299" xr:uid="{00000000-0005-0000-0000-0000DB600000}"/>
    <cellStyle name="Input 23 2 3 2 3 2" xfId="44836" xr:uid="{00000000-0005-0000-0000-0000DC600000}"/>
    <cellStyle name="Input 23 2 3 2 3 3" xfId="48742" xr:uid="{00000000-0005-0000-0000-0000DD600000}"/>
    <cellStyle name="Input 23 2 3 2 3 4" xfId="36877" xr:uid="{00000000-0005-0000-0000-0000DE600000}"/>
    <cellStyle name="Input 23 2 3 2 4" xfId="19043" xr:uid="{00000000-0005-0000-0000-0000DF600000}"/>
    <cellStyle name="Input 23 2 3 2 4 2" xfId="44580" xr:uid="{00000000-0005-0000-0000-0000E0600000}"/>
    <cellStyle name="Input 23 2 3 2 4 3" xfId="48486" xr:uid="{00000000-0005-0000-0000-0000E1600000}"/>
    <cellStyle name="Input 23 2 3 2 4 4" xfId="36647" xr:uid="{00000000-0005-0000-0000-0000E2600000}"/>
    <cellStyle name="Input 23 2 3 2 5" xfId="20814" xr:uid="{00000000-0005-0000-0000-0000E3600000}"/>
    <cellStyle name="Input 23 2 3 2 5 2" xfId="46351" xr:uid="{00000000-0005-0000-0000-0000E4600000}"/>
    <cellStyle name="Input 23 2 3 2 5 3" xfId="50257" xr:uid="{00000000-0005-0000-0000-0000E5600000}"/>
    <cellStyle name="Input 23 2 3 2 5 4" xfId="38220" xr:uid="{00000000-0005-0000-0000-0000E6600000}"/>
    <cellStyle name="Input 23 2 3 2 6" xfId="21467" xr:uid="{00000000-0005-0000-0000-0000E7600000}"/>
    <cellStyle name="Input 23 2 3 2 6 2" xfId="47004" xr:uid="{00000000-0005-0000-0000-0000E8600000}"/>
    <cellStyle name="Input 23 2 3 2 6 3" xfId="50910" xr:uid="{00000000-0005-0000-0000-0000E9600000}"/>
    <cellStyle name="Input 23 2 3 2 7" xfId="40807" xr:uid="{00000000-0005-0000-0000-0000EA600000}"/>
    <cellStyle name="Input 23 2 3 2 8" xfId="39604" xr:uid="{00000000-0005-0000-0000-0000EB600000}"/>
    <cellStyle name="Input 23 2 3 3" xfId="10903" xr:uid="{00000000-0005-0000-0000-0000EC600000}"/>
    <cellStyle name="Input 23 2 3 3 2" xfId="18696" xr:uid="{00000000-0005-0000-0000-0000ED600000}"/>
    <cellStyle name="Input 23 2 3 3 2 2" xfId="44243" xr:uid="{00000000-0005-0000-0000-0000EE600000}"/>
    <cellStyle name="Input 23 2 3 3 2 3" xfId="48152" xr:uid="{00000000-0005-0000-0000-0000EF600000}"/>
    <cellStyle name="Input 23 2 3 3 2 4" xfId="36333" xr:uid="{00000000-0005-0000-0000-0000F0600000}"/>
    <cellStyle name="Input 23 2 3 3 3" xfId="19588" xr:uid="{00000000-0005-0000-0000-0000F1600000}"/>
    <cellStyle name="Input 23 2 3 3 3 2" xfId="45125" xr:uid="{00000000-0005-0000-0000-0000F2600000}"/>
    <cellStyle name="Input 23 2 3 3 3 3" xfId="49031" xr:uid="{00000000-0005-0000-0000-0000F3600000}"/>
    <cellStyle name="Input 23 2 3 3 3 4" xfId="37128" xr:uid="{00000000-0005-0000-0000-0000F4600000}"/>
    <cellStyle name="Input 23 2 3 3 4" xfId="19246" xr:uid="{00000000-0005-0000-0000-0000F5600000}"/>
    <cellStyle name="Input 23 2 3 3 4 2" xfId="44783" xr:uid="{00000000-0005-0000-0000-0000F6600000}"/>
    <cellStyle name="Input 23 2 3 3 4 3" xfId="48689" xr:uid="{00000000-0005-0000-0000-0000F7600000}"/>
    <cellStyle name="Input 23 2 3 3 4 4" xfId="36824" xr:uid="{00000000-0005-0000-0000-0000F8600000}"/>
    <cellStyle name="Input 23 2 3 3 5" xfId="21109" xr:uid="{00000000-0005-0000-0000-0000F9600000}"/>
    <cellStyle name="Input 23 2 3 3 5 2" xfId="46646" xr:uid="{00000000-0005-0000-0000-0000FA600000}"/>
    <cellStyle name="Input 23 2 3 3 5 3" xfId="50552" xr:uid="{00000000-0005-0000-0000-0000FB600000}"/>
    <cellStyle name="Input 23 2 3 3 5 4" xfId="38515" xr:uid="{00000000-0005-0000-0000-0000FC600000}"/>
    <cellStyle name="Input 23 2 3 3 6" xfId="21762" xr:uid="{00000000-0005-0000-0000-0000FD600000}"/>
    <cellStyle name="Input 23 2 3 3 6 2" xfId="47299" xr:uid="{00000000-0005-0000-0000-0000FE600000}"/>
    <cellStyle name="Input 23 2 3 3 6 3" xfId="51205" xr:uid="{00000000-0005-0000-0000-0000FF600000}"/>
    <cellStyle name="Input 23 2 3 3 7" xfId="41102" xr:uid="{00000000-0005-0000-0000-000000610000}"/>
    <cellStyle name="Input 23 2 3 3 8" xfId="41427" xr:uid="{00000000-0005-0000-0000-000001610000}"/>
    <cellStyle name="Input 23 2 3 4" xfId="14866" xr:uid="{00000000-0005-0000-0000-000002610000}"/>
    <cellStyle name="Input 23 2 3 4 2" xfId="42982" xr:uid="{00000000-0005-0000-0000-000003610000}"/>
    <cellStyle name="Input 23 2 3 4 3" xfId="42674" xr:uid="{00000000-0005-0000-0000-000004610000}"/>
    <cellStyle name="Input 23 2 3 4 4" xfId="32501" xr:uid="{00000000-0005-0000-0000-000005610000}"/>
    <cellStyle name="Input 23 2 3 5" xfId="13126" xr:uid="{00000000-0005-0000-0000-000006610000}"/>
    <cellStyle name="Input 23 2 3 5 2" xfId="42347" xr:uid="{00000000-0005-0000-0000-000007610000}"/>
    <cellStyle name="Input 23 2 3 5 3" xfId="43683" xr:uid="{00000000-0005-0000-0000-000008610000}"/>
    <cellStyle name="Input 23 2 3 5 4" xfId="30775" xr:uid="{00000000-0005-0000-0000-000009610000}"/>
    <cellStyle name="Input 23 2 3 6" xfId="11851" xr:uid="{00000000-0005-0000-0000-00000A610000}"/>
    <cellStyle name="Input 23 2 3 6 2" xfId="41769" xr:uid="{00000000-0005-0000-0000-00000B610000}"/>
    <cellStyle name="Input 23 2 3 6 3" xfId="42009" xr:uid="{00000000-0005-0000-0000-00000C610000}"/>
    <cellStyle name="Input 23 2 3 6 4" xfId="29535" xr:uid="{00000000-0005-0000-0000-00000D610000}"/>
    <cellStyle name="Input 23 2 3 7" xfId="11821" xr:uid="{00000000-0005-0000-0000-00000E610000}"/>
    <cellStyle name="Input 23 2 3 7 2" xfId="41759" xr:uid="{00000000-0005-0000-0000-00000F610000}"/>
    <cellStyle name="Input 23 2 3 7 3" xfId="39338" xr:uid="{00000000-0005-0000-0000-000010610000}"/>
    <cellStyle name="Input 23 2 3 7 4" xfId="29507" xr:uid="{00000000-0005-0000-0000-000011610000}"/>
    <cellStyle name="Input 23 2 3 8" xfId="19938" xr:uid="{00000000-0005-0000-0000-000012610000}"/>
    <cellStyle name="Input 23 2 3 8 2" xfId="45475" xr:uid="{00000000-0005-0000-0000-000013610000}"/>
    <cellStyle name="Input 23 2 3 8 3" xfId="49381" xr:uid="{00000000-0005-0000-0000-000014610000}"/>
    <cellStyle name="Input 23 2 3 9" xfId="39842" xr:uid="{00000000-0005-0000-0000-000015610000}"/>
    <cellStyle name="Input 23 2 4" xfId="22456" xr:uid="{00000000-0005-0000-0000-000016610000}"/>
    <cellStyle name="Input 23 2 5" xfId="53080" xr:uid="{00000000-0005-0000-0000-000017610000}"/>
    <cellStyle name="Input 23 2_Sheet1" xfId="1896" xr:uid="{00000000-0005-0000-0000-000018610000}"/>
    <cellStyle name="Input 23 3" xfId="1897" xr:uid="{00000000-0005-0000-0000-000019610000}"/>
    <cellStyle name="Input 23 3 2" xfId="7080" xr:uid="{00000000-0005-0000-0000-00001A610000}"/>
    <cellStyle name="Input 23 3 2 10" xfId="39250" xr:uid="{00000000-0005-0000-0000-00001B610000}"/>
    <cellStyle name="Input 23 3 2 2" xfId="10610" xr:uid="{00000000-0005-0000-0000-00001C610000}"/>
    <cellStyle name="Input 23 3 2 2 2" xfId="18403" xr:uid="{00000000-0005-0000-0000-00001D610000}"/>
    <cellStyle name="Input 23 3 2 2 2 2" xfId="43950" xr:uid="{00000000-0005-0000-0000-00001E610000}"/>
    <cellStyle name="Input 23 3 2 2 2 3" xfId="47859" xr:uid="{00000000-0005-0000-0000-00001F610000}"/>
    <cellStyle name="Input 23 3 2 2 2 4" xfId="36040" xr:uid="{00000000-0005-0000-0000-000020610000}"/>
    <cellStyle name="Input 23 3 2 2 3" xfId="19131" xr:uid="{00000000-0005-0000-0000-000021610000}"/>
    <cellStyle name="Input 23 3 2 2 3 2" xfId="44668" xr:uid="{00000000-0005-0000-0000-000022610000}"/>
    <cellStyle name="Input 23 3 2 2 3 3" xfId="48574" xr:uid="{00000000-0005-0000-0000-000023610000}"/>
    <cellStyle name="Input 23 3 2 2 3 4" xfId="36726" xr:uid="{00000000-0005-0000-0000-000024610000}"/>
    <cellStyle name="Input 23 3 2 2 4" xfId="20127" xr:uid="{00000000-0005-0000-0000-000025610000}"/>
    <cellStyle name="Input 23 3 2 2 4 2" xfId="45664" xr:uid="{00000000-0005-0000-0000-000026610000}"/>
    <cellStyle name="Input 23 3 2 2 4 3" xfId="49570" xr:uid="{00000000-0005-0000-0000-000027610000}"/>
    <cellStyle name="Input 23 3 2 2 4 4" xfId="37613" xr:uid="{00000000-0005-0000-0000-000028610000}"/>
    <cellStyle name="Input 23 3 2 2 5" xfId="20816" xr:uid="{00000000-0005-0000-0000-000029610000}"/>
    <cellStyle name="Input 23 3 2 2 5 2" xfId="46353" xr:uid="{00000000-0005-0000-0000-00002A610000}"/>
    <cellStyle name="Input 23 3 2 2 5 3" xfId="50259" xr:uid="{00000000-0005-0000-0000-00002B610000}"/>
    <cellStyle name="Input 23 3 2 2 5 4" xfId="38222" xr:uid="{00000000-0005-0000-0000-00002C610000}"/>
    <cellStyle name="Input 23 3 2 2 6" xfId="21469" xr:uid="{00000000-0005-0000-0000-00002D610000}"/>
    <cellStyle name="Input 23 3 2 2 6 2" xfId="47006" xr:uid="{00000000-0005-0000-0000-00002E610000}"/>
    <cellStyle name="Input 23 3 2 2 6 3" xfId="50912" xr:uid="{00000000-0005-0000-0000-00002F610000}"/>
    <cellStyle name="Input 23 3 2 2 7" xfId="40809" xr:uid="{00000000-0005-0000-0000-000030610000}"/>
    <cellStyle name="Input 23 3 2 2 8" xfId="43525" xr:uid="{00000000-0005-0000-0000-000031610000}"/>
    <cellStyle name="Input 23 3 2 3" xfId="10905" xr:uid="{00000000-0005-0000-0000-000032610000}"/>
    <cellStyle name="Input 23 3 2 3 2" xfId="18698" xr:uid="{00000000-0005-0000-0000-000033610000}"/>
    <cellStyle name="Input 23 3 2 3 2 2" xfId="44245" xr:uid="{00000000-0005-0000-0000-000034610000}"/>
    <cellStyle name="Input 23 3 2 3 2 3" xfId="48154" xr:uid="{00000000-0005-0000-0000-000035610000}"/>
    <cellStyle name="Input 23 3 2 3 2 4" xfId="36335" xr:uid="{00000000-0005-0000-0000-000036610000}"/>
    <cellStyle name="Input 23 3 2 3 3" xfId="11526" xr:uid="{00000000-0005-0000-0000-000037610000}"/>
    <cellStyle name="Input 23 3 2 3 3 2" xfId="41537" xr:uid="{00000000-0005-0000-0000-000038610000}"/>
    <cellStyle name="Input 23 3 2 3 3 3" xfId="42582" xr:uid="{00000000-0005-0000-0000-000039610000}"/>
    <cellStyle name="Input 23 3 2 3 3 4" xfId="29241" xr:uid="{00000000-0005-0000-0000-00003A610000}"/>
    <cellStyle name="Input 23 3 2 3 4" xfId="20250" xr:uid="{00000000-0005-0000-0000-00003B610000}"/>
    <cellStyle name="Input 23 3 2 3 4 2" xfId="45787" xr:uid="{00000000-0005-0000-0000-00003C610000}"/>
    <cellStyle name="Input 23 3 2 3 4 3" xfId="49693" xr:uid="{00000000-0005-0000-0000-00003D610000}"/>
    <cellStyle name="Input 23 3 2 3 4 4" xfId="37721" xr:uid="{00000000-0005-0000-0000-00003E610000}"/>
    <cellStyle name="Input 23 3 2 3 5" xfId="21111" xr:uid="{00000000-0005-0000-0000-00003F610000}"/>
    <cellStyle name="Input 23 3 2 3 5 2" xfId="46648" xr:uid="{00000000-0005-0000-0000-000040610000}"/>
    <cellStyle name="Input 23 3 2 3 5 3" xfId="50554" xr:uid="{00000000-0005-0000-0000-000041610000}"/>
    <cellStyle name="Input 23 3 2 3 5 4" xfId="38517" xr:uid="{00000000-0005-0000-0000-000042610000}"/>
    <cellStyle name="Input 23 3 2 3 6" xfId="21764" xr:uid="{00000000-0005-0000-0000-000043610000}"/>
    <cellStyle name="Input 23 3 2 3 6 2" xfId="47301" xr:uid="{00000000-0005-0000-0000-000044610000}"/>
    <cellStyle name="Input 23 3 2 3 6 3" xfId="51207" xr:uid="{00000000-0005-0000-0000-000045610000}"/>
    <cellStyle name="Input 23 3 2 3 7" xfId="41104" xr:uid="{00000000-0005-0000-0000-000046610000}"/>
    <cellStyle name="Input 23 3 2 3 8" xfId="40089" xr:uid="{00000000-0005-0000-0000-000047610000}"/>
    <cellStyle name="Input 23 3 2 4" xfId="14868" xr:uid="{00000000-0005-0000-0000-000048610000}"/>
    <cellStyle name="Input 23 3 2 4 2" xfId="42984" xr:uid="{00000000-0005-0000-0000-000049610000}"/>
    <cellStyle name="Input 23 3 2 4 3" xfId="40423" xr:uid="{00000000-0005-0000-0000-00004A610000}"/>
    <cellStyle name="Input 23 3 2 4 4" xfId="32503" xr:uid="{00000000-0005-0000-0000-00004B610000}"/>
    <cellStyle name="Input 23 3 2 5" xfId="13128" xr:uid="{00000000-0005-0000-0000-00004C610000}"/>
    <cellStyle name="Input 23 3 2 5 2" xfId="42349" xr:uid="{00000000-0005-0000-0000-00004D610000}"/>
    <cellStyle name="Input 23 3 2 5 3" xfId="39651" xr:uid="{00000000-0005-0000-0000-00004E610000}"/>
    <cellStyle name="Input 23 3 2 5 4" xfId="30777" xr:uid="{00000000-0005-0000-0000-00004F610000}"/>
    <cellStyle name="Input 23 3 2 6" xfId="12042" xr:uid="{00000000-0005-0000-0000-000050610000}"/>
    <cellStyle name="Input 23 3 2 6 2" xfId="41798" xr:uid="{00000000-0005-0000-0000-000051610000}"/>
    <cellStyle name="Input 23 3 2 6 3" xfId="47503" xr:uid="{00000000-0005-0000-0000-000052610000}"/>
    <cellStyle name="Input 23 3 2 6 4" xfId="29721" xr:uid="{00000000-0005-0000-0000-000053610000}"/>
    <cellStyle name="Input 23 3 2 7" xfId="12828" xr:uid="{00000000-0005-0000-0000-000054610000}"/>
    <cellStyle name="Input 23 3 2 7 2" xfId="42231" xr:uid="{00000000-0005-0000-0000-000055610000}"/>
    <cellStyle name="Input 23 3 2 7 3" xfId="40333" xr:uid="{00000000-0005-0000-0000-000056610000}"/>
    <cellStyle name="Input 23 3 2 7 4" xfId="30483" xr:uid="{00000000-0005-0000-0000-000057610000}"/>
    <cellStyle name="Input 23 3 2 8" xfId="19989" xr:uid="{00000000-0005-0000-0000-000058610000}"/>
    <cellStyle name="Input 23 3 2 8 2" xfId="45526" xr:uid="{00000000-0005-0000-0000-000059610000}"/>
    <cellStyle name="Input 23 3 2 8 3" xfId="49432" xr:uid="{00000000-0005-0000-0000-00005A610000}"/>
    <cellStyle name="Input 23 3 2 9" xfId="39844" xr:uid="{00000000-0005-0000-0000-00005B610000}"/>
    <cellStyle name="Input 23 3 3" xfId="53083" xr:uid="{00000000-0005-0000-0000-00005C610000}"/>
    <cellStyle name="Input 23 4" xfId="7077" xr:uid="{00000000-0005-0000-0000-00005D610000}"/>
    <cellStyle name="Input 23 4 10" xfId="43425" xr:uid="{00000000-0005-0000-0000-00005E610000}"/>
    <cellStyle name="Input 23 4 11" xfId="53084" xr:uid="{00000000-0005-0000-0000-00005F610000}"/>
    <cellStyle name="Input 23 4 2" xfId="10607" xr:uid="{00000000-0005-0000-0000-000060610000}"/>
    <cellStyle name="Input 23 4 2 2" xfId="18400" xr:uid="{00000000-0005-0000-0000-000061610000}"/>
    <cellStyle name="Input 23 4 2 2 2" xfId="43947" xr:uid="{00000000-0005-0000-0000-000062610000}"/>
    <cellStyle name="Input 23 4 2 2 3" xfId="47856" xr:uid="{00000000-0005-0000-0000-000063610000}"/>
    <cellStyle name="Input 23 4 2 2 4" xfId="36037" xr:uid="{00000000-0005-0000-0000-000064610000}"/>
    <cellStyle name="Input 23 4 2 3" xfId="20033" xr:uid="{00000000-0005-0000-0000-000065610000}"/>
    <cellStyle name="Input 23 4 2 3 2" xfId="45570" xr:uid="{00000000-0005-0000-0000-000066610000}"/>
    <cellStyle name="Input 23 4 2 3 3" xfId="49476" xr:uid="{00000000-0005-0000-0000-000067610000}"/>
    <cellStyle name="Input 23 4 2 3 4" xfId="37531" xr:uid="{00000000-0005-0000-0000-000068610000}"/>
    <cellStyle name="Input 23 4 2 4" xfId="18883" xr:uid="{00000000-0005-0000-0000-000069610000}"/>
    <cellStyle name="Input 23 4 2 4 2" xfId="44420" xr:uid="{00000000-0005-0000-0000-00006A610000}"/>
    <cellStyle name="Input 23 4 2 4 3" xfId="48326" xr:uid="{00000000-0005-0000-0000-00006B610000}"/>
    <cellStyle name="Input 23 4 2 4 4" xfId="36520" xr:uid="{00000000-0005-0000-0000-00006C610000}"/>
    <cellStyle name="Input 23 4 2 5" xfId="20813" xr:uid="{00000000-0005-0000-0000-00006D610000}"/>
    <cellStyle name="Input 23 4 2 5 2" xfId="46350" xr:uid="{00000000-0005-0000-0000-00006E610000}"/>
    <cellStyle name="Input 23 4 2 5 3" xfId="50256" xr:uid="{00000000-0005-0000-0000-00006F610000}"/>
    <cellStyle name="Input 23 4 2 5 4" xfId="38219" xr:uid="{00000000-0005-0000-0000-000070610000}"/>
    <cellStyle name="Input 23 4 2 6" xfId="21466" xr:uid="{00000000-0005-0000-0000-000071610000}"/>
    <cellStyle name="Input 23 4 2 6 2" xfId="47003" xr:uid="{00000000-0005-0000-0000-000072610000}"/>
    <cellStyle name="Input 23 4 2 6 3" xfId="50909" xr:uid="{00000000-0005-0000-0000-000073610000}"/>
    <cellStyle name="Input 23 4 2 7" xfId="40806" xr:uid="{00000000-0005-0000-0000-000074610000}"/>
    <cellStyle name="Input 23 4 2 8" xfId="40494" xr:uid="{00000000-0005-0000-0000-000075610000}"/>
    <cellStyle name="Input 23 4 3" xfId="10902" xr:uid="{00000000-0005-0000-0000-000076610000}"/>
    <cellStyle name="Input 23 4 3 2" xfId="18695" xr:uid="{00000000-0005-0000-0000-000077610000}"/>
    <cellStyle name="Input 23 4 3 2 2" xfId="44242" xr:uid="{00000000-0005-0000-0000-000078610000}"/>
    <cellStyle name="Input 23 4 3 2 3" xfId="48151" xr:uid="{00000000-0005-0000-0000-000079610000}"/>
    <cellStyle name="Input 23 4 3 2 4" xfId="36332" xr:uid="{00000000-0005-0000-0000-00007A610000}"/>
    <cellStyle name="Input 23 4 3 3" xfId="20390" xr:uid="{00000000-0005-0000-0000-00007B610000}"/>
    <cellStyle name="Input 23 4 3 3 2" xfId="45927" xr:uid="{00000000-0005-0000-0000-00007C610000}"/>
    <cellStyle name="Input 23 4 3 3 3" xfId="49833" xr:uid="{00000000-0005-0000-0000-00007D610000}"/>
    <cellStyle name="Input 23 4 3 3 4" xfId="37844" xr:uid="{00000000-0005-0000-0000-00007E610000}"/>
    <cellStyle name="Input 23 4 3 4" xfId="20534" xr:uid="{00000000-0005-0000-0000-00007F610000}"/>
    <cellStyle name="Input 23 4 3 4 2" xfId="46071" xr:uid="{00000000-0005-0000-0000-000080610000}"/>
    <cellStyle name="Input 23 4 3 4 3" xfId="49977" xr:uid="{00000000-0005-0000-0000-000081610000}"/>
    <cellStyle name="Input 23 4 3 4 4" xfId="37962" xr:uid="{00000000-0005-0000-0000-000082610000}"/>
    <cellStyle name="Input 23 4 3 5" xfId="21108" xr:uid="{00000000-0005-0000-0000-000083610000}"/>
    <cellStyle name="Input 23 4 3 5 2" xfId="46645" xr:uid="{00000000-0005-0000-0000-000084610000}"/>
    <cellStyle name="Input 23 4 3 5 3" xfId="50551" xr:uid="{00000000-0005-0000-0000-000085610000}"/>
    <cellStyle name="Input 23 4 3 5 4" xfId="38514" xr:uid="{00000000-0005-0000-0000-000086610000}"/>
    <cellStyle name="Input 23 4 3 6" xfId="21761" xr:uid="{00000000-0005-0000-0000-000087610000}"/>
    <cellStyle name="Input 23 4 3 6 2" xfId="47298" xr:uid="{00000000-0005-0000-0000-000088610000}"/>
    <cellStyle name="Input 23 4 3 6 3" xfId="51204" xr:uid="{00000000-0005-0000-0000-000089610000}"/>
    <cellStyle name="Input 23 4 3 7" xfId="41101" xr:uid="{00000000-0005-0000-0000-00008A610000}"/>
    <cellStyle name="Input 23 4 3 8" xfId="39186" xr:uid="{00000000-0005-0000-0000-00008B610000}"/>
    <cellStyle name="Input 23 4 4" xfId="14865" xr:uid="{00000000-0005-0000-0000-00008C610000}"/>
    <cellStyle name="Input 23 4 4 2" xfId="42981" xr:uid="{00000000-0005-0000-0000-00008D610000}"/>
    <cellStyle name="Input 23 4 4 3" xfId="39638" xr:uid="{00000000-0005-0000-0000-00008E610000}"/>
    <cellStyle name="Input 23 4 4 4" xfId="32500" xr:uid="{00000000-0005-0000-0000-00008F610000}"/>
    <cellStyle name="Input 23 4 5" xfId="13125" xr:uid="{00000000-0005-0000-0000-000090610000}"/>
    <cellStyle name="Input 23 4 5 2" xfId="42346" xr:uid="{00000000-0005-0000-0000-000091610000}"/>
    <cellStyle name="Input 23 4 5 3" xfId="42795" xr:uid="{00000000-0005-0000-0000-000092610000}"/>
    <cellStyle name="Input 23 4 5 4" xfId="30774" xr:uid="{00000000-0005-0000-0000-000093610000}"/>
    <cellStyle name="Input 23 4 6" xfId="12612" xr:uid="{00000000-0005-0000-0000-000094610000}"/>
    <cellStyle name="Input 23 4 6 2" xfId="42091" xr:uid="{00000000-0005-0000-0000-000095610000}"/>
    <cellStyle name="Input 23 4 6 3" xfId="42699" xr:uid="{00000000-0005-0000-0000-000096610000}"/>
    <cellStyle name="Input 23 4 6 4" xfId="30278" xr:uid="{00000000-0005-0000-0000-000097610000}"/>
    <cellStyle name="Input 23 4 7" xfId="20497" xr:uid="{00000000-0005-0000-0000-000098610000}"/>
    <cellStyle name="Input 23 4 7 2" xfId="46034" xr:uid="{00000000-0005-0000-0000-000099610000}"/>
    <cellStyle name="Input 23 4 7 3" xfId="49940" xr:uid="{00000000-0005-0000-0000-00009A610000}"/>
    <cellStyle name="Input 23 4 7 4" xfId="37941" xr:uid="{00000000-0005-0000-0000-00009B610000}"/>
    <cellStyle name="Input 23 4 8" xfId="11667" xr:uid="{00000000-0005-0000-0000-00009C610000}"/>
    <cellStyle name="Input 23 4 8 2" xfId="41678" xr:uid="{00000000-0005-0000-0000-00009D610000}"/>
    <cellStyle name="Input 23 4 8 3" xfId="40068" xr:uid="{00000000-0005-0000-0000-00009E610000}"/>
    <cellStyle name="Input 23 4 9" xfId="39841" xr:uid="{00000000-0005-0000-0000-00009F610000}"/>
    <cellStyle name="Input 23 5" xfId="22455" xr:uid="{00000000-0005-0000-0000-0000A0610000}"/>
    <cellStyle name="Input 23 6" xfId="53079" xr:uid="{00000000-0005-0000-0000-0000A1610000}"/>
    <cellStyle name="Input 23_Sheet1" xfId="1898" xr:uid="{00000000-0005-0000-0000-0000A2610000}"/>
    <cellStyle name="Input 24" xfId="1899" xr:uid="{00000000-0005-0000-0000-0000A3610000}"/>
    <cellStyle name="Input 24 2" xfId="1900" xr:uid="{00000000-0005-0000-0000-0000A4610000}"/>
    <cellStyle name="Input 24 2 2" xfId="1901" xr:uid="{00000000-0005-0000-0000-0000A5610000}"/>
    <cellStyle name="Input 24 2 2 2" xfId="7083" xr:uid="{00000000-0005-0000-0000-0000A6610000}"/>
    <cellStyle name="Input 24 2 2 2 10" xfId="43276" xr:uid="{00000000-0005-0000-0000-0000A7610000}"/>
    <cellStyle name="Input 24 2 2 2 2" xfId="10613" xr:uid="{00000000-0005-0000-0000-0000A8610000}"/>
    <cellStyle name="Input 24 2 2 2 2 2" xfId="18406" xr:uid="{00000000-0005-0000-0000-0000A9610000}"/>
    <cellStyle name="Input 24 2 2 2 2 2 2" xfId="43953" xr:uid="{00000000-0005-0000-0000-0000AA610000}"/>
    <cellStyle name="Input 24 2 2 2 2 2 3" xfId="47862" xr:uid="{00000000-0005-0000-0000-0000AB610000}"/>
    <cellStyle name="Input 24 2 2 2 2 2 4" xfId="36043" xr:uid="{00000000-0005-0000-0000-0000AC610000}"/>
    <cellStyle name="Input 24 2 2 2 2 3" xfId="12162" xr:uid="{00000000-0005-0000-0000-0000AD610000}"/>
    <cellStyle name="Input 24 2 2 2 2 3 2" xfId="41907" xr:uid="{00000000-0005-0000-0000-0000AE610000}"/>
    <cellStyle name="Input 24 2 2 2 2 3 3" xfId="43592" xr:uid="{00000000-0005-0000-0000-0000AF610000}"/>
    <cellStyle name="Input 24 2 2 2 2 3 4" xfId="29834" xr:uid="{00000000-0005-0000-0000-0000B0610000}"/>
    <cellStyle name="Input 24 2 2 2 2 4" xfId="20301" xr:uid="{00000000-0005-0000-0000-0000B1610000}"/>
    <cellStyle name="Input 24 2 2 2 2 4 2" xfId="45838" xr:uid="{00000000-0005-0000-0000-0000B2610000}"/>
    <cellStyle name="Input 24 2 2 2 2 4 3" xfId="49744" xr:uid="{00000000-0005-0000-0000-0000B3610000}"/>
    <cellStyle name="Input 24 2 2 2 2 4 4" xfId="37767" xr:uid="{00000000-0005-0000-0000-0000B4610000}"/>
    <cellStyle name="Input 24 2 2 2 2 5" xfId="20819" xr:uid="{00000000-0005-0000-0000-0000B5610000}"/>
    <cellStyle name="Input 24 2 2 2 2 5 2" xfId="46356" xr:uid="{00000000-0005-0000-0000-0000B6610000}"/>
    <cellStyle name="Input 24 2 2 2 2 5 3" xfId="50262" xr:uid="{00000000-0005-0000-0000-0000B7610000}"/>
    <cellStyle name="Input 24 2 2 2 2 5 4" xfId="38225" xr:uid="{00000000-0005-0000-0000-0000B8610000}"/>
    <cellStyle name="Input 24 2 2 2 2 6" xfId="21472" xr:uid="{00000000-0005-0000-0000-0000B9610000}"/>
    <cellStyle name="Input 24 2 2 2 2 6 2" xfId="47009" xr:uid="{00000000-0005-0000-0000-0000BA610000}"/>
    <cellStyle name="Input 24 2 2 2 2 6 3" xfId="50915" xr:uid="{00000000-0005-0000-0000-0000BB610000}"/>
    <cellStyle name="Input 24 2 2 2 2 7" xfId="40812" xr:uid="{00000000-0005-0000-0000-0000BC610000}"/>
    <cellStyle name="Input 24 2 2 2 2 8" xfId="42074" xr:uid="{00000000-0005-0000-0000-0000BD610000}"/>
    <cellStyle name="Input 24 2 2 2 3" xfId="10908" xr:uid="{00000000-0005-0000-0000-0000BE610000}"/>
    <cellStyle name="Input 24 2 2 2 3 2" xfId="18701" xr:uid="{00000000-0005-0000-0000-0000BF610000}"/>
    <cellStyle name="Input 24 2 2 2 3 2 2" xfId="44248" xr:uid="{00000000-0005-0000-0000-0000C0610000}"/>
    <cellStyle name="Input 24 2 2 2 3 2 3" xfId="48157" xr:uid="{00000000-0005-0000-0000-0000C1610000}"/>
    <cellStyle name="Input 24 2 2 2 3 2 4" xfId="36338" xr:uid="{00000000-0005-0000-0000-0000C2610000}"/>
    <cellStyle name="Input 24 2 2 2 3 3" xfId="11527" xr:uid="{00000000-0005-0000-0000-0000C3610000}"/>
    <cellStyle name="Input 24 2 2 2 3 3 2" xfId="41538" xr:uid="{00000000-0005-0000-0000-0000C4610000}"/>
    <cellStyle name="Input 24 2 2 2 3 3 3" xfId="43496" xr:uid="{00000000-0005-0000-0000-0000C5610000}"/>
    <cellStyle name="Input 24 2 2 2 3 3 4" xfId="29242" xr:uid="{00000000-0005-0000-0000-0000C6610000}"/>
    <cellStyle name="Input 24 2 2 2 3 4" xfId="19355" xr:uid="{00000000-0005-0000-0000-0000C7610000}"/>
    <cellStyle name="Input 24 2 2 2 3 4 2" xfId="44892" xr:uid="{00000000-0005-0000-0000-0000C8610000}"/>
    <cellStyle name="Input 24 2 2 2 3 4 3" xfId="48798" xr:uid="{00000000-0005-0000-0000-0000C9610000}"/>
    <cellStyle name="Input 24 2 2 2 3 4 4" xfId="36924" xr:uid="{00000000-0005-0000-0000-0000CA610000}"/>
    <cellStyle name="Input 24 2 2 2 3 5" xfId="21114" xr:uid="{00000000-0005-0000-0000-0000CB610000}"/>
    <cellStyle name="Input 24 2 2 2 3 5 2" xfId="46651" xr:uid="{00000000-0005-0000-0000-0000CC610000}"/>
    <cellStyle name="Input 24 2 2 2 3 5 3" xfId="50557" xr:uid="{00000000-0005-0000-0000-0000CD610000}"/>
    <cellStyle name="Input 24 2 2 2 3 5 4" xfId="38520" xr:uid="{00000000-0005-0000-0000-0000CE610000}"/>
    <cellStyle name="Input 24 2 2 2 3 6" xfId="21767" xr:uid="{00000000-0005-0000-0000-0000CF610000}"/>
    <cellStyle name="Input 24 2 2 2 3 6 2" xfId="47304" xr:uid="{00000000-0005-0000-0000-0000D0610000}"/>
    <cellStyle name="Input 24 2 2 2 3 6 3" xfId="51210" xr:uid="{00000000-0005-0000-0000-0000D1610000}"/>
    <cellStyle name="Input 24 2 2 2 3 7" xfId="41107" xr:uid="{00000000-0005-0000-0000-0000D2610000}"/>
    <cellStyle name="Input 24 2 2 2 3 8" xfId="40585" xr:uid="{00000000-0005-0000-0000-0000D3610000}"/>
    <cellStyle name="Input 24 2 2 2 4" xfId="14871" xr:uid="{00000000-0005-0000-0000-0000D4610000}"/>
    <cellStyle name="Input 24 2 2 2 4 2" xfId="42987" xr:uid="{00000000-0005-0000-0000-0000D5610000}"/>
    <cellStyle name="Input 24 2 2 2 4 3" xfId="43453" xr:uid="{00000000-0005-0000-0000-0000D6610000}"/>
    <cellStyle name="Input 24 2 2 2 4 4" xfId="32506" xr:uid="{00000000-0005-0000-0000-0000D7610000}"/>
    <cellStyle name="Input 24 2 2 2 5" xfId="13131" xr:uid="{00000000-0005-0000-0000-0000D8610000}"/>
    <cellStyle name="Input 24 2 2 2 5 2" xfId="42352" xr:uid="{00000000-0005-0000-0000-0000D9610000}"/>
    <cellStyle name="Input 24 2 2 2 5 3" xfId="40437" xr:uid="{00000000-0005-0000-0000-0000DA610000}"/>
    <cellStyle name="Input 24 2 2 2 5 4" xfId="30780" xr:uid="{00000000-0005-0000-0000-0000DB610000}"/>
    <cellStyle name="Input 24 2 2 2 6" xfId="12734" xr:uid="{00000000-0005-0000-0000-0000DC610000}"/>
    <cellStyle name="Input 24 2 2 2 6 2" xfId="42188" xr:uid="{00000000-0005-0000-0000-0000DD610000}"/>
    <cellStyle name="Input 24 2 2 2 6 3" xfId="43474" xr:uid="{00000000-0005-0000-0000-0000DE610000}"/>
    <cellStyle name="Input 24 2 2 2 6 4" xfId="30392" xr:uid="{00000000-0005-0000-0000-0000DF610000}"/>
    <cellStyle name="Input 24 2 2 2 7" xfId="19775" xr:uid="{00000000-0005-0000-0000-0000E0610000}"/>
    <cellStyle name="Input 24 2 2 2 7 2" xfId="45312" xr:uid="{00000000-0005-0000-0000-0000E1610000}"/>
    <cellStyle name="Input 24 2 2 2 7 3" xfId="49218" xr:uid="{00000000-0005-0000-0000-0000E2610000}"/>
    <cellStyle name="Input 24 2 2 2 7 4" xfId="37302" xr:uid="{00000000-0005-0000-0000-0000E3610000}"/>
    <cellStyle name="Input 24 2 2 2 8" xfId="11606" xr:uid="{00000000-0005-0000-0000-0000E4610000}"/>
    <cellStyle name="Input 24 2 2 2 8 2" xfId="41617" xr:uid="{00000000-0005-0000-0000-0000E5610000}"/>
    <cellStyle name="Input 24 2 2 2 8 3" xfId="42023" xr:uid="{00000000-0005-0000-0000-0000E6610000}"/>
    <cellStyle name="Input 24 2 2 2 9" xfId="39847" xr:uid="{00000000-0005-0000-0000-0000E7610000}"/>
    <cellStyle name="Input 24 2 2 3" xfId="53087" xr:uid="{00000000-0005-0000-0000-0000E8610000}"/>
    <cellStyle name="Input 24 2 3" xfId="7082" xr:uid="{00000000-0005-0000-0000-0000E9610000}"/>
    <cellStyle name="Input 24 2 3 10" xfId="41726" xr:uid="{00000000-0005-0000-0000-0000EA610000}"/>
    <cellStyle name="Input 24 2 3 11" xfId="53088" xr:uid="{00000000-0005-0000-0000-0000EB610000}"/>
    <cellStyle name="Input 24 2 3 2" xfId="10612" xr:uid="{00000000-0005-0000-0000-0000EC610000}"/>
    <cellStyle name="Input 24 2 3 2 2" xfId="18405" xr:uid="{00000000-0005-0000-0000-0000ED610000}"/>
    <cellStyle name="Input 24 2 3 2 2 2" xfId="43952" xr:uid="{00000000-0005-0000-0000-0000EE610000}"/>
    <cellStyle name="Input 24 2 3 2 2 3" xfId="47861" xr:uid="{00000000-0005-0000-0000-0000EF610000}"/>
    <cellStyle name="Input 24 2 3 2 2 4" xfId="36042" xr:uid="{00000000-0005-0000-0000-0000F0610000}"/>
    <cellStyle name="Input 24 2 3 2 3" xfId="12627" xr:uid="{00000000-0005-0000-0000-0000F1610000}"/>
    <cellStyle name="Input 24 2 3 2 3 2" xfId="42106" xr:uid="{00000000-0005-0000-0000-0000F2610000}"/>
    <cellStyle name="Input 24 2 3 2 3 3" xfId="40061" xr:uid="{00000000-0005-0000-0000-0000F3610000}"/>
    <cellStyle name="Input 24 2 3 2 3 4" xfId="30292" xr:uid="{00000000-0005-0000-0000-0000F4610000}"/>
    <cellStyle name="Input 24 2 3 2 4" xfId="20252" xr:uid="{00000000-0005-0000-0000-0000F5610000}"/>
    <cellStyle name="Input 24 2 3 2 4 2" xfId="45789" xr:uid="{00000000-0005-0000-0000-0000F6610000}"/>
    <cellStyle name="Input 24 2 3 2 4 3" xfId="49695" xr:uid="{00000000-0005-0000-0000-0000F7610000}"/>
    <cellStyle name="Input 24 2 3 2 4 4" xfId="37723" xr:uid="{00000000-0005-0000-0000-0000F8610000}"/>
    <cellStyle name="Input 24 2 3 2 5" xfId="20818" xr:uid="{00000000-0005-0000-0000-0000F9610000}"/>
    <cellStyle name="Input 24 2 3 2 5 2" xfId="46355" xr:uid="{00000000-0005-0000-0000-0000FA610000}"/>
    <cellStyle name="Input 24 2 3 2 5 3" xfId="50261" xr:uid="{00000000-0005-0000-0000-0000FB610000}"/>
    <cellStyle name="Input 24 2 3 2 5 4" xfId="38224" xr:uid="{00000000-0005-0000-0000-0000FC610000}"/>
    <cellStyle name="Input 24 2 3 2 6" xfId="21471" xr:uid="{00000000-0005-0000-0000-0000FD610000}"/>
    <cellStyle name="Input 24 2 3 2 6 2" xfId="47008" xr:uid="{00000000-0005-0000-0000-0000FE610000}"/>
    <cellStyle name="Input 24 2 3 2 6 3" xfId="50914" xr:uid="{00000000-0005-0000-0000-0000FF610000}"/>
    <cellStyle name="Input 24 2 3 2 7" xfId="40811" xr:uid="{00000000-0005-0000-0000-000000620000}"/>
    <cellStyle name="Input 24 2 3 2 8" xfId="39500" xr:uid="{00000000-0005-0000-0000-000001620000}"/>
    <cellStyle name="Input 24 2 3 3" xfId="10907" xr:uid="{00000000-0005-0000-0000-000002620000}"/>
    <cellStyle name="Input 24 2 3 3 2" xfId="18700" xr:uid="{00000000-0005-0000-0000-000003620000}"/>
    <cellStyle name="Input 24 2 3 3 2 2" xfId="44247" xr:uid="{00000000-0005-0000-0000-000004620000}"/>
    <cellStyle name="Input 24 2 3 3 2 3" xfId="48156" xr:uid="{00000000-0005-0000-0000-000005620000}"/>
    <cellStyle name="Input 24 2 3 3 2 4" xfId="36337" xr:uid="{00000000-0005-0000-0000-000006620000}"/>
    <cellStyle name="Input 24 2 3 3 3" xfId="19718" xr:uid="{00000000-0005-0000-0000-000007620000}"/>
    <cellStyle name="Input 24 2 3 3 3 2" xfId="45255" xr:uid="{00000000-0005-0000-0000-000008620000}"/>
    <cellStyle name="Input 24 2 3 3 3 3" xfId="49161" xr:uid="{00000000-0005-0000-0000-000009620000}"/>
    <cellStyle name="Input 24 2 3 3 3 4" xfId="37245" xr:uid="{00000000-0005-0000-0000-00000A620000}"/>
    <cellStyle name="Input 24 2 3 3 4" xfId="12825" xr:uid="{00000000-0005-0000-0000-00000B620000}"/>
    <cellStyle name="Input 24 2 3 3 4 2" xfId="42228" xr:uid="{00000000-0005-0000-0000-00000C620000}"/>
    <cellStyle name="Input 24 2 3 3 4 3" xfId="39551" xr:uid="{00000000-0005-0000-0000-00000D620000}"/>
    <cellStyle name="Input 24 2 3 3 4 4" xfId="30480" xr:uid="{00000000-0005-0000-0000-00000E620000}"/>
    <cellStyle name="Input 24 2 3 3 5" xfId="21113" xr:uid="{00000000-0005-0000-0000-00000F620000}"/>
    <cellStyle name="Input 24 2 3 3 5 2" xfId="46650" xr:uid="{00000000-0005-0000-0000-000010620000}"/>
    <cellStyle name="Input 24 2 3 3 5 3" xfId="50556" xr:uid="{00000000-0005-0000-0000-000011620000}"/>
    <cellStyle name="Input 24 2 3 3 5 4" xfId="38519" xr:uid="{00000000-0005-0000-0000-000012620000}"/>
    <cellStyle name="Input 24 2 3 3 6" xfId="21766" xr:uid="{00000000-0005-0000-0000-000013620000}"/>
    <cellStyle name="Input 24 2 3 3 6 2" xfId="47303" xr:uid="{00000000-0005-0000-0000-000014620000}"/>
    <cellStyle name="Input 24 2 3 3 6 3" xfId="51209" xr:uid="{00000000-0005-0000-0000-000015620000}"/>
    <cellStyle name="Input 24 2 3 3 7" xfId="41106" xr:uid="{00000000-0005-0000-0000-000016620000}"/>
    <cellStyle name="Input 24 2 3 3 8" xfId="43726" xr:uid="{00000000-0005-0000-0000-000017620000}"/>
    <cellStyle name="Input 24 2 3 4" xfId="14870" xr:uid="{00000000-0005-0000-0000-000018620000}"/>
    <cellStyle name="Input 24 2 3 4 2" xfId="42986" xr:uid="{00000000-0005-0000-0000-000019620000}"/>
    <cellStyle name="Input 24 2 3 4 3" xfId="42542" xr:uid="{00000000-0005-0000-0000-00001A620000}"/>
    <cellStyle name="Input 24 2 3 4 4" xfId="32505" xr:uid="{00000000-0005-0000-0000-00001B620000}"/>
    <cellStyle name="Input 24 2 3 5" xfId="13130" xr:uid="{00000000-0005-0000-0000-00001C620000}"/>
    <cellStyle name="Input 24 2 3 5 2" xfId="42351" xr:uid="{00000000-0005-0000-0000-00001D620000}"/>
    <cellStyle name="Input 24 2 3 5 3" xfId="43576" xr:uid="{00000000-0005-0000-0000-00001E620000}"/>
    <cellStyle name="Input 24 2 3 5 4" xfId="30779" xr:uid="{00000000-0005-0000-0000-00001F620000}"/>
    <cellStyle name="Input 24 2 3 6" xfId="20074" xr:uid="{00000000-0005-0000-0000-000020620000}"/>
    <cellStyle name="Input 24 2 3 6 2" xfId="45611" xr:uid="{00000000-0005-0000-0000-000021620000}"/>
    <cellStyle name="Input 24 2 3 6 3" xfId="49517" xr:uid="{00000000-0005-0000-0000-000022620000}"/>
    <cellStyle name="Input 24 2 3 6 4" xfId="37568" xr:uid="{00000000-0005-0000-0000-000023620000}"/>
    <cellStyle name="Input 24 2 3 7" xfId="19230" xr:uid="{00000000-0005-0000-0000-000024620000}"/>
    <cellStyle name="Input 24 2 3 7 2" xfId="44767" xr:uid="{00000000-0005-0000-0000-000025620000}"/>
    <cellStyle name="Input 24 2 3 7 3" xfId="48673" xr:uid="{00000000-0005-0000-0000-000026620000}"/>
    <cellStyle name="Input 24 2 3 7 4" xfId="36813" xr:uid="{00000000-0005-0000-0000-000027620000}"/>
    <cellStyle name="Input 24 2 3 8" xfId="12186" xr:uid="{00000000-0005-0000-0000-000028620000}"/>
    <cellStyle name="Input 24 2 3 8 2" xfId="41930" xr:uid="{00000000-0005-0000-0000-000029620000}"/>
    <cellStyle name="Input 24 2 3 8 3" xfId="39116" xr:uid="{00000000-0005-0000-0000-00002A620000}"/>
    <cellStyle name="Input 24 2 3 9" xfId="39846" xr:uid="{00000000-0005-0000-0000-00002B620000}"/>
    <cellStyle name="Input 24 2 4" xfId="22458" xr:uid="{00000000-0005-0000-0000-00002C620000}"/>
    <cellStyle name="Input 24 2 5" xfId="53086" xr:uid="{00000000-0005-0000-0000-00002D620000}"/>
    <cellStyle name="Input 24 2_Sheet1" xfId="1902" xr:uid="{00000000-0005-0000-0000-00002E620000}"/>
    <cellStyle name="Input 24 3" xfId="1903" xr:uid="{00000000-0005-0000-0000-00002F620000}"/>
    <cellStyle name="Input 24 3 2" xfId="7084" xr:uid="{00000000-0005-0000-0000-000030620000}"/>
    <cellStyle name="Input 24 3 2 10" xfId="40135" xr:uid="{00000000-0005-0000-0000-000031620000}"/>
    <cellStyle name="Input 24 3 2 2" xfId="10614" xr:uid="{00000000-0005-0000-0000-000032620000}"/>
    <cellStyle name="Input 24 3 2 2 2" xfId="18407" xr:uid="{00000000-0005-0000-0000-000033620000}"/>
    <cellStyle name="Input 24 3 2 2 2 2" xfId="43954" xr:uid="{00000000-0005-0000-0000-000034620000}"/>
    <cellStyle name="Input 24 3 2 2 2 3" xfId="47863" xr:uid="{00000000-0005-0000-0000-000035620000}"/>
    <cellStyle name="Input 24 3 2 2 2 4" xfId="36044" xr:uid="{00000000-0005-0000-0000-000036620000}"/>
    <cellStyle name="Input 24 3 2 2 3" xfId="19611" xr:uid="{00000000-0005-0000-0000-000037620000}"/>
    <cellStyle name="Input 24 3 2 2 3 2" xfId="45148" xr:uid="{00000000-0005-0000-0000-000038620000}"/>
    <cellStyle name="Input 24 3 2 2 3 3" xfId="49054" xr:uid="{00000000-0005-0000-0000-000039620000}"/>
    <cellStyle name="Input 24 3 2 2 3 4" xfId="37151" xr:uid="{00000000-0005-0000-0000-00003A620000}"/>
    <cellStyle name="Input 24 3 2 2 4" xfId="11632" xr:uid="{00000000-0005-0000-0000-00003B620000}"/>
    <cellStyle name="Input 24 3 2 2 4 2" xfId="41643" xr:uid="{00000000-0005-0000-0000-00003C620000}"/>
    <cellStyle name="Input 24 3 2 2 4 3" xfId="47511" xr:uid="{00000000-0005-0000-0000-00003D620000}"/>
    <cellStyle name="Input 24 3 2 2 4 4" xfId="29333" xr:uid="{00000000-0005-0000-0000-00003E620000}"/>
    <cellStyle name="Input 24 3 2 2 5" xfId="20820" xr:uid="{00000000-0005-0000-0000-00003F620000}"/>
    <cellStyle name="Input 24 3 2 2 5 2" xfId="46357" xr:uid="{00000000-0005-0000-0000-000040620000}"/>
    <cellStyle name="Input 24 3 2 2 5 3" xfId="50263" xr:uid="{00000000-0005-0000-0000-000041620000}"/>
    <cellStyle name="Input 24 3 2 2 5 4" xfId="38226" xr:uid="{00000000-0005-0000-0000-000042620000}"/>
    <cellStyle name="Input 24 3 2 2 6" xfId="21473" xr:uid="{00000000-0005-0000-0000-000043620000}"/>
    <cellStyle name="Input 24 3 2 2 6 2" xfId="47010" xr:uid="{00000000-0005-0000-0000-000044620000}"/>
    <cellStyle name="Input 24 3 2 2 6 3" xfId="50916" xr:uid="{00000000-0005-0000-0000-000045620000}"/>
    <cellStyle name="Input 24 3 2 2 7" xfId="40813" xr:uid="{00000000-0005-0000-0000-000046620000}"/>
    <cellStyle name="Input 24 3 2 2 8" xfId="43393" xr:uid="{00000000-0005-0000-0000-000047620000}"/>
    <cellStyle name="Input 24 3 2 3" xfId="10909" xr:uid="{00000000-0005-0000-0000-000048620000}"/>
    <cellStyle name="Input 24 3 2 3 2" xfId="18702" xr:uid="{00000000-0005-0000-0000-000049620000}"/>
    <cellStyle name="Input 24 3 2 3 2 2" xfId="44249" xr:uid="{00000000-0005-0000-0000-00004A620000}"/>
    <cellStyle name="Input 24 3 2 3 2 3" xfId="48158" xr:uid="{00000000-0005-0000-0000-00004B620000}"/>
    <cellStyle name="Input 24 3 2 3 2 4" xfId="36339" xr:uid="{00000000-0005-0000-0000-00004C620000}"/>
    <cellStyle name="Input 24 3 2 3 3" xfId="19717" xr:uid="{00000000-0005-0000-0000-00004D620000}"/>
    <cellStyle name="Input 24 3 2 3 3 2" xfId="45254" xr:uid="{00000000-0005-0000-0000-00004E620000}"/>
    <cellStyle name="Input 24 3 2 3 3 3" xfId="49160" xr:uid="{00000000-0005-0000-0000-00004F620000}"/>
    <cellStyle name="Input 24 3 2 3 3 4" xfId="37244" xr:uid="{00000000-0005-0000-0000-000050620000}"/>
    <cellStyle name="Input 24 3 2 3 4" xfId="19163" xr:uid="{00000000-0005-0000-0000-000051620000}"/>
    <cellStyle name="Input 24 3 2 3 4 2" xfId="44700" xr:uid="{00000000-0005-0000-0000-000052620000}"/>
    <cellStyle name="Input 24 3 2 3 4 3" xfId="48606" xr:uid="{00000000-0005-0000-0000-000053620000}"/>
    <cellStyle name="Input 24 3 2 3 4 4" xfId="36755" xr:uid="{00000000-0005-0000-0000-000054620000}"/>
    <cellStyle name="Input 24 3 2 3 5" xfId="21115" xr:uid="{00000000-0005-0000-0000-000055620000}"/>
    <cellStyle name="Input 24 3 2 3 5 2" xfId="46652" xr:uid="{00000000-0005-0000-0000-000056620000}"/>
    <cellStyle name="Input 24 3 2 3 5 3" xfId="50558" xr:uid="{00000000-0005-0000-0000-000057620000}"/>
    <cellStyle name="Input 24 3 2 3 5 4" xfId="38521" xr:uid="{00000000-0005-0000-0000-000058620000}"/>
    <cellStyle name="Input 24 3 2 3 6" xfId="21768" xr:uid="{00000000-0005-0000-0000-000059620000}"/>
    <cellStyle name="Input 24 3 2 3 6 2" xfId="47305" xr:uid="{00000000-0005-0000-0000-00005A620000}"/>
    <cellStyle name="Input 24 3 2 3 6 3" xfId="51211" xr:uid="{00000000-0005-0000-0000-00005B620000}"/>
    <cellStyle name="Input 24 3 2 3 7" xfId="41108" xr:uid="{00000000-0005-0000-0000-00005C620000}"/>
    <cellStyle name="Input 24 3 2 3 8" xfId="39696" xr:uid="{00000000-0005-0000-0000-00005D620000}"/>
    <cellStyle name="Input 24 3 2 4" xfId="14872" xr:uid="{00000000-0005-0000-0000-00005E620000}"/>
    <cellStyle name="Input 24 3 2 4 2" xfId="42988" xr:uid="{00000000-0005-0000-0000-00005F620000}"/>
    <cellStyle name="Input 24 3 2 4 3" xfId="40315" xr:uid="{00000000-0005-0000-0000-000060620000}"/>
    <cellStyle name="Input 24 3 2 4 4" xfId="32507" xr:uid="{00000000-0005-0000-0000-000061620000}"/>
    <cellStyle name="Input 24 3 2 5" xfId="11299" xr:uid="{00000000-0005-0000-0000-000062620000}"/>
    <cellStyle name="Input 24 3 2 5 2" xfId="41346" xr:uid="{00000000-0005-0000-0000-000063620000}"/>
    <cellStyle name="Input 24 3 2 5 3" xfId="39362" xr:uid="{00000000-0005-0000-0000-000064620000}"/>
    <cellStyle name="Input 24 3 2 5 4" xfId="29027" xr:uid="{00000000-0005-0000-0000-000065620000}"/>
    <cellStyle name="Input 24 3 2 6" xfId="19699" xr:uid="{00000000-0005-0000-0000-000066620000}"/>
    <cellStyle name="Input 24 3 2 6 2" xfId="45236" xr:uid="{00000000-0005-0000-0000-000067620000}"/>
    <cellStyle name="Input 24 3 2 6 3" xfId="49142" xr:uid="{00000000-0005-0000-0000-000068620000}"/>
    <cellStyle name="Input 24 3 2 6 4" xfId="37228" xr:uid="{00000000-0005-0000-0000-000069620000}"/>
    <cellStyle name="Input 24 3 2 7" xfId="19058" xr:uid="{00000000-0005-0000-0000-00006A620000}"/>
    <cellStyle name="Input 24 3 2 7 2" xfId="44595" xr:uid="{00000000-0005-0000-0000-00006B620000}"/>
    <cellStyle name="Input 24 3 2 7 3" xfId="48501" xr:uid="{00000000-0005-0000-0000-00006C620000}"/>
    <cellStyle name="Input 24 3 2 7 4" xfId="36657" xr:uid="{00000000-0005-0000-0000-00006D620000}"/>
    <cellStyle name="Input 24 3 2 8" xfId="20615" xr:uid="{00000000-0005-0000-0000-00006E620000}"/>
    <cellStyle name="Input 24 3 2 8 2" xfId="46152" xr:uid="{00000000-0005-0000-0000-00006F620000}"/>
    <cellStyle name="Input 24 3 2 8 3" xfId="50058" xr:uid="{00000000-0005-0000-0000-000070620000}"/>
    <cellStyle name="Input 24 3 2 9" xfId="39848" xr:uid="{00000000-0005-0000-0000-000071620000}"/>
    <cellStyle name="Input 24 3 3" xfId="53089" xr:uid="{00000000-0005-0000-0000-000072620000}"/>
    <cellStyle name="Input 24 4" xfId="7081" xr:uid="{00000000-0005-0000-0000-000073620000}"/>
    <cellStyle name="Input 24 4 10" xfId="47602" xr:uid="{00000000-0005-0000-0000-000074620000}"/>
    <cellStyle name="Input 24 4 11" xfId="53090" xr:uid="{00000000-0005-0000-0000-000075620000}"/>
    <cellStyle name="Input 24 4 2" xfId="10611" xr:uid="{00000000-0005-0000-0000-000076620000}"/>
    <cellStyle name="Input 24 4 2 2" xfId="18404" xr:uid="{00000000-0005-0000-0000-000077620000}"/>
    <cellStyle name="Input 24 4 2 2 2" xfId="43951" xr:uid="{00000000-0005-0000-0000-000078620000}"/>
    <cellStyle name="Input 24 4 2 2 3" xfId="47860" xr:uid="{00000000-0005-0000-0000-000079620000}"/>
    <cellStyle name="Input 24 4 2 2 4" xfId="36041" xr:uid="{00000000-0005-0000-0000-00007A620000}"/>
    <cellStyle name="Input 24 4 2 3" xfId="19750" xr:uid="{00000000-0005-0000-0000-00007B620000}"/>
    <cellStyle name="Input 24 4 2 3 2" xfId="45287" xr:uid="{00000000-0005-0000-0000-00007C620000}"/>
    <cellStyle name="Input 24 4 2 3 3" xfId="49193" xr:uid="{00000000-0005-0000-0000-00007D620000}"/>
    <cellStyle name="Input 24 4 2 3 4" xfId="37277" xr:uid="{00000000-0005-0000-0000-00007E620000}"/>
    <cellStyle name="Input 24 4 2 4" xfId="11552" xr:uid="{00000000-0005-0000-0000-00007F620000}"/>
    <cellStyle name="Input 24 4 2 4 2" xfId="41563" xr:uid="{00000000-0005-0000-0000-000080620000}"/>
    <cellStyle name="Input 24 4 2 4 3" xfId="40210" xr:uid="{00000000-0005-0000-0000-000081620000}"/>
    <cellStyle name="Input 24 4 2 4 4" xfId="29264" xr:uid="{00000000-0005-0000-0000-000082620000}"/>
    <cellStyle name="Input 24 4 2 5" xfId="20817" xr:uid="{00000000-0005-0000-0000-000083620000}"/>
    <cellStyle name="Input 24 4 2 5 2" xfId="46354" xr:uid="{00000000-0005-0000-0000-000084620000}"/>
    <cellStyle name="Input 24 4 2 5 3" xfId="50260" xr:uid="{00000000-0005-0000-0000-000085620000}"/>
    <cellStyle name="Input 24 4 2 5 4" xfId="38223" xr:uid="{00000000-0005-0000-0000-000086620000}"/>
    <cellStyle name="Input 24 4 2 6" xfId="21470" xr:uid="{00000000-0005-0000-0000-000087620000}"/>
    <cellStyle name="Input 24 4 2 6 2" xfId="47007" xr:uid="{00000000-0005-0000-0000-000088620000}"/>
    <cellStyle name="Input 24 4 2 6 3" xfId="50913" xr:uid="{00000000-0005-0000-0000-000089620000}"/>
    <cellStyle name="Input 24 4 2 7" xfId="40810" xr:uid="{00000000-0005-0000-0000-00008A620000}"/>
    <cellStyle name="Input 24 4 2 8" xfId="40388" xr:uid="{00000000-0005-0000-0000-00008B620000}"/>
    <cellStyle name="Input 24 4 3" xfId="10906" xr:uid="{00000000-0005-0000-0000-00008C620000}"/>
    <cellStyle name="Input 24 4 3 2" xfId="18699" xr:uid="{00000000-0005-0000-0000-00008D620000}"/>
    <cellStyle name="Input 24 4 3 2 2" xfId="44246" xr:uid="{00000000-0005-0000-0000-00008E620000}"/>
    <cellStyle name="Input 24 4 3 2 3" xfId="48155" xr:uid="{00000000-0005-0000-0000-00008F620000}"/>
    <cellStyle name="Input 24 4 3 2 4" xfId="36336" xr:uid="{00000000-0005-0000-0000-000090620000}"/>
    <cellStyle name="Input 24 4 3 3" xfId="13925" xr:uid="{00000000-0005-0000-0000-000091620000}"/>
    <cellStyle name="Input 24 4 3 3 2" xfId="42660" xr:uid="{00000000-0005-0000-0000-000092620000}"/>
    <cellStyle name="Input 24 4 3 3 3" xfId="40428" xr:uid="{00000000-0005-0000-0000-000093620000}"/>
    <cellStyle name="Input 24 4 3 3 4" xfId="31561" xr:uid="{00000000-0005-0000-0000-000094620000}"/>
    <cellStyle name="Input 24 4 3 4" xfId="11759" xr:uid="{00000000-0005-0000-0000-000095620000}"/>
    <cellStyle name="Input 24 4 3 4 2" xfId="41735" xr:uid="{00000000-0005-0000-0000-000096620000}"/>
    <cellStyle name="Input 24 4 3 4 3" xfId="39342" xr:uid="{00000000-0005-0000-0000-000097620000}"/>
    <cellStyle name="Input 24 4 3 4 4" xfId="29446" xr:uid="{00000000-0005-0000-0000-000098620000}"/>
    <cellStyle name="Input 24 4 3 5" xfId="21112" xr:uid="{00000000-0005-0000-0000-000099620000}"/>
    <cellStyle name="Input 24 4 3 5 2" xfId="46649" xr:uid="{00000000-0005-0000-0000-00009A620000}"/>
    <cellStyle name="Input 24 4 3 5 3" xfId="50555" xr:uid="{00000000-0005-0000-0000-00009B620000}"/>
    <cellStyle name="Input 24 4 3 5 4" xfId="38518" xr:uid="{00000000-0005-0000-0000-00009C620000}"/>
    <cellStyle name="Input 24 4 3 6" xfId="21765" xr:uid="{00000000-0005-0000-0000-00009D620000}"/>
    <cellStyle name="Input 24 4 3 6 2" xfId="47302" xr:uid="{00000000-0005-0000-0000-00009E620000}"/>
    <cellStyle name="Input 24 4 3 6 3" xfId="51208" xr:uid="{00000000-0005-0000-0000-00009F620000}"/>
    <cellStyle name="Input 24 4 3 7" xfId="41105" xr:uid="{00000000-0005-0000-0000-0000A0620000}"/>
    <cellStyle name="Input 24 4 3 8" xfId="42837" xr:uid="{00000000-0005-0000-0000-0000A1620000}"/>
    <cellStyle name="Input 24 4 4" xfId="14869" xr:uid="{00000000-0005-0000-0000-0000A2620000}"/>
    <cellStyle name="Input 24 4 4 2" xfId="42985" xr:uid="{00000000-0005-0000-0000-0000A3620000}"/>
    <cellStyle name="Input 24 4 4 3" xfId="39532" xr:uid="{00000000-0005-0000-0000-0000A4620000}"/>
    <cellStyle name="Input 24 4 4 4" xfId="32504" xr:uid="{00000000-0005-0000-0000-0000A5620000}"/>
    <cellStyle name="Input 24 4 5" xfId="13129" xr:uid="{00000000-0005-0000-0000-0000A6620000}"/>
    <cellStyle name="Input 24 4 5 2" xfId="42350" xr:uid="{00000000-0005-0000-0000-0000A7620000}"/>
    <cellStyle name="Input 24 4 5 3" xfId="42688" xr:uid="{00000000-0005-0000-0000-0000A8620000}"/>
    <cellStyle name="Input 24 4 5 4" xfId="30778" xr:uid="{00000000-0005-0000-0000-0000A9620000}"/>
    <cellStyle name="Input 24 4 6" xfId="20184" xr:uid="{00000000-0005-0000-0000-0000AA620000}"/>
    <cellStyle name="Input 24 4 6 2" xfId="45721" xr:uid="{00000000-0005-0000-0000-0000AB620000}"/>
    <cellStyle name="Input 24 4 6 3" xfId="49627" xr:uid="{00000000-0005-0000-0000-0000AC620000}"/>
    <cellStyle name="Input 24 4 6 4" xfId="37669" xr:uid="{00000000-0005-0000-0000-0000AD620000}"/>
    <cellStyle name="Input 24 4 7" xfId="20081" xr:uid="{00000000-0005-0000-0000-0000AE620000}"/>
    <cellStyle name="Input 24 4 7 2" xfId="45618" xr:uid="{00000000-0005-0000-0000-0000AF620000}"/>
    <cellStyle name="Input 24 4 7 3" xfId="49524" xr:uid="{00000000-0005-0000-0000-0000B0620000}"/>
    <cellStyle name="Input 24 4 7 4" xfId="37574" xr:uid="{00000000-0005-0000-0000-0000B1620000}"/>
    <cellStyle name="Input 24 4 8" xfId="20487" xr:uid="{00000000-0005-0000-0000-0000B2620000}"/>
    <cellStyle name="Input 24 4 8 2" xfId="46024" xr:uid="{00000000-0005-0000-0000-0000B3620000}"/>
    <cellStyle name="Input 24 4 8 3" xfId="49930" xr:uid="{00000000-0005-0000-0000-0000B4620000}"/>
    <cellStyle name="Input 24 4 9" xfId="39845" xr:uid="{00000000-0005-0000-0000-0000B5620000}"/>
    <cellStyle name="Input 24 5" xfId="22457" xr:uid="{00000000-0005-0000-0000-0000B6620000}"/>
    <cellStyle name="Input 24 6" xfId="53085" xr:uid="{00000000-0005-0000-0000-0000B7620000}"/>
    <cellStyle name="Input 24_Sheet1" xfId="1904" xr:uid="{00000000-0005-0000-0000-0000B8620000}"/>
    <cellStyle name="Input 25" xfId="1905" xr:uid="{00000000-0005-0000-0000-0000B9620000}"/>
    <cellStyle name="Input 25 2" xfId="1906" xr:uid="{00000000-0005-0000-0000-0000BA620000}"/>
    <cellStyle name="Input 25 2 2" xfId="1907" xr:uid="{00000000-0005-0000-0000-0000BB620000}"/>
    <cellStyle name="Input 25 2 2 2" xfId="7087" xr:uid="{00000000-0005-0000-0000-0000BC620000}"/>
    <cellStyle name="Input 25 2 2 2 10" xfId="40630" xr:uid="{00000000-0005-0000-0000-0000BD620000}"/>
    <cellStyle name="Input 25 2 2 2 2" xfId="10617" xr:uid="{00000000-0005-0000-0000-0000BE620000}"/>
    <cellStyle name="Input 25 2 2 2 2 2" xfId="18410" xr:uid="{00000000-0005-0000-0000-0000BF620000}"/>
    <cellStyle name="Input 25 2 2 2 2 2 2" xfId="43957" xr:uid="{00000000-0005-0000-0000-0000C0620000}"/>
    <cellStyle name="Input 25 2 2 2 2 2 3" xfId="47866" xr:uid="{00000000-0005-0000-0000-0000C1620000}"/>
    <cellStyle name="Input 25 2 2 2 2 2 4" xfId="36047" xr:uid="{00000000-0005-0000-0000-0000C2620000}"/>
    <cellStyle name="Input 25 2 2 2 2 3" xfId="20032" xr:uid="{00000000-0005-0000-0000-0000C3620000}"/>
    <cellStyle name="Input 25 2 2 2 2 3 2" xfId="45569" xr:uid="{00000000-0005-0000-0000-0000C4620000}"/>
    <cellStyle name="Input 25 2 2 2 2 3 3" xfId="49475" xr:uid="{00000000-0005-0000-0000-0000C5620000}"/>
    <cellStyle name="Input 25 2 2 2 2 3 4" xfId="37530" xr:uid="{00000000-0005-0000-0000-0000C6620000}"/>
    <cellStyle name="Input 25 2 2 2 2 4" xfId="19788" xr:uid="{00000000-0005-0000-0000-0000C7620000}"/>
    <cellStyle name="Input 25 2 2 2 2 4 2" xfId="45325" xr:uid="{00000000-0005-0000-0000-0000C8620000}"/>
    <cellStyle name="Input 25 2 2 2 2 4 3" xfId="49231" xr:uid="{00000000-0005-0000-0000-0000C9620000}"/>
    <cellStyle name="Input 25 2 2 2 2 4 4" xfId="37312" xr:uid="{00000000-0005-0000-0000-0000CA620000}"/>
    <cellStyle name="Input 25 2 2 2 2 5" xfId="20823" xr:uid="{00000000-0005-0000-0000-0000CB620000}"/>
    <cellStyle name="Input 25 2 2 2 2 5 2" xfId="46360" xr:uid="{00000000-0005-0000-0000-0000CC620000}"/>
    <cellStyle name="Input 25 2 2 2 2 5 3" xfId="50266" xr:uid="{00000000-0005-0000-0000-0000CD620000}"/>
    <cellStyle name="Input 25 2 2 2 2 5 4" xfId="38229" xr:uid="{00000000-0005-0000-0000-0000CE620000}"/>
    <cellStyle name="Input 25 2 2 2 2 6" xfId="21476" xr:uid="{00000000-0005-0000-0000-0000CF620000}"/>
    <cellStyle name="Input 25 2 2 2 2 6 2" xfId="47013" xr:uid="{00000000-0005-0000-0000-0000D0620000}"/>
    <cellStyle name="Input 25 2 2 2 2 6 3" xfId="50919" xr:uid="{00000000-0005-0000-0000-0000D1620000}"/>
    <cellStyle name="Input 25 2 2 2 2 7" xfId="40816" xr:uid="{00000000-0005-0000-0000-0000D2620000}"/>
    <cellStyle name="Input 25 2 2 2 2 8" xfId="39198" xr:uid="{00000000-0005-0000-0000-0000D3620000}"/>
    <cellStyle name="Input 25 2 2 2 3" xfId="10912" xr:uid="{00000000-0005-0000-0000-0000D4620000}"/>
    <cellStyle name="Input 25 2 2 2 3 2" xfId="18705" xr:uid="{00000000-0005-0000-0000-0000D5620000}"/>
    <cellStyle name="Input 25 2 2 2 3 2 2" xfId="44252" xr:uid="{00000000-0005-0000-0000-0000D6620000}"/>
    <cellStyle name="Input 25 2 2 2 3 2 3" xfId="48161" xr:uid="{00000000-0005-0000-0000-0000D7620000}"/>
    <cellStyle name="Input 25 2 2 2 3 2 4" xfId="36342" xr:uid="{00000000-0005-0000-0000-0000D8620000}"/>
    <cellStyle name="Input 25 2 2 2 3 3" xfId="20142" xr:uid="{00000000-0005-0000-0000-0000D9620000}"/>
    <cellStyle name="Input 25 2 2 2 3 3 2" xfId="45679" xr:uid="{00000000-0005-0000-0000-0000DA620000}"/>
    <cellStyle name="Input 25 2 2 2 3 3 3" xfId="49585" xr:uid="{00000000-0005-0000-0000-0000DB620000}"/>
    <cellStyle name="Input 25 2 2 2 3 3 4" xfId="37628" xr:uid="{00000000-0005-0000-0000-0000DC620000}"/>
    <cellStyle name="Input 25 2 2 2 3 4" xfId="12694" xr:uid="{00000000-0005-0000-0000-0000DD620000}"/>
    <cellStyle name="Input 25 2 2 2 3 4 2" xfId="42173" xr:uid="{00000000-0005-0000-0000-0000DE620000}"/>
    <cellStyle name="Input 25 2 2 2 3 4 3" xfId="39556" xr:uid="{00000000-0005-0000-0000-0000DF620000}"/>
    <cellStyle name="Input 25 2 2 2 3 4 4" xfId="30355" xr:uid="{00000000-0005-0000-0000-0000E0620000}"/>
    <cellStyle name="Input 25 2 2 2 3 5" xfId="21118" xr:uid="{00000000-0005-0000-0000-0000E1620000}"/>
    <cellStyle name="Input 25 2 2 2 3 5 2" xfId="46655" xr:uid="{00000000-0005-0000-0000-0000E2620000}"/>
    <cellStyle name="Input 25 2 2 2 3 5 3" xfId="50561" xr:uid="{00000000-0005-0000-0000-0000E3620000}"/>
    <cellStyle name="Input 25 2 2 2 3 5 4" xfId="38524" xr:uid="{00000000-0005-0000-0000-0000E4620000}"/>
    <cellStyle name="Input 25 2 2 2 3 6" xfId="21771" xr:uid="{00000000-0005-0000-0000-0000E5620000}"/>
    <cellStyle name="Input 25 2 2 2 3 6 2" xfId="47308" xr:uid="{00000000-0005-0000-0000-0000E6620000}"/>
    <cellStyle name="Input 25 2 2 2 3 6 3" xfId="51214" xr:uid="{00000000-0005-0000-0000-0000E7620000}"/>
    <cellStyle name="Input 25 2 2 2 3 7" xfId="41111" xr:uid="{00000000-0005-0000-0000-0000E8620000}"/>
    <cellStyle name="Input 25 2 2 2 3 8" xfId="40480" xr:uid="{00000000-0005-0000-0000-0000E9620000}"/>
    <cellStyle name="Input 25 2 2 2 4" xfId="14875" xr:uid="{00000000-0005-0000-0000-0000EA620000}"/>
    <cellStyle name="Input 25 2 2 2 4 2" xfId="42991" xr:uid="{00000000-0005-0000-0000-0000EB620000}"/>
    <cellStyle name="Input 25 2 2 2 4 3" xfId="41290" xr:uid="{00000000-0005-0000-0000-0000EC620000}"/>
    <cellStyle name="Input 25 2 2 2 4 4" xfId="32510" xr:uid="{00000000-0005-0000-0000-0000ED620000}"/>
    <cellStyle name="Input 25 2 2 2 5" xfId="19578" xr:uid="{00000000-0005-0000-0000-0000EE620000}"/>
    <cellStyle name="Input 25 2 2 2 5 2" xfId="45115" xr:uid="{00000000-0005-0000-0000-0000EF620000}"/>
    <cellStyle name="Input 25 2 2 2 5 3" xfId="49021" xr:uid="{00000000-0005-0000-0000-0000F0620000}"/>
    <cellStyle name="Input 25 2 2 2 5 4" xfId="37118" xr:uid="{00000000-0005-0000-0000-0000F1620000}"/>
    <cellStyle name="Input 25 2 2 2 6" xfId="12655" xr:uid="{00000000-0005-0000-0000-0000F2620000}"/>
    <cellStyle name="Input 25 2 2 2 6 2" xfId="42134" xr:uid="{00000000-0005-0000-0000-0000F3620000}"/>
    <cellStyle name="Input 25 2 2 2 6 3" xfId="39557" xr:uid="{00000000-0005-0000-0000-0000F4620000}"/>
    <cellStyle name="Input 25 2 2 2 6 4" xfId="30320" xr:uid="{00000000-0005-0000-0000-0000F5620000}"/>
    <cellStyle name="Input 25 2 2 2 7" xfId="20520" xr:uid="{00000000-0005-0000-0000-0000F6620000}"/>
    <cellStyle name="Input 25 2 2 2 7 2" xfId="46057" xr:uid="{00000000-0005-0000-0000-0000F7620000}"/>
    <cellStyle name="Input 25 2 2 2 7 3" xfId="49963" xr:uid="{00000000-0005-0000-0000-0000F8620000}"/>
    <cellStyle name="Input 25 2 2 2 7 4" xfId="37953" xr:uid="{00000000-0005-0000-0000-0000F9620000}"/>
    <cellStyle name="Input 25 2 2 2 8" xfId="19333" xr:uid="{00000000-0005-0000-0000-0000FA620000}"/>
    <cellStyle name="Input 25 2 2 2 8 2" xfId="44870" xr:uid="{00000000-0005-0000-0000-0000FB620000}"/>
    <cellStyle name="Input 25 2 2 2 8 3" xfId="48776" xr:uid="{00000000-0005-0000-0000-0000FC620000}"/>
    <cellStyle name="Input 25 2 2 2 9" xfId="39851" xr:uid="{00000000-0005-0000-0000-0000FD620000}"/>
    <cellStyle name="Input 25 2 2 3" xfId="53093" xr:uid="{00000000-0005-0000-0000-0000FE620000}"/>
    <cellStyle name="Input 25 2 3" xfId="7086" xr:uid="{00000000-0005-0000-0000-0000FF620000}"/>
    <cellStyle name="Input 25 2 3 10" xfId="43771" xr:uid="{00000000-0005-0000-0000-000000630000}"/>
    <cellStyle name="Input 25 2 3 11" xfId="53094" xr:uid="{00000000-0005-0000-0000-000001630000}"/>
    <cellStyle name="Input 25 2 3 2" xfId="10616" xr:uid="{00000000-0005-0000-0000-000002630000}"/>
    <cellStyle name="Input 25 2 3 2 2" xfId="18409" xr:uid="{00000000-0005-0000-0000-000003630000}"/>
    <cellStyle name="Input 25 2 3 2 2 2" xfId="43956" xr:uid="{00000000-0005-0000-0000-000004630000}"/>
    <cellStyle name="Input 25 2 3 2 2 3" xfId="47865" xr:uid="{00000000-0005-0000-0000-000005630000}"/>
    <cellStyle name="Input 25 2 3 2 2 4" xfId="36046" xr:uid="{00000000-0005-0000-0000-000006630000}"/>
    <cellStyle name="Input 25 2 3 2 3" xfId="19425" xr:uid="{00000000-0005-0000-0000-000007630000}"/>
    <cellStyle name="Input 25 2 3 2 3 2" xfId="44962" xr:uid="{00000000-0005-0000-0000-000008630000}"/>
    <cellStyle name="Input 25 2 3 2 3 3" xfId="48868" xr:uid="{00000000-0005-0000-0000-000009630000}"/>
    <cellStyle name="Input 25 2 3 2 3 4" xfId="36990" xr:uid="{00000000-0005-0000-0000-00000A630000}"/>
    <cellStyle name="Input 25 2 3 2 4" xfId="11564" xr:uid="{00000000-0005-0000-0000-00000B630000}"/>
    <cellStyle name="Input 25 2 3 2 4 2" xfId="41575" xr:uid="{00000000-0005-0000-0000-00000C630000}"/>
    <cellStyle name="Input 25 2 3 2 4 3" xfId="39574" xr:uid="{00000000-0005-0000-0000-00000D630000}"/>
    <cellStyle name="Input 25 2 3 2 4 4" xfId="29275" xr:uid="{00000000-0005-0000-0000-00000E630000}"/>
    <cellStyle name="Input 25 2 3 2 5" xfId="20822" xr:uid="{00000000-0005-0000-0000-00000F630000}"/>
    <cellStyle name="Input 25 2 3 2 5 2" xfId="46359" xr:uid="{00000000-0005-0000-0000-000010630000}"/>
    <cellStyle name="Input 25 2 3 2 5 3" xfId="50265" xr:uid="{00000000-0005-0000-0000-000011630000}"/>
    <cellStyle name="Input 25 2 3 2 5 4" xfId="38228" xr:uid="{00000000-0005-0000-0000-000012630000}"/>
    <cellStyle name="Input 25 2 3 2 6" xfId="21475" xr:uid="{00000000-0005-0000-0000-000013630000}"/>
    <cellStyle name="Input 25 2 3 2 6 2" xfId="47012" xr:uid="{00000000-0005-0000-0000-000014630000}"/>
    <cellStyle name="Input 25 2 3 2 6 3" xfId="50918" xr:uid="{00000000-0005-0000-0000-000015630000}"/>
    <cellStyle name="Input 25 2 3 2 7" xfId="40815" xr:uid="{00000000-0005-0000-0000-000016630000}"/>
    <cellStyle name="Input 25 2 3 2 8" xfId="39395" xr:uid="{00000000-0005-0000-0000-000017630000}"/>
    <cellStyle name="Input 25 2 3 3" xfId="10911" xr:uid="{00000000-0005-0000-0000-000018630000}"/>
    <cellStyle name="Input 25 2 3 3 2" xfId="18704" xr:uid="{00000000-0005-0000-0000-000019630000}"/>
    <cellStyle name="Input 25 2 3 3 2 2" xfId="44251" xr:uid="{00000000-0005-0000-0000-00001A630000}"/>
    <cellStyle name="Input 25 2 3 3 2 3" xfId="48160" xr:uid="{00000000-0005-0000-0000-00001B630000}"/>
    <cellStyle name="Input 25 2 3 3 2 4" xfId="36341" xr:uid="{00000000-0005-0000-0000-00001C630000}"/>
    <cellStyle name="Input 25 2 3 3 3" xfId="19590" xr:uid="{00000000-0005-0000-0000-00001D630000}"/>
    <cellStyle name="Input 25 2 3 3 3 2" xfId="45127" xr:uid="{00000000-0005-0000-0000-00001E630000}"/>
    <cellStyle name="Input 25 2 3 3 3 3" xfId="49033" xr:uid="{00000000-0005-0000-0000-00001F630000}"/>
    <cellStyle name="Input 25 2 3 3 3 4" xfId="37130" xr:uid="{00000000-0005-0000-0000-000020630000}"/>
    <cellStyle name="Input 25 2 3 3 4" xfId="11634" xr:uid="{00000000-0005-0000-0000-000021630000}"/>
    <cellStyle name="Input 25 2 3 3 4 2" xfId="41645" xr:uid="{00000000-0005-0000-0000-000022630000}"/>
    <cellStyle name="Input 25 2 3 3 4 3" xfId="43211" xr:uid="{00000000-0005-0000-0000-000023630000}"/>
    <cellStyle name="Input 25 2 3 3 4 4" xfId="29335" xr:uid="{00000000-0005-0000-0000-000024630000}"/>
    <cellStyle name="Input 25 2 3 3 5" xfId="21117" xr:uid="{00000000-0005-0000-0000-000025630000}"/>
    <cellStyle name="Input 25 2 3 3 5 2" xfId="46654" xr:uid="{00000000-0005-0000-0000-000026630000}"/>
    <cellStyle name="Input 25 2 3 3 5 3" xfId="50560" xr:uid="{00000000-0005-0000-0000-000027630000}"/>
    <cellStyle name="Input 25 2 3 3 5 4" xfId="38523" xr:uid="{00000000-0005-0000-0000-000028630000}"/>
    <cellStyle name="Input 25 2 3 3 6" xfId="21770" xr:uid="{00000000-0005-0000-0000-000029630000}"/>
    <cellStyle name="Input 25 2 3 3 6 2" xfId="47307" xr:uid="{00000000-0005-0000-0000-00002A630000}"/>
    <cellStyle name="Input 25 2 3 3 6 3" xfId="51213" xr:uid="{00000000-0005-0000-0000-00002B630000}"/>
    <cellStyle name="Input 25 2 3 3 7" xfId="41110" xr:uid="{00000000-0005-0000-0000-00002C630000}"/>
    <cellStyle name="Input 25 2 3 3 8" xfId="43622" xr:uid="{00000000-0005-0000-0000-00002D630000}"/>
    <cellStyle name="Input 25 2 3 4" xfId="14874" xr:uid="{00000000-0005-0000-0000-00002E630000}"/>
    <cellStyle name="Input 25 2 3 4 2" xfId="42990" xr:uid="{00000000-0005-0000-0000-00002F630000}"/>
    <cellStyle name="Input 25 2 3 4 3" xfId="39274" xr:uid="{00000000-0005-0000-0000-000030630000}"/>
    <cellStyle name="Input 25 2 3 4 4" xfId="32509" xr:uid="{00000000-0005-0000-0000-000031630000}"/>
    <cellStyle name="Input 25 2 3 5" xfId="13133" xr:uid="{00000000-0005-0000-0000-000032630000}"/>
    <cellStyle name="Input 25 2 3 5 2" xfId="42354" xr:uid="{00000000-0005-0000-0000-000033630000}"/>
    <cellStyle name="Input 25 2 3 5 3" xfId="42554" xr:uid="{00000000-0005-0000-0000-000034630000}"/>
    <cellStyle name="Input 25 2 3 5 4" xfId="30782" xr:uid="{00000000-0005-0000-0000-000035630000}"/>
    <cellStyle name="Input 25 2 3 6" xfId="13300" xr:uid="{00000000-0005-0000-0000-000036630000}"/>
    <cellStyle name="Input 25 2 3 6 2" xfId="42470" xr:uid="{00000000-0005-0000-0000-000037630000}"/>
    <cellStyle name="Input 25 2 3 6 3" xfId="42791" xr:uid="{00000000-0005-0000-0000-000038630000}"/>
    <cellStyle name="Input 25 2 3 6 4" xfId="30944" xr:uid="{00000000-0005-0000-0000-000039630000}"/>
    <cellStyle name="Input 25 2 3 7" xfId="19502" xr:uid="{00000000-0005-0000-0000-00003A630000}"/>
    <cellStyle name="Input 25 2 3 7 2" xfId="45039" xr:uid="{00000000-0005-0000-0000-00003B630000}"/>
    <cellStyle name="Input 25 2 3 7 3" xfId="48945" xr:uid="{00000000-0005-0000-0000-00003C630000}"/>
    <cellStyle name="Input 25 2 3 7 4" xfId="37052" xr:uid="{00000000-0005-0000-0000-00003D630000}"/>
    <cellStyle name="Input 25 2 3 8" xfId="19949" xr:uid="{00000000-0005-0000-0000-00003E630000}"/>
    <cellStyle name="Input 25 2 3 8 2" xfId="45486" xr:uid="{00000000-0005-0000-0000-00003F630000}"/>
    <cellStyle name="Input 25 2 3 8 3" xfId="49392" xr:uid="{00000000-0005-0000-0000-000040630000}"/>
    <cellStyle name="Input 25 2 3 9" xfId="39850" xr:uid="{00000000-0005-0000-0000-000041630000}"/>
    <cellStyle name="Input 25 2 4" xfId="22460" xr:uid="{00000000-0005-0000-0000-000042630000}"/>
    <cellStyle name="Input 25 2 5" xfId="53092" xr:uid="{00000000-0005-0000-0000-000043630000}"/>
    <cellStyle name="Input 25 2_Sheet1" xfId="1908" xr:uid="{00000000-0005-0000-0000-000044630000}"/>
    <cellStyle name="Input 25 3" xfId="1909" xr:uid="{00000000-0005-0000-0000-000045630000}"/>
    <cellStyle name="Input 25 3 2" xfId="7088" xr:uid="{00000000-0005-0000-0000-000046630000}"/>
    <cellStyle name="Input 25 3 2 10" xfId="39964" xr:uid="{00000000-0005-0000-0000-000047630000}"/>
    <cellStyle name="Input 25 3 2 2" xfId="10618" xr:uid="{00000000-0005-0000-0000-000048630000}"/>
    <cellStyle name="Input 25 3 2 2 2" xfId="18411" xr:uid="{00000000-0005-0000-0000-000049630000}"/>
    <cellStyle name="Input 25 3 2 2 2 2" xfId="43958" xr:uid="{00000000-0005-0000-0000-00004A630000}"/>
    <cellStyle name="Input 25 3 2 2 2 3" xfId="47867" xr:uid="{00000000-0005-0000-0000-00004B630000}"/>
    <cellStyle name="Input 25 3 2 2 2 4" xfId="36048" xr:uid="{00000000-0005-0000-0000-00004C630000}"/>
    <cellStyle name="Input 25 3 2 2 3" xfId="19298" xr:uid="{00000000-0005-0000-0000-00004D630000}"/>
    <cellStyle name="Input 25 3 2 2 3 2" xfId="44835" xr:uid="{00000000-0005-0000-0000-00004E630000}"/>
    <cellStyle name="Input 25 3 2 2 3 3" xfId="48741" xr:uid="{00000000-0005-0000-0000-00004F630000}"/>
    <cellStyle name="Input 25 3 2 2 3 4" xfId="36876" xr:uid="{00000000-0005-0000-0000-000050630000}"/>
    <cellStyle name="Input 25 3 2 2 4" xfId="11654" xr:uid="{00000000-0005-0000-0000-000051630000}"/>
    <cellStyle name="Input 25 3 2 2 4 2" xfId="41665" xr:uid="{00000000-0005-0000-0000-000052630000}"/>
    <cellStyle name="Input 25 3 2 2 4 3" xfId="39569" xr:uid="{00000000-0005-0000-0000-000053630000}"/>
    <cellStyle name="Input 25 3 2 2 4 4" xfId="29353" xr:uid="{00000000-0005-0000-0000-000054630000}"/>
    <cellStyle name="Input 25 3 2 2 5" xfId="20824" xr:uid="{00000000-0005-0000-0000-000055630000}"/>
    <cellStyle name="Input 25 3 2 2 5 2" xfId="46361" xr:uid="{00000000-0005-0000-0000-000056630000}"/>
    <cellStyle name="Input 25 3 2 2 5 3" xfId="50267" xr:uid="{00000000-0005-0000-0000-000057630000}"/>
    <cellStyle name="Input 25 3 2 2 5 4" xfId="38230" xr:uid="{00000000-0005-0000-0000-000058630000}"/>
    <cellStyle name="Input 25 3 2 2 6" xfId="21477" xr:uid="{00000000-0005-0000-0000-000059630000}"/>
    <cellStyle name="Input 25 3 2 2 6 2" xfId="47014" xr:uid="{00000000-0005-0000-0000-00005A630000}"/>
    <cellStyle name="Input 25 3 2 2 6 3" xfId="50920" xr:uid="{00000000-0005-0000-0000-00005B630000}"/>
    <cellStyle name="Input 25 3 2 2 7" xfId="40817" xr:uid="{00000000-0005-0000-0000-00005C630000}"/>
    <cellStyle name="Input 25 3 2 2 8" xfId="47517" xr:uid="{00000000-0005-0000-0000-00005D630000}"/>
    <cellStyle name="Input 25 3 2 3" xfId="10913" xr:uid="{00000000-0005-0000-0000-00005E630000}"/>
    <cellStyle name="Input 25 3 2 3 2" xfId="18706" xr:uid="{00000000-0005-0000-0000-00005F630000}"/>
    <cellStyle name="Input 25 3 2 3 2 2" xfId="44253" xr:uid="{00000000-0005-0000-0000-000060630000}"/>
    <cellStyle name="Input 25 3 2 3 2 3" xfId="48162" xr:uid="{00000000-0005-0000-0000-000061630000}"/>
    <cellStyle name="Input 25 3 2 3 2 4" xfId="36343" xr:uid="{00000000-0005-0000-0000-000062630000}"/>
    <cellStyle name="Input 25 3 2 3 3" xfId="19401" xr:uid="{00000000-0005-0000-0000-000063630000}"/>
    <cellStyle name="Input 25 3 2 3 3 2" xfId="44938" xr:uid="{00000000-0005-0000-0000-000064630000}"/>
    <cellStyle name="Input 25 3 2 3 3 3" xfId="48844" xr:uid="{00000000-0005-0000-0000-000065630000}"/>
    <cellStyle name="Input 25 3 2 3 3 4" xfId="36966" xr:uid="{00000000-0005-0000-0000-000066630000}"/>
    <cellStyle name="Input 25 3 2 3 4" xfId="19629" xr:uid="{00000000-0005-0000-0000-000067630000}"/>
    <cellStyle name="Input 25 3 2 3 4 2" xfId="45166" xr:uid="{00000000-0005-0000-0000-000068630000}"/>
    <cellStyle name="Input 25 3 2 3 4 3" xfId="49072" xr:uid="{00000000-0005-0000-0000-000069630000}"/>
    <cellStyle name="Input 25 3 2 3 4 4" xfId="37168" xr:uid="{00000000-0005-0000-0000-00006A630000}"/>
    <cellStyle name="Input 25 3 2 3 5" xfId="21119" xr:uid="{00000000-0005-0000-0000-00006B630000}"/>
    <cellStyle name="Input 25 3 2 3 5 2" xfId="46656" xr:uid="{00000000-0005-0000-0000-00006C630000}"/>
    <cellStyle name="Input 25 3 2 3 5 3" xfId="50562" xr:uid="{00000000-0005-0000-0000-00006D630000}"/>
    <cellStyle name="Input 25 3 2 3 5 4" xfId="38525" xr:uid="{00000000-0005-0000-0000-00006E630000}"/>
    <cellStyle name="Input 25 3 2 3 6" xfId="21772" xr:uid="{00000000-0005-0000-0000-00006F630000}"/>
    <cellStyle name="Input 25 3 2 3 6 2" xfId="47309" xr:uid="{00000000-0005-0000-0000-000070630000}"/>
    <cellStyle name="Input 25 3 2 3 6 3" xfId="51215" xr:uid="{00000000-0005-0000-0000-000071630000}"/>
    <cellStyle name="Input 25 3 2 3 7" xfId="41112" xr:uid="{00000000-0005-0000-0000-000072630000}"/>
    <cellStyle name="Input 25 3 2 3 8" xfId="39590" xr:uid="{00000000-0005-0000-0000-000073630000}"/>
    <cellStyle name="Input 25 3 2 4" xfId="14876" xr:uid="{00000000-0005-0000-0000-000074630000}"/>
    <cellStyle name="Input 25 3 2 4 2" xfId="42992" xr:uid="{00000000-0005-0000-0000-000075630000}"/>
    <cellStyle name="Input 25 3 2 4 3" xfId="43183" xr:uid="{00000000-0005-0000-0000-000076630000}"/>
    <cellStyle name="Input 25 3 2 4 4" xfId="32511" xr:uid="{00000000-0005-0000-0000-000077630000}"/>
    <cellStyle name="Input 25 3 2 5" xfId="11300" xr:uid="{00000000-0005-0000-0000-000078630000}"/>
    <cellStyle name="Input 25 3 2 5 2" xfId="41347" xr:uid="{00000000-0005-0000-0000-000079630000}"/>
    <cellStyle name="Input 25 3 2 5 3" xfId="42040" xr:uid="{00000000-0005-0000-0000-00007A630000}"/>
    <cellStyle name="Input 25 3 2 5 4" xfId="29028" xr:uid="{00000000-0005-0000-0000-00007B630000}"/>
    <cellStyle name="Input 25 3 2 6" xfId="20254" xr:uid="{00000000-0005-0000-0000-00007C630000}"/>
    <cellStyle name="Input 25 3 2 6 2" xfId="45791" xr:uid="{00000000-0005-0000-0000-00007D630000}"/>
    <cellStyle name="Input 25 3 2 6 3" xfId="49697" xr:uid="{00000000-0005-0000-0000-00007E630000}"/>
    <cellStyle name="Input 25 3 2 6 4" xfId="37725" xr:uid="{00000000-0005-0000-0000-00007F630000}"/>
    <cellStyle name="Input 25 3 2 7" xfId="19546" xr:uid="{00000000-0005-0000-0000-000080630000}"/>
    <cellStyle name="Input 25 3 2 7 2" xfId="45083" xr:uid="{00000000-0005-0000-0000-000081630000}"/>
    <cellStyle name="Input 25 3 2 7 3" xfId="48989" xr:uid="{00000000-0005-0000-0000-000082630000}"/>
    <cellStyle name="Input 25 3 2 7 4" xfId="37090" xr:uid="{00000000-0005-0000-0000-000083630000}"/>
    <cellStyle name="Input 25 3 2 8" xfId="20515" xr:uid="{00000000-0005-0000-0000-000084630000}"/>
    <cellStyle name="Input 25 3 2 8 2" xfId="46052" xr:uid="{00000000-0005-0000-0000-000085630000}"/>
    <cellStyle name="Input 25 3 2 8 3" xfId="49958" xr:uid="{00000000-0005-0000-0000-000086630000}"/>
    <cellStyle name="Input 25 3 2 9" xfId="39852" xr:uid="{00000000-0005-0000-0000-000087630000}"/>
    <cellStyle name="Input 25 3 3" xfId="53095" xr:uid="{00000000-0005-0000-0000-000088630000}"/>
    <cellStyle name="Input 25 4" xfId="7085" xr:uid="{00000000-0005-0000-0000-000089630000}"/>
    <cellStyle name="Input 25 4 10" xfId="43104" xr:uid="{00000000-0005-0000-0000-00008A630000}"/>
    <cellStyle name="Input 25 4 11" xfId="53096" xr:uid="{00000000-0005-0000-0000-00008B630000}"/>
    <cellStyle name="Input 25 4 2" xfId="10615" xr:uid="{00000000-0005-0000-0000-00008C630000}"/>
    <cellStyle name="Input 25 4 2 2" xfId="18408" xr:uid="{00000000-0005-0000-0000-00008D630000}"/>
    <cellStyle name="Input 25 4 2 2 2" xfId="43955" xr:uid="{00000000-0005-0000-0000-00008E630000}"/>
    <cellStyle name="Input 25 4 2 2 3" xfId="47864" xr:uid="{00000000-0005-0000-0000-00008F630000}"/>
    <cellStyle name="Input 25 4 2 2 4" xfId="36045" xr:uid="{00000000-0005-0000-0000-000090630000}"/>
    <cellStyle name="Input 25 4 2 3" xfId="20166" xr:uid="{00000000-0005-0000-0000-000091630000}"/>
    <cellStyle name="Input 25 4 2 3 2" xfId="45703" xr:uid="{00000000-0005-0000-0000-000092630000}"/>
    <cellStyle name="Input 25 4 2 3 3" xfId="49609" xr:uid="{00000000-0005-0000-0000-000093630000}"/>
    <cellStyle name="Input 25 4 2 3 4" xfId="37652" xr:uid="{00000000-0005-0000-0000-000094630000}"/>
    <cellStyle name="Input 25 4 2 4" xfId="12645" xr:uid="{00000000-0005-0000-0000-000095630000}"/>
    <cellStyle name="Input 25 4 2 4 2" xfId="42124" xr:uid="{00000000-0005-0000-0000-000096630000}"/>
    <cellStyle name="Input 25 4 2 4 3" xfId="41313" xr:uid="{00000000-0005-0000-0000-000097630000}"/>
    <cellStyle name="Input 25 4 2 4 4" xfId="30310" xr:uid="{00000000-0005-0000-0000-000098630000}"/>
    <cellStyle name="Input 25 4 2 5" xfId="20821" xr:uid="{00000000-0005-0000-0000-000099630000}"/>
    <cellStyle name="Input 25 4 2 5 2" xfId="46358" xr:uid="{00000000-0005-0000-0000-00009A630000}"/>
    <cellStyle name="Input 25 4 2 5 3" xfId="50264" xr:uid="{00000000-0005-0000-0000-00009B630000}"/>
    <cellStyle name="Input 25 4 2 5 4" xfId="38227" xr:uid="{00000000-0005-0000-0000-00009C630000}"/>
    <cellStyle name="Input 25 4 2 6" xfId="21474" xr:uid="{00000000-0005-0000-0000-00009D630000}"/>
    <cellStyle name="Input 25 4 2 6 2" xfId="47011" xr:uid="{00000000-0005-0000-0000-00009E630000}"/>
    <cellStyle name="Input 25 4 2 6 3" xfId="50917" xr:uid="{00000000-0005-0000-0000-00009F630000}"/>
    <cellStyle name="Input 25 4 2 7" xfId="40814" xr:uid="{00000000-0005-0000-0000-0000A0630000}"/>
    <cellStyle name="Input 25 4 2 8" xfId="40255" xr:uid="{00000000-0005-0000-0000-0000A1630000}"/>
    <cellStyle name="Input 25 4 3" xfId="10910" xr:uid="{00000000-0005-0000-0000-0000A2630000}"/>
    <cellStyle name="Input 25 4 3 2" xfId="18703" xr:uid="{00000000-0005-0000-0000-0000A3630000}"/>
    <cellStyle name="Input 25 4 3 2 2" xfId="44250" xr:uid="{00000000-0005-0000-0000-0000A4630000}"/>
    <cellStyle name="Input 25 4 3 2 3" xfId="48159" xr:uid="{00000000-0005-0000-0000-0000A5630000}"/>
    <cellStyle name="Input 25 4 3 2 4" xfId="36340" xr:uid="{00000000-0005-0000-0000-0000A6630000}"/>
    <cellStyle name="Input 25 4 3 3" xfId="11528" xr:uid="{00000000-0005-0000-0000-0000A7630000}"/>
    <cellStyle name="Input 25 4 3 3 2" xfId="41539" xr:uid="{00000000-0005-0000-0000-0000A8630000}"/>
    <cellStyle name="Input 25 4 3 3 3" xfId="40357" xr:uid="{00000000-0005-0000-0000-0000A9630000}"/>
    <cellStyle name="Input 25 4 3 3 4" xfId="29243" xr:uid="{00000000-0005-0000-0000-0000AA630000}"/>
    <cellStyle name="Input 25 4 3 4" xfId="11453" xr:uid="{00000000-0005-0000-0000-0000AB630000}"/>
    <cellStyle name="Input 25 4 3 4 2" xfId="41464" xr:uid="{00000000-0005-0000-0000-0000AC630000}"/>
    <cellStyle name="Input 25 4 3 4 3" xfId="40078" xr:uid="{00000000-0005-0000-0000-0000AD630000}"/>
    <cellStyle name="Input 25 4 3 4 4" xfId="29173" xr:uid="{00000000-0005-0000-0000-0000AE630000}"/>
    <cellStyle name="Input 25 4 3 5" xfId="21116" xr:uid="{00000000-0005-0000-0000-0000AF630000}"/>
    <cellStyle name="Input 25 4 3 5 2" xfId="46653" xr:uid="{00000000-0005-0000-0000-0000B0630000}"/>
    <cellStyle name="Input 25 4 3 5 3" xfId="50559" xr:uid="{00000000-0005-0000-0000-0000B1630000}"/>
    <cellStyle name="Input 25 4 3 5 4" xfId="38522" xr:uid="{00000000-0005-0000-0000-0000B2630000}"/>
    <cellStyle name="Input 25 4 3 6" xfId="21769" xr:uid="{00000000-0005-0000-0000-0000B3630000}"/>
    <cellStyle name="Input 25 4 3 6 2" xfId="47306" xr:uid="{00000000-0005-0000-0000-0000B4630000}"/>
    <cellStyle name="Input 25 4 3 6 3" xfId="51212" xr:uid="{00000000-0005-0000-0000-0000B5630000}"/>
    <cellStyle name="Input 25 4 3 7" xfId="41109" xr:uid="{00000000-0005-0000-0000-0000B6630000}"/>
    <cellStyle name="Input 25 4 3 8" xfId="42733" xr:uid="{00000000-0005-0000-0000-0000B7630000}"/>
    <cellStyle name="Input 25 4 4" xfId="14873" xr:uid="{00000000-0005-0000-0000-0000B8630000}"/>
    <cellStyle name="Input 25 4 4 2" xfId="42989" xr:uid="{00000000-0005-0000-0000-0000B9630000}"/>
    <cellStyle name="Input 25 4 4 3" xfId="39432" xr:uid="{00000000-0005-0000-0000-0000BA630000}"/>
    <cellStyle name="Input 25 4 4 4" xfId="32508" xr:uid="{00000000-0005-0000-0000-0000BB630000}"/>
    <cellStyle name="Input 25 4 5" xfId="13132" xr:uid="{00000000-0005-0000-0000-0000BC630000}"/>
    <cellStyle name="Input 25 4 5 2" xfId="42353" xr:uid="{00000000-0005-0000-0000-0000BD630000}"/>
    <cellStyle name="Input 25 4 5 3" xfId="39544" xr:uid="{00000000-0005-0000-0000-0000BE630000}"/>
    <cellStyle name="Input 25 4 5 4" xfId="30781" xr:uid="{00000000-0005-0000-0000-0000BF630000}"/>
    <cellStyle name="Input 25 4 6" xfId="19665" xr:uid="{00000000-0005-0000-0000-0000C0630000}"/>
    <cellStyle name="Input 25 4 6 2" xfId="45202" xr:uid="{00000000-0005-0000-0000-0000C1630000}"/>
    <cellStyle name="Input 25 4 6 3" xfId="49108" xr:uid="{00000000-0005-0000-0000-0000C2630000}"/>
    <cellStyle name="Input 25 4 6 4" xfId="37199" xr:uid="{00000000-0005-0000-0000-0000C3630000}"/>
    <cellStyle name="Input 25 4 7" xfId="12707" xr:uid="{00000000-0005-0000-0000-0000C4630000}"/>
    <cellStyle name="Input 25 4 7 2" xfId="42182" xr:uid="{00000000-0005-0000-0000-0000C5630000}"/>
    <cellStyle name="Input 25 4 7 3" xfId="42695" xr:uid="{00000000-0005-0000-0000-0000C6630000}"/>
    <cellStyle name="Input 25 4 7 4" xfId="30365" xr:uid="{00000000-0005-0000-0000-0000C7630000}"/>
    <cellStyle name="Input 25 4 8" xfId="19070" xr:uid="{00000000-0005-0000-0000-0000C8630000}"/>
    <cellStyle name="Input 25 4 8 2" xfId="44607" xr:uid="{00000000-0005-0000-0000-0000C9630000}"/>
    <cellStyle name="Input 25 4 8 3" xfId="48513" xr:uid="{00000000-0005-0000-0000-0000CA630000}"/>
    <cellStyle name="Input 25 4 9" xfId="39849" xr:uid="{00000000-0005-0000-0000-0000CB630000}"/>
    <cellStyle name="Input 25 5" xfId="22459" xr:uid="{00000000-0005-0000-0000-0000CC630000}"/>
    <cellStyle name="Input 25 6" xfId="53091" xr:uid="{00000000-0005-0000-0000-0000CD630000}"/>
    <cellStyle name="Input 25_Sheet1" xfId="1910" xr:uid="{00000000-0005-0000-0000-0000CE630000}"/>
    <cellStyle name="Input 26" xfId="1911" xr:uid="{00000000-0005-0000-0000-0000CF630000}"/>
    <cellStyle name="Input 26 2" xfId="1912" xr:uid="{00000000-0005-0000-0000-0000D0630000}"/>
    <cellStyle name="Input 26 2 2" xfId="1913" xr:uid="{00000000-0005-0000-0000-0000D1630000}"/>
    <cellStyle name="Input 26 2 2 2" xfId="7091" xr:uid="{00000000-0005-0000-0000-0000D2630000}"/>
    <cellStyle name="Input 26 2 2 2 10" xfId="40510" xr:uid="{00000000-0005-0000-0000-0000D3630000}"/>
    <cellStyle name="Input 26 2 2 2 2" xfId="10621" xr:uid="{00000000-0005-0000-0000-0000D4630000}"/>
    <cellStyle name="Input 26 2 2 2 2 2" xfId="18414" xr:uid="{00000000-0005-0000-0000-0000D5630000}"/>
    <cellStyle name="Input 26 2 2 2 2 2 2" xfId="43961" xr:uid="{00000000-0005-0000-0000-0000D6630000}"/>
    <cellStyle name="Input 26 2 2 2 2 2 3" xfId="47870" xr:uid="{00000000-0005-0000-0000-0000D7630000}"/>
    <cellStyle name="Input 26 2 2 2 2 2 4" xfId="36051" xr:uid="{00000000-0005-0000-0000-0000D8630000}"/>
    <cellStyle name="Input 26 2 2 2 2 3" xfId="19749" xr:uid="{00000000-0005-0000-0000-0000D9630000}"/>
    <cellStyle name="Input 26 2 2 2 2 3 2" xfId="45286" xr:uid="{00000000-0005-0000-0000-0000DA630000}"/>
    <cellStyle name="Input 26 2 2 2 2 3 3" xfId="49192" xr:uid="{00000000-0005-0000-0000-0000DB630000}"/>
    <cellStyle name="Input 26 2 2 2 2 3 4" xfId="37276" xr:uid="{00000000-0005-0000-0000-0000DC630000}"/>
    <cellStyle name="Input 26 2 2 2 2 4" xfId="11553" xr:uid="{00000000-0005-0000-0000-0000DD630000}"/>
    <cellStyle name="Input 26 2 2 2 2 4 2" xfId="41564" xr:uid="{00000000-0005-0000-0000-0000DE630000}"/>
    <cellStyle name="Input 26 2 2 2 2 4 3" xfId="39351" xr:uid="{00000000-0005-0000-0000-0000DF630000}"/>
    <cellStyle name="Input 26 2 2 2 2 4 4" xfId="29265" xr:uid="{00000000-0005-0000-0000-0000E0630000}"/>
    <cellStyle name="Input 26 2 2 2 2 5" xfId="20827" xr:uid="{00000000-0005-0000-0000-0000E1630000}"/>
    <cellStyle name="Input 26 2 2 2 2 5 2" xfId="46364" xr:uid="{00000000-0005-0000-0000-0000E2630000}"/>
    <cellStyle name="Input 26 2 2 2 2 5 3" xfId="50270" xr:uid="{00000000-0005-0000-0000-0000E3630000}"/>
    <cellStyle name="Input 26 2 2 2 2 5 4" xfId="38233" xr:uid="{00000000-0005-0000-0000-0000E4630000}"/>
    <cellStyle name="Input 26 2 2 2 2 6" xfId="21480" xr:uid="{00000000-0005-0000-0000-0000E5630000}"/>
    <cellStyle name="Input 26 2 2 2 2 6 2" xfId="47017" xr:uid="{00000000-0005-0000-0000-0000E6630000}"/>
    <cellStyle name="Input 26 2 2 2 2 6 3" xfId="50923" xr:uid="{00000000-0005-0000-0000-0000E7630000}"/>
    <cellStyle name="Input 26 2 2 2 2 7" xfId="40820" xr:uid="{00000000-0005-0000-0000-0000E8630000}"/>
    <cellStyle name="Input 26 2 2 2 2 8" xfId="40101" xr:uid="{00000000-0005-0000-0000-0000E9630000}"/>
    <cellStyle name="Input 26 2 2 2 3" xfId="10916" xr:uid="{00000000-0005-0000-0000-0000EA630000}"/>
    <cellStyle name="Input 26 2 2 2 3 2" xfId="18709" xr:uid="{00000000-0005-0000-0000-0000EB630000}"/>
    <cellStyle name="Input 26 2 2 2 3 2 2" xfId="44256" xr:uid="{00000000-0005-0000-0000-0000EC630000}"/>
    <cellStyle name="Input 26 2 2 2 3 2 3" xfId="48165" xr:uid="{00000000-0005-0000-0000-0000ED630000}"/>
    <cellStyle name="Input 26 2 2 2 3 2 4" xfId="36346" xr:uid="{00000000-0005-0000-0000-0000EE630000}"/>
    <cellStyle name="Input 26 2 2 2 3 3" xfId="19883" xr:uid="{00000000-0005-0000-0000-0000EF630000}"/>
    <cellStyle name="Input 26 2 2 2 3 3 2" xfId="45420" xr:uid="{00000000-0005-0000-0000-0000F0630000}"/>
    <cellStyle name="Input 26 2 2 2 3 3 3" xfId="49326" xr:uid="{00000000-0005-0000-0000-0000F1630000}"/>
    <cellStyle name="Input 26 2 2 2 3 3 4" xfId="37397" xr:uid="{00000000-0005-0000-0000-0000F2630000}"/>
    <cellStyle name="Input 26 2 2 2 3 4" xfId="11548" xr:uid="{00000000-0005-0000-0000-0000F3630000}"/>
    <cellStyle name="Input 26 2 2 2 3 4 2" xfId="41559" xr:uid="{00000000-0005-0000-0000-0000F4630000}"/>
    <cellStyle name="Input 26 2 2 2 3 4 3" xfId="40354" xr:uid="{00000000-0005-0000-0000-0000F5630000}"/>
    <cellStyle name="Input 26 2 2 2 3 4 4" xfId="29262" xr:uid="{00000000-0005-0000-0000-0000F6630000}"/>
    <cellStyle name="Input 26 2 2 2 3 5" xfId="21122" xr:uid="{00000000-0005-0000-0000-0000F7630000}"/>
    <cellStyle name="Input 26 2 2 2 3 5 2" xfId="46659" xr:uid="{00000000-0005-0000-0000-0000F8630000}"/>
    <cellStyle name="Input 26 2 2 2 3 5 3" xfId="50565" xr:uid="{00000000-0005-0000-0000-0000F9630000}"/>
    <cellStyle name="Input 26 2 2 2 3 5 4" xfId="38528" xr:uid="{00000000-0005-0000-0000-0000FA630000}"/>
    <cellStyle name="Input 26 2 2 2 3 6" xfId="21775" xr:uid="{00000000-0005-0000-0000-0000FB630000}"/>
    <cellStyle name="Input 26 2 2 2 3 6 2" xfId="47312" xr:uid="{00000000-0005-0000-0000-0000FC630000}"/>
    <cellStyle name="Input 26 2 2 2 3 6 3" xfId="51218" xr:uid="{00000000-0005-0000-0000-0000FD630000}"/>
    <cellStyle name="Input 26 2 2 2 3 7" xfId="41115" xr:uid="{00000000-0005-0000-0000-0000FE630000}"/>
    <cellStyle name="Input 26 2 2 2 3 8" xfId="40374" xr:uid="{00000000-0005-0000-0000-0000FF630000}"/>
    <cellStyle name="Input 26 2 2 2 4" xfId="14879" xr:uid="{00000000-0005-0000-0000-000000640000}"/>
    <cellStyle name="Input 26 2 2 2 4 2" xfId="42995" xr:uid="{00000000-0005-0000-0000-000001640000}"/>
    <cellStyle name="Input 26 2 2 2 4 3" xfId="43670" xr:uid="{00000000-0005-0000-0000-000002640000}"/>
    <cellStyle name="Input 26 2 2 2 4 4" xfId="32514" xr:uid="{00000000-0005-0000-0000-000003640000}"/>
    <cellStyle name="Input 26 2 2 2 5" xfId="11302" xr:uid="{00000000-0005-0000-0000-000004640000}"/>
    <cellStyle name="Input 26 2 2 2 5 2" xfId="41349" xr:uid="{00000000-0005-0000-0000-000005640000}"/>
    <cellStyle name="Input 26 2 2 2 5 3" xfId="40223" xr:uid="{00000000-0005-0000-0000-000006640000}"/>
    <cellStyle name="Input 26 2 2 2 5 4" xfId="29030" xr:uid="{00000000-0005-0000-0000-000007640000}"/>
    <cellStyle name="Input 26 2 2 2 6" xfId="20122" xr:uid="{00000000-0005-0000-0000-000008640000}"/>
    <cellStyle name="Input 26 2 2 2 6 2" xfId="45659" xr:uid="{00000000-0005-0000-0000-000009640000}"/>
    <cellStyle name="Input 26 2 2 2 6 3" xfId="49565" xr:uid="{00000000-0005-0000-0000-00000A640000}"/>
    <cellStyle name="Input 26 2 2 2 6 4" xfId="37608" xr:uid="{00000000-0005-0000-0000-00000B640000}"/>
    <cellStyle name="Input 26 2 2 2 7" xfId="19856" xr:uid="{00000000-0005-0000-0000-00000C640000}"/>
    <cellStyle name="Input 26 2 2 2 7 2" xfId="45393" xr:uid="{00000000-0005-0000-0000-00000D640000}"/>
    <cellStyle name="Input 26 2 2 2 7 3" xfId="49299" xr:uid="{00000000-0005-0000-0000-00000E640000}"/>
    <cellStyle name="Input 26 2 2 2 7 4" xfId="37371" xr:uid="{00000000-0005-0000-0000-00000F640000}"/>
    <cellStyle name="Input 26 2 2 2 8" xfId="19542" xr:uid="{00000000-0005-0000-0000-000010640000}"/>
    <cellStyle name="Input 26 2 2 2 8 2" xfId="45079" xr:uid="{00000000-0005-0000-0000-000011640000}"/>
    <cellStyle name="Input 26 2 2 2 8 3" xfId="48985" xr:uid="{00000000-0005-0000-0000-000012640000}"/>
    <cellStyle name="Input 26 2 2 2 9" xfId="39855" xr:uid="{00000000-0005-0000-0000-000013640000}"/>
    <cellStyle name="Input 26 2 2 3" xfId="53099" xr:uid="{00000000-0005-0000-0000-000014640000}"/>
    <cellStyle name="Input 26 2 3" xfId="7090" xr:uid="{00000000-0005-0000-0000-000015640000}"/>
    <cellStyle name="Input 26 2 3 10" xfId="43652" xr:uid="{00000000-0005-0000-0000-000016640000}"/>
    <cellStyle name="Input 26 2 3 2" xfId="10620" xr:uid="{00000000-0005-0000-0000-000017640000}"/>
    <cellStyle name="Input 26 2 3 2 2" xfId="18413" xr:uid="{00000000-0005-0000-0000-000018640000}"/>
    <cellStyle name="Input 26 2 3 2 2 2" xfId="43960" xr:uid="{00000000-0005-0000-0000-000019640000}"/>
    <cellStyle name="Input 26 2 3 2 2 3" xfId="47869" xr:uid="{00000000-0005-0000-0000-00001A640000}"/>
    <cellStyle name="Input 26 2 3 2 2 4" xfId="36050" xr:uid="{00000000-0005-0000-0000-00001B640000}"/>
    <cellStyle name="Input 26 2 3 2 3" xfId="19130" xr:uid="{00000000-0005-0000-0000-00001C640000}"/>
    <cellStyle name="Input 26 2 3 2 3 2" xfId="44667" xr:uid="{00000000-0005-0000-0000-00001D640000}"/>
    <cellStyle name="Input 26 2 3 2 3 3" xfId="48573" xr:uid="{00000000-0005-0000-0000-00001E640000}"/>
    <cellStyle name="Input 26 2 3 2 3 4" xfId="36725" xr:uid="{00000000-0005-0000-0000-00001F640000}"/>
    <cellStyle name="Input 26 2 3 2 4" xfId="19385" xr:uid="{00000000-0005-0000-0000-000020640000}"/>
    <cellStyle name="Input 26 2 3 2 4 2" xfId="44922" xr:uid="{00000000-0005-0000-0000-000021640000}"/>
    <cellStyle name="Input 26 2 3 2 4 3" xfId="48828" xr:uid="{00000000-0005-0000-0000-000022640000}"/>
    <cellStyle name="Input 26 2 3 2 4 4" xfId="36951" xr:uid="{00000000-0005-0000-0000-000023640000}"/>
    <cellStyle name="Input 26 2 3 2 5" xfId="20826" xr:uid="{00000000-0005-0000-0000-000024640000}"/>
    <cellStyle name="Input 26 2 3 2 5 2" xfId="46363" xr:uid="{00000000-0005-0000-0000-000025640000}"/>
    <cellStyle name="Input 26 2 3 2 5 3" xfId="50269" xr:uid="{00000000-0005-0000-0000-000026640000}"/>
    <cellStyle name="Input 26 2 3 2 5 4" xfId="38232" xr:uid="{00000000-0005-0000-0000-000027640000}"/>
    <cellStyle name="Input 26 2 3 2 6" xfId="21479" xr:uid="{00000000-0005-0000-0000-000028640000}"/>
    <cellStyle name="Input 26 2 3 2 6 2" xfId="47016" xr:uid="{00000000-0005-0000-0000-000029640000}"/>
    <cellStyle name="Input 26 2 3 2 6 3" xfId="50922" xr:uid="{00000000-0005-0000-0000-00002A640000}"/>
    <cellStyle name="Input 26 2 3 2 7" xfId="40819" xr:uid="{00000000-0005-0000-0000-00002B640000}"/>
    <cellStyle name="Input 26 2 3 2 8" xfId="43242" xr:uid="{00000000-0005-0000-0000-00002C640000}"/>
    <cellStyle name="Input 26 2 3 3" xfId="10915" xr:uid="{00000000-0005-0000-0000-00002D640000}"/>
    <cellStyle name="Input 26 2 3 3 2" xfId="18708" xr:uid="{00000000-0005-0000-0000-00002E640000}"/>
    <cellStyle name="Input 26 2 3 3 2 2" xfId="44255" xr:uid="{00000000-0005-0000-0000-00002F640000}"/>
    <cellStyle name="Input 26 2 3 3 2 3" xfId="48164" xr:uid="{00000000-0005-0000-0000-000030640000}"/>
    <cellStyle name="Input 26 2 3 3 2 4" xfId="36345" xr:uid="{00000000-0005-0000-0000-000031640000}"/>
    <cellStyle name="Input 26 2 3 3 3" xfId="19274" xr:uid="{00000000-0005-0000-0000-000032640000}"/>
    <cellStyle name="Input 26 2 3 3 3 2" xfId="44811" xr:uid="{00000000-0005-0000-0000-000033640000}"/>
    <cellStyle name="Input 26 2 3 3 3 3" xfId="48717" xr:uid="{00000000-0005-0000-0000-000034640000}"/>
    <cellStyle name="Input 26 2 3 3 3 4" xfId="36852" xr:uid="{00000000-0005-0000-0000-000035640000}"/>
    <cellStyle name="Input 26 2 3 3 4" xfId="19872" xr:uid="{00000000-0005-0000-0000-000036640000}"/>
    <cellStyle name="Input 26 2 3 3 4 2" xfId="45409" xr:uid="{00000000-0005-0000-0000-000037640000}"/>
    <cellStyle name="Input 26 2 3 3 4 3" xfId="49315" xr:uid="{00000000-0005-0000-0000-000038640000}"/>
    <cellStyle name="Input 26 2 3 3 4 4" xfId="37386" xr:uid="{00000000-0005-0000-0000-000039640000}"/>
    <cellStyle name="Input 26 2 3 3 5" xfId="21121" xr:uid="{00000000-0005-0000-0000-00003A640000}"/>
    <cellStyle name="Input 26 2 3 3 5 2" xfId="46658" xr:uid="{00000000-0005-0000-0000-00003B640000}"/>
    <cellStyle name="Input 26 2 3 3 5 3" xfId="50564" xr:uid="{00000000-0005-0000-0000-00003C640000}"/>
    <cellStyle name="Input 26 2 3 3 5 4" xfId="38527" xr:uid="{00000000-0005-0000-0000-00003D640000}"/>
    <cellStyle name="Input 26 2 3 3 6" xfId="21774" xr:uid="{00000000-0005-0000-0000-00003E640000}"/>
    <cellStyle name="Input 26 2 3 3 6 2" xfId="47311" xr:uid="{00000000-0005-0000-0000-00003F640000}"/>
    <cellStyle name="Input 26 2 3 3 6 3" xfId="51217" xr:uid="{00000000-0005-0000-0000-000040640000}"/>
    <cellStyle name="Input 26 2 3 3 7" xfId="41114" xr:uid="{00000000-0005-0000-0000-000041640000}"/>
    <cellStyle name="Input 26 2 3 3 8" xfId="43511" xr:uid="{00000000-0005-0000-0000-000042640000}"/>
    <cellStyle name="Input 26 2 3 4" xfId="14878" xr:uid="{00000000-0005-0000-0000-000043640000}"/>
    <cellStyle name="Input 26 2 3 4 2" xfId="42994" xr:uid="{00000000-0005-0000-0000-000044640000}"/>
    <cellStyle name="Input 26 2 3 4 3" xfId="42783" xr:uid="{00000000-0005-0000-0000-000045640000}"/>
    <cellStyle name="Input 26 2 3 4 4" xfId="32513" xr:uid="{00000000-0005-0000-0000-000046640000}"/>
    <cellStyle name="Input 26 2 3 5" xfId="11303" xr:uid="{00000000-0005-0000-0000-000047640000}"/>
    <cellStyle name="Input 26 2 3 5 2" xfId="41350" xr:uid="{00000000-0005-0000-0000-000048640000}"/>
    <cellStyle name="Input 26 2 3 5 3" xfId="42828" xr:uid="{00000000-0005-0000-0000-000049640000}"/>
    <cellStyle name="Input 26 2 3 5 4" xfId="29031" xr:uid="{00000000-0005-0000-0000-00004A640000}"/>
    <cellStyle name="Input 26 2 3 6" xfId="19381" xr:uid="{00000000-0005-0000-0000-00004B640000}"/>
    <cellStyle name="Input 26 2 3 6 2" xfId="44918" xr:uid="{00000000-0005-0000-0000-00004C640000}"/>
    <cellStyle name="Input 26 2 3 6 3" xfId="48824" xr:uid="{00000000-0005-0000-0000-00004D640000}"/>
    <cellStyle name="Input 26 2 3 6 4" xfId="36947" xr:uid="{00000000-0005-0000-0000-00004E640000}"/>
    <cellStyle name="Input 26 2 3 7" xfId="20512" xr:uid="{00000000-0005-0000-0000-00004F640000}"/>
    <cellStyle name="Input 26 2 3 7 2" xfId="46049" xr:uid="{00000000-0005-0000-0000-000050640000}"/>
    <cellStyle name="Input 26 2 3 7 3" xfId="49955" xr:uid="{00000000-0005-0000-0000-000051640000}"/>
    <cellStyle name="Input 26 2 3 7 4" xfId="37948" xr:uid="{00000000-0005-0000-0000-000052640000}"/>
    <cellStyle name="Input 26 2 3 8" xfId="12617" xr:uid="{00000000-0005-0000-0000-000053640000}"/>
    <cellStyle name="Input 26 2 3 8 2" xfId="42096" xr:uid="{00000000-0005-0000-0000-000054640000}"/>
    <cellStyle name="Input 26 2 3 8 3" xfId="43479" xr:uid="{00000000-0005-0000-0000-000055640000}"/>
    <cellStyle name="Input 26 2 3 9" xfId="39854" xr:uid="{00000000-0005-0000-0000-000056640000}"/>
    <cellStyle name="Input 26 2 4" xfId="53098" xr:uid="{00000000-0005-0000-0000-000057640000}"/>
    <cellStyle name="Input 26 2_Sheet1" xfId="1914" xr:uid="{00000000-0005-0000-0000-000058640000}"/>
    <cellStyle name="Input 26 3" xfId="1915" xr:uid="{00000000-0005-0000-0000-000059640000}"/>
    <cellStyle name="Input 26 3 2" xfId="7092" xr:uid="{00000000-0005-0000-0000-00005A640000}"/>
    <cellStyle name="Input 26 3 2 10" xfId="39620" xr:uid="{00000000-0005-0000-0000-00005B640000}"/>
    <cellStyle name="Input 26 3 2 2" xfId="10622" xr:uid="{00000000-0005-0000-0000-00005C640000}"/>
    <cellStyle name="Input 26 3 2 2 2" xfId="18415" xr:uid="{00000000-0005-0000-0000-00005D640000}"/>
    <cellStyle name="Input 26 3 2 2 2 2" xfId="43962" xr:uid="{00000000-0005-0000-0000-00005E640000}"/>
    <cellStyle name="Input 26 3 2 2 2 3" xfId="47871" xr:uid="{00000000-0005-0000-0000-00005F640000}"/>
    <cellStyle name="Input 26 3 2 2 2 4" xfId="36052" xr:uid="{00000000-0005-0000-0000-000060640000}"/>
    <cellStyle name="Input 26 3 2 2 3" xfId="12626" xr:uid="{00000000-0005-0000-0000-000061640000}"/>
    <cellStyle name="Input 26 3 2 2 3 2" xfId="42105" xr:uid="{00000000-0005-0000-0000-000062640000}"/>
    <cellStyle name="Input 26 3 2 2 3 3" xfId="43201" xr:uid="{00000000-0005-0000-0000-000063640000}"/>
    <cellStyle name="Input 26 3 2 2 3 4" xfId="30291" xr:uid="{00000000-0005-0000-0000-000064640000}"/>
    <cellStyle name="Input 26 3 2 2 4" xfId="19552" xr:uid="{00000000-0005-0000-0000-000065640000}"/>
    <cellStyle name="Input 26 3 2 2 4 2" xfId="45089" xr:uid="{00000000-0005-0000-0000-000066640000}"/>
    <cellStyle name="Input 26 3 2 2 4 3" xfId="48995" xr:uid="{00000000-0005-0000-0000-000067640000}"/>
    <cellStyle name="Input 26 3 2 2 4 4" xfId="37094" xr:uid="{00000000-0005-0000-0000-000068640000}"/>
    <cellStyle name="Input 26 3 2 2 5" xfId="20828" xr:uid="{00000000-0005-0000-0000-000069640000}"/>
    <cellStyle name="Input 26 3 2 2 5 2" xfId="46365" xr:uid="{00000000-0005-0000-0000-00006A640000}"/>
    <cellStyle name="Input 26 3 2 2 5 3" xfId="50271" xr:uid="{00000000-0005-0000-0000-00006B640000}"/>
    <cellStyle name="Input 26 3 2 2 5 4" xfId="38234" xr:uid="{00000000-0005-0000-0000-00006C640000}"/>
    <cellStyle name="Input 26 3 2 2 6" xfId="21481" xr:uid="{00000000-0005-0000-0000-00006D640000}"/>
    <cellStyle name="Input 26 3 2 2 6 2" xfId="47018" xr:uid="{00000000-0005-0000-0000-00006E640000}"/>
    <cellStyle name="Input 26 3 2 2 6 3" xfId="50924" xr:uid="{00000000-0005-0000-0000-00006F640000}"/>
    <cellStyle name="Input 26 3 2 2 7" xfId="40821" xr:uid="{00000000-0005-0000-0000-000070640000}"/>
    <cellStyle name="Input 26 3 2 2 8" xfId="42850" xr:uid="{00000000-0005-0000-0000-000071640000}"/>
    <cellStyle name="Input 26 3 2 3" xfId="10917" xr:uid="{00000000-0005-0000-0000-000072640000}"/>
    <cellStyle name="Input 26 3 2 3 2" xfId="18710" xr:uid="{00000000-0005-0000-0000-000073640000}"/>
    <cellStyle name="Input 26 3 2 3 2 2" xfId="44257" xr:uid="{00000000-0005-0000-0000-000074640000}"/>
    <cellStyle name="Input 26 3 2 3 2 3" xfId="48166" xr:uid="{00000000-0005-0000-0000-000075640000}"/>
    <cellStyle name="Input 26 3 2 3 2 4" xfId="36347" xr:uid="{00000000-0005-0000-0000-000076640000}"/>
    <cellStyle name="Input 26 3 2 3 3" xfId="19106" xr:uid="{00000000-0005-0000-0000-000077640000}"/>
    <cellStyle name="Input 26 3 2 3 3 2" xfId="44643" xr:uid="{00000000-0005-0000-0000-000078640000}"/>
    <cellStyle name="Input 26 3 2 3 3 3" xfId="48549" xr:uid="{00000000-0005-0000-0000-000079640000}"/>
    <cellStyle name="Input 26 3 2 3 3 4" xfId="36701" xr:uid="{00000000-0005-0000-0000-00007A640000}"/>
    <cellStyle name="Input 26 3 2 3 4" xfId="20125" xr:uid="{00000000-0005-0000-0000-00007B640000}"/>
    <cellStyle name="Input 26 3 2 3 4 2" xfId="45662" xr:uid="{00000000-0005-0000-0000-00007C640000}"/>
    <cellStyle name="Input 26 3 2 3 4 3" xfId="49568" xr:uid="{00000000-0005-0000-0000-00007D640000}"/>
    <cellStyle name="Input 26 3 2 3 4 4" xfId="37611" xr:uid="{00000000-0005-0000-0000-00007E640000}"/>
    <cellStyle name="Input 26 3 2 3 5" xfId="21123" xr:uid="{00000000-0005-0000-0000-00007F640000}"/>
    <cellStyle name="Input 26 3 2 3 5 2" xfId="46660" xr:uid="{00000000-0005-0000-0000-000080640000}"/>
    <cellStyle name="Input 26 3 2 3 5 3" xfId="50566" xr:uid="{00000000-0005-0000-0000-000081640000}"/>
    <cellStyle name="Input 26 3 2 3 5 4" xfId="38529" xr:uid="{00000000-0005-0000-0000-000082640000}"/>
    <cellStyle name="Input 26 3 2 3 6" xfId="21776" xr:uid="{00000000-0005-0000-0000-000083640000}"/>
    <cellStyle name="Input 26 3 2 3 6 2" xfId="47313" xr:uid="{00000000-0005-0000-0000-000084640000}"/>
    <cellStyle name="Input 26 3 2 3 6 3" xfId="51219" xr:uid="{00000000-0005-0000-0000-000085640000}"/>
    <cellStyle name="Input 26 3 2 3 7" xfId="41116" xr:uid="{00000000-0005-0000-0000-000086640000}"/>
    <cellStyle name="Input 26 3 2 3 8" xfId="39486" xr:uid="{00000000-0005-0000-0000-000087640000}"/>
    <cellStyle name="Input 26 3 2 4" xfId="14880" xr:uid="{00000000-0005-0000-0000-000088640000}"/>
    <cellStyle name="Input 26 3 2 4 2" xfId="42996" xr:uid="{00000000-0005-0000-0000-000089640000}"/>
    <cellStyle name="Input 26 3 2 4 3" xfId="40529" xr:uid="{00000000-0005-0000-0000-00008A640000}"/>
    <cellStyle name="Input 26 3 2 4 4" xfId="32515" xr:uid="{00000000-0005-0000-0000-00008B640000}"/>
    <cellStyle name="Input 26 3 2 5" xfId="13134" xr:uid="{00000000-0005-0000-0000-00008C640000}"/>
    <cellStyle name="Input 26 3 2 5 2" xfId="42355" xr:uid="{00000000-0005-0000-0000-00008D640000}"/>
    <cellStyle name="Input 26 3 2 5 3" xfId="43465" xr:uid="{00000000-0005-0000-0000-00008E640000}"/>
    <cellStyle name="Input 26 3 2 5 4" xfId="30783" xr:uid="{00000000-0005-0000-0000-00008F640000}"/>
    <cellStyle name="Input 26 3 2 6" xfId="12324" xr:uid="{00000000-0005-0000-0000-000090640000}"/>
    <cellStyle name="Input 26 3 2 6 2" xfId="41957" xr:uid="{00000000-0005-0000-0000-000091640000}"/>
    <cellStyle name="Input 26 3 2 6 3" xfId="39665" xr:uid="{00000000-0005-0000-0000-000092640000}"/>
    <cellStyle name="Input 26 3 2 6 4" xfId="29995" xr:uid="{00000000-0005-0000-0000-000093640000}"/>
    <cellStyle name="Input 26 3 2 7" xfId="12463" xr:uid="{00000000-0005-0000-0000-000094640000}"/>
    <cellStyle name="Input 26 3 2 7 2" xfId="41984" xr:uid="{00000000-0005-0000-0000-000095640000}"/>
    <cellStyle name="Input 26 3 2 7 3" xfId="39563" xr:uid="{00000000-0005-0000-0000-000096640000}"/>
    <cellStyle name="Input 26 3 2 7 4" xfId="30134" xr:uid="{00000000-0005-0000-0000-000097640000}"/>
    <cellStyle name="Input 26 3 2 8" xfId="19329" xr:uid="{00000000-0005-0000-0000-000098640000}"/>
    <cellStyle name="Input 26 3 2 8 2" xfId="44866" xr:uid="{00000000-0005-0000-0000-000099640000}"/>
    <cellStyle name="Input 26 3 2 8 3" xfId="48772" xr:uid="{00000000-0005-0000-0000-00009A640000}"/>
    <cellStyle name="Input 26 3 2 9" xfId="39856" xr:uid="{00000000-0005-0000-0000-00009B640000}"/>
    <cellStyle name="Input 26 3 3" xfId="53100" xr:uid="{00000000-0005-0000-0000-00009C640000}"/>
    <cellStyle name="Input 26 4" xfId="7089" xr:uid="{00000000-0005-0000-0000-00009D640000}"/>
    <cellStyle name="Input 26 4 10" xfId="42764" xr:uid="{00000000-0005-0000-0000-00009E640000}"/>
    <cellStyle name="Input 26 4 11" xfId="53101" xr:uid="{00000000-0005-0000-0000-00009F640000}"/>
    <cellStyle name="Input 26 4 2" xfId="10619" xr:uid="{00000000-0005-0000-0000-0000A0640000}"/>
    <cellStyle name="Input 26 4 2 2" xfId="18412" xr:uid="{00000000-0005-0000-0000-0000A1640000}"/>
    <cellStyle name="Input 26 4 2 2 2" xfId="43959" xr:uid="{00000000-0005-0000-0000-0000A2640000}"/>
    <cellStyle name="Input 26 4 2 2 3" xfId="47868" xr:uid="{00000000-0005-0000-0000-0000A3640000}"/>
    <cellStyle name="Input 26 4 2 2 4" xfId="36049" xr:uid="{00000000-0005-0000-0000-0000A4640000}"/>
    <cellStyle name="Input 26 4 2 3" xfId="19907" xr:uid="{00000000-0005-0000-0000-0000A5640000}"/>
    <cellStyle name="Input 26 4 2 3 2" xfId="45444" xr:uid="{00000000-0005-0000-0000-0000A6640000}"/>
    <cellStyle name="Input 26 4 2 3 3" xfId="49350" xr:uid="{00000000-0005-0000-0000-0000A7640000}"/>
    <cellStyle name="Input 26 4 2 3 4" xfId="37421" xr:uid="{00000000-0005-0000-0000-0000A8640000}"/>
    <cellStyle name="Input 26 4 2 4" xfId="19838" xr:uid="{00000000-0005-0000-0000-0000A9640000}"/>
    <cellStyle name="Input 26 4 2 4 2" xfId="45375" xr:uid="{00000000-0005-0000-0000-0000AA640000}"/>
    <cellStyle name="Input 26 4 2 4 3" xfId="49281" xr:uid="{00000000-0005-0000-0000-0000AB640000}"/>
    <cellStyle name="Input 26 4 2 4 4" xfId="37356" xr:uid="{00000000-0005-0000-0000-0000AC640000}"/>
    <cellStyle name="Input 26 4 2 5" xfId="20825" xr:uid="{00000000-0005-0000-0000-0000AD640000}"/>
    <cellStyle name="Input 26 4 2 5 2" xfId="46362" xr:uid="{00000000-0005-0000-0000-0000AE640000}"/>
    <cellStyle name="Input 26 4 2 5 3" xfId="50268" xr:uid="{00000000-0005-0000-0000-0000AF640000}"/>
    <cellStyle name="Input 26 4 2 5 4" xfId="38231" xr:uid="{00000000-0005-0000-0000-0000B0640000}"/>
    <cellStyle name="Input 26 4 2 6" xfId="21478" xr:uid="{00000000-0005-0000-0000-0000B1640000}"/>
    <cellStyle name="Input 26 4 2 6 2" xfId="47015" xr:uid="{00000000-0005-0000-0000-0000B2640000}"/>
    <cellStyle name="Input 26 4 2 6 3" xfId="50921" xr:uid="{00000000-0005-0000-0000-0000B3640000}"/>
    <cellStyle name="Input 26 4 2 7" xfId="40818" xr:uid="{00000000-0005-0000-0000-0000B4640000}"/>
    <cellStyle name="Input 26 4 2 8" xfId="41439" xr:uid="{00000000-0005-0000-0000-0000B5640000}"/>
    <cellStyle name="Input 26 4 3" xfId="10914" xr:uid="{00000000-0005-0000-0000-0000B6640000}"/>
    <cellStyle name="Input 26 4 3 2" xfId="18707" xr:uid="{00000000-0005-0000-0000-0000B7640000}"/>
    <cellStyle name="Input 26 4 3 2 2" xfId="44254" xr:uid="{00000000-0005-0000-0000-0000B8640000}"/>
    <cellStyle name="Input 26 4 3 2 3" xfId="48163" xr:uid="{00000000-0005-0000-0000-0000B9640000}"/>
    <cellStyle name="Input 26 4 3 2 4" xfId="36344" xr:uid="{00000000-0005-0000-0000-0000BA640000}"/>
    <cellStyle name="Input 26 4 3 3" xfId="20008" xr:uid="{00000000-0005-0000-0000-0000BB640000}"/>
    <cellStyle name="Input 26 4 3 3 2" xfId="45545" xr:uid="{00000000-0005-0000-0000-0000BC640000}"/>
    <cellStyle name="Input 26 4 3 3 3" xfId="49451" xr:uid="{00000000-0005-0000-0000-0000BD640000}"/>
    <cellStyle name="Input 26 4 3 3 4" xfId="37506" xr:uid="{00000000-0005-0000-0000-0000BE640000}"/>
    <cellStyle name="Input 26 4 3 4" xfId="19076" xr:uid="{00000000-0005-0000-0000-0000BF640000}"/>
    <cellStyle name="Input 26 4 3 4 2" xfId="44613" xr:uid="{00000000-0005-0000-0000-0000C0640000}"/>
    <cellStyle name="Input 26 4 3 4 3" xfId="48519" xr:uid="{00000000-0005-0000-0000-0000C1640000}"/>
    <cellStyle name="Input 26 4 3 4 4" xfId="36672" xr:uid="{00000000-0005-0000-0000-0000C2640000}"/>
    <cellStyle name="Input 26 4 3 5" xfId="21120" xr:uid="{00000000-0005-0000-0000-0000C3640000}"/>
    <cellStyle name="Input 26 4 3 5 2" xfId="46657" xr:uid="{00000000-0005-0000-0000-0000C4640000}"/>
    <cellStyle name="Input 26 4 3 5 3" xfId="50563" xr:uid="{00000000-0005-0000-0000-0000C5640000}"/>
    <cellStyle name="Input 26 4 3 5 4" xfId="38526" xr:uid="{00000000-0005-0000-0000-0000C6640000}"/>
    <cellStyle name="Input 26 4 3 6" xfId="21773" xr:uid="{00000000-0005-0000-0000-0000C7640000}"/>
    <cellStyle name="Input 26 4 3 6 2" xfId="47310" xr:uid="{00000000-0005-0000-0000-0000C8640000}"/>
    <cellStyle name="Input 26 4 3 6 3" xfId="51216" xr:uid="{00000000-0005-0000-0000-0000C9640000}"/>
    <cellStyle name="Input 26 4 3 7" xfId="41113" xr:uid="{00000000-0005-0000-0000-0000CA640000}"/>
    <cellStyle name="Input 26 4 3 8" xfId="42598" xr:uid="{00000000-0005-0000-0000-0000CB640000}"/>
    <cellStyle name="Input 26 4 4" xfId="14877" xr:uid="{00000000-0005-0000-0000-0000CC640000}"/>
    <cellStyle name="Input 26 4 4 2" xfId="42993" xr:uid="{00000000-0005-0000-0000-0000CD640000}"/>
    <cellStyle name="Input 26 4 4 3" xfId="40042" xr:uid="{00000000-0005-0000-0000-0000CE640000}"/>
    <cellStyle name="Input 26 4 4 4" xfId="32512" xr:uid="{00000000-0005-0000-0000-0000CF640000}"/>
    <cellStyle name="Input 26 4 5" xfId="11301" xr:uid="{00000000-0005-0000-0000-0000D0640000}"/>
    <cellStyle name="Input 26 4 5 2" xfId="41348" xr:uid="{00000000-0005-0000-0000-0000D1640000}"/>
    <cellStyle name="Input 26 4 5 3" xfId="43361" xr:uid="{00000000-0005-0000-0000-0000D2640000}"/>
    <cellStyle name="Input 26 4 5 4" xfId="29029" xr:uid="{00000000-0005-0000-0000-0000D3640000}"/>
    <cellStyle name="Input 26 4 6" xfId="19554" xr:uid="{00000000-0005-0000-0000-0000D4640000}"/>
    <cellStyle name="Input 26 4 6 2" xfId="45091" xr:uid="{00000000-0005-0000-0000-0000D5640000}"/>
    <cellStyle name="Input 26 4 6 3" xfId="48997" xr:uid="{00000000-0005-0000-0000-0000D6640000}"/>
    <cellStyle name="Input 26 4 6 4" xfId="37096" xr:uid="{00000000-0005-0000-0000-0000D7640000}"/>
    <cellStyle name="Input 26 4 7" xfId="19580" xr:uid="{00000000-0005-0000-0000-0000D8640000}"/>
    <cellStyle name="Input 26 4 7 2" xfId="45117" xr:uid="{00000000-0005-0000-0000-0000D9640000}"/>
    <cellStyle name="Input 26 4 7 3" xfId="49023" xr:uid="{00000000-0005-0000-0000-0000DA640000}"/>
    <cellStyle name="Input 26 4 7 4" xfId="37120" xr:uid="{00000000-0005-0000-0000-0000DB640000}"/>
    <cellStyle name="Input 26 4 8" xfId="19048" xr:uid="{00000000-0005-0000-0000-0000DC640000}"/>
    <cellStyle name="Input 26 4 8 2" xfId="44585" xr:uid="{00000000-0005-0000-0000-0000DD640000}"/>
    <cellStyle name="Input 26 4 8 3" xfId="48491" xr:uid="{00000000-0005-0000-0000-0000DE640000}"/>
    <cellStyle name="Input 26 4 9" xfId="39853" xr:uid="{00000000-0005-0000-0000-0000DF640000}"/>
    <cellStyle name="Input 26 5" xfId="22461" xr:uid="{00000000-0005-0000-0000-0000E0640000}"/>
    <cellStyle name="Input 26 6" xfId="22918" xr:uid="{00000000-0005-0000-0000-0000E1640000}"/>
    <cellStyle name="Input 26 7" xfId="53097" xr:uid="{00000000-0005-0000-0000-0000E2640000}"/>
    <cellStyle name="Input 26_Sheet1" xfId="1916" xr:uid="{00000000-0005-0000-0000-0000E3640000}"/>
    <cellStyle name="Input 27" xfId="1917" xr:uid="{00000000-0005-0000-0000-0000E4640000}"/>
    <cellStyle name="Input 27 2" xfId="1918" xr:uid="{00000000-0005-0000-0000-0000E5640000}"/>
    <cellStyle name="Input 27 2 2" xfId="1919" xr:uid="{00000000-0005-0000-0000-0000E6640000}"/>
    <cellStyle name="Input 27 2 2 2" xfId="7095" xr:uid="{00000000-0005-0000-0000-0000E7640000}"/>
    <cellStyle name="Input 27 2 2 2 10" xfId="40404" xr:uid="{00000000-0005-0000-0000-0000E8640000}"/>
    <cellStyle name="Input 27 2 2 2 2" xfId="10625" xr:uid="{00000000-0005-0000-0000-0000E9640000}"/>
    <cellStyle name="Input 27 2 2 2 2 2" xfId="18418" xr:uid="{00000000-0005-0000-0000-0000EA640000}"/>
    <cellStyle name="Input 27 2 2 2 2 2 2" xfId="43965" xr:uid="{00000000-0005-0000-0000-0000EB640000}"/>
    <cellStyle name="Input 27 2 2 2 2 2 3" xfId="47874" xr:uid="{00000000-0005-0000-0000-0000EC640000}"/>
    <cellStyle name="Input 27 2 2 2 2 2 4" xfId="36055" xr:uid="{00000000-0005-0000-0000-0000ED640000}"/>
    <cellStyle name="Input 27 2 2 2 2 3" xfId="20163" xr:uid="{00000000-0005-0000-0000-0000EE640000}"/>
    <cellStyle name="Input 27 2 2 2 2 3 2" xfId="45700" xr:uid="{00000000-0005-0000-0000-0000EF640000}"/>
    <cellStyle name="Input 27 2 2 2 2 3 3" xfId="49606" xr:uid="{00000000-0005-0000-0000-0000F0640000}"/>
    <cellStyle name="Input 27 2 2 2 2 3 4" xfId="37649" xr:uid="{00000000-0005-0000-0000-0000F1640000}"/>
    <cellStyle name="Input 27 2 2 2 2 4" xfId="19265" xr:uid="{00000000-0005-0000-0000-0000F2640000}"/>
    <cellStyle name="Input 27 2 2 2 2 4 2" xfId="44802" xr:uid="{00000000-0005-0000-0000-0000F3640000}"/>
    <cellStyle name="Input 27 2 2 2 2 4 3" xfId="48708" xr:uid="{00000000-0005-0000-0000-0000F4640000}"/>
    <cellStyle name="Input 27 2 2 2 2 4 4" xfId="36843" xr:uid="{00000000-0005-0000-0000-0000F5640000}"/>
    <cellStyle name="Input 27 2 2 2 2 5" xfId="20831" xr:uid="{00000000-0005-0000-0000-0000F6640000}"/>
    <cellStyle name="Input 27 2 2 2 2 5 2" xfId="46368" xr:uid="{00000000-0005-0000-0000-0000F7640000}"/>
    <cellStyle name="Input 27 2 2 2 2 5 3" xfId="50274" xr:uid="{00000000-0005-0000-0000-0000F8640000}"/>
    <cellStyle name="Input 27 2 2 2 2 5 4" xfId="38237" xr:uid="{00000000-0005-0000-0000-0000F9640000}"/>
    <cellStyle name="Input 27 2 2 2 2 6" xfId="21484" xr:uid="{00000000-0005-0000-0000-0000FA640000}"/>
    <cellStyle name="Input 27 2 2 2 2 6 2" xfId="47021" xr:uid="{00000000-0005-0000-0000-0000FB640000}"/>
    <cellStyle name="Input 27 2 2 2 2 6 3" xfId="50927" xr:uid="{00000000-0005-0000-0000-0000FC640000}"/>
    <cellStyle name="Input 27 2 2 2 2 7" xfId="40824" xr:uid="{00000000-0005-0000-0000-0000FD640000}"/>
    <cellStyle name="Input 27 2 2 2 2 8" xfId="39709" xr:uid="{00000000-0005-0000-0000-0000FE640000}"/>
    <cellStyle name="Input 27 2 2 2 3" xfId="10920" xr:uid="{00000000-0005-0000-0000-0000FF640000}"/>
    <cellStyle name="Input 27 2 2 2 3 2" xfId="18713" xr:uid="{00000000-0005-0000-0000-000000650000}"/>
    <cellStyle name="Input 27 2 2 2 3 2 2" xfId="44260" xr:uid="{00000000-0005-0000-0000-000001650000}"/>
    <cellStyle name="Input 27 2 2 2 3 2 3" xfId="48169" xr:uid="{00000000-0005-0000-0000-000002650000}"/>
    <cellStyle name="Input 27 2 2 2 3 2 4" xfId="36350" xr:uid="{00000000-0005-0000-0000-000003650000}"/>
    <cellStyle name="Input 27 2 2 2 3 3" xfId="19716" xr:uid="{00000000-0005-0000-0000-000004650000}"/>
    <cellStyle name="Input 27 2 2 2 3 3 2" xfId="45253" xr:uid="{00000000-0005-0000-0000-000005650000}"/>
    <cellStyle name="Input 27 2 2 2 3 3 3" xfId="49159" xr:uid="{00000000-0005-0000-0000-000006650000}"/>
    <cellStyle name="Input 27 2 2 2 3 3 4" xfId="37243" xr:uid="{00000000-0005-0000-0000-000007650000}"/>
    <cellStyle name="Input 27 2 2 2 3 4" xfId="12971" xr:uid="{00000000-0005-0000-0000-000008650000}"/>
    <cellStyle name="Input 27 2 2 2 3 4 2" xfId="42262" xr:uid="{00000000-0005-0000-0000-000009650000}"/>
    <cellStyle name="Input 27 2 2 2 3 4 3" xfId="43470" xr:uid="{00000000-0005-0000-0000-00000A650000}"/>
    <cellStyle name="Input 27 2 2 2 3 4 4" xfId="30620" xr:uid="{00000000-0005-0000-0000-00000B650000}"/>
    <cellStyle name="Input 27 2 2 2 3 5" xfId="21126" xr:uid="{00000000-0005-0000-0000-00000C650000}"/>
    <cellStyle name="Input 27 2 2 2 3 5 2" xfId="46663" xr:uid="{00000000-0005-0000-0000-00000D650000}"/>
    <cellStyle name="Input 27 2 2 2 3 5 3" xfId="50569" xr:uid="{00000000-0005-0000-0000-00000E650000}"/>
    <cellStyle name="Input 27 2 2 2 3 5 4" xfId="38532" xr:uid="{00000000-0005-0000-0000-00000F650000}"/>
    <cellStyle name="Input 27 2 2 2 3 6" xfId="21779" xr:uid="{00000000-0005-0000-0000-000010650000}"/>
    <cellStyle name="Input 27 2 2 2 3 6 2" xfId="47316" xr:uid="{00000000-0005-0000-0000-000011650000}"/>
    <cellStyle name="Input 27 2 2 2 3 6 3" xfId="51222" xr:uid="{00000000-0005-0000-0000-000012650000}"/>
    <cellStyle name="Input 27 2 2 2 3 7" xfId="41119" xr:uid="{00000000-0005-0000-0000-000013650000}"/>
    <cellStyle name="Input 27 2 2 2 3 8" xfId="40235" xr:uid="{00000000-0005-0000-0000-000014650000}"/>
    <cellStyle name="Input 27 2 2 2 4" xfId="14883" xr:uid="{00000000-0005-0000-0000-000015650000}"/>
    <cellStyle name="Input 27 2 2 2 4 2" xfId="42999" xr:uid="{00000000-0005-0000-0000-000016650000}"/>
    <cellStyle name="Input 27 2 2 2 4 3" xfId="43561" xr:uid="{00000000-0005-0000-0000-000017650000}"/>
    <cellStyle name="Input 27 2 2 2 4 4" xfId="32518" xr:uid="{00000000-0005-0000-0000-000018650000}"/>
    <cellStyle name="Input 27 2 2 2 5" xfId="13137" xr:uid="{00000000-0005-0000-0000-000019650000}"/>
    <cellStyle name="Input 27 2 2 2 5 2" xfId="42358" xr:uid="{00000000-0005-0000-0000-00001A650000}"/>
    <cellStyle name="Input 27 2 2 2 5 3" xfId="41969" xr:uid="{00000000-0005-0000-0000-00001B650000}"/>
    <cellStyle name="Input 27 2 2 2 5 4" xfId="30786" xr:uid="{00000000-0005-0000-0000-00001C650000}"/>
    <cellStyle name="Input 27 2 2 2 6" xfId="19443" xr:uid="{00000000-0005-0000-0000-00001D650000}"/>
    <cellStyle name="Input 27 2 2 2 6 2" xfId="44980" xr:uid="{00000000-0005-0000-0000-00001E650000}"/>
    <cellStyle name="Input 27 2 2 2 6 3" xfId="48886" xr:uid="{00000000-0005-0000-0000-00001F650000}"/>
    <cellStyle name="Input 27 2 2 2 6 4" xfId="37008" xr:uid="{00000000-0005-0000-0000-000020650000}"/>
    <cellStyle name="Input 27 2 2 2 7" xfId="20388" xr:uid="{00000000-0005-0000-0000-000021650000}"/>
    <cellStyle name="Input 27 2 2 2 7 2" xfId="45925" xr:uid="{00000000-0005-0000-0000-000022650000}"/>
    <cellStyle name="Input 27 2 2 2 7 3" xfId="49831" xr:uid="{00000000-0005-0000-0000-000023650000}"/>
    <cellStyle name="Input 27 2 2 2 7 4" xfId="37842" xr:uid="{00000000-0005-0000-0000-000024650000}"/>
    <cellStyle name="Input 27 2 2 2 8" xfId="19694" xr:uid="{00000000-0005-0000-0000-000025650000}"/>
    <cellStyle name="Input 27 2 2 2 8 2" xfId="45231" xr:uid="{00000000-0005-0000-0000-000026650000}"/>
    <cellStyle name="Input 27 2 2 2 8 3" xfId="49137" xr:uid="{00000000-0005-0000-0000-000027650000}"/>
    <cellStyle name="Input 27 2 2 2 9" xfId="39859" xr:uid="{00000000-0005-0000-0000-000028650000}"/>
    <cellStyle name="Input 27 2 2 3" xfId="53104" xr:uid="{00000000-0005-0000-0000-000029650000}"/>
    <cellStyle name="Input 27 2 3" xfId="7094" xr:uid="{00000000-0005-0000-0000-00002A650000}"/>
    <cellStyle name="Input 27 2 3 10" xfId="43541" xr:uid="{00000000-0005-0000-0000-00002B650000}"/>
    <cellStyle name="Input 27 2 3 2" xfId="10624" xr:uid="{00000000-0005-0000-0000-00002C650000}"/>
    <cellStyle name="Input 27 2 3 2 2" xfId="18417" xr:uid="{00000000-0005-0000-0000-00002D650000}"/>
    <cellStyle name="Input 27 2 3 2 2 2" xfId="43964" xr:uid="{00000000-0005-0000-0000-00002E650000}"/>
    <cellStyle name="Input 27 2 3 2 2 3" xfId="47873" xr:uid="{00000000-0005-0000-0000-00002F650000}"/>
    <cellStyle name="Input 27 2 3 2 2 4" xfId="36054" xr:uid="{00000000-0005-0000-0000-000030650000}"/>
    <cellStyle name="Input 27 2 3 2 3" xfId="19609" xr:uid="{00000000-0005-0000-0000-000031650000}"/>
    <cellStyle name="Input 27 2 3 2 3 2" xfId="45146" xr:uid="{00000000-0005-0000-0000-000032650000}"/>
    <cellStyle name="Input 27 2 3 2 3 3" xfId="49052" xr:uid="{00000000-0005-0000-0000-000033650000}"/>
    <cellStyle name="Input 27 2 3 2 3 4" xfId="37149" xr:uid="{00000000-0005-0000-0000-000034650000}"/>
    <cellStyle name="Input 27 2 3 2 4" xfId="19484" xr:uid="{00000000-0005-0000-0000-000035650000}"/>
    <cellStyle name="Input 27 2 3 2 4 2" xfId="45021" xr:uid="{00000000-0005-0000-0000-000036650000}"/>
    <cellStyle name="Input 27 2 3 2 4 3" xfId="48927" xr:uid="{00000000-0005-0000-0000-000037650000}"/>
    <cellStyle name="Input 27 2 3 2 4 4" xfId="37040" xr:uid="{00000000-0005-0000-0000-000038650000}"/>
    <cellStyle name="Input 27 2 3 2 5" xfId="20830" xr:uid="{00000000-0005-0000-0000-000039650000}"/>
    <cellStyle name="Input 27 2 3 2 5 2" xfId="46367" xr:uid="{00000000-0005-0000-0000-00003A650000}"/>
    <cellStyle name="Input 27 2 3 2 5 3" xfId="50273" xr:uid="{00000000-0005-0000-0000-00003B650000}"/>
    <cellStyle name="Input 27 2 3 2 5 4" xfId="38236" xr:uid="{00000000-0005-0000-0000-00003C650000}"/>
    <cellStyle name="Input 27 2 3 2 6" xfId="21483" xr:uid="{00000000-0005-0000-0000-00003D650000}"/>
    <cellStyle name="Input 27 2 3 2 6 2" xfId="47020" xr:uid="{00000000-0005-0000-0000-00003E650000}"/>
    <cellStyle name="Input 27 2 3 2 6 3" xfId="50926" xr:uid="{00000000-0005-0000-0000-00003F650000}"/>
    <cellStyle name="Input 27 2 3 2 7" xfId="40823" xr:uid="{00000000-0005-0000-0000-000040650000}"/>
    <cellStyle name="Input 27 2 3 2 8" xfId="40598" xr:uid="{00000000-0005-0000-0000-000041650000}"/>
    <cellStyle name="Input 27 2 3 3" xfId="10919" xr:uid="{00000000-0005-0000-0000-000042650000}"/>
    <cellStyle name="Input 27 2 3 3 2" xfId="18712" xr:uid="{00000000-0005-0000-0000-000043650000}"/>
    <cellStyle name="Input 27 2 3 3 2 2" xfId="44259" xr:uid="{00000000-0005-0000-0000-000044650000}"/>
    <cellStyle name="Input 27 2 3 3 2 3" xfId="48168" xr:uid="{00000000-0005-0000-0000-000045650000}"/>
    <cellStyle name="Input 27 2 3 3 2 4" xfId="36349" xr:uid="{00000000-0005-0000-0000-000046650000}"/>
    <cellStyle name="Input 27 2 3 3 3" xfId="11530" xr:uid="{00000000-0005-0000-0000-000047650000}"/>
    <cellStyle name="Input 27 2 3 3 3 2" xfId="41541" xr:uid="{00000000-0005-0000-0000-000048650000}"/>
    <cellStyle name="Input 27 2 3 3 3 3" xfId="42027" xr:uid="{00000000-0005-0000-0000-000049650000}"/>
    <cellStyle name="Input 27 2 3 3 3 4" xfId="29245" xr:uid="{00000000-0005-0000-0000-00004A650000}"/>
    <cellStyle name="Input 27 2 3 3 4" xfId="19943" xr:uid="{00000000-0005-0000-0000-00004B650000}"/>
    <cellStyle name="Input 27 2 3 3 4 2" xfId="45480" xr:uid="{00000000-0005-0000-0000-00004C650000}"/>
    <cellStyle name="Input 27 2 3 3 4 3" xfId="49386" xr:uid="{00000000-0005-0000-0000-00004D650000}"/>
    <cellStyle name="Input 27 2 3 3 4 4" xfId="37452" xr:uid="{00000000-0005-0000-0000-00004E650000}"/>
    <cellStyle name="Input 27 2 3 3 5" xfId="21125" xr:uid="{00000000-0005-0000-0000-00004F650000}"/>
    <cellStyle name="Input 27 2 3 3 5 2" xfId="46662" xr:uid="{00000000-0005-0000-0000-000050650000}"/>
    <cellStyle name="Input 27 2 3 3 5 3" xfId="50568" xr:uid="{00000000-0005-0000-0000-000051650000}"/>
    <cellStyle name="Input 27 2 3 3 5 4" xfId="38531" xr:uid="{00000000-0005-0000-0000-000052650000}"/>
    <cellStyle name="Input 27 2 3 3 6" xfId="21778" xr:uid="{00000000-0005-0000-0000-000053650000}"/>
    <cellStyle name="Input 27 2 3 3 6 2" xfId="47315" xr:uid="{00000000-0005-0000-0000-000054650000}"/>
    <cellStyle name="Input 27 2 3 3 6 3" xfId="51221" xr:uid="{00000000-0005-0000-0000-000055650000}"/>
    <cellStyle name="Input 27 2 3 3 7" xfId="41118" xr:uid="{00000000-0005-0000-0000-000056650000}"/>
    <cellStyle name="Input 27 2 3 3 8" xfId="43373" xr:uid="{00000000-0005-0000-0000-000057650000}"/>
    <cellStyle name="Input 27 2 3 4" xfId="14882" xr:uid="{00000000-0005-0000-0000-000058650000}"/>
    <cellStyle name="Input 27 2 3 4 2" xfId="42998" xr:uid="{00000000-0005-0000-0000-000059650000}"/>
    <cellStyle name="Input 27 2 3 4 3" xfId="42673" xr:uid="{00000000-0005-0000-0000-00005A650000}"/>
    <cellStyle name="Input 27 2 3 4 4" xfId="32517" xr:uid="{00000000-0005-0000-0000-00005B650000}"/>
    <cellStyle name="Input 27 2 3 5" xfId="13136" xr:uid="{00000000-0005-0000-0000-00005C650000}"/>
    <cellStyle name="Input 27 2 3 5 2" xfId="42357" xr:uid="{00000000-0005-0000-0000-00005D650000}"/>
    <cellStyle name="Input 27 2 3 5 3" xfId="39444" xr:uid="{00000000-0005-0000-0000-00005E650000}"/>
    <cellStyle name="Input 27 2 3 5 4" xfId="30785" xr:uid="{00000000-0005-0000-0000-00005F650000}"/>
    <cellStyle name="Input 27 2 3 6" xfId="11364" xr:uid="{00000000-0005-0000-0000-000060650000}"/>
    <cellStyle name="Input 27 2 3 6 2" xfId="41400" xr:uid="{00000000-0005-0000-0000-000061650000}"/>
    <cellStyle name="Input 27 2 3 6 3" xfId="43714" xr:uid="{00000000-0005-0000-0000-000062650000}"/>
    <cellStyle name="Input 27 2 3 6 4" xfId="29087" xr:uid="{00000000-0005-0000-0000-000063650000}"/>
    <cellStyle name="Input 27 2 3 7" xfId="12896" xr:uid="{00000000-0005-0000-0000-000064650000}"/>
    <cellStyle name="Input 27 2 3 7 2" xfId="42252" xr:uid="{00000000-0005-0000-0000-000065650000}"/>
    <cellStyle name="Input 27 2 3 7 3" xfId="39657" xr:uid="{00000000-0005-0000-0000-000066650000}"/>
    <cellStyle name="Input 27 2 3 7 4" xfId="30546" xr:uid="{00000000-0005-0000-0000-000067650000}"/>
    <cellStyle name="Input 27 2 3 8" xfId="20614" xr:uid="{00000000-0005-0000-0000-000068650000}"/>
    <cellStyle name="Input 27 2 3 8 2" xfId="46151" xr:uid="{00000000-0005-0000-0000-000069650000}"/>
    <cellStyle name="Input 27 2 3 8 3" xfId="50057" xr:uid="{00000000-0005-0000-0000-00006A650000}"/>
    <cellStyle name="Input 27 2 3 9" xfId="39858" xr:uid="{00000000-0005-0000-0000-00006B650000}"/>
    <cellStyle name="Input 27 2 4" xfId="53103" xr:uid="{00000000-0005-0000-0000-00006C650000}"/>
    <cellStyle name="Input 27 2_Sheet1" xfId="1920" xr:uid="{00000000-0005-0000-0000-00006D650000}"/>
    <cellStyle name="Input 27 3" xfId="1921" xr:uid="{00000000-0005-0000-0000-00006E650000}"/>
    <cellStyle name="Input 27 3 2" xfId="7096" xr:uid="{00000000-0005-0000-0000-00006F650000}"/>
    <cellStyle name="Input 27 3 2 10" xfId="39516" xr:uid="{00000000-0005-0000-0000-000070650000}"/>
    <cellStyle name="Input 27 3 2 2" xfId="10626" xr:uid="{00000000-0005-0000-0000-000071650000}"/>
    <cellStyle name="Input 27 3 2 2 2" xfId="18419" xr:uid="{00000000-0005-0000-0000-000072650000}"/>
    <cellStyle name="Input 27 3 2 2 2 2" xfId="43966" xr:uid="{00000000-0005-0000-0000-000073650000}"/>
    <cellStyle name="Input 27 3 2 2 2 3" xfId="47875" xr:uid="{00000000-0005-0000-0000-000074650000}"/>
    <cellStyle name="Input 27 3 2 2 2 4" xfId="36056" xr:uid="{00000000-0005-0000-0000-000075650000}"/>
    <cellStyle name="Input 27 3 2 2 3" xfId="19422" xr:uid="{00000000-0005-0000-0000-000076650000}"/>
    <cellStyle name="Input 27 3 2 2 3 2" xfId="44959" xr:uid="{00000000-0005-0000-0000-000077650000}"/>
    <cellStyle name="Input 27 3 2 2 3 3" xfId="48865" xr:uid="{00000000-0005-0000-0000-000078650000}"/>
    <cellStyle name="Input 27 3 2 2 3 4" xfId="36987" xr:uid="{00000000-0005-0000-0000-000079650000}"/>
    <cellStyle name="Input 27 3 2 2 4" xfId="11637" xr:uid="{00000000-0005-0000-0000-00007A650000}"/>
    <cellStyle name="Input 27 3 2 2 4 2" xfId="41648" xr:uid="{00000000-0005-0000-0000-00007B650000}"/>
    <cellStyle name="Input 27 3 2 2 4 3" xfId="43344" xr:uid="{00000000-0005-0000-0000-00007C650000}"/>
    <cellStyle name="Input 27 3 2 2 4 4" xfId="29338" xr:uid="{00000000-0005-0000-0000-00007D650000}"/>
    <cellStyle name="Input 27 3 2 2 5" xfId="20832" xr:uid="{00000000-0005-0000-0000-00007E650000}"/>
    <cellStyle name="Input 27 3 2 2 5 2" xfId="46369" xr:uid="{00000000-0005-0000-0000-00007F650000}"/>
    <cellStyle name="Input 27 3 2 2 5 3" xfId="50275" xr:uid="{00000000-0005-0000-0000-000080650000}"/>
    <cellStyle name="Input 27 3 2 2 5 4" xfId="38238" xr:uid="{00000000-0005-0000-0000-000081650000}"/>
    <cellStyle name="Input 27 3 2 2 6" xfId="21485" xr:uid="{00000000-0005-0000-0000-000082650000}"/>
    <cellStyle name="Input 27 3 2 2 6 2" xfId="47022" xr:uid="{00000000-0005-0000-0000-000083650000}"/>
    <cellStyle name="Input 27 3 2 2 6 3" xfId="50928" xr:uid="{00000000-0005-0000-0000-000084650000}"/>
    <cellStyle name="Input 27 3 2 2 7" xfId="40825" xr:uid="{00000000-0005-0000-0000-000085650000}"/>
    <cellStyle name="Input 27 3 2 2 8" xfId="42746" xr:uid="{00000000-0005-0000-0000-000086650000}"/>
    <cellStyle name="Input 27 3 2 3" xfId="10921" xr:uid="{00000000-0005-0000-0000-000087650000}"/>
    <cellStyle name="Input 27 3 2 3 2" xfId="18714" xr:uid="{00000000-0005-0000-0000-000088650000}"/>
    <cellStyle name="Input 27 3 2 3 2 2" xfId="44261" xr:uid="{00000000-0005-0000-0000-000089650000}"/>
    <cellStyle name="Input 27 3 2 3 2 3" xfId="48170" xr:uid="{00000000-0005-0000-0000-00008A650000}"/>
    <cellStyle name="Input 27 3 2 3 2 4" xfId="36351" xr:uid="{00000000-0005-0000-0000-00008B650000}"/>
    <cellStyle name="Input 27 3 2 3 3" xfId="11529" xr:uid="{00000000-0005-0000-0000-00008C650000}"/>
    <cellStyle name="Input 27 3 2 3 3 2" xfId="41540" xr:uid="{00000000-0005-0000-0000-00008D650000}"/>
    <cellStyle name="Input 27 3 2 3 3 3" xfId="39469" xr:uid="{00000000-0005-0000-0000-00008E650000}"/>
    <cellStyle name="Input 27 3 2 3 3 4" xfId="29244" xr:uid="{00000000-0005-0000-0000-00008F650000}"/>
    <cellStyle name="Input 27 3 2 3 4" xfId="11784" xr:uid="{00000000-0005-0000-0000-000090650000}"/>
    <cellStyle name="Input 27 3 2 3 4 2" xfId="41738" xr:uid="{00000000-0005-0000-0000-000091650000}"/>
    <cellStyle name="Input 27 3 2 3 4 3" xfId="39158" xr:uid="{00000000-0005-0000-0000-000092650000}"/>
    <cellStyle name="Input 27 3 2 3 4 4" xfId="29471" xr:uid="{00000000-0005-0000-0000-000093650000}"/>
    <cellStyle name="Input 27 3 2 3 5" xfId="21127" xr:uid="{00000000-0005-0000-0000-000094650000}"/>
    <cellStyle name="Input 27 3 2 3 5 2" xfId="46664" xr:uid="{00000000-0005-0000-0000-000095650000}"/>
    <cellStyle name="Input 27 3 2 3 5 3" xfId="50570" xr:uid="{00000000-0005-0000-0000-000096650000}"/>
    <cellStyle name="Input 27 3 2 3 5 4" xfId="38533" xr:uid="{00000000-0005-0000-0000-000097650000}"/>
    <cellStyle name="Input 27 3 2 3 6" xfId="21780" xr:uid="{00000000-0005-0000-0000-000098650000}"/>
    <cellStyle name="Input 27 3 2 3 6 2" xfId="47317" xr:uid="{00000000-0005-0000-0000-000099650000}"/>
    <cellStyle name="Input 27 3 2 3 6 3" xfId="51223" xr:uid="{00000000-0005-0000-0000-00009A650000}"/>
    <cellStyle name="Input 27 3 2 3 7" xfId="41120" xr:uid="{00000000-0005-0000-0000-00009B650000}"/>
    <cellStyle name="Input 27 3 2 3 8" xfId="39375" xr:uid="{00000000-0005-0000-0000-00009C650000}"/>
    <cellStyle name="Input 27 3 2 4" xfId="14884" xr:uid="{00000000-0005-0000-0000-00009D650000}"/>
    <cellStyle name="Input 27 3 2 4 2" xfId="43000" xr:uid="{00000000-0005-0000-0000-00009E650000}"/>
    <cellStyle name="Input 27 3 2 4 3" xfId="40422" xr:uid="{00000000-0005-0000-0000-00009F650000}"/>
    <cellStyle name="Input 27 3 2 4 4" xfId="32519" xr:uid="{00000000-0005-0000-0000-0000A0650000}"/>
    <cellStyle name="Input 27 3 2 5" xfId="11304" xr:uid="{00000000-0005-0000-0000-0000A1650000}"/>
    <cellStyle name="Input 27 3 2 5 2" xfId="41351" xr:uid="{00000000-0005-0000-0000-0000A2650000}"/>
    <cellStyle name="Input 27 3 2 5 3" xfId="43718" xr:uid="{00000000-0005-0000-0000-0000A3650000}"/>
    <cellStyle name="Input 27 3 2 5 4" xfId="29032" xr:uid="{00000000-0005-0000-0000-0000A4650000}"/>
    <cellStyle name="Input 27 3 2 6" xfId="19966" xr:uid="{00000000-0005-0000-0000-0000A5650000}"/>
    <cellStyle name="Input 27 3 2 6 2" xfId="45503" xr:uid="{00000000-0005-0000-0000-0000A6650000}"/>
    <cellStyle name="Input 27 3 2 6 3" xfId="49409" xr:uid="{00000000-0005-0000-0000-0000A7650000}"/>
    <cellStyle name="Input 27 3 2 6 4" xfId="37471" xr:uid="{00000000-0005-0000-0000-0000A8650000}"/>
    <cellStyle name="Input 27 3 2 7" xfId="19939" xr:uid="{00000000-0005-0000-0000-0000A9650000}"/>
    <cellStyle name="Input 27 3 2 7 2" xfId="45476" xr:uid="{00000000-0005-0000-0000-0000AA650000}"/>
    <cellStyle name="Input 27 3 2 7 3" xfId="49382" xr:uid="{00000000-0005-0000-0000-0000AB650000}"/>
    <cellStyle name="Input 27 3 2 7 4" xfId="37448" xr:uid="{00000000-0005-0000-0000-0000AC650000}"/>
    <cellStyle name="Input 27 3 2 8" xfId="20207" xr:uid="{00000000-0005-0000-0000-0000AD650000}"/>
    <cellStyle name="Input 27 3 2 8 2" xfId="45744" xr:uid="{00000000-0005-0000-0000-0000AE650000}"/>
    <cellStyle name="Input 27 3 2 8 3" xfId="49650" xr:uid="{00000000-0005-0000-0000-0000AF650000}"/>
    <cellStyle name="Input 27 3 2 9" xfId="39860" xr:uid="{00000000-0005-0000-0000-0000B0650000}"/>
    <cellStyle name="Input 27 3 3" xfId="53105" xr:uid="{00000000-0005-0000-0000-0000B1650000}"/>
    <cellStyle name="Input 27 4" xfId="7093" xr:uid="{00000000-0005-0000-0000-0000B2650000}"/>
    <cellStyle name="Input 27 4 10" xfId="42628" xr:uid="{00000000-0005-0000-0000-0000B3650000}"/>
    <cellStyle name="Input 27 4 11" xfId="53106" xr:uid="{00000000-0005-0000-0000-0000B4650000}"/>
    <cellStyle name="Input 27 4 2" xfId="10623" xr:uid="{00000000-0005-0000-0000-0000B5650000}"/>
    <cellStyle name="Input 27 4 2 2" xfId="18416" xr:uid="{00000000-0005-0000-0000-0000B6650000}"/>
    <cellStyle name="Input 27 4 2 2 2" xfId="43963" xr:uid="{00000000-0005-0000-0000-0000B7650000}"/>
    <cellStyle name="Input 27 4 2 2 3" xfId="47872" xr:uid="{00000000-0005-0000-0000-0000B8650000}"/>
    <cellStyle name="Input 27 4 2 2 4" xfId="36053" xr:uid="{00000000-0005-0000-0000-0000B9650000}"/>
    <cellStyle name="Input 27 4 2 3" xfId="13326" xr:uid="{00000000-0005-0000-0000-0000BA650000}"/>
    <cellStyle name="Input 27 4 2 3 2" xfId="42496" xr:uid="{00000000-0005-0000-0000-0000BB650000}"/>
    <cellStyle name="Input 27 4 2 3 3" xfId="39541" xr:uid="{00000000-0005-0000-0000-0000BC650000}"/>
    <cellStyle name="Input 27 4 2 3 4" xfId="30966" xr:uid="{00000000-0005-0000-0000-0000BD650000}"/>
    <cellStyle name="Input 27 4 2 4" xfId="19516" xr:uid="{00000000-0005-0000-0000-0000BE650000}"/>
    <cellStyle name="Input 27 4 2 4 2" xfId="45053" xr:uid="{00000000-0005-0000-0000-0000BF650000}"/>
    <cellStyle name="Input 27 4 2 4 3" xfId="48959" xr:uid="{00000000-0005-0000-0000-0000C0650000}"/>
    <cellStyle name="Input 27 4 2 4 4" xfId="37064" xr:uid="{00000000-0005-0000-0000-0000C1650000}"/>
    <cellStyle name="Input 27 4 2 5" xfId="20829" xr:uid="{00000000-0005-0000-0000-0000C2650000}"/>
    <cellStyle name="Input 27 4 2 5 2" xfId="46366" xr:uid="{00000000-0005-0000-0000-0000C3650000}"/>
    <cellStyle name="Input 27 4 2 5 3" xfId="50272" xr:uid="{00000000-0005-0000-0000-0000C4650000}"/>
    <cellStyle name="Input 27 4 2 5 4" xfId="38235" xr:uid="{00000000-0005-0000-0000-0000C5650000}"/>
    <cellStyle name="Input 27 4 2 6" xfId="21482" xr:uid="{00000000-0005-0000-0000-0000C6650000}"/>
    <cellStyle name="Input 27 4 2 6 2" xfId="47019" xr:uid="{00000000-0005-0000-0000-0000C7650000}"/>
    <cellStyle name="Input 27 4 2 6 3" xfId="50925" xr:uid="{00000000-0005-0000-0000-0000C8650000}"/>
    <cellStyle name="Input 27 4 2 7" xfId="40822" xr:uid="{00000000-0005-0000-0000-0000C9650000}"/>
    <cellStyle name="Input 27 4 2 8" xfId="43739" xr:uid="{00000000-0005-0000-0000-0000CA650000}"/>
    <cellStyle name="Input 27 4 3" xfId="10918" xr:uid="{00000000-0005-0000-0000-0000CB650000}"/>
    <cellStyle name="Input 27 4 3 2" xfId="18711" xr:uid="{00000000-0005-0000-0000-0000CC650000}"/>
    <cellStyle name="Input 27 4 3 2 2" xfId="44258" xr:uid="{00000000-0005-0000-0000-0000CD650000}"/>
    <cellStyle name="Input 27 4 3 2 3" xfId="48167" xr:uid="{00000000-0005-0000-0000-0000CE650000}"/>
    <cellStyle name="Input 27 4 3 2 4" xfId="36348" xr:uid="{00000000-0005-0000-0000-0000CF650000}"/>
    <cellStyle name="Input 27 4 3 3" xfId="19715" xr:uid="{00000000-0005-0000-0000-0000D0650000}"/>
    <cellStyle name="Input 27 4 3 3 2" xfId="45252" xr:uid="{00000000-0005-0000-0000-0000D1650000}"/>
    <cellStyle name="Input 27 4 3 3 3" xfId="49158" xr:uid="{00000000-0005-0000-0000-0000D2650000}"/>
    <cellStyle name="Input 27 4 3 3 4" xfId="37242" xr:uid="{00000000-0005-0000-0000-0000D3650000}"/>
    <cellStyle name="Input 27 4 3 4" xfId="19449" xr:uid="{00000000-0005-0000-0000-0000D4650000}"/>
    <cellStyle name="Input 27 4 3 4 2" xfId="44986" xr:uid="{00000000-0005-0000-0000-0000D5650000}"/>
    <cellStyle name="Input 27 4 3 4 3" xfId="48892" xr:uid="{00000000-0005-0000-0000-0000D6650000}"/>
    <cellStyle name="Input 27 4 3 4 4" xfId="37014" xr:uid="{00000000-0005-0000-0000-0000D7650000}"/>
    <cellStyle name="Input 27 4 3 5" xfId="21124" xr:uid="{00000000-0005-0000-0000-0000D8650000}"/>
    <cellStyle name="Input 27 4 3 5 2" xfId="46661" xr:uid="{00000000-0005-0000-0000-0000D9650000}"/>
    <cellStyle name="Input 27 4 3 5 3" xfId="50567" xr:uid="{00000000-0005-0000-0000-0000DA650000}"/>
    <cellStyle name="Input 27 4 3 5 4" xfId="38530" xr:uid="{00000000-0005-0000-0000-0000DB650000}"/>
    <cellStyle name="Input 27 4 3 6" xfId="21777" xr:uid="{00000000-0005-0000-0000-0000DC650000}"/>
    <cellStyle name="Input 27 4 3 6 2" xfId="47314" xr:uid="{00000000-0005-0000-0000-0000DD650000}"/>
    <cellStyle name="Input 27 4 3 6 3" xfId="51220" xr:uid="{00000000-0005-0000-0000-0000DE650000}"/>
    <cellStyle name="Input 27 4 3 7" xfId="41117" xr:uid="{00000000-0005-0000-0000-0000DF650000}"/>
    <cellStyle name="Input 27 4 3 8" xfId="42054" xr:uid="{00000000-0005-0000-0000-0000E0650000}"/>
    <cellStyle name="Input 27 4 4" xfId="14881" xr:uid="{00000000-0005-0000-0000-0000E1650000}"/>
    <cellStyle name="Input 27 4 4 2" xfId="42997" xr:uid="{00000000-0005-0000-0000-0000E2650000}"/>
    <cellStyle name="Input 27 4 4 3" xfId="39637" xr:uid="{00000000-0005-0000-0000-0000E3650000}"/>
    <cellStyle name="Input 27 4 4 4" xfId="32516" xr:uid="{00000000-0005-0000-0000-0000E4650000}"/>
    <cellStyle name="Input 27 4 5" xfId="13135" xr:uid="{00000000-0005-0000-0000-0000E5650000}"/>
    <cellStyle name="Input 27 4 5 2" xfId="42356" xr:uid="{00000000-0005-0000-0000-0000E6650000}"/>
    <cellStyle name="Input 27 4 5 3" xfId="40327" xr:uid="{00000000-0005-0000-0000-0000E7650000}"/>
    <cellStyle name="Input 27 4 5 4" xfId="30784" xr:uid="{00000000-0005-0000-0000-0000E8650000}"/>
    <cellStyle name="Input 27 4 6" xfId="13307" xr:uid="{00000000-0005-0000-0000-0000E9650000}"/>
    <cellStyle name="Input 27 4 6 2" xfId="42477" xr:uid="{00000000-0005-0000-0000-0000EA650000}"/>
    <cellStyle name="Input 27 4 6 3" xfId="39539" xr:uid="{00000000-0005-0000-0000-0000EB650000}"/>
    <cellStyle name="Input 27 4 6 4" xfId="30948" xr:uid="{00000000-0005-0000-0000-0000EC650000}"/>
    <cellStyle name="Input 27 4 7" xfId="19263" xr:uid="{00000000-0005-0000-0000-0000ED650000}"/>
    <cellStyle name="Input 27 4 7 2" xfId="44800" xr:uid="{00000000-0005-0000-0000-0000EE650000}"/>
    <cellStyle name="Input 27 4 7 3" xfId="48706" xr:uid="{00000000-0005-0000-0000-0000EF650000}"/>
    <cellStyle name="Input 27 4 7 4" xfId="36841" xr:uid="{00000000-0005-0000-0000-0000F0650000}"/>
    <cellStyle name="Input 27 4 8" xfId="19649" xr:uid="{00000000-0005-0000-0000-0000F1650000}"/>
    <cellStyle name="Input 27 4 8 2" xfId="45186" xr:uid="{00000000-0005-0000-0000-0000F2650000}"/>
    <cellStyle name="Input 27 4 8 3" xfId="49092" xr:uid="{00000000-0005-0000-0000-0000F3650000}"/>
    <cellStyle name="Input 27 4 9" xfId="39857" xr:uid="{00000000-0005-0000-0000-0000F4650000}"/>
    <cellStyle name="Input 27 5" xfId="22462" xr:uid="{00000000-0005-0000-0000-0000F5650000}"/>
    <cellStyle name="Input 27 6" xfId="22917" xr:uid="{00000000-0005-0000-0000-0000F6650000}"/>
    <cellStyle name="Input 27 7" xfId="53102" xr:uid="{00000000-0005-0000-0000-0000F7650000}"/>
    <cellStyle name="Input 27_Sheet1" xfId="1922" xr:uid="{00000000-0005-0000-0000-0000F8650000}"/>
    <cellStyle name="Input 28" xfId="1923" xr:uid="{00000000-0005-0000-0000-0000F9650000}"/>
    <cellStyle name="Input 28 2" xfId="1924" xr:uid="{00000000-0005-0000-0000-0000FA650000}"/>
    <cellStyle name="Input 28 2 2" xfId="1925" xr:uid="{00000000-0005-0000-0000-0000FB650000}"/>
    <cellStyle name="Input 28 2 2 2" xfId="7099" xr:uid="{00000000-0005-0000-0000-0000FC650000}"/>
    <cellStyle name="Input 28 2 2 2 10" xfId="40286" xr:uid="{00000000-0005-0000-0000-0000FD650000}"/>
    <cellStyle name="Input 28 2 2 2 2" xfId="10629" xr:uid="{00000000-0005-0000-0000-0000FE650000}"/>
    <cellStyle name="Input 28 2 2 2 2 2" xfId="18422" xr:uid="{00000000-0005-0000-0000-0000FF650000}"/>
    <cellStyle name="Input 28 2 2 2 2 2 2" xfId="43969" xr:uid="{00000000-0005-0000-0000-000000660000}"/>
    <cellStyle name="Input 28 2 2 2 2 2 3" xfId="47878" xr:uid="{00000000-0005-0000-0000-000001660000}"/>
    <cellStyle name="Input 28 2 2 2 2 2 4" xfId="36059" xr:uid="{00000000-0005-0000-0000-000002660000}"/>
    <cellStyle name="Input 28 2 2 2 2 3" xfId="19904" xr:uid="{00000000-0005-0000-0000-000003660000}"/>
    <cellStyle name="Input 28 2 2 2 2 3 2" xfId="45441" xr:uid="{00000000-0005-0000-0000-000004660000}"/>
    <cellStyle name="Input 28 2 2 2 2 3 3" xfId="49347" xr:uid="{00000000-0005-0000-0000-000005660000}"/>
    <cellStyle name="Input 28 2 2 2 2 3 4" xfId="37418" xr:uid="{00000000-0005-0000-0000-000006660000}"/>
    <cellStyle name="Input 28 2 2 2 2 4" xfId="11546" xr:uid="{00000000-0005-0000-0000-000007660000}"/>
    <cellStyle name="Input 28 2 2 2 2 4 2" xfId="41557" xr:uid="{00000000-0005-0000-0000-000008660000}"/>
    <cellStyle name="Input 28 2 2 2 2 4 3" xfId="42579" xr:uid="{00000000-0005-0000-0000-000009660000}"/>
    <cellStyle name="Input 28 2 2 2 2 4 4" xfId="29260" xr:uid="{00000000-0005-0000-0000-00000A660000}"/>
    <cellStyle name="Input 28 2 2 2 2 5" xfId="20835" xr:uid="{00000000-0005-0000-0000-00000B660000}"/>
    <cellStyle name="Input 28 2 2 2 2 5 2" xfId="46372" xr:uid="{00000000-0005-0000-0000-00000C660000}"/>
    <cellStyle name="Input 28 2 2 2 2 5 3" xfId="50278" xr:uid="{00000000-0005-0000-0000-00000D660000}"/>
    <cellStyle name="Input 28 2 2 2 2 5 4" xfId="38241" xr:uid="{00000000-0005-0000-0000-00000E660000}"/>
    <cellStyle name="Input 28 2 2 2 2 6" xfId="21488" xr:uid="{00000000-0005-0000-0000-00000F660000}"/>
    <cellStyle name="Input 28 2 2 2 2 6 2" xfId="47025" xr:uid="{00000000-0005-0000-0000-000010660000}"/>
    <cellStyle name="Input 28 2 2 2 2 6 3" xfId="50931" xr:uid="{00000000-0005-0000-0000-000011660000}"/>
    <cellStyle name="Input 28 2 2 2 2 7" xfId="40828" xr:uid="{00000000-0005-0000-0000-000012660000}"/>
    <cellStyle name="Input 28 2 2 2 2 8" xfId="39603" xr:uid="{00000000-0005-0000-0000-000013660000}"/>
    <cellStyle name="Input 28 2 2 2 3" xfId="10924" xr:uid="{00000000-0005-0000-0000-000014660000}"/>
    <cellStyle name="Input 28 2 2 2 3 2" xfId="18717" xr:uid="{00000000-0005-0000-0000-000015660000}"/>
    <cellStyle name="Input 28 2 2 2 3 2 2" xfId="44264" xr:uid="{00000000-0005-0000-0000-000016660000}"/>
    <cellStyle name="Input 28 2 2 2 3 2 3" xfId="48173" xr:uid="{00000000-0005-0000-0000-000017660000}"/>
    <cellStyle name="Input 28 2 2 2 3 2 4" xfId="36354" xr:uid="{00000000-0005-0000-0000-000018660000}"/>
    <cellStyle name="Input 28 2 2 2 3 3" xfId="20141" xr:uid="{00000000-0005-0000-0000-000019660000}"/>
    <cellStyle name="Input 28 2 2 2 3 3 2" xfId="45678" xr:uid="{00000000-0005-0000-0000-00001A660000}"/>
    <cellStyle name="Input 28 2 2 2 3 3 3" xfId="49584" xr:uid="{00000000-0005-0000-0000-00001B660000}"/>
    <cellStyle name="Input 28 2 2 2 3 3 4" xfId="37627" xr:uid="{00000000-0005-0000-0000-00001C660000}"/>
    <cellStyle name="Input 28 2 2 2 3 4" xfId="11623" xr:uid="{00000000-0005-0000-0000-00001D660000}"/>
    <cellStyle name="Input 28 2 2 2 3 4 2" xfId="41634" xr:uid="{00000000-0005-0000-0000-00001E660000}"/>
    <cellStyle name="Input 28 2 2 2 3 4 3" xfId="42577" xr:uid="{00000000-0005-0000-0000-00001F660000}"/>
    <cellStyle name="Input 28 2 2 2 3 4 4" xfId="29326" xr:uid="{00000000-0005-0000-0000-000020660000}"/>
    <cellStyle name="Input 28 2 2 2 3 5" xfId="21130" xr:uid="{00000000-0005-0000-0000-000021660000}"/>
    <cellStyle name="Input 28 2 2 2 3 5 2" xfId="46667" xr:uid="{00000000-0005-0000-0000-000022660000}"/>
    <cellStyle name="Input 28 2 2 2 3 5 3" xfId="50573" xr:uid="{00000000-0005-0000-0000-000023660000}"/>
    <cellStyle name="Input 28 2 2 2 3 5 4" xfId="38536" xr:uid="{00000000-0005-0000-0000-000024660000}"/>
    <cellStyle name="Input 28 2 2 2 3 6" xfId="21783" xr:uid="{00000000-0005-0000-0000-000025660000}"/>
    <cellStyle name="Input 28 2 2 2 3 6 2" xfId="47320" xr:uid="{00000000-0005-0000-0000-000026660000}"/>
    <cellStyle name="Input 28 2 2 2 3 6 3" xfId="51226" xr:uid="{00000000-0005-0000-0000-000027660000}"/>
    <cellStyle name="Input 28 2 2 2 3 7" xfId="41123" xr:uid="{00000000-0005-0000-0000-000028660000}"/>
    <cellStyle name="Input 28 2 2 2 3 8" xfId="43228" xr:uid="{00000000-0005-0000-0000-000029660000}"/>
    <cellStyle name="Input 28 2 2 2 4" xfId="14887" xr:uid="{00000000-0005-0000-0000-00002A660000}"/>
    <cellStyle name="Input 28 2 2 2 4 2" xfId="43003" xr:uid="{00000000-0005-0000-0000-00002B660000}"/>
    <cellStyle name="Input 28 2 2 2 4 3" xfId="43452" xr:uid="{00000000-0005-0000-0000-00002C660000}"/>
    <cellStyle name="Input 28 2 2 2 4 4" xfId="32522" xr:uid="{00000000-0005-0000-0000-00002D660000}"/>
    <cellStyle name="Input 28 2 2 2 5" xfId="13140" xr:uid="{00000000-0005-0000-0000-00002E660000}"/>
    <cellStyle name="Input 28 2 2 2 5 2" xfId="42361" xr:uid="{00000000-0005-0000-0000-00002F660000}"/>
    <cellStyle name="Input 28 2 2 2 5 3" xfId="39300" xr:uid="{00000000-0005-0000-0000-000030660000}"/>
    <cellStyle name="Input 28 2 2 2 5 4" xfId="30789" xr:uid="{00000000-0005-0000-0000-000031660000}"/>
    <cellStyle name="Input 28 2 2 2 6" xfId="20267" xr:uid="{00000000-0005-0000-0000-000032660000}"/>
    <cellStyle name="Input 28 2 2 2 6 2" xfId="45804" xr:uid="{00000000-0005-0000-0000-000033660000}"/>
    <cellStyle name="Input 28 2 2 2 6 3" xfId="49710" xr:uid="{00000000-0005-0000-0000-000034660000}"/>
    <cellStyle name="Input 28 2 2 2 6 4" xfId="37737" xr:uid="{00000000-0005-0000-0000-000035660000}"/>
    <cellStyle name="Input 28 2 2 2 7" xfId="18893" xr:uid="{00000000-0005-0000-0000-000036660000}"/>
    <cellStyle name="Input 28 2 2 2 7 2" xfId="44430" xr:uid="{00000000-0005-0000-0000-000037660000}"/>
    <cellStyle name="Input 28 2 2 2 7 3" xfId="48336" xr:uid="{00000000-0005-0000-0000-000038660000}"/>
    <cellStyle name="Input 28 2 2 2 7 4" xfId="36529" xr:uid="{00000000-0005-0000-0000-000039660000}"/>
    <cellStyle name="Input 28 2 2 2 8" xfId="20353" xr:uid="{00000000-0005-0000-0000-00003A660000}"/>
    <cellStyle name="Input 28 2 2 2 8 2" xfId="45890" xr:uid="{00000000-0005-0000-0000-00003B660000}"/>
    <cellStyle name="Input 28 2 2 2 8 3" xfId="49796" xr:uid="{00000000-0005-0000-0000-00003C660000}"/>
    <cellStyle name="Input 28 2 2 2 9" xfId="39863" xr:uid="{00000000-0005-0000-0000-00003D660000}"/>
    <cellStyle name="Input 28 2 2 3" xfId="53109" xr:uid="{00000000-0005-0000-0000-00003E660000}"/>
    <cellStyle name="Input 28 2 3" xfId="7098" xr:uid="{00000000-0005-0000-0000-00003F660000}"/>
    <cellStyle name="Input 28 2 3 10" xfId="43424" xr:uid="{00000000-0005-0000-0000-000040660000}"/>
    <cellStyle name="Input 28 2 3 2" xfId="10628" xr:uid="{00000000-0005-0000-0000-000041660000}"/>
    <cellStyle name="Input 28 2 3 2 2" xfId="18421" xr:uid="{00000000-0005-0000-0000-000042660000}"/>
    <cellStyle name="Input 28 2 3 2 2 2" xfId="43968" xr:uid="{00000000-0005-0000-0000-000043660000}"/>
    <cellStyle name="Input 28 2 3 2 2 3" xfId="47877" xr:uid="{00000000-0005-0000-0000-000044660000}"/>
    <cellStyle name="Input 28 2 3 2 2 4" xfId="36058" xr:uid="{00000000-0005-0000-0000-000045660000}"/>
    <cellStyle name="Input 28 2 3 2 3" xfId="19295" xr:uid="{00000000-0005-0000-0000-000046660000}"/>
    <cellStyle name="Input 28 2 3 2 3 2" xfId="44832" xr:uid="{00000000-0005-0000-0000-000047660000}"/>
    <cellStyle name="Input 28 2 3 2 3 3" xfId="48738" xr:uid="{00000000-0005-0000-0000-000048660000}"/>
    <cellStyle name="Input 28 2 3 2 3 4" xfId="36873" xr:uid="{00000000-0005-0000-0000-000049660000}"/>
    <cellStyle name="Input 28 2 3 2 4" xfId="11655" xr:uid="{00000000-0005-0000-0000-00004A660000}"/>
    <cellStyle name="Input 28 2 3 2 4 2" xfId="41666" xr:uid="{00000000-0005-0000-0000-00004B660000}"/>
    <cellStyle name="Input 28 2 3 2 4 3" xfId="42576" xr:uid="{00000000-0005-0000-0000-00004C660000}"/>
    <cellStyle name="Input 28 2 3 2 4 4" xfId="29354" xr:uid="{00000000-0005-0000-0000-00004D660000}"/>
    <cellStyle name="Input 28 2 3 2 5" xfId="20834" xr:uid="{00000000-0005-0000-0000-00004E660000}"/>
    <cellStyle name="Input 28 2 3 2 5 2" xfId="46371" xr:uid="{00000000-0005-0000-0000-00004F660000}"/>
    <cellStyle name="Input 28 2 3 2 5 3" xfId="50277" xr:uid="{00000000-0005-0000-0000-000050660000}"/>
    <cellStyle name="Input 28 2 3 2 5 4" xfId="38240" xr:uid="{00000000-0005-0000-0000-000051660000}"/>
    <cellStyle name="Input 28 2 3 2 6" xfId="21487" xr:uid="{00000000-0005-0000-0000-000052660000}"/>
    <cellStyle name="Input 28 2 3 2 6 2" xfId="47024" xr:uid="{00000000-0005-0000-0000-000053660000}"/>
    <cellStyle name="Input 28 2 3 2 6 3" xfId="50930" xr:uid="{00000000-0005-0000-0000-000054660000}"/>
    <cellStyle name="Input 28 2 3 2 7" xfId="40827" xr:uid="{00000000-0005-0000-0000-000055660000}"/>
    <cellStyle name="Input 28 2 3 2 8" xfId="40493" xr:uid="{00000000-0005-0000-0000-000056660000}"/>
    <cellStyle name="Input 28 2 3 3" xfId="10923" xr:uid="{00000000-0005-0000-0000-000057660000}"/>
    <cellStyle name="Input 28 2 3 3 2" xfId="18716" xr:uid="{00000000-0005-0000-0000-000058660000}"/>
    <cellStyle name="Input 28 2 3 3 2 2" xfId="44263" xr:uid="{00000000-0005-0000-0000-000059660000}"/>
    <cellStyle name="Input 28 2 3 3 2 3" xfId="48172" xr:uid="{00000000-0005-0000-0000-00005A660000}"/>
    <cellStyle name="Input 28 2 3 3 2 4" xfId="36353" xr:uid="{00000000-0005-0000-0000-00005B660000}"/>
    <cellStyle name="Input 28 2 3 3 3" xfId="19583" xr:uid="{00000000-0005-0000-0000-00005C660000}"/>
    <cellStyle name="Input 28 2 3 3 3 2" xfId="45120" xr:uid="{00000000-0005-0000-0000-00005D660000}"/>
    <cellStyle name="Input 28 2 3 3 3 3" xfId="49026" xr:uid="{00000000-0005-0000-0000-00005E660000}"/>
    <cellStyle name="Input 28 2 3 3 3 4" xfId="37123" xr:uid="{00000000-0005-0000-0000-00005F660000}"/>
    <cellStyle name="Input 28 2 3 3 4" xfId="19244" xr:uid="{00000000-0005-0000-0000-000060660000}"/>
    <cellStyle name="Input 28 2 3 3 4 2" xfId="44781" xr:uid="{00000000-0005-0000-0000-000061660000}"/>
    <cellStyle name="Input 28 2 3 3 4 3" xfId="48687" xr:uid="{00000000-0005-0000-0000-000062660000}"/>
    <cellStyle name="Input 28 2 3 3 4 4" xfId="36822" xr:uid="{00000000-0005-0000-0000-000063660000}"/>
    <cellStyle name="Input 28 2 3 3 5" xfId="21129" xr:uid="{00000000-0005-0000-0000-000064660000}"/>
    <cellStyle name="Input 28 2 3 3 5 2" xfId="46666" xr:uid="{00000000-0005-0000-0000-000065660000}"/>
    <cellStyle name="Input 28 2 3 3 5 3" xfId="50572" xr:uid="{00000000-0005-0000-0000-000066660000}"/>
    <cellStyle name="Input 28 2 3 3 5 4" xfId="38535" xr:uid="{00000000-0005-0000-0000-000067660000}"/>
    <cellStyle name="Input 28 2 3 3 6" xfId="21782" xr:uid="{00000000-0005-0000-0000-000068660000}"/>
    <cellStyle name="Input 28 2 3 3 6 2" xfId="47319" xr:uid="{00000000-0005-0000-0000-000069660000}"/>
    <cellStyle name="Input 28 2 3 3 6 3" xfId="51225" xr:uid="{00000000-0005-0000-0000-00006A660000}"/>
    <cellStyle name="Input 28 2 3 3 7" xfId="41122" xr:uid="{00000000-0005-0000-0000-00006B660000}"/>
    <cellStyle name="Input 28 2 3 3 8" xfId="41425" xr:uid="{00000000-0005-0000-0000-00006C660000}"/>
    <cellStyle name="Input 28 2 3 4" xfId="14886" xr:uid="{00000000-0005-0000-0000-00006D660000}"/>
    <cellStyle name="Input 28 2 3 4 2" xfId="43002" xr:uid="{00000000-0005-0000-0000-00006E660000}"/>
    <cellStyle name="Input 28 2 3 4 3" xfId="42541" xr:uid="{00000000-0005-0000-0000-00006F660000}"/>
    <cellStyle name="Input 28 2 3 4 4" xfId="32521" xr:uid="{00000000-0005-0000-0000-000070660000}"/>
    <cellStyle name="Input 28 2 3 5" xfId="13139" xr:uid="{00000000-0005-0000-0000-000071660000}"/>
    <cellStyle name="Input 28 2 3 5 2" xfId="42360" xr:uid="{00000000-0005-0000-0000-000072660000}"/>
    <cellStyle name="Input 28 2 3 5 3" xfId="40177" xr:uid="{00000000-0005-0000-0000-000073660000}"/>
    <cellStyle name="Input 28 2 3 5 4" xfId="30788" xr:uid="{00000000-0005-0000-0000-000074660000}"/>
    <cellStyle name="Input 28 2 3 6" xfId="11730" xr:uid="{00000000-0005-0000-0000-000075660000}"/>
    <cellStyle name="Input 28 2 3 6 2" xfId="41716" xr:uid="{00000000-0005-0000-0000-000076660000}"/>
    <cellStyle name="Input 28 2 3 6 3" xfId="41387" xr:uid="{00000000-0005-0000-0000-000077660000}"/>
    <cellStyle name="Input 28 2 3 6 4" xfId="29417" xr:uid="{00000000-0005-0000-0000-000078660000}"/>
    <cellStyle name="Input 28 2 3 7" xfId="20368" xr:uid="{00000000-0005-0000-0000-000079660000}"/>
    <cellStyle name="Input 28 2 3 7 2" xfId="45905" xr:uid="{00000000-0005-0000-0000-00007A660000}"/>
    <cellStyle name="Input 28 2 3 7 3" xfId="49811" xr:uid="{00000000-0005-0000-0000-00007B660000}"/>
    <cellStyle name="Input 28 2 3 7 4" xfId="37824" xr:uid="{00000000-0005-0000-0000-00007C660000}"/>
    <cellStyle name="Input 28 2 3 8" xfId="12029" xr:uid="{00000000-0005-0000-0000-00007D660000}"/>
    <cellStyle name="Input 28 2 3 8 2" xfId="41786" xr:uid="{00000000-0005-0000-0000-00007E660000}"/>
    <cellStyle name="Input 28 2 3 8 3" xfId="42002" xr:uid="{00000000-0005-0000-0000-00007F660000}"/>
    <cellStyle name="Input 28 2 3 9" xfId="39862" xr:uid="{00000000-0005-0000-0000-000080660000}"/>
    <cellStyle name="Input 28 2 4" xfId="53108" xr:uid="{00000000-0005-0000-0000-000081660000}"/>
    <cellStyle name="Input 28 2_Sheet1" xfId="1926" xr:uid="{00000000-0005-0000-0000-000082660000}"/>
    <cellStyle name="Input 28 3" xfId="1927" xr:uid="{00000000-0005-0000-0000-000083660000}"/>
    <cellStyle name="Input 28 3 2" xfId="7100" xr:uid="{00000000-0005-0000-0000-000084660000}"/>
    <cellStyle name="Input 28 3 2 10" xfId="39414" xr:uid="{00000000-0005-0000-0000-000085660000}"/>
    <cellStyle name="Input 28 3 2 2" xfId="10630" xr:uid="{00000000-0005-0000-0000-000086660000}"/>
    <cellStyle name="Input 28 3 2 2 2" xfId="18423" xr:uid="{00000000-0005-0000-0000-000087660000}"/>
    <cellStyle name="Input 28 3 2 2 2 2" xfId="43970" xr:uid="{00000000-0005-0000-0000-000088660000}"/>
    <cellStyle name="Input 28 3 2 2 2 3" xfId="47879" xr:uid="{00000000-0005-0000-0000-000089660000}"/>
    <cellStyle name="Input 28 3 2 2 2 4" xfId="36060" xr:uid="{00000000-0005-0000-0000-00008A660000}"/>
    <cellStyle name="Input 28 3 2 2 3" xfId="19127" xr:uid="{00000000-0005-0000-0000-00008B660000}"/>
    <cellStyle name="Input 28 3 2 2 3 2" xfId="44664" xr:uid="{00000000-0005-0000-0000-00008C660000}"/>
    <cellStyle name="Input 28 3 2 2 3 3" xfId="48570" xr:uid="{00000000-0005-0000-0000-00008D660000}"/>
    <cellStyle name="Input 28 3 2 2 3 4" xfId="36722" xr:uid="{00000000-0005-0000-0000-00008E660000}"/>
    <cellStyle name="Input 28 3 2 2 4" xfId="18919" xr:uid="{00000000-0005-0000-0000-00008F660000}"/>
    <cellStyle name="Input 28 3 2 2 4 2" xfId="44456" xr:uid="{00000000-0005-0000-0000-000090660000}"/>
    <cellStyle name="Input 28 3 2 2 4 3" xfId="48362" xr:uid="{00000000-0005-0000-0000-000091660000}"/>
    <cellStyle name="Input 28 3 2 2 4 4" xfId="36549" xr:uid="{00000000-0005-0000-0000-000092660000}"/>
    <cellStyle name="Input 28 3 2 2 5" xfId="20836" xr:uid="{00000000-0005-0000-0000-000093660000}"/>
    <cellStyle name="Input 28 3 2 2 5 2" xfId="46373" xr:uid="{00000000-0005-0000-0000-000094660000}"/>
    <cellStyle name="Input 28 3 2 2 5 3" xfId="50279" xr:uid="{00000000-0005-0000-0000-000095660000}"/>
    <cellStyle name="Input 28 3 2 2 5 4" xfId="38242" xr:uid="{00000000-0005-0000-0000-000096660000}"/>
    <cellStyle name="Input 28 3 2 2 6" xfId="21489" xr:uid="{00000000-0005-0000-0000-000097660000}"/>
    <cellStyle name="Input 28 3 2 2 6 2" xfId="47026" xr:uid="{00000000-0005-0000-0000-000098660000}"/>
    <cellStyle name="Input 28 3 2 2 6 3" xfId="50932" xr:uid="{00000000-0005-0000-0000-000099660000}"/>
    <cellStyle name="Input 28 3 2 2 7" xfId="40829" xr:uid="{00000000-0005-0000-0000-00009A660000}"/>
    <cellStyle name="Input 28 3 2 2 8" xfId="42611" xr:uid="{00000000-0005-0000-0000-00009B660000}"/>
    <cellStyle name="Input 28 3 2 3" xfId="10925" xr:uid="{00000000-0005-0000-0000-00009C660000}"/>
    <cellStyle name="Input 28 3 2 3 2" xfId="18718" xr:uid="{00000000-0005-0000-0000-00009D660000}"/>
    <cellStyle name="Input 28 3 2 3 2 2" xfId="44265" xr:uid="{00000000-0005-0000-0000-00009E660000}"/>
    <cellStyle name="Input 28 3 2 3 2 3" xfId="48174" xr:uid="{00000000-0005-0000-0000-00009F660000}"/>
    <cellStyle name="Input 28 3 2 3 2 4" xfId="36355" xr:uid="{00000000-0005-0000-0000-0000A0660000}"/>
    <cellStyle name="Input 28 3 2 3 3" xfId="19400" xr:uid="{00000000-0005-0000-0000-0000A1660000}"/>
    <cellStyle name="Input 28 3 2 3 3 2" xfId="44937" xr:uid="{00000000-0005-0000-0000-0000A2660000}"/>
    <cellStyle name="Input 28 3 2 3 3 3" xfId="48843" xr:uid="{00000000-0005-0000-0000-0000A3660000}"/>
    <cellStyle name="Input 28 3 2 3 3 4" xfId="36965" xr:uid="{00000000-0005-0000-0000-0000A4660000}"/>
    <cellStyle name="Input 28 3 2 3 4" xfId="19656" xr:uid="{00000000-0005-0000-0000-0000A5660000}"/>
    <cellStyle name="Input 28 3 2 3 4 2" xfId="45193" xr:uid="{00000000-0005-0000-0000-0000A6660000}"/>
    <cellStyle name="Input 28 3 2 3 4 3" xfId="49099" xr:uid="{00000000-0005-0000-0000-0000A7660000}"/>
    <cellStyle name="Input 28 3 2 3 4 4" xfId="37190" xr:uid="{00000000-0005-0000-0000-0000A8660000}"/>
    <cellStyle name="Input 28 3 2 3 5" xfId="21131" xr:uid="{00000000-0005-0000-0000-0000A9660000}"/>
    <cellStyle name="Input 28 3 2 3 5 2" xfId="46668" xr:uid="{00000000-0005-0000-0000-0000AA660000}"/>
    <cellStyle name="Input 28 3 2 3 5 3" xfId="50574" xr:uid="{00000000-0005-0000-0000-0000AB660000}"/>
    <cellStyle name="Input 28 3 2 3 5 4" xfId="38537" xr:uid="{00000000-0005-0000-0000-0000AC660000}"/>
    <cellStyle name="Input 28 3 2 3 6" xfId="21784" xr:uid="{00000000-0005-0000-0000-0000AD660000}"/>
    <cellStyle name="Input 28 3 2 3 6 2" xfId="47321" xr:uid="{00000000-0005-0000-0000-0000AE660000}"/>
    <cellStyle name="Input 28 3 2 3 6 3" xfId="51227" xr:uid="{00000000-0005-0000-0000-0000AF660000}"/>
    <cellStyle name="Input 28 3 2 3 7" xfId="41124" xr:uid="{00000000-0005-0000-0000-0000B0660000}"/>
    <cellStyle name="Input 28 3 2 3 8" xfId="40087" xr:uid="{00000000-0005-0000-0000-0000B1660000}"/>
    <cellStyle name="Input 28 3 2 4" xfId="14888" xr:uid="{00000000-0005-0000-0000-0000B2660000}"/>
    <cellStyle name="Input 28 3 2 4 2" xfId="43004" xr:uid="{00000000-0005-0000-0000-0000B3660000}"/>
    <cellStyle name="Input 28 3 2 4 3" xfId="40314" xr:uid="{00000000-0005-0000-0000-0000B4660000}"/>
    <cellStyle name="Input 28 3 2 4 4" xfId="32523" xr:uid="{00000000-0005-0000-0000-0000B5660000}"/>
    <cellStyle name="Input 28 3 2 5" xfId="13141" xr:uid="{00000000-0005-0000-0000-0000B6660000}"/>
    <cellStyle name="Input 28 3 2 5 2" xfId="42362" xr:uid="{00000000-0005-0000-0000-0000B7660000}"/>
    <cellStyle name="Input 28 3 2 5 3" xfId="41970" xr:uid="{00000000-0005-0000-0000-0000B8660000}"/>
    <cellStyle name="Input 28 3 2 5 4" xfId="30790" xr:uid="{00000000-0005-0000-0000-0000B9660000}"/>
    <cellStyle name="Input 28 3 2 6" xfId="19641" xr:uid="{00000000-0005-0000-0000-0000BA660000}"/>
    <cellStyle name="Input 28 3 2 6 2" xfId="45178" xr:uid="{00000000-0005-0000-0000-0000BB660000}"/>
    <cellStyle name="Input 28 3 2 6 3" xfId="49084" xr:uid="{00000000-0005-0000-0000-0000BC660000}"/>
    <cellStyle name="Input 28 3 2 6 4" xfId="37177" xr:uid="{00000000-0005-0000-0000-0000BD660000}"/>
    <cellStyle name="Input 28 3 2 7" xfId="11598" xr:uid="{00000000-0005-0000-0000-0000BE660000}"/>
    <cellStyle name="Input 28 3 2 7 2" xfId="41609" xr:uid="{00000000-0005-0000-0000-0000BF660000}"/>
    <cellStyle name="Input 28 3 2 7 3" xfId="42712" xr:uid="{00000000-0005-0000-0000-0000C0660000}"/>
    <cellStyle name="Input 28 3 2 7 4" xfId="29305" xr:uid="{00000000-0005-0000-0000-0000C1660000}"/>
    <cellStyle name="Input 28 3 2 8" xfId="11481" xr:uid="{00000000-0005-0000-0000-0000C2660000}"/>
    <cellStyle name="Input 28 3 2 8 2" xfId="41492" xr:uid="{00000000-0005-0000-0000-0000C3660000}"/>
    <cellStyle name="Input 28 3 2 8 3" xfId="39681" xr:uid="{00000000-0005-0000-0000-0000C4660000}"/>
    <cellStyle name="Input 28 3 2 9" xfId="39864" xr:uid="{00000000-0005-0000-0000-0000C5660000}"/>
    <cellStyle name="Input 28 3 3" xfId="53110" xr:uid="{00000000-0005-0000-0000-0000C6660000}"/>
    <cellStyle name="Input 28 4" xfId="7097" xr:uid="{00000000-0005-0000-0000-0000C7660000}"/>
    <cellStyle name="Input 28 4 10" xfId="42197" xr:uid="{00000000-0005-0000-0000-0000C8660000}"/>
    <cellStyle name="Input 28 4 11" xfId="53111" xr:uid="{00000000-0005-0000-0000-0000C9660000}"/>
    <cellStyle name="Input 28 4 2" xfId="10627" xr:uid="{00000000-0005-0000-0000-0000CA660000}"/>
    <cellStyle name="Input 28 4 2 2" xfId="18420" xr:uid="{00000000-0005-0000-0000-0000CB660000}"/>
    <cellStyle name="Input 28 4 2 2 2" xfId="43967" xr:uid="{00000000-0005-0000-0000-0000CC660000}"/>
    <cellStyle name="Input 28 4 2 2 3" xfId="47876" xr:uid="{00000000-0005-0000-0000-0000CD660000}"/>
    <cellStyle name="Input 28 4 2 2 4" xfId="36057" xr:uid="{00000000-0005-0000-0000-0000CE660000}"/>
    <cellStyle name="Input 28 4 2 3" xfId="20029" xr:uid="{00000000-0005-0000-0000-0000CF660000}"/>
    <cellStyle name="Input 28 4 2 3 2" xfId="45566" xr:uid="{00000000-0005-0000-0000-0000D0660000}"/>
    <cellStyle name="Input 28 4 2 3 3" xfId="49472" xr:uid="{00000000-0005-0000-0000-0000D1660000}"/>
    <cellStyle name="Input 28 4 2 3 4" xfId="37527" xr:uid="{00000000-0005-0000-0000-0000D2660000}"/>
    <cellStyle name="Input 28 4 2 4" xfId="12064" xr:uid="{00000000-0005-0000-0000-0000D3660000}"/>
    <cellStyle name="Input 28 4 2 4 2" xfId="41817" xr:uid="{00000000-0005-0000-0000-0000D4660000}"/>
    <cellStyle name="Input 28 4 2 4 3" xfId="42810" xr:uid="{00000000-0005-0000-0000-0000D5660000}"/>
    <cellStyle name="Input 28 4 2 4 4" xfId="29742" xr:uid="{00000000-0005-0000-0000-0000D6660000}"/>
    <cellStyle name="Input 28 4 2 5" xfId="20833" xr:uid="{00000000-0005-0000-0000-0000D7660000}"/>
    <cellStyle name="Input 28 4 2 5 2" xfId="46370" xr:uid="{00000000-0005-0000-0000-0000D8660000}"/>
    <cellStyle name="Input 28 4 2 5 3" xfId="50276" xr:uid="{00000000-0005-0000-0000-0000D9660000}"/>
    <cellStyle name="Input 28 4 2 5 4" xfId="38239" xr:uid="{00000000-0005-0000-0000-0000DA660000}"/>
    <cellStyle name="Input 28 4 2 6" xfId="21486" xr:uid="{00000000-0005-0000-0000-0000DB660000}"/>
    <cellStyle name="Input 28 4 2 6 2" xfId="47023" xr:uid="{00000000-0005-0000-0000-0000DC660000}"/>
    <cellStyle name="Input 28 4 2 6 3" xfId="50929" xr:uid="{00000000-0005-0000-0000-0000DD660000}"/>
    <cellStyle name="Input 28 4 2 7" xfId="40826" xr:uid="{00000000-0005-0000-0000-0000DE660000}"/>
    <cellStyle name="Input 28 4 2 8" xfId="43635" xr:uid="{00000000-0005-0000-0000-0000DF660000}"/>
    <cellStyle name="Input 28 4 3" xfId="10922" xr:uid="{00000000-0005-0000-0000-0000E0660000}"/>
    <cellStyle name="Input 28 4 3 2" xfId="18715" xr:uid="{00000000-0005-0000-0000-0000E1660000}"/>
    <cellStyle name="Input 28 4 3 2 2" xfId="44262" xr:uid="{00000000-0005-0000-0000-0000E2660000}"/>
    <cellStyle name="Input 28 4 3 2 3" xfId="48171" xr:uid="{00000000-0005-0000-0000-0000E3660000}"/>
    <cellStyle name="Input 28 4 3 2 4" xfId="36352" xr:uid="{00000000-0005-0000-0000-0000E4660000}"/>
    <cellStyle name="Input 28 4 3 3" xfId="13355" xr:uid="{00000000-0005-0000-0000-0000E5660000}"/>
    <cellStyle name="Input 28 4 3 3 2" xfId="42525" xr:uid="{00000000-0005-0000-0000-0000E6660000}"/>
    <cellStyle name="Input 28 4 3 3 3" xfId="40048" xr:uid="{00000000-0005-0000-0000-0000E7660000}"/>
    <cellStyle name="Input 28 4 3 3 4" xfId="30995" xr:uid="{00000000-0005-0000-0000-0000E8660000}"/>
    <cellStyle name="Input 28 4 3 4" xfId="12766" xr:uid="{00000000-0005-0000-0000-0000E9660000}"/>
    <cellStyle name="Input 28 4 3 4 2" xfId="42210" xr:uid="{00000000-0005-0000-0000-0000EA660000}"/>
    <cellStyle name="Input 28 4 3 4 3" xfId="39310" xr:uid="{00000000-0005-0000-0000-0000EB660000}"/>
    <cellStyle name="Input 28 4 3 4 4" xfId="30424" xr:uid="{00000000-0005-0000-0000-0000EC660000}"/>
    <cellStyle name="Input 28 4 3 5" xfId="21128" xr:uid="{00000000-0005-0000-0000-0000ED660000}"/>
    <cellStyle name="Input 28 4 3 5 2" xfId="46665" xr:uid="{00000000-0005-0000-0000-0000EE660000}"/>
    <cellStyle name="Input 28 4 3 5 3" xfId="50571" xr:uid="{00000000-0005-0000-0000-0000EF660000}"/>
    <cellStyle name="Input 28 4 3 5 4" xfId="38534" xr:uid="{00000000-0005-0000-0000-0000F0660000}"/>
    <cellStyle name="Input 28 4 3 6" xfId="21781" xr:uid="{00000000-0005-0000-0000-0000F1660000}"/>
    <cellStyle name="Input 28 4 3 6 2" xfId="47318" xr:uid="{00000000-0005-0000-0000-0000F2660000}"/>
    <cellStyle name="Input 28 4 3 6 3" xfId="51224" xr:uid="{00000000-0005-0000-0000-0000F3660000}"/>
    <cellStyle name="Input 28 4 3 7" xfId="41121" xr:uid="{00000000-0005-0000-0000-0000F4660000}"/>
    <cellStyle name="Input 28 4 3 8" xfId="39185" xr:uid="{00000000-0005-0000-0000-0000F5660000}"/>
    <cellStyle name="Input 28 4 4" xfId="14885" xr:uid="{00000000-0005-0000-0000-0000F6660000}"/>
    <cellStyle name="Input 28 4 4 2" xfId="43001" xr:uid="{00000000-0005-0000-0000-0000F7660000}"/>
    <cellStyle name="Input 28 4 4 3" xfId="39531" xr:uid="{00000000-0005-0000-0000-0000F8660000}"/>
    <cellStyle name="Input 28 4 4 4" xfId="32520" xr:uid="{00000000-0005-0000-0000-0000F9660000}"/>
    <cellStyle name="Input 28 4 5" xfId="13138" xr:uid="{00000000-0005-0000-0000-0000FA660000}"/>
    <cellStyle name="Input 28 4 5 2" xfId="42359" xr:uid="{00000000-0005-0000-0000-0000FB660000}"/>
    <cellStyle name="Input 28 4 5 3" xfId="43317" xr:uid="{00000000-0005-0000-0000-0000FC660000}"/>
    <cellStyle name="Input 28 4 5 4" xfId="30787" xr:uid="{00000000-0005-0000-0000-0000FD660000}"/>
    <cellStyle name="Input 28 4 6" xfId="19341" xr:uid="{00000000-0005-0000-0000-0000FE660000}"/>
    <cellStyle name="Input 28 4 6 2" xfId="44878" xr:uid="{00000000-0005-0000-0000-0000FF660000}"/>
    <cellStyle name="Input 28 4 6 3" xfId="48784" xr:uid="{00000000-0005-0000-0000-000000670000}"/>
    <cellStyle name="Input 28 4 6 4" xfId="36913" xr:uid="{00000000-0005-0000-0000-000001670000}"/>
    <cellStyle name="Input 28 4 7" xfId="11675" xr:uid="{00000000-0005-0000-0000-000002670000}"/>
    <cellStyle name="Input 28 4 7 2" xfId="41686" xr:uid="{00000000-0005-0000-0000-000003670000}"/>
    <cellStyle name="Input 28 4 7 3" xfId="39568" xr:uid="{00000000-0005-0000-0000-000004670000}"/>
    <cellStyle name="Input 28 4 7 4" xfId="29369" xr:uid="{00000000-0005-0000-0000-000005670000}"/>
    <cellStyle name="Input 28 4 8" xfId="19015" xr:uid="{00000000-0005-0000-0000-000006670000}"/>
    <cellStyle name="Input 28 4 8 2" xfId="44552" xr:uid="{00000000-0005-0000-0000-000007670000}"/>
    <cellStyle name="Input 28 4 8 3" xfId="48458" xr:uid="{00000000-0005-0000-0000-000008670000}"/>
    <cellStyle name="Input 28 4 9" xfId="39861" xr:uid="{00000000-0005-0000-0000-000009670000}"/>
    <cellStyle name="Input 28 5" xfId="22463" xr:uid="{00000000-0005-0000-0000-00000A670000}"/>
    <cellStyle name="Input 28 6" xfId="22916" xr:uid="{00000000-0005-0000-0000-00000B670000}"/>
    <cellStyle name="Input 28 7" xfId="53107" xr:uid="{00000000-0005-0000-0000-00000C670000}"/>
    <cellStyle name="Input 28_Sheet1" xfId="1928" xr:uid="{00000000-0005-0000-0000-00000D670000}"/>
    <cellStyle name="Input 29" xfId="1929" xr:uid="{00000000-0005-0000-0000-00000E670000}"/>
    <cellStyle name="Input 29 2" xfId="1930" xr:uid="{00000000-0005-0000-0000-00000F670000}"/>
    <cellStyle name="Input 29 2 2" xfId="1931" xr:uid="{00000000-0005-0000-0000-000010670000}"/>
    <cellStyle name="Input 29 2 2 2" xfId="7103" xr:uid="{00000000-0005-0000-0000-000011670000}"/>
    <cellStyle name="Input 29 2 2 2 10" xfId="47528" xr:uid="{00000000-0005-0000-0000-000012670000}"/>
    <cellStyle name="Input 29 2 2 2 2" xfId="10633" xr:uid="{00000000-0005-0000-0000-000013670000}"/>
    <cellStyle name="Input 29 2 2 2 2 2" xfId="18426" xr:uid="{00000000-0005-0000-0000-000014670000}"/>
    <cellStyle name="Input 29 2 2 2 2 2 2" xfId="43973" xr:uid="{00000000-0005-0000-0000-000015670000}"/>
    <cellStyle name="Input 29 2 2 2 2 2 3" xfId="47882" xr:uid="{00000000-0005-0000-0000-000016670000}"/>
    <cellStyle name="Input 29 2 2 2 2 2 4" xfId="36063" xr:uid="{00000000-0005-0000-0000-000017670000}"/>
    <cellStyle name="Input 29 2 2 2 2 3" xfId="19748" xr:uid="{00000000-0005-0000-0000-000018670000}"/>
    <cellStyle name="Input 29 2 2 2 2 3 2" xfId="45285" xr:uid="{00000000-0005-0000-0000-000019670000}"/>
    <cellStyle name="Input 29 2 2 2 2 3 3" xfId="49191" xr:uid="{00000000-0005-0000-0000-00001A670000}"/>
    <cellStyle name="Input 29 2 2 2 2 3 4" xfId="37275" xr:uid="{00000000-0005-0000-0000-00001B670000}"/>
    <cellStyle name="Input 29 2 2 2 2 4" xfId="19257" xr:uid="{00000000-0005-0000-0000-00001C670000}"/>
    <cellStyle name="Input 29 2 2 2 2 4 2" xfId="44794" xr:uid="{00000000-0005-0000-0000-00001D670000}"/>
    <cellStyle name="Input 29 2 2 2 2 4 3" xfId="48700" xr:uid="{00000000-0005-0000-0000-00001E670000}"/>
    <cellStyle name="Input 29 2 2 2 2 4 4" xfId="36835" xr:uid="{00000000-0005-0000-0000-00001F670000}"/>
    <cellStyle name="Input 29 2 2 2 2 5" xfId="20839" xr:uid="{00000000-0005-0000-0000-000020670000}"/>
    <cellStyle name="Input 29 2 2 2 2 5 2" xfId="46376" xr:uid="{00000000-0005-0000-0000-000021670000}"/>
    <cellStyle name="Input 29 2 2 2 2 5 3" xfId="50282" xr:uid="{00000000-0005-0000-0000-000022670000}"/>
    <cellStyle name="Input 29 2 2 2 2 5 4" xfId="38245" xr:uid="{00000000-0005-0000-0000-000023670000}"/>
    <cellStyle name="Input 29 2 2 2 2 6" xfId="21492" xr:uid="{00000000-0005-0000-0000-000024670000}"/>
    <cellStyle name="Input 29 2 2 2 2 6 2" xfId="47029" xr:uid="{00000000-0005-0000-0000-000025670000}"/>
    <cellStyle name="Input 29 2 2 2 2 6 3" xfId="50935" xr:uid="{00000000-0005-0000-0000-000026670000}"/>
    <cellStyle name="Input 29 2 2 2 2 7" xfId="40832" xr:uid="{00000000-0005-0000-0000-000027670000}"/>
    <cellStyle name="Input 29 2 2 2 2 8" xfId="39499" xr:uid="{00000000-0005-0000-0000-000028670000}"/>
    <cellStyle name="Input 29 2 2 2 3" xfId="10928" xr:uid="{00000000-0005-0000-0000-000029670000}"/>
    <cellStyle name="Input 29 2 2 2 3 2" xfId="18721" xr:uid="{00000000-0005-0000-0000-00002A670000}"/>
    <cellStyle name="Input 29 2 2 2 3 2 2" xfId="44268" xr:uid="{00000000-0005-0000-0000-00002B670000}"/>
    <cellStyle name="Input 29 2 2 2 3 2 3" xfId="48177" xr:uid="{00000000-0005-0000-0000-00002C670000}"/>
    <cellStyle name="Input 29 2 2 2 3 2 4" xfId="36358" xr:uid="{00000000-0005-0000-0000-00002D670000}"/>
    <cellStyle name="Input 29 2 2 2 3 3" xfId="19882" xr:uid="{00000000-0005-0000-0000-00002E670000}"/>
    <cellStyle name="Input 29 2 2 2 3 3 2" xfId="45419" xr:uid="{00000000-0005-0000-0000-00002F670000}"/>
    <cellStyle name="Input 29 2 2 2 3 3 3" xfId="49325" xr:uid="{00000000-0005-0000-0000-000030670000}"/>
    <cellStyle name="Input 29 2 2 2 3 3 4" xfId="37396" xr:uid="{00000000-0005-0000-0000-000031670000}"/>
    <cellStyle name="Input 29 2 2 2 3 4" xfId="20240" xr:uid="{00000000-0005-0000-0000-000032670000}"/>
    <cellStyle name="Input 29 2 2 2 3 4 2" xfId="45777" xr:uid="{00000000-0005-0000-0000-000033670000}"/>
    <cellStyle name="Input 29 2 2 2 3 4 3" xfId="49683" xr:uid="{00000000-0005-0000-0000-000034670000}"/>
    <cellStyle name="Input 29 2 2 2 3 4 4" xfId="37713" xr:uid="{00000000-0005-0000-0000-000035670000}"/>
    <cellStyle name="Input 29 2 2 2 3 5" xfId="21134" xr:uid="{00000000-0005-0000-0000-000036670000}"/>
    <cellStyle name="Input 29 2 2 2 3 5 2" xfId="46671" xr:uid="{00000000-0005-0000-0000-000037670000}"/>
    <cellStyle name="Input 29 2 2 2 3 5 3" xfId="50577" xr:uid="{00000000-0005-0000-0000-000038670000}"/>
    <cellStyle name="Input 29 2 2 2 3 5 4" xfId="38540" xr:uid="{00000000-0005-0000-0000-000039670000}"/>
    <cellStyle name="Input 29 2 2 2 3 6" xfId="21787" xr:uid="{00000000-0005-0000-0000-00003A670000}"/>
    <cellStyle name="Input 29 2 2 2 3 6 2" xfId="47324" xr:uid="{00000000-0005-0000-0000-00003B670000}"/>
    <cellStyle name="Input 29 2 2 2 3 6 3" xfId="51230" xr:uid="{00000000-0005-0000-0000-00003C670000}"/>
    <cellStyle name="Input 29 2 2 2 3 7" xfId="41127" xr:uid="{00000000-0005-0000-0000-00003D670000}"/>
    <cellStyle name="Input 29 2 2 2 3 8" xfId="40582" xr:uid="{00000000-0005-0000-0000-00003E670000}"/>
    <cellStyle name="Input 29 2 2 2 4" xfId="14891" xr:uid="{00000000-0005-0000-0000-00003F670000}"/>
    <cellStyle name="Input 29 2 2 2 4 2" xfId="43007" xr:uid="{00000000-0005-0000-0000-000040670000}"/>
    <cellStyle name="Input 29 2 2 2 4 3" xfId="43300" xr:uid="{00000000-0005-0000-0000-000041670000}"/>
    <cellStyle name="Input 29 2 2 2 4 4" xfId="32526" xr:uid="{00000000-0005-0000-0000-000042670000}"/>
    <cellStyle name="Input 29 2 2 2 5" xfId="11307" xr:uid="{00000000-0005-0000-0000-000043670000}"/>
    <cellStyle name="Input 29 2 2 2 5 2" xfId="41354" xr:uid="{00000000-0005-0000-0000-000044670000}"/>
    <cellStyle name="Input 29 2 2 2 5 3" xfId="42724" xr:uid="{00000000-0005-0000-0000-000045670000}"/>
    <cellStyle name="Input 29 2 2 2 5 4" xfId="29035" xr:uid="{00000000-0005-0000-0000-000046670000}"/>
    <cellStyle name="Input 29 2 2 2 6" xfId="19820" xr:uid="{00000000-0005-0000-0000-000047670000}"/>
    <cellStyle name="Input 29 2 2 2 6 2" xfId="45357" xr:uid="{00000000-0005-0000-0000-000048670000}"/>
    <cellStyle name="Input 29 2 2 2 6 3" xfId="49263" xr:uid="{00000000-0005-0000-0000-000049670000}"/>
    <cellStyle name="Input 29 2 2 2 6 4" xfId="37341" xr:uid="{00000000-0005-0000-0000-00004A670000}"/>
    <cellStyle name="Input 29 2 2 2 7" xfId="20483" xr:uid="{00000000-0005-0000-0000-00004B670000}"/>
    <cellStyle name="Input 29 2 2 2 7 2" xfId="46020" xr:uid="{00000000-0005-0000-0000-00004C670000}"/>
    <cellStyle name="Input 29 2 2 2 7 3" xfId="49926" xr:uid="{00000000-0005-0000-0000-00004D670000}"/>
    <cellStyle name="Input 29 2 2 2 7 4" xfId="37933" xr:uid="{00000000-0005-0000-0000-00004E670000}"/>
    <cellStyle name="Input 29 2 2 2 8" xfId="12078" xr:uid="{00000000-0005-0000-0000-00004F670000}"/>
    <cellStyle name="Input 29 2 2 2 8 2" xfId="41823" xr:uid="{00000000-0005-0000-0000-000050670000}"/>
    <cellStyle name="Input 29 2 2 2 8 3" xfId="40199" xr:uid="{00000000-0005-0000-0000-000051670000}"/>
    <cellStyle name="Input 29 2 2 2 9" xfId="39867" xr:uid="{00000000-0005-0000-0000-000052670000}"/>
    <cellStyle name="Input 29 2 2 3" xfId="53114" xr:uid="{00000000-0005-0000-0000-000053670000}"/>
    <cellStyle name="Input 29 2 3" xfId="7102" xr:uid="{00000000-0005-0000-0000-000054670000}"/>
    <cellStyle name="Input 29 2 3 10" xfId="39248" xr:uid="{00000000-0005-0000-0000-000055670000}"/>
    <cellStyle name="Input 29 2 3 2" xfId="10632" xr:uid="{00000000-0005-0000-0000-000056670000}"/>
    <cellStyle name="Input 29 2 3 2 2" xfId="18425" xr:uid="{00000000-0005-0000-0000-000057670000}"/>
    <cellStyle name="Input 29 2 3 2 2 2" xfId="43972" xr:uid="{00000000-0005-0000-0000-000058670000}"/>
    <cellStyle name="Input 29 2 3 2 2 3" xfId="47881" xr:uid="{00000000-0005-0000-0000-000059670000}"/>
    <cellStyle name="Input 29 2 3 2 2 4" xfId="36062" xr:uid="{00000000-0005-0000-0000-00005A670000}"/>
    <cellStyle name="Input 29 2 3 2 3" xfId="11499" xr:uid="{00000000-0005-0000-0000-00005B670000}"/>
    <cellStyle name="Input 29 2 3 2 3 2" xfId="41510" xr:uid="{00000000-0005-0000-0000-00005C670000}"/>
    <cellStyle name="Input 29 2 3 2 3 3" xfId="43711" xr:uid="{00000000-0005-0000-0000-00005D670000}"/>
    <cellStyle name="Input 29 2 3 2 3 4" xfId="29214" xr:uid="{00000000-0005-0000-0000-00005E670000}"/>
    <cellStyle name="Input 29 2 3 2 4" xfId="19379" xr:uid="{00000000-0005-0000-0000-00005F670000}"/>
    <cellStyle name="Input 29 2 3 2 4 2" xfId="44916" xr:uid="{00000000-0005-0000-0000-000060670000}"/>
    <cellStyle name="Input 29 2 3 2 4 3" xfId="48822" xr:uid="{00000000-0005-0000-0000-000061670000}"/>
    <cellStyle name="Input 29 2 3 2 4 4" xfId="36945" xr:uid="{00000000-0005-0000-0000-000062670000}"/>
    <cellStyle name="Input 29 2 3 2 5" xfId="20838" xr:uid="{00000000-0005-0000-0000-000063670000}"/>
    <cellStyle name="Input 29 2 3 2 5 2" xfId="46375" xr:uid="{00000000-0005-0000-0000-000064670000}"/>
    <cellStyle name="Input 29 2 3 2 5 3" xfId="50281" xr:uid="{00000000-0005-0000-0000-000065670000}"/>
    <cellStyle name="Input 29 2 3 2 5 4" xfId="38244" xr:uid="{00000000-0005-0000-0000-000066670000}"/>
    <cellStyle name="Input 29 2 3 2 6" xfId="21491" xr:uid="{00000000-0005-0000-0000-000067670000}"/>
    <cellStyle name="Input 29 2 3 2 6 2" xfId="47028" xr:uid="{00000000-0005-0000-0000-000068670000}"/>
    <cellStyle name="Input 29 2 3 2 6 3" xfId="50934" xr:uid="{00000000-0005-0000-0000-000069670000}"/>
    <cellStyle name="Input 29 2 3 2 7" xfId="40831" xr:uid="{00000000-0005-0000-0000-00006A670000}"/>
    <cellStyle name="Input 29 2 3 2 8" xfId="40387" xr:uid="{00000000-0005-0000-0000-00006B670000}"/>
    <cellStyle name="Input 29 2 3 3" xfId="10927" xr:uid="{00000000-0005-0000-0000-00006C670000}"/>
    <cellStyle name="Input 29 2 3 3 2" xfId="18720" xr:uid="{00000000-0005-0000-0000-00006D670000}"/>
    <cellStyle name="Input 29 2 3 3 2 2" xfId="44267" xr:uid="{00000000-0005-0000-0000-00006E670000}"/>
    <cellStyle name="Input 29 2 3 3 2 3" xfId="48176" xr:uid="{00000000-0005-0000-0000-00006F670000}"/>
    <cellStyle name="Input 29 2 3 3 2 4" xfId="36357" xr:uid="{00000000-0005-0000-0000-000070670000}"/>
    <cellStyle name="Input 29 2 3 3 3" xfId="19273" xr:uid="{00000000-0005-0000-0000-000071670000}"/>
    <cellStyle name="Input 29 2 3 3 3 2" xfId="44810" xr:uid="{00000000-0005-0000-0000-000072670000}"/>
    <cellStyle name="Input 29 2 3 3 3 3" xfId="48716" xr:uid="{00000000-0005-0000-0000-000073670000}"/>
    <cellStyle name="Input 29 2 3 3 3 4" xfId="36851" xr:uid="{00000000-0005-0000-0000-000074670000}"/>
    <cellStyle name="Input 29 2 3 3 4" xfId="19042" xr:uid="{00000000-0005-0000-0000-000075670000}"/>
    <cellStyle name="Input 29 2 3 3 4 2" xfId="44579" xr:uid="{00000000-0005-0000-0000-000076670000}"/>
    <cellStyle name="Input 29 2 3 3 4 3" xfId="48485" xr:uid="{00000000-0005-0000-0000-000077670000}"/>
    <cellStyle name="Input 29 2 3 3 4 4" xfId="36646" xr:uid="{00000000-0005-0000-0000-000078670000}"/>
    <cellStyle name="Input 29 2 3 3 5" xfId="21133" xr:uid="{00000000-0005-0000-0000-000079670000}"/>
    <cellStyle name="Input 29 2 3 3 5 2" xfId="46670" xr:uid="{00000000-0005-0000-0000-00007A670000}"/>
    <cellStyle name="Input 29 2 3 3 5 3" xfId="50576" xr:uid="{00000000-0005-0000-0000-00007B670000}"/>
    <cellStyle name="Input 29 2 3 3 5 4" xfId="38539" xr:uid="{00000000-0005-0000-0000-00007C670000}"/>
    <cellStyle name="Input 29 2 3 3 6" xfId="21786" xr:uid="{00000000-0005-0000-0000-00007D670000}"/>
    <cellStyle name="Input 29 2 3 3 6 2" xfId="47323" xr:uid="{00000000-0005-0000-0000-00007E670000}"/>
    <cellStyle name="Input 29 2 3 3 6 3" xfId="51229" xr:uid="{00000000-0005-0000-0000-00007F670000}"/>
    <cellStyle name="Input 29 2 3 3 7" xfId="41126" xr:uid="{00000000-0005-0000-0000-000080670000}"/>
    <cellStyle name="Input 29 2 3 3 8" xfId="43723" xr:uid="{00000000-0005-0000-0000-000081670000}"/>
    <cellStyle name="Input 29 2 3 4" xfId="14890" xr:uid="{00000000-0005-0000-0000-000082670000}"/>
    <cellStyle name="Input 29 2 3 4 2" xfId="43006" xr:uid="{00000000-0005-0000-0000-000083670000}"/>
    <cellStyle name="Input 29 2 3 4 3" xfId="41946" xr:uid="{00000000-0005-0000-0000-000084670000}"/>
    <cellStyle name="Input 29 2 3 4 4" xfId="32525" xr:uid="{00000000-0005-0000-0000-000085670000}"/>
    <cellStyle name="Input 29 2 3 5" xfId="12475" xr:uid="{00000000-0005-0000-0000-000086670000}"/>
    <cellStyle name="Input 29 2 3 5 2" xfId="41996" xr:uid="{00000000-0005-0000-0000-000087670000}"/>
    <cellStyle name="Input 29 2 3 5 3" xfId="40062" xr:uid="{00000000-0005-0000-0000-000088670000}"/>
    <cellStyle name="Input 29 2 3 5 4" xfId="30146" xr:uid="{00000000-0005-0000-0000-000089670000}"/>
    <cellStyle name="Input 29 2 3 6" xfId="19495" xr:uid="{00000000-0005-0000-0000-00008A670000}"/>
    <cellStyle name="Input 29 2 3 6 2" xfId="45032" xr:uid="{00000000-0005-0000-0000-00008B670000}"/>
    <cellStyle name="Input 29 2 3 6 3" xfId="48938" xr:uid="{00000000-0005-0000-0000-00008C670000}"/>
    <cellStyle name="Input 29 2 3 6 4" xfId="37049" xr:uid="{00000000-0005-0000-0000-00008D670000}"/>
    <cellStyle name="Input 29 2 3 7" xfId="20331" xr:uid="{00000000-0005-0000-0000-00008E670000}"/>
    <cellStyle name="Input 29 2 3 7 2" xfId="45868" xr:uid="{00000000-0005-0000-0000-00008F670000}"/>
    <cellStyle name="Input 29 2 3 7 3" xfId="49774" xr:uid="{00000000-0005-0000-0000-000090670000}"/>
    <cellStyle name="Input 29 2 3 7 4" xfId="37795" xr:uid="{00000000-0005-0000-0000-000091670000}"/>
    <cellStyle name="Input 29 2 3 8" xfId="20380" xr:uid="{00000000-0005-0000-0000-000092670000}"/>
    <cellStyle name="Input 29 2 3 8 2" xfId="45917" xr:uid="{00000000-0005-0000-0000-000093670000}"/>
    <cellStyle name="Input 29 2 3 8 3" xfId="49823" xr:uid="{00000000-0005-0000-0000-000094670000}"/>
    <cellStyle name="Input 29 2 3 9" xfId="39866" xr:uid="{00000000-0005-0000-0000-000095670000}"/>
    <cellStyle name="Input 29 2 4" xfId="53113" xr:uid="{00000000-0005-0000-0000-000096670000}"/>
    <cellStyle name="Input 29 2_Sheet1" xfId="1932" xr:uid="{00000000-0005-0000-0000-000097670000}"/>
    <cellStyle name="Input 29 3" xfId="1933" xr:uid="{00000000-0005-0000-0000-000098670000}"/>
    <cellStyle name="Input 29 3 2" xfId="7104" xr:uid="{00000000-0005-0000-0000-000099670000}"/>
    <cellStyle name="Input 29 3 2 10" xfId="47552" xr:uid="{00000000-0005-0000-0000-00009A670000}"/>
    <cellStyle name="Input 29 3 2 2" xfId="10634" xr:uid="{00000000-0005-0000-0000-00009B670000}"/>
    <cellStyle name="Input 29 3 2 2 2" xfId="18427" xr:uid="{00000000-0005-0000-0000-00009C670000}"/>
    <cellStyle name="Input 29 3 2 2 2 2" xfId="43974" xr:uid="{00000000-0005-0000-0000-00009D670000}"/>
    <cellStyle name="Input 29 3 2 2 2 3" xfId="47883" xr:uid="{00000000-0005-0000-0000-00009E670000}"/>
    <cellStyle name="Input 29 3 2 2 2 4" xfId="36064" xr:uid="{00000000-0005-0000-0000-00009F670000}"/>
    <cellStyle name="Input 29 3 2 2 3" xfId="20165" xr:uid="{00000000-0005-0000-0000-0000A0670000}"/>
    <cellStyle name="Input 29 3 2 2 3 2" xfId="45702" xr:uid="{00000000-0005-0000-0000-0000A1670000}"/>
    <cellStyle name="Input 29 3 2 2 3 3" xfId="49608" xr:uid="{00000000-0005-0000-0000-0000A2670000}"/>
    <cellStyle name="Input 29 3 2 2 3 4" xfId="37651" xr:uid="{00000000-0005-0000-0000-0000A3670000}"/>
    <cellStyle name="Input 29 3 2 2 4" xfId="11538" xr:uid="{00000000-0005-0000-0000-0000A4670000}"/>
    <cellStyle name="Input 29 3 2 2 4 2" xfId="41549" xr:uid="{00000000-0005-0000-0000-0000A5670000}"/>
    <cellStyle name="Input 29 3 2 2 4 3" xfId="42818" xr:uid="{00000000-0005-0000-0000-0000A6670000}"/>
    <cellStyle name="Input 29 3 2 2 4 4" xfId="29252" xr:uid="{00000000-0005-0000-0000-0000A7670000}"/>
    <cellStyle name="Input 29 3 2 2 5" xfId="20840" xr:uid="{00000000-0005-0000-0000-0000A8670000}"/>
    <cellStyle name="Input 29 3 2 2 5 2" xfId="46377" xr:uid="{00000000-0005-0000-0000-0000A9670000}"/>
    <cellStyle name="Input 29 3 2 2 5 3" xfId="50283" xr:uid="{00000000-0005-0000-0000-0000AA670000}"/>
    <cellStyle name="Input 29 3 2 2 5 4" xfId="38246" xr:uid="{00000000-0005-0000-0000-0000AB670000}"/>
    <cellStyle name="Input 29 3 2 2 6" xfId="21493" xr:uid="{00000000-0005-0000-0000-0000AC670000}"/>
    <cellStyle name="Input 29 3 2 2 6 2" xfId="47030" xr:uid="{00000000-0005-0000-0000-0000AD670000}"/>
    <cellStyle name="Input 29 3 2 2 6 3" xfId="50936" xr:uid="{00000000-0005-0000-0000-0000AE670000}"/>
    <cellStyle name="Input 29 3 2 2 7" xfId="40833" xr:uid="{00000000-0005-0000-0000-0000AF670000}"/>
    <cellStyle name="Input 29 3 2 2 8" xfId="42073" xr:uid="{00000000-0005-0000-0000-0000B0670000}"/>
    <cellStyle name="Input 29 3 2 3" xfId="10929" xr:uid="{00000000-0005-0000-0000-0000B1670000}"/>
    <cellStyle name="Input 29 3 2 3 2" xfId="18722" xr:uid="{00000000-0005-0000-0000-0000B2670000}"/>
    <cellStyle name="Input 29 3 2 3 2 2" xfId="44269" xr:uid="{00000000-0005-0000-0000-0000B3670000}"/>
    <cellStyle name="Input 29 3 2 3 2 3" xfId="48178" xr:uid="{00000000-0005-0000-0000-0000B4670000}"/>
    <cellStyle name="Input 29 3 2 3 2 4" xfId="36359" xr:uid="{00000000-0005-0000-0000-0000B5670000}"/>
    <cellStyle name="Input 29 3 2 3 3" xfId="19105" xr:uid="{00000000-0005-0000-0000-0000B6670000}"/>
    <cellStyle name="Input 29 3 2 3 3 2" xfId="44642" xr:uid="{00000000-0005-0000-0000-0000B7670000}"/>
    <cellStyle name="Input 29 3 2 3 3 3" xfId="48548" xr:uid="{00000000-0005-0000-0000-0000B8670000}"/>
    <cellStyle name="Input 29 3 2 3 3 4" xfId="36700" xr:uid="{00000000-0005-0000-0000-0000B9670000}"/>
    <cellStyle name="Input 29 3 2 3 4" xfId="19383" xr:uid="{00000000-0005-0000-0000-0000BA670000}"/>
    <cellStyle name="Input 29 3 2 3 4 2" xfId="44920" xr:uid="{00000000-0005-0000-0000-0000BB670000}"/>
    <cellStyle name="Input 29 3 2 3 4 3" xfId="48826" xr:uid="{00000000-0005-0000-0000-0000BC670000}"/>
    <cellStyle name="Input 29 3 2 3 4 4" xfId="36949" xr:uid="{00000000-0005-0000-0000-0000BD670000}"/>
    <cellStyle name="Input 29 3 2 3 5" xfId="21135" xr:uid="{00000000-0005-0000-0000-0000BE670000}"/>
    <cellStyle name="Input 29 3 2 3 5 2" xfId="46672" xr:uid="{00000000-0005-0000-0000-0000BF670000}"/>
    <cellStyle name="Input 29 3 2 3 5 3" xfId="50578" xr:uid="{00000000-0005-0000-0000-0000C0670000}"/>
    <cellStyle name="Input 29 3 2 3 5 4" xfId="38541" xr:uid="{00000000-0005-0000-0000-0000C1670000}"/>
    <cellStyle name="Input 29 3 2 3 6" xfId="21788" xr:uid="{00000000-0005-0000-0000-0000C2670000}"/>
    <cellStyle name="Input 29 3 2 3 6 2" xfId="47325" xr:uid="{00000000-0005-0000-0000-0000C3670000}"/>
    <cellStyle name="Input 29 3 2 3 6 3" xfId="51231" xr:uid="{00000000-0005-0000-0000-0000C4670000}"/>
    <cellStyle name="Input 29 3 2 3 7" xfId="41128" xr:uid="{00000000-0005-0000-0000-0000C5670000}"/>
    <cellStyle name="Input 29 3 2 3 8" xfId="39693" xr:uid="{00000000-0005-0000-0000-0000C6670000}"/>
    <cellStyle name="Input 29 3 2 4" xfId="14892" xr:uid="{00000000-0005-0000-0000-0000C7670000}"/>
    <cellStyle name="Input 29 3 2 4 2" xfId="43008" xr:uid="{00000000-0005-0000-0000-0000C8670000}"/>
    <cellStyle name="Input 29 3 2 4 3" xfId="40159" xr:uid="{00000000-0005-0000-0000-0000C9670000}"/>
    <cellStyle name="Input 29 3 2 4 4" xfId="32527" xr:uid="{00000000-0005-0000-0000-0000CA670000}"/>
    <cellStyle name="Input 29 3 2 5" xfId="11306" xr:uid="{00000000-0005-0000-0000-0000CB670000}"/>
    <cellStyle name="Input 29 3 2 5 2" xfId="41353" xr:uid="{00000000-0005-0000-0000-0000CC670000}"/>
    <cellStyle name="Input 29 3 2 5 3" xfId="39687" xr:uid="{00000000-0005-0000-0000-0000CD670000}"/>
    <cellStyle name="Input 29 3 2 5 4" xfId="29034" xr:uid="{00000000-0005-0000-0000-0000CE670000}"/>
    <cellStyle name="Input 29 3 2 6" xfId="19792" xr:uid="{00000000-0005-0000-0000-0000CF670000}"/>
    <cellStyle name="Input 29 3 2 6 2" xfId="45329" xr:uid="{00000000-0005-0000-0000-0000D0670000}"/>
    <cellStyle name="Input 29 3 2 6 3" xfId="49235" xr:uid="{00000000-0005-0000-0000-0000D1670000}"/>
    <cellStyle name="Input 29 3 2 6 4" xfId="37316" xr:uid="{00000000-0005-0000-0000-0000D2670000}"/>
    <cellStyle name="Input 29 3 2 7" xfId="19232" xr:uid="{00000000-0005-0000-0000-0000D3670000}"/>
    <cellStyle name="Input 29 3 2 7 2" xfId="44769" xr:uid="{00000000-0005-0000-0000-0000D4670000}"/>
    <cellStyle name="Input 29 3 2 7 3" xfId="48675" xr:uid="{00000000-0005-0000-0000-0000D5670000}"/>
    <cellStyle name="Input 29 3 2 7 4" xfId="36814" xr:uid="{00000000-0005-0000-0000-0000D6670000}"/>
    <cellStyle name="Input 29 3 2 8" xfId="18922" xr:uid="{00000000-0005-0000-0000-0000D7670000}"/>
    <cellStyle name="Input 29 3 2 8 2" xfId="44459" xr:uid="{00000000-0005-0000-0000-0000D8670000}"/>
    <cellStyle name="Input 29 3 2 8 3" xfId="48365" xr:uid="{00000000-0005-0000-0000-0000D9670000}"/>
    <cellStyle name="Input 29 3 2 9" xfId="39868" xr:uid="{00000000-0005-0000-0000-0000DA670000}"/>
    <cellStyle name="Input 29 3 3" xfId="53115" xr:uid="{00000000-0005-0000-0000-0000DB670000}"/>
    <cellStyle name="Input 29 4" xfId="7101" xr:uid="{00000000-0005-0000-0000-0000DC670000}"/>
    <cellStyle name="Input 29 4 10" xfId="39249" xr:uid="{00000000-0005-0000-0000-0000DD670000}"/>
    <cellStyle name="Input 29 4 11" xfId="53116" xr:uid="{00000000-0005-0000-0000-0000DE670000}"/>
    <cellStyle name="Input 29 4 2" xfId="10631" xr:uid="{00000000-0005-0000-0000-0000DF670000}"/>
    <cellStyle name="Input 29 4 2 2" xfId="18424" xr:uid="{00000000-0005-0000-0000-0000E0670000}"/>
    <cellStyle name="Input 29 4 2 2 2" xfId="43971" xr:uid="{00000000-0005-0000-0000-0000E1670000}"/>
    <cellStyle name="Input 29 4 2 2 3" xfId="47880" xr:uid="{00000000-0005-0000-0000-0000E2670000}"/>
    <cellStyle name="Input 29 4 2 2 4" xfId="36061" xr:uid="{00000000-0005-0000-0000-0000E3670000}"/>
    <cellStyle name="Input 29 4 2 3" xfId="19746" xr:uid="{00000000-0005-0000-0000-0000E4670000}"/>
    <cellStyle name="Input 29 4 2 3 2" xfId="45283" xr:uid="{00000000-0005-0000-0000-0000E5670000}"/>
    <cellStyle name="Input 29 4 2 3 3" xfId="49189" xr:uid="{00000000-0005-0000-0000-0000E6670000}"/>
    <cellStyle name="Input 29 4 2 3 4" xfId="37273" xr:uid="{00000000-0005-0000-0000-0000E7670000}"/>
    <cellStyle name="Input 29 4 2 4" xfId="12696" xr:uid="{00000000-0005-0000-0000-0000E8670000}"/>
    <cellStyle name="Input 29 4 2 4 2" xfId="42175" xr:uid="{00000000-0005-0000-0000-0000E9670000}"/>
    <cellStyle name="Input 29 4 2 4 3" xfId="43476" xr:uid="{00000000-0005-0000-0000-0000EA670000}"/>
    <cellStyle name="Input 29 4 2 4 4" xfId="30357" xr:uid="{00000000-0005-0000-0000-0000EB670000}"/>
    <cellStyle name="Input 29 4 2 5" xfId="20837" xr:uid="{00000000-0005-0000-0000-0000EC670000}"/>
    <cellStyle name="Input 29 4 2 5 2" xfId="46374" xr:uid="{00000000-0005-0000-0000-0000ED670000}"/>
    <cellStyle name="Input 29 4 2 5 3" xfId="50280" xr:uid="{00000000-0005-0000-0000-0000EE670000}"/>
    <cellStyle name="Input 29 4 2 5 4" xfId="38243" xr:uid="{00000000-0005-0000-0000-0000EF670000}"/>
    <cellStyle name="Input 29 4 2 6" xfId="21490" xr:uid="{00000000-0005-0000-0000-0000F0670000}"/>
    <cellStyle name="Input 29 4 2 6 2" xfId="47027" xr:uid="{00000000-0005-0000-0000-0000F1670000}"/>
    <cellStyle name="Input 29 4 2 6 3" xfId="50933" xr:uid="{00000000-0005-0000-0000-0000F2670000}"/>
    <cellStyle name="Input 29 4 2 7" xfId="40830" xr:uid="{00000000-0005-0000-0000-0000F3670000}"/>
    <cellStyle name="Input 29 4 2 8" xfId="43524" xr:uid="{00000000-0005-0000-0000-0000F4670000}"/>
    <cellStyle name="Input 29 4 3" xfId="10926" xr:uid="{00000000-0005-0000-0000-0000F5670000}"/>
    <cellStyle name="Input 29 4 3 2" xfId="18719" xr:uid="{00000000-0005-0000-0000-0000F6670000}"/>
    <cellStyle name="Input 29 4 3 2 2" xfId="44266" xr:uid="{00000000-0005-0000-0000-0000F7670000}"/>
    <cellStyle name="Input 29 4 3 2 3" xfId="48175" xr:uid="{00000000-0005-0000-0000-0000F8670000}"/>
    <cellStyle name="Input 29 4 3 2 4" xfId="36356" xr:uid="{00000000-0005-0000-0000-0000F9670000}"/>
    <cellStyle name="Input 29 4 3 3" xfId="20007" xr:uid="{00000000-0005-0000-0000-0000FA670000}"/>
    <cellStyle name="Input 29 4 3 3 2" xfId="45544" xr:uid="{00000000-0005-0000-0000-0000FB670000}"/>
    <cellStyle name="Input 29 4 3 3 3" xfId="49450" xr:uid="{00000000-0005-0000-0000-0000FC670000}"/>
    <cellStyle name="Input 29 4 3 3 4" xfId="37505" xr:uid="{00000000-0005-0000-0000-0000FD670000}"/>
    <cellStyle name="Input 29 4 3 4" xfId="20242" xr:uid="{00000000-0005-0000-0000-0000FE670000}"/>
    <cellStyle name="Input 29 4 3 4 2" xfId="45779" xr:uid="{00000000-0005-0000-0000-0000FF670000}"/>
    <cellStyle name="Input 29 4 3 4 3" xfId="49685" xr:uid="{00000000-0005-0000-0000-000000680000}"/>
    <cellStyle name="Input 29 4 3 4 4" xfId="37715" xr:uid="{00000000-0005-0000-0000-000001680000}"/>
    <cellStyle name="Input 29 4 3 5" xfId="21132" xr:uid="{00000000-0005-0000-0000-000002680000}"/>
    <cellStyle name="Input 29 4 3 5 2" xfId="46669" xr:uid="{00000000-0005-0000-0000-000003680000}"/>
    <cellStyle name="Input 29 4 3 5 3" xfId="50575" xr:uid="{00000000-0005-0000-0000-000004680000}"/>
    <cellStyle name="Input 29 4 3 5 4" xfId="38538" xr:uid="{00000000-0005-0000-0000-000005680000}"/>
    <cellStyle name="Input 29 4 3 6" xfId="21785" xr:uid="{00000000-0005-0000-0000-000006680000}"/>
    <cellStyle name="Input 29 4 3 6 2" xfId="47322" xr:uid="{00000000-0005-0000-0000-000007680000}"/>
    <cellStyle name="Input 29 4 3 6 3" xfId="51228" xr:uid="{00000000-0005-0000-0000-000008680000}"/>
    <cellStyle name="Input 29 4 3 7" xfId="41125" xr:uid="{00000000-0005-0000-0000-000009680000}"/>
    <cellStyle name="Input 29 4 3 8" xfId="42834" xr:uid="{00000000-0005-0000-0000-00000A680000}"/>
    <cellStyle name="Input 29 4 4" xfId="14889" xr:uid="{00000000-0005-0000-0000-00000B680000}"/>
    <cellStyle name="Input 29 4 4 2" xfId="43005" xr:uid="{00000000-0005-0000-0000-00000C680000}"/>
    <cellStyle name="Input 29 4 4 3" xfId="39431" xr:uid="{00000000-0005-0000-0000-00000D680000}"/>
    <cellStyle name="Input 29 4 4 4" xfId="32524" xr:uid="{00000000-0005-0000-0000-00000E680000}"/>
    <cellStyle name="Input 29 4 5" xfId="11305" xr:uid="{00000000-0005-0000-0000-00000F680000}"/>
    <cellStyle name="Input 29 4 5 2" xfId="41352" xr:uid="{00000000-0005-0000-0000-000010680000}"/>
    <cellStyle name="Input 29 4 5 3" xfId="40576" xr:uid="{00000000-0005-0000-0000-000011680000}"/>
    <cellStyle name="Input 29 4 5 4" xfId="29033" xr:uid="{00000000-0005-0000-0000-000012680000}"/>
    <cellStyle name="Input 29 4 6" xfId="13903" xr:uid="{00000000-0005-0000-0000-000013680000}"/>
    <cellStyle name="Input 29 4 6 2" xfId="42638" xr:uid="{00000000-0005-0000-0000-000014680000}"/>
    <cellStyle name="Input 29 4 6 3" xfId="40429" xr:uid="{00000000-0005-0000-0000-000015680000}"/>
    <cellStyle name="Input 29 4 6 4" xfId="31542" xr:uid="{00000000-0005-0000-0000-000016680000}"/>
    <cellStyle name="Input 29 4 7" xfId="20062" xr:uid="{00000000-0005-0000-0000-000017680000}"/>
    <cellStyle name="Input 29 4 7 2" xfId="45599" xr:uid="{00000000-0005-0000-0000-000018680000}"/>
    <cellStyle name="Input 29 4 7 3" xfId="49505" xr:uid="{00000000-0005-0000-0000-000019680000}"/>
    <cellStyle name="Input 29 4 7 4" xfId="37557" xr:uid="{00000000-0005-0000-0000-00001A680000}"/>
    <cellStyle name="Input 29 4 8" xfId="20287" xr:uid="{00000000-0005-0000-0000-00001B680000}"/>
    <cellStyle name="Input 29 4 8 2" xfId="45824" xr:uid="{00000000-0005-0000-0000-00001C680000}"/>
    <cellStyle name="Input 29 4 8 3" xfId="49730" xr:uid="{00000000-0005-0000-0000-00001D680000}"/>
    <cellStyle name="Input 29 4 9" xfId="39865" xr:uid="{00000000-0005-0000-0000-00001E680000}"/>
    <cellStyle name="Input 29 5" xfId="22464" xr:uid="{00000000-0005-0000-0000-00001F680000}"/>
    <cellStyle name="Input 29 6" xfId="22915" xr:uid="{00000000-0005-0000-0000-000020680000}"/>
    <cellStyle name="Input 29 7" xfId="53112" xr:uid="{00000000-0005-0000-0000-000021680000}"/>
    <cellStyle name="Input 29_Sheet1" xfId="1934" xr:uid="{00000000-0005-0000-0000-000022680000}"/>
    <cellStyle name="Input 3" xfId="107" xr:uid="{00000000-0005-0000-0000-000023680000}"/>
    <cellStyle name="Input 3 10" xfId="1936" xr:uid="{00000000-0005-0000-0000-000024680000}"/>
    <cellStyle name="Input 3 10 2" xfId="7106" xr:uid="{00000000-0005-0000-0000-000025680000}"/>
    <cellStyle name="Input 3 10 2 10" xfId="39247" xr:uid="{00000000-0005-0000-0000-000026680000}"/>
    <cellStyle name="Input 3 10 2 2" xfId="10636" xr:uid="{00000000-0005-0000-0000-000027680000}"/>
    <cellStyle name="Input 3 10 2 2 2" xfId="18429" xr:uid="{00000000-0005-0000-0000-000028680000}"/>
    <cellStyle name="Input 3 10 2 2 2 2" xfId="43976" xr:uid="{00000000-0005-0000-0000-000029680000}"/>
    <cellStyle name="Input 3 10 2 2 2 3" xfId="47885" xr:uid="{00000000-0005-0000-0000-00002A680000}"/>
    <cellStyle name="Input 3 10 2 2 2 4" xfId="36066" xr:uid="{00000000-0005-0000-0000-00002B680000}"/>
    <cellStyle name="Input 3 10 2 2 3" xfId="20031" xr:uid="{00000000-0005-0000-0000-00002C680000}"/>
    <cellStyle name="Input 3 10 2 2 3 2" xfId="45568" xr:uid="{00000000-0005-0000-0000-00002D680000}"/>
    <cellStyle name="Input 3 10 2 2 3 3" xfId="49474" xr:uid="{00000000-0005-0000-0000-00002E680000}"/>
    <cellStyle name="Input 3 10 2 2 3 4" xfId="37529" xr:uid="{00000000-0005-0000-0000-00002F680000}"/>
    <cellStyle name="Input 3 10 2 2 4" xfId="11174" xr:uid="{00000000-0005-0000-0000-000030680000}"/>
    <cellStyle name="Input 3 10 2 2 4 2" xfId="41297" xr:uid="{00000000-0005-0000-0000-000031680000}"/>
    <cellStyle name="Input 3 10 2 2 4 3" xfId="40081" xr:uid="{00000000-0005-0000-0000-000032680000}"/>
    <cellStyle name="Input 3 10 2 2 4 4" xfId="28902" xr:uid="{00000000-0005-0000-0000-000033680000}"/>
    <cellStyle name="Input 3 10 2 2 5" xfId="20842" xr:uid="{00000000-0005-0000-0000-000034680000}"/>
    <cellStyle name="Input 3 10 2 2 5 2" xfId="46379" xr:uid="{00000000-0005-0000-0000-000035680000}"/>
    <cellStyle name="Input 3 10 2 2 5 3" xfId="50285" xr:uid="{00000000-0005-0000-0000-000036680000}"/>
    <cellStyle name="Input 3 10 2 2 5 4" xfId="38248" xr:uid="{00000000-0005-0000-0000-000037680000}"/>
    <cellStyle name="Input 3 10 2 2 6" xfId="21495" xr:uid="{00000000-0005-0000-0000-000038680000}"/>
    <cellStyle name="Input 3 10 2 2 6 2" xfId="47032" xr:uid="{00000000-0005-0000-0000-000039680000}"/>
    <cellStyle name="Input 3 10 2 2 6 3" xfId="50938" xr:uid="{00000000-0005-0000-0000-00003A680000}"/>
    <cellStyle name="Input 3 10 2 2 7" xfId="40835" xr:uid="{00000000-0005-0000-0000-00003B680000}"/>
    <cellStyle name="Input 3 10 2 2 8" xfId="40254" xr:uid="{00000000-0005-0000-0000-00003C680000}"/>
    <cellStyle name="Input 3 10 2 3" xfId="10931" xr:uid="{00000000-0005-0000-0000-00003D680000}"/>
    <cellStyle name="Input 3 10 2 3 2" xfId="18724" xr:uid="{00000000-0005-0000-0000-00003E680000}"/>
    <cellStyle name="Input 3 10 2 3 2 2" xfId="44271" xr:uid="{00000000-0005-0000-0000-00003F680000}"/>
    <cellStyle name="Input 3 10 2 3 2 3" xfId="48180" xr:uid="{00000000-0005-0000-0000-000040680000}"/>
    <cellStyle name="Input 3 10 2 3 2 4" xfId="36361" xr:uid="{00000000-0005-0000-0000-000041680000}"/>
    <cellStyle name="Input 3 10 2 3 3" xfId="11531" xr:uid="{00000000-0005-0000-0000-000042680000}"/>
    <cellStyle name="Input 3 10 2 3 3 2" xfId="41542" xr:uid="{00000000-0005-0000-0000-000043680000}"/>
    <cellStyle name="Input 3 10 2 3 3 3" xfId="43350" xr:uid="{00000000-0005-0000-0000-000044680000}"/>
    <cellStyle name="Input 3 10 2 3 3 4" xfId="29246" xr:uid="{00000000-0005-0000-0000-000045680000}"/>
    <cellStyle name="Input 3 10 2 3 4" xfId="11847" xr:uid="{00000000-0005-0000-0000-000046680000}"/>
    <cellStyle name="Input 3 10 2 3 4 2" xfId="41765" xr:uid="{00000000-0005-0000-0000-000047680000}"/>
    <cellStyle name="Input 3 10 2 3 4 3" xfId="43488" xr:uid="{00000000-0005-0000-0000-000048680000}"/>
    <cellStyle name="Input 3 10 2 3 4 4" xfId="29531" xr:uid="{00000000-0005-0000-0000-000049680000}"/>
    <cellStyle name="Input 3 10 2 3 5" xfId="21137" xr:uid="{00000000-0005-0000-0000-00004A680000}"/>
    <cellStyle name="Input 3 10 2 3 5 2" xfId="46674" xr:uid="{00000000-0005-0000-0000-00004B680000}"/>
    <cellStyle name="Input 3 10 2 3 5 3" xfId="50580" xr:uid="{00000000-0005-0000-0000-00004C680000}"/>
    <cellStyle name="Input 3 10 2 3 5 4" xfId="38543" xr:uid="{00000000-0005-0000-0000-00004D680000}"/>
    <cellStyle name="Input 3 10 2 3 6" xfId="21790" xr:uid="{00000000-0005-0000-0000-00004E680000}"/>
    <cellStyle name="Input 3 10 2 3 6 2" xfId="47327" xr:uid="{00000000-0005-0000-0000-00004F680000}"/>
    <cellStyle name="Input 3 10 2 3 6 3" xfId="51233" xr:uid="{00000000-0005-0000-0000-000050680000}"/>
    <cellStyle name="Input 3 10 2 3 7" xfId="41130" xr:uid="{00000000-0005-0000-0000-000051680000}"/>
    <cellStyle name="Input 3 10 2 3 8" xfId="43619" xr:uid="{00000000-0005-0000-0000-000052680000}"/>
    <cellStyle name="Input 3 10 2 4" xfId="14894" xr:uid="{00000000-0005-0000-0000-000053680000}"/>
    <cellStyle name="Input 3 10 2 4 2" xfId="43010" xr:uid="{00000000-0005-0000-0000-000054680000}"/>
    <cellStyle name="Input 3 10 2 4 3" xfId="39061" xr:uid="{00000000-0005-0000-0000-000055680000}"/>
    <cellStyle name="Input 3 10 2 4 4" xfId="32529" xr:uid="{00000000-0005-0000-0000-000056680000}"/>
    <cellStyle name="Input 3 10 2 5" xfId="13143" xr:uid="{00000000-0005-0000-0000-000057680000}"/>
    <cellStyle name="Input 3 10 2 5 2" xfId="42364" xr:uid="{00000000-0005-0000-0000-000058680000}"/>
    <cellStyle name="Input 3 10 2 5 3" xfId="40178" xr:uid="{00000000-0005-0000-0000-000059680000}"/>
    <cellStyle name="Input 3 10 2 5 4" xfId="30792" xr:uid="{00000000-0005-0000-0000-00005A680000}"/>
    <cellStyle name="Input 3 10 2 6" xfId="13308" xr:uid="{00000000-0005-0000-0000-00005B680000}"/>
    <cellStyle name="Input 3 10 2 6 2" xfId="42478" xr:uid="{00000000-0005-0000-0000-00005C680000}"/>
    <cellStyle name="Input 3 10 2 6 3" xfId="42548" xr:uid="{00000000-0005-0000-0000-00005D680000}"/>
    <cellStyle name="Input 3 10 2 6 4" xfId="30949" xr:uid="{00000000-0005-0000-0000-00005E680000}"/>
    <cellStyle name="Input 3 10 2 7" xfId="20532" xr:uid="{00000000-0005-0000-0000-00005F680000}"/>
    <cellStyle name="Input 3 10 2 7 2" xfId="46069" xr:uid="{00000000-0005-0000-0000-000060680000}"/>
    <cellStyle name="Input 3 10 2 7 3" xfId="49975" xr:uid="{00000000-0005-0000-0000-000061680000}"/>
    <cellStyle name="Input 3 10 2 7 4" xfId="37961" xr:uid="{00000000-0005-0000-0000-000062680000}"/>
    <cellStyle name="Input 3 10 2 8" xfId="18976" xr:uid="{00000000-0005-0000-0000-000063680000}"/>
    <cellStyle name="Input 3 10 2 8 2" xfId="44513" xr:uid="{00000000-0005-0000-0000-000064680000}"/>
    <cellStyle name="Input 3 10 2 8 3" xfId="48419" xr:uid="{00000000-0005-0000-0000-000065680000}"/>
    <cellStyle name="Input 3 10 2 9" xfId="39870" xr:uid="{00000000-0005-0000-0000-000066680000}"/>
    <cellStyle name="Input 3 10 3" xfId="53118" xr:uid="{00000000-0005-0000-0000-000067680000}"/>
    <cellStyle name="Input 3 11" xfId="1937" xr:uid="{00000000-0005-0000-0000-000068680000}"/>
    <cellStyle name="Input 3 11 2" xfId="7107" xr:uid="{00000000-0005-0000-0000-000069680000}"/>
    <cellStyle name="Input 3 11 2 10" xfId="39246" xr:uid="{00000000-0005-0000-0000-00006A680000}"/>
    <cellStyle name="Input 3 11 2 2" xfId="10637" xr:uid="{00000000-0005-0000-0000-00006B680000}"/>
    <cellStyle name="Input 3 11 2 2 2" xfId="18430" xr:uid="{00000000-0005-0000-0000-00006C680000}"/>
    <cellStyle name="Input 3 11 2 2 2 2" xfId="43977" xr:uid="{00000000-0005-0000-0000-00006D680000}"/>
    <cellStyle name="Input 3 11 2 2 2 3" xfId="47886" xr:uid="{00000000-0005-0000-0000-00006E680000}"/>
    <cellStyle name="Input 3 11 2 2 2 4" xfId="36067" xr:uid="{00000000-0005-0000-0000-00006F680000}"/>
    <cellStyle name="Input 3 11 2 2 3" xfId="19297" xr:uid="{00000000-0005-0000-0000-000070680000}"/>
    <cellStyle name="Input 3 11 2 2 3 2" xfId="44834" xr:uid="{00000000-0005-0000-0000-000071680000}"/>
    <cellStyle name="Input 3 11 2 2 3 3" xfId="48740" xr:uid="{00000000-0005-0000-0000-000072680000}"/>
    <cellStyle name="Input 3 11 2 2 3 4" xfId="36875" xr:uid="{00000000-0005-0000-0000-000073680000}"/>
    <cellStyle name="Input 3 11 2 2 4" xfId="18928" xr:uid="{00000000-0005-0000-0000-000074680000}"/>
    <cellStyle name="Input 3 11 2 2 4 2" xfId="44465" xr:uid="{00000000-0005-0000-0000-000075680000}"/>
    <cellStyle name="Input 3 11 2 2 4 3" xfId="48371" xr:uid="{00000000-0005-0000-0000-000076680000}"/>
    <cellStyle name="Input 3 11 2 2 4 4" xfId="36556" xr:uid="{00000000-0005-0000-0000-000077680000}"/>
    <cellStyle name="Input 3 11 2 2 5" xfId="20843" xr:uid="{00000000-0005-0000-0000-000078680000}"/>
    <cellStyle name="Input 3 11 2 2 5 2" xfId="46380" xr:uid="{00000000-0005-0000-0000-000079680000}"/>
    <cellStyle name="Input 3 11 2 2 5 3" xfId="50286" xr:uid="{00000000-0005-0000-0000-00007A680000}"/>
    <cellStyle name="Input 3 11 2 2 5 4" xfId="38249" xr:uid="{00000000-0005-0000-0000-00007B680000}"/>
    <cellStyle name="Input 3 11 2 2 6" xfId="21496" xr:uid="{00000000-0005-0000-0000-00007C680000}"/>
    <cellStyle name="Input 3 11 2 2 6 2" xfId="47033" xr:uid="{00000000-0005-0000-0000-00007D680000}"/>
    <cellStyle name="Input 3 11 2 2 6 3" xfId="50939" xr:uid="{00000000-0005-0000-0000-00007E680000}"/>
    <cellStyle name="Input 3 11 2 2 7" xfId="40836" xr:uid="{00000000-0005-0000-0000-00007F680000}"/>
    <cellStyle name="Input 3 11 2 2 8" xfId="39394" xr:uid="{00000000-0005-0000-0000-000080680000}"/>
    <cellStyle name="Input 3 11 2 3" xfId="10932" xr:uid="{00000000-0005-0000-0000-000081680000}"/>
    <cellStyle name="Input 3 11 2 3 2" xfId="18725" xr:uid="{00000000-0005-0000-0000-000082680000}"/>
    <cellStyle name="Input 3 11 2 3 2 2" xfId="44272" xr:uid="{00000000-0005-0000-0000-000083680000}"/>
    <cellStyle name="Input 3 11 2 3 2 3" xfId="48181" xr:uid="{00000000-0005-0000-0000-000084680000}"/>
    <cellStyle name="Input 3 11 2 3 2 4" xfId="36362" xr:uid="{00000000-0005-0000-0000-000085680000}"/>
    <cellStyle name="Input 3 11 2 3 3" xfId="13356" xr:uid="{00000000-0005-0000-0000-000086680000}"/>
    <cellStyle name="Input 3 11 2 3 3 2" xfId="42526" xr:uid="{00000000-0005-0000-0000-000087680000}"/>
    <cellStyle name="Input 3 11 2 3 3 3" xfId="42790" xr:uid="{00000000-0005-0000-0000-000088680000}"/>
    <cellStyle name="Input 3 11 2 3 3 4" xfId="30996" xr:uid="{00000000-0005-0000-0000-000089680000}"/>
    <cellStyle name="Input 3 11 2 3 4" xfId="20357" xr:uid="{00000000-0005-0000-0000-00008A680000}"/>
    <cellStyle name="Input 3 11 2 3 4 2" xfId="45894" xr:uid="{00000000-0005-0000-0000-00008B680000}"/>
    <cellStyle name="Input 3 11 2 3 4 3" xfId="49800" xr:uid="{00000000-0005-0000-0000-00008C680000}"/>
    <cellStyle name="Input 3 11 2 3 4 4" xfId="37813" xr:uid="{00000000-0005-0000-0000-00008D680000}"/>
    <cellStyle name="Input 3 11 2 3 5" xfId="21138" xr:uid="{00000000-0005-0000-0000-00008E680000}"/>
    <cellStyle name="Input 3 11 2 3 5 2" xfId="46675" xr:uid="{00000000-0005-0000-0000-00008F680000}"/>
    <cellStyle name="Input 3 11 2 3 5 3" xfId="50581" xr:uid="{00000000-0005-0000-0000-000090680000}"/>
    <cellStyle name="Input 3 11 2 3 5 4" xfId="38544" xr:uid="{00000000-0005-0000-0000-000091680000}"/>
    <cellStyle name="Input 3 11 2 3 6" xfId="21791" xr:uid="{00000000-0005-0000-0000-000092680000}"/>
    <cellStyle name="Input 3 11 2 3 6 2" xfId="47328" xr:uid="{00000000-0005-0000-0000-000093680000}"/>
    <cellStyle name="Input 3 11 2 3 6 3" xfId="51234" xr:uid="{00000000-0005-0000-0000-000094680000}"/>
    <cellStyle name="Input 3 11 2 3 7" xfId="41131" xr:uid="{00000000-0005-0000-0000-000095680000}"/>
    <cellStyle name="Input 3 11 2 3 8" xfId="40477" xr:uid="{00000000-0005-0000-0000-000096680000}"/>
    <cellStyle name="Input 3 11 2 4" xfId="14895" xr:uid="{00000000-0005-0000-0000-000097680000}"/>
    <cellStyle name="Input 3 11 2 4 2" xfId="43011" xr:uid="{00000000-0005-0000-0000-000098680000}"/>
    <cellStyle name="Input 3 11 2 4 3" xfId="47582" xr:uid="{00000000-0005-0000-0000-000099680000}"/>
    <cellStyle name="Input 3 11 2 4 4" xfId="32530" xr:uid="{00000000-0005-0000-0000-00009A680000}"/>
    <cellStyle name="Input 3 11 2 5" xfId="13144" xr:uid="{00000000-0005-0000-0000-00009B680000}"/>
    <cellStyle name="Input 3 11 2 5 2" xfId="42365" xr:uid="{00000000-0005-0000-0000-00009C680000}"/>
    <cellStyle name="Input 3 11 2 5 3" xfId="39301" xr:uid="{00000000-0005-0000-0000-00009D680000}"/>
    <cellStyle name="Input 3 11 2 5 4" xfId="30793" xr:uid="{00000000-0005-0000-0000-00009E680000}"/>
    <cellStyle name="Input 3 11 2 6" xfId="11365" xr:uid="{00000000-0005-0000-0000-00009F680000}"/>
    <cellStyle name="Input 3 11 2 6 2" xfId="41401" xr:uid="{00000000-0005-0000-0000-0000A0680000}"/>
    <cellStyle name="Input 3 11 2 6 3" xfId="40572" xr:uid="{00000000-0005-0000-0000-0000A1680000}"/>
    <cellStyle name="Input 3 11 2 6 4" xfId="29088" xr:uid="{00000000-0005-0000-0000-0000A2680000}"/>
    <cellStyle name="Input 3 11 2 7" xfId="20472" xr:uid="{00000000-0005-0000-0000-0000A3680000}"/>
    <cellStyle name="Input 3 11 2 7 2" xfId="46009" xr:uid="{00000000-0005-0000-0000-0000A4680000}"/>
    <cellStyle name="Input 3 11 2 7 3" xfId="49915" xr:uid="{00000000-0005-0000-0000-0000A5680000}"/>
    <cellStyle name="Input 3 11 2 7 4" xfId="37925" xr:uid="{00000000-0005-0000-0000-0000A6680000}"/>
    <cellStyle name="Input 3 11 2 8" xfId="20613" xr:uid="{00000000-0005-0000-0000-0000A7680000}"/>
    <cellStyle name="Input 3 11 2 8 2" xfId="46150" xr:uid="{00000000-0005-0000-0000-0000A8680000}"/>
    <cellStyle name="Input 3 11 2 8 3" xfId="50056" xr:uid="{00000000-0005-0000-0000-0000A9680000}"/>
    <cellStyle name="Input 3 11 2 9" xfId="39871" xr:uid="{00000000-0005-0000-0000-0000AA680000}"/>
    <cellStyle name="Input 3 11 3" xfId="53119" xr:uid="{00000000-0005-0000-0000-0000AB680000}"/>
    <cellStyle name="Input 3 12" xfId="1938" xr:uid="{00000000-0005-0000-0000-0000AC680000}"/>
    <cellStyle name="Input 3 12 2" xfId="7108" xr:uid="{00000000-0005-0000-0000-0000AD680000}"/>
    <cellStyle name="Input 3 12 2 10" xfId="39245" xr:uid="{00000000-0005-0000-0000-0000AE680000}"/>
    <cellStyle name="Input 3 12 2 2" xfId="10638" xr:uid="{00000000-0005-0000-0000-0000AF680000}"/>
    <cellStyle name="Input 3 12 2 2 2" xfId="18431" xr:uid="{00000000-0005-0000-0000-0000B0680000}"/>
    <cellStyle name="Input 3 12 2 2 2 2" xfId="43978" xr:uid="{00000000-0005-0000-0000-0000B1680000}"/>
    <cellStyle name="Input 3 12 2 2 2 3" xfId="47887" xr:uid="{00000000-0005-0000-0000-0000B2680000}"/>
    <cellStyle name="Input 3 12 2 2 2 4" xfId="36068" xr:uid="{00000000-0005-0000-0000-0000B3680000}"/>
    <cellStyle name="Input 3 12 2 2 3" xfId="19906" xr:uid="{00000000-0005-0000-0000-0000B4680000}"/>
    <cellStyle name="Input 3 12 2 2 3 2" xfId="45443" xr:uid="{00000000-0005-0000-0000-0000B5680000}"/>
    <cellStyle name="Input 3 12 2 2 3 3" xfId="49349" xr:uid="{00000000-0005-0000-0000-0000B6680000}"/>
    <cellStyle name="Input 3 12 2 2 3 4" xfId="37420" xr:uid="{00000000-0005-0000-0000-0000B7680000}"/>
    <cellStyle name="Input 3 12 2 2 4" xfId="11441" xr:uid="{00000000-0005-0000-0000-0000B8680000}"/>
    <cellStyle name="Input 3 12 2 2 4 2" xfId="41457" xr:uid="{00000000-0005-0000-0000-0000B9680000}"/>
    <cellStyle name="Input 3 12 2 2 4 3" xfId="39360" xr:uid="{00000000-0005-0000-0000-0000BA680000}"/>
    <cellStyle name="Input 3 12 2 2 4 4" xfId="29161" xr:uid="{00000000-0005-0000-0000-0000BB680000}"/>
    <cellStyle name="Input 3 12 2 2 5" xfId="20844" xr:uid="{00000000-0005-0000-0000-0000BC680000}"/>
    <cellStyle name="Input 3 12 2 2 5 2" xfId="46381" xr:uid="{00000000-0005-0000-0000-0000BD680000}"/>
    <cellStyle name="Input 3 12 2 2 5 3" xfId="50287" xr:uid="{00000000-0005-0000-0000-0000BE680000}"/>
    <cellStyle name="Input 3 12 2 2 5 4" xfId="38250" xr:uid="{00000000-0005-0000-0000-0000BF680000}"/>
    <cellStyle name="Input 3 12 2 2 6" xfId="21497" xr:uid="{00000000-0005-0000-0000-0000C0680000}"/>
    <cellStyle name="Input 3 12 2 2 6 2" xfId="47034" xr:uid="{00000000-0005-0000-0000-0000C1680000}"/>
    <cellStyle name="Input 3 12 2 2 6 3" xfId="50940" xr:uid="{00000000-0005-0000-0000-0000C2680000}"/>
    <cellStyle name="Input 3 12 2 2 7" xfId="40837" xr:uid="{00000000-0005-0000-0000-0000C3680000}"/>
    <cellStyle name="Input 3 12 2 2 8" xfId="39197" xr:uid="{00000000-0005-0000-0000-0000C4680000}"/>
    <cellStyle name="Input 3 12 2 3" xfId="10933" xr:uid="{00000000-0005-0000-0000-0000C5680000}"/>
    <cellStyle name="Input 3 12 2 3 2" xfId="18726" xr:uid="{00000000-0005-0000-0000-0000C6680000}"/>
    <cellStyle name="Input 3 12 2 3 2 2" xfId="44273" xr:uid="{00000000-0005-0000-0000-0000C7680000}"/>
    <cellStyle name="Input 3 12 2 3 2 3" xfId="48182" xr:uid="{00000000-0005-0000-0000-0000C8680000}"/>
    <cellStyle name="Input 3 12 2 3 2 4" xfId="36363" xr:uid="{00000000-0005-0000-0000-0000C9680000}"/>
    <cellStyle name="Input 3 12 2 3 3" xfId="19584" xr:uid="{00000000-0005-0000-0000-0000CA680000}"/>
    <cellStyle name="Input 3 12 2 3 3 2" xfId="45121" xr:uid="{00000000-0005-0000-0000-0000CB680000}"/>
    <cellStyle name="Input 3 12 2 3 3 3" xfId="49027" xr:uid="{00000000-0005-0000-0000-0000CC680000}"/>
    <cellStyle name="Input 3 12 2 3 3 4" xfId="37124" xr:uid="{00000000-0005-0000-0000-0000CD680000}"/>
    <cellStyle name="Input 3 12 2 3 4" xfId="18937" xr:uid="{00000000-0005-0000-0000-0000CE680000}"/>
    <cellStyle name="Input 3 12 2 3 4 2" xfId="44474" xr:uid="{00000000-0005-0000-0000-0000CF680000}"/>
    <cellStyle name="Input 3 12 2 3 4 3" xfId="48380" xr:uid="{00000000-0005-0000-0000-0000D0680000}"/>
    <cellStyle name="Input 3 12 2 3 4 4" xfId="36564" xr:uid="{00000000-0005-0000-0000-0000D1680000}"/>
    <cellStyle name="Input 3 12 2 3 5" xfId="21139" xr:uid="{00000000-0005-0000-0000-0000D2680000}"/>
    <cellStyle name="Input 3 12 2 3 5 2" xfId="46676" xr:uid="{00000000-0005-0000-0000-0000D3680000}"/>
    <cellStyle name="Input 3 12 2 3 5 3" xfId="50582" xr:uid="{00000000-0005-0000-0000-0000D4680000}"/>
    <cellStyle name="Input 3 12 2 3 5 4" xfId="38545" xr:uid="{00000000-0005-0000-0000-0000D5680000}"/>
    <cellStyle name="Input 3 12 2 3 6" xfId="21792" xr:uid="{00000000-0005-0000-0000-0000D6680000}"/>
    <cellStyle name="Input 3 12 2 3 6 2" xfId="47329" xr:uid="{00000000-0005-0000-0000-0000D7680000}"/>
    <cellStyle name="Input 3 12 2 3 6 3" xfId="51235" xr:uid="{00000000-0005-0000-0000-0000D8680000}"/>
    <cellStyle name="Input 3 12 2 3 7" xfId="41132" xr:uid="{00000000-0005-0000-0000-0000D9680000}"/>
    <cellStyle name="Input 3 12 2 3 8" xfId="39587" xr:uid="{00000000-0005-0000-0000-0000DA680000}"/>
    <cellStyle name="Input 3 12 2 4" xfId="14896" xr:uid="{00000000-0005-0000-0000-0000DB680000}"/>
    <cellStyle name="Input 3 12 2 4 2" xfId="43012" xr:uid="{00000000-0005-0000-0000-0000DC680000}"/>
    <cellStyle name="Input 3 12 2 4 3" xfId="39060" xr:uid="{00000000-0005-0000-0000-0000DD680000}"/>
    <cellStyle name="Input 3 12 2 4 4" xfId="32531" xr:uid="{00000000-0005-0000-0000-0000DE680000}"/>
    <cellStyle name="Input 3 12 2 5" xfId="13145" xr:uid="{00000000-0005-0000-0000-0000DF680000}"/>
    <cellStyle name="Input 3 12 2 5 2" xfId="42366" xr:uid="{00000000-0005-0000-0000-0000E0680000}"/>
    <cellStyle name="Input 3 12 2 5 3" xfId="39103" xr:uid="{00000000-0005-0000-0000-0000E1680000}"/>
    <cellStyle name="Input 3 12 2 5 4" xfId="30794" xr:uid="{00000000-0005-0000-0000-0000E2680000}"/>
    <cellStyle name="Input 3 12 2 6" xfId="20050" xr:uid="{00000000-0005-0000-0000-0000E3680000}"/>
    <cellStyle name="Input 3 12 2 6 2" xfId="45587" xr:uid="{00000000-0005-0000-0000-0000E4680000}"/>
    <cellStyle name="Input 3 12 2 6 3" xfId="49493" xr:uid="{00000000-0005-0000-0000-0000E5680000}"/>
    <cellStyle name="Input 3 12 2 6 4" xfId="37548" xr:uid="{00000000-0005-0000-0000-0000E6680000}"/>
    <cellStyle name="Input 3 12 2 7" xfId="19565" xr:uid="{00000000-0005-0000-0000-0000E7680000}"/>
    <cellStyle name="Input 3 12 2 7 2" xfId="45102" xr:uid="{00000000-0005-0000-0000-0000E8680000}"/>
    <cellStyle name="Input 3 12 2 7 3" xfId="49008" xr:uid="{00000000-0005-0000-0000-0000E9680000}"/>
    <cellStyle name="Input 3 12 2 7 4" xfId="37106" xr:uid="{00000000-0005-0000-0000-0000EA680000}"/>
    <cellStyle name="Input 3 12 2 8" xfId="11333" xr:uid="{00000000-0005-0000-0000-0000EB680000}"/>
    <cellStyle name="Input 3 12 2 8 2" xfId="41378" xr:uid="{00000000-0005-0000-0000-0000EC680000}"/>
    <cellStyle name="Input 3 12 2 8 3" xfId="40222" xr:uid="{00000000-0005-0000-0000-0000ED680000}"/>
    <cellStyle name="Input 3 12 2 9" xfId="39872" xr:uid="{00000000-0005-0000-0000-0000EE680000}"/>
    <cellStyle name="Input 3 12 3" xfId="53120" xr:uid="{00000000-0005-0000-0000-0000EF680000}"/>
    <cellStyle name="Input 3 13" xfId="1939" xr:uid="{00000000-0005-0000-0000-0000F0680000}"/>
    <cellStyle name="Input 3 13 2" xfId="7109" xr:uid="{00000000-0005-0000-0000-0000F1680000}"/>
    <cellStyle name="Input 3 13 2 10" xfId="39244" xr:uid="{00000000-0005-0000-0000-0000F2680000}"/>
    <cellStyle name="Input 3 13 2 2" xfId="10639" xr:uid="{00000000-0005-0000-0000-0000F3680000}"/>
    <cellStyle name="Input 3 13 2 2 2" xfId="18432" xr:uid="{00000000-0005-0000-0000-0000F4680000}"/>
    <cellStyle name="Input 3 13 2 2 2 2" xfId="43979" xr:uid="{00000000-0005-0000-0000-0000F5680000}"/>
    <cellStyle name="Input 3 13 2 2 2 3" xfId="47888" xr:uid="{00000000-0005-0000-0000-0000F6680000}"/>
    <cellStyle name="Input 3 13 2 2 2 4" xfId="36069" xr:uid="{00000000-0005-0000-0000-0000F7680000}"/>
    <cellStyle name="Input 3 13 2 2 3" xfId="19129" xr:uid="{00000000-0005-0000-0000-0000F8680000}"/>
    <cellStyle name="Input 3 13 2 2 3 2" xfId="44666" xr:uid="{00000000-0005-0000-0000-0000F9680000}"/>
    <cellStyle name="Input 3 13 2 2 3 3" xfId="48572" xr:uid="{00000000-0005-0000-0000-0000FA680000}"/>
    <cellStyle name="Input 3 13 2 2 3 4" xfId="36724" xr:uid="{00000000-0005-0000-0000-0000FB680000}"/>
    <cellStyle name="Input 3 13 2 2 4" xfId="19992" xr:uid="{00000000-0005-0000-0000-0000FC680000}"/>
    <cellStyle name="Input 3 13 2 2 4 2" xfId="45529" xr:uid="{00000000-0005-0000-0000-0000FD680000}"/>
    <cellStyle name="Input 3 13 2 2 4 3" xfId="49435" xr:uid="{00000000-0005-0000-0000-0000FE680000}"/>
    <cellStyle name="Input 3 13 2 2 4 4" xfId="37490" xr:uid="{00000000-0005-0000-0000-0000FF680000}"/>
    <cellStyle name="Input 3 13 2 2 5" xfId="20845" xr:uid="{00000000-0005-0000-0000-000000690000}"/>
    <cellStyle name="Input 3 13 2 2 5 2" xfId="46382" xr:uid="{00000000-0005-0000-0000-000001690000}"/>
    <cellStyle name="Input 3 13 2 2 5 3" xfId="50288" xr:uid="{00000000-0005-0000-0000-000002690000}"/>
    <cellStyle name="Input 3 13 2 2 5 4" xfId="38251" xr:uid="{00000000-0005-0000-0000-000003690000}"/>
    <cellStyle name="Input 3 13 2 2 6" xfId="21498" xr:uid="{00000000-0005-0000-0000-000004690000}"/>
    <cellStyle name="Input 3 13 2 2 6 2" xfId="47035" xr:uid="{00000000-0005-0000-0000-000005690000}"/>
    <cellStyle name="Input 3 13 2 2 6 3" xfId="50941" xr:uid="{00000000-0005-0000-0000-000006690000}"/>
    <cellStyle name="Input 3 13 2 2 7" xfId="40838" xr:uid="{00000000-0005-0000-0000-000007690000}"/>
    <cellStyle name="Input 3 13 2 2 8" xfId="42072" xr:uid="{00000000-0005-0000-0000-000008690000}"/>
    <cellStyle name="Input 3 13 2 3" xfId="10934" xr:uid="{00000000-0005-0000-0000-000009690000}"/>
    <cellStyle name="Input 3 13 2 3 2" xfId="18727" xr:uid="{00000000-0005-0000-0000-00000A690000}"/>
    <cellStyle name="Input 3 13 2 3 2 2" xfId="44274" xr:uid="{00000000-0005-0000-0000-00000B690000}"/>
    <cellStyle name="Input 3 13 2 3 2 3" xfId="48183" xr:uid="{00000000-0005-0000-0000-00000C690000}"/>
    <cellStyle name="Input 3 13 2 3 2 4" xfId="36364" xr:uid="{00000000-0005-0000-0000-00000D690000}"/>
    <cellStyle name="Input 3 13 2 3 3" xfId="20140" xr:uid="{00000000-0005-0000-0000-00000E690000}"/>
    <cellStyle name="Input 3 13 2 3 3 2" xfId="45677" xr:uid="{00000000-0005-0000-0000-00000F690000}"/>
    <cellStyle name="Input 3 13 2 3 3 3" xfId="49583" xr:uid="{00000000-0005-0000-0000-000010690000}"/>
    <cellStyle name="Input 3 13 2 3 3 4" xfId="37626" xr:uid="{00000000-0005-0000-0000-000011690000}"/>
    <cellStyle name="Input 3 13 2 3 4" xfId="11545" xr:uid="{00000000-0005-0000-0000-000012690000}"/>
    <cellStyle name="Input 3 13 2 3 4 2" xfId="41556" xr:uid="{00000000-0005-0000-0000-000013690000}"/>
    <cellStyle name="Input 3 13 2 3 4 3" xfId="39572" xr:uid="{00000000-0005-0000-0000-000014690000}"/>
    <cellStyle name="Input 3 13 2 3 4 4" xfId="29259" xr:uid="{00000000-0005-0000-0000-000015690000}"/>
    <cellStyle name="Input 3 13 2 3 5" xfId="21140" xr:uid="{00000000-0005-0000-0000-000016690000}"/>
    <cellStyle name="Input 3 13 2 3 5 2" xfId="46677" xr:uid="{00000000-0005-0000-0000-000017690000}"/>
    <cellStyle name="Input 3 13 2 3 5 3" xfId="50583" xr:uid="{00000000-0005-0000-0000-000018690000}"/>
    <cellStyle name="Input 3 13 2 3 5 4" xfId="38546" xr:uid="{00000000-0005-0000-0000-000019690000}"/>
    <cellStyle name="Input 3 13 2 3 6" xfId="21793" xr:uid="{00000000-0005-0000-0000-00001A690000}"/>
    <cellStyle name="Input 3 13 2 3 6 2" xfId="47330" xr:uid="{00000000-0005-0000-0000-00001B690000}"/>
    <cellStyle name="Input 3 13 2 3 6 3" xfId="51236" xr:uid="{00000000-0005-0000-0000-00001C690000}"/>
    <cellStyle name="Input 3 13 2 3 7" xfId="41133" xr:uid="{00000000-0005-0000-0000-00001D690000}"/>
    <cellStyle name="Input 3 13 2 3 8" xfId="42595" xr:uid="{00000000-0005-0000-0000-00001E690000}"/>
    <cellStyle name="Input 3 13 2 4" xfId="14897" xr:uid="{00000000-0005-0000-0000-00001F690000}"/>
    <cellStyle name="Input 3 13 2 4 2" xfId="43013" xr:uid="{00000000-0005-0000-0000-000020690000}"/>
    <cellStyle name="Input 3 13 2 4 3" xfId="47482" xr:uid="{00000000-0005-0000-0000-000021690000}"/>
    <cellStyle name="Input 3 13 2 4 4" xfId="32532" xr:uid="{00000000-0005-0000-0000-000022690000}"/>
    <cellStyle name="Input 3 13 2 5" xfId="11308" xr:uid="{00000000-0005-0000-0000-000023690000}"/>
    <cellStyle name="Input 3 13 2 5 2" xfId="41355" xr:uid="{00000000-0005-0000-0000-000024690000}"/>
    <cellStyle name="Input 3 13 2 5 3" xfId="43612" xr:uid="{00000000-0005-0000-0000-000025690000}"/>
    <cellStyle name="Input 3 13 2 5 4" xfId="29036" xr:uid="{00000000-0005-0000-0000-000026690000}"/>
    <cellStyle name="Input 3 13 2 6" xfId="19634" xr:uid="{00000000-0005-0000-0000-000027690000}"/>
    <cellStyle name="Input 3 13 2 6 2" xfId="45171" xr:uid="{00000000-0005-0000-0000-000028690000}"/>
    <cellStyle name="Input 3 13 2 6 3" xfId="49077" xr:uid="{00000000-0005-0000-0000-000029690000}"/>
    <cellStyle name="Input 3 13 2 6 4" xfId="37172" xr:uid="{00000000-0005-0000-0000-00002A690000}"/>
    <cellStyle name="Input 3 13 2 7" xfId="18998" xr:uid="{00000000-0005-0000-0000-00002B690000}"/>
    <cellStyle name="Input 3 13 2 7 2" xfId="44535" xr:uid="{00000000-0005-0000-0000-00002C690000}"/>
    <cellStyle name="Input 3 13 2 7 3" xfId="48441" xr:uid="{00000000-0005-0000-0000-00002D690000}"/>
    <cellStyle name="Input 3 13 2 7 4" xfId="36620" xr:uid="{00000000-0005-0000-0000-00002E690000}"/>
    <cellStyle name="Input 3 13 2 8" xfId="20526" xr:uid="{00000000-0005-0000-0000-00002F690000}"/>
    <cellStyle name="Input 3 13 2 8 2" xfId="46063" xr:uid="{00000000-0005-0000-0000-000030690000}"/>
    <cellStyle name="Input 3 13 2 8 3" xfId="49969" xr:uid="{00000000-0005-0000-0000-000031690000}"/>
    <cellStyle name="Input 3 13 2 9" xfId="39873" xr:uid="{00000000-0005-0000-0000-000032690000}"/>
    <cellStyle name="Input 3 13 3" xfId="53121" xr:uid="{00000000-0005-0000-0000-000033690000}"/>
    <cellStyle name="Input 3 14" xfId="1940" xr:uid="{00000000-0005-0000-0000-000034690000}"/>
    <cellStyle name="Input 3 14 2" xfId="7110" xr:uid="{00000000-0005-0000-0000-000035690000}"/>
    <cellStyle name="Input 3 14 2 10" xfId="39243" xr:uid="{00000000-0005-0000-0000-000036690000}"/>
    <cellStyle name="Input 3 14 2 2" xfId="10640" xr:uid="{00000000-0005-0000-0000-000037690000}"/>
    <cellStyle name="Input 3 14 2 2 2" xfId="18433" xr:uid="{00000000-0005-0000-0000-000038690000}"/>
    <cellStyle name="Input 3 14 2 2 2 2" xfId="43980" xr:uid="{00000000-0005-0000-0000-000039690000}"/>
    <cellStyle name="Input 3 14 2 2 2 3" xfId="47889" xr:uid="{00000000-0005-0000-0000-00003A690000}"/>
    <cellStyle name="Input 3 14 2 2 2 4" xfId="36070" xr:uid="{00000000-0005-0000-0000-00003B690000}"/>
    <cellStyle name="Input 3 14 2 2 3" xfId="12628" xr:uid="{00000000-0005-0000-0000-00003C690000}"/>
    <cellStyle name="Input 3 14 2 2 3 2" xfId="42107" xr:uid="{00000000-0005-0000-0000-00003D690000}"/>
    <cellStyle name="Input 3 14 2 2 3 3" xfId="42805" xr:uid="{00000000-0005-0000-0000-00003E690000}"/>
    <cellStyle name="Input 3 14 2 2 3 4" xfId="30293" xr:uid="{00000000-0005-0000-0000-00003F690000}"/>
    <cellStyle name="Input 3 14 2 2 4" xfId="18905" xr:uid="{00000000-0005-0000-0000-000040690000}"/>
    <cellStyle name="Input 3 14 2 2 4 2" xfId="44442" xr:uid="{00000000-0005-0000-0000-000041690000}"/>
    <cellStyle name="Input 3 14 2 2 4 3" xfId="48348" xr:uid="{00000000-0005-0000-0000-000042690000}"/>
    <cellStyle name="Input 3 14 2 2 4 4" xfId="36538" xr:uid="{00000000-0005-0000-0000-000043690000}"/>
    <cellStyle name="Input 3 14 2 2 5" xfId="20846" xr:uid="{00000000-0005-0000-0000-000044690000}"/>
    <cellStyle name="Input 3 14 2 2 5 2" xfId="46383" xr:uid="{00000000-0005-0000-0000-000045690000}"/>
    <cellStyle name="Input 3 14 2 2 5 3" xfId="50289" xr:uid="{00000000-0005-0000-0000-000046690000}"/>
    <cellStyle name="Input 3 14 2 2 5 4" xfId="38252" xr:uid="{00000000-0005-0000-0000-000047690000}"/>
    <cellStyle name="Input 3 14 2 2 6" xfId="21499" xr:uid="{00000000-0005-0000-0000-000048690000}"/>
    <cellStyle name="Input 3 14 2 2 6 2" xfId="47036" xr:uid="{00000000-0005-0000-0000-000049690000}"/>
    <cellStyle name="Input 3 14 2 2 6 3" xfId="50942" xr:uid="{00000000-0005-0000-0000-00004A690000}"/>
    <cellStyle name="Input 3 14 2 2 7" xfId="40839" xr:uid="{00000000-0005-0000-0000-00004B690000}"/>
    <cellStyle name="Input 3 14 2 2 8" xfId="43391" xr:uid="{00000000-0005-0000-0000-00004C690000}"/>
    <cellStyle name="Input 3 14 2 3" xfId="10935" xr:uid="{00000000-0005-0000-0000-00004D690000}"/>
    <cellStyle name="Input 3 14 2 3 2" xfId="18728" xr:uid="{00000000-0005-0000-0000-00004E690000}"/>
    <cellStyle name="Input 3 14 2 3 2 2" xfId="44275" xr:uid="{00000000-0005-0000-0000-00004F690000}"/>
    <cellStyle name="Input 3 14 2 3 2 3" xfId="48184" xr:uid="{00000000-0005-0000-0000-000050690000}"/>
    <cellStyle name="Input 3 14 2 3 2 4" xfId="36365" xr:uid="{00000000-0005-0000-0000-000051690000}"/>
    <cellStyle name="Input 3 14 2 3 3" xfId="19399" xr:uid="{00000000-0005-0000-0000-000052690000}"/>
    <cellStyle name="Input 3 14 2 3 3 2" xfId="44936" xr:uid="{00000000-0005-0000-0000-000053690000}"/>
    <cellStyle name="Input 3 14 2 3 3 3" xfId="48842" xr:uid="{00000000-0005-0000-0000-000054690000}"/>
    <cellStyle name="Input 3 14 2 3 3 4" xfId="36964" xr:uid="{00000000-0005-0000-0000-000055690000}"/>
    <cellStyle name="Input 3 14 2 3 4" xfId="12658" xr:uid="{00000000-0005-0000-0000-000056690000}"/>
    <cellStyle name="Input 3 14 2 3 4 2" xfId="42137" xr:uid="{00000000-0005-0000-0000-000057690000}"/>
    <cellStyle name="Input 3 14 2 3 4 3" xfId="40338" xr:uid="{00000000-0005-0000-0000-000058690000}"/>
    <cellStyle name="Input 3 14 2 3 4 4" xfId="30323" xr:uid="{00000000-0005-0000-0000-000059690000}"/>
    <cellStyle name="Input 3 14 2 3 5" xfId="21141" xr:uid="{00000000-0005-0000-0000-00005A690000}"/>
    <cellStyle name="Input 3 14 2 3 5 2" xfId="46678" xr:uid="{00000000-0005-0000-0000-00005B690000}"/>
    <cellStyle name="Input 3 14 2 3 5 3" xfId="50584" xr:uid="{00000000-0005-0000-0000-00005C690000}"/>
    <cellStyle name="Input 3 14 2 3 5 4" xfId="38547" xr:uid="{00000000-0005-0000-0000-00005D690000}"/>
    <cellStyle name="Input 3 14 2 3 6" xfId="21794" xr:uid="{00000000-0005-0000-0000-00005E690000}"/>
    <cellStyle name="Input 3 14 2 3 6 2" xfId="47331" xr:uid="{00000000-0005-0000-0000-00005F690000}"/>
    <cellStyle name="Input 3 14 2 3 6 3" xfId="51237" xr:uid="{00000000-0005-0000-0000-000060690000}"/>
    <cellStyle name="Input 3 14 2 3 7" xfId="41134" xr:uid="{00000000-0005-0000-0000-000061690000}"/>
    <cellStyle name="Input 3 14 2 3 8" xfId="43508" xr:uid="{00000000-0005-0000-0000-000062690000}"/>
    <cellStyle name="Input 3 14 2 4" xfId="14898" xr:uid="{00000000-0005-0000-0000-000063690000}"/>
    <cellStyle name="Input 3 14 2 4 2" xfId="43014" xr:uid="{00000000-0005-0000-0000-000064690000}"/>
    <cellStyle name="Input 3 14 2 4 3" xfId="41288" xr:uid="{00000000-0005-0000-0000-000065690000}"/>
    <cellStyle name="Input 3 14 2 4 4" xfId="32533" xr:uid="{00000000-0005-0000-0000-000066690000}"/>
    <cellStyle name="Input 3 14 2 5" xfId="12025" xr:uid="{00000000-0005-0000-0000-000067690000}"/>
    <cellStyle name="Input 3 14 2 5 2" xfId="41782" xr:uid="{00000000-0005-0000-0000-000068690000}"/>
    <cellStyle name="Input 3 14 2 5 3" xfId="47506" xr:uid="{00000000-0005-0000-0000-000069690000}"/>
    <cellStyle name="Input 3 14 2 5 4" xfId="29707" xr:uid="{00000000-0005-0000-0000-00006A690000}"/>
    <cellStyle name="Input 3 14 2 6" xfId="19947" xr:uid="{00000000-0005-0000-0000-00006B690000}"/>
    <cellStyle name="Input 3 14 2 6 2" xfId="45484" xr:uid="{00000000-0005-0000-0000-00006C690000}"/>
    <cellStyle name="Input 3 14 2 6 3" xfId="49390" xr:uid="{00000000-0005-0000-0000-00006D690000}"/>
    <cellStyle name="Input 3 14 2 6 4" xfId="37455" xr:uid="{00000000-0005-0000-0000-00006E690000}"/>
    <cellStyle name="Input 3 14 2 7" xfId="19826" xr:uid="{00000000-0005-0000-0000-00006F690000}"/>
    <cellStyle name="Input 3 14 2 7 2" xfId="45363" xr:uid="{00000000-0005-0000-0000-000070690000}"/>
    <cellStyle name="Input 3 14 2 7 3" xfId="49269" xr:uid="{00000000-0005-0000-0000-000071690000}"/>
    <cellStyle name="Input 3 14 2 7 4" xfId="37344" xr:uid="{00000000-0005-0000-0000-000072690000}"/>
    <cellStyle name="Input 3 14 2 8" xfId="19014" xr:uid="{00000000-0005-0000-0000-000073690000}"/>
    <cellStyle name="Input 3 14 2 8 2" xfId="44551" xr:uid="{00000000-0005-0000-0000-000074690000}"/>
    <cellStyle name="Input 3 14 2 8 3" xfId="48457" xr:uid="{00000000-0005-0000-0000-000075690000}"/>
    <cellStyle name="Input 3 14 2 9" xfId="39874" xr:uid="{00000000-0005-0000-0000-000076690000}"/>
    <cellStyle name="Input 3 15" xfId="4235" xr:uid="{00000000-0005-0000-0000-000077690000}"/>
    <cellStyle name="Input 3 15 2" xfId="7111" xr:uid="{00000000-0005-0000-0000-000078690000}"/>
    <cellStyle name="Input 3 15 2 10" xfId="47601" xr:uid="{00000000-0005-0000-0000-000079690000}"/>
    <cellStyle name="Input 3 15 2 2" xfId="10641" xr:uid="{00000000-0005-0000-0000-00007A690000}"/>
    <cellStyle name="Input 3 15 2 2 2" xfId="18434" xr:uid="{00000000-0005-0000-0000-00007B690000}"/>
    <cellStyle name="Input 3 15 2 2 2 2" xfId="43981" xr:uid="{00000000-0005-0000-0000-00007C690000}"/>
    <cellStyle name="Input 3 15 2 2 2 3" xfId="47890" xr:uid="{00000000-0005-0000-0000-00007D690000}"/>
    <cellStyle name="Input 3 15 2 2 2 4" xfId="36071" xr:uid="{00000000-0005-0000-0000-00007E690000}"/>
    <cellStyle name="Input 3 15 2 2 3" xfId="19610" xr:uid="{00000000-0005-0000-0000-00007F690000}"/>
    <cellStyle name="Input 3 15 2 2 3 2" xfId="45147" xr:uid="{00000000-0005-0000-0000-000080690000}"/>
    <cellStyle name="Input 3 15 2 2 3 3" xfId="49053" xr:uid="{00000000-0005-0000-0000-000081690000}"/>
    <cellStyle name="Input 3 15 2 2 3 4" xfId="37150" xr:uid="{00000000-0005-0000-0000-000082690000}"/>
    <cellStyle name="Input 3 15 2 2 4" xfId="11447" xr:uid="{00000000-0005-0000-0000-000083690000}"/>
    <cellStyle name="Input 3 15 2 2 4 2" xfId="41458" xr:uid="{00000000-0005-0000-0000-000084690000}"/>
    <cellStyle name="Input 3 15 2 2 4 3" xfId="42032" xr:uid="{00000000-0005-0000-0000-000085690000}"/>
    <cellStyle name="Input 3 15 2 2 4 4" xfId="29167" xr:uid="{00000000-0005-0000-0000-000086690000}"/>
    <cellStyle name="Input 3 15 2 2 5" xfId="20847" xr:uid="{00000000-0005-0000-0000-000087690000}"/>
    <cellStyle name="Input 3 15 2 2 5 2" xfId="46384" xr:uid="{00000000-0005-0000-0000-000088690000}"/>
    <cellStyle name="Input 3 15 2 2 5 3" xfId="50290" xr:uid="{00000000-0005-0000-0000-000089690000}"/>
    <cellStyle name="Input 3 15 2 2 5 4" xfId="38253" xr:uid="{00000000-0005-0000-0000-00008A690000}"/>
    <cellStyle name="Input 3 15 2 2 6" xfId="21500" xr:uid="{00000000-0005-0000-0000-00008B690000}"/>
    <cellStyle name="Input 3 15 2 2 6 2" xfId="47037" xr:uid="{00000000-0005-0000-0000-00008C690000}"/>
    <cellStyle name="Input 3 15 2 2 6 3" xfId="50943" xr:uid="{00000000-0005-0000-0000-00008D690000}"/>
    <cellStyle name="Input 3 15 2 2 7" xfId="40840" xr:uid="{00000000-0005-0000-0000-00008E690000}"/>
    <cellStyle name="Input 3 15 2 2 8" xfId="40253" xr:uid="{00000000-0005-0000-0000-00008F690000}"/>
    <cellStyle name="Input 3 15 2 3" xfId="10936" xr:uid="{00000000-0005-0000-0000-000090690000}"/>
    <cellStyle name="Input 3 15 2 3 2" xfId="18729" xr:uid="{00000000-0005-0000-0000-000091690000}"/>
    <cellStyle name="Input 3 15 2 3 2 2" xfId="44276" xr:uid="{00000000-0005-0000-0000-000092690000}"/>
    <cellStyle name="Input 3 15 2 3 2 3" xfId="48185" xr:uid="{00000000-0005-0000-0000-000093690000}"/>
    <cellStyle name="Input 3 15 2 3 2 4" xfId="36366" xr:uid="{00000000-0005-0000-0000-000094690000}"/>
    <cellStyle name="Input 3 15 2 3 3" xfId="20006" xr:uid="{00000000-0005-0000-0000-000095690000}"/>
    <cellStyle name="Input 3 15 2 3 3 2" xfId="45543" xr:uid="{00000000-0005-0000-0000-000096690000}"/>
    <cellStyle name="Input 3 15 2 3 3 3" xfId="49449" xr:uid="{00000000-0005-0000-0000-000097690000}"/>
    <cellStyle name="Input 3 15 2 3 3 4" xfId="37504" xr:uid="{00000000-0005-0000-0000-000098690000}"/>
    <cellStyle name="Input 3 15 2 3 4" xfId="12089" xr:uid="{00000000-0005-0000-0000-000099690000}"/>
    <cellStyle name="Input 3 15 2 3 4 2" xfId="41834" xr:uid="{00000000-0005-0000-0000-00009A690000}"/>
    <cellStyle name="Input 3 15 2 3 4 3" xfId="39142" xr:uid="{00000000-0005-0000-0000-00009B690000}"/>
    <cellStyle name="Input 3 15 2 3 4 4" xfId="29765" xr:uid="{00000000-0005-0000-0000-00009C690000}"/>
    <cellStyle name="Input 3 15 2 3 5" xfId="21142" xr:uid="{00000000-0005-0000-0000-00009D690000}"/>
    <cellStyle name="Input 3 15 2 3 5 2" xfId="46679" xr:uid="{00000000-0005-0000-0000-00009E690000}"/>
    <cellStyle name="Input 3 15 2 3 5 3" xfId="50585" xr:uid="{00000000-0005-0000-0000-00009F690000}"/>
    <cellStyle name="Input 3 15 2 3 5 4" xfId="38548" xr:uid="{00000000-0005-0000-0000-0000A0690000}"/>
    <cellStyle name="Input 3 15 2 3 6" xfId="21795" xr:uid="{00000000-0005-0000-0000-0000A1690000}"/>
    <cellStyle name="Input 3 15 2 3 6 2" xfId="47332" xr:uid="{00000000-0005-0000-0000-0000A2690000}"/>
    <cellStyle name="Input 3 15 2 3 6 3" xfId="51238" xr:uid="{00000000-0005-0000-0000-0000A3690000}"/>
    <cellStyle name="Input 3 15 2 3 7" xfId="41135" xr:uid="{00000000-0005-0000-0000-0000A4690000}"/>
    <cellStyle name="Input 3 15 2 3 8" xfId="40371" xr:uid="{00000000-0005-0000-0000-0000A5690000}"/>
    <cellStyle name="Input 3 15 2 4" xfId="14899" xr:uid="{00000000-0005-0000-0000-0000A6690000}"/>
    <cellStyle name="Input 3 15 2 4 2" xfId="43015" xr:uid="{00000000-0005-0000-0000-0000A7690000}"/>
    <cellStyle name="Input 3 15 2 4 3" xfId="43181" xr:uid="{00000000-0005-0000-0000-0000A8690000}"/>
    <cellStyle name="Input 3 15 2 4 4" xfId="32534" xr:uid="{00000000-0005-0000-0000-0000A9690000}"/>
    <cellStyle name="Input 3 15 2 5" xfId="12026" xr:uid="{00000000-0005-0000-0000-0000AA690000}"/>
    <cellStyle name="Input 3 15 2 5 2" xfId="41783" xr:uid="{00000000-0005-0000-0000-0000AB690000}"/>
    <cellStyle name="Input 3 15 2 5 3" xfId="41356" xr:uid="{00000000-0005-0000-0000-0000AC690000}"/>
    <cellStyle name="Input 3 15 2 5 4" xfId="29708" xr:uid="{00000000-0005-0000-0000-0000AD690000}"/>
    <cellStyle name="Input 3 15 2 6" xfId="19848" xr:uid="{00000000-0005-0000-0000-0000AE690000}"/>
    <cellStyle name="Input 3 15 2 6 2" xfId="45385" xr:uid="{00000000-0005-0000-0000-0000AF690000}"/>
    <cellStyle name="Input 3 15 2 6 3" xfId="49291" xr:uid="{00000000-0005-0000-0000-0000B0690000}"/>
    <cellStyle name="Input 3 15 2 6 4" xfId="37364" xr:uid="{00000000-0005-0000-0000-0000B1690000}"/>
    <cellStyle name="Input 3 15 2 7" xfId="12132" xr:uid="{00000000-0005-0000-0000-0000B2690000}"/>
    <cellStyle name="Input 3 15 2 7 2" xfId="41877" xr:uid="{00000000-0005-0000-0000-0000B3690000}"/>
    <cellStyle name="Input 3 15 2 7 3" xfId="39118" xr:uid="{00000000-0005-0000-0000-0000B4690000}"/>
    <cellStyle name="Input 3 15 2 7 4" xfId="29805" xr:uid="{00000000-0005-0000-0000-0000B5690000}"/>
    <cellStyle name="Input 3 15 2 8" xfId="19980" xr:uid="{00000000-0005-0000-0000-0000B6690000}"/>
    <cellStyle name="Input 3 15 2 8 2" xfId="45517" xr:uid="{00000000-0005-0000-0000-0000B7690000}"/>
    <cellStyle name="Input 3 15 2 8 3" xfId="49423" xr:uid="{00000000-0005-0000-0000-0000B8690000}"/>
    <cellStyle name="Input 3 15 2 9" xfId="39875" xr:uid="{00000000-0005-0000-0000-0000B9690000}"/>
    <cellStyle name="Input 3 16" xfId="4236" xr:uid="{00000000-0005-0000-0000-0000BA690000}"/>
    <cellStyle name="Input 3 16 2" xfId="7112" xr:uid="{00000000-0005-0000-0000-0000BB690000}"/>
    <cellStyle name="Input 3 16 2 10" xfId="41724" xr:uid="{00000000-0005-0000-0000-0000BC690000}"/>
    <cellStyle name="Input 3 16 2 2" xfId="10642" xr:uid="{00000000-0005-0000-0000-0000BD690000}"/>
    <cellStyle name="Input 3 16 2 2 2" xfId="18435" xr:uid="{00000000-0005-0000-0000-0000BE690000}"/>
    <cellStyle name="Input 3 16 2 2 2 2" xfId="43982" xr:uid="{00000000-0005-0000-0000-0000BF690000}"/>
    <cellStyle name="Input 3 16 2 2 2 3" xfId="47891" xr:uid="{00000000-0005-0000-0000-0000C0690000}"/>
    <cellStyle name="Input 3 16 2 2 2 4" xfId="36072" xr:uid="{00000000-0005-0000-0000-0000C1690000}"/>
    <cellStyle name="Input 3 16 2 2 3" xfId="20164" xr:uid="{00000000-0005-0000-0000-0000C2690000}"/>
    <cellStyle name="Input 3 16 2 2 3 2" xfId="45701" xr:uid="{00000000-0005-0000-0000-0000C3690000}"/>
    <cellStyle name="Input 3 16 2 2 3 3" xfId="49607" xr:uid="{00000000-0005-0000-0000-0000C4690000}"/>
    <cellStyle name="Input 3 16 2 2 3 4" xfId="37650" xr:uid="{00000000-0005-0000-0000-0000C5690000}"/>
    <cellStyle name="Input 3 16 2 2 4" xfId="19084" xr:uid="{00000000-0005-0000-0000-0000C6690000}"/>
    <cellStyle name="Input 3 16 2 2 4 2" xfId="44621" xr:uid="{00000000-0005-0000-0000-0000C7690000}"/>
    <cellStyle name="Input 3 16 2 2 4 3" xfId="48527" xr:uid="{00000000-0005-0000-0000-0000C8690000}"/>
    <cellStyle name="Input 3 16 2 2 4 4" xfId="36680" xr:uid="{00000000-0005-0000-0000-0000C9690000}"/>
    <cellStyle name="Input 3 16 2 2 5" xfId="20848" xr:uid="{00000000-0005-0000-0000-0000CA690000}"/>
    <cellStyle name="Input 3 16 2 2 5 2" xfId="46385" xr:uid="{00000000-0005-0000-0000-0000CB690000}"/>
    <cellStyle name="Input 3 16 2 2 5 3" xfId="50291" xr:uid="{00000000-0005-0000-0000-0000CC690000}"/>
    <cellStyle name="Input 3 16 2 2 5 4" xfId="38254" xr:uid="{00000000-0005-0000-0000-0000CD690000}"/>
    <cellStyle name="Input 3 16 2 2 6" xfId="21501" xr:uid="{00000000-0005-0000-0000-0000CE690000}"/>
    <cellStyle name="Input 3 16 2 2 6 2" xfId="47038" xr:uid="{00000000-0005-0000-0000-0000CF690000}"/>
    <cellStyle name="Input 3 16 2 2 6 3" xfId="50944" xr:uid="{00000000-0005-0000-0000-0000D0690000}"/>
    <cellStyle name="Input 3 16 2 2 7" xfId="40841" xr:uid="{00000000-0005-0000-0000-0000D1690000}"/>
    <cellStyle name="Input 3 16 2 2 8" xfId="39393" xr:uid="{00000000-0005-0000-0000-0000D2690000}"/>
    <cellStyle name="Input 3 16 2 3" xfId="10937" xr:uid="{00000000-0005-0000-0000-0000D3690000}"/>
    <cellStyle name="Input 3 16 2 3 2" xfId="18730" xr:uid="{00000000-0005-0000-0000-0000D4690000}"/>
    <cellStyle name="Input 3 16 2 3 2 2" xfId="44277" xr:uid="{00000000-0005-0000-0000-0000D5690000}"/>
    <cellStyle name="Input 3 16 2 3 2 3" xfId="48186" xr:uid="{00000000-0005-0000-0000-0000D6690000}"/>
    <cellStyle name="Input 3 16 2 3 2 4" xfId="36367" xr:uid="{00000000-0005-0000-0000-0000D7690000}"/>
    <cellStyle name="Input 3 16 2 3 3" xfId="19272" xr:uid="{00000000-0005-0000-0000-0000D8690000}"/>
    <cellStyle name="Input 3 16 2 3 3 2" xfId="44809" xr:uid="{00000000-0005-0000-0000-0000D9690000}"/>
    <cellStyle name="Input 3 16 2 3 3 3" xfId="48715" xr:uid="{00000000-0005-0000-0000-0000DA690000}"/>
    <cellStyle name="Input 3 16 2 3 3 4" xfId="36850" xr:uid="{00000000-0005-0000-0000-0000DB690000}"/>
    <cellStyle name="Input 3 16 2 3 4" xfId="11660" xr:uid="{00000000-0005-0000-0000-0000DC690000}"/>
    <cellStyle name="Input 3 16 2 3 4 2" xfId="41671" xr:uid="{00000000-0005-0000-0000-0000DD690000}"/>
    <cellStyle name="Input 3 16 2 3 4 3" xfId="43343" xr:uid="{00000000-0005-0000-0000-0000DE690000}"/>
    <cellStyle name="Input 3 16 2 3 4 4" xfId="29359" xr:uid="{00000000-0005-0000-0000-0000DF690000}"/>
    <cellStyle name="Input 3 16 2 3 5" xfId="21143" xr:uid="{00000000-0005-0000-0000-0000E0690000}"/>
    <cellStyle name="Input 3 16 2 3 5 2" xfId="46680" xr:uid="{00000000-0005-0000-0000-0000E1690000}"/>
    <cellStyle name="Input 3 16 2 3 5 3" xfId="50586" xr:uid="{00000000-0005-0000-0000-0000E2690000}"/>
    <cellStyle name="Input 3 16 2 3 5 4" xfId="38549" xr:uid="{00000000-0005-0000-0000-0000E3690000}"/>
    <cellStyle name="Input 3 16 2 3 6" xfId="21796" xr:uid="{00000000-0005-0000-0000-0000E4690000}"/>
    <cellStyle name="Input 3 16 2 3 6 2" xfId="47333" xr:uid="{00000000-0005-0000-0000-0000E5690000}"/>
    <cellStyle name="Input 3 16 2 3 6 3" xfId="51239" xr:uid="{00000000-0005-0000-0000-0000E6690000}"/>
    <cellStyle name="Input 3 16 2 3 7" xfId="41136" xr:uid="{00000000-0005-0000-0000-0000E7690000}"/>
    <cellStyle name="Input 3 16 2 3 8" xfId="39483" xr:uid="{00000000-0005-0000-0000-0000E8690000}"/>
    <cellStyle name="Input 3 16 2 4" xfId="14900" xr:uid="{00000000-0005-0000-0000-0000E9690000}"/>
    <cellStyle name="Input 3 16 2 4 2" xfId="43016" xr:uid="{00000000-0005-0000-0000-0000EA690000}"/>
    <cellStyle name="Input 3 16 2 4 3" xfId="40040" xr:uid="{00000000-0005-0000-0000-0000EB690000}"/>
    <cellStyle name="Input 3 16 2 4 4" xfId="32535" xr:uid="{00000000-0005-0000-0000-0000EC690000}"/>
    <cellStyle name="Input 3 16 2 5" xfId="13147" xr:uid="{00000000-0005-0000-0000-0000ED690000}"/>
    <cellStyle name="Input 3 16 2 5 2" xfId="42368" xr:uid="{00000000-0005-0000-0000-0000EE690000}"/>
    <cellStyle name="Input 3 16 2 5 3" xfId="39298" xr:uid="{00000000-0005-0000-0000-0000EF690000}"/>
    <cellStyle name="Input 3 16 2 5 4" xfId="30796" xr:uid="{00000000-0005-0000-0000-0000F0690000}"/>
    <cellStyle name="Input 3 16 2 6" xfId="18979" xr:uid="{00000000-0005-0000-0000-0000F1690000}"/>
    <cellStyle name="Input 3 16 2 6 2" xfId="44516" xr:uid="{00000000-0005-0000-0000-0000F2690000}"/>
    <cellStyle name="Input 3 16 2 6 3" xfId="48422" xr:uid="{00000000-0005-0000-0000-0000F3690000}"/>
    <cellStyle name="Input 3 16 2 6 4" xfId="36603" xr:uid="{00000000-0005-0000-0000-0000F4690000}"/>
    <cellStyle name="Input 3 16 2 7" xfId="19643" xr:uid="{00000000-0005-0000-0000-0000F5690000}"/>
    <cellStyle name="Input 3 16 2 7 2" xfId="45180" xr:uid="{00000000-0005-0000-0000-0000F6690000}"/>
    <cellStyle name="Input 3 16 2 7 3" xfId="49086" xr:uid="{00000000-0005-0000-0000-0000F7690000}"/>
    <cellStyle name="Input 3 16 2 7 4" xfId="37179" xr:uid="{00000000-0005-0000-0000-0000F8690000}"/>
    <cellStyle name="Input 3 16 2 8" xfId="19823" xr:uid="{00000000-0005-0000-0000-0000F9690000}"/>
    <cellStyle name="Input 3 16 2 8 2" xfId="45360" xr:uid="{00000000-0005-0000-0000-0000FA690000}"/>
    <cellStyle name="Input 3 16 2 8 3" xfId="49266" xr:uid="{00000000-0005-0000-0000-0000FB690000}"/>
    <cellStyle name="Input 3 16 2 9" xfId="39876" xr:uid="{00000000-0005-0000-0000-0000FC690000}"/>
    <cellStyle name="Input 3 17" xfId="4237" xr:uid="{00000000-0005-0000-0000-0000FD690000}"/>
    <cellStyle name="Input 3 17 2" xfId="10463" xr:uid="{00000000-0005-0000-0000-0000FE690000}"/>
    <cellStyle name="Input 3 17 2 2" xfId="18256" xr:uid="{00000000-0005-0000-0000-0000FF690000}"/>
    <cellStyle name="Input 3 17 2 2 2" xfId="43803" xr:uid="{00000000-0005-0000-0000-0000006A0000}"/>
    <cellStyle name="Input 3 17 2 2 3" xfId="47712" xr:uid="{00000000-0005-0000-0000-0000016A0000}"/>
    <cellStyle name="Input 3 17 2 2 4" xfId="35893" xr:uid="{00000000-0005-0000-0000-0000026A0000}"/>
    <cellStyle name="Input 3 17 2 3" xfId="13320" xr:uid="{00000000-0005-0000-0000-0000036A0000}"/>
    <cellStyle name="Input 3 17 2 3 2" xfId="42490" xr:uid="{00000000-0005-0000-0000-0000046A0000}"/>
    <cellStyle name="Input 3 17 2 3 3" xfId="43680" xr:uid="{00000000-0005-0000-0000-0000056A0000}"/>
    <cellStyle name="Input 3 17 2 3 4" xfId="30960" xr:uid="{00000000-0005-0000-0000-0000066A0000}"/>
    <cellStyle name="Input 3 17 2 4" xfId="20305" xr:uid="{00000000-0005-0000-0000-0000076A0000}"/>
    <cellStyle name="Input 3 17 2 4 2" xfId="45842" xr:uid="{00000000-0005-0000-0000-0000086A0000}"/>
    <cellStyle name="Input 3 17 2 4 3" xfId="49748" xr:uid="{00000000-0005-0000-0000-0000096A0000}"/>
    <cellStyle name="Input 3 17 2 4 4" xfId="37771" xr:uid="{00000000-0005-0000-0000-00000A6A0000}"/>
    <cellStyle name="Input 3 17 2 5" xfId="20669" xr:uid="{00000000-0005-0000-0000-00000B6A0000}"/>
    <cellStyle name="Input 3 17 2 5 2" xfId="46206" xr:uid="{00000000-0005-0000-0000-00000C6A0000}"/>
    <cellStyle name="Input 3 17 2 5 3" xfId="50112" xr:uid="{00000000-0005-0000-0000-00000D6A0000}"/>
    <cellStyle name="Input 3 17 2 5 4" xfId="38075" xr:uid="{00000000-0005-0000-0000-00000E6A0000}"/>
    <cellStyle name="Input 3 17 2 6" xfId="21322" xr:uid="{00000000-0005-0000-0000-00000F6A0000}"/>
    <cellStyle name="Input 3 17 2 6 2" xfId="46859" xr:uid="{00000000-0005-0000-0000-0000106A0000}"/>
    <cellStyle name="Input 3 17 2 6 3" xfId="50765" xr:uid="{00000000-0005-0000-0000-0000116A0000}"/>
    <cellStyle name="Input 3 17 2 7" xfId="40662" xr:uid="{00000000-0005-0000-0000-0000126A0000}"/>
    <cellStyle name="Input 3 17 2 8" xfId="39717" xr:uid="{00000000-0005-0000-0000-0000136A0000}"/>
    <cellStyle name="Input 3 17 3" xfId="8465" xr:uid="{00000000-0005-0000-0000-0000146A0000}"/>
    <cellStyle name="Input 3 17 3 2" xfId="16261" xr:uid="{00000000-0005-0000-0000-0000156A0000}"/>
    <cellStyle name="Input 3 17 3 2 2" xfId="43412" xr:uid="{00000000-0005-0000-0000-0000166A0000}"/>
    <cellStyle name="Input 3 17 3 2 3" xfId="42663" xr:uid="{00000000-0005-0000-0000-0000176A0000}"/>
    <cellStyle name="Input 3 17 3 2 4" xfId="33896" xr:uid="{00000000-0005-0000-0000-0000186A0000}"/>
    <cellStyle name="Input 3 17 3 3" xfId="12130" xr:uid="{00000000-0005-0000-0000-0000196A0000}"/>
    <cellStyle name="Input 3 17 3 3 2" xfId="41875" xr:uid="{00000000-0005-0000-0000-00001A6A0000}"/>
    <cellStyle name="Input 3 17 3 3 3" xfId="43173" xr:uid="{00000000-0005-0000-0000-00001B6A0000}"/>
    <cellStyle name="Input 3 17 3 3 4" xfId="29803" xr:uid="{00000000-0005-0000-0000-00001C6A0000}"/>
    <cellStyle name="Input 3 17 3 4" xfId="18971" xr:uid="{00000000-0005-0000-0000-00001D6A0000}"/>
    <cellStyle name="Input 3 17 3 4 2" xfId="44508" xr:uid="{00000000-0005-0000-0000-00001E6A0000}"/>
    <cellStyle name="Input 3 17 3 4 3" xfId="48414" xr:uid="{00000000-0005-0000-0000-00001F6A0000}"/>
    <cellStyle name="Input 3 17 3 4 4" xfId="36596" xr:uid="{00000000-0005-0000-0000-0000206A0000}"/>
    <cellStyle name="Input 3 17 3 5" xfId="20502" xr:uid="{00000000-0005-0000-0000-0000216A0000}"/>
    <cellStyle name="Input 3 17 3 5 2" xfId="46039" xr:uid="{00000000-0005-0000-0000-0000226A0000}"/>
    <cellStyle name="Input 3 17 3 5 3" xfId="49945" xr:uid="{00000000-0005-0000-0000-0000236A0000}"/>
    <cellStyle name="Input 3 17 3 5 4" xfId="37945" xr:uid="{00000000-0005-0000-0000-0000246A0000}"/>
    <cellStyle name="Input 3 17 3 6" xfId="19198" xr:uid="{00000000-0005-0000-0000-0000256A0000}"/>
    <cellStyle name="Input 3 17 3 6 2" xfId="44735" xr:uid="{00000000-0005-0000-0000-0000266A0000}"/>
    <cellStyle name="Input 3 17 3 6 3" xfId="48641" xr:uid="{00000000-0005-0000-0000-0000276A0000}"/>
    <cellStyle name="Input 3 17 3 7" xfId="40274" xr:uid="{00000000-0005-0000-0000-0000286A0000}"/>
    <cellStyle name="Input 3 17 3 8" xfId="39228" xr:uid="{00000000-0005-0000-0000-0000296A0000}"/>
    <cellStyle name="Input 3 18" xfId="7105" xr:uid="{00000000-0005-0000-0000-00002A6A0000}"/>
    <cellStyle name="Input 3 18 10" xfId="47627" xr:uid="{00000000-0005-0000-0000-00002B6A0000}"/>
    <cellStyle name="Input 3 18 2" xfId="10635" xr:uid="{00000000-0005-0000-0000-00002C6A0000}"/>
    <cellStyle name="Input 3 18 2 2" xfId="18428" xr:uid="{00000000-0005-0000-0000-00002D6A0000}"/>
    <cellStyle name="Input 3 18 2 2 2" xfId="43975" xr:uid="{00000000-0005-0000-0000-00002E6A0000}"/>
    <cellStyle name="Input 3 18 2 2 3" xfId="47884" xr:uid="{00000000-0005-0000-0000-00002F6A0000}"/>
    <cellStyle name="Input 3 18 2 2 4" xfId="36065" xr:uid="{00000000-0005-0000-0000-0000306A0000}"/>
    <cellStyle name="Input 3 18 2 3" xfId="19424" xr:uid="{00000000-0005-0000-0000-0000316A0000}"/>
    <cellStyle name="Input 3 18 2 3 2" xfId="44961" xr:uid="{00000000-0005-0000-0000-0000326A0000}"/>
    <cellStyle name="Input 3 18 2 3 3" xfId="48867" xr:uid="{00000000-0005-0000-0000-0000336A0000}"/>
    <cellStyle name="Input 3 18 2 3 4" xfId="36989" xr:uid="{00000000-0005-0000-0000-0000346A0000}"/>
    <cellStyle name="Input 3 18 2 4" xfId="18932" xr:uid="{00000000-0005-0000-0000-0000356A0000}"/>
    <cellStyle name="Input 3 18 2 4 2" xfId="44469" xr:uid="{00000000-0005-0000-0000-0000366A0000}"/>
    <cellStyle name="Input 3 18 2 4 3" xfId="48375" xr:uid="{00000000-0005-0000-0000-0000376A0000}"/>
    <cellStyle name="Input 3 18 2 4 4" xfId="36560" xr:uid="{00000000-0005-0000-0000-0000386A0000}"/>
    <cellStyle name="Input 3 18 2 5" xfId="20841" xr:uid="{00000000-0005-0000-0000-0000396A0000}"/>
    <cellStyle name="Input 3 18 2 5 2" xfId="46378" xr:uid="{00000000-0005-0000-0000-00003A6A0000}"/>
    <cellStyle name="Input 3 18 2 5 3" xfId="50284" xr:uid="{00000000-0005-0000-0000-00003B6A0000}"/>
    <cellStyle name="Input 3 18 2 5 4" xfId="38247" xr:uid="{00000000-0005-0000-0000-00003C6A0000}"/>
    <cellStyle name="Input 3 18 2 6" xfId="21494" xr:uid="{00000000-0005-0000-0000-00003D6A0000}"/>
    <cellStyle name="Input 3 18 2 6 2" xfId="47031" xr:uid="{00000000-0005-0000-0000-00003E6A0000}"/>
    <cellStyle name="Input 3 18 2 6 3" xfId="50937" xr:uid="{00000000-0005-0000-0000-00003F6A0000}"/>
    <cellStyle name="Input 3 18 2 7" xfId="40834" xr:uid="{00000000-0005-0000-0000-0000406A0000}"/>
    <cellStyle name="Input 3 18 2 8" xfId="43392" xr:uid="{00000000-0005-0000-0000-0000416A0000}"/>
    <cellStyle name="Input 3 18 3" xfId="10930" xr:uid="{00000000-0005-0000-0000-0000426A0000}"/>
    <cellStyle name="Input 3 18 3 2" xfId="18723" xr:uid="{00000000-0005-0000-0000-0000436A0000}"/>
    <cellStyle name="Input 3 18 3 2 2" xfId="44270" xr:uid="{00000000-0005-0000-0000-0000446A0000}"/>
    <cellStyle name="Input 3 18 3 2 3" xfId="48179" xr:uid="{00000000-0005-0000-0000-0000456A0000}"/>
    <cellStyle name="Input 3 18 3 2 4" xfId="36360" xr:uid="{00000000-0005-0000-0000-0000466A0000}"/>
    <cellStyle name="Input 3 18 3 3" xfId="19714" xr:uid="{00000000-0005-0000-0000-0000476A0000}"/>
    <cellStyle name="Input 3 18 3 3 2" xfId="45251" xr:uid="{00000000-0005-0000-0000-0000486A0000}"/>
    <cellStyle name="Input 3 18 3 3 3" xfId="49157" xr:uid="{00000000-0005-0000-0000-0000496A0000}"/>
    <cellStyle name="Input 3 18 3 3 4" xfId="37241" xr:uid="{00000000-0005-0000-0000-00004A6A0000}"/>
    <cellStyle name="Input 3 18 3 4" xfId="13261" xr:uid="{00000000-0005-0000-0000-00004B6A0000}"/>
    <cellStyle name="Input 3 18 3 4 2" xfId="42433" xr:uid="{00000000-0005-0000-0000-00004C6A0000}"/>
    <cellStyle name="Input 3 18 3 4 3" xfId="43682" xr:uid="{00000000-0005-0000-0000-00004D6A0000}"/>
    <cellStyle name="Input 3 18 3 4 4" xfId="30906" xr:uid="{00000000-0005-0000-0000-00004E6A0000}"/>
    <cellStyle name="Input 3 18 3 5" xfId="21136" xr:uid="{00000000-0005-0000-0000-00004F6A0000}"/>
    <cellStyle name="Input 3 18 3 5 2" xfId="46673" xr:uid="{00000000-0005-0000-0000-0000506A0000}"/>
    <cellStyle name="Input 3 18 3 5 3" xfId="50579" xr:uid="{00000000-0005-0000-0000-0000516A0000}"/>
    <cellStyle name="Input 3 18 3 5 4" xfId="38542" xr:uid="{00000000-0005-0000-0000-0000526A0000}"/>
    <cellStyle name="Input 3 18 3 6" xfId="21789" xr:uid="{00000000-0005-0000-0000-0000536A0000}"/>
    <cellStyle name="Input 3 18 3 6 2" xfId="47326" xr:uid="{00000000-0005-0000-0000-0000546A0000}"/>
    <cellStyle name="Input 3 18 3 6 3" xfId="51232" xr:uid="{00000000-0005-0000-0000-0000556A0000}"/>
    <cellStyle name="Input 3 18 3 7" xfId="41129" xr:uid="{00000000-0005-0000-0000-0000566A0000}"/>
    <cellStyle name="Input 3 18 3 8" xfId="42730" xr:uid="{00000000-0005-0000-0000-0000576A0000}"/>
    <cellStyle name="Input 3 18 4" xfId="14893" xr:uid="{00000000-0005-0000-0000-0000586A0000}"/>
    <cellStyle name="Input 3 18 4 2" xfId="43009" xr:uid="{00000000-0005-0000-0000-0000596A0000}"/>
    <cellStyle name="Input 3 18 4 3" xfId="39273" xr:uid="{00000000-0005-0000-0000-00005A6A0000}"/>
    <cellStyle name="Input 3 18 4 4" xfId="32528" xr:uid="{00000000-0005-0000-0000-00005B6A0000}"/>
    <cellStyle name="Input 3 18 5" xfId="13142" xr:uid="{00000000-0005-0000-0000-00005C6A0000}"/>
    <cellStyle name="Input 3 18 5 2" xfId="42363" xr:uid="{00000000-0005-0000-0000-00005D6A0000}"/>
    <cellStyle name="Input 3 18 5 3" xfId="43318" xr:uid="{00000000-0005-0000-0000-00005E6A0000}"/>
    <cellStyle name="Input 3 18 5 4" xfId="30791" xr:uid="{00000000-0005-0000-0000-00005F6A0000}"/>
    <cellStyle name="Input 3 18 6" xfId="12325" xr:uid="{00000000-0005-0000-0000-0000606A0000}"/>
    <cellStyle name="Input 3 18 6 2" xfId="41958" xr:uid="{00000000-0005-0000-0000-0000616A0000}"/>
    <cellStyle name="Input 3 18 6 3" xfId="42702" xr:uid="{00000000-0005-0000-0000-0000626A0000}"/>
    <cellStyle name="Input 3 18 6 4" xfId="29996" xr:uid="{00000000-0005-0000-0000-0000636A0000}"/>
    <cellStyle name="Input 3 18 7" xfId="20099" xr:uid="{00000000-0005-0000-0000-0000646A0000}"/>
    <cellStyle name="Input 3 18 7 2" xfId="45636" xr:uid="{00000000-0005-0000-0000-0000656A0000}"/>
    <cellStyle name="Input 3 18 7 3" xfId="49542" xr:uid="{00000000-0005-0000-0000-0000666A0000}"/>
    <cellStyle name="Input 3 18 7 4" xfId="37588" xr:uid="{00000000-0005-0000-0000-0000676A0000}"/>
    <cellStyle name="Input 3 18 8" xfId="13902" xr:uid="{00000000-0005-0000-0000-0000686A0000}"/>
    <cellStyle name="Input 3 18 8 2" xfId="42637" xr:uid="{00000000-0005-0000-0000-0000696A0000}"/>
    <cellStyle name="Input 3 18 8 3" xfId="43568" xr:uid="{00000000-0005-0000-0000-00006A6A0000}"/>
    <cellStyle name="Input 3 18 9" xfId="39869" xr:uid="{00000000-0005-0000-0000-00006B6A0000}"/>
    <cellStyle name="Input 3 19" xfId="1935" xr:uid="{00000000-0005-0000-0000-00006C6A0000}"/>
    <cellStyle name="Input 3 2" xfId="1941" xr:uid="{00000000-0005-0000-0000-00006D6A0000}"/>
    <cellStyle name="Input 3 2 2" xfId="1942" xr:uid="{00000000-0005-0000-0000-00006E6A0000}"/>
    <cellStyle name="Input 3 2 2 2" xfId="7114" xr:uid="{00000000-0005-0000-0000-00006F6A0000}"/>
    <cellStyle name="Input 3 2 2 2 10" xfId="40134" xr:uid="{00000000-0005-0000-0000-0000706A0000}"/>
    <cellStyle name="Input 3 2 2 2 2" xfId="10644" xr:uid="{00000000-0005-0000-0000-0000716A0000}"/>
    <cellStyle name="Input 3 2 2 2 2 2" xfId="18437" xr:uid="{00000000-0005-0000-0000-0000726A0000}"/>
    <cellStyle name="Input 3 2 2 2 2 2 2" xfId="43984" xr:uid="{00000000-0005-0000-0000-0000736A0000}"/>
    <cellStyle name="Input 3 2 2 2 2 2 3" xfId="47893" xr:uid="{00000000-0005-0000-0000-0000746A0000}"/>
    <cellStyle name="Input 3 2 2 2 2 2 4" xfId="36074" xr:uid="{00000000-0005-0000-0000-0000756A0000}"/>
    <cellStyle name="Input 3 2 2 2 2 3" xfId="20030" xr:uid="{00000000-0005-0000-0000-0000766A0000}"/>
    <cellStyle name="Input 3 2 2 2 2 3 2" xfId="45567" xr:uid="{00000000-0005-0000-0000-0000776A0000}"/>
    <cellStyle name="Input 3 2 2 2 2 3 3" xfId="49473" xr:uid="{00000000-0005-0000-0000-0000786A0000}"/>
    <cellStyle name="Input 3 2 2 2 2 3 4" xfId="37528" xr:uid="{00000000-0005-0000-0000-0000796A0000}"/>
    <cellStyle name="Input 3 2 2 2 2 4" xfId="19454" xr:uid="{00000000-0005-0000-0000-00007A6A0000}"/>
    <cellStyle name="Input 3 2 2 2 2 4 2" xfId="44991" xr:uid="{00000000-0005-0000-0000-00007B6A0000}"/>
    <cellStyle name="Input 3 2 2 2 2 4 3" xfId="48897" xr:uid="{00000000-0005-0000-0000-00007C6A0000}"/>
    <cellStyle name="Input 3 2 2 2 2 4 4" xfId="37015" xr:uid="{00000000-0005-0000-0000-00007D6A0000}"/>
    <cellStyle name="Input 3 2 2 2 2 5" xfId="20850" xr:uid="{00000000-0005-0000-0000-00007E6A0000}"/>
    <cellStyle name="Input 3 2 2 2 2 5 2" xfId="46387" xr:uid="{00000000-0005-0000-0000-00007F6A0000}"/>
    <cellStyle name="Input 3 2 2 2 2 5 3" xfId="50293" xr:uid="{00000000-0005-0000-0000-0000806A0000}"/>
    <cellStyle name="Input 3 2 2 2 2 5 4" xfId="38256" xr:uid="{00000000-0005-0000-0000-0000816A0000}"/>
    <cellStyle name="Input 3 2 2 2 2 6" xfId="21503" xr:uid="{00000000-0005-0000-0000-0000826A0000}"/>
    <cellStyle name="Input 3 2 2 2 2 6 2" xfId="47040" xr:uid="{00000000-0005-0000-0000-0000836A0000}"/>
    <cellStyle name="Input 3 2 2 2 2 6 3" xfId="50946" xr:uid="{00000000-0005-0000-0000-0000846A0000}"/>
    <cellStyle name="Input 3 2 2 2 2 7" xfId="40843" xr:uid="{00000000-0005-0000-0000-0000856A0000}"/>
    <cellStyle name="Input 3 2 2 2 2 8" xfId="43390" xr:uid="{00000000-0005-0000-0000-0000866A0000}"/>
    <cellStyle name="Input 3 2 2 2 3" xfId="10939" xr:uid="{00000000-0005-0000-0000-0000876A0000}"/>
    <cellStyle name="Input 3 2 2 2 3 2" xfId="18732" xr:uid="{00000000-0005-0000-0000-0000886A0000}"/>
    <cellStyle name="Input 3 2 2 2 3 2 2" xfId="44279" xr:uid="{00000000-0005-0000-0000-0000896A0000}"/>
    <cellStyle name="Input 3 2 2 2 3 2 3" xfId="48188" xr:uid="{00000000-0005-0000-0000-00008A6A0000}"/>
    <cellStyle name="Input 3 2 2 2 3 2 4" xfId="36369" xr:uid="{00000000-0005-0000-0000-00008B6A0000}"/>
    <cellStyle name="Input 3 2 2 2 3 3" xfId="19104" xr:uid="{00000000-0005-0000-0000-00008C6A0000}"/>
    <cellStyle name="Input 3 2 2 2 3 3 2" xfId="44641" xr:uid="{00000000-0005-0000-0000-00008D6A0000}"/>
    <cellStyle name="Input 3 2 2 2 3 3 3" xfId="48547" xr:uid="{00000000-0005-0000-0000-00008E6A0000}"/>
    <cellStyle name="Input 3 2 2 2 3 3 4" xfId="36699" xr:uid="{00000000-0005-0000-0000-00008F6A0000}"/>
    <cellStyle name="Input 3 2 2 2 3 4" xfId="19990" xr:uid="{00000000-0005-0000-0000-0000906A0000}"/>
    <cellStyle name="Input 3 2 2 2 3 4 2" xfId="45527" xr:uid="{00000000-0005-0000-0000-0000916A0000}"/>
    <cellStyle name="Input 3 2 2 2 3 4 3" xfId="49433" xr:uid="{00000000-0005-0000-0000-0000926A0000}"/>
    <cellStyle name="Input 3 2 2 2 3 4 4" xfId="37488" xr:uid="{00000000-0005-0000-0000-0000936A0000}"/>
    <cellStyle name="Input 3 2 2 2 3 5" xfId="21145" xr:uid="{00000000-0005-0000-0000-0000946A0000}"/>
    <cellStyle name="Input 3 2 2 2 3 5 2" xfId="46682" xr:uid="{00000000-0005-0000-0000-0000956A0000}"/>
    <cellStyle name="Input 3 2 2 2 3 5 3" xfId="50588" xr:uid="{00000000-0005-0000-0000-0000966A0000}"/>
    <cellStyle name="Input 3 2 2 2 3 5 4" xfId="38551" xr:uid="{00000000-0005-0000-0000-0000976A0000}"/>
    <cellStyle name="Input 3 2 2 2 3 6" xfId="21798" xr:uid="{00000000-0005-0000-0000-0000986A0000}"/>
    <cellStyle name="Input 3 2 2 2 3 6 2" xfId="47335" xr:uid="{00000000-0005-0000-0000-0000996A0000}"/>
    <cellStyle name="Input 3 2 2 2 3 6 3" xfId="51241" xr:uid="{00000000-0005-0000-0000-00009A6A0000}"/>
    <cellStyle name="Input 3 2 2 2 3 7" xfId="41138" xr:uid="{00000000-0005-0000-0000-00009B6A0000}"/>
    <cellStyle name="Input 3 2 2 2 3 8" xfId="43370" xr:uid="{00000000-0005-0000-0000-00009C6A0000}"/>
    <cellStyle name="Input 3 2 2 2 4" xfId="14902" xr:uid="{00000000-0005-0000-0000-00009D6A0000}"/>
    <cellStyle name="Input 3 2 2 2 4 2" xfId="43018" xr:uid="{00000000-0005-0000-0000-00009E6A0000}"/>
    <cellStyle name="Input 3 2 2 2 4 3" xfId="43668" xr:uid="{00000000-0005-0000-0000-00009F6A0000}"/>
    <cellStyle name="Input 3 2 2 2 4 4" xfId="32537" xr:uid="{00000000-0005-0000-0000-0000A06A0000}"/>
    <cellStyle name="Input 3 2 2 2 5" xfId="12476" xr:uid="{00000000-0005-0000-0000-0000A16A0000}"/>
    <cellStyle name="Input 3 2 2 2 5 2" xfId="41997" xr:uid="{00000000-0005-0000-0000-0000A26A0000}"/>
    <cellStyle name="Input 3 2 2 2 5 3" xfId="42806" xr:uid="{00000000-0005-0000-0000-0000A36A0000}"/>
    <cellStyle name="Input 3 2 2 2 5 4" xfId="30147" xr:uid="{00000000-0005-0000-0000-0000A46A0000}"/>
    <cellStyle name="Input 3 2 2 2 6" xfId="11344" xr:uid="{00000000-0005-0000-0000-0000A56A0000}"/>
    <cellStyle name="Input 3 2 2 2 6 2" xfId="41383" xr:uid="{00000000-0005-0000-0000-0000A66A0000}"/>
    <cellStyle name="Input 3 2 2 2 6 3" xfId="40573" xr:uid="{00000000-0005-0000-0000-0000A76A0000}"/>
    <cellStyle name="Input 3 2 2 2 6 4" xfId="29070" xr:uid="{00000000-0005-0000-0000-0000A86A0000}"/>
    <cellStyle name="Input 3 2 2 2 7" xfId="19566" xr:uid="{00000000-0005-0000-0000-0000A96A0000}"/>
    <cellStyle name="Input 3 2 2 2 7 2" xfId="45103" xr:uid="{00000000-0005-0000-0000-0000AA6A0000}"/>
    <cellStyle name="Input 3 2 2 2 7 3" xfId="49009" xr:uid="{00000000-0005-0000-0000-0000AB6A0000}"/>
    <cellStyle name="Input 3 2 2 2 7 4" xfId="37107" xr:uid="{00000000-0005-0000-0000-0000AC6A0000}"/>
    <cellStyle name="Input 3 2 2 2 8" xfId="19982" xr:uid="{00000000-0005-0000-0000-0000AD6A0000}"/>
    <cellStyle name="Input 3 2 2 2 8 2" xfId="45519" xr:uid="{00000000-0005-0000-0000-0000AE6A0000}"/>
    <cellStyle name="Input 3 2 2 2 8 3" xfId="49425" xr:uid="{00000000-0005-0000-0000-0000AF6A0000}"/>
    <cellStyle name="Input 3 2 2 2 9" xfId="39878" xr:uid="{00000000-0005-0000-0000-0000B06A0000}"/>
    <cellStyle name="Input 3 2 2 3" xfId="53123" xr:uid="{00000000-0005-0000-0000-0000B16A0000}"/>
    <cellStyle name="Input 3 2 3" xfId="1943" xr:uid="{00000000-0005-0000-0000-0000B26A0000}"/>
    <cellStyle name="Input 3 2 3 2" xfId="7115" xr:uid="{00000000-0005-0000-0000-0000B36A0000}"/>
    <cellStyle name="Input 3 2 3 2 10" xfId="43103" xr:uid="{00000000-0005-0000-0000-0000B46A0000}"/>
    <cellStyle name="Input 3 2 3 2 2" xfId="10645" xr:uid="{00000000-0005-0000-0000-0000B56A0000}"/>
    <cellStyle name="Input 3 2 3 2 2 2" xfId="18438" xr:uid="{00000000-0005-0000-0000-0000B66A0000}"/>
    <cellStyle name="Input 3 2 3 2 2 2 2" xfId="43985" xr:uid="{00000000-0005-0000-0000-0000B76A0000}"/>
    <cellStyle name="Input 3 2 3 2 2 2 3" xfId="47894" xr:uid="{00000000-0005-0000-0000-0000B86A0000}"/>
    <cellStyle name="Input 3 2 3 2 2 2 4" xfId="36075" xr:uid="{00000000-0005-0000-0000-0000B96A0000}"/>
    <cellStyle name="Input 3 2 3 2 2 3" xfId="19296" xr:uid="{00000000-0005-0000-0000-0000BA6A0000}"/>
    <cellStyle name="Input 3 2 3 2 2 3 2" xfId="44833" xr:uid="{00000000-0005-0000-0000-0000BB6A0000}"/>
    <cellStyle name="Input 3 2 3 2 2 3 3" xfId="48739" xr:uid="{00000000-0005-0000-0000-0000BC6A0000}"/>
    <cellStyle name="Input 3 2 3 2 2 3 4" xfId="36874" xr:uid="{00000000-0005-0000-0000-0000BD6A0000}"/>
    <cellStyle name="Input 3 2 3 2 2 4" xfId="18927" xr:uid="{00000000-0005-0000-0000-0000BE6A0000}"/>
    <cellStyle name="Input 3 2 3 2 2 4 2" xfId="44464" xr:uid="{00000000-0005-0000-0000-0000BF6A0000}"/>
    <cellStyle name="Input 3 2 3 2 2 4 3" xfId="48370" xr:uid="{00000000-0005-0000-0000-0000C06A0000}"/>
    <cellStyle name="Input 3 2 3 2 2 4 4" xfId="36555" xr:uid="{00000000-0005-0000-0000-0000C16A0000}"/>
    <cellStyle name="Input 3 2 3 2 2 5" xfId="20851" xr:uid="{00000000-0005-0000-0000-0000C26A0000}"/>
    <cellStyle name="Input 3 2 3 2 2 5 2" xfId="46388" xr:uid="{00000000-0005-0000-0000-0000C36A0000}"/>
    <cellStyle name="Input 3 2 3 2 2 5 3" xfId="50294" xr:uid="{00000000-0005-0000-0000-0000C46A0000}"/>
    <cellStyle name="Input 3 2 3 2 2 5 4" xfId="38257" xr:uid="{00000000-0005-0000-0000-0000C56A0000}"/>
    <cellStyle name="Input 3 2 3 2 2 6" xfId="21504" xr:uid="{00000000-0005-0000-0000-0000C66A0000}"/>
    <cellStyle name="Input 3 2 3 2 2 6 2" xfId="47041" xr:uid="{00000000-0005-0000-0000-0000C76A0000}"/>
    <cellStyle name="Input 3 2 3 2 2 6 3" xfId="50947" xr:uid="{00000000-0005-0000-0000-0000C86A0000}"/>
    <cellStyle name="Input 3 2 3 2 2 7" xfId="40844" xr:uid="{00000000-0005-0000-0000-0000C96A0000}"/>
    <cellStyle name="Input 3 2 3 2 2 8" xfId="40252" xr:uid="{00000000-0005-0000-0000-0000CA6A0000}"/>
    <cellStyle name="Input 3 2 3 2 3" xfId="10940" xr:uid="{00000000-0005-0000-0000-0000CB6A0000}"/>
    <cellStyle name="Input 3 2 3 2 3 2" xfId="18733" xr:uid="{00000000-0005-0000-0000-0000CC6A0000}"/>
    <cellStyle name="Input 3 2 3 2 3 2 2" xfId="44280" xr:uid="{00000000-0005-0000-0000-0000CD6A0000}"/>
    <cellStyle name="Input 3 2 3 2 3 2 3" xfId="48189" xr:uid="{00000000-0005-0000-0000-0000CE6A0000}"/>
    <cellStyle name="Input 3 2 3 2 3 2 4" xfId="36370" xr:uid="{00000000-0005-0000-0000-0000CF6A0000}"/>
    <cellStyle name="Input 3 2 3 2 3 3" xfId="19713" xr:uid="{00000000-0005-0000-0000-0000D06A0000}"/>
    <cellStyle name="Input 3 2 3 2 3 3 2" xfId="45250" xr:uid="{00000000-0005-0000-0000-0000D16A0000}"/>
    <cellStyle name="Input 3 2 3 2 3 3 3" xfId="49156" xr:uid="{00000000-0005-0000-0000-0000D26A0000}"/>
    <cellStyle name="Input 3 2 3 2 3 3 4" xfId="37240" xr:uid="{00000000-0005-0000-0000-0000D36A0000}"/>
    <cellStyle name="Input 3 2 3 2 3 4" xfId="19059" xr:uid="{00000000-0005-0000-0000-0000D46A0000}"/>
    <cellStyle name="Input 3 2 3 2 3 4 2" xfId="44596" xr:uid="{00000000-0005-0000-0000-0000D56A0000}"/>
    <cellStyle name="Input 3 2 3 2 3 4 3" xfId="48502" xr:uid="{00000000-0005-0000-0000-0000D66A0000}"/>
    <cellStyle name="Input 3 2 3 2 3 4 4" xfId="36658" xr:uid="{00000000-0005-0000-0000-0000D76A0000}"/>
    <cellStyle name="Input 3 2 3 2 3 5" xfId="21146" xr:uid="{00000000-0005-0000-0000-0000D86A0000}"/>
    <cellStyle name="Input 3 2 3 2 3 5 2" xfId="46683" xr:uid="{00000000-0005-0000-0000-0000D96A0000}"/>
    <cellStyle name="Input 3 2 3 2 3 5 3" xfId="50589" xr:uid="{00000000-0005-0000-0000-0000DA6A0000}"/>
    <cellStyle name="Input 3 2 3 2 3 5 4" xfId="38552" xr:uid="{00000000-0005-0000-0000-0000DB6A0000}"/>
    <cellStyle name="Input 3 2 3 2 3 6" xfId="21799" xr:uid="{00000000-0005-0000-0000-0000DC6A0000}"/>
    <cellStyle name="Input 3 2 3 2 3 6 2" xfId="47336" xr:uid="{00000000-0005-0000-0000-0000DD6A0000}"/>
    <cellStyle name="Input 3 2 3 2 3 6 3" xfId="51242" xr:uid="{00000000-0005-0000-0000-0000DE6A0000}"/>
    <cellStyle name="Input 3 2 3 2 3 7" xfId="41139" xr:uid="{00000000-0005-0000-0000-0000DF6A0000}"/>
    <cellStyle name="Input 3 2 3 2 3 8" xfId="40232" xr:uid="{00000000-0005-0000-0000-0000E06A0000}"/>
    <cellStyle name="Input 3 2 3 2 4" xfId="14903" xr:uid="{00000000-0005-0000-0000-0000E16A0000}"/>
    <cellStyle name="Input 3 2 3 2 4 2" xfId="43019" xr:uid="{00000000-0005-0000-0000-0000E26A0000}"/>
    <cellStyle name="Input 3 2 3 2 4 3" xfId="40527" xr:uid="{00000000-0005-0000-0000-0000E36A0000}"/>
    <cellStyle name="Input 3 2 3 2 4 4" xfId="32538" xr:uid="{00000000-0005-0000-0000-0000E46A0000}"/>
    <cellStyle name="Input 3 2 3 2 5" xfId="12477" xr:uid="{00000000-0005-0000-0000-0000E56A0000}"/>
    <cellStyle name="Input 3 2 3 2 5 2" xfId="41998" xr:uid="{00000000-0005-0000-0000-0000E66A0000}"/>
    <cellStyle name="Input 3 2 3 2 5 3" xfId="43695" xr:uid="{00000000-0005-0000-0000-0000E76A0000}"/>
    <cellStyle name="Input 3 2 3 2 5 4" xfId="30148" xr:uid="{00000000-0005-0000-0000-0000E86A0000}"/>
    <cellStyle name="Input 3 2 3 2 6" xfId="11477" xr:uid="{00000000-0005-0000-0000-0000E96A0000}"/>
    <cellStyle name="Input 3 2 3 2 6 2" xfId="41488" xr:uid="{00000000-0005-0000-0000-0000EA6A0000}"/>
    <cellStyle name="Input 3 2 3 2 6 3" xfId="40077" xr:uid="{00000000-0005-0000-0000-0000EB6A0000}"/>
    <cellStyle name="Input 3 2 3 2 6 4" xfId="29193" xr:uid="{00000000-0005-0000-0000-0000EC6A0000}"/>
    <cellStyle name="Input 3 2 3 2 7" xfId="11471" xr:uid="{00000000-0005-0000-0000-0000ED6A0000}"/>
    <cellStyle name="Input 3 2 3 2 7 2" xfId="41482" xr:uid="{00000000-0005-0000-0000-0000EE6A0000}"/>
    <cellStyle name="Input 3 2 3 2 7 3" xfId="43354" xr:uid="{00000000-0005-0000-0000-0000EF6A0000}"/>
    <cellStyle name="Input 3 2 3 2 7 4" xfId="29187" xr:uid="{00000000-0005-0000-0000-0000F06A0000}"/>
    <cellStyle name="Input 3 2 3 2 8" xfId="20249" xr:uid="{00000000-0005-0000-0000-0000F16A0000}"/>
    <cellStyle name="Input 3 2 3 2 8 2" xfId="45786" xr:uid="{00000000-0005-0000-0000-0000F26A0000}"/>
    <cellStyle name="Input 3 2 3 2 8 3" xfId="49692" xr:uid="{00000000-0005-0000-0000-0000F36A0000}"/>
    <cellStyle name="Input 3 2 3 2 9" xfId="39879" xr:uid="{00000000-0005-0000-0000-0000F46A0000}"/>
    <cellStyle name="Input 3 2 3 3" xfId="22925" xr:uid="{00000000-0005-0000-0000-0000F56A0000}"/>
    <cellStyle name="Input 3 2 3 3 2" xfId="47621" xr:uid="{00000000-0005-0000-0000-0000F66A0000}"/>
    <cellStyle name="Input 3 2 3 3 3" xfId="51436" xr:uid="{00000000-0005-0000-0000-0000F76A0000}"/>
    <cellStyle name="Input 3 2 3 3 4" xfId="39034" xr:uid="{00000000-0005-0000-0000-0000F86A0000}"/>
    <cellStyle name="Input 3 2 3 4" xfId="23065" xr:uid="{00000000-0005-0000-0000-0000F96A0000}"/>
    <cellStyle name="Input 3 2 3 4 2" xfId="47665" xr:uid="{00000000-0005-0000-0000-0000FA6A0000}"/>
    <cellStyle name="Input 3 2 3 4 3" xfId="51476" xr:uid="{00000000-0005-0000-0000-0000FB6A0000}"/>
    <cellStyle name="Input 3 2 3 5" xfId="53124" xr:uid="{00000000-0005-0000-0000-0000FC6A0000}"/>
    <cellStyle name="Input 3 2 4" xfId="4238" xr:uid="{00000000-0005-0000-0000-0000FD6A0000}"/>
    <cellStyle name="Input 3 2 4 2" xfId="7116" xr:uid="{00000000-0005-0000-0000-0000FE6A0000}"/>
    <cellStyle name="Input 3 2 4 2 10" xfId="43770" xr:uid="{00000000-0005-0000-0000-0000FF6A0000}"/>
    <cellStyle name="Input 3 2 4 2 2" xfId="10646" xr:uid="{00000000-0005-0000-0000-0000006B0000}"/>
    <cellStyle name="Input 3 2 4 2 2 2" xfId="18439" xr:uid="{00000000-0005-0000-0000-0000016B0000}"/>
    <cellStyle name="Input 3 2 4 2 2 2 2" xfId="43986" xr:uid="{00000000-0005-0000-0000-0000026B0000}"/>
    <cellStyle name="Input 3 2 4 2 2 2 3" xfId="47895" xr:uid="{00000000-0005-0000-0000-0000036B0000}"/>
    <cellStyle name="Input 3 2 4 2 2 2 4" xfId="36076" xr:uid="{00000000-0005-0000-0000-0000046B0000}"/>
    <cellStyle name="Input 3 2 4 2 2 3" xfId="19905" xr:uid="{00000000-0005-0000-0000-0000056B0000}"/>
    <cellStyle name="Input 3 2 4 2 2 3 2" xfId="45442" xr:uid="{00000000-0005-0000-0000-0000066B0000}"/>
    <cellStyle name="Input 3 2 4 2 2 3 3" xfId="49348" xr:uid="{00000000-0005-0000-0000-0000076B0000}"/>
    <cellStyle name="Input 3 2 4 2 2 3 4" xfId="37419" xr:uid="{00000000-0005-0000-0000-0000086B0000}"/>
    <cellStyle name="Input 3 2 4 2 2 4" xfId="19812" xr:uid="{00000000-0005-0000-0000-0000096B0000}"/>
    <cellStyle name="Input 3 2 4 2 2 4 2" xfId="45349" xr:uid="{00000000-0005-0000-0000-00000A6B0000}"/>
    <cellStyle name="Input 3 2 4 2 2 4 3" xfId="49255" xr:uid="{00000000-0005-0000-0000-00000B6B0000}"/>
    <cellStyle name="Input 3 2 4 2 2 4 4" xfId="37333" xr:uid="{00000000-0005-0000-0000-00000C6B0000}"/>
    <cellStyle name="Input 3 2 4 2 2 5" xfId="20852" xr:uid="{00000000-0005-0000-0000-00000D6B0000}"/>
    <cellStyle name="Input 3 2 4 2 2 5 2" xfId="46389" xr:uid="{00000000-0005-0000-0000-00000E6B0000}"/>
    <cellStyle name="Input 3 2 4 2 2 5 3" xfId="50295" xr:uid="{00000000-0005-0000-0000-00000F6B0000}"/>
    <cellStyle name="Input 3 2 4 2 2 5 4" xfId="38258" xr:uid="{00000000-0005-0000-0000-0000106B0000}"/>
    <cellStyle name="Input 3 2 4 2 2 6" xfId="21505" xr:uid="{00000000-0005-0000-0000-0000116B0000}"/>
    <cellStyle name="Input 3 2 4 2 2 6 2" xfId="47042" xr:uid="{00000000-0005-0000-0000-0000126B0000}"/>
    <cellStyle name="Input 3 2 4 2 2 6 3" xfId="50948" xr:uid="{00000000-0005-0000-0000-0000136B0000}"/>
    <cellStyle name="Input 3 2 4 2 2 7" xfId="40845" xr:uid="{00000000-0005-0000-0000-0000146B0000}"/>
    <cellStyle name="Input 3 2 4 2 2 8" xfId="39392" xr:uid="{00000000-0005-0000-0000-0000156B0000}"/>
    <cellStyle name="Input 3 2 4 2 3" xfId="10941" xr:uid="{00000000-0005-0000-0000-0000166B0000}"/>
    <cellStyle name="Input 3 2 4 2 3 2" xfId="18734" xr:uid="{00000000-0005-0000-0000-0000176B0000}"/>
    <cellStyle name="Input 3 2 4 2 3 2 2" xfId="44281" xr:uid="{00000000-0005-0000-0000-0000186B0000}"/>
    <cellStyle name="Input 3 2 4 2 3 2 3" xfId="48190" xr:uid="{00000000-0005-0000-0000-0000196B0000}"/>
    <cellStyle name="Input 3 2 4 2 3 2 4" xfId="36371" xr:uid="{00000000-0005-0000-0000-00001A6B0000}"/>
    <cellStyle name="Input 3 2 4 2 3 3" xfId="11532" xr:uid="{00000000-0005-0000-0000-00001B6B0000}"/>
    <cellStyle name="Input 3 2 4 2 3 3 2" xfId="41543" xr:uid="{00000000-0005-0000-0000-00001C6B0000}"/>
    <cellStyle name="Input 3 2 4 2 3 3 3" xfId="40213" xr:uid="{00000000-0005-0000-0000-00001D6B0000}"/>
    <cellStyle name="Input 3 2 4 2 3 3 4" xfId="29247" xr:uid="{00000000-0005-0000-0000-00001E6B0000}"/>
    <cellStyle name="Input 3 2 4 2 3 4" xfId="19159" xr:uid="{00000000-0005-0000-0000-00001F6B0000}"/>
    <cellStyle name="Input 3 2 4 2 3 4 2" xfId="44696" xr:uid="{00000000-0005-0000-0000-0000206B0000}"/>
    <cellStyle name="Input 3 2 4 2 3 4 3" xfId="48602" xr:uid="{00000000-0005-0000-0000-0000216B0000}"/>
    <cellStyle name="Input 3 2 4 2 3 4 4" xfId="36751" xr:uid="{00000000-0005-0000-0000-0000226B0000}"/>
    <cellStyle name="Input 3 2 4 2 3 5" xfId="21147" xr:uid="{00000000-0005-0000-0000-0000236B0000}"/>
    <cellStyle name="Input 3 2 4 2 3 5 2" xfId="46684" xr:uid="{00000000-0005-0000-0000-0000246B0000}"/>
    <cellStyle name="Input 3 2 4 2 3 5 3" xfId="50590" xr:uid="{00000000-0005-0000-0000-0000256B0000}"/>
    <cellStyle name="Input 3 2 4 2 3 5 4" xfId="38553" xr:uid="{00000000-0005-0000-0000-0000266B0000}"/>
    <cellStyle name="Input 3 2 4 2 3 6" xfId="21800" xr:uid="{00000000-0005-0000-0000-0000276B0000}"/>
    <cellStyle name="Input 3 2 4 2 3 6 2" xfId="47337" xr:uid="{00000000-0005-0000-0000-0000286B0000}"/>
    <cellStyle name="Input 3 2 4 2 3 6 3" xfId="51243" xr:uid="{00000000-0005-0000-0000-0000296B0000}"/>
    <cellStyle name="Input 3 2 4 2 3 7" xfId="41140" xr:uid="{00000000-0005-0000-0000-00002A6B0000}"/>
    <cellStyle name="Input 3 2 4 2 3 8" xfId="39372" xr:uid="{00000000-0005-0000-0000-00002B6B0000}"/>
    <cellStyle name="Input 3 2 4 2 4" xfId="14904" xr:uid="{00000000-0005-0000-0000-00002C6B0000}"/>
    <cellStyle name="Input 3 2 4 2 4 2" xfId="43020" xr:uid="{00000000-0005-0000-0000-00002D6B0000}"/>
    <cellStyle name="Input 3 2 4 2 4 3" xfId="39635" xr:uid="{00000000-0005-0000-0000-00002E6B0000}"/>
    <cellStyle name="Input 3 2 4 2 4 4" xfId="32539" xr:uid="{00000000-0005-0000-0000-00002F6B0000}"/>
    <cellStyle name="Input 3 2 4 2 5" xfId="11311" xr:uid="{00000000-0005-0000-0000-0000306B0000}"/>
    <cellStyle name="Input 3 2 4 2 5 2" xfId="41357" xr:uid="{00000000-0005-0000-0000-0000316B0000}"/>
    <cellStyle name="Input 3 2 4 2 5 3" xfId="42589" xr:uid="{00000000-0005-0000-0000-0000326B0000}"/>
    <cellStyle name="Input 3 2 4 2 5 4" xfId="29039" xr:uid="{00000000-0005-0000-0000-0000336B0000}"/>
    <cellStyle name="Input 3 2 4 2 6" xfId="19358" xr:uid="{00000000-0005-0000-0000-0000346B0000}"/>
    <cellStyle name="Input 3 2 4 2 6 2" xfId="44895" xr:uid="{00000000-0005-0000-0000-0000356B0000}"/>
    <cellStyle name="Input 3 2 4 2 6 3" xfId="48801" xr:uid="{00000000-0005-0000-0000-0000366B0000}"/>
    <cellStyle name="Input 3 2 4 2 6 4" xfId="36927" xr:uid="{00000000-0005-0000-0000-0000376B0000}"/>
    <cellStyle name="Input 3 2 4 2 7" xfId="19020" xr:uid="{00000000-0005-0000-0000-0000386B0000}"/>
    <cellStyle name="Input 3 2 4 2 7 2" xfId="44557" xr:uid="{00000000-0005-0000-0000-0000396B0000}"/>
    <cellStyle name="Input 3 2 4 2 7 3" xfId="48463" xr:uid="{00000000-0005-0000-0000-00003A6B0000}"/>
    <cellStyle name="Input 3 2 4 2 7 4" xfId="36628" xr:uid="{00000000-0005-0000-0000-00003B6B0000}"/>
    <cellStyle name="Input 3 2 4 2 8" xfId="19150" xr:uid="{00000000-0005-0000-0000-00003C6B0000}"/>
    <cellStyle name="Input 3 2 4 2 8 2" xfId="44687" xr:uid="{00000000-0005-0000-0000-00003D6B0000}"/>
    <cellStyle name="Input 3 2 4 2 8 3" xfId="48593" xr:uid="{00000000-0005-0000-0000-00003E6B0000}"/>
    <cellStyle name="Input 3 2 4 2 9" xfId="39880" xr:uid="{00000000-0005-0000-0000-00003F6B0000}"/>
    <cellStyle name="Input 3 2 4 3" xfId="22465" xr:uid="{00000000-0005-0000-0000-0000406B0000}"/>
    <cellStyle name="Input 3 2 5" xfId="4239" xr:uid="{00000000-0005-0000-0000-0000416B0000}"/>
    <cellStyle name="Input 3 2 5 2" xfId="10464" xr:uid="{00000000-0005-0000-0000-0000426B0000}"/>
    <cellStyle name="Input 3 2 5 2 2" xfId="18257" xr:uid="{00000000-0005-0000-0000-0000436B0000}"/>
    <cellStyle name="Input 3 2 5 2 2 2" xfId="43804" xr:uid="{00000000-0005-0000-0000-0000446B0000}"/>
    <cellStyle name="Input 3 2 5 2 2 3" xfId="47713" xr:uid="{00000000-0005-0000-0000-0000456B0000}"/>
    <cellStyle name="Input 3 2 5 2 2 4" xfId="35894" xr:uid="{00000000-0005-0000-0000-0000466B0000}"/>
    <cellStyle name="Input 3 2 5 2 3" xfId="19624" xr:uid="{00000000-0005-0000-0000-0000476B0000}"/>
    <cellStyle name="Input 3 2 5 2 3 2" xfId="45161" xr:uid="{00000000-0005-0000-0000-0000486B0000}"/>
    <cellStyle name="Input 3 2 5 2 3 3" xfId="49067" xr:uid="{00000000-0005-0000-0000-0000496B0000}"/>
    <cellStyle name="Input 3 2 5 2 3 4" xfId="37164" xr:uid="{00000000-0005-0000-0000-00004A6B0000}"/>
    <cellStyle name="Input 3 2 5 2 4" xfId="20056" xr:uid="{00000000-0005-0000-0000-00004B6B0000}"/>
    <cellStyle name="Input 3 2 5 2 4 2" xfId="45593" xr:uid="{00000000-0005-0000-0000-00004C6B0000}"/>
    <cellStyle name="Input 3 2 5 2 4 3" xfId="49499" xr:uid="{00000000-0005-0000-0000-00004D6B0000}"/>
    <cellStyle name="Input 3 2 5 2 4 4" xfId="37552" xr:uid="{00000000-0005-0000-0000-00004E6B0000}"/>
    <cellStyle name="Input 3 2 5 2 5" xfId="20670" xr:uid="{00000000-0005-0000-0000-00004F6B0000}"/>
    <cellStyle name="Input 3 2 5 2 5 2" xfId="46207" xr:uid="{00000000-0005-0000-0000-0000506B0000}"/>
    <cellStyle name="Input 3 2 5 2 5 3" xfId="50113" xr:uid="{00000000-0005-0000-0000-0000516B0000}"/>
    <cellStyle name="Input 3 2 5 2 5 4" xfId="38076" xr:uid="{00000000-0005-0000-0000-0000526B0000}"/>
    <cellStyle name="Input 3 2 5 2 6" xfId="21323" xr:uid="{00000000-0005-0000-0000-0000536B0000}"/>
    <cellStyle name="Input 3 2 5 2 6 2" xfId="46860" xr:uid="{00000000-0005-0000-0000-0000546B0000}"/>
    <cellStyle name="Input 3 2 5 2 6 3" xfId="50766" xr:uid="{00000000-0005-0000-0000-0000556B0000}"/>
    <cellStyle name="Input 3 2 5 2 7" xfId="40663" xr:uid="{00000000-0005-0000-0000-0000566B0000}"/>
    <cellStyle name="Input 3 2 5 2 8" xfId="42754" xr:uid="{00000000-0005-0000-0000-0000576B0000}"/>
    <cellStyle name="Input 3 2 5 3" xfId="8466" xr:uid="{00000000-0005-0000-0000-0000586B0000}"/>
    <cellStyle name="Input 3 2 5 3 2" xfId="16262" xr:uid="{00000000-0005-0000-0000-0000596B0000}"/>
    <cellStyle name="Input 3 2 5 3 2 2" xfId="43413" xr:uid="{00000000-0005-0000-0000-00005A6B0000}"/>
    <cellStyle name="Input 3 2 5 3 2 3" xfId="43552" xr:uid="{00000000-0005-0000-0000-00005B6B0000}"/>
    <cellStyle name="Input 3 2 5 3 2 4" xfId="33897" xr:uid="{00000000-0005-0000-0000-00005C6B0000}"/>
    <cellStyle name="Input 3 2 5 3 3" xfId="12131" xr:uid="{00000000-0005-0000-0000-00005D6B0000}"/>
    <cellStyle name="Input 3 2 5 3 3 2" xfId="41876" xr:uid="{00000000-0005-0000-0000-00005E6B0000}"/>
    <cellStyle name="Input 3 2 5 3 3 3" xfId="40031" xr:uid="{00000000-0005-0000-0000-00005F6B0000}"/>
    <cellStyle name="Input 3 2 5 3 3 4" xfId="29804" xr:uid="{00000000-0005-0000-0000-0000606B0000}"/>
    <cellStyle name="Input 3 2 5 3 4" xfId="11739" xr:uid="{00000000-0005-0000-0000-0000616B0000}"/>
    <cellStyle name="Input 3 2 5 3 4 2" xfId="41725" xr:uid="{00000000-0005-0000-0000-0000626B0000}"/>
    <cellStyle name="Input 3 2 5 3 4 3" xfId="40455" xr:uid="{00000000-0005-0000-0000-0000636B0000}"/>
    <cellStyle name="Input 3 2 5 3 4 4" xfId="29426" xr:uid="{00000000-0005-0000-0000-0000646B0000}"/>
    <cellStyle name="Input 3 2 5 3 5" xfId="12648" xr:uid="{00000000-0005-0000-0000-0000656B0000}"/>
    <cellStyle name="Input 3 2 5 3 5 2" xfId="42127" xr:uid="{00000000-0005-0000-0000-0000666B0000}"/>
    <cellStyle name="Input 3 2 5 3 5 3" xfId="42804" xr:uid="{00000000-0005-0000-0000-0000676B0000}"/>
    <cellStyle name="Input 3 2 5 3 5 4" xfId="30313" xr:uid="{00000000-0005-0000-0000-0000686B0000}"/>
    <cellStyle name="Input 3 2 5 3 6" xfId="18989" xr:uid="{00000000-0005-0000-0000-0000696B0000}"/>
    <cellStyle name="Input 3 2 5 3 6 2" xfId="44526" xr:uid="{00000000-0005-0000-0000-00006A6B0000}"/>
    <cellStyle name="Input 3 2 5 3 6 3" xfId="48432" xr:uid="{00000000-0005-0000-0000-00006B6B0000}"/>
    <cellStyle name="Input 3 2 5 3 7" xfId="40275" xr:uid="{00000000-0005-0000-0000-00006C6B0000}"/>
    <cellStyle name="Input 3 2 5 3 8" xfId="39227" xr:uid="{00000000-0005-0000-0000-00006D6B0000}"/>
    <cellStyle name="Input 3 2 6" xfId="7113" xr:uid="{00000000-0005-0000-0000-00006E6B0000}"/>
    <cellStyle name="Input 3 2 6 10" xfId="43275" xr:uid="{00000000-0005-0000-0000-00006F6B0000}"/>
    <cellStyle name="Input 3 2 6 2" xfId="10643" xr:uid="{00000000-0005-0000-0000-0000706B0000}"/>
    <cellStyle name="Input 3 2 6 2 2" xfId="18436" xr:uid="{00000000-0005-0000-0000-0000716B0000}"/>
    <cellStyle name="Input 3 2 6 2 2 2" xfId="43983" xr:uid="{00000000-0005-0000-0000-0000726B0000}"/>
    <cellStyle name="Input 3 2 6 2 2 3" xfId="47892" xr:uid="{00000000-0005-0000-0000-0000736B0000}"/>
    <cellStyle name="Input 3 2 6 2 2 4" xfId="36073" xr:uid="{00000000-0005-0000-0000-0000746B0000}"/>
    <cellStyle name="Input 3 2 6 2 3" xfId="19423" xr:uid="{00000000-0005-0000-0000-0000756B0000}"/>
    <cellStyle name="Input 3 2 6 2 3 2" xfId="44960" xr:uid="{00000000-0005-0000-0000-0000766B0000}"/>
    <cellStyle name="Input 3 2 6 2 3 3" xfId="48866" xr:uid="{00000000-0005-0000-0000-0000776B0000}"/>
    <cellStyle name="Input 3 2 6 2 3 4" xfId="36988" xr:uid="{00000000-0005-0000-0000-0000786B0000}"/>
    <cellStyle name="Input 3 2 6 2 4" xfId="11636" xr:uid="{00000000-0005-0000-0000-0000796B0000}"/>
    <cellStyle name="Input 3 2 6 2 4 2" xfId="41647" xr:uid="{00000000-0005-0000-0000-00007A6B0000}"/>
    <cellStyle name="Input 3 2 6 2 4 3" xfId="42021" xr:uid="{00000000-0005-0000-0000-00007B6B0000}"/>
    <cellStyle name="Input 3 2 6 2 4 4" xfId="29337" xr:uid="{00000000-0005-0000-0000-00007C6B0000}"/>
    <cellStyle name="Input 3 2 6 2 5" xfId="20849" xr:uid="{00000000-0005-0000-0000-00007D6B0000}"/>
    <cellStyle name="Input 3 2 6 2 5 2" xfId="46386" xr:uid="{00000000-0005-0000-0000-00007E6B0000}"/>
    <cellStyle name="Input 3 2 6 2 5 3" xfId="50292" xr:uid="{00000000-0005-0000-0000-00007F6B0000}"/>
    <cellStyle name="Input 3 2 6 2 5 4" xfId="38255" xr:uid="{00000000-0005-0000-0000-0000806B0000}"/>
    <cellStyle name="Input 3 2 6 2 6" xfId="21502" xr:uid="{00000000-0005-0000-0000-0000816B0000}"/>
    <cellStyle name="Input 3 2 6 2 6 2" xfId="47039" xr:uid="{00000000-0005-0000-0000-0000826B0000}"/>
    <cellStyle name="Input 3 2 6 2 6 3" xfId="50945" xr:uid="{00000000-0005-0000-0000-0000836B0000}"/>
    <cellStyle name="Input 3 2 6 2 7" xfId="40842" xr:uid="{00000000-0005-0000-0000-0000846B0000}"/>
    <cellStyle name="Input 3 2 6 2 8" xfId="42071" xr:uid="{00000000-0005-0000-0000-0000856B0000}"/>
    <cellStyle name="Input 3 2 6 3" xfId="10938" xr:uid="{00000000-0005-0000-0000-0000866B0000}"/>
    <cellStyle name="Input 3 2 6 3 2" xfId="18731" xr:uid="{00000000-0005-0000-0000-0000876B0000}"/>
    <cellStyle name="Input 3 2 6 3 2 2" xfId="44278" xr:uid="{00000000-0005-0000-0000-0000886B0000}"/>
    <cellStyle name="Input 3 2 6 3 2 3" xfId="48187" xr:uid="{00000000-0005-0000-0000-0000896B0000}"/>
    <cellStyle name="Input 3 2 6 3 2 4" xfId="36368" xr:uid="{00000000-0005-0000-0000-00008A6B0000}"/>
    <cellStyle name="Input 3 2 6 3 3" xfId="19881" xr:uid="{00000000-0005-0000-0000-00008B6B0000}"/>
    <cellStyle name="Input 3 2 6 3 3 2" xfId="45418" xr:uid="{00000000-0005-0000-0000-00008C6B0000}"/>
    <cellStyle name="Input 3 2 6 3 3 3" xfId="49324" xr:uid="{00000000-0005-0000-0000-00008D6B0000}"/>
    <cellStyle name="Input 3 2 6 3 3 4" xfId="37395" xr:uid="{00000000-0005-0000-0000-00008E6B0000}"/>
    <cellStyle name="Input 3 2 6 3 4" xfId="19477" xr:uid="{00000000-0005-0000-0000-00008F6B0000}"/>
    <cellStyle name="Input 3 2 6 3 4 2" xfId="45014" xr:uid="{00000000-0005-0000-0000-0000906B0000}"/>
    <cellStyle name="Input 3 2 6 3 4 3" xfId="48920" xr:uid="{00000000-0005-0000-0000-0000916B0000}"/>
    <cellStyle name="Input 3 2 6 3 4 4" xfId="37034" xr:uid="{00000000-0005-0000-0000-0000926B0000}"/>
    <cellStyle name="Input 3 2 6 3 5" xfId="21144" xr:uid="{00000000-0005-0000-0000-0000936B0000}"/>
    <cellStyle name="Input 3 2 6 3 5 2" xfId="46681" xr:uid="{00000000-0005-0000-0000-0000946B0000}"/>
    <cellStyle name="Input 3 2 6 3 5 3" xfId="50587" xr:uid="{00000000-0005-0000-0000-0000956B0000}"/>
    <cellStyle name="Input 3 2 6 3 5 4" xfId="38550" xr:uid="{00000000-0005-0000-0000-0000966B0000}"/>
    <cellStyle name="Input 3 2 6 3 6" xfId="21797" xr:uid="{00000000-0005-0000-0000-0000976B0000}"/>
    <cellStyle name="Input 3 2 6 3 6 2" xfId="47334" xr:uid="{00000000-0005-0000-0000-0000986B0000}"/>
    <cellStyle name="Input 3 2 6 3 6 3" xfId="51240" xr:uid="{00000000-0005-0000-0000-0000996B0000}"/>
    <cellStyle name="Input 3 2 6 3 7" xfId="41137" xr:uid="{00000000-0005-0000-0000-00009A6B0000}"/>
    <cellStyle name="Input 3 2 6 3 8" xfId="42051" xr:uid="{00000000-0005-0000-0000-00009B6B0000}"/>
    <cellStyle name="Input 3 2 6 4" xfId="14901" xr:uid="{00000000-0005-0000-0000-00009C6B0000}"/>
    <cellStyle name="Input 3 2 6 4 2" xfId="43017" xr:uid="{00000000-0005-0000-0000-00009D6B0000}"/>
    <cellStyle name="Input 3 2 6 4 3" xfId="42781" xr:uid="{00000000-0005-0000-0000-00009E6B0000}"/>
    <cellStyle name="Input 3 2 6 4 4" xfId="32536" xr:uid="{00000000-0005-0000-0000-00009F6B0000}"/>
    <cellStyle name="Input 3 2 6 5" xfId="13148" xr:uid="{00000000-0005-0000-0000-0000A06B0000}"/>
    <cellStyle name="Input 3 2 6 5 2" xfId="42369" xr:uid="{00000000-0005-0000-0000-0000A16B0000}"/>
    <cellStyle name="Input 3 2 6 5 3" xfId="39297" xr:uid="{00000000-0005-0000-0000-0000A26B0000}"/>
    <cellStyle name="Input 3 2 6 5 4" xfId="30797" xr:uid="{00000000-0005-0000-0000-0000A36B0000}"/>
    <cellStyle name="Input 3 2 6 6" xfId="20375" xr:uid="{00000000-0005-0000-0000-0000A46B0000}"/>
    <cellStyle name="Input 3 2 6 6 2" xfId="45912" xr:uid="{00000000-0005-0000-0000-0000A56B0000}"/>
    <cellStyle name="Input 3 2 6 6 3" xfId="49818" xr:uid="{00000000-0005-0000-0000-0000A66B0000}"/>
    <cellStyle name="Input 3 2 6 6 4" xfId="37831" xr:uid="{00000000-0005-0000-0000-0000A76B0000}"/>
    <cellStyle name="Input 3 2 6 7" xfId="18934" xr:uid="{00000000-0005-0000-0000-0000A86B0000}"/>
    <cellStyle name="Input 3 2 6 7 2" xfId="44471" xr:uid="{00000000-0005-0000-0000-0000A96B0000}"/>
    <cellStyle name="Input 3 2 6 7 3" xfId="48377" xr:uid="{00000000-0005-0000-0000-0000AA6B0000}"/>
    <cellStyle name="Input 3 2 6 7 4" xfId="36561" xr:uid="{00000000-0005-0000-0000-0000AB6B0000}"/>
    <cellStyle name="Input 3 2 6 8" xfId="19450" xr:uid="{00000000-0005-0000-0000-0000AC6B0000}"/>
    <cellStyle name="Input 3 2 6 8 2" xfId="44987" xr:uid="{00000000-0005-0000-0000-0000AD6B0000}"/>
    <cellStyle name="Input 3 2 6 8 3" xfId="48893" xr:uid="{00000000-0005-0000-0000-0000AE6B0000}"/>
    <cellStyle name="Input 3 2 6 9" xfId="39877" xr:uid="{00000000-0005-0000-0000-0000AF6B0000}"/>
    <cellStyle name="Input 3 2 7" xfId="53122" xr:uid="{00000000-0005-0000-0000-0000B06B0000}"/>
    <cellStyle name="Input 3 2_Sheet1" xfId="1944" xr:uid="{00000000-0005-0000-0000-0000B16B0000}"/>
    <cellStyle name="Input 3 20" xfId="52759" xr:uid="{00000000-0005-0000-0000-0000B26B0000}"/>
    <cellStyle name="Input 3 21" xfId="52741" xr:uid="{00000000-0005-0000-0000-0000B36B0000}"/>
    <cellStyle name="Input 3 22" xfId="52756" xr:uid="{00000000-0005-0000-0000-0000B46B0000}"/>
    <cellStyle name="Input 3 23" xfId="52743" xr:uid="{00000000-0005-0000-0000-0000B56B0000}"/>
    <cellStyle name="Input 3 24" xfId="52757" xr:uid="{00000000-0005-0000-0000-0000B66B0000}"/>
    <cellStyle name="Input 3 25" xfId="52781" xr:uid="{00000000-0005-0000-0000-0000B76B0000}"/>
    <cellStyle name="Input 3 26" xfId="52754" xr:uid="{00000000-0005-0000-0000-0000B86B0000}"/>
    <cellStyle name="Input 3 27" xfId="52780" xr:uid="{00000000-0005-0000-0000-0000B96B0000}"/>
    <cellStyle name="Input 3 28" xfId="52820" xr:uid="{00000000-0005-0000-0000-0000BA6B0000}"/>
    <cellStyle name="Input 3 29" xfId="52796" xr:uid="{00000000-0005-0000-0000-0000BB6B0000}"/>
    <cellStyle name="Input 3 3" xfId="1945" xr:uid="{00000000-0005-0000-0000-0000BC6B0000}"/>
    <cellStyle name="Input 3 3 2" xfId="7117" xr:uid="{00000000-0005-0000-0000-0000BD6B0000}"/>
    <cellStyle name="Input 3 3 2 10" xfId="40629" xr:uid="{00000000-0005-0000-0000-0000BE6B0000}"/>
    <cellStyle name="Input 3 3 2 11" xfId="53126" xr:uid="{00000000-0005-0000-0000-0000BF6B0000}"/>
    <cellStyle name="Input 3 3 2 2" xfId="10647" xr:uid="{00000000-0005-0000-0000-0000C06B0000}"/>
    <cellStyle name="Input 3 3 2 2 2" xfId="18440" xr:uid="{00000000-0005-0000-0000-0000C16B0000}"/>
    <cellStyle name="Input 3 3 2 2 2 2" xfId="43987" xr:uid="{00000000-0005-0000-0000-0000C26B0000}"/>
    <cellStyle name="Input 3 3 2 2 2 3" xfId="47896" xr:uid="{00000000-0005-0000-0000-0000C36B0000}"/>
    <cellStyle name="Input 3 3 2 2 2 4" xfId="36077" xr:uid="{00000000-0005-0000-0000-0000C46B0000}"/>
    <cellStyle name="Input 3 3 2 2 3" xfId="19128" xr:uid="{00000000-0005-0000-0000-0000C56B0000}"/>
    <cellStyle name="Input 3 3 2 2 3 2" xfId="44665" xr:uid="{00000000-0005-0000-0000-0000C66B0000}"/>
    <cellStyle name="Input 3 3 2 2 3 3" xfId="48571" xr:uid="{00000000-0005-0000-0000-0000C76B0000}"/>
    <cellStyle name="Input 3 3 2 2 3 4" xfId="36723" xr:uid="{00000000-0005-0000-0000-0000C86B0000}"/>
    <cellStyle name="Input 3 3 2 2 4" xfId="19834" xr:uid="{00000000-0005-0000-0000-0000C96B0000}"/>
    <cellStyle name="Input 3 3 2 2 4 2" xfId="45371" xr:uid="{00000000-0005-0000-0000-0000CA6B0000}"/>
    <cellStyle name="Input 3 3 2 2 4 3" xfId="49277" xr:uid="{00000000-0005-0000-0000-0000CB6B0000}"/>
    <cellStyle name="Input 3 3 2 2 4 4" xfId="37352" xr:uid="{00000000-0005-0000-0000-0000CC6B0000}"/>
    <cellStyle name="Input 3 3 2 2 5" xfId="20853" xr:uid="{00000000-0005-0000-0000-0000CD6B0000}"/>
    <cellStyle name="Input 3 3 2 2 5 2" xfId="46390" xr:uid="{00000000-0005-0000-0000-0000CE6B0000}"/>
    <cellStyle name="Input 3 3 2 2 5 3" xfId="50296" xr:uid="{00000000-0005-0000-0000-0000CF6B0000}"/>
    <cellStyle name="Input 3 3 2 2 5 4" xfId="38259" xr:uid="{00000000-0005-0000-0000-0000D06B0000}"/>
    <cellStyle name="Input 3 3 2 2 6" xfId="21506" xr:uid="{00000000-0005-0000-0000-0000D16B0000}"/>
    <cellStyle name="Input 3 3 2 2 6 2" xfId="47043" xr:uid="{00000000-0005-0000-0000-0000D26B0000}"/>
    <cellStyle name="Input 3 3 2 2 6 3" xfId="50949" xr:uid="{00000000-0005-0000-0000-0000D36B0000}"/>
    <cellStyle name="Input 3 3 2 2 7" xfId="40846" xr:uid="{00000000-0005-0000-0000-0000D46B0000}"/>
    <cellStyle name="Input 3 3 2 2 8" xfId="41438" xr:uid="{00000000-0005-0000-0000-0000D56B0000}"/>
    <cellStyle name="Input 3 3 2 3" xfId="10942" xr:uid="{00000000-0005-0000-0000-0000D66B0000}"/>
    <cellStyle name="Input 3 3 2 3 2" xfId="18735" xr:uid="{00000000-0005-0000-0000-0000D76B0000}"/>
    <cellStyle name="Input 3 3 2 3 2 2" xfId="44282" xr:uid="{00000000-0005-0000-0000-0000D86B0000}"/>
    <cellStyle name="Input 3 3 2 3 2 3" xfId="48191" xr:uid="{00000000-0005-0000-0000-0000D96B0000}"/>
    <cellStyle name="Input 3 3 2 3 2 4" xfId="36372" xr:uid="{00000000-0005-0000-0000-0000DA6B0000}"/>
    <cellStyle name="Input 3 3 2 3 3" xfId="13357" xr:uid="{00000000-0005-0000-0000-0000DB6B0000}"/>
    <cellStyle name="Input 3 3 2 3 3 2" xfId="42527" xr:uid="{00000000-0005-0000-0000-0000DC6B0000}"/>
    <cellStyle name="Input 3 3 2 3 3 3" xfId="43677" xr:uid="{00000000-0005-0000-0000-0000DD6B0000}"/>
    <cellStyle name="Input 3 3 2 3 3 4" xfId="30997" xr:uid="{00000000-0005-0000-0000-0000DE6B0000}"/>
    <cellStyle name="Input 3 3 2 3 4" xfId="19515" xr:uid="{00000000-0005-0000-0000-0000DF6B0000}"/>
    <cellStyle name="Input 3 3 2 3 4 2" xfId="45052" xr:uid="{00000000-0005-0000-0000-0000E06B0000}"/>
    <cellStyle name="Input 3 3 2 3 4 3" xfId="48958" xr:uid="{00000000-0005-0000-0000-0000E16B0000}"/>
    <cellStyle name="Input 3 3 2 3 4 4" xfId="37063" xr:uid="{00000000-0005-0000-0000-0000E26B0000}"/>
    <cellStyle name="Input 3 3 2 3 5" xfId="21148" xr:uid="{00000000-0005-0000-0000-0000E36B0000}"/>
    <cellStyle name="Input 3 3 2 3 5 2" xfId="46685" xr:uid="{00000000-0005-0000-0000-0000E46B0000}"/>
    <cellStyle name="Input 3 3 2 3 5 3" xfId="50591" xr:uid="{00000000-0005-0000-0000-0000E56B0000}"/>
    <cellStyle name="Input 3 3 2 3 5 4" xfId="38554" xr:uid="{00000000-0005-0000-0000-0000E66B0000}"/>
    <cellStyle name="Input 3 3 2 3 6" xfId="21801" xr:uid="{00000000-0005-0000-0000-0000E76B0000}"/>
    <cellStyle name="Input 3 3 2 3 6 2" xfId="47338" xr:uid="{00000000-0005-0000-0000-0000E86B0000}"/>
    <cellStyle name="Input 3 3 2 3 6 3" xfId="51244" xr:uid="{00000000-0005-0000-0000-0000E96B0000}"/>
    <cellStyle name="Input 3 3 2 3 7" xfId="41141" xr:uid="{00000000-0005-0000-0000-0000EA6B0000}"/>
    <cellStyle name="Input 3 3 2 3 8" xfId="42053" xr:uid="{00000000-0005-0000-0000-0000EB6B0000}"/>
    <cellStyle name="Input 3 3 2 4" xfId="14905" xr:uid="{00000000-0005-0000-0000-0000EC6B0000}"/>
    <cellStyle name="Input 3 3 2 4 2" xfId="43021" xr:uid="{00000000-0005-0000-0000-0000ED6B0000}"/>
    <cellStyle name="Input 3 3 2 4 3" xfId="42671" xr:uid="{00000000-0005-0000-0000-0000EE6B0000}"/>
    <cellStyle name="Input 3 3 2 4 4" xfId="32540" xr:uid="{00000000-0005-0000-0000-0000EF6B0000}"/>
    <cellStyle name="Input 3 3 2 5" xfId="12480" xr:uid="{00000000-0005-0000-0000-0000F06B0000}"/>
    <cellStyle name="Input 3 3 2 5 2" xfId="42001" xr:uid="{00000000-0005-0000-0000-0000F16B0000}"/>
    <cellStyle name="Input 3 3 2 5 3" xfId="42700" xr:uid="{00000000-0005-0000-0000-0000F26B0000}"/>
    <cellStyle name="Input 3 3 2 5 4" xfId="30151" xr:uid="{00000000-0005-0000-0000-0000F36B0000}"/>
    <cellStyle name="Input 3 3 2 6" xfId="20213" xr:uid="{00000000-0005-0000-0000-0000F46B0000}"/>
    <cellStyle name="Input 3 3 2 6 2" xfId="45750" xr:uid="{00000000-0005-0000-0000-0000F56B0000}"/>
    <cellStyle name="Input 3 3 2 6 3" xfId="49656" xr:uid="{00000000-0005-0000-0000-0000F66B0000}"/>
    <cellStyle name="Input 3 3 2 6 4" xfId="37691" xr:uid="{00000000-0005-0000-0000-0000F76B0000}"/>
    <cellStyle name="Input 3 3 2 7" xfId="12951" xr:uid="{00000000-0005-0000-0000-0000F86B0000}"/>
    <cellStyle name="Input 3 3 2 7 2" xfId="42261" xr:uid="{00000000-0005-0000-0000-0000F96B0000}"/>
    <cellStyle name="Input 3 3 2 7 3" xfId="40183" xr:uid="{00000000-0005-0000-0000-0000FA6B0000}"/>
    <cellStyle name="Input 3 3 2 7 4" xfId="30600" xr:uid="{00000000-0005-0000-0000-0000FB6B0000}"/>
    <cellStyle name="Input 3 3 2 8" xfId="12090" xr:uid="{00000000-0005-0000-0000-0000FC6B0000}"/>
    <cellStyle name="Input 3 3 2 8 2" xfId="41835" xr:uid="{00000000-0005-0000-0000-0000FD6B0000}"/>
    <cellStyle name="Input 3 3 2 8 3" xfId="39141" xr:uid="{00000000-0005-0000-0000-0000FE6B0000}"/>
    <cellStyle name="Input 3 3 2 9" xfId="39881" xr:uid="{00000000-0005-0000-0000-0000FF6B0000}"/>
    <cellStyle name="Input 3 3 3" xfId="22466" xr:uid="{00000000-0005-0000-0000-0000006C0000}"/>
    <cellStyle name="Input 3 3 4" xfId="53125" xr:uid="{00000000-0005-0000-0000-0000016C0000}"/>
    <cellStyle name="Input 3 30" xfId="52823" xr:uid="{00000000-0005-0000-0000-0000026C0000}"/>
    <cellStyle name="Input 3 31" xfId="52795" xr:uid="{00000000-0005-0000-0000-0000036C0000}"/>
    <cellStyle name="Input 3 32" xfId="52821" xr:uid="{00000000-0005-0000-0000-0000046C0000}"/>
    <cellStyle name="Input 3 33" xfId="52838" xr:uid="{00000000-0005-0000-0000-0000056C0000}"/>
    <cellStyle name="Input 3 34" xfId="52818" xr:uid="{00000000-0005-0000-0000-0000066C0000}"/>
    <cellStyle name="Input 3 35" xfId="52841" xr:uid="{00000000-0005-0000-0000-0000076C0000}"/>
    <cellStyle name="Input 3 36" xfId="52824" xr:uid="{00000000-0005-0000-0000-0000086C0000}"/>
    <cellStyle name="Input 3 37" xfId="52794" xr:uid="{00000000-0005-0000-0000-0000096C0000}"/>
    <cellStyle name="Input 3 38" xfId="52842" xr:uid="{00000000-0005-0000-0000-00000A6C0000}"/>
    <cellStyle name="Input 3 39" xfId="52798" xr:uid="{00000000-0005-0000-0000-00000B6C0000}"/>
    <cellStyle name="Input 3 4" xfId="1946" xr:uid="{00000000-0005-0000-0000-00000C6C0000}"/>
    <cellStyle name="Input 3 4 2" xfId="7118" xr:uid="{00000000-0005-0000-0000-00000D6C0000}"/>
    <cellStyle name="Input 3 4 2 10" xfId="39963" xr:uid="{00000000-0005-0000-0000-00000E6C0000}"/>
    <cellStyle name="Input 3 4 2 11" xfId="53128" xr:uid="{00000000-0005-0000-0000-00000F6C0000}"/>
    <cellStyle name="Input 3 4 2 2" xfId="10648" xr:uid="{00000000-0005-0000-0000-0000106C0000}"/>
    <cellStyle name="Input 3 4 2 2 2" xfId="18441" xr:uid="{00000000-0005-0000-0000-0000116C0000}"/>
    <cellStyle name="Input 3 4 2 2 2 2" xfId="43988" xr:uid="{00000000-0005-0000-0000-0000126C0000}"/>
    <cellStyle name="Input 3 4 2 2 2 3" xfId="47897" xr:uid="{00000000-0005-0000-0000-0000136C0000}"/>
    <cellStyle name="Input 3 4 2 2 2 4" xfId="36078" xr:uid="{00000000-0005-0000-0000-0000146C0000}"/>
    <cellStyle name="Input 3 4 2 2 3" xfId="19747" xr:uid="{00000000-0005-0000-0000-0000156C0000}"/>
    <cellStyle name="Input 3 4 2 2 3 2" xfId="45284" xr:uid="{00000000-0005-0000-0000-0000166C0000}"/>
    <cellStyle name="Input 3 4 2 2 3 3" xfId="49190" xr:uid="{00000000-0005-0000-0000-0000176C0000}"/>
    <cellStyle name="Input 3 4 2 2 3 4" xfId="37274" xr:uid="{00000000-0005-0000-0000-0000186C0000}"/>
    <cellStyle name="Input 3 4 2 2 4" xfId="18943" xr:uid="{00000000-0005-0000-0000-0000196C0000}"/>
    <cellStyle name="Input 3 4 2 2 4 2" xfId="44480" xr:uid="{00000000-0005-0000-0000-00001A6C0000}"/>
    <cellStyle name="Input 3 4 2 2 4 3" xfId="48386" xr:uid="{00000000-0005-0000-0000-00001B6C0000}"/>
    <cellStyle name="Input 3 4 2 2 4 4" xfId="36570" xr:uid="{00000000-0005-0000-0000-00001C6C0000}"/>
    <cellStyle name="Input 3 4 2 2 5" xfId="20854" xr:uid="{00000000-0005-0000-0000-00001D6C0000}"/>
    <cellStyle name="Input 3 4 2 2 5 2" xfId="46391" xr:uid="{00000000-0005-0000-0000-00001E6C0000}"/>
    <cellStyle name="Input 3 4 2 2 5 3" xfId="50297" xr:uid="{00000000-0005-0000-0000-00001F6C0000}"/>
    <cellStyle name="Input 3 4 2 2 5 4" xfId="38260" xr:uid="{00000000-0005-0000-0000-0000206C0000}"/>
    <cellStyle name="Input 3 4 2 2 6" xfId="21507" xr:uid="{00000000-0005-0000-0000-0000216C0000}"/>
    <cellStyle name="Input 3 4 2 2 6 2" xfId="47044" xr:uid="{00000000-0005-0000-0000-0000226C0000}"/>
    <cellStyle name="Input 3 4 2 2 6 3" xfId="50950" xr:uid="{00000000-0005-0000-0000-0000236C0000}"/>
    <cellStyle name="Input 3 4 2 2 7" xfId="40847" xr:uid="{00000000-0005-0000-0000-0000246C0000}"/>
    <cellStyle name="Input 3 4 2 2 8" xfId="43241" xr:uid="{00000000-0005-0000-0000-0000256C0000}"/>
    <cellStyle name="Input 3 4 2 3" xfId="10943" xr:uid="{00000000-0005-0000-0000-0000266C0000}"/>
    <cellStyle name="Input 3 4 2 3 2" xfId="18736" xr:uid="{00000000-0005-0000-0000-0000276C0000}"/>
    <cellStyle name="Input 3 4 2 3 2 2" xfId="44283" xr:uid="{00000000-0005-0000-0000-0000286C0000}"/>
    <cellStyle name="Input 3 4 2 3 2 3" xfId="48192" xr:uid="{00000000-0005-0000-0000-0000296C0000}"/>
    <cellStyle name="Input 3 4 2 3 2 4" xfId="36373" xr:uid="{00000000-0005-0000-0000-00002A6C0000}"/>
    <cellStyle name="Input 3 4 2 3 3" xfId="19585" xr:uid="{00000000-0005-0000-0000-00002B6C0000}"/>
    <cellStyle name="Input 3 4 2 3 3 2" xfId="45122" xr:uid="{00000000-0005-0000-0000-00002C6C0000}"/>
    <cellStyle name="Input 3 4 2 3 3 3" xfId="49028" xr:uid="{00000000-0005-0000-0000-00002D6C0000}"/>
    <cellStyle name="Input 3 4 2 3 3 4" xfId="37125" xr:uid="{00000000-0005-0000-0000-00002E6C0000}"/>
    <cellStyle name="Input 3 4 2 3 4" xfId="18938" xr:uid="{00000000-0005-0000-0000-00002F6C0000}"/>
    <cellStyle name="Input 3 4 2 3 4 2" xfId="44475" xr:uid="{00000000-0005-0000-0000-0000306C0000}"/>
    <cellStyle name="Input 3 4 2 3 4 3" xfId="48381" xr:uid="{00000000-0005-0000-0000-0000316C0000}"/>
    <cellStyle name="Input 3 4 2 3 4 4" xfId="36565" xr:uid="{00000000-0005-0000-0000-0000326C0000}"/>
    <cellStyle name="Input 3 4 2 3 5" xfId="21149" xr:uid="{00000000-0005-0000-0000-0000336C0000}"/>
    <cellStyle name="Input 3 4 2 3 5 2" xfId="46686" xr:uid="{00000000-0005-0000-0000-0000346C0000}"/>
    <cellStyle name="Input 3 4 2 3 5 3" xfId="50592" xr:uid="{00000000-0005-0000-0000-0000356C0000}"/>
    <cellStyle name="Input 3 4 2 3 5 4" xfId="38555" xr:uid="{00000000-0005-0000-0000-0000366C0000}"/>
    <cellStyle name="Input 3 4 2 3 6" xfId="21802" xr:uid="{00000000-0005-0000-0000-0000376C0000}"/>
    <cellStyle name="Input 3 4 2 3 6 2" xfId="47339" xr:uid="{00000000-0005-0000-0000-0000386C0000}"/>
    <cellStyle name="Input 3 4 2 3 6 3" xfId="51245" xr:uid="{00000000-0005-0000-0000-0000396C0000}"/>
    <cellStyle name="Input 3 4 2 3 7" xfId="41142" xr:uid="{00000000-0005-0000-0000-00003A6C0000}"/>
    <cellStyle name="Input 3 4 2 3 8" xfId="43372" xr:uid="{00000000-0005-0000-0000-00003B6C0000}"/>
    <cellStyle name="Input 3 4 2 4" xfId="14906" xr:uid="{00000000-0005-0000-0000-00003C6C0000}"/>
    <cellStyle name="Input 3 4 2 4 2" xfId="43022" xr:uid="{00000000-0005-0000-0000-00003D6C0000}"/>
    <cellStyle name="Input 3 4 2 4 3" xfId="43559" xr:uid="{00000000-0005-0000-0000-00003E6C0000}"/>
    <cellStyle name="Input 3 4 2 4 4" xfId="32541" xr:uid="{00000000-0005-0000-0000-00003F6C0000}"/>
    <cellStyle name="Input 3 4 2 5" xfId="13146" xr:uid="{00000000-0005-0000-0000-0000406C0000}"/>
    <cellStyle name="Input 3 4 2 5 2" xfId="42367" xr:uid="{00000000-0005-0000-0000-0000416C0000}"/>
    <cellStyle name="Input 3 4 2 5 3" xfId="39299" xr:uid="{00000000-0005-0000-0000-0000426C0000}"/>
    <cellStyle name="Input 3 4 2 5 4" xfId="30795" xr:uid="{00000000-0005-0000-0000-0000436C0000}"/>
    <cellStyle name="Input 3 4 2 6" xfId="19175" xr:uid="{00000000-0005-0000-0000-0000446C0000}"/>
    <cellStyle name="Input 3 4 2 6 2" xfId="44712" xr:uid="{00000000-0005-0000-0000-0000456C0000}"/>
    <cellStyle name="Input 3 4 2 6 3" xfId="48618" xr:uid="{00000000-0005-0000-0000-0000466C0000}"/>
    <cellStyle name="Input 3 4 2 6 4" xfId="36766" xr:uid="{00000000-0005-0000-0000-0000476C0000}"/>
    <cellStyle name="Input 3 4 2 7" xfId="20106" xr:uid="{00000000-0005-0000-0000-0000486C0000}"/>
    <cellStyle name="Input 3 4 2 7 2" xfId="45643" xr:uid="{00000000-0005-0000-0000-0000496C0000}"/>
    <cellStyle name="Input 3 4 2 7 3" xfId="49549" xr:uid="{00000000-0005-0000-0000-00004A6C0000}"/>
    <cellStyle name="Input 3 4 2 7 4" xfId="37594" xr:uid="{00000000-0005-0000-0000-00004B6C0000}"/>
    <cellStyle name="Input 3 4 2 8" xfId="20190" xr:uid="{00000000-0005-0000-0000-00004C6C0000}"/>
    <cellStyle name="Input 3 4 2 8 2" xfId="45727" xr:uid="{00000000-0005-0000-0000-00004D6C0000}"/>
    <cellStyle name="Input 3 4 2 8 3" xfId="49633" xr:uid="{00000000-0005-0000-0000-00004E6C0000}"/>
    <cellStyle name="Input 3 4 2 9" xfId="39882" xr:uid="{00000000-0005-0000-0000-00004F6C0000}"/>
    <cellStyle name="Input 3 4 3" xfId="22467" xr:uid="{00000000-0005-0000-0000-0000506C0000}"/>
    <cellStyle name="Input 3 4 4" xfId="53127" xr:uid="{00000000-0005-0000-0000-0000516C0000}"/>
    <cellStyle name="Input 3 40" xfId="52847" xr:uid="{00000000-0005-0000-0000-0000526C0000}"/>
    <cellStyle name="Input 3 41" xfId="52800" xr:uid="{00000000-0005-0000-0000-0000536C0000}"/>
    <cellStyle name="Input 3 42" xfId="52826" xr:uid="{00000000-0005-0000-0000-0000546C0000}"/>
    <cellStyle name="Input 3 43" xfId="52802" xr:uid="{00000000-0005-0000-0000-0000556C0000}"/>
    <cellStyle name="Input 3 44" xfId="52792" xr:uid="{00000000-0005-0000-0000-0000566C0000}"/>
    <cellStyle name="Input 3 45" xfId="52882" xr:uid="{00000000-0005-0000-0000-0000576C0000}"/>
    <cellStyle name="Input 3 46" xfId="52859" xr:uid="{00000000-0005-0000-0000-0000586C0000}"/>
    <cellStyle name="Input 3 47" xfId="52880" xr:uid="{00000000-0005-0000-0000-0000596C0000}"/>
    <cellStyle name="Input 3 48" xfId="52857" xr:uid="{00000000-0005-0000-0000-00005A6C0000}"/>
    <cellStyle name="Input 3 49" xfId="52878" xr:uid="{00000000-0005-0000-0000-00005B6C0000}"/>
    <cellStyle name="Input 3 5" xfId="1947" xr:uid="{00000000-0005-0000-0000-00005C6C0000}"/>
    <cellStyle name="Input 3 5 2" xfId="7119" xr:uid="{00000000-0005-0000-0000-00005D6C0000}"/>
    <cellStyle name="Input 3 5 2 10" xfId="42763" xr:uid="{00000000-0005-0000-0000-00005E6C0000}"/>
    <cellStyle name="Input 3 5 2 11" xfId="53130" xr:uid="{00000000-0005-0000-0000-00005F6C0000}"/>
    <cellStyle name="Input 3 5 2 2" xfId="10649" xr:uid="{00000000-0005-0000-0000-0000606C0000}"/>
    <cellStyle name="Input 3 5 2 2 2" xfId="18442" xr:uid="{00000000-0005-0000-0000-0000616C0000}"/>
    <cellStyle name="Input 3 5 2 2 2 2" xfId="43989" xr:uid="{00000000-0005-0000-0000-0000626C0000}"/>
    <cellStyle name="Input 3 5 2 2 2 3" xfId="47898" xr:uid="{00000000-0005-0000-0000-0000636C0000}"/>
    <cellStyle name="Input 3 5 2 2 2 4" xfId="36079" xr:uid="{00000000-0005-0000-0000-0000646C0000}"/>
    <cellStyle name="Input 3 5 2 2 3" xfId="12629" xr:uid="{00000000-0005-0000-0000-0000656C0000}"/>
    <cellStyle name="Input 3 5 2 2 3 2" xfId="42108" xr:uid="{00000000-0005-0000-0000-0000666C0000}"/>
    <cellStyle name="Input 3 5 2 2 3 3" xfId="43693" xr:uid="{00000000-0005-0000-0000-0000676C0000}"/>
    <cellStyle name="Input 3 5 2 2 3 4" xfId="30294" xr:uid="{00000000-0005-0000-0000-0000686C0000}"/>
    <cellStyle name="Input 3 5 2 2 4" xfId="20120" xr:uid="{00000000-0005-0000-0000-0000696C0000}"/>
    <cellStyle name="Input 3 5 2 2 4 2" xfId="45657" xr:uid="{00000000-0005-0000-0000-00006A6C0000}"/>
    <cellStyle name="Input 3 5 2 2 4 3" xfId="49563" xr:uid="{00000000-0005-0000-0000-00006B6C0000}"/>
    <cellStyle name="Input 3 5 2 2 4 4" xfId="37606" xr:uid="{00000000-0005-0000-0000-00006C6C0000}"/>
    <cellStyle name="Input 3 5 2 2 5" xfId="20855" xr:uid="{00000000-0005-0000-0000-00006D6C0000}"/>
    <cellStyle name="Input 3 5 2 2 5 2" xfId="46392" xr:uid="{00000000-0005-0000-0000-00006E6C0000}"/>
    <cellStyle name="Input 3 5 2 2 5 3" xfId="50298" xr:uid="{00000000-0005-0000-0000-00006F6C0000}"/>
    <cellStyle name="Input 3 5 2 2 5 4" xfId="38261" xr:uid="{00000000-0005-0000-0000-0000706C0000}"/>
    <cellStyle name="Input 3 5 2 2 6" xfId="21508" xr:uid="{00000000-0005-0000-0000-0000716C0000}"/>
    <cellStyle name="Input 3 5 2 2 6 2" xfId="47045" xr:uid="{00000000-0005-0000-0000-0000726C0000}"/>
    <cellStyle name="Input 3 5 2 2 6 3" xfId="50951" xr:uid="{00000000-0005-0000-0000-0000736C0000}"/>
    <cellStyle name="Input 3 5 2 2 7" xfId="40848" xr:uid="{00000000-0005-0000-0000-0000746C0000}"/>
    <cellStyle name="Input 3 5 2 2 8" xfId="40100" xr:uid="{00000000-0005-0000-0000-0000756C0000}"/>
    <cellStyle name="Input 3 5 2 3" xfId="10944" xr:uid="{00000000-0005-0000-0000-0000766C0000}"/>
    <cellStyle name="Input 3 5 2 3 2" xfId="18737" xr:uid="{00000000-0005-0000-0000-0000776C0000}"/>
    <cellStyle name="Input 3 5 2 3 2 2" xfId="44284" xr:uid="{00000000-0005-0000-0000-0000786C0000}"/>
    <cellStyle name="Input 3 5 2 3 2 3" xfId="48193" xr:uid="{00000000-0005-0000-0000-0000796C0000}"/>
    <cellStyle name="Input 3 5 2 3 2 4" xfId="36374" xr:uid="{00000000-0005-0000-0000-00007A6C0000}"/>
    <cellStyle name="Input 3 5 2 3 3" xfId="20139" xr:uid="{00000000-0005-0000-0000-00007B6C0000}"/>
    <cellStyle name="Input 3 5 2 3 3 2" xfId="45676" xr:uid="{00000000-0005-0000-0000-00007C6C0000}"/>
    <cellStyle name="Input 3 5 2 3 3 3" xfId="49582" xr:uid="{00000000-0005-0000-0000-00007D6C0000}"/>
    <cellStyle name="Input 3 5 2 3 3 4" xfId="37625" xr:uid="{00000000-0005-0000-0000-00007E6C0000}"/>
    <cellStyle name="Input 3 5 2 3 4" xfId="18948" xr:uid="{00000000-0005-0000-0000-00007F6C0000}"/>
    <cellStyle name="Input 3 5 2 3 4 2" xfId="44485" xr:uid="{00000000-0005-0000-0000-0000806C0000}"/>
    <cellStyle name="Input 3 5 2 3 4 3" xfId="48391" xr:uid="{00000000-0005-0000-0000-0000816C0000}"/>
    <cellStyle name="Input 3 5 2 3 4 4" xfId="36574" xr:uid="{00000000-0005-0000-0000-0000826C0000}"/>
    <cellStyle name="Input 3 5 2 3 5" xfId="21150" xr:uid="{00000000-0005-0000-0000-0000836C0000}"/>
    <cellStyle name="Input 3 5 2 3 5 2" xfId="46687" xr:uid="{00000000-0005-0000-0000-0000846C0000}"/>
    <cellStyle name="Input 3 5 2 3 5 3" xfId="50593" xr:uid="{00000000-0005-0000-0000-0000856C0000}"/>
    <cellStyle name="Input 3 5 2 3 5 4" xfId="38556" xr:uid="{00000000-0005-0000-0000-0000866C0000}"/>
    <cellStyle name="Input 3 5 2 3 6" xfId="21803" xr:uid="{00000000-0005-0000-0000-0000876C0000}"/>
    <cellStyle name="Input 3 5 2 3 6 2" xfId="47340" xr:uid="{00000000-0005-0000-0000-0000886C0000}"/>
    <cellStyle name="Input 3 5 2 3 6 3" xfId="51246" xr:uid="{00000000-0005-0000-0000-0000896C0000}"/>
    <cellStyle name="Input 3 5 2 3 7" xfId="41143" xr:uid="{00000000-0005-0000-0000-00008A6C0000}"/>
    <cellStyle name="Input 3 5 2 3 8" xfId="40234" xr:uid="{00000000-0005-0000-0000-00008B6C0000}"/>
    <cellStyle name="Input 3 5 2 4" xfId="14907" xr:uid="{00000000-0005-0000-0000-00008C6C0000}"/>
    <cellStyle name="Input 3 5 2 4 2" xfId="43023" xr:uid="{00000000-0005-0000-0000-00008D6C0000}"/>
    <cellStyle name="Input 3 5 2 4 3" xfId="40420" xr:uid="{00000000-0005-0000-0000-00008E6C0000}"/>
    <cellStyle name="Input 3 5 2 4 4" xfId="32542" xr:uid="{00000000-0005-0000-0000-00008F6C0000}"/>
    <cellStyle name="Input 3 5 2 5" xfId="13149" xr:uid="{00000000-0005-0000-0000-0000906C0000}"/>
    <cellStyle name="Input 3 5 2 5 2" xfId="42370" xr:uid="{00000000-0005-0000-0000-0000916C0000}"/>
    <cellStyle name="Input 3 5 2 5 3" xfId="39102" xr:uid="{00000000-0005-0000-0000-0000926C0000}"/>
    <cellStyle name="Input 3 5 2 5 4" xfId="30798" xr:uid="{00000000-0005-0000-0000-0000936C0000}"/>
    <cellStyle name="Input 3 5 2 6" xfId="20223" xr:uid="{00000000-0005-0000-0000-0000946C0000}"/>
    <cellStyle name="Input 3 5 2 6 2" xfId="45760" xr:uid="{00000000-0005-0000-0000-0000956C0000}"/>
    <cellStyle name="Input 3 5 2 6 3" xfId="49666" xr:uid="{00000000-0005-0000-0000-0000966C0000}"/>
    <cellStyle name="Input 3 5 2 6 4" xfId="37700" xr:uid="{00000000-0005-0000-0000-0000976C0000}"/>
    <cellStyle name="Input 3 5 2 7" xfId="19701" xr:uid="{00000000-0005-0000-0000-0000986C0000}"/>
    <cellStyle name="Input 3 5 2 7 2" xfId="45238" xr:uid="{00000000-0005-0000-0000-0000996C0000}"/>
    <cellStyle name="Input 3 5 2 7 3" xfId="49144" xr:uid="{00000000-0005-0000-0000-00009A6C0000}"/>
    <cellStyle name="Input 3 5 2 7 4" xfId="37230" xr:uid="{00000000-0005-0000-0000-00009B6C0000}"/>
    <cellStyle name="Input 3 5 2 8" xfId="20612" xr:uid="{00000000-0005-0000-0000-00009C6C0000}"/>
    <cellStyle name="Input 3 5 2 8 2" xfId="46149" xr:uid="{00000000-0005-0000-0000-00009D6C0000}"/>
    <cellStyle name="Input 3 5 2 8 3" xfId="50055" xr:uid="{00000000-0005-0000-0000-00009E6C0000}"/>
    <cellStyle name="Input 3 5 2 9" xfId="39883" xr:uid="{00000000-0005-0000-0000-00009F6C0000}"/>
    <cellStyle name="Input 3 5 3" xfId="22468" xr:uid="{00000000-0005-0000-0000-0000A06C0000}"/>
    <cellStyle name="Input 3 5 4" xfId="53129" xr:uid="{00000000-0005-0000-0000-0000A16C0000}"/>
    <cellStyle name="Input 3 50" xfId="52856" xr:uid="{00000000-0005-0000-0000-0000A26C0000}"/>
    <cellStyle name="Input 3 51" xfId="52894" xr:uid="{00000000-0005-0000-0000-0000A36C0000}"/>
    <cellStyle name="Input 3 52" xfId="52896" xr:uid="{00000000-0005-0000-0000-0000A46C0000}"/>
    <cellStyle name="Input 3 53" xfId="52885" xr:uid="{00000000-0005-0000-0000-0000A56C0000}"/>
    <cellStyle name="Input 3 54" xfId="52864" xr:uid="{00000000-0005-0000-0000-0000A66C0000}"/>
    <cellStyle name="Input 3 55" xfId="52886" xr:uid="{00000000-0005-0000-0000-0000A76C0000}"/>
    <cellStyle name="Input 3 56" xfId="52862" xr:uid="{00000000-0005-0000-0000-0000A86C0000}"/>
    <cellStyle name="Input 3 57" xfId="52883" xr:uid="{00000000-0005-0000-0000-0000A96C0000}"/>
    <cellStyle name="Input 3 58" xfId="52861" xr:uid="{00000000-0005-0000-0000-0000AA6C0000}"/>
    <cellStyle name="Input 3 59" xfId="53117" xr:uid="{00000000-0005-0000-0000-0000AB6C0000}"/>
    <cellStyle name="Input 3 6" xfId="1948" xr:uid="{00000000-0005-0000-0000-0000AC6C0000}"/>
    <cellStyle name="Input 3 6 2" xfId="7120" xr:uid="{00000000-0005-0000-0000-0000AD6C0000}"/>
    <cellStyle name="Input 3 6 2 10" xfId="43651" xr:uid="{00000000-0005-0000-0000-0000AE6C0000}"/>
    <cellStyle name="Input 3 6 2 2" xfId="10650" xr:uid="{00000000-0005-0000-0000-0000AF6C0000}"/>
    <cellStyle name="Input 3 6 2 2 2" xfId="18443" xr:uid="{00000000-0005-0000-0000-0000B06C0000}"/>
    <cellStyle name="Input 3 6 2 2 2 2" xfId="43990" xr:uid="{00000000-0005-0000-0000-0000B16C0000}"/>
    <cellStyle name="Input 3 6 2 2 2 3" xfId="47899" xr:uid="{00000000-0005-0000-0000-0000B26C0000}"/>
    <cellStyle name="Input 3 6 2 2 2 4" xfId="36080" xr:uid="{00000000-0005-0000-0000-0000B36C0000}"/>
    <cellStyle name="Input 3 6 2 2 3" xfId="13327" xr:uid="{00000000-0005-0000-0000-0000B46C0000}"/>
    <cellStyle name="Input 3 6 2 2 3 2" xfId="42497" xr:uid="{00000000-0005-0000-0000-0000B56C0000}"/>
    <cellStyle name="Input 3 6 2 2 3 3" xfId="42550" xr:uid="{00000000-0005-0000-0000-0000B66C0000}"/>
    <cellStyle name="Input 3 6 2 2 3 4" xfId="30967" xr:uid="{00000000-0005-0000-0000-0000B76C0000}"/>
    <cellStyle name="Input 3 6 2 2 4" xfId="12804" xr:uid="{00000000-0005-0000-0000-0000B86C0000}"/>
    <cellStyle name="Input 3 6 2 2 4 2" xfId="42219" xr:uid="{00000000-0005-0000-0000-0000B96C0000}"/>
    <cellStyle name="Input 3 6 2 2 4 3" xfId="40445" xr:uid="{00000000-0005-0000-0000-0000BA6C0000}"/>
    <cellStyle name="Input 3 6 2 2 4 4" xfId="30461" xr:uid="{00000000-0005-0000-0000-0000BB6C0000}"/>
    <cellStyle name="Input 3 6 2 2 5" xfId="20856" xr:uid="{00000000-0005-0000-0000-0000BC6C0000}"/>
    <cellStyle name="Input 3 6 2 2 5 2" xfId="46393" xr:uid="{00000000-0005-0000-0000-0000BD6C0000}"/>
    <cellStyle name="Input 3 6 2 2 5 3" xfId="50299" xr:uid="{00000000-0005-0000-0000-0000BE6C0000}"/>
    <cellStyle name="Input 3 6 2 2 5 4" xfId="38262" xr:uid="{00000000-0005-0000-0000-0000BF6C0000}"/>
    <cellStyle name="Input 3 6 2 2 6" xfId="21509" xr:uid="{00000000-0005-0000-0000-0000C06C0000}"/>
    <cellStyle name="Input 3 6 2 2 6 2" xfId="47046" xr:uid="{00000000-0005-0000-0000-0000C16C0000}"/>
    <cellStyle name="Input 3 6 2 2 6 3" xfId="50952" xr:uid="{00000000-0005-0000-0000-0000C26C0000}"/>
    <cellStyle name="Input 3 6 2 2 7" xfId="40849" xr:uid="{00000000-0005-0000-0000-0000C36C0000}"/>
    <cellStyle name="Input 3 6 2 2 8" xfId="42849" xr:uid="{00000000-0005-0000-0000-0000C46C0000}"/>
    <cellStyle name="Input 3 6 2 3" xfId="10945" xr:uid="{00000000-0005-0000-0000-0000C56C0000}"/>
    <cellStyle name="Input 3 6 2 3 2" xfId="18738" xr:uid="{00000000-0005-0000-0000-0000C66C0000}"/>
    <cellStyle name="Input 3 6 2 3 2 2" xfId="44285" xr:uid="{00000000-0005-0000-0000-0000C76C0000}"/>
    <cellStyle name="Input 3 6 2 3 2 3" xfId="48194" xr:uid="{00000000-0005-0000-0000-0000C86C0000}"/>
    <cellStyle name="Input 3 6 2 3 2 4" xfId="36375" xr:uid="{00000000-0005-0000-0000-0000C96C0000}"/>
    <cellStyle name="Input 3 6 2 3 3" xfId="19398" xr:uid="{00000000-0005-0000-0000-0000CA6C0000}"/>
    <cellStyle name="Input 3 6 2 3 3 2" xfId="44935" xr:uid="{00000000-0005-0000-0000-0000CB6C0000}"/>
    <cellStyle name="Input 3 6 2 3 3 3" xfId="48841" xr:uid="{00000000-0005-0000-0000-0000CC6C0000}"/>
    <cellStyle name="Input 3 6 2 3 3 4" xfId="36963" xr:uid="{00000000-0005-0000-0000-0000CD6C0000}"/>
    <cellStyle name="Input 3 6 2 3 4" xfId="20237" xr:uid="{00000000-0005-0000-0000-0000CE6C0000}"/>
    <cellStyle name="Input 3 6 2 3 4 2" xfId="45774" xr:uid="{00000000-0005-0000-0000-0000CF6C0000}"/>
    <cellStyle name="Input 3 6 2 3 4 3" xfId="49680" xr:uid="{00000000-0005-0000-0000-0000D06C0000}"/>
    <cellStyle name="Input 3 6 2 3 4 4" xfId="37710" xr:uid="{00000000-0005-0000-0000-0000D16C0000}"/>
    <cellStyle name="Input 3 6 2 3 5" xfId="21151" xr:uid="{00000000-0005-0000-0000-0000D26C0000}"/>
    <cellStyle name="Input 3 6 2 3 5 2" xfId="46688" xr:uid="{00000000-0005-0000-0000-0000D36C0000}"/>
    <cellStyle name="Input 3 6 2 3 5 3" xfId="50594" xr:uid="{00000000-0005-0000-0000-0000D46C0000}"/>
    <cellStyle name="Input 3 6 2 3 5 4" xfId="38557" xr:uid="{00000000-0005-0000-0000-0000D56C0000}"/>
    <cellStyle name="Input 3 6 2 3 6" xfId="21804" xr:uid="{00000000-0005-0000-0000-0000D66C0000}"/>
    <cellStyle name="Input 3 6 2 3 6 2" xfId="47341" xr:uid="{00000000-0005-0000-0000-0000D76C0000}"/>
    <cellStyle name="Input 3 6 2 3 6 3" xfId="51247" xr:uid="{00000000-0005-0000-0000-0000D86C0000}"/>
    <cellStyle name="Input 3 6 2 3 7" xfId="41144" xr:uid="{00000000-0005-0000-0000-0000D96C0000}"/>
    <cellStyle name="Input 3 6 2 3 8" xfId="42836" xr:uid="{00000000-0005-0000-0000-0000DA6C0000}"/>
    <cellStyle name="Input 3 6 2 4" xfId="14908" xr:uid="{00000000-0005-0000-0000-0000DB6C0000}"/>
    <cellStyle name="Input 3 6 2 4 2" xfId="43024" xr:uid="{00000000-0005-0000-0000-0000DC6C0000}"/>
    <cellStyle name="Input 3 6 2 4 3" xfId="39529" xr:uid="{00000000-0005-0000-0000-0000DD6C0000}"/>
    <cellStyle name="Input 3 6 2 4 4" xfId="32543" xr:uid="{00000000-0005-0000-0000-0000DE6C0000}"/>
    <cellStyle name="Input 3 6 2 5" xfId="13150" xr:uid="{00000000-0005-0000-0000-0000DF6C0000}"/>
    <cellStyle name="Input 3 6 2 5 2" xfId="42371" xr:uid="{00000000-0005-0000-0000-0000E06C0000}"/>
    <cellStyle name="Input 3 6 2 5 3" xfId="39101" xr:uid="{00000000-0005-0000-0000-0000E16C0000}"/>
    <cellStyle name="Input 3 6 2 5 4" xfId="30799" xr:uid="{00000000-0005-0000-0000-0000E26C0000}"/>
    <cellStyle name="Input 3 6 2 6" xfId="20203" xr:uid="{00000000-0005-0000-0000-0000E36C0000}"/>
    <cellStyle name="Input 3 6 2 6 2" xfId="45740" xr:uid="{00000000-0005-0000-0000-0000E46C0000}"/>
    <cellStyle name="Input 3 6 2 6 3" xfId="49646" xr:uid="{00000000-0005-0000-0000-0000E56C0000}"/>
    <cellStyle name="Input 3 6 2 6 4" xfId="37685" xr:uid="{00000000-0005-0000-0000-0000E66C0000}"/>
    <cellStyle name="Input 3 6 2 7" xfId="19069" xr:uid="{00000000-0005-0000-0000-0000E76C0000}"/>
    <cellStyle name="Input 3 6 2 7 2" xfId="44606" xr:uid="{00000000-0005-0000-0000-0000E86C0000}"/>
    <cellStyle name="Input 3 6 2 7 3" xfId="48512" xr:uid="{00000000-0005-0000-0000-0000E96C0000}"/>
    <cellStyle name="Input 3 6 2 7 4" xfId="36668" xr:uid="{00000000-0005-0000-0000-0000EA6C0000}"/>
    <cellStyle name="Input 3 6 2 8" xfId="19372" xr:uid="{00000000-0005-0000-0000-0000EB6C0000}"/>
    <cellStyle name="Input 3 6 2 8 2" xfId="44909" xr:uid="{00000000-0005-0000-0000-0000EC6C0000}"/>
    <cellStyle name="Input 3 6 2 8 3" xfId="48815" xr:uid="{00000000-0005-0000-0000-0000ED6C0000}"/>
    <cellStyle name="Input 3 6 2 9" xfId="39884" xr:uid="{00000000-0005-0000-0000-0000EE6C0000}"/>
    <cellStyle name="Input 3 6 3" xfId="53131" xr:uid="{00000000-0005-0000-0000-0000EF6C0000}"/>
    <cellStyle name="Input 3 7" xfId="1949" xr:uid="{00000000-0005-0000-0000-0000F06C0000}"/>
    <cellStyle name="Input 3 7 2" xfId="7121" xr:uid="{00000000-0005-0000-0000-0000F16C0000}"/>
    <cellStyle name="Input 3 7 2 10" xfId="39885" xr:uid="{00000000-0005-0000-0000-0000F26C0000}"/>
    <cellStyle name="Input 3 7 2 11" xfId="40509" xr:uid="{00000000-0005-0000-0000-0000F36C0000}"/>
    <cellStyle name="Input 3 7 2 2" xfId="10651" xr:uid="{00000000-0005-0000-0000-0000F46C0000}"/>
    <cellStyle name="Input 3 7 2 2 2" xfId="18444" xr:uid="{00000000-0005-0000-0000-0000F56C0000}"/>
    <cellStyle name="Input 3 7 2 2 2 2" xfId="43991" xr:uid="{00000000-0005-0000-0000-0000F66C0000}"/>
    <cellStyle name="Input 3 7 2 2 2 3" xfId="47900" xr:uid="{00000000-0005-0000-0000-0000F76C0000}"/>
    <cellStyle name="Input 3 7 2 2 2 4" xfId="36081" xr:uid="{00000000-0005-0000-0000-0000F86C0000}"/>
    <cellStyle name="Input 3 7 2 2 3" xfId="13921" xr:uid="{00000000-0005-0000-0000-0000F96C0000}"/>
    <cellStyle name="Input 3 7 2 2 3 2" xfId="42656" xr:uid="{00000000-0005-0000-0000-0000FA6C0000}"/>
    <cellStyle name="Input 3 7 2 2 3 3" xfId="40535" xr:uid="{00000000-0005-0000-0000-0000FB6C0000}"/>
    <cellStyle name="Input 3 7 2 2 3 4" xfId="31557" xr:uid="{00000000-0005-0000-0000-0000FC6C0000}"/>
    <cellStyle name="Input 3 7 2 2 4" xfId="20365" xr:uid="{00000000-0005-0000-0000-0000FD6C0000}"/>
    <cellStyle name="Input 3 7 2 2 4 2" xfId="45902" xr:uid="{00000000-0005-0000-0000-0000FE6C0000}"/>
    <cellStyle name="Input 3 7 2 2 4 3" xfId="49808" xr:uid="{00000000-0005-0000-0000-0000FF6C0000}"/>
    <cellStyle name="Input 3 7 2 2 4 4" xfId="37821" xr:uid="{00000000-0005-0000-0000-0000006D0000}"/>
    <cellStyle name="Input 3 7 2 2 5" xfId="20857" xr:uid="{00000000-0005-0000-0000-0000016D0000}"/>
    <cellStyle name="Input 3 7 2 2 5 2" xfId="46394" xr:uid="{00000000-0005-0000-0000-0000026D0000}"/>
    <cellStyle name="Input 3 7 2 2 5 3" xfId="50300" xr:uid="{00000000-0005-0000-0000-0000036D0000}"/>
    <cellStyle name="Input 3 7 2 2 5 4" xfId="38263" xr:uid="{00000000-0005-0000-0000-0000046D0000}"/>
    <cellStyle name="Input 3 7 2 2 6" xfId="21510" xr:uid="{00000000-0005-0000-0000-0000056D0000}"/>
    <cellStyle name="Input 3 7 2 2 6 2" xfId="47047" xr:uid="{00000000-0005-0000-0000-0000066D0000}"/>
    <cellStyle name="Input 3 7 2 2 6 3" xfId="50953" xr:uid="{00000000-0005-0000-0000-0000076D0000}"/>
    <cellStyle name="Input 3 7 2 2 7" xfId="40850" xr:uid="{00000000-0005-0000-0000-0000086D0000}"/>
    <cellStyle name="Input 3 7 2 2 8" xfId="43738" xr:uid="{00000000-0005-0000-0000-0000096D0000}"/>
    <cellStyle name="Input 3 7 2 3" xfId="10946" xr:uid="{00000000-0005-0000-0000-00000A6D0000}"/>
    <cellStyle name="Input 3 7 2 3 2" xfId="18739" xr:uid="{00000000-0005-0000-0000-00000B6D0000}"/>
    <cellStyle name="Input 3 7 2 3 2 2" xfId="44286" xr:uid="{00000000-0005-0000-0000-00000C6D0000}"/>
    <cellStyle name="Input 3 7 2 3 2 3" xfId="48195" xr:uid="{00000000-0005-0000-0000-00000D6D0000}"/>
    <cellStyle name="Input 3 7 2 3 2 4" xfId="36376" xr:uid="{00000000-0005-0000-0000-00000E6D0000}"/>
    <cellStyle name="Input 3 7 2 3 3" xfId="20005" xr:uid="{00000000-0005-0000-0000-00000F6D0000}"/>
    <cellStyle name="Input 3 7 2 3 3 2" xfId="45542" xr:uid="{00000000-0005-0000-0000-0000106D0000}"/>
    <cellStyle name="Input 3 7 2 3 3 3" xfId="49448" xr:uid="{00000000-0005-0000-0000-0000116D0000}"/>
    <cellStyle name="Input 3 7 2 3 3 4" xfId="37503" xr:uid="{00000000-0005-0000-0000-0000126D0000}"/>
    <cellStyle name="Input 3 7 2 3 4" xfId="19680" xr:uid="{00000000-0005-0000-0000-0000136D0000}"/>
    <cellStyle name="Input 3 7 2 3 4 2" xfId="45217" xr:uid="{00000000-0005-0000-0000-0000146D0000}"/>
    <cellStyle name="Input 3 7 2 3 4 3" xfId="49123" xr:uid="{00000000-0005-0000-0000-0000156D0000}"/>
    <cellStyle name="Input 3 7 2 3 4 4" xfId="37212" xr:uid="{00000000-0005-0000-0000-0000166D0000}"/>
    <cellStyle name="Input 3 7 2 3 5" xfId="21152" xr:uid="{00000000-0005-0000-0000-0000176D0000}"/>
    <cellStyle name="Input 3 7 2 3 5 2" xfId="46689" xr:uid="{00000000-0005-0000-0000-0000186D0000}"/>
    <cellStyle name="Input 3 7 2 3 5 3" xfId="50595" xr:uid="{00000000-0005-0000-0000-0000196D0000}"/>
    <cellStyle name="Input 3 7 2 3 5 4" xfId="38558" xr:uid="{00000000-0005-0000-0000-00001A6D0000}"/>
    <cellStyle name="Input 3 7 2 3 6" xfId="21805" xr:uid="{00000000-0005-0000-0000-00001B6D0000}"/>
    <cellStyle name="Input 3 7 2 3 6 2" xfId="47342" xr:uid="{00000000-0005-0000-0000-00001C6D0000}"/>
    <cellStyle name="Input 3 7 2 3 6 3" xfId="51248" xr:uid="{00000000-0005-0000-0000-00001D6D0000}"/>
    <cellStyle name="Input 3 7 2 3 7" xfId="41145" xr:uid="{00000000-0005-0000-0000-00001E6D0000}"/>
    <cellStyle name="Input 3 7 2 3 8" xfId="43725" xr:uid="{00000000-0005-0000-0000-00001F6D0000}"/>
    <cellStyle name="Input 3 7 2 4" xfId="14909" xr:uid="{00000000-0005-0000-0000-0000206D0000}"/>
    <cellStyle name="Input 3 7 2 4 2" xfId="43025" xr:uid="{00000000-0005-0000-0000-0000216D0000}"/>
    <cellStyle name="Input 3 7 2 4 3" xfId="42539" xr:uid="{00000000-0005-0000-0000-0000226D0000}"/>
    <cellStyle name="Input 3 7 2 4 4" xfId="32544" xr:uid="{00000000-0005-0000-0000-0000236D0000}"/>
    <cellStyle name="Input 3 7 2 5" xfId="13151" xr:uid="{00000000-0005-0000-0000-0000246D0000}"/>
    <cellStyle name="Input 3 7 2 5 2" xfId="42372" xr:uid="{00000000-0005-0000-0000-0000256D0000}"/>
    <cellStyle name="Input 3 7 2 5 3" xfId="47488" xr:uid="{00000000-0005-0000-0000-0000266D0000}"/>
    <cellStyle name="Input 3 7 2 5 4" xfId="30800" xr:uid="{00000000-0005-0000-0000-0000276D0000}"/>
    <cellStyle name="Input 3 7 2 6" xfId="11173" xr:uid="{00000000-0005-0000-0000-0000286D0000}"/>
    <cellStyle name="Input 3 7 2 6 2" xfId="41296" xr:uid="{00000000-0005-0000-0000-0000296D0000}"/>
    <cellStyle name="Input 3 7 2 6 3" xfId="43222" xr:uid="{00000000-0005-0000-0000-00002A6D0000}"/>
    <cellStyle name="Input 3 7 2 6 4" xfId="28901" xr:uid="{00000000-0005-0000-0000-00002B6D0000}"/>
    <cellStyle name="Input 3 7 2 7" xfId="11693" xr:uid="{00000000-0005-0000-0000-00002C6D0000}"/>
    <cellStyle name="Input 3 7 2 7 2" xfId="41700" xr:uid="{00000000-0005-0000-0000-00002D6D0000}"/>
    <cellStyle name="Input 3 7 2 7 3" xfId="42708" xr:uid="{00000000-0005-0000-0000-00002E6D0000}"/>
    <cellStyle name="Input 3 7 2 7 4" xfId="29386" xr:uid="{00000000-0005-0000-0000-00002F6D0000}"/>
    <cellStyle name="Input 3 7 2 8" xfId="11647" xr:uid="{00000000-0005-0000-0000-0000306D0000}"/>
    <cellStyle name="Input 3 7 2 8 2" xfId="41658" xr:uid="{00000000-0005-0000-0000-0000316D0000}"/>
    <cellStyle name="Input 3 7 2 8 3" xfId="42815" xr:uid="{00000000-0005-0000-0000-0000326D0000}"/>
    <cellStyle name="Input 3 7 2 9" xfId="22470" xr:uid="{00000000-0005-0000-0000-0000336D0000}"/>
    <cellStyle name="Input 3 7 3" xfId="22471" xr:uid="{00000000-0005-0000-0000-0000346D0000}"/>
    <cellStyle name="Input 3 7 3 2" xfId="22472" xr:uid="{00000000-0005-0000-0000-0000356D0000}"/>
    <cellStyle name="Input 3 7 4" xfId="22926" xr:uid="{00000000-0005-0000-0000-0000366D0000}"/>
    <cellStyle name="Input 3 7 4 2" xfId="23066" xr:uid="{00000000-0005-0000-0000-0000376D0000}"/>
    <cellStyle name="Input 3 7 4 2 2" xfId="47666" xr:uid="{00000000-0005-0000-0000-0000386D0000}"/>
    <cellStyle name="Input 3 7 4 2 3" xfId="51477" xr:uid="{00000000-0005-0000-0000-0000396D0000}"/>
    <cellStyle name="Input 3 7 4 3" xfId="47622" xr:uid="{00000000-0005-0000-0000-00003A6D0000}"/>
    <cellStyle name="Input 3 7 4 4" xfId="51437" xr:uid="{00000000-0005-0000-0000-00003B6D0000}"/>
    <cellStyle name="Input 3 7 4 5" xfId="53133" xr:uid="{00000000-0005-0000-0000-00003C6D0000}"/>
    <cellStyle name="Input 3 7 5" xfId="22469" xr:uid="{00000000-0005-0000-0000-00003D6D0000}"/>
    <cellStyle name="Input 3 7 6" xfId="53132" xr:uid="{00000000-0005-0000-0000-00003E6D0000}"/>
    <cellStyle name="Input 3 8" xfId="1950" xr:uid="{00000000-0005-0000-0000-00003F6D0000}"/>
    <cellStyle name="Input 3 8 2" xfId="7122" xr:uid="{00000000-0005-0000-0000-0000406D0000}"/>
    <cellStyle name="Input 3 8 2 10" xfId="39619" xr:uid="{00000000-0005-0000-0000-0000416D0000}"/>
    <cellStyle name="Input 3 8 2 2" xfId="10652" xr:uid="{00000000-0005-0000-0000-0000426D0000}"/>
    <cellStyle name="Input 3 8 2 2 2" xfId="18445" xr:uid="{00000000-0005-0000-0000-0000436D0000}"/>
    <cellStyle name="Input 3 8 2 2 2 2" xfId="43992" xr:uid="{00000000-0005-0000-0000-0000446D0000}"/>
    <cellStyle name="Input 3 8 2 2 2 3" xfId="47901" xr:uid="{00000000-0005-0000-0000-0000456D0000}"/>
    <cellStyle name="Input 3 8 2 2 2 4" xfId="36082" xr:uid="{00000000-0005-0000-0000-0000466D0000}"/>
    <cellStyle name="Input 3 8 2 2 3" xfId="19608" xr:uid="{00000000-0005-0000-0000-0000476D0000}"/>
    <cellStyle name="Input 3 8 2 2 3 2" xfId="45145" xr:uid="{00000000-0005-0000-0000-0000486D0000}"/>
    <cellStyle name="Input 3 8 2 2 3 3" xfId="49051" xr:uid="{00000000-0005-0000-0000-0000496D0000}"/>
    <cellStyle name="Input 3 8 2 2 3 4" xfId="37148" xr:uid="{00000000-0005-0000-0000-00004A6D0000}"/>
    <cellStyle name="Input 3 8 2 2 4" xfId="19247" xr:uid="{00000000-0005-0000-0000-00004B6D0000}"/>
    <cellStyle name="Input 3 8 2 2 4 2" xfId="44784" xr:uid="{00000000-0005-0000-0000-00004C6D0000}"/>
    <cellStyle name="Input 3 8 2 2 4 3" xfId="48690" xr:uid="{00000000-0005-0000-0000-00004D6D0000}"/>
    <cellStyle name="Input 3 8 2 2 4 4" xfId="36825" xr:uid="{00000000-0005-0000-0000-00004E6D0000}"/>
    <cellStyle name="Input 3 8 2 2 5" xfId="20858" xr:uid="{00000000-0005-0000-0000-00004F6D0000}"/>
    <cellStyle name="Input 3 8 2 2 5 2" xfId="46395" xr:uid="{00000000-0005-0000-0000-0000506D0000}"/>
    <cellStyle name="Input 3 8 2 2 5 3" xfId="50301" xr:uid="{00000000-0005-0000-0000-0000516D0000}"/>
    <cellStyle name="Input 3 8 2 2 5 4" xfId="38264" xr:uid="{00000000-0005-0000-0000-0000526D0000}"/>
    <cellStyle name="Input 3 8 2 2 6" xfId="21511" xr:uid="{00000000-0005-0000-0000-0000536D0000}"/>
    <cellStyle name="Input 3 8 2 2 6 2" xfId="47048" xr:uid="{00000000-0005-0000-0000-0000546D0000}"/>
    <cellStyle name="Input 3 8 2 2 6 3" xfId="50954" xr:uid="{00000000-0005-0000-0000-0000556D0000}"/>
    <cellStyle name="Input 3 8 2 2 7" xfId="40851" xr:uid="{00000000-0005-0000-0000-0000566D0000}"/>
    <cellStyle name="Input 3 8 2 2 8" xfId="40597" xr:uid="{00000000-0005-0000-0000-0000576D0000}"/>
    <cellStyle name="Input 3 8 2 3" xfId="10947" xr:uid="{00000000-0005-0000-0000-0000586D0000}"/>
    <cellStyle name="Input 3 8 2 3 2" xfId="18740" xr:uid="{00000000-0005-0000-0000-0000596D0000}"/>
    <cellStyle name="Input 3 8 2 3 2 2" xfId="44287" xr:uid="{00000000-0005-0000-0000-00005A6D0000}"/>
    <cellStyle name="Input 3 8 2 3 2 3" xfId="48196" xr:uid="{00000000-0005-0000-0000-00005B6D0000}"/>
    <cellStyle name="Input 3 8 2 3 2 4" xfId="36377" xr:uid="{00000000-0005-0000-0000-00005C6D0000}"/>
    <cellStyle name="Input 3 8 2 3 3" xfId="19271" xr:uid="{00000000-0005-0000-0000-00005D6D0000}"/>
    <cellStyle name="Input 3 8 2 3 3 2" xfId="44808" xr:uid="{00000000-0005-0000-0000-00005E6D0000}"/>
    <cellStyle name="Input 3 8 2 3 3 3" xfId="48714" xr:uid="{00000000-0005-0000-0000-00005F6D0000}"/>
    <cellStyle name="Input 3 8 2 3 3 4" xfId="36849" xr:uid="{00000000-0005-0000-0000-0000606D0000}"/>
    <cellStyle name="Input 3 8 2 3 4" xfId="11659" xr:uid="{00000000-0005-0000-0000-0000616D0000}"/>
    <cellStyle name="Input 3 8 2 3 4 2" xfId="41670" xr:uid="{00000000-0005-0000-0000-0000626D0000}"/>
    <cellStyle name="Input 3 8 2 3 4 3" xfId="42020" xr:uid="{00000000-0005-0000-0000-0000636D0000}"/>
    <cellStyle name="Input 3 8 2 3 4 4" xfId="29358" xr:uid="{00000000-0005-0000-0000-0000646D0000}"/>
    <cellStyle name="Input 3 8 2 3 5" xfId="21153" xr:uid="{00000000-0005-0000-0000-0000656D0000}"/>
    <cellStyle name="Input 3 8 2 3 5 2" xfId="46690" xr:uid="{00000000-0005-0000-0000-0000666D0000}"/>
    <cellStyle name="Input 3 8 2 3 5 3" xfId="50596" xr:uid="{00000000-0005-0000-0000-0000676D0000}"/>
    <cellStyle name="Input 3 8 2 3 5 4" xfId="38559" xr:uid="{00000000-0005-0000-0000-0000686D0000}"/>
    <cellStyle name="Input 3 8 2 3 6" xfId="21806" xr:uid="{00000000-0005-0000-0000-0000696D0000}"/>
    <cellStyle name="Input 3 8 2 3 6 2" xfId="47343" xr:uid="{00000000-0005-0000-0000-00006A6D0000}"/>
    <cellStyle name="Input 3 8 2 3 6 3" xfId="51249" xr:uid="{00000000-0005-0000-0000-00006B6D0000}"/>
    <cellStyle name="Input 3 8 2 3 7" xfId="41146" xr:uid="{00000000-0005-0000-0000-00006C6D0000}"/>
    <cellStyle name="Input 3 8 2 3 8" xfId="40584" xr:uid="{00000000-0005-0000-0000-00006D6D0000}"/>
    <cellStyle name="Input 3 8 2 4" xfId="14910" xr:uid="{00000000-0005-0000-0000-00006E6D0000}"/>
    <cellStyle name="Input 3 8 2 4 2" xfId="43026" xr:uid="{00000000-0005-0000-0000-00006F6D0000}"/>
    <cellStyle name="Input 3 8 2 4 3" xfId="43450" xr:uid="{00000000-0005-0000-0000-0000706D0000}"/>
    <cellStyle name="Input 3 8 2 4 4" xfId="32545" xr:uid="{00000000-0005-0000-0000-0000716D0000}"/>
    <cellStyle name="Input 3 8 2 5" xfId="11313" xr:uid="{00000000-0005-0000-0000-0000726D0000}"/>
    <cellStyle name="Input 3 8 2 5 2" xfId="41358" xr:uid="{00000000-0005-0000-0000-0000736D0000}"/>
    <cellStyle name="Input 3 8 2 5 3" xfId="40364" xr:uid="{00000000-0005-0000-0000-0000746D0000}"/>
    <cellStyle name="Input 3 8 2 5 4" xfId="29041" xr:uid="{00000000-0005-0000-0000-0000756D0000}"/>
    <cellStyle name="Input 3 8 2 6" xfId="19987" xr:uid="{00000000-0005-0000-0000-0000766D0000}"/>
    <cellStyle name="Input 3 8 2 6 2" xfId="45524" xr:uid="{00000000-0005-0000-0000-0000776D0000}"/>
    <cellStyle name="Input 3 8 2 6 3" xfId="49430" xr:uid="{00000000-0005-0000-0000-0000786D0000}"/>
    <cellStyle name="Input 3 8 2 6 4" xfId="37486" xr:uid="{00000000-0005-0000-0000-0000796D0000}"/>
    <cellStyle name="Input 3 8 2 7" xfId="11665" xr:uid="{00000000-0005-0000-0000-00007A6D0000}"/>
    <cellStyle name="Input 3 8 2 7 2" xfId="41676" xr:uid="{00000000-0005-0000-0000-00007B6D0000}"/>
    <cellStyle name="Input 3 8 2 7 3" xfId="41388" xr:uid="{00000000-0005-0000-0000-00007C6D0000}"/>
    <cellStyle name="Input 3 8 2 7 4" xfId="29363" xr:uid="{00000000-0005-0000-0000-00007D6D0000}"/>
    <cellStyle name="Input 3 8 2 8" xfId="19013" xr:uid="{00000000-0005-0000-0000-00007E6D0000}"/>
    <cellStyle name="Input 3 8 2 8 2" xfId="44550" xr:uid="{00000000-0005-0000-0000-00007F6D0000}"/>
    <cellStyle name="Input 3 8 2 8 3" xfId="48456" xr:uid="{00000000-0005-0000-0000-0000806D0000}"/>
    <cellStyle name="Input 3 8 2 9" xfId="39886" xr:uid="{00000000-0005-0000-0000-0000816D0000}"/>
    <cellStyle name="Input 3 8 3" xfId="53134" xr:uid="{00000000-0005-0000-0000-0000826D0000}"/>
    <cellStyle name="Input 3 9" xfId="1951" xr:uid="{00000000-0005-0000-0000-0000836D0000}"/>
    <cellStyle name="Input 3 9 2" xfId="7123" xr:uid="{00000000-0005-0000-0000-0000846D0000}"/>
    <cellStyle name="Input 3 9 2 10" xfId="42627" xr:uid="{00000000-0005-0000-0000-0000856D0000}"/>
    <cellStyle name="Input 3 9 2 2" xfId="10653" xr:uid="{00000000-0005-0000-0000-0000866D0000}"/>
    <cellStyle name="Input 3 9 2 2 2" xfId="18446" xr:uid="{00000000-0005-0000-0000-0000876D0000}"/>
    <cellStyle name="Input 3 9 2 2 2 2" xfId="43993" xr:uid="{00000000-0005-0000-0000-0000886D0000}"/>
    <cellStyle name="Input 3 9 2 2 2 3" xfId="47902" xr:uid="{00000000-0005-0000-0000-0000896D0000}"/>
    <cellStyle name="Input 3 9 2 2 2 4" xfId="36083" xr:uid="{00000000-0005-0000-0000-00008A6D0000}"/>
    <cellStyle name="Input 3 9 2 2 3" xfId="20162" xr:uid="{00000000-0005-0000-0000-00008B6D0000}"/>
    <cellStyle name="Input 3 9 2 2 3 2" xfId="45699" xr:uid="{00000000-0005-0000-0000-00008C6D0000}"/>
    <cellStyle name="Input 3 9 2 2 3 3" xfId="49605" xr:uid="{00000000-0005-0000-0000-00008D6D0000}"/>
    <cellStyle name="Input 3 9 2 2 3 4" xfId="37648" xr:uid="{00000000-0005-0000-0000-00008E6D0000}"/>
    <cellStyle name="Input 3 9 2 2 4" xfId="19087" xr:uid="{00000000-0005-0000-0000-00008F6D0000}"/>
    <cellStyle name="Input 3 9 2 2 4 2" xfId="44624" xr:uid="{00000000-0005-0000-0000-0000906D0000}"/>
    <cellStyle name="Input 3 9 2 2 4 3" xfId="48530" xr:uid="{00000000-0005-0000-0000-0000916D0000}"/>
    <cellStyle name="Input 3 9 2 2 4 4" xfId="36683" xr:uid="{00000000-0005-0000-0000-0000926D0000}"/>
    <cellStyle name="Input 3 9 2 2 5" xfId="20859" xr:uid="{00000000-0005-0000-0000-0000936D0000}"/>
    <cellStyle name="Input 3 9 2 2 5 2" xfId="46396" xr:uid="{00000000-0005-0000-0000-0000946D0000}"/>
    <cellStyle name="Input 3 9 2 2 5 3" xfId="50302" xr:uid="{00000000-0005-0000-0000-0000956D0000}"/>
    <cellStyle name="Input 3 9 2 2 5 4" xfId="38265" xr:uid="{00000000-0005-0000-0000-0000966D0000}"/>
    <cellStyle name="Input 3 9 2 2 6" xfId="21512" xr:uid="{00000000-0005-0000-0000-0000976D0000}"/>
    <cellStyle name="Input 3 9 2 2 6 2" xfId="47049" xr:uid="{00000000-0005-0000-0000-0000986D0000}"/>
    <cellStyle name="Input 3 9 2 2 6 3" xfId="50955" xr:uid="{00000000-0005-0000-0000-0000996D0000}"/>
    <cellStyle name="Input 3 9 2 2 7" xfId="40852" xr:uid="{00000000-0005-0000-0000-00009A6D0000}"/>
    <cellStyle name="Input 3 9 2 2 8" xfId="39708" xr:uid="{00000000-0005-0000-0000-00009B6D0000}"/>
    <cellStyle name="Input 3 9 2 3" xfId="10948" xr:uid="{00000000-0005-0000-0000-00009C6D0000}"/>
    <cellStyle name="Input 3 9 2 3 2" xfId="18741" xr:uid="{00000000-0005-0000-0000-00009D6D0000}"/>
    <cellStyle name="Input 3 9 2 3 2 2" xfId="44288" xr:uid="{00000000-0005-0000-0000-00009E6D0000}"/>
    <cellStyle name="Input 3 9 2 3 2 3" xfId="48197" xr:uid="{00000000-0005-0000-0000-00009F6D0000}"/>
    <cellStyle name="Input 3 9 2 3 2 4" xfId="36378" xr:uid="{00000000-0005-0000-0000-0000A06D0000}"/>
    <cellStyle name="Input 3 9 2 3 3" xfId="19880" xr:uid="{00000000-0005-0000-0000-0000A16D0000}"/>
    <cellStyle name="Input 3 9 2 3 3 2" xfId="45417" xr:uid="{00000000-0005-0000-0000-0000A26D0000}"/>
    <cellStyle name="Input 3 9 2 3 3 3" xfId="49323" xr:uid="{00000000-0005-0000-0000-0000A36D0000}"/>
    <cellStyle name="Input 3 9 2 3 3 4" xfId="37394" xr:uid="{00000000-0005-0000-0000-0000A46D0000}"/>
    <cellStyle name="Input 3 9 2 3 4" xfId="20289" xr:uid="{00000000-0005-0000-0000-0000A56D0000}"/>
    <cellStyle name="Input 3 9 2 3 4 2" xfId="45826" xr:uid="{00000000-0005-0000-0000-0000A66D0000}"/>
    <cellStyle name="Input 3 9 2 3 4 3" xfId="49732" xr:uid="{00000000-0005-0000-0000-0000A76D0000}"/>
    <cellStyle name="Input 3 9 2 3 4 4" xfId="37756" xr:uid="{00000000-0005-0000-0000-0000A86D0000}"/>
    <cellStyle name="Input 3 9 2 3 5" xfId="21154" xr:uid="{00000000-0005-0000-0000-0000A96D0000}"/>
    <cellStyle name="Input 3 9 2 3 5 2" xfId="46691" xr:uid="{00000000-0005-0000-0000-0000AA6D0000}"/>
    <cellStyle name="Input 3 9 2 3 5 3" xfId="50597" xr:uid="{00000000-0005-0000-0000-0000AB6D0000}"/>
    <cellStyle name="Input 3 9 2 3 5 4" xfId="38560" xr:uid="{00000000-0005-0000-0000-0000AC6D0000}"/>
    <cellStyle name="Input 3 9 2 3 6" xfId="21807" xr:uid="{00000000-0005-0000-0000-0000AD6D0000}"/>
    <cellStyle name="Input 3 9 2 3 6 2" xfId="47344" xr:uid="{00000000-0005-0000-0000-0000AE6D0000}"/>
    <cellStyle name="Input 3 9 2 3 6 3" xfId="51250" xr:uid="{00000000-0005-0000-0000-0000AF6D0000}"/>
    <cellStyle name="Input 3 9 2 3 7" xfId="41147" xr:uid="{00000000-0005-0000-0000-0000B06D0000}"/>
    <cellStyle name="Input 3 9 2 3 8" xfId="39695" xr:uid="{00000000-0005-0000-0000-0000B16D0000}"/>
    <cellStyle name="Input 3 9 2 4" xfId="14911" xr:uid="{00000000-0005-0000-0000-0000B26D0000}"/>
    <cellStyle name="Input 3 9 2 4 2" xfId="43027" xr:uid="{00000000-0005-0000-0000-0000B36D0000}"/>
    <cellStyle name="Input 3 9 2 4 3" xfId="40312" xr:uid="{00000000-0005-0000-0000-0000B46D0000}"/>
    <cellStyle name="Input 3 9 2 4 4" xfId="32546" xr:uid="{00000000-0005-0000-0000-0000B56D0000}"/>
    <cellStyle name="Input 3 9 2 5" xfId="12027" xr:uid="{00000000-0005-0000-0000-0000B66D0000}"/>
    <cellStyle name="Input 3 9 2 5 2" xfId="41784" xr:uid="{00000000-0005-0000-0000-0000B76D0000}"/>
    <cellStyle name="Input 3 9 2 5 3" xfId="43205" xr:uid="{00000000-0005-0000-0000-0000B86D0000}"/>
    <cellStyle name="Input 3 9 2 5 4" xfId="29709" xr:uid="{00000000-0005-0000-0000-0000B96D0000}"/>
    <cellStyle name="Input 3 9 2 6" xfId="19630" xr:uid="{00000000-0005-0000-0000-0000BA6D0000}"/>
    <cellStyle name="Input 3 9 2 6 2" xfId="45167" xr:uid="{00000000-0005-0000-0000-0000BB6D0000}"/>
    <cellStyle name="Input 3 9 2 6 3" xfId="49073" xr:uid="{00000000-0005-0000-0000-0000BC6D0000}"/>
    <cellStyle name="Input 3 9 2 6 4" xfId="37169" xr:uid="{00000000-0005-0000-0000-0000BD6D0000}"/>
    <cellStyle name="Input 3 9 2 7" xfId="20498" xr:uid="{00000000-0005-0000-0000-0000BE6D0000}"/>
    <cellStyle name="Input 3 9 2 7 2" xfId="46035" xr:uid="{00000000-0005-0000-0000-0000BF6D0000}"/>
    <cellStyle name="Input 3 9 2 7 3" xfId="49941" xr:uid="{00000000-0005-0000-0000-0000C06D0000}"/>
    <cellStyle name="Input 3 9 2 7 4" xfId="37942" xr:uid="{00000000-0005-0000-0000-0000C16D0000}"/>
    <cellStyle name="Input 3 9 2 8" xfId="20505" xr:uid="{00000000-0005-0000-0000-0000C26D0000}"/>
    <cellStyle name="Input 3 9 2 8 2" xfId="46042" xr:uid="{00000000-0005-0000-0000-0000C36D0000}"/>
    <cellStyle name="Input 3 9 2 8 3" xfId="49948" xr:uid="{00000000-0005-0000-0000-0000C46D0000}"/>
    <cellStyle name="Input 3 9 2 9" xfId="39887" xr:uid="{00000000-0005-0000-0000-0000C56D0000}"/>
    <cellStyle name="Input 3 9 3" xfId="53135" xr:uid="{00000000-0005-0000-0000-0000C66D0000}"/>
    <cellStyle name="Input 3_BallGrid" xfId="1952" xr:uid="{00000000-0005-0000-0000-0000C76D0000}"/>
    <cellStyle name="Input 30" xfId="1953" xr:uid="{00000000-0005-0000-0000-0000C86D0000}"/>
    <cellStyle name="Input 30 2" xfId="1954" xr:uid="{00000000-0005-0000-0000-0000C96D0000}"/>
    <cellStyle name="Input 30 2 2" xfId="1955" xr:uid="{00000000-0005-0000-0000-0000CA6D0000}"/>
    <cellStyle name="Input 30 2 2 2" xfId="7126" xr:uid="{00000000-0005-0000-0000-0000CB6D0000}"/>
    <cellStyle name="Input 30 2 2 2 10" xfId="39515" xr:uid="{00000000-0005-0000-0000-0000CC6D0000}"/>
    <cellStyle name="Input 30 2 2 2 2" xfId="10656" xr:uid="{00000000-0005-0000-0000-0000CD6D0000}"/>
    <cellStyle name="Input 30 2 2 2 2 2" xfId="18449" xr:uid="{00000000-0005-0000-0000-0000CE6D0000}"/>
    <cellStyle name="Input 30 2 2 2 2 2 2" xfId="43996" xr:uid="{00000000-0005-0000-0000-0000CF6D0000}"/>
    <cellStyle name="Input 30 2 2 2 2 2 3" xfId="47905" xr:uid="{00000000-0005-0000-0000-0000D06D0000}"/>
    <cellStyle name="Input 30 2 2 2 2 2 4" xfId="36086" xr:uid="{00000000-0005-0000-0000-0000D16D0000}"/>
    <cellStyle name="Input 30 2 2 2 2 3" xfId="19294" xr:uid="{00000000-0005-0000-0000-0000D26D0000}"/>
    <cellStyle name="Input 30 2 2 2 2 3 2" xfId="44831" xr:uid="{00000000-0005-0000-0000-0000D36D0000}"/>
    <cellStyle name="Input 30 2 2 2 2 3 3" xfId="48737" xr:uid="{00000000-0005-0000-0000-0000D46D0000}"/>
    <cellStyle name="Input 30 2 2 2 2 3 4" xfId="36872" xr:uid="{00000000-0005-0000-0000-0000D56D0000}"/>
    <cellStyle name="Input 30 2 2 2 2 4" xfId="12663" xr:uid="{00000000-0005-0000-0000-0000D66D0000}"/>
    <cellStyle name="Input 30 2 2 2 2 4 2" xfId="42142" xr:uid="{00000000-0005-0000-0000-0000D76D0000}"/>
    <cellStyle name="Input 30 2 2 2 2 4 3" xfId="39314" xr:uid="{00000000-0005-0000-0000-0000D86D0000}"/>
    <cellStyle name="Input 30 2 2 2 2 4 4" xfId="30327" xr:uid="{00000000-0005-0000-0000-0000D96D0000}"/>
    <cellStyle name="Input 30 2 2 2 2 5" xfId="20862" xr:uid="{00000000-0005-0000-0000-0000DA6D0000}"/>
    <cellStyle name="Input 30 2 2 2 2 5 2" xfId="46399" xr:uid="{00000000-0005-0000-0000-0000DB6D0000}"/>
    <cellStyle name="Input 30 2 2 2 2 5 3" xfId="50305" xr:uid="{00000000-0005-0000-0000-0000DC6D0000}"/>
    <cellStyle name="Input 30 2 2 2 2 5 4" xfId="38268" xr:uid="{00000000-0005-0000-0000-0000DD6D0000}"/>
    <cellStyle name="Input 30 2 2 2 2 6" xfId="21515" xr:uid="{00000000-0005-0000-0000-0000DE6D0000}"/>
    <cellStyle name="Input 30 2 2 2 2 6 2" xfId="47052" xr:uid="{00000000-0005-0000-0000-0000DF6D0000}"/>
    <cellStyle name="Input 30 2 2 2 2 6 3" xfId="50958" xr:uid="{00000000-0005-0000-0000-0000E06D0000}"/>
    <cellStyle name="Input 30 2 2 2 2 7" xfId="40855" xr:uid="{00000000-0005-0000-0000-0000E16D0000}"/>
    <cellStyle name="Input 30 2 2 2 2 8" xfId="40492" xr:uid="{00000000-0005-0000-0000-0000E26D0000}"/>
    <cellStyle name="Input 30 2 2 2 3" xfId="10951" xr:uid="{00000000-0005-0000-0000-0000E36D0000}"/>
    <cellStyle name="Input 30 2 2 2 3 2" xfId="18744" xr:uid="{00000000-0005-0000-0000-0000E46D0000}"/>
    <cellStyle name="Input 30 2 2 2 3 2 2" xfId="44291" xr:uid="{00000000-0005-0000-0000-0000E56D0000}"/>
    <cellStyle name="Input 30 2 2 2 3 2 3" xfId="48200" xr:uid="{00000000-0005-0000-0000-0000E66D0000}"/>
    <cellStyle name="Input 30 2 2 2 3 2 4" xfId="36381" xr:uid="{00000000-0005-0000-0000-0000E76D0000}"/>
    <cellStyle name="Input 30 2 2 2 3 3" xfId="11533" xr:uid="{00000000-0005-0000-0000-0000E86D0000}"/>
    <cellStyle name="Input 30 2 2 2 3 3 2" xfId="41544" xr:uid="{00000000-0005-0000-0000-0000E96D0000}"/>
    <cellStyle name="Input 30 2 2 2 3 3 3" xfId="39354" xr:uid="{00000000-0005-0000-0000-0000EA6D0000}"/>
    <cellStyle name="Input 30 2 2 2 3 3 4" xfId="29248" xr:uid="{00000000-0005-0000-0000-0000EB6D0000}"/>
    <cellStyle name="Input 30 2 2 2 3 4" xfId="12500" xr:uid="{00000000-0005-0000-0000-0000EC6D0000}"/>
    <cellStyle name="Input 30 2 2 2 3 4 2" xfId="42013" xr:uid="{00000000-0005-0000-0000-0000ED6D0000}"/>
    <cellStyle name="Input 30 2 2 2 3 4 3" xfId="43590" xr:uid="{00000000-0005-0000-0000-0000EE6D0000}"/>
    <cellStyle name="Input 30 2 2 2 3 4 4" xfId="30170" xr:uid="{00000000-0005-0000-0000-0000EF6D0000}"/>
    <cellStyle name="Input 30 2 2 2 3 5" xfId="21157" xr:uid="{00000000-0005-0000-0000-0000F06D0000}"/>
    <cellStyle name="Input 30 2 2 2 3 5 2" xfId="46694" xr:uid="{00000000-0005-0000-0000-0000F16D0000}"/>
    <cellStyle name="Input 30 2 2 2 3 5 3" xfId="50600" xr:uid="{00000000-0005-0000-0000-0000F26D0000}"/>
    <cellStyle name="Input 30 2 2 2 3 5 4" xfId="38563" xr:uid="{00000000-0005-0000-0000-0000F36D0000}"/>
    <cellStyle name="Input 30 2 2 2 3 6" xfId="21810" xr:uid="{00000000-0005-0000-0000-0000F46D0000}"/>
    <cellStyle name="Input 30 2 2 2 3 6 2" xfId="47347" xr:uid="{00000000-0005-0000-0000-0000F56D0000}"/>
    <cellStyle name="Input 30 2 2 2 3 6 3" xfId="51253" xr:uid="{00000000-0005-0000-0000-0000F66D0000}"/>
    <cellStyle name="Input 30 2 2 2 3 7" xfId="41150" xr:uid="{00000000-0005-0000-0000-0000F76D0000}"/>
    <cellStyle name="Input 30 2 2 2 3 8" xfId="40479" xr:uid="{00000000-0005-0000-0000-0000F86D0000}"/>
    <cellStyle name="Input 30 2 2 2 4" xfId="14914" xr:uid="{00000000-0005-0000-0000-0000F96D0000}"/>
    <cellStyle name="Input 30 2 2 2 4 2" xfId="43030" xr:uid="{00000000-0005-0000-0000-0000FA6D0000}"/>
    <cellStyle name="Input 30 2 2 2 4 3" xfId="41944" xr:uid="{00000000-0005-0000-0000-0000FB6D0000}"/>
    <cellStyle name="Input 30 2 2 2 4 4" xfId="32549" xr:uid="{00000000-0005-0000-0000-0000FC6D0000}"/>
    <cellStyle name="Input 30 2 2 2 5" xfId="13154" xr:uid="{00000000-0005-0000-0000-0000FD6D0000}"/>
    <cellStyle name="Input 30 2 2 2 5 2" xfId="42375" xr:uid="{00000000-0005-0000-0000-0000FE6D0000}"/>
    <cellStyle name="Input 30 2 2 2 5 3" xfId="39099" xr:uid="{00000000-0005-0000-0000-0000FF6D0000}"/>
    <cellStyle name="Input 30 2 2 2 5 4" xfId="30803" xr:uid="{00000000-0005-0000-0000-0000006E0000}"/>
    <cellStyle name="Input 30 2 2 2 6" xfId="19954" xr:uid="{00000000-0005-0000-0000-0000016E0000}"/>
    <cellStyle name="Input 30 2 2 2 6 2" xfId="45491" xr:uid="{00000000-0005-0000-0000-0000026E0000}"/>
    <cellStyle name="Input 30 2 2 2 6 3" xfId="49397" xr:uid="{00000000-0005-0000-0000-0000036E0000}"/>
    <cellStyle name="Input 30 2 2 2 6 4" xfId="37459" xr:uid="{00000000-0005-0000-0000-0000046E0000}"/>
    <cellStyle name="Input 30 2 2 2 7" xfId="20494" xr:uid="{00000000-0005-0000-0000-0000056E0000}"/>
    <cellStyle name="Input 30 2 2 2 7 2" xfId="46031" xr:uid="{00000000-0005-0000-0000-0000066E0000}"/>
    <cellStyle name="Input 30 2 2 2 7 3" xfId="49937" xr:uid="{00000000-0005-0000-0000-0000076E0000}"/>
    <cellStyle name="Input 30 2 2 2 7 4" xfId="37938" xr:uid="{00000000-0005-0000-0000-0000086E0000}"/>
    <cellStyle name="Input 30 2 2 2 8" xfId="19501" xr:uid="{00000000-0005-0000-0000-0000096E0000}"/>
    <cellStyle name="Input 30 2 2 2 8 2" xfId="45038" xr:uid="{00000000-0005-0000-0000-00000A6E0000}"/>
    <cellStyle name="Input 30 2 2 2 8 3" xfId="48944" xr:uid="{00000000-0005-0000-0000-00000B6E0000}"/>
    <cellStyle name="Input 30 2 2 2 9" xfId="39890" xr:uid="{00000000-0005-0000-0000-00000C6E0000}"/>
    <cellStyle name="Input 30 2 2 3" xfId="53138" xr:uid="{00000000-0005-0000-0000-00000D6E0000}"/>
    <cellStyle name="Input 30 2 3" xfId="7125" xr:uid="{00000000-0005-0000-0000-00000E6E0000}"/>
    <cellStyle name="Input 30 2 3 10" xfId="40403" xr:uid="{00000000-0005-0000-0000-00000F6E0000}"/>
    <cellStyle name="Input 30 2 3 2" xfId="10655" xr:uid="{00000000-0005-0000-0000-0000106E0000}"/>
    <cellStyle name="Input 30 2 3 2 2" xfId="18448" xr:uid="{00000000-0005-0000-0000-0000116E0000}"/>
    <cellStyle name="Input 30 2 3 2 2 2" xfId="43995" xr:uid="{00000000-0005-0000-0000-0000126E0000}"/>
    <cellStyle name="Input 30 2 3 2 2 3" xfId="47904" xr:uid="{00000000-0005-0000-0000-0000136E0000}"/>
    <cellStyle name="Input 30 2 3 2 2 4" xfId="36085" xr:uid="{00000000-0005-0000-0000-0000146E0000}"/>
    <cellStyle name="Input 30 2 3 2 3" xfId="20028" xr:uid="{00000000-0005-0000-0000-0000156E0000}"/>
    <cellStyle name="Input 30 2 3 2 3 2" xfId="45565" xr:uid="{00000000-0005-0000-0000-0000166E0000}"/>
    <cellStyle name="Input 30 2 3 2 3 3" xfId="49471" xr:uid="{00000000-0005-0000-0000-0000176E0000}"/>
    <cellStyle name="Input 30 2 3 2 3 4" xfId="37526" xr:uid="{00000000-0005-0000-0000-0000186E0000}"/>
    <cellStyle name="Input 30 2 3 2 4" xfId="20272" xr:uid="{00000000-0005-0000-0000-0000196E0000}"/>
    <cellStyle name="Input 30 2 3 2 4 2" xfId="45809" xr:uid="{00000000-0005-0000-0000-00001A6E0000}"/>
    <cellStyle name="Input 30 2 3 2 4 3" xfId="49715" xr:uid="{00000000-0005-0000-0000-00001B6E0000}"/>
    <cellStyle name="Input 30 2 3 2 4 4" xfId="37741" xr:uid="{00000000-0005-0000-0000-00001C6E0000}"/>
    <cellStyle name="Input 30 2 3 2 5" xfId="20861" xr:uid="{00000000-0005-0000-0000-00001D6E0000}"/>
    <cellStyle name="Input 30 2 3 2 5 2" xfId="46398" xr:uid="{00000000-0005-0000-0000-00001E6E0000}"/>
    <cellStyle name="Input 30 2 3 2 5 3" xfId="50304" xr:uid="{00000000-0005-0000-0000-00001F6E0000}"/>
    <cellStyle name="Input 30 2 3 2 5 4" xfId="38267" xr:uid="{00000000-0005-0000-0000-0000206E0000}"/>
    <cellStyle name="Input 30 2 3 2 6" xfId="21514" xr:uid="{00000000-0005-0000-0000-0000216E0000}"/>
    <cellStyle name="Input 30 2 3 2 6 2" xfId="47051" xr:uid="{00000000-0005-0000-0000-0000226E0000}"/>
    <cellStyle name="Input 30 2 3 2 6 3" xfId="50957" xr:uid="{00000000-0005-0000-0000-0000236E0000}"/>
    <cellStyle name="Input 30 2 3 2 7" xfId="40854" xr:uid="{00000000-0005-0000-0000-0000246E0000}"/>
    <cellStyle name="Input 30 2 3 2 8" xfId="43634" xr:uid="{00000000-0005-0000-0000-0000256E0000}"/>
    <cellStyle name="Input 30 2 3 3" xfId="10950" xr:uid="{00000000-0005-0000-0000-0000266E0000}"/>
    <cellStyle name="Input 30 2 3 3 2" xfId="18743" xr:uid="{00000000-0005-0000-0000-0000276E0000}"/>
    <cellStyle name="Input 30 2 3 3 2 2" xfId="44290" xr:uid="{00000000-0005-0000-0000-0000286E0000}"/>
    <cellStyle name="Input 30 2 3 3 2 3" xfId="48199" xr:uid="{00000000-0005-0000-0000-0000296E0000}"/>
    <cellStyle name="Input 30 2 3 3 2 4" xfId="36380" xr:uid="{00000000-0005-0000-0000-00002A6E0000}"/>
    <cellStyle name="Input 30 2 3 3 3" xfId="19712" xr:uid="{00000000-0005-0000-0000-00002B6E0000}"/>
    <cellStyle name="Input 30 2 3 3 3 2" xfId="45249" xr:uid="{00000000-0005-0000-0000-00002C6E0000}"/>
    <cellStyle name="Input 30 2 3 3 3 3" xfId="49155" xr:uid="{00000000-0005-0000-0000-00002D6E0000}"/>
    <cellStyle name="Input 30 2 3 3 3 4" xfId="37239" xr:uid="{00000000-0005-0000-0000-00002E6E0000}"/>
    <cellStyle name="Input 30 2 3 3 4" xfId="19253" xr:uid="{00000000-0005-0000-0000-00002F6E0000}"/>
    <cellStyle name="Input 30 2 3 3 4 2" xfId="44790" xr:uid="{00000000-0005-0000-0000-0000306E0000}"/>
    <cellStyle name="Input 30 2 3 3 4 3" xfId="48696" xr:uid="{00000000-0005-0000-0000-0000316E0000}"/>
    <cellStyle name="Input 30 2 3 3 4 4" xfId="36831" xr:uid="{00000000-0005-0000-0000-0000326E0000}"/>
    <cellStyle name="Input 30 2 3 3 5" xfId="21156" xr:uid="{00000000-0005-0000-0000-0000336E0000}"/>
    <cellStyle name="Input 30 2 3 3 5 2" xfId="46693" xr:uid="{00000000-0005-0000-0000-0000346E0000}"/>
    <cellStyle name="Input 30 2 3 3 5 3" xfId="50599" xr:uid="{00000000-0005-0000-0000-0000356E0000}"/>
    <cellStyle name="Input 30 2 3 3 5 4" xfId="38562" xr:uid="{00000000-0005-0000-0000-0000366E0000}"/>
    <cellStyle name="Input 30 2 3 3 6" xfId="21809" xr:uid="{00000000-0005-0000-0000-0000376E0000}"/>
    <cellStyle name="Input 30 2 3 3 6 2" xfId="47346" xr:uid="{00000000-0005-0000-0000-0000386E0000}"/>
    <cellStyle name="Input 30 2 3 3 6 3" xfId="51252" xr:uid="{00000000-0005-0000-0000-0000396E0000}"/>
    <cellStyle name="Input 30 2 3 3 7" xfId="41149" xr:uid="{00000000-0005-0000-0000-00003A6E0000}"/>
    <cellStyle name="Input 30 2 3 3 8" xfId="43621" xr:uid="{00000000-0005-0000-0000-00003B6E0000}"/>
    <cellStyle name="Input 30 2 3 4" xfId="14913" xr:uid="{00000000-0005-0000-0000-00003C6E0000}"/>
    <cellStyle name="Input 30 2 3 4 2" xfId="43029" xr:uid="{00000000-0005-0000-0000-00003D6E0000}"/>
    <cellStyle name="Input 30 2 3 4 3" xfId="47583" xr:uid="{00000000-0005-0000-0000-00003E6E0000}"/>
    <cellStyle name="Input 30 2 3 4 4" xfId="32548" xr:uid="{00000000-0005-0000-0000-00003F6E0000}"/>
    <cellStyle name="Input 30 2 3 5" xfId="13153" xr:uid="{00000000-0005-0000-0000-0000406E0000}"/>
    <cellStyle name="Input 30 2 3 5 2" xfId="42374" xr:uid="{00000000-0005-0000-0000-0000416E0000}"/>
    <cellStyle name="Input 30 2 3 5 3" xfId="47607" xr:uid="{00000000-0005-0000-0000-0000426E0000}"/>
    <cellStyle name="Input 30 2 3 5 4" xfId="30802" xr:uid="{00000000-0005-0000-0000-0000436E0000}"/>
    <cellStyle name="Input 30 2 3 6" xfId="19316" xr:uid="{00000000-0005-0000-0000-0000446E0000}"/>
    <cellStyle name="Input 30 2 3 6 2" xfId="44853" xr:uid="{00000000-0005-0000-0000-0000456E0000}"/>
    <cellStyle name="Input 30 2 3 6 3" xfId="48759" xr:uid="{00000000-0005-0000-0000-0000466E0000}"/>
    <cellStyle name="Input 30 2 3 6 4" xfId="36894" xr:uid="{00000000-0005-0000-0000-0000476E0000}"/>
    <cellStyle name="Input 30 2 3 7" xfId="11075" xr:uid="{00000000-0005-0000-0000-0000486E0000}"/>
    <cellStyle name="Input 30 2 3 7 2" xfId="41274" xr:uid="{00000000-0005-0000-0000-0000496E0000}"/>
    <cellStyle name="Input 30 2 3 7 3" xfId="40082" xr:uid="{00000000-0005-0000-0000-00004A6E0000}"/>
    <cellStyle name="Input 30 2 3 7 4" xfId="28805" xr:uid="{00000000-0005-0000-0000-00004B6E0000}"/>
    <cellStyle name="Input 30 2 3 8" xfId="13926" xr:uid="{00000000-0005-0000-0000-00004C6E0000}"/>
    <cellStyle name="Input 30 2 3 8 2" xfId="42661" xr:uid="{00000000-0005-0000-0000-00004D6E0000}"/>
    <cellStyle name="Input 30 2 3 8 3" xfId="39537" xr:uid="{00000000-0005-0000-0000-00004E6E0000}"/>
    <cellStyle name="Input 30 2 3 9" xfId="39889" xr:uid="{00000000-0005-0000-0000-00004F6E0000}"/>
    <cellStyle name="Input 30 2 4" xfId="53137" xr:uid="{00000000-0005-0000-0000-0000506E0000}"/>
    <cellStyle name="Input 30 2_Sheet1" xfId="1956" xr:uid="{00000000-0005-0000-0000-0000516E0000}"/>
    <cellStyle name="Input 30 3" xfId="1957" xr:uid="{00000000-0005-0000-0000-0000526E0000}"/>
    <cellStyle name="Input 30 3 2" xfId="7127" xr:uid="{00000000-0005-0000-0000-0000536E0000}"/>
    <cellStyle name="Input 30 3 2 10" xfId="42196" xr:uid="{00000000-0005-0000-0000-0000546E0000}"/>
    <cellStyle name="Input 30 3 2 2" xfId="10657" xr:uid="{00000000-0005-0000-0000-0000556E0000}"/>
    <cellStyle name="Input 30 3 2 2 2" xfId="18450" xr:uid="{00000000-0005-0000-0000-0000566E0000}"/>
    <cellStyle name="Input 30 3 2 2 2 2" xfId="43997" xr:uid="{00000000-0005-0000-0000-0000576E0000}"/>
    <cellStyle name="Input 30 3 2 2 2 3" xfId="47906" xr:uid="{00000000-0005-0000-0000-0000586E0000}"/>
    <cellStyle name="Input 30 3 2 2 2 4" xfId="36087" xr:uid="{00000000-0005-0000-0000-0000596E0000}"/>
    <cellStyle name="Input 30 3 2 2 3" xfId="19903" xr:uid="{00000000-0005-0000-0000-00005A6E0000}"/>
    <cellStyle name="Input 30 3 2 2 3 2" xfId="45440" xr:uid="{00000000-0005-0000-0000-00005B6E0000}"/>
    <cellStyle name="Input 30 3 2 2 3 3" xfId="49346" xr:uid="{00000000-0005-0000-0000-00005C6E0000}"/>
    <cellStyle name="Input 30 3 2 2 3 4" xfId="37417" xr:uid="{00000000-0005-0000-0000-00005D6E0000}"/>
    <cellStyle name="Input 30 3 2 2 4" xfId="18944" xr:uid="{00000000-0005-0000-0000-00005E6E0000}"/>
    <cellStyle name="Input 30 3 2 2 4 2" xfId="44481" xr:uid="{00000000-0005-0000-0000-00005F6E0000}"/>
    <cellStyle name="Input 30 3 2 2 4 3" xfId="48387" xr:uid="{00000000-0005-0000-0000-0000606E0000}"/>
    <cellStyle name="Input 30 3 2 2 4 4" xfId="36571" xr:uid="{00000000-0005-0000-0000-0000616E0000}"/>
    <cellStyle name="Input 30 3 2 2 5" xfId="20863" xr:uid="{00000000-0005-0000-0000-0000626E0000}"/>
    <cellStyle name="Input 30 3 2 2 5 2" xfId="46400" xr:uid="{00000000-0005-0000-0000-0000636E0000}"/>
    <cellStyle name="Input 30 3 2 2 5 3" xfId="50306" xr:uid="{00000000-0005-0000-0000-0000646E0000}"/>
    <cellStyle name="Input 30 3 2 2 5 4" xfId="38269" xr:uid="{00000000-0005-0000-0000-0000656E0000}"/>
    <cellStyle name="Input 30 3 2 2 6" xfId="21516" xr:uid="{00000000-0005-0000-0000-0000666E0000}"/>
    <cellStyle name="Input 30 3 2 2 6 2" xfId="47053" xr:uid="{00000000-0005-0000-0000-0000676E0000}"/>
    <cellStyle name="Input 30 3 2 2 6 3" xfId="50959" xr:uid="{00000000-0005-0000-0000-0000686E0000}"/>
    <cellStyle name="Input 30 3 2 2 7" xfId="40856" xr:uid="{00000000-0005-0000-0000-0000696E0000}"/>
    <cellStyle name="Input 30 3 2 2 8" xfId="39602" xr:uid="{00000000-0005-0000-0000-00006A6E0000}"/>
    <cellStyle name="Input 30 3 2 3" xfId="10952" xr:uid="{00000000-0005-0000-0000-00006B6E0000}"/>
    <cellStyle name="Input 30 3 2 3 2" xfId="18745" xr:uid="{00000000-0005-0000-0000-00006C6E0000}"/>
    <cellStyle name="Input 30 3 2 3 2 2" xfId="44292" xr:uid="{00000000-0005-0000-0000-00006D6E0000}"/>
    <cellStyle name="Input 30 3 2 3 2 3" xfId="48201" xr:uid="{00000000-0005-0000-0000-00006E6E0000}"/>
    <cellStyle name="Input 30 3 2 3 2 4" xfId="36382" xr:uid="{00000000-0005-0000-0000-00006F6E0000}"/>
    <cellStyle name="Input 30 3 2 3 3" xfId="13346" xr:uid="{00000000-0005-0000-0000-0000706E0000}"/>
    <cellStyle name="Input 30 3 2 3 3 2" xfId="42516" xr:uid="{00000000-0005-0000-0000-0000716E0000}"/>
    <cellStyle name="Input 30 3 2 3 3 3" xfId="39439" xr:uid="{00000000-0005-0000-0000-0000726E0000}"/>
    <cellStyle name="Input 30 3 2 3 3 4" xfId="30986" xr:uid="{00000000-0005-0000-0000-0000736E0000}"/>
    <cellStyle name="Input 30 3 2 3 4" xfId="11618" xr:uid="{00000000-0005-0000-0000-0000746E0000}"/>
    <cellStyle name="Input 30 3 2 3 4 2" xfId="41629" xr:uid="{00000000-0005-0000-0000-0000756E0000}"/>
    <cellStyle name="Input 30 3 2 3 4 3" xfId="39674" xr:uid="{00000000-0005-0000-0000-0000766E0000}"/>
    <cellStyle name="Input 30 3 2 3 4 4" xfId="29321" xr:uid="{00000000-0005-0000-0000-0000776E0000}"/>
    <cellStyle name="Input 30 3 2 3 5" xfId="21158" xr:uid="{00000000-0005-0000-0000-0000786E0000}"/>
    <cellStyle name="Input 30 3 2 3 5 2" xfId="46695" xr:uid="{00000000-0005-0000-0000-0000796E0000}"/>
    <cellStyle name="Input 30 3 2 3 5 3" xfId="50601" xr:uid="{00000000-0005-0000-0000-00007A6E0000}"/>
    <cellStyle name="Input 30 3 2 3 5 4" xfId="38564" xr:uid="{00000000-0005-0000-0000-00007B6E0000}"/>
    <cellStyle name="Input 30 3 2 3 6" xfId="21811" xr:uid="{00000000-0005-0000-0000-00007C6E0000}"/>
    <cellStyle name="Input 30 3 2 3 6 2" xfId="47348" xr:uid="{00000000-0005-0000-0000-00007D6E0000}"/>
    <cellStyle name="Input 30 3 2 3 6 3" xfId="51254" xr:uid="{00000000-0005-0000-0000-00007E6E0000}"/>
    <cellStyle name="Input 30 3 2 3 7" xfId="41151" xr:uid="{00000000-0005-0000-0000-00007F6E0000}"/>
    <cellStyle name="Input 30 3 2 3 8" xfId="39589" xr:uid="{00000000-0005-0000-0000-0000806E0000}"/>
    <cellStyle name="Input 30 3 2 4" xfId="14915" xr:uid="{00000000-0005-0000-0000-0000816E0000}"/>
    <cellStyle name="Input 30 3 2 4 2" xfId="43031" xr:uid="{00000000-0005-0000-0000-0000826E0000}"/>
    <cellStyle name="Input 30 3 2 4 3" xfId="43298" xr:uid="{00000000-0005-0000-0000-0000836E0000}"/>
    <cellStyle name="Input 30 3 2 4 4" xfId="32550" xr:uid="{00000000-0005-0000-0000-0000846E0000}"/>
    <cellStyle name="Input 30 3 2 5" xfId="11314" xr:uid="{00000000-0005-0000-0000-0000856E0000}"/>
    <cellStyle name="Input 30 3 2 5 2" xfId="41359" xr:uid="{00000000-0005-0000-0000-0000866E0000}"/>
    <cellStyle name="Input 30 3 2 5 3" xfId="39476" xr:uid="{00000000-0005-0000-0000-0000876E0000}"/>
    <cellStyle name="Input 30 3 2 5 4" xfId="29042" xr:uid="{00000000-0005-0000-0000-0000886E0000}"/>
    <cellStyle name="Input 30 3 2 6" xfId="19202" xr:uid="{00000000-0005-0000-0000-0000896E0000}"/>
    <cellStyle name="Input 30 3 2 6 2" xfId="44739" xr:uid="{00000000-0005-0000-0000-00008A6E0000}"/>
    <cellStyle name="Input 30 3 2 6 3" xfId="48645" xr:uid="{00000000-0005-0000-0000-00008B6E0000}"/>
    <cellStyle name="Input 30 3 2 6 4" xfId="36787" xr:uid="{00000000-0005-0000-0000-00008C6E0000}"/>
    <cellStyle name="Input 30 3 2 7" xfId="19696" xr:uid="{00000000-0005-0000-0000-00008D6E0000}"/>
    <cellStyle name="Input 30 3 2 7 2" xfId="45233" xr:uid="{00000000-0005-0000-0000-00008E6E0000}"/>
    <cellStyle name="Input 30 3 2 7 3" xfId="49139" xr:uid="{00000000-0005-0000-0000-00008F6E0000}"/>
    <cellStyle name="Input 30 3 2 7 4" xfId="37225" xr:uid="{00000000-0005-0000-0000-0000906E0000}"/>
    <cellStyle name="Input 30 3 2 8" xfId="11583" xr:uid="{00000000-0005-0000-0000-0000916E0000}"/>
    <cellStyle name="Input 30 3 2 8 2" xfId="41594" xr:uid="{00000000-0005-0000-0000-0000926E0000}"/>
    <cellStyle name="Input 30 3 2 8 3" xfId="40355" xr:uid="{00000000-0005-0000-0000-0000936E0000}"/>
    <cellStyle name="Input 30 3 2 9" xfId="39891" xr:uid="{00000000-0005-0000-0000-0000946E0000}"/>
    <cellStyle name="Input 30 3 3" xfId="53139" xr:uid="{00000000-0005-0000-0000-0000956E0000}"/>
    <cellStyle name="Input 30 4" xfId="7124" xr:uid="{00000000-0005-0000-0000-0000966E0000}"/>
    <cellStyle name="Input 30 4 10" xfId="43540" xr:uid="{00000000-0005-0000-0000-0000976E0000}"/>
    <cellStyle name="Input 30 4 11" xfId="53140" xr:uid="{00000000-0005-0000-0000-0000986E0000}"/>
    <cellStyle name="Input 30 4 2" xfId="10654" xr:uid="{00000000-0005-0000-0000-0000996E0000}"/>
    <cellStyle name="Input 30 4 2 2" xfId="18447" xr:uid="{00000000-0005-0000-0000-00009A6E0000}"/>
    <cellStyle name="Input 30 4 2 2 2" xfId="43994" xr:uid="{00000000-0005-0000-0000-00009B6E0000}"/>
    <cellStyle name="Input 30 4 2 2 3" xfId="47903" xr:uid="{00000000-0005-0000-0000-00009C6E0000}"/>
    <cellStyle name="Input 30 4 2 2 4" xfId="36084" xr:uid="{00000000-0005-0000-0000-00009D6E0000}"/>
    <cellStyle name="Input 30 4 2 3" xfId="19421" xr:uid="{00000000-0005-0000-0000-00009E6E0000}"/>
    <cellStyle name="Input 30 4 2 3 2" xfId="44958" xr:uid="{00000000-0005-0000-0000-00009F6E0000}"/>
    <cellStyle name="Input 30 4 2 3 3" xfId="48864" xr:uid="{00000000-0005-0000-0000-0000A06E0000}"/>
    <cellStyle name="Input 30 4 2 3 4" xfId="36986" xr:uid="{00000000-0005-0000-0000-0000A16E0000}"/>
    <cellStyle name="Input 30 4 2 4" xfId="20383" xr:uid="{00000000-0005-0000-0000-0000A26E0000}"/>
    <cellStyle name="Input 30 4 2 4 2" xfId="45920" xr:uid="{00000000-0005-0000-0000-0000A36E0000}"/>
    <cellStyle name="Input 30 4 2 4 3" xfId="49826" xr:uid="{00000000-0005-0000-0000-0000A46E0000}"/>
    <cellStyle name="Input 30 4 2 4 4" xfId="37837" xr:uid="{00000000-0005-0000-0000-0000A56E0000}"/>
    <cellStyle name="Input 30 4 2 5" xfId="20860" xr:uid="{00000000-0005-0000-0000-0000A66E0000}"/>
    <cellStyle name="Input 30 4 2 5 2" xfId="46397" xr:uid="{00000000-0005-0000-0000-0000A76E0000}"/>
    <cellStyle name="Input 30 4 2 5 3" xfId="50303" xr:uid="{00000000-0005-0000-0000-0000A86E0000}"/>
    <cellStyle name="Input 30 4 2 5 4" xfId="38266" xr:uid="{00000000-0005-0000-0000-0000A96E0000}"/>
    <cellStyle name="Input 30 4 2 6" xfId="21513" xr:uid="{00000000-0005-0000-0000-0000AA6E0000}"/>
    <cellStyle name="Input 30 4 2 6 2" xfId="47050" xr:uid="{00000000-0005-0000-0000-0000AB6E0000}"/>
    <cellStyle name="Input 30 4 2 6 3" xfId="50956" xr:uid="{00000000-0005-0000-0000-0000AC6E0000}"/>
    <cellStyle name="Input 30 4 2 7" xfId="40853" xr:uid="{00000000-0005-0000-0000-0000AD6E0000}"/>
    <cellStyle name="Input 30 4 2 8" xfId="42745" xr:uid="{00000000-0005-0000-0000-0000AE6E0000}"/>
    <cellStyle name="Input 30 4 3" xfId="10949" xr:uid="{00000000-0005-0000-0000-0000AF6E0000}"/>
    <cellStyle name="Input 30 4 3 2" xfId="18742" xr:uid="{00000000-0005-0000-0000-0000B06E0000}"/>
    <cellStyle name="Input 30 4 3 2 2" xfId="44289" xr:uid="{00000000-0005-0000-0000-0000B16E0000}"/>
    <cellStyle name="Input 30 4 3 2 3" xfId="48198" xr:uid="{00000000-0005-0000-0000-0000B26E0000}"/>
    <cellStyle name="Input 30 4 3 2 4" xfId="36379" xr:uid="{00000000-0005-0000-0000-0000B36E0000}"/>
    <cellStyle name="Input 30 4 3 3" xfId="19103" xr:uid="{00000000-0005-0000-0000-0000B46E0000}"/>
    <cellStyle name="Input 30 4 3 3 2" xfId="44640" xr:uid="{00000000-0005-0000-0000-0000B56E0000}"/>
    <cellStyle name="Input 30 4 3 3 3" xfId="48546" xr:uid="{00000000-0005-0000-0000-0000B66E0000}"/>
    <cellStyle name="Input 30 4 3 3 4" xfId="36698" xr:uid="{00000000-0005-0000-0000-0000B76E0000}"/>
    <cellStyle name="Input 30 4 3 4" xfId="19226" xr:uid="{00000000-0005-0000-0000-0000B86E0000}"/>
    <cellStyle name="Input 30 4 3 4 2" xfId="44763" xr:uid="{00000000-0005-0000-0000-0000B96E0000}"/>
    <cellStyle name="Input 30 4 3 4 3" xfId="48669" xr:uid="{00000000-0005-0000-0000-0000BA6E0000}"/>
    <cellStyle name="Input 30 4 3 4 4" xfId="36809" xr:uid="{00000000-0005-0000-0000-0000BB6E0000}"/>
    <cellStyle name="Input 30 4 3 5" xfId="21155" xr:uid="{00000000-0005-0000-0000-0000BC6E0000}"/>
    <cellStyle name="Input 30 4 3 5 2" xfId="46692" xr:uid="{00000000-0005-0000-0000-0000BD6E0000}"/>
    <cellStyle name="Input 30 4 3 5 3" xfId="50598" xr:uid="{00000000-0005-0000-0000-0000BE6E0000}"/>
    <cellStyle name="Input 30 4 3 5 4" xfId="38561" xr:uid="{00000000-0005-0000-0000-0000BF6E0000}"/>
    <cellStyle name="Input 30 4 3 6" xfId="21808" xr:uid="{00000000-0005-0000-0000-0000C06E0000}"/>
    <cellStyle name="Input 30 4 3 6 2" xfId="47345" xr:uid="{00000000-0005-0000-0000-0000C16E0000}"/>
    <cellStyle name="Input 30 4 3 6 3" xfId="51251" xr:uid="{00000000-0005-0000-0000-0000C26E0000}"/>
    <cellStyle name="Input 30 4 3 7" xfId="41148" xr:uid="{00000000-0005-0000-0000-0000C36E0000}"/>
    <cellStyle name="Input 30 4 3 8" xfId="42732" xr:uid="{00000000-0005-0000-0000-0000C46E0000}"/>
    <cellStyle name="Input 30 4 4" xfId="14912" xr:uid="{00000000-0005-0000-0000-0000C56E0000}"/>
    <cellStyle name="Input 30 4 4 2" xfId="43028" xr:uid="{00000000-0005-0000-0000-0000C66E0000}"/>
    <cellStyle name="Input 30 4 4 3" xfId="39429" xr:uid="{00000000-0005-0000-0000-0000C76E0000}"/>
    <cellStyle name="Input 30 4 4 4" xfId="32547" xr:uid="{00000000-0005-0000-0000-0000C86E0000}"/>
    <cellStyle name="Input 30 4 5" xfId="13152" xr:uid="{00000000-0005-0000-0000-0000C96E0000}"/>
    <cellStyle name="Input 30 4 5 2" xfId="42373" xr:uid="{00000000-0005-0000-0000-0000CA6E0000}"/>
    <cellStyle name="Input 30 4 5 3" xfId="39100" xr:uid="{00000000-0005-0000-0000-0000CB6E0000}"/>
    <cellStyle name="Input 30 4 5 4" xfId="30801" xr:uid="{00000000-0005-0000-0000-0000CC6E0000}"/>
    <cellStyle name="Input 30 4 6" xfId="12526" xr:uid="{00000000-0005-0000-0000-0000CD6E0000}"/>
    <cellStyle name="Input 30 4 6 2" xfId="42034" xr:uid="{00000000-0005-0000-0000-0000CE6E0000}"/>
    <cellStyle name="Input 30 4 6 3" xfId="39317" xr:uid="{00000000-0005-0000-0000-0000CF6E0000}"/>
    <cellStyle name="Input 30 4 6 4" xfId="30194" xr:uid="{00000000-0005-0000-0000-0000D06E0000}"/>
    <cellStyle name="Input 30 4 7" xfId="11380" xr:uid="{00000000-0005-0000-0000-0000D16E0000}"/>
    <cellStyle name="Input 30 4 7 2" xfId="41416" xr:uid="{00000000-0005-0000-0000-0000D26E0000}"/>
    <cellStyle name="Input 30 4 7 3" xfId="43358" xr:uid="{00000000-0005-0000-0000-0000D36E0000}"/>
    <cellStyle name="Input 30 4 7 4" xfId="29102" xr:uid="{00000000-0005-0000-0000-0000D46E0000}"/>
    <cellStyle name="Input 30 4 8" xfId="12677" xr:uid="{00000000-0005-0000-0000-0000D56E0000}"/>
    <cellStyle name="Input 30 4 8 2" xfId="42156" xr:uid="{00000000-0005-0000-0000-0000D66E0000}"/>
    <cellStyle name="Input 30 4 8 3" xfId="43475" xr:uid="{00000000-0005-0000-0000-0000D76E0000}"/>
    <cellStyle name="Input 30 4 9" xfId="39888" xr:uid="{00000000-0005-0000-0000-0000D86E0000}"/>
    <cellStyle name="Input 30 5" xfId="22473" xr:uid="{00000000-0005-0000-0000-0000D96E0000}"/>
    <cellStyle name="Input 30 5 2" xfId="23037" xr:uid="{00000000-0005-0000-0000-0000DA6E0000}"/>
    <cellStyle name="Input 30 5 2 2" xfId="47638" xr:uid="{00000000-0005-0000-0000-0000DB6E0000}"/>
    <cellStyle name="Input 30 5 2 3" xfId="51449" xr:uid="{00000000-0005-0000-0000-0000DC6E0000}"/>
    <cellStyle name="Input 30 5 3" xfId="47531" xr:uid="{00000000-0005-0000-0000-0000DD6E0000}"/>
    <cellStyle name="Input 30 5 4" xfId="51385" xr:uid="{00000000-0005-0000-0000-0000DE6E0000}"/>
    <cellStyle name="Input 30 5 5" xfId="53141" xr:uid="{00000000-0005-0000-0000-0000DF6E0000}"/>
    <cellStyle name="Input 30 6" xfId="22914" xr:uid="{00000000-0005-0000-0000-0000E06E0000}"/>
    <cellStyle name="Input 30 6 2" xfId="23062" xr:uid="{00000000-0005-0000-0000-0000E16E0000}"/>
    <cellStyle name="Input 30 6 2 2" xfId="47662" xr:uid="{00000000-0005-0000-0000-0000E26E0000}"/>
    <cellStyle name="Input 30 6 2 3" xfId="51473" xr:uid="{00000000-0005-0000-0000-0000E36E0000}"/>
    <cellStyle name="Input 30 6 3" xfId="47618" xr:uid="{00000000-0005-0000-0000-0000E46E0000}"/>
    <cellStyle name="Input 30 6 4" xfId="51433" xr:uid="{00000000-0005-0000-0000-0000E56E0000}"/>
    <cellStyle name="Input 30 6 5" xfId="53142" xr:uid="{00000000-0005-0000-0000-0000E66E0000}"/>
    <cellStyle name="Input 30 7" xfId="53136" xr:uid="{00000000-0005-0000-0000-0000E76E0000}"/>
    <cellStyle name="Input 30_Sheet1" xfId="1958" xr:uid="{00000000-0005-0000-0000-0000E86E0000}"/>
    <cellStyle name="Input 31" xfId="1959" xr:uid="{00000000-0005-0000-0000-0000E96E0000}"/>
    <cellStyle name="Input 31 2" xfId="1960" xr:uid="{00000000-0005-0000-0000-0000EA6E0000}"/>
    <cellStyle name="Input 31 2 2" xfId="1961" xr:uid="{00000000-0005-0000-0000-0000EB6E0000}"/>
    <cellStyle name="Input 31 2 2 2" xfId="7130" xr:uid="{00000000-0005-0000-0000-0000EC6E0000}"/>
    <cellStyle name="Input 31 2 2 2 10" xfId="39413" xr:uid="{00000000-0005-0000-0000-0000ED6E0000}"/>
    <cellStyle name="Input 31 2 2 2 2" xfId="10660" xr:uid="{00000000-0005-0000-0000-0000EE6E0000}"/>
    <cellStyle name="Input 31 2 2 2 2 2" xfId="18453" xr:uid="{00000000-0005-0000-0000-0000EF6E0000}"/>
    <cellStyle name="Input 31 2 2 2 2 2 2" xfId="44000" xr:uid="{00000000-0005-0000-0000-0000F06E0000}"/>
    <cellStyle name="Input 31 2 2 2 2 2 3" xfId="47909" xr:uid="{00000000-0005-0000-0000-0000F16E0000}"/>
    <cellStyle name="Input 31 2 2 2 2 2 4" xfId="36090" xr:uid="{00000000-0005-0000-0000-0000F26E0000}"/>
    <cellStyle name="Input 31 2 2 2 2 3" xfId="11500" xr:uid="{00000000-0005-0000-0000-0000F36E0000}"/>
    <cellStyle name="Input 31 2 2 2 2 3 2" xfId="41511" xr:uid="{00000000-0005-0000-0000-0000F46E0000}"/>
    <cellStyle name="Input 31 2 2 2 2 3 3" xfId="40569" xr:uid="{00000000-0005-0000-0000-0000F56E0000}"/>
    <cellStyle name="Input 31 2 2 2 2 3 4" xfId="29215" xr:uid="{00000000-0005-0000-0000-0000F66E0000}"/>
    <cellStyle name="Input 31 2 2 2 2 4" xfId="19668" xr:uid="{00000000-0005-0000-0000-0000F76E0000}"/>
    <cellStyle name="Input 31 2 2 2 2 4 2" xfId="45205" xr:uid="{00000000-0005-0000-0000-0000F86E0000}"/>
    <cellStyle name="Input 31 2 2 2 2 4 3" xfId="49111" xr:uid="{00000000-0005-0000-0000-0000F96E0000}"/>
    <cellStyle name="Input 31 2 2 2 2 4 4" xfId="37202" xr:uid="{00000000-0005-0000-0000-0000FA6E0000}"/>
    <cellStyle name="Input 31 2 2 2 2 5" xfId="20866" xr:uid="{00000000-0005-0000-0000-0000FB6E0000}"/>
    <cellStyle name="Input 31 2 2 2 2 5 2" xfId="46403" xr:uid="{00000000-0005-0000-0000-0000FC6E0000}"/>
    <cellStyle name="Input 31 2 2 2 2 5 3" xfId="50309" xr:uid="{00000000-0005-0000-0000-0000FD6E0000}"/>
    <cellStyle name="Input 31 2 2 2 2 5 4" xfId="38272" xr:uid="{00000000-0005-0000-0000-0000FE6E0000}"/>
    <cellStyle name="Input 31 2 2 2 2 6" xfId="21519" xr:uid="{00000000-0005-0000-0000-0000FF6E0000}"/>
    <cellStyle name="Input 31 2 2 2 2 6 2" xfId="47056" xr:uid="{00000000-0005-0000-0000-0000006F0000}"/>
    <cellStyle name="Input 31 2 2 2 2 6 3" xfId="50962" xr:uid="{00000000-0005-0000-0000-0000016F0000}"/>
    <cellStyle name="Input 31 2 2 2 2 7" xfId="40859" xr:uid="{00000000-0005-0000-0000-0000026F0000}"/>
    <cellStyle name="Input 31 2 2 2 2 8" xfId="40386" xr:uid="{00000000-0005-0000-0000-0000036F0000}"/>
    <cellStyle name="Input 31 2 2 2 3" xfId="10955" xr:uid="{00000000-0005-0000-0000-0000046F0000}"/>
    <cellStyle name="Input 31 2 2 2 3 2" xfId="18748" xr:uid="{00000000-0005-0000-0000-0000056F0000}"/>
    <cellStyle name="Input 31 2 2 2 3 2 2" xfId="44295" xr:uid="{00000000-0005-0000-0000-0000066F0000}"/>
    <cellStyle name="Input 31 2 2 2 3 2 3" xfId="48204" xr:uid="{00000000-0005-0000-0000-0000076F0000}"/>
    <cellStyle name="Input 31 2 2 2 3 2 4" xfId="36385" xr:uid="{00000000-0005-0000-0000-0000086F0000}"/>
    <cellStyle name="Input 31 2 2 2 3 3" xfId="19395" xr:uid="{00000000-0005-0000-0000-0000096F0000}"/>
    <cellStyle name="Input 31 2 2 2 3 3 2" xfId="44932" xr:uid="{00000000-0005-0000-0000-00000A6F0000}"/>
    <cellStyle name="Input 31 2 2 2 3 3 3" xfId="48838" xr:uid="{00000000-0005-0000-0000-00000B6F0000}"/>
    <cellStyle name="Input 31 2 2 2 3 3 4" xfId="36960" xr:uid="{00000000-0005-0000-0000-00000C6F0000}"/>
    <cellStyle name="Input 31 2 2 2 3 4" xfId="13301" xr:uid="{00000000-0005-0000-0000-00000D6F0000}"/>
    <cellStyle name="Input 31 2 2 2 3 4 2" xfId="42471" xr:uid="{00000000-0005-0000-0000-00000E6F0000}"/>
    <cellStyle name="Input 31 2 2 2 3 4 3" xfId="43678" xr:uid="{00000000-0005-0000-0000-00000F6F0000}"/>
    <cellStyle name="Input 31 2 2 2 3 4 4" xfId="30945" xr:uid="{00000000-0005-0000-0000-0000106F0000}"/>
    <cellStyle name="Input 31 2 2 2 3 5" xfId="21161" xr:uid="{00000000-0005-0000-0000-0000116F0000}"/>
    <cellStyle name="Input 31 2 2 2 3 5 2" xfId="46698" xr:uid="{00000000-0005-0000-0000-0000126F0000}"/>
    <cellStyle name="Input 31 2 2 2 3 5 3" xfId="50604" xr:uid="{00000000-0005-0000-0000-0000136F0000}"/>
    <cellStyle name="Input 31 2 2 2 3 5 4" xfId="38567" xr:uid="{00000000-0005-0000-0000-0000146F0000}"/>
    <cellStyle name="Input 31 2 2 2 3 6" xfId="21814" xr:uid="{00000000-0005-0000-0000-0000156F0000}"/>
    <cellStyle name="Input 31 2 2 2 3 6 2" xfId="47351" xr:uid="{00000000-0005-0000-0000-0000166F0000}"/>
    <cellStyle name="Input 31 2 2 2 3 6 3" xfId="51257" xr:uid="{00000000-0005-0000-0000-0000176F0000}"/>
    <cellStyle name="Input 31 2 2 2 3 7" xfId="41154" xr:uid="{00000000-0005-0000-0000-0000186F0000}"/>
    <cellStyle name="Input 31 2 2 2 3 8" xfId="40373" xr:uid="{00000000-0005-0000-0000-0000196F0000}"/>
    <cellStyle name="Input 31 2 2 2 4" xfId="14918" xr:uid="{00000000-0005-0000-0000-00001A6F0000}"/>
    <cellStyle name="Input 31 2 2 2 4 2" xfId="43034" xr:uid="{00000000-0005-0000-0000-00001B6F0000}"/>
    <cellStyle name="Input 31 2 2 2 4 3" xfId="39059" xr:uid="{00000000-0005-0000-0000-00001C6F0000}"/>
    <cellStyle name="Input 31 2 2 2 4 4" xfId="32553" xr:uid="{00000000-0005-0000-0000-00001D6F0000}"/>
    <cellStyle name="Input 31 2 2 2 5" xfId="11316" xr:uid="{00000000-0005-0000-0000-00001E6F0000}"/>
    <cellStyle name="Input 31 2 2 2 5 2" xfId="41361" xr:uid="{00000000-0005-0000-0000-00001F6F0000}"/>
    <cellStyle name="Input 31 2 2 2 5 3" xfId="41418" xr:uid="{00000000-0005-0000-0000-0000206F0000}"/>
    <cellStyle name="Input 31 2 2 2 5 4" xfId="29044" xr:uid="{00000000-0005-0000-0000-0000216F0000}"/>
    <cellStyle name="Input 31 2 2 2 6" xfId="19829" xr:uid="{00000000-0005-0000-0000-0000226F0000}"/>
    <cellStyle name="Input 31 2 2 2 6 2" xfId="45366" xr:uid="{00000000-0005-0000-0000-0000236F0000}"/>
    <cellStyle name="Input 31 2 2 2 6 3" xfId="49272" xr:uid="{00000000-0005-0000-0000-0000246F0000}"/>
    <cellStyle name="Input 31 2 2 2 6 4" xfId="37347" xr:uid="{00000000-0005-0000-0000-0000256F0000}"/>
    <cellStyle name="Input 31 2 2 2 7" xfId="20130" xr:uid="{00000000-0005-0000-0000-0000266F0000}"/>
    <cellStyle name="Input 31 2 2 2 7 2" xfId="45667" xr:uid="{00000000-0005-0000-0000-0000276F0000}"/>
    <cellStyle name="Input 31 2 2 2 7 3" xfId="49573" xr:uid="{00000000-0005-0000-0000-0000286F0000}"/>
    <cellStyle name="Input 31 2 2 2 7 4" xfId="37616" xr:uid="{00000000-0005-0000-0000-0000296F0000}"/>
    <cellStyle name="Input 31 2 2 2 8" xfId="20509" xr:uid="{00000000-0005-0000-0000-00002A6F0000}"/>
    <cellStyle name="Input 31 2 2 2 8 2" xfId="46046" xr:uid="{00000000-0005-0000-0000-00002B6F0000}"/>
    <cellStyle name="Input 31 2 2 2 8 3" xfId="49952" xr:uid="{00000000-0005-0000-0000-00002C6F0000}"/>
    <cellStyle name="Input 31 2 2 2 9" xfId="39894" xr:uid="{00000000-0005-0000-0000-00002D6F0000}"/>
    <cellStyle name="Input 31 2 2 3" xfId="53145" xr:uid="{00000000-0005-0000-0000-00002E6F0000}"/>
    <cellStyle name="Input 31 2 3" xfId="7129" xr:uid="{00000000-0005-0000-0000-00002F6F0000}"/>
    <cellStyle name="Input 31 2 3 10" xfId="40285" xr:uid="{00000000-0005-0000-0000-0000306F0000}"/>
    <cellStyle name="Input 31 2 3 2" xfId="10659" xr:uid="{00000000-0005-0000-0000-0000316F0000}"/>
    <cellStyle name="Input 31 2 3 2 2" xfId="18452" xr:uid="{00000000-0005-0000-0000-0000326F0000}"/>
    <cellStyle name="Input 31 2 3 2 2 2" xfId="43999" xr:uid="{00000000-0005-0000-0000-0000336F0000}"/>
    <cellStyle name="Input 31 2 3 2 2 3" xfId="47908" xr:uid="{00000000-0005-0000-0000-0000346F0000}"/>
    <cellStyle name="Input 31 2 3 2 2 4" xfId="36089" xr:uid="{00000000-0005-0000-0000-0000356F0000}"/>
    <cellStyle name="Input 31 2 3 2 3" xfId="19745" xr:uid="{00000000-0005-0000-0000-0000366F0000}"/>
    <cellStyle name="Input 31 2 3 2 3 2" xfId="45282" xr:uid="{00000000-0005-0000-0000-0000376F0000}"/>
    <cellStyle name="Input 31 2 3 2 3 3" xfId="49188" xr:uid="{00000000-0005-0000-0000-0000386F0000}"/>
    <cellStyle name="Input 31 2 3 2 3 4" xfId="37272" xr:uid="{00000000-0005-0000-0000-0000396F0000}"/>
    <cellStyle name="Input 31 2 3 2 4" xfId="19677" xr:uid="{00000000-0005-0000-0000-00003A6F0000}"/>
    <cellStyle name="Input 31 2 3 2 4 2" xfId="45214" xr:uid="{00000000-0005-0000-0000-00003B6F0000}"/>
    <cellStyle name="Input 31 2 3 2 4 3" xfId="49120" xr:uid="{00000000-0005-0000-0000-00003C6F0000}"/>
    <cellStyle name="Input 31 2 3 2 4 4" xfId="37209" xr:uid="{00000000-0005-0000-0000-00003D6F0000}"/>
    <cellStyle name="Input 31 2 3 2 5" xfId="20865" xr:uid="{00000000-0005-0000-0000-00003E6F0000}"/>
    <cellStyle name="Input 31 2 3 2 5 2" xfId="46402" xr:uid="{00000000-0005-0000-0000-00003F6F0000}"/>
    <cellStyle name="Input 31 2 3 2 5 3" xfId="50308" xr:uid="{00000000-0005-0000-0000-0000406F0000}"/>
    <cellStyle name="Input 31 2 3 2 5 4" xfId="38271" xr:uid="{00000000-0005-0000-0000-0000416F0000}"/>
    <cellStyle name="Input 31 2 3 2 6" xfId="21518" xr:uid="{00000000-0005-0000-0000-0000426F0000}"/>
    <cellStyle name="Input 31 2 3 2 6 2" xfId="47055" xr:uid="{00000000-0005-0000-0000-0000436F0000}"/>
    <cellStyle name="Input 31 2 3 2 6 3" xfId="50961" xr:uid="{00000000-0005-0000-0000-0000446F0000}"/>
    <cellStyle name="Input 31 2 3 2 7" xfId="40858" xr:uid="{00000000-0005-0000-0000-0000456F0000}"/>
    <cellStyle name="Input 31 2 3 2 8" xfId="43523" xr:uid="{00000000-0005-0000-0000-0000466F0000}"/>
    <cellStyle name="Input 31 2 3 3" xfId="10954" xr:uid="{00000000-0005-0000-0000-0000476F0000}"/>
    <cellStyle name="Input 31 2 3 3 2" xfId="18747" xr:uid="{00000000-0005-0000-0000-0000486F0000}"/>
    <cellStyle name="Input 31 2 3 3 2 2" xfId="44294" xr:uid="{00000000-0005-0000-0000-0000496F0000}"/>
    <cellStyle name="Input 31 2 3 3 2 3" xfId="48203" xr:uid="{00000000-0005-0000-0000-00004A6F0000}"/>
    <cellStyle name="Input 31 2 3 3 2 4" xfId="36384" xr:uid="{00000000-0005-0000-0000-00004B6F0000}"/>
    <cellStyle name="Input 31 2 3 3 3" xfId="20136" xr:uid="{00000000-0005-0000-0000-00004C6F0000}"/>
    <cellStyle name="Input 31 2 3 3 3 2" xfId="45673" xr:uid="{00000000-0005-0000-0000-00004D6F0000}"/>
    <cellStyle name="Input 31 2 3 3 3 3" xfId="49579" xr:uid="{00000000-0005-0000-0000-00004E6F0000}"/>
    <cellStyle name="Input 31 2 3 3 3 4" xfId="37622" xr:uid="{00000000-0005-0000-0000-00004F6F0000}"/>
    <cellStyle name="Input 31 2 3 3 4" xfId="19185" xr:uid="{00000000-0005-0000-0000-0000506F0000}"/>
    <cellStyle name="Input 31 2 3 3 4 2" xfId="44722" xr:uid="{00000000-0005-0000-0000-0000516F0000}"/>
    <cellStyle name="Input 31 2 3 3 4 3" xfId="48628" xr:uid="{00000000-0005-0000-0000-0000526F0000}"/>
    <cellStyle name="Input 31 2 3 3 4 4" xfId="36772" xr:uid="{00000000-0005-0000-0000-0000536F0000}"/>
    <cellStyle name="Input 31 2 3 3 5" xfId="21160" xr:uid="{00000000-0005-0000-0000-0000546F0000}"/>
    <cellStyle name="Input 31 2 3 3 5 2" xfId="46697" xr:uid="{00000000-0005-0000-0000-0000556F0000}"/>
    <cellStyle name="Input 31 2 3 3 5 3" xfId="50603" xr:uid="{00000000-0005-0000-0000-0000566F0000}"/>
    <cellStyle name="Input 31 2 3 3 5 4" xfId="38566" xr:uid="{00000000-0005-0000-0000-0000576F0000}"/>
    <cellStyle name="Input 31 2 3 3 6" xfId="21813" xr:uid="{00000000-0005-0000-0000-0000586F0000}"/>
    <cellStyle name="Input 31 2 3 3 6 2" xfId="47350" xr:uid="{00000000-0005-0000-0000-0000596F0000}"/>
    <cellStyle name="Input 31 2 3 3 6 3" xfId="51256" xr:uid="{00000000-0005-0000-0000-00005A6F0000}"/>
    <cellStyle name="Input 31 2 3 3 7" xfId="41153" xr:uid="{00000000-0005-0000-0000-00005B6F0000}"/>
    <cellStyle name="Input 31 2 3 3 8" xfId="43510" xr:uid="{00000000-0005-0000-0000-00005C6F0000}"/>
    <cellStyle name="Input 31 2 3 4" xfId="14917" xr:uid="{00000000-0005-0000-0000-00005D6F0000}"/>
    <cellStyle name="Input 31 2 3 4 2" xfId="43033" xr:uid="{00000000-0005-0000-0000-00005E6F0000}"/>
    <cellStyle name="Input 31 2 3 4 3" xfId="39271" xr:uid="{00000000-0005-0000-0000-00005F6F0000}"/>
    <cellStyle name="Input 31 2 3 4 4" xfId="32552" xr:uid="{00000000-0005-0000-0000-0000606F0000}"/>
    <cellStyle name="Input 31 2 3 5" xfId="11317" xr:uid="{00000000-0005-0000-0000-0000616F0000}"/>
    <cellStyle name="Input 31 2 3 5 2" xfId="41362" xr:uid="{00000000-0005-0000-0000-0000626F0000}"/>
    <cellStyle name="Input 31 2 3 5 3" xfId="43221" xr:uid="{00000000-0005-0000-0000-0000636F0000}"/>
    <cellStyle name="Input 31 2 3 5 4" xfId="29045" xr:uid="{00000000-0005-0000-0000-0000646F0000}"/>
    <cellStyle name="Input 31 2 3 6" xfId="12133" xr:uid="{00000000-0005-0000-0000-0000656F0000}"/>
    <cellStyle name="Input 31 2 3 6 2" xfId="41878" xr:uid="{00000000-0005-0000-0000-0000666F0000}"/>
    <cellStyle name="Input 31 2 3 6 3" xfId="47580" xr:uid="{00000000-0005-0000-0000-0000676F0000}"/>
    <cellStyle name="Input 31 2 3 6 4" xfId="29806" xr:uid="{00000000-0005-0000-0000-0000686F0000}"/>
    <cellStyle name="Input 31 2 3 7" xfId="18913" xr:uid="{00000000-0005-0000-0000-0000696F0000}"/>
    <cellStyle name="Input 31 2 3 7 2" xfId="44450" xr:uid="{00000000-0005-0000-0000-00006A6F0000}"/>
    <cellStyle name="Input 31 2 3 7 3" xfId="48356" xr:uid="{00000000-0005-0000-0000-00006B6F0000}"/>
    <cellStyle name="Input 31 2 3 7 4" xfId="36545" xr:uid="{00000000-0005-0000-0000-00006C6F0000}"/>
    <cellStyle name="Input 31 2 3 8" xfId="20611" xr:uid="{00000000-0005-0000-0000-00006D6F0000}"/>
    <cellStyle name="Input 31 2 3 8 2" xfId="46148" xr:uid="{00000000-0005-0000-0000-00006E6F0000}"/>
    <cellStyle name="Input 31 2 3 8 3" xfId="50054" xr:uid="{00000000-0005-0000-0000-00006F6F0000}"/>
    <cellStyle name="Input 31 2 3 9" xfId="39893" xr:uid="{00000000-0005-0000-0000-0000706F0000}"/>
    <cellStyle name="Input 31 2 4" xfId="53144" xr:uid="{00000000-0005-0000-0000-0000716F0000}"/>
    <cellStyle name="Input 31 2_Sheet1" xfId="1962" xr:uid="{00000000-0005-0000-0000-0000726F0000}"/>
    <cellStyle name="Input 31 3" xfId="1963" xr:uid="{00000000-0005-0000-0000-0000736F0000}"/>
    <cellStyle name="Input 31 3 2" xfId="7131" xr:uid="{00000000-0005-0000-0000-0000746F0000}"/>
    <cellStyle name="Input 31 3 2 10" xfId="39242" xr:uid="{00000000-0005-0000-0000-0000756F0000}"/>
    <cellStyle name="Input 31 3 2 2" xfId="10661" xr:uid="{00000000-0005-0000-0000-0000766F0000}"/>
    <cellStyle name="Input 31 3 2 2 2" xfId="18454" xr:uid="{00000000-0005-0000-0000-0000776F0000}"/>
    <cellStyle name="Input 31 3 2 2 2 2" xfId="44001" xr:uid="{00000000-0005-0000-0000-0000786F0000}"/>
    <cellStyle name="Input 31 3 2 2 2 3" xfId="47910" xr:uid="{00000000-0005-0000-0000-0000796F0000}"/>
    <cellStyle name="Input 31 3 2 2 2 4" xfId="36091" xr:uid="{00000000-0005-0000-0000-00007A6F0000}"/>
    <cellStyle name="Input 31 3 2 2 3" xfId="13328" xr:uid="{00000000-0005-0000-0000-00007B6F0000}"/>
    <cellStyle name="Input 31 3 2 2 3 2" xfId="42498" xr:uid="{00000000-0005-0000-0000-00007C6F0000}"/>
    <cellStyle name="Input 31 3 2 2 3 3" xfId="43461" xr:uid="{00000000-0005-0000-0000-00007D6F0000}"/>
    <cellStyle name="Input 31 3 2 2 3 4" xfId="30968" xr:uid="{00000000-0005-0000-0000-00007E6F0000}"/>
    <cellStyle name="Input 31 3 2 2 4" xfId="11798" xr:uid="{00000000-0005-0000-0000-00007F6F0000}"/>
    <cellStyle name="Input 31 3 2 2 4 2" xfId="41748" xr:uid="{00000000-0005-0000-0000-0000806F0000}"/>
    <cellStyle name="Input 31 3 2 2 4 3" xfId="39151" xr:uid="{00000000-0005-0000-0000-0000816F0000}"/>
    <cellStyle name="Input 31 3 2 2 4 4" xfId="29484" xr:uid="{00000000-0005-0000-0000-0000826F0000}"/>
    <cellStyle name="Input 31 3 2 2 5" xfId="20867" xr:uid="{00000000-0005-0000-0000-0000836F0000}"/>
    <cellStyle name="Input 31 3 2 2 5 2" xfId="46404" xr:uid="{00000000-0005-0000-0000-0000846F0000}"/>
    <cellStyle name="Input 31 3 2 2 5 3" xfId="50310" xr:uid="{00000000-0005-0000-0000-0000856F0000}"/>
    <cellStyle name="Input 31 3 2 2 5 4" xfId="38273" xr:uid="{00000000-0005-0000-0000-0000866F0000}"/>
    <cellStyle name="Input 31 3 2 2 6" xfId="21520" xr:uid="{00000000-0005-0000-0000-0000876F0000}"/>
    <cellStyle name="Input 31 3 2 2 6 2" xfId="47057" xr:uid="{00000000-0005-0000-0000-0000886F0000}"/>
    <cellStyle name="Input 31 3 2 2 6 3" xfId="50963" xr:uid="{00000000-0005-0000-0000-0000896F0000}"/>
    <cellStyle name="Input 31 3 2 2 7" xfId="40860" xr:uid="{00000000-0005-0000-0000-00008A6F0000}"/>
    <cellStyle name="Input 31 3 2 2 8" xfId="39498" xr:uid="{00000000-0005-0000-0000-00008B6F0000}"/>
    <cellStyle name="Input 31 3 2 3" xfId="10956" xr:uid="{00000000-0005-0000-0000-00008C6F0000}"/>
    <cellStyle name="Input 31 3 2 3 2" xfId="18749" xr:uid="{00000000-0005-0000-0000-00008D6F0000}"/>
    <cellStyle name="Input 31 3 2 3 2 2" xfId="44296" xr:uid="{00000000-0005-0000-0000-00008E6F0000}"/>
    <cellStyle name="Input 31 3 2 3 2 3" xfId="48205" xr:uid="{00000000-0005-0000-0000-00008F6F0000}"/>
    <cellStyle name="Input 31 3 2 3 2 4" xfId="36386" xr:uid="{00000000-0005-0000-0000-0000906F0000}"/>
    <cellStyle name="Input 31 3 2 3 3" xfId="20002" xr:uid="{00000000-0005-0000-0000-0000916F0000}"/>
    <cellStyle name="Input 31 3 2 3 3 2" xfId="45539" xr:uid="{00000000-0005-0000-0000-0000926F0000}"/>
    <cellStyle name="Input 31 3 2 3 3 3" xfId="49445" xr:uid="{00000000-0005-0000-0000-0000936F0000}"/>
    <cellStyle name="Input 31 3 2 3 3 4" xfId="37500" xr:uid="{00000000-0005-0000-0000-0000946F0000}"/>
    <cellStyle name="Input 31 3 2 3 4" xfId="13907" xr:uid="{00000000-0005-0000-0000-0000956F0000}"/>
    <cellStyle name="Input 31 3 2 3 4 2" xfId="42642" xr:uid="{00000000-0005-0000-0000-0000966F0000}"/>
    <cellStyle name="Input 31 3 2 3 4 3" xfId="40320" xr:uid="{00000000-0005-0000-0000-0000976F0000}"/>
    <cellStyle name="Input 31 3 2 3 4 4" xfId="31546" xr:uid="{00000000-0005-0000-0000-0000986F0000}"/>
    <cellStyle name="Input 31 3 2 3 5" xfId="21162" xr:uid="{00000000-0005-0000-0000-0000996F0000}"/>
    <cellStyle name="Input 31 3 2 3 5 2" xfId="46699" xr:uid="{00000000-0005-0000-0000-00009A6F0000}"/>
    <cellStyle name="Input 31 3 2 3 5 3" xfId="50605" xr:uid="{00000000-0005-0000-0000-00009B6F0000}"/>
    <cellStyle name="Input 31 3 2 3 5 4" xfId="38568" xr:uid="{00000000-0005-0000-0000-00009C6F0000}"/>
    <cellStyle name="Input 31 3 2 3 6" xfId="21815" xr:uid="{00000000-0005-0000-0000-00009D6F0000}"/>
    <cellStyle name="Input 31 3 2 3 6 2" xfId="47352" xr:uid="{00000000-0005-0000-0000-00009E6F0000}"/>
    <cellStyle name="Input 31 3 2 3 6 3" xfId="51258" xr:uid="{00000000-0005-0000-0000-00009F6F0000}"/>
    <cellStyle name="Input 31 3 2 3 7" xfId="41155" xr:uid="{00000000-0005-0000-0000-0000A06F0000}"/>
    <cellStyle name="Input 31 3 2 3 8" xfId="39485" xr:uid="{00000000-0005-0000-0000-0000A16F0000}"/>
    <cellStyle name="Input 31 3 2 4" xfId="14919" xr:uid="{00000000-0005-0000-0000-0000A26F0000}"/>
    <cellStyle name="Input 31 3 2 4 2" xfId="43035" xr:uid="{00000000-0005-0000-0000-0000A36F0000}"/>
    <cellStyle name="Input 31 3 2 4 3" xfId="47481" xr:uid="{00000000-0005-0000-0000-0000A46F0000}"/>
    <cellStyle name="Input 31 3 2 4 4" xfId="32554" xr:uid="{00000000-0005-0000-0000-0000A56F0000}"/>
    <cellStyle name="Input 31 3 2 5" xfId="13155" xr:uid="{00000000-0005-0000-0000-0000A66F0000}"/>
    <cellStyle name="Input 31 3 2 5 2" xfId="42376" xr:uid="{00000000-0005-0000-0000-0000A76F0000}"/>
    <cellStyle name="Input 31 3 2 5 3" xfId="39098" xr:uid="{00000000-0005-0000-0000-0000A86F0000}"/>
    <cellStyle name="Input 31 3 2 5 4" xfId="30804" xr:uid="{00000000-0005-0000-0000-0000A96F0000}"/>
    <cellStyle name="Input 31 3 2 6" xfId="11602" xr:uid="{00000000-0005-0000-0000-0000AA6F0000}"/>
    <cellStyle name="Input 31 3 2 6 2" xfId="41613" xr:uid="{00000000-0005-0000-0000-0000AB6F0000}"/>
    <cellStyle name="Input 31 3 2 6 3" xfId="42578" xr:uid="{00000000-0005-0000-0000-0000AC6F0000}"/>
    <cellStyle name="Input 31 3 2 6 4" xfId="29307" xr:uid="{00000000-0005-0000-0000-0000AD6F0000}"/>
    <cellStyle name="Input 31 3 2 7" xfId="18894" xr:uid="{00000000-0005-0000-0000-0000AE6F0000}"/>
    <cellStyle name="Input 31 3 2 7 2" xfId="44431" xr:uid="{00000000-0005-0000-0000-0000AF6F0000}"/>
    <cellStyle name="Input 31 3 2 7 3" xfId="48337" xr:uid="{00000000-0005-0000-0000-0000B06F0000}"/>
    <cellStyle name="Input 31 3 2 7 4" xfId="36530" xr:uid="{00000000-0005-0000-0000-0000B16F0000}"/>
    <cellStyle name="Input 31 3 2 8" xfId="19177" xr:uid="{00000000-0005-0000-0000-0000B26F0000}"/>
    <cellStyle name="Input 31 3 2 8 2" xfId="44714" xr:uid="{00000000-0005-0000-0000-0000B36F0000}"/>
    <cellStyle name="Input 31 3 2 8 3" xfId="48620" xr:uid="{00000000-0005-0000-0000-0000B46F0000}"/>
    <cellStyle name="Input 31 3 2 9" xfId="39895" xr:uid="{00000000-0005-0000-0000-0000B56F0000}"/>
    <cellStyle name="Input 31 3 3" xfId="53146" xr:uid="{00000000-0005-0000-0000-0000B66F0000}"/>
    <cellStyle name="Input 31 4" xfId="7128" xr:uid="{00000000-0005-0000-0000-0000B76F0000}"/>
    <cellStyle name="Input 31 4 10" xfId="43423" xr:uid="{00000000-0005-0000-0000-0000B86F0000}"/>
    <cellStyle name="Input 31 4 11" xfId="53147" xr:uid="{00000000-0005-0000-0000-0000B96F0000}"/>
    <cellStyle name="Input 31 4 2" xfId="10658" xr:uid="{00000000-0005-0000-0000-0000BA6F0000}"/>
    <cellStyle name="Input 31 4 2 2" xfId="18451" xr:uid="{00000000-0005-0000-0000-0000BB6F0000}"/>
    <cellStyle name="Input 31 4 2 2 2" xfId="43998" xr:uid="{00000000-0005-0000-0000-0000BC6F0000}"/>
    <cellStyle name="Input 31 4 2 2 3" xfId="47907" xr:uid="{00000000-0005-0000-0000-0000BD6F0000}"/>
    <cellStyle name="Input 31 4 2 2 4" xfId="36088" xr:uid="{00000000-0005-0000-0000-0000BE6F0000}"/>
    <cellStyle name="Input 31 4 2 3" xfId="19126" xr:uid="{00000000-0005-0000-0000-0000BF6F0000}"/>
    <cellStyle name="Input 31 4 2 3 2" xfId="44663" xr:uid="{00000000-0005-0000-0000-0000C06F0000}"/>
    <cellStyle name="Input 31 4 2 3 3" xfId="48569" xr:uid="{00000000-0005-0000-0000-0000C16F0000}"/>
    <cellStyle name="Input 31 4 2 3 4" xfId="36721" xr:uid="{00000000-0005-0000-0000-0000C26F0000}"/>
    <cellStyle name="Input 31 4 2 4" xfId="19228" xr:uid="{00000000-0005-0000-0000-0000C36F0000}"/>
    <cellStyle name="Input 31 4 2 4 2" xfId="44765" xr:uid="{00000000-0005-0000-0000-0000C46F0000}"/>
    <cellStyle name="Input 31 4 2 4 3" xfId="48671" xr:uid="{00000000-0005-0000-0000-0000C56F0000}"/>
    <cellStyle name="Input 31 4 2 4 4" xfId="36811" xr:uid="{00000000-0005-0000-0000-0000C66F0000}"/>
    <cellStyle name="Input 31 4 2 5" xfId="20864" xr:uid="{00000000-0005-0000-0000-0000C76F0000}"/>
    <cellStyle name="Input 31 4 2 5 2" xfId="46401" xr:uid="{00000000-0005-0000-0000-0000C86F0000}"/>
    <cellStyle name="Input 31 4 2 5 3" xfId="50307" xr:uid="{00000000-0005-0000-0000-0000C96F0000}"/>
    <cellStyle name="Input 31 4 2 5 4" xfId="38270" xr:uid="{00000000-0005-0000-0000-0000CA6F0000}"/>
    <cellStyle name="Input 31 4 2 6" xfId="21517" xr:uid="{00000000-0005-0000-0000-0000CB6F0000}"/>
    <cellStyle name="Input 31 4 2 6 2" xfId="47054" xr:uid="{00000000-0005-0000-0000-0000CC6F0000}"/>
    <cellStyle name="Input 31 4 2 6 3" xfId="50960" xr:uid="{00000000-0005-0000-0000-0000CD6F0000}"/>
    <cellStyle name="Input 31 4 2 7" xfId="40857" xr:uid="{00000000-0005-0000-0000-0000CE6F0000}"/>
    <cellStyle name="Input 31 4 2 8" xfId="42610" xr:uid="{00000000-0005-0000-0000-0000CF6F0000}"/>
    <cellStyle name="Input 31 4 3" xfId="10953" xr:uid="{00000000-0005-0000-0000-0000D06F0000}"/>
    <cellStyle name="Input 31 4 3 2" xfId="18746" xr:uid="{00000000-0005-0000-0000-0000D16F0000}"/>
    <cellStyle name="Input 31 4 3 2 2" xfId="44293" xr:uid="{00000000-0005-0000-0000-0000D26F0000}"/>
    <cellStyle name="Input 31 4 3 2 3" xfId="48202" xr:uid="{00000000-0005-0000-0000-0000D36F0000}"/>
    <cellStyle name="Input 31 4 3 2 4" xfId="36383" xr:uid="{00000000-0005-0000-0000-0000D46F0000}"/>
    <cellStyle name="Input 31 4 3 3" xfId="19587" xr:uid="{00000000-0005-0000-0000-0000D56F0000}"/>
    <cellStyle name="Input 31 4 3 3 2" xfId="45124" xr:uid="{00000000-0005-0000-0000-0000D66F0000}"/>
    <cellStyle name="Input 31 4 3 3 3" xfId="49030" xr:uid="{00000000-0005-0000-0000-0000D76F0000}"/>
    <cellStyle name="Input 31 4 3 3 4" xfId="37127" xr:uid="{00000000-0005-0000-0000-0000D86F0000}"/>
    <cellStyle name="Input 31 4 3 4" xfId="19053" xr:uid="{00000000-0005-0000-0000-0000D96F0000}"/>
    <cellStyle name="Input 31 4 3 4 2" xfId="44590" xr:uid="{00000000-0005-0000-0000-0000DA6F0000}"/>
    <cellStyle name="Input 31 4 3 4 3" xfId="48496" xr:uid="{00000000-0005-0000-0000-0000DB6F0000}"/>
    <cellStyle name="Input 31 4 3 4 4" xfId="36653" xr:uid="{00000000-0005-0000-0000-0000DC6F0000}"/>
    <cellStyle name="Input 31 4 3 5" xfId="21159" xr:uid="{00000000-0005-0000-0000-0000DD6F0000}"/>
    <cellStyle name="Input 31 4 3 5 2" xfId="46696" xr:uid="{00000000-0005-0000-0000-0000DE6F0000}"/>
    <cellStyle name="Input 31 4 3 5 3" xfId="50602" xr:uid="{00000000-0005-0000-0000-0000DF6F0000}"/>
    <cellStyle name="Input 31 4 3 5 4" xfId="38565" xr:uid="{00000000-0005-0000-0000-0000E06F0000}"/>
    <cellStyle name="Input 31 4 3 6" xfId="21812" xr:uid="{00000000-0005-0000-0000-0000E16F0000}"/>
    <cellStyle name="Input 31 4 3 6 2" xfId="47349" xr:uid="{00000000-0005-0000-0000-0000E26F0000}"/>
    <cellStyle name="Input 31 4 3 6 3" xfId="51255" xr:uid="{00000000-0005-0000-0000-0000E36F0000}"/>
    <cellStyle name="Input 31 4 3 7" xfId="41152" xr:uid="{00000000-0005-0000-0000-0000E46F0000}"/>
    <cellStyle name="Input 31 4 3 8" xfId="42597" xr:uid="{00000000-0005-0000-0000-0000E56F0000}"/>
    <cellStyle name="Input 31 4 4" xfId="14916" xr:uid="{00000000-0005-0000-0000-0000E66F0000}"/>
    <cellStyle name="Input 31 4 4 2" xfId="43032" xr:uid="{00000000-0005-0000-0000-0000E76F0000}"/>
    <cellStyle name="Input 31 4 4 3" xfId="40157" xr:uid="{00000000-0005-0000-0000-0000E86F0000}"/>
    <cellStyle name="Input 31 4 4 4" xfId="32551" xr:uid="{00000000-0005-0000-0000-0000E96F0000}"/>
    <cellStyle name="Input 31 4 5" xfId="11315" xr:uid="{00000000-0005-0000-0000-0000EA6F0000}"/>
    <cellStyle name="Input 31 4 5 2" xfId="41360" xr:uid="{00000000-0005-0000-0000-0000EB6F0000}"/>
    <cellStyle name="Input 31 4 5 3" xfId="39363" xr:uid="{00000000-0005-0000-0000-0000EC6F0000}"/>
    <cellStyle name="Input 31 4 5 4" xfId="29043" xr:uid="{00000000-0005-0000-0000-0000ED6F0000}"/>
    <cellStyle name="Input 31 4 6" xfId="19222" xr:uid="{00000000-0005-0000-0000-0000EE6F0000}"/>
    <cellStyle name="Input 31 4 6 2" xfId="44759" xr:uid="{00000000-0005-0000-0000-0000EF6F0000}"/>
    <cellStyle name="Input 31 4 6 3" xfId="48665" xr:uid="{00000000-0005-0000-0000-0000F06F0000}"/>
    <cellStyle name="Input 31 4 6 4" xfId="36807" xr:uid="{00000000-0005-0000-0000-0000F16F0000}"/>
    <cellStyle name="Input 31 4 7" xfId="19573" xr:uid="{00000000-0005-0000-0000-0000F26F0000}"/>
    <cellStyle name="Input 31 4 7 2" xfId="45110" xr:uid="{00000000-0005-0000-0000-0000F36F0000}"/>
    <cellStyle name="Input 31 4 7 3" xfId="49016" xr:uid="{00000000-0005-0000-0000-0000F46F0000}"/>
    <cellStyle name="Input 31 4 7 4" xfId="37114" xr:uid="{00000000-0005-0000-0000-0000F56F0000}"/>
    <cellStyle name="Input 31 4 8" xfId="20352" xr:uid="{00000000-0005-0000-0000-0000F66F0000}"/>
    <cellStyle name="Input 31 4 8 2" xfId="45889" xr:uid="{00000000-0005-0000-0000-0000F76F0000}"/>
    <cellStyle name="Input 31 4 8 3" xfId="49795" xr:uid="{00000000-0005-0000-0000-0000F86F0000}"/>
    <cellStyle name="Input 31 4 9" xfId="39892" xr:uid="{00000000-0005-0000-0000-0000F96F0000}"/>
    <cellStyle name="Input 31 5" xfId="22474" xr:uid="{00000000-0005-0000-0000-0000FA6F0000}"/>
    <cellStyle name="Input 31 5 2" xfId="23038" xr:uid="{00000000-0005-0000-0000-0000FB6F0000}"/>
    <cellStyle name="Input 31 5 2 2" xfId="47639" xr:uid="{00000000-0005-0000-0000-0000FC6F0000}"/>
    <cellStyle name="Input 31 5 2 3" xfId="51450" xr:uid="{00000000-0005-0000-0000-0000FD6F0000}"/>
    <cellStyle name="Input 31 5 3" xfId="47532" xr:uid="{00000000-0005-0000-0000-0000FE6F0000}"/>
    <cellStyle name="Input 31 5 4" xfId="51386" xr:uid="{00000000-0005-0000-0000-0000FF6F0000}"/>
    <cellStyle name="Input 31 5 5" xfId="53148" xr:uid="{00000000-0005-0000-0000-000000700000}"/>
    <cellStyle name="Input 31 6" xfId="22913" xr:uid="{00000000-0005-0000-0000-000001700000}"/>
    <cellStyle name="Input 31 6 2" xfId="23061" xr:uid="{00000000-0005-0000-0000-000002700000}"/>
    <cellStyle name="Input 31 6 2 2" xfId="47661" xr:uid="{00000000-0005-0000-0000-000003700000}"/>
    <cellStyle name="Input 31 6 2 3" xfId="51472" xr:uid="{00000000-0005-0000-0000-000004700000}"/>
    <cellStyle name="Input 31 6 3" xfId="47617" xr:uid="{00000000-0005-0000-0000-000005700000}"/>
    <cellStyle name="Input 31 6 4" xfId="51432" xr:uid="{00000000-0005-0000-0000-000006700000}"/>
    <cellStyle name="Input 31 6 5" xfId="53149" xr:uid="{00000000-0005-0000-0000-000007700000}"/>
    <cellStyle name="Input 31 7" xfId="53143" xr:uid="{00000000-0005-0000-0000-000008700000}"/>
    <cellStyle name="Input 31_Sheet1" xfId="1964" xr:uid="{00000000-0005-0000-0000-000009700000}"/>
    <cellStyle name="Input 32" xfId="1965" xr:uid="{00000000-0005-0000-0000-00000A700000}"/>
    <cellStyle name="Input 32 2" xfId="1966" xr:uid="{00000000-0005-0000-0000-00000B700000}"/>
    <cellStyle name="Input 32 2 2" xfId="1967" xr:uid="{00000000-0005-0000-0000-00000C700000}"/>
    <cellStyle name="Input 32 2 2 2" xfId="7134" xr:uid="{00000000-0005-0000-0000-00000D700000}"/>
    <cellStyle name="Input 32 2 2 2 10" xfId="47600" xr:uid="{00000000-0005-0000-0000-00000E700000}"/>
    <cellStyle name="Input 32 2 2 2 2" xfId="10664" xr:uid="{00000000-0005-0000-0000-00000F700000}"/>
    <cellStyle name="Input 32 2 2 2 2 2" xfId="18457" xr:uid="{00000000-0005-0000-0000-000010700000}"/>
    <cellStyle name="Input 32 2 2 2 2 2 2" xfId="44004" xr:uid="{00000000-0005-0000-0000-000011700000}"/>
    <cellStyle name="Input 32 2 2 2 2 2 3" xfId="47913" xr:uid="{00000000-0005-0000-0000-000012700000}"/>
    <cellStyle name="Input 32 2 2 2 2 2 4" xfId="36094" xr:uid="{00000000-0005-0000-0000-000013700000}"/>
    <cellStyle name="Input 32 2 2 2 2 3" xfId="19420" xr:uid="{00000000-0005-0000-0000-000014700000}"/>
    <cellStyle name="Input 32 2 2 2 2 3 2" xfId="44957" xr:uid="{00000000-0005-0000-0000-000015700000}"/>
    <cellStyle name="Input 32 2 2 2 2 3 3" xfId="48863" xr:uid="{00000000-0005-0000-0000-000016700000}"/>
    <cellStyle name="Input 32 2 2 2 2 3 4" xfId="36985" xr:uid="{00000000-0005-0000-0000-000017700000}"/>
    <cellStyle name="Input 32 2 2 2 2 4" xfId="20324" xr:uid="{00000000-0005-0000-0000-000018700000}"/>
    <cellStyle name="Input 32 2 2 2 2 4 2" xfId="45861" xr:uid="{00000000-0005-0000-0000-000019700000}"/>
    <cellStyle name="Input 32 2 2 2 2 4 3" xfId="49767" xr:uid="{00000000-0005-0000-0000-00001A700000}"/>
    <cellStyle name="Input 32 2 2 2 2 4 4" xfId="37788" xr:uid="{00000000-0005-0000-0000-00001B700000}"/>
    <cellStyle name="Input 32 2 2 2 2 5" xfId="20870" xr:uid="{00000000-0005-0000-0000-00001C700000}"/>
    <cellStyle name="Input 32 2 2 2 2 5 2" xfId="46407" xr:uid="{00000000-0005-0000-0000-00001D700000}"/>
    <cellStyle name="Input 32 2 2 2 2 5 3" xfId="50313" xr:uid="{00000000-0005-0000-0000-00001E700000}"/>
    <cellStyle name="Input 32 2 2 2 2 5 4" xfId="38276" xr:uid="{00000000-0005-0000-0000-00001F700000}"/>
    <cellStyle name="Input 32 2 2 2 2 6" xfId="21523" xr:uid="{00000000-0005-0000-0000-000020700000}"/>
    <cellStyle name="Input 32 2 2 2 2 6 2" xfId="47060" xr:uid="{00000000-0005-0000-0000-000021700000}"/>
    <cellStyle name="Input 32 2 2 2 2 6 3" xfId="50966" xr:uid="{00000000-0005-0000-0000-000022700000}"/>
    <cellStyle name="Input 32 2 2 2 2 7" xfId="40863" xr:uid="{00000000-0005-0000-0000-000023700000}"/>
    <cellStyle name="Input 32 2 2 2 2 8" xfId="40250" xr:uid="{00000000-0005-0000-0000-000024700000}"/>
    <cellStyle name="Input 32 2 2 2 3" xfId="10959" xr:uid="{00000000-0005-0000-0000-000025700000}"/>
    <cellStyle name="Input 32 2 2 2 3 2" xfId="18752" xr:uid="{00000000-0005-0000-0000-000026700000}"/>
    <cellStyle name="Input 32 2 2 2 3 2 2" xfId="44299" xr:uid="{00000000-0005-0000-0000-000027700000}"/>
    <cellStyle name="Input 32 2 2 2 3 2 3" xfId="48208" xr:uid="{00000000-0005-0000-0000-000028700000}"/>
    <cellStyle name="Input 32 2 2 2 3 2 4" xfId="36389" xr:uid="{00000000-0005-0000-0000-000029700000}"/>
    <cellStyle name="Input 32 2 2 2 3 3" xfId="19100" xr:uid="{00000000-0005-0000-0000-00002A700000}"/>
    <cellStyle name="Input 32 2 2 2 3 3 2" xfId="44637" xr:uid="{00000000-0005-0000-0000-00002B700000}"/>
    <cellStyle name="Input 32 2 2 2 3 3 3" xfId="48543" xr:uid="{00000000-0005-0000-0000-00002C700000}"/>
    <cellStyle name="Input 32 2 2 2 3 3 4" xfId="36695" xr:uid="{00000000-0005-0000-0000-00002D700000}"/>
    <cellStyle name="Input 32 2 2 2 3 4" xfId="20256" xr:uid="{00000000-0005-0000-0000-00002E700000}"/>
    <cellStyle name="Input 32 2 2 2 3 4 2" xfId="45793" xr:uid="{00000000-0005-0000-0000-00002F700000}"/>
    <cellStyle name="Input 32 2 2 2 3 4 3" xfId="49699" xr:uid="{00000000-0005-0000-0000-000030700000}"/>
    <cellStyle name="Input 32 2 2 2 3 4 4" xfId="37727" xr:uid="{00000000-0005-0000-0000-000031700000}"/>
    <cellStyle name="Input 32 2 2 2 3 5" xfId="21165" xr:uid="{00000000-0005-0000-0000-000032700000}"/>
    <cellStyle name="Input 32 2 2 2 3 5 2" xfId="46702" xr:uid="{00000000-0005-0000-0000-000033700000}"/>
    <cellStyle name="Input 32 2 2 2 3 5 3" xfId="50608" xr:uid="{00000000-0005-0000-0000-000034700000}"/>
    <cellStyle name="Input 32 2 2 2 3 5 4" xfId="38571" xr:uid="{00000000-0005-0000-0000-000035700000}"/>
    <cellStyle name="Input 32 2 2 2 3 6" xfId="21818" xr:uid="{00000000-0005-0000-0000-000036700000}"/>
    <cellStyle name="Input 32 2 2 2 3 6 2" xfId="47355" xr:uid="{00000000-0005-0000-0000-000037700000}"/>
    <cellStyle name="Input 32 2 2 2 3 6 3" xfId="51261" xr:uid="{00000000-0005-0000-0000-000038700000}"/>
    <cellStyle name="Input 32 2 2 2 3 7" xfId="41158" xr:uid="{00000000-0005-0000-0000-000039700000}"/>
    <cellStyle name="Input 32 2 2 2 3 8" xfId="43229" xr:uid="{00000000-0005-0000-0000-00003A700000}"/>
    <cellStyle name="Input 32 2 2 2 4" xfId="14922" xr:uid="{00000000-0005-0000-0000-00003B700000}"/>
    <cellStyle name="Input 32 2 2 2 4 2" xfId="43038" xr:uid="{00000000-0005-0000-0000-00003C700000}"/>
    <cellStyle name="Input 32 2 2 2 4 3" xfId="40039" xr:uid="{00000000-0005-0000-0000-00003D700000}"/>
    <cellStyle name="Input 32 2 2 2 4 4" xfId="32557" xr:uid="{00000000-0005-0000-0000-00003E700000}"/>
    <cellStyle name="Input 32 2 2 2 5" xfId="13158" xr:uid="{00000000-0005-0000-0000-00003F700000}"/>
    <cellStyle name="Input 32 2 2 2 5 2" xfId="42379" xr:uid="{00000000-0005-0000-0000-000040700000}"/>
    <cellStyle name="Input 32 2 2 2 5 3" xfId="39295" xr:uid="{00000000-0005-0000-0000-000041700000}"/>
    <cellStyle name="Input 32 2 2 2 5 4" xfId="30807" xr:uid="{00000000-0005-0000-0000-000042700000}"/>
    <cellStyle name="Input 32 2 2 2 6" xfId="19686" xr:uid="{00000000-0005-0000-0000-000043700000}"/>
    <cellStyle name="Input 32 2 2 2 6 2" xfId="45223" xr:uid="{00000000-0005-0000-0000-000044700000}"/>
    <cellStyle name="Input 32 2 2 2 6 3" xfId="49129" xr:uid="{00000000-0005-0000-0000-000045700000}"/>
    <cellStyle name="Input 32 2 2 2 6 4" xfId="37218" xr:uid="{00000000-0005-0000-0000-000046700000}"/>
    <cellStyle name="Input 32 2 2 2 7" xfId="13298" xr:uid="{00000000-0005-0000-0000-000047700000}"/>
    <cellStyle name="Input 32 2 2 2 7 2" xfId="42468" xr:uid="{00000000-0005-0000-0000-000048700000}"/>
    <cellStyle name="Input 32 2 2 2 7 3" xfId="43190" xr:uid="{00000000-0005-0000-0000-000049700000}"/>
    <cellStyle name="Input 32 2 2 2 7 4" xfId="30942" xr:uid="{00000000-0005-0000-0000-00004A700000}"/>
    <cellStyle name="Input 32 2 2 2 8" xfId="19178" xr:uid="{00000000-0005-0000-0000-00004B700000}"/>
    <cellStyle name="Input 32 2 2 2 8 2" xfId="44715" xr:uid="{00000000-0005-0000-0000-00004C700000}"/>
    <cellStyle name="Input 32 2 2 2 8 3" xfId="48621" xr:uid="{00000000-0005-0000-0000-00004D700000}"/>
    <cellStyle name="Input 32 2 2 2 9" xfId="39898" xr:uid="{00000000-0005-0000-0000-00004E700000}"/>
    <cellStyle name="Input 32 2 2 3" xfId="53152" xr:uid="{00000000-0005-0000-0000-00004F700000}"/>
    <cellStyle name="Input 32 2 3" xfId="7133" xr:uid="{00000000-0005-0000-0000-000050700000}"/>
    <cellStyle name="Input 32 2 3 10" xfId="39241" xr:uid="{00000000-0005-0000-0000-000051700000}"/>
    <cellStyle name="Input 32 2 3 2" xfId="10663" xr:uid="{00000000-0005-0000-0000-000052700000}"/>
    <cellStyle name="Input 32 2 3 2 2" xfId="18456" xr:uid="{00000000-0005-0000-0000-000053700000}"/>
    <cellStyle name="Input 32 2 3 2 2 2" xfId="44003" xr:uid="{00000000-0005-0000-0000-000054700000}"/>
    <cellStyle name="Input 32 2 3 2 2 3" xfId="47912" xr:uid="{00000000-0005-0000-0000-000055700000}"/>
    <cellStyle name="Input 32 2 3 2 2 4" xfId="36093" xr:uid="{00000000-0005-0000-0000-000056700000}"/>
    <cellStyle name="Input 32 2 3 2 3" xfId="20161" xr:uid="{00000000-0005-0000-0000-000057700000}"/>
    <cellStyle name="Input 32 2 3 2 3 2" xfId="45698" xr:uid="{00000000-0005-0000-0000-000058700000}"/>
    <cellStyle name="Input 32 2 3 2 3 3" xfId="49604" xr:uid="{00000000-0005-0000-0000-000059700000}"/>
    <cellStyle name="Input 32 2 3 2 3 4" xfId="37647" xr:uid="{00000000-0005-0000-0000-00005A700000}"/>
    <cellStyle name="Input 32 2 3 2 4" xfId="19086" xr:uid="{00000000-0005-0000-0000-00005B700000}"/>
    <cellStyle name="Input 32 2 3 2 4 2" xfId="44623" xr:uid="{00000000-0005-0000-0000-00005C700000}"/>
    <cellStyle name="Input 32 2 3 2 4 3" xfId="48529" xr:uid="{00000000-0005-0000-0000-00005D700000}"/>
    <cellStyle name="Input 32 2 3 2 4 4" xfId="36682" xr:uid="{00000000-0005-0000-0000-00005E700000}"/>
    <cellStyle name="Input 32 2 3 2 5" xfId="20869" xr:uid="{00000000-0005-0000-0000-00005F700000}"/>
    <cellStyle name="Input 32 2 3 2 5 2" xfId="46406" xr:uid="{00000000-0005-0000-0000-000060700000}"/>
    <cellStyle name="Input 32 2 3 2 5 3" xfId="50312" xr:uid="{00000000-0005-0000-0000-000061700000}"/>
    <cellStyle name="Input 32 2 3 2 5 4" xfId="38275" xr:uid="{00000000-0005-0000-0000-000062700000}"/>
    <cellStyle name="Input 32 2 3 2 6" xfId="21522" xr:uid="{00000000-0005-0000-0000-000063700000}"/>
    <cellStyle name="Input 32 2 3 2 6 2" xfId="47059" xr:uid="{00000000-0005-0000-0000-000064700000}"/>
    <cellStyle name="Input 32 2 3 2 6 3" xfId="50965" xr:uid="{00000000-0005-0000-0000-000065700000}"/>
    <cellStyle name="Input 32 2 3 2 7" xfId="40862" xr:uid="{00000000-0005-0000-0000-000066700000}"/>
    <cellStyle name="Input 32 2 3 2 8" xfId="43388" xr:uid="{00000000-0005-0000-0000-000067700000}"/>
    <cellStyle name="Input 32 2 3 3" xfId="10958" xr:uid="{00000000-0005-0000-0000-000068700000}"/>
    <cellStyle name="Input 32 2 3 3 2" xfId="18751" xr:uid="{00000000-0005-0000-0000-000069700000}"/>
    <cellStyle name="Input 32 2 3 3 2 2" xfId="44298" xr:uid="{00000000-0005-0000-0000-00006A700000}"/>
    <cellStyle name="Input 32 2 3 3 2 3" xfId="48207" xr:uid="{00000000-0005-0000-0000-00006B700000}"/>
    <cellStyle name="Input 32 2 3 3 2 4" xfId="36388" xr:uid="{00000000-0005-0000-0000-00006C700000}"/>
    <cellStyle name="Input 32 2 3 3 3" xfId="19877" xr:uid="{00000000-0005-0000-0000-00006D700000}"/>
    <cellStyle name="Input 32 2 3 3 3 2" xfId="45414" xr:uid="{00000000-0005-0000-0000-00006E700000}"/>
    <cellStyle name="Input 32 2 3 3 3 3" xfId="49320" xr:uid="{00000000-0005-0000-0000-00006F700000}"/>
    <cellStyle name="Input 32 2 3 3 3 4" xfId="37391" xr:uid="{00000000-0005-0000-0000-000070700000}"/>
    <cellStyle name="Input 32 2 3 3 4" xfId="20200" xr:uid="{00000000-0005-0000-0000-000071700000}"/>
    <cellStyle name="Input 32 2 3 3 4 2" xfId="45737" xr:uid="{00000000-0005-0000-0000-000072700000}"/>
    <cellStyle name="Input 32 2 3 3 4 3" xfId="49643" xr:uid="{00000000-0005-0000-0000-000073700000}"/>
    <cellStyle name="Input 32 2 3 3 4 4" xfId="37682" xr:uid="{00000000-0005-0000-0000-000074700000}"/>
    <cellStyle name="Input 32 2 3 3 5" xfId="21164" xr:uid="{00000000-0005-0000-0000-000075700000}"/>
    <cellStyle name="Input 32 2 3 3 5 2" xfId="46701" xr:uid="{00000000-0005-0000-0000-000076700000}"/>
    <cellStyle name="Input 32 2 3 3 5 3" xfId="50607" xr:uid="{00000000-0005-0000-0000-000077700000}"/>
    <cellStyle name="Input 32 2 3 3 5 4" xfId="38570" xr:uid="{00000000-0005-0000-0000-000078700000}"/>
    <cellStyle name="Input 32 2 3 3 6" xfId="21817" xr:uid="{00000000-0005-0000-0000-000079700000}"/>
    <cellStyle name="Input 32 2 3 3 6 2" xfId="47354" xr:uid="{00000000-0005-0000-0000-00007A700000}"/>
    <cellStyle name="Input 32 2 3 3 6 3" xfId="51260" xr:uid="{00000000-0005-0000-0000-00007B700000}"/>
    <cellStyle name="Input 32 2 3 3 7" xfId="41157" xr:uid="{00000000-0005-0000-0000-00007C700000}"/>
    <cellStyle name="Input 32 2 3 3 8" xfId="41426" xr:uid="{00000000-0005-0000-0000-00007D700000}"/>
    <cellStyle name="Input 32 2 3 4" xfId="14921" xr:uid="{00000000-0005-0000-0000-00007E700000}"/>
    <cellStyle name="Input 32 2 3 4 2" xfId="43037" xr:uid="{00000000-0005-0000-0000-00007F700000}"/>
    <cellStyle name="Input 32 2 3 4 3" xfId="43180" xr:uid="{00000000-0005-0000-0000-000080700000}"/>
    <cellStyle name="Input 32 2 3 4 4" xfId="32556" xr:uid="{00000000-0005-0000-0000-000081700000}"/>
    <cellStyle name="Input 32 2 3 5" xfId="13157" xr:uid="{00000000-0005-0000-0000-000082700000}"/>
    <cellStyle name="Input 32 2 3 5 2" xfId="42378" xr:uid="{00000000-0005-0000-0000-000083700000}"/>
    <cellStyle name="Input 32 2 3 5 3" xfId="39296" xr:uid="{00000000-0005-0000-0000-000084700000}"/>
    <cellStyle name="Input 32 2 3 5 4" xfId="30806" xr:uid="{00000000-0005-0000-0000-000085700000}"/>
    <cellStyle name="Input 32 2 3 6" xfId="11603" xr:uid="{00000000-0005-0000-0000-000086700000}"/>
    <cellStyle name="Input 32 2 3 6 2" xfId="41614" xr:uid="{00000000-0005-0000-0000-000087700000}"/>
    <cellStyle name="Input 32 2 3 6 3" xfId="43492" xr:uid="{00000000-0005-0000-0000-000088700000}"/>
    <cellStyle name="Input 32 2 3 6 4" xfId="29308" xr:uid="{00000000-0005-0000-0000-000089700000}"/>
    <cellStyle name="Input 32 2 3 7" xfId="20521" xr:uid="{00000000-0005-0000-0000-00008A700000}"/>
    <cellStyle name="Input 32 2 3 7 2" xfId="46058" xr:uid="{00000000-0005-0000-0000-00008B700000}"/>
    <cellStyle name="Input 32 2 3 7 3" xfId="49964" xr:uid="{00000000-0005-0000-0000-00008C700000}"/>
    <cellStyle name="Input 32 2 3 7 4" xfId="37954" xr:uid="{00000000-0005-0000-0000-00008D700000}"/>
    <cellStyle name="Input 32 2 3 8" xfId="20261" xr:uid="{00000000-0005-0000-0000-00008E700000}"/>
    <cellStyle name="Input 32 2 3 8 2" xfId="45798" xr:uid="{00000000-0005-0000-0000-00008F700000}"/>
    <cellStyle name="Input 32 2 3 8 3" xfId="49704" xr:uid="{00000000-0005-0000-0000-000090700000}"/>
    <cellStyle name="Input 32 2 3 9" xfId="39897" xr:uid="{00000000-0005-0000-0000-000091700000}"/>
    <cellStyle name="Input 32 2 4" xfId="53151" xr:uid="{00000000-0005-0000-0000-000092700000}"/>
    <cellStyle name="Input 32 2_Sheet1" xfId="1968" xr:uid="{00000000-0005-0000-0000-000093700000}"/>
    <cellStyle name="Input 32 3" xfId="1969" xr:uid="{00000000-0005-0000-0000-000094700000}"/>
    <cellStyle name="Input 32 3 2" xfId="7135" xr:uid="{00000000-0005-0000-0000-000095700000}"/>
    <cellStyle name="Input 32 3 2 10" xfId="41722" xr:uid="{00000000-0005-0000-0000-000096700000}"/>
    <cellStyle name="Input 32 3 2 2" xfId="10665" xr:uid="{00000000-0005-0000-0000-000097700000}"/>
    <cellStyle name="Input 32 3 2 2 2" xfId="18458" xr:uid="{00000000-0005-0000-0000-000098700000}"/>
    <cellStyle name="Input 32 3 2 2 2 2" xfId="44005" xr:uid="{00000000-0005-0000-0000-000099700000}"/>
    <cellStyle name="Input 32 3 2 2 2 3" xfId="47914" xr:uid="{00000000-0005-0000-0000-00009A700000}"/>
    <cellStyle name="Input 32 3 2 2 2 4" xfId="36095" xr:uid="{00000000-0005-0000-0000-00009B700000}"/>
    <cellStyle name="Input 32 3 2 2 3" xfId="20027" xr:uid="{00000000-0005-0000-0000-00009C700000}"/>
    <cellStyle name="Input 32 3 2 2 3 2" xfId="45564" xr:uid="{00000000-0005-0000-0000-00009D700000}"/>
    <cellStyle name="Input 32 3 2 2 3 3" xfId="49470" xr:uid="{00000000-0005-0000-0000-00009E700000}"/>
    <cellStyle name="Input 32 3 2 2 3 4" xfId="37525" xr:uid="{00000000-0005-0000-0000-00009F700000}"/>
    <cellStyle name="Input 32 3 2 2 4" xfId="18946" xr:uid="{00000000-0005-0000-0000-0000A0700000}"/>
    <cellStyle name="Input 32 3 2 2 4 2" xfId="44483" xr:uid="{00000000-0005-0000-0000-0000A1700000}"/>
    <cellStyle name="Input 32 3 2 2 4 3" xfId="48389" xr:uid="{00000000-0005-0000-0000-0000A2700000}"/>
    <cellStyle name="Input 32 3 2 2 4 4" xfId="36573" xr:uid="{00000000-0005-0000-0000-0000A3700000}"/>
    <cellStyle name="Input 32 3 2 2 5" xfId="20871" xr:uid="{00000000-0005-0000-0000-0000A4700000}"/>
    <cellStyle name="Input 32 3 2 2 5 2" xfId="46408" xr:uid="{00000000-0005-0000-0000-0000A5700000}"/>
    <cellStyle name="Input 32 3 2 2 5 3" xfId="50314" xr:uid="{00000000-0005-0000-0000-0000A6700000}"/>
    <cellStyle name="Input 32 3 2 2 5 4" xfId="38277" xr:uid="{00000000-0005-0000-0000-0000A7700000}"/>
    <cellStyle name="Input 32 3 2 2 6" xfId="21524" xr:uid="{00000000-0005-0000-0000-0000A8700000}"/>
    <cellStyle name="Input 32 3 2 2 6 2" xfId="47061" xr:uid="{00000000-0005-0000-0000-0000A9700000}"/>
    <cellStyle name="Input 32 3 2 2 6 3" xfId="50967" xr:uid="{00000000-0005-0000-0000-0000AA700000}"/>
    <cellStyle name="Input 32 3 2 2 7" xfId="40864" xr:uid="{00000000-0005-0000-0000-0000AB700000}"/>
    <cellStyle name="Input 32 3 2 2 8" xfId="39390" xr:uid="{00000000-0005-0000-0000-0000AC700000}"/>
    <cellStyle name="Input 32 3 2 3" xfId="10960" xr:uid="{00000000-0005-0000-0000-0000AD700000}"/>
    <cellStyle name="Input 32 3 2 3 2" xfId="18753" xr:uid="{00000000-0005-0000-0000-0000AE700000}"/>
    <cellStyle name="Input 32 3 2 3 2 2" xfId="44300" xr:uid="{00000000-0005-0000-0000-0000AF700000}"/>
    <cellStyle name="Input 32 3 2 3 2 3" xfId="48209" xr:uid="{00000000-0005-0000-0000-0000B0700000}"/>
    <cellStyle name="Input 32 3 2 3 2 4" xfId="36390" xr:uid="{00000000-0005-0000-0000-0000B1700000}"/>
    <cellStyle name="Input 32 3 2 3 3" xfId="19709" xr:uid="{00000000-0005-0000-0000-0000B2700000}"/>
    <cellStyle name="Input 32 3 2 3 3 2" xfId="45246" xr:uid="{00000000-0005-0000-0000-0000B3700000}"/>
    <cellStyle name="Input 32 3 2 3 3 3" xfId="49152" xr:uid="{00000000-0005-0000-0000-0000B4700000}"/>
    <cellStyle name="Input 32 3 2 3 3 4" xfId="37236" xr:uid="{00000000-0005-0000-0000-0000B5700000}"/>
    <cellStyle name="Input 32 3 2 3 4" xfId="20345" xr:uid="{00000000-0005-0000-0000-0000B6700000}"/>
    <cellStyle name="Input 32 3 2 3 4 2" xfId="45882" xr:uid="{00000000-0005-0000-0000-0000B7700000}"/>
    <cellStyle name="Input 32 3 2 3 4 3" xfId="49788" xr:uid="{00000000-0005-0000-0000-0000B8700000}"/>
    <cellStyle name="Input 32 3 2 3 4 4" xfId="37805" xr:uid="{00000000-0005-0000-0000-0000B9700000}"/>
    <cellStyle name="Input 32 3 2 3 5" xfId="21166" xr:uid="{00000000-0005-0000-0000-0000BA700000}"/>
    <cellStyle name="Input 32 3 2 3 5 2" xfId="46703" xr:uid="{00000000-0005-0000-0000-0000BB700000}"/>
    <cellStyle name="Input 32 3 2 3 5 3" xfId="50609" xr:uid="{00000000-0005-0000-0000-0000BC700000}"/>
    <cellStyle name="Input 32 3 2 3 5 4" xfId="38572" xr:uid="{00000000-0005-0000-0000-0000BD700000}"/>
    <cellStyle name="Input 32 3 2 3 6" xfId="21819" xr:uid="{00000000-0005-0000-0000-0000BE700000}"/>
    <cellStyle name="Input 32 3 2 3 6 2" xfId="47356" xr:uid="{00000000-0005-0000-0000-0000BF700000}"/>
    <cellStyle name="Input 32 3 2 3 6 3" xfId="51262" xr:uid="{00000000-0005-0000-0000-0000C0700000}"/>
    <cellStyle name="Input 32 3 2 3 7" xfId="41159" xr:uid="{00000000-0005-0000-0000-0000C1700000}"/>
    <cellStyle name="Input 32 3 2 3 8" xfId="40088" xr:uid="{00000000-0005-0000-0000-0000C2700000}"/>
    <cellStyle name="Input 32 3 2 4" xfId="14923" xr:uid="{00000000-0005-0000-0000-0000C3700000}"/>
    <cellStyle name="Input 32 3 2 4 2" xfId="43039" xr:uid="{00000000-0005-0000-0000-0000C4700000}"/>
    <cellStyle name="Input 32 3 2 4 3" xfId="42780" xr:uid="{00000000-0005-0000-0000-0000C5700000}"/>
    <cellStyle name="Input 32 3 2 4 4" xfId="32558" xr:uid="{00000000-0005-0000-0000-0000C6700000}"/>
    <cellStyle name="Input 32 3 2 5" xfId="11318" xr:uid="{00000000-0005-0000-0000-0000C7700000}"/>
    <cellStyle name="Input 32 3 2 5 2" xfId="41363" xr:uid="{00000000-0005-0000-0000-0000C8700000}"/>
    <cellStyle name="Input 32 3 2 5 3" xfId="40080" xr:uid="{00000000-0005-0000-0000-0000C9700000}"/>
    <cellStyle name="Input 32 3 2 5 4" xfId="29046" xr:uid="{00000000-0005-0000-0000-0000CA700000}"/>
    <cellStyle name="Input 32 3 2 6" xfId="12791" xr:uid="{00000000-0005-0000-0000-0000CB700000}"/>
    <cellStyle name="Input 32 3 2 6 2" xfId="42213" xr:uid="{00000000-0005-0000-0000-0000CC700000}"/>
    <cellStyle name="Input 32 3 2 6 3" xfId="43326" xr:uid="{00000000-0005-0000-0000-0000CD700000}"/>
    <cellStyle name="Input 32 3 2 6 4" xfId="30449" xr:uid="{00000000-0005-0000-0000-0000CE700000}"/>
    <cellStyle name="Input 32 3 2 7" xfId="11461" xr:uid="{00000000-0005-0000-0000-0000CF700000}"/>
    <cellStyle name="Input 32 3 2 7 2" xfId="41472" xr:uid="{00000000-0005-0000-0000-0000D0700000}"/>
    <cellStyle name="Input 32 3 2 7 3" xfId="39578" xr:uid="{00000000-0005-0000-0000-0000D1700000}"/>
    <cellStyle name="Input 32 3 2 7 4" xfId="29180" xr:uid="{00000000-0005-0000-0000-0000D2700000}"/>
    <cellStyle name="Input 32 3 2 8" xfId="11464" xr:uid="{00000000-0005-0000-0000-0000D3700000}"/>
    <cellStyle name="Input 32 3 2 8 2" xfId="41475" xr:uid="{00000000-0005-0000-0000-0000D4700000}"/>
    <cellStyle name="Input 32 3 2 8 3" xfId="40360" xr:uid="{00000000-0005-0000-0000-0000D5700000}"/>
    <cellStyle name="Input 32 3 2 9" xfId="39899" xr:uid="{00000000-0005-0000-0000-0000D6700000}"/>
    <cellStyle name="Input 32 3 3" xfId="53153" xr:uid="{00000000-0005-0000-0000-0000D7700000}"/>
    <cellStyle name="Input 32 4" xfId="7132" xr:uid="{00000000-0005-0000-0000-0000D8700000}"/>
    <cellStyle name="Input 32 4 10" xfId="39412" xr:uid="{00000000-0005-0000-0000-0000D9700000}"/>
    <cellStyle name="Input 32 4 11" xfId="53154" xr:uid="{00000000-0005-0000-0000-0000DA700000}"/>
    <cellStyle name="Input 32 4 2" xfId="10662" xr:uid="{00000000-0005-0000-0000-0000DB700000}"/>
    <cellStyle name="Input 32 4 2 2" xfId="18455" xr:uid="{00000000-0005-0000-0000-0000DC700000}"/>
    <cellStyle name="Input 32 4 2 2 2" xfId="44002" xr:uid="{00000000-0005-0000-0000-0000DD700000}"/>
    <cellStyle name="Input 32 4 2 2 3" xfId="47911" xr:uid="{00000000-0005-0000-0000-0000DE700000}"/>
    <cellStyle name="Input 32 4 2 2 4" xfId="36092" xr:uid="{00000000-0005-0000-0000-0000DF700000}"/>
    <cellStyle name="Input 32 4 2 3" xfId="19607" xr:uid="{00000000-0005-0000-0000-0000E0700000}"/>
    <cellStyle name="Input 32 4 2 3 2" xfId="45144" xr:uid="{00000000-0005-0000-0000-0000E1700000}"/>
    <cellStyle name="Input 32 4 2 3 3" xfId="49050" xr:uid="{00000000-0005-0000-0000-0000E2700000}"/>
    <cellStyle name="Input 32 4 2 3 4" xfId="37147" xr:uid="{00000000-0005-0000-0000-0000E3700000}"/>
    <cellStyle name="Input 32 4 2 4" xfId="18939" xr:uid="{00000000-0005-0000-0000-0000E4700000}"/>
    <cellStyle name="Input 32 4 2 4 2" xfId="44476" xr:uid="{00000000-0005-0000-0000-0000E5700000}"/>
    <cellStyle name="Input 32 4 2 4 3" xfId="48382" xr:uid="{00000000-0005-0000-0000-0000E6700000}"/>
    <cellStyle name="Input 32 4 2 4 4" xfId="36566" xr:uid="{00000000-0005-0000-0000-0000E7700000}"/>
    <cellStyle name="Input 32 4 2 5" xfId="20868" xr:uid="{00000000-0005-0000-0000-0000E8700000}"/>
    <cellStyle name="Input 32 4 2 5 2" xfId="46405" xr:uid="{00000000-0005-0000-0000-0000E9700000}"/>
    <cellStyle name="Input 32 4 2 5 3" xfId="50311" xr:uid="{00000000-0005-0000-0000-0000EA700000}"/>
    <cellStyle name="Input 32 4 2 5 4" xfId="38274" xr:uid="{00000000-0005-0000-0000-0000EB700000}"/>
    <cellStyle name="Input 32 4 2 6" xfId="21521" xr:uid="{00000000-0005-0000-0000-0000EC700000}"/>
    <cellStyle name="Input 32 4 2 6 2" xfId="47058" xr:uid="{00000000-0005-0000-0000-0000ED700000}"/>
    <cellStyle name="Input 32 4 2 6 3" xfId="50964" xr:uid="{00000000-0005-0000-0000-0000EE700000}"/>
    <cellStyle name="Input 32 4 2 7" xfId="40861" xr:uid="{00000000-0005-0000-0000-0000EF700000}"/>
    <cellStyle name="Input 32 4 2 8" xfId="42069" xr:uid="{00000000-0005-0000-0000-0000F0700000}"/>
    <cellStyle name="Input 32 4 3" xfId="10957" xr:uid="{00000000-0005-0000-0000-0000F1700000}"/>
    <cellStyle name="Input 32 4 3 2" xfId="18750" xr:uid="{00000000-0005-0000-0000-0000F2700000}"/>
    <cellStyle name="Input 32 4 3 2 2" xfId="44297" xr:uid="{00000000-0005-0000-0000-0000F3700000}"/>
    <cellStyle name="Input 32 4 3 2 3" xfId="48206" xr:uid="{00000000-0005-0000-0000-0000F4700000}"/>
    <cellStyle name="Input 32 4 3 2 4" xfId="36387" xr:uid="{00000000-0005-0000-0000-0000F5700000}"/>
    <cellStyle name="Input 32 4 3 3" xfId="19268" xr:uid="{00000000-0005-0000-0000-0000F6700000}"/>
    <cellStyle name="Input 32 4 3 3 2" xfId="44805" xr:uid="{00000000-0005-0000-0000-0000F7700000}"/>
    <cellStyle name="Input 32 4 3 3 3" xfId="48711" xr:uid="{00000000-0005-0000-0000-0000F8700000}"/>
    <cellStyle name="Input 32 4 3 3 4" xfId="36846" xr:uid="{00000000-0005-0000-0000-0000F9700000}"/>
    <cellStyle name="Input 32 4 3 4" xfId="12060" xr:uid="{00000000-0005-0000-0000-0000FA700000}"/>
    <cellStyle name="Input 32 4 3 4 2" xfId="41814" xr:uid="{00000000-0005-0000-0000-0000FB700000}"/>
    <cellStyle name="Input 32 4 3 4 3" xfId="39259" xr:uid="{00000000-0005-0000-0000-0000FC700000}"/>
    <cellStyle name="Input 32 4 3 4 4" xfId="29739" xr:uid="{00000000-0005-0000-0000-0000FD700000}"/>
    <cellStyle name="Input 32 4 3 5" xfId="21163" xr:uid="{00000000-0005-0000-0000-0000FE700000}"/>
    <cellStyle name="Input 32 4 3 5 2" xfId="46700" xr:uid="{00000000-0005-0000-0000-0000FF700000}"/>
    <cellStyle name="Input 32 4 3 5 3" xfId="50606" xr:uid="{00000000-0005-0000-0000-000000710000}"/>
    <cellStyle name="Input 32 4 3 5 4" xfId="38569" xr:uid="{00000000-0005-0000-0000-000001710000}"/>
    <cellStyle name="Input 32 4 3 6" xfId="21816" xr:uid="{00000000-0005-0000-0000-000002710000}"/>
    <cellStyle name="Input 32 4 3 6 2" xfId="47353" xr:uid="{00000000-0005-0000-0000-000003710000}"/>
    <cellStyle name="Input 32 4 3 6 3" xfId="51259" xr:uid="{00000000-0005-0000-0000-000004710000}"/>
    <cellStyle name="Input 32 4 3 7" xfId="41156" xr:uid="{00000000-0005-0000-0000-000005710000}"/>
    <cellStyle name="Input 32 4 3 8" xfId="39374" xr:uid="{00000000-0005-0000-0000-000006710000}"/>
    <cellStyle name="Input 32 4 4" xfId="14920" xr:uid="{00000000-0005-0000-0000-000007710000}"/>
    <cellStyle name="Input 32 4 4 2" xfId="43036" xr:uid="{00000000-0005-0000-0000-000008710000}"/>
    <cellStyle name="Input 32 4 4 3" xfId="41287" xr:uid="{00000000-0005-0000-0000-000009710000}"/>
    <cellStyle name="Input 32 4 4 4" xfId="32555" xr:uid="{00000000-0005-0000-0000-00000A710000}"/>
    <cellStyle name="Input 32 4 5" xfId="13156" xr:uid="{00000000-0005-0000-0000-00000B710000}"/>
    <cellStyle name="Input 32 4 5 2" xfId="42377" xr:uid="{00000000-0005-0000-0000-00000C710000}"/>
    <cellStyle name="Input 32 4 5 3" xfId="39097" xr:uid="{00000000-0005-0000-0000-00000D710000}"/>
    <cellStyle name="Input 32 4 5 4" xfId="30805" xr:uid="{00000000-0005-0000-0000-00000E710000}"/>
    <cellStyle name="Input 32 4 6" xfId="18978" xr:uid="{00000000-0005-0000-0000-00000F710000}"/>
    <cellStyle name="Input 32 4 6 2" xfId="44515" xr:uid="{00000000-0005-0000-0000-000010710000}"/>
    <cellStyle name="Input 32 4 6 3" xfId="48421" xr:uid="{00000000-0005-0000-0000-000011710000}"/>
    <cellStyle name="Input 32 4 6 4" xfId="36602" xr:uid="{00000000-0005-0000-0000-000012710000}"/>
    <cellStyle name="Input 32 4 7" xfId="19171" xr:uid="{00000000-0005-0000-0000-000013710000}"/>
    <cellStyle name="Input 32 4 7 2" xfId="44708" xr:uid="{00000000-0005-0000-0000-000014710000}"/>
    <cellStyle name="Input 32 4 7 3" xfId="48614" xr:uid="{00000000-0005-0000-0000-000015710000}"/>
    <cellStyle name="Input 32 4 7 4" xfId="36762" xr:uid="{00000000-0005-0000-0000-000016710000}"/>
    <cellStyle name="Input 32 4 8" xfId="19012" xr:uid="{00000000-0005-0000-0000-000017710000}"/>
    <cellStyle name="Input 32 4 8 2" xfId="44549" xr:uid="{00000000-0005-0000-0000-000018710000}"/>
    <cellStyle name="Input 32 4 8 3" xfId="48455" xr:uid="{00000000-0005-0000-0000-000019710000}"/>
    <cellStyle name="Input 32 4 9" xfId="39896" xr:uid="{00000000-0005-0000-0000-00001A710000}"/>
    <cellStyle name="Input 32 5" xfId="22475" xr:uid="{00000000-0005-0000-0000-00001B710000}"/>
    <cellStyle name="Input 32 5 2" xfId="23039" xr:uid="{00000000-0005-0000-0000-00001C710000}"/>
    <cellStyle name="Input 32 5 2 2" xfId="47640" xr:uid="{00000000-0005-0000-0000-00001D710000}"/>
    <cellStyle name="Input 32 5 2 3" xfId="51451" xr:uid="{00000000-0005-0000-0000-00001E710000}"/>
    <cellStyle name="Input 32 5 3" xfId="47533" xr:uid="{00000000-0005-0000-0000-00001F710000}"/>
    <cellStyle name="Input 32 5 4" xfId="51387" xr:uid="{00000000-0005-0000-0000-000020710000}"/>
    <cellStyle name="Input 32 5 5" xfId="53155" xr:uid="{00000000-0005-0000-0000-000021710000}"/>
    <cellStyle name="Input 32 6" xfId="22912" xr:uid="{00000000-0005-0000-0000-000022710000}"/>
    <cellStyle name="Input 32 6 2" xfId="23060" xr:uid="{00000000-0005-0000-0000-000023710000}"/>
    <cellStyle name="Input 32 6 2 2" xfId="47660" xr:uid="{00000000-0005-0000-0000-000024710000}"/>
    <cellStyle name="Input 32 6 2 3" xfId="51471" xr:uid="{00000000-0005-0000-0000-000025710000}"/>
    <cellStyle name="Input 32 6 3" xfId="47616" xr:uid="{00000000-0005-0000-0000-000026710000}"/>
    <cellStyle name="Input 32 6 4" xfId="51431" xr:uid="{00000000-0005-0000-0000-000027710000}"/>
    <cellStyle name="Input 32 6 5" xfId="53156" xr:uid="{00000000-0005-0000-0000-000028710000}"/>
    <cellStyle name="Input 32 7" xfId="53150" xr:uid="{00000000-0005-0000-0000-000029710000}"/>
    <cellStyle name="Input 32_Sheet1" xfId="1970" xr:uid="{00000000-0005-0000-0000-00002A710000}"/>
    <cellStyle name="Input 33" xfId="1971" xr:uid="{00000000-0005-0000-0000-00002B710000}"/>
    <cellStyle name="Input 33 2" xfId="1972" xr:uid="{00000000-0005-0000-0000-00002C710000}"/>
    <cellStyle name="Input 33 2 2" xfId="1973" xr:uid="{00000000-0005-0000-0000-00002D710000}"/>
    <cellStyle name="Input 33 2 2 2" xfId="7138" xr:uid="{00000000-0005-0000-0000-00002E710000}"/>
    <cellStyle name="Input 33 2 2 2 10" xfId="43102" xr:uid="{00000000-0005-0000-0000-00002F710000}"/>
    <cellStyle name="Input 33 2 2 2 2" xfId="10668" xr:uid="{00000000-0005-0000-0000-000030710000}"/>
    <cellStyle name="Input 33 2 2 2 2 2" xfId="18461" xr:uid="{00000000-0005-0000-0000-000031710000}"/>
    <cellStyle name="Input 33 2 2 2 2 2 2" xfId="44008" xr:uid="{00000000-0005-0000-0000-000032710000}"/>
    <cellStyle name="Input 33 2 2 2 2 2 3" xfId="47917" xr:uid="{00000000-0005-0000-0000-000033710000}"/>
    <cellStyle name="Input 33 2 2 2 2 2 4" xfId="36098" xr:uid="{00000000-0005-0000-0000-000034710000}"/>
    <cellStyle name="Input 33 2 2 2 2 3" xfId="19125" xr:uid="{00000000-0005-0000-0000-000035710000}"/>
    <cellStyle name="Input 33 2 2 2 2 3 2" xfId="44662" xr:uid="{00000000-0005-0000-0000-000036710000}"/>
    <cellStyle name="Input 33 2 2 2 2 3 3" xfId="48568" xr:uid="{00000000-0005-0000-0000-000037710000}"/>
    <cellStyle name="Input 33 2 2 2 2 3 4" xfId="36720" xr:uid="{00000000-0005-0000-0000-000038710000}"/>
    <cellStyle name="Input 33 2 2 2 2 4" xfId="11668" xr:uid="{00000000-0005-0000-0000-000039710000}"/>
    <cellStyle name="Input 33 2 2 2 2 4 2" xfId="41679" xr:uid="{00000000-0005-0000-0000-00003A710000}"/>
    <cellStyle name="Input 33 2 2 2 2 4 3" xfId="42814" xr:uid="{00000000-0005-0000-0000-00003B710000}"/>
    <cellStyle name="Input 33 2 2 2 2 4 4" xfId="29364" xr:uid="{00000000-0005-0000-0000-00003C710000}"/>
    <cellStyle name="Input 33 2 2 2 2 5" xfId="20874" xr:uid="{00000000-0005-0000-0000-00003D710000}"/>
    <cellStyle name="Input 33 2 2 2 2 5 2" xfId="46411" xr:uid="{00000000-0005-0000-0000-00003E710000}"/>
    <cellStyle name="Input 33 2 2 2 2 5 3" xfId="50317" xr:uid="{00000000-0005-0000-0000-00003F710000}"/>
    <cellStyle name="Input 33 2 2 2 2 5 4" xfId="38280" xr:uid="{00000000-0005-0000-0000-000040710000}"/>
    <cellStyle name="Input 33 2 2 2 2 6" xfId="21527" xr:uid="{00000000-0005-0000-0000-000041710000}"/>
    <cellStyle name="Input 33 2 2 2 2 6 2" xfId="47064" xr:uid="{00000000-0005-0000-0000-000042710000}"/>
    <cellStyle name="Input 33 2 2 2 2 6 3" xfId="50970" xr:uid="{00000000-0005-0000-0000-000043710000}"/>
    <cellStyle name="Input 33 2 2 2 2 7" xfId="40867" xr:uid="{00000000-0005-0000-0000-000044710000}"/>
    <cellStyle name="Input 33 2 2 2 2 8" xfId="40251" xr:uid="{00000000-0005-0000-0000-000045710000}"/>
    <cellStyle name="Input 33 2 2 2 3" xfId="10963" xr:uid="{00000000-0005-0000-0000-000046710000}"/>
    <cellStyle name="Input 33 2 2 2 3 2" xfId="18756" xr:uid="{00000000-0005-0000-0000-000047710000}"/>
    <cellStyle name="Input 33 2 2 2 3 2 2" xfId="44303" xr:uid="{00000000-0005-0000-0000-000048710000}"/>
    <cellStyle name="Input 33 2 2 2 3 2 3" xfId="48212" xr:uid="{00000000-0005-0000-0000-000049710000}"/>
    <cellStyle name="Input 33 2 2 2 3 2 4" xfId="36393" xr:uid="{00000000-0005-0000-0000-00004A710000}"/>
    <cellStyle name="Input 33 2 2 2 3 3" xfId="20138" xr:uid="{00000000-0005-0000-0000-00004B710000}"/>
    <cellStyle name="Input 33 2 2 2 3 3 2" xfId="45675" xr:uid="{00000000-0005-0000-0000-00004C710000}"/>
    <cellStyle name="Input 33 2 2 2 3 3 3" xfId="49581" xr:uid="{00000000-0005-0000-0000-00004D710000}"/>
    <cellStyle name="Input 33 2 2 2 3 3 4" xfId="37624" xr:uid="{00000000-0005-0000-0000-00004E710000}"/>
    <cellStyle name="Input 33 2 2 2 3 4" xfId="19805" xr:uid="{00000000-0005-0000-0000-00004F710000}"/>
    <cellStyle name="Input 33 2 2 2 3 4 2" xfId="45342" xr:uid="{00000000-0005-0000-0000-000050710000}"/>
    <cellStyle name="Input 33 2 2 2 3 4 3" xfId="49248" xr:uid="{00000000-0005-0000-0000-000051710000}"/>
    <cellStyle name="Input 33 2 2 2 3 4 4" xfId="37327" xr:uid="{00000000-0005-0000-0000-000052710000}"/>
    <cellStyle name="Input 33 2 2 2 3 5" xfId="21169" xr:uid="{00000000-0005-0000-0000-000053710000}"/>
    <cellStyle name="Input 33 2 2 2 3 5 2" xfId="46706" xr:uid="{00000000-0005-0000-0000-000054710000}"/>
    <cellStyle name="Input 33 2 2 2 3 5 3" xfId="50612" xr:uid="{00000000-0005-0000-0000-000055710000}"/>
    <cellStyle name="Input 33 2 2 2 3 5 4" xfId="38575" xr:uid="{00000000-0005-0000-0000-000056710000}"/>
    <cellStyle name="Input 33 2 2 2 3 6" xfId="21822" xr:uid="{00000000-0005-0000-0000-000057710000}"/>
    <cellStyle name="Input 33 2 2 2 3 6 2" xfId="47359" xr:uid="{00000000-0005-0000-0000-000058710000}"/>
    <cellStyle name="Input 33 2 2 2 3 6 3" xfId="51265" xr:uid="{00000000-0005-0000-0000-000059710000}"/>
    <cellStyle name="Input 33 2 2 2 3 7" xfId="41162" xr:uid="{00000000-0005-0000-0000-00005A710000}"/>
    <cellStyle name="Input 33 2 2 2 3 8" xfId="40583" xr:uid="{00000000-0005-0000-0000-00005B710000}"/>
    <cellStyle name="Input 33 2 2 2 4" xfId="14926" xr:uid="{00000000-0005-0000-0000-00005C710000}"/>
    <cellStyle name="Input 33 2 2 2 4 2" xfId="43042" xr:uid="{00000000-0005-0000-0000-00005D710000}"/>
    <cellStyle name="Input 33 2 2 2 4 3" xfId="39634" xr:uid="{00000000-0005-0000-0000-00005E710000}"/>
    <cellStyle name="Input 33 2 2 2 4 4" xfId="32561" xr:uid="{00000000-0005-0000-0000-00005F710000}"/>
    <cellStyle name="Input 33 2 2 2 5" xfId="13161" xr:uid="{00000000-0005-0000-0000-000060710000}"/>
    <cellStyle name="Input 33 2 2 2 5 2" xfId="42382" xr:uid="{00000000-0005-0000-0000-000061710000}"/>
    <cellStyle name="Input 33 2 2 2 5 3" xfId="39095" xr:uid="{00000000-0005-0000-0000-000062710000}"/>
    <cellStyle name="Input 33 2 2 2 5 4" xfId="30810" xr:uid="{00000000-0005-0000-0000-000063710000}"/>
    <cellStyle name="Input 33 2 2 2 6" xfId="20334" xr:uid="{00000000-0005-0000-0000-000064710000}"/>
    <cellStyle name="Input 33 2 2 2 6 2" xfId="45871" xr:uid="{00000000-0005-0000-0000-000065710000}"/>
    <cellStyle name="Input 33 2 2 2 6 3" xfId="49777" xr:uid="{00000000-0005-0000-0000-000066710000}"/>
    <cellStyle name="Input 33 2 2 2 6 4" xfId="37798" xr:uid="{00000000-0005-0000-0000-000067710000}"/>
    <cellStyle name="Input 33 2 2 2 7" xfId="12499" xr:uid="{00000000-0005-0000-0000-000068710000}"/>
    <cellStyle name="Input 33 2 2 2 7 2" xfId="42012" xr:uid="{00000000-0005-0000-0000-000069710000}"/>
    <cellStyle name="Input 33 2 2 2 7 3" xfId="42701" xr:uid="{00000000-0005-0000-0000-00006A710000}"/>
    <cellStyle name="Input 33 2 2 2 7 4" xfId="30169" xr:uid="{00000000-0005-0000-0000-00006B710000}"/>
    <cellStyle name="Input 33 2 2 2 8" xfId="12704" xr:uid="{00000000-0005-0000-0000-00006C710000}"/>
    <cellStyle name="Input 33 2 2 2 8 2" xfId="42179" xr:uid="{00000000-0005-0000-0000-00006D710000}"/>
    <cellStyle name="Input 33 2 2 2 8 3" xfId="43690" xr:uid="{00000000-0005-0000-0000-00006E710000}"/>
    <cellStyle name="Input 33 2 2 2 9" xfId="39902" xr:uid="{00000000-0005-0000-0000-00006F710000}"/>
    <cellStyle name="Input 33 2 2 3" xfId="53159" xr:uid="{00000000-0005-0000-0000-000070710000}"/>
    <cellStyle name="Input 33 2 3" xfId="7137" xr:uid="{00000000-0005-0000-0000-000071710000}"/>
    <cellStyle name="Input 33 2 3 10" xfId="40133" xr:uid="{00000000-0005-0000-0000-000072710000}"/>
    <cellStyle name="Input 33 2 3 2" xfId="10667" xr:uid="{00000000-0005-0000-0000-000073710000}"/>
    <cellStyle name="Input 33 2 3 2 2" xfId="18460" xr:uid="{00000000-0005-0000-0000-000074710000}"/>
    <cellStyle name="Input 33 2 3 2 2 2" xfId="44007" xr:uid="{00000000-0005-0000-0000-000075710000}"/>
    <cellStyle name="Input 33 2 3 2 2 3" xfId="47916" xr:uid="{00000000-0005-0000-0000-000076710000}"/>
    <cellStyle name="Input 33 2 3 2 2 4" xfId="36097" xr:uid="{00000000-0005-0000-0000-000077710000}"/>
    <cellStyle name="Input 33 2 3 2 3" xfId="19902" xr:uid="{00000000-0005-0000-0000-000078710000}"/>
    <cellStyle name="Input 33 2 3 2 3 2" xfId="45439" xr:uid="{00000000-0005-0000-0000-000079710000}"/>
    <cellStyle name="Input 33 2 3 2 3 3" xfId="49345" xr:uid="{00000000-0005-0000-0000-00007A710000}"/>
    <cellStyle name="Input 33 2 3 2 3 4" xfId="37416" xr:uid="{00000000-0005-0000-0000-00007B710000}"/>
    <cellStyle name="Input 33 2 3 2 4" xfId="12091" xr:uid="{00000000-0005-0000-0000-00007C710000}"/>
    <cellStyle name="Input 33 2 3 2 4 2" xfId="41836" xr:uid="{00000000-0005-0000-0000-00007D710000}"/>
    <cellStyle name="Input 33 2 3 2 4 3" xfId="39140" xr:uid="{00000000-0005-0000-0000-00007E710000}"/>
    <cellStyle name="Input 33 2 3 2 4 4" xfId="29766" xr:uid="{00000000-0005-0000-0000-00007F710000}"/>
    <cellStyle name="Input 33 2 3 2 5" xfId="20873" xr:uid="{00000000-0005-0000-0000-000080710000}"/>
    <cellStyle name="Input 33 2 3 2 5 2" xfId="46410" xr:uid="{00000000-0005-0000-0000-000081710000}"/>
    <cellStyle name="Input 33 2 3 2 5 3" xfId="50316" xr:uid="{00000000-0005-0000-0000-000082710000}"/>
    <cellStyle name="Input 33 2 3 2 5 4" xfId="38279" xr:uid="{00000000-0005-0000-0000-000083710000}"/>
    <cellStyle name="Input 33 2 3 2 6" xfId="21526" xr:uid="{00000000-0005-0000-0000-000084710000}"/>
    <cellStyle name="Input 33 2 3 2 6 2" xfId="47063" xr:uid="{00000000-0005-0000-0000-000085710000}"/>
    <cellStyle name="Input 33 2 3 2 6 3" xfId="50969" xr:uid="{00000000-0005-0000-0000-000086710000}"/>
    <cellStyle name="Input 33 2 3 2 7" xfId="40866" xr:uid="{00000000-0005-0000-0000-000087710000}"/>
    <cellStyle name="Input 33 2 3 2 8" xfId="43389" xr:uid="{00000000-0005-0000-0000-000088710000}"/>
    <cellStyle name="Input 33 2 3 3" xfId="10962" xr:uid="{00000000-0005-0000-0000-000089710000}"/>
    <cellStyle name="Input 33 2 3 3 2" xfId="18755" xr:uid="{00000000-0005-0000-0000-00008A710000}"/>
    <cellStyle name="Input 33 2 3 3 2 2" xfId="44302" xr:uid="{00000000-0005-0000-0000-00008B710000}"/>
    <cellStyle name="Input 33 2 3 3 2 3" xfId="48211" xr:uid="{00000000-0005-0000-0000-00008C710000}"/>
    <cellStyle name="Input 33 2 3 3 2 4" xfId="36392" xr:uid="{00000000-0005-0000-0000-00008D710000}"/>
    <cellStyle name="Input 33 2 3 3 3" xfId="19711" xr:uid="{00000000-0005-0000-0000-00008E710000}"/>
    <cellStyle name="Input 33 2 3 3 3 2" xfId="45248" xr:uid="{00000000-0005-0000-0000-00008F710000}"/>
    <cellStyle name="Input 33 2 3 3 3 3" xfId="49154" xr:uid="{00000000-0005-0000-0000-000090710000}"/>
    <cellStyle name="Input 33 2 3 3 3 4" xfId="37238" xr:uid="{00000000-0005-0000-0000-000091710000}"/>
    <cellStyle name="Input 33 2 3 3 4" xfId="18942" xr:uid="{00000000-0005-0000-0000-000092710000}"/>
    <cellStyle name="Input 33 2 3 3 4 2" xfId="44479" xr:uid="{00000000-0005-0000-0000-000093710000}"/>
    <cellStyle name="Input 33 2 3 3 4 3" xfId="48385" xr:uid="{00000000-0005-0000-0000-000094710000}"/>
    <cellStyle name="Input 33 2 3 3 4 4" xfId="36569" xr:uid="{00000000-0005-0000-0000-000095710000}"/>
    <cellStyle name="Input 33 2 3 3 5" xfId="21168" xr:uid="{00000000-0005-0000-0000-000096710000}"/>
    <cellStyle name="Input 33 2 3 3 5 2" xfId="46705" xr:uid="{00000000-0005-0000-0000-000097710000}"/>
    <cellStyle name="Input 33 2 3 3 5 3" xfId="50611" xr:uid="{00000000-0005-0000-0000-000098710000}"/>
    <cellStyle name="Input 33 2 3 3 5 4" xfId="38574" xr:uid="{00000000-0005-0000-0000-000099710000}"/>
    <cellStyle name="Input 33 2 3 3 6" xfId="21821" xr:uid="{00000000-0005-0000-0000-00009A710000}"/>
    <cellStyle name="Input 33 2 3 3 6 2" xfId="47358" xr:uid="{00000000-0005-0000-0000-00009B710000}"/>
    <cellStyle name="Input 33 2 3 3 6 3" xfId="51264" xr:uid="{00000000-0005-0000-0000-00009C710000}"/>
    <cellStyle name="Input 33 2 3 3 7" xfId="41161" xr:uid="{00000000-0005-0000-0000-00009D710000}"/>
    <cellStyle name="Input 33 2 3 3 8" xfId="43724" xr:uid="{00000000-0005-0000-0000-00009E710000}"/>
    <cellStyle name="Input 33 2 3 4" xfId="14925" xr:uid="{00000000-0005-0000-0000-00009F710000}"/>
    <cellStyle name="Input 33 2 3 4 2" xfId="43041" xr:uid="{00000000-0005-0000-0000-0000A0710000}"/>
    <cellStyle name="Input 33 2 3 4 3" xfId="40526" xr:uid="{00000000-0005-0000-0000-0000A1710000}"/>
    <cellStyle name="Input 33 2 3 4 4" xfId="32560" xr:uid="{00000000-0005-0000-0000-0000A2710000}"/>
    <cellStyle name="Input 33 2 3 5" xfId="13160" xr:uid="{00000000-0005-0000-0000-0000A3710000}"/>
    <cellStyle name="Input 33 2 3 5 2" xfId="42381" xr:uid="{00000000-0005-0000-0000-0000A4710000}"/>
    <cellStyle name="Input 33 2 3 5 3" xfId="39096" xr:uid="{00000000-0005-0000-0000-0000A5710000}"/>
    <cellStyle name="Input 33 2 3 5 4" xfId="30809" xr:uid="{00000000-0005-0000-0000-0000A6710000}"/>
    <cellStyle name="Input 33 2 3 6" xfId="20318" xr:uid="{00000000-0005-0000-0000-0000A7710000}"/>
    <cellStyle name="Input 33 2 3 6 2" xfId="45855" xr:uid="{00000000-0005-0000-0000-0000A8710000}"/>
    <cellStyle name="Input 33 2 3 6 3" xfId="49761" xr:uid="{00000000-0005-0000-0000-0000A9710000}"/>
    <cellStyle name="Input 33 2 3 6 4" xfId="37782" xr:uid="{00000000-0005-0000-0000-0000AA710000}"/>
    <cellStyle name="Input 33 2 3 7" xfId="19036" xr:uid="{00000000-0005-0000-0000-0000AB710000}"/>
    <cellStyle name="Input 33 2 3 7 2" xfId="44573" xr:uid="{00000000-0005-0000-0000-0000AC710000}"/>
    <cellStyle name="Input 33 2 3 7 3" xfId="48479" xr:uid="{00000000-0005-0000-0000-0000AD710000}"/>
    <cellStyle name="Input 33 2 3 7 4" xfId="36642" xr:uid="{00000000-0005-0000-0000-0000AE710000}"/>
    <cellStyle name="Input 33 2 3 8" xfId="20347" xr:uid="{00000000-0005-0000-0000-0000AF710000}"/>
    <cellStyle name="Input 33 2 3 8 2" xfId="45884" xr:uid="{00000000-0005-0000-0000-0000B0710000}"/>
    <cellStyle name="Input 33 2 3 8 3" xfId="49790" xr:uid="{00000000-0005-0000-0000-0000B1710000}"/>
    <cellStyle name="Input 33 2 3 9" xfId="39901" xr:uid="{00000000-0005-0000-0000-0000B2710000}"/>
    <cellStyle name="Input 33 2 4" xfId="53158" xr:uid="{00000000-0005-0000-0000-0000B3710000}"/>
    <cellStyle name="Input 33 2_Sheet1" xfId="1974" xr:uid="{00000000-0005-0000-0000-0000B4710000}"/>
    <cellStyle name="Input 33 3" xfId="1975" xr:uid="{00000000-0005-0000-0000-0000B5710000}"/>
    <cellStyle name="Input 33 3 2" xfId="7139" xr:uid="{00000000-0005-0000-0000-0000B6710000}"/>
    <cellStyle name="Input 33 3 2 10" xfId="43769" xr:uid="{00000000-0005-0000-0000-0000B7710000}"/>
    <cellStyle name="Input 33 3 2 2" xfId="10669" xr:uid="{00000000-0005-0000-0000-0000B8710000}"/>
    <cellStyle name="Input 33 3 2 2 2" xfId="18462" xr:uid="{00000000-0005-0000-0000-0000B9710000}"/>
    <cellStyle name="Input 33 3 2 2 2 2" xfId="44009" xr:uid="{00000000-0005-0000-0000-0000BA710000}"/>
    <cellStyle name="Input 33 3 2 2 2 3" xfId="47918" xr:uid="{00000000-0005-0000-0000-0000BB710000}"/>
    <cellStyle name="Input 33 3 2 2 2 4" xfId="36099" xr:uid="{00000000-0005-0000-0000-0000BC710000}"/>
    <cellStyle name="Input 33 3 2 2 3" xfId="19744" xr:uid="{00000000-0005-0000-0000-0000BD710000}"/>
    <cellStyle name="Input 33 3 2 2 3 2" xfId="45281" xr:uid="{00000000-0005-0000-0000-0000BE710000}"/>
    <cellStyle name="Input 33 3 2 2 3 3" xfId="49187" xr:uid="{00000000-0005-0000-0000-0000BF710000}"/>
    <cellStyle name="Input 33 3 2 2 3 4" xfId="37271" xr:uid="{00000000-0005-0000-0000-0000C0710000}"/>
    <cellStyle name="Input 33 3 2 2 4" xfId="19063" xr:uid="{00000000-0005-0000-0000-0000C1710000}"/>
    <cellStyle name="Input 33 3 2 2 4 2" xfId="44600" xr:uid="{00000000-0005-0000-0000-0000C2710000}"/>
    <cellStyle name="Input 33 3 2 2 4 3" xfId="48506" xr:uid="{00000000-0005-0000-0000-0000C3710000}"/>
    <cellStyle name="Input 33 3 2 2 4 4" xfId="36662" xr:uid="{00000000-0005-0000-0000-0000C4710000}"/>
    <cellStyle name="Input 33 3 2 2 5" xfId="20875" xr:uid="{00000000-0005-0000-0000-0000C5710000}"/>
    <cellStyle name="Input 33 3 2 2 5 2" xfId="46412" xr:uid="{00000000-0005-0000-0000-0000C6710000}"/>
    <cellStyle name="Input 33 3 2 2 5 3" xfId="50318" xr:uid="{00000000-0005-0000-0000-0000C7710000}"/>
    <cellStyle name="Input 33 3 2 2 5 4" xfId="38281" xr:uid="{00000000-0005-0000-0000-0000C8710000}"/>
    <cellStyle name="Input 33 3 2 2 6" xfId="21528" xr:uid="{00000000-0005-0000-0000-0000C9710000}"/>
    <cellStyle name="Input 33 3 2 2 6 2" xfId="47065" xr:uid="{00000000-0005-0000-0000-0000CA710000}"/>
    <cellStyle name="Input 33 3 2 2 6 3" xfId="50971" xr:uid="{00000000-0005-0000-0000-0000CB710000}"/>
    <cellStyle name="Input 33 3 2 2 7" xfId="40868" xr:uid="{00000000-0005-0000-0000-0000CC710000}"/>
    <cellStyle name="Input 33 3 2 2 8" xfId="39391" xr:uid="{00000000-0005-0000-0000-0000CD710000}"/>
    <cellStyle name="Input 33 3 2 3" xfId="10964" xr:uid="{00000000-0005-0000-0000-0000CE710000}"/>
    <cellStyle name="Input 33 3 2 3 2" xfId="18757" xr:uid="{00000000-0005-0000-0000-0000CF710000}"/>
    <cellStyle name="Input 33 3 2 3 2 2" xfId="44304" xr:uid="{00000000-0005-0000-0000-0000D0710000}"/>
    <cellStyle name="Input 33 3 2 3 2 3" xfId="48213" xr:uid="{00000000-0005-0000-0000-0000D1710000}"/>
    <cellStyle name="Input 33 3 2 3 2 4" xfId="36394" xr:uid="{00000000-0005-0000-0000-0000D2710000}"/>
    <cellStyle name="Input 33 3 2 3 3" xfId="19397" xr:uid="{00000000-0005-0000-0000-0000D3710000}"/>
    <cellStyle name="Input 33 3 2 3 3 2" xfId="44934" xr:uid="{00000000-0005-0000-0000-0000D4710000}"/>
    <cellStyle name="Input 33 3 2 3 3 3" xfId="48840" xr:uid="{00000000-0005-0000-0000-0000D5710000}"/>
    <cellStyle name="Input 33 3 2 3 3 4" xfId="36962" xr:uid="{00000000-0005-0000-0000-0000D6710000}"/>
    <cellStyle name="Input 33 3 2 3 4" xfId="13291" xr:uid="{00000000-0005-0000-0000-0000D7710000}"/>
    <cellStyle name="Input 33 3 2 3 4 2" xfId="42461" xr:uid="{00000000-0005-0000-0000-0000D8710000}"/>
    <cellStyle name="Input 33 3 2 3 4 3" xfId="39441" xr:uid="{00000000-0005-0000-0000-0000D9710000}"/>
    <cellStyle name="Input 33 3 2 3 4 4" xfId="30936" xr:uid="{00000000-0005-0000-0000-0000DA710000}"/>
    <cellStyle name="Input 33 3 2 3 5" xfId="21170" xr:uid="{00000000-0005-0000-0000-0000DB710000}"/>
    <cellStyle name="Input 33 3 2 3 5 2" xfId="46707" xr:uid="{00000000-0005-0000-0000-0000DC710000}"/>
    <cellStyle name="Input 33 3 2 3 5 3" xfId="50613" xr:uid="{00000000-0005-0000-0000-0000DD710000}"/>
    <cellStyle name="Input 33 3 2 3 5 4" xfId="38576" xr:uid="{00000000-0005-0000-0000-0000DE710000}"/>
    <cellStyle name="Input 33 3 2 3 6" xfId="21823" xr:uid="{00000000-0005-0000-0000-0000DF710000}"/>
    <cellStyle name="Input 33 3 2 3 6 2" xfId="47360" xr:uid="{00000000-0005-0000-0000-0000E0710000}"/>
    <cellStyle name="Input 33 3 2 3 6 3" xfId="51266" xr:uid="{00000000-0005-0000-0000-0000E1710000}"/>
    <cellStyle name="Input 33 3 2 3 7" xfId="41163" xr:uid="{00000000-0005-0000-0000-0000E2710000}"/>
    <cellStyle name="Input 33 3 2 3 8" xfId="39694" xr:uid="{00000000-0005-0000-0000-0000E3710000}"/>
    <cellStyle name="Input 33 3 2 4" xfId="14927" xr:uid="{00000000-0005-0000-0000-0000E4710000}"/>
    <cellStyle name="Input 33 3 2 4 2" xfId="43043" xr:uid="{00000000-0005-0000-0000-0000E5710000}"/>
    <cellStyle name="Input 33 3 2 4 3" xfId="42670" xr:uid="{00000000-0005-0000-0000-0000E6710000}"/>
    <cellStyle name="Input 33 3 2 4 4" xfId="32562" xr:uid="{00000000-0005-0000-0000-0000E7710000}"/>
    <cellStyle name="Input 33 3 2 5" xfId="13162" xr:uid="{00000000-0005-0000-0000-0000E8710000}"/>
    <cellStyle name="Input 33 3 2 5 2" xfId="42383" xr:uid="{00000000-0005-0000-0000-0000E9710000}"/>
    <cellStyle name="Input 33 3 2 5 3" xfId="39094" xr:uid="{00000000-0005-0000-0000-0000EA710000}"/>
    <cellStyle name="Input 33 3 2 5 4" xfId="30811" xr:uid="{00000000-0005-0000-0000-0000EB710000}"/>
    <cellStyle name="Input 33 3 2 6" xfId="19464" xr:uid="{00000000-0005-0000-0000-0000EC710000}"/>
    <cellStyle name="Input 33 3 2 6 2" xfId="45001" xr:uid="{00000000-0005-0000-0000-0000ED710000}"/>
    <cellStyle name="Input 33 3 2 6 3" xfId="48907" xr:uid="{00000000-0005-0000-0000-0000EE710000}"/>
    <cellStyle name="Input 33 3 2 6 4" xfId="37022" xr:uid="{00000000-0005-0000-0000-0000EF710000}"/>
    <cellStyle name="Input 33 3 2 7" xfId="11849" xr:uid="{00000000-0005-0000-0000-0000F0710000}"/>
    <cellStyle name="Input 33 3 2 7 2" xfId="41767" xr:uid="{00000000-0005-0000-0000-0000F1710000}"/>
    <cellStyle name="Input 33 3 2 7 3" xfId="39460" xr:uid="{00000000-0005-0000-0000-0000F2710000}"/>
    <cellStyle name="Input 33 3 2 7 4" xfId="29533" xr:uid="{00000000-0005-0000-0000-0000F3710000}"/>
    <cellStyle name="Input 33 3 2 8" xfId="20610" xr:uid="{00000000-0005-0000-0000-0000F4710000}"/>
    <cellStyle name="Input 33 3 2 8 2" xfId="46147" xr:uid="{00000000-0005-0000-0000-0000F5710000}"/>
    <cellStyle name="Input 33 3 2 8 3" xfId="50053" xr:uid="{00000000-0005-0000-0000-0000F6710000}"/>
    <cellStyle name="Input 33 3 2 9" xfId="39903" xr:uid="{00000000-0005-0000-0000-0000F7710000}"/>
    <cellStyle name="Input 33 3 3" xfId="53160" xr:uid="{00000000-0005-0000-0000-0000F8710000}"/>
    <cellStyle name="Input 33 4" xfId="7136" xr:uid="{00000000-0005-0000-0000-0000F9710000}"/>
    <cellStyle name="Input 33 4 10" xfId="43274" xr:uid="{00000000-0005-0000-0000-0000FA710000}"/>
    <cellStyle name="Input 33 4 11" xfId="53161" xr:uid="{00000000-0005-0000-0000-0000FB710000}"/>
    <cellStyle name="Input 33 4 2" xfId="10666" xr:uid="{00000000-0005-0000-0000-0000FC710000}"/>
    <cellStyle name="Input 33 4 2 2" xfId="18459" xr:uid="{00000000-0005-0000-0000-0000FD710000}"/>
    <cellStyle name="Input 33 4 2 2 2" xfId="44006" xr:uid="{00000000-0005-0000-0000-0000FE710000}"/>
    <cellStyle name="Input 33 4 2 2 3" xfId="47915" xr:uid="{00000000-0005-0000-0000-0000FF710000}"/>
    <cellStyle name="Input 33 4 2 2 4" xfId="36096" xr:uid="{00000000-0005-0000-0000-000000720000}"/>
    <cellStyle name="Input 33 4 2 3" xfId="19293" xr:uid="{00000000-0005-0000-0000-000001720000}"/>
    <cellStyle name="Input 33 4 2 3 2" xfId="44830" xr:uid="{00000000-0005-0000-0000-000002720000}"/>
    <cellStyle name="Input 33 4 2 3 3" xfId="48736" xr:uid="{00000000-0005-0000-0000-000003720000}"/>
    <cellStyle name="Input 33 4 2 3 4" xfId="36871" xr:uid="{00000000-0005-0000-0000-000004720000}"/>
    <cellStyle name="Input 33 4 2 4" xfId="12664" xr:uid="{00000000-0005-0000-0000-000005720000}"/>
    <cellStyle name="Input 33 4 2 4 2" xfId="42143" xr:uid="{00000000-0005-0000-0000-000006720000}"/>
    <cellStyle name="Input 33 4 2 4 3" xfId="39110" xr:uid="{00000000-0005-0000-0000-000007720000}"/>
    <cellStyle name="Input 33 4 2 4 4" xfId="30328" xr:uid="{00000000-0005-0000-0000-000008720000}"/>
    <cellStyle name="Input 33 4 2 5" xfId="20872" xr:uid="{00000000-0005-0000-0000-000009720000}"/>
    <cellStyle name="Input 33 4 2 5 2" xfId="46409" xr:uid="{00000000-0005-0000-0000-00000A720000}"/>
    <cellStyle name="Input 33 4 2 5 3" xfId="50315" xr:uid="{00000000-0005-0000-0000-00000B720000}"/>
    <cellStyle name="Input 33 4 2 5 4" xfId="38278" xr:uid="{00000000-0005-0000-0000-00000C720000}"/>
    <cellStyle name="Input 33 4 2 6" xfId="21525" xr:uid="{00000000-0005-0000-0000-00000D720000}"/>
    <cellStyle name="Input 33 4 2 6 2" xfId="47062" xr:uid="{00000000-0005-0000-0000-00000E720000}"/>
    <cellStyle name="Input 33 4 2 6 3" xfId="50968" xr:uid="{00000000-0005-0000-0000-00000F720000}"/>
    <cellStyle name="Input 33 4 2 7" xfId="40865" xr:uid="{00000000-0005-0000-0000-000010720000}"/>
    <cellStyle name="Input 33 4 2 8" xfId="42070" xr:uid="{00000000-0005-0000-0000-000011720000}"/>
    <cellStyle name="Input 33 4 3" xfId="10961" xr:uid="{00000000-0005-0000-0000-000012720000}"/>
    <cellStyle name="Input 33 4 3 2" xfId="18754" xr:uid="{00000000-0005-0000-0000-000013720000}"/>
    <cellStyle name="Input 33 4 3 2 2" xfId="44301" xr:uid="{00000000-0005-0000-0000-000014720000}"/>
    <cellStyle name="Input 33 4 3 2 3" xfId="48210" xr:uid="{00000000-0005-0000-0000-000015720000}"/>
    <cellStyle name="Input 33 4 3 2 4" xfId="36391" xr:uid="{00000000-0005-0000-0000-000016720000}"/>
    <cellStyle name="Input 33 4 3 3" xfId="12643" xr:uid="{00000000-0005-0000-0000-000017720000}"/>
    <cellStyle name="Input 33 4 3 3 2" xfId="42122" xr:uid="{00000000-0005-0000-0000-000018720000}"/>
    <cellStyle name="Input 33 4 3 3 3" xfId="39315" xr:uid="{00000000-0005-0000-0000-000019720000}"/>
    <cellStyle name="Input 33 4 3 3 4" xfId="30308" xr:uid="{00000000-0005-0000-0000-00001A720000}"/>
    <cellStyle name="Input 33 4 3 4" xfId="19550" xr:uid="{00000000-0005-0000-0000-00001B720000}"/>
    <cellStyle name="Input 33 4 3 4 2" xfId="45087" xr:uid="{00000000-0005-0000-0000-00001C720000}"/>
    <cellStyle name="Input 33 4 3 4 3" xfId="48993" xr:uid="{00000000-0005-0000-0000-00001D720000}"/>
    <cellStyle name="Input 33 4 3 4 4" xfId="37092" xr:uid="{00000000-0005-0000-0000-00001E720000}"/>
    <cellStyle name="Input 33 4 3 5" xfId="21167" xr:uid="{00000000-0005-0000-0000-00001F720000}"/>
    <cellStyle name="Input 33 4 3 5 2" xfId="46704" xr:uid="{00000000-0005-0000-0000-000020720000}"/>
    <cellStyle name="Input 33 4 3 5 3" xfId="50610" xr:uid="{00000000-0005-0000-0000-000021720000}"/>
    <cellStyle name="Input 33 4 3 5 4" xfId="38573" xr:uid="{00000000-0005-0000-0000-000022720000}"/>
    <cellStyle name="Input 33 4 3 6" xfId="21820" xr:uid="{00000000-0005-0000-0000-000023720000}"/>
    <cellStyle name="Input 33 4 3 6 2" xfId="47357" xr:uid="{00000000-0005-0000-0000-000024720000}"/>
    <cellStyle name="Input 33 4 3 6 3" xfId="51263" xr:uid="{00000000-0005-0000-0000-000025720000}"/>
    <cellStyle name="Input 33 4 3 7" xfId="41160" xr:uid="{00000000-0005-0000-0000-000026720000}"/>
    <cellStyle name="Input 33 4 3 8" xfId="42835" xr:uid="{00000000-0005-0000-0000-000027720000}"/>
    <cellStyle name="Input 33 4 4" xfId="14924" xr:uid="{00000000-0005-0000-0000-000028720000}"/>
    <cellStyle name="Input 33 4 4 2" xfId="43040" xr:uid="{00000000-0005-0000-0000-000029720000}"/>
    <cellStyle name="Input 33 4 4 3" xfId="43667" xr:uid="{00000000-0005-0000-0000-00002A720000}"/>
    <cellStyle name="Input 33 4 4 4" xfId="32559" xr:uid="{00000000-0005-0000-0000-00002B720000}"/>
    <cellStyle name="Input 33 4 5" xfId="13159" xr:uid="{00000000-0005-0000-0000-00002C720000}"/>
    <cellStyle name="Input 33 4 5 2" xfId="42380" xr:uid="{00000000-0005-0000-0000-00002D720000}"/>
    <cellStyle name="Input 33 4 5 3" xfId="39294" xr:uid="{00000000-0005-0000-0000-00002E720000}"/>
    <cellStyle name="Input 33 4 5 4" xfId="30808" xr:uid="{00000000-0005-0000-0000-00002F720000}"/>
    <cellStyle name="Input 33 4 6" xfId="20248" xr:uid="{00000000-0005-0000-0000-000030720000}"/>
    <cellStyle name="Input 33 4 6 2" xfId="45785" xr:uid="{00000000-0005-0000-0000-000031720000}"/>
    <cellStyle name="Input 33 4 6 3" xfId="49691" xr:uid="{00000000-0005-0000-0000-000032720000}"/>
    <cellStyle name="Input 33 4 6 4" xfId="37720" xr:uid="{00000000-0005-0000-0000-000033720000}"/>
    <cellStyle name="Input 33 4 7" xfId="19505" xr:uid="{00000000-0005-0000-0000-000034720000}"/>
    <cellStyle name="Input 33 4 7 2" xfId="45042" xr:uid="{00000000-0005-0000-0000-000035720000}"/>
    <cellStyle name="Input 33 4 7 3" xfId="48948" xr:uid="{00000000-0005-0000-0000-000036720000}"/>
    <cellStyle name="Input 33 4 7 4" xfId="37054" xr:uid="{00000000-0005-0000-0000-000037720000}"/>
    <cellStyle name="Input 33 4 8" xfId="20339" xr:uid="{00000000-0005-0000-0000-000038720000}"/>
    <cellStyle name="Input 33 4 8 2" xfId="45876" xr:uid="{00000000-0005-0000-0000-000039720000}"/>
    <cellStyle name="Input 33 4 8 3" xfId="49782" xr:uid="{00000000-0005-0000-0000-00003A720000}"/>
    <cellStyle name="Input 33 4 9" xfId="39900" xr:uid="{00000000-0005-0000-0000-00003B720000}"/>
    <cellStyle name="Input 33 5" xfId="22476" xr:uid="{00000000-0005-0000-0000-00003C720000}"/>
    <cellStyle name="Input 33 5 2" xfId="23040" xr:uid="{00000000-0005-0000-0000-00003D720000}"/>
    <cellStyle name="Input 33 5 2 2" xfId="47641" xr:uid="{00000000-0005-0000-0000-00003E720000}"/>
    <cellStyle name="Input 33 5 2 3" xfId="51452" xr:uid="{00000000-0005-0000-0000-00003F720000}"/>
    <cellStyle name="Input 33 5 3" xfId="47534" xr:uid="{00000000-0005-0000-0000-000040720000}"/>
    <cellStyle name="Input 33 5 4" xfId="51388" xr:uid="{00000000-0005-0000-0000-000041720000}"/>
    <cellStyle name="Input 33 5 5" xfId="53162" xr:uid="{00000000-0005-0000-0000-000042720000}"/>
    <cellStyle name="Input 33 6" xfId="22911" xr:uid="{00000000-0005-0000-0000-000043720000}"/>
    <cellStyle name="Input 33 6 2" xfId="23059" xr:uid="{00000000-0005-0000-0000-000044720000}"/>
    <cellStyle name="Input 33 6 2 2" xfId="47659" xr:uid="{00000000-0005-0000-0000-000045720000}"/>
    <cellStyle name="Input 33 6 2 3" xfId="51470" xr:uid="{00000000-0005-0000-0000-000046720000}"/>
    <cellStyle name="Input 33 6 3" xfId="47615" xr:uid="{00000000-0005-0000-0000-000047720000}"/>
    <cellStyle name="Input 33 6 4" xfId="51430" xr:uid="{00000000-0005-0000-0000-000048720000}"/>
    <cellStyle name="Input 33 6 5" xfId="53163" xr:uid="{00000000-0005-0000-0000-000049720000}"/>
    <cellStyle name="Input 33 7" xfId="53157" xr:uid="{00000000-0005-0000-0000-00004A720000}"/>
    <cellStyle name="Input 33_Sheet1" xfId="1976" xr:uid="{00000000-0005-0000-0000-00004B720000}"/>
    <cellStyle name="Input 34" xfId="1977" xr:uid="{00000000-0005-0000-0000-00004C720000}"/>
    <cellStyle name="Input 34 2" xfId="1978" xr:uid="{00000000-0005-0000-0000-00004D720000}"/>
    <cellStyle name="Input 34 2 2" xfId="1979" xr:uid="{00000000-0005-0000-0000-00004E720000}"/>
    <cellStyle name="Input 34 2 2 2" xfId="7142" xr:uid="{00000000-0005-0000-0000-00004F720000}"/>
    <cellStyle name="Input 34 2 2 2 10" xfId="42762" xr:uid="{00000000-0005-0000-0000-000050720000}"/>
    <cellStyle name="Input 34 2 2 2 2" xfId="10672" xr:uid="{00000000-0005-0000-0000-000051720000}"/>
    <cellStyle name="Input 34 2 2 2 2 2" xfId="18465" xr:uid="{00000000-0005-0000-0000-000052720000}"/>
    <cellStyle name="Input 34 2 2 2 2 2 2" xfId="44012" xr:uid="{00000000-0005-0000-0000-000053720000}"/>
    <cellStyle name="Input 34 2 2 2 2 2 3" xfId="47921" xr:uid="{00000000-0005-0000-0000-000054720000}"/>
    <cellStyle name="Input 34 2 2 2 2 2 4" xfId="36102" xr:uid="{00000000-0005-0000-0000-000055720000}"/>
    <cellStyle name="Input 34 2 2 2 2 3" xfId="19743" xr:uid="{00000000-0005-0000-0000-000056720000}"/>
    <cellStyle name="Input 34 2 2 2 2 3 2" xfId="45280" xr:uid="{00000000-0005-0000-0000-000057720000}"/>
    <cellStyle name="Input 34 2 2 2 2 3 3" xfId="49186" xr:uid="{00000000-0005-0000-0000-000058720000}"/>
    <cellStyle name="Input 34 2 2 2 2 3 4" xfId="37270" xr:uid="{00000000-0005-0000-0000-000059720000}"/>
    <cellStyle name="Input 34 2 2 2 2 4" xfId="11554" xr:uid="{00000000-0005-0000-0000-00005A720000}"/>
    <cellStyle name="Input 34 2 2 2 2 4 2" xfId="41565" xr:uid="{00000000-0005-0000-0000-00005B720000}"/>
    <cellStyle name="Input 34 2 2 2 2 4 3" xfId="42026" xr:uid="{00000000-0005-0000-0000-00005C720000}"/>
    <cellStyle name="Input 34 2 2 2 2 4 4" xfId="29266" xr:uid="{00000000-0005-0000-0000-00005D720000}"/>
    <cellStyle name="Input 34 2 2 2 2 5" xfId="20878" xr:uid="{00000000-0005-0000-0000-00005E720000}"/>
    <cellStyle name="Input 34 2 2 2 2 5 2" xfId="46415" xr:uid="{00000000-0005-0000-0000-00005F720000}"/>
    <cellStyle name="Input 34 2 2 2 2 5 3" xfId="50321" xr:uid="{00000000-0005-0000-0000-000060720000}"/>
    <cellStyle name="Input 34 2 2 2 2 5 4" xfId="38284" xr:uid="{00000000-0005-0000-0000-000061720000}"/>
    <cellStyle name="Input 34 2 2 2 2 6" xfId="21531" xr:uid="{00000000-0005-0000-0000-000062720000}"/>
    <cellStyle name="Input 34 2 2 2 2 6 2" xfId="47068" xr:uid="{00000000-0005-0000-0000-000063720000}"/>
    <cellStyle name="Input 34 2 2 2 2 6 3" xfId="50974" xr:uid="{00000000-0005-0000-0000-000064720000}"/>
    <cellStyle name="Input 34 2 2 2 2 7" xfId="40871" xr:uid="{00000000-0005-0000-0000-000065720000}"/>
    <cellStyle name="Input 34 2 2 2 2 8" xfId="43240" xr:uid="{00000000-0005-0000-0000-000066720000}"/>
    <cellStyle name="Input 34 2 2 2 3" xfId="10967" xr:uid="{00000000-0005-0000-0000-000067720000}"/>
    <cellStyle name="Input 34 2 2 2 3 2" xfId="18760" xr:uid="{00000000-0005-0000-0000-000068720000}"/>
    <cellStyle name="Input 34 2 2 2 3 2 2" xfId="44307" xr:uid="{00000000-0005-0000-0000-000069720000}"/>
    <cellStyle name="Input 34 2 2 2 3 2 3" xfId="48216" xr:uid="{00000000-0005-0000-0000-00006A720000}"/>
    <cellStyle name="Input 34 2 2 2 3 2 4" xfId="36397" xr:uid="{00000000-0005-0000-0000-00006B720000}"/>
    <cellStyle name="Input 34 2 2 2 3 3" xfId="19879" xr:uid="{00000000-0005-0000-0000-00006C720000}"/>
    <cellStyle name="Input 34 2 2 2 3 3 2" xfId="45416" xr:uid="{00000000-0005-0000-0000-00006D720000}"/>
    <cellStyle name="Input 34 2 2 2 3 3 3" xfId="49322" xr:uid="{00000000-0005-0000-0000-00006E720000}"/>
    <cellStyle name="Input 34 2 2 2 3 3 4" xfId="37393" xr:uid="{00000000-0005-0000-0000-00006F720000}"/>
    <cellStyle name="Input 34 2 2 2 3 4" xfId="19469" xr:uid="{00000000-0005-0000-0000-000070720000}"/>
    <cellStyle name="Input 34 2 2 2 3 4 2" xfId="45006" xr:uid="{00000000-0005-0000-0000-000071720000}"/>
    <cellStyle name="Input 34 2 2 2 3 4 3" xfId="48912" xr:uid="{00000000-0005-0000-0000-000072720000}"/>
    <cellStyle name="Input 34 2 2 2 3 4 4" xfId="37027" xr:uid="{00000000-0005-0000-0000-000073720000}"/>
    <cellStyle name="Input 34 2 2 2 3 5" xfId="21173" xr:uid="{00000000-0005-0000-0000-000074720000}"/>
    <cellStyle name="Input 34 2 2 2 3 5 2" xfId="46710" xr:uid="{00000000-0005-0000-0000-000075720000}"/>
    <cellStyle name="Input 34 2 2 2 3 5 3" xfId="50616" xr:uid="{00000000-0005-0000-0000-000076720000}"/>
    <cellStyle name="Input 34 2 2 2 3 5 4" xfId="38579" xr:uid="{00000000-0005-0000-0000-000077720000}"/>
    <cellStyle name="Input 34 2 2 2 3 6" xfId="21826" xr:uid="{00000000-0005-0000-0000-000078720000}"/>
    <cellStyle name="Input 34 2 2 2 3 6 2" xfId="47363" xr:uid="{00000000-0005-0000-0000-000079720000}"/>
    <cellStyle name="Input 34 2 2 2 3 6 3" xfId="51269" xr:uid="{00000000-0005-0000-0000-00007A720000}"/>
    <cellStyle name="Input 34 2 2 2 3 7" xfId="41166" xr:uid="{00000000-0005-0000-0000-00007B720000}"/>
    <cellStyle name="Input 34 2 2 2 3 8" xfId="40478" xr:uid="{00000000-0005-0000-0000-00007C720000}"/>
    <cellStyle name="Input 34 2 2 2 4" xfId="14930" xr:uid="{00000000-0005-0000-0000-00007D720000}"/>
    <cellStyle name="Input 34 2 2 2 4 2" xfId="43046" xr:uid="{00000000-0005-0000-0000-00007E720000}"/>
    <cellStyle name="Input 34 2 2 2 4 3" xfId="39528" xr:uid="{00000000-0005-0000-0000-00007F720000}"/>
    <cellStyle name="Input 34 2 2 2 4 4" xfId="32565" xr:uid="{00000000-0005-0000-0000-000080720000}"/>
    <cellStyle name="Input 34 2 2 2 5" xfId="11319" xr:uid="{00000000-0005-0000-0000-000081720000}"/>
    <cellStyle name="Input 34 2 2 2 5 2" xfId="41364" xr:uid="{00000000-0005-0000-0000-000082720000}"/>
    <cellStyle name="Input 34 2 2 2 5 3" xfId="42827" xr:uid="{00000000-0005-0000-0000-000083720000}"/>
    <cellStyle name="Input 34 2 2 2 5 4" xfId="29047" xr:uid="{00000000-0005-0000-0000-000084720000}"/>
    <cellStyle name="Input 34 2 2 2 6" xfId="11343" xr:uid="{00000000-0005-0000-0000-000085720000}"/>
    <cellStyle name="Input 34 2 2 2 6 2" xfId="41382" xr:uid="{00000000-0005-0000-0000-000086720000}"/>
    <cellStyle name="Input 34 2 2 2 6 3" xfId="43715" xr:uid="{00000000-0005-0000-0000-000087720000}"/>
    <cellStyle name="Input 34 2 2 2 6 4" xfId="29069" xr:uid="{00000000-0005-0000-0000-000088720000}"/>
    <cellStyle name="Input 34 2 2 2 7" xfId="20330" xr:uid="{00000000-0005-0000-0000-000089720000}"/>
    <cellStyle name="Input 34 2 2 2 7 2" xfId="45867" xr:uid="{00000000-0005-0000-0000-00008A720000}"/>
    <cellStyle name="Input 34 2 2 2 7 3" xfId="49773" xr:uid="{00000000-0005-0000-0000-00008B720000}"/>
    <cellStyle name="Input 34 2 2 2 7 4" xfId="37794" xr:uid="{00000000-0005-0000-0000-00008C720000}"/>
    <cellStyle name="Input 34 2 2 2 8" xfId="13306" xr:uid="{00000000-0005-0000-0000-00008D720000}"/>
    <cellStyle name="Input 34 2 2 2 8 2" xfId="42476" xr:uid="{00000000-0005-0000-0000-00008E720000}"/>
    <cellStyle name="Input 34 2 2 2 8 3" xfId="40431" xr:uid="{00000000-0005-0000-0000-00008F720000}"/>
    <cellStyle name="Input 34 2 2 2 9" xfId="39906" xr:uid="{00000000-0005-0000-0000-000090720000}"/>
    <cellStyle name="Input 34 2 2 3" xfId="53166" xr:uid="{00000000-0005-0000-0000-000091720000}"/>
    <cellStyle name="Input 34 2 3" xfId="7141" xr:uid="{00000000-0005-0000-0000-000092720000}"/>
    <cellStyle name="Input 34 2 3 10" xfId="39962" xr:uid="{00000000-0005-0000-0000-000093720000}"/>
    <cellStyle name="Input 34 2 3 2" xfId="10671" xr:uid="{00000000-0005-0000-0000-000094720000}"/>
    <cellStyle name="Input 34 2 3 2 2" xfId="18464" xr:uid="{00000000-0005-0000-0000-000095720000}"/>
    <cellStyle name="Input 34 2 3 2 2 2" xfId="44011" xr:uid="{00000000-0005-0000-0000-000096720000}"/>
    <cellStyle name="Input 34 2 3 2 2 3" xfId="47920" xr:uid="{00000000-0005-0000-0000-000097720000}"/>
    <cellStyle name="Input 34 2 3 2 2 4" xfId="36101" xr:uid="{00000000-0005-0000-0000-000098720000}"/>
    <cellStyle name="Input 34 2 3 2 3" xfId="13922" xr:uid="{00000000-0005-0000-0000-000099720000}"/>
    <cellStyle name="Input 34 2 3 2 3 2" xfId="42657" xr:uid="{00000000-0005-0000-0000-00009A720000}"/>
    <cellStyle name="Input 34 2 3 2 3 3" xfId="39643" xr:uid="{00000000-0005-0000-0000-00009B720000}"/>
    <cellStyle name="Input 34 2 3 2 3 4" xfId="31558" xr:uid="{00000000-0005-0000-0000-00009C720000}"/>
    <cellStyle name="Input 34 2 3 2 4" xfId="20304" xr:uid="{00000000-0005-0000-0000-00009D720000}"/>
    <cellStyle name="Input 34 2 3 2 4 2" xfId="45841" xr:uid="{00000000-0005-0000-0000-00009E720000}"/>
    <cellStyle name="Input 34 2 3 2 4 3" xfId="49747" xr:uid="{00000000-0005-0000-0000-00009F720000}"/>
    <cellStyle name="Input 34 2 3 2 4 4" xfId="37770" xr:uid="{00000000-0005-0000-0000-0000A0720000}"/>
    <cellStyle name="Input 34 2 3 2 5" xfId="20877" xr:uid="{00000000-0005-0000-0000-0000A1720000}"/>
    <cellStyle name="Input 34 2 3 2 5 2" xfId="46414" xr:uid="{00000000-0005-0000-0000-0000A2720000}"/>
    <cellStyle name="Input 34 2 3 2 5 3" xfId="50320" xr:uid="{00000000-0005-0000-0000-0000A3720000}"/>
    <cellStyle name="Input 34 2 3 2 5 4" xfId="38283" xr:uid="{00000000-0005-0000-0000-0000A4720000}"/>
    <cellStyle name="Input 34 2 3 2 6" xfId="21530" xr:uid="{00000000-0005-0000-0000-0000A5720000}"/>
    <cellStyle name="Input 34 2 3 2 6 2" xfId="47067" xr:uid="{00000000-0005-0000-0000-0000A6720000}"/>
    <cellStyle name="Input 34 2 3 2 6 3" xfId="50973" xr:uid="{00000000-0005-0000-0000-0000A7720000}"/>
    <cellStyle name="Input 34 2 3 2 7" xfId="40870" xr:uid="{00000000-0005-0000-0000-0000A8720000}"/>
    <cellStyle name="Input 34 2 3 2 8" xfId="41437" xr:uid="{00000000-0005-0000-0000-0000A9720000}"/>
    <cellStyle name="Input 34 2 3 3" xfId="10966" xr:uid="{00000000-0005-0000-0000-0000AA720000}"/>
    <cellStyle name="Input 34 2 3 3 2" xfId="18759" xr:uid="{00000000-0005-0000-0000-0000AB720000}"/>
    <cellStyle name="Input 34 2 3 3 2 2" xfId="44306" xr:uid="{00000000-0005-0000-0000-0000AC720000}"/>
    <cellStyle name="Input 34 2 3 3 2 3" xfId="48215" xr:uid="{00000000-0005-0000-0000-0000AD720000}"/>
    <cellStyle name="Input 34 2 3 3 2 4" xfId="36396" xr:uid="{00000000-0005-0000-0000-0000AE720000}"/>
    <cellStyle name="Input 34 2 3 3 3" xfId="19270" xr:uid="{00000000-0005-0000-0000-0000AF720000}"/>
    <cellStyle name="Input 34 2 3 3 3 2" xfId="44807" xr:uid="{00000000-0005-0000-0000-0000B0720000}"/>
    <cellStyle name="Input 34 2 3 3 3 3" xfId="48713" xr:uid="{00000000-0005-0000-0000-0000B1720000}"/>
    <cellStyle name="Input 34 2 3 3 3 4" xfId="36848" xr:uid="{00000000-0005-0000-0000-0000B2720000}"/>
    <cellStyle name="Input 34 2 3 3 4" xfId="11661" xr:uid="{00000000-0005-0000-0000-0000B3720000}"/>
    <cellStyle name="Input 34 2 3 3 4 2" xfId="41672" xr:uid="{00000000-0005-0000-0000-0000B4720000}"/>
    <cellStyle name="Input 34 2 3 3 4 3" xfId="40206" xr:uid="{00000000-0005-0000-0000-0000B5720000}"/>
    <cellStyle name="Input 34 2 3 3 4 4" xfId="29360" xr:uid="{00000000-0005-0000-0000-0000B6720000}"/>
    <cellStyle name="Input 34 2 3 3 5" xfId="21172" xr:uid="{00000000-0005-0000-0000-0000B7720000}"/>
    <cellStyle name="Input 34 2 3 3 5 2" xfId="46709" xr:uid="{00000000-0005-0000-0000-0000B8720000}"/>
    <cellStyle name="Input 34 2 3 3 5 3" xfId="50615" xr:uid="{00000000-0005-0000-0000-0000B9720000}"/>
    <cellStyle name="Input 34 2 3 3 5 4" xfId="38578" xr:uid="{00000000-0005-0000-0000-0000BA720000}"/>
    <cellStyle name="Input 34 2 3 3 6" xfId="21825" xr:uid="{00000000-0005-0000-0000-0000BB720000}"/>
    <cellStyle name="Input 34 2 3 3 6 2" xfId="47362" xr:uid="{00000000-0005-0000-0000-0000BC720000}"/>
    <cellStyle name="Input 34 2 3 3 6 3" xfId="51268" xr:uid="{00000000-0005-0000-0000-0000BD720000}"/>
    <cellStyle name="Input 34 2 3 3 7" xfId="41165" xr:uid="{00000000-0005-0000-0000-0000BE720000}"/>
    <cellStyle name="Input 34 2 3 3 8" xfId="43620" xr:uid="{00000000-0005-0000-0000-0000BF720000}"/>
    <cellStyle name="Input 34 2 3 4" xfId="14929" xr:uid="{00000000-0005-0000-0000-0000C0720000}"/>
    <cellStyle name="Input 34 2 3 4 2" xfId="43045" xr:uid="{00000000-0005-0000-0000-0000C1720000}"/>
    <cellStyle name="Input 34 2 3 4 3" xfId="40419" xr:uid="{00000000-0005-0000-0000-0000C2720000}"/>
    <cellStyle name="Input 34 2 3 4 4" xfId="32564" xr:uid="{00000000-0005-0000-0000-0000C3720000}"/>
    <cellStyle name="Input 34 2 3 5" xfId="12484" xr:uid="{00000000-0005-0000-0000-0000C4720000}"/>
    <cellStyle name="Input 34 2 3 5 2" xfId="42004" xr:uid="{00000000-0005-0000-0000-0000C5720000}"/>
    <cellStyle name="Input 34 2 3 5 3" xfId="42567" xr:uid="{00000000-0005-0000-0000-0000C6720000}"/>
    <cellStyle name="Input 34 2 3 5 4" xfId="30155" xr:uid="{00000000-0005-0000-0000-0000C7720000}"/>
    <cellStyle name="Input 34 2 3 6" xfId="20269" xr:uid="{00000000-0005-0000-0000-0000C8720000}"/>
    <cellStyle name="Input 34 2 3 6 2" xfId="45806" xr:uid="{00000000-0005-0000-0000-0000C9720000}"/>
    <cellStyle name="Input 34 2 3 6 3" xfId="49712" xr:uid="{00000000-0005-0000-0000-0000CA720000}"/>
    <cellStyle name="Input 34 2 3 6 4" xfId="37739" xr:uid="{00000000-0005-0000-0000-0000CB720000}"/>
    <cellStyle name="Input 34 2 3 7" xfId="11591" xr:uid="{00000000-0005-0000-0000-0000CC720000}"/>
    <cellStyle name="Input 34 2 3 7 2" xfId="41602" xr:uid="{00000000-0005-0000-0000-0000CD720000}"/>
    <cellStyle name="Input 34 2 3 7 3" xfId="41392" xr:uid="{00000000-0005-0000-0000-0000CE720000}"/>
    <cellStyle name="Input 34 2 3 7 4" xfId="29299" xr:uid="{00000000-0005-0000-0000-0000CF720000}"/>
    <cellStyle name="Input 34 2 3 8" xfId="19388" xr:uid="{00000000-0005-0000-0000-0000D0720000}"/>
    <cellStyle name="Input 34 2 3 8 2" xfId="44925" xr:uid="{00000000-0005-0000-0000-0000D1720000}"/>
    <cellStyle name="Input 34 2 3 8 3" xfId="48831" xr:uid="{00000000-0005-0000-0000-0000D2720000}"/>
    <cellStyle name="Input 34 2 3 9" xfId="39905" xr:uid="{00000000-0005-0000-0000-0000D3720000}"/>
    <cellStyle name="Input 34 2 4" xfId="53165" xr:uid="{00000000-0005-0000-0000-0000D4720000}"/>
    <cellStyle name="Input 34 2_Sheet1" xfId="1980" xr:uid="{00000000-0005-0000-0000-0000D5720000}"/>
    <cellStyle name="Input 34 3" xfId="1981" xr:uid="{00000000-0005-0000-0000-0000D6720000}"/>
    <cellStyle name="Input 34 3 2" xfId="7143" xr:uid="{00000000-0005-0000-0000-0000D7720000}"/>
    <cellStyle name="Input 34 3 2 10" xfId="43650" xr:uid="{00000000-0005-0000-0000-0000D8720000}"/>
    <cellStyle name="Input 34 3 2 2" xfId="10673" xr:uid="{00000000-0005-0000-0000-0000D9720000}"/>
    <cellStyle name="Input 34 3 2 2 2" xfId="18466" xr:uid="{00000000-0005-0000-0000-0000DA720000}"/>
    <cellStyle name="Input 34 3 2 2 2 2" xfId="44013" xr:uid="{00000000-0005-0000-0000-0000DB720000}"/>
    <cellStyle name="Input 34 3 2 2 2 3" xfId="47922" xr:uid="{00000000-0005-0000-0000-0000DC720000}"/>
    <cellStyle name="Input 34 3 2 2 2 4" xfId="36103" xr:uid="{00000000-0005-0000-0000-0000DD720000}"/>
    <cellStyle name="Input 34 3 2 2 3" xfId="11502" xr:uid="{00000000-0005-0000-0000-0000DE720000}"/>
    <cellStyle name="Input 34 3 2 2 3 2" xfId="41513" xr:uid="{00000000-0005-0000-0000-0000DF720000}"/>
    <cellStyle name="Input 34 3 2 2 3 3" xfId="42717" xr:uid="{00000000-0005-0000-0000-0000E0720000}"/>
    <cellStyle name="Input 34 3 2 2 3 4" xfId="29217" xr:uid="{00000000-0005-0000-0000-0000E1720000}"/>
    <cellStyle name="Input 34 3 2 2 4" xfId="20229" xr:uid="{00000000-0005-0000-0000-0000E2720000}"/>
    <cellStyle name="Input 34 3 2 2 4 2" xfId="45766" xr:uid="{00000000-0005-0000-0000-0000E3720000}"/>
    <cellStyle name="Input 34 3 2 2 4 3" xfId="49672" xr:uid="{00000000-0005-0000-0000-0000E4720000}"/>
    <cellStyle name="Input 34 3 2 2 4 4" xfId="37704" xr:uid="{00000000-0005-0000-0000-0000E5720000}"/>
    <cellStyle name="Input 34 3 2 2 5" xfId="20879" xr:uid="{00000000-0005-0000-0000-0000E6720000}"/>
    <cellStyle name="Input 34 3 2 2 5 2" xfId="46416" xr:uid="{00000000-0005-0000-0000-0000E7720000}"/>
    <cellStyle name="Input 34 3 2 2 5 3" xfId="50322" xr:uid="{00000000-0005-0000-0000-0000E8720000}"/>
    <cellStyle name="Input 34 3 2 2 5 4" xfId="38285" xr:uid="{00000000-0005-0000-0000-0000E9720000}"/>
    <cellStyle name="Input 34 3 2 2 6" xfId="21532" xr:uid="{00000000-0005-0000-0000-0000EA720000}"/>
    <cellStyle name="Input 34 3 2 2 6 2" xfId="47069" xr:uid="{00000000-0005-0000-0000-0000EB720000}"/>
    <cellStyle name="Input 34 3 2 2 6 3" xfId="50975" xr:uid="{00000000-0005-0000-0000-0000EC720000}"/>
    <cellStyle name="Input 34 3 2 2 7" xfId="40872" xr:uid="{00000000-0005-0000-0000-0000ED720000}"/>
    <cellStyle name="Input 34 3 2 2 8" xfId="40099" xr:uid="{00000000-0005-0000-0000-0000EE720000}"/>
    <cellStyle name="Input 34 3 2 3" xfId="10968" xr:uid="{00000000-0005-0000-0000-0000EF720000}"/>
    <cellStyle name="Input 34 3 2 3 2" xfId="18761" xr:uid="{00000000-0005-0000-0000-0000F0720000}"/>
    <cellStyle name="Input 34 3 2 3 2 2" xfId="44308" xr:uid="{00000000-0005-0000-0000-0000F1720000}"/>
    <cellStyle name="Input 34 3 2 3 2 3" xfId="48217" xr:uid="{00000000-0005-0000-0000-0000F2720000}"/>
    <cellStyle name="Input 34 3 2 3 2 4" xfId="36398" xr:uid="{00000000-0005-0000-0000-0000F3720000}"/>
    <cellStyle name="Input 34 3 2 3 3" xfId="19102" xr:uid="{00000000-0005-0000-0000-0000F4720000}"/>
    <cellStyle name="Input 34 3 2 3 3 2" xfId="44639" xr:uid="{00000000-0005-0000-0000-0000F5720000}"/>
    <cellStyle name="Input 34 3 2 3 3 3" xfId="48545" xr:uid="{00000000-0005-0000-0000-0000F6720000}"/>
    <cellStyle name="Input 34 3 2 3 3 4" xfId="36697" xr:uid="{00000000-0005-0000-0000-0000F7720000}"/>
    <cellStyle name="Input 34 3 2 3 4" xfId="19029" xr:uid="{00000000-0005-0000-0000-0000F8720000}"/>
    <cellStyle name="Input 34 3 2 3 4 2" xfId="44566" xr:uid="{00000000-0005-0000-0000-0000F9720000}"/>
    <cellStyle name="Input 34 3 2 3 4 3" xfId="48472" xr:uid="{00000000-0005-0000-0000-0000FA720000}"/>
    <cellStyle name="Input 34 3 2 3 4 4" xfId="36635" xr:uid="{00000000-0005-0000-0000-0000FB720000}"/>
    <cellStyle name="Input 34 3 2 3 5" xfId="21174" xr:uid="{00000000-0005-0000-0000-0000FC720000}"/>
    <cellStyle name="Input 34 3 2 3 5 2" xfId="46711" xr:uid="{00000000-0005-0000-0000-0000FD720000}"/>
    <cellStyle name="Input 34 3 2 3 5 3" xfId="50617" xr:uid="{00000000-0005-0000-0000-0000FE720000}"/>
    <cellStyle name="Input 34 3 2 3 5 4" xfId="38580" xr:uid="{00000000-0005-0000-0000-0000FF720000}"/>
    <cellStyle name="Input 34 3 2 3 6" xfId="21827" xr:uid="{00000000-0005-0000-0000-000000730000}"/>
    <cellStyle name="Input 34 3 2 3 6 2" xfId="47364" xr:uid="{00000000-0005-0000-0000-000001730000}"/>
    <cellStyle name="Input 34 3 2 3 6 3" xfId="51270" xr:uid="{00000000-0005-0000-0000-000002730000}"/>
    <cellStyle name="Input 34 3 2 3 7" xfId="41167" xr:uid="{00000000-0005-0000-0000-000003730000}"/>
    <cellStyle name="Input 34 3 2 3 8" xfId="39588" xr:uid="{00000000-0005-0000-0000-000004730000}"/>
    <cellStyle name="Input 34 3 2 4" xfId="14931" xr:uid="{00000000-0005-0000-0000-000005730000}"/>
    <cellStyle name="Input 34 3 2 4 2" xfId="43047" xr:uid="{00000000-0005-0000-0000-000006730000}"/>
    <cellStyle name="Input 34 3 2 4 3" xfId="42538" xr:uid="{00000000-0005-0000-0000-000007730000}"/>
    <cellStyle name="Input 34 3 2 4 4" xfId="32566" xr:uid="{00000000-0005-0000-0000-000008730000}"/>
    <cellStyle name="Input 34 3 2 5" xfId="12485" xr:uid="{00000000-0005-0000-0000-000009730000}"/>
    <cellStyle name="Input 34 3 2 5 2" xfId="42005" xr:uid="{00000000-0005-0000-0000-00000A730000}"/>
    <cellStyle name="Input 34 3 2 5 3" xfId="43480" xr:uid="{00000000-0005-0000-0000-00000B730000}"/>
    <cellStyle name="Input 34 3 2 5 4" xfId="30156" xr:uid="{00000000-0005-0000-0000-00000C730000}"/>
    <cellStyle name="Input 34 3 2 6" xfId="19785" xr:uid="{00000000-0005-0000-0000-00000D730000}"/>
    <cellStyle name="Input 34 3 2 6 2" xfId="45322" xr:uid="{00000000-0005-0000-0000-00000E730000}"/>
    <cellStyle name="Input 34 3 2 6 3" xfId="49228" xr:uid="{00000000-0005-0000-0000-00000F730000}"/>
    <cellStyle name="Input 34 3 2 6 4" xfId="37310" xr:uid="{00000000-0005-0000-0000-000010730000}"/>
    <cellStyle name="Input 34 3 2 7" xfId="20499" xr:uid="{00000000-0005-0000-0000-000011730000}"/>
    <cellStyle name="Input 34 3 2 7 2" xfId="46036" xr:uid="{00000000-0005-0000-0000-000012730000}"/>
    <cellStyle name="Input 34 3 2 7 3" xfId="49942" xr:uid="{00000000-0005-0000-0000-000013730000}"/>
    <cellStyle name="Input 34 3 2 7 4" xfId="37943" xr:uid="{00000000-0005-0000-0000-000014730000}"/>
    <cellStyle name="Input 34 3 2 8" xfId="18899" xr:uid="{00000000-0005-0000-0000-000015730000}"/>
    <cellStyle name="Input 34 3 2 8 2" xfId="44436" xr:uid="{00000000-0005-0000-0000-000016730000}"/>
    <cellStyle name="Input 34 3 2 8 3" xfId="48342" xr:uid="{00000000-0005-0000-0000-000017730000}"/>
    <cellStyle name="Input 34 3 2 9" xfId="39907" xr:uid="{00000000-0005-0000-0000-000018730000}"/>
    <cellStyle name="Input 34 3 3" xfId="53167" xr:uid="{00000000-0005-0000-0000-000019730000}"/>
    <cellStyle name="Input 34 4" xfId="7140" xr:uid="{00000000-0005-0000-0000-00001A730000}"/>
    <cellStyle name="Input 34 4 10" xfId="40628" xr:uid="{00000000-0005-0000-0000-00001B730000}"/>
    <cellStyle name="Input 34 4 11" xfId="53168" xr:uid="{00000000-0005-0000-0000-00001C730000}"/>
    <cellStyle name="Input 34 4 2" xfId="10670" xr:uid="{00000000-0005-0000-0000-00001D730000}"/>
    <cellStyle name="Input 34 4 2 2" xfId="18463" xr:uid="{00000000-0005-0000-0000-00001E730000}"/>
    <cellStyle name="Input 34 4 2 2 2" xfId="44010" xr:uid="{00000000-0005-0000-0000-00001F730000}"/>
    <cellStyle name="Input 34 4 2 2 3" xfId="47919" xr:uid="{00000000-0005-0000-0000-000020730000}"/>
    <cellStyle name="Input 34 4 2 2 4" xfId="36100" xr:uid="{00000000-0005-0000-0000-000021730000}"/>
    <cellStyle name="Input 34 4 2 3" xfId="11501" xr:uid="{00000000-0005-0000-0000-000022730000}"/>
    <cellStyle name="Input 34 4 2 3 2" xfId="41512" xr:uid="{00000000-0005-0000-0000-000023730000}"/>
    <cellStyle name="Input 34 4 2 3 3" xfId="39680" xr:uid="{00000000-0005-0000-0000-000024730000}"/>
    <cellStyle name="Input 34 4 2 3 4" xfId="29216" xr:uid="{00000000-0005-0000-0000-000025730000}"/>
    <cellStyle name="Input 34 4 2 4" xfId="11683" xr:uid="{00000000-0005-0000-0000-000026730000}"/>
    <cellStyle name="Input 34 4 2 4 2" xfId="41694" xr:uid="{00000000-0005-0000-0000-000027730000}"/>
    <cellStyle name="Input 34 4 2 4 3" xfId="39346" xr:uid="{00000000-0005-0000-0000-000028730000}"/>
    <cellStyle name="Input 34 4 2 4 4" xfId="29376" xr:uid="{00000000-0005-0000-0000-000029730000}"/>
    <cellStyle name="Input 34 4 2 5" xfId="20876" xr:uid="{00000000-0005-0000-0000-00002A730000}"/>
    <cellStyle name="Input 34 4 2 5 2" xfId="46413" xr:uid="{00000000-0005-0000-0000-00002B730000}"/>
    <cellStyle name="Input 34 4 2 5 3" xfId="50319" xr:uid="{00000000-0005-0000-0000-00002C730000}"/>
    <cellStyle name="Input 34 4 2 5 4" xfId="38282" xr:uid="{00000000-0005-0000-0000-00002D730000}"/>
    <cellStyle name="Input 34 4 2 6" xfId="21529" xr:uid="{00000000-0005-0000-0000-00002E730000}"/>
    <cellStyle name="Input 34 4 2 6 2" xfId="47066" xr:uid="{00000000-0005-0000-0000-00002F730000}"/>
    <cellStyle name="Input 34 4 2 6 3" xfId="50972" xr:uid="{00000000-0005-0000-0000-000030730000}"/>
    <cellStyle name="Input 34 4 2 7" xfId="40869" xr:uid="{00000000-0005-0000-0000-000031730000}"/>
    <cellStyle name="Input 34 4 2 8" xfId="39196" xr:uid="{00000000-0005-0000-0000-000032730000}"/>
    <cellStyle name="Input 34 4 3" xfId="10965" xr:uid="{00000000-0005-0000-0000-000033730000}"/>
    <cellStyle name="Input 34 4 3 2" xfId="18758" xr:uid="{00000000-0005-0000-0000-000034730000}"/>
    <cellStyle name="Input 34 4 3 2 2" xfId="44305" xr:uid="{00000000-0005-0000-0000-000035730000}"/>
    <cellStyle name="Input 34 4 3 2 3" xfId="48214" xr:uid="{00000000-0005-0000-0000-000036730000}"/>
    <cellStyle name="Input 34 4 3 2 4" xfId="36395" xr:uid="{00000000-0005-0000-0000-000037730000}"/>
    <cellStyle name="Input 34 4 3 3" xfId="20004" xr:uid="{00000000-0005-0000-0000-000038730000}"/>
    <cellStyle name="Input 34 4 3 3 2" xfId="45541" xr:uid="{00000000-0005-0000-0000-000039730000}"/>
    <cellStyle name="Input 34 4 3 3 3" xfId="49447" xr:uid="{00000000-0005-0000-0000-00003A730000}"/>
    <cellStyle name="Input 34 4 3 3 4" xfId="37502" xr:uid="{00000000-0005-0000-0000-00003B730000}"/>
    <cellStyle name="Input 34 4 3 4" xfId="12087" xr:uid="{00000000-0005-0000-0000-00003C730000}"/>
    <cellStyle name="Input 34 4 3 4 2" xfId="41832" xr:uid="{00000000-0005-0000-0000-00003D730000}"/>
    <cellStyle name="Input 34 4 3 4 3" xfId="39331" xr:uid="{00000000-0005-0000-0000-00003E730000}"/>
    <cellStyle name="Input 34 4 3 4 4" xfId="29763" xr:uid="{00000000-0005-0000-0000-00003F730000}"/>
    <cellStyle name="Input 34 4 3 5" xfId="21171" xr:uid="{00000000-0005-0000-0000-000040730000}"/>
    <cellStyle name="Input 34 4 3 5 2" xfId="46708" xr:uid="{00000000-0005-0000-0000-000041730000}"/>
    <cellStyle name="Input 34 4 3 5 3" xfId="50614" xr:uid="{00000000-0005-0000-0000-000042730000}"/>
    <cellStyle name="Input 34 4 3 5 4" xfId="38577" xr:uid="{00000000-0005-0000-0000-000043730000}"/>
    <cellStyle name="Input 34 4 3 6" xfId="21824" xr:uid="{00000000-0005-0000-0000-000044730000}"/>
    <cellStyle name="Input 34 4 3 6 2" xfId="47361" xr:uid="{00000000-0005-0000-0000-000045730000}"/>
    <cellStyle name="Input 34 4 3 6 3" xfId="51267" xr:uid="{00000000-0005-0000-0000-000046730000}"/>
    <cellStyle name="Input 34 4 3 7" xfId="41164" xr:uid="{00000000-0005-0000-0000-000047730000}"/>
    <cellStyle name="Input 34 4 3 8" xfId="42731" xr:uid="{00000000-0005-0000-0000-000048730000}"/>
    <cellStyle name="Input 34 4 4" xfId="14928" xr:uid="{00000000-0005-0000-0000-000049730000}"/>
    <cellStyle name="Input 34 4 4 2" xfId="43044" xr:uid="{00000000-0005-0000-0000-00004A730000}"/>
    <cellStyle name="Input 34 4 4 3" xfId="43558" xr:uid="{00000000-0005-0000-0000-00004B730000}"/>
    <cellStyle name="Input 34 4 4 4" xfId="32563" xr:uid="{00000000-0005-0000-0000-00004C730000}"/>
    <cellStyle name="Input 34 4 5" xfId="12483" xr:uid="{00000000-0005-0000-0000-00004D730000}"/>
    <cellStyle name="Input 34 4 5 2" xfId="42003" xr:uid="{00000000-0005-0000-0000-00004E730000}"/>
    <cellStyle name="Input 34 4 5 3" xfId="39561" xr:uid="{00000000-0005-0000-0000-00004F730000}"/>
    <cellStyle name="Input 34 4 5 4" xfId="30154" xr:uid="{00000000-0005-0000-0000-000050730000}"/>
    <cellStyle name="Input 34 4 6" xfId="11462" xr:uid="{00000000-0005-0000-0000-000051730000}"/>
    <cellStyle name="Input 34 4 6 2" xfId="41473" xr:uid="{00000000-0005-0000-0000-000052730000}"/>
    <cellStyle name="Input 34 4 6 3" xfId="42585" xr:uid="{00000000-0005-0000-0000-000053730000}"/>
    <cellStyle name="Input 34 4 6 4" xfId="29181" xr:uid="{00000000-0005-0000-0000-000054730000}"/>
    <cellStyle name="Input 34 4 7" xfId="11801" xr:uid="{00000000-0005-0000-0000-000055730000}"/>
    <cellStyle name="Input 34 4 7 2" xfId="41751" xr:uid="{00000000-0005-0000-0000-000056730000}"/>
    <cellStyle name="Input 34 4 7 3" xfId="43168" xr:uid="{00000000-0005-0000-0000-000057730000}"/>
    <cellStyle name="Input 34 4 7 4" xfId="29487" xr:uid="{00000000-0005-0000-0000-000058730000}"/>
    <cellStyle name="Input 34 4 8" xfId="13912" xr:uid="{00000000-0005-0000-0000-000059730000}"/>
    <cellStyle name="Input 34 4 8 2" xfId="42647" xr:uid="{00000000-0005-0000-0000-00005A730000}"/>
    <cellStyle name="Input 34 4 8 3" xfId="39283" xr:uid="{00000000-0005-0000-0000-00005B730000}"/>
    <cellStyle name="Input 34 4 9" xfId="39904" xr:uid="{00000000-0005-0000-0000-00005C730000}"/>
    <cellStyle name="Input 34 5" xfId="22477" xr:uid="{00000000-0005-0000-0000-00005D730000}"/>
    <cellStyle name="Input 34 5 2" xfId="23041" xr:uid="{00000000-0005-0000-0000-00005E730000}"/>
    <cellStyle name="Input 34 5 2 2" xfId="47642" xr:uid="{00000000-0005-0000-0000-00005F730000}"/>
    <cellStyle name="Input 34 5 2 3" xfId="51453" xr:uid="{00000000-0005-0000-0000-000060730000}"/>
    <cellStyle name="Input 34 5 3" xfId="47535" xr:uid="{00000000-0005-0000-0000-000061730000}"/>
    <cellStyle name="Input 34 5 4" xfId="51389" xr:uid="{00000000-0005-0000-0000-000062730000}"/>
    <cellStyle name="Input 34 5 5" xfId="53169" xr:uid="{00000000-0005-0000-0000-000063730000}"/>
    <cellStyle name="Input 34 6" xfId="22910" xr:uid="{00000000-0005-0000-0000-000064730000}"/>
    <cellStyle name="Input 34 6 2" xfId="23058" xr:uid="{00000000-0005-0000-0000-000065730000}"/>
    <cellStyle name="Input 34 6 2 2" xfId="47658" xr:uid="{00000000-0005-0000-0000-000066730000}"/>
    <cellStyle name="Input 34 6 2 3" xfId="51469" xr:uid="{00000000-0005-0000-0000-000067730000}"/>
    <cellStyle name="Input 34 6 3" xfId="47614" xr:uid="{00000000-0005-0000-0000-000068730000}"/>
    <cellStyle name="Input 34 6 4" xfId="51429" xr:uid="{00000000-0005-0000-0000-000069730000}"/>
    <cellStyle name="Input 34 6 5" xfId="53170" xr:uid="{00000000-0005-0000-0000-00006A730000}"/>
    <cellStyle name="Input 34 7" xfId="53164" xr:uid="{00000000-0005-0000-0000-00006B730000}"/>
    <cellStyle name="Input 34_Sheet1" xfId="1982" xr:uid="{00000000-0005-0000-0000-00006C730000}"/>
    <cellStyle name="Input 35" xfId="1983" xr:uid="{00000000-0005-0000-0000-00006D730000}"/>
    <cellStyle name="Input 35 2" xfId="1984" xr:uid="{00000000-0005-0000-0000-00006E730000}"/>
    <cellStyle name="Input 35 2 2" xfId="1985" xr:uid="{00000000-0005-0000-0000-00006F730000}"/>
    <cellStyle name="Input 35 2 2 2" xfId="7146" xr:uid="{00000000-0005-0000-0000-000070730000}"/>
    <cellStyle name="Input 35 2 2 2 10" xfId="42626" xr:uid="{00000000-0005-0000-0000-000071730000}"/>
    <cellStyle name="Input 35 2 2 2 2" xfId="10676" xr:uid="{00000000-0005-0000-0000-000072730000}"/>
    <cellStyle name="Input 35 2 2 2 2 2" xfId="18469" xr:uid="{00000000-0005-0000-0000-000073730000}"/>
    <cellStyle name="Input 35 2 2 2 2 2 2" xfId="44016" xr:uid="{00000000-0005-0000-0000-000074730000}"/>
    <cellStyle name="Input 35 2 2 2 2 2 3" xfId="47925" xr:uid="{00000000-0005-0000-0000-000075730000}"/>
    <cellStyle name="Input 35 2 2 2 2 2 4" xfId="36106" xr:uid="{00000000-0005-0000-0000-000076730000}"/>
    <cellStyle name="Input 35 2 2 2 2 3" xfId="19606" xr:uid="{00000000-0005-0000-0000-000077730000}"/>
    <cellStyle name="Input 35 2 2 2 2 3 2" xfId="45143" xr:uid="{00000000-0005-0000-0000-000078730000}"/>
    <cellStyle name="Input 35 2 2 2 2 3 3" xfId="49049" xr:uid="{00000000-0005-0000-0000-000079730000}"/>
    <cellStyle name="Input 35 2 2 2 2 3 4" xfId="37146" xr:uid="{00000000-0005-0000-0000-00007A730000}"/>
    <cellStyle name="Input 35 2 2 2 2 4" xfId="11448" xr:uid="{00000000-0005-0000-0000-00007B730000}"/>
    <cellStyle name="Input 35 2 2 2 2 4 2" xfId="41459" xr:uid="{00000000-0005-0000-0000-00007C730000}"/>
    <cellStyle name="Input 35 2 2 2 2 4 3" xfId="43355" xr:uid="{00000000-0005-0000-0000-00007D730000}"/>
    <cellStyle name="Input 35 2 2 2 2 4 4" xfId="29168" xr:uid="{00000000-0005-0000-0000-00007E730000}"/>
    <cellStyle name="Input 35 2 2 2 2 5" xfId="20882" xr:uid="{00000000-0005-0000-0000-00007F730000}"/>
    <cellStyle name="Input 35 2 2 2 2 5 2" xfId="46419" xr:uid="{00000000-0005-0000-0000-000080730000}"/>
    <cellStyle name="Input 35 2 2 2 2 5 3" xfId="50325" xr:uid="{00000000-0005-0000-0000-000081730000}"/>
    <cellStyle name="Input 35 2 2 2 2 5 4" xfId="38288" xr:uid="{00000000-0005-0000-0000-000082730000}"/>
    <cellStyle name="Input 35 2 2 2 2 6" xfId="21535" xr:uid="{00000000-0005-0000-0000-000083730000}"/>
    <cellStyle name="Input 35 2 2 2 2 6 2" xfId="47072" xr:uid="{00000000-0005-0000-0000-000084730000}"/>
    <cellStyle name="Input 35 2 2 2 2 6 3" xfId="50978" xr:uid="{00000000-0005-0000-0000-000085730000}"/>
    <cellStyle name="Input 35 2 2 2 2 7" xfId="40875" xr:uid="{00000000-0005-0000-0000-000086730000}"/>
    <cellStyle name="Input 35 2 2 2 2 8" xfId="40596" xr:uid="{00000000-0005-0000-0000-000087730000}"/>
    <cellStyle name="Input 35 2 2 2 3" xfId="10971" xr:uid="{00000000-0005-0000-0000-000088730000}"/>
    <cellStyle name="Input 35 2 2 2 3 2" xfId="18764" xr:uid="{00000000-0005-0000-0000-000089730000}"/>
    <cellStyle name="Input 35 2 2 2 3 2 2" xfId="44311" xr:uid="{00000000-0005-0000-0000-00008A730000}"/>
    <cellStyle name="Input 35 2 2 2 3 2 3" xfId="48220" xr:uid="{00000000-0005-0000-0000-00008B730000}"/>
    <cellStyle name="Input 35 2 2 2 3 2 4" xfId="36401" xr:uid="{00000000-0005-0000-0000-00008C730000}"/>
    <cellStyle name="Input 35 2 2 2 3 3" xfId="20137" xr:uid="{00000000-0005-0000-0000-00008D730000}"/>
    <cellStyle name="Input 35 2 2 2 3 3 2" xfId="45674" xr:uid="{00000000-0005-0000-0000-00008E730000}"/>
    <cellStyle name="Input 35 2 2 2 3 3 3" xfId="49580" xr:uid="{00000000-0005-0000-0000-00008F730000}"/>
    <cellStyle name="Input 35 2 2 2 3 3 4" xfId="37623" xr:uid="{00000000-0005-0000-0000-000090730000}"/>
    <cellStyle name="Input 35 2 2 2 3 4" xfId="11624" xr:uid="{00000000-0005-0000-0000-000091730000}"/>
    <cellStyle name="Input 35 2 2 2 3 4 2" xfId="41635" xr:uid="{00000000-0005-0000-0000-000092730000}"/>
    <cellStyle name="Input 35 2 2 2 3 4 3" xfId="43491" xr:uid="{00000000-0005-0000-0000-000093730000}"/>
    <cellStyle name="Input 35 2 2 2 3 4 4" xfId="29327" xr:uid="{00000000-0005-0000-0000-000094730000}"/>
    <cellStyle name="Input 35 2 2 2 3 5" xfId="21177" xr:uid="{00000000-0005-0000-0000-000095730000}"/>
    <cellStyle name="Input 35 2 2 2 3 5 2" xfId="46714" xr:uid="{00000000-0005-0000-0000-000096730000}"/>
    <cellStyle name="Input 35 2 2 2 3 5 3" xfId="50620" xr:uid="{00000000-0005-0000-0000-000097730000}"/>
    <cellStyle name="Input 35 2 2 2 3 5 4" xfId="38583" xr:uid="{00000000-0005-0000-0000-000098730000}"/>
    <cellStyle name="Input 35 2 2 2 3 6" xfId="21830" xr:uid="{00000000-0005-0000-0000-000099730000}"/>
    <cellStyle name="Input 35 2 2 2 3 6 2" xfId="47367" xr:uid="{00000000-0005-0000-0000-00009A730000}"/>
    <cellStyle name="Input 35 2 2 2 3 6 3" xfId="51273" xr:uid="{00000000-0005-0000-0000-00009B730000}"/>
    <cellStyle name="Input 35 2 2 2 3 7" xfId="41170" xr:uid="{00000000-0005-0000-0000-00009C730000}"/>
    <cellStyle name="Input 35 2 2 2 3 8" xfId="40372" xr:uid="{00000000-0005-0000-0000-00009D730000}"/>
    <cellStyle name="Input 35 2 2 2 4" xfId="14934" xr:uid="{00000000-0005-0000-0000-00009E730000}"/>
    <cellStyle name="Input 35 2 2 2 4 2" xfId="43050" xr:uid="{00000000-0005-0000-0000-00009F730000}"/>
    <cellStyle name="Input 35 2 2 2 4 3" xfId="39428" xr:uid="{00000000-0005-0000-0000-0000A0730000}"/>
    <cellStyle name="Input 35 2 2 2 4 4" xfId="32569" xr:uid="{00000000-0005-0000-0000-0000A1730000}"/>
    <cellStyle name="Input 35 2 2 2 5" xfId="13165" xr:uid="{00000000-0005-0000-0000-0000A2730000}"/>
    <cellStyle name="Input 35 2 2 2 5 2" xfId="42386" xr:uid="{00000000-0005-0000-0000-0000A3730000}"/>
    <cellStyle name="Input 35 2 2 2 5 3" xfId="39091" xr:uid="{00000000-0005-0000-0000-0000A4730000}"/>
    <cellStyle name="Input 35 2 2 2 5 4" xfId="30814" xr:uid="{00000000-0005-0000-0000-0000A5730000}"/>
    <cellStyle name="Input 35 2 2 2 6" xfId="12043" xr:uid="{00000000-0005-0000-0000-0000A6730000}"/>
    <cellStyle name="Input 35 2 2 2 6 2" xfId="41799" xr:uid="{00000000-0005-0000-0000-0000A7730000}"/>
    <cellStyle name="Input 35 2 2 2 6 3" xfId="47587" xr:uid="{00000000-0005-0000-0000-0000A8730000}"/>
    <cellStyle name="Input 35 2 2 2 6 4" xfId="29722" xr:uid="{00000000-0005-0000-0000-0000A9730000}"/>
    <cellStyle name="Input 35 2 2 2 7" xfId="20468" xr:uid="{00000000-0005-0000-0000-0000AA730000}"/>
    <cellStyle name="Input 35 2 2 2 7 2" xfId="46005" xr:uid="{00000000-0005-0000-0000-0000AB730000}"/>
    <cellStyle name="Input 35 2 2 2 7 3" xfId="49911" xr:uid="{00000000-0005-0000-0000-0000AC730000}"/>
    <cellStyle name="Input 35 2 2 2 7 4" xfId="37921" xr:uid="{00000000-0005-0000-0000-0000AD730000}"/>
    <cellStyle name="Input 35 2 2 2 8" xfId="19224" xr:uid="{00000000-0005-0000-0000-0000AE730000}"/>
    <cellStyle name="Input 35 2 2 2 8 2" xfId="44761" xr:uid="{00000000-0005-0000-0000-0000AF730000}"/>
    <cellStyle name="Input 35 2 2 2 8 3" xfId="48667" xr:uid="{00000000-0005-0000-0000-0000B0730000}"/>
    <cellStyle name="Input 35 2 2 2 9" xfId="39910" xr:uid="{00000000-0005-0000-0000-0000B1730000}"/>
    <cellStyle name="Input 35 2 2 3" xfId="53173" xr:uid="{00000000-0005-0000-0000-0000B2730000}"/>
    <cellStyle name="Input 35 2 3" xfId="7145" xr:uid="{00000000-0005-0000-0000-0000B3730000}"/>
    <cellStyle name="Input 35 2 3 10" xfId="39618" xr:uid="{00000000-0005-0000-0000-0000B4730000}"/>
    <cellStyle name="Input 35 2 3 2" xfId="10675" xr:uid="{00000000-0005-0000-0000-0000B5730000}"/>
    <cellStyle name="Input 35 2 3 2 2" xfId="18468" xr:uid="{00000000-0005-0000-0000-0000B6730000}"/>
    <cellStyle name="Input 35 2 3 2 2 2" xfId="44015" xr:uid="{00000000-0005-0000-0000-0000B7730000}"/>
    <cellStyle name="Input 35 2 3 2 2 3" xfId="47924" xr:uid="{00000000-0005-0000-0000-0000B8730000}"/>
    <cellStyle name="Input 35 2 3 2 2 4" xfId="36105" xr:uid="{00000000-0005-0000-0000-0000B9730000}"/>
    <cellStyle name="Input 35 2 3 2 3" xfId="12630" xr:uid="{00000000-0005-0000-0000-0000BA730000}"/>
    <cellStyle name="Input 35 2 3 2 3 2" xfId="42109" xr:uid="{00000000-0005-0000-0000-0000BB730000}"/>
    <cellStyle name="Input 35 2 3 2 3 3" xfId="40552" xr:uid="{00000000-0005-0000-0000-0000BC730000}"/>
    <cellStyle name="Input 35 2 3 2 3 4" xfId="30295" xr:uid="{00000000-0005-0000-0000-0000BD730000}"/>
    <cellStyle name="Input 35 2 3 2 4" xfId="19825" xr:uid="{00000000-0005-0000-0000-0000BE730000}"/>
    <cellStyle name="Input 35 2 3 2 4 2" xfId="45362" xr:uid="{00000000-0005-0000-0000-0000BF730000}"/>
    <cellStyle name="Input 35 2 3 2 4 3" xfId="49268" xr:uid="{00000000-0005-0000-0000-0000C0730000}"/>
    <cellStyle name="Input 35 2 3 2 4 4" xfId="37343" xr:uid="{00000000-0005-0000-0000-0000C1730000}"/>
    <cellStyle name="Input 35 2 3 2 5" xfId="20881" xr:uid="{00000000-0005-0000-0000-0000C2730000}"/>
    <cellStyle name="Input 35 2 3 2 5 2" xfId="46418" xr:uid="{00000000-0005-0000-0000-0000C3730000}"/>
    <cellStyle name="Input 35 2 3 2 5 3" xfId="50324" xr:uid="{00000000-0005-0000-0000-0000C4730000}"/>
    <cellStyle name="Input 35 2 3 2 5 4" xfId="38287" xr:uid="{00000000-0005-0000-0000-0000C5730000}"/>
    <cellStyle name="Input 35 2 3 2 6" xfId="21534" xr:uid="{00000000-0005-0000-0000-0000C6730000}"/>
    <cellStyle name="Input 35 2 3 2 6 2" xfId="47071" xr:uid="{00000000-0005-0000-0000-0000C7730000}"/>
    <cellStyle name="Input 35 2 3 2 6 3" xfId="50977" xr:uid="{00000000-0005-0000-0000-0000C8730000}"/>
    <cellStyle name="Input 35 2 3 2 7" xfId="40874" xr:uid="{00000000-0005-0000-0000-0000C9730000}"/>
    <cellStyle name="Input 35 2 3 2 8" xfId="43737" xr:uid="{00000000-0005-0000-0000-0000CA730000}"/>
    <cellStyle name="Input 35 2 3 3" xfId="10970" xr:uid="{00000000-0005-0000-0000-0000CB730000}"/>
    <cellStyle name="Input 35 2 3 3 2" xfId="18763" xr:uid="{00000000-0005-0000-0000-0000CC730000}"/>
    <cellStyle name="Input 35 2 3 3 2 2" xfId="44310" xr:uid="{00000000-0005-0000-0000-0000CD730000}"/>
    <cellStyle name="Input 35 2 3 3 2 3" xfId="48219" xr:uid="{00000000-0005-0000-0000-0000CE730000}"/>
    <cellStyle name="Input 35 2 3 3 2 4" xfId="36400" xr:uid="{00000000-0005-0000-0000-0000CF730000}"/>
    <cellStyle name="Input 35 2 3 3 3" xfId="19586" xr:uid="{00000000-0005-0000-0000-0000D0730000}"/>
    <cellStyle name="Input 35 2 3 3 3 2" xfId="45123" xr:uid="{00000000-0005-0000-0000-0000D1730000}"/>
    <cellStyle name="Input 35 2 3 3 3 3" xfId="49029" xr:uid="{00000000-0005-0000-0000-0000D2730000}"/>
    <cellStyle name="Input 35 2 3 3 3 4" xfId="37126" xr:uid="{00000000-0005-0000-0000-0000D3730000}"/>
    <cellStyle name="Input 35 2 3 3 4" xfId="11560" xr:uid="{00000000-0005-0000-0000-0000D4730000}"/>
    <cellStyle name="Input 35 2 3 3 4 2" xfId="41571" xr:uid="{00000000-0005-0000-0000-0000D5730000}"/>
    <cellStyle name="Input 35 2 3 3 4 3" xfId="39678" xr:uid="{00000000-0005-0000-0000-0000D6730000}"/>
    <cellStyle name="Input 35 2 3 3 4 4" xfId="29272" xr:uid="{00000000-0005-0000-0000-0000D7730000}"/>
    <cellStyle name="Input 35 2 3 3 5" xfId="21176" xr:uid="{00000000-0005-0000-0000-0000D8730000}"/>
    <cellStyle name="Input 35 2 3 3 5 2" xfId="46713" xr:uid="{00000000-0005-0000-0000-0000D9730000}"/>
    <cellStyle name="Input 35 2 3 3 5 3" xfId="50619" xr:uid="{00000000-0005-0000-0000-0000DA730000}"/>
    <cellStyle name="Input 35 2 3 3 5 4" xfId="38582" xr:uid="{00000000-0005-0000-0000-0000DB730000}"/>
    <cellStyle name="Input 35 2 3 3 6" xfId="21829" xr:uid="{00000000-0005-0000-0000-0000DC730000}"/>
    <cellStyle name="Input 35 2 3 3 6 2" xfId="47366" xr:uid="{00000000-0005-0000-0000-0000DD730000}"/>
    <cellStyle name="Input 35 2 3 3 6 3" xfId="51272" xr:uid="{00000000-0005-0000-0000-0000DE730000}"/>
    <cellStyle name="Input 35 2 3 3 7" xfId="41169" xr:uid="{00000000-0005-0000-0000-0000DF730000}"/>
    <cellStyle name="Input 35 2 3 3 8" xfId="43509" xr:uid="{00000000-0005-0000-0000-0000E0730000}"/>
    <cellStyle name="Input 35 2 3 4" xfId="14933" xr:uid="{00000000-0005-0000-0000-0000E1730000}"/>
    <cellStyle name="Input 35 2 3 4 2" xfId="43049" xr:uid="{00000000-0005-0000-0000-0000E2730000}"/>
    <cellStyle name="Input 35 2 3 4 3" xfId="40311" xr:uid="{00000000-0005-0000-0000-0000E3730000}"/>
    <cellStyle name="Input 35 2 3 4 4" xfId="32568" xr:uid="{00000000-0005-0000-0000-0000E4730000}"/>
    <cellStyle name="Input 35 2 3 5" xfId="13164" xr:uid="{00000000-0005-0000-0000-0000E5730000}"/>
    <cellStyle name="Input 35 2 3 5 2" xfId="42385" xr:uid="{00000000-0005-0000-0000-0000E6730000}"/>
    <cellStyle name="Input 35 2 3 5 3" xfId="39092" xr:uid="{00000000-0005-0000-0000-0000E7730000}"/>
    <cellStyle name="Input 35 2 3 5 4" xfId="30813" xr:uid="{00000000-0005-0000-0000-0000E8730000}"/>
    <cellStyle name="Input 35 2 3 6" xfId="20195" xr:uid="{00000000-0005-0000-0000-0000E9730000}"/>
    <cellStyle name="Input 35 2 3 6 2" xfId="45732" xr:uid="{00000000-0005-0000-0000-0000EA730000}"/>
    <cellStyle name="Input 35 2 3 6 3" xfId="49638" xr:uid="{00000000-0005-0000-0000-0000EB730000}"/>
    <cellStyle name="Input 35 2 3 6 4" xfId="37678" xr:uid="{00000000-0005-0000-0000-0000EC730000}"/>
    <cellStyle name="Input 35 2 3 7" xfId="13309" xr:uid="{00000000-0005-0000-0000-0000ED730000}"/>
    <cellStyle name="Input 35 2 3 7 2" xfId="42479" xr:uid="{00000000-0005-0000-0000-0000EE730000}"/>
    <cellStyle name="Input 35 2 3 7 3" xfId="43459" xr:uid="{00000000-0005-0000-0000-0000EF730000}"/>
    <cellStyle name="Input 35 2 3 7 4" xfId="30950" xr:uid="{00000000-0005-0000-0000-0000F0730000}"/>
    <cellStyle name="Input 35 2 3 8" xfId="19156" xr:uid="{00000000-0005-0000-0000-0000F1730000}"/>
    <cellStyle name="Input 35 2 3 8 2" xfId="44693" xr:uid="{00000000-0005-0000-0000-0000F2730000}"/>
    <cellStyle name="Input 35 2 3 8 3" xfId="48599" xr:uid="{00000000-0005-0000-0000-0000F3730000}"/>
    <cellStyle name="Input 35 2 3 9" xfId="39909" xr:uid="{00000000-0005-0000-0000-0000F4730000}"/>
    <cellStyle name="Input 35 2 4" xfId="53172" xr:uid="{00000000-0005-0000-0000-0000F5730000}"/>
    <cellStyle name="Input 35 2_Sheet1" xfId="1986" xr:uid="{00000000-0005-0000-0000-0000F6730000}"/>
    <cellStyle name="Input 35 3" xfId="1987" xr:uid="{00000000-0005-0000-0000-0000F7730000}"/>
    <cellStyle name="Input 35 3 2" xfId="7147" xr:uid="{00000000-0005-0000-0000-0000F8730000}"/>
    <cellStyle name="Input 35 3 2 10" xfId="43539" xr:uid="{00000000-0005-0000-0000-0000F9730000}"/>
    <cellStyle name="Input 35 3 2 2" xfId="10677" xr:uid="{00000000-0005-0000-0000-0000FA730000}"/>
    <cellStyle name="Input 35 3 2 2 2" xfId="18470" xr:uid="{00000000-0005-0000-0000-0000FB730000}"/>
    <cellStyle name="Input 35 3 2 2 2 2" xfId="44017" xr:uid="{00000000-0005-0000-0000-0000FC730000}"/>
    <cellStyle name="Input 35 3 2 2 2 3" xfId="47926" xr:uid="{00000000-0005-0000-0000-0000FD730000}"/>
    <cellStyle name="Input 35 3 2 2 2 4" xfId="36107" xr:uid="{00000000-0005-0000-0000-0000FE730000}"/>
    <cellStyle name="Input 35 3 2 2 3" xfId="20160" xr:uid="{00000000-0005-0000-0000-0000FF730000}"/>
    <cellStyle name="Input 35 3 2 2 3 2" xfId="45697" xr:uid="{00000000-0005-0000-0000-000000740000}"/>
    <cellStyle name="Input 35 3 2 2 3 3" xfId="49603" xr:uid="{00000000-0005-0000-0000-000001740000}"/>
    <cellStyle name="Input 35 3 2 2 3 4" xfId="37646" xr:uid="{00000000-0005-0000-0000-000002740000}"/>
    <cellStyle name="Input 35 3 2 2 4" xfId="11539" xr:uid="{00000000-0005-0000-0000-000003740000}"/>
    <cellStyle name="Input 35 3 2 2 4 2" xfId="41550" xr:uid="{00000000-0005-0000-0000-000004740000}"/>
    <cellStyle name="Input 35 3 2 2 4 3" xfId="43707" xr:uid="{00000000-0005-0000-0000-000005740000}"/>
    <cellStyle name="Input 35 3 2 2 4 4" xfId="29253" xr:uid="{00000000-0005-0000-0000-000006740000}"/>
    <cellStyle name="Input 35 3 2 2 5" xfId="20883" xr:uid="{00000000-0005-0000-0000-000007740000}"/>
    <cellStyle name="Input 35 3 2 2 5 2" xfId="46420" xr:uid="{00000000-0005-0000-0000-000008740000}"/>
    <cellStyle name="Input 35 3 2 2 5 3" xfId="50326" xr:uid="{00000000-0005-0000-0000-000009740000}"/>
    <cellStyle name="Input 35 3 2 2 5 4" xfId="38289" xr:uid="{00000000-0005-0000-0000-00000A740000}"/>
    <cellStyle name="Input 35 3 2 2 6" xfId="21536" xr:uid="{00000000-0005-0000-0000-00000B740000}"/>
    <cellStyle name="Input 35 3 2 2 6 2" xfId="47073" xr:uid="{00000000-0005-0000-0000-00000C740000}"/>
    <cellStyle name="Input 35 3 2 2 6 3" xfId="50979" xr:uid="{00000000-0005-0000-0000-00000D740000}"/>
    <cellStyle name="Input 35 3 2 2 7" xfId="40876" xr:uid="{00000000-0005-0000-0000-00000E740000}"/>
    <cellStyle name="Input 35 3 2 2 8" xfId="39707" xr:uid="{00000000-0005-0000-0000-00000F740000}"/>
    <cellStyle name="Input 35 3 2 3" xfId="10972" xr:uid="{00000000-0005-0000-0000-000010740000}"/>
    <cellStyle name="Input 35 3 2 3 2" xfId="18765" xr:uid="{00000000-0005-0000-0000-000011740000}"/>
    <cellStyle name="Input 35 3 2 3 2 2" xfId="44312" xr:uid="{00000000-0005-0000-0000-000012740000}"/>
    <cellStyle name="Input 35 3 2 3 2 3" xfId="48221" xr:uid="{00000000-0005-0000-0000-000013740000}"/>
    <cellStyle name="Input 35 3 2 3 2 4" xfId="36402" xr:uid="{00000000-0005-0000-0000-000014740000}"/>
    <cellStyle name="Input 35 3 2 3 3" xfId="19396" xr:uid="{00000000-0005-0000-0000-000015740000}"/>
    <cellStyle name="Input 35 3 2 3 3 2" xfId="44933" xr:uid="{00000000-0005-0000-0000-000016740000}"/>
    <cellStyle name="Input 35 3 2 3 3 3" xfId="48839" xr:uid="{00000000-0005-0000-0000-000017740000}"/>
    <cellStyle name="Input 35 3 2 3 3 4" xfId="36961" xr:uid="{00000000-0005-0000-0000-000018740000}"/>
    <cellStyle name="Input 35 3 2 3 4" xfId="20340" xr:uid="{00000000-0005-0000-0000-000019740000}"/>
    <cellStyle name="Input 35 3 2 3 4 2" xfId="45877" xr:uid="{00000000-0005-0000-0000-00001A740000}"/>
    <cellStyle name="Input 35 3 2 3 4 3" xfId="49783" xr:uid="{00000000-0005-0000-0000-00001B740000}"/>
    <cellStyle name="Input 35 3 2 3 4 4" xfId="37802" xr:uid="{00000000-0005-0000-0000-00001C740000}"/>
    <cellStyle name="Input 35 3 2 3 5" xfId="21178" xr:uid="{00000000-0005-0000-0000-00001D740000}"/>
    <cellStyle name="Input 35 3 2 3 5 2" xfId="46715" xr:uid="{00000000-0005-0000-0000-00001E740000}"/>
    <cellStyle name="Input 35 3 2 3 5 3" xfId="50621" xr:uid="{00000000-0005-0000-0000-00001F740000}"/>
    <cellStyle name="Input 35 3 2 3 5 4" xfId="38584" xr:uid="{00000000-0005-0000-0000-000020740000}"/>
    <cellStyle name="Input 35 3 2 3 6" xfId="21831" xr:uid="{00000000-0005-0000-0000-000021740000}"/>
    <cellStyle name="Input 35 3 2 3 6 2" xfId="47368" xr:uid="{00000000-0005-0000-0000-000022740000}"/>
    <cellStyle name="Input 35 3 2 3 6 3" xfId="51274" xr:uid="{00000000-0005-0000-0000-000023740000}"/>
    <cellStyle name="Input 35 3 2 3 7" xfId="41171" xr:uid="{00000000-0005-0000-0000-000024740000}"/>
    <cellStyle name="Input 35 3 2 3 8" xfId="39484" xr:uid="{00000000-0005-0000-0000-000025740000}"/>
    <cellStyle name="Input 35 3 2 4" xfId="14935" xr:uid="{00000000-0005-0000-0000-000026740000}"/>
    <cellStyle name="Input 35 3 2 4 2" xfId="43051" xr:uid="{00000000-0005-0000-0000-000027740000}"/>
    <cellStyle name="Input 35 3 2 4 3" xfId="41943" xr:uid="{00000000-0005-0000-0000-000028740000}"/>
    <cellStyle name="Input 35 3 2 4 4" xfId="32570" xr:uid="{00000000-0005-0000-0000-000029740000}"/>
    <cellStyle name="Input 35 3 2 5" xfId="13166" xr:uid="{00000000-0005-0000-0000-00002A740000}"/>
    <cellStyle name="Input 35 3 2 5 2" xfId="42387" xr:uid="{00000000-0005-0000-0000-00002B740000}"/>
    <cellStyle name="Input 35 3 2 5 3" xfId="39090" xr:uid="{00000000-0005-0000-0000-00002C740000}"/>
    <cellStyle name="Input 35 3 2 5 4" xfId="30815" xr:uid="{00000000-0005-0000-0000-00002D740000}"/>
    <cellStyle name="Input 35 3 2 6" xfId="19925" xr:uid="{00000000-0005-0000-0000-00002E740000}"/>
    <cellStyle name="Input 35 3 2 6 2" xfId="45462" xr:uid="{00000000-0005-0000-0000-00002F740000}"/>
    <cellStyle name="Input 35 3 2 6 3" xfId="49368" xr:uid="{00000000-0005-0000-0000-000030740000}"/>
    <cellStyle name="Input 35 3 2 6 4" xfId="37439" xr:uid="{00000000-0005-0000-0000-000031740000}"/>
    <cellStyle name="Input 35 3 2 7" xfId="19509" xr:uid="{00000000-0005-0000-0000-000032740000}"/>
    <cellStyle name="Input 35 3 2 7 2" xfId="45046" xr:uid="{00000000-0005-0000-0000-000033740000}"/>
    <cellStyle name="Input 35 3 2 7 3" xfId="48952" xr:uid="{00000000-0005-0000-0000-000034740000}"/>
    <cellStyle name="Input 35 3 2 7 4" xfId="37057" xr:uid="{00000000-0005-0000-0000-000035740000}"/>
    <cellStyle name="Input 35 3 2 8" xfId="12076" xr:uid="{00000000-0005-0000-0000-000036740000}"/>
    <cellStyle name="Input 35 3 2 8 2" xfId="41822" xr:uid="{00000000-0005-0000-0000-000037740000}"/>
    <cellStyle name="Input 35 3 2 8 3" xfId="41999" xr:uid="{00000000-0005-0000-0000-000038740000}"/>
    <cellStyle name="Input 35 3 2 9" xfId="39911" xr:uid="{00000000-0005-0000-0000-000039740000}"/>
    <cellStyle name="Input 35 3 3" xfId="53174" xr:uid="{00000000-0005-0000-0000-00003A740000}"/>
    <cellStyle name="Input 35 4" xfId="7144" xr:uid="{00000000-0005-0000-0000-00003B740000}"/>
    <cellStyle name="Input 35 4 10" xfId="40508" xr:uid="{00000000-0005-0000-0000-00003C740000}"/>
    <cellStyle name="Input 35 4 11" xfId="53175" xr:uid="{00000000-0005-0000-0000-00003D740000}"/>
    <cellStyle name="Input 35 4 2" xfId="10674" xr:uid="{00000000-0005-0000-0000-00003E740000}"/>
    <cellStyle name="Input 35 4 2 2" xfId="18467" xr:uid="{00000000-0005-0000-0000-00003F740000}"/>
    <cellStyle name="Input 35 4 2 2 2" xfId="44014" xr:uid="{00000000-0005-0000-0000-000040740000}"/>
    <cellStyle name="Input 35 4 2 2 3" xfId="47923" xr:uid="{00000000-0005-0000-0000-000041740000}"/>
    <cellStyle name="Input 35 4 2 2 4" xfId="36104" xr:uid="{00000000-0005-0000-0000-000042740000}"/>
    <cellStyle name="Input 35 4 2 3" xfId="19742" xr:uid="{00000000-0005-0000-0000-000043740000}"/>
    <cellStyle name="Input 35 4 2 3 2" xfId="45279" xr:uid="{00000000-0005-0000-0000-000044740000}"/>
    <cellStyle name="Input 35 4 2 3 3" xfId="49185" xr:uid="{00000000-0005-0000-0000-000045740000}"/>
    <cellStyle name="Input 35 4 2 3 4" xfId="37269" xr:uid="{00000000-0005-0000-0000-000046740000}"/>
    <cellStyle name="Input 35 4 2 4" xfId="11555" xr:uid="{00000000-0005-0000-0000-000047740000}"/>
    <cellStyle name="Input 35 4 2 4 2" xfId="41566" xr:uid="{00000000-0005-0000-0000-000048740000}"/>
    <cellStyle name="Input 35 4 2 4 3" xfId="43349" xr:uid="{00000000-0005-0000-0000-000049740000}"/>
    <cellStyle name="Input 35 4 2 4 4" xfId="29267" xr:uid="{00000000-0005-0000-0000-00004A740000}"/>
    <cellStyle name="Input 35 4 2 5" xfId="20880" xr:uid="{00000000-0005-0000-0000-00004B740000}"/>
    <cellStyle name="Input 35 4 2 5 2" xfId="46417" xr:uid="{00000000-0005-0000-0000-00004C740000}"/>
    <cellStyle name="Input 35 4 2 5 3" xfId="50323" xr:uid="{00000000-0005-0000-0000-00004D740000}"/>
    <cellStyle name="Input 35 4 2 5 4" xfId="38286" xr:uid="{00000000-0005-0000-0000-00004E740000}"/>
    <cellStyle name="Input 35 4 2 6" xfId="21533" xr:uid="{00000000-0005-0000-0000-00004F740000}"/>
    <cellStyle name="Input 35 4 2 6 2" xfId="47070" xr:uid="{00000000-0005-0000-0000-000050740000}"/>
    <cellStyle name="Input 35 4 2 6 3" xfId="50976" xr:uid="{00000000-0005-0000-0000-000051740000}"/>
    <cellStyle name="Input 35 4 2 7" xfId="40873" xr:uid="{00000000-0005-0000-0000-000052740000}"/>
    <cellStyle name="Input 35 4 2 8" xfId="42848" xr:uid="{00000000-0005-0000-0000-000053740000}"/>
    <cellStyle name="Input 35 4 3" xfId="10969" xr:uid="{00000000-0005-0000-0000-000054740000}"/>
    <cellStyle name="Input 35 4 3 2" xfId="18762" xr:uid="{00000000-0005-0000-0000-000055740000}"/>
    <cellStyle name="Input 35 4 3 2 2" xfId="44309" xr:uid="{00000000-0005-0000-0000-000056740000}"/>
    <cellStyle name="Input 35 4 3 2 3" xfId="48218" xr:uid="{00000000-0005-0000-0000-000057740000}"/>
    <cellStyle name="Input 35 4 3 2 4" xfId="36399" xr:uid="{00000000-0005-0000-0000-000058740000}"/>
    <cellStyle name="Input 35 4 3 3" xfId="12641" xr:uid="{00000000-0005-0000-0000-000059740000}"/>
    <cellStyle name="Input 35 4 3 3 2" xfId="42120" xr:uid="{00000000-0005-0000-0000-00005A740000}"/>
    <cellStyle name="Input 35 4 3 3 3" xfId="43334" xr:uid="{00000000-0005-0000-0000-00005B740000}"/>
    <cellStyle name="Input 35 4 3 3 4" xfId="30306" xr:uid="{00000000-0005-0000-0000-00005C740000}"/>
    <cellStyle name="Input 35 4 3 4" xfId="13313" xr:uid="{00000000-0005-0000-0000-00005D740000}"/>
    <cellStyle name="Input 35 4 3 4 2" xfId="42483" xr:uid="{00000000-0005-0000-0000-00005E740000}"/>
    <cellStyle name="Input 35 4 3 4 3" xfId="43311" xr:uid="{00000000-0005-0000-0000-00005F740000}"/>
    <cellStyle name="Input 35 4 3 4 4" xfId="30953" xr:uid="{00000000-0005-0000-0000-000060740000}"/>
    <cellStyle name="Input 35 4 3 5" xfId="21175" xr:uid="{00000000-0005-0000-0000-000061740000}"/>
    <cellStyle name="Input 35 4 3 5 2" xfId="46712" xr:uid="{00000000-0005-0000-0000-000062740000}"/>
    <cellStyle name="Input 35 4 3 5 3" xfId="50618" xr:uid="{00000000-0005-0000-0000-000063740000}"/>
    <cellStyle name="Input 35 4 3 5 4" xfId="38581" xr:uid="{00000000-0005-0000-0000-000064740000}"/>
    <cellStyle name="Input 35 4 3 6" xfId="21828" xr:uid="{00000000-0005-0000-0000-000065740000}"/>
    <cellStyle name="Input 35 4 3 6 2" xfId="47365" xr:uid="{00000000-0005-0000-0000-000066740000}"/>
    <cellStyle name="Input 35 4 3 6 3" xfId="51271" xr:uid="{00000000-0005-0000-0000-000067740000}"/>
    <cellStyle name="Input 35 4 3 7" xfId="41168" xr:uid="{00000000-0005-0000-0000-000068740000}"/>
    <cellStyle name="Input 35 4 3 8" xfId="42596" xr:uid="{00000000-0005-0000-0000-000069740000}"/>
    <cellStyle name="Input 35 4 4" xfId="14932" xr:uid="{00000000-0005-0000-0000-00006A740000}"/>
    <cellStyle name="Input 35 4 4 2" xfId="43048" xr:uid="{00000000-0005-0000-0000-00006B740000}"/>
    <cellStyle name="Input 35 4 4 3" xfId="43449" xr:uid="{00000000-0005-0000-0000-00006C740000}"/>
    <cellStyle name="Input 35 4 4 4" xfId="32567" xr:uid="{00000000-0005-0000-0000-00006D740000}"/>
    <cellStyle name="Input 35 4 5" xfId="13163" xr:uid="{00000000-0005-0000-0000-00006E740000}"/>
    <cellStyle name="Input 35 4 5 2" xfId="42384" xr:uid="{00000000-0005-0000-0000-00006F740000}"/>
    <cellStyle name="Input 35 4 5 3" xfId="39093" xr:uid="{00000000-0005-0000-0000-000070740000}"/>
    <cellStyle name="Input 35 4 5 4" xfId="30812" xr:uid="{00000000-0005-0000-0000-000071740000}"/>
    <cellStyle name="Input 35 4 6" xfId="12864" xr:uid="{00000000-0005-0000-0000-000072740000}"/>
    <cellStyle name="Input 35 4 6 2" xfId="42247" xr:uid="{00000000-0005-0000-0000-000073740000}"/>
    <cellStyle name="Input 35 4 6 3" xfId="40443" xr:uid="{00000000-0005-0000-0000-000074740000}"/>
    <cellStyle name="Input 35 4 6 4" xfId="30516" xr:uid="{00000000-0005-0000-0000-000075740000}"/>
    <cellStyle name="Input 35 4 7" xfId="12055" xr:uid="{00000000-0005-0000-0000-000076740000}"/>
    <cellStyle name="Input 35 4 7 2" xfId="41810" xr:uid="{00000000-0005-0000-0000-000077740000}"/>
    <cellStyle name="Input 35 4 7 3" xfId="39459" xr:uid="{00000000-0005-0000-0000-000078740000}"/>
    <cellStyle name="Input 35 4 7 4" xfId="29734" xr:uid="{00000000-0005-0000-0000-000079740000}"/>
    <cellStyle name="Input 35 4 8" xfId="19935" xr:uid="{00000000-0005-0000-0000-00007A740000}"/>
    <cellStyle name="Input 35 4 8 2" xfId="45472" xr:uid="{00000000-0005-0000-0000-00007B740000}"/>
    <cellStyle name="Input 35 4 8 3" xfId="49378" xr:uid="{00000000-0005-0000-0000-00007C740000}"/>
    <cellStyle name="Input 35 4 9" xfId="39908" xr:uid="{00000000-0005-0000-0000-00007D740000}"/>
    <cellStyle name="Input 35 5" xfId="22478" xr:uid="{00000000-0005-0000-0000-00007E740000}"/>
    <cellStyle name="Input 35 5 2" xfId="23042" xr:uid="{00000000-0005-0000-0000-00007F740000}"/>
    <cellStyle name="Input 35 5 2 2" xfId="47643" xr:uid="{00000000-0005-0000-0000-000080740000}"/>
    <cellStyle name="Input 35 5 2 3" xfId="51454" xr:uid="{00000000-0005-0000-0000-000081740000}"/>
    <cellStyle name="Input 35 5 3" xfId="47536" xr:uid="{00000000-0005-0000-0000-000082740000}"/>
    <cellStyle name="Input 35 5 4" xfId="51390" xr:uid="{00000000-0005-0000-0000-000083740000}"/>
    <cellStyle name="Input 35 5 5" xfId="53176" xr:uid="{00000000-0005-0000-0000-000084740000}"/>
    <cellStyle name="Input 35 6" xfId="22909" xr:uid="{00000000-0005-0000-0000-000085740000}"/>
    <cellStyle name="Input 35 6 2" xfId="23057" xr:uid="{00000000-0005-0000-0000-000086740000}"/>
    <cellStyle name="Input 35 6 2 2" xfId="47657" xr:uid="{00000000-0005-0000-0000-000087740000}"/>
    <cellStyle name="Input 35 6 2 3" xfId="51468" xr:uid="{00000000-0005-0000-0000-000088740000}"/>
    <cellStyle name="Input 35 6 3" xfId="47613" xr:uid="{00000000-0005-0000-0000-000089740000}"/>
    <cellStyle name="Input 35 6 4" xfId="51428" xr:uid="{00000000-0005-0000-0000-00008A740000}"/>
    <cellStyle name="Input 35 6 5" xfId="53177" xr:uid="{00000000-0005-0000-0000-00008B740000}"/>
    <cellStyle name="Input 35 7" xfId="53171" xr:uid="{00000000-0005-0000-0000-00008C740000}"/>
    <cellStyle name="Input 35_Sheet1" xfId="1988" xr:uid="{00000000-0005-0000-0000-00008D740000}"/>
    <cellStyle name="Input 36" xfId="1989" xr:uid="{00000000-0005-0000-0000-00008E740000}"/>
    <cellStyle name="Input 36 2" xfId="7148" xr:uid="{00000000-0005-0000-0000-00008F740000}"/>
    <cellStyle name="Input 36 2 10" xfId="40402" xr:uid="{00000000-0005-0000-0000-000090740000}"/>
    <cellStyle name="Input 36 2 11" xfId="53179" xr:uid="{00000000-0005-0000-0000-000091740000}"/>
    <cellStyle name="Input 36 2 2" xfId="10678" xr:uid="{00000000-0005-0000-0000-000092740000}"/>
    <cellStyle name="Input 36 2 2 2" xfId="18471" xr:uid="{00000000-0005-0000-0000-000093740000}"/>
    <cellStyle name="Input 36 2 2 2 2" xfId="44018" xr:uid="{00000000-0005-0000-0000-000094740000}"/>
    <cellStyle name="Input 36 2 2 2 3" xfId="47927" xr:uid="{00000000-0005-0000-0000-000095740000}"/>
    <cellStyle name="Input 36 2 2 2 4" xfId="36108" xr:uid="{00000000-0005-0000-0000-000096740000}"/>
    <cellStyle name="Input 36 2 2 3" xfId="19419" xr:uid="{00000000-0005-0000-0000-000097740000}"/>
    <cellStyle name="Input 36 2 2 3 2" xfId="44956" xr:uid="{00000000-0005-0000-0000-000098740000}"/>
    <cellStyle name="Input 36 2 2 3 3" xfId="48862" xr:uid="{00000000-0005-0000-0000-000099740000}"/>
    <cellStyle name="Input 36 2 2 3 4" xfId="36984" xr:uid="{00000000-0005-0000-0000-00009A740000}"/>
    <cellStyle name="Input 36 2 2 4" xfId="19568" xr:uid="{00000000-0005-0000-0000-00009B740000}"/>
    <cellStyle name="Input 36 2 2 4 2" xfId="45105" xr:uid="{00000000-0005-0000-0000-00009C740000}"/>
    <cellStyle name="Input 36 2 2 4 3" xfId="49011" xr:uid="{00000000-0005-0000-0000-00009D740000}"/>
    <cellStyle name="Input 36 2 2 4 4" xfId="37109" xr:uid="{00000000-0005-0000-0000-00009E740000}"/>
    <cellStyle name="Input 36 2 2 5" xfId="20884" xr:uid="{00000000-0005-0000-0000-00009F740000}"/>
    <cellStyle name="Input 36 2 2 5 2" xfId="46421" xr:uid="{00000000-0005-0000-0000-0000A0740000}"/>
    <cellStyle name="Input 36 2 2 5 3" xfId="50327" xr:uid="{00000000-0005-0000-0000-0000A1740000}"/>
    <cellStyle name="Input 36 2 2 5 4" xfId="38290" xr:uid="{00000000-0005-0000-0000-0000A2740000}"/>
    <cellStyle name="Input 36 2 2 6" xfId="21537" xr:uid="{00000000-0005-0000-0000-0000A3740000}"/>
    <cellStyle name="Input 36 2 2 6 2" xfId="47074" xr:uid="{00000000-0005-0000-0000-0000A4740000}"/>
    <cellStyle name="Input 36 2 2 6 3" xfId="50980" xr:uid="{00000000-0005-0000-0000-0000A5740000}"/>
    <cellStyle name="Input 36 2 2 7" xfId="40877" xr:uid="{00000000-0005-0000-0000-0000A6740000}"/>
    <cellStyle name="Input 36 2 2 8" xfId="42744" xr:uid="{00000000-0005-0000-0000-0000A7740000}"/>
    <cellStyle name="Input 36 2 3" xfId="10973" xr:uid="{00000000-0005-0000-0000-0000A8740000}"/>
    <cellStyle name="Input 36 2 3 2" xfId="18766" xr:uid="{00000000-0005-0000-0000-0000A9740000}"/>
    <cellStyle name="Input 36 2 3 2 2" xfId="44313" xr:uid="{00000000-0005-0000-0000-0000AA740000}"/>
    <cellStyle name="Input 36 2 3 2 3" xfId="48222" xr:uid="{00000000-0005-0000-0000-0000AB740000}"/>
    <cellStyle name="Input 36 2 3 2 4" xfId="36403" xr:uid="{00000000-0005-0000-0000-0000AC740000}"/>
    <cellStyle name="Input 36 2 3 3" xfId="20003" xr:uid="{00000000-0005-0000-0000-0000AD740000}"/>
    <cellStyle name="Input 36 2 3 3 2" xfId="45540" xr:uid="{00000000-0005-0000-0000-0000AE740000}"/>
    <cellStyle name="Input 36 2 3 3 3" xfId="49446" xr:uid="{00000000-0005-0000-0000-0000AF740000}"/>
    <cellStyle name="Input 36 2 3 3 4" xfId="37501" xr:uid="{00000000-0005-0000-0000-0000B0740000}"/>
    <cellStyle name="Input 36 2 3 4" xfId="20351" xr:uid="{00000000-0005-0000-0000-0000B1740000}"/>
    <cellStyle name="Input 36 2 3 4 2" xfId="45888" xr:uid="{00000000-0005-0000-0000-0000B2740000}"/>
    <cellStyle name="Input 36 2 3 4 3" xfId="49794" xr:uid="{00000000-0005-0000-0000-0000B3740000}"/>
    <cellStyle name="Input 36 2 3 4 4" xfId="37809" xr:uid="{00000000-0005-0000-0000-0000B4740000}"/>
    <cellStyle name="Input 36 2 3 5" xfId="21179" xr:uid="{00000000-0005-0000-0000-0000B5740000}"/>
    <cellStyle name="Input 36 2 3 5 2" xfId="46716" xr:uid="{00000000-0005-0000-0000-0000B6740000}"/>
    <cellStyle name="Input 36 2 3 5 3" xfId="50622" xr:uid="{00000000-0005-0000-0000-0000B7740000}"/>
    <cellStyle name="Input 36 2 3 5 4" xfId="38585" xr:uid="{00000000-0005-0000-0000-0000B8740000}"/>
    <cellStyle name="Input 36 2 3 6" xfId="21832" xr:uid="{00000000-0005-0000-0000-0000B9740000}"/>
    <cellStyle name="Input 36 2 3 6 2" xfId="47369" xr:uid="{00000000-0005-0000-0000-0000BA740000}"/>
    <cellStyle name="Input 36 2 3 6 3" xfId="51275" xr:uid="{00000000-0005-0000-0000-0000BB740000}"/>
    <cellStyle name="Input 36 2 3 7" xfId="41172" xr:uid="{00000000-0005-0000-0000-0000BC740000}"/>
    <cellStyle name="Input 36 2 3 8" xfId="42052" xr:uid="{00000000-0005-0000-0000-0000BD740000}"/>
    <cellStyle name="Input 36 2 4" xfId="14936" xr:uid="{00000000-0005-0000-0000-0000BE740000}"/>
    <cellStyle name="Input 36 2 4 2" xfId="43052" xr:uid="{00000000-0005-0000-0000-0000BF740000}"/>
    <cellStyle name="Input 36 2 4 3" xfId="43297" xr:uid="{00000000-0005-0000-0000-0000C0740000}"/>
    <cellStyle name="Input 36 2 4 4" xfId="32571" xr:uid="{00000000-0005-0000-0000-0000C1740000}"/>
    <cellStyle name="Input 36 2 5" xfId="11320" xr:uid="{00000000-0005-0000-0000-0000C2740000}"/>
    <cellStyle name="Input 36 2 5 2" xfId="41365" xr:uid="{00000000-0005-0000-0000-0000C3740000}"/>
    <cellStyle name="Input 36 2 5 3" xfId="43717" xr:uid="{00000000-0005-0000-0000-0000C4740000}"/>
    <cellStyle name="Input 36 2 5 4" xfId="29048" xr:uid="{00000000-0005-0000-0000-0000C5740000}"/>
    <cellStyle name="Input 36 2 6" xfId="12143" xr:uid="{00000000-0005-0000-0000-0000C6740000}"/>
    <cellStyle name="Input 36 2 6 2" xfId="41888" xr:uid="{00000000-0005-0000-0000-0000C7740000}"/>
    <cellStyle name="Input 36 2 6 3" xfId="47492" xr:uid="{00000000-0005-0000-0000-0000C8740000}"/>
    <cellStyle name="Input 36 2 6 4" xfId="29815" xr:uid="{00000000-0005-0000-0000-0000C9740000}"/>
    <cellStyle name="Input 36 2 7" xfId="13243" xr:uid="{00000000-0005-0000-0000-0000CA740000}"/>
    <cellStyle name="Input 36 2 7 2" xfId="42424" xr:uid="{00000000-0005-0000-0000-0000CB740000}"/>
    <cellStyle name="Input 36 2 7 3" xfId="39650" xr:uid="{00000000-0005-0000-0000-0000CC740000}"/>
    <cellStyle name="Input 36 2 7 4" xfId="30888" xr:uid="{00000000-0005-0000-0000-0000CD740000}"/>
    <cellStyle name="Input 36 2 8" xfId="11723" xr:uid="{00000000-0005-0000-0000-0000CE740000}"/>
    <cellStyle name="Input 36 2 8 2" xfId="41712" xr:uid="{00000000-0005-0000-0000-0000CF740000}"/>
    <cellStyle name="Input 36 2 8 3" xfId="39461" xr:uid="{00000000-0005-0000-0000-0000D0740000}"/>
    <cellStyle name="Input 36 2 9" xfId="39912" xr:uid="{00000000-0005-0000-0000-0000D1740000}"/>
    <cellStyle name="Input 36 3" xfId="22479" xr:uid="{00000000-0005-0000-0000-0000D2740000}"/>
    <cellStyle name="Input 36 3 2" xfId="23043" xr:uid="{00000000-0005-0000-0000-0000D3740000}"/>
    <cellStyle name="Input 36 3 2 2" xfId="47644" xr:uid="{00000000-0005-0000-0000-0000D4740000}"/>
    <cellStyle name="Input 36 3 2 3" xfId="51455" xr:uid="{00000000-0005-0000-0000-0000D5740000}"/>
    <cellStyle name="Input 36 3 3" xfId="47537" xr:uid="{00000000-0005-0000-0000-0000D6740000}"/>
    <cellStyle name="Input 36 3 4" xfId="51391" xr:uid="{00000000-0005-0000-0000-0000D7740000}"/>
    <cellStyle name="Input 36 3 5" xfId="53180" xr:uid="{00000000-0005-0000-0000-0000D8740000}"/>
    <cellStyle name="Input 36 4" xfId="53178" xr:uid="{00000000-0005-0000-0000-0000D9740000}"/>
    <cellStyle name="Input 37" xfId="1990" xr:uid="{00000000-0005-0000-0000-0000DA740000}"/>
    <cellStyle name="Input 37 2" xfId="7149" xr:uid="{00000000-0005-0000-0000-0000DB740000}"/>
    <cellStyle name="Input 37 2 10" xfId="39514" xr:uid="{00000000-0005-0000-0000-0000DC740000}"/>
    <cellStyle name="Input 37 2 2" xfId="10679" xr:uid="{00000000-0005-0000-0000-0000DD740000}"/>
    <cellStyle name="Input 37 2 2 2" xfId="18472" xr:uid="{00000000-0005-0000-0000-0000DE740000}"/>
    <cellStyle name="Input 37 2 2 2 2" xfId="44019" xr:uid="{00000000-0005-0000-0000-0000DF740000}"/>
    <cellStyle name="Input 37 2 2 2 3" xfId="47928" xr:uid="{00000000-0005-0000-0000-0000E0740000}"/>
    <cellStyle name="Input 37 2 2 2 4" xfId="36109" xr:uid="{00000000-0005-0000-0000-0000E1740000}"/>
    <cellStyle name="Input 37 2 2 3" xfId="20026" xr:uid="{00000000-0005-0000-0000-0000E2740000}"/>
    <cellStyle name="Input 37 2 2 3 2" xfId="45563" xr:uid="{00000000-0005-0000-0000-0000E3740000}"/>
    <cellStyle name="Input 37 2 2 3 3" xfId="49469" xr:uid="{00000000-0005-0000-0000-0000E4740000}"/>
    <cellStyle name="Input 37 2 2 3 4" xfId="37524" xr:uid="{00000000-0005-0000-0000-0000E5740000}"/>
    <cellStyle name="Input 37 2 2 4" xfId="13268" xr:uid="{00000000-0005-0000-0000-0000E6740000}"/>
    <cellStyle name="Input 37 2 2 4 2" xfId="42438" xr:uid="{00000000-0005-0000-0000-0000E7740000}"/>
    <cellStyle name="Input 37 2 2 4 3" xfId="42552" xr:uid="{00000000-0005-0000-0000-0000E8740000}"/>
    <cellStyle name="Input 37 2 2 4 4" xfId="30913" xr:uid="{00000000-0005-0000-0000-0000E9740000}"/>
    <cellStyle name="Input 37 2 2 5" xfId="20885" xr:uid="{00000000-0005-0000-0000-0000EA740000}"/>
    <cellStyle name="Input 37 2 2 5 2" xfId="46422" xr:uid="{00000000-0005-0000-0000-0000EB740000}"/>
    <cellStyle name="Input 37 2 2 5 3" xfId="50328" xr:uid="{00000000-0005-0000-0000-0000EC740000}"/>
    <cellStyle name="Input 37 2 2 5 4" xfId="38291" xr:uid="{00000000-0005-0000-0000-0000ED740000}"/>
    <cellStyle name="Input 37 2 2 6" xfId="21538" xr:uid="{00000000-0005-0000-0000-0000EE740000}"/>
    <cellStyle name="Input 37 2 2 6 2" xfId="47075" xr:uid="{00000000-0005-0000-0000-0000EF740000}"/>
    <cellStyle name="Input 37 2 2 6 3" xfId="50981" xr:uid="{00000000-0005-0000-0000-0000F0740000}"/>
    <cellStyle name="Input 37 2 2 7" xfId="40878" xr:uid="{00000000-0005-0000-0000-0000F1740000}"/>
    <cellStyle name="Input 37 2 2 8" xfId="43633" xr:uid="{00000000-0005-0000-0000-0000F2740000}"/>
    <cellStyle name="Input 37 2 3" xfId="10974" xr:uid="{00000000-0005-0000-0000-0000F3740000}"/>
    <cellStyle name="Input 37 2 3 2" xfId="18767" xr:uid="{00000000-0005-0000-0000-0000F4740000}"/>
    <cellStyle name="Input 37 2 3 2 2" xfId="44314" xr:uid="{00000000-0005-0000-0000-0000F5740000}"/>
    <cellStyle name="Input 37 2 3 2 3" xfId="48223" xr:uid="{00000000-0005-0000-0000-0000F6740000}"/>
    <cellStyle name="Input 37 2 3 2 4" xfId="36404" xr:uid="{00000000-0005-0000-0000-0000F7740000}"/>
    <cellStyle name="Input 37 2 3 3" xfId="19269" xr:uid="{00000000-0005-0000-0000-0000F8740000}"/>
    <cellStyle name="Input 37 2 3 3 2" xfId="44806" xr:uid="{00000000-0005-0000-0000-0000F9740000}"/>
    <cellStyle name="Input 37 2 3 3 3" xfId="48712" xr:uid="{00000000-0005-0000-0000-0000FA740000}"/>
    <cellStyle name="Input 37 2 3 3 4" xfId="36847" xr:uid="{00000000-0005-0000-0000-0000FB740000}"/>
    <cellStyle name="Input 37 2 3 4" xfId="11662" xr:uid="{00000000-0005-0000-0000-0000FC740000}"/>
    <cellStyle name="Input 37 2 3 4 2" xfId="41673" xr:uid="{00000000-0005-0000-0000-0000FD740000}"/>
    <cellStyle name="Input 37 2 3 4 3" xfId="39347" xr:uid="{00000000-0005-0000-0000-0000FE740000}"/>
    <cellStyle name="Input 37 2 3 4 4" xfId="29361" xr:uid="{00000000-0005-0000-0000-0000FF740000}"/>
    <cellStyle name="Input 37 2 3 5" xfId="21180" xr:uid="{00000000-0005-0000-0000-000000750000}"/>
    <cellStyle name="Input 37 2 3 5 2" xfId="46717" xr:uid="{00000000-0005-0000-0000-000001750000}"/>
    <cellStyle name="Input 37 2 3 5 3" xfId="50623" xr:uid="{00000000-0005-0000-0000-000002750000}"/>
    <cellStyle name="Input 37 2 3 5 4" xfId="38586" xr:uid="{00000000-0005-0000-0000-000003750000}"/>
    <cellStyle name="Input 37 2 3 6" xfId="21833" xr:uid="{00000000-0005-0000-0000-000004750000}"/>
    <cellStyle name="Input 37 2 3 6 2" xfId="47370" xr:uid="{00000000-0005-0000-0000-000005750000}"/>
    <cellStyle name="Input 37 2 3 6 3" xfId="51276" xr:uid="{00000000-0005-0000-0000-000006750000}"/>
    <cellStyle name="Input 37 2 3 7" xfId="41173" xr:uid="{00000000-0005-0000-0000-000007750000}"/>
    <cellStyle name="Input 37 2 3 8" xfId="43371" xr:uid="{00000000-0005-0000-0000-000008750000}"/>
    <cellStyle name="Input 37 2 4" xfId="14937" xr:uid="{00000000-0005-0000-0000-000009750000}"/>
    <cellStyle name="Input 37 2 4 2" xfId="43053" xr:uid="{00000000-0005-0000-0000-00000A750000}"/>
    <cellStyle name="Input 37 2 4 3" xfId="40156" xr:uid="{00000000-0005-0000-0000-00000B750000}"/>
    <cellStyle name="Input 37 2 4 4" xfId="32572" xr:uid="{00000000-0005-0000-0000-00000C750000}"/>
    <cellStyle name="Input 37 2 5" xfId="13167" xr:uid="{00000000-0005-0000-0000-00000D750000}"/>
    <cellStyle name="Input 37 2 5 2" xfId="42388" xr:uid="{00000000-0005-0000-0000-00000E750000}"/>
    <cellStyle name="Input 37 2 5 3" xfId="39089" xr:uid="{00000000-0005-0000-0000-00000F750000}"/>
    <cellStyle name="Input 37 2 5 4" xfId="30816" xr:uid="{00000000-0005-0000-0000-000010750000}"/>
    <cellStyle name="Input 37 2 6" xfId="19799" xr:uid="{00000000-0005-0000-0000-000011750000}"/>
    <cellStyle name="Input 37 2 6 2" xfId="45336" xr:uid="{00000000-0005-0000-0000-000012750000}"/>
    <cellStyle name="Input 37 2 6 3" xfId="49242" xr:uid="{00000000-0005-0000-0000-000013750000}"/>
    <cellStyle name="Input 37 2 6 4" xfId="37322" xr:uid="{00000000-0005-0000-0000-000014750000}"/>
    <cellStyle name="Input 37 2 7" xfId="19637" xr:uid="{00000000-0005-0000-0000-000015750000}"/>
    <cellStyle name="Input 37 2 7 2" xfId="45174" xr:uid="{00000000-0005-0000-0000-000016750000}"/>
    <cellStyle name="Input 37 2 7 3" xfId="49080" xr:uid="{00000000-0005-0000-0000-000017750000}"/>
    <cellStyle name="Input 37 2 7 4" xfId="37174" xr:uid="{00000000-0005-0000-0000-000018750000}"/>
    <cellStyle name="Input 37 2 8" xfId="20607" xr:uid="{00000000-0005-0000-0000-000019750000}"/>
    <cellStyle name="Input 37 2 8 2" xfId="46144" xr:uid="{00000000-0005-0000-0000-00001A750000}"/>
    <cellStyle name="Input 37 2 8 3" xfId="50050" xr:uid="{00000000-0005-0000-0000-00001B750000}"/>
    <cellStyle name="Input 37 2 9" xfId="39913" xr:uid="{00000000-0005-0000-0000-00001C750000}"/>
    <cellStyle name="Input 37 3" xfId="53181" xr:uid="{00000000-0005-0000-0000-00001D750000}"/>
    <cellStyle name="Input 38" xfId="1991" xr:uid="{00000000-0005-0000-0000-00001E750000}"/>
    <cellStyle name="Input 38 2" xfId="7150" xr:uid="{00000000-0005-0000-0000-00001F750000}"/>
    <cellStyle name="Input 38 2 10" xfId="42195" xr:uid="{00000000-0005-0000-0000-000020750000}"/>
    <cellStyle name="Input 38 2 2" xfId="10680" xr:uid="{00000000-0005-0000-0000-000021750000}"/>
    <cellStyle name="Input 38 2 2 2" xfId="18473" xr:uid="{00000000-0005-0000-0000-000022750000}"/>
    <cellStyle name="Input 38 2 2 2 2" xfId="44020" xr:uid="{00000000-0005-0000-0000-000023750000}"/>
    <cellStyle name="Input 38 2 2 2 3" xfId="47929" xr:uid="{00000000-0005-0000-0000-000024750000}"/>
    <cellStyle name="Input 38 2 2 2 4" xfId="36110" xr:uid="{00000000-0005-0000-0000-000025750000}"/>
    <cellStyle name="Input 38 2 2 3" xfId="19292" xr:uid="{00000000-0005-0000-0000-000026750000}"/>
    <cellStyle name="Input 38 2 2 3 2" xfId="44829" xr:uid="{00000000-0005-0000-0000-000027750000}"/>
    <cellStyle name="Input 38 2 2 3 3" xfId="48735" xr:uid="{00000000-0005-0000-0000-000028750000}"/>
    <cellStyle name="Input 38 2 2 3 4" xfId="36870" xr:uid="{00000000-0005-0000-0000-000029750000}"/>
    <cellStyle name="Input 38 2 2 4" xfId="12665" xr:uid="{00000000-0005-0000-0000-00002A750000}"/>
    <cellStyle name="Input 38 2 2 4 2" xfId="42144" xr:uid="{00000000-0005-0000-0000-00002B750000}"/>
    <cellStyle name="Input 38 2 2 4 3" xfId="41312" xr:uid="{00000000-0005-0000-0000-00002C750000}"/>
    <cellStyle name="Input 38 2 2 4 4" xfId="30329" xr:uid="{00000000-0005-0000-0000-00002D750000}"/>
    <cellStyle name="Input 38 2 2 5" xfId="20886" xr:uid="{00000000-0005-0000-0000-00002E750000}"/>
    <cellStyle name="Input 38 2 2 5 2" xfId="46423" xr:uid="{00000000-0005-0000-0000-00002F750000}"/>
    <cellStyle name="Input 38 2 2 5 3" xfId="50329" xr:uid="{00000000-0005-0000-0000-000030750000}"/>
    <cellStyle name="Input 38 2 2 5 4" xfId="38292" xr:uid="{00000000-0005-0000-0000-000031750000}"/>
    <cellStyle name="Input 38 2 2 6" xfId="21539" xr:uid="{00000000-0005-0000-0000-000032750000}"/>
    <cellStyle name="Input 38 2 2 6 2" xfId="47076" xr:uid="{00000000-0005-0000-0000-000033750000}"/>
    <cellStyle name="Input 38 2 2 6 3" xfId="50982" xr:uid="{00000000-0005-0000-0000-000034750000}"/>
    <cellStyle name="Input 38 2 2 7" xfId="40879" xr:uid="{00000000-0005-0000-0000-000035750000}"/>
    <cellStyle name="Input 38 2 2 8" xfId="40491" xr:uid="{00000000-0005-0000-0000-000036750000}"/>
    <cellStyle name="Input 38 2 3" xfId="10975" xr:uid="{00000000-0005-0000-0000-000037750000}"/>
    <cellStyle name="Input 38 2 3 2" xfId="18768" xr:uid="{00000000-0005-0000-0000-000038750000}"/>
    <cellStyle name="Input 38 2 3 2 2" xfId="44315" xr:uid="{00000000-0005-0000-0000-000039750000}"/>
    <cellStyle name="Input 38 2 3 2 3" xfId="48224" xr:uid="{00000000-0005-0000-0000-00003A750000}"/>
    <cellStyle name="Input 38 2 3 2 4" xfId="36405" xr:uid="{00000000-0005-0000-0000-00003B750000}"/>
    <cellStyle name="Input 38 2 3 3" xfId="19878" xr:uid="{00000000-0005-0000-0000-00003C750000}"/>
    <cellStyle name="Input 38 2 3 3 2" xfId="45415" xr:uid="{00000000-0005-0000-0000-00003D750000}"/>
    <cellStyle name="Input 38 2 3 3 3" xfId="49321" xr:uid="{00000000-0005-0000-0000-00003E750000}"/>
    <cellStyle name="Input 38 2 3 3 4" xfId="37392" xr:uid="{00000000-0005-0000-0000-00003F750000}"/>
    <cellStyle name="Input 38 2 3 4" xfId="11807" xr:uid="{00000000-0005-0000-0000-000040750000}"/>
    <cellStyle name="Input 38 2 3 4 2" xfId="41756" xr:uid="{00000000-0005-0000-0000-000041750000}"/>
    <cellStyle name="Input 38 2 3 4 3" xfId="43701" xr:uid="{00000000-0005-0000-0000-000042750000}"/>
    <cellStyle name="Input 38 2 3 4 4" xfId="29493" xr:uid="{00000000-0005-0000-0000-000043750000}"/>
    <cellStyle name="Input 38 2 3 5" xfId="21181" xr:uid="{00000000-0005-0000-0000-000044750000}"/>
    <cellStyle name="Input 38 2 3 5 2" xfId="46718" xr:uid="{00000000-0005-0000-0000-000045750000}"/>
    <cellStyle name="Input 38 2 3 5 3" xfId="50624" xr:uid="{00000000-0005-0000-0000-000046750000}"/>
    <cellStyle name="Input 38 2 3 5 4" xfId="38587" xr:uid="{00000000-0005-0000-0000-000047750000}"/>
    <cellStyle name="Input 38 2 3 6" xfId="21834" xr:uid="{00000000-0005-0000-0000-000048750000}"/>
    <cellStyle name="Input 38 2 3 6 2" xfId="47371" xr:uid="{00000000-0005-0000-0000-000049750000}"/>
    <cellStyle name="Input 38 2 3 6 3" xfId="51277" xr:uid="{00000000-0005-0000-0000-00004A750000}"/>
    <cellStyle name="Input 38 2 3 7" xfId="41174" xr:uid="{00000000-0005-0000-0000-00004B750000}"/>
    <cellStyle name="Input 38 2 3 8" xfId="40233" xr:uid="{00000000-0005-0000-0000-00004C750000}"/>
    <cellStyle name="Input 38 2 4" xfId="14938" xr:uid="{00000000-0005-0000-0000-00004D750000}"/>
    <cellStyle name="Input 38 2 4 2" xfId="43054" xr:uid="{00000000-0005-0000-0000-00004E750000}"/>
    <cellStyle name="Input 38 2 4 3" xfId="39270" xr:uid="{00000000-0005-0000-0000-00004F750000}"/>
    <cellStyle name="Input 38 2 4 4" xfId="32573" xr:uid="{00000000-0005-0000-0000-000050750000}"/>
    <cellStyle name="Input 38 2 5" xfId="13168" xr:uid="{00000000-0005-0000-0000-000051750000}"/>
    <cellStyle name="Input 38 2 5 2" xfId="42389" xr:uid="{00000000-0005-0000-0000-000052750000}"/>
    <cellStyle name="Input 38 2 5 3" xfId="39088" xr:uid="{00000000-0005-0000-0000-000053750000}"/>
    <cellStyle name="Input 38 2 5 4" xfId="30817" xr:uid="{00000000-0005-0000-0000-000054750000}"/>
    <cellStyle name="Input 38 2 6" xfId="19528" xr:uid="{00000000-0005-0000-0000-000055750000}"/>
    <cellStyle name="Input 38 2 6 2" xfId="45065" xr:uid="{00000000-0005-0000-0000-000056750000}"/>
    <cellStyle name="Input 38 2 6 3" xfId="48971" xr:uid="{00000000-0005-0000-0000-000057750000}"/>
    <cellStyle name="Input 38 2 6 4" xfId="37075" xr:uid="{00000000-0005-0000-0000-000058750000}"/>
    <cellStyle name="Input 38 2 7" xfId="11692" xr:uid="{00000000-0005-0000-0000-000059750000}"/>
    <cellStyle name="Input 38 2 7 2" xfId="41699" xr:uid="{00000000-0005-0000-0000-00005A750000}"/>
    <cellStyle name="Input 38 2 7 3" xfId="39671" xr:uid="{00000000-0005-0000-0000-00005B750000}"/>
    <cellStyle name="Input 38 2 7 4" xfId="29385" xr:uid="{00000000-0005-0000-0000-00005C750000}"/>
    <cellStyle name="Input 38 2 8" xfId="20309" xr:uid="{00000000-0005-0000-0000-00005D750000}"/>
    <cellStyle name="Input 38 2 8 2" xfId="45846" xr:uid="{00000000-0005-0000-0000-00005E750000}"/>
    <cellStyle name="Input 38 2 8 3" xfId="49752" xr:uid="{00000000-0005-0000-0000-00005F750000}"/>
    <cellStyle name="Input 38 2 9" xfId="39914" xr:uid="{00000000-0005-0000-0000-000060750000}"/>
    <cellStyle name="Input 38 3" xfId="53182" xr:uid="{00000000-0005-0000-0000-000061750000}"/>
    <cellStyle name="Input 39" xfId="1992" xr:uid="{00000000-0005-0000-0000-000062750000}"/>
    <cellStyle name="Input 39 2" xfId="7151" xr:uid="{00000000-0005-0000-0000-000063750000}"/>
    <cellStyle name="Input 39 2 10" xfId="43422" xr:uid="{00000000-0005-0000-0000-000064750000}"/>
    <cellStyle name="Input 39 2 11" xfId="53184" xr:uid="{00000000-0005-0000-0000-000065750000}"/>
    <cellStyle name="Input 39 2 2" xfId="10681" xr:uid="{00000000-0005-0000-0000-000066750000}"/>
    <cellStyle name="Input 39 2 2 2" xfId="18474" xr:uid="{00000000-0005-0000-0000-000067750000}"/>
    <cellStyle name="Input 39 2 2 2 2" xfId="44021" xr:uid="{00000000-0005-0000-0000-000068750000}"/>
    <cellStyle name="Input 39 2 2 2 3" xfId="47930" xr:uid="{00000000-0005-0000-0000-000069750000}"/>
    <cellStyle name="Input 39 2 2 2 4" xfId="36111" xr:uid="{00000000-0005-0000-0000-00006A750000}"/>
    <cellStyle name="Input 39 2 2 3" xfId="19901" xr:uid="{00000000-0005-0000-0000-00006B750000}"/>
    <cellStyle name="Input 39 2 2 3 2" xfId="45438" xr:uid="{00000000-0005-0000-0000-00006C750000}"/>
    <cellStyle name="Input 39 2 2 3 3" xfId="49344" xr:uid="{00000000-0005-0000-0000-00006D750000}"/>
    <cellStyle name="Input 39 2 2 3 4" xfId="37415" xr:uid="{00000000-0005-0000-0000-00006E750000}"/>
    <cellStyle name="Input 39 2 2 4" xfId="20288" xr:uid="{00000000-0005-0000-0000-00006F750000}"/>
    <cellStyle name="Input 39 2 2 4 2" xfId="45825" xr:uid="{00000000-0005-0000-0000-000070750000}"/>
    <cellStyle name="Input 39 2 2 4 3" xfId="49731" xr:uid="{00000000-0005-0000-0000-000071750000}"/>
    <cellStyle name="Input 39 2 2 4 4" xfId="37755" xr:uid="{00000000-0005-0000-0000-000072750000}"/>
    <cellStyle name="Input 39 2 2 5" xfId="20887" xr:uid="{00000000-0005-0000-0000-000073750000}"/>
    <cellStyle name="Input 39 2 2 5 2" xfId="46424" xr:uid="{00000000-0005-0000-0000-000074750000}"/>
    <cellStyle name="Input 39 2 2 5 3" xfId="50330" xr:uid="{00000000-0005-0000-0000-000075750000}"/>
    <cellStyle name="Input 39 2 2 5 4" xfId="38293" xr:uid="{00000000-0005-0000-0000-000076750000}"/>
    <cellStyle name="Input 39 2 2 6" xfId="21540" xr:uid="{00000000-0005-0000-0000-000077750000}"/>
    <cellStyle name="Input 39 2 2 6 2" xfId="47077" xr:uid="{00000000-0005-0000-0000-000078750000}"/>
    <cellStyle name="Input 39 2 2 6 3" xfId="50983" xr:uid="{00000000-0005-0000-0000-000079750000}"/>
    <cellStyle name="Input 39 2 2 7" xfId="40880" xr:uid="{00000000-0005-0000-0000-00007A750000}"/>
    <cellStyle name="Input 39 2 2 8" xfId="39601" xr:uid="{00000000-0005-0000-0000-00007B750000}"/>
    <cellStyle name="Input 39 2 3" xfId="10976" xr:uid="{00000000-0005-0000-0000-00007C750000}"/>
    <cellStyle name="Input 39 2 3 2" xfId="18769" xr:uid="{00000000-0005-0000-0000-00007D750000}"/>
    <cellStyle name="Input 39 2 3 2 2" xfId="44316" xr:uid="{00000000-0005-0000-0000-00007E750000}"/>
    <cellStyle name="Input 39 2 3 2 3" xfId="48225" xr:uid="{00000000-0005-0000-0000-00007F750000}"/>
    <cellStyle name="Input 39 2 3 2 4" xfId="36406" xr:uid="{00000000-0005-0000-0000-000080750000}"/>
    <cellStyle name="Input 39 2 3 3" xfId="19101" xr:uid="{00000000-0005-0000-0000-000081750000}"/>
    <cellStyle name="Input 39 2 3 3 2" xfId="44638" xr:uid="{00000000-0005-0000-0000-000082750000}"/>
    <cellStyle name="Input 39 2 3 3 3" xfId="48544" xr:uid="{00000000-0005-0000-0000-000083750000}"/>
    <cellStyle name="Input 39 2 3 3 4" xfId="36696" xr:uid="{00000000-0005-0000-0000-000084750000}"/>
    <cellStyle name="Input 39 2 3 4" xfId="19865" xr:uid="{00000000-0005-0000-0000-000085750000}"/>
    <cellStyle name="Input 39 2 3 4 2" xfId="45402" xr:uid="{00000000-0005-0000-0000-000086750000}"/>
    <cellStyle name="Input 39 2 3 4 3" xfId="49308" xr:uid="{00000000-0005-0000-0000-000087750000}"/>
    <cellStyle name="Input 39 2 3 4 4" xfId="37379" xr:uid="{00000000-0005-0000-0000-000088750000}"/>
    <cellStyle name="Input 39 2 3 5" xfId="21182" xr:uid="{00000000-0005-0000-0000-000089750000}"/>
    <cellStyle name="Input 39 2 3 5 2" xfId="46719" xr:uid="{00000000-0005-0000-0000-00008A750000}"/>
    <cellStyle name="Input 39 2 3 5 3" xfId="50625" xr:uid="{00000000-0005-0000-0000-00008B750000}"/>
    <cellStyle name="Input 39 2 3 5 4" xfId="38588" xr:uid="{00000000-0005-0000-0000-00008C750000}"/>
    <cellStyle name="Input 39 2 3 6" xfId="21835" xr:uid="{00000000-0005-0000-0000-00008D750000}"/>
    <cellStyle name="Input 39 2 3 6 2" xfId="47372" xr:uid="{00000000-0005-0000-0000-00008E750000}"/>
    <cellStyle name="Input 39 2 3 6 3" xfId="51278" xr:uid="{00000000-0005-0000-0000-00008F750000}"/>
    <cellStyle name="Input 39 2 3 7" xfId="41175" xr:uid="{00000000-0005-0000-0000-000090750000}"/>
    <cellStyle name="Input 39 2 3 8" xfId="39373" xr:uid="{00000000-0005-0000-0000-000091750000}"/>
    <cellStyle name="Input 39 2 4" xfId="14939" xr:uid="{00000000-0005-0000-0000-000092750000}"/>
    <cellStyle name="Input 39 2 4 2" xfId="43055" xr:uid="{00000000-0005-0000-0000-000093750000}"/>
    <cellStyle name="Input 39 2 4 3" xfId="39058" xr:uid="{00000000-0005-0000-0000-000094750000}"/>
    <cellStyle name="Input 39 2 4 4" xfId="32574" xr:uid="{00000000-0005-0000-0000-000095750000}"/>
    <cellStyle name="Input 39 2 5" xfId="13169" xr:uid="{00000000-0005-0000-0000-000096750000}"/>
    <cellStyle name="Input 39 2 5 2" xfId="42390" xr:uid="{00000000-0005-0000-0000-000097750000}"/>
    <cellStyle name="Input 39 2 5 3" xfId="39087" xr:uid="{00000000-0005-0000-0000-000098750000}"/>
    <cellStyle name="Input 39 2 5 4" xfId="30818" xr:uid="{00000000-0005-0000-0000-000099750000}"/>
    <cellStyle name="Input 39 2 6" xfId="20276" xr:uid="{00000000-0005-0000-0000-00009A750000}"/>
    <cellStyle name="Input 39 2 6 2" xfId="45813" xr:uid="{00000000-0005-0000-0000-00009B750000}"/>
    <cellStyle name="Input 39 2 6 3" xfId="49719" xr:uid="{00000000-0005-0000-0000-00009C750000}"/>
    <cellStyle name="Input 39 2 6 4" xfId="37744" xr:uid="{00000000-0005-0000-0000-00009D750000}"/>
    <cellStyle name="Input 39 2 7" xfId="19046" xr:uid="{00000000-0005-0000-0000-00009E750000}"/>
    <cellStyle name="Input 39 2 7 2" xfId="44583" xr:uid="{00000000-0005-0000-0000-00009F750000}"/>
    <cellStyle name="Input 39 2 7 3" xfId="48489" xr:uid="{00000000-0005-0000-0000-0000A0750000}"/>
    <cellStyle name="Input 39 2 7 4" xfId="36649" xr:uid="{00000000-0005-0000-0000-0000A1750000}"/>
    <cellStyle name="Input 39 2 8" xfId="19201" xr:uid="{00000000-0005-0000-0000-0000A2750000}"/>
    <cellStyle name="Input 39 2 8 2" xfId="44738" xr:uid="{00000000-0005-0000-0000-0000A3750000}"/>
    <cellStyle name="Input 39 2 8 3" xfId="48644" xr:uid="{00000000-0005-0000-0000-0000A4750000}"/>
    <cellStyle name="Input 39 2 9" xfId="39915" xr:uid="{00000000-0005-0000-0000-0000A5750000}"/>
    <cellStyle name="Input 39 3" xfId="22480" xr:uid="{00000000-0005-0000-0000-0000A6750000}"/>
    <cellStyle name="Input 39 3 2" xfId="23044" xr:uid="{00000000-0005-0000-0000-0000A7750000}"/>
    <cellStyle name="Input 39 3 2 2" xfId="47645" xr:uid="{00000000-0005-0000-0000-0000A8750000}"/>
    <cellStyle name="Input 39 3 2 3" xfId="51456" xr:uid="{00000000-0005-0000-0000-0000A9750000}"/>
    <cellStyle name="Input 39 3 3" xfId="47538" xr:uid="{00000000-0005-0000-0000-0000AA750000}"/>
    <cellStyle name="Input 39 3 4" xfId="51392" xr:uid="{00000000-0005-0000-0000-0000AB750000}"/>
    <cellStyle name="Input 39 3 5" xfId="53185" xr:uid="{00000000-0005-0000-0000-0000AC750000}"/>
    <cellStyle name="Input 39 4" xfId="53183" xr:uid="{00000000-0005-0000-0000-0000AD750000}"/>
    <cellStyle name="Input 4" xfId="108" xr:uid="{00000000-0005-0000-0000-0000AE750000}"/>
    <cellStyle name="Input 4 10" xfId="1994" xr:uid="{00000000-0005-0000-0000-0000AF750000}"/>
    <cellStyle name="Input 4 10 2" xfId="7153" xr:uid="{00000000-0005-0000-0000-0000B0750000}"/>
    <cellStyle name="Input 4 10 2 10" xfId="39411" xr:uid="{00000000-0005-0000-0000-0000B1750000}"/>
    <cellStyle name="Input 4 10 2 2" xfId="10683" xr:uid="{00000000-0005-0000-0000-0000B2750000}"/>
    <cellStyle name="Input 4 10 2 2 2" xfId="18476" xr:uid="{00000000-0005-0000-0000-0000B3750000}"/>
    <cellStyle name="Input 4 10 2 2 2 2" xfId="44023" xr:uid="{00000000-0005-0000-0000-0000B4750000}"/>
    <cellStyle name="Input 4 10 2 2 2 3" xfId="47932" xr:uid="{00000000-0005-0000-0000-0000B5750000}"/>
    <cellStyle name="Input 4 10 2 2 2 4" xfId="36113" xr:uid="{00000000-0005-0000-0000-0000B6750000}"/>
    <cellStyle name="Input 4 10 2 2 3" xfId="19740" xr:uid="{00000000-0005-0000-0000-0000B7750000}"/>
    <cellStyle name="Input 4 10 2 2 3 2" xfId="45277" xr:uid="{00000000-0005-0000-0000-0000B8750000}"/>
    <cellStyle name="Input 4 10 2 2 3 3" xfId="49183" xr:uid="{00000000-0005-0000-0000-0000B9750000}"/>
    <cellStyle name="Input 4 10 2 2 3 4" xfId="37267" xr:uid="{00000000-0005-0000-0000-0000BA750000}"/>
    <cellStyle name="Input 4 10 2 2 4" xfId="19061" xr:uid="{00000000-0005-0000-0000-0000BB750000}"/>
    <cellStyle name="Input 4 10 2 2 4 2" xfId="44598" xr:uid="{00000000-0005-0000-0000-0000BC750000}"/>
    <cellStyle name="Input 4 10 2 2 4 3" xfId="48504" xr:uid="{00000000-0005-0000-0000-0000BD750000}"/>
    <cellStyle name="Input 4 10 2 2 4 4" xfId="36660" xr:uid="{00000000-0005-0000-0000-0000BE750000}"/>
    <cellStyle name="Input 4 10 2 2 5" xfId="20889" xr:uid="{00000000-0005-0000-0000-0000BF750000}"/>
    <cellStyle name="Input 4 10 2 2 5 2" xfId="46426" xr:uid="{00000000-0005-0000-0000-0000C0750000}"/>
    <cellStyle name="Input 4 10 2 2 5 3" xfId="50332" xr:uid="{00000000-0005-0000-0000-0000C1750000}"/>
    <cellStyle name="Input 4 10 2 2 5 4" xfId="38295" xr:uid="{00000000-0005-0000-0000-0000C2750000}"/>
    <cellStyle name="Input 4 10 2 2 6" xfId="21542" xr:uid="{00000000-0005-0000-0000-0000C3750000}"/>
    <cellStyle name="Input 4 10 2 2 6 2" xfId="47079" xr:uid="{00000000-0005-0000-0000-0000C4750000}"/>
    <cellStyle name="Input 4 10 2 2 6 3" xfId="50985" xr:uid="{00000000-0005-0000-0000-0000C5750000}"/>
    <cellStyle name="Input 4 10 2 2 7" xfId="40882" xr:uid="{00000000-0005-0000-0000-0000C6750000}"/>
    <cellStyle name="Input 4 10 2 2 8" xfId="43522" xr:uid="{00000000-0005-0000-0000-0000C7750000}"/>
    <cellStyle name="Input 4 10 2 3" xfId="10978" xr:uid="{00000000-0005-0000-0000-0000C8750000}"/>
    <cellStyle name="Input 4 10 2 3 2" xfId="18771" xr:uid="{00000000-0005-0000-0000-0000C9750000}"/>
    <cellStyle name="Input 4 10 2 3 2 2" xfId="44318" xr:uid="{00000000-0005-0000-0000-0000CA750000}"/>
    <cellStyle name="Input 4 10 2 3 2 3" xfId="48227" xr:uid="{00000000-0005-0000-0000-0000CB750000}"/>
    <cellStyle name="Input 4 10 2 3 2 4" xfId="36408" xr:uid="{00000000-0005-0000-0000-0000CC750000}"/>
    <cellStyle name="Input 4 10 2 3 3" xfId="12642" xr:uid="{00000000-0005-0000-0000-0000CD750000}"/>
    <cellStyle name="Input 4 10 2 3 3 2" xfId="42121" xr:uid="{00000000-0005-0000-0000-0000CE750000}"/>
    <cellStyle name="Input 4 10 2 3 3 3" xfId="40192" xr:uid="{00000000-0005-0000-0000-0000CF750000}"/>
    <cellStyle name="Input 4 10 2 3 3 4" xfId="30307" xr:uid="{00000000-0005-0000-0000-0000D0750000}"/>
    <cellStyle name="Input 4 10 2 3 4" xfId="13266" xr:uid="{00000000-0005-0000-0000-0000D1750000}"/>
    <cellStyle name="Input 4 10 2 3 4 2" xfId="42436" xr:uid="{00000000-0005-0000-0000-0000D2750000}"/>
    <cellStyle name="Input 4 10 2 3 4 3" xfId="40435" xr:uid="{00000000-0005-0000-0000-0000D3750000}"/>
    <cellStyle name="Input 4 10 2 3 4 4" xfId="30911" xr:uid="{00000000-0005-0000-0000-0000D4750000}"/>
    <cellStyle name="Input 4 10 2 3 5" xfId="21184" xr:uid="{00000000-0005-0000-0000-0000D5750000}"/>
    <cellStyle name="Input 4 10 2 3 5 2" xfId="46721" xr:uid="{00000000-0005-0000-0000-0000D6750000}"/>
    <cellStyle name="Input 4 10 2 3 5 3" xfId="50627" xr:uid="{00000000-0005-0000-0000-0000D7750000}"/>
    <cellStyle name="Input 4 10 2 3 5 4" xfId="38590" xr:uid="{00000000-0005-0000-0000-0000D8750000}"/>
    <cellStyle name="Input 4 10 2 3 6" xfId="21837" xr:uid="{00000000-0005-0000-0000-0000D9750000}"/>
    <cellStyle name="Input 4 10 2 3 6 2" xfId="47374" xr:uid="{00000000-0005-0000-0000-0000DA750000}"/>
    <cellStyle name="Input 4 10 2 3 6 3" xfId="51280" xr:uid="{00000000-0005-0000-0000-0000DB750000}"/>
    <cellStyle name="Input 4 10 2 3 7" xfId="41177" xr:uid="{00000000-0005-0000-0000-0000DC750000}"/>
    <cellStyle name="Input 4 10 2 3 8" xfId="39183" xr:uid="{00000000-0005-0000-0000-0000DD750000}"/>
    <cellStyle name="Input 4 10 2 4" xfId="14941" xr:uid="{00000000-0005-0000-0000-0000DE750000}"/>
    <cellStyle name="Input 4 10 2 4 2" xfId="43057" xr:uid="{00000000-0005-0000-0000-0000DF750000}"/>
    <cellStyle name="Input 4 10 2 4 3" xfId="43296" xr:uid="{00000000-0005-0000-0000-0000E0750000}"/>
    <cellStyle name="Input 4 10 2 4 4" xfId="32576" xr:uid="{00000000-0005-0000-0000-0000E1750000}"/>
    <cellStyle name="Input 4 10 2 5" xfId="13170" xr:uid="{00000000-0005-0000-0000-0000E2750000}"/>
    <cellStyle name="Input 4 10 2 5 2" xfId="42391" xr:uid="{00000000-0005-0000-0000-0000E3750000}"/>
    <cellStyle name="Input 4 10 2 5 3" xfId="39086" xr:uid="{00000000-0005-0000-0000-0000E4750000}"/>
    <cellStyle name="Input 4 10 2 5 4" xfId="30819" xr:uid="{00000000-0005-0000-0000-0000E5750000}"/>
    <cellStyle name="Input 4 10 2 6" xfId="20068" xr:uid="{00000000-0005-0000-0000-0000E6750000}"/>
    <cellStyle name="Input 4 10 2 6 2" xfId="45605" xr:uid="{00000000-0005-0000-0000-0000E7750000}"/>
    <cellStyle name="Input 4 10 2 6 3" xfId="49511" xr:uid="{00000000-0005-0000-0000-0000E8750000}"/>
    <cellStyle name="Input 4 10 2 6 4" xfId="37562" xr:uid="{00000000-0005-0000-0000-0000E9750000}"/>
    <cellStyle name="Input 4 10 2 7" xfId="12937" xr:uid="{00000000-0005-0000-0000-0000EA750000}"/>
    <cellStyle name="Input 4 10 2 7 2" xfId="42258" xr:uid="{00000000-0005-0000-0000-0000EB750000}"/>
    <cellStyle name="Input 4 10 2 7 3" xfId="42800" xr:uid="{00000000-0005-0000-0000-0000EC750000}"/>
    <cellStyle name="Input 4 10 2 7 4" xfId="30587" xr:uid="{00000000-0005-0000-0000-0000ED750000}"/>
    <cellStyle name="Input 4 10 2 8" xfId="18970" xr:uid="{00000000-0005-0000-0000-0000EE750000}"/>
    <cellStyle name="Input 4 10 2 8 2" xfId="44507" xr:uid="{00000000-0005-0000-0000-0000EF750000}"/>
    <cellStyle name="Input 4 10 2 8 3" xfId="48413" xr:uid="{00000000-0005-0000-0000-0000F0750000}"/>
    <cellStyle name="Input 4 10 2 9" xfId="39917" xr:uid="{00000000-0005-0000-0000-0000F1750000}"/>
    <cellStyle name="Input 4 11" xfId="1995" xr:uid="{00000000-0005-0000-0000-0000F2750000}"/>
    <cellStyle name="Input 4 11 2" xfId="7154" xr:uid="{00000000-0005-0000-0000-0000F3750000}"/>
    <cellStyle name="Input 4 11 2 10" xfId="39240" xr:uid="{00000000-0005-0000-0000-0000F4750000}"/>
    <cellStyle name="Input 4 11 2 2" xfId="10684" xr:uid="{00000000-0005-0000-0000-0000F5750000}"/>
    <cellStyle name="Input 4 11 2 2 2" xfId="18477" xr:uid="{00000000-0005-0000-0000-0000F6750000}"/>
    <cellStyle name="Input 4 11 2 2 2 2" xfId="44024" xr:uid="{00000000-0005-0000-0000-0000F7750000}"/>
    <cellStyle name="Input 4 11 2 2 2 3" xfId="47933" xr:uid="{00000000-0005-0000-0000-0000F8750000}"/>
    <cellStyle name="Input 4 11 2 2 2 4" xfId="36114" xr:uid="{00000000-0005-0000-0000-0000F9750000}"/>
    <cellStyle name="Input 4 11 2 2 3" xfId="11504" xr:uid="{00000000-0005-0000-0000-0000FA750000}"/>
    <cellStyle name="Input 4 11 2 2 3 2" xfId="41515" xr:uid="{00000000-0005-0000-0000-0000FB750000}"/>
    <cellStyle name="Input 4 11 2 2 3 3" xfId="40465" xr:uid="{00000000-0005-0000-0000-0000FC750000}"/>
    <cellStyle name="Input 4 11 2 2 3 4" xfId="29219" xr:uid="{00000000-0005-0000-0000-0000FD750000}"/>
    <cellStyle name="Input 4 11 2 2 4" xfId="19669" xr:uid="{00000000-0005-0000-0000-0000FE750000}"/>
    <cellStyle name="Input 4 11 2 2 4 2" xfId="45206" xr:uid="{00000000-0005-0000-0000-0000FF750000}"/>
    <cellStyle name="Input 4 11 2 2 4 3" xfId="49112" xr:uid="{00000000-0005-0000-0000-000000760000}"/>
    <cellStyle name="Input 4 11 2 2 4 4" xfId="37203" xr:uid="{00000000-0005-0000-0000-000001760000}"/>
    <cellStyle name="Input 4 11 2 2 5" xfId="20890" xr:uid="{00000000-0005-0000-0000-000002760000}"/>
    <cellStyle name="Input 4 11 2 2 5 2" xfId="46427" xr:uid="{00000000-0005-0000-0000-000003760000}"/>
    <cellStyle name="Input 4 11 2 2 5 3" xfId="50333" xr:uid="{00000000-0005-0000-0000-000004760000}"/>
    <cellStyle name="Input 4 11 2 2 5 4" xfId="38296" xr:uid="{00000000-0005-0000-0000-000005760000}"/>
    <cellStyle name="Input 4 11 2 2 6" xfId="21543" xr:uid="{00000000-0005-0000-0000-000006760000}"/>
    <cellStyle name="Input 4 11 2 2 6 2" xfId="47080" xr:uid="{00000000-0005-0000-0000-000007760000}"/>
    <cellStyle name="Input 4 11 2 2 6 3" xfId="50986" xr:uid="{00000000-0005-0000-0000-000008760000}"/>
    <cellStyle name="Input 4 11 2 2 7" xfId="40883" xr:uid="{00000000-0005-0000-0000-000009760000}"/>
    <cellStyle name="Input 4 11 2 2 8" xfId="40385" xr:uid="{00000000-0005-0000-0000-00000A760000}"/>
    <cellStyle name="Input 4 11 2 3" xfId="10979" xr:uid="{00000000-0005-0000-0000-00000B760000}"/>
    <cellStyle name="Input 4 11 2 3 2" xfId="18772" xr:uid="{00000000-0005-0000-0000-00000C760000}"/>
    <cellStyle name="Input 4 11 2 3 2 2" xfId="44319" xr:uid="{00000000-0005-0000-0000-00000D760000}"/>
    <cellStyle name="Input 4 11 2 3 2 3" xfId="48228" xr:uid="{00000000-0005-0000-0000-00000E760000}"/>
    <cellStyle name="Input 4 11 2 3 2 4" xfId="36409" xr:uid="{00000000-0005-0000-0000-00000F760000}"/>
    <cellStyle name="Input 4 11 2 3 3" xfId="12181" xr:uid="{00000000-0005-0000-0000-000010760000}"/>
    <cellStyle name="Input 4 11 2 3 3 2" xfId="41926" xr:uid="{00000000-0005-0000-0000-000011760000}"/>
    <cellStyle name="Input 4 11 2 3 3 3" xfId="39319" xr:uid="{00000000-0005-0000-0000-000012760000}"/>
    <cellStyle name="Input 4 11 2 3 3 4" xfId="29853" xr:uid="{00000000-0005-0000-0000-000013760000}"/>
    <cellStyle name="Input 4 11 2 3 4" xfId="19511" xr:uid="{00000000-0005-0000-0000-000014760000}"/>
    <cellStyle name="Input 4 11 2 3 4 2" xfId="45048" xr:uid="{00000000-0005-0000-0000-000015760000}"/>
    <cellStyle name="Input 4 11 2 3 4 3" xfId="48954" xr:uid="{00000000-0005-0000-0000-000016760000}"/>
    <cellStyle name="Input 4 11 2 3 4 4" xfId="37059" xr:uid="{00000000-0005-0000-0000-000017760000}"/>
    <cellStyle name="Input 4 11 2 3 5" xfId="21185" xr:uid="{00000000-0005-0000-0000-000018760000}"/>
    <cellStyle name="Input 4 11 2 3 5 2" xfId="46722" xr:uid="{00000000-0005-0000-0000-000019760000}"/>
    <cellStyle name="Input 4 11 2 3 5 3" xfId="50628" xr:uid="{00000000-0005-0000-0000-00001A760000}"/>
    <cellStyle name="Input 4 11 2 3 5 4" xfId="38591" xr:uid="{00000000-0005-0000-0000-00001B760000}"/>
    <cellStyle name="Input 4 11 2 3 6" xfId="21838" xr:uid="{00000000-0005-0000-0000-00001C760000}"/>
    <cellStyle name="Input 4 11 2 3 6 2" xfId="47375" xr:uid="{00000000-0005-0000-0000-00001D760000}"/>
    <cellStyle name="Input 4 11 2 3 6 3" xfId="51281" xr:uid="{00000000-0005-0000-0000-00001E760000}"/>
    <cellStyle name="Input 4 11 2 3 7" xfId="41178" xr:uid="{00000000-0005-0000-0000-00001F760000}"/>
    <cellStyle name="Input 4 11 2 3 8" xfId="47591" xr:uid="{00000000-0005-0000-0000-000020760000}"/>
    <cellStyle name="Input 4 11 2 4" xfId="14942" xr:uid="{00000000-0005-0000-0000-000021760000}"/>
    <cellStyle name="Input 4 11 2 4 2" xfId="43058" xr:uid="{00000000-0005-0000-0000-000022760000}"/>
    <cellStyle name="Input 4 11 2 4 3" xfId="40155" xr:uid="{00000000-0005-0000-0000-000023760000}"/>
    <cellStyle name="Input 4 11 2 4 4" xfId="32577" xr:uid="{00000000-0005-0000-0000-000024760000}"/>
    <cellStyle name="Input 4 11 2 5" xfId="12486" xr:uid="{00000000-0005-0000-0000-000025760000}"/>
    <cellStyle name="Input 4 11 2 5 2" xfId="42006" xr:uid="{00000000-0005-0000-0000-000026760000}"/>
    <cellStyle name="Input 4 11 2 5 3" xfId="40341" xr:uid="{00000000-0005-0000-0000-000027760000}"/>
    <cellStyle name="Input 4 11 2 5 4" xfId="30157" xr:uid="{00000000-0005-0000-0000-000028760000}"/>
    <cellStyle name="Input 4 11 2 6" xfId="19860" xr:uid="{00000000-0005-0000-0000-000029760000}"/>
    <cellStyle name="Input 4 11 2 6 2" xfId="45397" xr:uid="{00000000-0005-0000-0000-00002A760000}"/>
    <cellStyle name="Input 4 11 2 6 3" xfId="49303" xr:uid="{00000000-0005-0000-0000-00002B760000}"/>
    <cellStyle name="Input 4 11 2 6 4" xfId="37374" xr:uid="{00000000-0005-0000-0000-00002C760000}"/>
    <cellStyle name="Input 4 11 2 7" xfId="12069" xr:uid="{00000000-0005-0000-0000-00002D760000}"/>
    <cellStyle name="Input 4 11 2 7 2" xfId="41819" xr:uid="{00000000-0005-0000-0000-00002E760000}"/>
    <cellStyle name="Input 4 11 2 7 3" xfId="43594" xr:uid="{00000000-0005-0000-0000-00002F760000}"/>
    <cellStyle name="Input 4 11 2 7 4" xfId="29747" xr:uid="{00000000-0005-0000-0000-000030760000}"/>
    <cellStyle name="Input 4 11 2 8" xfId="19008" xr:uid="{00000000-0005-0000-0000-000031760000}"/>
    <cellStyle name="Input 4 11 2 8 2" xfId="44545" xr:uid="{00000000-0005-0000-0000-000032760000}"/>
    <cellStyle name="Input 4 11 2 8 3" xfId="48451" xr:uid="{00000000-0005-0000-0000-000033760000}"/>
    <cellStyle name="Input 4 11 2 9" xfId="39918" xr:uid="{00000000-0005-0000-0000-000034760000}"/>
    <cellStyle name="Input 4 12" xfId="1996" xr:uid="{00000000-0005-0000-0000-000035760000}"/>
    <cellStyle name="Input 4 12 2" xfId="7155" xr:uid="{00000000-0005-0000-0000-000036760000}"/>
    <cellStyle name="Input 4 12 2 10" xfId="47598" xr:uid="{00000000-0005-0000-0000-000037760000}"/>
    <cellStyle name="Input 4 12 2 2" xfId="10685" xr:uid="{00000000-0005-0000-0000-000038760000}"/>
    <cellStyle name="Input 4 12 2 2 2" xfId="18478" xr:uid="{00000000-0005-0000-0000-000039760000}"/>
    <cellStyle name="Input 4 12 2 2 2 2" xfId="44025" xr:uid="{00000000-0005-0000-0000-00003A760000}"/>
    <cellStyle name="Input 4 12 2 2 2 3" xfId="47934" xr:uid="{00000000-0005-0000-0000-00003B760000}"/>
    <cellStyle name="Input 4 12 2 2 2 4" xfId="36115" xr:uid="{00000000-0005-0000-0000-00003C760000}"/>
    <cellStyle name="Input 4 12 2 2 3" xfId="19741" xr:uid="{00000000-0005-0000-0000-00003D760000}"/>
    <cellStyle name="Input 4 12 2 2 3 2" xfId="45278" xr:uid="{00000000-0005-0000-0000-00003E760000}"/>
    <cellStyle name="Input 4 12 2 2 3 3" xfId="49184" xr:uid="{00000000-0005-0000-0000-00003F760000}"/>
    <cellStyle name="Input 4 12 2 2 3 4" xfId="37268" xr:uid="{00000000-0005-0000-0000-000040760000}"/>
    <cellStyle name="Input 4 12 2 2 4" xfId="19255" xr:uid="{00000000-0005-0000-0000-000041760000}"/>
    <cellStyle name="Input 4 12 2 2 4 2" xfId="44792" xr:uid="{00000000-0005-0000-0000-000042760000}"/>
    <cellStyle name="Input 4 12 2 2 4 3" xfId="48698" xr:uid="{00000000-0005-0000-0000-000043760000}"/>
    <cellStyle name="Input 4 12 2 2 4 4" xfId="36833" xr:uid="{00000000-0005-0000-0000-000044760000}"/>
    <cellStyle name="Input 4 12 2 2 5" xfId="20891" xr:uid="{00000000-0005-0000-0000-000045760000}"/>
    <cellStyle name="Input 4 12 2 2 5 2" xfId="46428" xr:uid="{00000000-0005-0000-0000-000046760000}"/>
    <cellStyle name="Input 4 12 2 2 5 3" xfId="50334" xr:uid="{00000000-0005-0000-0000-000047760000}"/>
    <cellStyle name="Input 4 12 2 2 5 4" xfId="38297" xr:uid="{00000000-0005-0000-0000-000048760000}"/>
    <cellStyle name="Input 4 12 2 2 6" xfId="21544" xr:uid="{00000000-0005-0000-0000-000049760000}"/>
    <cellStyle name="Input 4 12 2 2 6 2" xfId="47081" xr:uid="{00000000-0005-0000-0000-00004A760000}"/>
    <cellStyle name="Input 4 12 2 2 6 3" xfId="50987" xr:uid="{00000000-0005-0000-0000-00004B760000}"/>
    <cellStyle name="Input 4 12 2 2 7" xfId="40884" xr:uid="{00000000-0005-0000-0000-00004C760000}"/>
    <cellStyle name="Input 4 12 2 2 8" xfId="39497" xr:uid="{00000000-0005-0000-0000-00004D760000}"/>
    <cellStyle name="Input 4 12 2 3" xfId="10980" xr:uid="{00000000-0005-0000-0000-00004E760000}"/>
    <cellStyle name="Input 4 12 2 3 2" xfId="18773" xr:uid="{00000000-0005-0000-0000-00004F760000}"/>
    <cellStyle name="Input 4 12 2 3 2 2" xfId="44320" xr:uid="{00000000-0005-0000-0000-000050760000}"/>
    <cellStyle name="Input 4 12 2 3 2 3" xfId="48229" xr:uid="{00000000-0005-0000-0000-000051760000}"/>
    <cellStyle name="Input 4 12 2 3 2 4" xfId="36410" xr:uid="{00000000-0005-0000-0000-000052760000}"/>
    <cellStyle name="Input 4 12 2 3 3" xfId="13359" xr:uid="{00000000-0005-0000-0000-000053760000}"/>
    <cellStyle name="Input 4 12 2 3 3 2" xfId="42529" xr:uid="{00000000-0005-0000-0000-000054760000}"/>
    <cellStyle name="Input 4 12 2 3 3 3" xfId="39645" xr:uid="{00000000-0005-0000-0000-000055760000}"/>
    <cellStyle name="Input 4 12 2 3 3 4" xfId="30999" xr:uid="{00000000-0005-0000-0000-000056760000}"/>
    <cellStyle name="Input 4 12 2 3 4" xfId="12768" xr:uid="{00000000-0005-0000-0000-000057760000}"/>
    <cellStyle name="Input 4 12 2 3 4 2" xfId="42211" xr:uid="{00000000-0005-0000-0000-000058760000}"/>
    <cellStyle name="Input 4 12 2 3 4 3" xfId="43327" xr:uid="{00000000-0005-0000-0000-000059760000}"/>
    <cellStyle name="Input 4 12 2 3 4 4" xfId="30426" xr:uid="{00000000-0005-0000-0000-00005A760000}"/>
    <cellStyle name="Input 4 12 2 3 5" xfId="21186" xr:uid="{00000000-0005-0000-0000-00005B760000}"/>
    <cellStyle name="Input 4 12 2 3 5 2" xfId="46723" xr:uid="{00000000-0005-0000-0000-00005C760000}"/>
    <cellStyle name="Input 4 12 2 3 5 3" xfId="50629" xr:uid="{00000000-0005-0000-0000-00005D760000}"/>
    <cellStyle name="Input 4 12 2 3 5 4" xfId="38592" xr:uid="{00000000-0005-0000-0000-00005E760000}"/>
    <cellStyle name="Input 4 12 2 3 6" xfId="21839" xr:uid="{00000000-0005-0000-0000-00005F760000}"/>
    <cellStyle name="Input 4 12 2 3 6 2" xfId="47376" xr:uid="{00000000-0005-0000-0000-000060760000}"/>
    <cellStyle name="Input 4 12 2 3 6 3" xfId="51282" xr:uid="{00000000-0005-0000-0000-000061760000}"/>
    <cellStyle name="Input 4 12 2 3 7" xfId="41179" xr:uid="{00000000-0005-0000-0000-000062760000}"/>
    <cellStyle name="Input 4 12 2 3 8" xfId="41424" xr:uid="{00000000-0005-0000-0000-000063760000}"/>
    <cellStyle name="Input 4 12 2 4" xfId="14943" xr:uid="{00000000-0005-0000-0000-000064760000}"/>
    <cellStyle name="Input 4 12 2 4 2" xfId="43059" xr:uid="{00000000-0005-0000-0000-000065760000}"/>
    <cellStyle name="Input 4 12 2 4 3" xfId="39269" xr:uid="{00000000-0005-0000-0000-000066760000}"/>
    <cellStyle name="Input 4 12 2 4 4" xfId="32578" xr:uid="{00000000-0005-0000-0000-000067760000}"/>
    <cellStyle name="Input 4 12 2 5" xfId="12487" xr:uid="{00000000-0005-0000-0000-000068760000}"/>
    <cellStyle name="Input 4 12 2 5 2" xfId="42007" xr:uid="{00000000-0005-0000-0000-000069760000}"/>
    <cellStyle name="Input 4 12 2 5 3" xfId="39456" xr:uid="{00000000-0005-0000-0000-00006A760000}"/>
    <cellStyle name="Input 4 12 2 5 4" xfId="30158" xr:uid="{00000000-0005-0000-0000-00006B760000}"/>
    <cellStyle name="Input 4 12 2 6" xfId="18911" xr:uid="{00000000-0005-0000-0000-00006C760000}"/>
    <cellStyle name="Input 4 12 2 6 2" xfId="44448" xr:uid="{00000000-0005-0000-0000-00006D760000}"/>
    <cellStyle name="Input 4 12 2 6 3" xfId="48354" xr:uid="{00000000-0005-0000-0000-00006E760000}"/>
    <cellStyle name="Input 4 12 2 6 4" xfId="36543" xr:uid="{00000000-0005-0000-0000-00006F760000}"/>
    <cellStyle name="Input 4 12 2 7" xfId="11557" xr:uid="{00000000-0005-0000-0000-000070760000}"/>
    <cellStyle name="Input 4 12 2 7 2" xfId="41568" xr:uid="{00000000-0005-0000-0000-000071760000}"/>
    <cellStyle name="Input 4 12 2 7 3" xfId="42820" xr:uid="{00000000-0005-0000-0000-000072760000}"/>
    <cellStyle name="Input 4 12 2 7 4" xfId="29269" xr:uid="{00000000-0005-0000-0000-000073760000}"/>
    <cellStyle name="Input 4 12 2 8" xfId="20115" xr:uid="{00000000-0005-0000-0000-000074760000}"/>
    <cellStyle name="Input 4 12 2 8 2" xfId="45652" xr:uid="{00000000-0005-0000-0000-000075760000}"/>
    <cellStyle name="Input 4 12 2 8 3" xfId="49558" xr:uid="{00000000-0005-0000-0000-000076760000}"/>
    <cellStyle name="Input 4 12 2 9" xfId="39919" xr:uid="{00000000-0005-0000-0000-000077760000}"/>
    <cellStyle name="Input 4 13" xfId="1997" xr:uid="{00000000-0005-0000-0000-000078760000}"/>
    <cellStyle name="Input 4 13 2" xfId="7156" xr:uid="{00000000-0005-0000-0000-000079760000}"/>
    <cellStyle name="Input 4 13 2 10" xfId="41721" xr:uid="{00000000-0005-0000-0000-00007A760000}"/>
    <cellStyle name="Input 4 13 2 2" xfId="10686" xr:uid="{00000000-0005-0000-0000-00007B760000}"/>
    <cellStyle name="Input 4 13 2 2 2" xfId="18479" xr:uid="{00000000-0005-0000-0000-00007C760000}"/>
    <cellStyle name="Input 4 13 2 2 2 2" xfId="44026" xr:uid="{00000000-0005-0000-0000-00007D760000}"/>
    <cellStyle name="Input 4 13 2 2 2 3" xfId="47935" xr:uid="{00000000-0005-0000-0000-00007E760000}"/>
    <cellStyle name="Input 4 13 2 2 2 4" xfId="36116" xr:uid="{00000000-0005-0000-0000-00007F760000}"/>
    <cellStyle name="Input 4 13 2 2 3" xfId="11503" xr:uid="{00000000-0005-0000-0000-000080760000}"/>
    <cellStyle name="Input 4 13 2 2 3 2" xfId="41514" xr:uid="{00000000-0005-0000-0000-000081760000}"/>
    <cellStyle name="Input 4 13 2 2 3 3" xfId="43605" xr:uid="{00000000-0005-0000-0000-000082760000}"/>
    <cellStyle name="Input 4 13 2 2 3 4" xfId="29218" xr:uid="{00000000-0005-0000-0000-000083760000}"/>
    <cellStyle name="Input 4 13 2 2 4" xfId="19964" xr:uid="{00000000-0005-0000-0000-000084760000}"/>
    <cellStyle name="Input 4 13 2 2 4 2" xfId="45501" xr:uid="{00000000-0005-0000-0000-000085760000}"/>
    <cellStyle name="Input 4 13 2 2 4 3" xfId="49407" xr:uid="{00000000-0005-0000-0000-000086760000}"/>
    <cellStyle name="Input 4 13 2 2 4 4" xfId="37469" xr:uid="{00000000-0005-0000-0000-000087760000}"/>
    <cellStyle name="Input 4 13 2 2 5" xfId="20892" xr:uid="{00000000-0005-0000-0000-000088760000}"/>
    <cellStyle name="Input 4 13 2 2 5 2" xfId="46429" xr:uid="{00000000-0005-0000-0000-000089760000}"/>
    <cellStyle name="Input 4 13 2 2 5 3" xfId="50335" xr:uid="{00000000-0005-0000-0000-00008A760000}"/>
    <cellStyle name="Input 4 13 2 2 5 4" xfId="38298" xr:uid="{00000000-0005-0000-0000-00008B760000}"/>
    <cellStyle name="Input 4 13 2 2 6" xfId="21545" xr:uid="{00000000-0005-0000-0000-00008C760000}"/>
    <cellStyle name="Input 4 13 2 2 6 2" xfId="47082" xr:uid="{00000000-0005-0000-0000-00008D760000}"/>
    <cellStyle name="Input 4 13 2 2 6 3" xfId="50988" xr:uid="{00000000-0005-0000-0000-00008E760000}"/>
    <cellStyle name="Input 4 13 2 2 7" xfId="40885" xr:uid="{00000000-0005-0000-0000-00008F760000}"/>
    <cellStyle name="Input 4 13 2 2 8" xfId="42068" xr:uid="{00000000-0005-0000-0000-000090760000}"/>
    <cellStyle name="Input 4 13 2 3" xfId="10981" xr:uid="{00000000-0005-0000-0000-000091760000}"/>
    <cellStyle name="Input 4 13 2 3 2" xfId="18774" xr:uid="{00000000-0005-0000-0000-000092760000}"/>
    <cellStyle name="Input 4 13 2 3 2 2" xfId="44321" xr:uid="{00000000-0005-0000-0000-000093760000}"/>
    <cellStyle name="Input 4 13 2 3 2 3" xfId="48230" xr:uid="{00000000-0005-0000-0000-000094760000}"/>
    <cellStyle name="Input 4 13 2 3 2 4" xfId="36411" xr:uid="{00000000-0005-0000-0000-000095760000}"/>
    <cellStyle name="Input 4 13 2 3 3" xfId="19589" xr:uid="{00000000-0005-0000-0000-000096760000}"/>
    <cellStyle name="Input 4 13 2 3 3 2" xfId="45126" xr:uid="{00000000-0005-0000-0000-000097760000}"/>
    <cellStyle name="Input 4 13 2 3 3 3" xfId="49032" xr:uid="{00000000-0005-0000-0000-000098760000}"/>
    <cellStyle name="Input 4 13 2 3 3 4" xfId="37129" xr:uid="{00000000-0005-0000-0000-000099760000}"/>
    <cellStyle name="Input 4 13 2 3 4" xfId="18936" xr:uid="{00000000-0005-0000-0000-00009A760000}"/>
    <cellStyle name="Input 4 13 2 3 4 2" xfId="44473" xr:uid="{00000000-0005-0000-0000-00009B760000}"/>
    <cellStyle name="Input 4 13 2 3 4 3" xfId="48379" xr:uid="{00000000-0005-0000-0000-00009C760000}"/>
    <cellStyle name="Input 4 13 2 3 4 4" xfId="36563" xr:uid="{00000000-0005-0000-0000-00009D760000}"/>
    <cellStyle name="Input 4 13 2 3 5" xfId="21187" xr:uid="{00000000-0005-0000-0000-00009E760000}"/>
    <cellStyle name="Input 4 13 2 3 5 2" xfId="46724" xr:uid="{00000000-0005-0000-0000-00009F760000}"/>
    <cellStyle name="Input 4 13 2 3 5 3" xfId="50630" xr:uid="{00000000-0005-0000-0000-0000A0760000}"/>
    <cellStyle name="Input 4 13 2 3 5 4" xfId="38593" xr:uid="{00000000-0005-0000-0000-0000A1760000}"/>
    <cellStyle name="Input 4 13 2 3 6" xfId="21840" xr:uid="{00000000-0005-0000-0000-0000A2760000}"/>
    <cellStyle name="Input 4 13 2 3 6 2" xfId="47377" xr:uid="{00000000-0005-0000-0000-0000A3760000}"/>
    <cellStyle name="Input 4 13 2 3 6 3" xfId="51283" xr:uid="{00000000-0005-0000-0000-0000A4760000}"/>
    <cellStyle name="Input 4 13 2 3 7" xfId="41180" xr:uid="{00000000-0005-0000-0000-0000A5760000}"/>
    <cellStyle name="Input 4 13 2 3 8" xfId="43227" xr:uid="{00000000-0005-0000-0000-0000A6760000}"/>
    <cellStyle name="Input 4 13 2 4" xfId="14944" xr:uid="{00000000-0005-0000-0000-0000A7760000}"/>
    <cellStyle name="Input 4 13 2 4 2" xfId="43060" xr:uid="{00000000-0005-0000-0000-0000A8760000}"/>
    <cellStyle name="Input 4 13 2 4 3" xfId="41941" xr:uid="{00000000-0005-0000-0000-0000A9760000}"/>
    <cellStyle name="Input 4 13 2 4 4" xfId="32579" xr:uid="{00000000-0005-0000-0000-0000AA760000}"/>
    <cellStyle name="Input 4 13 2 5" xfId="11322" xr:uid="{00000000-0005-0000-0000-0000AB760000}"/>
    <cellStyle name="Input 4 13 2 5 2" xfId="41367" xr:uid="{00000000-0005-0000-0000-0000AC760000}"/>
    <cellStyle name="Input 4 13 2 5 3" xfId="39686" xr:uid="{00000000-0005-0000-0000-0000AD760000}"/>
    <cellStyle name="Input 4 13 2 5 4" xfId="29050" xr:uid="{00000000-0005-0000-0000-0000AE760000}"/>
    <cellStyle name="Input 4 13 2 6" xfId="12134" xr:uid="{00000000-0005-0000-0000-0000AF760000}"/>
    <cellStyle name="Input 4 13 2 6 2" xfId="41879" xr:uid="{00000000-0005-0000-0000-0000B0760000}"/>
    <cellStyle name="Input 4 13 2 6 3" xfId="42807" xr:uid="{00000000-0005-0000-0000-0000B1760000}"/>
    <cellStyle name="Input 4 13 2 6 4" xfId="29807" xr:uid="{00000000-0005-0000-0000-0000B2760000}"/>
    <cellStyle name="Input 4 13 2 7" xfId="19460" xr:uid="{00000000-0005-0000-0000-0000B3760000}"/>
    <cellStyle name="Input 4 13 2 7 2" xfId="44997" xr:uid="{00000000-0005-0000-0000-0000B4760000}"/>
    <cellStyle name="Input 4 13 2 7 3" xfId="48903" xr:uid="{00000000-0005-0000-0000-0000B5760000}"/>
    <cellStyle name="Input 4 13 2 7 4" xfId="37019" xr:uid="{00000000-0005-0000-0000-0000B6760000}"/>
    <cellStyle name="Input 4 13 2 8" xfId="12138" xr:uid="{00000000-0005-0000-0000-0000B7760000}"/>
    <cellStyle name="Input 4 13 2 8 2" xfId="41883" xr:uid="{00000000-0005-0000-0000-0000B8760000}"/>
    <cellStyle name="Input 4 13 2 8 3" xfId="47493" xr:uid="{00000000-0005-0000-0000-0000B9760000}"/>
    <cellStyle name="Input 4 13 2 9" xfId="39920" xr:uid="{00000000-0005-0000-0000-0000BA760000}"/>
    <cellStyle name="Input 4 14" xfId="4240" xr:uid="{00000000-0005-0000-0000-0000BB760000}"/>
    <cellStyle name="Input 4 14 2" xfId="7157" xr:uid="{00000000-0005-0000-0000-0000BC760000}"/>
    <cellStyle name="Input 4 14 2 10" xfId="43273" xr:uid="{00000000-0005-0000-0000-0000BD760000}"/>
    <cellStyle name="Input 4 14 2 2" xfId="10687" xr:uid="{00000000-0005-0000-0000-0000BE760000}"/>
    <cellStyle name="Input 4 14 2 2 2" xfId="18480" xr:uid="{00000000-0005-0000-0000-0000BF760000}"/>
    <cellStyle name="Input 4 14 2 2 2 2" xfId="44027" xr:uid="{00000000-0005-0000-0000-0000C0760000}"/>
    <cellStyle name="Input 4 14 2 2 2 3" xfId="47936" xr:uid="{00000000-0005-0000-0000-0000C1760000}"/>
    <cellStyle name="Input 4 14 2 2 2 4" xfId="36117" xr:uid="{00000000-0005-0000-0000-0000C2760000}"/>
    <cellStyle name="Input 4 14 2 2 3" xfId="13329" xr:uid="{00000000-0005-0000-0000-0000C3760000}"/>
    <cellStyle name="Input 4 14 2 2 3 2" xfId="42499" xr:uid="{00000000-0005-0000-0000-0000C4760000}"/>
    <cellStyle name="Input 4 14 2 2 3 3" xfId="40323" xr:uid="{00000000-0005-0000-0000-0000C5760000}"/>
    <cellStyle name="Input 4 14 2 2 3 4" xfId="30969" xr:uid="{00000000-0005-0000-0000-0000C6760000}"/>
    <cellStyle name="Input 4 14 2 2 4" xfId="19520" xr:uid="{00000000-0005-0000-0000-0000C7760000}"/>
    <cellStyle name="Input 4 14 2 2 4 2" xfId="45057" xr:uid="{00000000-0005-0000-0000-0000C8760000}"/>
    <cellStyle name="Input 4 14 2 2 4 3" xfId="48963" xr:uid="{00000000-0005-0000-0000-0000C9760000}"/>
    <cellStyle name="Input 4 14 2 2 4 4" xfId="37068" xr:uid="{00000000-0005-0000-0000-0000CA760000}"/>
    <cellStyle name="Input 4 14 2 2 5" xfId="20893" xr:uid="{00000000-0005-0000-0000-0000CB760000}"/>
    <cellStyle name="Input 4 14 2 2 5 2" xfId="46430" xr:uid="{00000000-0005-0000-0000-0000CC760000}"/>
    <cellStyle name="Input 4 14 2 2 5 3" xfId="50336" xr:uid="{00000000-0005-0000-0000-0000CD760000}"/>
    <cellStyle name="Input 4 14 2 2 5 4" xfId="38299" xr:uid="{00000000-0005-0000-0000-0000CE760000}"/>
    <cellStyle name="Input 4 14 2 2 6" xfId="21546" xr:uid="{00000000-0005-0000-0000-0000CF760000}"/>
    <cellStyle name="Input 4 14 2 2 6 2" xfId="47083" xr:uid="{00000000-0005-0000-0000-0000D0760000}"/>
    <cellStyle name="Input 4 14 2 2 6 3" xfId="50989" xr:uid="{00000000-0005-0000-0000-0000D1760000}"/>
    <cellStyle name="Input 4 14 2 2 7" xfId="40886" xr:uid="{00000000-0005-0000-0000-0000D2760000}"/>
    <cellStyle name="Input 4 14 2 2 8" xfId="43387" xr:uid="{00000000-0005-0000-0000-0000D3760000}"/>
    <cellStyle name="Input 4 14 2 3" xfId="10982" xr:uid="{00000000-0005-0000-0000-0000D4760000}"/>
    <cellStyle name="Input 4 14 2 3 2" xfId="18775" xr:uid="{00000000-0005-0000-0000-0000D5760000}"/>
    <cellStyle name="Input 4 14 2 3 2 2" xfId="44322" xr:uid="{00000000-0005-0000-0000-0000D6760000}"/>
    <cellStyle name="Input 4 14 2 3 2 3" xfId="48231" xr:uid="{00000000-0005-0000-0000-0000D7760000}"/>
    <cellStyle name="Input 4 14 2 3 2 4" xfId="36412" xr:uid="{00000000-0005-0000-0000-0000D8760000}"/>
    <cellStyle name="Input 4 14 2 3 3" xfId="20135" xr:uid="{00000000-0005-0000-0000-0000D9760000}"/>
    <cellStyle name="Input 4 14 2 3 3 2" xfId="45672" xr:uid="{00000000-0005-0000-0000-0000DA760000}"/>
    <cellStyle name="Input 4 14 2 3 3 3" xfId="49578" xr:uid="{00000000-0005-0000-0000-0000DB760000}"/>
    <cellStyle name="Input 4 14 2 3 3 4" xfId="37621" xr:uid="{00000000-0005-0000-0000-0000DC760000}"/>
    <cellStyle name="Input 4 14 2 3 4" xfId="20354" xr:uid="{00000000-0005-0000-0000-0000DD760000}"/>
    <cellStyle name="Input 4 14 2 3 4 2" xfId="45891" xr:uid="{00000000-0005-0000-0000-0000DE760000}"/>
    <cellStyle name="Input 4 14 2 3 4 3" xfId="49797" xr:uid="{00000000-0005-0000-0000-0000DF760000}"/>
    <cellStyle name="Input 4 14 2 3 4 4" xfId="37810" xr:uid="{00000000-0005-0000-0000-0000E0760000}"/>
    <cellStyle name="Input 4 14 2 3 5" xfId="21188" xr:uid="{00000000-0005-0000-0000-0000E1760000}"/>
    <cellStyle name="Input 4 14 2 3 5 2" xfId="46725" xr:uid="{00000000-0005-0000-0000-0000E2760000}"/>
    <cellStyle name="Input 4 14 2 3 5 3" xfId="50631" xr:uid="{00000000-0005-0000-0000-0000E3760000}"/>
    <cellStyle name="Input 4 14 2 3 5 4" xfId="38594" xr:uid="{00000000-0005-0000-0000-0000E4760000}"/>
    <cellStyle name="Input 4 14 2 3 6" xfId="21841" xr:uid="{00000000-0005-0000-0000-0000E5760000}"/>
    <cellStyle name="Input 4 14 2 3 6 2" xfId="47378" xr:uid="{00000000-0005-0000-0000-0000E6760000}"/>
    <cellStyle name="Input 4 14 2 3 6 3" xfId="51284" xr:uid="{00000000-0005-0000-0000-0000E7760000}"/>
    <cellStyle name="Input 4 14 2 3 7" xfId="41181" xr:uid="{00000000-0005-0000-0000-0000E8760000}"/>
    <cellStyle name="Input 4 14 2 3 8" xfId="40086" xr:uid="{00000000-0005-0000-0000-0000E9760000}"/>
    <cellStyle name="Input 4 14 2 4" xfId="14945" xr:uid="{00000000-0005-0000-0000-0000EA760000}"/>
    <cellStyle name="Input 4 14 2 4 2" xfId="43061" xr:uid="{00000000-0005-0000-0000-0000EB760000}"/>
    <cellStyle name="Input 4 14 2 4 3" xfId="43295" xr:uid="{00000000-0005-0000-0000-0000EC760000}"/>
    <cellStyle name="Input 4 14 2 4 4" xfId="32580" xr:uid="{00000000-0005-0000-0000-0000ED760000}"/>
    <cellStyle name="Input 4 14 2 5" xfId="13171" xr:uid="{00000000-0005-0000-0000-0000EE760000}"/>
    <cellStyle name="Input 4 14 2 5 2" xfId="42392" xr:uid="{00000000-0005-0000-0000-0000EF760000}"/>
    <cellStyle name="Input 4 14 2 5 3" xfId="39085" xr:uid="{00000000-0005-0000-0000-0000F0760000}"/>
    <cellStyle name="Input 4 14 2 5 4" xfId="30820" xr:uid="{00000000-0005-0000-0000-0000F1760000}"/>
    <cellStyle name="Input 4 14 2 6" xfId="11852" xr:uid="{00000000-0005-0000-0000-0000F2760000}"/>
    <cellStyle name="Input 4 14 2 6 2" xfId="41770" xr:uid="{00000000-0005-0000-0000-0000F3760000}"/>
    <cellStyle name="Input 4 14 2 6 3" xfId="43341" xr:uid="{00000000-0005-0000-0000-0000F4760000}"/>
    <cellStyle name="Input 4 14 2 6 4" xfId="29536" xr:uid="{00000000-0005-0000-0000-0000F5760000}"/>
    <cellStyle name="Input 4 14 2 7" xfId="19044" xr:uid="{00000000-0005-0000-0000-0000F6760000}"/>
    <cellStyle name="Input 4 14 2 7 2" xfId="44581" xr:uid="{00000000-0005-0000-0000-0000F7760000}"/>
    <cellStyle name="Input 4 14 2 7 3" xfId="48487" xr:uid="{00000000-0005-0000-0000-0000F8760000}"/>
    <cellStyle name="Input 4 14 2 7 4" xfId="36648" xr:uid="{00000000-0005-0000-0000-0000F9760000}"/>
    <cellStyle name="Input 4 14 2 8" xfId="19234" xr:uid="{00000000-0005-0000-0000-0000FA760000}"/>
    <cellStyle name="Input 4 14 2 8 2" xfId="44771" xr:uid="{00000000-0005-0000-0000-0000FB760000}"/>
    <cellStyle name="Input 4 14 2 8 3" xfId="48677" xr:uid="{00000000-0005-0000-0000-0000FC760000}"/>
    <cellStyle name="Input 4 14 2 9" xfId="39921" xr:uid="{00000000-0005-0000-0000-0000FD760000}"/>
    <cellStyle name="Input 4 15" xfId="4241" xr:uid="{00000000-0005-0000-0000-0000FE760000}"/>
    <cellStyle name="Input 4 15 2" xfId="7158" xr:uid="{00000000-0005-0000-0000-0000FF760000}"/>
    <cellStyle name="Input 4 15 2 10" xfId="40132" xr:uid="{00000000-0005-0000-0000-000000770000}"/>
    <cellStyle name="Input 4 15 2 2" xfId="10688" xr:uid="{00000000-0005-0000-0000-000001770000}"/>
    <cellStyle name="Input 4 15 2 2 2" xfId="18481" xr:uid="{00000000-0005-0000-0000-000002770000}"/>
    <cellStyle name="Input 4 15 2 2 2 2" xfId="44028" xr:uid="{00000000-0005-0000-0000-000003770000}"/>
    <cellStyle name="Input 4 15 2 2 2 3" xfId="47937" xr:uid="{00000000-0005-0000-0000-000004770000}"/>
    <cellStyle name="Input 4 15 2 2 2 4" xfId="36118" xr:uid="{00000000-0005-0000-0000-000005770000}"/>
    <cellStyle name="Input 4 15 2 2 3" xfId="19605" xr:uid="{00000000-0005-0000-0000-000006770000}"/>
    <cellStyle name="Input 4 15 2 2 3 2" xfId="45142" xr:uid="{00000000-0005-0000-0000-000007770000}"/>
    <cellStyle name="Input 4 15 2 2 3 3" xfId="49048" xr:uid="{00000000-0005-0000-0000-000008770000}"/>
    <cellStyle name="Input 4 15 2 2 3 4" xfId="37145" xr:uid="{00000000-0005-0000-0000-000009770000}"/>
    <cellStyle name="Input 4 15 2 2 4" xfId="20281" xr:uid="{00000000-0005-0000-0000-00000A770000}"/>
    <cellStyle name="Input 4 15 2 2 4 2" xfId="45818" xr:uid="{00000000-0005-0000-0000-00000B770000}"/>
    <cellStyle name="Input 4 15 2 2 4 3" xfId="49724" xr:uid="{00000000-0005-0000-0000-00000C770000}"/>
    <cellStyle name="Input 4 15 2 2 4 4" xfId="37749" xr:uid="{00000000-0005-0000-0000-00000D770000}"/>
    <cellStyle name="Input 4 15 2 2 5" xfId="20894" xr:uid="{00000000-0005-0000-0000-00000E770000}"/>
    <cellStyle name="Input 4 15 2 2 5 2" xfId="46431" xr:uid="{00000000-0005-0000-0000-00000F770000}"/>
    <cellStyle name="Input 4 15 2 2 5 3" xfId="50337" xr:uid="{00000000-0005-0000-0000-000010770000}"/>
    <cellStyle name="Input 4 15 2 2 5 4" xfId="38300" xr:uid="{00000000-0005-0000-0000-000011770000}"/>
    <cellStyle name="Input 4 15 2 2 6" xfId="21547" xr:uid="{00000000-0005-0000-0000-000012770000}"/>
    <cellStyle name="Input 4 15 2 2 6 2" xfId="47084" xr:uid="{00000000-0005-0000-0000-000013770000}"/>
    <cellStyle name="Input 4 15 2 2 6 3" xfId="50990" xr:uid="{00000000-0005-0000-0000-000014770000}"/>
    <cellStyle name="Input 4 15 2 2 7" xfId="40887" xr:uid="{00000000-0005-0000-0000-000015770000}"/>
    <cellStyle name="Input 4 15 2 2 8" xfId="40249" xr:uid="{00000000-0005-0000-0000-000016770000}"/>
    <cellStyle name="Input 4 15 2 3" xfId="10983" xr:uid="{00000000-0005-0000-0000-000017770000}"/>
    <cellStyle name="Input 4 15 2 3 2" xfId="18776" xr:uid="{00000000-0005-0000-0000-000018770000}"/>
    <cellStyle name="Input 4 15 2 3 2 2" xfId="44323" xr:uid="{00000000-0005-0000-0000-000019770000}"/>
    <cellStyle name="Input 4 15 2 3 2 3" xfId="48232" xr:uid="{00000000-0005-0000-0000-00001A770000}"/>
    <cellStyle name="Input 4 15 2 3 2 4" xfId="36413" xr:uid="{00000000-0005-0000-0000-00001B770000}"/>
    <cellStyle name="Input 4 15 2 3 3" xfId="19394" xr:uid="{00000000-0005-0000-0000-00001C770000}"/>
    <cellStyle name="Input 4 15 2 3 3 2" xfId="44931" xr:uid="{00000000-0005-0000-0000-00001D770000}"/>
    <cellStyle name="Input 4 15 2 3 3 3" xfId="48837" xr:uid="{00000000-0005-0000-0000-00001E770000}"/>
    <cellStyle name="Input 4 15 2 3 3 4" xfId="36959" xr:uid="{00000000-0005-0000-0000-00001F770000}"/>
    <cellStyle name="Input 4 15 2 3 4" xfId="12248" xr:uid="{00000000-0005-0000-0000-000020770000}"/>
    <cellStyle name="Input 4 15 2 3 4 2" xfId="41936" xr:uid="{00000000-0005-0000-0000-000021770000}"/>
    <cellStyle name="Input 4 15 2 3 4 3" xfId="40556" xr:uid="{00000000-0005-0000-0000-000022770000}"/>
    <cellStyle name="Input 4 15 2 3 4 4" xfId="29919" xr:uid="{00000000-0005-0000-0000-000023770000}"/>
    <cellStyle name="Input 4 15 2 3 5" xfId="21189" xr:uid="{00000000-0005-0000-0000-000024770000}"/>
    <cellStyle name="Input 4 15 2 3 5 2" xfId="46726" xr:uid="{00000000-0005-0000-0000-000025770000}"/>
    <cellStyle name="Input 4 15 2 3 5 3" xfId="50632" xr:uid="{00000000-0005-0000-0000-000026770000}"/>
    <cellStyle name="Input 4 15 2 3 5 4" xfId="38595" xr:uid="{00000000-0005-0000-0000-000027770000}"/>
    <cellStyle name="Input 4 15 2 3 6" xfId="21842" xr:uid="{00000000-0005-0000-0000-000028770000}"/>
    <cellStyle name="Input 4 15 2 3 6 2" xfId="47379" xr:uid="{00000000-0005-0000-0000-000029770000}"/>
    <cellStyle name="Input 4 15 2 3 6 3" xfId="51285" xr:uid="{00000000-0005-0000-0000-00002A770000}"/>
    <cellStyle name="Input 4 15 2 3 7" xfId="41182" xr:uid="{00000000-0005-0000-0000-00002B770000}"/>
    <cellStyle name="Input 4 15 2 3 8" xfId="42833" xr:uid="{00000000-0005-0000-0000-00002C770000}"/>
    <cellStyle name="Input 4 15 2 4" xfId="14946" xr:uid="{00000000-0005-0000-0000-00002D770000}"/>
    <cellStyle name="Input 4 15 2 4 2" xfId="43062" xr:uid="{00000000-0005-0000-0000-00002E770000}"/>
    <cellStyle name="Input 4 15 2 4 3" xfId="40154" xr:uid="{00000000-0005-0000-0000-00002F770000}"/>
    <cellStyle name="Input 4 15 2 4 4" xfId="32581" xr:uid="{00000000-0005-0000-0000-000030770000}"/>
    <cellStyle name="Input 4 15 2 5" xfId="13172" xr:uid="{00000000-0005-0000-0000-000031770000}"/>
    <cellStyle name="Input 4 15 2 5 2" xfId="42393" xr:uid="{00000000-0005-0000-0000-000032770000}"/>
    <cellStyle name="Input 4 15 2 5 3" xfId="39084" xr:uid="{00000000-0005-0000-0000-000033770000}"/>
    <cellStyle name="Input 4 15 2 5 4" xfId="30821" xr:uid="{00000000-0005-0000-0000-000034770000}"/>
    <cellStyle name="Input 4 15 2 6" xfId="19457" xr:uid="{00000000-0005-0000-0000-000035770000}"/>
    <cellStyle name="Input 4 15 2 6 2" xfId="44994" xr:uid="{00000000-0005-0000-0000-000036770000}"/>
    <cellStyle name="Input 4 15 2 6 3" xfId="48900" xr:uid="{00000000-0005-0000-0000-000037770000}"/>
    <cellStyle name="Input 4 15 2 6 4" xfId="37017" xr:uid="{00000000-0005-0000-0000-000038770000}"/>
    <cellStyle name="Input 4 15 2 7" xfId="19831" xr:uid="{00000000-0005-0000-0000-000039770000}"/>
    <cellStyle name="Input 4 15 2 7 2" xfId="45368" xr:uid="{00000000-0005-0000-0000-00003A770000}"/>
    <cellStyle name="Input 4 15 2 7 3" xfId="49274" xr:uid="{00000000-0005-0000-0000-00003B770000}"/>
    <cellStyle name="Input 4 15 2 7 4" xfId="37349" xr:uid="{00000000-0005-0000-0000-00003C770000}"/>
    <cellStyle name="Input 4 15 2 8" xfId="20609" xr:uid="{00000000-0005-0000-0000-00003D770000}"/>
    <cellStyle name="Input 4 15 2 8 2" xfId="46146" xr:uid="{00000000-0005-0000-0000-00003E770000}"/>
    <cellStyle name="Input 4 15 2 8 3" xfId="50052" xr:uid="{00000000-0005-0000-0000-00003F770000}"/>
    <cellStyle name="Input 4 15 2 9" xfId="39922" xr:uid="{00000000-0005-0000-0000-000040770000}"/>
    <cellStyle name="Input 4 16" xfId="4242" xr:uid="{00000000-0005-0000-0000-000041770000}"/>
    <cellStyle name="Input 4 16 2" xfId="10465" xr:uid="{00000000-0005-0000-0000-000042770000}"/>
    <cellStyle name="Input 4 16 2 2" xfId="18258" xr:uid="{00000000-0005-0000-0000-000043770000}"/>
    <cellStyle name="Input 4 16 2 2 2" xfId="43805" xr:uid="{00000000-0005-0000-0000-000044770000}"/>
    <cellStyle name="Input 4 16 2 2 3" xfId="47714" xr:uid="{00000000-0005-0000-0000-000045770000}"/>
    <cellStyle name="Input 4 16 2 2 4" xfId="35895" xr:uid="{00000000-0005-0000-0000-000046770000}"/>
    <cellStyle name="Input 4 16 2 3" xfId="20180" xr:uid="{00000000-0005-0000-0000-000047770000}"/>
    <cellStyle name="Input 4 16 2 3 2" xfId="45717" xr:uid="{00000000-0005-0000-0000-000048770000}"/>
    <cellStyle name="Input 4 16 2 3 3" xfId="49623" xr:uid="{00000000-0005-0000-0000-000049770000}"/>
    <cellStyle name="Input 4 16 2 3 4" xfId="37666" xr:uid="{00000000-0005-0000-0000-00004A770000}"/>
    <cellStyle name="Input 4 16 2 4" xfId="19095" xr:uid="{00000000-0005-0000-0000-00004B770000}"/>
    <cellStyle name="Input 4 16 2 4 2" xfId="44632" xr:uid="{00000000-0005-0000-0000-00004C770000}"/>
    <cellStyle name="Input 4 16 2 4 3" xfId="48538" xr:uid="{00000000-0005-0000-0000-00004D770000}"/>
    <cellStyle name="Input 4 16 2 4 4" xfId="36691" xr:uid="{00000000-0005-0000-0000-00004E770000}"/>
    <cellStyle name="Input 4 16 2 5" xfId="20671" xr:uid="{00000000-0005-0000-0000-00004F770000}"/>
    <cellStyle name="Input 4 16 2 5 2" xfId="46208" xr:uid="{00000000-0005-0000-0000-000050770000}"/>
    <cellStyle name="Input 4 16 2 5 3" xfId="50114" xr:uid="{00000000-0005-0000-0000-000051770000}"/>
    <cellStyle name="Input 4 16 2 5 4" xfId="38077" xr:uid="{00000000-0005-0000-0000-000052770000}"/>
    <cellStyle name="Input 4 16 2 6" xfId="21324" xr:uid="{00000000-0005-0000-0000-000053770000}"/>
    <cellStyle name="Input 4 16 2 6 2" xfId="46861" xr:uid="{00000000-0005-0000-0000-000054770000}"/>
    <cellStyle name="Input 4 16 2 6 3" xfId="50767" xr:uid="{00000000-0005-0000-0000-000055770000}"/>
    <cellStyle name="Input 4 16 2 7" xfId="40664" xr:uid="{00000000-0005-0000-0000-000056770000}"/>
    <cellStyle name="Input 4 16 2 8" xfId="43643" xr:uid="{00000000-0005-0000-0000-000057770000}"/>
    <cellStyle name="Input 4 16 3" xfId="8467" xr:uid="{00000000-0005-0000-0000-000058770000}"/>
    <cellStyle name="Input 4 16 3 2" xfId="16263" xr:uid="{00000000-0005-0000-0000-000059770000}"/>
    <cellStyle name="Input 4 16 3 2 2" xfId="43414" xr:uid="{00000000-0005-0000-0000-00005A770000}"/>
    <cellStyle name="Input 4 16 3 2 3" xfId="40414" xr:uid="{00000000-0005-0000-0000-00005B770000}"/>
    <cellStyle name="Input 4 16 3 2 4" xfId="33898" xr:uid="{00000000-0005-0000-0000-00005C770000}"/>
    <cellStyle name="Input 4 16 3 3" xfId="13293" xr:uid="{00000000-0005-0000-0000-00005D770000}"/>
    <cellStyle name="Input 4 16 3 3 2" xfId="42463" xr:uid="{00000000-0005-0000-0000-00005E770000}"/>
    <cellStyle name="Input 4 16 3 3 3" xfId="43314" xr:uid="{00000000-0005-0000-0000-00005F770000}"/>
    <cellStyle name="Input 4 16 3 3 4" xfId="30938" xr:uid="{00000000-0005-0000-0000-000060770000}"/>
    <cellStyle name="Input 4 16 3 4" xfId="19663" xr:uid="{00000000-0005-0000-0000-000061770000}"/>
    <cellStyle name="Input 4 16 3 4 2" xfId="45200" xr:uid="{00000000-0005-0000-0000-000062770000}"/>
    <cellStyle name="Input 4 16 3 4 3" xfId="49106" xr:uid="{00000000-0005-0000-0000-000063770000}"/>
    <cellStyle name="Input 4 16 3 4 4" xfId="37197" xr:uid="{00000000-0005-0000-0000-000064770000}"/>
    <cellStyle name="Input 4 16 3 5" xfId="11332" xr:uid="{00000000-0005-0000-0000-000065770000}"/>
    <cellStyle name="Input 4 16 3 5 2" xfId="41377" xr:uid="{00000000-0005-0000-0000-000066770000}"/>
    <cellStyle name="Input 4 16 3 5 3" xfId="43360" xr:uid="{00000000-0005-0000-0000-000067770000}"/>
    <cellStyle name="Input 4 16 3 5 4" xfId="29059" xr:uid="{00000000-0005-0000-0000-000068770000}"/>
    <cellStyle name="Input 4 16 3 6" xfId="19928" xr:uid="{00000000-0005-0000-0000-000069770000}"/>
    <cellStyle name="Input 4 16 3 6 2" xfId="45465" xr:uid="{00000000-0005-0000-0000-00006A770000}"/>
    <cellStyle name="Input 4 16 3 6 3" xfId="49371" xr:uid="{00000000-0005-0000-0000-00006B770000}"/>
    <cellStyle name="Input 4 16 3 7" xfId="40276" xr:uid="{00000000-0005-0000-0000-00006C770000}"/>
    <cellStyle name="Input 4 16 3 8" xfId="39226" xr:uid="{00000000-0005-0000-0000-00006D770000}"/>
    <cellStyle name="Input 4 17" xfId="7152" xr:uid="{00000000-0005-0000-0000-00006E770000}"/>
    <cellStyle name="Input 4 17 10" xfId="40284" xr:uid="{00000000-0005-0000-0000-00006F770000}"/>
    <cellStyle name="Input 4 17 2" xfId="10682" xr:uid="{00000000-0005-0000-0000-000070770000}"/>
    <cellStyle name="Input 4 17 2 2" xfId="18475" xr:uid="{00000000-0005-0000-0000-000071770000}"/>
    <cellStyle name="Input 4 17 2 2 2" xfId="44022" xr:uid="{00000000-0005-0000-0000-000072770000}"/>
    <cellStyle name="Input 4 17 2 2 3" xfId="47931" xr:uid="{00000000-0005-0000-0000-000073770000}"/>
    <cellStyle name="Input 4 17 2 2 4" xfId="36112" xr:uid="{00000000-0005-0000-0000-000074770000}"/>
    <cellStyle name="Input 4 17 2 3" xfId="19124" xr:uid="{00000000-0005-0000-0000-000075770000}"/>
    <cellStyle name="Input 4 17 2 3 2" xfId="44661" xr:uid="{00000000-0005-0000-0000-000076770000}"/>
    <cellStyle name="Input 4 17 2 3 3" xfId="48567" xr:uid="{00000000-0005-0000-0000-000077770000}"/>
    <cellStyle name="Input 4 17 2 3 4" xfId="36719" xr:uid="{00000000-0005-0000-0000-000078770000}"/>
    <cellStyle name="Input 4 17 2 4" xfId="18918" xr:uid="{00000000-0005-0000-0000-000079770000}"/>
    <cellStyle name="Input 4 17 2 4 2" xfId="44455" xr:uid="{00000000-0005-0000-0000-00007A770000}"/>
    <cellStyle name="Input 4 17 2 4 3" xfId="48361" xr:uid="{00000000-0005-0000-0000-00007B770000}"/>
    <cellStyle name="Input 4 17 2 4 4" xfId="36548" xr:uid="{00000000-0005-0000-0000-00007C770000}"/>
    <cellStyle name="Input 4 17 2 5" xfId="20888" xr:uid="{00000000-0005-0000-0000-00007D770000}"/>
    <cellStyle name="Input 4 17 2 5 2" xfId="46425" xr:uid="{00000000-0005-0000-0000-00007E770000}"/>
    <cellStyle name="Input 4 17 2 5 3" xfId="50331" xr:uid="{00000000-0005-0000-0000-00007F770000}"/>
    <cellStyle name="Input 4 17 2 5 4" xfId="38294" xr:uid="{00000000-0005-0000-0000-000080770000}"/>
    <cellStyle name="Input 4 17 2 6" xfId="21541" xr:uid="{00000000-0005-0000-0000-000081770000}"/>
    <cellStyle name="Input 4 17 2 6 2" xfId="47078" xr:uid="{00000000-0005-0000-0000-000082770000}"/>
    <cellStyle name="Input 4 17 2 6 3" xfId="50984" xr:uid="{00000000-0005-0000-0000-000083770000}"/>
    <cellStyle name="Input 4 17 2 7" xfId="40881" xr:uid="{00000000-0005-0000-0000-000084770000}"/>
    <cellStyle name="Input 4 17 2 8" xfId="42609" xr:uid="{00000000-0005-0000-0000-000085770000}"/>
    <cellStyle name="Input 4 17 3" xfId="10977" xr:uid="{00000000-0005-0000-0000-000086770000}"/>
    <cellStyle name="Input 4 17 3 2" xfId="18770" xr:uid="{00000000-0005-0000-0000-000087770000}"/>
    <cellStyle name="Input 4 17 3 2 2" xfId="44317" xr:uid="{00000000-0005-0000-0000-000088770000}"/>
    <cellStyle name="Input 4 17 3 2 3" xfId="48226" xr:uid="{00000000-0005-0000-0000-000089770000}"/>
    <cellStyle name="Input 4 17 3 2 4" xfId="36407" xr:uid="{00000000-0005-0000-0000-00008A770000}"/>
    <cellStyle name="Input 4 17 3 3" xfId="19710" xr:uid="{00000000-0005-0000-0000-00008B770000}"/>
    <cellStyle name="Input 4 17 3 3 2" xfId="45247" xr:uid="{00000000-0005-0000-0000-00008C770000}"/>
    <cellStyle name="Input 4 17 3 3 3" xfId="49153" xr:uid="{00000000-0005-0000-0000-00008D770000}"/>
    <cellStyle name="Input 4 17 3 3 4" xfId="37237" xr:uid="{00000000-0005-0000-0000-00008E770000}"/>
    <cellStyle name="Input 4 17 3 4" xfId="19179" xr:uid="{00000000-0005-0000-0000-00008F770000}"/>
    <cellStyle name="Input 4 17 3 4 2" xfId="44716" xr:uid="{00000000-0005-0000-0000-000090770000}"/>
    <cellStyle name="Input 4 17 3 4 3" xfId="48622" xr:uid="{00000000-0005-0000-0000-000091770000}"/>
    <cellStyle name="Input 4 17 3 4 4" xfId="36768" xr:uid="{00000000-0005-0000-0000-000092770000}"/>
    <cellStyle name="Input 4 17 3 5" xfId="21183" xr:uid="{00000000-0005-0000-0000-000093770000}"/>
    <cellStyle name="Input 4 17 3 5 2" xfId="46720" xr:uid="{00000000-0005-0000-0000-000094770000}"/>
    <cellStyle name="Input 4 17 3 5 3" xfId="50626" xr:uid="{00000000-0005-0000-0000-000095770000}"/>
    <cellStyle name="Input 4 17 3 5 4" xfId="38589" xr:uid="{00000000-0005-0000-0000-000096770000}"/>
    <cellStyle name="Input 4 17 3 6" xfId="21836" xr:uid="{00000000-0005-0000-0000-000097770000}"/>
    <cellStyle name="Input 4 17 3 6 2" xfId="47373" xr:uid="{00000000-0005-0000-0000-000098770000}"/>
    <cellStyle name="Input 4 17 3 6 3" xfId="51279" xr:uid="{00000000-0005-0000-0000-000099770000}"/>
    <cellStyle name="Input 4 17 3 7" xfId="41176" xr:uid="{00000000-0005-0000-0000-00009A770000}"/>
    <cellStyle name="Input 4 17 3 8" xfId="39184" xr:uid="{00000000-0005-0000-0000-00009B770000}"/>
    <cellStyle name="Input 4 17 4" xfId="14940" xr:uid="{00000000-0005-0000-0000-00009C770000}"/>
    <cellStyle name="Input 4 17 4 2" xfId="43056" xr:uid="{00000000-0005-0000-0000-00009D770000}"/>
    <cellStyle name="Input 4 17 4 3" xfId="41942" xr:uid="{00000000-0005-0000-0000-00009E770000}"/>
    <cellStyle name="Input 4 17 4 4" xfId="32575" xr:uid="{00000000-0005-0000-0000-00009F770000}"/>
    <cellStyle name="Input 4 17 5" xfId="11321" xr:uid="{00000000-0005-0000-0000-0000A0770000}"/>
    <cellStyle name="Input 4 17 5 2" xfId="41366" xr:uid="{00000000-0005-0000-0000-0000A1770000}"/>
    <cellStyle name="Input 4 17 5 3" xfId="40575" xr:uid="{00000000-0005-0000-0000-0000A2770000}"/>
    <cellStyle name="Input 4 17 5 4" xfId="29049" xr:uid="{00000000-0005-0000-0000-0000A3770000}"/>
    <cellStyle name="Input 4 17 6" xfId="19481" xr:uid="{00000000-0005-0000-0000-0000A4770000}"/>
    <cellStyle name="Input 4 17 6 2" xfId="45018" xr:uid="{00000000-0005-0000-0000-0000A5770000}"/>
    <cellStyle name="Input 4 17 6 3" xfId="48924" xr:uid="{00000000-0005-0000-0000-0000A6770000}"/>
    <cellStyle name="Input 4 17 6 4" xfId="37037" xr:uid="{00000000-0005-0000-0000-0000A7770000}"/>
    <cellStyle name="Input 4 17 7" xfId="20266" xr:uid="{00000000-0005-0000-0000-0000A8770000}"/>
    <cellStyle name="Input 4 17 7 2" xfId="45803" xr:uid="{00000000-0005-0000-0000-0000A9770000}"/>
    <cellStyle name="Input 4 17 7 3" xfId="49709" xr:uid="{00000000-0005-0000-0000-0000AA770000}"/>
    <cellStyle name="Input 4 17 7 4" xfId="37736" xr:uid="{00000000-0005-0000-0000-0000AB770000}"/>
    <cellStyle name="Input 4 17 8" xfId="13198" xr:uid="{00000000-0005-0000-0000-0000AC770000}"/>
    <cellStyle name="Input 4 17 8 2" xfId="42419" xr:uid="{00000000-0005-0000-0000-0000AD770000}"/>
    <cellStyle name="Input 4 17 8 3" xfId="40052" xr:uid="{00000000-0005-0000-0000-0000AE770000}"/>
    <cellStyle name="Input 4 17 9" xfId="39916" xr:uid="{00000000-0005-0000-0000-0000AF770000}"/>
    <cellStyle name="Input 4 18" xfId="1993" xr:uid="{00000000-0005-0000-0000-0000B0770000}"/>
    <cellStyle name="Input 4 19" xfId="52760" xr:uid="{00000000-0005-0000-0000-0000B1770000}"/>
    <cellStyle name="Input 4 2" xfId="1998" xr:uid="{00000000-0005-0000-0000-0000B2770000}"/>
    <cellStyle name="Input 4 2 2" xfId="1999" xr:uid="{00000000-0005-0000-0000-0000B3770000}"/>
    <cellStyle name="Input 4 2 2 2" xfId="7160" xr:uid="{00000000-0005-0000-0000-0000B4770000}"/>
    <cellStyle name="Input 4 2 2 2 10" xfId="43768" xr:uid="{00000000-0005-0000-0000-0000B5770000}"/>
    <cellStyle name="Input 4 2 2 2 2" xfId="10690" xr:uid="{00000000-0005-0000-0000-0000B6770000}"/>
    <cellStyle name="Input 4 2 2 2 2 2" xfId="18483" xr:uid="{00000000-0005-0000-0000-0000B7770000}"/>
    <cellStyle name="Input 4 2 2 2 2 2 2" xfId="44030" xr:uid="{00000000-0005-0000-0000-0000B8770000}"/>
    <cellStyle name="Input 4 2 2 2 2 2 3" xfId="47939" xr:uid="{00000000-0005-0000-0000-0000B9770000}"/>
    <cellStyle name="Input 4 2 2 2 2 2 4" xfId="36120" xr:uid="{00000000-0005-0000-0000-0000BA770000}"/>
    <cellStyle name="Input 4 2 2 2 2 3" xfId="19418" xr:uid="{00000000-0005-0000-0000-0000BB770000}"/>
    <cellStyle name="Input 4 2 2 2 2 3 2" xfId="44955" xr:uid="{00000000-0005-0000-0000-0000BC770000}"/>
    <cellStyle name="Input 4 2 2 2 2 3 3" xfId="48861" xr:uid="{00000000-0005-0000-0000-0000BD770000}"/>
    <cellStyle name="Input 4 2 2 2 2 3 4" xfId="36983" xr:uid="{00000000-0005-0000-0000-0000BE770000}"/>
    <cellStyle name="Input 4 2 2 2 2 4" xfId="12657" xr:uid="{00000000-0005-0000-0000-0000BF770000}"/>
    <cellStyle name="Input 4 2 2 2 2 4 2" xfId="42136" xr:uid="{00000000-0005-0000-0000-0000C0770000}"/>
    <cellStyle name="Input 4 2 2 2 2 4 3" xfId="43477" xr:uid="{00000000-0005-0000-0000-0000C1770000}"/>
    <cellStyle name="Input 4 2 2 2 2 4 4" xfId="30322" xr:uid="{00000000-0005-0000-0000-0000C2770000}"/>
    <cellStyle name="Input 4 2 2 2 2 5" xfId="20896" xr:uid="{00000000-0005-0000-0000-0000C3770000}"/>
    <cellStyle name="Input 4 2 2 2 2 5 2" xfId="46433" xr:uid="{00000000-0005-0000-0000-0000C4770000}"/>
    <cellStyle name="Input 4 2 2 2 2 5 3" xfId="50339" xr:uid="{00000000-0005-0000-0000-0000C5770000}"/>
    <cellStyle name="Input 4 2 2 2 2 5 4" xfId="38302" xr:uid="{00000000-0005-0000-0000-0000C6770000}"/>
    <cellStyle name="Input 4 2 2 2 2 6" xfId="21549" xr:uid="{00000000-0005-0000-0000-0000C7770000}"/>
    <cellStyle name="Input 4 2 2 2 2 6 2" xfId="47086" xr:uid="{00000000-0005-0000-0000-0000C8770000}"/>
    <cellStyle name="Input 4 2 2 2 2 6 3" xfId="50992" xr:uid="{00000000-0005-0000-0000-0000C9770000}"/>
    <cellStyle name="Input 4 2 2 2 2 7" xfId="40889" xr:uid="{00000000-0005-0000-0000-0000CA770000}"/>
    <cellStyle name="Input 4 2 2 2 2 8" xfId="39195" xr:uid="{00000000-0005-0000-0000-0000CB770000}"/>
    <cellStyle name="Input 4 2 2 2 3" xfId="10985" xr:uid="{00000000-0005-0000-0000-0000CC770000}"/>
    <cellStyle name="Input 4 2 2 2 3 2" xfId="18778" xr:uid="{00000000-0005-0000-0000-0000CD770000}"/>
    <cellStyle name="Input 4 2 2 2 3 2 2" xfId="44325" xr:uid="{00000000-0005-0000-0000-0000CE770000}"/>
    <cellStyle name="Input 4 2 2 2 3 2 3" xfId="48234" xr:uid="{00000000-0005-0000-0000-0000CF770000}"/>
    <cellStyle name="Input 4 2 2 2 3 2 4" xfId="36415" xr:uid="{00000000-0005-0000-0000-0000D0770000}"/>
    <cellStyle name="Input 4 2 2 2 3 3" xfId="19267" xr:uid="{00000000-0005-0000-0000-0000D1770000}"/>
    <cellStyle name="Input 4 2 2 2 3 3 2" xfId="44804" xr:uid="{00000000-0005-0000-0000-0000D2770000}"/>
    <cellStyle name="Input 4 2 2 2 3 3 3" xfId="48710" xr:uid="{00000000-0005-0000-0000-0000D3770000}"/>
    <cellStyle name="Input 4 2 2 2 3 3 4" xfId="36845" xr:uid="{00000000-0005-0000-0000-0000D4770000}"/>
    <cellStyle name="Input 4 2 2 2 3 4" xfId="11577" xr:uid="{00000000-0005-0000-0000-0000D5770000}"/>
    <cellStyle name="Input 4 2 2 2 3 4 2" xfId="41588" xr:uid="{00000000-0005-0000-0000-0000D6770000}"/>
    <cellStyle name="Input 4 2 2 2 3 4 3" xfId="42714" xr:uid="{00000000-0005-0000-0000-0000D7770000}"/>
    <cellStyle name="Input 4 2 2 2 3 4 4" xfId="29288" xr:uid="{00000000-0005-0000-0000-0000D8770000}"/>
    <cellStyle name="Input 4 2 2 2 3 5" xfId="21191" xr:uid="{00000000-0005-0000-0000-0000D9770000}"/>
    <cellStyle name="Input 4 2 2 2 3 5 2" xfId="46728" xr:uid="{00000000-0005-0000-0000-0000DA770000}"/>
    <cellStyle name="Input 4 2 2 2 3 5 3" xfId="50634" xr:uid="{00000000-0005-0000-0000-0000DB770000}"/>
    <cellStyle name="Input 4 2 2 2 3 5 4" xfId="38597" xr:uid="{00000000-0005-0000-0000-0000DC770000}"/>
    <cellStyle name="Input 4 2 2 2 3 6" xfId="21844" xr:uid="{00000000-0005-0000-0000-0000DD770000}"/>
    <cellStyle name="Input 4 2 2 2 3 6 2" xfId="47381" xr:uid="{00000000-0005-0000-0000-0000DE770000}"/>
    <cellStyle name="Input 4 2 2 2 3 6 3" xfId="51287" xr:uid="{00000000-0005-0000-0000-0000DF770000}"/>
    <cellStyle name="Input 4 2 2 2 3 7" xfId="41184" xr:uid="{00000000-0005-0000-0000-0000E0770000}"/>
    <cellStyle name="Input 4 2 2 2 3 8" xfId="40581" xr:uid="{00000000-0005-0000-0000-0000E1770000}"/>
    <cellStyle name="Input 4 2 2 2 4" xfId="14948" xr:uid="{00000000-0005-0000-0000-0000E2770000}"/>
    <cellStyle name="Input 4 2 2 2 4 2" xfId="43064" xr:uid="{00000000-0005-0000-0000-0000E3770000}"/>
    <cellStyle name="Input 4 2 2 2 4 3" xfId="41286" xr:uid="{00000000-0005-0000-0000-0000E4770000}"/>
    <cellStyle name="Input 4 2 2 2 4 4" xfId="32583" xr:uid="{00000000-0005-0000-0000-0000E5770000}"/>
    <cellStyle name="Input 4 2 2 2 5" xfId="13174" xr:uid="{00000000-0005-0000-0000-0000E6770000}"/>
    <cellStyle name="Input 4 2 2 2 5 2" xfId="42395" xr:uid="{00000000-0005-0000-0000-0000E7770000}"/>
    <cellStyle name="Input 4 2 2 2 5 3" xfId="39082" xr:uid="{00000000-0005-0000-0000-0000E8770000}"/>
    <cellStyle name="Input 4 2 2 2 5 4" xfId="30823" xr:uid="{00000000-0005-0000-0000-0000E9770000}"/>
    <cellStyle name="Input 4 2 2 2 6" xfId="19148" xr:uid="{00000000-0005-0000-0000-0000EA770000}"/>
    <cellStyle name="Input 4 2 2 2 6 2" xfId="44685" xr:uid="{00000000-0005-0000-0000-0000EB770000}"/>
    <cellStyle name="Input 4 2 2 2 6 3" xfId="48591" xr:uid="{00000000-0005-0000-0000-0000EC770000}"/>
    <cellStyle name="Input 4 2 2 2 6 4" xfId="36743" xr:uid="{00000000-0005-0000-0000-0000ED770000}"/>
    <cellStyle name="Input 4 2 2 2 7" xfId="19874" xr:uid="{00000000-0005-0000-0000-0000EE770000}"/>
    <cellStyle name="Input 4 2 2 2 7 2" xfId="45411" xr:uid="{00000000-0005-0000-0000-0000EF770000}"/>
    <cellStyle name="Input 4 2 2 2 7 3" xfId="49317" xr:uid="{00000000-0005-0000-0000-0000F0770000}"/>
    <cellStyle name="Input 4 2 2 2 7 4" xfId="37388" xr:uid="{00000000-0005-0000-0000-0000F1770000}"/>
    <cellStyle name="Input 4 2 2 2 8" xfId="11706" xr:uid="{00000000-0005-0000-0000-0000F2770000}"/>
    <cellStyle name="Input 4 2 2 2 8 2" xfId="41704" xr:uid="{00000000-0005-0000-0000-0000F3770000}"/>
    <cellStyle name="Input 4 2 2 2 8 3" xfId="39161" xr:uid="{00000000-0005-0000-0000-0000F4770000}"/>
    <cellStyle name="Input 4 2 2 2 9" xfId="39924" xr:uid="{00000000-0005-0000-0000-0000F5770000}"/>
    <cellStyle name="Input 4 2 2 3" xfId="53187" xr:uid="{00000000-0005-0000-0000-0000F6770000}"/>
    <cellStyle name="Input 4 2 3" xfId="2000" xr:uid="{00000000-0005-0000-0000-0000F7770000}"/>
    <cellStyle name="Input 4 2 3 2" xfId="7161" xr:uid="{00000000-0005-0000-0000-0000F8770000}"/>
    <cellStyle name="Input 4 2 3 2 10" xfId="40627" xr:uid="{00000000-0005-0000-0000-0000F9770000}"/>
    <cellStyle name="Input 4 2 3 2 2" xfId="10691" xr:uid="{00000000-0005-0000-0000-0000FA770000}"/>
    <cellStyle name="Input 4 2 3 2 2 2" xfId="18484" xr:uid="{00000000-0005-0000-0000-0000FB770000}"/>
    <cellStyle name="Input 4 2 3 2 2 2 2" xfId="44031" xr:uid="{00000000-0005-0000-0000-0000FC770000}"/>
    <cellStyle name="Input 4 2 3 2 2 2 3" xfId="47940" xr:uid="{00000000-0005-0000-0000-0000FD770000}"/>
    <cellStyle name="Input 4 2 3 2 2 2 4" xfId="36121" xr:uid="{00000000-0005-0000-0000-0000FE770000}"/>
    <cellStyle name="Input 4 2 3 2 2 3" xfId="20025" xr:uid="{00000000-0005-0000-0000-0000FF770000}"/>
    <cellStyle name="Input 4 2 3 2 2 3 2" xfId="45562" xr:uid="{00000000-0005-0000-0000-000000780000}"/>
    <cellStyle name="Input 4 2 3 2 2 3 3" xfId="49468" xr:uid="{00000000-0005-0000-0000-000001780000}"/>
    <cellStyle name="Input 4 2 3 2 2 3 4" xfId="37523" xr:uid="{00000000-0005-0000-0000-000002780000}"/>
    <cellStyle name="Input 4 2 3 2 2 4" xfId="19506" xr:uid="{00000000-0005-0000-0000-000003780000}"/>
    <cellStyle name="Input 4 2 3 2 2 4 2" xfId="45043" xr:uid="{00000000-0005-0000-0000-000004780000}"/>
    <cellStyle name="Input 4 2 3 2 2 4 3" xfId="48949" xr:uid="{00000000-0005-0000-0000-000005780000}"/>
    <cellStyle name="Input 4 2 3 2 2 4 4" xfId="37055" xr:uid="{00000000-0005-0000-0000-000006780000}"/>
    <cellStyle name="Input 4 2 3 2 2 5" xfId="20897" xr:uid="{00000000-0005-0000-0000-000007780000}"/>
    <cellStyle name="Input 4 2 3 2 2 5 2" xfId="46434" xr:uid="{00000000-0005-0000-0000-000008780000}"/>
    <cellStyle name="Input 4 2 3 2 2 5 3" xfId="50340" xr:uid="{00000000-0005-0000-0000-000009780000}"/>
    <cellStyle name="Input 4 2 3 2 2 5 4" xfId="38303" xr:uid="{00000000-0005-0000-0000-00000A780000}"/>
    <cellStyle name="Input 4 2 3 2 2 6" xfId="21550" xr:uid="{00000000-0005-0000-0000-00000B780000}"/>
    <cellStyle name="Input 4 2 3 2 2 6 2" xfId="47087" xr:uid="{00000000-0005-0000-0000-00000C780000}"/>
    <cellStyle name="Input 4 2 3 2 2 6 3" xfId="50993" xr:uid="{00000000-0005-0000-0000-00000D780000}"/>
    <cellStyle name="Input 4 2 3 2 2 7" xfId="40890" xr:uid="{00000000-0005-0000-0000-00000E780000}"/>
    <cellStyle name="Input 4 2 3 2 2 8" xfId="41436" xr:uid="{00000000-0005-0000-0000-00000F780000}"/>
    <cellStyle name="Input 4 2 3 2 3" xfId="10986" xr:uid="{00000000-0005-0000-0000-000010780000}"/>
    <cellStyle name="Input 4 2 3 2 3 2" xfId="18779" xr:uid="{00000000-0005-0000-0000-000011780000}"/>
    <cellStyle name="Input 4 2 3 2 3 2 2" xfId="44326" xr:uid="{00000000-0005-0000-0000-000012780000}"/>
    <cellStyle name="Input 4 2 3 2 3 2 3" xfId="48235" xr:uid="{00000000-0005-0000-0000-000013780000}"/>
    <cellStyle name="Input 4 2 3 2 3 2 4" xfId="36416" xr:uid="{00000000-0005-0000-0000-000014780000}"/>
    <cellStyle name="Input 4 2 3 2 3 3" xfId="19876" xr:uid="{00000000-0005-0000-0000-000015780000}"/>
    <cellStyle name="Input 4 2 3 2 3 3 2" xfId="45413" xr:uid="{00000000-0005-0000-0000-000016780000}"/>
    <cellStyle name="Input 4 2 3 2 3 3 3" xfId="49319" xr:uid="{00000000-0005-0000-0000-000017780000}"/>
    <cellStyle name="Input 4 2 3 2 3 3 4" xfId="37390" xr:uid="{00000000-0005-0000-0000-000018780000}"/>
    <cellStyle name="Input 4 2 3 2 3 4" xfId="12338" xr:uid="{00000000-0005-0000-0000-000019780000}"/>
    <cellStyle name="Input 4 2 3 2 3 4 2" xfId="41959" xr:uid="{00000000-0005-0000-0000-00001A780000}"/>
    <cellStyle name="Input 4 2 3 2 3 4 3" xfId="39115" xr:uid="{00000000-0005-0000-0000-00001B780000}"/>
    <cellStyle name="Input 4 2 3 2 3 4 4" xfId="30009" xr:uid="{00000000-0005-0000-0000-00001C780000}"/>
    <cellStyle name="Input 4 2 3 2 3 5" xfId="21192" xr:uid="{00000000-0005-0000-0000-00001D780000}"/>
    <cellStyle name="Input 4 2 3 2 3 5 2" xfId="46729" xr:uid="{00000000-0005-0000-0000-00001E780000}"/>
    <cellStyle name="Input 4 2 3 2 3 5 3" xfId="50635" xr:uid="{00000000-0005-0000-0000-00001F780000}"/>
    <cellStyle name="Input 4 2 3 2 3 5 4" xfId="38598" xr:uid="{00000000-0005-0000-0000-000020780000}"/>
    <cellStyle name="Input 4 2 3 2 3 6" xfId="21845" xr:uid="{00000000-0005-0000-0000-000021780000}"/>
    <cellStyle name="Input 4 2 3 2 3 6 2" xfId="47382" xr:uid="{00000000-0005-0000-0000-000022780000}"/>
    <cellStyle name="Input 4 2 3 2 3 6 3" xfId="51288" xr:uid="{00000000-0005-0000-0000-000023780000}"/>
    <cellStyle name="Input 4 2 3 2 3 7" xfId="41185" xr:uid="{00000000-0005-0000-0000-000024780000}"/>
    <cellStyle name="Input 4 2 3 2 3 8" xfId="39692" xr:uid="{00000000-0005-0000-0000-000025780000}"/>
    <cellStyle name="Input 4 2 3 2 4" xfId="14949" xr:uid="{00000000-0005-0000-0000-000026780000}"/>
    <cellStyle name="Input 4 2 3 2 4 2" xfId="43065" xr:uid="{00000000-0005-0000-0000-000027780000}"/>
    <cellStyle name="Input 4 2 3 2 4 3" xfId="43179" xr:uid="{00000000-0005-0000-0000-000028780000}"/>
    <cellStyle name="Input 4 2 3 2 4 4" xfId="32584" xr:uid="{00000000-0005-0000-0000-000029780000}"/>
    <cellStyle name="Input 4 2 3 2 5" xfId="13175" xr:uid="{00000000-0005-0000-0000-00002A780000}"/>
    <cellStyle name="Input 4 2 3 2 5 2" xfId="42396" xr:uid="{00000000-0005-0000-0000-00002B780000}"/>
    <cellStyle name="Input 4 2 3 2 5 3" xfId="39293" xr:uid="{00000000-0005-0000-0000-00002C780000}"/>
    <cellStyle name="Input 4 2 3 2 5 4" xfId="30824" xr:uid="{00000000-0005-0000-0000-00002D780000}"/>
    <cellStyle name="Input 4 2 3 2 6" xfId="11456" xr:uid="{00000000-0005-0000-0000-00002E780000}"/>
    <cellStyle name="Input 4 2 3 2 6 2" xfId="41467" xr:uid="{00000000-0005-0000-0000-00002F780000}"/>
    <cellStyle name="Input 4 2 3 2 6 3" xfId="40571" xr:uid="{00000000-0005-0000-0000-000030780000}"/>
    <cellStyle name="Input 4 2 3 2 6 4" xfId="29175" xr:uid="{00000000-0005-0000-0000-000031780000}"/>
    <cellStyle name="Input 4 2 3 2 7" xfId="12136" xr:uid="{00000000-0005-0000-0000-000032780000}"/>
    <cellStyle name="Input 4 2 3 2 7 2" xfId="41881" xr:uid="{00000000-0005-0000-0000-000033780000}"/>
    <cellStyle name="Input 4 2 3 2 7 3" xfId="40557" xr:uid="{00000000-0005-0000-0000-000034780000}"/>
    <cellStyle name="Input 4 2 3 2 7 4" xfId="29809" xr:uid="{00000000-0005-0000-0000-000035780000}"/>
    <cellStyle name="Input 4 2 3 2 8" xfId="20273" xr:uid="{00000000-0005-0000-0000-000036780000}"/>
    <cellStyle name="Input 4 2 3 2 8 2" xfId="45810" xr:uid="{00000000-0005-0000-0000-000037780000}"/>
    <cellStyle name="Input 4 2 3 2 8 3" xfId="49716" xr:uid="{00000000-0005-0000-0000-000038780000}"/>
    <cellStyle name="Input 4 2 3 2 9" xfId="39925" xr:uid="{00000000-0005-0000-0000-000039780000}"/>
    <cellStyle name="Input 4 2 4" xfId="4243" xr:uid="{00000000-0005-0000-0000-00003A780000}"/>
    <cellStyle name="Input 4 2 4 2" xfId="7162" xr:uid="{00000000-0005-0000-0000-00003B780000}"/>
    <cellStyle name="Input 4 2 4 2 10" xfId="39961" xr:uid="{00000000-0005-0000-0000-00003C780000}"/>
    <cellStyle name="Input 4 2 4 2 2" xfId="10692" xr:uid="{00000000-0005-0000-0000-00003D780000}"/>
    <cellStyle name="Input 4 2 4 2 2 2" xfId="18485" xr:uid="{00000000-0005-0000-0000-00003E780000}"/>
    <cellStyle name="Input 4 2 4 2 2 2 2" xfId="44032" xr:uid="{00000000-0005-0000-0000-00003F780000}"/>
    <cellStyle name="Input 4 2 4 2 2 2 3" xfId="47941" xr:uid="{00000000-0005-0000-0000-000040780000}"/>
    <cellStyle name="Input 4 2 4 2 2 2 4" xfId="36122" xr:uid="{00000000-0005-0000-0000-000041780000}"/>
    <cellStyle name="Input 4 2 4 2 2 3" xfId="19291" xr:uid="{00000000-0005-0000-0000-000042780000}"/>
    <cellStyle name="Input 4 2 4 2 2 3 2" xfId="44828" xr:uid="{00000000-0005-0000-0000-000043780000}"/>
    <cellStyle name="Input 4 2 4 2 2 3 3" xfId="48734" xr:uid="{00000000-0005-0000-0000-000044780000}"/>
    <cellStyle name="Input 4 2 4 2 2 3 4" xfId="36869" xr:uid="{00000000-0005-0000-0000-000045780000}"/>
    <cellStyle name="Input 4 2 4 2 2 4" xfId="11575" xr:uid="{00000000-0005-0000-0000-000046780000}"/>
    <cellStyle name="Input 4 2 4 2 2 4 2" xfId="41586" xr:uid="{00000000-0005-0000-0000-000047780000}"/>
    <cellStyle name="Input 4 2 4 2 2 4 3" xfId="40566" xr:uid="{00000000-0005-0000-0000-000048780000}"/>
    <cellStyle name="Input 4 2 4 2 2 4 4" xfId="29286" xr:uid="{00000000-0005-0000-0000-000049780000}"/>
    <cellStyle name="Input 4 2 4 2 2 5" xfId="20898" xr:uid="{00000000-0005-0000-0000-00004A780000}"/>
    <cellStyle name="Input 4 2 4 2 2 5 2" xfId="46435" xr:uid="{00000000-0005-0000-0000-00004B780000}"/>
    <cellStyle name="Input 4 2 4 2 2 5 3" xfId="50341" xr:uid="{00000000-0005-0000-0000-00004C780000}"/>
    <cellStyle name="Input 4 2 4 2 2 5 4" xfId="38304" xr:uid="{00000000-0005-0000-0000-00004D780000}"/>
    <cellStyle name="Input 4 2 4 2 2 6" xfId="21551" xr:uid="{00000000-0005-0000-0000-00004E780000}"/>
    <cellStyle name="Input 4 2 4 2 2 6 2" xfId="47088" xr:uid="{00000000-0005-0000-0000-00004F780000}"/>
    <cellStyle name="Input 4 2 4 2 2 6 3" xfId="50994" xr:uid="{00000000-0005-0000-0000-000050780000}"/>
    <cellStyle name="Input 4 2 4 2 2 7" xfId="40891" xr:uid="{00000000-0005-0000-0000-000051780000}"/>
    <cellStyle name="Input 4 2 4 2 2 8" xfId="43239" xr:uid="{00000000-0005-0000-0000-000052780000}"/>
    <cellStyle name="Input 4 2 4 2 3" xfId="10987" xr:uid="{00000000-0005-0000-0000-000053780000}"/>
    <cellStyle name="Input 4 2 4 2 3 2" xfId="18780" xr:uid="{00000000-0005-0000-0000-000054780000}"/>
    <cellStyle name="Input 4 2 4 2 3 2 2" xfId="44327" xr:uid="{00000000-0005-0000-0000-000055780000}"/>
    <cellStyle name="Input 4 2 4 2 3 2 3" xfId="48236" xr:uid="{00000000-0005-0000-0000-000056780000}"/>
    <cellStyle name="Input 4 2 4 2 3 2 4" xfId="36417" xr:uid="{00000000-0005-0000-0000-000057780000}"/>
    <cellStyle name="Input 4 2 4 2 3 3" xfId="19099" xr:uid="{00000000-0005-0000-0000-000058780000}"/>
    <cellStyle name="Input 4 2 4 2 3 3 2" xfId="44636" xr:uid="{00000000-0005-0000-0000-000059780000}"/>
    <cellStyle name="Input 4 2 4 2 3 3 3" xfId="48542" xr:uid="{00000000-0005-0000-0000-00005A780000}"/>
    <cellStyle name="Input 4 2 4 2 3 3 4" xfId="36694" xr:uid="{00000000-0005-0000-0000-00005B780000}"/>
    <cellStyle name="Input 4 2 4 2 3 4" xfId="19557" xr:uid="{00000000-0005-0000-0000-00005C780000}"/>
    <cellStyle name="Input 4 2 4 2 3 4 2" xfId="45094" xr:uid="{00000000-0005-0000-0000-00005D780000}"/>
    <cellStyle name="Input 4 2 4 2 3 4 3" xfId="49000" xr:uid="{00000000-0005-0000-0000-00005E780000}"/>
    <cellStyle name="Input 4 2 4 2 3 4 4" xfId="37098" xr:uid="{00000000-0005-0000-0000-00005F780000}"/>
    <cellStyle name="Input 4 2 4 2 3 5" xfId="21193" xr:uid="{00000000-0005-0000-0000-000060780000}"/>
    <cellStyle name="Input 4 2 4 2 3 5 2" xfId="46730" xr:uid="{00000000-0005-0000-0000-000061780000}"/>
    <cellStyle name="Input 4 2 4 2 3 5 3" xfId="50636" xr:uid="{00000000-0005-0000-0000-000062780000}"/>
    <cellStyle name="Input 4 2 4 2 3 5 4" xfId="38599" xr:uid="{00000000-0005-0000-0000-000063780000}"/>
    <cellStyle name="Input 4 2 4 2 3 6" xfId="21846" xr:uid="{00000000-0005-0000-0000-000064780000}"/>
    <cellStyle name="Input 4 2 4 2 3 6 2" xfId="47383" xr:uid="{00000000-0005-0000-0000-000065780000}"/>
    <cellStyle name="Input 4 2 4 2 3 6 3" xfId="51289" xr:uid="{00000000-0005-0000-0000-000066780000}"/>
    <cellStyle name="Input 4 2 4 2 3 7" xfId="41186" xr:uid="{00000000-0005-0000-0000-000067780000}"/>
    <cellStyle name="Input 4 2 4 2 3 8" xfId="42729" xr:uid="{00000000-0005-0000-0000-000068780000}"/>
    <cellStyle name="Input 4 2 4 2 4" xfId="14950" xr:uid="{00000000-0005-0000-0000-000069780000}"/>
    <cellStyle name="Input 4 2 4 2 4 2" xfId="43066" xr:uid="{00000000-0005-0000-0000-00006A780000}"/>
    <cellStyle name="Input 4 2 4 2 4 3" xfId="40038" xr:uid="{00000000-0005-0000-0000-00006B780000}"/>
    <cellStyle name="Input 4 2 4 2 4 4" xfId="32585" xr:uid="{00000000-0005-0000-0000-00006C780000}"/>
    <cellStyle name="Input 4 2 4 2 5" xfId="13176" xr:uid="{00000000-0005-0000-0000-00006D780000}"/>
    <cellStyle name="Input 4 2 4 2 5 2" xfId="42397" xr:uid="{00000000-0005-0000-0000-00006E780000}"/>
    <cellStyle name="Input 4 2 4 2 5 3" xfId="39292" xr:uid="{00000000-0005-0000-0000-00006F780000}"/>
    <cellStyle name="Input 4 2 4 2 5 4" xfId="30825" xr:uid="{00000000-0005-0000-0000-000070780000}"/>
    <cellStyle name="Input 4 2 4 2 6" xfId="20376" xr:uid="{00000000-0005-0000-0000-000071780000}"/>
    <cellStyle name="Input 4 2 4 2 6 2" xfId="45913" xr:uid="{00000000-0005-0000-0000-000072780000}"/>
    <cellStyle name="Input 4 2 4 2 6 3" xfId="49819" xr:uid="{00000000-0005-0000-0000-000073780000}"/>
    <cellStyle name="Input 4 2 4 2 6 4" xfId="37832" xr:uid="{00000000-0005-0000-0000-000074780000}"/>
    <cellStyle name="Input 4 2 4 2 7" xfId="19040" xr:uid="{00000000-0005-0000-0000-000075780000}"/>
    <cellStyle name="Input 4 2 4 2 7 2" xfId="44577" xr:uid="{00000000-0005-0000-0000-000076780000}"/>
    <cellStyle name="Input 4 2 4 2 7 3" xfId="48483" xr:uid="{00000000-0005-0000-0000-000077780000}"/>
    <cellStyle name="Input 4 2 4 2 7 4" xfId="36644" xr:uid="{00000000-0005-0000-0000-000078780000}"/>
    <cellStyle name="Input 4 2 4 2 8" xfId="19045" xr:uid="{00000000-0005-0000-0000-000079780000}"/>
    <cellStyle name="Input 4 2 4 2 8 2" xfId="44582" xr:uid="{00000000-0005-0000-0000-00007A780000}"/>
    <cellStyle name="Input 4 2 4 2 8 3" xfId="48488" xr:uid="{00000000-0005-0000-0000-00007B780000}"/>
    <cellStyle name="Input 4 2 4 2 9" xfId="39926" xr:uid="{00000000-0005-0000-0000-00007C780000}"/>
    <cellStyle name="Input 4 2 5" xfId="7159" xr:uid="{00000000-0005-0000-0000-00007D780000}"/>
    <cellStyle name="Input 4 2 5 10" xfId="43101" xr:uid="{00000000-0005-0000-0000-00007E780000}"/>
    <cellStyle name="Input 4 2 5 2" xfId="10689" xr:uid="{00000000-0005-0000-0000-00007F780000}"/>
    <cellStyle name="Input 4 2 5 2 2" xfId="18482" xr:uid="{00000000-0005-0000-0000-000080780000}"/>
    <cellStyle name="Input 4 2 5 2 2 2" xfId="44029" xr:uid="{00000000-0005-0000-0000-000081780000}"/>
    <cellStyle name="Input 4 2 5 2 2 3" xfId="47938" xr:uid="{00000000-0005-0000-0000-000082780000}"/>
    <cellStyle name="Input 4 2 5 2 2 4" xfId="36119" xr:uid="{00000000-0005-0000-0000-000083780000}"/>
    <cellStyle name="Input 4 2 5 2 3" xfId="20159" xr:uid="{00000000-0005-0000-0000-000084780000}"/>
    <cellStyle name="Input 4 2 5 2 3 2" xfId="45696" xr:uid="{00000000-0005-0000-0000-000085780000}"/>
    <cellStyle name="Input 4 2 5 2 3 3" xfId="49602" xr:uid="{00000000-0005-0000-0000-000086780000}"/>
    <cellStyle name="Input 4 2 5 2 3 4" xfId="37645" xr:uid="{00000000-0005-0000-0000-000087780000}"/>
    <cellStyle name="Input 4 2 5 2 4" xfId="19085" xr:uid="{00000000-0005-0000-0000-000088780000}"/>
    <cellStyle name="Input 4 2 5 2 4 2" xfId="44622" xr:uid="{00000000-0005-0000-0000-000089780000}"/>
    <cellStyle name="Input 4 2 5 2 4 3" xfId="48528" xr:uid="{00000000-0005-0000-0000-00008A780000}"/>
    <cellStyle name="Input 4 2 5 2 4 4" xfId="36681" xr:uid="{00000000-0005-0000-0000-00008B780000}"/>
    <cellStyle name="Input 4 2 5 2 5" xfId="20895" xr:uid="{00000000-0005-0000-0000-00008C780000}"/>
    <cellStyle name="Input 4 2 5 2 5 2" xfId="46432" xr:uid="{00000000-0005-0000-0000-00008D780000}"/>
    <cellStyle name="Input 4 2 5 2 5 3" xfId="50338" xr:uid="{00000000-0005-0000-0000-00008E780000}"/>
    <cellStyle name="Input 4 2 5 2 5 4" xfId="38301" xr:uid="{00000000-0005-0000-0000-00008F780000}"/>
    <cellStyle name="Input 4 2 5 2 6" xfId="21548" xr:uid="{00000000-0005-0000-0000-000090780000}"/>
    <cellStyle name="Input 4 2 5 2 6 2" xfId="47085" xr:uid="{00000000-0005-0000-0000-000091780000}"/>
    <cellStyle name="Input 4 2 5 2 6 3" xfId="50991" xr:uid="{00000000-0005-0000-0000-000092780000}"/>
    <cellStyle name="Input 4 2 5 2 7" xfId="40888" xr:uid="{00000000-0005-0000-0000-000093780000}"/>
    <cellStyle name="Input 4 2 5 2 8" xfId="39389" xr:uid="{00000000-0005-0000-0000-000094780000}"/>
    <cellStyle name="Input 4 2 5 3" xfId="10984" xr:uid="{00000000-0005-0000-0000-000095780000}"/>
    <cellStyle name="Input 4 2 5 3 2" xfId="18777" xr:uid="{00000000-0005-0000-0000-000096780000}"/>
    <cellStyle name="Input 4 2 5 3 2 2" xfId="44324" xr:uid="{00000000-0005-0000-0000-000097780000}"/>
    <cellStyle name="Input 4 2 5 3 2 3" xfId="48233" xr:uid="{00000000-0005-0000-0000-000098780000}"/>
    <cellStyle name="Input 4 2 5 3 2 4" xfId="36414" xr:uid="{00000000-0005-0000-0000-000099780000}"/>
    <cellStyle name="Input 4 2 5 3 3" xfId="20001" xr:uid="{00000000-0005-0000-0000-00009A780000}"/>
    <cellStyle name="Input 4 2 5 3 3 2" xfId="45538" xr:uid="{00000000-0005-0000-0000-00009B780000}"/>
    <cellStyle name="Input 4 2 5 3 3 3" xfId="49444" xr:uid="{00000000-0005-0000-0000-00009C780000}"/>
    <cellStyle name="Input 4 2 5 3 3 4" xfId="37499" xr:uid="{00000000-0005-0000-0000-00009D780000}"/>
    <cellStyle name="Input 4 2 5 3 4" xfId="18881" xr:uid="{00000000-0005-0000-0000-00009E780000}"/>
    <cellStyle name="Input 4 2 5 3 4 2" xfId="44418" xr:uid="{00000000-0005-0000-0000-00009F780000}"/>
    <cellStyle name="Input 4 2 5 3 4 3" xfId="48324" xr:uid="{00000000-0005-0000-0000-0000A0780000}"/>
    <cellStyle name="Input 4 2 5 3 4 4" xfId="36518" xr:uid="{00000000-0005-0000-0000-0000A1780000}"/>
    <cellStyle name="Input 4 2 5 3 5" xfId="21190" xr:uid="{00000000-0005-0000-0000-0000A2780000}"/>
    <cellStyle name="Input 4 2 5 3 5 2" xfId="46727" xr:uid="{00000000-0005-0000-0000-0000A3780000}"/>
    <cellStyle name="Input 4 2 5 3 5 3" xfId="50633" xr:uid="{00000000-0005-0000-0000-0000A4780000}"/>
    <cellStyle name="Input 4 2 5 3 5 4" xfId="38596" xr:uid="{00000000-0005-0000-0000-0000A5780000}"/>
    <cellStyle name="Input 4 2 5 3 6" xfId="21843" xr:uid="{00000000-0005-0000-0000-0000A6780000}"/>
    <cellStyle name="Input 4 2 5 3 6 2" xfId="47380" xr:uid="{00000000-0005-0000-0000-0000A7780000}"/>
    <cellStyle name="Input 4 2 5 3 6 3" xfId="51286" xr:uid="{00000000-0005-0000-0000-0000A8780000}"/>
    <cellStyle name="Input 4 2 5 3 7" xfId="41183" xr:uid="{00000000-0005-0000-0000-0000A9780000}"/>
    <cellStyle name="Input 4 2 5 3 8" xfId="43722" xr:uid="{00000000-0005-0000-0000-0000AA780000}"/>
    <cellStyle name="Input 4 2 5 4" xfId="14947" xr:uid="{00000000-0005-0000-0000-0000AB780000}"/>
    <cellStyle name="Input 4 2 5 4 2" xfId="43063" xr:uid="{00000000-0005-0000-0000-0000AC780000}"/>
    <cellStyle name="Input 4 2 5 4 3" xfId="39268" xr:uid="{00000000-0005-0000-0000-0000AD780000}"/>
    <cellStyle name="Input 4 2 5 4 4" xfId="32582" xr:uid="{00000000-0005-0000-0000-0000AE780000}"/>
    <cellStyle name="Input 4 2 5 5" xfId="13173" xr:uid="{00000000-0005-0000-0000-0000AF780000}"/>
    <cellStyle name="Input 4 2 5 5 2" xfId="42394" xr:uid="{00000000-0005-0000-0000-0000B0780000}"/>
    <cellStyle name="Input 4 2 5 5 3" xfId="39083" xr:uid="{00000000-0005-0000-0000-0000B1780000}"/>
    <cellStyle name="Input 4 2 5 5 4" xfId="30822" xr:uid="{00000000-0005-0000-0000-0000B2780000}"/>
    <cellStyle name="Input 4 2 5 6" xfId="12044" xr:uid="{00000000-0005-0000-0000-0000B3780000}"/>
    <cellStyle name="Input 4 2 5 6 2" xfId="41800" xr:uid="{00000000-0005-0000-0000-0000B4780000}"/>
    <cellStyle name="Input 4 2 5 6 3" xfId="42705" xr:uid="{00000000-0005-0000-0000-0000B5780000}"/>
    <cellStyle name="Input 4 2 5 6 4" xfId="29723" xr:uid="{00000000-0005-0000-0000-0000B6780000}"/>
    <cellStyle name="Input 4 2 5 7" xfId="12809" xr:uid="{00000000-0005-0000-0000-0000B7780000}"/>
    <cellStyle name="Input 4 2 5 7 2" xfId="42224" xr:uid="{00000000-0005-0000-0000-0000B8780000}"/>
    <cellStyle name="Input 4 2 5 7 3" xfId="39450" xr:uid="{00000000-0005-0000-0000-0000B9780000}"/>
    <cellStyle name="Input 4 2 5 7 4" xfId="30465" xr:uid="{00000000-0005-0000-0000-0000BA780000}"/>
    <cellStyle name="Input 4 2 5 8" xfId="19855" xr:uid="{00000000-0005-0000-0000-0000BB780000}"/>
    <cellStyle name="Input 4 2 5 8 2" xfId="45392" xr:uid="{00000000-0005-0000-0000-0000BC780000}"/>
    <cellStyle name="Input 4 2 5 8 3" xfId="49298" xr:uid="{00000000-0005-0000-0000-0000BD780000}"/>
    <cellStyle name="Input 4 2 5 9" xfId="39923" xr:uid="{00000000-0005-0000-0000-0000BE780000}"/>
    <cellStyle name="Input 4 2 6" xfId="53186" xr:uid="{00000000-0005-0000-0000-0000BF780000}"/>
    <cellStyle name="Input 4 2_Sheet1" xfId="2001" xr:uid="{00000000-0005-0000-0000-0000C0780000}"/>
    <cellStyle name="Input 4 3" xfId="2002" xr:uid="{00000000-0005-0000-0000-0000C1780000}"/>
    <cellStyle name="Input 4 3 2" xfId="7163" xr:uid="{00000000-0005-0000-0000-0000C2780000}"/>
    <cellStyle name="Input 4 3 2 10" xfId="42761" xr:uid="{00000000-0005-0000-0000-0000C3780000}"/>
    <cellStyle name="Input 4 3 2 2" xfId="10693" xr:uid="{00000000-0005-0000-0000-0000C4780000}"/>
    <cellStyle name="Input 4 3 2 2 2" xfId="18486" xr:uid="{00000000-0005-0000-0000-0000C5780000}"/>
    <cellStyle name="Input 4 3 2 2 2 2" xfId="44033" xr:uid="{00000000-0005-0000-0000-0000C6780000}"/>
    <cellStyle name="Input 4 3 2 2 2 3" xfId="47942" xr:uid="{00000000-0005-0000-0000-0000C7780000}"/>
    <cellStyle name="Input 4 3 2 2 2 4" xfId="36123" xr:uid="{00000000-0005-0000-0000-0000C8780000}"/>
    <cellStyle name="Input 4 3 2 2 3" xfId="19900" xr:uid="{00000000-0005-0000-0000-0000C9780000}"/>
    <cellStyle name="Input 4 3 2 2 3 2" xfId="45437" xr:uid="{00000000-0005-0000-0000-0000CA780000}"/>
    <cellStyle name="Input 4 3 2 2 3 3" xfId="49343" xr:uid="{00000000-0005-0000-0000-0000CB780000}"/>
    <cellStyle name="Input 4 3 2 2 3 4" xfId="37414" xr:uid="{00000000-0005-0000-0000-0000CC780000}"/>
    <cellStyle name="Input 4 3 2 2 4" xfId="13297" xr:uid="{00000000-0005-0000-0000-0000CD780000}"/>
    <cellStyle name="Input 4 3 2 2 4 2" xfId="42467" xr:uid="{00000000-0005-0000-0000-0000CE780000}"/>
    <cellStyle name="Input 4 3 2 2 4 3" xfId="41301" xr:uid="{00000000-0005-0000-0000-0000CF780000}"/>
    <cellStyle name="Input 4 3 2 2 4 4" xfId="30941" xr:uid="{00000000-0005-0000-0000-0000D0780000}"/>
    <cellStyle name="Input 4 3 2 2 5" xfId="20899" xr:uid="{00000000-0005-0000-0000-0000D1780000}"/>
    <cellStyle name="Input 4 3 2 2 5 2" xfId="46436" xr:uid="{00000000-0005-0000-0000-0000D2780000}"/>
    <cellStyle name="Input 4 3 2 2 5 3" xfId="50342" xr:uid="{00000000-0005-0000-0000-0000D3780000}"/>
    <cellStyle name="Input 4 3 2 2 5 4" xfId="38305" xr:uid="{00000000-0005-0000-0000-0000D4780000}"/>
    <cellStyle name="Input 4 3 2 2 6" xfId="21552" xr:uid="{00000000-0005-0000-0000-0000D5780000}"/>
    <cellStyle name="Input 4 3 2 2 6 2" xfId="47089" xr:uid="{00000000-0005-0000-0000-0000D6780000}"/>
    <cellStyle name="Input 4 3 2 2 6 3" xfId="50995" xr:uid="{00000000-0005-0000-0000-0000D7780000}"/>
    <cellStyle name="Input 4 3 2 2 7" xfId="40892" xr:uid="{00000000-0005-0000-0000-0000D8780000}"/>
    <cellStyle name="Input 4 3 2 2 8" xfId="40098" xr:uid="{00000000-0005-0000-0000-0000D9780000}"/>
    <cellStyle name="Input 4 3 2 3" xfId="10988" xr:uid="{00000000-0005-0000-0000-0000DA780000}"/>
    <cellStyle name="Input 4 3 2 3 2" xfId="18781" xr:uid="{00000000-0005-0000-0000-0000DB780000}"/>
    <cellStyle name="Input 4 3 2 3 2 2" xfId="44328" xr:uid="{00000000-0005-0000-0000-0000DC780000}"/>
    <cellStyle name="Input 4 3 2 3 2 3" xfId="48237" xr:uid="{00000000-0005-0000-0000-0000DD780000}"/>
    <cellStyle name="Input 4 3 2 3 2 4" xfId="36418" xr:uid="{00000000-0005-0000-0000-0000DE780000}"/>
    <cellStyle name="Input 4 3 2 3 3" xfId="19708" xr:uid="{00000000-0005-0000-0000-0000DF780000}"/>
    <cellStyle name="Input 4 3 2 3 3 2" xfId="45245" xr:uid="{00000000-0005-0000-0000-0000E0780000}"/>
    <cellStyle name="Input 4 3 2 3 3 3" xfId="49151" xr:uid="{00000000-0005-0000-0000-0000E1780000}"/>
    <cellStyle name="Input 4 3 2 3 3 4" xfId="37235" xr:uid="{00000000-0005-0000-0000-0000E2780000}"/>
    <cellStyle name="Input 4 3 2 3 4" xfId="19336" xr:uid="{00000000-0005-0000-0000-0000E3780000}"/>
    <cellStyle name="Input 4 3 2 3 4 2" xfId="44873" xr:uid="{00000000-0005-0000-0000-0000E4780000}"/>
    <cellStyle name="Input 4 3 2 3 4 3" xfId="48779" xr:uid="{00000000-0005-0000-0000-0000E5780000}"/>
    <cellStyle name="Input 4 3 2 3 4 4" xfId="36908" xr:uid="{00000000-0005-0000-0000-0000E6780000}"/>
    <cellStyle name="Input 4 3 2 3 5" xfId="21194" xr:uid="{00000000-0005-0000-0000-0000E7780000}"/>
    <cellStyle name="Input 4 3 2 3 5 2" xfId="46731" xr:uid="{00000000-0005-0000-0000-0000E8780000}"/>
    <cellStyle name="Input 4 3 2 3 5 3" xfId="50637" xr:uid="{00000000-0005-0000-0000-0000E9780000}"/>
    <cellStyle name="Input 4 3 2 3 5 4" xfId="38600" xr:uid="{00000000-0005-0000-0000-0000EA780000}"/>
    <cellStyle name="Input 4 3 2 3 6" xfId="21847" xr:uid="{00000000-0005-0000-0000-0000EB780000}"/>
    <cellStyle name="Input 4 3 2 3 6 2" xfId="47384" xr:uid="{00000000-0005-0000-0000-0000EC780000}"/>
    <cellStyle name="Input 4 3 2 3 6 3" xfId="51290" xr:uid="{00000000-0005-0000-0000-0000ED780000}"/>
    <cellStyle name="Input 4 3 2 3 7" xfId="41187" xr:uid="{00000000-0005-0000-0000-0000EE780000}"/>
    <cellStyle name="Input 4 3 2 3 8" xfId="43618" xr:uid="{00000000-0005-0000-0000-0000EF780000}"/>
    <cellStyle name="Input 4 3 2 4" xfId="14951" xr:uid="{00000000-0005-0000-0000-0000F0780000}"/>
    <cellStyle name="Input 4 3 2 4 2" xfId="43067" xr:uid="{00000000-0005-0000-0000-0000F1780000}"/>
    <cellStyle name="Input 4 3 2 4 3" xfId="42779" xr:uid="{00000000-0005-0000-0000-0000F2780000}"/>
    <cellStyle name="Input 4 3 2 4 4" xfId="32586" xr:uid="{00000000-0005-0000-0000-0000F3780000}"/>
    <cellStyle name="Input 4 3 2 5" xfId="11323" xr:uid="{00000000-0005-0000-0000-0000F4780000}"/>
    <cellStyle name="Input 4 3 2 5 2" xfId="41368" xr:uid="{00000000-0005-0000-0000-0000F5780000}"/>
    <cellStyle name="Input 4 3 2 5 3" xfId="42723" xr:uid="{00000000-0005-0000-0000-0000F6780000}"/>
    <cellStyle name="Input 4 3 2 5 4" xfId="29051" xr:uid="{00000000-0005-0000-0000-0000F7780000}"/>
    <cellStyle name="Input 4 3 2 6" xfId="11783" xr:uid="{00000000-0005-0000-0000-0000F8780000}"/>
    <cellStyle name="Input 4 3 2 6 2" xfId="41737" xr:uid="{00000000-0005-0000-0000-0000F9780000}"/>
    <cellStyle name="Input 4 3 2 6 3" xfId="39159" xr:uid="{00000000-0005-0000-0000-0000FA780000}"/>
    <cellStyle name="Input 4 3 2 6 4" xfId="29470" xr:uid="{00000000-0005-0000-0000-0000FB780000}"/>
    <cellStyle name="Input 4 3 2 7" xfId="12854" xr:uid="{00000000-0005-0000-0000-0000FC780000}"/>
    <cellStyle name="Input 4 3 2 7 2" xfId="42237" xr:uid="{00000000-0005-0000-0000-0000FD780000}"/>
    <cellStyle name="Input 4 3 2 7 3" xfId="39107" xr:uid="{00000000-0005-0000-0000-0000FE780000}"/>
    <cellStyle name="Input 4 3 2 7 4" xfId="30508" xr:uid="{00000000-0005-0000-0000-0000FF780000}"/>
    <cellStyle name="Input 4 3 2 8" xfId="19075" xr:uid="{00000000-0005-0000-0000-000000790000}"/>
    <cellStyle name="Input 4 3 2 8 2" xfId="44612" xr:uid="{00000000-0005-0000-0000-000001790000}"/>
    <cellStyle name="Input 4 3 2 8 3" xfId="48518" xr:uid="{00000000-0005-0000-0000-000002790000}"/>
    <cellStyle name="Input 4 3 2 9" xfId="39927" xr:uid="{00000000-0005-0000-0000-000003790000}"/>
    <cellStyle name="Input 4 3 3" xfId="53188" xr:uid="{00000000-0005-0000-0000-000004790000}"/>
    <cellStyle name="Input 4 4" xfId="2003" xr:uid="{00000000-0005-0000-0000-000005790000}"/>
    <cellStyle name="Input 4 4 2" xfId="7164" xr:uid="{00000000-0005-0000-0000-000006790000}"/>
    <cellStyle name="Input 4 4 2 10" xfId="43649" xr:uid="{00000000-0005-0000-0000-000007790000}"/>
    <cellStyle name="Input 4 4 2 2" xfId="10694" xr:uid="{00000000-0005-0000-0000-000008790000}"/>
    <cellStyle name="Input 4 4 2 2 2" xfId="18487" xr:uid="{00000000-0005-0000-0000-000009790000}"/>
    <cellStyle name="Input 4 4 2 2 2 2" xfId="44034" xr:uid="{00000000-0005-0000-0000-00000A790000}"/>
    <cellStyle name="Input 4 4 2 2 2 3" xfId="47943" xr:uid="{00000000-0005-0000-0000-00000B790000}"/>
    <cellStyle name="Input 4 4 2 2 2 4" xfId="36124" xr:uid="{00000000-0005-0000-0000-00000C790000}"/>
    <cellStyle name="Input 4 4 2 2 3" xfId="19123" xr:uid="{00000000-0005-0000-0000-00000D790000}"/>
    <cellStyle name="Input 4 4 2 2 3 2" xfId="44660" xr:uid="{00000000-0005-0000-0000-00000E790000}"/>
    <cellStyle name="Input 4 4 2 2 3 3" xfId="48566" xr:uid="{00000000-0005-0000-0000-00000F790000}"/>
    <cellStyle name="Input 4 4 2 2 3 4" xfId="36718" xr:uid="{00000000-0005-0000-0000-000010790000}"/>
    <cellStyle name="Input 4 4 2 2 4" xfId="19031" xr:uid="{00000000-0005-0000-0000-000011790000}"/>
    <cellStyle name="Input 4 4 2 2 4 2" xfId="44568" xr:uid="{00000000-0005-0000-0000-000012790000}"/>
    <cellStyle name="Input 4 4 2 2 4 3" xfId="48474" xr:uid="{00000000-0005-0000-0000-000013790000}"/>
    <cellStyle name="Input 4 4 2 2 4 4" xfId="36637" xr:uid="{00000000-0005-0000-0000-000014790000}"/>
    <cellStyle name="Input 4 4 2 2 5" xfId="20900" xr:uid="{00000000-0005-0000-0000-000015790000}"/>
    <cellStyle name="Input 4 4 2 2 5 2" xfId="46437" xr:uid="{00000000-0005-0000-0000-000016790000}"/>
    <cellStyle name="Input 4 4 2 2 5 3" xfId="50343" xr:uid="{00000000-0005-0000-0000-000017790000}"/>
    <cellStyle name="Input 4 4 2 2 5 4" xfId="38306" xr:uid="{00000000-0005-0000-0000-000018790000}"/>
    <cellStyle name="Input 4 4 2 2 6" xfId="21553" xr:uid="{00000000-0005-0000-0000-000019790000}"/>
    <cellStyle name="Input 4 4 2 2 6 2" xfId="47090" xr:uid="{00000000-0005-0000-0000-00001A790000}"/>
    <cellStyle name="Input 4 4 2 2 6 3" xfId="50996" xr:uid="{00000000-0005-0000-0000-00001B790000}"/>
    <cellStyle name="Input 4 4 2 2 7" xfId="40893" xr:uid="{00000000-0005-0000-0000-00001C790000}"/>
    <cellStyle name="Input 4 4 2 2 8" xfId="42847" xr:uid="{00000000-0005-0000-0000-00001D790000}"/>
    <cellStyle name="Input 4 4 2 3" xfId="10989" xr:uid="{00000000-0005-0000-0000-00001E790000}"/>
    <cellStyle name="Input 4 4 2 3 2" xfId="18782" xr:uid="{00000000-0005-0000-0000-00001F790000}"/>
    <cellStyle name="Input 4 4 2 3 2 2" xfId="44329" xr:uid="{00000000-0005-0000-0000-000020790000}"/>
    <cellStyle name="Input 4 4 2 3 2 3" xfId="48238" xr:uid="{00000000-0005-0000-0000-000021790000}"/>
    <cellStyle name="Input 4 4 2 3 2 4" xfId="36419" xr:uid="{00000000-0005-0000-0000-000022790000}"/>
    <cellStyle name="Input 4 4 2 3 3" xfId="11534" xr:uid="{00000000-0005-0000-0000-000023790000}"/>
    <cellStyle name="Input 4 4 2 3 3 2" xfId="41545" xr:uid="{00000000-0005-0000-0000-000024790000}"/>
    <cellStyle name="Input 4 4 2 3 3 3" xfId="39170" xr:uid="{00000000-0005-0000-0000-000025790000}"/>
    <cellStyle name="Input 4 4 2 3 3 4" xfId="29249" xr:uid="{00000000-0005-0000-0000-000026790000}"/>
    <cellStyle name="Input 4 4 2 3 4" xfId="19962" xr:uid="{00000000-0005-0000-0000-000027790000}"/>
    <cellStyle name="Input 4 4 2 3 4 2" xfId="45499" xr:uid="{00000000-0005-0000-0000-000028790000}"/>
    <cellStyle name="Input 4 4 2 3 4 3" xfId="49405" xr:uid="{00000000-0005-0000-0000-000029790000}"/>
    <cellStyle name="Input 4 4 2 3 4 4" xfId="37467" xr:uid="{00000000-0005-0000-0000-00002A790000}"/>
    <cellStyle name="Input 4 4 2 3 5" xfId="21195" xr:uid="{00000000-0005-0000-0000-00002B790000}"/>
    <cellStyle name="Input 4 4 2 3 5 2" xfId="46732" xr:uid="{00000000-0005-0000-0000-00002C790000}"/>
    <cellStyle name="Input 4 4 2 3 5 3" xfId="50638" xr:uid="{00000000-0005-0000-0000-00002D790000}"/>
    <cellStyle name="Input 4 4 2 3 5 4" xfId="38601" xr:uid="{00000000-0005-0000-0000-00002E790000}"/>
    <cellStyle name="Input 4 4 2 3 6" xfId="21848" xr:uid="{00000000-0005-0000-0000-00002F790000}"/>
    <cellStyle name="Input 4 4 2 3 6 2" xfId="47385" xr:uid="{00000000-0005-0000-0000-000030790000}"/>
    <cellStyle name="Input 4 4 2 3 6 3" xfId="51291" xr:uid="{00000000-0005-0000-0000-000031790000}"/>
    <cellStyle name="Input 4 4 2 3 7" xfId="41188" xr:uid="{00000000-0005-0000-0000-000032790000}"/>
    <cellStyle name="Input 4 4 2 3 8" xfId="40476" xr:uid="{00000000-0005-0000-0000-000033790000}"/>
    <cellStyle name="Input 4 4 2 4" xfId="14952" xr:uid="{00000000-0005-0000-0000-000034790000}"/>
    <cellStyle name="Input 4 4 2 4 2" xfId="43068" xr:uid="{00000000-0005-0000-0000-000035790000}"/>
    <cellStyle name="Input 4 4 2 4 3" xfId="43666" xr:uid="{00000000-0005-0000-0000-000036790000}"/>
    <cellStyle name="Input 4 4 2 4 4" xfId="32587" xr:uid="{00000000-0005-0000-0000-000037790000}"/>
    <cellStyle name="Input 4 4 2 5" xfId="11324" xr:uid="{00000000-0005-0000-0000-000038790000}"/>
    <cellStyle name="Input 4 4 2 5 2" xfId="41369" xr:uid="{00000000-0005-0000-0000-000039790000}"/>
    <cellStyle name="Input 4 4 2 5 3" xfId="43611" xr:uid="{00000000-0005-0000-0000-00003A790000}"/>
    <cellStyle name="Input 4 4 2 5 4" xfId="29052" xr:uid="{00000000-0005-0000-0000-00003B790000}"/>
    <cellStyle name="Input 4 4 2 6" xfId="19793" xr:uid="{00000000-0005-0000-0000-00003C790000}"/>
    <cellStyle name="Input 4 4 2 6 2" xfId="45330" xr:uid="{00000000-0005-0000-0000-00003D790000}"/>
    <cellStyle name="Input 4 4 2 6 3" xfId="49236" xr:uid="{00000000-0005-0000-0000-00003E790000}"/>
    <cellStyle name="Input 4 4 2 6 4" xfId="37317" xr:uid="{00000000-0005-0000-0000-00003F790000}"/>
    <cellStyle name="Input 4 4 2 7" xfId="19791" xr:uid="{00000000-0005-0000-0000-000040790000}"/>
    <cellStyle name="Input 4 4 2 7 2" xfId="45328" xr:uid="{00000000-0005-0000-0000-000041790000}"/>
    <cellStyle name="Input 4 4 2 7 3" xfId="49234" xr:uid="{00000000-0005-0000-0000-000042790000}"/>
    <cellStyle name="Input 4 4 2 7 4" xfId="37315" xr:uid="{00000000-0005-0000-0000-000043790000}"/>
    <cellStyle name="Input 4 4 2 8" xfId="20225" xr:uid="{00000000-0005-0000-0000-000044790000}"/>
    <cellStyle name="Input 4 4 2 8 2" xfId="45762" xr:uid="{00000000-0005-0000-0000-000045790000}"/>
    <cellStyle name="Input 4 4 2 8 3" xfId="49668" xr:uid="{00000000-0005-0000-0000-000046790000}"/>
    <cellStyle name="Input 4 4 2 9" xfId="39928" xr:uid="{00000000-0005-0000-0000-000047790000}"/>
    <cellStyle name="Input 4 4 3" xfId="22927" xr:uid="{00000000-0005-0000-0000-000048790000}"/>
    <cellStyle name="Input 4 4 3 2" xfId="47623" xr:uid="{00000000-0005-0000-0000-000049790000}"/>
    <cellStyle name="Input 4 4 3 3" xfId="51438" xr:uid="{00000000-0005-0000-0000-00004A790000}"/>
    <cellStyle name="Input 4 4 3 4" xfId="39035" xr:uid="{00000000-0005-0000-0000-00004B790000}"/>
    <cellStyle name="Input 4 4 4" xfId="23067" xr:uid="{00000000-0005-0000-0000-00004C790000}"/>
    <cellStyle name="Input 4 4 4 2" xfId="47667" xr:uid="{00000000-0005-0000-0000-00004D790000}"/>
    <cellStyle name="Input 4 4 4 3" xfId="51478" xr:uid="{00000000-0005-0000-0000-00004E790000}"/>
    <cellStyle name="Input 4 4 5" xfId="53189" xr:uid="{00000000-0005-0000-0000-00004F790000}"/>
    <cellStyle name="Input 4 5" xfId="2004" xr:uid="{00000000-0005-0000-0000-000050790000}"/>
    <cellStyle name="Input 4 5 2" xfId="7165" xr:uid="{00000000-0005-0000-0000-000051790000}"/>
    <cellStyle name="Input 4 5 2 10" xfId="40507" xr:uid="{00000000-0005-0000-0000-000052790000}"/>
    <cellStyle name="Input 4 5 2 2" xfId="10695" xr:uid="{00000000-0005-0000-0000-000053790000}"/>
    <cellStyle name="Input 4 5 2 2 2" xfId="18488" xr:uid="{00000000-0005-0000-0000-000054790000}"/>
    <cellStyle name="Input 4 5 2 2 2 2" xfId="44035" xr:uid="{00000000-0005-0000-0000-000055790000}"/>
    <cellStyle name="Input 4 5 2 2 2 3" xfId="47944" xr:uid="{00000000-0005-0000-0000-000056790000}"/>
    <cellStyle name="Input 4 5 2 2 2 4" xfId="36125" xr:uid="{00000000-0005-0000-0000-000057790000}"/>
    <cellStyle name="Input 4 5 2 2 3" xfId="19739" xr:uid="{00000000-0005-0000-0000-000058790000}"/>
    <cellStyle name="Input 4 5 2 2 3 2" xfId="45276" xr:uid="{00000000-0005-0000-0000-000059790000}"/>
    <cellStyle name="Input 4 5 2 2 3 3" xfId="49182" xr:uid="{00000000-0005-0000-0000-00005A790000}"/>
    <cellStyle name="Input 4 5 2 2 3 4" xfId="37266" xr:uid="{00000000-0005-0000-0000-00005B790000}"/>
    <cellStyle name="Input 4 5 2 2 4" xfId="12653" xr:uid="{00000000-0005-0000-0000-00005C790000}"/>
    <cellStyle name="Input 4 5 2 2 4 2" xfId="42132" xr:uid="{00000000-0005-0000-0000-00005D790000}"/>
    <cellStyle name="Input 4 5 2 2 4 3" xfId="43587" xr:uid="{00000000-0005-0000-0000-00005E790000}"/>
    <cellStyle name="Input 4 5 2 2 4 4" xfId="30318" xr:uid="{00000000-0005-0000-0000-00005F790000}"/>
    <cellStyle name="Input 4 5 2 2 5" xfId="20901" xr:uid="{00000000-0005-0000-0000-000060790000}"/>
    <cellStyle name="Input 4 5 2 2 5 2" xfId="46438" xr:uid="{00000000-0005-0000-0000-000061790000}"/>
    <cellStyle name="Input 4 5 2 2 5 3" xfId="50344" xr:uid="{00000000-0005-0000-0000-000062790000}"/>
    <cellStyle name="Input 4 5 2 2 5 4" xfId="38307" xr:uid="{00000000-0005-0000-0000-000063790000}"/>
    <cellStyle name="Input 4 5 2 2 6" xfId="21554" xr:uid="{00000000-0005-0000-0000-000064790000}"/>
    <cellStyle name="Input 4 5 2 2 6 2" xfId="47091" xr:uid="{00000000-0005-0000-0000-000065790000}"/>
    <cellStyle name="Input 4 5 2 2 6 3" xfId="50997" xr:uid="{00000000-0005-0000-0000-000066790000}"/>
    <cellStyle name="Input 4 5 2 2 7" xfId="40894" xr:uid="{00000000-0005-0000-0000-000067790000}"/>
    <cellStyle name="Input 4 5 2 2 8" xfId="43736" xr:uid="{00000000-0005-0000-0000-000068790000}"/>
    <cellStyle name="Input 4 5 2 3" xfId="10990" xr:uid="{00000000-0005-0000-0000-000069790000}"/>
    <cellStyle name="Input 4 5 2 3 2" xfId="18783" xr:uid="{00000000-0005-0000-0000-00006A790000}"/>
    <cellStyle name="Input 4 5 2 3 2 2" xfId="44330" xr:uid="{00000000-0005-0000-0000-00006B790000}"/>
    <cellStyle name="Input 4 5 2 3 2 3" xfId="48239" xr:uid="{00000000-0005-0000-0000-00006C790000}"/>
    <cellStyle name="Input 4 5 2 3 2 4" xfId="36420" xr:uid="{00000000-0005-0000-0000-00006D790000}"/>
    <cellStyle name="Input 4 5 2 3 3" xfId="13360" xr:uid="{00000000-0005-0000-0000-00006E790000}"/>
    <cellStyle name="Input 4 5 2 3 3 2" xfId="42530" xr:uid="{00000000-0005-0000-0000-00006F790000}"/>
    <cellStyle name="Input 4 5 2 3 3 3" xfId="42681" xr:uid="{00000000-0005-0000-0000-000070790000}"/>
    <cellStyle name="Input 4 5 2 3 3 4" xfId="31000" xr:uid="{00000000-0005-0000-0000-000071790000}"/>
    <cellStyle name="Input 4 5 2 3 4" xfId="20356" xr:uid="{00000000-0005-0000-0000-000072790000}"/>
    <cellStyle name="Input 4 5 2 3 4 2" xfId="45893" xr:uid="{00000000-0005-0000-0000-000073790000}"/>
    <cellStyle name="Input 4 5 2 3 4 3" xfId="49799" xr:uid="{00000000-0005-0000-0000-000074790000}"/>
    <cellStyle name="Input 4 5 2 3 4 4" xfId="37812" xr:uid="{00000000-0005-0000-0000-000075790000}"/>
    <cellStyle name="Input 4 5 2 3 5" xfId="21196" xr:uid="{00000000-0005-0000-0000-000076790000}"/>
    <cellStyle name="Input 4 5 2 3 5 2" xfId="46733" xr:uid="{00000000-0005-0000-0000-000077790000}"/>
    <cellStyle name="Input 4 5 2 3 5 3" xfId="50639" xr:uid="{00000000-0005-0000-0000-000078790000}"/>
    <cellStyle name="Input 4 5 2 3 5 4" xfId="38602" xr:uid="{00000000-0005-0000-0000-000079790000}"/>
    <cellStyle name="Input 4 5 2 3 6" xfId="21849" xr:uid="{00000000-0005-0000-0000-00007A790000}"/>
    <cellStyle name="Input 4 5 2 3 6 2" xfId="47386" xr:uid="{00000000-0005-0000-0000-00007B790000}"/>
    <cellStyle name="Input 4 5 2 3 6 3" xfId="51292" xr:uid="{00000000-0005-0000-0000-00007C790000}"/>
    <cellStyle name="Input 4 5 2 3 7" xfId="41189" xr:uid="{00000000-0005-0000-0000-00007D790000}"/>
    <cellStyle name="Input 4 5 2 3 8" xfId="39586" xr:uid="{00000000-0005-0000-0000-00007E790000}"/>
    <cellStyle name="Input 4 5 2 4" xfId="14953" xr:uid="{00000000-0005-0000-0000-00007F790000}"/>
    <cellStyle name="Input 4 5 2 4 2" xfId="43069" xr:uid="{00000000-0005-0000-0000-000080790000}"/>
    <cellStyle name="Input 4 5 2 4 3" xfId="40525" xr:uid="{00000000-0005-0000-0000-000081790000}"/>
    <cellStyle name="Input 4 5 2 4 4" xfId="32588" xr:uid="{00000000-0005-0000-0000-000082790000}"/>
    <cellStyle name="Input 4 5 2 5" xfId="11325" xr:uid="{00000000-0005-0000-0000-000083790000}"/>
    <cellStyle name="Input 4 5 2 5 2" xfId="41370" xr:uid="{00000000-0005-0000-0000-000084790000}"/>
    <cellStyle name="Input 4 5 2 5 3" xfId="40470" xr:uid="{00000000-0005-0000-0000-000085790000}"/>
    <cellStyle name="Input 4 5 2 5 4" xfId="29053" xr:uid="{00000000-0005-0000-0000-000086790000}"/>
    <cellStyle name="Input 4 5 2 6" xfId="11121" xr:uid="{00000000-0005-0000-0000-000087790000}"/>
    <cellStyle name="Input 4 5 2 6 2" xfId="41282" xr:uid="{00000000-0005-0000-0000-000088790000}"/>
    <cellStyle name="Input 4 5 2 6 3" xfId="40472" xr:uid="{00000000-0005-0000-0000-000089790000}"/>
    <cellStyle name="Input 4 5 2 6 4" xfId="28849" xr:uid="{00000000-0005-0000-0000-00008A790000}"/>
    <cellStyle name="Input 4 5 2 7" xfId="19804" xr:uid="{00000000-0005-0000-0000-00008B790000}"/>
    <cellStyle name="Input 4 5 2 7 2" xfId="45341" xr:uid="{00000000-0005-0000-0000-00008C790000}"/>
    <cellStyle name="Input 4 5 2 7 3" xfId="49247" xr:uid="{00000000-0005-0000-0000-00008D790000}"/>
    <cellStyle name="Input 4 5 2 7 4" xfId="37326" xr:uid="{00000000-0005-0000-0000-00008E790000}"/>
    <cellStyle name="Input 4 5 2 8" xfId="19097" xr:uid="{00000000-0005-0000-0000-00008F790000}"/>
    <cellStyle name="Input 4 5 2 8 2" xfId="44634" xr:uid="{00000000-0005-0000-0000-000090790000}"/>
    <cellStyle name="Input 4 5 2 8 3" xfId="48540" xr:uid="{00000000-0005-0000-0000-000091790000}"/>
    <cellStyle name="Input 4 5 2 9" xfId="39929" xr:uid="{00000000-0005-0000-0000-000092790000}"/>
    <cellStyle name="Input 4 5 3" xfId="53190" xr:uid="{00000000-0005-0000-0000-000093790000}"/>
    <cellStyle name="Input 4 6" xfId="2005" xr:uid="{00000000-0005-0000-0000-000094790000}"/>
    <cellStyle name="Input 4 6 2" xfId="7166" xr:uid="{00000000-0005-0000-0000-000095790000}"/>
    <cellStyle name="Input 4 6 2 10" xfId="39617" xr:uid="{00000000-0005-0000-0000-000096790000}"/>
    <cellStyle name="Input 4 6 2 2" xfId="10696" xr:uid="{00000000-0005-0000-0000-000097790000}"/>
    <cellStyle name="Input 4 6 2 2 2" xfId="18489" xr:uid="{00000000-0005-0000-0000-000098790000}"/>
    <cellStyle name="Input 4 6 2 2 2 2" xfId="44036" xr:uid="{00000000-0005-0000-0000-000099790000}"/>
    <cellStyle name="Input 4 6 2 2 2 3" xfId="47945" xr:uid="{00000000-0005-0000-0000-00009A790000}"/>
    <cellStyle name="Input 4 6 2 2 2 4" xfId="36126" xr:uid="{00000000-0005-0000-0000-00009B790000}"/>
    <cellStyle name="Input 4 6 2 2 3" xfId="11505" xr:uid="{00000000-0005-0000-0000-00009C790000}"/>
    <cellStyle name="Input 4 6 2 2 3 2" xfId="41516" xr:uid="{00000000-0005-0000-0000-00009D790000}"/>
    <cellStyle name="Input 4 6 2 2 3 3" xfId="39576" xr:uid="{00000000-0005-0000-0000-00009E790000}"/>
    <cellStyle name="Input 4 6 2 2 3 4" xfId="29220" xr:uid="{00000000-0005-0000-0000-00009F790000}"/>
    <cellStyle name="Input 4 6 2 2 4" xfId="19985" xr:uid="{00000000-0005-0000-0000-0000A0790000}"/>
    <cellStyle name="Input 4 6 2 2 4 2" xfId="45522" xr:uid="{00000000-0005-0000-0000-0000A1790000}"/>
    <cellStyle name="Input 4 6 2 2 4 3" xfId="49428" xr:uid="{00000000-0005-0000-0000-0000A2790000}"/>
    <cellStyle name="Input 4 6 2 2 4 4" xfId="37484" xr:uid="{00000000-0005-0000-0000-0000A3790000}"/>
    <cellStyle name="Input 4 6 2 2 5" xfId="20902" xr:uid="{00000000-0005-0000-0000-0000A4790000}"/>
    <cellStyle name="Input 4 6 2 2 5 2" xfId="46439" xr:uid="{00000000-0005-0000-0000-0000A5790000}"/>
    <cellStyle name="Input 4 6 2 2 5 3" xfId="50345" xr:uid="{00000000-0005-0000-0000-0000A6790000}"/>
    <cellStyle name="Input 4 6 2 2 5 4" xfId="38308" xr:uid="{00000000-0005-0000-0000-0000A7790000}"/>
    <cellStyle name="Input 4 6 2 2 6" xfId="21555" xr:uid="{00000000-0005-0000-0000-0000A8790000}"/>
    <cellStyle name="Input 4 6 2 2 6 2" xfId="47092" xr:uid="{00000000-0005-0000-0000-0000A9790000}"/>
    <cellStyle name="Input 4 6 2 2 6 3" xfId="50998" xr:uid="{00000000-0005-0000-0000-0000AA790000}"/>
    <cellStyle name="Input 4 6 2 2 7" xfId="40895" xr:uid="{00000000-0005-0000-0000-0000AB790000}"/>
    <cellStyle name="Input 4 6 2 2 8" xfId="40595" xr:uid="{00000000-0005-0000-0000-0000AC790000}"/>
    <cellStyle name="Input 4 6 2 3" xfId="10991" xr:uid="{00000000-0005-0000-0000-0000AD790000}"/>
    <cellStyle name="Input 4 6 2 3 2" xfId="18784" xr:uid="{00000000-0005-0000-0000-0000AE790000}"/>
    <cellStyle name="Input 4 6 2 3 2 2" xfId="44331" xr:uid="{00000000-0005-0000-0000-0000AF790000}"/>
    <cellStyle name="Input 4 6 2 3 2 3" xfId="48240" xr:uid="{00000000-0005-0000-0000-0000B0790000}"/>
    <cellStyle name="Input 4 6 2 3 2 4" xfId="36421" xr:uid="{00000000-0005-0000-0000-0000B1790000}"/>
    <cellStyle name="Input 4 6 2 3 3" xfId="19581" xr:uid="{00000000-0005-0000-0000-0000B2790000}"/>
    <cellStyle name="Input 4 6 2 3 3 2" xfId="45118" xr:uid="{00000000-0005-0000-0000-0000B3790000}"/>
    <cellStyle name="Input 4 6 2 3 3 3" xfId="49024" xr:uid="{00000000-0005-0000-0000-0000B4790000}"/>
    <cellStyle name="Input 4 6 2 3 3 4" xfId="37121" xr:uid="{00000000-0005-0000-0000-0000B5790000}"/>
    <cellStyle name="Input 4 6 2 3 4" xfId="19240" xr:uid="{00000000-0005-0000-0000-0000B6790000}"/>
    <cellStyle name="Input 4 6 2 3 4 2" xfId="44777" xr:uid="{00000000-0005-0000-0000-0000B7790000}"/>
    <cellStyle name="Input 4 6 2 3 4 3" xfId="48683" xr:uid="{00000000-0005-0000-0000-0000B8790000}"/>
    <cellStyle name="Input 4 6 2 3 4 4" xfId="36819" xr:uid="{00000000-0005-0000-0000-0000B9790000}"/>
    <cellStyle name="Input 4 6 2 3 5" xfId="21197" xr:uid="{00000000-0005-0000-0000-0000BA790000}"/>
    <cellStyle name="Input 4 6 2 3 5 2" xfId="46734" xr:uid="{00000000-0005-0000-0000-0000BB790000}"/>
    <cellStyle name="Input 4 6 2 3 5 3" xfId="50640" xr:uid="{00000000-0005-0000-0000-0000BC790000}"/>
    <cellStyle name="Input 4 6 2 3 5 4" xfId="38603" xr:uid="{00000000-0005-0000-0000-0000BD790000}"/>
    <cellStyle name="Input 4 6 2 3 6" xfId="21850" xr:uid="{00000000-0005-0000-0000-0000BE790000}"/>
    <cellStyle name="Input 4 6 2 3 6 2" xfId="47387" xr:uid="{00000000-0005-0000-0000-0000BF790000}"/>
    <cellStyle name="Input 4 6 2 3 6 3" xfId="51293" xr:uid="{00000000-0005-0000-0000-0000C0790000}"/>
    <cellStyle name="Input 4 6 2 3 7" xfId="41190" xr:uid="{00000000-0005-0000-0000-0000C1790000}"/>
    <cellStyle name="Input 4 6 2 3 8" xfId="42594" xr:uid="{00000000-0005-0000-0000-0000C2790000}"/>
    <cellStyle name="Input 4 6 2 4" xfId="14954" xr:uid="{00000000-0005-0000-0000-0000C3790000}"/>
    <cellStyle name="Input 4 6 2 4 2" xfId="43070" xr:uid="{00000000-0005-0000-0000-0000C4790000}"/>
    <cellStyle name="Input 4 6 2 4 3" xfId="39633" xr:uid="{00000000-0005-0000-0000-0000C5790000}"/>
    <cellStyle name="Input 4 6 2 4 4" xfId="32589" xr:uid="{00000000-0005-0000-0000-0000C6790000}"/>
    <cellStyle name="Input 4 6 2 5" xfId="13177" xr:uid="{00000000-0005-0000-0000-0000C7790000}"/>
    <cellStyle name="Input 4 6 2 5 2" xfId="42398" xr:uid="{00000000-0005-0000-0000-0000C8790000}"/>
    <cellStyle name="Input 4 6 2 5 3" xfId="39081" xr:uid="{00000000-0005-0000-0000-0000C9790000}"/>
    <cellStyle name="Input 4 6 2 5 4" xfId="30826" xr:uid="{00000000-0005-0000-0000-0000CA790000}"/>
    <cellStyle name="Input 4 6 2 6" xfId="19491" xr:uid="{00000000-0005-0000-0000-0000CB790000}"/>
    <cellStyle name="Input 4 6 2 6 2" xfId="45028" xr:uid="{00000000-0005-0000-0000-0000CC790000}"/>
    <cellStyle name="Input 4 6 2 6 3" xfId="48934" xr:uid="{00000000-0005-0000-0000-0000CD790000}"/>
    <cellStyle name="Input 4 6 2 6 4" xfId="37047" xr:uid="{00000000-0005-0000-0000-0000CE790000}"/>
    <cellStyle name="Input 4 6 2 7" xfId="19994" xr:uid="{00000000-0005-0000-0000-0000CF790000}"/>
    <cellStyle name="Input 4 6 2 7 2" xfId="45531" xr:uid="{00000000-0005-0000-0000-0000D0790000}"/>
    <cellStyle name="Input 4 6 2 7 3" xfId="49437" xr:uid="{00000000-0005-0000-0000-0000D1790000}"/>
    <cellStyle name="Input 4 6 2 7 4" xfId="37492" xr:uid="{00000000-0005-0000-0000-0000D2790000}"/>
    <cellStyle name="Input 4 6 2 8" xfId="20608" xr:uid="{00000000-0005-0000-0000-0000D3790000}"/>
    <cellStyle name="Input 4 6 2 8 2" xfId="46145" xr:uid="{00000000-0005-0000-0000-0000D4790000}"/>
    <cellStyle name="Input 4 6 2 8 3" xfId="50051" xr:uid="{00000000-0005-0000-0000-0000D5790000}"/>
    <cellStyle name="Input 4 6 2 9" xfId="39930" xr:uid="{00000000-0005-0000-0000-0000D6790000}"/>
    <cellStyle name="Input 4 6 3" xfId="53191" xr:uid="{00000000-0005-0000-0000-0000D7790000}"/>
    <cellStyle name="Input 4 7" xfId="2006" xr:uid="{00000000-0005-0000-0000-0000D8790000}"/>
    <cellStyle name="Input 4 7 2" xfId="7167" xr:uid="{00000000-0005-0000-0000-0000D9790000}"/>
    <cellStyle name="Input 4 7 2 10" xfId="42625" xr:uid="{00000000-0005-0000-0000-0000DA790000}"/>
    <cellStyle name="Input 4 7 2 2" xfId="10697" xr:uid="{00000000-0005-0000-0000-0000DB790000}"/>
    <cellStyle name="Input 4 7 2 2 2" xfId="18490" xr:uid="{00000000-0005-0000-0000-0000DC790000}"/>
    <cellStyle name="Input 4 7 2 2 2 2" xfId="44037" xr:uid="{00000000-0005-0000-0000-0000DD790000}"/>
    <cellStyle name="Input 4 7 2 2 2 3" xfId="47946" xr:uid="{00000000-0005-0000-0000-0000DE790000}"/>
    <cellStyle name="Input 4 7 2 2 2 4" xfId="36127" xr:uid="{00000000-0005-0000-0000-0000DF790000}"/>
    <cellStyle name="Input 4 7 2 2 3" xfId="13321" xr:uid="{00000000-0005-0000-0000-0000E0790000}"/>
    <cellStyle name="Input 4 7 2 2 3 2" xfId="42491" xr:uid="{00000000-0005-0000-0000-0000E1790000}"/>
    <cellStyle name="Input 4 7 2 2 3 3" xfId="40539" xr:uid="{00000000-0005-0000-0000-0000E2790000}"/>
    <cellStyle name="Input 4 7 2 2 3 4" xfId="30961" xr:uid="{00000000-0005-0000-0000-0000E3790000}"/>
    <cellStyle name="Input 4 7 2 2 4" xfId="12690" xr:uid="{00000000-0005-0000-0000-0000E4790000}"/>
    <cellStyle name="Input 4 7 2 2 4 2" xfId="42169" xr:uid="{00000000-0005-0000-0000-0000E5790000}"/>
    <cellStyle name="Input 4 7 2 2 4 3" xfId="39660" xr:uid="{00000000-0005-0000-0000-0000E6790000}"/>
    <cellStyle name="Input 4 7 2 2 4 4" xfId="30351" xr:uid="{00000000-0005-0000-0000-0000E7790000}"/>
    <cellStyle name="Input 4 7 2 2 5" xfId="20903" xr:uid="{00000000-0005-0000-0000-0000E8790000}"/>
    <cellStyle name="Input 4 7 2 2 5 2" xfId="46440" xr:uid="{00000000-0005-0000-0000-0000E9790000}"/>
    <cellStyle name="Input 4 7 2 2 5 3" xfId="50346" xr:uid="{00000000-0005-0000-0000-0000EA790000}"/>
    <cellStyle name="Input 4 7 2 2 5 4" xfId="38309" xr:uid="{00000000-0005-0000-0000-0000EB790000}"/>
    <cellStyle name="Input 4 7 2 2 6" xfId="21556" xr:uid="{00000000-0005-0000-0000-0000EC790000}"/>
    <cellStyle name="Input 4 7 2 2 6 2" xfId="47093" xr:uid="{00000000-0005-0000-0000-0000ED790000}"/>
    <cellStyle name="Input 4 7 2 2 6 3" xfId="50999" xr:uid="{00000000-0005-0000-0000-0000EE790000}"/>
    <cellStyle name="Input 4 7 2 2 7" xfId="40896" xr:uid="{00000000-0005-0000-0000-0000EF790000}"/>
    <cellStyle name="Input 4 7 2 2 8" xfId="39706" xr:uid="{00000000-0005-0000-0000-0000F0790000}"/>
    <cellStyle name="Input 4 7 2 3" xfId="10992" xr:uid="{00000000-0005-0000-0000-0000F1790000}"/>
    <cellStyle name="Input 4 7 2 3 2" xfId="18785" xr:uid="{00000000-0005-0000-0000-0000F2790000}"/>
    <cellStyle name="Input 4 7 2 3 2 2" xfId="44332" xr:uid="{00000000-0005-0000-0000-0000F3790000}"/>
    <cellStyle name="Input 4 7 2 3 2 3" xfId="48241" xr:uid="{00000000-0005-0000-0000-0000F4790000}"/>
    <cellStyle name="Input 4 7 2 3 2 4" xfId="36422" xr:uid="{00000000-0005-0000-0000-0000F5790000}"/>
    <cellStyle name="Input 4 7 2 3 3" xfId="20134" xr:uid="{00000000-0005-0000-0000-0000F6790000}"/>
    <cellStyle name="Input 4 7 2 3 3 2" xfId="45671" xr:uid="{00000000-0005-0000-0000-0000F7790000}"/>
    <cellStyle name="Input 4 7 2 3 3 3" xfId="49577" xr:uid="{00000000-0005-0000-0000-0000F8790000}"/>
    <cellStyle name="Input 4 7 2 3 3 4" xfId="37620" xr:uid="{00000000-0005-0000-0000-0000F9790000}"/>
    <cellStyle name="Input 4 7 2 3 4" xfId="19338" xr:uid="{00000000-0005-0000-0000-0000FA790000}"/>
    <cellStyle name="Input 4 7 2 3 4 2" xfId="44875" xr:uid="{00000000-0005-0000-0000-0000FB790000}"/>
    <cellStyle name="Input 4 7 2 3 4 3" xfId="48781" xr:uid="{00000000-0005-0000-0000-0000FC790000}"/>
    <cellStyle name="Input 4 7 2 3 4 4" xfId="36910" xr:uid="{00000000-0005-0000-0000-0000FD790000}"/>
    <cellStyle name="Input 4 7 2 3 5" xfId="21198" xr:uid="{00000000-0005-0000-0000-0000FE790000}"/>
    <cellStyle name="Input 4 7 2 3 5 2" xfId="46735" xr:uid="{00000000-0005-0000-0000-0000FF790000}"/>
    <cellStyle name="Input 4 7 2 3 5 3" xfId="50641" xr:uid="{00000000-0005-0000-0000-0000007A0000}"/>
    <cellStyle name="Input 4 7 2 3 5 4" xfId="38604" xr:uid="{00000000-0005-0000-0000-0000017A0000}"/>
    <cellStyle name="Input 4 7 2 3 6" xfId="21851" xr:uid="{00000000-0005-0000-0000-0000027A0000}"/>
    <cellStyle name="Input 4 7 2 3 6 2" xfId="47388" xr:uid="{00000000-0005-0000-0000-0000037A0000}"/>
    <cellStyle name="Input 4 7 2 3 6 3" xfId="51294" xr:uid="{00000000-0005-0000-0000-0000047A0000}"/>
    <cellStyle name="Input 4 7 2 3 7" xfId="41191" xr:uid="{00000000-0005-0000-0000-0000057A0000}"/>
    <cellStyle name="Input 4 7 2 3 8" xfId="43507" xr:uid="{00000000-0005-0000-0000-0000067A0000}"/>
    <cellStyle name="Input 4 7 2 4" xfId="14955" xr:uid="{00000000-0005-0000-0000-0000077A0000}"/>
    <cellStyle name="Input 4 7 2 4 2" xfId="43071" xr:uid="{00000000-0005-0000-0000-0000087A0000}"/>
    <cellStyle name="Input 4 7 2 4 3" xfId="42669" xr:uid="{00000000-0005-0000-0000-0000097A0000}"/>
    <cellStyle name="Input 4 7 2 4 4" xfId="32590" xr:uid="{00000000-0005-0000-0000-00000A7A0000}"/>
    <cellStyle name="Input 4 7 2 5" xfId="13178" xr:uid="{00000000-0005-0000-0000-00000B7A0000}"/>
    <cellStyle name="Input 4 7 2 5 2" xfId="42399" xr:uid="{00000000-0005-0000-0000-00000C7A0000}"/>
    <cellStyle name="Input 4 7 2 5 3" xfId="39080" xr:uid="{00000000-0005-0000-0000-00000D7A0000}"/>
    <cellStyle name="Input 4 7 2 5 4" xfId="30827" xr:uid="{00000000-0005-0000-0000-00000E7A0000}"/>
    <cellStyle name="Input 4 7 2 6" xfId="19330" xr:uid="{00000000-0005-0000-0000-00000F7A0000}"/>
    <cellStyle name="Input 4 7 2 6 2" xfId="44867" xr:uid="{00000000-0005-0000-0000-0000107A0000}"/>
    <cellStyle name="Input 4 7 2 6 3" xfId="48773" xr:uid="{00000000-0005-0000-0000-0000117A0000}"/>
    <cellStyle name="Input 4 7 2 6 4" xfId="36905" xr:uid="{00000000-0005-0000-0000-0000127A0000}"/>
    <cellStyle name="Input 4 7 2 7" xfId="19332" xr:uid="{00000000-0005-0000-0000-0000137A0000}"/>
    <cellStyle name="Input 4 7 2 7 2" xfId="44869" xr:uid="{00000000-0005-0000-0000-0000147A0000}"/>
    <cellStyle name="Input 4 7 2 7 3" xfId="48775" xr:uid="{00000000-0005-0000-0000-0000157A0000}"/>
    <cellStyle name="Input 4 7 2 7 4" xfId="36907" xr:uid="{00000000-0005-0000-0000-0000167A0000}"/>
    <cellStyle name="Input 4 7 2 8" xfId="20518" xr:uid="{00000000-0005-0000-0000-0000177A0000}"/>
    <cellStyle name="Input 4 7 2 8 2" xfId="46055" xr:uid="{00000000-0005-0000-0000-0000187A0000}"/>
    <cellStyle name="Input 4 7 2 8 3" xfId="49961" xr:uid="{00000000-0005-0000-0000-0000197A0000}"/>
    <cellStyle name="Input 4 7 2 9" xfId="39931" xr:uid="{00000000-0005-0000-0000-00001A7A0000}"/>
    <cellStyle name="Input 4 7 3" xfId="53192" xr:uid="{00000000-0005-0000-0000-00001B7A0000}"/>
    <cellStyle name="Input 4 8" xfId="2007" xr:uid="{00000000-0005-0000-0000-00001C7A0000}"/>
    <cellStyle name="Input 4 8 2" xfId="7168" xr:uid="{00000000-0005-0000-0000-00001D7A0000}"/>
    <cellStyle name="Input 4 8 2 10" xfId="43538" xr:uid="{00000000-0005-0000-0000-00001E7A0000}"/>
    <cellStyle name="Input 4 8 2 2" xfId="10698" xr:uid="{00000000-0005-0000-0000-00001F7A0000}"/>
    <cellStyle name="Input 4 8 2 2 2" xfId="18491" xr:uid="{00000000-0005-0000-0000-0000207A0000}"/>
    <cellStyle name="Input 4 8 2 2 2 2" xfId="44038" xr:uid="{00000000-0005-0000-0000-0000217A0000}"/>
    <cellStyle name="Input 4 8 2 2 2 3" xfId="47947" xr:uid="{00000000-0005-0000-0000-0000227A0000}"/>
    <cellStyle name="Input 4 8 2 2 2 4" xfId="36128" xr:uid="{00000000-0005-0000-0000-0000237A0000}"/>
    <cellStyle name="Input 4 8 2 2 3" xfId="19604" xr:uid="{00000000-0005-0000-0000-0000247A0000}"/>
    <cellStyle name="Input 4 8 2 2 3 2" xfId="45141" xr:uid="{00000000-0005-0000-0000-0000257A0000}"/>
    <cellStyle name="Input 4 8 2 2 3 3" xfId="49047" xr:uid="{00000000-0005-0000-0000-0000267A0000}"/>
    <cellStyle name="Input 4 8 2 2 3 4" xfId="37144" xr:uid="{00000000-0005-0000-0000-0000277A0000}"/>
    <cellStyle name="Input 4 8 2 2 4" xfId="12610" xr:uid="{00000000-0005-0000-0000-0000287A0000}"/>
    <cellStyle name="Input 4 8 2 2 4 2" xfId="42089" xr:uid="{00000000-0005-0000-0000-0000297A0000}"/>
    <cellStyle name="Input 4 8 2 2 4 3" xfId="40553" xr:uid="{00000000-0005-0000-0000-00002A7A0000}"/>
    <cellStyle name="Input 4 8 2 2 4 4" xfId="30276" xr:uid="{00000000-0005-0000-0000-00002B7A0000}"/>
    <cellStyle name="Input 4 8 2 2 5" xfId="20904" xr:uid="{00000000-0005-0000-0000-00002C7A0000}"/>
    <cellStyle name="Input 4 8 2 2 5 2" xfId="46441" xr:uid="{00000000-0005-0000-0000-00002D7A0000}"/>
    <cellStyle name="Input 4 8 2 2 5 3" xfId="50347" xr:uid="{00000000-0005-0000-0000-00002E7A0000}"/>
    <cellStyle name="Input 4 8 2 2 5 4" xfId="38310" xr:uid="{00000000-0005-0000-0000-00002F7A0000}"/>
    <cellStyle name="Input 4 8 2 2 6" xfId="21557" xr:uid="{00000000-0005-0000-0000-0000307A0000}"/>
    <cellStyle name="Input 4 8 2 2 6 2" xfId="47094" xr:uid="{00000000-0005-0000-0000-0000317A0000}"/>
    <cellStyle name="Input 4 8 2 2 6 3" xfId="51000" xr:uid="{00000000-0005-0000-0000-0000327A0000}"/>
    <cellStyle name="Input 4 8 2 2 7" xfId="40897" xr:uid="{00000000-0005-0000-0000-0000337A0000}"/>
    <cellStyle name="Input 4 8 2 2 8" xfId="42743" xr:uid="{00000000-0005-0000-0000-0000347A0000}"/>
    <cellStyle name="Input 4 8 2 3" xfId="10993" xr:uid="{00000000-0005-0000-0000-0000357A0000}"/>
    <cellStyle name="Input 4 8 2 3 2" xfId="18786" xr:uid="{00000000-0005-0000-0000-0000367A0000}"/>
    <cellStyle name="Input 4 8 2 3 2 2" xfId="44333" xr:uid="{00000000-0005-0000-0000-0000377A0000}"/>
    <cellStyle name="Input 4 8 2 3 2 3" xfId="48242" xr:uid="{00000000-0005-0000-0000-0000387A0000}"/>
    <cellStyle name="Input 4 8 2 3 2 4" xfId="36423" xr:uid="{00000000-0005-0000-0000-0000397A0000}"/>
    <cellStyle name="Input 4 8 2 3 3" xfId="19393" xr:uid="{00000000-0005-0000-0000-00003A7A0000}"/>
    <cellStyle name="Input 4 8 2 3 3 2" xfId="44930" xr:uid="{00000000-0005-0000-0000-00003B7A0000}"/>
    <cellStyle name="Input 4 8 2 3 3 3" xfId="48836" xr:uid="{00000000-0005-0000-0000-00003C7A0000}"/>
    <cellStyle name="Input 4 8 2 3 3 4" xfId="36958" xr:uid="{00000000-0005-0000-0000-00003D7A0000}"/>
    <cellStyle name="Input 4 8 2 3 4" xfId="19461" xr:uid="{00000000-0005-0000-0000-00003E7A0000}"/>
    <cellStyle name="Input 4 8 2 3 4 2" xfId="44998" xr:uid="{00000000-0005-0000-0000-00003F7A0000}"/>
    <cellStyle name="Input 4 8 2 3 4 3" xfId="48904" xr:uid="{00000000-0005-0000-0000-0000407A0000}"/>
    <cellStyle name="Input 4 8 2 3 4 4" xfId="37020" xr:uid="{00000000-0005-0000-0000-0000417A0000}"/>
    <cellStyle name="Input 4 8 2 3 5" xfId="21199" xr:uid="{00000000-0005-0000-0000-0000427A0000}"/>
    <cellStyle name="Input 4 8 2 3 5 2" xfId="46736" xr:uid="{00000000-0005-0000-0000-0000437A0000}"/>
    <cellStyle name="Input 4 8 2 3 5 3" xfId="50642" xr:uid="{00000000-0005-0000-0000-0000447A0000}"/>
    <cellStyle name="Input 4 8 2 3 5 4" xfId="38605" xr:uid="{00000000-0005-0000-0000-0000457A0000}"/>
    <cellStyle name="Input 4 8 2 3 6" xfId="21852" xr:uid="{00000000-0005-0000-0000-0000467A0000}"/>
    <cellStyle name="Input 4 8 2 3 6 2" xfId="47389" xr:uid="{00000000-0005-0000-0000-0000477A0000}"/>
    <cellStyle name="Input 4 8 2 3 6 3" xfId="51295" xr:uid="{00000000-0005-0000-0000-0000487A0000}"/>
    <cellStyle name="Input 4 8 2 3 7" xfId="41192" xr:uid="{00000000-0005-0000-0000-0000497A0000}"/>
    <cellStyle name="Input 4 8 2 3 8" xfId="40370" xr:uid="{00000000-0005-0000-0000-00004A7A0000}"/>
    <cellStyle name="Input 4 8 2 4" xfId="14956" xr:uid="{00000000-0005-0000-0000-00004B7A0000}"/>
    <cellStyle name="Input 4 8 2 4 2" xfId="43072" xr:uid="{00000000-0005-0000-0000-00004C7A0000}"/>
    <cellStyle name="Input 4 8 2 4 3" xfId="43557" xr:uid="{00000000-0005-0000-0000-00004D7A0000}"/>
    <cellStyle name="Input 4 8 2 4 4" xfId="32591" xr:uid="{00000000-0005-0000-0000-00004E7A0000}"/>
    <cellStyle name="Input 4 8 2 5" xfId="13179" xr:uid="{00000000-0005-0000-0000-00004F7A0000}"/>
    <cellStyle name="Input 4 8 2 5 2" xfId="42400" xr:uid="{00000000-0005-0000-0000-0000507A0000}"/>
    <cellStyle name="Input 4 8 2 5 3" xfId="39079" xr:uid="{00000000-0005-0000-0000-0000517A0000}"/>
    <cellStyle name="Input 4 8 2 5 4" xfId="30828" xr:uid="{00000000-0005-0000-0000-0000527A0000}"/>
    <cellStyle name="Input 4 8 2 6" xfId="11853" xr:uid="{00000000-0005-0000-0000-0000537A0000}"/>
    <cellStyle name="Input 4 8 2 6 2" xfId="41771" xr:uid="{00000000-0005-0000-0000-0000547A0000}"/>
    <cellStyle name="Input 4 8 2 6 3" xfId="40203" xr:uid="{00000000-0005-0000-0000-0000557A0000}"/>
    <cellStyle name="Input 4 8 2 6 4" xfId="29537" xr:uid="{00000000-0005-0000-0000-0000567A0000}"/>
    <cellStyle name="Input 4 8 2 7" xfId="20329" xr:uid="{00000000-0005-0000-0000-0000577A0000}"/>
    <cellStyle name="Input 4 8 2 7 2" xfId="45866" xr:uid="{00000000-0005-0000-0000-0000587A0000}"/>
    <cellStyle name="Input 4 8 2 7 3" xfId="49772" xr:uid="{00000000-0005-0000-0000-0000597A0000}"/>
    <cellStyle name="Input 4 8 2 7 4" xfId="37793" xr:uid="{00000000-0005-0000-0000-00005A7A0000}"/>
    <cellStyle name="Input 4 8 2 8" xfId="12609" xr:uid="{00000000-0005-0000-0000-00005B7A0000}"/>
    <cellStyle name="Input 4 8 2 8 2" xfId="42088" xr:uid="{00000000-0005-0000-0000-00005C7A0000}"/>
    <cellStyle name="Input 4 8 2 8 3" xfId="43694" xr:uid="{00000000-0005-0000-0000-00005D7A0000}"/>
    <cellStyle name="Input 4 8 2 9" xfId="39932" xr:uid="{00000000-0005-0000-0000-00005E7A0000}"/>
    <cellStyle name="Input 4 8 3" xfId="53193" xr:uid="{00000000-0005-0000-0000-00005F7A0000}"/>
    <cellStyle name="Input 4 9" xfId="2008" xr:uid="{00000000-0005-0000-0000-0000607A0000}"/>
    <cellStyle name="Input 4 9 2" xfId="7169" xr:uid="{00000000-0005-0000-0000-0000617A0000}"/>
    <cellStyle name="Input 4 9 2 10" xfId="40401" xr:uid="{00000000-0005-0000-0000-0000627A0000}"/>
    <cellStyle name="Input 4 9 2 2" xfId="10699" xr:uid="{00000000-0005-0000-0000-0000637A0000}"/>
    <cellStyle name="Input 4 9 2 2 2" xfId="18492" xr:uid="{00000000-0005-0000-0000-0000647A0000}"/>
    <cellStyle name="Input 4 9 2 2 2 2" xfId="44039" xr:uid="{00000000-0005-0000-0000-0000657A0000}"/>
    <cellStyle name="Input 4 9 2 2 2 3" xfId="47948" xr:uid="{00000000-0005-0000-0000-0000667A0000}"/>
    <cellStyle name="Input 4 9 2 2 2 4" xfId="36129" xr:uid="{00000000-0005-0000-0000-0000677A0000}"/>
    <cellStyle name="Input 4 9 2 2 3" xfId="20158" xr:uid="{00000000-0005-0000-0000-0000687A0000}"/>
    <cellStyle name="Input 4 9 2 2 3 2" xfId="45695" xr:uid="{00000000-0005-0000-0000-0000697A0000}"/>
    <cellStyle name="Input 4 9 2 2 3 3" xfId="49601" xr:uid="{00000000-0005-0000-0000-00006A7A0000}"/>
    <cellStyle name="Input 4 9 2 2 3 4" xfId="37644" xr:uid="{00000000-0005-0000-0000-00006B7A0000}"/>
    <cellStyle name="Input 4 9 2 2 4" xfId="11540" xr:uid="{00000000-0005-0000-0000-00006C7A0000}"/>
    <cellStyle name="Input 4 9 2 2 4 2" xfId="41551" xr:uid="{00000000-0005-0000-0000-00006D7A0000}"/>
    <cellStyle name="Input 4 9 2 2 4 3" xfId="40565" xr:uid="{00000000-0005-0000-0000-00006E7A0000}"/>
    <cellStyle name="Input 4 9 2 2 4 4" xfId="29254" xr:uid="{00000000-0005-0000-0000-00006F7A0000}"/>
    <cellStyle name="Input 4 9 2 2 5" xfId="20905" xr:uid="{00000000-0005-0000-0000-0000707A0000}"/>
    <cellStyle name="Input 4 9 2 2 5 2" xfId="46442" xr:uid="{00000000-0005-0000-0000-0000717A0000}"/>
    <cellStyle name="Input 4 9 2 2 5 3" xfId="50348" xr:uid="{00000000-0005-0000-0000-0000727A0000}"/>
    <cellStyle name="Input 4 9 2 2 5 4" xfId="38311" xr:uid="{00000000-0005-0000-0000-0000737A0000}"/>
    <cellStyle name="Input 4 9 2 2 6" xfId="21558" xr:uid="{00000000-0005-0000-0000-0000747A0000}"/>
    <cellStyle name="Input 4 9 2 2 6 2" xfId="47095" xr:uid="{00000000-0005-0000-0000-0000757A0000}"/>
    <cellStyle name="Input 4 9 2 2 6 3" xfId="51001" xr:uid="{00000000-0005-0000-0000-0000767A0000}"/>
    <cellStyle name="Input 4 9 2 2 7" xfId="40898" xr:uid="{00000000-0005-0000-0000-0000777A0000}"/>
    <cellStyle name="Input 4 9 2 2 8" xfId="43632" xr:uid="{00000000-0005-0000-0000-0000787A0000}"/>
    <cellStyle name="Input 4 9 2 3" xfId="10994" xr:uid="{00000000-0005-0000-0000-0000797A0000}"/>
    <cellStyle name="Input 4 9 2 3 2" xfId="18787" xr:uid="{00000000-0005-0000-0000-00007A7A0000}"/>
    <cellStyle name="Input 4 9 2 3 2 2" xfId="44334" xr:uid="{00000000-0005-0000-0000-00007B7A0000}"/>
    <cellStyle name="Input 4 9 2 3 2 3" xfId="48243" xr:uid="{00000000-0005-0000-0000-00007C7A0000}"/>
    <cellStyle name="Input 4 9 2 3 2 4" xfId="36424" xr:uid="{00000000-0005-0000-0000-00007D7A0000}"/>
    <cellStyle name="Input 4 9 2 3 3" xfId="20000" xr:uid="{00000000-0005-0000-0000-00007E7A0000}"/>
    <cellStyle name="Input 4 9 2 3 3 2" xfId="45537" xr:uid="{00000000-0005-0000-0000-00007F7A0000}"/>
    <cellStyle name="Input 4 9 2 3 3 3" xfId="49443" xr:uid="{00000000-0005-0000-0000-0000807A0000}"/>
    <cellStyle name="Input 4 9 2 3 3 4" xfId="37498" xr:uid="{00000000-0005-0000-0000-0000817A0000}"/>
    <cellStyle name="Input 4 9 2 3 4" xfId="19638" xr:uid="{00000000-0005-0000-0000-0000827A0000}"/>
    <cellStyle name="Input 4 9 2 3 4 2" xfId="45175" xr:uid="{00000000-0005-0000-0000-0000837A0000}"/>
    <cellStyle name="Input 4 9 2 3 4 3" xfId="49081" xr:uid="{00000000-0005-0000-0000-0000847A0000}"/>
    <cellStyle name="Input 4 9 2 3 4 4" xfId="37175" xr:uid="{00000000-0005-0000-0000-0000857A0000}"/>
    <cellStyle name="Input 4 9 2 3 5" xfId="21200" xr:uid="{00000000-0005-0000-0000-0000867A0000}"/>
    <cellStyle name="Input 4 9 2 3 5 2" xfId="46737" xr:uid="{00000000-0005-0000-0000-0000877A0000}"/>
    <cellStyle name="Input 4 9 2 3 5 3" xfId="50643" xr:uid="{00000000-0005-0000-0000-0000887A0000}"/>
    <cellStyle name="Input 4 9 2 3 5 4" xfId="38606" xr:uid="{00000000-0005-0000-0000-0000897A0000}"/>
    <cellStyle name="Input 4 9 2 3 6" xfId="21853" xr:uid="{00000000-0005-0000-0000-00008A7A0000}"/>
    <cellStyle name="Input 4 9 2 3 6 2" xfId="47390" xr:uid="{00000000-0005-0000-0000-00008B7A0000}"/>
    <cellStyle name="Input 4 9 2 3 6 3" xfId="51296" xr:uid="{00000000-0005-0000-0000-00008C7A0000}"/>
    <cellStyle name="Input 4 9 2 3 7" xfId="41193" xr:uid="{00000000-0005-0000-0000-00008D7A0000}"/>
    <cellStyle name="Input 4 9 2 3 8" xfId="39482" xr:uid="{00000000-0005-0000-0000-00008E7A0000}"/>
    <cellStyle name="Input 4 9 2 4" xfId="14957" xr:uid="{00000000-0005-0000-0000-00008F7A0000}"/>
    <cellStyle name="Input 4 9 2 4 2" xfId="43073" xr:uid="{00000000-0005-0000-0000-0000907A0000}"/>
    <cellStyle name="Input 4 9 2 4 3" xfId="40418" xr:uid="{00000000-0005-0000-0000-0000917A0000}"/>
    <cellStyle name="Input 4 9 2 4 4" xfId="32592" xr:uid="{00000000-0005-0000-0000-0000927A0000}"/>
    <cellStyle name="Input 4 9 2 5" xfId="13180" xr:uid="{00000000-0005-0000-0000-0000937A0000}"/>
    <cellStyle name="Input 4 9 2 5 2" xfId="42401" xr:uid="{00000000-0005-0000-0000-0000947A0000}"/>
    <cellStyle name="Input 4 9 2 5 3" xfId="39291" xr:uid="{00000000-0005-0000-0000-0000957A0000}"/>
    <cellStyle name="Input 4 9 2 5 4" xfId="30829" xr:uid="{00000000-0005-0000-0000-0000967A0000}"/>
    <cellStyle name="Input 4 9 2 6" xfId="20059" xr:uid="{00000000-0005-0000-0000-0000977A0000}"/>
    <cellStyle name="Input 4 9 2 6 2" xfId="45596" xr:uid="{00000000-0005-0000-0000-0000987A0000}"/>
    <cellStyle name="Input 4 9 2 6 3" xfId="49502" xr:uid="{00000000-0005-0000-0000-0000997A0000}"/>
    <cellStyle name="Input 4 9 2 6 4" xfId="37554" xr:uid="{00000000-0005-0000-0000-00009A7A0000}"/>
    <cellStyle name="Input 4 9 2 7" xfId="18895" xr:uid="{00000000-0005-0000-0000-00009B7A0000}"/>
    <cellStyle name="Input 4 9 2 7 2" xfId="44432" xr:uid="{00000000-0005-0000-0000-00009C7A0000}"/>
    <cellStyle name="Input 4 9 2 7 3" xfId="48338" xr:uid="{00000000-0005-0000-0000-00009D7A0000}"/>
    <cellStyle name="Input 4 9 2 7 4" xfId="36531" xr:uid="{00000000-0005-0000-0000-00009E7A0000}"/>
    <cellStyle name="Input 4 9 2 8" xfId="13304" xr:uid="{00000000-0005-0000-0000-00009F7A0000}"/>
    <cellStyle name="Input 4 9 2 8 2" xfId="42474" xr:uid="{00000000-0005-0000-0000-0000A07A0000}"/>
    <cellStyle name="Input 4 9 2 8 3" xfId="42682" xr:uid="{00000000-0005-0000-0000-0000A17A0000}"/>
    <cellStyle name="Input 4 9 2 9" xfId="39933" xr:uid="{00000000-0005-0000-0000-0000A27A0000}"/>
    <cellStyle name="Input 4 9 3" xfId="53367" xr:uid="{00000000-0005-0000-0000-0000A37A0000}"/>
    <cellStyle name="Input 4_Sheet1" xfId="2009" xr:uid="{00000000-0005-0000-0000-0000A47A0000}"/>
    <cellStyle name="Input 40" xfId="2010" xr:uid="{00000000-0005-0000-0000-0000A57A0000}"/>
    <cellStyle name="Input 40 2" xfId="22481" xr:uid="{00000000-0005-0000-0000-0000A67A0000}"/>
    <cellStyle name="Input 40 2 2" xfId="47539" xr:uid="{00000000-0005-0000-0000-0000A77A0000}"/>
    <cellStyle name="Input 40 2 3" xfId="51393" xr:uid="{00000000-0005-0000-0000-0000A87A0000}"/>
    <cellStyle name="Input 40 2 4" xfId="38835" xr:uid="{00000000-0005-0000-0000-0000A97A0000}"/>
    <cellStyle name="Input 40 3" xfId="23045" xr:uid="{00000000-0005-0000-0000-0000AA7A0000}"/>
    <cellStyle name="Input 40 3 2" xfId="47646" xr:uid="{00000000-0005-0000-0000-0000AB7A0000}"/>
    <cellStyle name="Input 40 3 3" xfId="51457" xr:uid="{00000000-0005-0000-0000-0000AC7A0000}"/>
    <cellStyle name="Input 40 4" xfId="53194" xr:uid="{00000000-0005-0000-0000-0000AD7A0000}"/>
    <cellStyle name="Input 41" xfId="2011" xr:uid="{00000000-0005-0000-0000-0000AE7A0000}"/>
    <cellStyle name="Input 41 2" xfId="7170" xr:uid="{00000000-0005-0000-0000-0000AF7A0000}"/>
    <cellStyle name="Input 41 2 10" xfId="39513" xr:uid="{00000000-0005-0000-0000-0000B07A0000}"/>
    <cellStyle name="Input 41 2 2" xfId="10700" xr:uid="{00000000-0005-0000-0000-0000B17A0000}"/>
    <cellStyle name="Input 41 2 2 2" xfId="18493" xr:uid="{00000000-0005-0000-0000-0000B27A0000}"/>
    <cellStyle name="Input 41 2 2 2 2" xfId="44040" xr:uid="{00000000-0005-0000-0000-0000B37A0000}"/>
    <cellStyle name="Input 41 2 2 2 3" xfId="47949" xr:uid="{00000000-0005-0000-0000-0000B47A0000}"/>
    <cellStyle name="Input 41 2 2 2 4" xfId="36130" xr:uid="{00000000-0005-0000-0000-0000B57A0000}"/>
    <cellStyle name="Input 41 2 2 3" xfId="19417" xr:uid="{00000000-0005-0000-0000-0000B67A0000}"/>
    <cellStyle name="Input 41 2 2 3 2" xfId="44954" xr:uid="{00000000-0005-0000-0000-0000B77A0000}"/>
    <cellStyle name="Input 41 2 2 3 3" xfId="48860" xr:uid="{00000000-0005-0000-0000-0000B87A0000}"/>
    <cellStyle name="Input 41 2 2 3 4" xfId="36982" xr:uid="{00000000-0005-0000-0000-0000B97A0000}"/>
    <cellStyle name="Input 41 2 2 4" xfId="20382" xr:uid="{00000000-0005-0000-0000-0000BA7A0000}"/>
    <cellStyle name="Input 41 2 2 4 2" xfId="45919" xr:uid="{00000000-0005-0000-0000-0000BB7A0000}"/>
    <cellStyle name="Input 41 2 2 4 3" xfId="49825" xr:uid="{00000000-0005-0000-0000-0000BC7A0000}"/>
    <cellStyle name="Input 41 2 2 4 4" xfId="37836" xr:uid="{00000000-0005-0000-0000-0000BD7A0000}"/>
    <cellStyle name="Input 41 2 2 5" xfId="20906" xr:uid="{00000000-0005-0000-0000-0000BE7A0000}"/>
    <cellStyle name="Input 41 2 2 5 2" xfId="46443" xr:uid="{00000000-0005-0000-0000-0000BF7A0000}"/>
    <cellStyle name="Input 41 2 2 5 3" xfId="50349" xr:uid="{00000000-0005-0000-0000-0000C07A0000}"/>
    <cellStyle name="Input 41 2 2 5 4" xfId="38312" xr:uid="{00000000-0005-0000-0000-0000C17A0000}"/>
    <cellStyle name="Input 41 2 2 6" xfId="21559" xr:uid="{00000000-0005-0000-0000-0000C27A0000}"/>
    <cellStyle name="Input 41 2 2 6 2" xfId="47096" xr:uid="{00000000-0005-0000-0000-0000C37A0000}"/>
    <cellStyle name="Input 41 2 2 6 3" xfId="51002" xr:uid="{00000000-0005-0000-0000-0000C47A0000}"/>
    <cellStyle name="Input 41 2 2 7" xfId="40899" xr:uid="{00000000-0005-0000-0000-0000C57A0000}"/>
    <cellStyle name="Input 41 2 2 8" xfId="40490" xr:uid="{00000000-0005-0000-0000-0000C67A0000}"/>
    <cellStyle name="Input 41 2 3" xfId="10995" xr:uid="{00000000-0005-0000-0000-0000C77A0000}"/>
    <cellStyle name="Input 41 2 3 2" xfId="18788" xr:uid="{00000000-0005-0000-0000-0000C87A0000}"/>
    <cellStyle name="Input 41 2 3 2 2" xfId="44335" xr:uid="{00000000-0005-0000-0000-0000C97A0000}"/>
    <cellStyle name="Input 41 2 3 2 3" xfId="48244" xr:uid="{00000000-0005-0000-0000-0000CA7A0000}"/>
    <cellStyle name="Input 41 2 3 2 4" xfId="36425" xr:uid="{00000000-0005-0000-0000-0000CB7A0000}"/>
    <cellStyle name="Input 41 2 3 3" xfId="19266" xr:uid="{00000000-0005-0000-0000-0000CC7A0000}"/>
    <cellStyle name="Input 41 2 3 3 2" xfId="44803" xr:uid="{00000000-0005-0000-0000-0000CD7A0000}"/>
    <cellStyle name="Input 41 2 3 3 3" xfId="48709" xr:uid="{00000000-0005-0000-0000-0000CE7A0000}"/>
    <cellStyle name="Input 41 2 3 3 4" xfId="36844" xr:uid="{00000000-0005-0000-0000-0000CF7A0000}"/>
    <cellStyle name="Input 41 2 3 4" xfId="11578" xr:uid="{00000000-0005-0000-0000-0000D07A0000}"/>
    <cellStyle name="Input 41 2 3 4 2" xfId="41589" xr:uid="{00000000-0005-0000-0000-0000D17A0000}"/>
    <cellStyle name="Input 41 2 3 4 3" xfId="43602" xr:uid="{00000000-0005-0000-0000-0000D27A0000}"/>
    <cellStyle name="Input 41 2 3 4 4" xfId="29289" xr:uid="{00000000-0005-0000-0000-0000D37A0000}"/>
    <cellStyle name="Input 41 2 3 5" xfId="21201" xr:uid="{00000000-0005-0000-0000-0000D47A0000}"/>
    <cellStyle name="Input 41 2 3 5 2" xfId="46738" xr:uid="{00000000-0005-0000-0000-0000D57A0000}"/>
    <cellStyle name="Input 41 2 3 5 3" xfId="50644" xr:uid="{00000000-0005-0000-0000-0000D67A0000}"/>
    <cellStyle name="Input 41 2 3 5 4" xfId="38607" xr:uid="{00000000-0005-0000-0000-0000D77A0000}"/>
    <cellStyle name="Input 41 2 3 6" xfId="21854" xr:uid="{00000000-0005-0000-0000-0000D87A0000}"/>
    <cellStyle name="Input 41 2 3 6 2" xfId="47391" xr:uid="{00000000-0005-0000-0000-0000D97A0000}"/>
    <cellStyle name="Input 41 2 3 6 3" xfId="51297" xr:uid="{00000000-0005-0000-0000-0000DA7A0000}"/>
    <cellStyle name="Input 41 2 3 7" xfId="41194" xr:uid="{00000000-0005-0000-0000-0000DB7A0000}"/>
    <cellStyle name="Input 41 2 3 8" xfId="42050" xr:uid="{00000000-0005-0000-0000-0000DC7A0000}"/>
    <cellStyle name="Input 41 2 4" xfId="14958" xr:uid="{00000000-0005-0000-0000-0000DD7A0000}"/>
    <cellStyle name="Input 41 2 4 2" xfId="43074" xr:uid="{00000000-0005-0000-0000-0000DE7A0000}"/>
    <cellStyle name="Input 41 2 4 3" xfId="39527" xr:uid="{00000000-0005-0000-0000-0000DF7A0000}"/>
    <cellStyle name="Input 41 2 4 4" xfId="32593" xr:uid="{00000000-0005-0000-0000-0000E07A0000}"/>
    <cellStyle name="Input 41 2 5" xfId="13181" xr:uid="{00000000-0005-0000-0000-0000E17A0000}"/>
    <cellStyle name="Input 41 2 5 2" xfId="42402" xr:uid="{00000000-0005-0000-0000-0000E27A0000}"/>
    <cellStyle name="Input 41 2 5 3" xfId="39290" xr:uid="{00000000-0005-0000-0000-0000E37A0000}"/>
    <cellStyle name="Input 41 2 5 4" xfId="30830" xr:uid="{00000000-0005-0000-0000-0000E47A0000}"/>
    <cellStyle name="Input 41 2 6" xfId="12045" xr:uid="{00000000-0005-0000-0000-0000E57A0000}"/>
    <cellStyle name="Input 41 2 6 2" xfId="41801" xr:uid="{00000000-0005-0000-0000-0000E67A0000}"/>
    <cellStyle name="Input 41 2 6 3" xfId="47504" xr:uid="{00000000-0005-0000-0000-0000E77A0000}"/>
    <cellStyle name="Input 41 2 6 4" xfId="29724" xr:uid="{00000000-0005-0000-0000-0000E87A0000}"/>
    <cellStyle name="Input 41 2 7" xfId="20464" xr:uid="{00000000-0005-0000-0000-0000E97A0000}"/>
    <cellStyle name="Input 41 2 7 2" xfId="46001" xr:uid="{00000000-0005-0000-0000-0000EA7A0000}"/>
    <cellStyle name="Input 41 2 7 3" xfId="49907" xr:uid="{00000000-0005-0000-0000-0000EB7A0000}"/>
    <cellStyle name="Input 41 2 7 4" xfId="37917" xr:uid="{00000000-0005-0000-0000-0000EC7A0000}"/>
    <cellStyle name="Input 41 2 8" xfId="12030" xr:uid="{00000000-0005-0000-0000-0000ED7A0000}"/>
    <cellStyle name="Input 41 2 8 2" xfId="41787" xr:uid="{00000000-0005-0000-0000-0000EE7A0000}"/>
    <cellStyle name="Input 41 2 8 3" xfId="43340" xr:uid="{00000000-0005-0000-0000-0000EF7A0000}"/>
    <cellStyle name="Input 41 2 9" xfId="39934" xr:uid="{00000000-0005-0000-0000-0000F07A0000}"/>
    <cellStyle name="Input 41 3" xfId="22482" xr:uid="{00000000-0005-0000-0000-0000F17A0000}"/>
    <cellStyle name="Input 41 3 2" xfId="47540" xr:uid="{00000000-0005-0000-0000-0000F27A0000}"/>
    <cellStyle name="Input 41 3 3" xfId="51394" xr:uid="{00000000-0005-0000-0000-0000F37A0000}"/>
    <cellStyle name="Input 41 3 4" xfId="38836" xr:uid="{00000000-0005-0000-0000-0000F47A0000}"/>
    <cellStyle name="Input 41 4" xfId="23046" xr:uid="{00000000-0005-0000-0000-0000F57A0000}"/>
    <cellStyle name="Input 41 4 2" xfId="47647" xr:uid="{00000000-0005-0000-0000-0000F67A0000}"/>
    <cellStyle name="Input 41 4 3" xfId="51458" xr:uid="{00000000-0005-0000-0000-0000F77A0000}"/>
    <cellStyle name="Input 41 5" xfId="53195" xr:uid="{00000000-0005-0000-0000-0000F87A0000}"/>
    <cellStyle name="Input 42" xfId="2012" xr:uid="{00000000-0005-0000-0000-0000F97A0000}"/>
    <cellStyle name="Input 42 2" xfId="7171" xr:uid="{00000000-0005-0000-0000-0000FA7A0000}"/>
    <cellStyle name="Input 42 2 10" xfId="42194" xr:uid="{00000000-0005-0000-0000-0000FB7A0000}"/>
    <cellStyle name="Input 42 2 2" xfId="10701" xr:uid="{00000000-0005-0000-0000-0000FC7A0000}"/>
    <cellStyle name="Input 42 2 2 2" xfId="18494" xr:uid="{00000000-0005-0000-0000-0000FD7A0000}"/>
    <cellStyle name="Input 42 2 2 2 2" xfId="44041" xr:uid="{00000000-0005-0000-0000-0000FE7A0000}"/>
    <cellStyle name="Input 42 2 2 2 3" xfId="47950" xr:uid="{00000000-0005-0000-0000-0000FF7A0000}"/>
    <cellStyle name="Input 42 2 2 2 4" xfId="36131" xr:uid="{00000000-0005-0000-0000-0000007B0000}"/>
    <cellStyle name="Input 42 2 2 3" xfId="20024" xr:uid="{00000000-0005-0000-0000-0000017B0000}"/>
    <cellStyle name="Input 42 2 2 3 2" xfId="45561" xr:uid="{00000000-0005-0000-0000-0000027B0000}"/>
    <cellStyle name="Input 42 2 2 3 3" xfId="49467" xr:uid="{00000000-0005-0000-0000-0000037B0000}"/>
    <cellStyle name="Input 42 2 2 3 4" xfId="37522" xr:uid="{00000000-0005-0000-0000-0000047B0000}"/>
    <cellStyle name="Input 42 2 2 4" xfId="19795" xr:uid="{00000000-0005-0000-0000-0000057B0000}"/>
    <cellStyle name="Input 42 2 2 4 2" xfId="45332" xr:uid="{00000000-0005-0000-0000-0000067B0000}"/>
    <cellStyle name="Input 42 2 2 4 3" xfId="49238" xr:uid="{00000000-0005-0000-0000-0000077B0000}"/>
    <cellStyle name="Input 42 2 2 4 4" xfId="37318" xr:uid="{00000000-0005-0000-0000-0000087B0000}"/>
    <cellStyle name="Input 42 2 2 5" xfId="20907" xr:uid="{00000000-0005-0000-0000-0000097B0000}"/>
    <cellStyle name="Input 42 2 2 5 2" xfId="46444" xr:uid="{00000000-0005-0000-0000-00000A7B0000}"/>
    <cellStyle name="Input 42 2 2 5 3" xfId="50350" xr:uid="{00000000-0005-0000-0000-00000B7B0000}"/>
    <cellStyle name="Input 42 2 2 5 4" xfId="38313" xr:uid="{00000000-0005-0000-0000-00000C7B0000}"/>
    <cellStyle name="Input 42 2 2 6" xfId="21560" xr:uid="{00000000-0005-0000-0000-00000D7B0000}"/>
    <cellStyle name="Input 42 2 2 6 2" xfId="47097" xr:uid="{00000000-0005-0000-0000-00000E7B0000}"/>
    <cellStyle name="Input 42 2 2 6 3" xfId="51003" xr:uid="{00000000-0005-0000-0000-00000F7B0000}"/>
    <cellStyle name="Input 42 2 2 7" xfId="40900" xr:uid="{00000000-0005-0000-0000-0000107B0000}"/>
    <cellStyle name="Input 42 2 2 8" xfId="39600" xr:uid="{00000000-0005-0000-0000-0000117B0000}"/>
    <cellStyle name="Input 42 2 3" xfId="10996" xr:uid="{00000000-0005-0000-0000-0000127B0000}"/>
    <cellStyle name="Input 42 2 3 2" xfId="18789" xr:uid="{00000000-0005-0000-0000-0000137B0000}"/>
    <cellStyle name="Input 42 2 3 2 2" xfId="44336" xr:uid="{00000000-0005-0000-0000-0000147B0000}"/>
    <cellStyle name="Input 42 2 3 2 3" xfId="48245" xr:uid="{00000000-0005-0000-0000-0000157B0000}"/>
    <cellStyle name="Input 42 2 3 2 4" xfId="36426" xr:uid="{00000000-0005-0000-0000-0000167B0000}"/>
    <cellStyle name="Input 42 2 3 3" xfId="19875" xr:uid="{00000000-0005-0000-0000-0000177B0000}"/>
    <cellStyle name="Input 42 2 3 3 2" xfId="45412" xr:uid="{00000000-0005-0000-0000-0000187B0000}"/>
    <cellStyle name="Input 42 2 3 3 3" xfId="49318" xr:uid="{00000000-0005-0000-0000-0000197B0000}"/>
    <cellStyle name="Input 42 2 3 3 4" xfId="37389" xr:uid="{00000000-0005-0000-0000-00001A7B0000}"/>
    <cellStyle name="Input 42 2 3 4" xfId="12142" xr:uid="{00000000-0005-0000-0000-00001B7B0000}"/>
    <cellStyle name="Input 42 2 3 4 2" xfId="41887" xr:uid="{00000000-0005-0000-0000-00001C7B0000}"/>
    <cellStyle name="Input 42 2 3 4 3" xfId="39564" xr:uid="{00000000-0005-0000-0000-00001D7B0000}"/>
    <cellStyle name="Input 42 2 3 4 4" xfId="29814" xr:uid="{00000000-0005-0000-0000-00001E7B0000}"/>
    <cellStyle name="Input 42 2 3 5" xfId="21202" xr:uid="{00000000-0005-0000-0000-00001F7B0000}"/>
    <cellStyle name="Input 42 2 3 5 2" xfId="46739" xr:uid="{00000000-0005-0000-0000-0000207B0000}"/>
    <cellStyle name="Input 42 2 3 5 3" xfId="50645" xr:uid="{00000000-0005-0000-0000-0000217B0000}"/>
    <cellStyle name="Input 42 2 3 5 4" xfId="38608" xr:uid="{00000000-0005-0000-0000-0000227B0000}"/>
    <cellStyle name="Input 42 2 3 6" xfId="21855" xr:uid="{00000000-0005-0000-0000-0000237B0000}"/>
    <cellStyle name="Input 42 2 3 6 2" xfId="47392" xr:uid="{00000000-0005-0000-0000-0000247B0000}"/>
    <cellStyle name="Input 42 2 3 6 3" xfId="51298" xr:uid="{00000000-0005-0000-0000-0000257B0000}"/>
    <cellStyle name="Input 42 2 3 7" xfId="41195" xr:uid="{00000000-0005-0000-0000-0000267B0000}"/>
    <cellStyle name="Input 42 2 3 8" xfId="43369" xr:uid="{00000000-0005-0000-0000-0000277B0000}"/>
    <cellStyle name="Input 42 2 4" xfId="14959" xr:uid="{00000000-0005-0000-0000-0000287B0000}"/>
    <cellStyle name="Input 42 2 4 2" xfId="43075" xr:uid="{00000000-0005-0000-0000-0000297B0000}"/>
    <cellStyle name="Input 42 2 4 3" xfId="42537" xr:uid="{00000000-0005-0000-0000-00002A7B0000}"/>
    <cellStyle name="Input 42 2 4 4" xfId="32594" xr:uid="{00000000-0005-0000-0000-00002B7B0000}"/>
    <cellStyle name="Input 42 2 5" xfId="13182" xr:uid="{00000000-0005-0000-0000-00002C7B0000}"/>
    <cellStyle name="Input 42 2 5 2" xfId="42403" xr:uid="{00000000-0005-0000-0000-00002D7B0000}"/>
    <cellStyle name="Input 42 2 5 3" xfId="39289" xr:uid="{00000000-0005-0000-0000-00002E7B0000}"/>
    <cellStyle name="Input 42 2 5 4" xfId="30831" xr:uid="{00000000-0005-0000-0000-00002F7B0000}"/>
    <cellStyle name="Input 42 2 6" xfId="19773" xr:uid="{00000000-0005-0000-0000-0000307B0000}"/>
    <cellStyle name="Input 42 2 6 2" xfId="45310" xr:uid="{00000000-0005-0000-0000-0000317B0000}"/>
    <cellStyle name="Input 42 2 6 3" xfId="49216" xr:uid="{00000000-0005-0000-0000-0000327B0000}"/>
    <cellStyle name="Input 42 2 6 4" xfId="37300" xr:uid="{00000000-0005-0000-0000-0000337B0000}"/>
    <cellStyle name="Input 42 2 7" xfId="20522" xr:uid="{00000000-0005-0000-0000-0000347B0000}"/>
    <cellStyle name="Input 42 2 7 2" xfId="46059" xr:uid="{00000000-0005-0000-0000-0000357B0000}"/>
    <cellStyle name="Input 42 2 7 3" xfId="49965" xr:uid="{00000000-0005-0000-0000-0000367B0000}"/>
    <cellStyle name="Input 42 2 7 4" xfId="37955" xr:uid="{00000000-0005-0000-0000-0000377B0000}"/>
    <cellStyle name="Input 42 2 8" xfId="19970" xr:uid="{00000000-0005-0000-0000-0000387B0000}"/>
    <cellStyle name="Input 42 2 8 2" xfId="45507" xr:uid="{00000000-0005-0000-0000-0000397B0000}"/>
    <cellStyle name="Input 42 2 8 3" xfId="49413" xr:uid="{00000000-0005-0000-0000-00003A7B0000}"/>
    <cellStyle name="Input 42 2 9" xfId="39935" xr:uid="{00000000-0005-0000-0000-00003B7B0000}"/>
    <cellStyle name="Input 42 3" xfId="22483" xr:uid="{00000000-0005-0000-0000-00003C7B0000}"/>
    <cellStyle name="Input 42 3 2" xfId="47541" xr:uid="{00000000-0005-0000-0000-00003D7B0000}"/>
    <cellStyle name="Input 42 3 3" xfId="51395" xr:uid="{00000000-0005-0000-0000-00003E7B0000}"/>
    <cellStyle name="Input 42 3 4" xfId="38837" xr:uid="{00000000-0005-0000-0000-00003F7B0000}"/>
    <cellStyle name="Input 42 4" xfId="23047" xr:uid="{00000000-0005-0000-0000-0000407B0000}"/>
    <cellStyle name="Input 42 4 2" xfId="47648" xr:uid="{00000000-0005-0000-0000-0000417B0000}"/>
    <cellStyle name="Input 42 4 3" xfId="51459" xr:uid="{00000000-0005-0000-0000-0000427B0000}"/>
    <cellStyle name="Input 42 5" xfId="53196" xr:uid="{00000000-0005-0000-0000-0000437B0000}"/>
    <cellStyle name="Input 43" xfId="2013" xr:uid="{00000000-0005-0000-0000-0000447B0000}"/>
    <cellStyle name="Input 43 2" xfId="7172" xr:uid="{00000000-0005-0000-0000-0000457B0000}"/>
    <cellStyle name="Input 43 2 10" xfId="43421" xr:uid="{00000000-0005-0000-0000-0000467B0000}"/>
    <cellStyle name="Input 43 2 2" xfId="10702" xr:uid="{00000000-0005-0000-0000-0000477B0000}"/>
    <cellStyle name="Input 43 2 2 2" xfId="18495" xr:uid="{00000000-0005-0000-0000-0000487B0000}"/>
    <cellStyle name="Input 43 2 2 2 2" xfId="44042" xr:uid="{00000000-0005-0000-0000-0000497B0000}"/>
    <cellStyle name="Input 43 2 2 2 3" xfId="47951" xr:uid="{00000000-0005-0000-0000-00004A7B0000}"/>
    <cellStyle name="Input 43 2 2 2 4" xfId="36132" xr:uid="{00000000-0005-0000-0000-00004B7B0000}"/>
    <cellStyle name="Input 43 2 2 3" xfId="19290" xr:uid="{00000000-0005-0000-0000-00004C7B0000}"/>
    <cellStyle name="Input 43 2 2 3 2" xfId="44827" xr:uid="{00000000-0005-0000-0000-00004D7B0000}"/>
    <cellStyle name="Input 43 2 2 3 3" xfId="48733" xr:uid="{00000000-0005-0000-0000-00004E7B0000}"/>
    <cellStyle name="Input 43 2 2 3 4" xfId="36868" xr:uid="{00000000-0005-0000-0000-00004F7B0000}"/>
    <cellStyle name="Input 43 2 2 4" xfId="18926" xr:uid="{00000000-0005-0000-0000-0000507B0000}"/>
    <cellStyle name="Input 43 2 2 4 2" xfId="44463" xr:uid="{00000000-0005-0000-0000-0000517B0000}"/>
    <cellStyle name="Input 43 2 2 4 3" xfId="48369" xr:uid="{00000000-0005-0000-0000-0000527B0000}"/>
    <cellStyle name="Input 43 2 2 4 4" xfId="36554" xr:uid="{00000000-0005-0000-0000-0000537B0000}"/>
    <cellStyle name="Input 43 2 2 5" xfId="20908" xr:uid="{00000000-0005-0000-0000-0000547B0000}"/>
    <cellStyle name="Input 43 2 2 5 2" xfId="46445" xr:uid="{00000000-0005-0000-0000-0000557B0000}"/>
    <cellStyle name="Input 43 2 2 5 3" xfId="50351" xr:uid="{00000000-0005-0000-0000-0000567B0000}"/>
    <cellStyle name="Input 43 2 2 5 4" xfId="38314" xr:uid="{00000000-0005-0000-0000-0000577B0000}"/>
    <cellStyle name="Input 43 2 2 6" xfId="21561" xr:uid="{00000000-0005-0000-0000-0000587B0000}"/>
    <cellStyle name="Input 43 2 2 6 2" xfId="47098" xr:uid="{00000000-0005-0000-0000-0000597B0000}"/>
    <cellStyle name="Input 43 2 2 6 3" xfId="51004" xr:uid="{00000000-0005-0000-0000-00005A7B0000}"/>
    <cellStyle name="Input 43 2 2 7" xfId="40901" xr:uid="{00000000-0005-0000-0000-00005B7B0000}"/>
    <cellStyle name="Input 43 2 2 8" xfId="42608" xr:uid="{00000000-0005-0000-0000-00005C7B0000}"/>
    <cellStyle name="Input 43 2 3" xfId="10997" xr:uid="{00000000-0005-0000-0000-00005D7B0000}"/>
    <cellStyle name="Input 43 2 3 2" xfId="18790" xr:uid="{00000000-0005-0000-0000-00005E7B0000}"/>
    <cellStyle name="Input 43 2 3 2 2" xfId="44337" xr:uid="{00000000-0005-0000-0000-00005F7B0000}"/>
    <cellStyle name="Input 43 2 3 2 3" xfId="48246" xr:uid="{00000000-0005-0000-0000-0000607B0000}"/>
    <cellStyle name="Input 43 2 3 2 4" xfId="36427" xr:uid="{00000000-0005-0000-0000-0000617B0000}"/>
    <cellStyle name="Input 43 2 3 3" xfId="19098" xr:uid="{00000000-0005-0000-0000-0000627B0000}"/>
    <cellStyle name="Input 43 2 3 3 2" xfId="44635" xr:uid="{00000000-0005-0000-0000-0000637B0000}"/>
    <cellStyle name="Input 43 2 3 3 3" xfId="48541" xr:uid="{00000000-0005-0000-0000-0000647B0000}"/>
    <cellStyle name="Input 43 2 3 3 4" xfId="36693" xr:uid="{00000000-0005-0000-0000-0000657B0000}"/>
    <cellStyle name="Input 43 2 3 4" xfId="20124" xr:uid="{00000000-0005-0000-0000-0000667B0000}"/>
    <cellStyle name="Input 43 2 3 4 2" xfId="45661" xr:uid="{00000000-0005-0000-0000-0000677B0000}"/>
    <cellStyle name="Input 43 2 3 4 3" xfId="49567" xr:uid="{00000000-0005-0000-0000-0000687B0000}"/>
    <cellStyle name="Input 43 2 3 4 4" xfId="37610" xr:uid="{00000000-0005-0000-0000-0000697B0000}"/>
    <cellStyle name="Input 43 2 3 5" xfId="21203" xr:uid="{00000000-0005-0000-0000-00006A7B0000}"/>
    <cellStyle name="Input 43 2 3 5 2" xfId="46740" xr:uid="{00000000-0005-0000-0000-00006B7B0000}"/>
    <cellStyle name="Input 43 2 3 5 3" xfId="50646" xr:uid="{00000000-0005-0000-0000-00006C7B0000}"/>
    <cellStyle name="Input 43 2 3 5 4" xfId="38609" xr:uid="{00000000-0005-0000-0000-00006D7B0000}"/>
    <cellStyle name="Input 43 2 3 6" xfId="21856" xr:uid="{00000000-0005-0000-0000-00006E7B0000}"/>
    <cellStyle name="Input 43 2 3 6 2" xfId="47393" xr:uid="{00000000-0005-0000-0000-00006F7B0000}"/>
    <cellStyle name="Input 43 2 3 6 3" xfId="51299" xr:uid="{00000000-0005-0000-0000-0000707B0000}"/>
    <cellStyle name="Input 43 2 3 7" xfId="41196" xr:uid="{00000000-0005-0000-0000-0000717B0000}"/>
    <cellStyle name="Input 43 2 3 8" xfId="40231" xr:uid="{00000000-0005-0000-0000-0000727B0000}"/>
    <cellStyle name="Input 43 2 4" xfId="14960" xr:uid="{00000000-0005-0000-0000-0000737B0000}"/>
    <cellStyle name="Input 43 2 4 2" xfId="43076" xr:uid="{00000000-0005-0000-0000-0000747B0000}"/>
    <cellStyle name="Input 43 2 4 3" xfId="43448" xr:uid="{00000000-0005-0000-0000-0000757B0000}"/>
    <cellStyle name="Input 43 2 4 4" xfId="32595" xr:uid="{00000000-0005-0000-0000-0000767B0000}"/>
    <cellStyle name="Input 43 2 5" xfId="12028" xr:uid="{00000000-0005-0000-0000-0000777B0000}"/>
    <cellStyle name="Input 43 2 5 2" xfId="41785" xr:uid="{00000000-0005-0000-0000-0000787B0000}"/>
    <cellStyle name="Input 43 2 5 3" xfId="40065" xr:uid="{00000000-0005-0000-0000-0000797B0000}"/>
    <cellStyle name="Input 43 2 5 4" xfId="29710" xr:uid="{00000000-0005-0000-0000-00007A7B0000}"/>
    <cellStyle name="Input 43 2 6" xfId="12135" xr:uid="{00000000-0005-0000-0000-00007B7B0000}"/>
    <cellStyle name="Input 43 2 6 2" xfId="41880" xr:uid="{00000000-0005-0000-0000-00007C7B0000}"/>
    <cellStyle name="Input 43 2 6 3" xfId="43697" xr:uid="{00000000-0005-0000-0000-00007D7B0000}"/>
    <cellStyle name="Input 43 2 6 4" xfId="29808" xr:uid="{00000000-0005-0000-0000-00007E7B0000}"/>
    <cellStyle name="Input 43 2 7" xfId="19807" xr:uid="{00000000-0005-0000-0000-00007F7B0000}"/>
    <cellStyle name="Input 43 2 7 2" xfId="45344" xr:uid="{00000000-0005-0000-0000-0000807B0000}"/>
    <cellStyle name="Input 43 2 7 3" xfId="49250" xr:uid="{00000000-0005-0000-0000-0000817B0000}"/>
    <cellStyle name="Input 43 2 7 4" xfId="37328" xr:uid="{00000000-0005-0000-0000-0000827B0000}"/>
    <cellStyle name="Input 43 2 8" xfId="20053" xr:uid="{00000000-0005-0000-0000-0000837B0000}"/>
    <cellStyle name="Input 43 2 8 2" xfId="45590" xr:uid="{00000000-0005-0000-0000-0000847B0000}"/>
    <cellStyle name="Input 43 2 8 3" xfId="49496" xr:uid="{00000000-0005-0000-0000-0000857B0000}"/>
    <cellStyle name="Input 43 2 9" xfId="39936" xr:uid="{00000000-0005-0000-0000-0000867B0000}"/>
    <cellStyle name="Input 43 3" xfId="22484" xr:uid="{00000000-0005-0000-0000-0000877B0000}"/>
    <cellStyle name="Input 43 3 2" xfId="47542" xr:uid="{00000000-0005-0000-0000-0000887B0000}"/>
    <cellStyle name="Input 43 3 3" xfId="51396" xr:uid="{00000000-0005-0000-0000-0000897B0000}"/>
    <cellStyle name="Input 43 3 4" xfId="38838" xr:uid="{00000000-0005-0000-0000-00008A7B0000}"/>
    <cellStyle name="Input 43 4" xfId="23048" xr:uid="{00000000-0005-0000-0000-00008B7B0000}"/>
    <cellStyle name="Input 43 4 2" xfId="47649" xr:uid="{00000000-0005-0000-0000-00008C7B0000}"/>
    <cellStyle name="Input 43 4 3" xfId="51460" xr:uid="{00000000-0005-0000-0000-00008D7B0000}"/>
    <cellStyle name="Input 43 5" xfId="53197" xr:uid="{00000000-0005-0000-0000-00008E7B0000}"/>
    <cellStyle name="Input 44" xfId="22485" xr:uid="{00000000-0005-0000-0000-00008F7B0000}"/>
    <cellStyle name="Input 44 2" xfId="23049" xr:uid="{00000000-0005-0000-0000-0000907B0000}"/>
    <cellStyle name="Input 44 2 2" xfId="47650" xr:uid="{00000000-0005-0000-0000-0000917B0000}"/>
    <cellStyle name="Input 44 2 3" xfId="51461" xr:uid="{00000000-0005-0000-0000-0000927B0000}"/>
    <cellStyle name="Input 44 3" xfId="47543" xr:uid="{00000000-0005-0000-0000-0000937B0000}"/>
    <cellStyle name="Input 44 4" xfId="51397" xr:uid="{00000000-0005-0000-0000-0000947B0000}"/>
    <cellStyle name="Input 44 5" xfId="53198" xr:uid="{00000000-0005-0000-0000-0000957B0000}"/>
    <cellStyle name="Input 45" xfId="22486" xr:uid="{00000000-0005-0000-0000-0000967B0000}"/>
    <cellStyle name="Input 45 2" xfId="23050" xr:uid="{00000000-0005-0000-0000-0000977B0000}"/>
    <cellStyle name="Input 45 2 2" xfId="47651" xr:uid="{00000000-0005-0000-0000-0000987B0000}"/>
    <cellStyle name="Input 45 2 3" xfId="51462" xr:uid="{00000000-0005-0000-0000-0000997B0000}"/>
    <cellStyle name="Input 45 3" xfId="47544" xr:uid="{00000000-0005-0000-0000-00009A7B0000}"/>
    <cellStyle name="Input 45 4" xfId="51398" xr:uid="{00000000-0005-0000-0000-00009B7B0000}"/>
    <cellStyle name="Input 45 5" xfId="53199" xr:uid="{00000000-0005-0000-0000-00009C7B0000}"/>
    <cellStyle name="Input 46" xfId="22487" xr:uid="{00000000-0005-0000-0000-00009D7B0000}"/>
    <cellStyle name="Input 46 2" xfId="23051" xr:uid="{00000000-0005-0000-0000-00009E7B0000}"/>
    <cellStyle name="Input 46 2 2" xfId="47652" xr:uid="{00000000-0005-0000-0000-00009F7B0000}"/>
    <cellStyle name="Input 46 2 3" xfId="51463" xr:uid="{00000000-0005-0000-0000-0000A07B0000}"/>
    <cellStyle name="Input 46 3" xfId="47545" xr:uid="{00000000-0005-0000-0000-0000A17B0000}"/>
    <cellStyle name="Input 46 4" xfId="51399" xr:uid="{00000000-0005-0000-0000-0000A27B0000}"/>
    <cellStyle name="Input 46 5" xfId="53200" xr:uid="{00000000-0005-0000-0000-0000A37B0000}"/>
    <cellStyle name="Input 47" xfId="22488" xr:uid="{00000000-0005-0000-0000-0000A47B0000}"/>
    <cellStyle name="Input 47 2" xfId="23052" xr:uid="{00000000-0005-0000-0000-0000A57B0000}"/>
    <cellStyle name="Input 47 2 2" xfId="47653" xr:uid="{00000000-0005-0000-0000-0000A67B0000}"/>
    <cellStyle name="Input 47 2 3" xfId="51464" xr:uid="{00000000-0005-0000-0000-0000A77B0000}"/>
    <cellStyle name="Input 47 3" xfId="47546" xr:uid="{00000000-0005-0000-0000-0000A87B0000}"/>
    <cellStyle name="Input 47 4" xfId="51400" xr:uid="{00000000-0005-0000-0000-0000A97B0000}"/>
    <cellStyle name="Input 47 5" xfId="53201" xr:uid="{00000000-0005-0000-0000-0000AA7B0000}"/>
    <cellStyle name="Input 48" xfId="22489" xr:uid="{00000000-0005-0000-0000-0000AB7B0000}"/>
    <cellStyle name="Input 48 2" xfId="23053" xr:uid="{00000000-0005-0000-0000-0000AC7B0000}"/>
    <cellStyle name="Input 48 2 2" xfId="47654" xr:uid="{00000000-0005-0000-0000-0000AD7B0000}"/>
    <cellStyle name="Input 48 2 3" xfId="51465" xr:uid="{00000000-0005-0000-0000-0000AE7B0000}"/>
    <cellStyle name="Input 48 3" xfId="47547" xr:uid="{00000000-0005-0000-0000-0000AF7B0000}"/>
    <cellStyle name="Input 48 4" xfId="51401" xr:uid="{00000000-0005-0000-0000-0000B07B0000}"/>
    <cellStyle name="Input 48 5" xfId="53202" xr:uid="{00000000-0005-0000-0000-0000B17B0000}"/>
    <cellStyle name="Input 49" xfId="22673" xr:uid="{00000000-0005-0000-0000-0000B27B0000}"/>
    <cellStyle name="Input 5" xfId="2014" xr:uid="{00000000-0005-0000-0000-0000B37B0000}"/>
    <cellStyle name="Input 5 2" xfId="2015" xr:uid="{00000000-0005-0000-0000-0000B47B0000}"/>
    <cellStyle name="Input 5 2 2" xfId="2016" xr:uid="{00000000-0005-0000-0000-0000B57B0000}"/>
    <cellStyle name="Input 5 2 2 2" xfId="7175" xr:uid="{00000000-0005-0000-0000-0000B67B0000}"/>
    <cellStyle name="Input 5 2 2 2 10" xfId="39239" xr:uid="{00000000-0005-0000-0000-0000B77B0000}"/>
    <cellStyle name="Input 5 2 2 2 2" xfId="10705" xr:uid="{00000000-0005-0000-0000-0000B87B0000}"/>
    <cellStyle name="Input 5 2 2 2 2 2" xfId="18498" xr:uid="{00000000-0005-0000-0000-0000B97B0000}"/>
    <cellStyle name="Input 5 2 2 2 2 2 2" xfId="44045" xr:uid="{00000000-0005-0000-0000-0000BA7B0000}"/>
    <cellStyle name="Input 5 2 2 2 2 2 3" xfId="47954" xr:uid="{00000000-0005-0000-0000-0000BB7B0000}"/>
    <cellStyle name="Input 5 2 2 2 2 2 4" xfId="36135" xr:uid="{00000000-0005-0000-0000-0000BC7B0000}"/>
    <cellStyle name="Input 5 2 2 2 2 3" xfId="19738" xr:uid="{00000000-0005-0000-0000-0000BD7B0000}"/>
    <cellStyle name="Input 5 2 2 2 2 3 2" xfId="45275" xr:uid="{00000000-0005-0000-0000-0000BE7B0000}"/>
    <cellStyle name="Input 5 2 2 2 2 3 3" xfId="49181" xr:uid="{00000000-0005-0000-0000-0000BF7B0000}"/>
    <cellStyle name="Input 5 2 2 2 2 3 4" xfId="37265" xr:uid="{00000000-0005-0000-0000-0000C07B0000}"/>
    <cellStyle name="Input 5 2 2 2 2 4" xfId="20238" xr:uid="{00000000-0005-0000-0000-0000C17B0000}"/>
    <cellStyle name="Input 5 2 2 2 2 4 2" xfId="45775" xr:uid="{00000000-0005-0000-0000-0000C27B0000}"/>
    <cellStyle name="Input 5 2 2 2 2 4 3" xfId="49681" xr:uid="{00000000-0005-0000-0000-0000C37B0000}"/>
    <cellStyle name="Input 5 2 2 2 2 4 4" xfId="37711" xr:uid="{00000000-0005-0000-0000-0000C47B0000}"/>
    <cellStyle name="Input 5 2 2 2 2 5" xfId="20911" xr:uid="{00000000-0005-0000-0000-0000C57B0000}"/>
    <cellStyle name="Input 5 2 2 2 2 5 2" xfId="46448" xr:uid="{00000000-0005-0000-0000-0000C67B0000}"/>
    <cellStyle name="Input 5 2 2 2 2 5 3" xfId="50354" xr:uid="{00000000-0005-0000-0000-0000C77B0000}"/>
    <cellStyle name="Input 5 2 2 2 2 5 4" xfId="38317" xr:uid="{00000000-0005-0000-0000-0000C87B0000}"/>
    <cellStyle name="Input 5 2 2 2 2 6" xfId="21564" xr:uid="{00000000-0005-0000-0000-0000C97B0000}"/>
    <cellStyle name="Input 5 2 2 2 2 6 2" xfId="47101" xr:uid="{00000000-0005-0000-0000-0000CA7B0000}"/>
    <cellStyle name="Input 5 2 2 2 2 6 3" xfId="51007" xr:uid="{00000000-0005-0000-0000-0000CB7B0000}"/>
    <cellStyle name="Input 5 2 2 2 2 7" xfId="40904" xr:uid="{00000000-0005-0000-0000-0000CC7B0000}"/>
    <cellStyle name="Input 5 2 2 2 2 8" xfId="39496" xr:uid="{00000000-0005-0000-0000-0000CD7B0000}"/>
    <cellStyle name="Input 5 2 2 2 3" xfId="11000" xr:uid="{00000000-0005-0000-0000-0000CE7B0000}"/>
    <cellStyle name="Input 5 2 2 2 3 2" xfId="18793" xr:uid="{00000000-0005-0000-0000-0000CF7B0000}"/>
    <cellStyle name="Input 5 2 2 2 3 2 2" xfId="44340" xr:uid="{00000000-0005-0000-0000-0000D07B0000}"/>
    <cellStyle name="Input 5 2 2 2 3 2 3" xfId="48249" xr:uid="{00000000-0005-0000-0000-0000D17B0000}"/>
    <cellStyle name="Input 5 2 2 2 3 2 4" xfId="36430" xr:uid="{00000000-0005-0000-0000-0000D27B0000}"/>
    <cellStyle name="Input 5 2 2 2 3 3" xfId="13361" xr:uid="{00000000-0005-0000-0000-0000D37B0000}"/>
    <cellStyle name="Input 5 2 2 2 3 3 2" xfId="42531" xr:uid="{00000000-0005-0000-0000-0000D47B0000}"/>
    <cellStyle name="Input 5 2 2 2 3 3 3" xfId="43569" xr:uid="{00000000-0005-0000-0000-0000D57B0000}"/>
    <cellStyle name="Input 5 2 2 2 3 3 4" xfId="31001" xr:uid="{00000000-0005-0000-0000-0000D67B0000}"/>
    <cellStyle name="Input 5 2 2 2 3 4" xfId="20295" xr:uid="{00000000-0005-0000-0000-0000D77B0000}"/>
    <cellStyle name="Input 5 2 2 2 3 4 2" xfId="45832" xr:uid="{00000000-0005-0000-0000-0000D87B0000}"/>
    <cellStyle name="Input 5 2 2 2 3 4 3" xfId="49738" xr:uid="{00000000-0005-0000-0000-0000D97B0000}"/>
    <cellStyle name="Input 5 2 2 2 3 4 4" xfId="37761" xr:uid="{00000000-0005-0000-0000-0000DA7B0000}"/>
    <cellStyle name="Input 5 2 2 2 3 5" xfId="21206" xr:uid="{00000000-0005-0000-0000-0000DB7B0000}"/>
    <cellStyle name="Input 5 2 2 2 3 5 2" xfId="46743" xr:uid="{00000000-0005-0000-0000-0000DC7B0000}"/>
    <cellStyle name="Input 5 2 2 2 3 5 3" xfId="50649" xr:uid="{00000000-0005-0000-0000-0000DD7B0000}"/>
    <cellStyle name="Input 5 2 2 2 3 5 4" xfId="38612" xr:uid="{00000000-0005-0000-0000-0000DE7B0000}"/>
    <cellStyle name="Input 5 2 2 2 3 6" xfId="21859" xr:uid="{00000000-0005-0000-0000-0000DF7B0000}"/>
    <cellStyle name="Input 5 2 2 2 3 6 2" xfId="47396" xr:uid="{00000000-0005-0000-0000-0000E07B0000}"/>
    <cellStyle name="Input 5 2 2 2 3 6 3" xfId="51302" xr:uid="{00000000-0005-0000-0000-0000E17B0000}"/>
    <cellStyle name="Input 5 2 2 2 3 7" xfId="41199" xr:uid="{00000000-0005-0000-0000-0000E27B0000}"/>
    <cellStyle name="Input 5 2 2 2 3 8" xfId="47514" xr:uid="{00000000-0005-0000-0000-0000E37B0000}"/>
    <cellStyle name="Input 5 2 2 2 4" xfId="14963" xr:uid="{00000000-0005-0000-0000-0000E47B0000}"/>
    <cellStyle name="Input 5 2 2 2 4 2" xfId="43079" xr:uid="{00000000-0005-0000-0000-0000E57B0000}"/>
    <cellStyle name="Input 5 2 2 2 4 3" xfId="41939" xr:uid="{00000000-0005-0000-0000-0000E67B0000}"/>
    <cellStyle name="Input 5 2 2 2 4 4" xfId="32598" xr:uid="{00000000-0005-0000-0000-0000E77B0000}"/>
    <cellStyle name="Input 5 2 2 2 5" xfId="13185" xr:uid="{00000000-0005-0000-0000-0000E87B0000}"/>
    <cellStyle name="Input 5 2 2 2 5 2" xfId="42406" xr:uid="{00000000-0005-0000-0000-0000E97B0000}"/>
    <cellStyle name="Input 5 2 2 2 5 3" xfId="39076" xr:uid="{00000000-0005-0000-0000-0000EA7B0000}"/>
    <cellStyle name="Input 5 2 2 2 5 4" xfId="30834" xr:uid="{00000000-0005-0000-0000-0000EB7B0000}"/>
    <cellStyle name="Input 5 2 2 2 6" xfId="19940" xr:uid="{00000000-0005-0000-0000-0000EC7B0000}"/>
    <cellStyle name="Input 5 2 2 2 6 2" xfId="45477" xr:uid="{00000000-0005-0000-0000-0000ED7B0000}"/>
    <cellStyle name="Input 5 2 2 2 6 3" xfId="49383" xr:uid="{00000000-0005-0000-0000-0000EE7B0000}"/>
    <cellStyle name="Input 5 2 2 2 6 4" xfId="37449" xr:uid="{00000000-0005-0000-0000-0000EF7B0000}"/>
    <cellStyle name="Input 5 2 2 2 7" xfId="11570" xr:uid="{00000000-0005-0000-0000-0000F07B0000}"/>
    <cellStyle name="Input 5 2 2 2 7 2" xfId="41581" xr:uid="{00000000-0005-0000-0000-0000F17B0000}"/>
    <cellStyle name="Input 5 2 2 2 7 3" xfId="41394" xr:uid="{00000000-0005-0000-0000-0000F27B0000}"/>
    <cellStyle name="Input 5 2 2 2 7 4" xfId="29281" xr:uid="{00000000-0005-0000-0000-0000F37B0000}"/>
    <cellStyle name="Input 5 2 2 2 8" xfId="19334" xr:uid="{00000000-0005-0000-0000-0000F47B0000}"/>
    <cellStyle name="Input 5 2 2 2 8 2" xfId="44871" xr:uid="{00000000-0005-0000-0000-0000F57B0000}"/>
    <cellStyle name="Input 5 2 2 2 8 3" xfId="48777" xr:uid="{00000000-0005-0000-0000-0000F67B0000}"/>
    <cellStyle name="Input 5 2 2 2 9" xfId="39939" xr:uid="{00000000-0005-0000-0000-0000F77B0000}"/>
    <cellStyle name="Input 5 2 2 3" xfId="53205" xr:uid="{00000000-0005-0000-0000-0000F87B0000}"/>
    <cellStyle name="Input 5 2 3" xfId="7174" xr:uid="{00000000-0005-0000-0000-0000F97B0000}"/>
    <cellStyle name="Input 5 2 3 10" xfId="39410" xr:uid="{00000000-0005-0000-0000-0000FA7B0000}"/>
    <cellStyle name="Input 5 2 3 2" xfId="10704" xr:uid="{00000000-0005-0000-0000-0000FB7B0000}"/>
    <cellStyle name="Input 5 2 3 2 2" xfId="18497" xr:uid="{00000000-0005-0000-0000-0000FC7B0000}"/>
    <cellStyle name="Input 5 2 3 2 2 2" xfId="44044" xr:uid="{00000000-0005-0000-0000-0000FD7B0000}"/>
    <cellStyle name="Input 5 2 3 2 2 3" xfId="47953" xr:uid="{00000000-0005-0000-0000-0000FE7B0000}"/>
    <cellStyle name="Input 5 2 3 2 2 4" xfId="36134" xr:uid="{00000000-0005-0000-0000-0000FF7B0000}"/>
    <cellStyle name="Input 5 2 3 2 3" xfId="19122" xr:uid="{00000000-0005-0000-0000-0000007C0000}"/>
    <cellStyle name="Input 5 2 3 2 3 2" xfId="44659" xr:uid="{00000000-0005-0000-0000-0000017C0000}"/>
    <cellStyle name="Input 5 2 3 2 3 3" xfId="48565" xr:uid="{00000000-0005-0000-0000-0000027C0000}"/>
    <cellStyle name="Input 5 2 3 2 3 4" xfId="36717" xr:uid="{00000000-0005-0000-0000-0000037C0000}"/>
    <cellStyle name="Input 5 2 3 2 4" xfId="19867" xr:uid="{00000000-0005-0000-0000-0000047C0000}"/>
    <cellStyle name="Input 5 2 3 2 4 2" xfId="45404" xr:uid="{00000000-0005-0000-0000-0000057C0000}"/>
    <cellStyle name="Input 5 2 3 2 4 3" xfId="49310" xr:uid="{00000000-0005-0000-0000-0000067C0000}"/>
    <cellStyle name="Input 5 2 3 2 4 4" xfId="37381" xr:uid="{00000000-0005-0000-0000-0000077C0000}"/>
    <cellStyle name="Input 5 2 3 2 5" xfId="20910" xr:uid="{00000000-0005-0000-0000-0000087C0000}"/>
    <cellStyle name="Input 5 2 3 2 5 2" xfId="46447" xr:uid="{00000000-0005-0000-0000-0000097C0000}"/>
    <cellStyle name="Input 5 2 3 2 5 3" xfId="50353" xr:uid="{00000000-0005-0000-0000-00000A7C0000}"/>
    <cellStyle name="Input 5 2 3 2 5 4" xfId="38316" xr:uid="{00000000-0005-0000-0000-00000B7C0000}"/>
    <cellStyle name="Input 5 2 3 2 6" xfId="21563" xr:uid="{00000000-0005-0000-0000-00000C7C0000}"/>
    <cellStyle name="Input 5 2 3 2 6 2" xfId="47100" xr:uid="{00000000-0005-0000-0000-00000D7C0000}"/>
    <cellStyle name="Input 5 2 3 2 6 3" xfId="51006" xr:uid="{00000000-0005-0000-0000-00000E7C0000}"/>
    <cellStyle name="Input 5 2 3 2 7" xfId="40903" xr:uid="{00000000-0005-0000-0000-00000F7C0000}"/>
    <cellStyle name="Input 5 2 3 2 8" xfId="40384" xr:uid="{00000000-0005-0000-0000-0000107C0000}"/>
    <cellStyle name="Input 5 2 3 3" xfId="10999" xr:uid="{00000000-0005-0000-0000-0000117C0000}"/>
    <cellStyle name="Input 5 2 3 3 2" xfId="18792" xr:uid="{00000000-0005-0000-0000-0000127C0000}"/>
    <cellStyle name="Input 5 2 3 3 2 2" xfId="44339" xr:uid="{00000000-0005-0000-0000-0000137C0000}"/>
    <cellStyle name="Input 5 2 3 3 2 3" xfId="48248" xr:uid="{00000000-0005-0000-0000-0000147C0000}"/>
    <cellStyle name="Input 5 2 3 3 2 4" xfId="36429" xr:uid="{00000000-0005-0000-0000-0000157C0000}"/>
    <cellStyle name="Input 5 2 3 3 3" xfId="11535" xr:uid="{00000000-0005-0000-0000-0000167C0000}"/>
    <cellStyle name="Input 5 2 3 3 3 2" xfId="41546" xr:uid="{00000000-0005-0000-0000-0000177C0000}"/>
    <cellStyle name="Input 5 2 3 3 3 3" xfId="41393" xr:uid="{00000000-0005-0000-0000-0000187C0000}"/>
    <cellStyle name="Input 5 2 3 3 3 4" xfId="29250" xr:uid="{00000000-0005-0000-0000-0000197C0000}"/>
    <cellStyle name="Input 5 2 3 3 4" xfId="13904" xr:uid="{00000000-0005-0000-0000-00001A7C0000}"/>
    <cellStyle name="Input 5 2 3 3 4 2" xfId="42639" xr:uid="{00000000-0005-0000-0000-00001B7C0000}"/>
    <cellStyle name="Input 5 2 3 3 4 3" xfId="39538" xr:uid="{00000000-0005-0000-0000-00001C7C0000}"/>
    <cellStyle name="Input 5 2 3 3 4 4" xfId="31543" xr:uid="{00000000-0005-0000-0000-00001D7C0000}"/>
    <cellStyle name="Input 5 2 3 3 5" xfId="21205" xr:uid="{00000000-0005-0000-0000-00001E7C0000}"/>
    <cellStyle name="Input 5 2 3 3 5 2" xfId="46742" xr:uid="{00000000-0005-0000-0000-00001F7C0000}"/>
    <cellStyle name="Input 5 2 3 3 5 3" xfId="50648" xr:uid="{00000000-0005-0000-0000-0000207C0000}"/>
    <cellStyle name="Input 5 2 3 3 5 4" xfId="38611" xr:uid="{00000000-0005-0000-0000-0000217C0000}"/>
    <cellStyle name="Input 5 2 3 3 6" xfId="21858" xr:uid="{00000000-0005-0000-0000-0000227C0000}"/>
    <cellStyle name="Input 5 2 3 3 6 2" xfId="47395" xr:uid="{00000000-0005-0000-0000-0000237C0000}"/>
    <cellStyle name="Input 5 2 3 3 6 3" xfId="51301" xr:uid="{00000000-0005-0000-0000-0000247C0000}"/>
    <cellStyle name="Input 5 2 3 3 7" xfId="41198" xr:uid="{00000000-0005-0000-0000-0000257C0000}"/>
    <cellStyle name="Input 5 2 3 3 8" xfId="39182" xr:uid="{00000000-0005-0000-0000-0000267C0000}"/>
    <cellStyle name="Input 5 2 3 4" xfId="14962" xr:uid="{00000000-0005-0000-0000-0000277C0000}"/>
    <cellStyle name="Input 5 2 3 4 2" xfId="43078" xr:uid="{00000000-0005-0000-0000-0000287C0000}"/>
    <cellStyle name="Input 5 2 3 4 3" xfId="39427" xr:uid="{00000000-0005-0000-0000-0000297C0000}"/>
    <cellStyle name="Input 5 2 3 4 4" xfId="32597" xr:uid="{00000000-0005-0000-0000-00002A7C0000}"/>
    <cellStyle name="Input 5 2 3 5" xfId="13184" xr:uid="{00000000-0005-0000-0000-00002B7C0000}"/>
    <cellStyle name="Input 5 2 3 5 2" xfId="42405" xr:uid="{00000000-0005-0000-0000-00002C7C0000}"/>
    <cellStyle name="Input 5 2 3 5 3" xfId="39077" xr:uid="{00000000-0005-0000-0000-00002D7C0000}"/>
    <cellStyle name="Input 5 2 3 5 4" xfId="30833" xr:uid="{00000000-0005-0000-0000-00002E7C0000}"/>
    <cellStyle name="Input 5 2 3 6" xfId="11788" xr:uid="{00000000-0005-0000-0000-00002F7C0000}"/>
    <cellStyle name="Input 5 2 3 6 2" xfId="41741" xr:uid="{00000000-0005-0000-0000-0000307C0000}"/>
    <cellStyle name="Input 5 2 3 6 3" xfId="39340" xr:uid="{00000000-0005-0000-0000-0000317C0000}"/>
    <cellStyle name="Input 5 2 3 6 4" xfId="29474" xr:uid="{00000000-0005-0000-0000-0000327C0000}"/>
    <cellStyle name="Input 5 2 3 7" xfId="20282" xr:uid="{00000000-0005-0000-0000-0000337C0000}"/>
    <cellStyle name="Input 5 2 3 7 2" xfId="45819" xr:uid="{00000000-0005-0000-0000-0000347C0000}"/>
    <cellStyle name="Input 5 2 3 7 3" xfId="49725" xr:uid="{00000000-0005-0000-0000-0000357C0000}"/>
    <cellStyle name="Input 5 2 3 7 4" xfId="37750" xr:uid="{00000000-0005-0000-0000-0000367C0000}"/>
    <cellStyle name="Input 5 2 3 8" xfId="19635" xr:uid="{00000000-0005-0000-0000-0000377C0000}"/>
    <cellStyle name="Input 5 2 3 8 2" xfId="45172" xr:uid="{00000000-0005-0000-0000-0000387C0000}"/>
    <cellStyle name="Input 5 2 3 8 3" xfId="49078" xr:uid="{00000000-0005-0000-0000-0000397C0000}"/>
    <cellStyle name="Input 5 2 3 9" xfId="39938" xr:uid="{00000000-0005-0000-0000-00003A7C0000}"/>
    <cellStyle name="Input 5 2 4" xfId="53204" xr:uid="{00000000-0005-0000-0000-00003B7C0000}"/>
    <cellStyle name="Input 5 2_Sheet1" xfId="2017" xr:uid="{00000000-0005-0000-0000-00003C7C0000}"/>
    <cellStyle name="Input 5 3" xfId="2018" xr:uid="{00000000-0005-0000-0000-00003D7C0000}"/>
    <cellStyle name="Input 5 3 2" xfId="7176" xr:uid="{00000000-0005-0000-0000-00003E7C0000}"/>
    <cellStyle name="Input 5 3 2 10" xfId="47599" xr:uid="{00000000-0005-0000-0000-00003F7C0000}"/>
    <cellStyle name="Input 5 3 2 2" xfId="10706" xr:uid="{00000000-0005-0000-0000-0000407C0000}"/>
    <cellStyle name="Input 5 3 2 2 2" xfId="18499" xr:uid="{00000000-0005-0000-0000-0000417C0000}"/>
    <cellStyle name="Input 5 3 2 2 2 2" xfId="44046" xr:uid="{00000000-0005-0000-0000-0000427C0000}"/>
    <cellStyle name="Input 5 3 2 2 2 3" xfId="47955" xr:uid="{00000000-0005-0000-0000-0000437C0000}"/>
    <cellStyle name="Input 5 3 2 2 2 4" xfId="36136" xr:uid="{00000000-0005-0000-0000-0000447C0000}"/>
    <cellStyle name="Input 5 3 2 2 3" xfId="11506" xr:uid="{00000000-0005-0000-0000-0000457C0000}"/>
    <cellStyle name="Input 5 3 2 2 3 2" xfId="41517" xr:uid="{00000000-0005-0000-0000-0000467C0000}"/>
    <cellStyle name="Input 5 3 2 2 3 3" xfId="42583" xr:uid="{00000000-0005-0000-0000-0000477C0000}"/>
    <cellStyle name="Input 5 3 2 2 3 4" xfId="29221" xr:uid="{00000000-0005-0000-0000-0000487C0000}"/>
    <cellStyle name="Input 5 3 2 2 4" xfId="19220" xr:uid="{00000000-0005-0000-0000-0000497C0000}"/>
    <cellStyle name="Input 5 3 2 2 4 2" xfId="44757" xr:uid="{00000000-0005-0000-0000-00004A7C0000}"/>
    <cellStyle name="Input 5 3 2 2 4 3" xfId="48663" xr:uid="{00000000-0005-0000-0000-00004B7C0000}"/>
    <cellStyle name="Input 5 3 2 2 4 4" xfId="36805" xr:uid="{00000000-0005-0000-0000-00004C7C0000}"/>
    <cellStyle name="Input 5 3 2 2 5" xfId="20912" xr:uid="{00000000-0005-0000-0000-00004D7C0000}"/>
    <cellStyle name="Input 5 3 2 2 5 2" xfId="46449" xr:uid="{00000000-0005-0000-0000-00004E7C0000}"/>
    <cellStyle name="Input 5 3 2 2 5 3" xfId="50355" xr:uid="{00000000-0005-0000-0000-00004F7C0000}"/>
    <cellStyle name="Input 5 3 2 2 5 4" xfId="38318" xr:uid="{00000000-0005-0000-0000-0000507C0000}"/>
    <cellStyle name="Input 5 3 2 2 6" xfId="21565" xr:uid="{00000000-0005-0000-0000-0000517C0000}"/>
    <cellStyle name="Input 5 3 2 2 6 2" xfId="47102" xr:uid="{00000000-0005-0000-0000-0000527C0000}"/>
    <cellStyle name="Input 5 3 2 2 6 3" xfId="51008" xr:uid="{00000000-0005-0000-0000-0000537C0000}"/>
    <cellStyle name="Input 5 3 2 2 7" xfId="40905" xr:uid="{00000000-0005-0000-0000-0000547C0000}"/>
    <cellStyle name="Input 5 3 2 2 8" xfId="42067" xr:uid="{00000000-0005-0000-0000-0000557C0000}"/>
    <cellStyle name="Input 5 3 2 3" xfId="11001" xr:uid="{00000000-0005-0000-0000-0000567C0000}"/>
    <cellStyle name="Input 5 3 2 3 2" xfId="18794" xr:uid="{00000000-0005-0000-0000-0000577C0000}"/>
    <cellStyle name="Input 5 3 2 3 2 2" xfId="44341" xr:uid="{00000000-0005-0000-0000-0000587C0000}"/>
    <cellStyle name="Input 5 3 2 3 2 3" xfId="48250" xr:uid="{00000000-0005-0000-0000-0000597C0000}"/>
    <cellStyle name="Input 5 3 2 3 2 4" xfId="36431" xr:uid="{00000000-0005-0000-0000-00005A7C0000}"/>
    <cellStyle name="Input 5 3 2 3 3" xfId="19582" xr:uid="{00000000-0005-0000-0000-00005B7C0000}"/>
    <cellStyle name="Input 5 3 2 3 3 2" xfId="45119" xr:uid="{00000000-0005-0000-0000-00005C7C0000}"/>
    <cellStyle name="Input 5 3 2 3 3 3" xfId="49025" xr:uid="{00000000-0005-0000-0000-00005D7C0000}"/>
    <cellStyle name="Input 5 3 2 3 3 4" xfId="37122" xr:uid="{00000000-0005-0000-0000-00005E7C0000}"/>
    <cellStyle name="Input 5 3 2 3 4" xfId="12654" xr:uid="{00000000-0005-0000-0000-00005F7C0000}"/>
    <cellStyle name="Input 5 3 2 3 4 2" xfId="42133" xr:uid="{00000000-0005-0000-0000-0000607C0000}"/>
    <cellStyle name="Input 5 3 2 3 4 3" xfId="40448" xr:uid="{00000000-0005-0000-0000-0000617C0000}"/>
    <cellStyle name="Input 5 3 2 3 4 4" xfId="30319" xr:uid="{00000000-0005-0000-0000-0000627C0000}"/>
    <cellStyle name="Input 5 3 2 3 5" xfId="21207" xr:uid="{00000000-0005-0000-0000-0000637C0000}"/>
    <cellStyle name="Input 5 3 2 3 5 2" xfId="46744" xr:uid="{00000000-0005-0000-0000-0000647C0000}"/>
    <cellStyle name="Input 5 3 2 3 5 3" xfId="50650" xr:uid="{00000000-0005-0000-0000-0000657C0000}"/>
    <cellStyle name="Input 5 3 2 3 5 4" xfId="38613" xr:uid="{00000000-0005-0000-0000-0000667C0000}"/>
    <cellStyle name="Input 5 3 2 3 6" xfId="21860" xr:uid="{00000000-0005-0000-0000-0000677C0000}"/>
    <cellStyle name="Input 5 3 2 3 6 2" xfId="47397" xr:uid="{00000000-0005-0000-0000-0000687C0000}"/>
    <cellStyle name="Input 5 3 2 3 6 3" xfId="51303" xr:uid="{00000000-0005-0000-0000-0000697C0000}"/>
    <cellStyle name="Input 5 3 2 3 7" xfId="41200" xr:uid="{00000000-0005-0000-0000-00006A7C0000}"/>
    <cellStyle name="Input 5 3 2 3 8" xfId="41423" xr:uid="{00000000-0005-0000-0000-00006B7C0000}"/>
    <cellStyle name="Input 5 3 2 4" xfId="14964" xr:uid="{00000000-0005-0000-0000-00006C7C0000}"/>
    <cellStyle name="Input 5 3 2 4 2" xfId="43080" xr:uid="{00000000-0005-0000-0000-00006D7C0000}"/>
    <cellStyle name="Input 5 3 2 4 3" xfId="43293" xr:uid="{00000000-0005-0000-0000-00006E7C0000}"/>
    <cellStyle name="Input 5 3 2 4 4" xfId="32599" xr:uid="{00000000-0005-0000-0000-00006F7C0000}"/>
    <cellStyle name="Input 5 3 2 5" xfId="13186" xr:uid="{00000000-0005-0000-0000-0000707C0000}"/>
    <cellStyle name="Input 5 3 2 5 2" xfId="42407" xr:uid="{00000000-0005-0000-0000-0000717C0000}"/>
    <cellStyle name="Input 5 3 2 5 3" xfId="39075" xr:uid="{00000000-0005-0000-0000-0000727C0000}"/>
    <cellStyle name="Input 5 3 2 5 4" xfId="30835" xr:uid="{00000000-0005-0000-0000-0000737C0000}"/>
    <cellStyle name="Input 5 3 2 6" xfId="12866" xr:uid="{00000000-0005-0000-0000-0000747C0000}"/>
    <cellStyle name="Input 5 3 2 6 2" xfId="42249" xr:uid="{00000000-0005-0000-0000-0000757C0000}"/>
    <cellStyle name="Input 5 3 2 6 3" xfId="42559" xr:uid="{00000000-0005-0000-0000-0000767C0000}"/>
    <cellStyle name="Input 5 3 2 6 4" xfId="30518" xr:uid="{00000000-0005-0000-0000-0000777C0000}"/>
    <cellStyle name="Input 5 3 2 7" xfId="11805" xr:uid="{00000000-0005-0000-0000-0000787C0000}"/>
    <cellStyle name="Input 5 3 2 7 2" xfId="41754" xr:uid="{00000000-0005-0000-0000-0000797C0000}"/>
    <cellStyle name="Input 5 3 2 7 3" xfId="40066" xr:uid="{00000000-0005-0000-0000-00007A7C0000}"/>
    <cellStyle name="Input 5 3 2 7 4" xfId="29491" xr:uid="{00000000-0005-0000-0000-00007B7C0000}"/>
    <cellStyle name="Input 5 3 2 8" xfId="20243" xr:uid="{00000000-0005-0000-0000-00007C7C0000}"/>
    <cellStyle name="Input 5 3 2 8 2" xfId="45780" xr:uid="{00000000-0005-0000-0000-00007D7C0000}"/>
    <cellStyle name="Input 5 3 2 8 3" xfId="49686" xr:uid="{00000000-0005-0000-0000-00007E7C0000}"/>
    <cellStyle name="Input 5 3 2 9" xfId="39940" xr:uid="{00000000-0005-0000-0000-00007F7C0000}"/>
    <cellStyle name="Input 5 3 3" xfId="53206" xr:uid="{00000000-0005-0000-0000-0000807C0000}"/>
    <cellStyle name="Input 5 4" xfId="4244" xr:uid="{00000000-0005-0000-0000-0000817C0000}"/>
    <cellStyle name="Input 5 4 2" xfId="10466" xr:uid="{00000000-0005-0000-0000-0000827C0000}"/>
    <cellStyle name="Input 5 4 2 2" xfId="18259" xr:uid="{00000000-0005-0000-0000-0000837C0000}"/>
    <cellStyle name="Input 5 4 2 2 2" xfId="43806" xr:uid="{00000000-0005-0000-0000-0000847C0000}"/>
    <cellStyle name="Input 5 4 2 2 3" xfId="47715" xr:uid="{00000000-0005-0000-0000-0000857C0000}"/>
    <cellStyle name="Input 5 4 2 2 4" xfId="35896" xr:uid="{00000000-0005-0000-0000-0000867C0000}"/>
    <cellStyle name="Input 5 4 2 3" xfId="19439" xr:uid="{00000000-0005-0000-0000-0000877C0000}"/>
    <cellStyle name="Input 5 4 2 3 2" xfId="44976" xr:uid="{00000000-0005-0000-0000-0000887C0000}"/>
    <cellStyle name="Input 5 4 2 3 3" xfId="48882" xr:uid="{00000000-0005-0000-0000-0000897C0000}"/>
    <cellStyle name="Input 5 4 2 3 4" xfId="37004" xr:uid="{00000000-0005-0000-0000-00008A7C0000}"/>
    <cellStyle name="Input 5 4 2 4" xfId="20328" xr:uid="{00000000-0005-0000-0000-00008B7C0000}"/>
    <cellStyle name="Input 5 4 2 4 2" xfId="45865" xr:uid="{00000000-0005-0000-0000-00008C7C0000}"/>
    <cellStyle name="Input 5 4 2 4 3" xfId="49771" xr:uid="{00000000-0005-0000-0000-00008D7C0000}"/>
    <cellStyle name="Input 5 4 2 4 4" xfId="37792" xr:uid="{00000000-0005-0000-0000-00008E7C0000}"/>
    <cellStyle name="Input 5 4 2 5" xfId="20672" xr:uid="{00000000-0005-0000-0000-00008F7C0000}"/>
    <cellStyle name="Input 5 4 2 5 2" xfId="46209" xr:uid="{00000000-0005-0000-0000-0000907C0000}"/>
    <cellStyle name="Input 5 4 2 5 3" xfId="50115" xr:uid="{00000000-0005-0000-0000-0000917C0000}"/>
    <cellStyle name="Input 5 4 2 5 4" xfId="38078" xr:uid="{00000000-0005-0000-0000-0000927C0000}"/>
    <cellStyle name="Input 5 4 2 6" xfId="21325" xr:uid="{00000000-0005-0000-0000-0000937C0000}"/>
    <cellStyle name="Input 5 4 2 6 2" xfId="46862" xr:uid="{00000000-0005-0000-0000-0000947C0000}"/>
    <cellStyle name="Input 5 4 2 6 3" xfId="50768" xr:uid="{00000000-0005-0000-0000-0000957C0000}"/>
    <cellStyle name="Input 5 4 2 7" xfId="40665" xr:uid="{00000000-0005-0000-0000-0000967C0000}"/>
    <cellStyle name="Input 5 4 2 8" xfId="40501" xr:uid="{00000000-0005-0000-0000-0000977C0000}"/>
    <cellStyle name="Input 5 4 3" xfId="8468" xr:uid="{00000000-0005-0000-0000-0000987C0000}"/>
    <cellStyle name="Input 5 4 3 2" xfId="16264" xr:uid="{00000000-0005-0000-0000-0000997C0000}"/>
    <cellStyle name="Input 5 4 3 2 2" xfId="43415" xr:uid="{00000000-0005-0000-0000-00009A7C0000}"/>
    <cellStyle name="Input 5 4 3 2 3" xfId="39523" xr:uid="{00000000-0005-0000-0000-00009B7C0000}"/>
    <cellStyle name="Input 5 4 3 2 4" xfId="33899" xr:uid="{00000000-0005-0000-0000-00009C7C0000}"/>
    <cellStyle name="Input 5 4 3 3" xfId="13901" xr:uid="{00000000-0005-0000-0000-00009D7C0000}"/>
    <cellStyle name="Input 5 4 3 3 2" xfId="42636" xr:uid="{00000000-0005-0000-0000-00009E7C0000}"/>
    <cellStyle name="Input 5 4 3 3 3" xfId="42680" xr:uid="{00000000-0005-0000-0000-00009F7C0000}"/>
    <cellStyle name="Input 5 4 3 3 4" xfId="31541" xr:uid="{00000000-0005-0000-0000-0000A07C0000}"/>
    <cellStyle name="Input 5 4 3 4" xfId="19521" xr:uid="{00000000-0005-0000-0000-0000A17C0000}"/>
    <cellStyle name="Input 5 4 3 4 2" xfId="45058" xr:uid="{00000000-0005-0000-0000-0000A27C0000}"/>
    <cellStyle name="Input 5 4 3 4 3" xfId="48964" xr:uid="{00000000-0005-0000-0000-0000A37C0000}"/>
    <cellStyle name="Input 5 4 3 4 4" xfId="37069" xr:uid="{00000000-0005-0000-0000-0000A47C0000}"/>
    <cellStyle name="Input 5 4 3 5" xfId="20098" xr:uid="{00000000-0005-0000-0000-0000A57C0000}"/>
    <cellStyle name="Input 5 4 3 5 2" xfId="45635" xr:uid="{00000000-0005-0000-0000-0000A67C0000}"/>
    <cellStyle name="Input 5 4 3 5 3" xfId="49541" xr:uid="{00000000-0005-0000-0000-0000A77C0000}"/>
    <cellStyle name="Input 5 4 3 5 4" xfId="37587" xr:uid="{00000000-0005-0000-0000-0000A87C0000}"/>
    <cellStyle name="Input 5 4 3 6" xfId="11440" xr:uid="{00000000-0005-0000-0000-0000A97C0000}"/>
    <cellStyle name="Input 5 4 3 6 2" xfId="41456" xr:uid="{00000000-0005-0000-0000-0000AA7C0000}"/>
    <cellStyle name="Input 5 4 3 6 3" xfId="40219" xr:uid="{00000000-0005-0000-0000-0000AB7C0000}"/>
    <cellStyle name="Input 5 4 3 7" xfId="40277" xr:uid="{00000000-0005-0000-0000-0000AC7C0000}"/>
    <cellStyle name="Input 5 4 3 8" xfId="39225" xr:uid="{00000000-0005-0000-0000-0000AD7C0000}"/>
    <cellStyle name="Input 5 5" xfId="4245" xr:uid="{00000000-0005-0000-0000-0000AE7C0000}"/>
    <cellStyle name="Input 5 5 2" xfId="10467" xr:uid="{00000000-0005-0000-0000-0000AF7C0000}"/>
    <cellStyle name="Input 5 5 2 2" xfId="18260" xr:uid="{00000000-0005-0000-0000-0000B07C0000}"/>
    <cellStyle name="Input 5 5 2 2 2" xfId="43807" xr:uid="{00000000-0005-0000-0000-0000B17C0000}"/>
    <cellStyle name="Input 5 5 2 2 3" xfId="47716" xr:uid="{00000000-0005-0000-0000-0000B27C0000}"/>
    <cellStyle name="Input 5 5 2 2 4" xfId="35897" xr:uid="{00000000-0005-0000-0000-0000B37C0000}"/>
    <cellStyle name="Input 5 5 2 3" xfId="20046" xr:uid="{00000000-0005-0000-0000-0000B47C0000}"/>
    <cellStyle name="Input 5 5 2 3 2" xfId="45583" xr:uid="{00000000-0005-0000-0000-0000B57C0000}"/>
    <cellStyle name="Input 5 5 2 3 3" xfId="49489" xr:uid="{00000000-0005-0000-0000-0000B67C0000}"/>
    <cellStyle name="Input 5 5 2 3 4" xfId="37544" xr:uid="{00000000-0005-0000-0000-0000B77C0000}"/>
    <cellStyle name="Input 5 5 2 4" xfId="11439" xr:uid="{00000000-0005-0000-0000-0000B87C0000}"/>
    <cellStyle name="Input 5 5 2 4 2" xfId="41455" xr:uid="{00000000-0005-0000-0000-0000B97C0000}"/>
    <cellStyle name="Input 5 5 2 4 3" xfId="43356" xr:uid="{00000000-0005-0000-0000-0000BA7C0000}"/>
    <cellStyle name="Input 5 5 2 4 4" xfId="29160" xr:uid="{00000000-0005-0000-0000-0000BB7C0000}"/>
    <cellStyle name="Input 5 5 2 5" xfId="20673" xr:uid="{00000000-0005-0000-0000-0000BC7C0000}"/>
    <cellStyle name="Input 5 5 2 5 2" xfId="46210" xr:uid="{00000000-0005-0000-0000-0000BD7C0000}"/>
    <cellStyle name="Input 5 5 2 5 3" xfId="50116" xr:uid="{00000000-0005-0000-0000-0000BE7C0000}"/>
    <cellStyle name="Input 5 5 2 5 4" xfId="38079" xr:uid="{00000000-0005-0000-0000-0000BF7C0000}"/>
    <cellStyle name="Input 5 5 2 6" xfId="21326" xr:uid="{00000000-0005-0000-0000-0000C07C0000}"/>
    <cellStyle name="Input 5 5 2 6 2" xfId="46863" xr:uid="{00000000-0005-0000-0000-0000C17C0000}"/>
    <cellStyle name="Input 5 5 2 6 3" xfId="50769" xr:uid="{00000000-0005-0000-0000-0000C27C0000}"/>
    <cellStyle name="Input 5 5 2 7" xfId="40666" xr:uid="{00000000-0005-0000-0000-0000C37C0000}"/>
    <cellStyle name="Input 5 5 2 8" xfId="39611" xr:uid="{00000000-0005-0000-0000-0000C47C0000}"/>
    <cellStyle name="Input 5 5 3" xfId="8469" xr:uid="{00000000-0005-0000-0000-0000C57C0000}"/>
    <cellStyle name="Input 5 5 3 2" xfId="16265" xr:uid="{00000000-0005-0000-0000-0000C67C0000}"/>
    <cellStyle name="Input 5 5 3 2 2" xfId="43416" xr:uid="{00000000-0005-0000-0000-0000C77C0000}"/>
    <cellStyle name="Input 5 5 3 2 3" xfId="42533" xr:uid="{00000000-0005-0000-0000-0000C87C0000}"/>
    <cellStyle name="Input 5 5 3 2 4" xfId="33900" xr:uid="{00000000-0005-0000-0000-0000C97C0000}"/>
    <cellStyle name="Input 5 5 3 3" xfId="20391" xr:uid="{00000000-0005-0000-0000-0000CA7C0000}"/>
    <cellStyle name="Input 5 5 3 3 2" xfId="45928" xr:uid="{00000000-0005-0000-0000-0000CB7C0000}"/>
    <cellStyle name="Input 5 5 3 3 3" xfId="49834" xr:uid="{00000000-0005-0000-0000-0000CC7C0000}"/>
    <cellStyle name="Input 5 5 3 3 4" xfId="37845" xr:uid="{00000000-0005-0000-0000-0000CD7C0000}"/>
    <cellStyle name="Input 5 5 3 4" xfId="20535" xr:uid="{00000000-0005-0000-0000-0000CE7C0000}"/>
    <cellStyle name="Input 5 5 3 4 2" xfId="46072" xr:uid="{00000000-0005-0000-0000-0000CF7C0000}"/>
    <cellStyle name="Input 5 5 3 4 3" xfId="49978" xr:uid="{00000000-0005-0000-0000-0000D07C0000}"/>
    <cellStyle name="Input 5 5 3 4 4" xfId="37963" xr:uid="{00000000-0005-0000-0000-0000D17C0000}"/>
    <cellStyle name="Input 5 5 3 5" xfId="11480" xr:uid="{00000000-0005-0000-0000-0000D27C0000}"/>
    <cellStyle name="Input 5 5 3 5 2" xfId="41491" xr:uid="{00000000-0005-0000-0000-0000D37C0000}"/>
    <cellStyle name="Input 5 5 3 5 3" xfId="40570" xr:uid="{00000000-0005-0000-0000-0000D47C0000}"/>
    <cellStyle name="Input 5 5 3 5 4" xfId="29196" xr:uid="{00000000-0005-0000-0000-0000D57C0000}"/>
    <cellStyle name="Input 5 5 3 6" xfId="20052" xr:uid="{00000000-0005-0000-0000-0000D67C0000}"/>
    <cellStyle name="Input 5 5 3 6 2" xfId="45589" xr:uid="{00000000-0005-0000-0000-0000D77C0000}"/>
    <cellStyle name="Input 5 5 3 6 3" xfId="49495" xr:uid="{00000000-0005-0000-0000-0000D87C0000}"/>
    <cellStyle name="Input 5 5 3 7" xfId="40278" xr:uid="{00000000-0005-0000-0000-0000D97C0000}"/>
    <cellStyle name="Input 5 5 3 8" xfId="39224" xr:uid="{00000000-0005-0000-0000-0000DA7C0000}"/>
    <cellStyle name="Input 5 6" xfId="4246" xr:uid="{00000000-0005-0000-0000-0000DB7C0000}"/>
    <cellStyle name="Input 5 6 2" xfId="10468" xr:uid="{00000000-0005-0000-0000-0000DC7C0000}"/>
    <cellStyle name="Input 5 6 2 2" xfId="18261" xr:uid="{00000000-0005-0000-0000-0000DD7C0000}"/>
    <cellStyle name="Input 5 6 2 2 2" xfId="43808" xr:uid="{00000000-0005-0000-0000-0000DE7C0000}"/>
    <cellStyle name="Input 5 6 2 2 3" xfId="47717" xr:uid="{00000000-0005-0000-0000-0000DF7C0000}"/>
    <cellStyle name="Input 5 6 2 2 4" xfId="35898" xr:uid="{00000000-0005-0000-0000-0000E07C0000}"/>
    <cellStyle name="Input 5 6 2 3" xfId="19312" xr:uid="{00000000-0005-0000-0000-0000E17C0000}"/>
    <cellStyle name="Input 5 6 2 3 2" xfId="44849" xr:uid="{00000000-0005-0000-0000-0000E27C0000}"/>
    <cellStyle name="Input 5 6 2 3 3" xfId="48755" xr:uid="{00000000-0005-0000-0000-0000E37C0000}"/>
    <cellStyle name="Input 5 6 2 3 4" xfId="36890" xr:uid="{00000000-0005-0000-0000-0000E47C0000}"/>
    <cellStyle name="Input 5 6 2 4" xfId="19704" xr:uid="{00000000-0005-0000-0000-0000E57C0000}"/>
    <cellStyle name="Input 5 6 2 4 2" xfId="45241" xr:uid="{00000000-0005-0000-0000-0000E67C0000}"/>
    <cellStyle name="Input 5 6 2 4 3" xfId="49147" xr:uid="{00000000-0005-0000-0000-0000E77C0000}"/>
    <cellStyle name="Input 5 6 2 4 4" xfId="37232" xr:uid="{00000000-0005-0000-0000-0000E87C0000}"/>
    <cellStyle name="Input 5 6 2 5" xfId="20674" xr:uid="{00000000-0005-0000-0000-0000E97C0000}"/>
    <cellStyle name="Input 5 6 2 5 2" xfId="46211" xr:uid="{00000000-0005-0000-0000-0000EA7C0000}"/>
    <cellStyle name="Input 5 6 2 5 3" xfId="50117" xr:uid="{00000000-0005-0000-0000-0000EB7C0000}"/>
    <cellStyle name="Input 5 6 2 5 4" xfId="38080" xr:uid="{00000000-0005-0000-0000-0000EC7C0000}"/>
    <cellStyle name="Input 5 6 2 6" xfId="21327" xr:uid="{00000000-0005-0000-0000-0000ED7C0000}"/>
    <cellStyle name="Input 5 6 2 6 2" xfId="46864" xr:uid="{00000000-0005-0000-0000-0000EE7C0000}"/>
    <cellStyle name="Input 5 6 2 6 3" xfId="50770" xr:uid="{00000000-0005-0000-0000-0000EF7C0000}"/>
    <cellStyle name="Input 5 6 2 7" xfId="40667" xr:uid="{00000000-0005-0000-0000-0000F07C0000}"/>
    <cellStyle name="Input 5 6 2 8" xfId="42619" xr:uid="{00000000-0005-0000-0000-0000F17C0000}"/>
    <cellStyle name="Input 5 6 3" xfId="8470" xr:uid="{00000000-0005-0000-0000-0000F27C0000}"/>
    <cellStyle name="Input 5 6 3 2" xfId="16266" xr:uid="{00000000-0005-0000-0000-0000F37C0000}"/>
    <cellStyle name="Input 5 6 3 2 2" xfId="43417" xr:uid="{00000000-0005-0000-0000-0000F47C0000}"/>
    <cellStyle name="Input 5 6 3 2 3" xfId="43444" xr:uid="{00000000-0005-0000-0000-0000F57C0000}"/>
    <cellStyle name="Input 5 6 3 2 4" xfId="33901" xr:uid="{00000000-0005-0000-0000-0000F67C0000}"/>
    <cellStyle name="Input 5 6 3 3" xfId="19650" xr:uid="{00000000-0005-0000-0000-0000F77C0000}"/>
    <cellStyle name="Input 5 6 3 3 2" xfId="45187" xr:uid="{00000000-0005-0000-0000-0000F87C0000}"/>
    <cellStyle name="Input 5 6 3 3 3" xfId="49093" xr:uid="{00000000-0005-0000-0000-0000F97C0000}"/>
    <cellStyle name="Input 5 6 3 3 4" xfId="37185" xr:uid="{00000000-0005-0000-0000-0000FA7C0000}"/>
    <cellStyle name="Input 5 6 3 4" xfId="11227" xr:uid="{00000000-0005-0000-0000-0000FB7C0000}"/>
    <cellStyle name="Input 5 6 3 4 2" xfId="41306" xr:uid="{00000000-0005-0000-0000-0000FC7C0000}"/>
    <cellStyle name="Input 5 6 3 4 3" xfId="39688" xr:uid="{00000000-0005-0000-0000-0000FD7C0000}"/>
    <cellStyle name="Input 5 6 3 4 4" xfId="28955" xr:uid="{00000000-0005-0000-0000-0000FE7C0000}"/>
    <cellStyle name="Input 5 6 3 5" xfId="11677" xr:uid="{00000000-0005-0000-0000-0000FF7C0000}"/>
    <cellStyle name="Input 5 6 3 5 2" xfId="41688" xr:uid="{00000000-0005-0000-0000-0000007D0000}"/>
    <cellStyle name="Input 5 6 3 5 3" xfId="43489" xr:uid="{00000000-0005-0000-0000-0000017D0000}"/>
    <cellStyle name="Input 5 6 3 5 4" xfId="29371" xr:uid="{00000000-0005-0000-0000-0000027D0000}"/>
    <cellStyle name="Input 5 6 3 6" xfId="20516" xr:uid="{00000000-0005-0000-0000-0000037D0000}"/>
    <cellStyle name="Input 5 6 3 6 2" xfId="46053" xr:uid="{00000000-0005-0000-0000-0000047D0000}"/>
    <cellStyle name="Input 5 6 3 6 3" xfId="49959" xr:uid="{00000000-0005-0000-0000-0000057D0000}"/>
    <cellStyle name="Input 5 6 3 7" xfId="40279" xr:uid="{00000000-0005-0000-0000-0000067D0000}"/>
    <cellStyle name="Input 5 6 3 8" xfId="39223" xr:uid="{00000000-0005-0000-0000-0000077D0000}"/>
    <cellStyle name="Input 5 7" xfId="7173" xr:uid="{00000000-0005-0000-0000-0000087D0000}"/>
    <cellStyle name="Input 5 7 10" xfId="40283" xr:uid="{00000000-0005-0000-0000-0000097D0000}"/>
    <cellStyle name="Input 5 7 2" xfId="10703" xr:uid="{00000000-0005-0000-0000-00000A7D0000}"/>
    <cellStyle name="Input 5 7 2 2" xfId="18496" xr:uid="{00000000-0005-0000-0000-00000B7D0000}"/>
    <cellStyle name="Input 5 7 2 2 2" xfId="44043" xr:uid="{00000000-0005-0000-0000-00000C7D0000}"/>
    <cellStyle name="Input 5 7 2 2 3" xfId="47952" xr:uid="{00000000-0005-0000-0000-00000D7D0000}"/>
    <cellStyle name="Input 5 7 2 2 4" xfId="36133" xr:uid="{00000000-0005-0000-0000-00000E7D0000}"/>
    <cellStyle name="Input 5 7 2 3" xfId="19899" xr:uid="{00000000-0005-0000-0000-00000F7D0000}"/>
    <cellStyle name="Input 5 7 2 3 2" xfId="45436" xr:uid="{00000000-0005-0000-0000-0000107D0000}"/>
    <cellStyle name="Input 5 7 2 3 3" xfId="49342" xr:uid="{00000000-0005-0000-0000-0000117D0000}"/>
    <cellStyle name="Input 5 7 2 3 4" xfId="37413" xr:uid="{00000000-0005-0000-0000-0000127D0000}"/>
    <cellStyle name="Input 5 7 2 4" xfId="12812" xr:uid="{00000000-0005-0000-0000-0000137D0000}"/>
    <cellStyle name="Input 5 7 2 4 2" xfId="42226" xr:uid="{00000000-0005-0000-0000-0000147D0000}"/>
    <cellStyle name="Input 5 7 2 4 3" xfId="40186" xr:uid="{00000000-0005-0000-0000-0000157D0000}"/>
    <cellStyle name="Input 5 7 2 4 4" xfId="30468" xr:uid="{00000000-0005-0000-0000-0000167D0000}"/>
    <cellStyle name="Input 5 7 2 5" xfId="20909" xr:uid="{00000000-0005-0000-0000-0000177D0000}"/>
    <cellStyle name="Input 5 7 2 5 2" xfId="46446" xr:uid="{00000000-0005-0000-0000-0000187D0000}"/>
    <cellStyle name="Input 5 7 2 5 3" xfId="50352" xr:uid="{00000000-0005-0000-0000-0000197D0000}"/>
    <cellStyle name="Input 5 7 2 5 4" xfId="38315" xr:uid="{00000000-0005-0000-0000-00001A7D0000}"/>
    <cellStyle name="Input 5 7 2 6" xfId="21562" xr:uid="{00000000-0005-0000-0000-00001B7D0000}"/>
    <cellStyle name="Input 5 7 2 6 2" xfId="47099" xr:uid="{00000000-0005-0000-0000-00001C7D0000}"/>
    <cellStyle name="Input 5 7 2 6 3" xfId="51005" xr:uid="{00000000-0005-0000-0000-00001D7D0000}"/>
    <cellStyle name="Input 5 7 2 7" xfId="40902" xr:uid="{00000000-0005-0000-0000-00001E7D0000}"/>
    <cellStyle name="Input 5 7 2 8" xfId="43521" xr:uid="{00000000-0005-0000-0000-00001F7D0000}"/>
    <cellStyle name="Input 5 7 3" xfId="10998" xr:uid="{00000000-0005-0000-0000-0000207D0000}"/>
    <cellStyle name="Input 5 7 3 2" xfId="18791" xr:uid="{00000000-0005-0000-0000-0000217D0000}"/>
    <cellStyle name="Input 5 7 3 2 2" xfId="44338" xr:uid="{00000000-0005-0000-0000-0000227D0000}"/>
    <cellStyle name="Input 5 7 3 2 3" xfId="48247" xr:uid="{00000000-0005-0000-0000-0000237D0000}"/>
    <cellStyle name="Input 5 7 3 2 4" xfId="36428" xr:uid="{00000000-0005-0000-0000-0000247D0000}"/>
    <cellStyle name="Input 5 7 3 3" xfId="19707" xr:uid="{00000000-0005-0000-0000-0000257D0000}"/>
    <cellStyle name="Input 5 7 3 3 2" xfId="45244" xr:uid="{00000000-0005-0000-0000-0000267D0000}"/>
    <cellStyle name="Input 5 7 3 3 3" xfId="49150" xr:uid="{00000000-0005-0000-0000-0000277D0000}"/>
    <cellStyle name="Input 5 7 3 3 4" xfId="37234" xr:uid="{00000000-0005-0000-0000-0000287D0000}"/>
    <cellStyle name="Input 5 7 3 4" xfId="11820" xr:uid="{00000000-0005-0000-0000-0000297D0000}"/>
    <cellStyle name="Input 5 7 3 4 2" xfId="41758" xr:uid="{00000000-0005-0000-0000-00002A7D0000}"/>
    <cellStyle name="Input 5 7 3 4 3" xfId="40204" xr:uid="{00000000-0005-0000-0000-00002B7D0000}"/>
    <cellStyle name="Input 5 7 3 4 4" xfId="29506" xr:uid="{00000000-0005-0000-0000-00002C7D0000}"/>
    <cellStyle name="Input 5 7 3 5" xfId="21204" xr:uid="{00000000-0005-0000-0000-00002D7D0000}"/>
    <cellStyle name="Input 5 7 3 5 2" xfId="46741" xr:uid="{00000000-0005-0000-0000-00002E7D0000}"/>
    <cellStyle name="Input 5 7 3 5 3" xfId="50647" xr:uid="{00000000-0005-0000-0000-00002F7D0000}"/>
    <cellStyle name="Input 5 7 3 5 4" xfId="38610" xr:uid="{00000000-0005-0000-0000-0000307D0000}"/>
    <cellStyle name="Input 5 7 3 6" xfId="21857" xr:uid="{00000000-0005-0000-0000-0000317D0000}"/>
    <cellStyle name="Input 5 7 3 6 2" xfId="47394" xr:uid="{00000000-0005-0000-0000-0000327D0000}"/>
    <cellStyle name="Input 5 7 3 6 3" xfId="51300" xr:uid="{00000000-0005-0000-0000-0000337D0000}"/>
    <cellStyle name="Input 5 7 3 7" xfId="41197" xr:uid="{00000000-0005-0000-0000-0000347D0000}"/>
    <cellStyle name="Input 5 7 3 8" xfId="39371" xr:uid="{00000000-0005-0000-0000-0000357D0000}"/>
    <cellStyle name="Input 5 7 4" xfId="14961" xr:uid="{00000000-0005-0000-0000-0000367D0000}"/>
    <cellStyle name="Input 5 7 4 2" xfId="43077" xr:uid="{00000000-0005-0000-0000-0000377D0000}"/>
    <cellStyle name="Input 5 7 4 3" xfId="40310" xr:uid="{00000000-0005-0000-0000-0000387D0000}"/>
    <cellStyle name="Input 5 7 4 4" xfId="32596" xr:uid="{00000000-0005-0000-0000-0000397D0000}"/>
    <cellStyle name="Input 5 7 5" xfId="13183" xr:uid="{00000000-0005-0000-0000-00003A7D0000}"/>
    <cellStyle name="Input 5 7 5 2" xfId="42404" xr:uid="{00000000-0005-0000-0000-00003B7D0000}"/>
    <cellStyle name="Input 5 7 5 3" xfId="39078" xr:uid="{00000000-0005-0000-0000-00003C7D0000}"/>
    <cellStyle name="Input 5 7 5 4" xfId="30832" xr:uid="{00000000-0005-0000-0000-00003D7D0000}"/>
    <cellStyle name="Input 5 7 6" xfId="20319" xr:uid="{00000000-0005-0000-0000-00003E7D0000}"/>
    <cellStyle name="Input 5 7 6 2" xfId="45856" xr:uid="{00000000-0005-0000-0000-00003F7D0000}"/>
    <cellStyle name="Input 5 7 6 3" xfId="49762" xr:uid="{00000000-0005-0000-0000-0000407D0000}"/>
    <cellStyle name="Input 5 7 6 4" xfId="37783" xr:uid="{00000000-0005-0000-0000-0000417D0000}"/>
    <cellStyle name="Input 5 7 7" xfId="19636" xr:uid="{00000000-0005-0000-0000-0000427D0000}"/>
    <cellStyle name="Input 5 7 7 2" xfId="45173" xr:uid="{00000000-0005-0000-0000-0000437D0000}"/>
    <cellStyle name="Input 5 7 7 3" xfId="49079" xr:uid="{00000000-0005-0000-0000-0000447D0000}"/>
    <cellStyle name="Input 5 7 7 4" xfId="37173" xr:uid="{00000000-0005-0000-0000-0000457D0000}"/>
    <cellStyle name="Input 5 7 8" xfId="19182" xr:uid="{00000000-0005-0000-0000-0000467D0000}"/>
    <cellStyle name="Input 5 7 8 2" xfId="44719" xr:uid="{00000000-0005-0000-0000-0000477D0000}"/>
    <cellStyle name="Input 5 7 8 3" xfId="48625" xr:uid="{00000000-0005-0000-0000-0000487D0000}"/>
    <cellStyle name="Input 5 7 9" xfId="39937" xr:uid="{00000000-0005-0000-0000-0000497D0000}"/>
    <cellStyle name="Input 5 8" xfId="53203" xr:uid="{00000000-0005-0000-0000-00004A7D0000}"/>
    <cellStyle name="Input 5_Sheet1" xfId="2019" xr:uid="{00000000-0005-0000-0000-00004B7D0000}"/>
    <cellStyle name="Input 50" xfId="22697" xr:uid="{00000000-0005-0000-0000-00004C7D0000}"/>
    <cellStyle name="Input 51" xfId="22699" xr:uid="{00000000-0005-0000-0000-00004D7D0000}"/>
    <cellStyle name="Input 52" xfId="22701" xr:uid="{00000000-0005-0000-0000-00004E7D0000}"/>
    <cellStyle name="Input 53" xfId="22702" xr:uid="{00000000-0005-0000-0000-00004F7D0000}"/>
    <cellStyle name="Input 54" xfId="22708" xr:uid="{00000000-0005-0000-0000-0000507D0000}"/>
    <cellStyle name="Input 55" xfId="22427" xr:uid="{00000000-0005-0000-0000-0000517D0000}"/>
    <cellStyle name="Input 55 2" xfId="23035" xr:uid="{00000000-0005-0000-0000-0000527D0000}"/>
    <cellStyle name="Input 55 2 2" xfId="47636" xr:uid="{00000000-0005-0000-0000-0000537D0000}"/>
    <cellStyle name="Input 55 2 3" xfId="51447" xr:uid="{00000000-0005-0000-0000-0000547D0000}"/>
    <cellStyle name="Input 55 3" xfId="47529" xr:uid="{00000000-0005-0000-0000-0000557D0000}"/>
    <cellStyle name="Input 55 4" xfId="51383" xr:uid="{00000000-0005-0000-0000-0000567D0000}"/>
    <cellStyle name="Input 55 5" xfId="53207" xr:uid="{00000000-0005-0000-0000-0000577D0000}"/>
    <cellStyle name="Input 6" xfId="2020" xr:uid="{00000000-0005-0000-0000-0000587D0000}"/>
    <cellStyle name="Input 6 2" xfId="2021" xr:uid="{00000000-0005-0000-0000-0000597D0000}"/>
    <cellStyle name="Input 6 2 2" xfId="2022" xr:uid="{00000000-0005-0000-0000-00005A7D0000}"/>
    <cellStyle name="Input 6 2 2 2" xfId="7179" xr:uid="{00000000-0005-0000-0000-00005B7D0000}"/>
    <cellStyle name="Input 6 2 2 2 10" xfId="40131" xr:uid="{00000000-0005-0000-0000-00005C7D0000}"/>
    <cellStyle name="Input 6 2 2 2 2" xfId="10709" xr:uid="{00000000-0005-0000-0000-00005D7D0000}"/>
    <cellStyle name="Input 6 2 2 2 2 2" xfId="18502" xr:uid="{00000000-0005-0000-0000-00005E7D0000}"/>
    <cellStyle name="Input 6 2 2 2 2 2 2" xfId="44049" xr:uid="{00000000-0005-0000-0000-00005F7D0000}"/>
    <cellStyle name="Input 6 2 2 2 2 2 3" xfId="47958" xr:uid="{00000000-0005-0000-0000-0000607D0000}"/>
    <cellStyle name="Input 6 2 2 2 2 2 4" xfId="36139" xr:uid="{00000000-0005-0000-0000-0000617D0000}"/>
    <cellStyle name="Input 6 2 2 2 2 3" xfId="20157" xr:uid="{00000000-0005-0000-0000-0000627D0000}"/>
    <cellStyle name="Input 6 2 2 2 2 3 2" xfId="45694" xr:uid="{00000000-0005-0000-0000-0000637D0000}"/>
    <cellStyle name="Input 6 2 2 2 2 3 3" xfId="49600" xr:uid="{00000000-0005-0000-0000-0000647D0000}"/>
    <cellStyle name="Input 6 2 2 2 2 3 4" xfId="37643" xr:uid="{00000000-0005-0000-0000-0000657D0000}"/>
    <cellStyle name="Input 6 2 2 2 2 4" xfId="11541" xr:uid="{00000000-0005-0000-0000-0000667D0000}"/>
    <cellStyle name="Input 6 2 2 2 2 4 2" xfId="41552" xr:uid="{00000000-0005-0000-0000-0000677D0000}"/>
    <cellStyle name="Input 6 2 2 2 2 4 3" xfId="39676" xr:uid="{00000000-0005-0000-0000-0000687D0000}"/>
    <cellStyle name="Input 6 2 2 2 2 4 4" xfId="29255" xr:uid="{00000000-0005-0000-0000-0000697D0000}"/>
    <cellStyle name="Input 6 2 2 2 2 5" xfId="20915" xr:uid="{00000000-0005-0000-0000-00006A7D0000}"/>
    <cellStyle name="Input 6 2 2 2 2 5 2" xfId="46452" xr:uid="{00000000-0005-0000-0000-00006B7D0000}"/>
    <cellStyle name="Input 6 2 2 2 2 5 3" xfId="50358" xr:uid="{00000000-0005-0000-0000-00006C7D0000}"/>
    <cellStyle name="Input 6 2 2 2 2 5 4" xfId="38321" xr:uid="{00000000-0005-0000-0000-00006D7D0000}"/>
    <cellStyle name="Input 6 2 2 2 2 6" xfId="21568" xr:uid="{00000000-0005-0000-0000-00006E7D0000}"/>
    <cellStyle name="Input 6 2 2 2 2 6 2" xfId="47105" xr:uid="{00000000-0005-0000-0000-00006F7D0000}"/>
    <cellStyle name="Input 6 2 2 2 2 6 3" xfId="51011" xr:uid="{00000000-0005-0000-0000-0000707D0000}"/>
    <cellStyle name="Input 6 2 2 2 2 7" xfId="40908" xr:uid="{00000000-0005-0000-0000-0000717D0000}"/>
    <cellStyle name="Input 6 2 2 2 2 8" xfId="39388" xr:uid="{00000000-0005-0000-0000-0000727D0000}"/>
    <cellStyle name="Input 6 2 2 2 3" xfId="11004" xr:uid="{00000000-0005-0000-0000-0000737D0000}"/>
    <cellStyle name="Input 6 2 2 2 3 2" xfId="18797" xr:uid="{00000000-0005-0000-0000-0000747D0000}"/>
    <cellStyle name="Input 6 2 2 2 3 2 2" xfId="44344" xr:uid="{00000000-0005-0000-0000-0000757D0000}"/>
    <cellStyle name="Input 6 2 2 2 3 2 3" xfId="48253" xr:uid="{00000000-0005-0000-0000-0000767D0000}"/>
    <cellStyle name="Input 6 2 2 2 3 2 4" xfId="36434" xr:uid="{00000000-0005-0000-0000-0000777D0000}"/>
    <cellStyle name="Input 6 2 2 2 3 3" xfId="13362" xr:uid="{00000000-0005-0000-0000-0000787D0000}"/>
    <cellStyle name="Input 6 2 2 2 3 3 2" xfId="42532" xr:uid="{00000000-0005-0000-0000-0000797D0000}"/>
    <cellStyle name="Input 6 2 2 2 3 3 3" xfId="40430" xr:uid="{00000000-0005-0000-0000-00007A7D0000}"/>
    <cellStyle name="Input 6 2 2 2 3 3 4" xfId="31002" xr:uid="{00000000-0005-0000-0000-00007B7D0000}"/>
    <cellStyle name="Input 6 2 2 2 3 4" xfId="20296" xr:uid="{00000000-0005-0000-0000-00007C7D0000}"/>
    <cellStyle name="Input 6 2 2 2 3 4 2" xfId="45833" xr:uid="{00000000-0005-0000-0000-00007D7D0000}"/>
    <cellStyle name="Input 6 2 2 2 3 4 3" xfId="49739" xr:uid="{00000000-0005-0000-0000-00007E7D0000}"/>
    <cellStyle name="Input 6 2 2 2 3 4 4" xfId="37762" xr:uid="{00000000-0005-0000-0000-00007F7D0000}"/>
    <cellStyle name="Input 6 2 2 2 3 5" xfId="21210" xr:uid="{00000000-0005-0000-0000-0000807D0000}"/>
    <cellStyle name="Input 6 2 2 2 3 5 2" xfId="46747" xr:uid="{00000000-0005-0000-0000-0000817D0000}"/>
    <cellStyle name="Input 6 2 2 2 3 5 3" xfId="50653" xr:uid="{00000000-0005-0000-0000-0000827D0000}"/>
    <cellStyle name="Input 6 2 2 2 3 5 4" xfId="38616" xr:uid="{00000000-0005-0000-0000-0000837D0000}"/>
    <cellStyle name="Input 6 2 2 2 3 6" xfId="21863" xr:uid="{00000000-0005-0000-0000-0000847D0000}"/>
    <cellStyle name="Input 6 2 2 2 3 6 2" xfId="47400" xr:uid="{00000000-0005-0000-0000-0000857D0000}"/>
    <cellStyle name="Input 6 2 2 2 3 6 3" xfId="51306" xr:uid="{00000000-0005-0000-0000-0000867D0000}"/>
    <cellStyle name="Input 6 2 2 2 3 7" xfId="41203" xr:uid="{00000000-0005-0000-0000-0000877D0000}"/>
    <cellStyle name="Input 6 2 2 2 3 8" xfId="42832" xr:uid="{00000000-0005-0000-0000-0000887D0000}"/>
    <cellStyle name="Input 6 2 2 2 4" xfId="14967" xr:uid="{00000000-0005-0000-0000-0000897D0000}"/>
    <cellStyle name="Input 6 2 2 2 4 2" xfId="43083" xr:uid="{00000000-0005-0000-0000-00008A7D0000}"/>
    <cellStyle name="Input 6 2 2 2 4 3" xfId="41940" xr:uid="{00000000-0005-0000-0000-00008B7D0000}"/>
    <cellStyle name="Input 6 2 2 2 4 4" xfId="32602" xr:uid="{00000000-0005-0000-0000-00008C7D0000}"/>
    <cellStyle name="Input 6 2 2 2 5" xfId="13189" xr:uid="{00000000-0005-0000-0000-00008D7D0000}"/>
    <cellStyle name="Input 6 2 2 2 5 2" xfId="42410" xr:uid="{00000000-0005-0000-0000-00008E7D0000}"/>
    <cellStyle name="Input 6 2 2 2 5 3" xfId="47483" xr:uid="{00000000-0005-0000-0000-00008F7D0000}"/>
    <cellStyle name="Input 6 2 2 2 5 4" xfId="30838" xr:uid="{00000000-0005-0000-0000-0000907D0000}"/>
    <cellStyle name="Input 6 2 2 2 6" xfId="12619" xr:uid="{00000000-0005-0000-0000-0000917D0000}"/>
    <cellStyle name="Input 6 2 2 2 6 2" xfId="42098" xr:uid="{00000000-0005-0000-0000-0000927D0000}"/>
    <cellStyle name="Input 6 2 2 2 6 3" xfId="39455" xr:uid="{00000000-0005-0000-0000-0000937D0000}"/>
    <cellStyle name="Input 6 2 2 2 6 4" xfId="30284" xr:uid="{00000000-0005-0000-0000-0000947D0000}"/>
    <cellStyle name="Input 6 2 2 2 7" xfId="12079" xr:uid="{00000000-0005-0000-0000-0000957D0000}"/>
    <cellStyle name="Input 6 2 2 2 7 2" xfId="41824" xr:uid="{00000000-0005-0000-0000-0000967D0000}"/>
    <cellStyle name="Input 6 2 2 2 7 3" xfId="39332" xr:uid="{00000000-0005-0000-0000-0000977D0000}"/>
    <cellStyle name="Input 6 2 2 2 7 4" xfId="29755" xr:uid="{00000000-0005-0000-0000-0000987D0000}"/>
    <cellStyle name="Input 6 2 2 2 8" xfId="18915" xr:uid="{00000000-0005-0000-0000-0000997D0000}"/>
    <cellStyle name="Input 6 2 2 2 8 2" xfId="44452" xr:uid="{00000000-0005-0000-0000-00009A7D0000}"/>
    <cellStyle name="Input 6 2 2 2 8 3" xfId="48358" xr:uid="{00000000-0005-0000-0000-00009B7D0000}"/>
    <cellStyle name="Input 6 2 2 2 9" xfId="39943" xr:uid="{00000000-0005-0000-0000-00009C7D0000}"/>
    <cellStyle name="Input 6 2 2 3" xfId="53210" xr:uid="{00000000-0005-0000-0000-00009D7D0000}"/>
    <cellStyle name="Input 6 2 3" xfId="7178" xr:uid="{00000000-0005-0000-0000-00009E7D0000}"/>
    <cellStyle name="Input 6 2 3 10" xfId="43272" xr:uid="{00000000-0005-0000-0000-00009F7D0000}"/>
    <cellStyle name="Input 6 2 3 2" xfId="10708" xr:uid="{00000000-0005-0000-0000-0000A07D0000}"/>
    <cellStyle name="Input 6 2 3 2 2" xfId="18501" xr:uid="{00000000-0005-0000-0000-0000A17D0000}"/>
    <cellStyle name="Input 6 2 3 2 2 2" xfId="44048" xr:uid="{00000000-0005-0000-0000-0000A27D0000}"/>
    <cellStyle name="Input 6 2 3 2 2 3" xfId="47957" xr:uid="{00000000-0005-0000-0000-0000A37D0000}"/>
    <cellStyle name="Input 6 2 3 2 2 4" xfId="36138" xr:uid="{00000000-0005-0000-0000-0000A47D0000}"/>
    <cellStyle name="Input 6 2 3 2 3" xfId="19603" xr:uid="{00000000-0005-0000-0000-0000A57D0000}"/>
    <cellStyle name="Input 6 2 3 2 3 2" xfId="45140" xr:uid="{00000000-0005-0000-0000-0000A67D0000}"/>
    <cellStyle name="Input 6 2 3 2 3 3" xfId="49046" xr:uid="{00000000-0005-0000-0000-0000A77D0000}"/>
    <cellStyle name="Input 6 2 3 2 3 4" xfId="37143" xr:uid="{00000000-0005-0000-0000-0000A87D0000}"/>
    <cellStyle name="Input 6 2 3 2 4" xfId="12827" xr:uid="{00000000-0005-0000-0000-0000A97D0000}"/>
    <cellStyle name="Input 6 2 3 2 4 2" xfId="42230" xr:uid="{00000000-0005-0000-0000-0000AA7D0000}"/>
    <cellStyle name="Input 6 2 3 2 4 3" xfId="43472" xr:uid="{00000000-0005-0000-0000-0000AB7D0000}"/>
    <cellStyle name="Input 6 2 3 2 4 4" xfId="30482" xr:uid="{00000000-0005-0000-0000-0000AC7D0000}"/>
    <cellStyle name="Input 6 2 3 2 5" xfId="20914" xr:uid="{00000000-0005-0000-0000-0000AD7D0000}"/>
    <cellStyle name="Input 6 2 3 2 5 2" xfId="46451" xr:uid="{00000000-0005-0000-0000-0000AE7D0000}"/>
    <cellStyle name="Input 6 2 3 2 5 3" xfId="50357" xr:uid="{00000000-0005-0000-0000-0000AF7D0000}"/>
    <cellStyle name="Input 6 2 3 2 5 4" xfId="38320" xr:uid="{00000000-0005-0000-0000-0000B07D0000}"/>
    <cellStyle name="Input 6 2 3 2 6" xfId="21567" xr:uid="{00000000-0005-0000-0000-0000B17D0000}"/>
    <cellStyle name="Input 6 2 3 2 6 2" xfId="47104" xr:uid="{00000000-0005-0000-0000-0000B27D0000}"/>
    <cellStyle name="Input 6 2 3 2 6 3" xfId="51010" xr:uid="{00000000-0005-0000-0000-0000B37D0000}"/>
    <cellStyle name="Input 6 2 3 2 7" xfId="40907" xr:uid="{00000000-0005-0000-0000-0000B47D0000}"/>
    <cellStyle name="Input 6 2 3 2 8" xfId="40248" xr:uid="{00000000-0005-0000-0000-0000B57D0000}"/>
    <cellStyle name="Input 6 2 3 3" xfId="11003" xr:uid="{00000000-0005-0000-0000-0000B67D0000}"/>
    <cellStyle name="Input 6 2 3 3 2" xfId="18796" xr:uid="{00000000-0005-0000-0000-0000B77D0000}"/>
    <cellStyle name="Input 6 2 3 3 2 2" xfId="44343" xr:uid="{00000000-0005-0000-0000-0000B87D0000}"/>
    <cellStyle name="Input 6 2 3 3 2 3" xfId="48252" xr:uid="{00000000-0005-0000-0000-0000B97D0000}"/>
    <cellStyle name="Input 6 2 3 3 2 4" xfId="36433" xr:uid="{00000000-0005-0000-0000-0000BA7D0000}"/>
    <cellStyle name="Input 6 2 3 3 3" xfId="11536" xr:uid="{00000000-0005-0000-0000-0000BB7D0000}"/>
    <cellStyle name="Input 6 2 3 3 3 2" xfId="41547" xr:uid="{00000000-0005-0000-0000-0000BC7D0000}"/>
    <cellStyle name="Input 6 2 3 3 3 3" xfId="43214" xr:uid="{00000000-0005-0000-0000-0000BD7D0000}"/>
    <cellStyle name="Input 6 2 3 3 3 4" xfId="29251" xr:uid="{00000000-0005-0000-0000-0000BE7D0000}"/>
    <cellStyle name="Input 6 2 3 3 4" xfId="20336" xr:uid="{00000000-0005-0000-0000-0000BF7D0000}"/>
    <cellStyle name="Input 6 2 3 3 4 2" xfId="45873" xr:uid="{00000000-0005-0000-0000-0000C07D0000}"/>
    <cellStyle name="Input 6 2 3 3 4 3" xfId="49779" xr:uid="{00000000-0005-0000-0000-0000C17D0000}"/>
    <cellStyle name="Input 6 2 3 3 4 4" xfId="37800" xr:uid="{00000000-0005-0000-0000-0000C27D0000}"/>
    <cellStyle name="Input 6 2 3 3 5" xfId="21209" xr:uid="{00000000-0005-0000-0000-0000C37D0000}"/>
    <cellStyle name="Input 6 2 3 3 5 2" xfId="46746" xr:uid="{00000000-0005-0000-0000-0000C47D0000}"/>
    <cellStyle name="Input 6 2 3 3 5 3" xfId="50652" xr:uid="{00000000-0005-0000-0000-0000C57D0000}"/>
    <cellStyle name="Input 6 2 3 3 5 4" xfId="38615" xr:uid="{00000000-0005-0000-0000-0000C67D0000}"/>
    <cellStyle name="Input 6 2 3 3 6" xfId="21862" xr:uid="{00000000-0005-0000-0000-0000C77D0000}"/>
    <cellStyle name="Input 6 2 3 3 6 2" xfId="47399" xr:uid="{00000000-0005-0000-0000-0000C87D0000}"/>
    <cellStyle name="Input 6 2 3 3 6 3" xfId="51305" xr:uid="{00000000-0005-0000-0000-0000C97D0000}"/>
    <cellStyle name="Input 6 2 3 3 7" xfId="41202" xr:uid="{00000000-0005-0000-0000-0000CA7D0000}"/>
    <cellStyle name="Input 6 2 3 3 8" xfId="40085" xr:uid="{00000000-0005-0000-0000-0000CB7D0000}"/>
    <cellStyle name="Input 6 2 3 4" xfId="14966" xr:uid="{00000000-0005-0000-0000-0000CC7D0000}"/>
    <cellStyle name="Input 6 2 3 4 2" xfId="43082" xr:uid="{00000000-0005-0000-0000-0000CD7D0000}"/>
    <cellStyle name="Input 6 2 3 4 3" xfId="39266" xr:uid="{00000000-0005-0000-0000-0000CE7D0000}"/>
    <cellStyle name="Input 6 2 3 4 4" xfId="32601" xr:uid="{00000000-0005-0000-0000-0000CF7D0000}"/>
    <cellStyle name="Input 6 2 3 5" xfId="13188" xr:uid="{00000000-0005-0000-0000-0000D07D0000}"/>
    <cellStyle name="Input 6 2 3 5 2" xfId="42409" xr:uid="{00000000-0005-0000-0000-0000D17D0000}"/>
    <cellStyle name="Input 6 2 3 5 3" xfId="39073" xr:uid="{00000000-0005-0000-0000-0000D27D0000}"/>
    <cellStyle name="Input 6 2 3 5 4" xfId="30837" xr:uid="{00000000-0005-0000-0000-0000D37D0000}"/>
    <cellStyle name="Input 6 2 3 6" xfId="12046" xr:uid="{00000000-0005-0000-0000-0000D47D0000}"/>
    <cellStyle name="Input 6 2 3 6 2" xfId="41802" xr:uid="{00000000-0005-0000-0000-0000D57D0000}"/>
    <cellStyle name="Input 6 2 3 6 3" xfId="47588" xr:uid="{00000000-0005-0000-0000-0000D67D0000}"/>
    <cellStyle name="Input 6 2 3 6 4" xfId="29725" xr:uid="{00000000-0005-0000-0000-0000D77D0000}"/>
    <cellStyle name="Input 6 2 3 7" xfId="19186" xr:uid="{00000000-0005-0000-0000-0000D87D0000}"/>
    <cellStyle name="Input 6 2 3 7 2" xfId="44723" xr:uid="{00000000-0005-0000-0000-0000D97D0000}"/>
    <cellStyle name="Input 6 2 3 7 3" xfId="48629" xr:uid="{00000000-0005-0000-0000-0000DA7D0000}"/>
    <cellStyle name="Input 6 2 3 7 4" xfId="36773" xr:uid="{00000000-0005-0000-0000-0000DB7D0000}"/>
    <cellStyle name="Input 6 2 3 8" xfId="13199" xr:uid="{00000000-0005-0000-0000-0000DC7D0000}"/>
    <cellStyle name="Input 6 2 3 8 2" xfId="42420" xr:uid="{00000000-0005-0000-0000-0000DD7D0000}"/>
    <cellStyle name="Input 6 2 3 8 3" xfId="47485" xr:uid="{00000000-0005-0000-0000-0000DE7D0000}"/>
    <cellStyle name="Input 6 2 3 9" xfId="39942" xr:uid="{00000000-0005-0000-0000-0000DF7D0000}"/>
    <cellStyle name="Input 6 2 4" xfId="53209" xr:uid="{00000000-0005-0000-0000-0000E07D0000}"/>
    <cellStyle name="Input 6 2_Sheet1" xfId="2023" xr:uid="{00000000-0005-0000-0000-0000E17D0000}"/>
    <cellStyle name="Input 6 3" xfId="2024" xr:uid="{00000000-0005-0000-0000-0000E27D0000}"/>
    <cellStyle name="Input 6 3 2" xfId="7180" xr:uid="{00000000-0005-0000-0000-0000E37D0000}"/>
    <cellStyle name="Input 6 3 2 10" xfId="43100" xr:uid="{00000000-0005-0000-0000-0000E47D0000}"/>
    <cellStyle name="Input 6 3 2 2" xfId="10710" xr:uid="{00000000-0005-0000-0000-0000E57D0000}"/>
    <cellStyle name="Input 6 3 2 2 2" xfId="18503" xr:uid="{00000000-0005-0000-0000-0000E67D0000}"/>
    <cellStyle name="Input 6 3 2 2 2 2" xfId="44050" xr:uid="{00000000-0005-0000-0000-0000E77D0000}"/>
    <cellStyle name="Input 6 3 2 2 2 3" xfId="47959" xr:uid="{00000000-0005-0000-0000-0000E87D0000}"/>
    <cellStyle name="Input 6 3 2 2 2 4" xfId="36140" xr:uid="{00000000-0005-0000-0000-0000E97D0000}"/>
    <cellStyle name="Input 6 3 2 2 3" xfId="19416" xr:uid="{00000000-0005-0000-0000-0000EA7D0000}"/>
    <cellStyle name="Input 6 3 2 2 3 2" xfId="44953" xr:uid="{00000000-0005-0000-0000-0000EB7D0000}"/>
    <cellStyle name="Input 6 3 2 2 3 3" xfId="48859" xr:uid="{00000000-0005-0000-0000-0000EC7D0000}"/>
    <cellStyle name="Input 6 3 2 2 3 4" xfId="36981" xr:uid="{00000000-0005-0000-0000-0000ED7D0000}"/>
    <cellStyle name="Input 6 3 2 2 4" xfId="20323" xr:uid="{00000000-0005-0000-0000-0000EE7D0000}"/>
    <cellStyle name="Input 6 3 2 2 4 2" xfId="45860" xr:uid="{00000000-0005-0000-0000-0000EF7D0000}"/>
    <cellStyle name="Input 6 3 2 2 4 3" xfId="49766" xr:uid="{00000000-0005-0000-0000-0000F07D0000}"/>
    <cellStyle name="Input 6 3 2 2 4 4" xfId="37787" xr:uid="{00000000-0005-0000-0000-0000F17D0000}"/>
    <cellStyle name="Input 6 3 2 2 5" xfId="20916" xr:uid="{00000000-0005-0000-0000-0000F27D0000}"/>
    <cellStyle name="Input 6 3 2 2 5 2" xfId="46453" xr:uid="{00000000-0005-0000-0000-0000F37D0000}"/>
    <cellStyle name="Input 6 3 2 2 5 3" xfId="50359" xr:uid="{00000000-0005-0000-0000-0000F47D0000}"/>
    <cellStyle name="Input 6 3 2 2 5 4" xfId="38322" xr:uid="{00000000-0005-0000-0000-0000F57D0000}"/>
    <cellStyle name="Input 6 3 2 2 6" xfId="21569" xr:uid="{00000000-0005-0000-0000-0000F67D0000}"/>
    <cellStyle name="Input 6 3 2 2 6 2" xfId="47106" xr:uid="{00000000-0005-0000-0000-0000F77D0000}"/>
    <cellStyle name="Input 6 3 2 2 6 3" xfId="51012" xr:uid="{00000000-0005-0000-0000-0000F87D0000}"/>
    <cellStyle name="Input 6 3 2 2 7" xfId="40909" xr:uid="{00000000-0005-0000-0000-0000F97D0000}"/>
    <cellStyle name="Input 6 3 2 2 8" xfId="39194" xr:uid="{00000000-0005-0000-0000-0000FA7D0000}"/>
    <cellStyle name="Input 6 3 2 3" xfId="11005" xr:uid="{00000000-0005-0000-0000-0000FB7D0000}"/>
    <cellStyle name="Input 6 3 2 3 2" xfId="18798" xr:uid="{00000000-0005-0000-0000-0000FC7D0000}"/>
    <cellStyle name="Input 6 3 2 3 2 2" xfId="44345" xr:uid="{00000000-0005-0000-0000-0000FD7D0000}"/>
    <cellStyle name="Input 6 3 2 3 2 3" xfId="48254" xr:uid="{00000000-0005-0000-0000-0000FE7D0000}"/>
    <cellStyle name="Input 6 3 2 3 2 4" xfId="36435" xr:uid="{00000000-0005-0000-0000-0000FF7D0000}"/>
    <cellStyle name="Input 6 3 2 3 3" xfId="13358" xr:uid="{00000000-0005-0000-0000-0000007E0000}"/>
    <cellStyle name="Input 6 3 2 3 3 2" xfId="42528" xr:uid="{00000000-0005-0000-0000-0000017E0000}"/>
    <cellStyle name="Input 6 3 2 3 3 3" xfId="40536" xr:uid="{00000000-0005-0000-0000-0000027E0000}"/>
    <cellStyle name="Input 6 3 2 3 3 4" xfId="30998" xr:uid="{00000000-0005-0000-0000-0000037E0000}"/>
    <cellStyle name="Input 6 3 2 3 4" xfId="20306" xr:uid="{00000000-0005-0000-0000-0000047E0000}"/>
    <cellStyle name="Input 6 3 2 3 4 2" xfId="45843" xr:uid="{00000000-0005-0000-0000-0000057E0000}"/>
    <cellStyle name="Input 6 3 2 3 4 3" xfId="49749" xr:uid="{00000000-0005-0000-0000-0000067E0000}"/>
    <cellStyle name="Input 6 3 2 3 4 4" xfId="37772" xr:uid="{00000000-0005-0000-0000-0000077E0000}"/>
    <cellStyle name="Input 6 3 2 3 5" xfId="21211" xr:uid="{00000000-0005-0000-0000-0000087E0000}"/>
    <cellStyle name="Input 6 3 2 3 5 2" xfId="46748" xr:uid="{00000000-0005-0000-0000-0000097E0000}"/>
    <cellStyle name="Input 6 3 2 3 5 3" xfId="50654" xr:uid="{00000000-0005-0000-0000-00000A7E0000}"/>
    <cellStyle name="Input 6 3 2 3 5 4" xfId="38617" xr:uid="{00000000-0005-0000-0000-00000B7E0000}"/>
    <cellStyle name="Input 6 3 2 3 6" xfId="21864" xr:uid="{00000000-0005-0000-0000-00000C7E0000}"/>
    <cellStyle name="Input 6 3 2 3 6 2" xfId="47401" xr:uid="{00000000-0005-0000-0000-00000D7E0000}"/>
    <cellStyle name="Input 6 3 2 3 6 3" xfId="51307" xr:uid="{00000000-0005-0000-0000-00000E7E0000}"/>
    <cellStyle name="Input 6 3 2 3 7" xfId="41204" xr:uid="{00000000-0005-0000-0000-00000F7E0000}"/>
    <cellStyle name="Input 6 3 2 3 8" xfId="43721" xr:uid="{00000000-0005-0000-0000-0000107E0000}"/>
    <cellStyle name="Input 6 3 2 4" xfId="14968" xr:uid="{00000000-0005-0000-0000-0000117E0000}"/>
    <cellStyle name="Input 6 3 2 4 2" xfId="43084" xr:uid="{00000000-0005-0000-0000-0000127E0000}"/>
    <cellStyle name="Input 6 3 2 4 3" xfId="43294" xr:uid="{00000000-0005-0000-0000-0000137E0000}"/>
    <cellStyle name="Input 6 3 2 4 4" xfId="32603" xr:uid="{00000000-0005-0000-0000-0000147E0000}"/>
    <cellStyle name="Input 6 3 2 5" xfId="13190" xr:uid="{00000000-0005-0000-0000-0000157E0000}"/>
    <cellStyle name="Input 6 3 2 5 2" xfId="42411" xr:uid="{00000000-0005-0000-0000-0000167E0000}"/>
    <cellStyle name="Input 6 3 2 5 3" xfId="47579" xr:uid="{00000000-0005-0000-0000-0000177E0000}"/>
    <cellStyle name="Input 6 3 2 5 4" xfId="30839" xr:uid="{00000000-0005-0000-0000-0000187E0000}"/>
    <cellStyle name="Input 6 3 2 6" xfId="19646" xr:uid="{00000000-0005-0000-0000-0000197E0000}"/>
    <cellStyle name="Input 6 3 2 6 2" xfId="45183" xr:uid="{00000000-0005-0000-0000-00001A7E0000}"/>
    <cellStyle name="Input 6 3 2 6 3" xfId="49089" xr:uid="{00000000-0005-0000-0000-00001B7E0000}"/>
    <cellStyle name="Input 6 3 2 6 4" xfId="37182" xr:uid="{00000000-0005-0000-0000-00001C7E0000}"/>
    <cellStyle name="Input 6 3 2 7" xfId="18941" xr:uid="{00000000-0005-0000-0000-00001D7E0000}"/>
    <cellStyle name="Input 6 3 2 7 2" xfId="44478" xr:uid="{00000000-0005-0000-0000-00001E7E0000}"/>
    <cellStyle name="Input 6 3 2 7 3" xfId="48384" xr:uid="{00000000-0005-0000-0000-00001F7E0000}"/>
    <cellStyle name="Input 6 3 2 7 4" xfId="36568" xr:uid="{00000000-0005-0000-0000-0000207E0000}"/>
    <cellStyle name="Input 6 3 2 8" xfId="19011" xr:uid="{00000000-0005-0000-0000-0000217E0000}"/>
    <cellStyle name="Input 6 3 2 8 2" xfId="44548" xr:uid="{00000000-0005-0000-0000-0000227E0000}"/>
    <cellStyle name="Input 6 3 2 8 3" xfId="48454" xr:uid="{00000000-0005-0000-0000-0000237E0000}"/>
    <cellStyle name="Input 6 3 2 9" xfId="39944" xr:uid="{00000000-0005-0000-0000-0000247E0000}"/>
    <cellStyle name="Input 6 3 3" xfId="53211" xr:uid="{00000000-0005-0000-0000-0000257E0000}"/>
    <cellStyle name="Input 6 4" xfId="7177" xr:uid="{00000000-0005-0000-0000-0000267E0000}"/>
    <cellStyle name="Input 6 4 10" xfId="41720" xr:uid="{00000000-0005-0000-0000-0000277E0000}"/>
    <cellStyle name="Input 6 4 2" xfId="10707" xr:uid="{00000000-0005-0000-0000-0000287E0000}"/>
    <cellStyle name="Input 6 4 2 2" xfId="18500" xr:uid="{00000000-0005-0000-0000-0000297E0000}"/>
    <cellStyle name="Input 6 4 2 2 2" xfId="44047" xr:uid="{00000000-0005-0000-0000-00002A7E0000}"/>
    <cellStyle name="Input 6 4 2 2 3" xfId="47956" xr:uid="{00000000-0005-0000-0000-00002B7E0000}"/>
    <cellStyle name="Input 6 4 2 2 4" xfId="36137" xr:uid="{00000000-0005-0000-0000-00002C7E0000}"/>
    <cellStyle name="Input 6 4 2 3" xfId="12163" xr:uid="{00000000-0005-0000-0000-00002D7E0000}"/>
    <cellStyle name="Input 6 4 2 3 2" xfId="41908" xr:uid="{00000000-0005-0000-0000-00002E7E0000}"/>
    <cellStyle name="Input 6 4 2 3 3" xfId="40454" xr:uid="{00000000-0005-0000-0000-00002F7E0000}"/>
    <cellStyle name="Input 6 4 2 3 4" xfId="29835" xr:uid="{00000000-0005-0000-0000-0000307E0000}"/>
    <cellStyle name="Input 6 4 2 4" xfId="12691" xr:uid="{00000000-0005-0000-0000-0000317E0000}"/>
    <cellStyle name="Input 6 4 2 4 2" xfId="42170" xr:uid="{00000000-0005-0000-0000-0000327E0000}"/>
    <cellStyle name="Input 6 4 2 4 3" xfId="42696" xr:uid="{00000000-0005-0000-0000-0000337E0000}"/>
    <cellStyle name="Input 6 4 2 4 4" xfId="30352" xr:uid="{00000000-0005-0000-0000-0000347E0000}"/>
    <cellStyle name="Input 6 4 2 5" xfId="20913" xr:uid="{00000000-0005-0000-0000-0000357E0000}"/>
    <cellStyle name="Input 6 4 2 5 2" xfId="46450" xr:uid="{00000000-0005-0000-0000-0000367E0000}"/>
    <cellStyle name="Input 6 4 2 5 3" xfId="50356" xr:uid="{00000000-0005-0000-0000-0000377E0000}"/>
    <cellStyle name="Input 6 4 2 5 4" xfId="38319" xr:uid="{00000000-0005-0000-0000-0000387E0000}"/>
    <cellStyle name="Input 6 4 2 6" xfId="21566" xr:uid="{00000000-0005-0000-0000-0000397E0000}"/>
    <cellStyle name="Input 6 4 2 6 2" xfId="47103" xr:uid="{00000000-0005-0000-0000-00003A7E0000}"/>
    <cellStyle name="Input 6 4 2 6 3" xfId="51009" xr:uid="{00000000-0005-0000-0000-00003B7E0000}"/>
    <cellStyle name="Input 6 4 2 7" xfId="40906" xr:uid="{00000000-0005-0000-0000-00003C7E0000}"/>
    <cellStyle name="Input 6 4 2 8" xfId="43386" xr:uid="{00000000-0005-0000-0000-00003D7E0000}"/>
    <cellStyle name="Input 6 4 3" xfId="11002" xr:uid="{00000000-0005-0000-0000-00003E7E0000}"/>
    <cellStyle name="Input 6 4 3 2" xfId="18795" xr:uid="{00000000-0005-0000-0000-00003F7E0000}"/>
    <cellStyle name="Input 6 4 3 2 2" xfId="44342" xr:uid="{00000000-0005-0000-0000-0000407E0000}"/>
    <cellStyle name="Input 6 4 3 2 3" xfId="48251" xr:uid="{00000000-0005-0000-0000-0000417E0000}"/>
    <cellStyle name="Input 6 4 3 2 4" xfId="36432" xr:uid="{00000000-0005-0000-0000-0000427E0000}"/>
    <cellStyle name="Input 6 4 3 3" xfId="19706" xr:uid="{00000000-0005-0000-0000-0000437E0000}"/>
    <cellStyle name="Input 6 4 3 3 2" xfId="45243" xr:uid="{00000000-0005-0000-0000-0000447E0000}"/>
    <cellStyle name="Input 6 4 3 3 3" xfId="49149" xr:uid="{00000000-0005-0000-0000-0000457E0000}"/>
    <cellStyle name="Input 6 4 3 3 4" xfId="37233" xr:uid="{00000000-0005-0000-0000-0000467E0000}"/>
    <cellStyle name="Input 6 4 3 4" xfId="11463" xr:uid="{00000000-0005-0000-0000-0000477E0000}"/>
    <cellStyle name="Input 6 4 3 4 2" xfId="41474" xr:uid="{00000000-0005-0000-0000-0000487E0000}"/>
    <cellStyle name="Input 6 4 3 4 3" xfId="43499" xr:uid="{00000000-0005-0000-0000-0000497E0000}"/>
    <cellStyle name="Input 6 4 3 4 4" xfId="29182" xr:uid="{00000000-0005-0000-0000-00004A7E0000}"/>
    <cellStyle name="Input 6 4 3 5" xfId="21208" xr:uid="{00000000-0005-0000-0000-00004B7E0000}"/>
    <cellStyle name="Input 6 4 3 5 2" xfId="46745" xr:uid="{00000000-0005-0000-0000-00004C7E0000}"/>
    <cellStyle name="Input 6 4 3 5 3" xfId="50651" xr:uid="{00000000-0005-0000-0000-00004D7E0000}"/>
    <cellStyle name="Input 6 4 3 5 4" xfId="38614" xr:uid="{00000000-0005-0000-0000-00004E7E0000}"/>
    <cellStyle name="Input 6 4 3 6" xfId="21861" xr:uid="{00000000-0005-0000-0000-00004F7E0000}"/>
    <cellStyle name="Input 6 4 3 6 2" xfId="47398" xr:uid="{00000000-0005-0000-0000-0000507E0000}"/>
    <cellStyle name="Input 6 4 3 6 3" xfId="51304" xr:uid="{00000000-0005-0000-0000-0000517E0000}"/>
    <cellStyle name="Input 6 4 3 7" xfId="41201" xr:uid="{00000000-0005-0000-0000-0000527E0000}"/>
    <cellStyle name="Input 6 4 3 8" xfId="43226" xr:uid="{00000000-0005-0000-0000-0000537E0000}"/>
    <cellStyle name="Input 6 4 4" xfId="14965" xr:uid="{00000000-0005-0000-0000-0000547E0000}"/>
    <cellStyle name="Input 6 4 4 2" xfId="43081" xr:uid="{00000000-0005-0000-0000-0000557E0000}"/>
    <cellStyle name="Input 6 4 4 3" xfId="40152" xr:uid="{00000000-0005-0000-0000-0000567E0000}"/>
    <cellStyle name="Input 6 4 4 4" xfId="32600" xr:uid="{00000000-0005-0000-0000-0000577E0000}"/>
    <cellStyle name="Input 6 4 5" xfId="13187" xr:uid="{00000000-0005-0000-0000-0000587E0000}"/>
    <cellStyle name="Input 6 4 5 2" xfId="42408" xr:uid="{00000000-0005-0000-0000-0000597E0000}"/>
    <cellStyle name="Input 6 4 5 3" xfId="39074" xr:uid="{00000000-0005-0000-0000-00005A7E0000}"/>
    <cellStyle name="Input 6 4 5 4" xfId="30836" xr:uid="{00000000-0005-0000-0000-00005B7E0000}"/>
    <cellStyle name="Input 6 4 6" xfId="19323" xr:uid="{00000000-0005-0000-0000-00005C7E0000}"/>
    <cellStyle name="Input 6 4 6 2" xfId="44860" xr:uid="{00000000-0005-0000-0000-00005D7E0000}"/>
    <cellStyle name="Input 6 4 6 3" xfId="48766" xr:uid="{00000000-0005-0000-0000-00005E7E0000}"/>
    <cellStyle name="Input 6 4 6 4" xfId="36901" xr:uid="{00000000-0005-0000-0000-00005F7E0000}"/>
    <cellStyle name="Input 6 4 7" xfId="11787" xr:uid="{00000000-0005-0000-0000-0000607E0000}"/>
    <cellStyle name="Input 6 4 7 2" xfId="41740" xr:uid="{00000000-0005-0000-0000-0000617E0000}"/>
    <cellStyle name="Input 6 4 7 3" xfId="39341" xr:uid="{00000000-0005-0000-0000-0000627E0000}"/>
    <cellStyle name="Input 6 4 7 4" xfId="29473" xr:uid="{00000000-0005-0000-0000-0000637E0000}"/>
    <cellStyle name="Input 6 4 8" xfId="20606" xr:uid="{00000000-0005-0000-0000-0000647E0000}"/>
    <cellStyle name="Input 6 4 8 2" xfId="46143" xr:uid="{00000000-0005-0000-0000-0000657E0000}"/>
    <cellStyle name="Input 6 4 8 3" xfId="50049" xr:uid="{00000000-0005-0000-0000-0000667E0000}"/>
    <cellStyle name="Input 6 4 9" xfId="39941" xr:uid="{00000000-0005-0000-0000-0000677E0000}"/>
    <cellStyle name="Input 6 5" xfId="53208" xr:uid="{00000000-0005-0000-0000-0000687E0000}"/>
    <cellStyle name="Input 6_Sheet1" xfId="2025" xr:uid="{00000000-0005-0000-0000-0000697E0000}"/>
    <cellStyle name="Input 7" xfId="2026" xr:uid="{00000000-0005-0000-0000-00006A7E0000}"/>
    <cellStyle name="Input 7 2" xfId="2027" xr:uid="{00000000-0005-0000-0000-00006B7E0000}"/>
    <cellStyle name="Input 7 2 2" xfId="2028" xr:uid="{00000000-0005-0000-0000-00006C7E0000}"/>
    <cellStyle name="Input 7 2 2 2" xfId="7183" xr:uid="{00000000-0005-0000-0000-00006D7E0000}"/>
    <cellStyle name="Input 7 2 2 2 10" xfId="39960" xr:uid="{00000000-0005-0000-0000-00006E7E0000}"/>
    <cellStyle name="Input 7 2 2 2 2" xfId="10713" xr:uid="{00000000-0005-0000-0000-00006F7E0000}"/>
    <cellStyle name="Input 7 2 2 2 2 2" xfId="18506" xr:uid="{00000000-0005-0000-0000-0000707E0000}"/>
    <cellStyle name="Input 7 2 2 2 2 2 2" xfId="44053" xr:uid="{00000000-0005-0000-0000-0000717E0000}"/>
    <cellStyle name="Input 7 2 2 2 2 2 3" xfId="47962" xr:uid="{00000000-0005-0000-0000-0000727E0000}"/>
    <cellStyle name="Input 7 2 2 2 2 2 4" xfId="36143" xr:uid="{00000000-0005-0000-0000-0000737E0000}"/>
    <cellStyle name="Input 7 2 2 2 2 3" xfId="19898" xr:uid="{00000000-0005-0000-0000-0000747E0000}"/>
    <cellStyle name="Input 7 2 2 2 2 3 2" xfId="45435" xr:uid="{00000000-0005-0000-0000-0000757E0000}"/>
    <cellStyle name="Input 7 2 2 2 2 3 3" xfId="49341" xr:uid="{00000000-0005-0000-0000-0000767E0000}"/>
    <cellStyle name="Input 7 2 2 2 2 3 4" xfId="37412" xr:uid="{00000000-0005-0000-0000-0000777E0000}"/>
    <cellStyle name="Input 7 2 2 2 2 4" xfId="13913" xr:uid="{00000000-0005-0000-0000-0000787E0000}"/>
    <cellStyle name="Input 7 2 2 2 2 4 2" xfId="42648" xr:uid="{00000000-0005-0000-0000-0000797E0000}"/>
    <cellStyle name="Input 7 2 2 2 2 4 3" xfId="39068" xr:uid="{00000000-0005-0000-0000-00007A7E0000}"/>
    <cellStyle name="Input 7 2 2 2 2 4 4" xfId="31550" xr:uid="{00000000-0005-0000-0000-00007B7E0000}"/>
    <cellStyle name="Input 7 2 2 2 2 5" xfId="20919" xr:uid="{00000000-0005-0000-0000-00007C7E0000}"/>
    <cellStyle name="Input 7 2 2 2 2 5 2" xfId="46456" xr:uid="{00000000-0005-0000-0000-00007D7E0000}"/>
    <cellStyle name="Input 7 2 2 2 2 5 3" xfId="50362" xr:uid="{00000000-0005-0000-0000-00007E7E0000}"/>
    <cellStyle name="Input 7 2 2 2 2 5 4" xfId="38325" xr:uid="{00000000-0005-0000-0000-00007F7E0000}"/>
    <cellStyle name="Input 7 2 2 2 2 6" xfId="21572" xr:uid="{00000000-0005-0000-0000-0000807E0000}"/>
    <cellStyle name="Input 7 2 2 2 2 6 2" xfId="47109" xr:uid="{00000000-0005-0000-0000-0000817E0000}"/>
    <cellStyle name="Input 7 2 2 2 2 6 3" xfId="51015" xr:uid="{00000000-0005-0000-0000-0000827E0000}"/>
    <cellStyle name="Input 7 2 2 2 2 7" xfId="40912" xr:uid="{00000000-0005-0000-0000-0000837E0000}"/>
    <cellStyle name="Input 7 2 2 2 2 8" xfId="40097" xr:uid="{00000000-0005-0000-0000-0000847E0000}"/>
    <cellStyle name="Input 7 2 2 2 3" xfId="11008" xr:uid="{00000000-0005-0000-0000-0000857E0000}"/>
    <cellStyle name="Input 7 2 2 2 3 2" xfId="18801" xr:uid="{00000000-0005-0000-0000-0000867E0000}"/>
    <cellStyle name="Input 7 2 2 2 3 2 2" xfId="44348" xr:uid="{00000000-0005-0000-0000-0000877E0000}"/>
    <cellStyle name="Input 7 2 2 2 3 2 3" xfId="48257" xr:uid="{00000000-0005-0000-0000-0000887E0000}"/>
    <cellStyle name="Input 7 2 2 2 3 2 4" xfId="36438" xr:uid="{00000000-0005-0000-0000-0000897E0000}"/>
    <cellStyle name="Input 7 2 2 2 3 3" xfId="20394" xr:uid="{00000000-0005-0000-0000-00008A7E0000}"/>
    <cellStyle name="Input 7 2 2 2 3 3 2" xfId="45931" xr:uid="{00000000-0005-0000-0000-00008B7E0000}"/>
    <cellStyle name="Input 7 2 2 2 3 3 3" xfId="49837" xr:uid="{00000000-0005-0000-0000-00008C7E0000}"/>
    <cellStyle name="Input 7 2 2 2 3 3 4" xfId="37848" xr:uid="{00000000-0005-0000-0000-00008D7E0000}"/>
    <cellStyle name="Input 7 2 2 2 3 4" xfId="20538" xr:uid="{00000000-0005-0000-0000-00008E7E0000}"/>
    <cellStyle name="Input 7 2 2 2 3 4 2" xfId="46075" xr:uid="{00000000-0005-0000-0000-00008F7E0000}"/>
    <cellStyle name="Input 7 2 2 2 3 4 3" xfId="49981" xr:uid="{00000000-0005-0000-0000-0000907E0000}"/>
    <cellStyle name="Input 7 2 2 2 3 4 4" xfId="37965" xr:uid="{00000000-0005-0000-0000-0000917E0000}"/>
    <cellStyle name="Input 7 2 2 2 3 5" xfId="21214" xr:uid="{00000000-0005-0000-0000-0000927E0000}"/>
    <cellStyle name="Input 7 2 2 2 3 5 2" xfId="46751" xr:uid="{00000000-0005-0000-0000-0000937E0000}"/>
    <cellStyle name="Input 7 2 2 2 3 5 3" xfId="50657" xr:uid="{00000000-0005-0000-0000-0000947E0000}"/>
    <cellStyle name="Input 7 2 2 2 3 5 4" xfId="38620" xr:uid="{00000000-0005-0000-0000-0000957E0000}"/>
    <cellStyle name="Input 7 2 2 2 3 6" xfId="21867" xr:uid="{00000000-0005-0000-0000-0000967E0000}"/>
    <cellStyle name="Input 7 2 2 2 3 6 2" xfId="47404" xr:uid="{00000000-0005-0000-0000-0000977E0000}"/>
    <cellStyle name="Input 7 2 2 2 3 6 3" xfId="51310" xr:uid="{00000000-0005-0000-0000-0000987E0000}"/>
    <cellStyle name="Input 7 2 2 2 3 7" xfId="41207" xr:uid="{00000000-0005-0000-0000-0000997E0000}"/>
    <cellStyle name="Input 7 2 2 2 3 8" xfId="42728" xr:uid="{00000000-0005-0000-0000-00009A7E0000}"/>
    <cellStyle name="Input 7 2 2 2 4" xfId="14971" xr:uid="{00000000-0005-0000-0000-00009B7E0000}"/>
    <cellStyle name="Input 7 2 2 2 4 2" xfId="43087" xr:uid="{00000000-0005-0000-0000-00009C7E0000}"/>
    <cellStyle name="Input 7 2 2 2 4 3" xfId="39057" xr:uid="{00000000-0005-0000-0000-00009D7E0000}"/>
    <cellStyle name="Input 7 2 2 2 4 4" xfId="32606" xr:uid="{00000000-0005-0000-0000-00009E7E0000}"/>
    <cellStyle name="Input 7 2 2 2 5" xfId="13191" xr:uid="{00000000-0005-0000-0000-00009F7E0000}"/>
    <cellStyle name="Input 7 2 2 2 5 2" xfId="42412" xr:uid="{00000000-0005-0000-0000-0000A07E0000}"/>
    <cellStyle name="Input 7 2 2 2 5 3" xfId="47487" xr:uid="{00000000-0005-0000-0000-0000A17E0000}"/>
    <cellStyle name="Input 7 2 2 2 5 4" xfId="30840" xr:uid="{00000000-0005-0000-0000-0000A27E0000}"/>
    <cellStyle name="Input 7 2 2 2 6" xfId="19529" xr:uid="{00000000-0005-0000-0000-0000A37E0000}"/>
    <cellStyle name="Input 7 2 2 2 6 2" xfId="45066" xr:uid="{00000000-0005-0000-0000-0000A47E0000}"/>
    <cellStyle name="Input 7 2 2 2 6 3" xfId="48972" xr:uid="{00000000-0005-0000-0000-0000A57E0000}"/>
    <cellStyle name="Input 7 2 2 2 6 4" xfId="37076" xr:uid="{00000000-0005-0000-0000-0000A67E0000}"/>
    <cellStyle name="Input 7 2 2 2 7" xfId="19639" xr:uid="{00000000-0005-0000-0000-0000A77E0000}"/>
    <cellStyle name="Input 7 2 2 2 7 2" xfId="45176" xr:uid="{00000000-0005-0000-0000-0000A87E0000}"/>
    <cellStyle name="Input 7 2 2 2 7 3" xfId="49082" xr:uid="{00000000-0005-0000-0000-0000A97E0000}"/>
    <cellStyle name="Input 7 2 2 2 7 4" xfId="37176" xr:uid="{00000000-0005-0000-0000-0000AA7E0000}"/>
    <cellStyle name="Input 7 2 2 2 8" xfId="19806" xr:uid="{00000000-0005-0000-0000-0000AB7E0000}"/>
    <cellStyle name="Input 7 2 2 2 8 2" xfId="45343" xr:uid="{00000000-0005-0000-0000-0000AC7E0000}"/>
    <cellStyle name="Input 7 2 2 2 8 3" xfId="49249" xr:uid="{00000000-0005-0000-0000-0000AD7E0000}"/>
    <cellStyle name="Input 7 2 2 2 9" xfId="39947" xr:uid="{00000000-0005-0000-0000-0000AE7E0000}"/>
    <cellStyle name="Input 7 2 2 3" xfId="53214" xr:uid="{00000000-0005-0000-0000-0000AF7E0000}"/>
    <cellStyle name="Input 7 2 3" xfId="7182" xr:uid="{00000000-0005-0000-0000-0000B07E0000}"/>
    <cellStyle name="Input 7 2 3 10" xfId="40626" xr:uid="{00000000-0005-0000-0000-0000B17E0000}"/>
    <cellStyle name="Input 7 2 3 2" xfId="10712" xr:uid="{00000000-0005-0000-0000-0000B27E0000}"/>
    <cellStyle name="Input 7 2 3 2 2" xfId="18505" xr:uid="{00000000-0005-0000-0000-0000B37E0000}"/>
    <cellStyle name="Input 7 2 3 2 2 2" xfId="44052" xr:uid="{00000000-0005-0000-0000-0000B47E0000}"/>
    <cellStyle name="Input 7 2 3 2 2 3" xfId="47961" xr:uid="{00000000-0005-0000-0000-0000B57E0000}"/>
    <cellStyle name="Input 7 2 3 2 2 4" xfId="36142" xr:uid="{00000000-0005-0000-0000-0000B67E0000}"/>
    <cellStyle name="Input 7 2 3 2 3" xfId="19289" xr:uid="{00000000-0005-0000-0000-0000B77E0000}"/>
    <cellStyle name="Input 7 2 3 2 3 2" xfId="44826" xr:uid="{00000000-0005-0000-0000-0000B87E0000}"/>
    <cellStyle name="Input 7 2 3 2 3 3" xfId="48732" xr:uid="{00000000-0005-0000-0000-0000B97E0000}"/>
    <cellStyle name="Input 7 2 3 2 3 4" xfId="36867" xr:uid="{00000000-0005-0000-0000-0000BA7E0000}"/>
    <cellStyle name="Input 7 2 3 2 4" xfId="12666" xr:uid="{00000000-0005-0000-0000-0000BB7E0000}"/>
    <cellStyle name="Input 7 2 3 2 4 2" xfId="42145" xr:uid="{00000000-0005-0000-0000-0000BC7E0000}"/>
    <cellStyle name="Input 7 2 3 2 4 3" xfId="43199" xr:uid="{00000000-0005-0000-0000-0000BD7E0000}"/>
    <cellStyle name="Input 7 2 3 2 4 4" xfId="30330" xr:uid="{00000000-0005-0000-0000-0000BE7E0000}"/>
    <cellStyle name="Input 7 2 3 2 5" xfId="20918" xr:uid="{00000000-0005-0000-0000-0000BF7E0000}"/>
    <cellStyle name="Input 7 2 3 2 5 2" xfId="46455" xr:uid="{00000000-0005-0000-0000-0000C07E0000}"/>
    <cellStyle name="Input 7 2 3 2 5 3" xfId="50361" xr:uid="{00000000-0005-0000-0000-0000C17E0000}"/>
    <cellStyle name="Input 7 2 3 2 5 4" xfId="38324" xr:uid="{00000000-0005-0000-0000-0000C27E0000}"/>
    <cellStyle name="Input 7 2 3 2 6" xfId="21571" xr:uid="{00000000-0005-0000-0000-0000C37E0000}"/>
    <cellStyle name="Input 7 2 3 2 6 2" xfId="47108" xr:uid="{00000000-0005-0000-0000-0000C47E0000}"/>
    <cellStyle name="Input 7 2 3 2 6 3" xfId="51014" xr:uid="{00000000-0005-0000-0000-0000C57E0000}"/>
    <cellStyle name="Input 7 2 3 2 7" xfId="40911" xr:uid="{00000000-0005-0000-0000-0000C67E0000}"/>
    <cellStyle name="Input 7 2 3 2 8" xfId="43238" xr:uid="{00000000-0005-0000-0000-0000C77E0000}"/>
    <cellStyle name="Input 7 2 3 3" xfId="11007" xr:uid="{00000000-0005-0000-0000-0000C87E0000}"/>
    <cellStyle name="Input 7 2 3 3 2" xfId="18800" xr:uid="{00000000-0005-0000-0000-0000C97E0000}"/>
    <cellStyle name="Input 7 2 3 3 2 2" xfId="44347" xr:uid="{00000000-0005-0000-0000-0000CA7E0000}"/>
    <cellStyle name="Input 7 2 3 3 2 3" xfId="48256" xr:uid="{00000000-0005-0000-0000-0000CB7E0000}"/>
    <cellStyle name="Input 7 2 3 3 2 4" xfId="36437" xr:uid="{00000000-0005-0000-0000-0000CC7E0000}"/>
    <cellStyle name="Input 7 2 3 3 3" xfId="20393" xr:uid="{00000000-0005-0000-0000-0000CD7E0000}"/>
    <cellStyle name="Input 7 2 3 3 3 2" xfId="45930" xr:uid="{00000000-0005-0000-0000-0000CE7E0000}"/>
    <cellStyle name="Input 7 2 3 3 3 3" xfId="49836" xr:uid="{00000000-0005-0000-0000-0000CF7E0000}"/>
    <cellStyle name="Input 7 2 3 3 3 4" xfId="37847" xr:uid="{00000000-0005-0000-0000-0000D07E0000}"/>
    <cellStyle name="Input 7 2 3 3 4" xfId="20537" xr:uid="{00000000-0005-0000-0000-0000D17E0000}"/>
    <cellStyle name="Input 7 2 3 3 4 2" xfId="46074" xr:uid="{00000000-0005-0000-0000-0000D27E0000}"/>
    <cellStyle name="Input 7 2 3 3 4 3" xfId="49980" xr:uid="{00000000-0005-0000-0000-0000D37E0000}"/>
    <cellStyle name="Input 7 2 3 3 4 4" xfId="37964" xr:uid="{00000000-0005-0000-0000-0000D47E0000}"/>
    <cellStyle name="Input 7 2 3 3 5" xfId="21213" xr:uid="{00000000-0005-0000-0000-0000D57E0000}"/>
    <cellStyle name="Input 7 2 3 3 5 2" xfId="46750" xr:uid="{00000000-0005-0000-0000-0000D67E0000}"/>
    <cellStyle name="Input 7 2 3 3 5 3" xfId="50656" xr:uid="{00000000-0005-0000-0000-0000D77E0000}"/>
    <cellStyle name="Input 7 2 3 3 5 4" xfId="38619" xr:uid="{00000000-0005-0000-0000-0000D87E0000}"/>
    <cellStyle name="Input 7 2 3 3 6" xfId="21866" xr:uid="{00000000-0005-0000-0000-0000D97E0000}"/>
    <cellStyle name="Input 7 2 3 3 6 2" xfId="47403" xr:uid="{00000000-0005-0000-0000-0000DA7E0000}"/>
    <cellStyle name="Input 7 2 3 3 6 3" xfId="51309" xr:uid="{00000000-0005-0000-0000-0000DB7E0000}"/>
    <cellStyle name="Input 7 2 3 3 7" xfId="41206" xr:uid="{00000000-0005-0000-0000-0000DC7E0000}"/>
    <cellStyle name="Input 7 2 3 3 8" xfId="39691" xr:uid="{00000000-0005-0000-0000-0000DD7E0000}"/>
    <cellStyle name="Input 7 2 3 4" xfId="14970" xr:uid="{00000000-0005-0000-0000-0000DE7E0000}"/>
    <cellStyle name="Input 7 2 3 4 2" xfId="43086" xr:uid="{00000000-0005-0000-0000-0000DF7E0000}"/>
    <cellStyle name="Input 7 2 3 4 3" xfId="39267" xr:uid="{00000000-0005-0000-0000-0000E07E0000}"/>
    <cellStyle name="Input 7 2 3 4 4" xfId="32605" xr:uid="{00000000-0005-0000-0000-0000E17E0000}"/>
    <cellStyle name="Input 7 2 3 5" xfId="11327" xr:uid="{00000000-0005-0000-0000-0000E27E0000}"/>
    <cellStyle name="Input 7 2 3 5 2" xfId="41372" xr:uid="{00000000-0005-0000-0000-0000E37E0000}"/>
    <cellStyle name="Input 7 2 3 5 3" xfId="42588" xr:uid="{00000000-0005-0000-0000-0000E47E0000}"/>
    <cellStyle name="Input 7 2 3 5 4" xfId="29055" xr:uid="{00000000-0005-0000-0000-0000E57E0000}"/>
    <cellStyle name="Input 7 2 3 6" xfId="13200" xr:uid="{00000000-0005-0000-0000-0000E67E0000}"/>
    <cellStyle name="Input 7 2 3 6 2" xfId="42421" xr:uid="{00000000-0005-0000-0000-0000E77E0000}"/>
    <cellStyle name="Input 7 2 3 6 3" xfId="41966" xr:uid="{00000000-0005-0000-0000-0000E87E0000}"/>
    <cellStyle name="Input 7 2 3 6 4" xfId="30847" xr:uid="{00000000-0005-0000-0000-0000E97E0000}"/>
    <cellStyle name="Input 7 2 3 7" xfId="12071" xr:uid="{00000000-0005-0000-0000-0000EA7E0000}"/>
    <cellStyle name="Input 7 2 3 7 2" xfId="41820" xr:uid="{00000000-0005-0000-0000-0000EB7E0000}"/>
    <cellStyle name="Input 7 2 3 7 3" xfId="39567" xr:uid="{00000000-0005-0000-0000-0000EC7E0000}"/>
    <cellStyle name="Input 7 2 3 7 4" xfId="29749" xr:uid="{00000000-0005-0000-0000-0000ED7E0000}"/>
    <cellStyle name="Input 7 2 3 8" xfId="19007" xr:uid="{00000000-0005-0000-0000-0000EE7E0000}"/>
    <cellStyle name="Input 7 2 3 8 2" xfId="44544" xr:uid="{00000000-0005-0000-0000-0000EF7E0000}"/>
    <cellStyle name="Input 7 2 3 8 3" xfId="48450" xr:uid="{00000000-0005-0000-0000-0000F07E0000}"/>
    <cellStyle name="Input 7 2 3 9" xfId="39946" xr:uid="{00000000-0005-0000-0000-0000F17E0000}"/>
    <cellStyle name="Input 7 2 4" xfId="53213" xr:uid="{00000000-0005-0000-0000-0000F27E0000}"/>
    <cellStyle name="Input 7 2_Sheet1" xfId="2029" xr:uid="{00000000-0005-0000-0000-0000F37E0000}"/>
    <cellStyle name="Input 7 3" xfId="2030" xr:uid="{00000000-0005-0000-0000-0000F47E0000}"/>
    <cellStyle name="Input 7 3 2" xfId="7184" xr:uid="{00000000-0005-0000-0000-0000F57E0000}"/>
    <cellStyle name="Input 7 3 2 10" xfId="42760" xr:uid="{00000000-0005-0000-0000-0000F67E0000}"/>
    <cellStyle name="Input 7 3 2 2" xfId="10714" xr:uid="{00000000-0005-0000-0000-0000F77E0000}"/>
    <cellStyle name="Input 7 3 2 2 2" xfId="18507" xr:uid="{00000000-0005-0000-0000-0000F87E0000}"/>
    <cellStyle name="Input 7 3 2 2 2 2" xfId="44054" xr:uid="{00000000-0005-0000-0000-0000F97E0000}"/>
    <cellStyle name="Input 7 3 2 2 2 3" xfId="47963" xr:uid="{00000000-0005-0000-0000-0000FA7E0000}"/>
    <cellStyle name="Input 7 3 2 2 2 4" xfId="36144" xr:uid="{00000000-0005-0000-0000-0000FB7E0000}"/>
    <cellStyle name="Input 7 3 2 2 3" xfId="19121" xr:uid="{00000000-0005-0000-0000-0000FC7E0000}"/>
    <cellStyle name="Input 7 3 2 2 3 2" xfId="44658" xr:uid="{00000000-0005-0000-0000-0000FD7E0000}"/>
    <cellStyle name="Input 7 3 2 2 3 3" xfId="48564" xr:uid="{00000000-0005-0000-0000-0000FE7E0000}"/>
    <cellStyle name="Input 7 3 2 2 3 4" xfId="36716" xr:uid="{00000000-0005-0000-0000-0000FF7E0000}"/>
    <cellStyle name="Input 7 3 2 2 4" xfId="20258" xr:uid="{00000000-0005-0000-0000-0000007F0000}"/>
    <cellStyle name="Input 7 3 2 2 4 2" xfId="45795" xr:uid="{00000000-0005-0000-0000-0000017F0000}"/>
    <cellStyle name="Input 7 3 2 2 4 3" xfId="49701" xr:uid="{00000000-0005-0000-0000-0000027F0000}"/>
    <cellStyle name="Input 7 3 2 2 4 4" xfId="37729" xr:uid="{00000000-0005-0000-0000-0000037F0000}"/>
    <cellStyle name="Input 7 3 2 2 5" xfId="20920" xr:uid="{00000000-0005-0000-0000-0000047F0000}"/>
    <cellStyle name="Input 7 3 2 2 5 2" xfId="46457" xr:uid="{00000000-0005-0000-0000-0000057F0000}"/>
    <cellStyle name="Input 7 3 2 2 5 3" xfId="50363" xr:uid="{00000000-0005-0000-0000-0000067F0000}"/>
    <cellStyle name="Input 7 3 2 2 5 4" xfId="38326" xr:uid="{00000000-0005-0000-0000-0000077F0000}"/>
    <cellStyle name="Input 7 3 2 2 6" xfId="21573" xr:uid="{00000000-0005-0000-0000-0000087F0000}"/>
    <cellStyle name="Input 7 3 2 2 6 2" xfId="47110" xr:uid="{00000000-0005-0000-0000-0000097F0000}"/>
    <cellStyle name="Input 7 3 2 2 6 3" xfId="51016" xr:uid="{00000000-0005-0000-0000-00000A7F0000}"/>
    <cellStyle name="Input 7 3 2 2 7" xfId="40913" xr:uid="{00000000-0005-0000-0000-00000B7F0000}"/>
    <cellStyle name="Input 7 3 2 2 8" xfId="42846" xr:uid="{00000000-0005-0000-0000-00000C7F0000}"/>
    <cellStyle name="Input 7 3 2 3" xfId="11009" xr:uid="{00000000-0005-0000-0000-00000D7F0000}"/>
    <cellStyle name="Input 7 3 2 3 2" xfId="18802" xr:uid="{00000000-0005-0000-0000-00000E7F0000}"/>
    <cellStyle name="Input 7 3 2 3 2 2" xfId="44349" xr:uid="{00000000-0005-0000-0000-00000F7F0000}"/>
    <cellStyle name="Input 7 3 2 3 2 3" xfId="48258" xr:uid="{00000000-0005-0000-0000-0000107F0000}"/>
    <cellStyle name="Input 7 3 2 3 2 4" xfId="36439" xr:uid="{00000000-0005-0000-0000-0000117F0000}"/>
    <cellStyle name="Input 7 3 2 3 3" xfId="20395" xr:uid="{00000000-0005-0000-0000-0000127F0000}"/>
    <cellStyle name="Input 7 3 2 3 3 2" xfId="45932" xr:uid="{00000000-0005-0000-0000-0000137F0000}"/>
    <cellStyle name="Input 7 3 2 3 3 3" xfId="49838" xr:uid="{00000000-0005-0000-0000-0000147F0000}"/>
    <cellStyle name="Input 7 3 2 3 3 4" xfId="37849" xr:uid="{00000000-0005-0000-0000-0000157F0000}"/>
    <cellStyle name="Input 7 3 2 3 4" xfId="20539" xr:uid="{00000000-0005-0000-0000-0000167F0000}"/>
    <cellStyle name="Input 7 3 2 3 4 2" xfId="46076" xr:uid="{00000000-0005-0000-0000-0000177F0000}"/>
    <cellStyle name="Input 7 3 2 3 4 3" xfId="49982" xr:uid="{00000000-0005-0000-0000-0000187F0000}"/>
    <cellStyle name="Input 7 3 2 3 4 4" xfId="37966" xr:uid="{00000000-0005-0000-0000-0000197F0000}"/>
    <cellStyle name="Input 7 3 2 3 5" xfId="21215" xr:uid="{00000000-0005-0000-0000-00001A7F0000}"/>
    <cellStyle name="Input 7 3 2 3 5 2" xfId="46752" xr:uid="{00000000-0005-0000-0000-00001B7F0000}"/>
    <cellStyle name="Input 7 3 2 3 5 3" xfId="50658" xr:uid="{00000000-0005-0000-0000-00001C7F0000}"/>
    <cellStyle name="Input 7 3 2 3 5 4" xfId="38621" xr:uid="{00000000-0005-0000-0000-00001D7F0000}"/>
    <cellStyle name="Input 7 3 2 3 6" xfId="21868" xr:uid="{00000000-0005-0000-0000-00001E7F0000}"/>
    <cellStyle name="Input 7 3 2 3 6 2" xfId="47405" xr:uid="{00000000-0005-0000-0000-00001F7F0000}"/>
    <cellStyle name="Input 7 3 2 3 6 3" xfId="51311" xr:uid="{00000000-0005-0000-0000-0000207F0000}"/>
    <cellStyle name="Input 7 3 2 3 7" xfId="41208" xr:uid="{00000000-0005-0000-0000-0000217F0000}"/>
    <cellStyle name="Input 7 3 2 3 8" xfId="43617" xr:uid="{00000000-0005-0000-0000-0000227F0000}"/>
    <cellStyle name="Input 7 3 2 4" xfId="14972" xr:uid="{00000000-0005-0000-0000-0000237F0000}"/>
    <cellStyle name="Input 7 3 2 4 2" xfId="43088" xr:uid="{00000000-0005-0000-0000-0000247F0000}"/>
    <cellStyle name="Input 7 3 2 4 3" xfId="41285" xr:uid="{00000000-0005-0000-0000-0000257F0000}"/>
    <cellStyle name="Input 7 3 2 4 4" xfId="32607" xr:uid="{00000000-0005-0000-0000-0000267F0000}"/>
    <cellStyle name="Input 7 3 2 5" xfId="13192" xr:uid="{00000000-0005-0000-0000-0000277F0000}"/>
    <cellStyle name="Input 7 3 2 5 2" xfId="42413" xr:uid="{00000000-0005-0000-0000-0000287F0000}"/>
    <cellStyle name="Input 7 3 2 5 3" xfId="43169" xr:uid="{00000000-0005-0000-0000-0000297F0000}"/>
    <cellStyle name="Input 7 3 2 5 4" xfId="30841" xr:uid="{00000000-0005-0000-0000-00002A7F0000}"/>
    <cellStyle name="Input 7 3 2 6" xfId="11789" xr:uid="{00000000-0005-0000-0000-00002B7F0000}"/>
    <cellStyle name="Input 7 3 2 6 2" xfId="41742" xr:uid="{00000000-0005-0000-0000-00002C7F0000}"/>
    <cellStyle name="Input 7 3 2 6 3" xfId="39156" xr:uid="{00000000-0005-0000-0000-00002D7F0000}"/>
    <cellStyle name="Input 7 3 2 6 4" xfId="29475" xr:uid="{00000000-0005-0000-0000-00002E7F0000}"/>
    <cellStyle name="Input 7 3 2 7" xfId="20513" xr:uid="{00000000-0005-0000-0000-00002F7F0000}"/>
    <cellStyle name="Input 7 3 2 7 2" xfId="46050" xr:uid="{00000000-0005-0000-0000-0000307F0000}"/>
    <cellStyle name="Input 7 3 2 7 3" xfId="49956" xr:uid="{00000000-0005-0000-0000-0000317F0000}"/>
    <cellStyle name="Input 7 3 2 7 4" xfId="37949" xr:uid="{00000000-0005-0000-0000-0000327F0000}"/>
    <cellStyle name="Input 7 3 2 8" xfId="12697" xr:uid="{00000000-0005-0000-0000-0000337F0000}"/>
    <cellStyle name="Input 7 3 2 8 2" xfId="42176" xr:uid="{00000000-0005-0000-0000-0000347F0000}"/>
    <cellStyle name="Input 7 3 2 8 3" xfId="40337" xr:uid="{00000000-0005-0000-0000-0000357F0000}"/>
    <cellStyle name="Input 7 3 2 9" xfId="39948" xr:uid="{00000000-0005-0000-0000-0000367F0000}"/>
    <cellStyle name="Input 7 3 3" xfId="53215" xr:uid="{00000000-0005-0000-0000-0000377F0000}"/>
    <cellStyle name="Input 7 4" xfId="7181" xr:uid="{00000000-0005-0000-0000-0000387F0000}"/>
    <cellStyle name="Input 7 4 10" xfId="43767" xr:uid="{00000000-0005-0000-0000-0000397F0000}"/>
    <cellStyle name="Input 7 4 11" xfId="53216" xr:uid="{00000000-0005-0000-0000-00003A7F0000}"/>
    <cellStyle name="Input 7 4 2" xfId="10711" xr:uid="{00000000-0005-0000-0000-00003B7F0000}"/>
    <cellStyle name="Input 7 4 2 2" xfId="18504" xr:uid="{00000000-0005-0000-0000-00003C7F0000}"/>
    <cellStyle name="Input 7 4 2 2 2" xfId="44051" xr:uid="{00000000-0005-0000-0000-00003D7F0000}"/>
    <cellStyle name="Input 7 4 2 2 3" xfId="47960" xr:uid="{00000000-0005-0000-0000-00003E7F0000}"/>
    <cellStyle name="Input 7 4 2 2 4" xfId="36141" xr:uid="{00000000-0005-0000-0000-00003F7F0000}"/>
    <cellStyle name="Input 7 4 2 3" xfId="20023" xr:uid="{00000000-0005-0000-0000-0000407F0000}"/>
    <cellStyle name="Input 7 4 2 3 2" xfId="45560" xr:uid="{00000000-0005-0000-0000-0000417F0000}"/>
    <cellStyle name="Input 7 4 2 3 3" xfId="49466" xr:uid="{00000000-0005-0000-0000-0000427F0000}"/>
    <cellStyle name="Input 7 4 2 3 4" xfId="37521" xr:uid="{00000000-0005-0000-0000-0000437F0000}"/>
    <cellStyle name="Input 7 4 2 4" xfId="11804" xr:uid="{00000000-0005-0000-0000-0000447F0000}"/>
    <cellStyle name="Input 7 4 2 4 2" xfId="41753" xr:uid="{00000000-0005-0000-0000-0000457F0000}"/>
    <cellStyle name="Input 7 4 2 4 3" xfId="43207" xr:uid="{00000000-0005-0000-0000-0000467F0000}"/>
    <cellStyle name="Input 7 4 2 4 4" xfId="29490" xr:uid="{00000000-0005-0000-0000-0000477F0000}"/>
    <cellStyle name="Input 7 4 2 5" xfId="20917" xr:uid="{00000000-0005-0000-0000-0000487F0000}"/>
    <cellStyle name="Input 7 4 2 5 2" xfId="46454" xr:uid="{00000000-0005-0000-0000-0000497F0000}"/>
    <cellStyle name="Input 7 4 2 5 3" xfId="50360" xr:uid="{00000000-0005-0000-0000-00004A7F0000}"/>
    <cellStyle name="Input 7 4 2 5 4" xfId="38323" xr:uid="{00000000-0005-0000-0000-00004B7F0000}"/>
    <cellStyle name="Input 7 4 2 6" xfId="21570" xr:uid="{00000000-0005-0000-0000-00004C7F0000}"/>
    <cellStyle name="Input 7 4 2 6 2" xfId="47107" xr:uid="{00000000-0005-0000-0000-00004D7F0000}"/>
    <cellStyle name="Input 7 4 2 6 3" xfId="51013" xr:uid="{00000000-0005-0000-0000-00004E7F0000}"/>
    <cellStyle name="Input 7 4 2 7" xfId="40910" xr:uid="{00000000-0005-0000-0000-00004F7F0000}"/>
    <cellStyle name="Input 7 4 2 8" xfId="41435" xr:uid="{00000000-0005-0000-0000-0000507F0000}"/>
    <cellStyle name="Input 7 4 3" xfId="11006" xr:uid="{00000000-0005-0000-0000-0000517F0000}"/>
    <cellStyle name="Input 7 4 3 2" xfId="18799" xr:uid="{00000000-0005-0000-0000-0000527F0000}"/>
    <cellStyle name="Input 7 4 3 2 2" xfId="44346" xr:uid="{00000000-0005-0000-0000-0000537F0000}"/>
    <cellStyle name="Input 7 4 3 2 3" xfId="48255" xr:uid="{00000000-0005-0000-0000-0000547F0000}"/>
    <cellStyle name="Input 7 4 3 2 4" xfId="36436" xr:uid="{00000000-0005-0000-0000-0000557F0000}"/>
    <cellStyle name="Input 7 4 3 3" xfId="19576" xr:uid="{00000000-0005-0000-0000-0000567F0000}"/>
    <cellStyle name="Input 7 4 3 3 2" xfId="45113" xr:uid="{00000000-0005-0000-0000-0000577F0000}"/>
    <cellStyle name="Input 7 4 3 3 3" xfId="49019" xr:uid="{00000000-0005-0000-0000-0000587F0000}"/>
    <cellStyle name="Input 7 4 3 3 4" xfId="37116" xr:uid="{00000000-0005-0000-0000-0000597F0000}"/>
    <cellStyle name="Input 7 4 3 4" xfId="18935" xr:uid="{00000000-0005-0000-0000-00005A7F0000}"/>
    <cellStyle name="Input 7 4 3 4 2" xfId="44472" xr:uid="{00000000-0005-0000-0000-00005B7F0000}"/>
    <cellStyle name="Input 7 4 3 4 3" xfId="48378" xr:uid="{00000000-0005-0000-0000-00005C7F0000}"/>
    <cellStyle name="Input 7 4 3 4 4" xfId="36562" xr:uid="{00000000-0005-0000-0000-00005D7F0000}"/>
    <cellStyle name="Input 7 4 3 5" xfId="21212" xr:uid="{00000000-0005-0000-0000-00005E7F0000}"/>
    <cellStyle name="Input 7 4 3 5 2" xfId="46749" xr:uid="{00000000-0005-0000-0000-00005F7F0000}"/>
    <cellStyle name="Input 7 4 3 5 3" xfId="50655" xr:uid="{00000000-0005-0000-0000-0000607F0000}"/>
    <cellStyle name="Input 7 4 3 5 4" xfId="38618" xr:uid="{00000000-0005-0000-0000-0000617F0000}"/>
    <cellStyle name="Input 7 4 3 6" xfId="21865" xr:uid="{00000000-0005-0000-0000-0000627F0000}"/>
    <cellStyle name="Input 7 4 3 6 2" xfId="47402" xr:uid="{00000000-0005-0000-0000-0000637F0000}"/>
    <cellStyle name="Input 7 4 3 6 3" xfId="51308" xr:uid="{00000000-0005-0000-0000-0000647F0000}"/>
    <cellStyle name="Input 7 4 3 7" xfId="41205" xr:uid="{00000000-0005-0000-0000-0000657F0000}"/>
    <cellStyle name="Input 7 4 3 8" xfId="40580" xr:uid="{00000000-0005-0000-0000-0000667F0000}"/>
    <cellStyle name="Input 7 4 4" xfId="14969" xr:uid="{00000000-0005-0000-0000-0000677F0000}"/>
    <cellStyle name="Input 7 4 4 2" xfId="43085" xr:uid="{00000000-0005-0000-0000-0000687F0000}"/>
    <cellStyle name="Input 7 4 4 3" xfId="40153" xr:uid="{00000000-0005-0000-0000-0000697F0000}"/>
    <cellStyle name="Input 7 4 4 4" xfId="32604" xr:uid="{00000000-0005-0000-0000-00006A7F0000}"/>
    <cellStyle name="Input 7 4 5" xfId="11326" xr:uid="{00000000-0005-0000-0000-00006B7F0000}"/>
    <cellStyle name="Input 7 4 5 2" xfId="41371" xr:uid="{00000000-0005-0000-0000-00006C7F0000}"/>
    <cellStyle name="Input 7 4 5 3" xfId="39581" xr:uid="{00000000-0005-0000-0000-00006D7F0000}"/>
    <cellStyle name="Input 7 4 5 4" xfId="29054" xr:uid="{00000000-0005-0000-0000-00006E7F0000}"/>
    <cellStyle name="Input 7 4 6" xfId="11465" xr:uid="{00000000-0005-0000-0000-00006F7F0000}"/>
    <cellStyle name="Input 7 4 6 2" xfId="41476" xr:uid="{00000000-0005-0000-0000-0000707F0000}"/>
    <cellStyle name="Input 7 4 6 3" xfId="39472" xr:uid="{00000000-0005-0000-0000-0000717F0000}"/>
    <cellStyle name="Input 7 4 6 4" xfId="29183" xr:uid="{00000000-0005-0000-0000-0000727F0000}"/>
    <cellStyle name="Input 7 4 7" xfId="19466" xr:uid="{00000000-0005-0000-0000-0000737F0000}"/>
    <cellStyle name="Input 7 4 7 2" xfId="45003" xr:uid="{00000000-0005-0000-0000-0000747F0000}"/>
    <cellStyle name="Input 7 4 7 3" xfId="48909" xr:uid="{00000000-0005-0000-0000-0000757F0000}"/>
    <cellStyle name="Input 7 4 7 4" xfId="37024" xr:uid="{00000000-0005-0000-0000-0000767F0000}"/>
    <cellStyle name="Input 7 4 8" xfId="19462" xr:uid="{00000000-0005-0000-0000-0000777F0000}"/>
    <cellStyle name="Input 7 4 8 2" xfId="44999" xr:uid="{00000000-0005-0000-0000-0000787F0000}"/>
    <cellStyle name="Input 7 4 8 3" xfId="48905" xr:uid="{00000000-0005-0000-0000-0000797F0000}"/>
    <cellStyle name="Input 7 4 9" xfId="39945" xr:uid="{00000000-0005-0000-0000-00007A7F0000}"/>
    <cellStyle name="Input 7 5" xfId="22490" xr:uid="{00000000-0005-0000-0000-00007B7F0000}"/>
    <cellStyle name="Input 7 6" xfId="22908" xr:uid="{00000000-0005-0000-0000-00007C7F0000}"/>
    <cellStyle name="Input 7 7" xfId="53212" xr:uid="{00000000-0005-0000-0000-00007D7F0000}"/>
    <cellStyle name="Input 7_Sheet1" xfId="2031" xr:uid="{00000000-0005-0000-0000-00007E7F0000}"/>
    <cellStyle name="Input 8" xfId="2032" xr:uid="{00000000-0005-0000-0000-00007F7F0000}"/>
    <cellStyle name="Input 8 2" xfId="2033" xr:uid="{00000000-0005-0000-0000-0000807F0000}"/>
    <cellStyle name="Input 8 2 2" xfId="2034" xr:uid="{00000000-0005-0000-0000-0000817F0000}"/>
    <cellStyle name="Input 8 2 2 2" xfId="7187" xr:uid="{00000000-0005-0000-0000-0000827F0000}"/>
    <cellStyle name="Input 8 2 2 2 10" xfId="39616" xr:uid="{00000000-0005-0000-0000-0000837F0000}"/>
    <cellStyle name="Input 8 2 2 2 2" xfId="10717" xr:uid="{00000000-0005-0000-0000-0000847F0000}"/>
    <cellStyle name="Input 8 2 2 2 2 2" xfId="18510" xr:uid="{00000000-0005-0000-0000-0000857F0000}"/>
    <cellStyle name="Input 8 2 2 2 2 2 2" xfId="44057" xr:uid="{00000000-0005-0000-0000-0000867F0000}"/>
    <cellStyle name="Input 8 2 2 2 2 2 3" xfId="47966" xr:uid="{00000000-0005-0000-0000-0000877F0000}"/>
    <cellStyle name="Input 8 2 2 2 2 2 4" xfId="36147" xr:uid="{00000000-0005-0000-0000-0000887F0000}"/>
    <cellStyle name="Input 8 2 2 2 2 3" xfId="12164" xr:uid="{00000000-0005-0000-0000-0000897F0000}"/>
    <cellStyle name="Input 8 2 2 2 2 3 2" xfId="41909" xr:uid="{00000000-0005-0000-0000-00008A7F0000}"/>
    <cellStyle name="Input 8 2 2 2 2 3 3" xfId="39565" xr:uid="{00000000-0005-0000-0000-00008B7F0000}"/>
    <cellStyle name="Input 8 2 2 2 2 3 4" xfId="29836" xr:uid="{00000000-0005-0000-0000-00008C7F0000}"/>
    <cellStyle name="Input 8 2 2 2 2 4" xfId="12761" xr:uid="{00000000-0005-0000-0000-00008D7F0000}"/>
    <cellStyle name="Input 8 2 2 2 2 4 2" xfId="42206" xr:uid="{00000000-0005-0000-0000-00008E7F0000}"/>
    <cellStyle name="Input 8 2 2 2 2 4 3" xfId="39311" xr:uid="{00000000-0005-0000-0000-00008F7F0000}"/>
    <cellStyle name="Input 8 2 2 2 2 4 4" xfId="30419" xr:uid="{00000000-0005-0000-0000-0000907F0000}"/>
    <cellStyle name="Input 8 2 2 2 2 5" xfId="20923" xr:uid="{00000000-0005-0000-0000-0000917F0000}"/>
    <cellStyle name="Input 8 2 2 2 2 5 2" xfId="46460" xr:uid="{00000000-0005-0000-0000-0000927F0000}"/>
    <cellStyle name="Input 8 2 2 2 2 5 3" xfId="50366" xr:uid="{00000000-0005-0000-0000-0000937F0000}"/>
    <cellStyle name="Input 8 2 2 2 2 5 4" xfId="38329" xr:uid="{00000000-0005-0000-0000-0000947F0000}"/>
    <cellStyle name="Input 8 2 2 2 2 6" xfId="21576" xr:uid="{00000000-0005-0000-0000-0000957F0000}"/>
    <cellStyle name="Input 8 2 2 2 2 6 2" xfId="47113" xr:uid="{00000000-0005-0000-0000-0000967F0000}"/>
    <cellStyle name="Input 8 2 2 2 2 6 3" xfId="51019" xr:uid="{00000000-0005-0000-0000-0000977F0000}"/>
    <cellStyle name="Input 8 2 2 2 2 7" xfId="40916" xr:uid="{00000000-0005-0000-0000-0000987F0000}"/>
    <cellStyle name="Input 8 2 2 2 2 8" xfId="39705" xr:uid="{00000000-0005-0000-0000-0000997F0000}"/>
    <cellStyle name="Input 8 2 2 2 3" xfId="11012" xr:uid="{00000000-0005-0000-0000-00009A7F0000}"/>
    <cellStyle name="Input 8 2 2 2 3 2" xfId="18805" xr:uid="{00000000-0005-0000-0000-00009B7F0000}"/>
    <cellStyle name="Input 8 2 2 2 3 2 2" xfId="44352" xr:uid="{00000000-0005-0000-0000-00009C7F0000}"/>
    <cellStyle name="Input 8 2 2 2 3 2 3" xfId="48261" xr:uid="{00000000-0005-0000-0000-00009D7F0000}"/>
    <cellStyle name="Input 8 2 2 2 3 2 4" xfId="36442" xr:uid="{00000000-0005-0000-0000-00009E7F0000}"/>
    <cellStyle name="Input 8 2 2 2 3 3" xfId="20398" xr:uid="{00000000-0005-0000-0000-00009F7F0000}"/>
    <cellStyle name="Input 8 2 2 2 3 3 2" xfId="45935" xr:uid="{00000000-0005-0000-0000-0000A07F0000}"/>
    <cellStyle name="Input 8 2 2 2 3 3 3" xfId="49841" xr:uid="{00000000-0005-0000-0000-0000A17F0000}"/>
    <cellStyle name="Input 8 2 2 2 3 3 4" xfId="37852" xr:uid="{00000000-0005-0000-0000-0000A27F0000}"/>
    <cellStyle name="Input 8 2 2 2 3 4" xfId="20542" xr:uid="{00000000-0005-0000-0000-0000A37F0000}"/>
    <cellStyle name="Input 8 2 2 2 3 4 2" xfId="46079" xr:uid="{00000000-0005-0000-0000-0000A47F0000}"/>
    <cellStyle name="Input 8 2 2 2 3 4 3" xfId="49985" xr:uid="{00000000-0005-0000-0000-0000A57F0000}"/>
    <cellStyle name="Input 8 2 2 2 3 4 4" xfId="37969" xr:uid="{00000000-0005-0000-0000-0000A67F0000}"/>
    <cellStyle name="Input 8 2 2 2 3 5" xfId="21218" xr:uid="{00000000-0005-0000-0000-0000A77F0000}"/>
    <cellStyle name="Input 8 2 2 2 3 5 2" xfId="46755" xr:uid="{00000000-0005-0000-0000-0000A87F0000}"/>
    <cellStyle name="Input 8 2 2 2 3 5 3" xfId="50661" xr:uid="{00000000-0005-0000-0000-0000A97F0000}"/>
    <cellStyle name="Input 8 2 2 2 3 5 4" xfId="38624" xr:uid="{00000000-0005-0000-0000-0000AA7F0000}"/>
    <cellStyle name="Input 8 2 2 2 3 6" xfId="21871" xr:uid="{00000000-0005-0000-0000-0000AB7F0000}"/>
    <cellStyle name="Input 8 2 2 2 3 6 2" xfId="47408" xr:uid="{00000000-0005-0000-0000-0000AC7F0000}"/>
    <cellStyle name="Input 8 2 2 2 3 6 3" xfId="51314" xr:uid="{00000000-0005-0000-0000-0000AD7F0000}"/>
    <cellStyle name="Input 8 2 2 2 3 7" xfId="41211" xr:uid="{00000000-0005-0000-0000-0000AE7F0000}"/>
    <cellStyle name="Input 8 2 2 2 3 8" xfId="42593" xr:uid="{00000000-0005-0000-0000-0000AF7F0000}"/>
    <cellStyle name="Input 8 2 2 2 4" xfId="14975" xr:uid="{00000000-0005-0000-0000-0000B07F0000}"/>
    <cellStyle name="Input 8 2 2 2 4 2" xfId="43091" xr:uid="{00000000-0005-0000-0000-0000B17F0000}"/>
    <cellStyle name="Input 8 2 2 2 4 3" xfId="42778" xr:uid="{00000000-0005-0000-0000-0000B27F0000}"/>
    <cellStyle name="Input 8 2 2 2 4 4" xfId="32610" xr:uid="{00000000-0005-0000-0000-0000B37F0000}"/>
    <cellStyle name="Input 8 2 2 2 5" xfId="11329" xr:uid="{00000000-0005-0000-0000-0000B47F0000}"/>
    <cellStyle name="Input 8 2 2 2 5 2" xfId="41374" xr:uid="{00000000-0005-0000-0000-0000B57F0000}"/>
    <cellStyle name="Input 8 2 2 2 5 3" xfId="40363" xr:uid="{00000000-0005-0000-0000-0000B67F0000}"/>
    <cellStyle name="Input 8 2 2 2 5 4" xfId="29057" xr:uid="{00000000-0005-0000-0000-0000B77F0000}"/>
    <cellStyle name="Input 8 2 2 2 6" xfId="20082" xr:uid="{00000000-0005-0000-0000-0000B87F0000}"/>
    <cellStyle name="Input 8 2 2 2 6 2" xfId="45619" xr:uid="{00000000-0005-0000-0000-0000B97F0000}"/>
    <cellStyle name="Input 8 2 2 2 6 3" xfId="49525" xr:uid="{00000000-0005-0000-0000-0000BA7F0000}"/>
    <cellStyle name="Input 8 2 2 2 6 4" xfId="37575" xr:uid="{00000000-0005-0000-0000-0000BB7F0000}"/>
    <cellStyle name="Input 8 2 2 2 7" xfId="20484" xr:uid="{00000000-0005-0000-0000-0000BC7F0000}"/>
    <cellStyle name="Input 8 2 2 2 7 2" xfId="46021" xr:uid="{00000000-0005-0000-0000-0000BD7F0000}"/>
    <cellStyle name="Input 8 2 2 2 7 3" xfId="49927" xr:uid="{00000000-0005-0000-0000-0000BE7F0000}"/>
    <cellStyle name="Input 8 2 2 2 7 4" xfId="37934" xr:uid="{00000000-0005-0000-0000-0000BF7F0000}"/>
    <cellStyle name="Input 8 2 2 2 8" xfId="20605" xr:uid="{00000000-0005-0000-0000-0000C07F0000}"/>
    <cellStyle name="Input 8 2 2 2 8 2" xfId="46142" xr:uid="{00000000-0005-0000-0000-0000C17F0000}"/>
    <cellStyle name="Input 8 2 2 2 8 3" xfId="50048" xr:uid="{00000000-0005-0000-0000-0000C27F0000}"/>
    <cellStyle name="Input 8 2 2 2 9" xfId="39951" xr:uid="{00000000-0005-0000-0000-0000C37F0000}"/>
    <cellStyle name="Input 8 2 2 3" xfId="53219" xr:uid="{00000000-0005-0000-0000-0000C47F0000}"/>
    <cellStyle name="Input 8 2 3" xfId="7186" xr:uid="{00000000-0005-0000-0000-0000C57F0000}"/>
    <cellStyle name="Input 8 2 3 10" xfId="40506" xr:uid="{00000000-0005-0000-0000-0000C67F0000}"/>
    <cellStyle name="Input 8 2 3 2" xfId="10716" xr:uid="{00000000-0005-0000-0000-0000C77F0000}"/>
    <cellStyle name="Input 8 2 3 2 2" xfId="18509" xr:uid="{00000000-0005-0000-0000-0000C87F0000}"/>
    <cellStyle name="Input 8 2 3 2 2 2" xfId="44056" xr:uid="{00000000-0005-0000-0000-0000C97F0000}"/>
    <cellStyle name="Input 8 2 3 2 2 3" xfId="47965" xr:uid="{00000000-0005-0000-0000-0000CA7F0000}"/>
    <cellStyle name="Input 8 2 3 2 2 4" xfId="36146" xr:uid="{00000000-0005-0000-0000-0000CB7F0000}"/>
    <cellStyle name="Input 8 2 3 2 3" xfId="12632" xr:uid="{00000000-0005-0000-0000-0000CC7F0000}"/>
    <cellStyle name="Input 8 2 3 2 3 2" xfId="42111" xr:uid="{00000000-0005-0000-0000-0000CD7F0000}"/>
    <cellStyle name="Input 8 2 3 2 3 3" xfId="42698" xr:uid="{00000000-0005-0000-0000-0000CE7F0000}"/>
    <cellStyle name="Input 8 2 3 2 3 4" xfId="30297" xr:uid="{00000000-0005-0000-0000-0000CF7F0000}"/>
    <cellStyle name="Input 8 2 3 2 4" xfId="20094" xr:uid="{00000000-0005-0000-0000-0000D07F0000}"/>
    <cellStyle name="Input 8 2 3 2 4 2" xfId="45631" xr:uid="{00000000-0005-0000-0000-0000D17F0000}"/>
    <cellStyle name="Input 8 2 3 2 4 3" xfId="49537" xr:uid="{00000000-0005-0000-0000-0000D27F0000}"/>
    <cellStyle name="Input 8 2 3 2 4 4" xfId="37584" xr:uid="{00000000-0005-0000-0000-0000D37F0000}"/>
    <cellStyle name="Input 8 2 3 2 5" xfId="20922" xr:uid="{00000000-0005-0000-0000-0000D47F0000}"/>
    <cellStyle name="Input 8 2 3 2 5 2" xfId="46459" xr:uid="{00000000-0005-0000-0000-0000D57F0000}"/>
    <cellStyle name="Input 8 2 3 2 5 3" xfId="50365" xr:uid="{00000000-0005-0000-0000-0000D67F0000}"/>
    <cellStyle name="Input 8 2 3 2 5 4" xfId="38328" xr:uid="{00000000-0005-0000-0000-0000D77F0000}"/>
    <cellStyle name="Input 8 2 3 2 6" xfId="21575" xr:uid="{00000000-0005-0000-0000-0000D87F0000}"/>
    <cellStyle name="Input 8 2 3 2 6 2" xfId="47112" xr:uid="{00000000-0005-0000-0000-0000D97F0000}"/>
    <cellStyle name="Input 8 2 3 2 6 3" xfId="51018" xr:uid="{00000000-0005-0000-0000-0000DA7F0000}"/>
    <cellStyle name="Input 8 2 3 2 7" xfId="40915" xr:uid="{00000000-0005-0000-0000-0000DB7F0000}"/>
    <cellStyle name="Input 8 2 3 2 8" xfId="40594" xr:uid="{00000000-0005-0000-0000-0000DC7F0000}"/>
    <cellStyle name="Input 8 2 3 3" xfId="11011" xr:uid="{00000000-0005-0000-0000-0000DD7F0000}"/>
    <cellStyle name="Input 8 2 3 3 2" xfId="18804" xr:uid="{00000000-0005-0000-0000-0000DE7F0000}"/>
    <cellStyle name="Input 8 2 3 3 2 2" xfId="44351" xr:uid="{00000000-0005-0000-0000-0000DF7F0000}"/>
    <cellStyle name="Input 8 2 3 3 2 3" xfId="48260" xr:uid="{00000000-0005-0000-0000-0000E07F0000}"/>
    <cellStyle name="Input 8 2 3 3 2 4" xfId="36441" xr:uid="{00000000-0005-0000-0000-0000E17F0000}"/>
    <cellStyle name="Input 8 2 3 3 3" xfId="20397" xr:uid="{00000000-0005-0000-0000-0000E27F0000}"/>
    <cellStyle name="Input 8 2 3 3 3 2" xfId="45934" xr:uid="{00000000-0005-0000-0000-0000E37F0000}"/>
    <cellStyle name="Input 8 2 3 3 3 3" xfId="49840" xr:uid="{00000000-0005-0000-0000-0000E47F0000}"/>
    <cellStyle name="Input 8 2 3 3 3 4" xfId="37851" xr:uid="{00000000-0005-0000-0000-0000E57F0000}"/>
    <cellStyle name="Input 8 2 3 3 4" xfId="20541" xr:uid="{00000000-0005-0000-0000-0000E67F0000}"/>
    <cellStyle name="Input 8 2 3 3 4 2" xfId="46078" xr:uid="{00000000-0005-0000-0000-0000E77F0000}"/>
    <cellStyle name="Input 8 2 3 3 4 3" xfId="49984" xr:uid="{00000000-0005-0000-0000-0000E87F0000}"/>
    <cellStyle name="Input 8 2 3 3 4 4" xfId="37968" xr:uid="{00000000-0005-0000-0000-0000E97F0000}"/>
    <cellStyle name="Input 8 2 3 3 5" xfId="21217" xr:uid="{00000000-0005-0000-0000-0000EA7F0000}"/>
    <cellStyle name="Input 8 2 3 3 5 2" xfId="46754" xr:uid="{00000000-0005-0000-0000-0000EB7F0000}"/>
    <cellStyle name="Input 8 2 3 3 5 3" xfId="50660" xr:uid="{00000000-0005-0000-0000-0000EC7F0000}"/>
    <cellStyle name="Input 8 2 3 3 5 4" xfId="38623" xr:uid="{00000000-0005-0000-0000-0000ED7F0000}"/>
    <cellStyle name="Input 8 2 3 3 6" xfId="21870" xr:uid="{00000000-0005-0000-0000-0000EE7F0000}"/>
    <cellStyle name="Input 8 2 3 3 6 2" xfId="47407" xr:uid="{00000000-0005-0000-0000-0000EF7F0000}"/>
    <cellStyle name="Input 8 2 3 3 6 3" xfId="51313" xr:uid="{00000000-0005-0000-0000-0000F07F0000}"/>
    <cellStyle name="Input 8 2 3 3 7" xfId="41210" xr:uid="{00000000-0005-0000-0000-0000F17F0000}"/>
    <cellStyle name="Input 8 2 3 3 8" xfId="39585" xr:uid="{00000000-0005-0000-0000-0000F27F0000}"/>
    <cellStyle name="Input 8 2 3 4" xfId="14974" xr:uid="{00000000-0005-0000-0000-0000F37F0000}"/>
    <cellStyle name="Input 8 2 3 4 2" xfId="43090" xr:uid="{00000000-0005-0000-0000-0000F47F0000}"/>
    <cellStyle name="Input 8 2 3 4 3" xfId="40037" xr:uid="{00000000-0005-0000-0000-0000F57F0000}"/>
    <cellStyle name="Input 8 2 3 4 4" xfId="32609" xr:uid="{00000000-0005-0000-0000-0000F67F0000}"/>
    <cellStyle name="Input 8 2 3 5" xfId="11328" xr:uid="{00000000-0005-0000-0000-0000F77F0000}"/>
    <cellStyle name="Input 8 2 3 5 2" xfId="41373" xr:uid="{00000000-0005-0000-0000-0000F87F0000}"/>
    <cellStyle name="Input 8 2 3 5 3" xfId="43502" xr:uid="{00000000-0005-0000-0000-0000F97F0000}"/>
    <cellStyle name="Input 8 2 3 5 4" xfId="29056" xr:uid="{00000000-0005-0000-0000-0000FA7F0000}"/>
    <cellStyle name="Input 8 2 3 6" xfId="11479" xr:uid="{00000000-0005-0000-0000-0000FB7F0000}"/>
    <cellStyle name="Input 8 2 3 6 2" xfId="41490" xr:uid="{00000000-0005-0000-0000-0000FC7F0000}"/>
    <cellStyle name="Input 8 2 3 6 3" xfId="43712" xr:uid="{00000000-0005-0000-0000-0000FD7F0000}"/>
    <cellStyle name="Input 8 2 3 6 4" xfId="29195" xr:uid="{00000000-0005-0000-0000-0000FE7F0000}"/>
    <cellStyle name="Input 8 2 3 7" xfId="19995" xr:uid="{00000000-0005-0000-0000-0000FF7F0000}"/>
    <cellStyle name="Input 8 2 3 7 2" xfId="45532" xr:uid="{00000000-0005-0000-0000-000000800000}"/>
    <cellStyle name="Input 8 2 3 7 3" xfId="49438" xr:uid="{00000000-0005-0000-0000-000001800000}"/>
    <cellStyle name="Input 8 2 3 7 4" xfId="37493" xr:uid="{00000000-0005-0000-0000-000002800000}"/>
    <cellStyle name="Input 8 2 3 8" xfId="20181" xr:uid="{00000000-0005-0000-0000-000003800000}"/>
    <cellStyle name="Input 8 2 3 8 2" xfId="45718" xr:uid="{00000000-0005-0000-0000-000004800000}"/>
    <cellStyle name="Input 8 2 3 8 3" xfId="49624" xr:uid="{00000000-0005-0000-0000-000005800000}"/>
    <cellStyle name="Input 8 2 3 9" xfId="39950" xr:uid="{00000000-0005-0000-0000-000006800000}"/>
    <cellStyle name="Input 8 2 4" xfId="53218" xr:uid="{00000000-0005-0000-0000-000007800000}"/>
    <cellStyle name="Input 8 2_Sheet1" xfId="2035" xr:uid="{00000000-0005-0000-0000-000008800000}"/>
    <cellStyle name="Input 8 3" xfId="2036" xr:uid="{00000000-0005-0000-0000-000009800000}"/>
    <cellStyle name="Input 8 3 2" xfId="7188" xr:uid="{00000000-0005-0000-0000-00000A800000}"/>
    <cellStyle name="Input 8 3 2 10" xfId="42624" xr:uid="{00000000-0005-0000-0000-00000B800000}"/>
    <cellStyle name="Input 8 3 2 2" xfId="10718" xr:uid="{00000000-0005-0000-0000-00000C800000}"/>
    <cellStyle name="Input 8 3 2 2 2" xfId="18511" xr:uid="{00000000-0005-0000-0000-00000D800000}"/>
    <cellStyle name="Input 8 3 2 2 2 2" xfId="44058" xr:uid="{00000000-0005-0000-0000-00000E800000}"/>
    <cellStyle name="Input 8 3 2 2 2 3" xfId="47967" xr:uid="{00000000-0005-0000-0000-00000F800000}"/>
    <cellStyle name="Input 8 3 2 2 2 4" xfId="36148" xr:uid="{00000000-0005-0000-0000-000010800000}"/>
    <cellStyle name="Input 8 3 2 2 3" xfId="19601" xr:uid="{00000000-0005-0000-0000-000011800000}"/>
    <cellStyle name="Input 8 3 2 2 3 2" xfId="45138" xr:uid="{00000000-0005-0000-0000-000012800000}"/>
    <cellStyle name="Input 8 3 2 2 3 3" xfId="49044" xr:uid="{00000000-0005-0000-0000-000013800000}"/>
    <cellStyle name="Input 8 3 2 2 3 4" xfId="37141" xr:uid="{00000000-0005-0000-0000-000014800000}"/>
    <cellStyle name="Input 8 3 2 2 4" xfId="12401" xr:uid="{00000000-0005-0000-0000-000015800000}"/>
    <cellStyle name="Input 8 3 2 2 4 2" xfId="41967" xr:uid="{00000000-0005-0000-0000-000016800000}"/>
    <cellStyle name="Input 8 3 2 2 4 3" xfId="43483" xr:uid="{00000000-0005-0000-0000-000017800000}"/>
    <cellStyle name="Input 8 3 2 2 4 4" xfId="30072" xr:uid="{00000000-0005-0000-0000-000018800000}"/>
    <cellStyle name="Input 8 3 2 2 5" xfId="20924" xr:uid="{00000000-0005-0000-0000-000019800000}"/>
    <cellStyle name="Input 8 3 2 2 5 2" xfId="46461" xr:uid="{00000000-0005-0000-0000-00001A800000}"/>
    <cellStyle name="Input 8 3 2 2 5 3" xfId="50367" xr:uid="{00000000-0005-0000-0000-00001B800000}"/>
    <cellStyle name="Input 8 3 2 2 5 4" xfId="38330" xr:uid="{00000000-0005-0000-0000-00001C800000}"/>
    <cellStyle name="Input 8 3 2 2 6" xfId="21577" xr:uid="{00000000-0005-0000-0000-00001D800000}"/>
    <cellStyle name="Input 8 3 2 2 6 2" xfId="47114" xr:uid="{00000000-0005-0000-0000-00001E800000}"/>
    <cellStyle name="Input 8 3 2 2 6 3" xfId="51020" xr:uid="{00000000-0005-0000-0000-00001F800000}"/>
    <cellStyle name="Input 8 3 2 2 7" xfId="40917" xr:uid="{00000000-0005-0000-0000-000020800000}"/>
    <cellStyle name="Input 8 3 2 2 8" xfId="42742" xr:uid="{00000000-0005-0000-0000-000021800000}"/>
    <cellStyle name="Input 8 3 2 3" xfId="11013" xr:uid="{00000000-0005-0000-0000-000022800000}"/>
    <cellStyle name="Input 8 3 2 3 2" xfId="18806" xr:uid="{00000000-0005-0000-0000-000023800000}"/>
    <cellStyle name="Input 8 3 2 3 2 2" xfId="44353" xr:uid="{00000000-0005-0000-0000-000024800000}"/>
    <cellStyle name="Input 8 3 2 3 2 3" xfId="48262" xr:uid="{00000000-0005-0000-0000-000025800000}"/>
    <cellStyle name="Input 8 3 2 3 2 4" xfId="36443" xr:uid="{00000000-0005-0000-0000-000026800000}"/>
    <cellStyle name="Input 8 3 2 3 3" xfId="20399" xr:uid="{00000000-0005-0000-0000-000027800000}"/>
    <cellStyle name="Input 8 3 2 3 3 2" xfId="45936" xr:uid="{00000000-0005-0000-0000-000028800000}"/>
    <cellStyle name="Input 8 3 2 3 3 3" xfId="49842" xr:uid="{00000000-0005-0000-0000-000029800000}"/>
    <cellStyle name="Input 8 3 2 3 3 4" xfId="37853" xr:uid="{00000000-0005-0000-0000-00002A800000}"/>
    <cellStyle name="Input 8 3 2 3 4" xfId="20543" xr:uid="{00000000-0005-0000-0000-00002B800000}"/>
    <cellStyle name="Input 8 3 2 3 4 2" xfId="46080" xr:uid="{00000000-0005-0000-0000-00002C800000}"/>
    <cellStyle name="Input 8 3 2 3 4 3" xfId="49986" xr:uid="{00000000-0005-0000-0000-00002D800000}"/>
    <cellStyle name="Input 8 3 2 3 4 4" xfId="37970" xr:uid="{00000000-0005-0000-0000-00002E800000}"/>
    <cellStyle name="Input 8 3 2 3 5" xfId="21219" xr:uid="{00000000-0005-0000-0000-00002F800000}"/>
    <cellStyle name="Input 8 3 2 3 5 2" xfId="46756" xr:uid="{00000000-0005-0000-0000-000030800000}"/>
    <cellStyle name="Input 8 3 2 3 5 3" xfId="50662" xr:uid="{00000000-0005-0000-0000-000031800000}"/>
    <cellStyle name="Input 8 3 2 3 5 4" xfId="38625" xr:uid="{00000000-0005-0000-0000-000032800000}"/>
    <cellStyle name="Input 8 3 2 3 6" xfId="21872" xr:uid="{00000000-0005-0000-0000-000033800000}"/>
    <cellStyle name="Input 8 3 2 3 6 2" xfId="47409" xr:uid="{00000000-0005-0000-0000-000034800000}"/>
    <cellStyle name="Input 8 3 2 3 6 3" xfId="51315" xr:uid="{00000000-0005-0000-0000-000035800000}"/>
    <cellStyle name="Input 8 3 2 3 7" xfId="41212" xr:uid="{00000000-0005-0000-0000-000036800000}"/>
    <cellStyle name="Input 8 3 2 3 8" xfId="43506" xr:uid="{00000000-0005-0000-0000-000037800000}"/>
    <cellStyle name="Input 8 3 2 4" xfId="14976" xr:uid="{00000000-0005-0000-0000-000038800000}"/>
    <cellStyle name="Input 8 3 2 4 2" xfId="43092" xr:uid="{00000000-0005-0000-0000-000039800000}"/>
    <cellStyle name="Input 8 3 2 4 3" xfId="43665" xr:uid="{00000000-0005-0000-0000-00003A800000}"/>
    <cellStyle name="Input 8 3 2 4 4" xfId="32611" xr:uid="{00000000-0005-0000-0000-00003B800000}"/>
    <cellStyle name="Input 8 3 2 5" xfId="11330" xr:uid="{00000000-0005-0000-0000-00003C800000}"/>
    <cellStyle name="Input 8 3 2 5 2" xfId="41375" xr:uid="{00000000-0005-0000-0000-00003D800000}"/>
    <cellStyle name="Input 8 3 2 5 3" xfId="39475" xr:uid="{00000000-0005-0000-0000-00003E800000}"/>
    <cellStyle name="Input 8 3 2 5 4" xfId="29058" xr:uid="{00000000-0005-0000-0000-00003F800000}"/>
    <cellStyle name="Input 8 3 2 6" xfId="18995" xr:uid="{00000000-0005-0000-0000-000040800000}"/>
    <cellStyle name="Input 8 3 2 6 2" xfId="44532" xr:uid="{00000000-0005-0000-0000-000041800000}"/>
    <cellStyle name="Input 8 3 2 6 3" xfId="48438" xr:uid="{00000000-0005-0000-0000-000042800000}"/>
    <cellStyle name="Input 8 3 2 6 4" xfId="36617" xr:uid="{00000000-0005-0000-0000-000043800000}"/>
    <cellStyle name="Input 8 3 2 7" xfId="11626" xr:uid="{00000000-0005-0000-0000-000044800000}"/>
    <cellStyle name="Input 8 3 2 7 2" xfId="41637" xr:uid="{00000000-0005-0000-0000-000045800000}"/>
    <cellStyle name="Input 8 3 2 7 3" xfId="39464" xr:uid="{00000000-0005-0000-0000-000046800000}"/>
    <cellStyle name="Input 8 3 2 7 4" xfId="29329" xr:uid="{00000000-0005-0000-0000-000047800000}"/>
    <cellStyle name="Input 8 3 2 8" xfId="12851" xr:uid="{00000000-0005-0000-0000-000048800000}"/>
    <cellStyle name="Input 8 3 2 8 2" xfId="42234" xr:uid="{00000000-0005-0000-0000-000049800000}"/>
    <cellStyle name="Input 8 3 2 8 3" xfId="43324" xr:uid="{00000000-0005-0000-0000-00004A800000}"/>
    <cellStyle name="Input 8 3 2 9" xfId="39952" xr:uid="{00000000-0005-0000-0000-00004B800000}"/>
    <cellStyle name="Input 8 3 3" xfId="53220" xr:uid="{00000000-0005-0000-0000-00004C800000}"/>
    <cellStyle name="Input 8 4" xfId="7185" xr:uid="{00000000-0005-0000-0000-00004D800000}"/>
    <cellStyle name="Input 8 4 10" xfId="43648" xr:uid="{00000000-0005-0000-0000-00004E800000}"/>
    <cellStyle name="Input 8 4 11" xfId="53221" xr:uid="{00000000-0005-0000-0000-00004F800000}"/>
    <cellStyle name="Input 8 4 2" xfId="10715" xr:uid="{00000000-0005-0000-0000-000050800000}"/>
    <cellStyle name="Input 8 4 2 2" xfId="18508" xr:uid="{00000000-0005-0000-0000-000051800000}"/>
    <cellStyle name="Input 8 4 2 2 2" xfId="44055" xr:uid="{00000000-0005-0000-0000-000052800000}"/>
    <cellStyle name="Input 8 4 2 2 3" xfId="47964" xr:uid="{00000000-0005-0000-0000-000053800000}"/>
    <cellStyle name="Input 8 4 2 2 4" xfId="36145" xr:uid="{00000000-0005-0000-0000-000054800000}"/>
    <cellStyle name="Input 8 4 2 3" xfId="19737" xr:uid="{00000000-0005-0000-0000-000055800000}"/>
    <cellStyle name="Input 8 4 2 3 2" xfId="45274" xr:uid="{00000000-0005-0000-0000-000056800000}"/>
    <cellStyle name="Input 8 4 2 3 3" xfId="49180" xr:uid="{00000000-0005-0000-0000-000057800000}"/>
    <cellStyle name="Input 8 4 2 3 4" xfId="37264" xr:uid="{00000000-0005-0000-0000-000058800000}"/>
    <cellStyle name="Input 8 4 2 4" xfId="19541" xr:uid="{00000000-0005-0000-0000-000059800000}"/>
    <cellStyle name="Input 8 4 2 4 2" xfId="45078" xr:uid="{00000000-0005-0000-0000-00005A800000}"/>
    <cellStyle name="Input 8 4 2 4 3" xfId="48984" xr:uid="{00000000-0005-0000-0000-00005B800000}"/>
    <cellStyle name="Input 8 4 2 4 4" xfId="37086" xr:uid="{00000000-0005-0000-0000-00005C800000}"/>
    <cellStyle name="Input 8 4 2 5" xfId="20921" xr:uid="{00000000-0005-0000-0000-00005D800000}"/>
    <cellStyle name="Input 8 4 2 5 2" xfId="46458" xr:uid="{00000000-0005-0000-0000-00005E800000}"/>
    <cellStyle name="Input 8 4 2 5 3" xfId="50364" xr:uid="{00000000-0005-0000-0000-00005F800000}"/>
    <cellStyle name="Input 8 4 2 5 4" xfId="38327" xr:uid="{00000000-0005-0000-0000-000060800000}"/>
    <cellStyle name="Input 8 4 2 6" xfId="21574" xr:uid="{00000000-0005-0000-0000-000061800000}"/>
    <cellStyle name="Input 8 4 2 6 2" xfId="47111" xr:uid="{00000000-0005-0000-0000-000062800000}"/>
    <cellStyle name="Input 8 4 2 6 3" xfId="51017" xr:uid="{00000000-0005-0000-0000-000063800000}"/>
    <cellStyle name="Input 8 4 2 7" xfId="40914" xr:uid="{00000000-0005-0000-0000-000064800000}"/>
    <cellStyle name="Input 8 4 2 8" xfId="43735" xr:uid="{00000000-0005-0000-0000-000065800000}"/>
    <cellStyle name="Input 8 4 3" xfId="11010" xr:uid="{00000000-0005-0000-0000-000066800000}"/>
    <cellStyle name="Input 8 4 3 2" xfId="18803" xr:uid="{00000000-0005-0000-0000-000067800000}"/>
    <cellStyle name="Input 8 4 3 2 2" xfId="44350" xr:uid="{00000000-0005-0000-0000-000068800000}"/>
    <cellStyle name="Input 8 4 3 2 3" xfId="48259" xr:uid="{00000000-0005-0000-0000-000069800000}"/>
    <cellStyle name="Input 8 4 3 2 4" xfId="36440" xr:uid="{00000000-0005-0000-0000-00006A800000}"/>
    <cellStyle name="Input 8 4 3 3" xfId="20396" xr:uid="{00000000-0005-0000-0000-00006B800000}"/>
    <cellStyle name="Input 8 4 3 3 2" xfId="45933" xr:uid="{00000000-0005-0000-0000-00006C800000}"/>
    <cellStyle name="Input 8 4 3 3 3" xfId="49839" xr:uid="{00000000-0005-0000-0000-00006D800000}"/>
    <cellStyle name="Input 8 4 3 3 4" xfId="37850" xr:uid="{00000000-0005-0000-0000-00006E800000}"/>
    <cellStyle name="Input 8 4 3 4" xfId="20540" xr:uid="{00000000-0005-0000-0000-00006F800000}"/>
    <cellStyle name="Input 8 4 3 4 2" xfId="46077" xr:uid="{00000000-0005-0000-0000-000070800000}"/>
    <cellStyle name="Input 8 4 3 4 3" xfId="49983" xr:uid="{00000000-0005-0000-0000-000071800000}"/>
    <cellStyle name="Input 8 4 3 4 4" xfId="37967" xr:uid="{00000000-0005-0000-0000-000072800000}"/>
    <cellStyle name="Input 8 4 3 5" xfId="21216" xr:uid="{00000000-0005-0000-0000-000073800000}"/>
    <cellStyle name="Input 8 4 3 5 2" xfId="46753" xr:uid="{00000000-0005-0000-0000-000074800000}"/>
    <cellStyle name="Input 8 4 3 5 3" xfId="50659" xr:uid="{00000000-0005-0000-0000-000075800000}"/>
    <cellStyle name="Input 8 4 3 5 4" xfId="38622" xr:uid="{00000000-0005-0000-0000-000076800000}"/>
    <cellStyle name="Input 8 4 3 6" xfId="21869" xr:uid="{00000000-0005-0000-0000-000077800000}"/>
    <cellStyle name="Input 8 4 3 6 2" xfId="47406" xr:uid="{00000000-0005-0000-0000-000078800000}"/>
    <cellStyle name="Input 8 4 3 6 3" xfId="51312" xr:uid="{00000000-0005-0000-0000-000079800000}"/>
    <cellStyle name="Input 8 4 3 7" xfId="41209" xr:uid="{00000000-0005-0000-0000-00007A800000}"/>
    <cellStyle name="Input 8 4 3 8" xfId="40475" xr:uid="{00000000-0005-0000-0000-00007B800000}"/>
    <cellStyle name="Input 8 4 4" xfId="14973" xr:uid="{00000000-0005-0000-0000-00007C800000}"/>
    <cellStyle name="Input 8 4 4 2" xfId="43089" xr:uid="{00000000-0005-0000-0000-00007D800000}"/>
    <cellStyle name="Input 8 4 4 3" xfId="43178" xr:uid="{00000000-0005-0000-0000-00007E800000}"/>
    <cellStyle name="Input 8 4 4 4" xfId="32608" xr:uid="{00000000-0005-0000-0000-00007F800000}"/>
    <cellStyle name="Input 8 4 5" xfId="13193" xr:uid="{00000000-0005-0000-0000-000080800000}"/>
    <cellStyle name="Input 8 4 5 2" xfId="42414" xr:uid="{00000000-0005-0000-0000-000081800000}"/>
    <cellStyle name="Input 8 4 5 3" xfId="47486" xr:uid="{00000000-0005-0000-0000-000082800000}"/>
    <cellStyle name="Input 8 4 5 4" xfId="30842" xr:uid="{00000000-0005-0000-0000-000083800000}"/>
    <cellStyle name="Input 8 4 6" xfId="19165" xr:uid="{00000000-0005-0000-0000-000084800000}"/>
    <cellStyle name="Input 8 4 6 2" xfId="44702" xr:uid="{00000000-0005-0000-0000-000085800000}"/>
    <cellStyle name="Input 8 4 6 3" xfId="48608" xr:uid="{00000000-0005-0000-0000-000086800000}"/>
    <cellStyle name="Input 8 4 6 4" xfId="36757" xr:uid="{00000000-0005-0000-0000-000087800000}"/>
    <cellStyle name="Input 8 4 7" xfId="19238" xr:uid="{00000000-0005-0000-0000-000088800000}"/>
    <cellStyle name="Input 8 4 7 2" xfId="44775" xr:uid="{00000000-0005-0000-0000-000089800000}"/>
    <cellStyle name="Input 8 4 7 3" xfId="48681" xr:uid="{00000000-0005-0000-0000-00008A800000}"/>
    <cellStyle name="Input 8 4 7 4" xfId="36818" xr:uid="{00000000-0005-0000-0000-00008B800000}"/>
    <cellStyle name="Input 8 4 8" xfId="19794" xr:uid="{00000000-0005-0000-0000-00008C800000}"/>
    <cellStyle name="Input 8 4 8 2" xfId="45331" xr:uid="{00000000-0005-0000-0000-00008D800000}"/>
    <cellStyle name="Input 8 4 8 3" xfId="49237" xr:uid="{00000000-0005-0000-0000-00008E800000}"/>
    <cellStyle name="Input 8 4 9" xfId="39949" xr:uid="{00000000-0005-0000-0000-00008F800000}"/>
    <cellStyle name="Input 8 5" xfId="22491" xr:uid="{00000000-0005-0000-0000-000090800000}"/>
    <cellStyle name="Input 8 6" xfId="22907" xr:uid="{00000000-0005-0000-0000-000091800000}"/>
    <cellStyle name="Input 8 7" xfId="53217" xr:uid="{00000000-0005-0000-0000-000092800000}"/>
    <cellStyle name="Input 8_Sheet1" xfId="2037" xr:uid="{00000000-0005-0000-0000-000093800000}"/>
    <cellStyle name="Input 9" xfId="2038" xr:uid="{00000000-0005-0000-0000-000094800000}"/>
    <cellStyle name="Input 9 2" xfId="2039" xr:uid="{00000000-0005-0000-0000-000095800000}"/>
    <cellStyle name="Input 9 2 2" xfId="2040" xr:uid="{00000000-0005-0000-0000-000096800000}"/>
    <cellStyle name="Input 9 2 2 2" xfId="7191" xr:uid="{00000000-0005-0000-0000-000097800000}"/>
    <cellStyle name="Input 9 2 2 2 10" xfId="39512" xr:uid="{00000000-0005-0000-0000-000098800000}"/>
    <cellStyle name="Input 9 2 2 2 2" xfId="10721" xr:uid="{00000000-0005-0000-0000-000099800000}"/>
    <cellStyle name="Input 9 2 2 2 2 2" xfId="18514" xr:uid="{00000000-0005-0000-0000-00009A800000}"/>
    <cellStyle name="Input 9 2 2 2 2 2 2" xfId="44061" xr:uid="{00000000-0005-0000-0000-00009B800000}"/>
    <cellStyle name="Input 9 2 2 2 2 2 3" xfId="47970" xr:uid="{00000000-0005-0000-0000-00009C800000}"/>
    <cellStyle name="Input 9 2 2 2 2 2 4" xfId="36151" xr:uid="{00000000-0005-0000-0000-00009D800000}"/>
    <cellStyle name="Input 9 2 2 2 2 3" xfId="20020" xr:uid="{00000000-0005-0000-0000-00009E800000}"/>
    <cellStyle name="Input 9 2 2 2 2 3 2" xfId="45557" xr:uid="{00000000-0005-0000-0000-00009F800000}"/>
    <cellStyle name="Input 9 2 2 2 2 3 3" xfId="49463" xr:uid="{00000000-0005-0000-0000-0000A0800000}"/>
    <cellStyle name="Input 9 2 2 2 2 3 4" xfId="37518" xr:uid="{00000000-0005-0000-0000-0000A1800000}"/>
    <cellStyle name="Input 9 2 2 2 2 4" xfId="20058" xr:uid="{00000000-0005-0000-0000-0000A2800000}"/>
    <cellStyle name="Input 9 2 2 2 2 4 2" xfId="45595" xr:uid="{00000000-0005-0000-0000-0000A3800000}"/>
    <cellStyle name="Input 9 2 2 2 2 4 3" xfId="49501" xr:uid="{00000000-0005-0000-0000-0000A4800000}"/>
    <cellStyle name="Input 9 2 2 2 2 4 4" xfId="37553" xr:uid="{00000000-0005-0000-0000-0000A5800000}"/>
    <cellStyle name="Input 9 2 2 2 2 5" xfId="20927" xr:uid="{00000000-0005-0000-0000-0000A6800000}"/>
    <cellStyle name="Input 9 2 2 2 2 5 2" xfId="46464" xr:uid="{00000000-0005-0000-0000-0000A7800000}"/>
    <cellStyle name="Input 9 2 2 2 2 5 3" xfId="50370" xr:uid="{00000000-0005-0000-0000-0000A8800000}"/>
    <cellStyle name="Input 9 2 2 2 2 5 4" xfId="38333" xr:uid="{00000000-0005-0000-0000-0000A9800000}"/>
    <cellStyle name="Input 9 2 2 2 2 6" xfId="21580" xr:uid="{00000000-0005-0000-0000-0000AA800000}"/>
    <cellStyle name="Input 9 2 2 2 2 6 2" xfId="47117" xr:uid="{00000000-0005-0000-0000-0000AB800000}"/>
    <cellStyle name="Input 9 2 2 2 2 6 3" xfId="51023" xr:uid="{00000000-0005-0000-0000-0000AC800000}"/>
    <cellStyle name="Input 9 2 2 2 2 7" xfId="40920" xr:uid="{00000000-0005-0000-0000-0000AD800000}"/>
    <cellStyle name="Input 9 2 2 2 2 8" xfId="39599" xr:uid="{00000000-0005-0000-0000-0000AE800000}"/>
    <cellStyle name="Input 9 2 2 2 3" xfId="11016" xr:uid="{00000000-0005-0000-0000-0000AF800000}"/>
    <cellStyle name="Input 9 2 2 2 3 2" xfId="18809" xr:uid="{00000000-0005-0000-0000-0000B0800000}"/>
    <cellStyle name="Input 9 2 2 2 3 2 2" xfId="44356" xr:uid="{00000000-0005-0000-0000-0000B1800000}"/>
    <cellStyle name="Input 9 2 2 2 3 2 3" xfId="48265" xr:uid="{00000000-0005-0000-0000-0000B2800000}"/>
    <cellStyle name="Input 9 2 2 2 3 2 4" xfId="36446" xr:uid="{00000000-0005-0000-0000-0000B3800000}"/>
    <cellStyle name="Input 9 2 2 2 3 3" xfId="20402" xr:uid="{00000000-0005-0000-0000-0000B4800000}"/>
    <cellStyle name="Input 9 2 2 2 3 3 2" xfId="45939" xr:uid="{00000000-0005-0000-0000-0000B5800000}"/>
    <cellStyle name="Input 9 2 2 2 3 3 3" xfId="49845" xr:uid="{00000000-0005-0000-0000-0000B6800000}"/>
    <cellStyle name="Input 9 2 2 2 3 3 4" xfId="37856" xr:uid="{00000000-0005-0000-0000-0000B7800000}"/>
    <cellStyle name="Input 9 2 2 2 3 4" xfId="20546" xr:uid="{00000000-0005-0000-0000-0000B8800000}"/>
    <cellStyle name="Input 9 2 2 2 3 4 2" xfId="46083" xr:uid="{00000000-0005-0000-0000-0000B9800000}"/>
    <cellStyle name="Input 9 2 2 2 3 4 3" xfId="49989" xr:uid="{00000000-0005-0000-0000-0000BA800000}"/>
    <cellStyle name="Input 9 2 2 2 3 4 4" xfId="37973" xr:uid="{00000000-0005-0000-0000-0000BB800000}"/>
    <cellStyle name="Input 9 2 2 2 3 5" xfId="21222" xr:uid="{00000000-0005-0000-0000-0000BC800000}"/>
    <cellStyle name="Input 9 2 2 2 3 5 2" xfId="46759" xr:uid="{00000000-0005-0000-0000-0000BD800000}"/>
    <cellStyle name="Input 9 2 2 2 3 5 3" xfId="50665" xr:uid="{00000000-0005-0000-0000-0000BE800000}"/>
    <cellStyle name="Input 9 2 2 2 3 5 4" xfId="38628" xr:uid="{00000000-0005-0000-0000-0000BF800000}"/>
    <cellStyle name="Input 9 2 2 2 3 6" xfId="21875" xr:uid="{00000000-0005-0000-0000-0000C0800000}"/>
    <cellStyle name="Input 9 2 2 2 3 6 2" xfId="47412" xr:uid="{00000000-0005-0000-0000-0000C1800000}"/>
    <cellStyle name="Input 9 2 2 2 3 6 3" xfId="51318" xr:uid="{00000000-0005-0000-0000-0000C2800000}"/>
    <cellStyle name="Input 9 2 2 2 3 7" xfId="41215" xr:uid="{00000000-0005-0000-0000-0000C3800000}"/>
    <cellStyle name="Input 9 2 2 2 3 8" xfId="42049" xr:uid="{00000000-0005-0000-0000-0000C4800000}"/>
    <cellStyle name="Input 9 2 2 2 4" xfId="14979" xr:uid="{00000000-0005-0000-0000-0000C5800000}"/>
    <cellStyle name="Input 9 2 2 2 4 2" xfId="43095" xr:uid="{00000000-0005-0000-0000-0000C6800000}"/>
    <cellStyle name="Input 9 2 2 2 4 3" xfId="42668" xr:uid="{00000000-0005-0000-0000-0000C7800000}"/>
    <cellStyle name="Input 9 2 2 2 4 4" xfId="32614" xr:uid="{00000000-0005-0000-0000-0000C8800000}"/>
    <cellStyle name="Input 9 2 2 2 5" xfId="13196" xr:uid="{00000000-0005-0000-0000-0000C9800000}"/>
    <cellStyle name="Input 9 2 2 2 5 2" xfId="42417" xr:uid="{00000000-0005-0000-0000-0000CA800000}"/>
    <cellStyle name="Input 9 2 2 2 5 3" xfId="41304" xr:uid="{00000000-0005-0000-0000-0000CB800000}"/>
    <cellStyle name="Input 9 2 2 2 5 4" xfId="30845" xr:uid="{00000000-0005-0000-0000-0000CC800000}"/>
    <cellStyle name="Input 9 2 2 2 6" xfId="12047" xr:uid="{00000000-0005-0000-0000-0000CD800000}"/>
    <cellStyle name="Input 9 2 2 2 6 2" xfId="41803" xr:uid="{00000000-0005-0000-0000-0000CE800000}"/>
    <cellStyle name="Input 9 2 2 2 6 3" xfId="43593" xr:uid="{00000000-0005-0000-0000-0000CF800000}"/>
    <cellStyle name="Input 9 2 2 2 6 4" xfId="29726" xr:uid="{00000000-0005-0000-0000-0000D0800000}"/>
    <cellStyle name="Input 9 2 2 2 7" xfId="19250" xr:uid="{00000000-0005-0000-0000-0000D1800000}"/>
    <cellStyle name="Input 9 2 2 2 7 2" xfId="44787" xr:uid="{00000000-0005-0000-0000-0000D2800000}"/>
    <cellStyle name="Input 9 2 2 2 7 3" xfId="48693" xr:uid="{00000000-0005-0000-0000-0000D3800000}"/>
    <cellStyle name="Input 9 2 2 2 7 4" xfId="36828" xr:uid="{00000000-0005-0000-0000-0000D4800000}"/>
    <cellStyle name="Input 9 2 2 2 8" xfId="11823" xr:uid="{00000000-0005-0000-0000-0000D5800000}"/>
    <cellStyle name="Input 9 2 2 2 8 2" xfId="41761" xr:uid="{00000000-0005-0000-0000-0000D6800000}"/>
    <cellStyle name="Input 9 2 2 2 8 3" xfId="47507" xr:uid="{00000000-0005-0000-0000-0000D7800000}"/>
    <cellStyle name="Input 9 2 2 2 9" xfId="39955" xr:uid="{00000000-0005-0000-0000-0000D8800000}"/>
    <cellStyle name="Input 9 2 2 3" xfId="53224" xr:uid="{00000000-0005-0000-0000-0000D9800000}"/>
    <cellStyle name="Input 9 2 3" xfId="7190" xr:uid="{00000000-0005-0000-0000-0000DA800000}"/>
    <cellStyle name="Input 9 2 3 10" xfId="40400" xr:uid="{00000000-0005-0000-0000-0000DB800000}"/>
    <cellStyle name="Input 9 2 3 2" xfId="10720" xr:uid="{00000000-0005-0000-0000-0000DC800000}"/>
    <cellStyle name="Input 9 2 3 2 2" xfId="18513" xr:uid="{00000000-0005-0000-0000-0000DD800000}"/>
    <cellStyle name="Input 9 2 3 2 2 2" xfId="44060" xr:uid="{00000000-0005-0000-0000-0000DE800000}"/>
    <cellStyle name="Input 9 2 3 2 2 3" xfId="47969" xr:uid="{00000000-0005-0000-0000-0000DF800000}"/>
    <cellStyle name="Input 9 2 3 2 2 4" xfId="36150" xr:uid="{00000000-0005-0000-0000-0000E0800000}"/>
    <cellStyle name="Input 9 2 3 2 3" xfId="19413" xr:uid="{00000000-0005-0000-0000-0000E1800000}"/>
    <cellStyle name="Input 9 2 3 2 3 2" xfId="44950" xr:uid="{00000000-0005-0000-0000-0000E2800000}"/>
    <cellStyle name="Input 9 2 3 2 3 3" xfId="48856" xr:uid="{00000000-0005-0000-0000-0000E3800000}"/>
    <cellStyle name="Input 9 2 3 2 3 4" xfId="36978" xr:uid="{00000000-0005-0000-0000-0000E4800000}"/>
    <cellStyle name="Input 9 2 3 2 4" xfId="11640" xr:uid="{00000000-0005-0000-0000-0000E5800000}"/>
    <cellStyle name="Input 9 2 3 2 4 2" xfId="41651" xr:uid="{00000000-0005-0000-0000-0000E6800000}"/>
    <cellStyle name="Input 9 2 3 2 4 3" xfId="39165" xr:uid="{00000000-0005-0000-0000-0000E7800000}"/>
    <cellStyle name="Input 9 2 3 2 4 4" xfId="29341" xr:uid="{00000000-0005-0000-0000-0000E8800000}"/>
    <cellStyle name="Input 9 2 3 2 5" xfId="20926" xr:uid="{00000000-0005-0000-0000-0000E9800000}"/>
    <cellStyle name="Input 9 2 3 2 5 2" xfId="46463" xr:uid="{00000000-0005-0000-0000-0000EA800000}"/>
    <cellStyle name="Input 9 2 3 2 5 3" xfId="50369" xr:uid="{00000000-0005-0000-0000-0000EB800000}"/>
    <cellStyle name="Input 9 2 3 2 5 4" xfId="38332" xr:uid="{00000000-0005-0000-0000-0000EC800000}"/>
    <cellStyle name="Input 9 2 3 2 6" xfId="21579" xr:uid="{00000000-0005-0000-0000-0000ED800000}"/>
    <cellStyle name="Input 9 2 3 2 6 2" xfId="47116" xr:uid="{00000000-0005-0000-0000-0000EE800000}"/>
    <cellStyle name="Input 9 2 3 2 6 3" xfId="51022" xr:uid="{00000000-0005-0000-0000-0000EF800000}"/>
    <cellStyle name="Input 9 2 3 2 7" xfId="40919" xr:uid="{00000000-0005-0000-0000-0000F0800000}"/>
    <cellStyle name="Input 9 2 3 2 8" xfId="40489" xr:uid="{00000000-0005-0000-0000-0000F1800000}"/>
    <cellStyle name="Input 9 2 3 3" xfId="11015" xr:uid="{00000000-0005-0000-0000-0000F2800000}"/>
    <cellStyle name="Input 9 2 3 3 2" xfId="18808" xr:uid="{00000000-0005-0000-0000-0000F3800000}"/>
    <cellStyle name="Input 9 2 3 3 2 2" xfId="44355" xr:uid="{00000000-0005-0000-0000-0000F4800000}"/>
    <cellStyle name="Input 9 2 3 3 2 3" xfId="48264" xr:uid="{00000000-0005-0000-0000-0000F5800000}"/>
    <cellStyle name="Input 9 2 3 3 2 4" xfId="36445" xr:uid="{00000000-0005-0000-0000-0000F6800000}"/>
    <cellStyle name="Input 9 2 3 3 3" xfId="20401" xr:uid="{00000000-0005-0000-0000-0000F7800000}"/>
    <cellStyle name="Input 9 2 3 3 3 2" xfId="45938" xr:uid="{00000000-0005-0000-0000-0000F8800000}"/>
    <cellStyle name="Input 9 2 3 3 3 3" xfId="49844" xr:uid="{00000000-0005-0000-0000-0000F9800000}"/>
    <cellStyle name="Input 9 2 3 3 3 4" xfId="37855" xr:uid="{00000000-0005-0000-0000-0000FA800000}"/>
    <cellStyle name="Input 9 2 3 3 4" xfId="20545" xr:uid="{00000000-0005-0000-0000-0000FB800000}"/>
    <cellStyle name="Input 9 2 3 3 4 2" xfId="46082" xr:uid="{00000000-0005-0000-0000-0000FC800000}"/>
    <cellStyle name="Input 9 2 3 3 4 3" xfId="49988" xr:uid="{00000000-0005-0000-0000-0000FD800000}"/>
    <cellStyle name="Input 9 2 3 3 4 4" xfId="37972" xr:uid="{00000000-0005-0000-0000-0000FE800000}"/>
    <cellStyle name="Input 9 2 3 3 5" xfId="21221" xr:uid="{00000000-0005-0000-0000-0000FF800000}"/>
    <cellStyle name="Input 9 2 3 3 5 2" xfId="46758" xr:uid="{00000000-0005-0000-0000-000000810000}"/>
    <cellStyle name="Input 9 2 3 3 5 3" xfId="50664" xr:uid="{00000000-0005-0000-0000-000001810000}"/>
    <cellStyle name="Input 9 2 3 3 5 4" xfId="38627" xr:uid="{00000000-0005-0000-0000-000002810000}"/>
    <cellStyle name="Input 9 2 3 3 6" xfId="21874" xr:uid="{00000000-0005-0000-0000-000003810000}"/>
    <cellStyle name="Input 9 2 3 3 6 2" xfId="47411" xr:uid="{00000000-0005-0000-0000-000004810000}"/>
    <cellStyle name="Input 9 2 3 3 6 3" xfId="51317" xr:uid="{00000000-0005-0000-0000-000005810000}"/>
    <cellStyle name="Input 9 2 3 3 7" xfId="41214" xr:uid="{00000000-0005-0000-0000-000006810000}"/>
    <cellStyle name="Input 9 2 3 3 8" xfId="39481" xr:uid="{00000000-0005-0000-0000-000007810000}"/>
    <cellStyle name="Input 9 2 3 4" xfId="14978" xr:uid="{00000000-0005-0000-0000-000008810000}"/>
    <cellStyle name="Input 9 2 3 4 2" xfId="43094" xr:uid="{00000000-0005-0000-0000-000009810000}"/>
    <cellStyle name="Input 9 2 3 4 3" xfId="39632" xr:uid="{00000000-0005-0000-0000-00000A810000}"/>
    <cellStyle name="Input 9 2 3 4 4" xfId="32613" xr:uid="{00000000-0005-0000-0000-00000B810000}"/>
    <cellStyle name="Input 9 2 3 5" xfId="13195" xr:uid="{00000000-0005-0000-0000-00000C810000}"/>
    <cellStyle name="Input 9 2 3 5 2" xfId="42416" xr:uid="{00000000-0005-0000-0000-00000D810000}"/>
    <cellStyle name="Input 9 2 3 5 3" xfId="47484" xr:uid="{00000000-0005-0000-0000-00000E810000}"/>
    <cellStyle name="Input 9 2 3 5 4" xfId="30844" xr:uid="{00000000-0005-0000-0000-00000F810000}"/>
    <cellStyle name="Input 9 2 3 6" xfId="19933" xr:uid="{00000000-0005-0000-0000-000010810000}"/>
    <cellStyle name="Input 9 2 3 6 2" xfId="45470" xr:uid="{00000000-0005-0000-0000-000011810000}"/>
    <cellStyle name="Input 9 2 3 6 3" xfId="49376" xr:uid="{00000000-0005-0000-0000-000012810000}"/>
    <cellStyle name="Input 9 2 3 6 4" xfId="37444" xr:uid="{00000000-0005-0000-0000-000013810000}"/>
    <cellStyle name="Input 9 2 3 7" xfId="11725" xr:uid="{00000000-0005-0000-0000-000014810000}"/>
    <cellStyle name="Input 9 2 3 7 2" xfId="41714" xr:uid="{00000000-0005-0000-0000-000015810000}"/>
    <cellStyle name="Input 9 2 3 7 3" xfId="42018" xr:uid="{00000000-0005-0000-0000-000016810000}"/>
    <cellStyle name="Input 9 2 3 7 4" xfId="29412" xr:uid="{00000000-0005-0000-0000-000017810000}"/>
    <cellStyle name="Input 9 2 3 8" xfId="20097" xr:uid="{00000000-0005-0000-0000-000018810000}"/>
    <cellStyle name="Input 9 2 3 8 2" xfId="45634" xr:uid="{00000000-0005-0000-0000-000019810000}"/>
    <cellStyle name="Input 9 2 3 8 3" xfId="49540" xr:uid="{00000000-0005-0000-0000-00001A810000}"/>
    <cellStyle name="Input 9 2 3 9" xfId="39954" xr:uid="{00000000-0005-0000-0000-00001B810000}"/>
    <cellStyle name="Input 9 2 4" xfId="53223" xr:uid="{00000000-0005-0000-0000-00001C810000}"/>
    <cellStyle name="Input 9 2_Sheet1" xfId="2041" xr:uid="{00000000-0005-0000-0000-00001D810000}"/>
    <cellStyle name="Input 9 3" xfId="2042" xr:uid="{00000000-0005-0000-0000-00001E810000}"/>
    <cellStyle name="Input 9 3 2" xfId="7192" xr:uid="{00000000-0005-0000-0000-00001F810000}"/>
    <cellStyle name="Input 9 3 2 10" xfId="42193" xr:uid="{00000000-0005-0000-0000-000020810000}"/>
    <cellStyle name="Input 9 3 2 2" xfId="10722" xr:uid="{00000000-0005-0000-0000-000021810000}"/>
    <cellStyle name="Input 9 3 2 2 2" xfId="18515" xr:uid="{00000000-0005-0000-0000-000022810000}"/>
    <cellStyle name="Input 9 3 2 2 2 2" xfId="44062" xr:uid="{00000000-0005-0000-0000-000023810000}"/>
    <cellStyle name="Input 9 3 2 2 2 3" xfId="47971" xr:uid="{00000000-0005-0000-0000-000024810000}"/>
    <cellStyle name="Input 9 3 2 2 2 4" xfId="36152" xr:uid="{00000000-0005-0000-0000-000025810000}"/>
    <cellStyle name="Input 9 3 2 2 3" xfId="19286" xr:uid="{00000000-0005-0000-0000-000026810000}"/>
    <cellStyle name="Input 9 3 2 2 3 2" xfId="44823" xr:uid="{00000000-0005-0000-0000-000027810000}"/>
    <cellStyle name="Input 9 3 2 2 3 3" xfId="48729" xr:uid="{00000000-0005-0000-0000-000028810000}"/>
    <cellStyle name="Input 9 3 2 2 3 4" xfId="36864" xr:uid="{00000000-0005-0000-0000-000029810000}"/>
    <cellStyle name="Input 9 3 2 2 4" xfId="19703" xr:uid="{00000000-0005-0000-0000-00002A810000}"/>
    <cellStyle name="Input 9 3 2 2 4 2" xfId="45240" xr:uid="{00000000-0005-0000-0000-00002B810000}"/>
    <cellStyle name="Input 9 3 2 2 4 3" xfId="49146" xr:uid="{00000000-0005-0000-0000-00002C810000}"/>
    <cellStyle name="Input 9 3 2 2 4 4" xfId="37231" xr:uid="{00000000-0005-0000-0000-00002D810000}"/>
    <cellStyle name="Input 9 3 2 2 5" xfId="20928" xr:uid="{00000000-0005-0000-0000-00002E810000}"/>
    <cellStyle name="Input 9 3 2 2 5 2" xfId="46465" xr:uid="{00000000-0005-0000-0000-00002F810000}"/>
    <cellStyle name="Input 9 3 2 2 5 3" xfId="50371" xr:uid="{00000000-0005-0000-0000-000030810000}"/>
    <cellStyle name="Input 9 3 2 2 5 4" xfId="38334" xr:uid="{00000000-0005-0000-0000-000031810000}"/>
    <cellStyle name="Input 9 3 2 2 6" xfId="21581" xr:uid="{00000000-0005-0000-0000-000032810000}"/>
    <cellStyle name="Input 9 3 2 2 6 2" xfId="47118" xr:uid="{00000000-0005-0000-0000-000033810000}"/>
    <cellStyle name="Input 9 3 2 2 6 3" xfId="51024" xr:uid="{00000000-0005-0000-0000-000034810000}"/>
    <cellStyle name="Input 9 3 2 2 7" xfId="40921" xr:uid="{00000000-0005-0000-0000-000035810000}"/>
    <cellStyle name="Input 9 3 2 2 8" xfId="42607" xr:uid="{00000000-0005-0000-0000-000036810000}"/>
    <cellStyle name="Input 9 3 2 3" xfId="11017" xr:uid="{00000000-0005-0000-0000-000037810000}"/>
    <cellStyle name="Input 9 3 2 3 2" xfId="18810" xr:uid="{00000000-0005-0000-0000-000038810000}"/>
    <cellStyle name="Input 9 3 2 3 2 2" xfId="44357" xr:uid="{00000000-0005-0000-0000-000039810000}"/>
    <cellStyle name="Input 9 3 2 3 2 3" xfId="48266" xr:uid="{00000000-0005-0000-0000-00003A810000}"/>
    <cellStyle name="Input 9 3 2 3 2 4" xfId="36447" xr:uid="{00000000-0005-0000-0000-00003B810000}"/>
    <cellStyle name="Input 9 3 2 3 3" xfId="20403" xr:uid="{00000000-0005-0000-0000-00003C810000}"/>
    <cellStyle name="Input 9 3 2 3 3 2" xfId="45940" xr:uid="{00000000-0005-0000-0000-00003D810000}"/>
    <cellStyle name="Input 9 3 2 3 3 3" xfId="49846" xr:uid="{00000000-0005-0000-0000-00003E810000}"/>
    <cellStyle name="Input 9 3 2 3 3 4" xfId="37857" xr:uid="{00000000-0005-0000-0000-00003F810000}"/>
    <cellStyle name="Input 9 3 2 3 4" xfId="20547" xr:uid="{00000000-0005-0000-0000-000040810000}"/>
    <cellStyle name="Input 9 3 2 3 4 2" xfId="46084" xr:uid="{00000000-0005-0000-0000-000041810000}"/>
    <cellStyle name="Input 9 3 2 3 4 3" xfId="49990" xr:uid="{00000000-0005-0000-0000-000042810000}"/>
    <cellStyle name="Input 9 3 2 3 4 4" xfId="37974" xr:uid="{00000000-0005-0000-0000-000043810000}"/>
    <cellStyle name="Input 9 3 2 3 5" xfId="21223" xr:uid="{00000000-0005-0000-0000-000044810000}"/>
    <cellStyle name="Input 9 3 2 3 5 2" xfId="46760" xr:uid="{00000000-0005-0000-0000-000045810000}"/>
    <cellStyle name="Input 9 3 2 3 5 3" xfId="50666" xr:uid="{00000000-0005-0000-0000-000046810000}"/>
    <cellStyle name="Input 9 3 2 3 5 4" xfId="38629" xr:uid="{00000000-0005-0000-0000-000047810000}"/>
    <cellStyle name="Input 9 3 2 3 6" xfId="21876" xr:uid="{00000000-0005-0000-0000-000048810000}"/>
    <cellStyle name="Input 9 3 2 3 6 2" xfId="47413" xr:uid="{00000000-0005-0000-0000-000049810000}"/>
    <cellStyle name="Input 9 3 2 3 6 3" xfId="51319" xr:uid="{00000000-0005-0000-0000-00004A810000}"/>
    <cellStyle name="Input 9 3 2 3 7" xfId="41216" xr:uid="{00000000-0005-0000-0000-00004B810000}"/>
    <cellStyle name="Input 9 3 2 3 8" xfId="43368" xr:uid="{00000000-0005-0000-0000-00004C810000}"/>
    <cellStyle name="Input 9 3 2 4" xfId="14980" xr:uid="{00000000-0005-0000-0000-00004D810000}"/>
    <cellStyle name="Input 9 3 2 4 2" xfId="43096" xr:uid="{00000000-0005-0000-0000-00004E810000}"/>
    <cellStyle name="Input 9 3 2 4 3" xfId="43556" xr:uid="{00000000-0005-0000-0000-00004F810000}"/>
    <cellStyle name="Input 9 3 2 4 4" xfId="32615" xr:uid="{00000000-0005-0000-0000-000050810000}"/>
    <cellStyle name="Input 9 3 2 5" xfId="13197" xr:uid="{00000000-0005-0000-0000-000051810000}"/>
    <cellStyle name="Input 9 3 2 5 2" xfId="42418" xr:uid="{00000000-0005-0000-0000-000052810000}"/>
    <cellStyle name="Input 9 3 2 5 3" xfId="43193" xr:uid="{00000000-0005-0000-0000-000053810000}"/>
    <cellStyle name="Input 9 3 2 5 4" xfId="30846" xr:uid="{00000000-0005-0000-0000-000054810000}"/>
    <cellStyle name="Input 9 3 2 6" xfId="13316" xr:uid="{00000000-0005-0000-0000-000055810000}"/>
    <cellStyle name="Input 9 3 2 6 2" xfId="42486" xr:uid="{00000000-0005-0000-0000-000056810000}"/>
    <cellStyle name="Input 9 3 2 6 3" xfId="41963" xr:uid="{00000000-0005-0000-0000-000057810000}"/>
    <cellStyle name="Input 9 3 2 6 4" xfId="30956" xr:uid="{00000000-0005-0000-0000-000058810000}"/>
    <cellStyle name="Input 9 3 2 7" xfId="11476" xr:uid="{00000000-0005-0000-0000-000059810000}"/>
    <cellStyle name="Input 9 3 2 7 2" xfId="41487" xr:uid="{00000000-0005-0000-0000-00005A810000}"/>
    <cellStyle name="Input 9 3 2 7 3" xfId="43218" xr:uid="{00000000-0005-0000-0000-00005B810000}"/>
    <cellStyle name="Input 9 3 2 7 4" xfId="29192" xr:uid="{00000000-0005-0000-0000-00005C810000}"/>
    <cellStyle name="Input 9 3 2 8" xfId="20118" xr:uid="{00000000-0005-0000-0000-00005D810000}"/>
    <cellStyle name="Input 9 3 2 8 2" xfId="45655" xr:uid="{00000000-0005-0000-0000-00005E810000}"/>
    <cellStyle name="Input 9 3 2 8 3" xfId="49561" xr:uid="{00000000-0005-0000-0000-00005F810000}"/>
    <cellStyle name="Input 9 3 2 9" xfId="39956" xr:uid="{00000000-0005-0000-0000-000060810000}"/>
    <cellStyle name="Input 9 3 3" xfId="53225" xr:uid="{00000000-0005-0000-0000-000061810000}"/>
    <cellStyle name="Input 9 4" xfId="7189" xr:uid="{00000000-0005-0000-0000-000062810000}"/>
    <cellStyle name="Input 9 4 10" xfId="43537" xr:uid="{00000000-0005-0000-0000-000063810000}"/>
    <cellStyle name="Input 9 4 11" xfId="53226" xr:uid="{00000000-0005-0000-0000-000064810000}"/>
    <cellStyle name="Input 9 4 2" xfId="10719" xr:uid="{00000000-0005-0000-0000-000065810000}"/>
    <cellStyle name="Input 9 4 2 2" xfId="18512" xr:uid="{00000000-0005-0000-0000-000066810000}"/>
    <cellStyle name="Input 9 4 2 2 2" xfId="44059" xr:uid="{00000000-0005-0000-0000-000067810000}"/>
    <cellStyle name="Input 9 4 2 2 3" xfId="47968" xr:uid="{00000000-0005-0000-0000-000068810000}"/>
    <cellStyle name="Input 9 4 2 2 4" xfId="36149" xr:uid="{00000000-0005-0000-0000-000069810000}"/>
    <cellStyle name="Input 9 4 2 3" xfId="20154" xr:uid="{00000000-0005-0000-0000-00006A810000}"/>
    <cellStyle name="Input 9 4 2 3 2" xfId="45691" xr:uid="{00000000-0005-0000-0000-00006B810000}"/>
    <cellStyle name="Input 9 4 2 3 3" xfId="49597" xr:uid="{00000000-0005-0000-0000-00006C810000}"/>
    <cellStyle name="Input 9 4 2 3 4" xfId="37640" xr:uid="{00000000-0005-0000-0000-00006D810000}"/>
    <cellStyle name="Input 9 4 2 4" xfId="11542" xr:uid="{00000000-0005-0000-0000-00006E810000}"/>
    <cellStyle name="Input 9 4 2 4 2" xfId="41553" xr:uid="{00000000-0005-0000-0000-00006F810000}"/>
    <cellStyle name="Input 9 4 2 4 3" xfId="42713" xr:uid="{00000000-0005-0000-0000-000070810000}"/>
    <cellStyle name="Input 9 4 2 4 4" xfId="29256" xr:uid="{00000000-0005-0000-0000-000071810000}"/>
    <cellStyle name="Input 9 4 2 5" xfId="20925" xr:uid="{00000000-0005-0000-0000-000072810000}"/>
    <cellStyle name="Input 9 4 2 5 2" xfId="46462" xr:uid="{00000000-0005-0000-0000-000073810000}"/>
    <cellStyle name="Input 9 4 2 5 3" xfId="50368" xr:uid="{00000000-0005-0000-0000-000074810000}"/>
    <cellStyle name="Input 9 4 2 5 4" xfId="38331" xr:uid="{00000000-0005-0000-0000-000075810000}"/>
    <cellStyle name="Input 9 4 2 6" xfId="21578" xr:uid="{00000000-0005-0000-0000-000076810000}"/>
    <cellStyle name="Input 9 4 2 6 2" xfId="47115" xr:uid="{00000000-0005-0000-0000-000077810000}"/>
    <cellStyle name="Input 9 4 2 6 3" xfId="51021" xr:uid="{00000000-0005-0000-0000-000078810000}"/>
    <cellStyle name="Input 9 4 2 7" xfId="40918" xr:uid="{00000000-0005-0000-0000-000079810000}"/>
    <cellStyle name="Input 9 4 2 8" xfId="43631" xr:uid="{00000000-0005-0000-0000-00007A810000}"/>
    <cellStyle name="Input 9 4 3" xfId="11014" xr:uid="{00000000-0005-0000-0000-00007B810000}"/>
    <cellStyle name="Input 9 4 3 2" xfId="18807" xr:uid="{00000000-0005-0000-0000-00007C810000}"/>
    <cellStyle name="Input 9 4 3 2 2" xfId="44354" xr:uid="{00000000-0005-0000-0000-00007D810000}"/>
    <cellStyle name="Input 9 4 3 2 3" xfId="48263" xr:uid="{00000000-0005-0000-0000-00007E810000}"/>
    <cellStyle name="Input 9 4 3 2 4" xfId="36444" xr:uid="{00000000-0005-0000-0000-00007F810000}"/>
    <cellStyle name="Input 9 4 3 3" xfId="20400" xr:uid="{00000000-0005-0000-0000-000080810000}"/>
    <cellStyle name="Input 9 4 3 3 2" xfId="45937" xr:uid="{00000000-0005-0000-0000-000081810000}"/>
    <cellStyle name="Input 9 4 3 3 3" xfId="49843" xr:uid="{00000000-0005-0000-0000-000082810000}"/>
    <cellStyle name="Input 9 4 3 3 4" xfId="37854" xr:uid="{00000000-0005-0000-0000-000083810000}"/>
    <cellStyle name="Input 9 4 3 4" xfId="20544" xr:uid="{00000000-0005-0000-0000-000084810000}"/>
    <cellStyle name="Input 9 4 3 4 2" xfId="46081" xr:uid="{00000000-0005-0000-0000-000085810000}"/>
    <cellStyle name="Input 9 4 3 4 3" xfId="49987" xr:uid="{00000000-0005-0000-0000-000086810000}"/>
    <cellStyle name="Input 9 4 3 4 4" xfId="37971" xr:uid="{00000000-0005-0000-0000-000087810000}"/>
    <cellStyle name="Input 9 4 3 5" xfId="21220" xr:uid="{00000000-0005-0000-0000-000088810000}"/>
    <cellStyle name="Input 9 4 3 5 2" xfId="46757" xr:uid="{00000000-0005-0000-0000-000089810000}"/>
    <cellStyle name="Input 9 4 3 5 3" xfId="50663" xr:uid="{00000000-0005-0000-0000-00008A810000}"/>
    <cellStyle name="Input 9 4 3 5 4" xfId="38626" xr:uid="{00000000-0005-0000-0000-00008B810000}"/>
    <cellStyle name="Input 9 4 3 6" xfId="21873" xr:uid="{00000000-0005-0000-0000-00008C810000}"/>
    <cellStyle name="Input 9 4 3 6 2" xfId="47410" xr:uid="{00000000-0005-0000-0000-00008D810000}"/>
    <cellStyle name="Input 9 4 3 6 3" xfId="51316" xr:uid="{00000000-0005-0000-0000-00008E810000}"/>
    <cellStyle name="Input 9 4 3 7" xfId="41213" xr:uid="{00000000-0005-0000-0000-00008F810000}"/>
    <cellStyle name="Input 9 4 3 8" xfId="40369" xr:uid="{00000000-0005-0000-0000-000090810000}"/>
    <cellStyle name="Input 9 4 4" xfId="14977" xr:uid="{00000000-0005-0000-0000-000091810000}"/>
    <cellStyle name="Input 9 4 4 2" xfId="43093" xr:uid="{00000000-0005-0000-0000-000092810000}"/>
    <cellStyle name="Input 9 4 4 3" xfId="40524" xr:uid="{00000000-0005-0000-0000-000093810000}"/>
    <cellStyle name="Input 9 4 4 4" xfId="32612" xr:uid="{00000000-0005-0000-0000-000094810000}"/>
    <cellStyle name="Input 9 4 5" xfId="13194" xr:uid="{00000000-0005-0000-0000-000095810000}"/>
    <cellStyle name="Input 9 4 5 2" xfId="42415" xr:uid="{00000000-0005-0000-0000-000096810000}"/>
    <cellStyle name="Input 9 4 5 3" xfId="44416" xr:uid="{00000000-0005-0000-0000-000097810000}"/>
    <cellStyle name="Input 9 4 5 4" xfId="30843" xr:uid="{00000000-0005-0000-0000-000098810000}"/>
    <cellStyle name="Input 9 4 6" xfId="12865" xr:uid="{00000000-0005-0000-0000-000099810000}"/>
    <cellStyle name="Input 9 4 6 2" xfId="42248" xr:uid="{00000000-0005-0000-0000-00009A810000}"/>
    <cellStyle name="Input 9 4 6 3" xfId="39550" xr:uid="{00000000-0005-0000-0000-00009B810000}"/>
    <cellStyle name="Input 9 4 6 4" xfId="30517" xr:uid="{00000000-0005-0000-0000-00009C810000}"/>
    <cellStyle name="Input 9 4 7" xfId="20265" xr:uid="{00000000-0005-0000-0000-00009D810000}"/>
    <cellStyle name="Input 9 4 7 2" xfId="45802" xr:uid="{00000000-0005-0000-0000-00009E810000}"/>
    <cellStyle name="Input 9 4 7 3" xfId="49708" xr:uid="{00000000-0005-0000-0000-00009F810000}"/>
    <cellStyle name="Input 9 4 7 4" xfId="37735" xr:uid="{00000000-0005-0000-0000-0000A0810000}"/>
    <cellStyle name="Input 9 4 8" xfId="19027" xr:uid="{00000000-0005-0000-0000-0000A1810000}"/>
    <cellStyle name="Input 9 4 8 2" xfId="44564" xr:uid="{00000000-0005-0000-0000-0000A2810000}"/>
    <cellStyle name="Input 9 4 8 3" xfId="48470" xr:uid="{00000000-0005-0000-0000-0000A3810000}"/>
    <cellStyle name="Input 9 4 9" xfId="39953" xr:uid="{00000000-0005-0000-0000-0000A4810000}"/>
    <cellStyle name="Input 9 5" xfId="22492" xr:uid="{00000000-0005-0000-0000-0000A5810000}"/>
    <cellStyle name="Input 9 6" xfId="22906" xr:uid="{00000000-0005-0000-0000-0000A6810000}"/>
    <cellStyle name="Input 9 7" xfId="53222" xr:uid="{00000000-0005-0000-0000-0000A7810000}"/>
    <cellStyle name="Input 9_Sheet1" xfId="2043" xr:uid="{00000000-0005-0000-0000-0000A8810000}"/>
    <cellStyle name="Linked Cell" xfId="157" builtinId="24" customBuiltin="1"/>
    <cellStyle name="Linked Cell 2" xfId="109" xr:uid="{00000000-0005-0000-0000-0000AA810000}"/>
    <cellStyle name="Linked Cell 2 2" xfId="2044" xr:uid="{00000000-0005-0000-0000-0000AB810000}"/>
    <cellStyle name="Linked Cell 2 2 2" xfId="2045" xr:uid="{00000000-0005-0000-0000-0000AC810000}"/>
    <cellStyle name="Linked Cell 2 2_Sheet1" xfId="2046" xr:uid="{00000000-0005-0000-0000-0000AD810000}"/>
    <cellStyle name="Linked Cell 2 3" xfId="2047" xr:uid="{00000000-0005-0000-0000-0000AE810000}"/>
    <cellStyle name="Linked Cell 2 4" xfId="2048" xr:uid="{00000000-0005-0000-0000-0000AF810000}"/>
    <cellStyle name="Linked Cell 2 5" xfId="4247" xr:uid="{00000000-0005-0000-0000-0000B0810000}"/>
    <cellStyle name="Linked Cell 2_Sheet1" xfId="2049" xr:uid="{00000000-0005-0000-0000-0000B1810000}"/>
    <cellStyle name="Linked Cell 3" xfId="110" xr:uid="{00000000-0005-0000-0000-0000B2810000}"/>
    <cellStyle name="Linked Cell 3 2" xfId="2050" xr:uid="{00000000-0005-0000-0000-0000B3810000}"/>
    <cellStyle name="Linked Cell 3 3" xfId="2051" xr:uid="{00000000-0005-0000-0000-0000B4810000}"/>
    <cellStyle name="Linked Cell 3 4" xfId="4248" xr:uid="{00000000-0005-0000-0000-0000B5810000}"/>
    <cellStyle name="Linked Cell 4" xfId="111" xr:uid="{00000000-0005-0000-0000-0000B6810000}"/>
    <cellStyle name="Linked Cell 4 2" xfId="2052" xr:uid="{00000000-0005-0000-0000-0000B7810000}"/>
    <cellStyle name="Linked Cell 4 3" xfId="2053" xr:uid="{00000000-0005-0000-0000-0000B8810000}"/>
    <cellStyle name="Linked Cell 4 4" xfId="4249" xr:uid="{00000000-0005-0000-0000-0000B9810000}"/>
    <cellStyle name="Linked Cell 4 5" xfId="4250" xr:uid="{00000000-0005-0000-0000-0000BA810000}"/>
    <cellStyle name="Linked Cell 5" xfId="2054" xr:uid="{00000000-0005-0000-0000-0000BB810000}"/>
    <cellStyle name="Linked Cell 5 2" xfId="4251" xr:uid="{00000000-0005-0000-0000-0000BC810000}"/>
    <cellStyle name="Linked Cell 5 3" xfId="4252" xr:uid="{00000000-0005-0000-0000-0000BD810000}"/>
    <cellStyle name="Linked Cell 6" xfId="22494" xr:uid="{00000000-0005-0000-0000-0000BE810000}"/>
    <cellStyle name="Linked Cell 7" xfId="22495" xr:uid="{00000000-0005-0000-0000-0000BF810000}"/>
    <cellStyle name="Linked Cell 8" xfId="22496" xr:uid="{00000000-0005-0000-0000-0000C0810000}"/>
    <cellStyle name="Linked Cell 9" xfId="22493" xr:uid="{00000000-0005-0000-0000-0000C1810000}"/>
    <cellStyle name="Neutral" xfId="148" builtinId="28" customBuiltin="1"/>
    <cellStyle name="Neutral 2" xfId="112" xr:uid="{00000000-0005-0000-0000-0000C3810000}"/>
    <cellStyle name="Neutral 2 10" xfId="2056" xr:uid="{00000000-0005-0000-0000-0000C4810000}"/>
    <cellStyle name="Neutral 2 11" xfId="2057" xr:uid="{00000000-0005-0000-0000-0000C5810000}"/>
    <cellStyle name="Neutral 2 12" xfId="2058" xr:uid="{00000000-0005-0000-0000-0000C6810000}"/>
    <cellStyle name="Neutral 2 13" xfId="2059" xr:uid="{00000000-0005-0000-0000-0000C7810000}"/>
    <cellStyle name="Neutral 2 14" xfId="2060" xr:uid="{00000000-0005-0000-0000-0000C8810000}"/>
    <cellStyle name="Neutral 2 15" xfId="4253" xr:uid="{00000000-0005-0000-0000-0000C9810000}"/>
    <cellStyle name="Neutral 2 16" xfId="4254" xr:uid="{00000000-0005-0000-0000-0000CA810000}"/>
    <cellStyle name="Neutral 2 17" xfId="4255" xr:uid="{00000000-0005-0000-0000-0000CB810000}"/>
    <cellStyle name="Neutral 2 18" xfId="2055" xr:uid="{00000000-0005-0000-0000-0000CC810000}"/>
    <cellStyle name="Neutral 2 2" xfId="2061" xr:uid="{00000000-0005-0000-0000-0000CD810000}"/>
    <cellStyle name="Neutral 2 2 2" xfId="2062" xr:uid="{00000000-0005-0000-0000-0000CE810000}"/>
    <cellStyle name="Neutral 2 2 3" xfId="2063" xr:uid="{00000000-0005-0000-0000-0000CF810000}"/>
    <cellStyle name="Neutral 2 2 4" xfId="4256" xr:uid="{00000000-0005-0000-0000-0000D0810000}"/>
    <cellStyle name="Neutral 2 2 5" xfId="4257" xr:uid="{00000000-0005-0000-0000-0000D1810000}"/>
    <cellStyle name="Neutral 2 2_Sheet1" xfId="2064" xr:uid="{00000000-0005-0000-0000-0000D2810000}"/>
    <cellStyle name="Neutral 2 3" xfId="2065" xr:uid="{00000000-0005-0000-0000-0000D3810000}"/>
    <cellStyle name="Neutral 2 4" xfId="2066" xr:uid="{00000000-0005-0000-0000-0000D4810000}"/>
    <cellStyle name="Neutral 2 5" xfId="2067" xr:uid="{00000000-0005-0000-0000-0000D5810000}"/>
    <cellStyle name="Neutral 2 6" xfId="2068" xr:uid="{00000000-0005-0000-0000-0000D6810000}"/>
    <cellStyle name="Neutral 2 7" xfId="2069" xr:uid="{00000000-0005-0000-0000-0000D7810000}"/>
    <cellStyle name="Neutral 2 8" xfId="2070" xr:uid="{00000000-0005-0000-0000-0000D8810000}"/>
    <cellStyle name="Neutral 2 9" xfId="2071" xr:uid="{00000000-0005-0000-0000-0000D9810000}"/>
    <cellStyle name="Neutral 2_BallGrid" xfId="2072" xr:uid="{00000000-0005-0000-0000-0000DA810000}"/>
    <cellStyle name="Neutral 3" xfId="113" xr:uid="{00000000-0005-0000-0000-0000DB810000}"/>
    <cellStyle name="Neutral 3 2" xfId="2073" xr:uid="{00000000-0005-0000-0000-0000DC810000}"/>
    <cellStyle name="Neutral 3 2 2" xfId="22498" xr:uid="{00000000-0005-0000-0000-0000DD810000}"/>
    <cellStyle name="Neutral 3 3" xfId="2074" xr:uid="{00000000-0005-0000-0000-0000DE810000}"/>
    <cellStyle name="Neutral 3 4" xfId="4258" xr:uid="{00000000-0005-0000-0000-0000DF810000}"/>
    <cellStyle name="Neutral 4" xfId="114" xr:uid="{00000000-0005-0000-0000-0000E0810000}"/>
    <cellStyle name="Neutral 4 2" xfId="2075" xr:uid="{00000000-0005-0000-0000-0000E1810000}"/>
    <cellStyle name="Neutral 4 3" xfId="2076" xr:uid="{00000000-0005-0000-0000-0000E2810000}"/>
    <cellStyle name="Neutral 4 4" xfId="4259" xr:uid="{00000000-0005-0000-0000-0000E3810000}"/>
    <cellStyle name="Neutral 4 5" xfId="4260" xr:uid="{00000000-0005-0000-0000-0000E4810000}"/>
    <cellStyle name="Neutral 5" xfId="2077" xr:uid="{00000000-0005-0000-0000-0000E5810000}"/>
    <cellStyle name="Neutral 5 2" xfId="4261" xr:uid="{00000000-0005-0000-0000-0000E6810000}"/>
    <cellStyle name="Neutral 5 3" xfId="4262" xr:uid="{00000000-0005-0000-0000-0000E7810000}"/>
    <cellStyle name="Neutral 5 4" xfId="22499" xr:uid="{00000000-0005-0000-0000-0000E8810000}"/>
    <cellStyle name="Neutral 6" xfId="22500" xr:uid="{00000000-0005-0000-0000-0000E9810000}"/>
    <cellStyle name="Neutral 7" xfId="22501" xr:uid="{00000000-0005-0000-0000-0000EA810000}"/>
    <cellStyle name="Neutral 8" xfId="22497" xr:uid="{00000000-0005-0000-0000-0000EB810000}"/>
    <cellStyle name="Normal" xfId="0" builtinId="0"/>
    <cellStyle name="Normal - Style1" xfId="2078" xr:uid="{00000000-0005-0000-0000-0000ED810000}"/>
    <cellStyle name="Normal 10" xfId="192" xr:uid="{00000000-0005-0000-0000-0000EE810000}"/>
    <cellStyle name="Normal 10 2" xfId="209" xr:uid="{00000000-0005-0000-0000-0000EF810000}"/>
    <cellStyle name="Normal 10 2 2" xfId="22752" xr:uid="{00000000-0005-0000-0000-0000F0810000}"/>
    <cellStyle name="Normal 10 2 2 2" xfId="38959" xr:uid="{00000000-0005-0000-0000-0000F1810000}"/>
    <cellStyle name="Normal 10 3" xfId="202" xr:uid="{00000000-0005-0000-0000-0000F2810000}"/>
    <cellStyle name="Normal 10 4" xfId="22502" xr:uid="{00000000-0005-0000-0000-0000F3810000}"/>
    <cellStyle name="Normal 10 4 2" xfId="38839" xr:uid="{00000000-0005-0000-0000-0000F4810000}"/>
    <cellStyle name="Normal 10 5" xfId="51900" xr:uid="{00000000-0005-0000-0000-0000F5810000}"/>
    <cellStyle name="Normal 100" xfId="2079" xr:uid="{00000000-0005-0000-0000-0000F6810000}"/>
    <cellStyle name="Normal 100 2" xfId="4263" xr:uid="{00000000-0005-0000-0000-0000F7810000}"/>
    <cellStyle name="Normal 100 3" xfId="22503" xr:uid="{00000000-0005-0000-0000-0000F8810000}"/>
    <cellStyle name="Normal 100 3 2" xfId="38840" xr:uid="{00000000-0005-0000-0000-0000F9810000}"/>
    <cellStyle name="Normal 100 4" xfId="51901" xr:uid="{00000000-0005-0000-0000-0000FA810000}"/>
    <cellStyle name="Normal 101" xfId="2080" xr:uid="{00000000-0005-0000-0000-0000FB810000}"/>
    <cellStyle name="Normal 101 2" xfId="4264" xr:uid="{00000000-0005-0000-0000-0000FC810000}"/>
    <cellStyle name="Normal 101 3" xfId="22504" xr:uid="{00000000-0005-0000-0000-0000FD810000}"/>
    <cellStyle name="Normal 101 3 2" xfId="38841" xr:uid="{00000000-0005-0000-0000-0000FE810000}"/>
    <cellStyle name="Normal 101 4" xfId="51902" xr:uid="{00000000-0005-0000-0000-0000FF810000}"/>
    <cellStyle name="Normal 102" xfId="2081" xr:uid="{00000000-0005-0000-0000-000000820000}"/>
    <cellStyle name="Normal 102 10" xfId="51903" xr:uid="{00000000-0005-0000-0000-000001820000}"/>
    <cellStyle name="Normal 102 2" xfId="4265" xr:uid="{00000000-0005-0000-0000-000002820000}"/>
    <cellStyle name="Normal 102 2 2" xfId="8471" xr:uid="{00000000-0005-0000-0000-000003820000}"/>
    <cellStyle name="Normal 102 2 2 2" xfId="16267" xr:uid="{00000000-0005-0000-0000-000004820000}"/>
    <cellStyle name="Normal 102 2 2 2 2" xfId="33902" xr:uid="{00000000-0005-0000-0000-000005820000}"/>
    <cellStyle name="Normal 102 2 2 3" xfId="26872" xr:uid="{00000000-0005-0000-0000-000006820000}"/>
    <cellStyle name="Normal 102 2 3" xfId="12700" xr:uid="{00000000-0005-0000-0000-000007820000}"/>
    <cellStyle name="Normal 102 2 3 2" xfId="30360" xr:uid="{00000000-0005-0000-0000-000008820000}"/>
    <cellStyle name="Normal 102 2 4" xfId="24007" xr:uid="{00000000-0005-0000-0000-000009820000}"/>
    <cellStyle name="Normal 102 3" xfId="5787" xr:uid="{00000000-0005-0000-0000-00000A820000}"/>
    <cellStyle name="Normal 102 3 2" xfId="9087" xr:uid="{00000000-0005-0000-0000-00000B820000}"/>
    <cellStyle name="Normal 102 3 2 2" xfId="16882" xr:uid="{00000000-0005-0000-0000-00000C820000}"/>
    <cellStyle name="Normal 102 3 2 2 2" xfId="34518" xr:uid="{00000000-0005-0000-0000-00000D820000}"/>
    <cellStyle name="Normal 102 3 2 3" xfId="27475" xr:uid="{00000000-0005-0000-0000-00000E820000}"/>
    <cellStyle name="Normal 102 3 3" xfId="13643" xr:uid="{00000000-0005-0000-0000-00000F820000}"/>
    <cellStyle name="Normal 102 3 3 2" xfId="31283" xr:uid="{00000000-0005-0000-0000-000010820000}"/>
    <cellStyle name="Normal 102 3 4" xfId="24610" xr:uid="{00000000-0005-0000-0000-000011820000}"/>
    <cellStyle name="Normal 102 4" xfId="6417" xr:uid="{00000000-0005-0000-0000-000012820000}"/>
    <cellStyle name="Normal 102 4 2" xfId="9627" xr:uid="{00000000-0005-0000-0000-000013820000}"/>
    <cellStyle name="Normal 102 4 2 2" xfId="17421" xr:uid="{00000000-0005-0000-0000-000014820000}"/>
    <cellStyle name="Normal 102 4 2 2 2" xfId="35058" xr:uid="{00000000-0005-0000-0000-000015820000}"/>
    <cellStyle name="Normal 102 4 2 3" xfId="28011" xr:uid="{00000000-0005-0000-0000-000016820000}"/>
    <cellStyle name="Normal 102 4 3" xfId="14206" xr:uid="{00000000-0005-0000-0000-000017820000}"/>
    <cellStyle name="Normal 102 4 3 2" xfId="31841" xr:uid="{00000000-0005-0000-0000-000018820000}"/>
    <cellStyle name="Normal 102 4 4" xfId="25147" xr:uid="{00000000-0005-0000-0000-000019820000}"/>
    <cellStyle name="Normal 102 5" xfId="7193" xr:uid="{00000000-0005-0000-0000-00001A820000}"/>
    <cellStyle name="Normal 102 5 2" xfId="10181" xr:uid="{00000000-0005-0000-0000-00001B820000}"/>
    <cellStyle name="Normal 102 5 2 2" xfId="17974" xr:uid="{00000000-0005-0000-0000-00001C820000}"/>
    <cellStyle name="Normal 102 5 2 2 2" xfId="35611" xr:uid="{00000000-0005-0000-0000-00001D820000}"/>
    <cellStyle name="Normal 102 5 2 3" xfId="28548" xr:uid="{00000000-0005-0000-0000-00001E820000}"/>
    <cellStyle name="Normal 102 5 3" xfId="14981" xr:uid="{00000000-0005-0000-0000-00001F820000}"/>
    <cellStyle name="Normal 102 5 3 2" xfId="32616" xr:uid="{00000000-0005-0000-0000-000020820000}"/>
    <cellStyle name="Normal 102 5 4" xfId="25685" xr:uid="{00000000-0005-0000-0000-000021820000}"/>
    <cellStyle name="Normal 102 6" xfId="7792" xr:uid="{00000000-0005-0000-0000-000022820000}"/>
    <cellStyle name="Normal 102 6 2" xfId="15589" xr:uid="{00000000-0005-0000-0000-000023820000}"/>
    <cellStyle name="Normal 102 6 2 2" xfId="33224" xr:uid="{00000000-0005-0000-0000-000024820000}"/>
    <cellStyle name="Normal 102 6 3" xfId="26208" xr:uid="{00000000-0005-0000-0000-000025820000}"/>
    <cellStyle name="Normal 102 7" xfId="11686" xr:uid="{00000000-0005-0000-0000-000026820000}"/>
    <cellStyle name="Normal 102 7 2" xfId="29379" xr:uid="{00000000-0005-0000-0000-000027820000}"/>
    <cellStyle name="Normal 102 8" xfId="21960" xr:uid="{00000000-0005-0000-0000-000028820000}"/>
    <cellStyle name="Normal 102 8 2" xfId="38711" xr:uid="{00000000-0005-0000-0000-000029820000}"/>
    <cellStyle name="Normal 102 9" xfId="23343" xr:uid="{00000000-0005-0000-0000-00002A820000}"/>
    <cellStyle name="Normal 103" xfId="2082" xr:uid="{00000000-0005-0000-0000-00002B820000}"/>
    <cellStyle name="Normal 103 10" xfId="51904" xr:uid="{00000000-0005-0000-0000-00002C820000}"/>
    <cellStyle name="Normal 103 2" xfId="4266" xr:uid="{00000000-0005-0000-0000-00002D820000}"/>
    <cellStyle name="Normal 103 2 2" xfId="8472" xr:uid="{00000000-0005-0000-0000-00002E820000}"/>
    <cellStyle name="Normal 103 2 2 2" xfId="16268" xr:uid="{00000000-0005-0000-0000-00002F820000}"/>
    <cellStyle name="Normal 103 2 2 2 2" xfId="33903" xr:uid="{00000000-0005-0000-0000-000030820000}"/>
    <cellStyle name="Normal 103 2 2 3" xfId="26873" xr:uid="{00000000-0005-0000-0000-000031820000}"/>
    <cellStyle name="Normal 103 2 3" xfId="12701" xr:uid="{00000000-0005-0000-0000-000032820000}"/>
    <cellStyle name="Normal 103 2 3 2" xfId="30361" xr:uid="{00000000-0005-0000-0000-000033820000}"/>
    <cellStyle name="Normal 103 2 4" xfId="24008" xr:uid="{00000000-0005-0000-0000-000034820000}"/>
    <cellStyle name="Normal 103 3" xfId="5788" xr:uid="{00000000-0005-0000-0000-000035820000}"/>
    <cellStyle name="Normal 103 3 2" xfId="9088" xr:uid="{00000000-0005-0000-0000-000036820000}"/>
    <cellStyle name="Normal 103 3 2 2" xfId="16883" xr:uid="{00000000-0005-0000-0000-000037820000}"/>
    <cellStyle name="Normal 103 3 2 2 2" xfId="34519" xr:uid="{00000000-0005-0000-0000-000038820000}"/>
    <cellStyle name="Normal 103 3 2 3" xfId="27476" xr:uid="{00000000-0005-0000-0000-000039820000}"/>
    <cellStyle name="Normal 103 3 3" xfId="13644" xr:uid="{00000000-0005-0000-0000-00003A820000}"/>
    <cellStyle name="Normal 103 3 3 2" xfId="31284" xr:uid="{00000000-0005-0000-0000-00003B820000}"/>
    <cellStyle name="Normal 103 3 4" xfId="24611" xr:uid="{00000000-0005-0000-0000-00003C820000}"/>
    <cellStyle name="Normal 103 4" xfId="6418" xr:uid="{00000000-0005-0000-0000-00003D820000}"/>
    <cellStyle name="Normal 103 4 2" xfId="9628" xr:uid="{00000000-0005-0000-0000-00003E820000}"/>
    <cellStyle name="Normal 103 4 2 2" xfId="17422" xr:uid="{00000000-0005-0000-0000-00003F820000}"/>
    <cellStyle name="Normal 103 4 2 2 2" xfId="35059" xr:uid="{00000000-0005-0000-0000-000040820000}"/>
    <cellStyle name="Normal 103 4 2 3" xfId="28012" xr:uid="{00000000-0005-0000-0000-000041820000}"/>
    <cellStyle name="Normal 103 4 3" xfId="14207" xr:uid="{00000000-0005-0000-0000-000042820000}"/>
    <cellStyle name="Normal 103 4 3 2" xfId="31842" xr:uid="{00000000-0005-0000-0000-000043820000}"/>
    <cellStyle name="Normal 103 4 4" xfId="25148" xr:uid="{00000000-0005-0000-0000-000044820000}"/>
    <cellStyle name="Normal 103 5" xfId="7194" xr:uid="{00000000-0005-0000-0000-000045820000}"/>
    <cellStyle name="Normal 103 5 2" xfId="10182" xr:uid="{00000000-0005-0000-0000-000046820000}"/>
    <cellStyle name="Normal 103 5 2 2" xfId="17975" xr:uid="{00000000-0005-0000-0000-000047820000}"/>
    <cellStyle name="Normal 103 5 2 2 2" xfId="35612" xr:uid="{00000000-0005-0000-0000-000048820000}"/>
    <cellStyle name="Normal 103 5 2 3" xfId="28549" xr:uid="{00000000-0005-0000-0000-000049820000}"/>
    <cellStyle name="Normal 103 5 3" xfId="14982" xr:uid="{00000000-0005-0000-0000-00004A820000}"/>
    <cellStyle name="Normal 103 5 3 2" xfId="32617" xr:uid="{00000000-0005-0000-0000-00004B820000}"/>
    <cellStyle name="Normal 103 5 4" xfId="25686" xr:uid="{00000000-0005-0000-0000-00004C820000}"/>
    <cellStyle name="Normal 103 6" xfId="7793" xr:uid="{00000000-0005-0000-0000-00004D820000}"/>
    <cellStyle name="Normal 103 6 2" xfId="15590" xr:uid="{00000000-0005-0000-0000-00004E820000}"/>
    <cellStyle name="Normal 103 6 2 2" xfId="33225" xr:uid="{00000000-0005-0000-0000-00004F820000}"/>
    <cellStyle name="Normal 103 6 3" xfId="26209" xr:uid="{00000000-0005-0000-0000-000050820000}"/>
    <cellStyle name="Normal 103 7" xfId="11687" xr:uid="{00000000-0005-0000-0000-000051820000}"/>
    <cellStyle name="Normal 103 7 2" xfId="29380" xr:uid="{00000000-0005-0000-0000-000052820000}"/>
    <cellStyle name="Normal 103 8" xfId="21961" xr:uid="{00000000-0005-0000-0000-000053820000}"/>
    <cellStyle name="Normal 103 8 2" xfId="38712" xr:uid="{00000000-0005-0000-0000-000054820000}"/>
    <cellStyle name="Normal 103 9" xfId="23344" xr:uid="{00000000-0005-0000-0000-000055820000}"/>
    <cellStyle name="Normal 104" xfId="2083" xr:uid="{00000000-0005-0000-0000-000056820000}"/>
    <cellStyle name="Normal 104 10" xfId="51905" xr:uid="{00000000-0005-0000-0000-000057820000}"/>
    <cellStyle name="Normal 104 2" xfId="4267" xr:uid="{00000000-0005-0000-0000-000058820000}"/>
    <cellStyle name="Normal 104 2 2" xfId="8473" xr:uid="{00000000-0005-0000-0000-000059820000}"/>
    <cellStyle name="Normal 104 2 2 2" xfId="16269" xr:uid="{00000000-0005-0000-0000-00005A820000}"/>
    <cellStyle name="Normal 104 2 2 2 2" xfId="33904" xr:uid="{00000000-0005-0000-0000-00005B820000}"/>
    <cellStyle name="Normal 104 2 2 3" xfId="26874" xr:uid="{00000000-0005-0000-0000-00005C820000}"/>
    <cellStyle name="Normal 104 2 3" xfId="12702" xr:uid="{00000000-0005-0000-0000-00005D820000}"/>
    <cellStyle name="Normal 104 2 3 2" xfId="30362" xr:uid="{00000000-0005-0000-0000-00005E820000}"/>
    <cellStyle name="Normal 104 2 4" xfId="24009" xr:uid="{00000000-0005-0000-0000-00005F820000}"/>
    <cellStyle name="Normal 104 3" xfId="5789" xr:uid="{00000000-0005-0000-0000-000060820000}"/>
    <cellStyle name="Normal 104 3 2" xfId="9089" xr:uid="{00000000-0005-0000-0000-000061820000}"/>
    <cellStyle name="Normal 104 3 2 2" xfId="16884" xr:uid="{00000000-0005-0000-0000-000062820000}"/>
    <cellStyle name="Normal 104 3 2 2 2" xfId="34520" xr:uid="{00000000-0005-0000-0000-000063820000}"/>
    <cellStyle name="Normal 104 3 2 3" xfId="27477" xr:uid="{00000000-0005-0000-0000-000064820000}"/>
    <cellStyle name="Normal 104 3 3" xfId="13645" xr:uid="{00000000-0005-0000-0000-000065820000}"/>
    <cellStyle name="Normal 104 3 3 2" xfId="31285" xr:uid="{00000000-0005-0000-0000-000066820000}"/>
    <cellStyle name="Normal 104 3 4" xfId="24612" xr:uid="{00000000-0005-0000-0000-000067820000}"/>
    <cellStyle name="Normal 104 4" xfId="6419" xr:uid="{00000000-0005-0000-0000-000068820000}"/>
    <cellStyle name="Normal 104 4 2" xfId="9629" xr:uid="{00000000-0005-0000-0000-000069820000}"/>
    <cellStyle name="Normal 104 4 2 2" xfId="17423" xr:uid="{00000000-0005-0000-0000-00006A820000}"/>
    <cellStyle name="Normal 104 4 2 2 2" xfId="35060" xr:uid="{00000000-0005-0000-0000-00006B820000}"/>
    <cellStyle name="Normal 104 4 2 3" xfId="28013" xr:uid="{00000000-0005-0000-0000-00006C820000}"/>
    <cellStyle name="Normal 104 4 3" xfId="14208" xr:uid="{00000000-0005-0000-0000-00006D820000}"/>
    <cellStyle name="Normal 104 4 3 2" xfId="31843" xr:uid="{00000000-0005-0000-0000-00006E820000}"/>
    <cellStyle name="Normal 104 4 4" xfId="25149" xr:uid="{00000000-0005-0000-0000-00006F820000}"/>
    <cellStyle name="Normal 104 5" xfId="7195" xr:uid="{00000000-0005-0000-0000-000070820000}"/>
    <cellStyle name="Normal 104 5 2" xfId="10183" xr:uid="{00000000-0005-0000-0000-000071820000}"/>
    <cellStyle name="Normal 104 5 2 2" xfId="17976" xr:uid="{00000000-0005-0000-0000-000072820000}"/>
    <cellStyle name="Normal 104 5 2 2 2" xfId="35613" xr:uid="{00000000-0005-0000-0000-000073820000}"/>
    <cellStyle name="Normal 104 5 2 3" xfId="28550" xr:uid="{00000000-0005-0000-0000-000074820000}"/>
    <cellStyle name="Normal 104 5 3" xfId="14983" xr:uid="{00000000-0005-0000-0000-000075820000}"/>
    <cellStyle name="Normal 104 5 3 2" xfId="32618" xr:uid="{00000000-0005-0000-0000-000076820000}"/>
    <cellStyle name="Normal 104 5 4" xfId="25687" xr:uid="{00000000-0005-0000-0000-000077820000}"/>
    <cellStyle name="Normal 104 6" xfId="7794" xr:uid="{00000000-0005-0000-0000-000078820000}"/>
    <cellStyle name="Normal 104 6 2" xfId="15591" xr:uid="{00000000-0005-0000-0000-000079820000}"/>
    <cellStyle name="Normal 104 6 2 2" xfId="33226" xr:uid="{00000000-0005-0000-0000-00007A820000}"/>
    <cellStyle name="Normal 104 6 3" xfId="26210" xr:uid="{00000000-0005-0000-0000-00007B820000}"/>
    <cellStyle name="Normal 104 7" xfId="11688" xr:uid="{00000000-0005-0000-0000-00007C820000}"/>
    <cellStyle name="Normal 104 7 2" xfId="29381" xr:uid="{00000000-0005-0000-0000-00007D820000}"/>
    <cellStyle name="Normal 104 8" xfId="21962" xr:uid="{00000000-0005-0000-0000-00007E820000}"/>
    <cellStyle name="Normal 104 8 2" xfId="38713" xr:uid="{00000000-0005-0000-0000-00007F820000}"/>
    <cellStyle name="Normal 104 9" xfId="23345" xr:uid="{00000000-0005-0000-0000-000080820000}"/>
    <cellStyle name="Normal 105" xfId="2084" xr:uid="{00000000-0005-0000-0000-000081820000}"/>
    <cellStyle name="Normal 105 10" xfId="51906" xr:uid="{00000000-0005-0000-0000-000082820000}"/>
    <cellStyle name="Normal 105 2" xfId="4268" xr:uid="{00000000-0005-0000-0000-000083820000}"/>
    <cellStyle name="Normal 105 2 2" xfId="8474" xr:uid="{00000000-0005-0000-0000-000084820000}"/>
    <cellStyle name="Normal 105 2 2 2" xfId="16270" xr:uid="{00000000-0005-0000-0000-000085820000}"/>
    <cellStyle name="Normal 105 2 2 2 2" xfId="33905" xr:uid="{00000000-0005-0000-0000-000086820000}"/>
    <cellStyle name="Normal 105 2 2 3" xfId="26875" xr:uid="{00000000-0005-0000-0000-000087820000}"/>
    <cellStyle name="Normal 105 2 3" xfId="12703" xr:uid="{00000000-0005-0000-0000-000088820000}"/>
    <cellStyle name="Normal 105 2 3 2" xfId="30363" xr:uid="{00000000-0005-0000-0000-000089820000}"/>
    <cellStyle name="Normal 105 2 4" xfId="24010" xr:uid="{00000000-0005-0000-0000-00008A820000}"/>
    <cellStyle name="Normal 105 3" xfId="5790" xr:uid="{00000000-0005-0000-0000-00008B820000}"/>
    <cellStyle name="Normal 105 3 2" xfId="9090" xr:uid="{00000000-0005-0000-0000-00008C820000}"/>
    <cellStyle name="Normal 105 3 2 2" xfId="16885" xr:uid="{00000000-0005-0000-0000-00008D820000}"/>
    <cellStyle name="Normal 105 3 2 2 2" xfId="34521" xr:uid="{00000000-0005-0000-0000-00008E820000}"/>
    <cellStyle name="Normal 105 3 2 3" xfId="27478" xr:uid="{00000000-0005-0000-0000-00008F820000}"/>
    <cellStyle name="Normal 105 3 3" xfId="13646" xr:uid="{00000000-0005-0000-0000-000090820000}"/>
    <cellStyle name="Normal 105 3 3 2" xfId="31286" xr:uid="{00000000-0005-0000-0000-000091820000}"/>
    <cellStyle name="Normal 105 3 4" xfId="24613" xr:uid="{00000000-0005-0000-0000-000092820000}"/>
    <cellStyle name="Normal 105 4" xfId="6420" xr:uid="{00000000-0005-0000-0000-000093820000}"/>
    <cellStyle name="Normal 105 4 2" xfId="9630" xr:uid="{00000000-0005-0000-0000-000094820000}"/>
    <cellStyle name="Normal 105 4 2 2" xfId="17424" xr:uid="{00000000-0005-0000-0000-000095820000}"/>
    <cellStyle name="Normal 105 4 2 2 2" xfId="35061" xr:uid="{00000000-0005-0000-0000-000096820000}"/>
    <cellStyle name="Normal 105 4 2 3" xfId="28014" xr:uid="{00000000-0005-0000-0000-000097820000}"/>
    <cellStyle name="Normal 105 4 3" xfId="14209" xr:uid="{00000000-0005-0000-0000-000098820000}"/>
    <cellStyle name="Normal 105 4 3 2" xfId="31844" xr:uid="{00000000-0005-0000-0000-000099820000}"/>
    <cellStyle name="Normal 105 4 4" xfId="25150" xr:uid="{00000000-0005-0000-0000-00009A820000}"/>
    <cellStyle name="Normal 105 5" xfId="7196" xr:uid="{00000000-0005-0000-0000-00009B820000}"/>
    <cellStyle name="Normal 105 5 2" xfId="10184" xr:uid="{00000000-0005-0000-0000-00009C820000}"/>
    <cellStyle name="Normal 105 5 2 2" xfId="17977" xr:uid="{00000000-0005-0000-0000-00009D820000}"/>
    <cellStyle name="Normal 105 5 2 2 2" xfId="35614" xr:uid="{00000000-0005-0000-0000-00009E820000}"/>
    <cellStyle name="Normal 105 5 2 3" xfId="28551" xr:uid="{00000000-0005-0000-0000-00009F820000}"/>
    <cellStyle name="Normal 105 5 3" xfId="14984" xr:uid="{00000000-0005-0000-0000-0000A0820000}"/>
    <cellStyle name="Normal 105 5 3 2" xfId="32619" xr:uid="{00000000-0005-0000-0000-0000A1820000}"/>
    <cellStyle name="Normal 105 5 4" xfId="25688" xr:uid="{00000000-0005-0000-0000-0000A2820000}"/>
    <cellStyle name="Normal 105 6" xfId="7795" xr:uid="{00000000-0005-0000-0000-0000A3820000}"/>
    <cellStyle name="Normal 105 6 2" xfId="15592" xr:uid="{00000000-0005-0000-0000-0000A4820000}"/>
    <cellStyle name="Normal 105 6 2 2" xfId="33227" xr:uid="{00000000-0005-0000-0000-0000A5820000}"/>
    <cellStyle name="Normal 105 6 3" xfId="26211" xr:uid="{00000000-0005-0000-0000-0000A6820000}"/>
    <cellStyle name="Normal 105 7" xfId="11689" xr:uid="{00000000-0005-0000-0000-0000A7820000}"/>
    <cellStyle name="Normal 105 7 2" xfId="29382" xr:uid="{00000000-0005-0000-0000-0000A8820000}"/>
    <cellStyle name="Normal 105 8" xfId="21963" xr:uid="{00000000-0005-0000-0000-0000A9820000}"/>
    <cellStyle name="Normal 105 8 2" xfId="38714" xr:uid="{00000000-0005-0000-0000-0000AA820000}"/>
    <cellStyle name="Normal 105 9" xfId="23346" xr:uid="{00000000-0005-0000-0000-0000AB820000}"/>
    <cellStyle name="Normal 106" xfId="2085" xr:uid="{00000000-0005-0000-0000-0000AC820000}"/>
    <cellStyle name="Normal 106 2" xfId="4269" xr:uid="{00000000-0005-0000-0000-0000AD820000}"/>
    <cellStyle name="Normal 106 3" xfId="22505" xr:uid="{00000000-0005-0000-0000-0000AE820000}"/>
    <cellStyle name="Normal 106 3 2" xfId="38842" xr:uid="{00000000-0005-0000-0000-0000AF820000}"/>
    <cellStyle name="Normal 106 4" xfId="51907" xr:uid="{00000000-0005-0000-0000-0000B0820000}"/>
    <cellStyle name="Normal 107" xfId="115" xr:uid="{00000000-0005-0000-0000-0000B1820000}"/>
    <cellStyle name="Normal 107 10" xfId="2086" xr:uid="{00000000-0005-0000-0000-0000B2820000}"/>
    <cellStyle name="Normal 107 10 2" xfId="2087" xr:uid="{00000000-0005-0000-0000-0000B3820000}"/>
    <cellStyle name="Normal 107 10 3" xfId="51908" xr:uid="{00000000-0005-0000-0000-0000B4820000}"/>
    <cellStyle name="Normal 107 11" xfId="2088" xr:uid="{00000000-0005-0000-0000-0000B5820000}"/>
    <cellStyle name="Normal 107 11 2" xfId="2089" xr:uid="{00000000-0005-0000-0000-0000B6820000}"/>
    <cellStyle name="Normal 107 11 2 2" xfId="51910" xr:uid="{00000000-0005-0000-0000-0000B7820000}"/>
    <cellStyle name="Normal 107 11 3" xfId="2090" xr:uid="{00000000-0005-0000-0000-0000B8820000}"/>
    <cellStyle name="Normal 107 11 3 2" xfId="2091" xr:uid="{00000000-0005-0000-0000-0000B9820000}"/>
    <cellStyle name="Normal 107 11 3 3" xfId="2092" xr:uid="{00000000-0005-0000-0000-0000BA820000}"/>
    <cellStyle name="Normal 107 11 3 4" xfId="2093" xr:uid="{00000000-0005-0000-0000-0000BB820000}"/>
    <cellStyle name="Normal 107 11 4" xfId="51909" xr:uid="{00000000-0005-0000-0000-0000BC820000}"/>
    <cellStyle name="Normal 107 12" xfId="2094" xr:uid="{00000000-0005-0000-0000-0000BD820000}"/>
    <cellStyle name="Normal 107 12 2" xfId="2095" xr:uid="{00000000-0005-0000-0000-0000BE820000}"/>
    <cellStyle name="Normal 107 12 3" xfId="2096" xr:uid="{00000000-0005-0000-0000-0000BF820000}"/>
    <cellStyle name="Normal 107 13" xfId="2097" xr:uid="{00000000-0005-0000-0000-0000C0820000}"/>
    <cellStyle name="Normal 107 14" xfId="2098" xr:uid="{00000000-0005-0000-0000-0000C1820000}"/>
    <cellStyle name="Normal 107 15" xfId="2099" xr:uid="{00000000-0005-0000-0000-0000C2820000}"/>
    <cellStyle name="Normal 107 2" xfId="116" xr:uid="{00000000-0005-0000-0000-0000C3820000}"/>
    <cellStyle name="Normal 107 2 2" xfId="4270" xr:uid="{00000000-0005-0000-0000-0000C4820000}"/>
    <cellStyle name="Normal 107 2 3" xfId="51911" xr:uid="{00000000-0005-0000-0000-0000C5820000}"/>
    <cellStyle name="Normal 107 3" xfId="188" xr:uid="{00000000-0005-0000-0000-0000C6820000}"/>
    <cellStyle name="Normal 107 3 2" xfId="2100" xr:uid="{00000000-0005-0000-0000-0000C7820000}"/>
    <cellStyle name="Normal 107 3 2 2" xfId="4272" xr:uid="{00000000-0005-0000-0000-0000C8820000}"/>
    <cellStyle name="Normal 107 3 2 3" xfId="51913" xr:uid="{00000000-0005-0000-0000-0000C9820000}"/>
    <cellStyle name="Normal 107 3 3" xfId="4271" xr:uid="{00000000-0005-0000-0000-0000CA820000}"/>
    <cellStyle name="Normal 107 3 4" xfId="51912" xr:uid="{00000000-0005-0000-0000-0000CB820000}"/>
    <cellStyle name="Normal 107 4" xfId="2101" xr:uid="{00000000-0005-0000-0000-0000CC820000}"/>
    <cellStyle name="Normal 107 4 2" xfId="2102" xr:uid="{00000000-0005-0000-0000-0000CD820000}"/>
    <cellStyle name="Normal 107 4 2 2" xfId="4274" xr:uid="{00000000-0005-0000-0000-0000CE820000}"/>
    <cellStyle name="Normal 107 4 2 3" xfId="51915" xr:uid="{00000000-0005-0000-0000-0000CF820000}"/>
    <cellStyle name="Normal 107 4 3" xfId="2103" xr:uid="{00000000-0005-0000-0000-0000D0820000}"/>
    <cellStyle name="Normal 107 4 3 2" xfId="4275" xr:uid="{00000000-0005-0000-0000-0000D1820000}"/>
    <cellStyle name="Normal 107 4 3 3" xfId="51916" xr:uid="{00000000-0005-0000-0000-0000D2820000}"/>
    <cellStyle name="Normal 107 4 4" xfId="2104" xr:uid="{00000000-0005-0000-0000-0000D3820000}"/>
    <cellStyle name="Normal 107 4 4 2" xfId="2105" xr:uid="{00000000-0005-0000-0000-0000D4820000}"/>
    <cellStyle name="Normal 107 4 4 2 2" xfId="4277" xr:uid="{00000000-0005-0000-0000-0000D5820000}"/>
    <cellStyle name="Normal 107 4 4 2 3" xfId="51918" xr:uid="{00000000-0005-0000-0000-0000D6820000}"/>
    <cellStyle name="Normal 107 4 4 3" xfId="4276" xr:uid="{00000000-0005-0000-0000-0000D7820000}"/>
    <cellStyle name="Normal 107 4 4 4" xfId="51917" xr:uid="{00000000-0005-0000-0000-0000D8820000}"/>
    <cellStyle name="Normal 107 4 5" xfId="2106" xr:uid="{00000000-0005-0000-0000-0000D9820000}"/>
    <cellStyle name="Normal 107 4 5 2" xfId="2107" xr:uid="{00000000-0005-0000-0000-0000DA820000}"/>
    <cellStyle name="Normal 107 4 5 2 2" xfId="4279" xr:uid="{00000000-0005-0000-0000-0000DB820000}"/>
    <cellStyle name="Normal 107 4 5 2 3" xfId="51920" xr:uid="{00000000-0005-0000-0000-0000DC820000}"/>
    <cellStyle name="Normal 107 4 5 3" xfId="2108" xr:uid="{00000000-0005-0000-0000-0000DD820000}"/>
    <cellStyle name="Normal 107 4 5 3 2" xfId="2109" xr:uid="{00000000-0005-0000-0000-0000DE820000}"/>
    <cellStyle name="Normal 107 4 5 3 2 2" xfId="4281" xr:uid="{00000000-0005-0000-0000-0000DF820000}"/>
    <cellStyle name="Normal 107 4 5 3 2 3" xfId="51922" xr:uid="{00000000-0005-0000-0000-0000E0820000}"/>
    <cellStyle name="Normal 107 4 5 3 3" xfId="2110" xr:uid="{00000000-0005-0000-0000-0000E1820000}"/>
    <cellStyle name="Normal 107 4 5 3 3 2" xfId="2111" xr:uid="{00000000-0005-0000-0000-0000E2820000}"/>
    <cellStyle name="Normal 107 4 5 3 3 2 2" xfId="4283" xr:uid="{00000000-0005-0000-0000-0000E3820000}"/>
    <cellStyle name="Normal 107 4 5 3 3 2 3" xfId="51924" xr:uid="{00000000-0005-0000-0000-0000E4820000}"/>
    <cellStyle name="Normal 107 4 5 3 3 3" xfId="4282" xr:uid="{00000000-0005-0000-0000-0000E5820000}"/>
    <cellStyle name="Normal 107 4 5 3 3 4" xfId="51923" xr:uid="{00000000-0005-0000-0000-0000E6820000}"/>
    <cellStyle name="Normal 107 4 5 3 4" xfId="4284" xr:uid="{00000000-0005-0000-0000-0000E7820000}"/>
    <cellStyle name="Normal 107 4 5 3 5" xfId="4280" xr:uid="{00000000-0005-0000-0000-0000E8820000}"/>
    <cellStyle name="Normal 107 4 5 3 6" xfId="51921" xr:uid="{00000000-0005-0000-0000-0000E9820000}"/>
    <cellStyle name="Normal 107 4 5 4" xfId="4278" xr:uid="{00000000-0005-0000-0000-0000EA820000}"/>
    <cellStyle name="Normal 107 4 5 5" xfId="51919" xr:uid="{00000000-0005-0000-0000-0000EB820000}"/>
    <cellStyle name="Normal 107 4 6" xfId="4273" xr:uid="{00000000-0005-0000-0000-0000EC820000}"/>
    <cellStyle name="Normal 107 4 7" xfId="22506" xr:uid="{00000000-0005-0000-0000-0000ED820000}"/>
    <cellStyle name="Normal 107 4 7 2" xfId="38843" xr:uid="{00000000-0005-0000-0000-0000EE820000}"/>
    <cellStyle name="Normal 107 4 8" xfId="51914" xr:uid="{00000000-0005-0000-0000-0000EF820000}"/>
    <cellStyle name="Normal 107 5" xfId="2112" xr:uid="{00000000-0005-0000-0000-0000F0820000}"/>
    <cellStyle name="Normal 107 5 2" xfId="4285" xr:uid="{00000000-0005-0000-0000-0000F1820000}"/>
    <cellStyle name="Normal 107 5 3" xfId="51925" xr:uid="{00000000-0005-0000-0000-0000F2820000}"/>
    <cellStyle name="Normal 107 6" xfId="2113" xr:uid="{00000000-0005-0000-0000-0000F3820000}"/>
    <cellStyle name="Normal 107 6 2" xfId="2114" xr:uid="{00000000-0005-0000-0000-0000F4820000}"/>
    <cellStyle name="Normal 107 6 2 2" xfId="4287" xr:uid="{00000000-0005-0000-0000-0000F5820000}"/>
    <cellStyle name="Normal 107 6 2 3" xfId="51927" xr:uid="{00000000-0005-0000-0000-0000F6820000}"/>
    <cellStyle name="Normal 107 6 3" xfId="4286" xr:uid="{00000000-0005-0000-0000-0000F7820000}"/>
    <cellStyle name="Normal 107 6 4" xfId="51926" xr:uid="{00000000-0005-0000-0000-0000F8820000}"/>
    <cellStyle name="Normal 107 7" xfId="2115" xr:uid="{00000000-0005-0000-0000-0000F9820000}"/>
    <cellStyle name="Normal 107 7 2" xfId="2116" xr:uid="{00000000-0005-0000-0000-0000FA820000}"/>
    <cellStyle name="Normal 107 7 2 2" xfId="4289" xr:uid="{00000000-0005-0000-0000-0000FB820000}"/>
    <cellStyle name="Normal 107 7 2 3" xfId="51929" xr:uid="{00000000-0005-0000-0000-0000FC820000}"/>
    <cellStyle name="Normal 107 7 3" xfId="2117" xr:uid="{00000000-0005-0000-0000-0000FD820000}"/>
    <cellStyle name="Normal 107 7 3 2" xfId="2118" xr:uid="{00000000-0005-0000-0000-0000FE820000}"/>
    <cellStyle name="Normal 107 7 3 2 2" xfId="4291" xr:uid="{00000000-0005-0000-0000-0000FF820000}"/>
    <cellStyle name="Normal 107 7 3 2 3" xfId="51931" xr:uid="{00000000-0005-0000-0000-000000830000}"/>
    <cellStyle name="Normal 107 7 3 3" xfId="2119" xr:uid="{00000000-0005-0000-0000-000001830000}"/>
    <cellStyle name="Normal 107 7 3 3 2" xfId="2120" xr:uid="{00000000-0005-0000-0000-000002830000}"/>
    <cellStyle name="Normal 107 7 3 3 2 2" xfId="4293" xr:uid="{00000000-0005-0000-0000-000003830000}"/>
    <cellStyle name="Normal 107 7 3 3 2 3" xfId="51933" xr:uid="{00000000-0005-0000-0000-000004830000}"/>
    <cellStyle name="Normal 107 7 3 3 3" xfId="4292" xr:uid="{00000000-0005-0000-0000-000005830000}"/>
    <cellStyle name="Normal 107 7 3 3 4" xfId="51932" xr:uid="{00000000-0005-0000-0000-000006830000}"/>
    <cellStyle name="Normal 107 7 3 4" xfId="4294" xr:uid="{00000000-0005-0000-0000-000007830000}"/>
    <cellStyle name="Normal 107 7 3 5" xfId="4290" xr:uid="{00000000-0005-0000-0000-000008830000}"/>
    <cellStyle name="Normal 107 7 3 6" xfId="51930" xr:uid="{00000000-0005-0000-0000-000009830000}"/>
    <cellStyle name="Normal 107 7 4" xfId="4288" xr:uid="{00000000-0005-0000-0000-00000A830000}"/>
    <cellStyle name="Normal 107 7 5" xfId="51928" xr:uid="{00000000-0005-0000-0000-00000B830000}"/>
    <cellStyle name="Normal 107 8" xfId="2121" xr:uid="{00000000-0005-0000-0000-00000C830000}"/>
    <cellStyle name="Normal 107 8 2" xfId="2122" xr:uid="{00000000-0005-0000-0000-00000D830000}"/>
    <cellStyle name="Normal 107 8 2 2" xfId="4296" xr:uid="{00000000-0005-0000-0000-00000E830000}"/>
    <cellStyle name="Normal 107 8 2 3" xfId="51935" xr:uid="{00000000-0005-0000-0000-00000F830000}"/>
    <cellStyle name="Normal 107 8 3" xfId="2123" xr:uid="{00000000-0005-0000-0000-000010830000}"/>
    <cellStyle name="Normal 107 8 3 2" xfId="2124" xr:uid="{00000000-0005-0000-0000-000011830000}"/>
    <cellStyle name="Normal 107 8 3 2 2" xfId="4298" xr:uid="{00000000-0005-0000-0000-000012830000}"/>
    <cellStyle name="Normal 107 8 3 2 3" xfId="51937" xr:uid="{00000000-0005-0000-0000-000013830000}"/>
    <cellStyle name="Normal 107 8 3 3" xfId="4297" xr:uid="{00000000-0005-0000-0000-000014830000}"/>
    <cellStyle name="Normal 107 8 3 4" xfId="51936" xr:uid="{00000000-0005-0000-0000-000015830000}"/>
    <cellStyle name="Normal 107 8 4" xfId="4299" xr:uid="{00000000-0005-0000-0000-000016830000}"/>
    <cellStyle name="Normal 107 8 5" xfId="4295" xr:uid="{00000000-0005-0000-0000-000017830000}"/>
    <cellStyle name="Normal 107 8 6" xfId="51934" xr:uid="{00000000-0005-0000-0000-000018830000}"/>
    <cellStyle name="Normal 107 9" xfId="2125" xr:uid="{00000000-0005-0000-0000-000019830000}"/>
    <cellStyle name="Normal 107 9 2" xfId="2126" xr:uid="{00000000-0005-0000-0000-00001A830000}"/>
    <cellStyle name="Normal 107 9 2 2" xfId="4300" xr:uid="{00000000-0005-0000-0000-00001B830000}"/>
    <cellStyle name="Normal 107 9 2 3" xfId="51939" xr:uid="{00000000-0005-0000-0000-00001C830000}"/>
    <cellStyle name="Normal 107 9 3" xfId="2127" xr:uid="{00000000-0005-0000-0000-00001D830000}"/>
    <cellStyle name="Normal 107 9 3 2" xfId="4302" xr:uid="{00000000-0005-0000-0000-00001E830000}"/>
    <cellStyle name="Normal 107 9 3 3" xfId="4301" xr:uid="{00000000-0005-0000-0000-00001F830000}"/>
    <cellStyle name="Normal 107 9 3 4" xfId="51940" xr:uid="{00000000-0005-0000-0000-000020830000}"/>
    <cellStyle name="Normal 107 9 4" xfId="2128" xr:uid="{00000000-0005-0000-0000-000021830000}"/>
    <cellStyle name="Normal 107 9 5" xfId="51938" xr:uid="{00000000-0005-0000-0000-000022830000}"/>
    <cellStyle name="Normal 108" xfId="2129" xr:uid="{00000000-0005-0000-0000-000023830000}"/>
    <cellStyle name="Normal 108 2" xfId="4303" xr:uid="{00000000-0005-0000-0000-000024830000}"/>
    <cellStyle name="Normal 108 3" xfId="22507" xr:uid="{00000000-0005-0000-0000-000025830000}"/>
    <cellStyle name="Normal 108 3 2" xfId="38844" xr:uid="{00000000-0005-0000-0000-000026830000}"/>
    <cellStyle name="Normal 108 4" xfId="51941" xr:uid="{00000000-0005-0000-0000-000027830000}"/>
    <cellStyle name="Normal 109" xfId="2130" xr:uid="{00000000-0005-0000-0000-000028830000}"/>
    <cellStyle name="Normal 109 2" xfId="4304" xr:uid="{00000000-0005-0000-0000-000029830000}"/>
    <cellStyle name="Normal 109 3" xfId="22508" xr:uid="{00000000-0005-0000-0000-00002A830000}"/>
    <cellStyle name="Normal 109 3 2" xfId="38845" xr:uid="{00000000-0005-0000-0000-00002B830000}"/>
    <cellStyle name="Normal 109 4" xfId="51942" xr:uid="{00000000-0005-0000-0000-00002C830000}"/>
    <cellStyle name="Normal 11" xfId="196" xr:uid="{00000000-0005-0000-0000-00002D830000}"/>
    <cellStyle name="Normal 11 2" xfId="210" xr:uid="{00000000-0005-0000-0000-00002E830000}"/>
    <cellStyle name="Normal 11 2 2" xfId="22753" xr:uid="{00000000-0005-0000-0000-00002F830000}"/>
    <cellStyle name="Normal 11 2 2 2" xfId="38960" xr:uid="{00000000-0005-0000-0000-000030830000}"/>
    <cellStyle name="Normal 11 3" xfId="203" xr:uid="{00000000-0005-0000-0000-000031830000}"/>
    <cellStyle name="Normal 11 4" xfId="22509" xr:uid="{00000000-0005-0000-0000-000032830000}"/>
    <cellStyle name="Normal 11 4 2" xfId="38846" xr:uid="{00000000-0005-0000-0000-000033830000}"/>
    <cellStyle name="Normal 11 5" xfId="51943" xr:uid="{00000000-0005-0000-0000-000034830000}"/>
    <cellStyle name="Normal 110" xfId="2131" xr:uid="{00000000-0005-0000-0000-000035830000}"/>
    <cellStyle name="Normal 110 2" xfId="4305" xr:uid="{00000000-0005-0000-0000-000036830000}"/>
    <cellStyle name="Normal 110 3" xfId="22510" xr:uid="{00000000-0005-0000-0000-000037830000}"/>
    <cellStyle name="Normal 110 3 2" xfId="38847" xr:uid="{00000000-0005-0000-0000-000038830000}"/>
    <cellStyle name="Normal 110 4" xfId="51944" xr:uid="{00000000-0005-0000-0000-000039830000}"/>
    <cellStyle name="Normal 111" xfId="2132" xr:uid="{00000000-0005-0000-0000-00003A830000}"/>
    <cellStyle name="Normal 111 2" xfId="4306" xr:uid="{00000000-0005-0000-0000-00003B830000}"/>
    <cellStyle name="Normal 111 3" xfId="22511" xr:uid="{00000000-0005-0000-0000-00003C830000}"/>
    <cellStyle name="Normal 111 3 2" xfId="38848" xr:uid="{00000000-0005-0000-0000-00003D830000}"/>
    <cellStyle name="Normal 111 4" xfId="51945" xr:uid="{00000000-0005-0000-0000-00003E830000}"/>
    <cellStyle name="Normal 112" xfId="2133" xr:uid="{00000000-0005-0000-0000-00003F830000}"/>
    <cellStyle name="Normal 112 2" xfId="4307" xr:uid="{00000000-0005-0000-0000-000040830000}"/>
    <cellStyle name="Normal 112 3" xfId="51946" xr:uid="{00000000-0005-0000-0000-000041830000}"/>
    <cellStyle name="Normal 113" xfId="2134" xr:uid="{00000000-0005-0000-0000-000042830000}"/>
    <cellStyle name="Normal 113 2" xfId="4308" xr:uid="{00000000-0005-0000-0000-000043830000}"/>
    <cellStyle name="Normal 113 3" xfId="51947" xr:uid="{00000000-0005-0000-0000-000044830000}"/>
    <cellStyle name="Normal 114" xfId="2135" xr:uid="{00000000-0005-0000-0000-000045830000}"/>
    <cellStyle name="Normal 114 2" xfId="4309" xr:uid="{00000000-0005-0000-0000-000046830000}"/>
    <cellStyle name="Normal 114 3" xfId="51948" xr:uid="{00000000-0005-0000-0000-000047830000}"/>
    <cellStyle name="Normal 115" xfId="2136" xr:uid="{00000000-0005-0000-0000-000048830000}"/>
    <cellStyle name="Normal 115 2" xfId="4310" xr:uid="{00000000-0005-0000-0000-000049830000}"/>
    <cellStyle name="Normal 115 3" xfId="22512" xr:uid="{00000000-0005-0000-0000-00004A830000}"/>
    <cellStyle name="Normal 115 3 2" xfId="38849" xr:uid="{00000000-0005-0000-0000-00004B830000}"/>
    <cellStyle name="Normal 115 4" xfId="51949" xr:uid="{00000000-0005-0000-0000-00004C830000}"/>
    <cellStyle name="Normal 116" xfId="2137" xr:uid="{00000000-0005-0000-0000-00004D830000}"/>
    <cellStyle name="Normal 116 2" xfId="4311" xr:uid="{00000000-0005-0000-0000-00004E830000}"/>
    <cellStyle name="Normal 116 3" xfId="22513" xr:uid="{00000000-0005-0000-0000-00004F830000}"/>
    <cellStyle name="Normal 116 3 2" xfId="38850" xr:uid="{00000000-0005-0000-0000-000050830000}"/>
    <cellStyle name="Normal 116 4" xfId="51950" xr:uid="{00000000-0005-0000-0000-000051830000}"/>
    <cellStyle name="Normal 117" xfId="2138" xr:uid="{00000000-0005-0000-0000-000052830000}"/>
    <cellStyle name="Normal 117 2" xfId="4312" xr:uid="{00000000-0005-0000-0000-000053830000}"/>
    <cellStyle name="Normal 117 3" xfId="22514" xr:uid="{00000000-0005-0000-0000-000054830000}"/>
    <cellStyle name="Normal 117 3 2" xfId="38851" xr:uid="{00000000-0005-0000-0000-000055830000}"/>
    <cellStyle name="Normal 117 4" xfId="51951" xr:uid="{00000000-0005-0000-0000-000056830000}"/>
    <cellStyle name="Normal 118" xfId="2139" xr:uid="{00000000-0005-0000-0000-000057830000}"/>
    <cellStyle name="Normal 118 2" xfId="4313" xr:uid="{00000000-0005-0000-0000-000058830000}"/>
    <cellStyle name="Normal 118 3" xfId="22515" xr:uid="{00000000-0005-0000-0000-000059830000}"/>
    <cellStyle name="Normal 118 3 2" xfId="38852" xr:uid="{00000000-0005-0000-0000-00005A830000}"/>
    <cellStyle name="Normal 118 4" xfId="51952" xr:uid="{00000000-0005-0000-0000-00005B830000}"/>
    <cellStyle name="Normal 119" xfId="2140" xr:uid="{00000000-0005-0000-0000-00005C830000}"/>
    <cellStyle name="Normal 119 2" xfId="4314" xr:uid="{00000000-0005-0000-0000-00005D830000}"/>
    <cellStyle name="Normal 119 3" xfId="51953" xr:uid="{00000000-0005-0000-0000-00005E830000}"/>
    <cellStyle name="Normal 12" xfId="199" xr:uid="{00000000-0005-0000-0000-00005F830000}"/>
    <cellStyle name="Normal 12 2" xfId="213" xr:uid="{00000000-0005-0000-0000-000060830000}"/>
    <cellStyle name="Normal 12 2 2" xfId="2143" xr:uid="{00000000-0005-0000-0000-000061830000}"/>
    <cellStyle name="Normal 12 2 3" xfId="22929" xr:uid="{00000000-0005-0000-0000-000062830000}"/>
    <cellStyle name="Normal 12 2 4" xfId="22754" xr:uid="{00000000-0005-0000-0000-000063830000}"/>
    <cellStyle name="Normal 12 2 4 2" xfId="38961" xr:uid="{00000000-0005-0000-0000-000064830000}"/>
    <cellStyle name="Normal 12 2 5" xfId="2142" xr:uid="{00000000-0005-0000-0000-000065830000}"/>
    <cellStyle name="Normal 12 2_Sheet1" xfId="2144" xr:uid="{00000000-0005-0000-0000-000066830000}"/>
    <cellStyle name="Normal 12 3" xfId="206" xr:uid="{00000000-0005-0000-0000-000067830000}"/>
    <cellStyle name="Normal 12 3 2" xfId="2145" xr:uid="{00000000-0005-0000-0000-000068830000}"/>
    <cellStyle name="Normal 12 4" xfId="22928" xr:uid="{00000000-0005-0000-0000-000069830000}"/>
    <cellStyle name="Normal 12 5" xfId="22516" xr:uid="{00000000-0005-0000-0000-00006A830000}"/>
    <cellStyle name="Normal 12 5 2" xfId="38853" xr:uid="{00000000-0005-0000-0000-00006B830000}"/>
    <cellStyle name="Normal 12 6" xfId="2141" xr:uid="{00000000-0005-0000-0000-00006C830000}"/>
    <cellStyle name="Normal 12_Sheet1" xfId="2146" xr:uid="{00000000-0005-0000-0000-00006D830000}"/>
    <cellStyle name="Normal 120" xfId="2147" xr:uid="{00000000-0005-0000-0000-00006E830000}"/>
    <cellStyle name="Normal 120 10" xfId="51954" xr:uid="{00000000-0005-0000-0000-00006F830000}"/>
    <cellStyle name="Normal 120 2" xfId="4315" xr:uid="{00000000-0005-0000-0000-000070830000}"/>
    <cellStyle name="Normal 120 2 2" xfId="8475" xr:uid="{00000000-0005-0000-0000-000071830000}"/>
    <cellStyle name="Normal 120 2 2 2" xfId="16271" xr:uid="{00000000-0005-0000-0000-000072830000}"/>
    <cellStyle name="Normal 120 2 2 2 2" xfId="33906" xr:uid="{00000000-0005-0000-0000-000073830000}"/>
    <cellStyle name="Normal 120 2 2 3" xfId="26876" xr:uid="{00000000-0005-0000-0000-000074830000}"/>
    <cellStyle name="Normal 120 2 3" xfId="12709" xr:uid="{00000000-0005-0000-0000-000075830000}"/>
    <cellStyle name="Normal 120 2 3 2" xfId="30367" xr:uid="{00000000-0005-0000-0000-000076830000}"/>
    <cellStyle name="Normal 120 2 4" xfId="22518" xr:uid="{00000000-0005-0000-0000-000077830000}"/>
    <cellStyle name="Normal 120 2 5" xfId="24011" xr:uid="{00000000-0005-0000-0000-000078830000}"/>
    <cellStyle name="Normal 120 3" xfId="5791" xr:uid="{00000000-0005-0000-0000-000079830000}"/>
    <cellStyle name="Normal 120 3 2" xfId="9091" xr:uid="{00000000-0005-0000-0000-00007A830000}"/>
    <cellStyle name="Normal 120 3 2 2" xfId="16886" xr:uid="{00000000-0005-0000-0000-00007B830000}"/>
    <cellStyle name="Normal 120 3 2 2 2" xfId="34522" xr:uid="{00000000-0005-0000-0000-00007C830000}"/>
    <cellStyle name="Normal 120 3 2 3" xfId="27479" xr:uid="{00000000-0005-0000-0000-00007D830000}"/>
    <cellStyle name="Normal 120 3 3" xfId="13647" xr:uid="{00000000-0005-0000-0000-00007E830000}"/>
    <cellStyle name="Normal 120 3 3 2" xfId="31287" xr:uid="{00000000-0005-0000-0000-00007F830000}"/>
    <cellStyle name="Normal 120 3 4" xfId="22930" xr:uid="{00000000-0005-0000-0000-000080830000}"/>
    <cellStyle name="Normal 120 3 4 2" xfId="39036" xr:uid="{00000000-0005-0000-0000-000081830000}"/>
    <cellStyle name="Normal 120 3 5" xfId="24614" xr:uid="{00000000-0005-0000-0000-000082830000}"/>
    <cellStyle name="Normal 120 4" xfId="6421" xr:uid="{00000000-0005-0000-0000-000083830000}"/>
    <cellStyle name="Normal 120 4 2" xfId="9631" xr:uid="{00000000-0005-0000-0000-000084830000}"/>
    <cellStyle name="Normal 120 4 2 2" xfId="17425" xr:uid="{00000000-0005-0000-0000-000085830000}"/>
    <cellStyle name="Normal 120 4 2 2 2" xfId="35062" xr:uid="{00000000-0005-0000-0000-000086830000}"/>
    <cellStyle name="Normal 120 4 2 3" xfId="28015" xr:uid="{00000000-0005-0000-0000-000087830000}"/>
    <cellStyle name="Normal 120 4 3" xfId="14210" xr:uid="{00000000-0005-0000-0000-000088830000}"/>
    <cellStyle name="Normal 120 4 3 2" xfId="31845" xr:uid="{00000000-0005-0000-0000-000089830000}"/>
    <cellStyle name="Normal 120 4 4" xfId="22517" xr:uid="{00000000-0005-0000-0000-00008A830000}"/>
    <cellStyle name="Normal 120 4 5" xfId="25151" xr:uid="{00000000-0005-0000-0000-00008B830000}"/>
    <cellStyle name="Normal 120 5" xfId="7197" xr:uid="{00000000-0005-0000-0000-00008C830000}"/>
    <cellStyle name="Normal 120 5 2" xfId="10185" xr:uid="{00000000-0005-0000-0000-00008D830000}"/>
    <cellStyle name="Normal 120 5 2 2" xfId="17978" xr:uid="{00000000-0005-0000-0000-00008E830000}"/>
    <cellStyle name="Normal 120 5 2 2 2" xfId="35615" xr:uid="{00000000-0005-0000-0000-00008F830000}"/>
    <cellStyle name="Normal 120 5 2 3" xfId="28552" xr:uid="{00000000-0005-0000-0000-000090830000}"/>
    <cellStyle name="Normal 120 5 3" xfId="14985" xr:uid="{00000000-0005-0000-0000-000091830000}"/>
    <cellStyle name="Normal 120 5 3 2" xfId="32620" xr:uid="{00000000-0005-0000-0000-000092830000}"/>
    <cellStyle name="Normal 120 5 4" xfId="25689" xr:uid="{00000000-0005-0000-0000-000093830000}"/>
    <cellStyle name="Normal 120 6" xfId="7796" xr:uid="{00000000-0005-0000-0000-000094830000}"/>
    <cellStyle name="Normal 120 6 2" xfId="15593" xr:uid="{00000000-0005-0000-0000-000095830000}"/>
    <cellStyle name="Normal 120 6 2 2" xfId="33228" xr:uid="{00000000-0005-0000-0000-000096830000}"/>
    <cellStyle name="Normal 120 6 3" xfId="26212" xr:uid="{00000000-0005-0000-0000-000097830000}"/>
    <cellStyle name="Normal 120 7" xfId="11696" xr:uid="{00000000-0005-0000-0000-000098830000}"/>
    <cellStyle name="Normal 120 7 2" xfId="29389" xr:uid="{00000000-0005-0000-0000-000099830000}"/>
    <cellStyle name="Normal 120 8" xfId="21964" xr:uid="{00000000-0005-0000-0000-00009A830000}"/>
    <cellStyle name="Normal 120 8 2" xfId="38715" xr:uid="{00000000-0005-0000-0000-00009B830000}"/>
    <cellStyle name="Normal 120 9" xfId="23347" xr:uid="{00000000-0005-0000-0000-00009C830000}"/>
    <cellStyle name="Normal 121" xfId="2148" xr:uid="{00000000-0005-0000-0000-00009D830000}"/>
    <cellStyle name="Normal 121 10" xfId="51955" xr:uid="{00000000-0005-0000-0000-00009E830000}"/>
    <cellStyle name="Normal 121 2" xfId="4316" xr:uid="{00000000-0005-0000-0000-00009F830000}"/>
    <cellStyle name="Normal 121 2 2" xfId="8476" xr:uid="{00000000-0005-0000-0000-0000A0830000}"/>
    <cellStyle name="Normal 121 2 2 2" xfId="16272" xr:uid="{00000000-0005-0000-0000-0000A1830000}"/>
    <cellStyle name="Normal 121 2 2 2 2" xfId="33907" xr:uid="{00000000-0005-0000-0000-0000A2830000}"/>
    <cellStyle name="Normal 121 2 2 3" xfId="26877" xr:uid="{00000000-0005-0000-0000-0000A3830000}"/>
    <cellStyle name="Normal 121 2 3" xfId="12710" xr:uid="{00000000-0005-0000-0000-0000A4830000}"/>
    <cellStyle name="Normal 121 2 3 2" xfId="30368" xr:uid="{00000000-0005-0000-0000-0000A5830000}"/>
    <cellStyle name="Normal 121 2 4" xfId="22520" xr:uid="{00000000-0005-0000-0000-0000A6830000}"/>
    <cellStyle name="Normal 121 2 5" xfId="24012" xr:uid="{00000000-0005-0000-0000-0000A7830000}"/>
    <cellStyle name="Normal 121 3" xfId="5792" xr:uid="{00000000-0005-0000-0000-0000A8830000}"/>
    <cellStyle name="Normal 121 3 2" xfId="9092" xr:uid="{00000000-0005-0000-0000-0000A9830000}"/>
    <cellStyle name="Normal 121 3 2 2" xfId="16887" xr:uid="{00000000-0005-0000-0000-0000AA830000}"/>
    <cellStyle name="Normal 121 3 2 2 2" xfId="34523" xr:uid="{00000000-0005-0000-0000-0000AB830000}"/>
    <cellStyle name="Normal 121 3 2 3" xfId="27480" xr:uid="{00000000-0005-0000-0000-0000AC830000}"/>
    <cellStyle name="Normal 121 3 3" xfId="13648" xr:uid="{00000000-0005-0000-0000-0000AD830000}"/>
    <cellStyle name="Normal 121 3 3 2" xfId="31288" xr:uid="{00000000-0005-0000-0000-0000AE830000}"/>
    <cellStyle name="Normal 121 3 4" xfId="22931" xr:uid="{00000000-0005-0000-0000-0000AF830000}"/>
    <cellStyle name="Normal 121 3 4 2" xfId="39037" xr:uid="{00000000-0005-0000-0000-0000B0830000}"/>
    <cellStyle name="Normal 121 3 5" xfId="24615" xr:uid="{00000000-0005-0000-0000-0000B1830000}"/>
    <cellStyle name="Normal 121 4" xfId="6422" xr:uid="{00000000-0005-0000-0000-0000B2830000}"/>
    <cellStyle name="Normal 121 4 2" xfId="9632" xr:uid="{00000000-0005-0000-0000-0000B3830000}"/>
    <cellStyle name="Normal 121 4 2 2" xfId="17426" xr:uid="{00000000-0005-0000-0000-0000B4830000}"/>
    <cellStyle name="Normal 121 4 2 2 2" xfId="35063" xr:uid="{00000000-0005-0000-0000-0000B5830000}"/>
    <cellStyle name="Normal 121 4 2 3" xfId="28016" xr:uid="{00000000-0005-0000-0000-0000B6830000}"/>
    <cellStyle name="Normal 121 4 3" xfId="14211" xr:uid="{00000000-0005-0000-0000-0000B7830000}"/>
    <cellStyle name="Normal 121 4 3 2" xfId="31846" xr:uid="{00000000-0005-0000-0000-0000B8830000}"/>
    <cellStyle name="Normal 121 4 4" xfId="22519" xr:uid="{00000000-0005-0000-0000-0000B9830000}"/>
    <cellStyle name="Normal 121 4 5" xfId="25152" xr:uid="{00000000-0005-0000-0000-0000BA830000}"/>
    <cellStyle name="Normal 121 5" xfId="7198" xr:uid="{00000000-0005-0000-0000-0000BB830000}"/>
    <cellStyle name="Normal 121 5 2" xfId="10186" xr:uid="{00000000-0005-0000-0000-0000BC830000}"/>
    <cellStyle name="Normal 121 5 2 2" xfId="17979" xr:uid="{00000000-0005-0000-0000-0000BD830000}"/>
    <cellStyle name="Normal 121 5 2 2 2" xfId="35616" xr:uid="{00000000-0005-0000-0000-0000BE830000}"/>
    <cellStyle name="Normal 121 5 2 3" xfId="28553" xr:uid="{00000000-0005-0000-0000-0000BF830000}"/>
    <cellStyle name="Normal 121 5 3" xfId="14986" xr:uid="{00000000-0005-0000-0000-0000C0830000}"/>
    <cellStyle name="Normal 121 5 3 2" xfId="32621" xr:uid="{00000000-0005-0000-0000-0000C1830000}"/>
    <cellStyle name="Normal 121 5 4" xfId="25690" xr:uid="{00000000-0005-0000-0000-0000C2830000}"/>
    <cellStyle name="Normal 121 6" xfId="7797" xr:uid="{00000000-0005-0000-0000-0000C3830000}"/>
    <cellStyle name="Normal 121 6 2" xfId="15594" xr:uid="{00000000-0005-0000-0000-0000C4830000}"/>
    <cellStyle name="Normal 121 6 2 2" xfId="33229" xr:uid="{00000000-0005-0000-0000-0000C5830000}"/>
    <cellStyle name="Normal 121 6 3" xfId="26213" xr:uid="{00000000-0005-0000-0000-0000C6830000}"/>
    <cellStyle name="Normal 121 7" xfId="11697" xr:uid="{00000000-0005-0000-0000-0000C7830000}"/>
    <cellStyle name="Normal 121 7 2" xfId="29390" xr:uid="{00000000-0005-0000-0000-0000C8830000}"/>
    <cellStyle name="Normal 121 8" xfId="21965" xr:uid="{00000000-0005-0000-0000-0000C9830000}"/>
    <cellStyle name="Normal 121 8 2" xfId="38716" xr:uid="{00000000-0005-0000-0000-0000CA830000}"/>
    <cellStyle name="Normal 121 9" xfId="23348" xr:uid="{00000000-0005-0000-0000-0000CB830000}"/>
    <cellStyle name="Normal 122" xfId="2149" xr:uid="{00000000-0005-0000-0000-0000CC830000}"/>
    <cellStyle name="Normal 122 10" xfId="51956" xr:uid="{00000000-0005-0000-0000-0000CD830000}"/>
    <cellStyle name="Normal 122 2" xfId="4317" xr:uid="{00000000-0005-0000-0000-0000CE830000}"/>
    <cellStyle name="Normal 122 2 2" xfId="8477" xr:uid="{00000000-0005-0000-0000-0000CF830000}"/>
    <cellStyle name="Normal 122 2 2 2" xfId="16273" xr:uid="{00000000-0005-0000-0000-0000D0830000}"/>
    <cellStyle name="Normal 122 2 2 2 2" xfId="33908" xr:uid="{00000000-0005-0000-0000-0000D1830000}"/>
    <cellStyle name="Normal 122 2 2 3" xfId="26878" xr:uid="{00000000-0005-0000-0000-0000D2830000}"/>
    <cellStyle name="Normal 122 2 3" xfId="12711" xr:uid="{00000000-0005-0000-0000-0000D3830000}"/>
    <cellStyle name="Normal 122 2 3 2" xfId="30369" xr:uid="{00000000-0005-0000-0000-0000D4830000}"/>
    <cellStyle name="Normal 122 2 4" xfId="22932" xr:uid="{00000000-0005-0000-0000-0000D5830000}"/>
    <cellStyle name="Normal 122 2 4 2" xfId="39038" xr:uid="{00000000-0005-0000-0000-0000D6830000}"/>
    <cellStyle name="Normal 122 2 5" xfId="24013" xr:uid="{00000000-0005-0000-0000-0000D7830000}"/>
    <cellStyle name="Normal 122 3" xfId="5793" xr:uid="{00000000-0005-0000-0000-0000D8830000}"/>
    <cellStyle name="Normal 122 3 2" xfId="9093" xr:uid="{00000000-0005-0000-0000-0000D9830000}"/>
    <cellStyle name="Normal 122 3 2 2" xfId="16888" xr:uid="{00000000-0005-0000-0000-0000DA830000}"/>
    <cellStyle name="Normal 122 3 2 2 2" xfId="34524" xr:uid="{00000000-0005-0000-0000-0000DB830000}"/>
    <cellStyle name="Normal 122 3 2 3" xfId="27481" xr:uid="{00000000-0005-0000-0000-0000DC830000}"/>
    <cellStyle name="Normal 122 3 3" xfId="13649" xr:uid="{00000000-0005-0000-0000-0000DD830000}"/>
    <cellStyle name="Normal 122 3 3 2" xfId="31289" xr:uid="{00000000-0005-0000-0000-0000DE830000}"/>
    <cellStyle name="Normal 122 3 4" xfId="22521" xr:uid="{00000000-0005-0000-0000-0000DF830000}"/>
    <cellStyle name="Normal 122 3 5" xfId="24616" xr:uid="{00000000-0005-0000-0000-0000E0830000}"/>
    <cellStyle name="Normal 122 4" xfId="6423" xr:uid="{00000000-0005-0000-0000-0000E1830000}"/>
    <cellStyle name="Normal 122 4 2" xfId="9633" xr:uid="{00000000-0005-0000-0000-0000E2830000}"/>
    <cellStyle name="Normal 122 4 2 2" xfId="17427" xr:uid="{00000000-0005-0000-0000-0000E3830000}"/>
    <cellStyle name="Normal 122 4 2 2 2" xfId="35064" xr:uid="{00000000-0005-0000-0000-0000E4830000}"/>
    <cellStyle name="Normal 122 4 2 3" xfId="28017" xr:uid="{00000000-0005-0000-0000-0000E5830000}"/>
    <cellStyle name="Normal 122 4 3" xfId="14212" xr:uid="{00000000-0005-0000-0000-0000E6830000}"/>
    <cellStyle name="Normal 122 4 3 2" xfId="31847" xr:uid="{00000000-0005-0000-0000-0000E7830000}"/>
    <cellStyle name="Normal 122 4 4" xfId="25153" xr:uid="{00000000-0005-0000-0000-0000E8830000}"/>
    <cellStyle name="Normal 122 5" xfId="7199" xr:uid="{00000000-0005-0000-0000-0000E9830000}"/>
    <cellStyle name="Normal 122 5 2" xfId="10187" xr:uid="{00000000-0005-0000-0000-0000EA830000}"/>
    <cellStyle name="Normal 122 5 2 2" xfId="17980" xr:uid="{00000000-0005-0000-0000-0000EB830000}"/>
    <cellStyle name="Normal 122 5 2 2 2" xfId="35617" xr:uid="{00000000-0005-0000-0000-0000EC830000}"/>
    <cellStyle name="Normal 122 5 2 3" xfId="28554" xr:uid="{00000000-0005-0000-0000-0000ED830000}"/>
    <cellStyle name="Normal 122 5 3" xfId="14987" xr:uid="{00000000-0005-0000-0000-0000EE830000}"/>
    <cellStyle name="Normal 122 5 3 2" xfId="32622" xr:uid="{00000000-0005-0000-0000-0000EF830000}"/>
    <cellStyle name="Normal 122 5 4" xfId="25691" xr:uid="{00000000-0005-0000-0000-0000F0830000}"/>
    <cellStyle name="Normal 122 6" xfId="7798" xr:uid="{00000000-0005-0000-0000-0000F1830000}"/>
    <cellStyle name="Normal 122 6 2" xfId="15595" xr:uid="{00000000-0005-0000-0000-0000F2830000}"/>
    <cellStyle name="Normal 122 6 2 2" xfId="33230" xr:uid="{00000000-0005-0000-0000-0000F3830000}"/>
    <cellStyle name="Normal 122 6 3" xfId="26214" xr:uid="{00000000-0005-0000-0000-0000F4830000}"/>
    <cellStyle name="Normal 122 7" xfId="11698" xr:uid="{00000000-0005-0000-0000-0000F5830000}"/>
    <cellStyle name="Normal 122 7 2" xfId="29391" xr:uid="{00000000-0005-0000-0000-0000F6830000}"/>
    <cellStyle name="Normal 122 8" xfId="21966" xr:uid="{00000000-0005-0000-0000-0000F7830000}"/>
    <cellStyle name="Normal 122 8 2" xfId="38717" xr:uid="{00000000-0005-0000-0000-0000F8830000}"/>
    <cellStyle name="Normal 122 9" xfId="23349" xr:uid="{00000000-0005-0000-0000-0000F9830000}"/>
    <cellStyle name="Normal 123" xfId="2150" xr:uid="{00000000-0005-0000-0000-0000FA830000}"/>
    <cellStyle name="Normal 123 10" xfId="51957" xr:uid="{00000000-0005-0000-0000-0000FB830000}"/>
    <cellStyle name="Normal 123 2" xfId="4318" xr:uid="{00000000-0005-0000-0000-0000FC830000}"/>
    <cellStyle name="Normal 123 2 2" xfId="8478" xr:uid="{00000000-0005-0000-0000-0000FD830000}"/>
    <cellStyle name="Normal 123 2 2 2" xfId="16274" xr:uid="{00000000-0005-0000-0000-0000FE830000}"/>
    <cellStyle name="Normal 123 2 2 2 2" xfId="33909" xr:uid="{00000000-0005-0000-0000-0000FF830000}"/>
    <cellStyle name="Normal 123 2 2 3" xfId="26879" xr:uid="{00000000-0005-0000-0000-000000840000}"/>
    <cellStyle name="Normal 123 2 3" xfId="12712" xr:uid="{00000000-0005-0000-0000-000001840000}"/>
    <cellStyle name="Normal 123 2 3 2" xfId="30370" xr:uid="{00000000-0005-0000-0000-000002840000}"/>
    <cellStyle name="Normal 123 2 4" xfId="22933" xr:uid="{00000000-0005-0000-0000-000003840000}"/>
    <cellStyle name="Normal 123 2 4 2" xfId="39039" xr:uid="{00000000-0005-0000-0000-000004840000}"/>
    <cellStyle name="Normal 123 2 5" xfId="24014" xr:uid="{00000000-0005-0000-0000-000005840000}"/>
    <cellStyle name="Normal 123 3" xfId="5794" xr:uid="{00000000-0005-0000-0000-000006840000}"/>
    <cellStyle name="Normal 123 3 2" xfId="9094" xr:uid="{00000000-0005-0000-0000-000007840000}"/>
    <cellStyle name="Normal 123 3 2 2" xfId="16889" xr:uid="{00000000-0005-0000-0000-000008840000}"/>
    <cellStyle name="Normal 123 3 2 2 2" xfId="34525" xr:uid="{00000000-0005-0000-0000-000009840000}"/>
    <cellStyle name="Normal 123 3 2 3" xfId="27482" xr:uid="{00000000-0005-0000-0000-00000A840000}"/>
    <cellStyle name="Normal 123 3 3" xfId="13650" xr:uid="{00000000-0005-0000-0000-00000B840000}"/>
    <cellStyle name="Normal 123 3 3 2" xfId="31290" xr:uid="{00000000-0005-0000-0000-00000C840000}"/>
    <cellStyle name="Normal 123 3 4" xfId="22522" xr:uid="{00000000-0005-0000-0000-00000D840000}"/>
    <cellStyle name="Normal 123 3 5" xfId="24617" xr:uid="{00000000-0005-0000-0000-00000E840000}"/>
    <cellStyle name="Normal 123 4" xfId="6424" xr:uid="{00000000-0005-0000-0000-00000F840000}"/>
    <cellStyle name="Normal 123 4 2" xfId="9634" xr:uid="{00000000-0005-0000-0000-000010840000}"/>
    <cellStyle name="Normal 123 4 2 2" xfId="17428" xr:uid="{00000000-0005-0000-0000-000011840000}"/>
    <cellStyle name="Normal 123 4 2 2 2" xfId="35065" xr:uid="{00000000-0005-0000-0000-000012840000}"/>
    <cellStyle name="Normal 123 4 2 3" xfId="28018" xr:uid="{00000000-0005-0000-0000-000013840000}"/>
    <cellStyle name="Normal 123 4 3" xfId="14213" xr:uid="{00000000-0005-0000-0000-000014840000}"/>
    <cellStyle name="Normal 123 4 3 2" xfId="31848" xr:uid="{00000000-0005-0000-0000-000015840000}"/>
    <cellStyle name="Normal 123 4 4" xfId="25154" xr:uid="{00000000-0005-0000-0000-000016840000}"/>
    <cellStyle name="Normal 123 5" xfId="7200" xr:uid="{00000000-0005-0000-0000-000017840000}"/>
    <cellStyle name="Normal 123 5 2" xfId="10188" xr:uid="{00000000-0005-0000-0000-000018840000}"/>
    <cellStyle name="Normal 123 5 2 2" xfId="17981" xr:uid="{00000000-0005-0000-0000-000019840000}"/>
    <cellStyle name="Normal 123 5 2 2 2" xfId="35618" xr:uid="{00000000-0005-0000-0000-00001A840000}"/>
    <cellStyle name="Normal 123 5 2 3" xfId="28555" xr:uid="{00000000-0005-0000-0000-00001B840000}"/>
    <cellStyle name="Normal 123 5 3" xfId="14988" xr:uid="{00000000-0005-0000-0000-00001C840000}"/>
    <cellStyle name="Normal 123 5 3 2" xfId="32623" xr:uid="{00000000-0005-0000-0000-00001D840000}"/>
    <cellStyle name="Normal 123 5 4" xfId="25692" xr:uid="{00000000-0005-0000-0000-00001E840000}"/>
    <cellStyle name="Normal 123 6" xfId="7799" xr:uid="{00000000-0005-0000-0000-00001F840000}"/>
    <cellStyle name="Normal 123 6 2" xfId="15596" xr:uid="{00000000-0005-0000-0000-000020840000}"/>
    <cellStyle name="Normal 123 6 2 2" xfId="33231" xr:uid="{00000000-0005-0000-0000-000021840000}"/>
    <cellStyle name="Normal 123 6 3" xfId="26215" xr:uid="{00000000-0005-0000-0000-000022840000}"/>
    <cellStyle name="Normal 123 7" xfId="11699" xr:uid="{00000000-0005-0000-0000-000023840000}"/>
    <cellStyle name="Normal 123 7 2" xfId="29392" xr:uid="{00000000-0005-0000-0000-000024840000}"/>
    <cellStyle name="Normal 123 8" xfId="21967" xr:uid="{00000000-0005-0000-0000-000025840000}"/>
    <cellStyle name="Normal 123 8 2" xfId="38718" xr:uid="{00000000-0005-0000-0000-000026840000}"/>
    <cellStyle name="Normal 123 9" xfId="23350" xr:uid="{00000000-0005-0000-0000-000027840000}"/>
    <cellStyle name="Normal 124" xfId="2151" xr:uid="{00000000-0005-0000-0000-000028840000}"/>
    <cellStyle name="Normal 124 10" xfId="51958" xr:uid="{00000000-0005-0000-0000-000029840000}"/>
    <cellStyle name="Normal 124 2" xfId="4319" xr:uid="{00000000-0005-0000-0000-00002A840000}"/>
    <cellStyle name="Normal 124 2 2" xfId="8479" xr:uid="{00000000-0005-0000-0000-00002B840000}"/>
    <cellStyle name="Normal 124 2 2 2" xfId="16275" xr:uid="{00000000-0005-0000-0000-00002C840000}"/>
    <cellStyle name="Normal 124 2 2 2 2" xfId="33910" xr:uid="{00000000-0005-0000-0000-00002D840000}"/>
    <cellStyle name="Normal 124 2 2 3" xfId="26880" xr:uid="{00000000-0005-0000-0000-00002E840000}"/>
    <cellStyle name="Normal 124 2 3" xfId="12713" xr:uid="{00000000-0005-0000-0000-00002F840000}"/>
    <cellStyle name="Normal 124 2 3 2" xfId="30371" xr:uid="{00000000-0005-0000-0000-000030840000}"/>
    <cellStyle name="Normal 124 2 4" xfId="22934" xr:uid="{00000000-0005-0000-0000-000031840000}"/>
    <cellStyle name="Normal 124 2 4 2" xfId="39040" xr:uid="{00000000-0005-0000-0000-000032840000}"/>
    <cellStyle name="Normal 124 2 5" xfId="24015" xr:uid="{00000000-0005-0000-0000-000033840000}"/>
    <cellStyle name="Normal 124 3" xfId="5795" xr:uid="{00000000-0005-0000-0000-000034840000}"/>
    <cellStyle name="Normal 124 3 2" xfId="9095" xr:uid="{00000000-0005-0000-0000-000035840000}"/>
    <cellStyle name="Normal 124 3 2 2" xfId="16890" xr:uid="{00000000-0005-0000-0000-000036840000}"/>
    <cellStyle name="Normal 124 3 2 2 2" xfId="34526" xr:uid="{00000000-0005-0000-0000-000037840000}"/>
    <cellStyle name="Normal 124 3 2 3" xfId="27483" xr:uid="{00000000-0005-0000-0000-000038840000}"/>
    <cellStyle name="Normal 124 3 3" xfId="13651" xr:uid="{00000000-0005-0000-0000-000039840000}"/>
    <cellStyle name="Normal 124 3 3 2" xfId="31291" xr:uid="{00000000-0005-0000-0000-00003A840000}"/>
    <cellStyle name="Normal 124 3 4" xfId="22523" xr:uid="{00000000-0005-0000-0000-00003B840000}"/>
    <cellStyle name="Normal 124 3 5" xfId="24618" xr:uid="{00000000-0005-0000-0000-00003C840000}"/>
    <cellStyle name="Normal 124 4" xfId="6425" xr:uid="{00000000-0005-0000-0000-00003D840000}"/>
    <cellStyle name="Normal 124 4 2" xfId="9635" xr:uid="{00000000-0005-0000-0000-00003E840000}"/>
    <cellStyle name="Normal 124 4 2 2" xfId="17429" xr:uid="{00000000-0005-0000-0000-00003F840000}"/>
    <cellStyle name="Normal 124 4 2 2 2" xfId="35066" xr:uid="{00000000-0005-0000-0000-000040840000}"/>
    <cellStyle name="Normal 124 4 2 3" xfId="28019" xr:uid="{00000000-0005-0000-0000-000041840000}"/>
    <cellStyle name="Normal 124 4 3" xfId="14214" xr:uid="{00000000-0005-0000-0000-000042840000}"/>
    <cellStyle name="Normal 124 4 3 2" xfId="31849" xr:uid="{00000000-0005-0000-0000-000043840000}"/>
    <cellStyle name="Normal 124 4 4" xfId="25155" xr:uid="{00000000-0005-0000-0000-000044840000}"/>
    <cellStyle name="Normal 124 5" xfId="7201" xr:uid="{00000000-0005-0000-0000-000045840000}"/>
    <cellStyle name="Normal 124 5 2" xfId="10189" xr:uid="{00000000-0005-0000-0000-000046840000}"/>
    <cellStyle name="Normal 124 5 2 2" xfId="17982" xr:uid="{00000000-0005-0000-0000-000047840000}"/>
    <cellStyle name="Normal 124 5 2 2 2" xfId="35619" xr:uid="{00000000-0005-0000-0000-000048840000}"/>
    <cellStyle name="Normal 124 5 2 3" xfId="28556" xr:uid="{00000000-0005-0000-0000-000049840000}"/>
    <cellStyle name="Normal 124 5 3" xfId="14989" xr:uid="{00000000-0005-0000-0000-00004A840000}"/>
    <cellStyle name="Normal 124 5 3 2" xfId="32624" xr:uid="{00000000-0005-0000-0000-00004B840000}"/>
    <cellStyle name="Normal 124 5 4" xfId="25693" xr:uid="{00000000-0005-0000-0000-00004C840000}"/>
    <cellStyle name="Normal 124 6" xfId="7800" xr:uid="{00000000-0005-0000-0000-00004D840000}"/>
    <cellStyle name="Normal 124 6 2" xfId="15597" xr:uid="{00000000-0005-0000-0000-00004E840000}"/>
    <cellStyle name="Normal 124 6 2 2" xfId="33232" xr:uid="{00000000-0005-0000-0000-00004F840000}"/>
    <cellStyle name="Normal 124 6 3" xfId="26216" xr:uid="{00000000-0005-0000-0000-000050840000}"/>
    <cellStyle name="Normal 124 7" xfId="11700" xr:uid="{00000000-0005-0000-0000-000051840000}"/>
    <cellStyle name="Normal 124 7 2" xfId="29393" xr:uid="{00000000-0005-0000-0000-000052840000}"/>
    <cellStyle name="Normal 124 8" xfId="21968" xr:uid="{00000000-0005-0000-0000-000053840000}"/>
    <cellStyle name="Normal 124 8 2" xfId="38719" xr:uid="{00000000-0005-0000-0000-000054840000}"/>
    <cellStyle name="Normal 124 9" xfId="23351" xr:uid="{00000000-0005-0000-0000-000055840000}"/>
    <cellStyle name="Normal 125" xfId="2152" xr:uid="{00000000-0005-0000-0000-000056840000}"/>
    <cellStyle name="Normal 125 10" xfId="51959" xr:uid="{00000000-0005-0000-0000-000057840000}"/>
    <cellStyle name="Normal 125 2" xfId="4320" xr:uid="{00000000-0005-0000-0000-000058840000}"/>
    <cellStyle name="Normal 125 2 2" xfId="8480" xr:uid="{00000000-0005-0000-0000-000059840000}"/>
    <cellStyle name="Normal 125 2 2 2" xfId="16276" xr:uid="{00000000-0005-0000-0000-00005A840000}"/>
    <cellStyle name="Normal 125 2 2 2 2" xfId="33911" xr:uid="{00000000-0005-0000-0000-00005B840000}"/>
    <cellStyle name="Normal 125 2 2 3" xfId="26881" xr:uid="{00000000-0005-0000-0000-00005C840000}"/>
    <cellStyle name="Normal 125 2 3" xfId="12714" xr:uid="{00000000-0005-0000-0000-00005D840000}"/>
    <cellStyle name="Normal 125 2 3 2" xfId="30372" xr:uid="{00000000-0005-0000-0000-00005E840000}"/>
    <cellStyle name="Normal 125 2 4" xfId="22935" xr:uid="{00000000-0005-0000-0000-00005F840000}"/>
    <cellStyle name="Normal 125 2 4 2" xfId="39041" xr:uid="{00000000-0005-0000-0000-000060840000}"/>
    <cellStyle name="Normal 125 2 5" xfId="24016" xr:uid="{00000000-0005-0000-0000-000061840000}"/>
    <cellStyle name="Normal 125 3" xfId="5796" xr:uid="{00000000-0005-0000-0000-000062840000}"/>
    <cellStyle name="Normal 125 3 2" xfId="9096" xr:uid="{00000000-0005-0000-0000-000063840000}"/>
    <cellStyle name="Normal 125 3 2 2" xfId="16891" xr:uid="{00000000-0005-0000-0000-000064840000}"/>
    <cellStyle name="Normal 125 3 2 2 2" xfId="34527" xr:uid="{00000000-0005-0000-0000-000065840000}"/>
    <cellStyle name="Normal 125 3 2 3" xfId="27484" xr:uid="{00000000-0005-0000-0000-000066840000}"/>
    <cellStyle name="Normal 125 3 3" xfId="13652" xr:uid="{00000000-0005-0000-0000-000067840000}"/>
    <cellStyle name="Normal 125 3 3 2" xfId="31292" xr:uid="{00000000-0005-0000-0000-000068840000}"/>
    <cellStyle name="Normal 125 3 4" xfId="22524" xr:uid="{00000000-0005-0000-0000-000069840000}"/>
    <cellStyle name="Normal 125 3 5" xfId="24619" xr:uid="{00000000-0005-0000-0000-00006A840000}"/>
    <cellStyle name="Normal 125 4" xfId="6426" xr:uid="{00000000-0005-0000-0000-00006B840000}"/>
    <cellStyle name="Normal 125 4 2" xfId="9636" xr:uid="{00000000-0005-0000-0000-00006C840000}"/>
    <cellStyle name="Normal 125 4 2 2" xfId="17430" xr:uid="{00000000-0005-0000-0000-00006D840000}"/>
    <cellStyle name="Normal 125 4 2 2 2" xfId="35067" xr:uid="{00000000-0005-0000-0000-00006E840000}"/>
    <cellStyle name="Normal 125 4 2 3" xfId="28020" xr:uid="{00000000-0005-0000-0000-00006F840000}"/>
    <cellStyle name="Normal 125 4 3" xfId="14215" xr:uid="{00000000-0005-0000-0000-000070840000}"/>
    <cellStyle name="Normal 125 4 3 2" xfId="31850" xr:uid="{00000000-0005-0000-0000-000071840000}"/>
    <cellStyle name="Normal 125 4 4" xfId="25156" xr:uid="{00000000-0005-0000-0000-000072840000}"/>
    <cellStyle name="Normal 125 5" xfId="7202" xr:uid="{00000000-0005-0000-0000-000073840000}"/>
    <cellStyle name="Normal 125 5 2" xfId="10190" xr:uid="{00000000-0005-0000-0000-000074840000}"/>
    <cellStyle name="Normal 125 5 2 2" xfId="17983" xr:uid="{00000000-0005-0000-0000-000075840000}"/>
    <cellStyle name="Normal 125 5 2 2 2" xfId="35620" xr:uid="{00000000-0005-0000-0000-000076840000}"/>
    <cellStyle name="Normal 125 5 2 3" xfId="28557" xr:uid="{00000000-0005-0000-0000-000077840000}"/>
    <cellStyle name="Normal 125 5 3" xfId="14990" xr:uid="{00000000-0005-0000-0000-000078840000}"/>
    <cellStyle name="Normal 125 5 3 2" xfId="32625" xr:uid="{00000000-0005-0000-0000-000079840000}"/>
    <cellStyle name="Normal 125 5 4" xfId="25694" xr:uid="{00000000-0005-0000-0000-00007A840000}"/>
    <cellStyle name="Normal 125 6" xfId="7801" xr:uid="{00000000-0005-0000-0000-00007B840000}"/>
    <cellStyle name="Normal 125 6 2" xfId="15598" xr:uid="{00000000-0005-0000-0000-00007C840000}"/>
    <cellStyle name="Normal 125 6 2 2" xfId="33233" xr:uid="{00000000-0005-0000-0000-00007D840000}"/>
    <cellStyle name="Normal 125 6 3" xfId="26217" xr:uid="{00000000-0005-0000-0000-00007E840000}"/>
    <cellStyle name="Normal 125 7" xfId="11701" xr:uid="{00000000-0005-0000-0000-00007F840000}"/>
    <cellStyle name="Normal 125 7 2" xfId="29394" xr:uid="{00000000-0005-0000-0000-000080840000}"/>
    <cellStyle name="Normal 125 8" xfId="21969" xr:uid="{00000000-0005-0000-0000-000081840000}"/>
    <cellStyle name="Normal 125 8 2" xfId="38720" xr:uid="{00000000-0005-0000-0000-000082840000}"/>
    <cellStyle name="Normal 125 9" xfId="23352" xr:uid="{00000000-0005-0000-0000-000083840000}"/>
    <cellStyle name="Normal 126" xfId="2153" xr:uid="{00000000-0005-0000-0000-000084840000}"/>
    <cellStyle name="Normal 126 10" xfId="51960" xr:uid="{00000000-0005-0000-0000-000085840000}"/>
    <cellStyle name="Normal 126 2" xfId="4321" xr:uid="{00000000-0005-0000-0000-000086840000}"/>
    <cellStyle name="Normal 126 2 2" xfId="8481" xr:uid="{00000000-0005-0000-0000-000087840000}"/>
    <cellStyle name="Normal 126 2 2 2" xfId="16277" xr:uid="{00000000-0005-0000-0000-000088840000}"/>
    <cellStyle name="Normal 126 2 2 2 2" xfId="33912" xr:uid="{00000000-0005-0000-0000-000089840000}"/>
    <cellStyle name="Normal 126 2 2 3" xfId="26882" xr:uid="{00000000-0005-0000-0000-00008A840000}"/>
    <cellStyle name="Normal 126 2 3" xfId="12715" xr:uid="{00000000-0005-0000-0000-00008B840000}"/>
    <cellStyle name="Normal 126 2 3 2" xfId="30373" xr:uid="{00000000-0005-0000-0000-00008C840000}"/>
    <cellStyle name="Normal 126 2 4" xfId="22936" xr:uid="{00000000-0005-0000-0000-00008D840000}"/>
    <cellStyle name="Normal 126 2 4 2" xfId="39042" xr:uid="{00000000-0005-0000-0000-00008E840000}"/>
    <cellStyle name="Normal 126 2 5" xfId="24017" xr:uid="{00000000-0005-0000-0000-00008F840000}"/>
    <cellStyle name="Normal 126 3" xfId="5797" xr:uid="{00000000-0005-0000-0000-000090840000}"/>
    <cellStyle name="Normal 126 3 2" xfId="9097" xr:uid="{00000000-0005-0000-0000-000091840000}"/>
    <cellStyle name="Normal 126 3 2 2" xfId="16892" xr:uid="{00000000-0005-0000-0000-000092840000}"/>
    <cellStyle name="Normal 126 3 2 2 2" xfId="34528" xr:uid="{00000000-0005-0000-0000-000093840000}"/>
    <cellStyle name="Normal 126 3 2 3" xfId="27485" xr:uid="{00000000-0005-0000-0000-000094840000}"/>
    <cellStyle name="Normal 126 3 3" xfId="13653" xr:uid="{00000000-0005-0000-0000-000095840000}"/>
    <cellStyle name="Normal 126 3 3 2" xfId="31293" xr:uid="{00000000-0005-0000-0000-000096840000}"/>
    <cellStyle name="Normal 126 3 4" xfId="22525" xr:uid="{00000000-0005-0000-0000-000097840000}"/>
    <cellStyle name="Normal 126 3 5" xfId="24620" xr:uid="{00000000-0005-0000-0000-000098840000}"/>
    <cellStyle name="Normal 126 4" xfId="6427" xr:uid="{00000000-0005-0000-0000-000099840000}"/>
    <cellStyle name="Normal 126 4 2" xfId="9637" xr:uid="{00000000-0005-0000-0000-00009A840000}"/>
    <cellStyle name="Normal 126 4 2 2" xfId="17431" xr:uid="{00000000-0005-0000-0000-00009B840000}"/>
    <cellStyle name="Normal 126 4 2 2 2" xfId="35068" xr:uid="{00000000-0005-0000-0000-00009C840000}"/>
    <cellStyle name="Normal 126 4 2 3" xfId="28021" xr:uid="{00000000-0005-0000-0000-00009D840000}"/>
    <cellStyle name="Normal 126 4 3" xfId="14216" xr:uid="{00000000-0005-0000-0000-00009E840000}"/>
    <cellStyle name="Normal 126 4 3 2" xfId="31851" xr:uid="{00000000-0005-0000-0000-00009F840000}"/>
    <cellStyle name="Normal 126 4 4" xfId="25157" xr:uid="{00000000-0005-0000-0000-0000A0840000}"/>
    <cellStyle name="Normal 126 5" xfId="7203" xr:uid="{00000000-0005-0000-0000-0000A1840000}"/>
    <cellStyle name="Normal 126 5 2" xfId="10191" xr:uid="{00000000-0005-0000-0000-0000A2840000}"/>
    <cellStyle name="Normal 126 5 2 2" xfId="17984" xr:uid="{00000000-0005-0000-0000-0000A3840000}"/>
    <cellStyle name="Normal 126 5 2 2 2" xfId="35621" xr:uid="{00000000-0005-0000-0000-0000A4840000}"/>
    <cellStyle name="Normal 126 5 2 3" xfId="28558" xr:uid="{00000000-0005-0000-0000-0000A5840000}"/>
    <cellStyle name="Normal 126 5 3" xfId="14991" xr:uid="{00000000-0005-0000-0000-0000A6840000}"/>
    <cellStyle name="Normal 126 5 3 2" xfId="32626" xr:uid="{00000000-0005-0000-0000-0000A7840000}"/>
    <cellStyle name="Normal 126 5 4" xfId="25695" xr:uid="{00000000-0005-0000-0000-0000A8840000}"/>
    <cellStyle name="Normal 126 6" xfId="7802" xr:uid="{00000000-0005-0000-0000-0000A9840000}"/>
    <cellStyle name="Normal 126 6 2" xfId="15599" xr:uid="{00000000-0005-0000-0000-0000AA840000}"/>
    <cellStyle name="Normal 126 6 2 2" xfId="33234" xr:uid="{00000000-0005-0000-0000-0000AB840000}"/>
    <cellStyle name="Normal 126 6 3" xfId="26218" xr:uid="{00000000-0005-0000-0000-0000AC840000}"/>
    <cellStyle name="Normal 126 7" xfId="11702" xr:uid="{00000000-0005-0000-0000-0000AD840000}"/>
    <cellStyle name="Normal 126 7 2" xfId="29395" xr:uid="{00000000-0005-0000-0000-0000AE840000}"/>
    <cellStyle name="Normal 126 8" xfId="21970" xr:uid="{00000000-0005-0000-0000-0000AF840000}"/>
    <cellStyle name="Normal 126 8 2" xfId="38721" xr:uid="{00000000-0005-0000-0000-0000B0840000}"/>
    <cellStyle name="Normal 126 9" xfId="23353" xr:uid="{00000000-0005-0000-0000-0000B1840000}"/>
    <cellStyle name="Normal 127" xfId="2154" xr:uid="{00000000-0005-0000-0000-0000B2840000}"/>
    <cellStyle name="Normal 127 10" xfId="51961" xr:uid="{00000000-0005-0000-0000-0000B3840000}"/>
    <cellStyle name="Normal 127 2" xfId="4322" xr:uid="{00000000-0005-0000-0000-0000B4840000}"/>
    <cellStyle name="Normal 127 2 2" xfId="8482" xr:uid="{00000000-0005-0000-0000-0000B5840000}"/>
    <cellStyle name="Normal 127 2 2 2" xfId="16278" xr:uid="{00000000-0005-0000-0000-0000B6840000}"/>
    <cellStyle name="Normal 127 2 2 2 2" xfId="33913" xr:uid="{00000000-0005-0000-0000-0000B7840000}"/>
    <cellStyle name="Normal 127 2 2 3" xfId="26883" xr:uid="{00000000-0005-0000-0000-0000B8840000}"/>
    <cellStyle name="Normal 127 2 3" xfId="12716" xr:uid="{00000000-0005-0000-0000-0000B9840000}"/>
    <cellStyle name="Normal 127 2 3 2" xfId="30374" xr:uid="{00000000-0005-0000-0000-0000BA840000}"/>
    <cellStyle name="Normal 127 2 4" xfId="22937" xr:uid="{00000000-0005-0000-0000-0000BB840000}"/>
    <cellStyle name="Normal 127 2 4 2" xfId="39043" xr:uid="{00000000-0005-0000-0000-0000BC840000}"/>
    <cellStyle name="Normal 127 2 5" xfId="24018" xr:uid="{00000000-0005-0000-0000-0000BD840000}"/>
    <cellStyle name="Normal 127 3" xfId="5798" xr:uid="{00000000-0005-0000-0000-0000BE840000}"/>
    <cellStyle name="Normal 127 3 2" xfId="9098" xr:uid="{00000000-0005-0000-0000-0000BF840000}"/>
    <cellStyle name="Normal 127 3 2 2" xfId="16893" xr:uid="{00000000-0005-0000-0000-0000C0840000}"/>
    <cellStyle name="Normal 127 3 2 2 2" xfId="34529" xr:uid="{00000000-0005-0000-0000-0000C1840000}"/>
    <cellStyle name="Normal 127 3 2 3" xfId="27486" xr:uid="{00000000-0005-0000-0000-0000C2840000}"/>
    <cellStyle name="Normal 127 3 3" xfId="13654" xr:uid="{00000000-0005-0000-0000-0000C3840000}"/>
    <cellStyle name="Normal 127 3 3 2" xfId="31294" xr:uid="{00000000-0005-0000-0000-0000C4840000}"/>
    <cellStyle name="Normal 127 3 4" xfId="22526" xr:uid="{00000000-0005-0000-0000-0000C5840000}"/>
    <cellStyle name="Normal 127 3 5" xfId="24621" xr:uid="{00000000-0005-0000-0000-0000C6840000}"/>
    <cellStyle name="Normal 127 4" xfId="6428" xr:uid="{00000000-0005-0000-0000-0000C7840000}"/>
    <cellStyle name="Normal 127 4 2" xfId="9638" xr:uid="{00000000-0005-0000-0000-0000C8840000}"/>
    <cellStyle name="Normal 127 4 2 2" xfId="17432" xr:uid="{00000000-0005-0000-0000-0000C9840000}"/>
    <cellStyle name="Normal 127 4 2 2 2" xfId="35069" xr:uid="{00000000-0005-0000-0000-0000CA840000}"/>
    <cellStyle name="Normal 127 4 2 3" xfId="28022" xr:uid="{00000000-0005-0000-0000-0000CB840000}"/>
    <cellStyle name="Normal 127 4 3" xfId="14217" xr:uid="{00000000-0005-0000-0000-0000CC840000}"/>
    <cellStyle name="Normal 127 4 3 2" xfId="31852" xr:uid="{00000000-0005-0000-0000-0000CD840000}"/>
    <cellStyle name="Normal 127 4 4" xfId="25158" xr:uid="{00000000-0005-0000-0000-0000CE840000}"/>
    <cellStyle name="Normal 127 5" xfId="7204" xr:uid="{00000000-0005-0000-0000-0000CF840000}"/>
    <cellStyle name="Normal 127 5 2" xfId="10192" xr:uid="{00000000-0005-0000-0000-0000D0840000}"/>
    <cellStyle name="Normal 127 5 2 2" xfId="17985" xr:uid="{00000000-0005-0000-0000-0000D1840000}"/>
    <cellStyle name="Normal 127 5 2 2 2" xfId="35622" xr:uid="{00000000-0005-0000-0000-0000D2840000}"/>
    <cellStyle name="Normal 127 5 2 3" xfId="28559" xr:uid="{00000000-0005-0000-0000-0000D3840000}"/>
    <cellStyle name="Normal 127 5 3" xfId="14992" xr:uid="{00000000-0005-0000-0000-0000D4840000}"/>
    <cellStyle name="Normal 127 5 3 2" xfId="32627" xr:uid="{00000000-0005-0000-0000-0000D5840000}"/>
    <cellStyle name="Normal 127 5 4" xfId="25696" xr:uid="{00000000-0005-0000-0000-0000D6840000}"/>
    <cellStyle name="Normal 127 6" xfId="7803" xr:uid="{00000000-0005-0000-0000-0000D7840000}"/>
    <cellStyle name="Normal 127 6 2" xfId="15600" xr:uid="{00000000-0005-0000-0000-0000D8840000}"/>
    <cellStyle name="Normal 127 6 2 2" xfId="33235" xr:uid="{00000000-0005-0000-0000-0000D9840000}"/>
    <cellStyle name="Normal 127 6 3" xfId="26219" xr:uid="{00000000-0005-0000-0000-0000DA840000}"/>
    <cellStyle name="Normal 127 7" xfId="11703" xr:uid="{00000000-0005-0000-0000-0000DB840000}"/>
    <cellStyle name="Normal 127 7 2" xfId="29396" xr:uid="{00000000-0005-0000-0000-0000DC840000}"/>
    <cellStyle name="Normal 127 8" xfId="21971" xr:uid="{00000000-0005-0000-0000-0000DD840000}"/>
    <cellStyle name="Normal 127 8 2" xfId="38722" xr:uid="{00000000-0005-0000-0000-0000DE840000}"/>
    <cellStyle name="Normal 127 9" xfId="23354" xr:uid="{00000000-0005-0000-0000-0000DF840000}"/>
    <cellStyle name="Normal 128" xfId="2155" xr:uid="{00000000-0005-0000-0000-0000E0840000}"/>
    <cellStyle name="Normal 128 10" xfId="51962" xr:uid="{00000000-0005-0000-0000-0000E1840000}"/>
    <cellStyle name="Normal 128 2" xfId="4323" xr:uid="{00000000-0005-0000-0000-0000E2840000}"/>
    <cellStyle name="Normal 128 2 2" xfId="8483" xr:uid="{00000000-0005-0000-0000-0000E3840000}"/>
    <cellStyle name="Normal 128 2 2 2" xfId="16279" xr:uid="{00000000-0005-0000-0000-0000E4840000}"/>
    <cellStyle name="Normal 128 2 2 2 2" xfId="33914" xr:uid="{00000000-0005-0000-0000-0000E5840000}"/>
    <cellStyle name="Normal 128 2 2 3" xfId="26884" xr:uid="{00000000-0005-0000-0000-0000E6840000}"/>
    <cellStyle name="Normal 128 2 3" xfId="12717" xr:uid="{00000000-0005-0000-0000-0000E7840000}"/>
    <cellStyle name="Normal 128 2 3 2" xfId="30375" xr:uid="{00000000-0005-0000-0000-0000E8840000}"/>
    <cellStyle name="Normal 128 2 4" xfId="22938" xr:uid="{00000000-0005-0000-0000-0000E9840000}"/>
    <cellStyle name="Normal 128 2 4 2" xfId="39044" xr:uid="{00000000-0005-0000-0000-0000EA840000}"/>
    <cellStyle name="Normal 128 2 5" xfId="24019" xr:uid="{00000000-0005-0000-0000-0000EB840000}"/>
    <cellStyle name="Normal 128 3" xfId="5799" xr:uid="{00000000-0005-0000-0000-0000EC840000}"/>
    <cellStyle name="Normal 128 3 2" xfId="9099" xr:uid="{00000000-0005-0000-0000-0000ED840000}"/>
    <cellStyle name="Normal 128 3 2 2" xfId="16894" xr:uid="{00000000-0005-0000-0000-0000EE840000}"/>
    <cellStyle name="Normal 128 3 2 2 2" xfId="34530" xr:uid="{00000000-0005-0000-0000-0000EF840000}"/>
    <cellStyle name="Normal 128 3 2 3" xfId="27487" xr:uid="{00000000-0005-0000-0000-0000F0840000}"/>
    <cellStyle name="Normal 128 3 3" xfId="13655" xr:uid="{00000000-0005-0000-0000-0000F1840000}"/>
    <cellStyle name="Normal 128 3 3 2" xfId="31295" xr:uid="{00000000-0005-0000-0000-0000F2840000}"/>
    <cellStyle name="Normal 128 3 4" xfId="22527" xr:uid="{00000000-0005-0000-0000-0000F3840000}"/>
    <cellStyle name="Normal 128 3 5" xfId="24622" xr:uid="{00000000-0005-0000-0000-0000F4840000}"/>
    <cellStyle name="Normal 128 4" xfId="6429" xr:uid="{00000000-0005-0000-0000-0000F5840000}"/>
    <cellStyle name="Normal 128 4 2" xfId="9639" xr:uid="{00000000-0005-0000-0000-0000F6840000}"/>
    <cellStyle name="Normal 128 4 2 2" xfId="17433" xr:uid="{00000000-0005-0000-0000-0000F7840000}"/>
    <cellStyle name="Normal 128 4 2 2 2" xfId="35070" xr:uid="{00000000-0005-0000-0000-0000F8840000}"/>
    <cellStyle name="Normal 128 4 2 3" xfId="28023" xr:uid="{00000000-0005-0000-0000-0000F9840000}"/>
    <cellStyle name="Normal 128 4 3" xfId="14218" xr:uid="{00000000-0005-0000-0000-0000FA840000}"/>
    <cellStyle name="Normal 128 4 3 2" xfId="31853" xr:uid="{00000000-0005-0000-0000-0000FB840000}"/>
    <cellStyle name="Normal 128 4 4" xfId="25159" xr:uid="{00000000-0005-0000-0000-0000FC840000}"/>
    <cellStyle name="Normal 128 5" xfId="7205" xr:uid="{00000000-0005-0000-0000-0000FD840000}"/>
    <cellStyle name="Normal 128 5 2" xfId="10193" xr:uid="{00000000-0005-0000-0000-0000FE840000}"/>
    <cellStyle name="Normal 128 5 2 2" xfId="17986" xr:uid="{00000000-0005-0000-0000-0000FF840000}"/>
    <cellStyle name="Normal 128 5 2 2 2" xfId="35623" xr:uid="{00000000-0005-0000-0000-000000850000}"/>
    <cellStyle name="Normal 128 5 2 3" xfId="28560" xr:uid="{00000000-0005-0000-0000-000001850000}"/>
    <cellStyle name="Normal 128 5 3" xfId="14993" xr:uid="{00000000-0005-0000-0000-000002850000}"/>
    <cellStyle name="Normal 128 5 3 2" xfId="32628" xr:uid="{00000000-0005-0000-0000-000003850000}"/>
    <cellStyle name="Normal 128 5 4" xfId="25697" xr:uid="{00000000-0005-0000-0000-000004850000}"/>
    <cellStyle name="Normal 128 6" xfId="7804" xr:uid="{00000000-0005-0000-0000-000005850000}"/>
    <cellStyle name="Normal 128 6 2" xfId="15601" xr:uid="{00000000-0005-0000-0000-000006850000}"/>
    <cellStyle name="Normal 128 6 2 2" xfId="33236" xr:uid="{00000000-0005-0000-0000-000007850000}"/>
    <cellStyle name="Normal 128 6 3" xfId="26220" xr:uid="{00000000-0005-0000-0000-000008850000}"/>
    <cellStyle name="Normal 128 7" xfId="11704" xr:uid="{00000000-0005-0000-0000-000009850000}"/>
    <cellStyle name="Normal 128 7 2" xfId="29397" xr:uid="{00000000-0005-0000-0000-00000A850000}"/>
    <cellStyle name="Normal 128 8" xfId="21972" xr:uid="{00000000-0005-0000-0000-00000B850000}"/>
    <cellStyle name="Normal 128 8 2" xfId="38723" xr:uid="{00000000-0005-0000-0000-00000C850000}"/>
    <cellStyle name="Normal 128 9" xfId="23355" xr:uid="{00000000-0005-0000-0000-00000D850000}"/>
    <cellStyle name="Normal 129" xfId="2156" xr:uid="{00000000-0005-0000-0000-00000E850000}"/>
    <cellStyle name="Normal 129 10" xfId="51963" xr:uid="{00000000-0005-0000-0000-00000F850000}"/>
    <cellStyle name="Normal 129 2" xfId="4324" xr:uid="{00000000-0005-0000-0000-000010850000}"/>
    <cellStyle name="Normal 129 2 2" xfId="8484" xr:uid="{00000000-0005-0000-0000-000011850000}"/>
    <cellStyle name="Normal 129 2 2 2" xfId="16280" xr:uid="{00000000-0005-0000-0000-000012850000}"/>
    <cellStyle name="Normal 129 2 2 2 2" xfId="33915" xr:uid="{00000000-0005-0000-0000-000013850000}"/>
    <cellStyle name="Normal 129 2 2 3" xfId="26885" xr:uid="{00000000-0005-0000-0000-000014850000}"/>
    <cellStyle name="Normal 129 2 3" xfId="12718" xr:uid="{00000000-0005-0000-0000-000015850000}"/>
    <cellStyle name="Normal 129 2 3 2" xfId="30376" xr:uid="{00000000-0005-0000-0000-000016850000}"/>
    <cellStyle name="Normal 129 2 4" xfId="22939" xr:uid="{00000000-0005-0000-0000-000017850000}"/>
    <cellStyle name="Normal 129 2 4 2" xfId="39045" xr:uid="{00000000-0005-0000-0000-000018850000}"/>
    <cellStyle name="Normal 129 2 5" xfId="24020" xr:uid="{00000000-0005-0000-0000-000019850000}"/>
    <cellStyle name="Normal 129 3" xfId="5800" xr:uid="{00000000-0005-0000-0000-00001A850000}"/>
    <cellStyle name="Normal 129 3 2" xfId="9100" xr:uid="{00000000-0005-0000-0000-00001B850000}"/>
    <cellStyle name="Normal 129 3 2 2" xfId="16895" xr:uid="{00000000-0005-0000-0000-00001C850000}"/>
    <cellStyle name="Normal 129 3 2 2 2" xfId="34531" xr:uid="{00000000-0005-0000-0000-00001D850000}"/>
    <cellStyle name="Normal 129 3 2 3" xfId="27488" xr:uid="{00000000-0005-0000-0000-00001E850000}"/>
    <cellStyle name="Normal 129 3 3" xfId="13656" xr:uid="{00000000-0005-0000-0000-00001F850000}"/>
    <cellStyle name="Normal 129 3 3 2" xfId="31296" xr:uid="{00000000-0005-0000-0000-000020850000}"/>
    <cellStyle name="Normal 129 3 4" xfId="22528" xr:uid="{00000000-0005-0000-0000-000021850000}"/>
    <cellStyle name="Normal 129 3 5" xfId="24623" xr:uid="{00000000-0005-0000-0000-000022850000}"/>
    <cellStyle name="Normal 129 4" xfId="6430" xr:uid="{00000000-0005-0000-0000-000023850000}"/>
    <cellStyle name="Normal 129 4 2" xfId="9640" xr:uid="{00000000-0005-0000-0000-000024850000}"/>
    <cellStyle name="Normal 129 4 2 2" xfId="17434" xr:uid="{00000000-0005-0000-0000-000025850000}"/>
    <cellStyle name="Normal 129 4 2 2 2" xfId="35071" xr:uid="{00000000-0005-0000-0000-000026850000}"/>
    <cellStyle name="Normal 129 4 2 3" xfId="28024" xr:uid="{00000000-0005-0000-0000-000027850000}"/>
    <cellStyle name="Normal 129 4 3" xfId="14219" xr:uid="{00000000-0005-0000-0000-000028850000}"/>
    <cellStyle name="Normal 129 4 3 2" xfId="31854" xr:uid="{00000000-0005-0000-0000-000029850000}"/>
    <cellStyle name="Normal 129 4 4" xfId="25160" xr:uid="{00000000-0005-0000-0000-00002A850000}"/>
    <cellStyle name="Normal 129 5" xfId="7206" xr:uid="{00000000-0005-0000-0000-00002B850000}"/>
    <cellStyle name="Normal 129 5 2" xfId="10194" xr:uid="{00000000-0005-0000-0000-00002C850000}"/>
    <cellStyle name="Normal 129 5 2 2" xfId="17987" xr:uid="{00000000-0005-0000-0000-00002D850000}"/>
    <cellStyle name="Normal 129 5 2 2 2" xfId="35624" xr:uid="{00000000-0005-0000-0000-00002E850000}"/>
    <cellStyle name="Normal 129 5 2 3" xfId="28561" xr:uid="{00000000-0005-0000-0000-00002F850000}"/>
    <cellStyle name="Normal 129 5 3" xfId="14994" xr:uid="{00000000-0005-0000-0000-000030850000}"/>
    <cellStyle name="Normal 129 5 3 2" xfId="32629" xr:uid="{00000000-0005-0000-0000-000031850000}"/>
    <cellStyle name="Normal 129 5 4" xfId="25698" xr:uid="{00000000-0005-0000-0000-000032850000}"/>
    <cellStyle name="Normal 129 6" xfId="7805" xr:uid="{00000000-0005-0000-0000-000033850000}"/>
    <cellStyle name="Normal 129 6 2" xfId="15602" xr:uid="{00000000-0005-0000-0000-000034850000}"/>
    <cellStyle name="Normal 129 6 2 2" xfId="33237" xr:uid="{00000000-0005-0000-0000-000035850000}"/>
    <cellStyle name="Normal 129 6 3" xfId="26221" xr:uid="{00000000-0005-0000-0000-000036850000}"/>
    <cellStyle name="Normal 129 7" xfId="11705" xr:uid="{00000000-0005-0000-0000-000037850000}"/>
    <cellStyle name="Normal 129 7 2" xfId="29398" xr:uid="{00000000-0005-0000-0000-000038850000}"/>
    <cellStyle name="Normal 129 8" xfId="21973" xr:uid="{00000000-0005-0000-0000-000039850000}"/>
    <cellStyle name="Normal 129 8 2" xfId="38724" xr:uid="{00000000-0005-0000-0000-00003A850000}"/>
    <cellStyle name="Normal 129 9" xfId="23356" xr:uid="{00000000-0005-0000-0000-00003B850000}"/>
    <cellStyle name="Normal 13" xfId="2157" xr:uid="{00000000-0005-0000-0000-00003C850000}"/>
    <cellStyle name="Normal 13 2" xfId="2158" xr:uid="{00000000-0005-0000-0000-00003D850000}"/>
    <cellStyle name="Normal 13 2 2" xfId="2159" xr:uid="{00000000-0005-0000-0000-00003E850000}"/>
    <cellStyle name="Normal 13 2_Sheet1" xfId="2160" xr:uid="{00000000-0005-0000-0000-00003F850000}"/>
    <cellStyle name="Normal 13 3" xfId="2161" xr:uid="{00000000-0005-0000-0000-000040850000}"/>
    <cellStyle name="Normal 13 4" xfId="22940" xr:uid="{00000000-0005-0000-0000-000041850000}"/>
    <cellStyle name="Normal 13 5" xfId="22529" xr:uid="{00000000-0005-0000-0000-000042850000}"/>
    <cellStyle name="Normal 13 6" xfId="22904" xr:uid="{00000000-0005-0000-0000-000043850000}"/>
    <cellStyle name="Normal 13 7" xfId="53228" xr:uid="{00000000-0005-0000-0000-000044850000}"/>
    <cellStyle name="Normal 13 8" xfId="53229" xr:uid="{00000000-0005-0000-0000-000045850000}"/>
    <cellStyle name="Normal 13 9" xfId="53227" xr:uid="{00000000-0005-0000-0000-000046850000}"/>
    <cellStyle name="Normal 13_Sheet1" xfId="2162" xr:uid="{00000000-0005-0000-0000-000047850000}"/>
    <cellStyle name="Normal 130" xfId="2163" xr:uid="{00000000-0005-0000-0000-000048850000}"/>
    <cellStyle name="Normal 130 10" xfId="51964" xr:uid="{00000000-0005-0000-0000-000049850000}"/>
    <cellStyle name="Normal 130 2" xfId="4325" xr:uid="{00000000-0005-0000-0000-00004A850000}"/>
    <cellStyle name="Normal 130 2 2" xfId="8485" xr:uid="{00000000-0005-0000-0000-00004B850000}"/>
    <cellStyle name="Normal 130 2 2 2" xfId="16281" xr:uid="{00000000-0005-0000-0000-00004C850000}"/>
    <cellStyle name="Normal 130 2 2 2 2" xfId="33916" xr:uid="{00000000-0005-0000-0000-00004D850000}"/>
    <cellStyle name="Normal 130 2 2 3" xfId="26886" xr:uid="{00000000-0005-0000-0000-00004E850000}"/>
    <cellStyle name="Normal 130 2 3" xfId="12719" xr:uid="{00000000-0005-0000-0000-00004F850000}"/>
    <cellStyle name="Normal 130 2 3 2" xfId="30377" xr:uid="{00000000-0005-0000-0000-000050850000}"/>
    <cellStyle name="Normal 130 2 4" xfId="22941" xr:uid="{00000000-0005-0000-0000-000051850000}"/>
    <cellStyle name="Normal 130 2 4 2" xfId="39046" xr:uid="{00000000-0005-0000-0000-000052850000}"/>
    <cellStyle name="Normal 130 2 5" xfId="24021" xr:uid="{00000000-0005-0000-0000-000053850000}"/>
    <cellStyle name="Normal 130 3" xfId="5801" xr:uid="{00000000-0005-0000-0000-000054850000}"/>
    <cellStyle name="Normal 130 3 2" xfId="9101" xr:uid="{00000000-0005-0000-0000-000055850000}"/>
    <cellStyle name="Normal 130 3 2 2" xfId="16896" xr:uid="{00000000-0005-0000-0000-000056850000}"/>
    <cellStyle name="Normal 130 3 2 2 2" xfId="34532" xr:uid="{00000000-0005-0000-0000-000057850000}"/>
    <cellStyle name="Normal 130 3 2 3" xfId="27489" xr:uid="{00000000-0005-0000-0000-000058850000}"/>
    <cellStyle name="Normal 130 3 3" xfId="13657" xr:uid="{00000000-0005-0000-0000-000059850000}"/>
    <cellStyle name="Normal 130 3 3 2" xfId="31297" xr:uid="{00000000-0005-0000-0000-00005A850000}"/>
    <cellStyle name="Normal 130 3 4" xfId="22530" xr:uid="{00000000-0005-0000-0000-00005B850000}"/>
    <cellStyle name="Normal 130 3 5" xfId="24624" xr:uid="{00000000-0005-0000-0000-00005C850000}"/>
    <cellStyle name="Normal 130 4" xfId="6431" xr:uid="{00000000-0005-0000-0000-00005D850000}"/>
    <cellStyle name="Normal 130 4 2" xfId="9641" xr:uid="{00000000-0005-0000-0000-00005E850000}"/>
    <cellStyle name="Normal 130 4 2 2" xfId="17435" xr:uid="{00000000-0005-0000-0000-00005F850000}"/>
    <cellStyle name="Normal 130 4 2 2 2" xfId="35072" xr:uid="{00000000-0005-0000-0000-000060850000}"/>
    <cellStyle name="Normal 130 4 2 3" xfId="28025" xr:uid="{00000000-0005-0000-0000-000061850000}"/>
    <cellStyle name="Normal 130 4 3" xfId="14220" xr:uid="{00000000-0005-0000-0000-000062850000}"/>
    <cellStyle name="Normal 130 4 3 2" xfId="31855" xr:uid="{00000000-0005-0000-0000-000063850000}"/>
    <cellStyle name="Normal 130 4 4" xfId="25161" xr:uid="{00000000-0005-0000-0000-000064850000}"/>
    <cellStyle name="Normal 130 5" xfId="7207" xr:uid="{00000000-0005-0000-0000-000065850000}"/>
    <cellStyle name="Normal 130 5 2" xfId="10195" xr:uid="{00000000-0005-0000-0000-000066850000}"/>
    <cellStyle name="Normal 130 5 2 2" xfId="17988" xr:uid="{00000000-0005-0000-0000-000067850000}"/>
    <cellStyle name="Normal 130 5 2 2 2" xfId="35625" xr:uid="{00000000-0005-0000-0000-000068850000}"/>
    <cellStyle name="Normal 130 5 2 3" xfId="28562" xr:uid="{00000000-0005-0000-0000-000069850000}"/>
    <cellStyle name="Normal 130 5 3" xfId="14995" xr:uid="{00000000-0005-0000-0000-00006A850000}"/>
    <cellStyle name="Normal 130 5 3 2" xfId="32630" xr:uid="{00000000-0005-0000-0000-00006B850000}"/>
    <cellStyle name="Normal 130 5 4" xfId="25699" xr:uid="{00000000-0005-0000-0000-00006C850000}"/>
    <cellStyle name="Normal 130 6" xfId="7806" xr:uid="{00000000-0005-0000-0000-00006D850000}"/>
    <cellStyle name="Normal 130 6 2" xfId="15603" xr:uid="{00000000-0005-0000-0000-00006E850000}"/>
    <cellStyle name="Normal 130 6 2 2" xfId="33238" xr:uid="{00000000-0005-0000-0000-00006F850000}"/>
    <cellStyle name="Normal 130 6 3" xfId="26222" xr:uid="{00000000-0005-0000-0000-000070850000}"/>
    <cellStyle name="Normal 130 7" xfId="11708" xr:uid="{00000000-0005-0000-0000-000071850000}"/>
    <cellStyle name="Normal 130 7 2" xfId="29399" xr:uid="{00000000-0005-0000-0000-000072850000}"/>
    <cellStyle name="Normal 130 8" xfId="21974" xr:uid="{00000000-0005-0000-0000-000073850000}"/>
    <cellStyle name="Normal 130 8 2" xfId="38725" xr:uid="{00000000-0005-0000-0000-000074850000}"/>
    <cellStyle name="Normal 130 9" xfId="23357" xr:uid="{00000000-0005-0000-0000-000075850000}"/>
    <cellStyle name="Normal 131" xfId="2164" xr:uid="{00000000-0005-0000-0000-000076850000}"/>
    <cellStyle name="Normal 131 10" xfId="51965" xr:uid="{00000000-0005-0000-0000-000077850000}"/>
    <cellStyle name="Normal 131 2" xfId="4326" xr:uid="{00000000-0005-0000-0000-000078850000}"/>
    <cellStyle name="Normal 131 2 2" xfId="8486" xr:uid="{00000000-0005-0000-0000-000079850000}"/>
    <cellStyle name="Normal 131 2 2 2" xfId="16282" xr:uid="{00000000-0005-0000-0000-00007A850000}"/>
    <cellStyle name="Normal 131 2 2 2 2" xfId="33917" xr:uid="{00000000-0005-0000-0000-00007B850000}"/>
    <cellStyle name="Normal 131 2 2 3" xfId="26887" xr:uid="{00000000-0005-0000-0000-00007C850000}"/>
    <cellStyle name="Normal 131 2 3" xfId="12720" xr:uid="{00000000-0005-0000-0000-00007D850000}"/>
    <cellStyle name="Normal 131 2 3 2" xfId="30378" xr:uid="{00000000-0005-0000-0000-00007E850000}"/>
    <cellStyle name="Normal 131 2 4" xfId="22942" xr:uid="{00000000-0005-0000-0000-00007F850000}"/>
    <cellStyle name="Normal 131 2 4 2" xfId="39047" xr:uid="{00000000-0005-0000-0000-000080850000}"/>
    <cellStyle name="Normal 131 2 5" xfId="24022" xr:uid="{00000000-0005-0000-0000-000081850000}"/>
    <cellStyle name="Normal 131 3" xfId="5802" xr:uid="{00000000-0005-0000-0000-000082850000}"/>
    <cellStyle name="Normal 131 3 2" xfId="9102" xr:uid="{00000000-0005-0000-0000-000083850000}"/>
    <cellStyle name="Normal 131 3 2 2" xfId="16897" xr:uid="{00000000-0005-0000-0000-000084850000}"/>
    <cellStyle name="Normal 131 3 2 2 2" xfId="34533" xr:uid="{00000000-0005-0000-0000-000085850000}"/>
    <cellStyle name="Normal 131 3 2 3" xfId="27490" xr:uid="{00000000-0005-0000-0000-000086850000}"/>
    <cellStyle name="Normal 131 3 3" xfId="13658" xr:uid="{00000000-0005-0000-0000-000087850000}"/>
    <cellStyle name="Normal 131 3 3 2" xfId="31298" xr:uid="{00000000-0005-0000-0000-000088850000}"/>
    <cellStyle name="Normal 131 3 4" xfId="22531" xr:uid="{00000000-0005-0000-0000-000089850000}"/>
    <cellStyle name="Normal 131 3 5" xfId="24625" xr:uid="{00000000-0005-0000-0000-00008A850000}"/>
    <cellStyle name="Normal 131 4" xfId="6432" xr:uid="{00000000-0005-0000-0000-00008B850000}"/>
    <cellStyle name="Normal 131 4 2" xfId="9642" xr:uid="{00000000-0005-0000-0000-00008C850000}"/>
    <cellStyle name="Normal 131 4 2 2" xfId="17436" xr:uid="{00000000-0005-0000-0000-00008D850000}"/>
    <cellStyle name="Normal 131 4 2 2 2" xfId="35073" xr:uid="{00000000-0005-0000-0000-00008E850000}"/>
    <cellStyle name="Normal 131 4 2 3" xfId="28026" xr:uid="{00000000-0005-0000-0000-00008F850000}"/>
    <cellStyle name="Normal 131 4 3" xfId="14221" xr:uid="{00000000-0005-0000-0000-000090850000}"/>
    <cellStyle name="Normal 131 4 3 2" xfId="31856" xr:uid="{00000000-0005-0000-0000-000091850000}"/>
    <cellStyle name="Normal 131 4 4" xfId="25162" xr:uid="{00000000-0005-0000-0000-000092850000}"/>
    <cellStyle name="Normal 131 5" xfId="7208" xr:uid="{00000000-0005-0000-0000-000093850000}"/>
    <cellStyle name="Normal 131 5 2" xfId="10196" xr:uid="{00000000-0005-0000-0000-000094850000}"/>
    <cellStyle name="Normal 131 5 2 2" xfId="17989" xr:uid="{00000000-0005-0000-0000-000095850000}"/>
    <cellStyle name="Normal 131 5 2 2 2" xfId="35626" xr:uid="{00000000-0005-0000-0000-000096850000}"/>
    <cellStyle name="Normal 131 5 2 3" xfId="28563" xr:uid="{00000000-0005-0000-0000-000097850000}"/>
    <cellStyle name="Normal 131 5 3" xfId="14996" xr:uid="{00000000-0005-0000-0000-000098850000}"/>
    <cellStyle name="Normal 131 5 3 2" xfId="32631" xr:uid="{00000000-0005-0000-0000-000099850000}"/>
    <cellStyle name="Normal 131 5 4" xfId="25700" xr:uid="{00000000-0005-0000-0000-00009A850000}"/>
    <cellStyle name="Normal 131 6" xfId="7807" xr:uid="{00000000-0005-0000-0000-00009B850000}"/>
    <cellStyle name="Normal 131 6 2" xfId="15604" xr:uid="{00000000-0005-0000-0000-00009C850000}"/>
    <cellStyle name="Normal 131 6 2 2" xfId="33239" xr:uid="{00000000-0005-0000-0000-00009D850000}"/>
    <cellStyle name="Normal 131 6 3" xfId="26223" xr:uid="{00000000-0005-0000-0000-00009E850000}"/>
    <cellStyle name="Normal 131 7" xfId="11709" xr:uid="{00000000-0005-0000-0000-00009F850000}"/>
    <cellStyle name="Normal 131 7 2" xfId="29400" xr:uid="{00000000-0005-0000-0000-0000A0850000}"/>
    <cellStyle name="Normal 131 8" xfId="21975" xr:uid="{00000000-0005-0000-0000-0000A1850000}"/>
    <cellStyle name="Normal 131 8 2" xfId="38726" xr:uid="{00000000-0005-0000-0000-0000A2850000}"/>
    <cellStyle name="Normal 131 9" xfId="23358" xr:uid="{00000000-0005-0000-0000-0000A3850000}"/>
    <cellStyle name="Normal 132" xfId="2165" xr:uid="{00000000-0005-0000-0000-0000A4850000}"/>
    <cellStyle name="Normal 132 10" xfId="51966" xr:uid="{00000000-0005-0000-0000-0000A5850000}"/>
    <cellStyle name="Normal 132 2" xfId="4327" xr:uid="{00000000-0005-0000-0000-0000A6850000}"/>
    <cellStyle name="Normal 132 2 2" xfId="8487" xr:uid="{00000000-0005-0000-0000-0000A7850000}"/>
    <cellStyle name="Normal 132 2 2 2" xfId="16283" xr:uid="{00000000-0005-0000-0000-0000A8850000}"/>
    <cellStyle name="Normal 132 2 2 2 2" xfId="33918" xr:uid="{00000000-0005-0000-0000-0000A9850000}"/>
    <cellStyle name="Normal 132 2 2 3" xfId="26888" xr:uid="{00000000-0005-0000-0000-0000AA850000}"/>
    <cellStyle name="Normal 132 2 3" xfId="12721" xr:uid="{00000000-0005-0000-0000-0000AB850000}"/>
    <cellStyle name="Normal 132 2 3 2" xfId="30379" xr:uid="{00000000-0005-0000-0000-0000AC850000}"/>
    <cellStyle name="Normal 132 2 4" xfId="22943" xr:uid="{00000000-0005-0000-0000-0000AD850000}"/>
    <cellStyle name="Normal 132 2 4 2" xfId="39048" xr:uid="{00000000-0005-0000-0000-0000AE850000}"/>
    <cellStyle name="Normal 132 2 5" xfId="24023" xr:uid="{00000000-0005-0000-0000-0000AF850000}"/>
    <cellStyle name="Normal 132 3" xfId="5803" xr:uid="{00000000-0005-0000-0000-0000B0850000}"/>
    <cellStyle name="Normal 132 3 2" xfId="9103" xr:uid="{00000000-0005-0000-0000-0000B1850000}"/>
    <cellStyle name="Normal 132 3 2 2" xfId="16898" xr:uid="{00000000-0005-0000-0000-0000B2850000}"/>
    <cellStyle name="Normal 132 3 2 2 2" xfId="34534" xr:uid="{00000000-0005-0000-0000-0000B3850000}"/>
    <cellStyle name="Normal 132 3 2 3" xfId="27491" xr:uid="{00000000-0005-0000-0000-0000B4850000}"/>
    <cellStyle name="Normal 132 3 3" xfId="13659" xr:uid="{00000000-0005-0000-0000-0000B5850000}"/>
    <cellStyle name="Normal 132 3 3 2" xfId="31299" xr:uid="{00000000-0005-0000-0000-0000B6850000}"/>
    <cellStyle name="Normal 132 3 4" xfId="22532" xr:uid="{00000000-0005-0000-0000-0000B7850000}"/>
    <cellStyle name="Normal 132 3 5" xfId="24626" xr:uid="{00000000-0005-0000-0000-0000B8850000}"/>
    <cellStyle name="Normal 132 4" xfId="6433" xr:uid="{00000000-0005-0000-0000-0000B9850000}"/>
    <cellStyle name="Normal 132 4 2" xfId="9643" xr:uid="{00000000-0005-0000-0000-0000BA850000}"/>
    <cellStyle name="Normal 132 4 2 2" xfId="17437" xr:uid="{00000000-0005-0000-0000-0000BB850000}"/>
    <cellStyle name="Normal 132 4 2 2 2" xfId="35074" xr:uid="{00000000-0005-0000-0000-0000BC850000}"/>
    <cellStyle name="Normal 132 4 2 3" xfId="28027" xr:uid="{00000000-0005-0000-0000-0000BD850000}"/>
    <cellStyle name="Normal 132 4 3" xfId="14222" xr:uid="{00000000-0005-0000-0000-0000BE850000}"/>
    <cellStyle name="Normal 132 4 3 2" xfId="31857" xr:uid="{00000000-0005-0000-0000-0000BF850000}"/>
    <cellStyle name="Normal 132 4 4" xfId="25163" xr:uid="{00000000-0005-0000-0000-0000C0850000}"/>
    <cellStyle name="Normal 132 5" xfId="7209" xr:uid="{00000000-0005-0000-0000-0000C1850000}"/>
    <cellStyle name="Normal 132 5 2" xfId="10197" xr:uid="{00000000-0005-0000-0000-0000C2850000}"/>
    <cellStyle name="Normal 132 5 2 2" xfId="17990" xr:uid="{00000000-0005-0000-0000-0000C3850000}"/>
    <cellStyle name="Normal 132 5 2 2 2" xfId="35627" xr:uid="{00000000-0005-0000-0000-0000C4850000}"/>
    <cellStyle name="Normal 132 5 2 3" xfId="28564" xr:uid="{00000000-0005-0000-0000-0000C5850000}"/>
    <cellStyle name="Normal 132 5 3" xfId="14997" xr:uid="{00000000-0005-0000-0000-0000C6850000}"/>
    <cellStyle name="Normal 132 5 3 2" xfId="32632" xr:uid="{00000000-0005-0000-0000-0000C7850000}"/>
    <cellStyle name="Normal 132 5 4" xfId="25701" xr:uid="{00000000-0005-0000-0000-0000C8850000}"/>
    <cellStyle name="Normal 132 6" xfId="7808" xr:uid="{00000000-0005-0000-0000-0000C9850000}"/>
    <cellStyle name="Normal 132 6 2" xfId="15605" xr:uid="{00000000-0005-0000-0000-0000CA850000}"/>
    <cellStyle name="Normal 132 6 2 2" xfId="33240" xr:uid="{00000000-0005-0000-0000-0000CB850000}"/>
    <cellStyle name="Normal 132 6 3" xfId="26224" xr:uid="{00000000-0005-0000-0000-0000CC850000}"/>
    <cellStyle name="Normal 132 7" xfId="11710" xr:uid="{00000000-0005-0000-0000-0000CD850000}"/>
    <cellStyle name="Normal 132 7 2" xfId="29401" xr:uid="{00000000-0005-0000-0000-0000CE850000}"/>
    <cellStyle name="Normal 132 8" xfId="21976" xr:uid="{00000000-0005-0000-0000-0000CF850000}"/>
    <cellStyle name="Normal 132 8 2" xfId="38727" xr:uid="{00000000-0005-0000-0000-0000D0850000}"/>
    <cellStyle name="Normal 132 9" xfId="23359" xr:uid="{00000000-0005-0000-0000-0000D1850000}"/>
    <cellStyle name="Normal 133" xfId="2166" xr:uid="{00000000-0005-0000-0000-0000D2850000}"/>
    <cellStyle name="Normal 133 10" xfId="51967" xr:uid="{00000000-0005-0000-0000-0000D3850000}"/>
    <cellStyle name="Normal 133 2" xfId="4328" xr:uid="{00000000-0005-0000-0000-0000D4850000}"/>
    <cellStyle name="Normal 133 2 2" xfId="8488" xr:uid="{00000000-0005-0000-0000-0000D5850000}"/>
    <cellStyle name="Normal 133 2 2 2" xfId="16284" xr:uid="{00000000-0005-0000-0000-0000D6850000}"/>
    <cellStyle name="Normal 133 2 2 2 2" xfId="33919" xr:uid="{00000000-0005-0000-0000-0000D7850000}"/>
    <cellStyle name="Normal 133 2 2 3" xfId="26889" xr:uid="{00000000-0005-0000-0000-0000D8850000}"/>
    <cellStyle name="Normal 133 2 3" xfId="12722" xr:uid="{00000000-0005-0000-0000-0000D9850000}"/>
    <cellStyle name="Normal 133 2 3 2" xfId="30380" xr:uid="{00000000-0005-0000-0000-0000DA850000}"/>
    <cellStyle name="Normal 133 2 4" xfId="24024" xr:uid="{00000000-0005-0000-0000-0000DB850000}"/>
    <cellStyle name="Normal 133 3" xfId="5804" xr:uid="{00000000-0005-0000-0000-0000DC850000}"/>
    <cellStyle name="Normal 133 3 2" xfId="9104" xr:uid="{00000000-0005-0000-0000-0000DD850000}"/>
    <cellStyle name="Normal 133 3 2 2" xfId="16899" xr:uid="{00000000-0005-0000-0000-0000DE850000}"/>
    <cellStyle name="Normal 133 3 2 2 2" xfId="34535" xr:uid="{00000000-0005-0000-0000-0000DF850000}"/>
    <cellStyle name="Normal 133 3 2 3" xfId="27492" xr:uid="{00000000-0005-0000-0000-0000E0850000}"/>
    <cellStyle name="Normal 133 3 3" xfId="13660" xr:uid="{00000000-0005-0000-0000-0000E1850000}"/>
    <cellStyle name="Normal 133 3 3 2" xfId="31300" xr:uid="{00000000-0005-0000-0000-0000E2850000}"/>
    <cellStyle name="Normal 133 3 4" xfId="24627" xr:uid="{00000000-0005-0000-0000-0000E3850000}"/>
    <cellStyle name="Normal 133 4" xfId="6434" xr:uid="{00000000-0005-0000-0000-0000E4850000}"/>
    <cellStyle name="Normal 133 4 2" xfId="9644" xr:uid="{00000000-0005-0000-0000-0000E5850000}"/>
    <cellStyle name="Normal 133 4 2 2" xfId="17438" xr:uid="{00000000-0005-0000-0000-0000E6850000}"/>
    <cellStyle name="Normal 133 4 2 2 2" xfId="35075" xr:uid="{00000000-0005-0000-0000-0000E7850000}"/>
    <cellStyle name="Normal 133 4 2 3" xfId="28028" xr:uid="{00000000-0005-0000-0000-0000E8850000}"/>
    <cellStyle name="Normal 133 4 3" xfId="14223" xr:uid="{00000000-0005-0000-0000-0000E9850000}"/>
    <cellStyle name="Normal 133 4 3 2" xfId="31858" xr:uid="{00000000-0005-0000-0000-0000EA850000}"/>
    <cellStyle name="Normal 133 4 4" xfId="25164" xr:uid="{00000000-0005-0000-0000-0000EB850000}"/>
    <cellStyle name="Normal 133 5" xfId="7210" xr:uid="{00000000-0005-0000-0000-0000EC850000}"/>
    <cellStyle name="Normal 133 5 2" xfId="10198" xr:uid="{00000000-0005-0000-0000-0000ED850000}"/>
    <cellStyle name="Normal 133 5 2 2" xfId="17991" xr:uid="{00000000-0005-0000-0000-0000EE850000}"/>
    <cellStyle name="Normal 133 5 2 2 2" xfId="35628" xr:uid="{00000000-0005-0000-0000-0000EF850000}"/>
    <cellStyle name="Normal 133 5 2 3" xfId="28565" xr:uid="{00000000-0005-0000-0000-0000F0850000}"/>
    <cellStyle name="Normal 133 5 3" xfId="14998" xr:uid="{00000000-0005-0000-0000-0000F1850000}"/>
    <cellStyle name="Normal 133 5 3 2" xfId="32633" xr:uid="{00000000-0005-0000-0000-0000F2850000}"/>
    <cellStyle name="Normal 133 5 4" xfId="25702" xr:uid="{00000000-0005-0000-0000-0000F3850000}"/>
    <cellStyle name="Normal 133 6" xfId="7809" xr:uid="{00000000-0005-0000-0000-0000F4850000}"/>
    <cellStyle name="Normal 133 6 2" xfId="15606" xr:uid="{00000000-0005-0000-0000-0000F5850000}"/>
    <cellStyle name="Normal 133 6 2 2" xfId="33241" xr:uid="{00000000-0005-0000-0000-0000F6850000}"/>
    <cellStyle name="Normal 133 6 3" xfId="26225" xr:uid="{00000000-0005-0000-0000-0000F7850000}"/>
    <cellStyle name="Normal 133 7" xfId="11711" xr:uid="{00000000-0005-0000-0000-0000F8850000}"/>
    <cellStyle name="Normal 133 7 2" xfId="29402" xr:uid="{00000000-0005-0000-0000-0000F9850000}"/>
    <cellStyle name="Normal 133 8" xfId="21977" xr:uid="{00000000-0005-0000-0000-0000FA850000}"/>
    <cellStyle name="Normal 133 8 2" xfId="38728" xr:uid="{00000000-0005-0000-0000-0000FB850000}"/>
    <cellStyle name="Normal 133 9" xfId="23360" xr:uid="{00000000-0005-0000-0000-0000FC850000}"/>
    <cellStyle name="Normal 134" xfId="2167" xr:uid="{00000000-0005-0000-0000-0000FD850000}"/>
    <cellStyle name="Normal 134 2" xfId="4329" xr:uid="{00000000-0005-0000-0000-0000FE850000}"/>
    <cellStyle name="Normal 134 3" xfId="22533" xr:uid="{00000000-0005-0000-0000-0000FF850000}"/>
    <cellStyle name="Normal 134 3 2" xfId="38854" xr:uid="{00000000-0005-0000-0000-000000860000}"/>
    <cellStyle name="Normal 134 4" xfId="51968" xr:uid="{00000000-0005-0000-0000-000001860000}"/>
    <cellStyle name="Normal 135" xfId="2168" xr:uid="{00000000-0005-0000-0000-000002860000}"/>
    <cellStyle name="Normal 135 2" xfId="4330" xr:uid="{00000000-0005-0000-0000-000003860000}"/>
    <cellStyle name="Normal 135 3" xfId="22534" xr:uid="{00000000-0005-0000-0000-000004860000}"/>
    <cellStyle name="Normal 135 3 2" xfId="38855" xr:uid="{00000000-0005-0000-0000-000005860000}"/>
    <cellStyle name="Normal 135 4" xfId="51969" xr:uid="{00000000-0005-0000-0000-000006860000}"/>
    <cellStyle name="Normal 136" xfId="2169" xr:uid="{00000000-0005-0000-0000-000007860000}"/>
    <cellStyle name="Normal 136 2" xfId="4331" xr:uid="{00000000-0005-0000-0000-000008860000}"/>
    <cellStyle name="Normal 136 3" xfId="51970" xr:uid="{00000000-0005-0000-0000-000009860000}"/>
    <cellStyle name="Normal 137" xfId="2170" xr:uid="{00000000-0005-0000-0000-00000A860000}"/>
    <cellStyle name="Normal 137 10" xfId="51971" xr:uid="{00000000-0005-0000-0000-00000B860000}"/>
    <cellStyle name="Normal 137 2" xfId="4332" xr:uid="{00000000-0005-0000-0000-00000C860000}"/>
    <cellStyle name="Normal 137 2 2" xfId="8489" xr:uid="{00000000-0005-0000-0000-00000D860000}"/>
    <cellStyle name="Normal 137 2 2 2" xfId="16285" xr:uid="{00000000-0005-0000-0000-00000E860000}"/>
    <cellStyle name="Normal 137 2 2 2 2" xfId="33920" xr:uid="{00000000-0005-0000-0000-00000F860000}"/>
    <cellStyle name="Normal 137 2 2 3" xfId="26890" xr:uid="{00000000-0005-0000-0000-000010860000}"/>
    <cellStyle name="Normal 137 2 3" xfId="12723" xr:uid="{00000000-0005-0000-0000-000011860000}"/>
    <cellStyle name="Normal 137 2 3 2" xfId="30381" xr:uid="{00000000-0005-0000-0000-000012860000}"/>
    <cellStyle name="Normal 137 2 4" xfId="22944" xr:uid="{00000000-0005-0000-0000-000013860000}"/>
    <cellStyle name="Normal 137 2 4 2" xfId="39049" xr:uid="{00000000-0005-0000-0000-000014860000}"/>
    <cellStyle name="Normal 137 2 5" xfId="24025" xr:uid="{00000000-0005-0000-0000-000015860000}"/>
    <cellStyle name="Normal 137 3" xfId="5805" xr:uid="{00000000-0005-0000-0000-000016860000}"/>
    <cellStyle name="Normal 137 3 2" xfId="9105" xr:uid="{00000000-0005-0000-0000-000017860000}"/>
    <cellStyle name="Normal 137 3 2 2" xfId="16900" xr:uid="{00000000-0005-0000-0000-000018860000}"/>
    <cellStyle name="Normal 137 3 2 2 2" xfId="34536" xr:uid="{00000000-0005-0000-0000-000019860000}"/>
    <cellStyle name="Normal 137 3 2 3" xfId="27493" xr:uid="{00000000-0005-0000-0000-00001A860000}"/>
    <cellStyle name="Normal 137 3 3" xfId="13661" xr:uid="{00000000-0005-0000-0000-00001B860000}"/>
    <cellStyle name="Normal 137 3 3 2" xfId="31301" xr:uid="{00000000-0005-0000-0000-00001C860000}"/>
    <cellStyle name="Normal 137 3 4" xfId="22535" xr:uid="{00000000-0005-0000-0000-00001D860000}"/>
    <cellStyle name="Normal 137 3 5" xfId="24628" xr:uid="{00000000-0005-0000-0000-00001E860000}"/>
    <cellStyle name="Normal 137 4" xfId="6435" xr:uid="{00000000-0005-0000-0000-00001F860000}"/>
    <cellStyle name="Normal 137 4 2" xfId="9645" xr:uid="{00000000-0005-0000-0000-000020860000}"/>
    <cellStyle name="Normal 137 4 2 2" xfId="17439" xr:uid="{00000000-0005-0000-0000-000021860000}"/>
    <cellStyle name="Normal 137 4 2 2 2" xfId="35076" xr:uid="{00000000-0005-0000-0000-000022860000}"/>
    <cellStyle name="Normal 137 4 2 3" xfId="28029" xr:uid="{00000000-0005-0000-0000-000023860000}"/>
    <cellStyle name="Normal 137 4 3" xfId="14224" xr:uid="{00000000-0005-0000-0000-000024860000}"/>
    <cellStyle name="Normal 137 4 3 2" xfId="31859" xr:uid="{00000000-0005-0000-0000-000025860000}"/>
    <cellStyle name="Normal 137 4 4" xfId="25165" xr:uid="{00000000-0005-0000-0000-000026860000}"/>
    <cellStyle name="Normal 137 5" xfId="7211" xr:uid="{00000000-0005-0000-0000-000027860000}"/>
    <cellStyle name="Normal 137 5 2" xfId="10199" xr:uid="{00000000-0005-0000-0000-000028860000}"/>
    <cellStyle name="Normal 137 5 2 2" xfId="17992" xr:uid="{00000000-0005-0000-0000-000029860000}"/>
    <cellStyle name="Normal 137 5 2 2 2" xfId="35629" xr:uid="{00000000-0005-0000-0000-00002A860000}"/>
    <cellStyle name="Normal 137 5 2 3" xfId="28566" xr:uid="{00000000-0005-0000-0000-00002B860000}"/>
    <cellStyle name="Normal 137 5 3" xfId="14999" xr:uid="{00000000-0005-0000-0000-00002C860000}"/>
    <cellStyle name="Normal 137 5 3 2" xfId="32634" xr:uid="{00000000-0005-0000-0000-00002D860000}"/>
    <cellStyle name="Normal 137 5 4" xfId="25703" xr:uid="{00000000-0005-0000-0000-00002E860000}"/>
    <cellStyle name="Normal 137 6" xfId="7810" xr:uid="{00000000-0005-0000-0000-00002F860000}"/>
    <cellStyle name="Normal 137 6 2" xfId="15607" xr:uid="{00000000-0005-0000-0000-000030860000}"/>
    <cellStyle name="Normal 137 6 2 2" xfId="33242" xr:uid="{00000000-0005-0000-0000-000031860000}"/>
    <cellStyle name="Normal 137 6 3" xfId="26226" xr:uid="{00000000-0005-0000-0000-000032860000}"/>
    <cellStyle name="Normal 137 7" xfId="11712" xr:uid="{00000000-0005-0000-0000-000033860000}"/>
    <cellStyle name="Normal 137 7 2" xfId="29403" xr:uid="{00000000-0005-0000-0000-000034860000}"/>
    <cellStyle name="Normal 137 8" xfId="21978" xr:uid="{00000000-0005-0000-0000-000035860000}"/>
    <cellStyle name="Normal 137 8 2" xfId="38729" xr:uid="{00000000-0005-0000-0000-000036860000}"/>
    <cellStyle name="Normal 137 9" xfId="23361" xr:uid="{00000000-0005-0000-0000-000037860000}"/>
    <cellStyle name="Normal 138" xfId="2171" xr:uid="{00000000-0005-0000-0000-000038860000}"/>
    <cellStyle name="Normal 138 10" xfId="51972" xr:uid="{00000000-0005-0000-0000-000039860000}"/>
    <cellStyle name="Normal 138 2" xfId="4333" xr:uid="{00000000-0005-0000-0000-00003A860000}"/>
    <cellStyle name="Normal 138 2 2" xfId="8490" xr:uid="{00000000-0005-0000-0000-00003B860000}"/>
    <cellStyle name="Normal 138 2 2 2" xfId="16286" xr:uid="{00000000-0005-0000-0000-00003C860000}"/>
    <cellStyle name="Normal 138 2 2 2 2" xfId="33921" xr:uid="{00000000-0005-0000-0000-00003D860000}"/>
    <cellStyle name="Normal 138 2 2 3" xfId="26891" xr:uid="{00000000-0005-0000-0000-00003E860000}"/>
    <cellStyle name="Normal 138 2 3" xfId="12724" xr:uid="{00000000-0005-0000-0000-00003F860000}"/>
    <cellStyle name="Normal 138 2 3 2" xfId="30382" xr:uid="{00000000-0005-0000-0000-000040860000}"/>
    <cellStyle name="Normal 138 2 4" xfId="22945" xr:uid="{00000000-0005-0000-0000-000041860000}"/>
    <cellStyle name="Normal 138 2 4 2" xfId="39050" xr:uid="{00000000-0005-0000-0000-000042860000}"/>
    <cellStyle name="Normal 138 2 5" xfId="24026" xr:uid="{00000000-0005-0000-0000-000043860000}"/>
    <cellStyle name="Normal 138 3" xfId="5806" xr:uid="{00000000-0005-0000-0000-000044860000}"/>
    <cellStyle name="Normal 138 3 2" xfId="9106" xr:uid="{00000000-0005-0000-0000-000045860000}"/>
    <cellStyle name="Normal 138 3 2 2" xfId="16901" xr:uid="{00000000-0005-0000-0000-000046860000}"/>
    <cellStyle name="Normal 138 3 2 2 2" xfId="34537" xr:uid="{00000000-0005-0000-0000-000047860000}"/>
    <cellStyle name="Normal 138 3 2 3" xfId="27494" xr:uid="{00000000-0005-0000-0000-000048860000}"/>
    <cellStyle name="Normal 138 3 3" xfId="13662" xr:uid="{00000000-0005-0000-0000-000049860000}"/>
    <cellStyle name="Normal 138 3 3 2" xfId="31302" xr:uid="{00000000-0005-0000-0000-00004A860000}"/>
    <cellStyle name="Normal 138 3 4" xfId="22536" xr:uid="{00000000-0005-0000-0000-00004B860000}"/>
    <cellStyle name="Normal 138 3 5" xfId="24629" xr:uid="{00000000-0005-0000-0000-00004C860000}"/>
    <cellStyle name="Normal 138 4" xfId="6436" xr:uid="{00000000-0005-0000-0000-00004D860000}"/>
    <cellStyle name="Normal 138 4 2" xfId="9646" xr:uid="{00000000-0005-0000-0000-00004E860000}"/>
    <cellStyle name="Normal 138 4 2 2" xfId="17440" xr:uid="{00000000-0005-0000-0000-00004F860000}"/>
    <cellStyle name="Normal 138 4 2 2 2" xfId="35077" xr:uid="{00000000-0005-0000-0000-000050860000}"/>
    <cellStyle name="Normal 138 4 2 3" xfId="28030" xr:uid="{00000000-0005-0000-0000-000051860000}"/>
    <cellStyle name="Normal 138 4 3" xfId="14225" xr:uid="{00000000-0005-0000-0000-000052860000}"/>
    <cellStyle name="Normal 138 4 3 2" xfId="31860" xr:uid="{00000000-0005-0000-0000-000053860000}"/>
    <cellStyle name="Normal 138 4 4" xfId="25166" xr:uid="{00000000-0005-0000-0000-000054860000}"/>
    <cellStyle name="Normal 138 5" xfId="7212" xr:uid="{00000000-0005-0000-0000-000055860000}"/>
    <cellStyle name="Normal 138 5 2" xfId="10200" xr:uid="{00000000-0005-0000-0000-000056860000}"/>
    <cellStyle name="Normal 138 5 2 2" xfId="17993" xr:uid="{00000000-0005-0000-0000-000057860000}"/>
    <cellStyle name="Normal 138 5 2 2 2" xfId="35630" xr:uid="{00000000-0005-0000-0000-000058860000}"/>
    <cellStyle name="Normal 138 5 2 3" xfId="28567" xr:uid="{00000000-0005-0000-0000-000059860000}"/>
    <cellStyle name="Normal 138 5 3" xfId="15000" xr:uid="{00000000-0005-0000-0000-00005A860000}"/>
    <cellStyle name="Normal 138 5 3 2" xfId="32635" xr:uid="{00000000-0005-0000-0000-00005B860000}"/>
    <cellStyle name="Normal 138 5 4" xfId="25704" xr:uid="{00000000-0005-0000-0000-00005C860000}"/>
    <cellStyle name="Normal 138 6" xfId="7811" xr:uid="{00000000-0005-0000-0000-00005D860000}"/>
    <cellStyle name="Normal 138 6 2" xfId="15608" xr:uid="{00000000-0005-0000-0000-00005E860000}"/>
    <cellStyle name="Normal 138 6 2 2" xfId="33243" xr:uid="{00000000-0005-0000-0000-00005F860000}"/>
    <cellStyle name="Normal 138 6 3" xfId="26227" xr:uid="{00000000-0005-0000-0000-000060860000}"/>
    <cellStyle name="Normal 138 7" xfId="11713" xr:uid="{00000000-0005-0000-0000-000061860000}"/>
    <cellStyle name="Normal 138 7 2" xfId="29404" xr:uid="{00000000-0005-0000-0000-000062860000}"/>
    <cellStyle name="Normal 138 8" xfId="21979" xr:uid="{00000000-0005-0000-0000-000063860000}"/>
    <cellStyle name="Normal 138 8 2" xfId="38730" xr:uid="{00000000-0005-0000-0000-000064860000}"/>
    <cellStyle name="Normal 138 9" xfId="23362" xr:uid="{00000000-0005-0000-0000-000065860000}"/>
    <cellStyle name="Normal 139" xfId="2172" xr:uid="{00000000-0005-0000-0000-000066860000}"/>
    <cellStyle name="Normal 139 10" xfId="51973" xr:uid="{00000000-0005-0000-0000-000067860000}"/>
    <cellStyle name="Normal 139 2" xfId="4334" xr:uid="{00000000-0005-0000-0000-000068860000}"/>
    <cellStyle name="Normal 139 2 2" xfId="8491" xr:uid="{00000000-0005-0000-0000-000069860000}"/>
    <cellStyle name="Normal 139 2 2 2" xfId="16287" xr:uid="{00000000-0005-0000-0000-00006A860000}"/>
    <cellStyle name="Normal 139 2 2 2 2" xfId="33922" xr:uid="{00000000-0005-0000-0000-00006B860000}"/>
    <cellStyle name="Normal 139 2 2 3" xfId="26892" xr:uid="{00000000-0005-0000-0000-00006C860000}"/>
    <cellStyle name="Normal 139 2 3" xfId="12725" xr:uid="{00000000-0005-0000-0000-00006D860000}"/>
    <cellStyle name="Normal 139 2 3 2" xfId="30383" xr:uid="{00000000-0005-0000-0000-00006E860000}"/>
    <cellStyle name="Normal 139 2 4" xfId="22946" xr:uid="{00000000-0005-0000-0000-00006F860000}"/>
    <cellStyle name="Normal 139 2 4 2" xfId="39051" xr:uid="{00000000-0005-0000-0000-000070860000}"/>
    <cellStyle name="Normal 139 2 5" xfId="24027" xr:uid="{00000000-0005-0000-0000-000071860000}"/>
    <cellStyle name="Normal 139 3" xfId="5807" xr:uid="{00000000-0005-0000-0000-000072860000}"/>
    <cellStyle name="Normal 139 3 2" xfId="9107" xr:uid="{00000000-0005-0000-0000-000073860000}"/>
    <cellStyle name="Normal 139 3 2 2" xfId="16902" xr:uid="{00000000-0005-0000-0000-000074860000}"/>
    <cellStyle name="Normal 139 3 2 2 2" xfId="34538" xr:uid="{00000000-0005-0000-0000-000075860000}"/>
    <cellStyle name="Normal 139 3 2 3" xfId="27495" xr:uid="{00000000-0005-0000-0000-000076860000}"/>
    <cellStyle name="Normal 139 3 3" xfId="13663" xr:uid="{00000000-0005-0000-0000-000077860000}"/>
    <cellStyle name="Normal 139 3 3 2" xfId="31303" xr:uid="{00000000-0005-0000-0000-000078860000}"/>
    <cellStyle name="Normal 139 3 4" xfId="22537" xr:uid="{00000000-0005-0000-0000-000079860000}"/>
    <cellStyle name="Normal 139 3 5" xfId="24630" xr:uid="{00000000-0005-0000-0000-00007A860000}"/>
    <cellStyle name="Normal 139 4" xfId="6437" xr:uid="{00000000-0005-0000-0000-00007B860000}"/>
    <cellStyle name="Normal 139 4 2" xfId="9647" xr:uid="{00000000-0005-0000-0000-00007C860000}"/>
    <cellStyle name="Normal 139 4 2 2" xfId="17441" xr:uid="{00000000-0005-0000-0000-00007D860000}"/>
    <cellStyle name="Normal 139 4 2 2 2" xfId="35078" xr:uid="{00000000-0005-0000-0000-00007E860000}"/>
    <cellStyle name="Normal 139 4 2 3" xfId="28031" xr:uid="{00000000-0005-0000-0000-00007F860000}"/>
    <cellStyle name="Normal 139 4 3" xfId="14226" xr:uid="{00000000-0005-0000-0000-000080860000}"/>
    <cellStyle name="Normal 139 4 3 2" xfId="31861" xr:uid="{00000000-0005-0000-0000-000081860000}"/>
    <cellStyle name="Normal 139 4 4" xfId="25167" xr:uid="{00000000-0005-0000-0000-000082860000}"/>
    <cellStyle name="Normal 139 5" xfId="7213" xr:uid="{00000000-0005-0000-0000-000083860000}"/>
    <cellStyle name="Normal 139 5 2" xfId="10201" xr:uid="{00000000-0005-0000-0000-000084860000}"/>
    <cellStyle name="Normal 139 5 2 2" xfId="17994" xr:uid="{00000000-0005-0000-0000-000085860000}"/>
    <cellStyle name="Normal 139 5 2 2 2" xfId="35631" xr:uid="{00000000-0005-0000-0000-000086860000}"/>
    <cellStyle name="Normal 139 5 2 3" xfId="28568" xr:uid="{00000000-0005-0000-0000-000087860000}"/>
    <cellStyle name="Normal 139 5 3" xfId="15001" xr:uid="{00000000-0005-0000-0000-000088860000}"/>
    <cellStyle name="Normal 139 5 3 2" xfId="32636" xr:uid="{00000000-0005-0000-0000-000089860000}"/>
    <cellStyle name="Normal 139 5 4" xfId="25705" xr:uid="{00000000-0005-0000-0000-00008A860000}"/>
    <cellStyle name="Normal 139 6" xfId="7812" xr:uid="{00000000-0005-0000-0000-00008B860000}"/>
    <cellStyle name="Normal 139 6 2" xfId="15609" xr:uid="{00000000-0005-0000-0000-00008C860000}"/>
    <cellStyle name="Normal 139 6 2 2" xfId="33244" xr:uid="{00000000-0005-0000-0000-00008D860000}"/>
    <cellStyle name="Normal 139 6 3" xfId="26228" xr:uid="{00000000-0005-0000-0000-00008E860000}"/>
    <cellStyle name="Normal 139 7" xfId="11714" xr:uid="{00000000-0005-0000-0000-00008F860000}"/>
    <cellStyle name="Normal 139 7 2" xfId="29405" xr:uid="{00000000-0005-0000-0000-000090860000}"/>
    <cellStyle name="Normal 139 8" xfId="21980" xr:uid="{00000000-0005-0000-0000-000091860000}"/>
    <cellStyle name="Normal 139 8 2" xfId="38731" xr:uid="{00000000-0005-0000-0000-000092860000}"/>
    <cellStyle name="Normal 139 9" xfId="23363" xr:uid="{00000000-0005-0000-0000-000093860000}"/>
    <cellStyle name="Normal 14" xfId="2173" xr:uid="{00000000-0005-0000-0000-000094860000}"/>
    <cellStyle name="Normal 14 2" xfId="2174" xr:uid="{00000000-0005-0000-0000-000095860000}"/>
    <cellStyle name="Normal 14 2 2" xfId="2175" xr:uid="{00000000-0005-0000-0000-000096860000}"/>
    <cellStyle name="Normal 14 2_Sheet1" xfId="2176" xr:uid="{00000000-0005-0000-0000-000097860000}"/>
    <cellStyle name="Normal 14 3" xfId="2177" xr:uid="{00000000-0005-0000-0000-000098860000}"/>
    <cellStyle name="Normal 14 4" xfId="22947" xr:uid="{00000000-0005-0000-0000-000099860000}"/>
    <cellStyle name="Normal 14 5" xfId="22538" xr:uid="{00000000-0005-0000-0000-00009A860000}"/>
    <cellStyle name="Normal 14 6" xfId="22418" xr:uid="{00000000-0005-0000-0000-00009B860000}"/>
    <cellStyle name="Normal 14 7" xfId="53231" xr:uid="{00000000-0005-0000-0000-00009C860000}"/>
    <cellStyle name="Normal 14 8" xfId="53232" xr:uid="{00000000-0005-0000-0000-00009D860000}"/>
    <cellStyle name="Normal 14 9" xfId="53230" xr:uid="{00000000-0005-0000-0000-00009E860000}"/>
    <cellStyle name="Normal 14_Sheet1" xfId="2178" xr:uid="{00000000-0005-0000-0000-00009F860000}"/>
    <cellStyle name="Normal 140" xfId="2179" xr:uid="{00000000-0005-0000-0000-0000A0860000}"/>
    <cellStyle name="Normal 140 10" xfId="51974" xr:uid="{00000000-0005-0000-0000-0000A1860000}"/>
    <cellStyle name="Normal 140 2" xfId="4335" xr:uid="{00000000-0005-0000-0000-0000A2860000}"/>
    <cellStyle name="Normal 140 2 2" xfId="8492" xr:uid="{00000000-0005-0000-0000-0000A3860000}"/>
    <cellStyle name="Normal 140 2 2 2" xfId="16288" xr:uid="{00000000-0005-0000-0000-0000A4860000}"/>
    <cellStyle name="Normal 140 2 2 2 2" xfId="33923" xr:uid="{00000000-0005-0000-0000-0000A5860000}"/>
    <cellStyle name="Normal 140 2 2 3" xfId="26893" xr:uid="{00000000-0005-0000-0000-0000A6860000}"/>
    <cellStyle name="Normal 140 2 3" xfId="12726" xr:uid="{00000000-0005-0000-0000-0000A7860000}"/>
    <cellStyle name="Normal 140 2 3 2" xfId="30384" xr:uid="{00000000-0005-0000-0000-0000A8860000}"/>
    <cellStyle name="Normal 140 2 4" xfId="22948" xr:uid="{00000000-0005-0000-0000-0000A9860000}"/>
    <cellStyle name="Normal 140 2 5" xfId="24028" xr:uid="{00000000-0005-0000-0000-0000AA860000}"/>
    <cellStyle name="Normal 140 3" xfId="5808" xr:uid="{00000000-0005-0000-0000-0000AB860000}"/>
    <cellStyle name="Normal 140 3 2" xfId="9108" xr:uid="{00000000-0005-0000-0000-0000AC860000}"/>
    <cellStyle name="Normal 140 3 2 2" xfId="16903" xr:uid="{00000000-0005-0000-0000-0000AD860000}"/>
    <cellStyle name="Normal 140 3 2 2 2" xfId="34539" xr:uid="{00000000-0005-0000-0000-0000AE860000}"/>
    <cellStyle name="Normal 140 3 2 3" xfId="27496" xr:uid="{00000000-0005-0000-0000-0000AF860000}"/>
    <cellStyle name="Normal 140 3 3" xfId="13664" xr:uid="{00000000-0005-0000-0000-0000B0860000}"/>
    <cellStyle name="Normal 140 3 3 2" xfId="31304" xr:uid="{00000000-0005-0000-0000-0000B1860000}"/>
    <cellStyle name="Normal 140 3 4" xfId="22539" xr:uid="{00000000-0005-0000-0000-0000B2860000}"/>
    <cellStyle name="Normal 140 3 5" xfId="24631" xr:uid="{00000000-0005-0000-0000-0000B3860000}"/>
    <cellStyle name="Normal 140 4" xfId="6438" xr:uid="{00000000-0005-0000-0000-0000B4860000}"/>
    <cellStyle name="Normal 140 4 2" xfId="9648" xr:uid="{00000000-0005-0000-0000-0000B5860000}"/>
    <cellStyle name="Normal 140 4 2 2" xfId="17442" xr:uid="{00000000-0005-0000-0000-0000B6860000}"/>
    <cellStyle name="Normal 140 4 2 2 2" xfId="35079" xr:uid="{00000000-0005-0000-0000-0000B7860000}"/>
    <cellStyle name="Normal 140 4 2 3" xfId="28032" xr:uid="{00000000-0005-0000-0000-0000B8860000}"/>
    <cellStyle name="Normal 140 4 3" xfId="14227" xr:uid="{00000000-0005-0000-0000-0000B9860000}"/>
    <cellStyle name="Normal 140 4 3 2" xfId="31862" xr:uid="{00000000-0005-0000-0000-0000BA860000}"/>
    <cellStyle name="Normal 140 4 4" xfId="25168" xr:uid="{00000000-0005-0000-0000-0000BB860000}"/>
    <cellStyle name="Normal 140 5" xfId="7214" xr:uid="{00000000-0005-0000-0000-0000BC860000}"/>
    <cellStyle name="Normal 140 5 2" xfId="10202" xr:uid="{00000000-0005-0000-0000-0000BD860000}"/>
    <cellStyle name="Normal 140 5 2 2" xfId="17995" xr:uid="{00000000-0005-0000-0000-0000BE860000}"/>
    <cellStyle name="Normal 140 5 2 2 2" xfId="35632" xr:uid="{00000000-0005-0000-0000-0000BF860000}"/>
    <cellStyle name="Normal 140 5 2 3" xfId="28569" xr:uid="{00000000-0005-0000-0000-0000C0860000}"/>
    <cellStyle name="Normal 140 5 3" xfId="15002" xr:uid="{00000000-0005-0000-0000-0000C1860000}"/>
    <cellStyle name="Normal 140 5 3 2" xfId="32637" xr:uid="{00000000-0005-0000-0000-0000C2860000}"/>
    <cellStyle name="Normal 140 5 4" xfId="25706" xr:uid="{00000000-0005-0000-0000-0000C3860000}"/>
    <cellStyle name="Normal 140 6" xfId="7813" xr:uid="{00000000-0005-0000-0000-0000C4860000}"/>
    <cellStyle name="Normal 140 6 2" xfId="15610" xr:uid="{00000000-0005-0000-0000-0000C5860000}"/>
    <cellStyle name="Normal 140 6 2 2" xfId="33245" xr:uid="{00000000-0005-0000-0000-0000C6860000}"/>
    <cellStyle name="Normal 140 6 3" xfId="26229" xr:uid="{00000000-0005-0000-0000-0000C7860000}"/>
    <cellStyle name="Normal 140 7" xfId="11717" xr:uid="{00000000-0005-0000-0000-0000C8860000}"/>
    <cellStyle name="Normal 140 7 2" xfId="29406" xr:uid="{00000000-0005-0000-0000-0000C9860000}"/>
    <cellStyle name="Normal 140 8" xfId="21981" xr:uid="{00000000-0005-0000-0000-0000CA860000}"/>
    <cellStyle name="Normal 140 9" xfId="23364" xr:uid="{00000000-0005-0000-0000-0000CB860000}"/>
    <cellStyle name="Normal 141" xfId="2180" xr:uid="{00000000-0005-0000-0000-0000CC860000}"/>
    <cellStyle name="Normal 141 10" xfId="51975" xr:uid="{00000000-0005-0000-0000-0000CD860000}"/>
    <cellStyle name="Normal 141 2" xfId="4336" xr:uid="{00000000-0005-0000-0000-0000CE860000}"/>
    <cellStyle name="Normal 141 2 2" xfId="8493" xr:uid="{00000000-0005-0000-0000-0000CF860000}"/>
    <cellStyle name="Normal 141 2 2 2" xfId="16289" xr:uid="{00000000-0005-0000-0000-0000D0860000}"/>
    <cellStyle name="Normal 141 2 2 2 2" xfId="33924" xr:uid="{00000000-0005-0000-0000-0000D1860000}"/>
    <cellStyle name="Normal 141 2 2 3" xfId="23028" xr:uid="{00000000-0005-0000-0000-0000D2860000}"/>
    <cellStyle name="Normal 141 2 2 4" xfId="26894" xr:uid="{00000000-0005-0000-0000-0000D3860000}"/>
    <cellStyle name="Normal 141 2 3" xfId="12727" xr:uid="{00000000-0005-0000-0000-0000D4860000}"/>
    <cellStyle name="Normal 141 2 3 2" xfId="22030" xr:uid="{00000000-0005-0000-0000-0000D5860000}"/>
    <cellStyle name="Normal 141 2 3 3" xfId="30385" xr:uid="{00000000-0005-0000-0000-0000D6860000}"/>
    <cellStyle name="Normal 141 2 4" xfId="22010" xr:uid="{00000000-0005-0000-0000-0000D7860000}"/>
    <cellStyle name="Normal 141 2 5" xfId="24029" xr:uid="{00000000-0005-0000-0000-0000D8860000}"/>
    <cellStyle name="Normal 141 3" xfId="5809" xr:uid="{00000000-0005-0000-0000-0000D9860000}"/>
    <cellStyle name="Normal 141 3 2" xfId="9109" xr:uid="{00000000-0005-0000-0000-0000DA860000}"/>
    <cellStyle name="Normal 141 3 2 2" xfId="16904" xr:uid="{00000000-0005-0000-0000-0000DB860000}"/>
    <cellStyle name="Normal 141 3 2 2 2" xfId="34540" xr:uid="{00000000-0005-0000-0000-0000DC860000}"/>
    <cellStyle name="Normal 141 3 2 3" xfId="27497" xr:uid="{00000000-0005-0000-0000-0000DD860000}"/>
    <cellStyle name="Normal 141 3 3" xfId="13665" xr:uid="{00000000-0005-0000-0000-0000DE860000}"/>
    <cellStyle name="Normal 141 3 3 2" xfId="31305" xr:uid="{00000000-0005-0000-0000-0000DF860000}"/>
    <cellStyle name="Normal 141 3 4" xfId="22949" xr:uid="{00000000-0005-0000-0000-0000E0860000}"/>
    <cellStyle name="Normal 141 3 5" xfId="24632" xr:uid="{00000000-0005-0000-0000-0000E1860000}"/>
    <cellStyle name="Normal 141 4" xfId="6439" xr:uid="{00000000-0005-0000-0000-0000E2860000}"/>
    <cellStyle name="Normal 141 4 2" xfId="9649" xr:uid="{00000000-0005-0000-0000-0000E3860000}"/>
    <cellStyle name="Normal 141 4 2 2" xfId="17443" xr:uid="{00000000-0005-0000-0000-0000E4860000}"/>
    <cellStyle name="Normal 141 4 2 2 2" xfId="35080" xr:uid="{00000000-0005-0000-0000-0000E5860000}"/>
    <cellStyle name="Normal 141 4 2 3" xfId="28033" xr:uid="{00000000-0005-0000-0000-0000E6860000}"/>
    <cellStyle name="Normal 141 4 3" xfId="14228" xr:uid="{00000000-0005-0000-0000-0000E7860000}"/>
    <cellStyle name="Normal 141 4 3 2" xfId="31863" xr:uid="{00000000-0005-0000-0000-0000E8860000}"/>
    <cellStyle name="Normal 141 4 4" xfId="22540" xr:uid="{00000000-0005-0000-0000-0000E9860000}"/>
    <cellStyle name="Normal 141 4 4 2" xfId="38856" xr:uid="{00000000-0005-0000-0000-0000EA860000}"/>
    <cellStyle name="Normal 141 4 5" xfId="25169" xr:uid="{00000000-0005-0000-0000-0000EB860000}"/>
    <cellStyle name="Normal 141 5" xfId="7215" xr:uid="{00000000-0005-0000-0000-0000EC860000}"/>
    <cellStyle name="Normal 141 5 2" xfId="10203" xr:uid="{00000000-0005-0000-0000-0000ED860000}"/>
    <cellStyle name="Normal 141 5 2 2" xfId="17996" xr:uid="{00000000-0005-0000-0000-0000EE860000}"/>
    <cellStyle name="Normal 141 5 2 2 2" xfId="35633" xr:uid="{00000000-0005-0000-0000-0000EF860000}"/>
    <cellStyle name="Normal 141 5 2 3" xfId="28570" xr:uid="{00000000-0005-0000-0000-0000F0860000}"/>
    <cellStyle name="Normal 141 5 3" xfId="15003" xr:uid="{00000000-0005-0000-0000-0000F1860000}"/>
    <cellStyle name="Normal 141 5 3 2" xfId="32638" xr:uid="{00000000-0005-0000-0000-0000F2860000}"/>
    <cellStyle name="Normal 141 5 4" xfId="25707" xr:uid="{00000000-0005-0000-0000-0000F3860000}"/>
    <cellStyle name="Normal 141 6" xfId="7814" xr:uid="{00000000-0005-0000-0000-0000F4860000}"/>
    <cellStyle name="Normal 141 6 2" xfId="15611" xr:uid="{00000000-0005-0000-0000-0000F5860000}"/>
    <cellStyle name="Normal 141 6 2 2" xfId="33246" xr:uid="{00000000-0005-0000-0000-0000F6860000}"/>
    <cellStyle name="Normal 141 6 3" xfId="26230" xr:uid="{00000000-0005-0000-0000-0000F7860000}"/>
    <cellStyle name="Normal 141 7" xfId="11718" xr:uid="{00000000-0005-0000-0000-0000F8860000}"/>
    <cellStyle name="Normal 141 7 2" xfId="29407" xr:uid="{00000000-0005-0000-0000-0000F9860000}"/>
    <cellStyle name="Normal 141 8" xfId="21982" xr:uid="{00000000-0005-0000-0000-0000FA860000}"/>
    <cellStyle name="Normal 141 9" xfId="23365" xr:uid="{00000000-0005-0000-0000-0000FB860000}"/>
    <cellStyle name="Normal 142" xfId="2181" xr:uid="{00000000-0005-0000-0000-0000FC860000}"/>
    <cellStyle name="Normal 142 10" xfId="51976" xr:uid="{00000000-0005-0000-0000-0000FD860000}"/>
    <cellStyle name="Normal 142 2" xfId="4337" xr:uid="{00000000-0005-0000-0000-0000FE860000}"/>
    <cellStyle name="Normal 142 2 2" xfId="8494" xr:uid="{00000000-0005-0000-0000-0000FF860000}"/>
    <cellStyle name="Normal 142 2 2 2" xfId="16290" xr:uid="{00000000-0005-0000-0000-000000870000}"/>
    <cellStyle name="Normal 142 2 2 2 2" xfId="33925" xr:uid="{00000000-0005-0000-0000-000001870000}"/>
    <cellStyle name="Normal 142 2 2 3" xfId="26895" xr:uid="{00000000-0005-0000-0000-000002870000}"/>
    <cellStyle name="Normal 142 2 3" xfId="12728" xr:uid="{00000000-0005-0000-0000-000003870000}"/>
    <cellStyle name="Normal 142 2 3 2" xfId="30386" xr:uid="{00000000-0005-0000-0000-000004870000}"/>
    <cellStyle name="Normal 142 2 4" xfId="22950" xr:uid="{00000000-0005-0000-0000-000005870000}"/>
    <cellStyle name="Normal 142 2 5" xfId="24030" xr:uid="{00000000-0005-0000-0000-000006870000}"/>
    <cellStyle name="Normal 142 3" xfId="5810" xr:uid="{00000000-0005-0000-0000-000007870000}"/>
    <cellStyle name="Normal 142 3 2" xfId="9110" xr:uid="{00000000-0005-0000-0000-000008870000}"/>
    <cellStyle name="Normal 142 3 2 2" xfId="16905" xr:uid="{00000000-0005-0000-0000-000009870000}"/>
    <cellStyle name="Normal 142 3 2 2 2" xfId="34541" xr:uid="{00000000-0005-0000-0000-00000A870000}"/>
    <cellStyle name="Normal 142 3 2 3" xfId="27498" xr:uid="{00000000-0005-0000-0000-00000B870000}"/>
    <cellStyle name="Normal 142 3 3" xfId="13666" xr:uid="{00000000-0005-0000-0000-00000C870000}"/>
    <cellStyle name="Normal 142 3 3 2" xfId="31306" xr:uid="{00000000-0005-0000-0000-00000D870000}"/>
    <cellStyle name="Normal 142 3 4" xfId="22541" xr:uid="{00000000-0005-0000-0000-00000E870000}"/>
    <cellStyle name="Normal 142 3 4 2" xfId="38857" xr:uid="{00000000-0005-0000-0000-00000F870000}"/>
    <cellStyle name="Normal 142 3 5" xfId="24633" xr:uid="{00000000-0005-0000-0000-000010870000}"/>
    <cellStyle name="Normal 142 4" xfId="6440" xr:uid="{00000000-0005-0000-0000-000011870000}"/>
    <cellStyle name="Normal 142 4 2" xfId="9650" xr:uid="{00000000-0005-0000-0000-000012870000}"/>
    <cellStyle name="Normal 142 4 2 2" xfId="17444" xr:uid="{00000000-0005-0000-0000-000013870000}"/>
    <cellStyle name="Normal 142 4 2 2 2" xfId="35081" xr:uid="{00000000-0005-0000-0000-000014870000}"/>
    <cellStyle name="Normal 142 4 2 3" xfId="28034" xr:uid="{00000000-0005-0000-0000-000015870000}"/>
    <cellStyle name="Normal 142 4 3" xfId="14229" xr:uid="{00000000-0005-0000-0000-000016870000}"/>
    <cellStyle name="Normal 142 4 3 2" xfId="31864" xr:uid="{00000000-0005-0000-0000-000017870000}"/>
    <cellStyle name="Normal 142 4 4" xfId="22026" xr:uid="{00000000-0005-0000-0000-000018870000}"/>
    <cellStyle name="Normal 142 4 5" xfId="25170" xr:uid="{00000000-0005-0000-0000-000019870000}"/>
    <cellStyle name="Normal 142 5" xfId="7216" xr:uid="{00000000-0005-0000-0000-00001A870000}"/>
    <cellStyle name="Normal 142 5 2" xfId="10204" xr:uid="{00000000-0005-0000-0000-00001B870000}"/>
    <cellStyle name="Normal 142 5 2 2" xfId="17997" xr:uid="{00000000-0005-0000-0000-00001C870000}"/>
    <cellStyle name="Normal 142 5 2 2 2" xfId="35634" xr:uid="{00000000-0005-0000-0000-00001D870000}"/>
    <cellStyle name="Normal 142 5 2 3" xfId="28571" xr:uid="{00000000-0005-0000-0000-00001E870000}"/>
    <cellStyle name="Normal 142 5 3" xfId="15004" xr:uid="{00000000-0005-0000-0000-00001F870000}"/>
    <cellStyle name="Normal 142 5 3 2" xfId="32639" xr:uid="{00000000-0005-0000-0000-000020870000}"/>
    <cellStyle name="Normal 142 5 4" xfId="25708" xr:uid="{00000000-0005-0000-0000-000021870000}"/>
    <cellStyle name="Normal 142 6" xfId="7815" xr:uid="{00000000-0005-0000-0000-000022870000}"/>
    <cellStyle name="Normal 142 6 2" xfId="15612" xr:uid="{00000000-0005-0000-0000-000023870000}"/>
    <cellStyle name="Normal 142 6 2 2" xfId="33247" xr:uid="{00000000-0005-0000-0000-000024870000}"/>
    <cellStyle name="Normal 142 6 3" xfId="26231" xr:uid="{00000000-0005-0000-0000-000025870000}"/>
    <cellStyle name="Normal 142 7" xfId="11719" xr:uid="{00000000-0005-0000-0000-000026870000}"/>
    <cellStyle name="Normal 142 7 2" xfId="29408" xr:uid="{00000000-0005-0000-0000-000027870000}"/>
    <cellStyle name="Normal 142 8" xfId="21983" xr:uid="{00000000-0005-0000-0000-000028870000}"/>
    <cellStyle name="Normal 142 9" xfId="23366" xr:uid="{00000000-0005-0000-0000-000029870000}"/>
    <cellStyle name="Normal 143" xfId="2182" xr:uid="{00000000-0005-0000-0000-00002A870000}"/>
    <cellStyle name="Normal 143 10" xfId="23367" xr:uid="{00000000-0005-0000-0000-00002B870000}"/>
    <cellStyle name="Normal 143 11" xfId="51977" xr:uid="{00000000-0005-0000-0000-00002C870000}"/>
    <cellStyle name="Normal 143 2" xfId="2183" xr:uid="{00000000-0005-0000-0000-00002D870000}"/>
    <cellStyle name="Normal 143 2 2" xfId="4339" xr:uid="{00000000-0005-0000-0000-00002E870000}"/>
    <cellStyle name="Normal 143 2 3" xfId="22951" xr:uid="{00000000-0005-0000-0000-00002F870000}"/>
    <cellStyle name="Normal 143 2 4" xfId="51978" xr:uid="{00000000-0005-0000-0000-000030870000}"/>
    <cellStyle name="Normal 143 3" xfId="4338" xr:uid="{00000000-0005-0000-0000-000031870000}"/>
    <cellStyle name="Normal 143 3 2" xfId="8495" xr:uid="{00000000-0005-0000-0000-000032870000}"/>
    <cellStyle name="Normal 143 3 2 2" xfId="16291" xr:uid="{00000000-0005-0000-0000-000033870000}"/>
    <cellStyle name="Normal 143 3 2 2 2" xfId="33926" xr:uid="{00000000-0005-0000-0000-000034870000}"/>
    <cellStyle name="Normal 143 3 2 3" xfId="26896" xr:uid="{00000000-0005-0000-0000-000035870000}"/>
    <cellStyle name="Normal 143 3 3" xfId="12729" xr:uid="{00000000-0005-0000-0000-000036870000}"/>
    <cellStyle name="Normal 143 3 3 2" xfId="30387" xr:uid="{00000000-0005-0000-0000-000037870000}"/>
    <cellStyle name="Normal 143 3 4" xfId="22667" xr:uid="{00000000-0005-0000-0000-000038870000}"/>
    <cellStyle name="Normal 143 3 4 2" xfId="38900" xr:uid="{00000000-0005-0000-0000-000039870000}"/>
    <cellStyle name="Normal 143 3 5" xfId="24031" xr:uid="{00000000-0005-0000-0000-00003A870000}"/>
    <cellStyle name="Normal 143 4" xfId="5811" xr:uid="{00000000-0005-0000-0000-00003B870000}"/>
    <cellStyle name="Normal 143 4 2" xfId="9111" xr:uid="{00000000-0005-0000-0000-00003C870000}"/>
    <cellStyle name="Normal 143 4 2 2" xfId="16906" xr:uid="{00000000-0005-0000-0000-00003D870000}"/>
    <cellStyle name="Normal 143 4 2 2 2" xfId="34542" xr:uid="{00000000-0005-0000-0000-00003E870000}"/>
    <cellStyle name="Normal 143 4 2 3" xfId="27499" xr:uid="{00000000-0005-0000-0000-00003F870000}"/>
    <cellStyle name="Normal 143 4 3" xfId="13667" xr:uid="{00000000-0005-0000-0000-000040870000}"/>
    <cellStyle name="Normal 143 4 3 2" xfId="31307" xr:uid="{00000000-0005-0000-0000-000041870000}"/>
    <cellStyle name="Normal 143 4 4" xfId="22027" xr:uid="{00000000-0005-0000-0000-000042870000}"/>
    <cellStyle name="Normal 143 4 5" xfId="24634" xr:uid="{00000000-0005-0000-0000-000043870000}"/>
    <cellStyle name="Normal 143 5" xfId="6441" xr:uid="{00000000-0005-0000-0000-000044870000}"/>
    <cellStyle name="Normal 143 5 2" xfId="9651" xr:uid="{00000000-0005-0000-0000-000045870000}"/>
    <cellStyle name="Normal 143 5 2 2" xfId="17445" xr:uid="{00000000-0005-0000-0000-000046870000}"/>
    <cellStyle name="Normal 143 5 2 2 2" xfId="35082" xr:uid="{00000000-0005-0000-0000-000047870000}"/>
    <cellStyle name="Normal 143 5 2 3" xfId="28035" xr:uid="{00000000-0005-0000-0000-000048870000}"/>
    <cellStyle name="Normal 143 5 3" xfId="14230" xr:uid="{00000000-0005-0000-0000-000049870000}"/>
    <cellStyle name="Normal 143 5 3 2" xfId="31865" xr:uid="{00000000-0005-0000-0000-00004A870000}"/>
    <cellStyle name="Normal 143 5 4" xfId="25171" xr:uid="{00000000-0005-0000-0000-00004B870000}"/>
    <cellStyle name="Normal 143 6" xfId="7217" xr:uid="{00000000-0005-0000-0000-00004C870000}"/>
    <cellStyle name="Normal 143 6 2" xfId="10205" xr:uid="{00000000-0005-0000-0000-00004D870000}"/>
    <cellStyle name="Normal 143 6 2 2" xfId="17998" xr:uid="{00000000-0005-0000-0000-00004E870000}"/>
    <cellStyle name="Normal 143 6 2 2 2" xfId="35635" xr:uid="{00000000-0005-0000-0000-00004F870000}"/>
    <cellStyle name="Normal 143 6 2 3" xfId="28572" xr:uid="{00000000-0005-0000-0000-000050870000}"/>
    <cellStyle name="Normal 143 6 3" xfId="15005" xr:uid="{00000000-0005-0000-0000-000051870000}"/>
    <cellStyle name="Normal 143 6 3 2" xfId="32640" xr:uid="{00000000-0005-0000-0000-000052870000}"/>
    <cellStyle name="Normal 143 6 4" xfId="25709" xr:uid="{00000000-0005-0000-0000-000053870000}"/>
    <cellStyle name="Normal 143 7" xfId="7816" xr:uid="{00000000-0005-0000-0000-000054870000}"/>
    <cellStyle name="Normal 143 7 2" xfId="15613" xr:uid="{00000000-0005-0000-0000-000055870000}"/>
    <cellStyle name="Normal 143 7 2 2" xfId="33248" xr:uid="{00000000-0005-0000-0000-000056870000}"/>
    <cellStyle name="Normal 143 7 3" xfId="26232" xr:uid="{00000000-0005-0000-0000-000057870000}"/>
    <cellStyle name="Normal 143 8" xfId="11720" xr:uid="{00000000-0005-0000-0000-000058870000}"/>
    <cellStyle name="Normal 143 8 2" xfId="29409" xr:uid="{00000000-0005-0000-0000-000059870000}"/>
    <cellStyle name="Normal 143 9" xfId="21984" xr:uid="{00000000-0005-0000-0000-00005A870000}"/>
    <cellStyle name="Normal 144" xfId="2184" xr:uid="{00000000-0005-0000-0000-00005B870000}"/>
    <cellStyle name="Normal 144 10" xfId="51979" xr:uid="{00000000-0005-0000-0000-00005C870000}"/>
    <cellStyle name="Normal 144 2" xfId="4340" xr:uid="{00000000-0005-0000-0000-00005D870000}"/>
    <cellStyle name="Normal 144 2 2" xfId="8496" xr:uid="{00000000-0005-0000-0000-00005E870000}"/>
    <cellStyle name="Normal 144 2 2 2" xfId="16292" xr:uid="{00000000-0005-0000-0000-00005F870000}"/>
    <cellStyle name="Normal 144 2 2 2 2" xfId="33927" xr:uid="{00000000-0005-0000-0000-000060870000}"/>
    <cellStyle name="Normal 144 2 2 3" xfId="26897" xr:uid="{00000000-0005-0000-0000-000061870000}"/>
    <cellStyle name="Normal 144 2 3" xfId="12730" xr:uid="{00000000-0005-0000-0000-000062870000}"/>
    <cellStyle name="Normal 144 2 3 2" xfId="30388" xr:uid="{00000000-0005-0000-0000-000063870000}"/>
    <cellStyle name="Normal 144 2 4" xfId="22952" xr:uid="{00000000-0005-0000-0000-000064870000}"/>
    <cellStyle name="Normal 144 2 5" xfId="24032" xr:uid="{00000000-0005-0000-0000-000065870000}"/>
    <cellStyle name="Normal 144 3" xfId="5812" xr:uid="{00000000-0005-0000-0000-000066870000}"/>
    <cellStyle name="Normal 144 3 2" xfId="9112" xr:uid="{00000000-0005-0000-0000-000067870000}"/>
    <cellStyle name="Normal 144 3 2 2" xfId="16907" xr:uid="{00000000-0005-0000-0000-000068870000}"/>
    <cellStyle name="Normal 144 3 2 2 2" xfId="34543" xr:uid="{00000000-0005-0000-0000-000069870000}"/>
    <cellStyle name="Normal 144 3 2 3" xfId="27500" xr:uid="{00000000-0005-0000-0000-00006A870000}"/>
    <cellStyle name="Normal 144 3 3" xfId="13668" xr:uid="{00000000-0005-0000-0000-00006B870000}"/>
    <cellStyle name="Normal 144 3 3 2" xfId="31308" xr:uid="{00000000-0005-0000-0000-00006C870000}"/>
    <cellStyle name="Normal 144 3 4" xfId="22696" xr:uid="{00000000-0005-0000-0000-00006D870000}"/>
    <cellStyle name="Normal 144 3 4 2" xfId="38914" xr:uid="{00000000-0005-0000-0000-00006E870000}"/>
    <cellStyle name="Normal 144 3 5" xfId="24635" xr:uid="{00000000-0005-0000-0000-00006F870000}"/>
    <cellStyle name="Normal 144 4" xfId="6442" xr:uid="{00000000-0005-0000-0000-000070870000}"/>
    <cellStyle name="Normal 144 4 2" xfId="9652" xr:uid="{00000000-0005-0000-0000-000071870000}"/>
    <cellStyle name="Normal 144 4 2 2" xfId="17446" xr:uid="{00000000-0005-0000-0000-000072870000}"/>
    <cellStyle name="Normal 144 4 2 2 2" xfId="35083" xr:uid="{00000000-0005-0000-0000-000073870000}"/>
    <cellStyle name="Normal 144 4 2 3" xfId="28036" xr:uid="{00000000-0005-0000-0000-000074870000}"/>
    <cellStyle name="Normal 144 4 3" xfId="14231" xr:uid="{00000000-0005-0000-0000-000075870000}"/>
    <cellStyle name="Normal 144 4 3 2" xfId="31866" xr:uid="{00000000-0005-0000-0000-000076870000}"/>
    <cellStyle name="Normal 144 4 4" xfId="22028" xr:uid="{00000000-0005-0000-0000-000077870000}"/>
    <cellStyle name="Normal 144 4 5" xfId="25172" xr:uid="{00000000-0005-0000-0000-000078870000}"/>
    <cellStyle name="Normal 144 5" xfId="7218" xr:uid="{00000000-0005-0000-0000-000079870000}"/>
    <cellStyle name="Normal 144 5 2" xfId="10206" xr:uid="{00000000-0005-0000-0000-00007A870000}"/>
    <cellStyle name="Normal 144 5 2 2" xfId="17999" xr:uid="{00000000-0005-0000-0000-00007B870000}"/>
    <cellStyle name="Normal 144 5 2 2 2" xfId="35636" xr:uid="{00000000-0005-0000-0000-00007C870000}"/>
    <cellStyle name="Normal 144 5 2 3" xfId="28573" xr:uid="{00000000-0005-0000-0000-00007D870000}"/>
    <cellStyle name="Normal 144 5 3" xfId="15006" xr:uid="{00000000-0005-0000-0000-00007E870000}"/>
    <cellStyle name="Normal 144 5 3 2" xfId="32641" xr:uid="{00000000-0005-0000-0000-00007F870000}"/>
    <cellStyle name="Normal 144 5 4" xfId="25710" xr:uid="{00000000-0005-0000-0000-000080870000}"/>
    <cellStyle name="Normal 144 6" xfId="7817" xr:uid="{00000000-0005-0000-0000-000081870000}"/>
    <cellStyle name="Normal 144 6 2" xfId="15614" xr:uid="{00000000-0005-0000-0000-000082870000}"/>
    <cellStyle name="Normal 144 6 2 2" xfId="33249" xr:uid="{00000000-0005-0000-0000-000083870000}"/>
    <cellStyle name="Normal 144 6 3" xfId="26233" xr:uid="{00000000-0005-0000-0000-000084870000}"/>
    <cellStyle name="Normal 144 7" xfId="11721" xr:uid="{00000000-0005-0000-0000-000085870000}"/>
    <cellStyle name="Normal 144 7 2" xfId="29410" xr:uid="{00000000-0005-0000-0000-000086870000}"/>
    <cellStyle name="Normal 144 8" xfId="21985" xr:uid="{00000000-0005-0000-0000-000087870000}"/>
    <cellStyle name="Normal 144 9" xfId="23368" xr:uid="{00000000-0005-0000-0000-000088870000}"/>
    <cellStyle name="Normal 145" xfId="2185" xr:uid="{00000000-0005-0000-0000-000089870000}"/>
    <cellStyle name="Normal 145 2" xfId="4341" xr:uid="{00000000-0005-0000-0000-00008A870000}"/>
    <cellStyle name="Normal 145 2 2" xfId="22953" xr:uid="{00000000-0005-0000-0000-00008B870000}"/>
    <cellStyle name="Normal 145 3" xfId="22698" xr:uid="{00000000-0005-0000-0000-00008C870000}"/>
    <cellStyle name="Normal 145 3 2" xfId="38915" xr:uid="{00000000-0005-0000-0000-00008D870000}"/>
    <cellStyle name="Normal 145 4" xfId="22029" xr:uid="{00000000-0005-0000-0000-00008E870000}"/>
    <cellStyle name="Normal 145 5" xfId="21986" xr:uid="{00000000-0005-0000-0000-00008F870000}"/>
    <cellStyle name="Normal 145 6" xfId="51980" xr:uid="{00000000-0005-0000-0000-000090870000}"/>
    <cellStyle name="Normal 146" xfId="2186" xr:uid="{00000000-0005-0000-0000-000091870000}"/>
    <cellStyle name="Normal 146 2" xfId="4342" xr:uid="{00000000-0005-0000-0000-000092870000}"/>
    <cellStyle name="Normal 146 3" xfId="22700" xr:uid="{00000000-0005-0000-0000-000093870000}"/>
    <cellStyle name="Normal 146 3 2" xfId="38916" xr:uid="{00000000-0005-0000-0000-000094870000}"/>
    <cellStyle name="Normal 146 4" xfId="51981" xr:uid="{00000000-0005-0000-0000-000095870000}"/>
    <cellStyle name="Normal 147" xfId="2187" xr:uid="{00000000-0005-0000-0000-000096870000}"/>
    <cellStyle name="Normal 147 2" xfId="4343" xr:uid="{00000000-0005-0000-0000-000097870000}"/>
    <cellStyle name="Normal 147 3" xfId="22703" xr:uid="{00000000-0005-0000-0000-000098870000}"/>
    <cellStyle name="Normal 147 3 2" xfId="38917" xr:uid="{00000000-0005-0000-0000-000099870000}"/>
    <cellStyle name="Normal 147 4" xfId="51982" xr:uid="{00000000-0005-0000-0000-00009A870000}"/>
    <cellStyle name="Normal 148" xfId="2188" xr:uid="{00000000-0005-0000-0000-00009B870000}"/>
    <cellStyle name="Normal 148 2" xfId="4344" xr:uid="{00000000-0005-0000-0000-00009C870000}"/>
    <cellStyle name="Normal 148 3" xfId="22709" xr:uid="{00000000-0005-0000-0000-00009D870000}"/>
    <cellStyle name="Normal 148 3 2" xfId="38919" xr:uid="{00000000-0005-0000-0000-00009E870000}"/>
    <cellStyle name="Normal 148 4" xfId="51983" xr:uid="{00000000-0005-0000-0000-00009F870000}"/>
    <cellStyle name="Normal 149" xfId="2189" xr:uid="{00000000-0005-0000-0000-0000A0870000}"/>
    <cellStyle name="Normal 149 2" xfId="4345" xr:uid="{00000000-0005-0000-0000-0000A1870000}"/>
    <cellStyle name="Normal 149 2 2" xfId="22019" xr:uid="{00000000-0005-0000-0000-0000A2870000}"/>
    <cellStyle name="Normal 149 3" xfId="22793" xr:uid="{00000000-0005-0000-0000-0000A3870000}"/>
    <cellStyle name="Normal 149 4" xfId="22011" xr:uid="{00000000-0005-0000-0000-0000A4870000}"/>
    <cellStyle name="Normal 149 5" xfId="51984" xr:uid="{00000000-0005-0000-0000-0000A5870000}"/>
    <cellStyle name="Normal 15" xfId="2190" xr:uid="{00000000-0005-0000-0000-0000A6870000}"/>
    <cellStyle name="Normal 15 2" xfId="2191" xr:uid="{00000000-0005-0000-0000-0000A7870000}"/>
    <cellStyle name="Normal 15 2 2" xfId="2192" xr:uid="{00000000-0005-0000-0000-0000A8870000}"/>
    <cellStyle name="Normal 15 2 3" xfId="22955" xr:uid="{00000000-0005-0000-0000-0000A9870000}"/>
    <cellStyle name="Normal 15 2 4" xfId="22755" xr:uid="{00000000-0005-0000-0000-0000AA870000}"/>
    <cellStyle name="Normal 15 2 4 2" xfId="38962" xr:uid="{00000000-0005-0000-0000-0000AB870000}"/>
    <cellStyle name="Normal 15 2_Sheet1" xfId="2193" xr:uid="{00000000-0005-0000-0000-0000AC870000}"/>
    <cellStyle name="Normal 15 3" xfId="2194" xr:uid="{00000000-0005-0000-0000-0000AD870000}"/>
    <cellStyle name="Normal 15 4" xfId="22954" xr:uid="{00000000-0005-0000-0000-0000AE870000}"/>
    <cellStyle name="Normal 15 5" xfId="22542" xr:uid="{00000000-0005-0000-0000-0000AF870000}"/>
    <cellStyle name="Normal 15 5 2" xfId="38858" xr:uid="{00000000-0005-0000-0000-0000B0870000}"/>
    <cellStyle name="Normal 15 6" xfId="53233" xr:uid="{00000000-0005-0000-0000-0000B1870000}"/>
    <cellStyle name="Normal 15_Sheet1" xfId="2195" xr:uid="{00000000-0005-0000-0000-0000B2870000}"/>
    <cellStyle name="Normal 150" xfId="2196" xr:uid="{00000000-0005-0000-0000-0000B3870000}"/>
    <cellStyle name="Normal 150 10" xfId="51985" xr:uid="{00000000-0005-0000-0000-0000B4870000}"/>
    <cellStyle name="Normal 150 2" xfId="4346" xr:uid="{00000000-0005-0000-0000-0000B5870000}"/>
    <cellStyle name="Normal 150 2 2" xfId="8497" xr:uid="{00000000-0005-0000-0000-0000B6870000}"/>
    <cellStyle name="Normal 150 2 2 2" xfId="16293" xr:uid="{00000000-0005-0000-0000-0000B7870000}"/>
    <cellStyle name="Normal 150 2 2 2 2" xfId="33928" xr:uid="{00000000-0005-0000-0000-0000B8870000}"/>
    <cellStyle name="Normal 150 2 2 3" xfId="26898" xr:uid="{00000000-0005-0000-0000-0000B9870000}"/>
    <cellStyle name="Normal 150 2 3" xfId="12731" xr:uid="{00000000-0005-0000-0000-0000BA870000}"/>
    <cellStyle name="Normal 150 2 3 2" xfId="30389" xr:uid="{00000000-0005-0000-0000-0000BB870000}"/>
    <cellStyle name="Normal 150 2 4" xfId="22020" xr:uid="{00000000-0005-0000-0000-0000BC870000}"/>
    <cellStyle name="Normal 150 2 5" xfId="24033" xr:uid="{00000000-0005-0000-0000-0000BD870000}"/>
    <cellStyle name="Normal 150 3" xfId="5813" xr:uid="{00000000-0005-0000-0000-0000BE870000}"/>
    <cellStyle name="Normal 150 3 2" xfId="9113" xr:uid="{00000000-0005-0000-0000-0000BF870000}"/>
    <cellStyle name="Normal 150 3 2 2" xfId="16908" xr:uid="{00000000-0005-0000-0000-0000C0870000}"/>
    <cellStyle name="Normal 150 3 2 2 2" xfId="34544" xr:uid="{00000000-0005-0000-0000-0000C1870000}"/>
    <cellStyle name="Normal 150 3 2 3" xfId="27501" xr:uid="{00000000-0005-0000-0000-0000C2870000}"/>
    <cellStyle name="Normal 150 3 3" xfId="13669" xr:uid="{00000000-0005-0000-0000-0000C3870000}"/>
    <cellStyle name="Normal 150 3 3 2" xfId="31309" xr:uid="{00000000-0005-0000-0000-0000C4870000}"/>
    <cellStyle name="Normal 150 3 4" xfId="22796" xr:uid="{00000000-0005-0000-0000-0000C5870000}"/>
    <cellStyle name="Normal 150 3 5" xfId="24636" xr:uid="{00000000-0005-0000-0000-0000C6870000}"/>
    <cellStyle name="Normal 150 4" xfId="6443" xr:uid="{00000000-0005-0000-0000-0000C7870000}"/>
    <cellStyle name="Normal 150 4 2" xfId="9653" xr:uid="{00000000-0005-0000-0000-0000C8870000}"/>
    <cellStyle name="Normal 150 4 2 2" xfId="17447" xr:uid="{00000000-0005-0000-0000-0000C9870000}"/>
    <cellStyle name="Normal 150 4 2 2 2" xfId="35084" xr:uid="{00000000-0005-0000-0000-0000CA870000}"/>
    <cellStyle name="Normal 150 4 2 3" xfId="28037" xr:uid="{00000000-0005-0000-0000-0000CB870000}"/>
    <cellStyle name="Normal 150 4 3" xfId="14232" xr:uid="{00000000-0005-0000-0000-0000CC870000}"/>
    <cellStyle name="Normal 150 4 3 2" xfId="31867" xr:uid="{00000000-0005-0000-0000-0000CD870000}"/>
    <cellStyle name="Normal 150 4 4" xfId="25173" xr:uid="{00000000-0005-0000-0000-0000CE870000}"/>
    <cellStyle name="Normal 150 5" xfId="7219" xr:uid="{00000000-0005-0000-0000-0000CF870000}"/>
    <cellStyle name="Normal 150 5 2" xfId="10207" xr:uid="{00000000-0005-0000-0000-0000D0870000}"/>
    <cellStyle name="Normal 150 5 2 2" xfId="18000" xr:uid="{00000000-0005-0000-0000-0000D1870000}"/>
    <cellStyle name="Normal 150 5 2 2 2" xfId="35637" xr:uid="{00000000-0005-0000-0000-0000D2870000}"/>
    <cellStyle name="Normal 150 5 2 3" xfId="28574" xr:uid="{00000000-0005-0000-0000-0000D3870000}"/>
    <cellStyle name="Normal 150 5 3" xfId="15007" xr:uid="{00000000-0005-0000-0000-0000D4870000}"/>
    <cellStyle name="Normal 150 5 3 2" xfId="32642" xr:uid="{00000000-0005-0000-0000-0000D5870000}"/>
    <cellStyle name="Normal 150 5 4" xfId="25711" xr:uid="{00000000-0005-0000-0000-0000D6870000}"/>
    <cellStyle name="Normal 150 6" xfId="7818" xr:uid="{00000000-0005-0000-0000-0000D7870000}"/>
    <cellStyle name="Normal 150 6 2" xfId="15615" xr:uid="{00000000-0005-0000-0000-0000D8870000}"/>
    <cellStyle name="Normal 150 6 2 2" xfId="33250" xr:uid="{00000000-0005-0000-0000-0000D9870000}"/>
    <cellStyle name="Normal 150 6 3" xfId="26234" xr:uid="{00000000-0005-0000-0000-0000DA870000}"/>
    <cellStyle name="Normal 150 7" xfId="11726" xr:uid="{00000000-0005-0000-0000-0000DB870000}"/>
    <cellStyle name="Normal 150 7 2" xfId="29413" xr:uid="{00000000-0005-0000-0000-0000DC870000}"/>
    <cellStyle name="Normal 150 8" xfId="22012" xr:uid="{00000000-0005-0000-0000-0000DD870000}"/>
    <cellStyle name="Normal 150 9" xfId="23369" xr:uid="{00000000-0005-0000-0000-0000DE870000}"/>
    <cellStyle name="Normal 151" xfId="2197" xr:uid="{00000000-0005-0000-0000-0000DF870000}"/>
    <cellStyle name="Normal 151 2" xfId="2198" xr:uid="{00000000-0005-0000-0000-0000E0870000}"/>
    <cellStyle name="Normal 151 2 2" xfId="4348" xr:uid="{00000000-0005-0000-0000-0000E1870000}"/>
    <cellStyle name="Normal 151 2 3" xfId="22021" xr:uid="{00000000-0005-0000-0000-0000E2870000}"/>
    <cellStyle name="Normal 151 2 4" xfId="51987" xr:uid="{00000000-0005-0000-0000-0000E3870000}"/>
    <cellStyle name="Normal 151 3" xfId="2199" xr:uid="{00000000-0005-0000-0000-0000E4870000}"/>
    <cellStyle name="Normal 151 3 2" xfId="8498" xr:uid="{00000000-0005-0000-0000-0000E5870000}"/>
    <cellStyle name="Normal 151 3 2 2" xfId="16294" xr:uid="{00000000-0005-0000-0000-0000E6870000}"/>
    <cellStyle name="Normal 151 3 2 2 2" xfId="33929" xr:uid="{00000000-0005-0000-0000-0000E7870000}"/>
    <cellStyle name="Normal 151 3 2 3" xfId="26899" xr:uid="{00000000-0005-0000-0000-0000E8870000}"/>
    <cellStyle name="Normal 151 3 3" xfId="12733" xr:uid="{00000000-0005-0000-0000-0000E9870000}"/>
    <cellStyle name="Normal 151 3 3 2" xfId="30391" xr:uid="{00000000-0005-0000-0000-0000EA870000}"/>
    <cellStyle name="Normal 151 3 4" xfId="22797" xr:uid="{00000000-0005-0000-0000-0000EB870000}"/>
    <cellStyle name="Normal 151 3 5" xfId="24034" xr:uid="{00000000-0005-0000-0000-0000EC870000}"/>
    <cellStyle name="Normal 151 3 6" xfId="51988" xr:uid="{00000000-0005-0000-0000-0000ED870000}"/>
    <cellStyle name="Normal 151 4" xfId="4347" xr:uid="{00000000-0005-0000-0000-0000EE870000}"/>
    <cellStyle name="Normal 151 5" xfId="7819" xr:uid="{00000000-0005-0000-0000-0000EF870000}"/>
    <cellStyle name="Normal 151 5 2" xfId="15616" xr:uid="{00000000-0005-0000-0000-0000F0870000}"/>
    <cellStyle name="Normal 151 5 2 2" xfId="33251" xr:uid="{00000000-0005-0000-0000-0000F1870000}"/>
    <cellStyle name="Normal 151 5 3" xfId="26235" xr:uid="{00000000-0005-0000-0000-0000F2870000}"/>
    <cellStyle name="Normal 151 6" xfId="11727" xr:uid="{00000000-0005-0000-0000-0000F3870000}"/>
    <cellStyle name="Normal 151 6 2" xfId="29414" xr:uid="{00000000-0005-0000-0000-0000F4870000}"/>
    <cellStyle name="Normal 151 7" xfId="22013" xr:uid="{00000000-0005-0000-0000-0000F5870000}"/>
    <cellStyle name="Normal 151 8" xfId="23370" xr:uid="{00000000-0005-0000-0000-0000F6870000}"/>
    <cellStyle name="Normal 151 9" xfId="51986" xr:uid="{00000000-0005-0000-0000-0000F7870000}"/>
    <cellStyle name="Normal 152" xfId="2200" xr:uid="{00000000-0005-0000-0000-0000F8870000}"/>
    <cellStyle name="Normal 152 2" xfId="2201" xr:uid="{00000000-0005-0000-0000-0000F9870000}"/>
    <cellStyle name="Normal 152 2 2" xfId="4350" xr:uid="{00000000-0005-0000-0000-0000FA870000}"/>
    <cellStyle name="Normal 152 2 3" xfId="22024" xr:uid="{00000000-0005-0000-0000-0000FB870000}"/>
    <cellStyle name="Normal 152 2 4" xfId="22022" xr:uid="{00000000-0005-0000-0000-0000FC870000}"/>
    <cellStyle name="Normal 152 2 5" xfId="51990" xr:uid="{00000000-0005-0000-0000-0000FD870000}"/>
    <cellStyle name="Normal 152 3" xfId="2202" xr:uid="{00000000-0005-0000-0000-0000FE870000}"/>
    <cellStyle name="Normal 152 3 2" xfId="8499" xr:uid="{00000000-0005-0000-0000-0000FF870000}"/>
    <cellStyle name="Normal 152 3 2 2" xfId="16295" xr:uid="{00000000-0005-0000-0000-000000880000}"/>
    <cellStyle name="Normal 152 3 2 2 2" xfId="33930" xr:uid="{00000000-0005-0000-0000-000001880000}"/>
    <cellStyle name="Normal 152 3 2 3" xfId="26900" xr:uid="{00000000-0005-0000-0000-000002880000}"/>
    <cellStyle name="Normal 152 3 3" xfId="12736" xr:uid="{00000000-0005-0000-0000-000003880000}"/>
    <cellStyle name="Normal 152 3 3 2" xfId="30394" xr:uid="{00000000-0005-0000-0000-000004880000}"/>
    <cellStyle name="Normal 152 3 4" xfId="22798" xr:uid="{00000000-0005-0000-0000-000005880000}"/>
    <cellStyle name="Normal 152 3 5" xfId="24035" xr:uid="{00000000-0005-0000-0000-000006880000}"/>
    <cellStyle name="Normal 152 3 6" xfId="51991" xr:uid="{00000000-0005-0000-0000-000007880000}"/>
    <cellStyle name="Normal 152 4" xfId="4349" xr:uid="{00000000-0005-0000-0000-000008880000}"/>
    <cellStyle name="Normal 152 5" xfId="7820" xr:uid="{00000000-0005-0000-0000-000009880000}"/>
    <cellStyle name="Normal 152 5 2" xfId="15617" xr:uid="{00000000-0005-0000-0000-00000A880000}"/>
    <cellStyle name="Normal 152 5 2 2" xfId="33252" xr:uid="{00000000-0005-0000-0000-00000B880000}"/>
    <cellStyle name="Normal 152 5 3" xfId="26236" xr:uid="{00000000-0005-0000-0000-00000C880000}"/>
    <cellStyle name="Normal 152 6" xfId="11729" xr:uid="{00000000-0005-0000-0000-00000D880000}"/>
    <cellStyle name="Normal 152 6 2" xfId="29416" xr:uid="{00000000-0005-0000-0000-00000E880000}"/>
    <cellStyle name="Normal 152 7" xfId="22014" xr:uid="{00000000-0005-0000-0000-00000F880000}"/>
    <cellStyle name="Normal 152 8" xfId="23371" xr:uid="{00000000-0005-0000-0000-000010880000}"/>
    <cellStyle name="Normal 152 9" xfId="51989" xr:uid="{00000000-0005-0000-0000-000011880000}"/>
    <cellStyle name="Normal 153" xfId="2203" xr:uid="{00000000-0005-0000-0000-000012880000}"/>
    <cellStyle name="Normal 153 2" xfId="4351" xr:uid="{00000000-0005-0000-0000-000013880000}"/>
    <cellStyle name="Normal 153 3" xfId="22016" xr:uid="{00000000-0005-0000-0000-000014880000}"/>
    <cellStyle name="Normal 153 3 2" xfId="38750" xr:uid="{00000000-0005-0000-0000-000015880000}"/>
    <cellStyle name="Normal 153 4" xfId="51992" xr:uid="{00000000-0005-0000-0000-000016880000}"/>
    <cellStyle name="Normal 154" xfId="2204" xr:uid="{00000000-0005-0000-0000-000017880000}"/>
    <cellStyle name="Normal 154 2" xfId="4352" xr:uid="{00000000-0005-0000-0000-000018880000}"/>
    <cellStyle name="Normal 154 3" xfId="22015" xr:uid="{00000000-0005-0000-0000-000019880000}"/>
    <cellStyle name="Normal 154 4" xfId="51993" xr:uid="{00000000-0005-0000-0000-00001A880000}"/>
    <cellStyle name="Normal 155" xfId="2205" xr:uid="{00000000-0005-0000-0000-00001B880000}"/>
    <cellStyle name="Normal 155 2" xfId="4353" xr:uid="{00000000-0005-0000-0000-00001C880000}"/>
    <cellStyle name="Normal 155 3" xfId="22017" xr:uid="{00000000-0005-0000-0000-00001D880000}"/>
    <cellStyle name="Normal 155 4" xfId="51994" xr:uid="{00000000-0005-0000-0000-00001E880000}"/>
    <cellStyle name="Normal 156" xfId="2206" xr:uid="{00000000-0005-0000-0000-00001F880000}"/>
    <cellStyle name="Normal 156 2" xfId="4354" xr:uid="{00000000-0005-0000-0000-000020880000}"/>
    <cellStyle name="Normal 156 3" xfId="22023" xr:uid="{00000000-0005-0000-0000-000021880000}"/>
    <cellStyle name="Normal 156 4" xfId="51995" xr:uid="{00000000-0005-0000-0000-000022880000}"/>
    <cellStyle name="Normal 157" xfId="2207" xr:uid="{00000000-0005-0000-0000-000023880000}"/>
    <cellStyle name="Normal 157 2" xfId="4355" xr:uid="{00000000-0005-0000-0000-000024880000}"/>
    <cellStyle name="Normal 157 3" xfId="22018" xr:uid="{00000000-0005-0000-0000-000025880000}"/>
    <cellStyle name="Normal 157 4" xfId="51996" xr:uid="{00000000-0005-0000-0000-000026880000}"/>
    <cellStyle name="Normal 158" xfId="2208" xr:uid="{00000000-0005-0000-0000-000027880000}"/>
    <cellStyle name="Normal 158 2" xfId="4356" xr:uid="{00000000-0005-0000-0000-000028880000}"/>
    <cellStyle name="Normal 158 3" xfId="51997" xr:uid="{00000000-0005-0000-0000-000029880000}"/>
    <cellStyle name="Normal 159" xfId="2209" xr:uid="{00000000-0005-0000-0000-00002A880000}"/>
    <cellStyle name="Normal 159 2" xfId="4357" xr:uid="{00000000-0005-0000-0000-00002B880000}"/>
    <cellStyle name="Normal 159 3" xfId="51998" xr:uid="{00000000-0005-0000-0000-00002C880000}"/>
    <cellStyle name="Normal 16" xfId="2210" xr:uid="{00000000-0005-0000-0000-00002D880000}"/>
    <cellStyle name="Normal 16 2" xfId="2211" xr:uid="{00000000-0005-0000-0000-00002E880000}"/>
    <cellStyle name="Normal 16 2 2" xfId="2212" xr:uid="{00000000-0005-0000-0000-00002F880000}"/>
    <cellStyle name="Normal 16 2 3" xfId="22957" xr:uid="{00000000-0005-0000-0000-000030880000}"/>
    <cellStyle name="Normal 16 2 4" xfId="22756" xr:uid="{00000000-0005-0000-0000-000031880000}"/>
    <cellStyle name="Normal 16 2 4 2" xfId="38963" xr:uid="{00000000-0005-0000-0000-000032880000}"/>
    <cellStyle name="Normal 16 2_Sheet1" xfId="2213" xr:uid="{00000000-0005-0000-0000-000033880000}"/>
    <cellStyle name="Normal 16 3" xfId="2214" xr:uid="{00000000-0005-0000-0000-000034880000}"/>
    <cellStyle name="Normal 16 4" xfId="22956" xr:uid="{00000000-0005-0000-0000-000035880000}"/>
    <cellStyle name="Normal 16 5" xfId="22543" xr:uid="{00000000-0005-0000-0000-000036880000}"/>
    <cellStyle name="Normal 16 5 2" xfId="38859" xr:uid="{00000000-0005-0000-0000-000037880000}"/>
    <cellStyle name="Normal 16 6" xfId="53234" xr:uid="{00000000-0005-0000-0000-000038880000}"/>
    <cellStyle name="Normal 16_Sheet1" xfId="2215" xr:uid="{00000000-0005-0000-0000-000039880000}"/>
    <cellStyle name="Normal 160" xfId="2216" xr:uid="{00000000-0005-0000-0000-00003A880000}"/>
    <cellStyle name="Normal 160 2" xfId="4358" xr:uid="{00000000-0005-0000-0000-00003B880000}"/>
    <cellStyle name="Normal 160 3" xfId="51999" xr:uid="{00000000-0005-0000-0000-00003C880000}"/>
    <cellStyle name="Normal 161" xfId="2217" xr:uid="{00000000-0005-0000-0000-00003D880000}"/>
    <cellStyle name="Normal 161 2" xfId="4359" xr:uid="{00000000-0005-0000-0000-00003E880000}"/>
    <cellStyle name="Normal 161 3" xfId="52000" xr:uid="{00000000-0005-0000-0000-00003F880000}"/>
    <cellStyle name="Normal 162" xfId="2218" xr:uid="{00000000-0005-0000-0000-000040880000}"/>
    <cellStyle name="Normal 162 2" xfId="4360" xr:uid="{00000000-0005-0000-0000-000041880000}"/>
    <cellStyle name="Normal 162 3" xfId="52001" xr:uid="{00000000-0005-0000-0000-000042880000}"/>
    <cellStyle name="Normal 163" xfId="2219" xr:uid="{00000000-0005-0000-0000-000043880000}"/>
    <cellStyle name="Normal 163 2" xfId="4361" xr:uid="{00000000-0005-0000-0000-000044880000}"/>
    <cellStyle name="Normal 163 3" xfId="52002" xr:uid="{00000000-0005-0000-0000-000045880000}"/>
    <cellStyle name="Normal 164" xfId="2220" xr:uid="{00000000-0005-0000-0000-000046880000}"/>
    <cellStyle name="Normal 164 2" xfId="4362" xr:uid="{00000000-0005-0000-0000-000047880000}"/>
    <cellStyle name="Normal 164 3" xfId="52003" xr:uid="{00000000-0005-0000-0000-000048880000}"/>
    <cellStyle name="Normal 165" xfId="2221" xr:uid="{00000000-0005-0000-0000-000049880000}"/>
    <cellStyle name="Normal 165 10" xfId="52004" xr:uid="{00000000-0005-0000-0000-00004A880000}"/>
    <cellStyle name="Normal 165 2" xfId="4363" xr:uid="{00000000-0005-0000-0000-00004B880000}"/>
    <cellStyle name="Normal 165 2 2" xfId="8500" xr:uid="{00000000-0005-0000-0000-00004C880000}"/>
    <cellStyle name="Normal 165 2 2 2" xfId="16296" xr:uid="{00000000-0005-0000-0000-00004D880000}"/>
    <cellStyle name="Normal 165 2 2 2 2" xfId="33931" xr:uid="{00000000-0005-0000-0000-00004E880000}"/>
    <cellStyle name="Normal 165 2 2 3" xfId="26901" xr:uid="{00000000-0005-0000-0000-00004F880000}"/>
    <cellStyle name="Normal 165 2 3" xfId="12740" xr:uid="{00000000-0005-0000-0000-000050880000}"/>
    <cellStyle name="Normal 165 2 3 2" xfId="30398" xr:uid="{00000000-0005-0000-0000-000051880000}"/>
    <cellStyle name="Normal 165 2 4" xfId="24036" xr:uid="{00000000-0005-0000-0000-000052880000}"/>
    <cellStyle name="Normal 165 3" xfId="5814" xr:uid="{00000000-0005-0000-0000-000053880000}"/>
    <cellStyle name="Normal 165 3 2" xfId="9114" xr:uid="{00000000-0005-0000-0000-000054880000}"/>
    <cellStyle name="Normal 165 3 2 2" xfId="16909" xr:uid="{00000000-0005-0000-0000-000055880000}"/>
    <cellStyle name="Normal 165 3 2 2 2" xfId="34545" xr:uid="{00000000-0005-0000-0000-000056880000}"/>
    <cellStyle name="Normal 165 3 2 3" xfId="27502" xr:uid="{00000000-0005-0000-0000-000057880000}"/>
    <cellStyle name="Normal 165 3 3" xfId="13670" xr:uid="{00000000-0005-0000-0000-000058880000}"/>
    <cellStyle name="Normal 165 3 3 2" xfId="31310" xr:uid="{00000000-0005-0000-0000-000059880000}"/>
    <cellStyle name="Normal 165 3 4" xfId="24637" xr:uid="{00000000-0005-0000-0000-00005A880000}"/>
    <cellStyle name="Normal 165 4" xfId="6444" xr:uid="{00000000-0005-0000-0000-00005B880000}"/>
    <cellStyle name="Normal 165 4 2" xfId="9654" xr:uid="{00000000-0005-0000-0000-00005C880000}"/>
    <cellStyle name="Normal 165 4 2 2" xfId="17448" xr:uid="{00000000-0005-0000-0000-00005D880000}"/>
    <cellStyle name="Normal 165 4 2 2 2" xfId="35085" xr:uid="{00000000-0005-0000-0000-00005E880000}"/>
    <cellStyle name="Normal 165 4 2 3" xfId="28038" xr:uid="{00000000-0005-0000-0000-00005F880000}"/>
    <cellStyle name="Normal 165 4 3" xfId="14233" xr:uid="{00000000-0005-0000-0000-000060880000}"/>
    <cellStyle name="Normal 165 4 3 2" xfId="31868" xr:uid="{00000000-0005-0000-0000-000061880000}"/>
    <cellStyle name="Normal 165 4 4" xfId="25174" xr:uid="{00000000-0005-0000-0000-000062880000}"/>
    <cellStyle name="Normal 165 5" xfId="7220" xr:uid="{00000000-0005-0000-0000-000063880000}"/>
    <cellStyle name="Normal 165 5 2" xfId="10208" xr:uid="{00000000-0005-0000-0000-000064880000}"/>
    <cellStyle name="Normal 165 5 2 2" xfId="18001" xr:uid="{00000000-0005-0000-0000-000065880000}"/>
    <cellStyle name="Normal 165 5 2 2 2" xfId="35638" xr:uid="{00000000-0005-0000-0000-000066880000}"/>
    <cellStyle name="Normal 165 5 2 3" xfId="28575" xr:uid="{00000000-0005-0000-0000-000067880000}"/>
    <cellStyle name="Normal 165 5 3" xfId="15008" xr:uid="{00000000-0005-0000-0000-000068880000}"/>
    <cellStyle name="Normal 165 5 3 2" xfId="32643" xr:uid="{00000000-0005-0000-0000-000069880000}"/>
    <cellStyle name="Normal 165 5 4" xfId="25712" xr:uid="{00000000-0005-0000-0000-00006A880000}"/>
    <cellStyle name="Normal 165 6" xfId="7821" xr:uid="{00000000-0005-0000-0000-00006B880000}"/>
    <cellStyle name="Normal 165 6 2" xfId="15618" xr:uid="{00000000-0005-0000-0000-00006C880000}"/>
    <cellStyle name="Normal 165 6 2 2" xfId="33253" xr:uid="{00000000-0005-0000-0000-00006D880000}"/>
    <cellStyle name="Normal 165 6 3" xfId="26237" xr:uid="{00000000-0005-0000-0000-00006E880000}"/>
    <cellStyle name="Normal 165 7" xfId="11734" xr:uid="{00000000-0005-0000-0000-00006F880000}"/>
    <cellStyle name="Normal 165 7 2" xfId="29421" xr:uid="{00000000-0005-0000-0000-000070880000}"/>
    <cellStyle name="Normal 165 8" xfId="22803" xr:uid="{00000000-0005-0000-0000-000071880000}"/>
    <cellStyle name="Normal 165 9" xfId="23372" xr:uid="{00000000-0005-0000-0000-000072880000}"/>
    <cellStyle name="Normal 166" xfId="2222" xr:uid="{00000000-0005-0000-0000-000073880000}"/>
    <cellStyle name="Normal 166 10" xfId="52005" xr:uid="{00000000-0005-0000-0000-000074880000}"/>
    <cellStyle name="Normal 166 2" xfId="4364" xr:uid="{00000000-0005-0000-0000-000075880000}"/>
    <cellStyle name="Normal 166 2 2" xfId="8501" xr:uid="{00000000-0005-0000-0000-000076880000}"/>
    <cellStyle name="Normal 166 2 2 2" xfId="16297" xr:uid="{00000000-0005-0000-0000-000077880000}"/>
    <cellStyle name="Normal 166 2 2 2 2" xfId="33932" xr:uid="{00000000-0005-0000-0000-000078880000}"/>
    <cellStyle name="Normal 166 2 2 3" xfId="26902" xr:uid="{00000000-0005-0000-0000-000079880000}"/>
    <cellStyle name="Normal 166 2 3" xfId="12741" xr:uid="{00000000-0005-0000-0000-00007A880000}"/>
    <cellStyle name="Normal 166 2 3 2" xfId="30399" xr:uid="{00000000-0005-0000-0000-00007B880000}"/>
    <cellStyle name="Normal 166 2 4" xfId="24037" xr:uid="{00000000-0005-0000-0000-00007C880000}"/>
    <cellStyle name="Normal 166 3" xfId="5815" xr:uid="{00000000-0005-0000-0000-00007D880000}"/>
    <cellStyle name="Normal 166 3 2" xfId="9115" xr:uid="{00000000-0005-0000-0000-00007E880000}"/>
    <cellStyle name="Normal 166 3 2 2" xfId="16910" xr:uid="{00000000-0005-0000-0000-00007F880000}"/>
    <cellStyle name="Normal 166 3 2 2 2" xfId="34546" xr:uid="{00000000-0005-0000-0000-000080880000}"/>
    <cellStyle name="Normal 166 3 2 3" xfId="27503" xr:uid="{00000000-0005-0000-0000-000081880000}"/>
    <cellStyle name="Normal 166 3 3" xfId="13671" xr:uid="{00000000-0005-0000-0000-000082880000}"/>
    <cellStyle name="Normal 166 3 3 2" xfId="31311" xr:uid="{00000000-0005-0000-0000-000083880000}"/>
    <cellStyle name="Normal 166 3 4" xfId="24638" xr:uid="{00000000-0005-0000-0000-000084880000}"/>
    <cellStyle name="Normal 166 4" xfId="6445" xr:uid="{00000000-0005-0000-0000-000085880000}"/>
    <cellStyle name="Normal 166 4 2" xfId="9655" xr:uid="{00000000-0005-0000-0000-000086880000}"/>
    <cellStyle name="Normal 166 4 2 2" xfId="17449" xr:uid="{00000000-0005-0000-0000-000087880000}"/>
    <cellStyle name="Normal 166 4 2 2 2" xfId="35086" xr:uid="{00000000-0005-0000-0000-000088880000}"/>
    <cellStyle name="Normal 166 4 2 3" xfId="28039" xr:uid="{00000000-0005-0000-0000-000089880000}"/>
    <cellStyle name="Normal 166 4 3" xfId="14234" xr:uid="{00000000-0005-0000-0000-00008A880000}"/>
    <cellStyle name="Normal 166 4 3 2" xfId="31869" xr:uid="{00000000-0005-0000-0000-00008B880000}"/>
    <cellStyle name="Normal 166 4 4" xfId="25175" xr:uid="{00000000-0005-0000-0000-00008C880000}"/>
    <cellStyle name="Normal 166 5" xfId="7221" xr:uid="{00000000-0005-0000-0000-00008D880000}"/>
    <cellStyle name="Normal 166 5 2" xfId="10209" xr:uid="{00000000-0005-0000-0000-00008E880000}"/>
    <cellStyle name="Normal 166 5 2 2" xfId="18002" xr:uid="{00000000-0005-0000-0000-00008F880000}"/>
    <cellStyle name="Normal 166 5 2 2 2" xfId="35639" xr:uid="{00000000-0005-0000-0000-000090880000}"/>
    <cellStyle name="Normal 166 5 2 3" xfId="28576" xr:uid="{00000000-0005-0000-0000-000091880000}"/>
    <cellStyle name="Normal 166 5 3" xfId="15009" xr:uid="{00000000-0005-0000-0000-000092880000}"/>
    <cellStyle name="Normal 166 5 3 2" xfId="32644" xr:uid="{00000000-0005-0000-0000-000093880000}"/>
    <cellStyle name="Normal 166 5 4" xfId="25713" xr:uid="{00000000-0005-0000-0000-000094880000}"/>
    <cellStyle name="Normal 166 6" xfId="7822" xr:uid="{00000000-0005-0000-0000-000095880000}"/>
    <cellStyle name="Normal 166 6 2" xfId="15619" xr:uid="{00000000-0005-0000-0000-000096880000}"/>
    <cellStyle name="Normal 166 6 2 2" xfId="33254" xr:uid="{00000000-0005-0000-0000-000097880000}"/>
    <cellStyle name="Normal 166 6 3" xfId="26238" xr:uid="{00000000-0005-0000-0000-000098880000}"/>
    <cellStyle name="Normal 166 7" xfId="11735" xr:uid="{00000000-0005-0000-0000-000099880000}"/>
    <cellStyle name="Normal 166 7 2" xfId="29422" xr:uid="{00000000-0005-0000-0000-00009A880000}"/>
    <cellStyle name="Normal 166 8" xfId="22802" xr:uid="{00000000-0005-0000-0000-00009B880000}"/>
    <cellStyle name="Normal 166 9" xfId="23373" xr:uid="{00000000-0005-0000-0000-00009C880000}"/>
    <cellStyle name="Normal 167" xfId="2223" xr:uid="{00000000-0005-0000-0000-00009D880000}"/>
    <cellStyle name="Normal 167 10" xfId="52006" xr:uid="{00000000-0005-0000-0000-00009E880000}"/>
    <cellStyle name="Normal 167 2" xfId="4365" xr:uid="{00000000-0005-0000-0000-00009F880000}"/>
    <cellStyle name="Normal 167 2 2" xfId="8502" xr:uid="{00000000-0005-0000-0000-0000A0880000}"/>
    <cellStyle name="Normal 167 2 2 2" xfId="16298" xr:uid="{00000000-0005-0000-0000-0000A1880000}"/>
    <cellStyle name="Normal 167 2 2 2 2" xfId="33933" xr:uid="{00000000-0005-0000-0000-0000A2880000}"/>
    <cellStyle name="Normal 167 2 2 3" xfId="26903" xr:uid="{00000000-0005-0000-0000-0000A3880000}"/>
    <cellStyle name="Normal 167 2 3" xfId="12742" xr:uid="{00000000-0005-0000-0000-0000A4880000}"/>
    <cellStyle name="Normal 167 2 3 2" xfId="30400" xr:uid="{00000000-0005-0000-0000-0000A5880000}"/>
    <cellStyle name="Normal 167 2 4" xfId="24038" xr:uid="{00000000-0005-0000-0000-0000A6880000}"/>
    <cellStyle name="Normal 167 3" xfId="5816" xr:uid="{00000000-0005-0000-0000-0000A7880000}"/>
    <cellStyle name="Normal 167 3 2" xfId="9116" xr:uid="{00000000-0005-0000-0000-0000A8880000}"/>
    <cellStyle name="Normal 167 3 2 2" xfId="16911" xr:uid="{00000000-0005-0000-0000-0000A9880000}"/>
    <cellStyle name="Normal 167 3 2 2 2" xfId="34547" xr:uid="{00000000-0005-0000-0000-0000AA880000}"/>
    <cellStyle name="Normal 167 3 2 3" xfId="27504" xr:uid="{00000000-0005-0000-0000-0000AB880000}"/>
    <cellStyle name="Normal 167 3 3" xfId="13672" xr:uid="{00000000-0005-0000-0000-0000AC880000}"/>
    <cellStyle name="Normal 167 3 3 2" xfId="31312" xr:uid="{00000000-0005-0000-0000-0000AD880000}"/>
    <cellStyle name="Normal 167 3 4" xfId="24639" xr:uid="{00000000-0005-0000-0000-0000AE880000}"/>
    <cellStyle name="Normal 167 4" xfId="6446" xr:uid="{00000000-0005-0000-0000-0000AF880000}"/>
    <cellStyle name="Normal 167 4 2" xfId="9656" xr:uid="{00000000-0005-0000-0000-0000B0880000}"/>
    <cellStyle name="Normal 167 4 2 2" xfId="17450" xr:uid="{00000000-0005-0000-0000-0000B1880000}"/>
    <cellStyle name="Normal 167 4 2 2 2" xfId="35087" xr:uid="{00000000-0005-0000-0000-0000B2880000}"/>
    <cellStyle name="Normal 167 4 2 3" xfId="28040" xr:uid="{00000000-0005-0000-0000-0000B3880000}"/>
    <cellStyle name="Normal 167 4 3" xfId="14235" xr:uid="{00000000-0005-0000-0000-0000B4880000}"/>
    <cellStyle name="Normal 167 4 3 2" xfId="31870" xr:uid="{00000000-0005-0000-0000-0000B5880000}"/>
    <cellStyle name="Normal 167 4 4" xfId="25176" xr:uid="{00000000-0005-0000-0000-0000B6880000}"/>
    <cellStyle name="Normal 167 5" xfId="7222" xr:uid="{00000000-0005-0000-0000-0000B7880000}"/>
    <cellStyle name="Normal 167 5 2" xfId="10210" xr:uid="{00000000-0005-0000-0000-0000B8880000}"/>
    <cellStyle name="Normal 167 5 2 2" xfId="18003" xr:uid="{00000000-0005-0000-0000-0000B9880000}"/>
    <cellStyle name="Normal 167 5 2 2 2" xfId="35640" xr:uid="{00000000-0005-0000-0000-0000BA880000}"/>
    <cellStyle name="Normal 167 5 2 3" xfId="28577" xr:uid="{00000000-0005-0000-0000-0000BB880000}"/>
    <cellStyle name="Normal 167 5 3" xfId="15010" xr:uid="{00000000-0005-0000-0000-0000BC880000}"/>
    <cellStyle name="Normal 167 5 3 2" xfId="32645" xr:uid="{00000000-0005-0000-0000-0000BD880000}"/>
    <cellStyle name="Normal 167 5 4" xfId="25714" xr:uid="{00000000-0005-0000-0000-0000BE880000}"/>
    <cellStyle name="Normal 167 6" xfId="7823" xr:uid="{00000000-0005-0000-0000-0000BF880000}"/>
    <cellStyle name="Normal 167 6 2" xfId="15620" xr:uid="{00000000-0005-0000-0000-0000C0880000}"/>
    <cellStyle name="Normal 167 6 2 2" xfId="33255" xr:uid="{00000000-0005-0000-0000-0000C1880000}"/>
    <cellStyle name="Normal 167 6 3" xfId="26239" xr:uid="{00000000-0005-0000-0000-0000C2880000}"/>
    <cellStyle name="Normal 167 7" xfId="11736" xr:uid="{00000000-0005-0000-0000-0000C3880000}"/>
    <cellStyle name="Normal 167 7 2" xfId="29423" xr:uid="{00000000-0005-0000-0000-0000C4880000}"/>
    <cellStyle name="Normal 167 8" xfId="22806" xr:uid="{00000000-0005-0000-0000-0000C5880000}"/>
    <cellStyle name="Normal 167 9" xfId="23374" xr:uid="{00000000-0005-0000-0000-0000C6880000}"/>
    <cellStyle name="Normal 168" xfId="2224" xr:uid="{00000000-0005-0000-0000-0000C7880000}"/>
    <cellStyle name="Normal 168 2" xfId="4366" xr:uid="{00000000-0005-0000-0000-0000C8880000}"/>
    <cellStyle name="Normal 168 3" xfId="52007" xr:uid="{00000000-0005-0000-0000-0000C9880000}"/>
    <cellStyle name="Normal 169" xfId="2225" xr:uid="{00000000-0005-0000-0000-0000CA880000}"/>
    <cellStyle name="Normal 169 10" xfId="52008" xr:uid="{00000000-0005-0000-0000-0000CB880000}"/>
    <cellStyle name="Normal 169 2" xfId="4367" xr:uid="{00000000-0005-0000-0000-0000CC880000}"/>
    <cellStyle name="Normal 169 2 2" xfId="8503" xr:uid="{00000000-0005-0000-0000-0000CD880000}"/>
    <cellStyle name="Normal 169 2 2 2" xfId="16299" xr:uid="{00000000-0005-0000-0000-0000CE880000}"/>
    <cellStyle name="Normal 169 2 2 2 2" xfId="33934" xr:uid="{00000000-0005-0000-0000-0000CF880000}"/>
    <cellStyle name="Normal 169 2 2 3" xfId="26904" xr:uid="{00000000-0005-0000-0000-0000D0880000}"/>
    <cellStyle name="Normal 169 2 3" xfId="12743" xr:uid="{00000000-0005-0000-0000-0000D1880000}"/>
    <cellStyle name="Normal 169 2 3 2" xfId="30401" xr:uid="{00000000-0005-0000-0000-0000D2880000}"/>
    <cellStyle name="Normal 169 2 4" xfId="24039" xr:uid="{00000000-0005-0000-0000-0000D3880000}"/>
    <cellStyle name="Normal 169 3" xfId="5817" xr:uid="{00000000-0005-0000-0000-0000D4880000}"/>
    <cellStyle name="Normal 169 3 2" xfId="9117" xr:uid="{00000000-0005-0000-0000-0000D5880000}"/>
    <cellStyle name="Normal 169 3 2 2" xfId="16912" xr:uid="{00000000-0005-0000-0000-0000D6880000}"/>
    <cellStyle name="Normal 169 3 2 2 2" xfId="34548" xr:uid="{00000000-0005-0000-0000-0000D7880000}"/>
    <cellStyle name="Normal 169 3 2 3" xfId="27505" xr:uid="{00000000-0005-0000-0000-0000D8880000}"/>
    <cellStyle name="Normal 169 3 3" xfId="13673" xr:uid="{00000000-0005-0000-0000-0000D9880000}"/>
    <cellStyle name="Normal 169 3 3 2" xfId="31313" xr:uid="{00000000-0005-0000-0000-0000DA880000}"/>
    <cellStyle name="Normal 169 3 4" xfId="24640" xr:uid="{00000000-0005-0000-0000-0000DB880000}"/>
    <cellStyle name="Normal 169 4" xfId="6447" xr:uid="{00000000-0005-0000-0000-0000DC880000}"/>
    <cellStyle name="Normal 169 4 2" xfId="9657" xr:uid="{00000000-0005-0000-0000-0000DD880000}"/>
    <cellStyle name="Normal 169 4 2 2" xfId="17451" xr:uid="{00000000-0005-0000-0000-0000DE880000}"/>
    <cellStyle name="Normal 169 4 2 2 2" xfId="35088" xr:uid="{00000000-0005-0000-0000-0000DF880000}"/>
    <cellStyle name="Normal 169 4 2 3" xfId="28041" xr:uid="{00000000-0005-0000-0000-0000E0880000}"/>
    <cellStyle name="Normal 169 4 3" xfId="14236" xr:uid="{00000000-0005-0000-0000-0000E1880000}"/>
    <cellStyle name="Normal 169 4 3 2" xfId="31871" xr:uid="{00000000-0005-0000-0000-0000E2880000}"/>
    <cellStyle name="Normal 169 4 4" xfId="25177" xr:uid="{00000000-0005-0000-0000-0000E3880000}"/>
    <cellStyle name="Normal 169 5" xfId="7223" xr:uid="{00000000-0005-0000-0000-0000E4880000}"/>
    <cellStyle name="Normal 169 5 2" xfId="10211" xr:uid="{00000000-0005-0000-0000-0000E5880000}"/>
    <cellStyle name="Normal 169 5 2 2" xfId="18004" xr:uid="{00000000-0005-0000-0000-0000E6880000}"/>
    <cellStyle name="Normal 169 5 2 2 2" xfId="35641" xr:uid="{00000000-0005-0000-0000-0000E7880000}"/>
    <cellStyle name="Normal 169 5 2 3" xfId="28578" xr:uid="{00000000-0005-0000-0000-0000E8880000}"/>
    <cellStyle name="Normal 169 5 3" xfId="15011" xr:uid="{00000000-0005-0000-0000-0000E9880000}"/>
    <cellStyle name="Normal 169 5 3 2" xfId="32646" xr:uid="{00000000-0005-0000-0000-0000EA880000}"/>
    <cellStyle name="Normal 169 5 4" xfId="25715" xr:uid="{00000000-0005-0000-0000-0000EB880000}"/>
    <cellStyle name="Normal 169 6" xfId="7824" xr:uid="{00000000-0005-0000-0000-0000EC880000}"/>
    <cellStyle name="Normal 169 6 2" xfId="15621" xr:uid="{00000000-0005-0000-0000-0000ED880000}"/>
    <cellStyle name="Normal 169 6 2 2" xfId="33256" xr:uid="{00000000-0005-0000-0000-0000EE880000}"/>
    <cellStyle name="Normal 169 6 3" xfId="26240" xr:uid="{00000000-0005-0000-0000-0000EF880000}"/>
    <cellStyle name="Normal 169 7" xfId="11738" xr:uid="{00000000-0005-0000-0000-0000F0880000}"/>
    <cellStyle name="Normal 169 7 2" xfId="29425" xr:uid="{00000000-0005-0000-0000-0000F1880000}"/>
    <cellStyle name="Normal 169 8" xfId="22807" xr:uid="{00000000-0005-0000-0000-0000F2880000}"/>
    <cellStyle name="Normal 169 9" xfId="23375" xr:uid="{00000000-0005-0000-0000-0000F3880000}"/>
    <cellStyle name="Normal 17" xfId="2226" xr:uid="{00000000-0005-0000-0000-0000F4880000}"/>
    <cellStyle name="Normal 17 2" xfId="2227" xr:uid="{00000000-0005-0000-0000-0000F5880000}"/>
    <cellStyle name="Normal 17 2 2" xfId="2228" xr:uid="{00000000-0005-0000-0000-0000F6880000}"/>
    <cellStyle name="Normal 17 2_Sheet1" xfId="2229" xr:uid="{00000000-0005-0000-0000-0000F7880000}"/>
    <cellStyle name="Normal 17 3" xfId="2230" xr:uid="{00000000-0005-0000-0000-0000F8880000}"/>
    <cellStyle name="Normal 17 4" xfId="22958" xr:uid="{00000000-0005-0000-0000-0000F9880000}"/>
    <cellStyle name="Normal 17 5" xfId="22544" xr:uid="{00000000-0005-0000-0000-0000FA880000}"/>
    <cellStyle name="Normal 17 6" xfId="22416" xr:uid="{00000000-0005-0000-0000-0000FB880000}"/>
    <cellStyle name="Normal 17 7" xfId="53236" xr:uid="{00000000-0005-0000-0000-0000FC880000}"/>
    <cellStyle name="Normal 17 8" xfId="53237" xr:uid="{00000000-0005-0000-0000-0000FD880000}"/>
    <cellStyle name="Normal 17 9" xfId="53235" xr:uid="{00000000-0005-0000-0000-0000FE880000}"/>
    <cellStyle name="Normal 17_Sheet1" xfId="2231" xr:uid="{00000000-0005-0000-0000-0000FF880000}"/>
    <cellStyle name="Normal 170" xfId="2232" xr:uid="{00000000-0005-0000-0000-000000890000}"/>
    <cellStyle name="Normal 170 10" xfId="52009" xr:uid="{00000000-0005-0000-0000-000001890000}"/>
    <cellStyle name="Normal 170 2" xfId="4368" xr:uid="{00000000-0005-0000-0000-000002890000}"/>
    <cellStyle name="Normal 170 2 2" xfId="8504" xr:uid="{00000000-0005-0000-0000-000003890000}"/>
    <cellStyle name="Normal 170 2 2 2" xfId="16300" xr:uid="{00000000-0005-0000-0000-000004890000}"/>
    <cellStyle name="Normal 170 2 2 2 2" xfId="33935" xr:uid="{00000000-0005-0000-0000-000005890000}"/>
    <cellStyle name="Normal 170 2 2 3" xfId="26905" xr:uid="{00000000-0005-0000-0000-000006890000}"/>
    <cellStyle name="Normal 170 2 3" xfId="12744" xr:uid="{00000000-0005-0000-0000-000007890000}"/>
    <cellStyle name="Normal 170 2 3 2" xfId="30402" xr:uid="{00000000-0005-0000-0000-000008890000}"/>
    <cellStyle name="Normal 170 2 4" xfId="24040" xr:uid="{00000000-0005-0000-0000-000009890000}"/>
    <cellStyle name="Normal 170 3" xfId="5818" xr:uid="{00000000-0005-0000-0000-00000A890000}"/>
    <cellStyle name="Normal 170 3 2" xfId="9118" xr:uid="{00000000-0005-0000-0000-00000B890000}"/>
    <cellStyle name="Normal 170 3 2 2" xfId="16913" xr:uid="{00000000-0005-0000-0000-00000C890000}"/>
    <cellStyle name="Normal 170 3 2 2 2" xfId="34549" xr:uid="{00000000-0005-0000-0000-00000D890000}"/>
    <cellStyle name="Normal 170 3 2 3" xfId="27506" xr:uid="{00000000-0005-0000-0000-00000E890000}"/>
    <cellStyle name="Normal 170 3 3" xfId="13674" xr:uid="{00000000-0005-0000-0000-00000F890000}"/>
    <cellStyle name="Normal 170 3 3 2" xfId="31314" xr:uid="{00000000-0005-0000-0000-000010890000}"/>
    <cellStyle name="Normal 170 3 4" xfId="24641" xr:uid="{00000000-0005-0000-0000-000011890000}"/>
    <cellStyle name="Normal 170 4" xfId="6448" xr:uid="{00000000-0005-0000-0000-000012890000}"/>
    <cellStyle name="Normal 170 4 2" xfId="9658" xr:uid="{00000000-0005-0000-0000-000013890000}"/>
    <cellStyle name="Normal 170 4 2 2" xfId="17452" xr:uid="{00000000-0005-0000-0000-000014890000}"/>
    <cellStyle name="Normal 170 4 2 2 2" xfId="35089" xr:uid="{00000000-0005-0000-0000-000015890000}"/>
    <cellStyle name="Normal 170 4 2 3" xfId="28042" xr:uid="{00000000-0005-0000-0000-000016890000}"/>
    <cellStyle name="Normal 170 4 3" xfId="14237" xr:uid="{00000000-0005-0000-0000-000017890000}"/>
    <cellStyle name="Normal 170 4 3 2" xfId="31872" xr:uid="{00000000-0005-0000-0000-000018890000}"/>
    <cellStyle name="Normal 170 4 4" xfId="25178" xr:uid="{00000000-0005-0000-0000-000019890000}"/>
    <cellStyle name="Normal 170 5" xfId="7224" xr:uid="{00000000-0005-0000-0000-00001A890000}"/>
    <cellStyle name="Normal 170 5 2" xfId="10212" xr:uid="{00000000-0005-0000-0000-00001B890000}"/>
    <cellStyle name="Normal 170 5 2 2" xfId="18005" xr:uid="{00000000-0005-0000-0000-00001C890000}"/>
    <cellStyle name="Normal 170 5 2 2 2" xfId="35642" xr:uid="{00000000-0005-0000-0000-00001D890000}"/>
    <cellStyle name="Normal 170 5 2 3" xfId="28579" xr:uid="{00000000-0005-0000-0000-00001E890000}"/>
    <cellStyle name="Normal 170 5 3" xfId="15012" xr:uid="{00000000-0005-0000-0000-00001F890000}"/>
    <cellStyle name="Normal 170 5 3 2" xfId="32647" xr:uid="{00000000-0005-0000-0000-000020890000}"/>
    <cellStyle name="Normal 170 5 4" xfId="25716" xr:uid="{00000000-0005-0000-0000-000021890000}"/>
    <cellStyle name="Normal 170 6" xfId="7825" xr:uid="{00000000-0005-0000-0000-000022890000}"/>
    <cellStyle name="Normal 170 6 2" xfId="15622" xr:uid="{00000000-0005-0000-0000-000023890000}"/>
    <cellStyle name="Normal 170 6 2 2" xfId="33257" xr:uid="{00000000-0005-0000-0000-000024890000}"/>
    <cellStyle name="Normal 170 6 3" xfId="26241" xr:uid="{00000000-0005-0000-0000-000025890000}"/>
    <cellStyle name="Normal 170 7" xfId="11740" xr:uid="{00000000-0005-0000-0000-000026890000}"/>
    <cellStyle name="Normal 170 7 2" xfId="29427" xr:uid="{00000000-0005-0000-0000-000027890000}"/>
    <cellStyle name="Normal 170 8" xfId="22808" xr:uid="{00000000-0005-0000-0000-000028890000}"/>
    <cellStyle name="Normal 170 9" xfId="23376" xr:uid="{00000000-0005-0000-0000-000029890000}"/>
    <cellStyle name="Normal 171" xfId="2233" xr:uid="{00000000-0005-0000-0000-00002A890000}"/>
    <cellStyle name="Normal 171 10" xfId="52010" xr:uid="{00000000-0005-0000-0000-00002B890000}"/>
    <cellStyle name="Normal 171 2" xfId="4369" xr:uid="{00000000-0005-0000-0000-00002C890000}"/>
    <cellStyle name="Normal 171 2 2" xfId="8505" xr:uid="{00000000-0005-0000-0000-00002D890000}"/>
    <cellStyle name="Normal 171 2 2 2" xfId="16301" xr:uid="{00000000-0005-0000-0000-00002E890000}"/>
    <cellStyle name="Normal 171 2 2 2 2" xfId="33936" xr:uid="{00000000-0005-0000-0000-00002F890000}"/>
    <cellStyle name="Normal 171 2 2 3" xfId="26906" xr:uid="{00000000-0005-0000-0000-000030890000}"/>
    <cellStyle name="Normal 171 2 3" xfId="12745" xr:uid="{00000000-0005-0000-0000-000031890000}"/>
    <cellStyle name="Normal 171 2 3 2" xfId="30403" xr:uid="{00000000-0005-0000-0000-000032890000}"/>
    <cellStyle name="Normal 171 2 4" xfId="24041" xr:uid="{00000000-0005-0000-0000-000033890000}"/>
    <cellStyle name="Normal 171 3" xfId="5819" xr:uid="{00000000-0005-0000-0000-000034890000}"/>
    <cellStyle name="Normal 171 3 2" xfId="9119" xr:uid="{00000000-0005-0000-0000-000035890000}"/>
    <cellStyle name="Normal 171 3 2 2" xfId="16914" xr:uid="{00000000-0005-0000-0000-000036890000}"/>
    <cellStyle name="Normal 171 3 2 2 2" xfId="34550" xr:uid="{00000000-0005-0000-0000-000037890000}"/>
    <cellStyle name="Normal 171 3 2 3" xfId="27507" xr:uid="{00000000-0005-0000-0000-000038890000}"/>
    <cellStyle name="Normal 171 3 3" xfId="13675" xr:uid="{00000000-0005-0000-0000-000039890000}"/>
    <cellStyle name="Normal 171 3 3 2" xfId="31315" xr:uid="{00000000-0005-0000-0000-00003A890000}"/>
    <cellStyle name="Normal 171 3 4" xfId="24642" xr:uid="{00000000-0005-0000-0000-00003B890000}"/>
    <cellStyle name="Normal 171 4" xfId="6449" xr:uid="{00000000-0005-0000-0000-00003C890000}"/>
    <cellStyle name="Normal 171 4 2" xfId="9659" xr:uid="{00000000-0005-0000-0000-00003D890000}"/>
    <cellStyle name="Normal 171 4 2 2" xfId="17453" xr:uid="{00000000-0005-0000-0000-00003E890000}"/>
    <cellStyle name="Normal 171 4 2 2 2" xfId="35090" xr:uid="{00000000-0005-0000-0000-00003F890000}"/>
    <cellStyle name="Normal 171 4 2 3" xfId="28043" xr:uid="{00000000-0005-0000-0000-000040890000}"/>
    <cellStyle name="Normal 171 4 3" xfId="14238" xr:uid="{00000000-0005-0000-0000-000041890000}"/>
    <cellStyle name="Normal 171 4 3 2" xfId="31873" xr:uid="{00000000-0005-0000-0000-000042890000}"/>
    <cellStyle name="Normal 171 4 4" xfId="25179" xr:uid="{00000000-0005-0000-0000-000043890000}"/>
    <cellStyle name="Normal 171 5" xfId="7225" xr:uid="{00000000-0005-0000-0000-000044890000}"/>
    <cellStyle name="Normal 171 5 2" xfId="10213" xr:uid="{00000000-0005-0000-0000-000045890000}"/>
    <cellStyle name="Normal 171 5 2 2" xfId="18006" xr:uid="{00000000-0005-0000-0000-000046890000}"/>
    <cellStyle name="Normal 171 5 2 2 2" xfId="35643" xr:uid="{00000000-0005-0000-0000-000047890000}"/>
    <cellStyle name="Normal 171 5 2 3" xfId="28580" xr:uid="{00000000-0005-0000-0000-000048890000}"/>
    <cellStyle name="Normal 171 5 3" xfId="15013" xr:uid="{00000000-0005-0000-0000-000049890000}"/>
    <cellStyle name="Normal 171 5 3 2" xfId="32648" xr:uid="{00000000-0005-0000-0000-00004A890000}"/>
    <cellStyle name="Normal 171 5 4" xfId="25717" xr:uid="{00000000-0005-0000-0000-00004B890000}"/>
    <cellStyle name="Normal 171 6" xfId="7826" xr:uid="{00000000-0005-0000-0000-00004C890000}"/>
    <cellStyle name="Normal 171 6 2" xfId="15623" xr:uid="{00000000-0005-0000-0000-00004D890000}"/>
    <cellStyle name="Normal 171 6 2 2" xfId="33258" xr:uid="{00000000-0005-0000-0000-00004E890000}"/>
    <cellStyle name="Normal 171 6 3" xfId="26242" xr:uid="{00000000-0005-0000-0000-00004F890000}"/>
    <cellStyle name="Normal 171 7" xfId="11741" xr:uid="{00000000-0005-0000-0000-000050890000}"/>
    <cellStyle name="Normal 171 7 2" xfId="29428" xr:uid="{00000000-0005-0000-0000-000051890000}"/>
    <cellStyle name="Normal 171 8" xfId="22809" xr:uid="{00000000-0005-0000-0000-000052890000}"/>
    <cellStyle name="Normal 171 9" xfId="23377" xr:uid="{00000000-0005-0000-0000-000053890000}"/>
    <cellStyle name="Normal 172" xfId="2234" xr:uid="{00000000-0005-0000-0000-000054890000}"/>
    <cellStyle name="Normal 172 10" xfId="52011" xr:uid="{00000000-0005-0000-0000-000055890000}"/>
    <cellStyle name="Normal 172 2" xfId="4370" xr:uid="{00000000-0005-0000-0000-000056890000}"/>
    <cellStyle name="Normal 172 2 2" xfId="8506" xr:uid="{00000000-0005-0000-0000-000057890000}"/>
    <cellStyle name="Normal 172 2 2 2" xfId="16302" xr:uid="{00000000-0005-0000-0000-000058890000}"/>
    <cellStyle name="Normal 172 2 2 2 2" xfId="33937" xr:uid="{00000000-0005-0000-0000-000059890000}"/>
    <cellStyle name="Normal 172 2 2 3" xfId="26907" xr:uid="{00000000-0005-0000-0000-00005A890000}"/>
    <cellStyle name="Normal 172 2 3" xfId="12746" xr:uid="{00000000-0005-0000-0000-00005B890000}"/>
    <cellStyle name="Normal 172 2 3 2" xfId="30404" xr:uid="{00000000-0005-0000-0000-00005C890000}"/>
    <cellStyle name="Normal 172 2 4" xfId="24042" xr:uid="{00000000-0005-0000-0000-00005D890000}"/>
    <cellStyle name="Normal 172 3" xfId="5820" xr:uid="{00000000-0005-0000-0000-00005E890000}"/>
    <cellStyle name="Normal 172 3 2" xfId="9120" xr:uid="{00000000-0005-0000-0000-00005F890000}"/>
    <cellStyle name="Normal 172 3 2 2" xfId="16915" xr:uid="{00000000-0005-0000-0000-000060890000}"/>
    <cellStyle name="Normal 172 3 2 2 2" xfId="34551" xr:uid="{00000000-0005-0000-0000-000061890000}"/>
    <cellStyle name="Normal 172 3 2 3" xfId="27508" xr:uid="{00000000-0005-0000-0000-000062890000}"/>
    <cellStyle name="Normal 172 3 3" xfId="13676" xr:uid="{00000000-0005-0000-0000-000063890000}"/>
    <cellStyle name="Normal 172 3 3 2" xfId="31316" xr:uid="{00000000-0005-0000-0000-000064890000}"/>
    <cellStyle name="Normal 172 3 4" xfId="24643" xr:uid="{00000000-0005-0000-0000-000065890000}"/>
    <cellStyle name="Normal 172 4" xfId="6450" xr:uid="{00000000-0005-0000-0000-000066890000}"/>
    <cellStyle name="Normal 172 4 2" xfId="9660" xr:uid="{00000000-0005-0000-0000-000067890000}"/>
    <cellStyle name="Normal 172 4 2 2" xfId="17454" xr:uid="{00000000-0005-0000-0000-000068890000}"/>
    <cellStyle name="Normal 172 4 2 2 2" xfId="35091" xr:uid="{00000000-0005-0000-0000-000069890000}"/>
    <cellStyle name="Normal 172 4 2 3" xfId="28044" xr:uid="{00000000-0005-0000-0000-00006A890000}"/>
    <cellStyle name="Normal 172 4 3" xfId="14239" xr:uid="{00000000-0005-0000-0000-00006B890000}"/>
    <cellStyle name="Normal 172 4 3 2" xfId="31874" xr:uid="{00000000-0005-0000-0000-00006C890000}"/>
    <cellStyle name="Normal 172 4 4" xfId="25180" xr:uid="{00000000-0005-0000-0000-00006D890000}"/>
    <cellStyle name="Normal 172 5" xfId="7226" xr:uid="{00000000-0005-0000-0000-00006E890000}"/>
    <cellStyle name="Normal 172 5 2" xfId="10214" xr:uid="{00000000-0005-0000-0000-00006F890000}"/>
    <cellStyle name="Normal 172 5 2 2" xfId="18007" xr:uid="{00000000-0005-0000-0000-000070890000}"/>
    <cellStyle name="Normal 172 5 2 2 2" xfId="35644" xr:uid="{00000000-0005-0000-0000-000071890000}"/>
    <cellStyle name="Normal 172 5 2 3" xfId="28581" xr:uid="{00000000-0005-0000-0000-000072890000}"/>
    <cellStyle name="Normal 172 5 3" xfId="15014" xr:uid="{00000000-0005-0000-0000-000073890000}"/>
    <cellStyle name="Normal 172 5 3 2" xfId="32649" xr:uid="{00000000-0005-0000-0000-000074890000}"/>
    <cellStyle name="Normal 172 5 4" xfId="25718" xr:uid="{00000000-0005-0000-0000-000075890000}"/>
    <cellStyle name="Normal 172 6" xfId="7827" xr:uid="{00000000-0005-0000-0000-000076890000}"/>
    <cellStyle name="Normal 172 6 2" xfId="15624" xr:uid="{00000000-0005-0000-0000-000077890000}"/>
    <cellStyle name="Normal 172 6 2 2" xfId="33259" xr:uid="{00000000-0005-0000-0000-000078890000}"/>
    <cellStyle name="Normal 172 6 3" xfId="26243" xr:uid="{00000000-0005-0000-0000-000079890000}"/>
    <cellStyle name="Normal 172 7" xfId="11742" xr:uid="{00000000-0005-0000-0000-00007A890000}"/>
    <cellStyle name="Normal 172 7 2" xfId="29429" xr:uid="{00000000-0005-0000-0000-00007B890000}"/>
    <cellStyle name="Normal 172 8" xfId="22810" xr:uid="{00000000-0005-0000-0000-00007C890000}"/>
    <cellStyle name="Normal 172 9" xfId="23378" xr:uid="{00000000-0005-0000-0000-00007D890000}"/>
    <cellStyle name="Normal 173" xfId="2235" xr:uid="{00000000-0005-0000-0000-00007E890000}"/>
    <cellStyle name="Normal 173 10" xfId="52012" xr:uid="{00000000-0005-0000-0000-00007F890000}"/>
    <cellStyle name="Normal 173 2" xfId="4371" xr:uid="{00000000-0005-0000-0000-000080890000}"/>
    <cellStyle name="Normal 173 2 2" xfId="8507" xr:uid="{00000000-0005-0000-0000-000081890000}"/>
    <cellStyle name="Normal 173 2 2 2" xfId="16303" xr:uid="{00000000-0005-0000-0000-000082890000}"/>
    <cellStyle name="Normal 173 2 2 2 2" xfId="33938" xr:uid="{00000000-0005-0000-0000-000083890000}"/>
    <cellStyle name="Normal 173 2 2 3" xfId="26908" xr:uid="{00000000-0005-0000-0000-000084890000}"/>
    <cellStyle name="Normal 173 2 3" xfId="12747" xr:uid="{00000000-0005-0000-0000-000085890000}"/>
    <cellStyle name="Normal 173 2 3 2" xfId="30405" xr:uid="{00000000-0005-0000-0000-000086890000}"/>
    <cellStyle name="Normal 173 2 4" xfId="24043" xr:uid="{00000000-0005-0000-0000-000087890000}"/>
    <cellStyle name="Normal 173 3" xfId="5821" xr:uid="{00000000-0005-0000-0000-000088890000}"/>
    <cellStyle name="Normal 173 3 2" xfId="9121" xr:uid="{00000000-0005-0000-0000-000089890000}"/>
    <cellStyle name="Normal 173 3 2 2" xfId="16916" xr:uid="{00000000-0005-0000-0000-00008A890000}"/>
    <cellStyle name="Normal 173 3 2 2 2" xfId="34552" xr:uid="{00000000-0005-0000-0000-00008B890000}"/>
    <cellStyle name="Normal 173 3 2 3" xfId="27509" xr:uid="{00000000-0005-0000-0000-00008C890000}"/>
    <cellStyle name="Normal 173 3 3" xfId="13677" xr:uid="{00000000-0005-0000-0000-00008D890000}"/>
    <cellStyle name="Normal 173 3 3 2" xfId="31317" xr:uid="{00000000-0005-0000-0000-00008E890000}"/>
    <cellStyle name="Normal 173 3 4" xfId="24644" xr:uid="{00000000-0005-0000-0000-00008F890000}"/>
    <cellStyle name="Normal 173 4" xfId="6451" xr:uid="{00000000-0005-0000-0000-000090890000}"/>
    <cellStyle name="Normal 173 4 2" xfId="9661" xr:uid="{00000000-0005-0000-0000-000091890000}"/>
    <cellStyle name="Normal 173 4 2 2" xfId="17455" xr:uid="{00000000-0005-0000-0000-000092890000}"/>
    <cellStyle name="Normal 173 4 2 2 2" xfId="35092" xr:uid="{00000000-0005-0000-0000-000093890000}"/>
    <cellStyle name="Normal 173 4 2 3" xfId="28045" xr:uid="{00000000-0005-0000-0000-000094890000}"/>
    <cellStyle name="Normal 173 4 3" xfId="14240" xr:uid="{00000000-0005-0000-0000-000095890000}"/>
    <cellStyle name="Normal 173 4 3 2" xfId="31875" xr:uid="{00000000-0005-0000-0000-000096890000}"/>
    <cellStyle name="Normal 173 4 4" xfId="25181" xr:uid="{00000000-0005-0000-0000-000097890000}"/>
    <cellStyle name="Normal 173 5" xfId="7227" xr:uid="{00000000-0005-0000-0000-000098890000}"/>
    <cellStyle name="Normal 173 5 2" xfId="10215" xr:uid="{00000000-0005-0000-0000-000099890000}"/>
    <cellStyle name="Normal 173 5 2 2" xfId="18008" xr:uid="{00000000-0005-0000-0000-00009A890000}"/>
    <cellStyle name="Normal 173 5 2 2 2" xfId="35645" xr:uid="{00000000-0005-0000-0000-00009B890000}"/>
    <cellStyle name="Normal 173 5 2 3" xfId="28582" xr:uid="{00000000-0005-0000-0000-00009C890000}"/>
    <cellStyle name="Normal 173 5 3" xfId="15015" xr:uid="{00000000-0005-0000-0000-00009D890000}"/>
    <cellStyle name="Normal 173 5 3 2" xfId="32650" xr:uid="{00000000-0005-0000-0000-00009E890000}"/>
    <cellStyle name="Normal 173 5 4" xfId="25719" xr:uid="{00000000-0005-0000-0000-00009F890000}"/>
    <cellStyle name="Normal 173 6" xfId="7828" xr:uid="{00000000-0005-0000-0000-0000A0890000}"/>
    <cellStyle name="Normal 173 6 2" xfId="15625" xr:uid="{00000000-0005-0000-0000-0000A1890000}"/>
    <cellStyle name="Normal 173 6 2 2" xfId="33260" xr:uid="{00000000-0005-0000-0000-0000A2890000}"/>
    <cellStyle name="Normal 173 6 3" xfId="26244" xr:uid="{00000000-0005-0000-0000-0000A3890000}"/>
    <cellStyle name="Normal 173 7" xfId="11743" xr:uid="{00000000-0005-0000-0000-0000A4890000}"/>
    <cellStyle name="Normal 173 7 2" xfId="29430" xr:uid="{00000000-0005-0000-0000-0000A5890000}"/>
    <cellStyle name="Normal 173 8" xfId="22799" xr:uid="{00000000-0005-0000-0000-0000A6890000}"/>
    <cellStyle name="Normal 173 9" xfId="23379" xr:uid="{00000000-0005-0000-0000-0000A7890000}"/>
    <cellStyle name="Normal 174" xfId="2236" xr:uid="{00000000-0005-0000-0000-0000A8890000}"/>
    <cellStyle name="Normal 174 10" xfId="52013" xr:uid="{00000000-0005-0000-0000-0000A9890000}"/>
    <cellStyle name="Normal 174 2" xfId="4372" xr:uid="{00000000-0005-0000-0000-0000AA890000}"/>
    <cellStyle name="Normal 174 2 2" xfId="8508" xr:uid="{00000000-0005-0000-0000-0000AB890000}"/>
    <cellStyle name="Normal 174 2 2 2" xfId="16304" xr:uid="{00000000-0005-0000-0000-0000AC890000}"/>
    <cellStyle name="Normal 174 2 2 2 2" xfId="33939" xr:uid="{00000000-0005-0000-0000-0000AD890000}"/>
    <cellStyle name="Normal 174 2 2 3" xfId="26909" xr:uid="{00000000-0005-0000-0000-0000AE890000}"/>
    <cellStyle name="Normal 174 2 3" xfId="12748" xr:uid="{00000000-0005-0000-0000-0000AF890000}"/>
    <cellStyle name="Normal 174 2 3 2" xfId="30406" xr:uid="{00000000-0005-0000-0000-0000B0890000}"/>
    <cellStyle name="Normal 174 2 4" xfId="24044" xr:uid="{00000000-0005-0000-0000-0000B1890000}"/>
    <cellStyle name="Normal 174 3" xfId="5822" xr:uid="{00000000-0005-0000-0000-0000B2890000}"/>
    <cellStyle name="Normal 174 3 2" xfId="9122" xr:uid="{00000000-0005-0000-0000-0000B3890000}"/>
    <cellStyle name="Normal 174 3 2 2" xfId="16917" xr:uid="{00000000-0005-0000-0000-0000B4890000}"/>
    <cellStyle name="Normal 174 3 2 2 2" xfId="34553" xr:uid="{00000000-0005-0000-0000-0000B5890000}"/>
    <cellStyle name="Normal 174 3 2 3" xfId="27510" xr:uid="{00000000-0005-0000-0000-0000B6890000}"/>
    <cellStyle name="Normal 174 3 3" xfId="13678" xr:uid="{00000000-0005-0000-0000-0000B7890000}"/>
    <cellStyle name="Normal 174 3 3 2" xfId="31318" xr:uid="{00000000-0005-0000-0000-0000B8890000}"/>
    <cellStyle name="Normal 174 3 4" xfId="24645" xr:uid="{00000000-0005-0000-0000-0000B9890000}"/>
    <cellStyle name="Normal 174 4" xfId="6452" xr:uid="{00000000-0005-0000-0000-0000BA890000}"/>
    <cellStyle name="Normal 174 4 2" xfId="9662" xr:uid="{00000000-0005-0000-0000-0000BB890000}"/>
    <cellStyle name="Normal 174 4 2 2" xfId="17456" xr:uid="{00000000-0005-0000-0000-0000BC890000}"/>
    <cellStyle name="Normal 174 4 2 2 2" xfId="35093" xr:uid="{00000000-0005-0000-0000-0000BD890000}"/>
    <cellStyle name="Normal 174 4 2 3" xfId="28046" xr:uid="{00000000-0005-0000-0000-0000BE890000}"/>
    <cellStyle name="Normal 174 4 3" xfId="14241" xr:uid="{00000000-0005-0000-0000-0000BF890000}"/>
    <cellStyle name="Normal 174 4 3 2" xfId="31876" xr:uid="{00000000-0005-0000-0000-0000C0890000}"/>
    <cellStyle name="Normal 174 4 4" xfId="25182" xr:uid="{00000000-0005-0000-0000-0000C1890000}"/>
    <cellStyle name="Normal 174 5" xfId="7228" xr:uid="{00000000-0005-0000-0000-0000C2890000}"/>
    <cellStyle name="Normal 174 5 2" xfId="10216" xr:uid="{00000000-0005-0000-0000-0000C3890000}"/>
    <cellStyle name="Normal 174 5 2 2" xfId="18009" xr:uid="{00000000-0005-0000-0000-0000C4890000}"/>
    <cellStyle name="Normal 174 5 2 2 2" xfId="35646" xr:uid="{00000000-0005-0000-0000-0000C5890000}"/>
    <cellStyle name="Normal 174 5 2 3" xfId="28583" xr:uid="{00000000-0005-0000-0000-0000C6890000}"/>
    <cellStyle name="Normal 174 5 3" xfId="15016" xr:uid="{00000000-0005-0000-0000-0000C7890000}"/>
    <cellStyle name="Normal 174 5 3 2" xfId="32651" xr:uid="{00000000-0005-0000-0000-0000C8890000}"/>
    <cellStyle name="Normal 174 5 4" xfId="25720" xr:uid="{00000000-0005-0000-0000-0000C9890000}"/>
    <cellStyle name="Normal 174 6" xfId="7829" xr:uid="{00000000-0005-0000-0000-0000CA890000}"/>
    <cellStyle name="Normal 174 6 2" xfId="15626" xr:uid="{00000000-0005-0000-0000-0000CB890000}"/>
    <cellStyle name="Normal 174 6 2 2" xfId="33261" xr:uid="{00000000-0005-0000-0000-0000CC890000}"/>
    <cellStyle name="Normal 174 6 3" xfId="26245" xr:uid="{00000000-0005-0000-0000-0000CD890000}"/>
    <cellStyle name="Normal 174 7" xfId="11744" xr:uid="{00000000-0005-0000-0000-0000CE890000}"/>
    <cellStyle name="Normal 174 7 2" xfId="29431" xr:uid="{00000000-0005-0000-0000-0000CF890000}"/>
    <cellStyle name="Normal 174 8" xfId="22811" xr:uid="{00000000-0005-0000-0000-0000D0890000}"/>
    <cellStyle name="Normal 174 9" xfId="23380" xr:uid="{00000000-0005-0000-0000-0000D1890000}"/>
    <cellStyle name="Normal 175" xfId="2237" xr:uid="{00000000-0005-0000-0000-0000D2890000}"/>
    <cellStyle name="Normal 175 10" xfId="52014" xr:uid="{00000000-0005-0000-0000-0000D3890000}"/>
    <cellStyle name="Normal 175 2" xfId="4373" xr:uid="{00000000-0005-0000-0000-0000D4890000}"/>
    <cellStyle name="Normal 175 2 2" xfId="8509" xr:uid="{00000000-0005-0000-0000-0000D5890000}"/>
    <cellStyle name="Normal 175 2 2 2" xfId="16305" xr:uid="{00000000-0005-0000-0000-0000D6890000}"/>
    <cellStyle name="Normal 175 2 2 2 2" xfId="33940" xr:uid="{00000000-0005-0000-0000-0000D7890000}"/>
    <cellStyle name="Normal 175 2 2 3" xfId="26910" xr:uid="{00000000-0005-0000-0000-0000D8890000}"/>
    <cellStyle name="Normal 175 2 3" xfId="12749" xr:uid="{00000000-0005-0000-0000-0000D9890000}"/>
    <cellStyle name="Normal 175 2 3 2" xfId="30407" xr:uid="{00000000-0005-0000-0000-0000DA890000}"/>
    <cellStyle name="Normal 175 2 4" xfId="24045" xr:uid="{00000000-0005-0000-0000-0000DB890000}"/>
    <cellStyle name="Normal 175 3" xfId="5823" xr:uid="{00000000-0005-0000-0000-0000DC890000}"/>
    <cellStyle name="Normal 175 3 2" xfId="9123" xr:uid="{00000000-0005-0000-0000-0000DD890000}"/>
    <cellStyle name="Normal 175 3 2 2" xfId="16918" xr:uid="{00000000-0005-0000-0000-0000DE890000}"/>
    <cellStyle name="Normal 175 3 2 2 2" xfId="34554" xr:uid="{00000000-0005-0000-0000-0000DF890000}"/>
    <cellStyle name="Normal 175 3 2 3" xfId="27511" xr:uid="{00000000-0005-0000-0000-0000E0890000}"/>
    <cellStyle name="Normal 175 3 3" xfId="13679" xr:uid="{00000000-0005-0000-0000-0000E1890000}"/>
    <cellStyle name="Normal 175 3 3 2" xfId="31319" xr:uid="{00000000-0005-0000-0000-0000E2890000}"/>
    <cellStyle name="Normal 175 3 4" xfId="24646" xr:uid="{00000000-0005-0000-0000-0000E3890000}"/>
    <cellStyle name="Normal 175 4" xfId="6453" xr:uid="{00000000-0005-0000-0000-0000E4890000}"/>
    <cellStyle name="Normal 175 4 2" xfId="9663" xr:uid="{00000000-0005-0000-0000-0000E5890000}"/>
    <cellStyle name="Normal 175 4 2 2" xfId="17457" xr:uid="{00000000-0005-0000-0000-0000E6890000}"/>
    <cellStyle name="Normal 175 4 2 2 2" xfId="35094" xr:uid="{00000000-0005-0000-0000-0000E7890000}"/>
    <cellStyle name="Normal 175 4 2 3" xfId="28047" xr:uid="{00000000-0005-0000-0000-0000E8890000}"/>
    <cellStyle name="Normal 175 4 3" xfId="14242" xr:uid="{00000000-0005-0000-0000-0000E9890000}"/>
    <cellStyle name="Normal 175 4 3 2" xfId="31877" xr:uid="{00000000-0005-0000-0000-0000EA890000}"/>
    <cellStyle name="Normal 175 4 4" xfId="25183" xr:uid="{00000000-0005-0000-0000-0000EB890000}"/>
    <cellStyle name="Normal 175 5" xfId="7229" xr:uid="{00000000-0005-0000-0000-0000EC890000}"/>
    <cellStyle name="Normal 175 5 2" xfId="10217" xr:uid="{00000000-0005-0000-0000-0000ED890000}"/>
    <cellStyle name="Normal 175 5 2 2" xfId="18010" xr:uid="{00000000-0005-0000-0000-0000EE890000}"/>
    <cellStyle name="Normal 175 5 2 2 2" xfId="35647" xr:uid="{00000000-0005-0000-0000-0000EF890000}"/>
    <cellStyle name="Normal 175 5 2 3" xfId="28584" xr:uid="{00000000-0005-0000-0000-0000F0890000}"/>
    <cellStyle name="Normal 175 5 3" xfId="15017" xr:uid="{00000000-0005-0000-0000-0000F1890000}"/>
    <cellStyle name="Normal 175 5 3 2" xfId="32652" xr:uid="{00000000-0005-0000-0000-0000F2890000}"/>
    <cellStyle name="Normal 175 5 4" xfId="25721" xr:uid="{00000000-0005-0000-0000-0000F3890000}"/>
    <cellStyle name="Normal 175 6" xfId="7830" xr:uid="{00000000-0005-0000-0000-0000F4890000}"/>
    <cellStyle name="Normal 175 6 2" xfId="15627" xr:uid="{00000000-0005-0000-0000-0000F5890000}"/>
    <cellStyle name="Normal 175 6 2 2" xfId="33262" xr:uid="{00000000-0005-0000-0000-0000F6890000}"/>
    <cellStyle name="Normal 175 6 3" xfId="26246" xr:uid="{00000000-0005-0000-0000-0000F7890000}"/>
    <cellStyle name="Normal 175 7" xfId="11745" xr:uid="{00000000-0005-0000-0000-0000F8890000}"/>
    <cellStyle name="Normal 175 7 2" xfId="29432" xr:uid="{00000000-0005-0000-0000-0000F9890000}"/>
    <cellStyle name="Normal 175 8" xfId="22800" xr:uid="{00000000-0005-0000-0000-0000FA890000}"/>
    <cellStyle name="Normal 175 9" xfId="23381" xr:uid="{00000000-0005-0000-0000-0000FB890000}"/>
    <cellStyle name="Normal 176" xfId="2238" xr:uid="{00000000-0005-0000-0000-0000FC890000}"/>
    <cellStyle name="Normal 176 2" xfId="4374" xr:uid="{00000000-0005-0000-0000-0000FD890000}"/>
    <cellStyle name="Normal 176 3" xfId="52015" xr:uid="{00000000-0005-0000-0000-0000FE890000}"/>
    <cellStyle name="Normal 177" xfId="2239" xr:uid="{00000000-0005-0000-0000-0000FF890000}"/>
    <cellStyle name="Normal 177 2" xfId="4375" xr:uid="{00000000-0005-0000-0000-0000008A0000}"/>
    <cellStyle name="Normal 177 3" xfId="52016" xr:uid="{00000000-0005-0000-0000-0000018A0000}"/>
    <cellStyle name="Normal 178" xfId="2240" xr:uid="{00000000-0005-0000-0000-0000028A0000}"/>
    <cellStyle name="Normal 178 10" xfId="52017" xr:uid="{00000000-0005-0000-0000-0000038A0000}"/>
    <cellStyle name="Normal 178 2" xfId="4376" xr:uid="{00000000-0005-0000-0000-0000048A0000}"/>
    <cellStyle name="Normal 178 2 2" xfId="8510" xr:uid="{00000000-0005-0000-0000-0000058A0000}"/>
    <cellStyle name="Normal 178 2 2 2" xfId="16306" xr:uid="{00000000-0005-0000-0000-0000068A0000}"/>
    <cellStyle name="Normal 178 2 2 2 2" xfId="33941" xr:uid="{00000000-0005-0000-0000-0000078A0000}"/>
    <cellStyle name="Normal 178 2 2 3" xfId="26911" xr:uid="{00000000-0005-0000-0000-0000088A0000}"/>
    <cellStyle name="Normal 178 2 3" xfId="12750" xr:uid="{00000000-0005-0000-0000-0000098A0000}"/>
    <cellStyle name="Normal 178 2 3 2" xfId="30408" xr:uid="{00000000-0005-0000-0000-00000A8A0000}"/>
    <cellStyle name="Normal 178 2 4" xfId="24046" xr:uid="{00000000-0005-0000-0000-00000B8A0000}"/>
    <cellStyle name="Normal 178 3" xfId="5824" xr:uid="{00000000-0005-0000-0000-00000C8A0000}"/>
    <cellStyle name="Normal 178 3 2" xfId="9124" xr:uid="{00000000-0005-0000-0000-00000D8A0000}"/>
    <cellStyle name="Normal 178 3 2 2" xfId="16919" xr:uid="{00000000-0005-0000-0000-00000E8A0000}"/>
    <cellStyle name="Normal 178 3 2 2 2" xfId="34555" xr:uid="{00000000-0005-0000-0000-00000F8A0000}"/>
    <cellStyle name="Normal 178 3 2 3" xfId="27512" xr:uid="{00000000-0005-0000-0000-0000108A0000}"/>
    <cellStyle name="Normal 178 3 3" xfId="13680" xr:uid="{00000000-0005-0000-0000-0000118A0000}"/>
    <cellStyle name="Normal 178 3 3 2" xfId="31320" xr:uid="{00000000-0005-0000-0000-0000128A0000}"/>
    <cellStyle name="Normal 178 3 4" xfId="24647" xr:uid="{00000000-0005-0000-0000-0000138A0000}"/>
    <cellStyle name="Normal 178 4" xfId="6454" xr:uid="{00000000-0005-0000-0000-0000148A0000}"/>
    <cellStyle name="Normal 178 4 2" xfId="9664" xr:uid="{00000000-0005-0000-0000-0000158A0000}"/>
    <cellStyle name="Normal 178 4 2 2" xfId="17458" xr:uid="{00000000-0005-0000-0000-0000168A0000}"/>
    <cellStyle name="Normal 178 4 2 2 2" xfId="35095" xr:uid="{00000000-0005-0000-0000-0000178A0000}"/>
    <cellStyle name="Normal 178 4 2 3" xfId="28048" xr:uid="{00000000-0005-0000-0000-0000188A0000}"/>
    <cellStyle name="Normal 178 4 3" xfId="14243" xr:uid="{00000000-0005-0000-0000-0000198A0000}"/>
    <cellStyle name="Normal 178 4 3 2" xfId="31878" xr:uid="{00000000-0005-0000-0000-00001A8A0000}"/>
    <cellStyle name="Normal 178 4 4" xfId="25184" xr:uid="{00000000-0005-0000-0000-00001B8A0000}"/>
    <cellStyle name="Normal 178 5" xfId="7230" xr:uid="{00000000-0005-0000-0000-00001C8A0000}"/>
    <cellStyle name="Normal 178 5 2" xfId="10218" xr:uid="{00000000-0005-0000-0000-00001D8A0000}"/>
    <cellStyle name="Normal 178 5 2 2" xfId="18011" xr:uid="{00000000-0005-0000-0000-00001E8A0000}"/>
    <cellStyle name="Normal 178 5 2 2 2" xfId="35648" xr:uid="{00000000-0005-0000-0000-00001F8A0000}"/>
    <cellStyle name="Normal 178 5 2 3" xfId="28585" xr:uid="{00000000-0005-0000-0000-0000208A0000}"/>
    <cellStyle name="Normal 178 5 3" xfId="15018" xr:uid="{00000000-0005-0000-0000-0000218A0000}"/>
    <cellStyle name="Normal 178 5 3 2" xfId="32653" xr:uid="{00000000-0005-0000-0000-0000228A0000}"/>
    <cellStyle name="Normal 178 5 4" xfId="25722" xr:uid="{00000000-0005-0000-0000-0000238A0000}"/>
    <cellStyle name="Normal 178 6" xfId="7831" xr:uid="{00000000-0005-0000-0000-0000248A0000}"/>
    <cellStyle name="Normal 178 6 2" xfId="15628" xr:uid="{00000000-0005-0000-0000-0000258A0000}"/>
    <cellStyle name="Normal 178 6 2 2" xfId="33263" xr:uid="{00000000-0005-0000-0000-0000268A0000}"/>
    <cellStyle name="Normal 178 6 3" xfId="26247" xr:uid="{00000000-0005-0000-0000-0000278A0000}"/>
    <cellStyle name="Normal 178 7" xfId="11746" xr:uid="{00000000-0005-0000-0000-0000288A0000}"/>
    <cellStyle name="Normal 178 7 2" xfId="29433" xr:uid="{00000000-0005-0000-0000-0000298A0000}"/>
    <cellStyle name="Normal 178 8" xfId="22813" xr:uid="{00000000-0005-0000-0000-00002A8A0000}"/>
    <cellStyle name="Normal 178 9" xfId="23382" xr:uid="{00000000-0005-0000-0000-00002B8A0000}"/>
    <cellStyle name="Normal 179" xfId="2241" xr:uid="{00000000-0005-0000-0000-00002C8A0000}"/>
    <cellStyle name="Normal 179 10" xfId="52018" xr:uid="{00000000-0005-0000-0000-00002D8A0000}"/>
    <cellStyle name="Normal 179 2" xfId="4377" xr:uid="{00000000-0005-0000-0000-00002E8A0000}"/>
    <cellStyle name="Normal 179 2 2" xfId="8511" xr:uid="{00000000-0005-0000-0000-00002F8A0000}"/>
    <cellStyle name="Normal 179 2 2 2" xfId="16307" xr:uid="{00000000-0005-0000-0000-0000308A0000}"/>
    <cellStyle name="Normal 179 2 2 2 2" xfId="33942" xr:uid="{00000000-0005-0000-0000-0000318A0000}"/>
    <cellStyle name="Normal 179 2 2 3" xfId="26912" xr:uid="{00000000-0005-0000-0000-0000328A0000}"/>
    <cellStyle name="Normal 179 2 3" xfId="12751" xr:uid="{00000000-0005-0000-0000-0000338A0000}"/>
    <cellStyle name="Normal 179 2 3 2" xfId="30409" xr:uid="{00000000-0005-0000-0000-0000348A0000}"/>
    <cellStyle name="Normal 179 2 4" xfId="24047" xr:uid="{00000000-0005-0000-0000-0000358A0000}"/>
    <cellStyle name="Normal 179 3" xfId="5825" xr:uid="{00000000-0005-0000-0000-0000368A0000}"/>
    <cellStyle name="Normal 179 3 2" xfId="9125" xr:uid="{00000000-0005-0000-0000-0000378A0000}"/>
    <cellStyle name="Normal 179 3 2 2" xfId="16920" xr:uid="{00000000-0005-0000-0000-0000388A0000}"/>
    <cellStyle name="Normal 179 3 2 2 2" xfId="34556" xr:uid="{00000000-0005-0000-0000-0000398A0000}"/>
    <cellStyle name="Normal 179 3 2 3" xfId="27513" xr:uid="{00000000-0005-0000-0000-00003A8A0000}"/>
    <cellStyle name="Normal 179 3 3" xfId="13681" xr:uid="{00000000-0005-0000-0000-00003B8A0000}"/>
    <cellStyle name="Normal 179 3 3 2" xfId="31321" xr:uid="{00000000-0005-0000-0000-00003C8A0000}"/>
    <cellStyle name="Normal 179 3 4" xfId="24648" xr:uid="{00000000-0005-0000-0000-00003D8A0000}"/>
    <cellStyle name="Normal 179 4" xfId="6455" xr:uid="{00000000-0005-0000-0000-00003E8A0000}"/>
    <cellStyle name="Normal 179 4 2" xfId="9665" xr:uid="{00000000-0005-0000-0000-00003F8A0000}"/>
    <cellStyle name="Normal 179 4 2 2" xfId="17459" xr:uid="{00000000-0005-0000-0000-0000408A0000}"/>
    <cellStyle name="Normal 179 4 2 2 2" xfId="35096" xr:uid="{00000000-0005-0000-0000-0000418A0000}"/>
    <cellStyle name="Normal 179 4 2 3" xfId="28049" xr:uid="{00000000-0005-0000-0000-0000428A0000}"/>
    <cellStyle name="Normal 179 4 3" xfId="14244" xr:uid="{00000000-0005-0000-0000-0000438A0000}"/>
    <cellStyle name="Normal 179 4 3 2" xfId="31879" xr:uid="{00000000-0005-0000-0000-0000448A0000}"/>
    <cellStyle name="Normal 179 4 4" xfId="25185" xr:uid="{00000000-0005-0000-0000-0000458A0000}"/>
    <cellStyle name="Normal 179 5" xfId="7231" xr:uid="{00000000-0005-0000-0000-0000468A0000}"/>
    <cellStyle name="Normal 179 5 2" xfId="10219" xr:uid="{00000000-0005-0000-0000-0000478A0000}"/>
    <cellStyle name="Normal 179 5 2 2" xfId="18012" xr:uid="{00000000-0005-0000-0000-0000488A0000}"/>
    <cellStyle name="Normal 179 5 2 2 2" xfId="35649" xr:uid="{00000000-0005-0000-0000-0000498A0000}"/>
    <cellStyle name="Normal 179 5 2 3" xfId="28586" xr:uid="{00000000-0005-0000-0000-00004A8A0000}"/>
    <cellStyle name="Normal 179 5 3" xfId="15019" xr:uid="{00000000-0005-0000-0000-00004B8A0000}"/>
    <cellStyle name="Normal 179 5 3 2" xfId="32654" xr:uid="{00000000-0005-0000-0000-00004C8A0000}"/>
    <cellStyle name="Normal 179 5 4" xfId="25723" xr:uid="{00000000-0005-0000-0000-00004D8A0000}"/>
    <cellStyle name="Normal 179 6" xfId="7832" xr:uid="{00000000-0005-0000-0000-00004E8A0000}"/>
    <cellStyle name="Normal 179 6 2" xfId="15629" xr:uid="{00000000-0005-0000-0000-00004F8A0000}"/>
    <cellStyle name="Normal 179 6 2 2" xfId="33264" xr:uid="{00000000-0005-0000-0000-0000508A0000}"/>
    <cellStyle name="Normal 179 6 3" xfId="26248" xr:uid="{00000000-0005-0000-0000-0000518A0000}"/>
    <cellStyle name="Normal 179 7" xfId="11747" xr:uid="{00000000-0005-0000-0000-0000528A0000}"/>
    <cellStyle name="Normal 179 7 2" xfId="29434" xr:uid="{00000000-0005-0000-0000-0000538A0000}"/>
    <cellStyle name="Normal 179 8" xfId="22801" xr:uid="{00000000-0005-0000-0000-0000548A0000}"/>
    <cellStyle name="Normal 179 9" xfId="23383" xr:uid="{00000000-0005-0000-0000-0000558A0000}"/>
    <cellStyle name="Normal 18" xfId="2242" xr:uid="{00000000-0005-0000-0000-0000568A0000}"/>
    <cellStyle name="Normal 18 2" xfId="2243" xr:uid="{00000000-0005-0000-0000-0000578A0000}"/>
    <cellStyle name="Normal 18 2 2" xfId="2244" xr:uid="{00000000-0005-0000-0000-0000588A0000}"/>
    <cellStyle name="Normal 18 2_Sheet1" xfId="2245" xr:uid="{00000000-0005-0000-0000-0000598A0000}"/>
    <cellStyle name="Normal 18 3" xfId="2246" xr:uid="{00000000-0005-0000-0000-00005A8A0000}"/>
    <cellStyle name="Normal 18 4" xfId="22959" xr:uid="{00000000-0005-0000-0000-00005B8A0000}"/>
    <cellStyle name="Normal 18 5" xfId="22545" xr:uid="{00000000-0005-0000-0000-00005C8A0000}"/>
    <cellStyle name="Normal 18 6" xfId="22395" xr:uid="{00000000-0005-0000-0000-00005D8A0000}"/>
    <cellStyle name="Normal 18 7" xfId="53239" xr:uid="{00000000-0005-0000-0000-00005E8A0000}"/>
    <cellStyle name="Normal 18 8" xfId="53240" xr:uid="{00000000-0005-0000-0000-00005F8A0000}"/>
    <cellStyle name="Normal 18 9" xfId="53238" xr:uid="{00000000-0005-0000-0000-0000608A0000}"/>
    <cellStyle name="Normal 18_Sheet1" xfId="2247" xr:uid="{00000000-0005-0000-0000-0000618A0000}"/>
    <cellStyle name="Normal 180" xfId="2248" xr:uid="{00000000-0005-0000-0000-0000628A0000}"/>
    <cellStyle name="Normal 180 10" xfId="52019" xr:uid="{00000000-0005-0000-0000-0000638A0000}"/>
    <cellStyle name="Normal 180 2" xfId="4378" xr:uid="{00000000-0005-0000-0000-0000648A0000}"/>
    <cellStyle name="Normal 180 2 2" xfId="8512" xr:uid="{00000000-0005-0000-0000-0000658A0000}"/>
    <cellStyle name="Normal 180 2 2 2" xfId="16308" xr:uid="{00000000-0005-0000-0000-0000668A0000}"/>
    <cellStyle name="Normal 180 2 2 2 2" xfId="33943" xr:uid="{00000000-0005-0000-0000-0000678A0000}"/>
    <cellStyle name="Normal 180 2 2 3" xfId="26913" xr:uid="{00000000-0005-0000-0000-0000688A0000}"/>
    <cellStyle name="Normal 180 2 3" xfId="12752" xr:uid="{00000000-0005-0000-0000-0000698A0000}"/>
    <cellStyle name="Normal 180 2 3 2" xfId="30410" xr:uid="{00000000-0005-0000-0000-00006A8A0000}"/>
    <cellStyle name="Normal 180 2 4" xfId="24048" xr:uid="{00000000-0005-0000-0000-00006B8A0000}"/>
    <cellStyle name="Normal 180 3" xfId="5826" xr:uid="{00000000-0005-0000-0000-00006C8A0000}"/>
    <cellStyle name="Normal 180 3 2" xfId="9126" xr:uid="{00000000-0005-0000-0000-00006D8A0000}"/>
    <cellStyle name="Normal 180 3 2 2" xfId="16921" xr:uid="{00000000-0005-0000-0000-00006E8A0000}"/>
    <cellStyle name="Normal 180 3 2 2 2" xfId="34557" xr:uid="{00000000-0005-0000-0000-00006F8A0000}"/>
    <cellStyle name="Normal 180 3 2 3" xfId="27514" xr:uid="{00000000-0005-0000-0000-0000708A0000}"/>
    <cellStyle name="Normal 180 3 3" xfId="13682" xr:uid="{00000000-0005-0000-0000-0000718A0000}"/>
    <cellStyle name="Normal 180 3 3 2" xfId="31322" xr:uid="{00000000-0005-0000-0000-0000728A0000}"/>
    <cellStyle name="Normal 180 3 4" xfId="24649" xr:uid="{00000000-0005-0000-0000-0000738A0000}"/>
    <cellStyle name="Normal 180 4" xfId="6456" xr:uid="{00000000-0005-0000-0000-0000748A0000}"/>
    <cellStyle name="Normal 180 4 2" xfId="9666" xr:uid="{00000000-0005-0000-0000-0000758A0000}"/>
    <cellStyle name="Normal 180 4 2 2" xfId="17460" xr:uid="{00000000-0005-0000-0000-0000768A0000}"/>
    <cellStyle name="Normal 180 4 2 2 2" xfId="35097" xr:uid="{00000000-0005-0000-0000-0000778A0000}"/>
    <cellStyle name="Normal 180 4 2 3" xfId="28050" xr:uid="{00000000-0005-0000-0000-0000788A0000}"/>
    <cellStyle name="Normal 180 4 3" xfId="14245" xr:uid="{00000000-0005-0000-0000-0000798A0000}"/>
    <cellStyle name="Normal 180 4 3 2" xfId="31880" xr:uid="{00000000-0005-0000-0000-00007A8A0000}"/>
    <cellStyle name="Normal 180 4 4" xfId="25186" xr:uid="{00000000-0005-0000-0000-00007B8A0000}"/>
    <cellStyle name="Normal 180 5" xfId="7232" xr:uid="{00000000-0005-0000-0000-00007C8A0000}"/>
    <cellStyle name="Normal 180 5 2" xfId="10220" xr:uid="{00000000-0005-0000-0000-00007D8A0000}"/>
    <cellStyle name="Normal 180 5 2 2" xfId="18013" xr:uid="{00000000-0005-0000-0000-00007E8A0000}"/>
    <cellStyle name="Normal 180 5 2 2 2" xfId="35650" xr:uid="{00000000-0005-0000-0000-00007F8A0000}"/>
    <cellStyle name="Normal 180 5 2 3" xfId="28587" xr:uid="{00000000-0005-0000-0000-0000808A0000}"/>
    <cellStyle name="Normal 180 5 3" xfId="15020" xr:uid="{00000000-0005-0000-0000-0000818A0000}"/>
    <cellStyle name="Normal 180 5 3 2" xfId="32655" xr:uid="{00000000-0005-0000-0000-0000828A0000}"/>
    <cellStyle name="Normal 180 5 4" xfId="25724" xr:uid="{00000000-0005-0000-0000-0000838A0000}"/>
    <cellStyle name="Normal 180 6" xfId="7833" xr:uid="{00000000-0005-0000-0000-0000848A0000}"/>
    <cellStyle name="Normal 180 6 2" xfId="15630" xr:uid="{00000000-0005-0000-0000-0000858A0000}"/>
    <cellStyle name="Normal 180 6 2 2" xfId="33265" xr:uid="{00000000-0005-0000-0000-0000868A0000}"/>
    <cellStyle name="Normal 180 6 3" xfId="26249" xr:uid="{00000000-0005-0000-0000-0000878A0000}"/>
    <cellStyle name="Normal 180 7" xfId="11748" xr:uid="{00000000-0005-0000-0000-0000888A0000}"/>
    <cellStyle name="Normal 180 7 2" xfId="29435" xr:uid="{00000000-0005-0000-0000-0000898A0000}"/>
    <cellStyle name="Normal 180 8" xfId="22814" xr:uid="{00000000-0005-0000-0000-00008A8A0000}"/>
    <cellStyle name="Normal 180 9" xfId="23384" xr:uid="{00000000-0005-0000-0000-00008B8A0000}"/>
    <cellStyle name="Normal 181" xfId="2249" xr:uid="{00000000-0005-0000-0000-00008C8A0000}"/>
    <cellStyle name="Normal 181 10" xfId="52020" xr:uid="{00000000-0005-0000-0000-00008D8A0000}"/>
    <cellStyle name="Normal 181 2" xfId="4379" xr:uid="{00000000-0005-0000-0000-00008E8A0000}"/>
    <cellStyle name="Normal 181 2 2" xfId="8513" xr:uid="{00000000-0005-0000-0000-00008F8A0000}"/>
    <cellStyle name="Normal 181 2 2 2" xfId="16309" xr:uid="{00000000-0005-0000-0000-0000908A0000}"/>
    <cellStyle name="Normal 181 2 2 2 2" xfId="33944" xr:uid="{00000000-0005-0000-0000-0000918A0000}"/>
    <cellStyle name="Normal 181 2 2 3" xfId="26914" xr:uid="{00000000-0005-0000-0000-0000928A0000}"/>
    <cellStyle name="Normal 181 2 3" xfId="12753" xr:uid="{00000000-0005-0000-0000-0000938A0000}"/>
    <cellStyle name="Normal 181 2 3 2" xfId="30411" xr:uid="{00000000-0005-0000-0000-0000948A0000}"/>
    <cellStyle name="Normal 181 2 4" xfId="24049" xr:uid="{00000000-0005-0000-0000-0000958A0000}"/>
    <cellStyle name="Normal 181 3" xfId="5827" xr:uid="{00000000-0005-0000-0000-0000968A0000}"/>
    <cellStyle name="Normal 181 3 2" xfId="9127" xr:uid="{00000000-0005-0000-0000-0000978A0000}"/>
    <cellStyle name="Normal 181 3 2 2" xfId="16922" xr:uid="{00000000-0005-0000-0000-0000988A0000}"/>
    <cellStyle name="Normal 181 3 2 2 2" xfId="34558" xr:uid="{00000000-0005-0000-0000-0000998A0000}"/>
    <cellStyle name="Normal 181 3 2 3" xfId="27515" xr:uid="{00000000-0005-0000-0000-00009A8A0000}"/>
    <cellStyle name="Normal 181 3 3" xfId="13683" xr:uid="{00000000-0005-0000-0000-00009B8A0000}"/>
    <cellStyle name="Normal 181 3 3 2" xfId="31323" xr:uid="{00000000-0005-0000-0000-00009C8A0000}"/>
    <cellStyle name="Normal 181 3 4" xfId="24650" xr:uid="{00000000-0005-0000-0000-00009D8A0000}"/>
    <cellStyle name="Normal 181 4" xfId="6457" xr:uid="{00000000-0005-0000-0000-00009E8A0000}"/>
    <cellStyle name="Normal 181 4 2" xfId="9667" xr:uid="{00000000-0005-0000-0000-00009F8A0000}"/>
    <cellStyle name="Normal 181 4 2 2" xfId="17461" xr:uid="{00000000-0005-0000-0000-0000A08A0000}"/>
    <cellStyle name="Normal 181 4 2 2 2" xfId="35098" xr:uid="{00000000-0005-0000-0000-0000A18A0000}"/>
    <cellStyle name="Normal 181 4 2 3" xfId="28051" xr:uid="{00000000-0005-0000-0000-0000A28A0000}"/>
    <cellStyle name="Normal 181 4 3" xfId="14246" xr:uid="{00000000-0005-0000-0000-0000A38A0000}"/>
    <cellStyle name="Normal 181 4 3 2" xfId="31881" xr:uid="{00000000-0005-0000-0000-0000A48A0000}"/>
    <cellStyle name="Normal 181 4 4" xfId="25187" xr:uid="{00000000-0005-0000-0000-0000A58A0000}"/>
    <cellStyle name="Normal 181 5" xfId="7233" xr:uid="{00000000-0005-0000-0000-0000A68A0000}"/>
    <cellStyle name="Normal 181 5 2" xfId="10221" xr:uid="{00000000-0005-0000-0000-0000A78A0000}"/>
    <cellStyle name="Normal 181 5 2 2" xfId="18014" xr:uid="{00000000-0005-0000-0000-0000A88A0000}"/>
    <cellStyle name="Normal 181 5 2 2 2" xfId="35651" xr:uid="{00000000-0005-0000-0000-0000A98A0000}"/>
    <cellStyle name="Normal 181 5 2 3" xfId="28588" xr:uid="{00000000-0005-0000-0000-0000AA8A0000}"/>
    <cellStyle name="Normal 181 5 3" xfId="15021" xr:uid="{00000000-0005-0000-0000-0000AB8A0000}"/>
    <cellStyle name="Normal 181 5 3 2" xfId="32656" xr:uid="{00000000-0005-0000-0000-0000AC8A0000}"/>
    <cellStyle name="Normal 181 5 4" xfId="25725" xr:uid="{00000000-0005-0000-0000-0000AD8A0000}"/>
    <cellStyle name="Normal 181 6" xfId="7834" xr:uid="{00000000-0005-0000-0000-0000AE8A0000}"/>
    <cellStyle name="Normal 181 6 2" xfId="15631" xr:uid="{00000000-0005-0000-0000-0000AF8A0000}"/>
    <cellStyle name="Normal 181 6 2 2" xfId="33266" xr:uid="{00000000-0005-0000-0000-0000B08A0000}"/>
    <cellStyle name="Normal 181 6 3" xfId="26250" xr:uid="{00000000-0005-0000-0000-0000B18A0000}"/>
    <cellStyle name="Normal 181 7" xfId="11749" xr:uid="{00000000-0005-0000-0000-0000B28A0000}"/>
    <cellStyle name="Normal 181 7 2" xfId="29436" xr:uid="{00000000-0005-0000-0000-0000B38A0000}"/>
    <cellStyle name="Normal 181 8" xfId="22815" xr:uid="{00000000-0005-0000-0000-0000B48A0000}"/>
    <cellStyle name="Normal 181 9" xfId="23385" xr:uid="{00000000-0005-0000-0000-0000B58A0000}"/>
    <cellStyle name="Normal 182" xfId="2250" xr:uid="{00000000-0005-0000-0000-0000B68A0000}"/>
    <cellStyle name="Normal 182 10" xfId="52021" xr:uid="{00000000-0005-0000-0000-0000B78A0000}"/>
    <cellStyle name="Normal 182 2" xfId="4380" xr:uid="{00000000-0005-0000-0000-0000B88A0000}"/>
    <cellStyle name="Normal 182 2 2" xfId="8514" xr:uid="{00000000-0005-0000-0000-0000B98A0000}"/>
    <cellStyle name="Normal 182 2 2 2" xfId="16310" xr:uid="{00000000-0005-0000-0000-0000BA8A0000}"/>
    <cellStyle name="Normal 182 2 2 2 2" xfId="33945" xr:uid="{00000000-0005-0000-0000-0000BB8A0000}"/>
    <cellStyle name="Normal 182 2 2 3" xfId="26915" xr:uid="{00000000-0005-0000-0000-0000BC8A0000}"/>
    <cellStyle name="Normal 182 2 3" xfId="12754" xr:uid="{00000000-0005-0000-0000-0000BD8A0000}"/>
    <cellStyle name="Normal 182 2 3 2" xfId="30412" xr:uid="{00000000-0005-0000-0000-0000BE8A0000}"/>
    <cellStyle name="Normal 182 2 4" xfId="24050" xr:uid="{00000000-0005-0000-0000-0000BF8A0000}"/>
    <cellStyle name="Normal 182 3" xfId="5828" xr:uid="{00000000-0005-0000-0000-0000C08A0000}"/>
    <cellStyle name="Normal 182 3 2" xfId="9128" xr:uid="{00000000-0005-0000-0000-0000C18A0000}"/>
    <cellStyle name="Normal 182 3 2 2" xfId="16923" xr:uid="{00000000-0005-0000-0000-0000C28A0000}"/>
    <cellStyle name="Normal 182 3 2 2 2" xfId="34559" xr:uid="{00000000-0005-0000-0000-0000C38A0000}"/>
    <cellStyle name="Normal 182 3 2 3" xfId="27516" xr:uid="{00000000-0005-0000-0000-0000C48A0000}"/>
    <cellStyle name="Normal 182 3 3" xfId="13684" xr:uid="{00000000-0005-0000-0000-0000C58A0000}"/>
    <cellStyle name="Normal 182 3 3 2" xfId="31324" xr:uid="{00000000-0005-0000-0000-0000C68A0000}"/>
    <cellStyle name="Normal 182 3 4" xfId="24651" xr:uid="{00000000-0005-0000-0000-0000C78A0000}"/>
    <cellStyle name="Normal 182 4" xfId="6458" xr:uid="{00000000-0005-0000-0000-0000C88A0000}"/>
    <cellStyle name="Normal 182 4 2" xfId="9668" xr:uid="{00000000-0005-0000-0000-0000C98A0000}"/>
    <cellStyle name="Normal 182 4 2 2" xfId="17462" xr:uid="{00000000-0005-0000-0000-0000CA8A0000}"/>
    <cellStyle name="Normal 182 4 2 2 2" xfId="35099" xr:uid="{00000000-0005-0000-0000-0000CB8A0000}"/>
    <cellStyle name="Normal 182 4 2 3" xfId="28052" xr:uid="{00000000-0005-0000-0000-0000CC8A0000}"/>
    <cellStyle name="Normal 182 4 3" xfId="14247" xr:uid="{00000000-0005-0000-0000-0000CD8A0000}"/>
    <cellStyle name="Normal 182 4 3 2" xfId="31882" xr:uid="{00000000-0005-0000-0000-0000CE8A0000}"/>
    <cellStyle name="Normal 182 4 4" xfId="25188" xr:uid="{00000000-0005-0000-0000-0000CF8A0000}"/>
    <cellStyle name="Normal 182 5" xfId="7234" xr:uid="{00000000-0005-0000-0000-0000D08A0000}"/>
    <cellStyle name="Normal 182 5 2" xfId="10222" xr:uid="{00000000-0005-0000-0000-0000D18A0000}"/>
    <cellStyle name="Normal 182 5 2 2" xfId="18015" xr:uid="{00000000-0005-0000-0000-0000D28A0000}"/>
    <cellStyle name="Normal 182 5 2 2 2" xfId="35652" xr:uid="{00000000-0005-0000-0000-0000D38A0000}"/>
    <cellStyle name="Normal 182 5 2 3" xfId="28589" xr:uid="{00000000-0005-0000-0000-0000D48A0000}"/>
    <cellStyle name="Normal 182 5 3" xfId="15022" xr:uid="{00000000-0005-0000-0000-0000D58A0000}"/>
    <cellStyle name="Normal 182 5 3 2" xfId="32657" xr:uid="{00000000-0005-0000-0000-0000D68A0000}"/>
    <cellStyle name="Normal 182 5 4" xfId="25726" xr:uid="{00000000-0005-0000-0000-0000D78A0000}"/>
    <cellStyle name="Normal 182 6" xfId="7835" xr:uid="{00000000-0005-0000-0000-0000D88A0000}"/>
    <cellStyle name="Normal 182 6 2" xfId="15632" xr:uid="{00000000-0005-0000-0000-0000D98A0000}"/>
    <cellStyle name="Normal 182 6 2 2" xfId="33267" xr:uid="{00000000-0005-0000-0000-0000DA8A0000}"/>
    <cellStyle name="Normal 182 6 3" xfId="26251" xr:uid="{00000000-0005-0000-0000-0000DB8A0000}"/>
    <cellStyle name="Normal 182 7" xfId="11750" xr:uid="{00000000-0005-0000-0000-0000DC8A0000}"/>
    <cellStyle name="Normal 182 7 2" xfId="29437" xr:uid="{00000000-0005-0000-0000-0000DD8A0000}"/>
    <cellStyle name="Normal 182 8" xfId="22812" xr:uid="{00000000-0005-0000-0000-0000DE8A0000}"/>
    <cellStyle name="Normal 182 9" xfId="23386" xr:uid="{00000000-0005-0000-0000-0000DF8A0000}"/>
    <cellStyle name="Normal 183" xfId="2251" xr:uid="{00000000-0005-0000-0000-0000E08A0000}"/>
    <cellStyle name="Normal 183 10" xfId="52022" xr:uid="{00000000-0005-0000-0000-0000E18A0000}"/>
    <cellStyle name="Normal 183 2" xfId="4381" xr:uid="{00000000-0005-0000-0000-0000E28A0000}"/>
    <cellStyle name="Normal 183 2 2" xfId="8515" xr:uid="{00000000-0005-0000-0000-0000E38A0000}"/>
    <cellStyle name="Normal 183 2 2 2" xfId="16311" xr:uid="{00000000-0005-0000-0000-0000E48A0000}"/>
    <cellStyle name="Normal 183 2 2 2 2" xfId="33946" xr:uid="{00000000-0005-0000-0000-0000E58A0000}"/>
    <cellStyle name="Normal 183 2 2 3" xfId="26916" xr:uid="{00000000-0005-0000-0000-0000E68A0000}"/>
    <cellStyle name="Normal 183 2 3" xfId="12755" xr:uid="{00000000-0005-0000-0000-0000E78A0000}"/>
    <cellStyle name="Normal 183 2 3 2" xfId="30413" xr:uid="{00000000-0005-0000-0000-0000E88A0000}"/>
    <cellStyle name="Normal 183 2 4" xfId="24051" xr:uid="{00000000-0005-0000-0000-0000E98A0000}"/>
    <cellStyle name="Normal 183 3" xfId="5829" xr:uid="{00000000-0005-0000-0000-0000EA8A0000}"/>
    <cellStyle name="Normal 183 3 2" xfId="9129" xr:uid="{00000000-0005-0000-0000-0000EB8A0000}"/>
    <cellStyle name="Normal 183 3 2 2" xfId="16924" xr:uid="{00000000-0005-0000-0000-0000EC8A0000}"/>
    <cellStyle name="Normal 183 3 2 2 2" xfId="34560" xr:uid="{00000000-0005-0000-0000-0000ED8A0000}"/>
    <cellStyle name="Normal 183 3 2 3" xfId="27517" xr:uid="{00000000-0005-0000-0000-0000EE8A0000}"/>
    <cellStyle name="Normal 183 3 3" xfId="13685" xr:uid="{00000000-0005-0000-0000-0000EF8A0000}"/>
    <cellStyle name="Normal 183 3 3 2" xfId="31325" xr:uid="{00000000-0005-0000-0000-0000F08A0000}"/>
    <cellStyle name="Normal 183 3 4" xfId="24652" xr:uid="{00000000-0005-0000-0000-0000F18A0000}"/>
    <cellStyle name="Normal 183 4" xfId="6459" xr:uid="{00000000-0005-0000-0000-0000F28A0000}"/>
    <cellStyle name="Normal 183 4 2" xfId="9669" xr:uid="{00000000-0005-0000-0000-0000F38A0000}"/>
    <cellStyle name="Normal 183 4 2 2" xfId="17463" xr:uid="{00000000-0005-0000-0000-0000F48A0000}"/>
    <cellStyle name="Normal 183 4 2 2 2" xfId="35100" xr:uid="{00000000-0005-0000-0000-0000F58A0000}"/>
    <cellStyle name="Normal 183 4 2 3" xfId="28053" xr:uid="{00000000-0005-0000-0000-0000F68A0000}"/>
    <cellStyle name="Normal 183 4 3" xfId="14248" xr:uid="{00000000-0005-0000-0000-0000F78A0000}"/>
    <cellStyle name="Normal 183 4 3 2" xfId="31883" xr:uid="{00000000-0005-0000-0000-0000F88A0000}"/>
    <cellStyle name="Normal 183 4 4" xfId="25189" xr:uid="{00000000-0005-0000-0000-0000F98A0000}"/>
    <cellStyle name="Normal 183 5" xfId="7235" xr:uid="{00000000-0005-0000-0000-0000FA8A0000}"/>
    <cellStyle name="Normal 183 5 2" xfId="10223" xr:uid="{00000000-0005-0000-0000-0000FB8A0000}"/>
    <cellStyle name="Normal 183 5 2 2" xfId="18016" xr:uid="{00000000-0005-0000-0000-0000FC8A0000}"/>
    <cellStyle name="Normal 183 5 2 2 2" xfId="35653" xr:uid="{00000000-0005-0000-0000-0000FD8A0000}"/>
    <cellStyle name="Normal 183 5 2 3" xfId="28590" xr:uid="{00000000-0005-0000-0000-0000FE8A0000}"/>
    <cellStyle name="Normal 183 5 3" xfId="15023" xr:uid="{00000000-0005-0000-0000-0000FF8A0000}"/>
    <cellStyle name="Normal 183 5 3 2" xfId="32658" xr:uid="{00000000-0005-0000-0000-0000008B0000}"/>
    <cellStyle name="Normal 183 5 4" xfId="25727" xr:uid="{00000000-0005-0000-0000-0000018B0000}"/>
    <cellStyle name="Normal 183 6" xfId="7836" xr:uid="{00000000-0005-0000-0000-0000028B0000}"/>
    <cellStyle name="Normal 183 6 2" xfId="15633" xr:uid="{00000000-0005-0000-0000-0000038B0000}"/>
    <cellStyle name="Normal 183 6 2 2" xfId="33268" xr:uid="{00000000-0005-0000-0000-0000048B0000}"/>
    <cellStyle name="Normal 183 6 3" xfId="26252" xr:uid="{00000000-0005-0000-0000-0000058B0000}"/>
    <cellStyle name="Normal 183 7" xfId="11751" xr:uid="{00000000-0005-0000-0000-0000068B0000}"/>
    <cellStyle name="Normal 183 7 2" xfId="29438" xr:uid="{00000000-0005-0000-0000-0000078B0000}"/>
    <cellStyle name="Normal 183 8" xfId="22816" xr:uid="{00000000-0005-0000-0000-0000088B0000}"/>
    <cellStyle name="Normal 183 9" xfId="23387" xr:uid="{00000000-0005-0000-0000-0000098B0000}"/>
    <cellStyle name="Normal 184" xfId="2252" xr:uid="{00000000-0005-0000-0000-00000A8B0000}"/>
    <cellStyle name="Normal 184 10" xfId="52023" xr:uid="{00000000-0005-0000-0000-00000B8B0000}"/>
    <cellStyle name="Normal 184 2" xfId="4382" xr:uid="{00000000-0005-0000-0000-00000C8B0000}"/>
    <cellStyle name="Normal 184 2 2" xfId="8516" xr:uid="{00000000-0005-0000-0000-00000D8B0000}"/>
    <cellStyle name="Normal 184 2 2 2" xfId="16312" xr:uid="{00000000-0005-0000-0000-00000E8B0000}"/>
    <cellStyle name="Normal 184 2 2 2 2" xfId="33947" xr:uid="{00000000-0005-0000-0000-00000F8B0000}"/>
    <cellStyle name="Normal 184 2 2 3" xfId="26917" xr:uid="{00000000-0005-0000-0000-0000108B0000}"/>
    <cellStyle name="Normal 184 2 3" xfId="12756" xr:uid="{00000000-0005-0000-0000-0000118B0000}"/>
    <cellStyle name="Normal 184 2 3 2" xfId="30414" xr:uid="{00000000-0005-0000-0000-0000128B0000}"/>
    <cellStyle name="Normal 184 2 4" xfId="24052" xr:uid="{00000000-0005-0000-0000-0000138B0000}"/>
    <cellStyle name="Normal 184 3" xfId="5830" xr:uid="{00000000-0005-0000-0000-0000148B0000}"/>
    <cellStyle name="Normal 184 3 2" xfId="9130" xr:uid="{00000000-0005-0000-0000-0000158B0000}"/>
    <cellStyle name="Normal 184 3 2 2" xfId="16925" xr:uid="{00000000-0005-0000-0000-0000168B0000}"/>
    <cellStyle name="Normal 184 3 2 2 2" xfId="34561" xr:uid="{00000000-0005-0000-0000-0000178B0000}"/>
    <cellStyle name="Normal 184 3 2 3" xfId="27518" xr:uid="{00000000-0005-0000-0000-0000188B0000}"/>
    <cellStyle name="Normal 184 3 3" xfId="13686" xr:uid="{00000000-0005-0000-0000-0000198B0000}"/>
    <cellStyle name="Normal 184 3 3 2" xfId="31326" xr:uid="{00000000-0005-0000-0000-00001A8B0000}"/>
    <cellStyle name="Normal 184 3 4" xfId="24653" xr:uid="{00000000-0005-0000-0000-00001B8B0000}"/>
    <cellStyle name="Normal 184 4" xfId="6460" xr:uid="{00000000-0005-0000-0000-00001C8B0000}"/>
    <cellStyle name="Normal 184 4 2" xfId="9670" xr:uid="{00000000-0005-0000-0000-00001D8B0000}"/>
    <cellStyle name="Normal 184 4 2 2" xfId="17464" xr:uid="{00000000-0005-0000-0000-00001E8B0000}"/>
    <cellStyle name="Normal 184 4 2 2 2" xfId="35101" xr:uid="{00000000-0005-0000-0000-00001F8B0000}"/>
    <cellStyle name="Normal 184 4 2 3" xfId="28054" xr:uid="{00000000-0005-0000-0000-0000208B0000}"/>
    <cellStyle name="Normal 184 4 3" xfId="14249" xr:uid="{00000000-0005-0000-0000-0000218B0000}"/>
    <cellStyle name="Normal 184 4 3 2" xfId="31884" xr:uid="{00000000-0005-0000-0000-0000228B0000}"/>
    <cellStyle name="Normal 184 4 4" xfId="25190" xr:uid="{00000000-0005-0000-0000-0000238B0000}"/>
    <cellStyle name="Normal 184 5" xfId="7236" xr:uid="{00000000-0005-0000-0000-0000248B0000}"/>
    <cellStyle name="Normal 184 5 2" xfId="10224" xr:uid="{00000000-0005-0000-0000-0000258B0000}"/>
    <cellStyle name="Normal 184 5 2 2" xfId="18017" xr:uid="{00000000-0005-0000-0000-0000268B0000}"/>
    <cellStyle name="Normal 184 5 2 2 2" xfId="35654" xr:uid="{00000000-0005-0000-0000-0000278B0000}"/>
    <cellStyle name="Normal 184 5 2 3" xfId="28591" xr:uid="{00000000-0005-0000-0000-0000288B0000}"/>
    <cellStyle name="Normal 184 5 3" xfId="15024" xr:uid="{00000000-0005-0000-0000-0000298B0000}"/>
    <cellStyle name="Normal 184 5 3 2" xfId="32659" xr:uid="{00000000-0005-0000-0000-00002A8B0000}"/>
    <cellStyle name="Normal 184 5 4" xfId="25728" xr:uid="{00000000-0005-0000-0000-00002B8B0000}"/>
    <cellStyle name="Normal 184 6" xfId="7837" xr:uid="{00000000-0005-0000-0000-00002C8B0000}"/>
    <cellStyle name="Normal 184 6 2" xfId="15634" xr:uid="{00000000-0005-0000-0000-00002D8B0000}"/>
    <cellStyle name="Normal 184 6 2 2" xfId="33269" xr:uid="{00000000-0005-0000-0000-00002E8B0000}"/>
    <cellStyle name="Normal 184 6 3" xfId="26253" xr:uid="{00000000-0005-0000-0000-00002F8B0000}"/>
    <cellStyle name="Normal 184 7" xfId="11752" xr:uid="{00000000-0005-0000-0000-0000308B0000}"/>
    <cellStyle name="Normal 184 7 2" xfId="29439" xr:uid="{00000000-0005-0000-0000-0000318B0000}"/>
    <cellStyle name="Normal 184 8" xfId="22817" xr:uid="{00000000-0005-0000-0000-0000328B0000}"/>
    <cellStyle name="Normal 184 9" xfId="23388" xr:uid="{00000000-0005-0000-0000-0000338B0000}"/>
    <cellStyle name="Normal 185" xfId="2253" xr:uid="{00000000-0005-0000-0000-0000348B0000}"/>
    <cellStyle name="Normal 185 10" xfId="52024" xr:uid="{00000000-0005-0000-0000-0000358B0000}"/>
    <cellStyle name="Normal 185 2" xfId="4383" xr:uid="{00000000-0005-0000-0000-0000368B0000}"/>
    <cellStyle name="Normal 185 2 2" xfId="8517" xr:uid="{00000000-0005-0000-0000-0000378B0000}"/>
    <cellStyle name="Normal 185 2 2 2" xfId="16313" xr:uid="{00000000-0005-0000-0000-0000388B0000}"/>
    <cellStyle name="Normal 185 2 2 2 2" xfId="33948" xr:uid="{00000000-0005-0000-0000-0000398B0000}"/>
    <cellStyle name="Normal 185 2 2 3" xfId="26918" xr:uid="{00000000-0005-0000-0000-00003A8B0000}"/>
    <cellStyle name="Normal 185 2 3" xfId="12757" xr:uid="{00000000-0005-0000-0000-00003B8B0000}"/>
    <cellStyle name="Normal 185 2 3 2" xfId="30415" xr:uid="{00000000-0005-0000-0000-00003C8B0000}"/>
    <cellStyle name="Normal 185 2 4" xfId="24053" xr:uid="{00000000-0005-0000-0000-00003D8B0000}"/>
    <cellStyle name="Normal 185 3" xfId="5831" xr:uid="{00000000-0005-0000-0000-00003E8B0000}"/>
    <cellStyle name="Normal 185 3 2" xfId="9131" xr:uid="{00000000-0005-0000-0000-00003F8B0000}"/>
    <cellStyle name="Normal 185 3 2 2" xfId="16926" xr:uid="{00000000-0005-0000-0000-0000408B0000}"/>
    <cellStyle name="Normal 185 3 2 2 2" xfId="34562" xr:uid="{00000000-0005-0000-0000-0000418B0000}"/>
    <cellStyle name="Normal 185 3 2 3" xfId="27519" xr:uid="{00000000-0005-0000-0000-0000428B0000}"/>
    <cellStyle name="Normal 185 3 3" xfId="13687" xr:uid="{00000000-0005-0000-0000-0000438B0000}"/>
    <cellStyle name="Normal 185 3 3 2" xfId="31327" xr:uid="{00000000-0005-0000-0000-0000448B0000}"/>
    <cellStyle name="Normal 185 3 4" xfId="24654" xr:uid="{00000000-0005-0000-0000-0000458B0000}"/>
    <cellStyle name="Normal 185 4" xfId="6461" xr:uid="{00000000-0005-0000-0000-0000468B0000}"/>
    <cellStyle name="Normal 185 4 2" xfId="9671" xr:uid="{00000000-0005-0000-0000-0000478B0000}"/>
    <cellStyle name="Normal 185 4 2 2" xfId="17465" xr:uid="{00000000-0005-0000-0000-0000488B0000}"/>
    <cellStyle name="Normal 185 4 2 2 2" xfId="35102" xr:uid="{00000000-0005-0000-0000-0000498B0000}"/>
    <cellStyle name="Normal 185 4 2 3" xfId="28055" xr:uid="{00000000-0005-0000-0000-00004A8B0000}"/>
    <cellStyle name="Normal 185 4 3" xfId="14250" xr:uid="{00000000-0005-0000-0000-00004B8B0000}"/>
    <cellStyle name="Normal 185 4 3 2" xfId="31885" xr:uid="{00000000-0005-0000-0000-00004C8B0000}"/>
    <cellStyle name="Normal 185 4 4" xfId="25191" xr:uid="{00000000-0005-0000-0000-00004D8B0000}"/>
    <cellStyle name="Normal 185 5" xfId="7237" xr:uid="{00000000-0005-0000-0000-00004E8B0000}"/>
    <cellStyle name="Normal 185 5 2" xfId="10225" xr:uid="{00000000-0005-0000-0000-00004F8B0000}"/>
    <cellStyle name="Normal 185 5 2 2" xfId="18018" xr:uid="{00000000-0005-0000-0000-0000508B0000}"/>
    <cellStyle name="Normal 185 5 2 2 2" xfId="35655" xr:uid="{00000000-0005-0000-0000-0000518B0000}"/>
    <cellStyle name="Normal 185 5 2 3" xfId="28592" xr:uid="{00000000-0005-0000-0000-0000528B0000}"/>
    <cellStyle name="Normal 185 5 3" xfId="15025" xr:uid="{00000000-0005-0000-0000-0000538B0000}"/>
    <cellStyle name="Normal 185 5 3 2" xfId="32660" xr:uid="{00000000-0005-0000-0000-0000548B0000}"/>
    <cellStyle name="Normal 185 5 4" xfId="25729" xr:uid="{00000000-0005-0000-0000-0000558B0000}"/>
    <cellStyle name="Normal 185 6" xfId="7838" xr:uid="{00000000-0005-0000-0000-0000568B0000}"/>
    <cellStyle name="Normal 185 6 2" xfId="15635" xr:uid="{00000000-0005-0000-0000-0000578B0000}"/>
    <cellStyle name="Normal 185 6 2 2" xfId="33270" xr:uid="{00000000-0005-0000-0000-0000588B0000}"/>
    <cellStyle name="Normal 185 6 3" xfId="26254" xr:uid="{00000000-0005-0000-0000-0000598B0000}"/>
    <cellStyle name="Normal 185 7" xfId="11753" xr:uid="{00000000-0005-0000-0000-00005A8B0000}"/>
    <cellStyle name="Normal 185 7 2" xfId="29440" xr:uid="{00000000-0005-0000-0000-00005B8B0000}"/>
    <cellStyle name="Normal 185 8" xfId="22818" xr:uid="{00000000-0005-0000-0000-00005C8B0000}"/>
    <cellStyle name="Normal 185 9" xfId="23389" xr:uid="{00000000-0005-0000-0000-00005D8B0000}"/>
    <cellStyle name="Normal 186" xfId="2254" xr:uid="{00000000-0005-0000-0000-00005E8B0000}"/>
    <cellStyle name="Normal 186 2" xfId="4384" xr:uid="{00000000-0005-0000-0000-00005F8B0000}"/>
    <cellStyle name="Normal 186 3" xfId="52025" xr:uid="{00000000-0005-0000-0000-0000608B0000}"/>
    <cellStyle name="Normal 187" xfId="2255" xr:uid="{00000000-0005-0000-0000-0000618B0000}"/>
    <cellStyle name="Normal 187 2" xfId="4385" xr:uid="{00000000-0005-0000-0000-0000628B0000}"/>
    <cellStyle name="Normal 187 3" xfId="52026" xr:uid="{00000000-0005-0000-0000-0000638B0000}"/>
    <cellStyle name="Normal 188" xfId="2256" xr:uid="{00000000-0005-0000-0000-0000648B0000}"/>
    <cellStyle name="Normal 188 2" xfId="4386" xr:uid="{00000000-0005-0000-0000-0000658B0000}"/>
    <cellStyle name="Normal 188 3" xfId="52027" xr:uid="{00000000-0005-0000-0000-0000668B0000}"/>
    <cellStyle name="Normal 189" xfId="2257" xr:uid="{00000000-0005-0000-0000-0000678B0000}"/>
    <cellStyle name="Normal 189 2" xfId="4387" xr:uid="{00000000-0005-0000-0000-0000688B0000}"/>
    <cellStyle name="Normal 189 3" xfId="52028" xr:uid="{00000000-0005-0000-0000-0000698B0000}"/>
    <cellStyle name="Normal 19" xfId="2258" xr:uid="{00000000-0005-0000-0000-00006A8B0000}"/>
    <cellStyle name="Normal 19 2" xfId="2259" xr:uid="{00000000-0005-0000-0000-00006B8B0000}"/>
    <cellStyle name="Normal 19 2 2" xfId="2260" xr:uid="{00000000-0005-0000-0000-00006C8B0000}"/>
    <cellStyle name="Normal 19 2 3" xfId="22961" xr:uid="{00000000-0005-0000-0000-00006D8B0000}"/>
    <cellStyle name="Normal 19 2 4" xfId="22757" xr:uid="{00000000-0005-0000-0000-00006E8B0000}"/>
    <cellStyle name="Normal 19 2 4 2" xfId="38964" xr:uid="{00000000-0005-0000-0000-00006F8B0000}"/>
    <cellStyle name="Normal 19 2_Sheet1" xfId="2261" xr:uid="{00000000-0005-0000-0000-0000708B0000}"/>
    <cellStyle name="Normal 19 3" xfId="2262" xr:uid="{00000000-0005-0000-0000-0000718B0000}"/>
    <cellStyle name="Normal 19 4" xfId="22960" xr:uid="{00000000-0005-0000-0000-0000728B0000}"/>
    <cellStyle name="Normal 19 5" xfId="22546" xr:uid="{00000000-0005-0000-0000-0000738B0000}"/>
    <cellStyle name="Normal 19 5 2" xfId="38860" xr:uid="{00000000-0005-0000-0000-0000748B0000}"/>
    <cellStyle name="Normal 19 6" xfId="53241" xr:uid="{00000000-0005-0000-0000-0000758B0000}"/>
    <cellStyle name="Normal 19_Sheet1" xfId="2263" xr:uid="{00000000-0005-0000-0000-0000768B0000}"/>
    <cellStyle name="Normal 190" xfId="2264" xr:uid="{00000000-0005-0000-0000-0000778B0000}"/>
    <cellStyle name="Normal 190 2" xfId="4388" xr:uid="{00000000-0005-0000-0000-0000788B0000}"/>
    <cellStyle name="Normal 190 3" xfId="52029" xr:uid="{00000000-0005-0000-0000-0000798B0000}"/>
    <cellStyle name="Normal 191" xfId="2265" xr:uid="{00000000-0005-0000-0000-00007A8B0000}"/>
    <cellStyle name="Normal 191 2" xfId="4389" xr:uid="{00000000-0005-0000-0000-00007B8B0000}"/>
    <cellStyle name="Normal 191 3" xfId="52030" xr:uid="{00000000-0005-0000-0000-00007C8B0000}"/>
    <cellStyle name="Normal 192" xfId="2266" xr:uid="{00000000-0005-0000-0000-00007D8B0000}"/>
    <cellStyle name="Normal 192 2" xfId="4390" xr:uid="{00000000-0005-0000-0000-00007E8B0000}"/>
    <cellStyle name="Normal 192 3" xfId="52031" xr:uid="{00000000-0005-0000-0000-00007F8B0000}"/>
    <cellStyle name="Normal 193" xfId="2267" xr:uid="{00000000-0005-0000-0000-0000808B0000}"/>
    <cellStyle name="Normal 193 10" xfId="52032" xr:uid="{00000000-0005-0000-0000-0000818B0000}"/>
    <cellStyle name="Normal 193 2" xfId="4391" xr:uid="{00000000-0005-0000-0000-0000828B0000}"/>
    <cellStyle name="Normal 193 2 2" xfId="8518" xr:uid="{00000000-0005-0000-0000-0000838B0000}"/>
    <cellStyle name="Normal 193 2 2 2" xfId="16314" xr:uid="{00000000-0005-0000-0000-0000848B0000}"/>
    <cellStyle name="Normal 193 2 2 2 2" xfId="33949" xr:uid="{00000000-0005-0000-0000-0000858B0000}"/>
    <cellStyle name="Normal 193 2 2 3" xfId="26919" xr:uid="{00000000-0005-0000-0000-0000868B0000}"/>
    <cellStyle name="Normal 193 2 3" xfId="12758" xr:uid="{00000000-0005-0000-0000-0000878B0000}"/>
    <cellStyle name="Normal 193 2 3 2" xfId="30416" xr:uid="{00000000-0005-0000-0000-0000888B0000}"/>
    <cellStyle name="Normal 193 2 4" xfId="24054" xr:uid="{00000000-0005-0000-0000-0000898B0000}"/>
    <cellStyle name="Normal 193 3" xfId="5832" xr:uid="{00000000-0005-0000-0000-00008A8B0000}"/>
    <cellStyle name="Normal 193 3 2" xfId="9132" xr:uid="{00000000-0005-0000-0000-00008B8B0000}"/>
    <cellStyle name="Normal 193 3 2 2" xfId="16927" xr:uid="{00000000-0005-0000-0000-00008C8B0000}"/>
    <cellStyle name="Normal 193 3 2 2 2" xfId="34563" xr:uid="{00000000-0005-0000-0000-00008D8B0000}"/>
    <cellStyle name="Normal 193 3 2 3" xfId="27520" xr:uid="{00000000-0005-0000-0000-00008E8B0000}"/>
    <cellStyle name="Normal 193 3 3" xfId="13688" xr:uid="{00000000-0005-0000-0000-00008F8B0000}"/>
    <cellStyle name="Normal 193 3 3 2" xfId="31328" xr:uid="{00000000-0005-0000-0000-0000908B0000}"/>
    <cellStyle name="Normal 193 3 4" xfId="24655" xr:uid="{00000000-0005-0000-0000-0000918B0000}"/>
    <cellStyle name="Normal 193 4" xfId="6462" xr:uid="{00000000-0005-0000-0000-0000928B0000}"/>
    <cellStyle name="Normal 193 4 2" xfId="9672" xr:uid="{00000000-0005-0000-0000-0000938B0000}"/>
    <cellStyle name="Normal 193 4 2 2" xfId="17466" xr:uid="{00000000-0005-0000-0000-0000948B0000}"/>
    <cellStyle name="Normal 193 4 2 2 2" xfId="35103" xr:uid="{00000000-0005-0000-0000-0000958B0000}"/>
    <cellStyle name="Normal 193 4 2 3" xfId="28056" xr:uid="{00000000-0005-0000-0000-0000968B0000}"/>
    <cellStyle name="Normal 193 4 3" xfId="14251" xr:uid="{00000000-0005-0000-0000-0000978B0000}"/>
    <cellStyle name="Normal 193 4 3 2" xfId="31886" xr:uid="{00000000-0005-0000-0000-0000988B0000}"/>
    <cellStyle name="Normal 193 4 4" xfId="25192" xr:uid="{00000000-0005-0000-0000-0000998B0000}"/>
    <cellStyle name="Normal 193 5" xfId="7238" xr:uid="{00000000-0005-0000-0000-00009A8B0000}"/>
    <cellStyle name="Normal 193 5 2" xfId="10226" xr:uid="{00000000-0005-0000-0000-00009B8B0000}"/>
    <cellStyle name="Normal 193 5 2 2" xfId="18019" xr:uid="{00000000-0005-0000-0000-00009C8B0000}"/>
    <cellStyle name="Normal 193 5 2 2 2" xfId="35656" xr:uid="{00000000-0005-0000-0000-00009D8B0000}"/>
    <cellStyle name="Normal 193 5 2 3" xfId="28593" xr:uid="{00000000-0005-0000-0000-00009E8B0000}"/>
    <cellStyle name="Normal 193 5 3" xfId="15026" xr:uid="{00000000-0005-0000-0000-00009F8B0000}"/>
    <cellStyle name="Normal 193 5 3 2" xfId="32661" xr:uid="{00000000-0005-0000-0000-0000A08B0000}"/>
    <cellStyle name="Normal 193 5 4" xfId="25730" xr:uid="{00000000-0005-0000-0000-0000A18B0000}"/>
    <cellStyle name="Normal 193 6" xfId="7839" xr:uid="{00000000-0005-0000-0000-0000A28B0000}"/>
    <cellStyle name="Normal 193 6 2" xfId="15636" xr:uid="{00000000-0005-0000-0000-0000A38B0000}"/>
    <cellStyle name="Normal 193 6 2 2" xfId="33271" xr:uid="{00000000-0005-0000-0000-0000A48B0000}"/>
    <cellStyle name="Normal 193 6 3" xfId="26255" xr:uid="{00000000-0005-0000-0000-0000A58B0000}"/>
    <cellStyle name="Normal 193 7" xfId="11754" xr:uid="{00000000-0005-0000-0000-0000A68B0000}"/>
    <cellStyle name="Normal 193 7 2" xfId="29441" xr:uid="{00000000-0005-0000-0000-0000A78B0000}"/>
    <cellStyle name="Normal 193 8" xfId="22823" xr:uid="{00000000-0005-0000-0000-0000A88B0000}"/>
    <cellStyle name="Normal 193 9" xfId="23390" xr:uid="{00000000-0005-0000-0000-0000A98B0000}"/>
    <cellStyle name="Normal 194" xfId="2268" xr:uid="{00000000-0005-0000-0000-0000AA8B0000}"/>
    <cellStyle name="Normal 194 2" xfId="4392" xr:uid="{00000000-0005-0000-0000-0000AB8B0000}"/>
    <cellStyle name="Normal 194 3" xfId="52033" xr:uid="{00000000-0005-0000-0000-0000AC8B0000}"/>
    <cellStyle name="Normal 195" xfId="2269" xr:uid="{00000000-0005-0000-0000-0000AD8B0000}"/>
    <cellStyle name="Normal 195 2" xfId="4393" xr:uid="{00000000-0005-0000-0000-0000AE8B0000}"/>
    <cellStyle name="Normal 195 3" xfId="52034" xr:uid="{00000000-0005-0000-0000-0000AF8B0000}"/>
    <cellStyle name="Normal 196" xfId="2270" xr:uid="{00000000-0005-0000-0000-0000B08B0000}"/>
    <cellStyle name="Normal 196 2" xfId="4394" xr:uid="{00000000-0005-0000-0000-0000B18B0000}"/>
    <cellStyle name="Normal 196 3" xfId="52035" xr:uid="{00000000-0005-0000-0000-0000B28B0000}"/>
    <cellStyle name="Normal 197" xfId="2271" xr:uid="{00000000-0005-0000-0000-0000B38B0000}"/>
    <cellStyle name="Normal 197 2" xfId="4395" xr:uid="{00000000-0005-0000-0000-0000B48B0000}"/>
    <cellStyle name="Normal 197 3" xfId="52036" xr:uid="{00000000-0005-0000-0000-0000B58B0000}"/>
    <cellStyle name="Normal 198" xfId="2272" xr:uid="{00000000-0005-0000-0000-0000B68B0000}"/>
    <cellStyle name="Normal 198 2" xfId="4396" xr:uid="{00000000-0005-0000-0000-0000B78B0000}"/>
    <cellStyle name="Normal 198 3" xfId="52037" xr:uid="{00000000-0005-0000-0000-0000B88B0000}"/>
    <cellStyle name="Normal 199" xfId="2273" xr:uid="{00000000-0005-0000-0000-0000B98B0000}"/>
    <cellStyle name="Normal 199 2" xfId="4397" xr:uid="{00000000-0005-0000-0000-0000BA8B0000}"/>
    <cellStyle name="Normal 199 3" xfId="52038" xr:uid="{00000000-0005-0000-0000-0000BB8B0000}"/>
    <cellStyle name="Normal 2" xfId="117" xr:uid="{00000000-0005-0000-0000-0000BC8B0000}"/>
    <cellStyle name="Normal 2 10" xfId="2274" xr:uid="{00000000-0005-0000-0000-0000BD8B0000}"/>
    <cellStyle name="Normal 2 10 10" xfId="52040" xr:uid="{00000000-0005-0000-0000-0000BE8B0000}"/>
    <cellStyle name="Normal 2 10 2" xfId="4399" xr:uid="{00000000-0005-0000-0000-0000BF8B0000}"/>
    <cellStyle name="Normal 2 10 2 2" xfId="8519" xr:uid="{00000000-0005-0000-0000-0000C08B0000}"/>
    <cellStyle name="Normal 2 10 2 2 2" xfId="16315" xr:uid="{00000000-0005-0000-0000-0000C18B0000}"/>
    <cellStyle name="Normal 2 10 2 2 2 2" xfId="33950" xr:uid="{00000000-0005-0000-0000-0000C28B0000}"/>
    <cellStyle name="Normal 2 10 2 2 3" xfId="26920" xr:uid="{00000000-0005-0000-0000-0000C38B0000}"/>
    <cellStyle name="Normal 2 10 2 3" xfId="12765" xr:uid="{00000000-0005-0000-0000-0000C48B0000}"/>
    <cellStyle name="Normal 2 10 2 3 2" xfId="30423" xr:uid="{00000000-0005-0000-0000-0000C58B0000}"/>
    <cellStyle name="Normal 2 10 2 4" xfId="24055" xr:uid="{00000000-0005-0000-0000-0000C68B0000}"/>
    <cellStyle name="Normal 2 10 3" xfId="5833" xr:uid="{00000000-0005-0000-0000-0000C78B0000}"/>
    <cellStyle name="Normal 2 10 3 2" xfId="9133" xr:uid="{00000000-0005-0000-0000-0000C88B0000}"/>
    <cellStyle name="Normal 2 10 3 2 2" xfId="16928" xr:uid="{00000000-0005-0000-0000-0000C98B0000}"/>
    <cellStyle name="Normal 2 10 3 2 2 2" xfId="34564" xr:uid="{00000000-0005-0000-0000-0000CA8B0000}"/>
    <cellStyle name="Normal 2 10 3 2 3" xfId="27521" xr:uid="{00000000-0005-0000-0000-0000CB8B0000}"/>
    <cellStyle name="Normal 2 10 3 3" xfId="13689" xr:uid="{00000000-0005-0000-0000-0000CC8B0000}"/>
    <cellStyle name="Normal 2 10 3 3 2" xfId="31329" xr:uid="{00000000-0005-0000-0000-0000CD8B0000}"/>
    <cellStyle name="Normal 2 10 3 4" xfId="24656" xr:uid="{00000000-0005-0000-0000-0000CE8B0000}"/>
    <cellStyle name="Normal 2 10 4" xfId="6463" xr:uid="{00000000-0005-0000-0000-0000CF8B0000}"/>
    <cellStyle name="Normal 2 10 4 2" xfId="9673" xr:uid="{00000000-0005-0000-0000-0000D08B0000}"/>
    <cellStyle name="Normal 2 10 4 2 2" xfId="17467" xr:uid="{00000000-0005-0000-0000-0000D18B0000}"/>
    <cellStyle name="Normal 2 10 4 2 2 2" xfId="35104" xr:uid="{00000000-0005-0000-0000-0000D28B0000}"/>
    <cellStyle name="Normal 2 10 4 2 3" xfId="28057" xr:uid="{00000000-0005-0000-0000-0000D38B0000}"/>
    <cellStyle name="Normal 2 10 4 3" xfId="14252" xr:uid="{00000000-0005-0000-0000-0000D48B0000}"/>
    <cellStyle name="Normal 2 10 4 3 2" xfId="31887" xr:uid="{00000000-0005-0000-0000-0000D58B0000}"/>
    <cellStyle name="Normal 2 10 4 4" xfId="25193" xr:uid="{00000000-0005-0000-0000-0000D68B0000}"/>
    <cellStyle name="Normal 2 10 5" xfId="7239" xr:uid="{00000000-0005-0000-0000-0000D78B0000}"/>
    <cellStyle name="Normal 2 10 5 2" xfId="10227" xr:uid="{00000000-0005-0000-0000-0000D88B0000}"/>
    <cellStyle name="Normal 2 10 5 2 2" xfId="18020" xr:uid="{00000000-0005-0000-0000-0000D98B0000}"/>
    <cellStyle name="Normal 2 10 5 2 2 2" xfId="35657" xr:uid="{00000000-0005-0000-0000-0000DA8B0000}"/>
    <cellStyle name="Normal 2 10 5 2 3" xfId="28594" xr:uid="{00000000-0005-0000-0000-0000DB8B0000}"/>
    <cellStyle name="Normal 2 10 5 3" xfId="15027" xr:uid="{00000000-0005-0000-0000-0000DC8B0000}"/>
    <cellStyle name="Normal 2 10 5 3 2" xfId="32662" xr:uid="{00000000-0005-0000-0000-0000DD8B0000}"/>
    <cellStyle name="Normal 2 10 5 4" xfId="25731" xr:uid="{00000000-0005-0000-0000-0000DE8B0000}"/>
    <cellStyle name="Normal 2 10 6" xfId="7840" xr:uid="{00000000-0005-0000-0000-0000DF8B0000}"/>
    <cellStyle name="Normal 2 10 6 2" xfId="15637" xr:uid="{00000000-0005-0000-0000-0000E08B0000}"/>
    <cellStyle name="Normal 2 10 6 2 2" xfId="33272" xr:uid="{00000000-0005-0000-0000-0000E18B0000}"/>
    <cellStyle name="Normal 2 10 6 3" xfId="26256" xr:uid="{00000000-0005-0000-0000-0000E28B0000}"/>
    <cellStyle name="Normal 2 10 7" xfId="11757" xr:uid="{00000000-0005-0000-0000-0000E38B0000}"/>
    <cellStyle name="Normal 2 10 7 2" xfId="29444" xr:uid="{00000000-0005-0000-0000-0000E48B0000}"/>
    <cellStyle name="Normal 2 10 8" xfId="21987" xr:uid="{00000000-0005-0000-0000-0000E58B0000}"/>
    <cellStyle name="Normal 2 10 8 2" xfId="38732" xr:uid="{00000000-0005-0000-0000-0000E68B0000}"/>
    <cellStyle name="Normal 2 10 9" xfId="23391" xr:uid="{00000000-0005-0000-0000-0000E78B0000}"/>
    <cellStyle name="Normal 2 11" xfId="2275" xr:uid="{00000000-0005-0000-0000-0000E88B0000}"/>
    <cellStyle name="Normal 2 11 2" xfId="4400" xr:uid="{00000000-0005-0000-0000-0000E98B0000}"/>
    <cellStyle name="Normal 2 11 3" xfId="21988" xr:uid="{00000000-0005-0000-0000-0000EA8B0000}"/>
    <cellStyle name="Normal 2 11 4" xfId="52041" xr:uid="{00000000-0005-0000-0000-0000EB8B0000}"/>
    <cellStyle name="Normal 2 12" xfId="4398" xr:uid="{00000000-0005-0000-0000-0000EC8B0000}"/>
    <cellStyle name="Normal 2 13" xfId="52039" xr:uid="{00000000-0005-0000-0000-0000ED8B0000}"/>
    <cellStyle name="Normal 2 2" xfId="118" xr:uid="{00000000-0005-0000-0000-0000EE8B0000}"/>
    <cellStyle name="Normal 2 2 2" xfId="4401" xr:uid="{00000000-0005-0000-0000-0000EF8B0000}"/>
    <cellStyle name="Normal 2 2 3" xfId="52042" xr:uid="{00000000-0005-0000-0000-0000F08B0000}"/>
    <cellStyle name="Normal 2 3" xfId="119" xr:uid="{00000000-0005-0000-0000-0000F18B0000}"/>
    <cellStyle name="Normal 2 3 10" xfId="2277" xr:uid="{00000000-0005-0000-0000-0000F28B0000}"/>
    <cellStyle name="Normal 2 3 10 10" xfId="52043" xr:uid="{00000000-0005-0000-0000-0000F38B0000}"/>
    <cellStyle name="Normal 2 3 10 2" xfId="4403" xr:uid="{00000000-0005-0000-0000-0000F48B0000}"/>
    <cellStyle name="Normal 2 3 10 3" xfId="4402" xr:uid="{00000000-0005-0000-0000-0000F58B0000}"/>
    <cellStyle name="Normal 2 3 10 3 2" xfId="8520" xr:uid="{00000000-0005-0000-0000-0000F68B0000}"/>
    <cellStyle name="Normal 2 3 10 3 2 2" xfId="16316" xr:uid="{00000000-0005-0000-0000-0000F78B0000}"/>
    <cellStyle name="Normal 2 3 10 3 2 2 2" xfId="33951" xr:uid="{00000000-0005-0000-0000-0000F88B0000}"/>
    <cellStyle name="Normal 2 3 10 3 2 3" xfId="26921" xr:uid="{00000000-0005-0000-0000-0000F98B0000}"/>
    <cellStyle name="Normal 2 3 10 3 3" xfId="12767" xr:uid="{00000000-0005-0000-0000-0000FA8B0000}"/>
    <cellStyle name="Normal 2 3 10 3 3 2" xfId="30425" xr:uid="{00000000-0005-0000-0000-0000FB8B0000}"/>
    <cellStyle name="Normal 2 3 10 3 4" xfId="24056" xr:uid="{00000000-0005-0000-0000-0000FC8B0000}"/>
    <cellStyle name="Normal 2 3 10 4" xfId="5834" xr:uid="{00000000-0005-0000-0000-0000FD8B0000}"/>
    <cellStyle name="Normal 2 3 10 4 2" xfId="9134" xr:uid="{00000000-0005-0000-0000-0000FE8B0000}"/>
    <cellStyle name="Normal 2 3 10 4 2 2" xfId="16929" xr:uid="{00000000-0005-0000-0000-0000FF8B0000}"/>
    <cellStyle name="Normal 2 3 10 4 2 2 2" xfId="34565" xr:uid="{00000000-0005-0000-0000-0000008C0000}"/>
    <cellStyle name="Normal 2 3 10 4 2 3" xfId="27522" xr:uid="{00000000-0005-0000-0000-0000018C0000}"/>
    <cellStyle name="Normal 2 3 10 4 3" xfId="13690" xr:uid="{00000000-0005-0000-0000-0000028C0000}"/>
    <cellStyle name="Normal 2 3 10 4 3 2" xfId="31330" xr:uid="{00000000-0005-0000-0000-0000038C0000}"/>
    <cellStyle name="Normal 2 3 10 4 4" xfId="24657" xr:uid="{00000000-0005-0000-0000-0000048C0000}"/>
    <cellStyle name="Normal 2 3 10 5" xfId="6464" xr:uid="{00000000-0005-0000-0000-0000058C0000}"/>
    <cellStyle name="Normal 2 3 10 5 2" xfId="9674" xr:uid="{00000000-0005-0000-0000-0000068C0000}"/>
    <cellStyle name="Normal 2 3 10 5 2 2" xfId="17468" xr:uid="{00000000-0005-0000-0000-0000078C0000}"/>
    <cellStyle name="Normal 2 3 10 5 2 2 2" xfId="35105" xr:uid="{00000000-0005-0000-0000-0000088C0000}"/>
    <cellStyle name="Normal 2 3 10 5 2 3" xfId="28058" xr:uid="{00000000-0005-0000-0000-0000098C0000}"/>
    <cellStyle name="Normal 2 3 10 5 3" xfId="14253" xr:uid="{00000000-0005-0000-0000-00000A8C0000}"/>
    <cellStyle name="Normal 2 3 10 5 3 2" xfId="31888" xr:uid="{00000000-0005-0000-0000-00000B8C0000}"/>
    <cellStyle name="Normal 2 3 10 5 4" xfId="25194" xr:uid="{00000000-0005-0000-0000-00000C8C0000}"/>
    <cellStyle name="Normal 2 3 10 6" xfId="7240" xr:uid="{00000000-0005-0000-0000-00000D8C0000}"/>
    <cellStyle name="Normal 2 3 10 6 2" xfId="10228" xr:uid="{00000000-0005-0000-0000-00000E8C0000}"/>
    <cellStyle name="Normal 2 3 10 6 2 2" xfId="18021" xr:uid="{00000000-0005-0000-0000-00000F8C0000}"/>
    <cellStyle name="Normal 2 3 10 6 2 2 2" xfId="35658" xr:uid="{00000000-0005-0000-0000-0000108C0000}"/>
    <cellStyle name="Normal 2 3 10 6 2 3" xfId="28595" xr:uid="{00000000-0005-0000-0000-0000118C0000}"/>
    <cellStyle name="Normal 2 3 10 6 3" xfId="15028" xr:uid="{00000000-0005-0000-0000-0000128C0000}"/>
    <cellStyle name="Normal 2 3 10 6 3 2" xfId="32663" xr:uid="{00000000-0005-0000-0000-0000138C0000}"/>
    <cellStyle name="Normal 2 3 10 6 4" xfId="25732" xr:uid="{00000000-0005-0000-0000-0000148C0000}"/>
    <cellStyle name="Normal 2 3 10 7" xfId="7841" xr:uid="{00000000-0005-0000-0000-0000158C0000}"/>
    <cellStyle name="Normal 2 3 10 7 2" xfId="15638" xr:uid="{00000000-0005-0000-0000-0000168C0000}"/>
    <cellStyle name="Normal 2 3 10 7 2 2" xfId="33273" xr:uid="{00000000-0005-0000-0000-0000178C0000}"/>
    <cellStyle name="Normal 2 3 10 7 3" xfId="26257" xr:uid="{00000000-0005-0000-0000-0000188C0000}"/>
    <cellStyle name="Normal 2 3 10 8" xfId="11760" xr:uid="{00000000-0005-0000-0000-0000198C0000}"/>
    <cellStyle name="Normal 2 3 10 8 2" xfId="29447" xr:uid="{00000000-0005-0000-0000-00001A8C0000}"/>
    <cellStyle name="Normal 2 3 10 9" xfId="23392" xr:uid="{00000000-0005-0000-0000-00001B8C0000}"/>
    <cellStyle name="Normal 2 3 11" xfId="2278" xr:uid="{00000000-0005-0000-0000-00001C8C0000}"/>
    <cellStyle name="Normal 2 3 11 2" xfId="22547" xr:uid="{00000000-0005-0000-0000-00001D8C0000}"/>
    <cellStyle name="Normal 2 3 12" xfId="4404" xr:uid="{00000000-0005-0000-0000-00001E8C0000}"/>
    <cellStyle name="Normal 2 3 13" xfId="4405" xr:uid="{00000000-0005-0000-0000-00001F8C0000}"/>
    <cellStyle name="Normal 2 3 14" xfId="2276" xr:uid="{00000000-0005-0000-0000-0000208C0000}"/>
    <cellStyle name="Normal 2 3 2" xfId="2279" xr:uid="{00000000-0005-0000-0000-0000218C0000}"/>
    <cellStyle name="Normal 2 3 2 2" xfId="2280" xr:uid="{00000000-0005-0000-0000-0000228C0000}"/>
    <cellStyle name="Normal 2 3 2 3" xfId="22962" xr:uid="{00000000-0005-0000-0000-0000238C0000}"/>
    <cellStyle name="Normal 2 3 2 4" xfId="22705" xr:uid="{00000000-0005-0000-0000-0000248C0000}"/>
    <cellStyle name="Normal 2 3 2 4 2" xfId="38918" xr:uid="{00000000-0005-0000-0000-0000258C0000}"/>
    <cellStyle name="Normal 2 3 2_Sheet1" xfId="2281" xr:uid="{00000000-0005-0000-0000-0000268C0000}"/>
    <cellStyle name="Normal 2 3 3" xfId="2282" xr:uid="{00000000-0005-0000-0000-0000278C0000}"/>
    <cellStyle name="Normal 2 3 3 2" xfId="22963" xr:uid="{00000000-0005-0000-0000-0000288C0000}"/>
    <cellStyle name="Normal 2 3 3 3" xfId="22794" xr:uid="{00000000-0005-0000-0000-0000298C0000}"/>
    <cellStyle name="Normal 2 3 3 3 2" xfId="38999" xr:uid="{00000000-0005-0000-0000-00002A8C0000}"/>
    <cellStyle name="Normal 2 3 4" xfId="2283" xr:uid="{00000000-0005-0000-0000-00002B8C0000}"/>
    <cellStyle name="Normal 2 3 4 10" xfId="52044" xr:uid="{00000000-0005-0000-0000-00002C8C0000}"/>
    <cellStyle name="Normal 2 3 4 2" xfId="4406" xr:uid="{00000000-0005-0000-0000-00002D8C0000}"/>
    <cellStyle name="Normal 2 3 4 2 2" xfId="8521" xr:uid="{00000000-0005-0000-0000-00002E8C0000}"/>
    <cellStyle name="Normal 2 3 4 2 2 2" xfId="16317" xr:uid="{00000000-0005-0000-0000-00002F8C0000}"/>
    <cellStyle name="Normal 2 3 4 2 2 2 2" xfId="33952" xr:uid="{00000000-0005-0000-0000-0000308C0000}"/>
    <cellStyle name="Normal 2 3 4 2 2 3" xfId="26922" xr:uid="{00000000-0005-0000-0000-0000318C0000}"/>
    <cellStyle name="Normal 2 3 4 2 3" xfId="12769" xr:uid="{00000000-0005-0000-0000-0000328C0000}"/>
    <cellStyle name="Normal 2 3 4 2 3 2" xfId="30427" xr:uid="{00000000-0005-0000-0000-0000338C0000}"/>
    <cellStyle name="Normal 2 3 4 2 4" xfId="24057" xr:uid="{00000000-0005-0000-0000-0000348C0000}"/>
    <cellStyle name="Normal 2 3 4 3" xfId="5835" xr:uid="{00000000-0005-0000-0000-0000358C0000}"/>
    <cellStyle name="Normal 2 3 4 3 2" xfId="9135" xr:uid="{00000000-0005-0000-0000-0000368C0000}"/>
    <cellStyle name="Normal 2 3 4 3 2 2" xfId="16930" xr:uid="{00000000-0005-0000-0000-0000378C0000}"/>
    <cellStyle name="Normal 2 3 4 3 2 2 2" xfId="34566" xr:uid="{00000000-0005-0000-0000-0000388C0000}"/>
    <cellStyle name="Normal 2 3 4 3 2 3" xfId="27523" xr:uid="{00000000-0005-0000-0000-0000398C0000}"/>
    <cellStyle name="Normal 2 3 4 3 3" xfId="13691" xr:uid="{00000000-0005-0000-0000-00003A8C0000}"/>
    <cellStyle name="Normal 2 3 4 3 3 2" xfId="31331" xr:uid="{00000000-0005-0000-0000-00003B8C0000}"/>
    <cellStyle name="Normal 2 3 4 3 4" xfId="24658" xr:uid="{00000000-0005-0000-0000-00003C8C0000}"/>
    <cellStyle name="Normal 2 3 4 4" xfId="6465" xr:uid="{00000000-0005-0000-0000-00003D8C0000}"/>
    <cellStyle name="Normal 2 3 4 4 2" xfId="9675" xr:uid="{00000000-0005-0000-0000-00003E8C0000}"/>
    <cellStyle name="Normal 2 3 4 4 2 2" xfId="17469" xr:uid="{00000000-0005-0000-0000-00003F8C0000}"/>
    <cellStyle name="Normal 2 3 4 4 2 2 2" xfId="35106" xr:uid="{00000000-0005-0000-0000-0000408C0000}"/>
    <cellStyle name="Normal 2 3 4 4 2 3" xfId="28059" xr:uid="{00000000-0005-0000-0000-0000418C0000}"/>
    <cellStyle name="Normal 2 3 4 4 3" xfId="14254" xr:uid="{00000000-0005-0000-0000-0000428C0000}"/>
    <cellStyle name="Normal 2 3 4 4 3 2" xfId="31889" xr:uid="{00000000-0005-0000-0000-0000438C0000}"/>
    <cellStyle name="Normal 2 3 4 4 4" xfId="25195" xr:uid="{00000000-0005-0000-0000-0000448C0000}"/>
    <cellStyle name="Normal 2 3 4 5" xfId="7241" xr:uid="{00000000-0005-0000-0000-0000458C0000}"/>
    <cellStyle name="Normal 2 3 4 5 2" xfId="10229" xr:uid="{00000000-0005-0000-0000-0000468C0000}"/>
    <cellStyle name="Normal 2 3 4 5 2 2" xfId="18022" xr:uid="{00000000-0005-0000-0000-0000478C0000}"/>
    <cellStyle name="Normal 2 3 4 5 2 2 2" xfId="35659" xr:uid="{00000000-0005-0000-0000-0000488C0000}"/>
    <cellStyle name="Normal 2 3 4 5 2 3" xfId="28596" xr:uid="{00000000-0005-0000-0000-0000498C0000}"/>
    <cellStyle name="Normal 2 3 4 5 3" xfId="15029" xr:uid="{00000000-0005-0000-0000-00004A8C0000}"/>
    <cellStyle name="Normal 2 3 4 5 3 2" xfId="32664" xr:uid="{00000000-0005-0000-0000-00004B8C0000}"/>
    <cellStyle name="Normal 2 3 4 5 4" xfId="25733" xr:uid="{00000000-0005-0000-0000-00004C8C0000}"/>
    <cellStyle name="Normal 2 3 4 6" xfId="7842" xr:uid="{00000000-0005-0000-0000-00004D8C0000}"/>
    <cellStyle name="Normal 2 3 4 6 2" xfId="15639" xr:uid="{00000000-0005-0000-0000-00004E8C0000}"/>
    <cellStyle name="Normal 2 3 4 6 2 2" xfId="33274" xr:uid="{00000000-0005-0000-0000-00004F8C0000}"/>
    <cellStyle name="Normal 2 3 4 6 3" xfId="26258" xr:uid="{00000000-0005-0000-0000-0000508C0000}"/>
    <cellStyle name="Normal 2 3 4 7" xfId="11761" xr:uid="{00000000-0005-0000-0000-0000518C0000}"/>
    <cellStyle name="Normal 2 3 4 7 2" xfId="29448" xr:uid="{00000000-0005-0000-0000-0000528C0000}"/>
    <cellStyle name="Normal 2 3 4 8" xfId="22804" xr:uid="{00000000-0005-0000-0000-0000538C0000}"/>
    <cellStyle name="Normal 2 3 4 8 2" xfId="39001" xr:uid="{00000000-0005-0000-0000-0000548C0000}"/>
    <cellStyle name="Normal 2 3 4 9" xfId="23393" xr:uid="{00000000-0005-0000-0000-0000558C0000}"/>
    <cellStyle name="Normal 2 3 5" xfId="2284" xr:uid="{00000000-0005-0000-0000-0000568C0000}"/>
    <cellStyle name="Normal 2 3 5 10" xfId="23394" xr:uid="{00000000-0005-0000-0000-0000578C0000}"/>
    <cellStyle name="Normal 2 3 5 11" xfId="52045" xr:uid="{00000000-0005-0000-0000-0000588C0000}"/>
    <cellStyle name="Normal 2 3 5 2" xfId="2285" xr:uid="{00000000-0005-0000-0000-0000598C0000}"/>
    <cellStyle name="Normal 2 3 5 3" xfId="4407" xr:uid="{00000000-0005-0000-0000-00005A8C0000}"/>
    <cellStyle name="Normal 2 3 5 3 2" xfId="8522" xr:uid="{00000000-0005-0000-0000-00005B8C0000}"/>
    <cellStyle name="Normal 2 3 5 3 2 2" xfId="16318" xr:uid="{00000000-0005-0000-0000-00005C8C0000}"/>
    <cellStyle name="Normal 2 3 5 3 2 2 2" xfId="33953" xr:uid="{00000000-0005-0000-0000-00005D8C0000}"/>
    <cellStyle name="Normal 2 3 5 3 2 3" xfId="26923" xr:uid="{00000000-0005-0000-0000-00005E8C0000}"/>
    <cellStyle name="Normal 2 3 5 3 3" xfId="12770" xr:uid="{00000000-0005-0000-0000-00005F8C0000}"/>
    <cellStyle name="Normal 2 3 5 3 3 2" xfId="30428" xr:uid="{00000000-0005-0000-0000-0000608C0000}"/>
    <cellStyle name="Normal 2 3 5 3 4" xfId="24058" xr:uid="{00000000-0005-0000-0000-0000618C0000}"/>
    <cellStyle name="Normal 2 3 5 4" xfId="5836" xr:uid="{00000000-0005-0000-0000-0000628C0000}"/>
    <cellStyle name="Normal 2 3 5 4 2" xfId="9136" xr:uid="{00000000-0005-0000-0000-0000638C0000}"/>
    <cellStyle name="Normal 2 3 5 4 2 2" xfId="16931" xr:uid="{00000000-0005-0000-0000-0000648C0000}"/>
    <cellStyle name="Normal 2 3 5 4 2 2 2" xfId="34567" xr:uid="{00000000-0005-0000-0000-0000658C0000}"/>
    <cellStyle name="Normal 2 3 5 4 2 3" xfId="27524" xr:uid="{00000000-0005-0000-0000-0000668C0000}"/>
    <cellStyle name="Normal 2 3 5 4 3" xfId="13692" xr:uid="{00000000-0005-0000-0000-0000678C0000}"/>
    <cellStyle name="Normal 2 3 5 4 3 2" xfId="31332" xr:uid="{00000000-0005-0000-0000-0000688C0000}"/>
    <cellStyle name="Normal 2 3 5 4 4" xfId="24659" xr:uid="{00000000-0005-0000-0000-0000698C0000}"/>
    <cellStyle name="Normal 2 3 5 5" xfId="6466" xr:uid="{00000000-0005-0000-0000-00006A8C0000}"/>
    <cellStyle name="Normal 2 3 5 5 2" xfId="9676" xr:uid="{00000000-0005-0000-0000-00006B8C0000}"/>
    <cellStyle name="Normal 2 3 5 5 2 2" xfId="17470" xr:uid="{00000000-0005-0000-0000-00006C8C0000}"/>
    <cellStyle name="Normal 2 3 5 5 2 2 2" xfId="35107" xr:uid="{00000000-0005-0000-0000-00006D8C0000}"/>
    <cellStyle name="Normal 2 3 5 5 2 3" xfId="28060" xr:uid="{00000000-0005-0000-0000-00006E8C0000}"/>
    <cellStyle name="Normal 2 3 5 5 3" xfId="14255" xr:uid="{00000000-0005-0000-0000-00006F8C0000}"/>
    <cellStyle name="Normal 2 3 5 5 3 2" xfId="31890" xr:uid="{00000000-0005-0000-0000-0000708C0000}"/>
    <cellStyle name="Normal 2 3 5 5 4" xfId="25196" xr:uid="{00000000-0005-0000-0000-0000718C0000}"/>
    <cellStyle name="Normal 2 3 5 6" xfId="7242" xr:uid="{00000000-0005-0000-0000-0000728C0000}"/>
    <cellStyle name="Normal 2 3 5 6 2" xfId="10230" xr:uid="{00000000-0005-0000-0000-0000738C0000}"/>
    <cellStyle name="Normal 2 3 5 6 2 2" xfId="18023" xr:uid="{00000000-0005-0000-0000-0000748C0000}"/>
    <cellStyle name="Normal 2 3 5 6 2 2 2" xfId="35660" xr:uid="{00000000-0005-0000-0000-0000758C0000}"/>
    <cellStyle name="Normal 2 3 5 6 2 3" xfId="28597" xr:uid="{00000000-0005-0000-0000-0000768C0000}"/>
    <cellStyle name="Normal 2 3 5 6 3" xfId="15030" xr:uid="{00000000-0005-0000-0000-0000778C0000}"/>
    <cellStyle name="Normal 2 3 5 6 3 2" xfId="32665" xr:uid="{00000000-0005-0000-0000-0000788C0000}"/>
    <cellStyle name="Normal 2 3 5 6 4" xfId="25734" xr:uid="{00000000-0005-0000-0000-0000798C0000}"/>
    <cellStyle name="Normal 2 3 5 7" xfId="7843" xr:uid="{00000000-0005-0000-0000-00007A8C0000}"/>
    <cellStyle name="Normal 2 3 5 7 2" xfId="15640" xr:uid="{00000000-0005-0000-0000-00007B8C0000}"/>
    <cellStyle name="Normal 2 3 5 7 2 2" xfId="33275" xr:uid="{00000000-0005-0000-0000-00007C8C0000}"/>
    <cellStyle name="Normal 2 3 5 7 3" xfId="26259" xr:uid="{00000000-0005-0000-0000-00007D8C0000}"/>
    <cellStyle name="Normal 2 3 5 8" xfId="11762" xr:uid="{00000000-0005-0000-0000-00007E8C0000}"/>
    <cellStyle name="Normal 2 3 5 8 2" xfId="29449" xr:uid="{00000000-0005-0000-0000-00007F8C0000}"/>
    <cellStyle name="Normal 2 3 5 9" xfId="22819" xr:uid="{00000000-0005-0000-0000-0000808C0000}"/>
    <cellStyle name="Normal 2 3 5 9 2" xfId="39003" xr:uid="{00000000-0005-0000-0000-0000818C0000}"/>
    <cellStyle name="Normal 2 3 6" xfId="2286" xr:uid="{00000000-0005-0000-0000-0000828C0000}"/>
    <cellStyle name="Normal 2 3 6 10" xfId="52046" xr:uid="{00000000-0005-0000-0000-0000838C0000}"/>
    <cellStyle name="Normal 2 3 6 2" xfId="4408" xr:uid="{00000000-0005-0000-0000-0000848C0000}"/>
    <cellStyle name="Normal 2 3 6 2 2" xfId="8523" xr:uid="{00000000-0005-0000-0000-0000858C0000}"/>
    <cellStyle name="Normal 2 3 6 2 2 2" xfId="16319" xr:uid="{00000000-0005-0000-0000-0000868C0000}"/>
    <cellStyle name="Normal 2 3 6 2 2 2 2" xfId="33954" xr:uid="{00000000-0005-0000-0000-0000878C0000}"/>
    <cellStyle name="Normal 2 3 6 2 2 3" xfId="26924" xr:uid="{00000000-0005-0000-0000-0000888C0000}"/>
    <cellStyle name="Normal 2 3 6 2 3" xfId="12771" xr:uid="{00000000-0005-0000-0000-0000898C0000}"/>
    <cellStyle name="Normal 2 3 6 2 3 2" xfId="30429" xr:uid="{00000000-0005-0000-0000-00008A8C0000}"/>
    <cellStyle name="Normal 2 3 6 2 4" xfId="24059" xr:uid="{00000000-0005-0000-0000-00008B8C0000}"/>
    <cellStyle name="Normal 2 3 6 3" xfId="5837" xr:uid="{00000000-0005-0000-0000-00008C8C0000}"/>
    <cellStyle name="Normal 2 3 6 3 2" xfId="9137" xr:uid="{00000000-0005-0000-0000-00008D8C0000}"/>
    <cellStyle name="Normal 2 3 6 3 2 2" xfId="16932" xr:uid="{00000000-0005-0000-0000-00008E8C0000}"/>
    <cellStyle name="Normal 2 3 6 3 2 2 2" xfId="34568" xr:uid="{00000000-0005-0000-0000-00008F8C0000}"/>
    <cellStyle name="Normal 2 3 6 3 2 3" xfId="27525" xr:uid="{00000000-0005-0000-0000-0000908C0000}"/>
    <cellStyle name="Normal 2 3 6 3 3" xfId="13693" xr:uid="{00000000-0005-0000-0000-0000918C0000}"/>
    <cellStyle name="Normal 2 3 6 3 3 2" xfId="31333" xr:uid="{00000000-0005-0000-0000-0000928C0000}"/>
    <cellStyle name="Normal 2 3 6 3 4" xfId="24660" xr:uid="{00000000-0005-0000-0000-0000938C0000}"/>
    <cellStyle name="Normal 2 3 6 4" xfId="6467" xr:uid="{00000000-0005-0000-0000-0000948C0000}"/>
    <cellStyle name="Normal 2 3 6 4 2" xfId="9677" xr:uid="{00000000-0005-0000-0000-0000958C0000}"/>
    <cellStyle name="Normal 2 3 6 4 2 2" xfId="17471" xr:uid="{00000000-0005-0000-0000-0000968C0000}"/>
    <cellStyle name="Normal 2 3 6 4 2 2 2" xfId="35108" xr:uid="{00000000-0005-0000-0000-0000978C0000}"/>
    <cellStyle name="Normal 2 3 6 4 2 3" xfId="28061" xr:uid="{00000000-0005-0000-0000-0000988C0000}"/>
    <cellStyle name="Normal 2 3 6 4 3" xfId="14256" xr:uid="{00000000-0005-0000-0000-0000998C0000}"/>
    <cellStyle name="Normal 2 3 6 4 3 2" xfId="31891" xr:uid="{00000000-0005-0000-0000-00009A8C0000}"/>
    <cellStyle name="Normal 2 3 6 4 4" xfId="25197" xr:uid="{00000000-0005-0000-0000-00009B8C0000}"/>
    <cellStyle name="Normal 2 3 6 5" xfId="7243" xr:uid="{00000000-0005-0000-0000-00009C8C0000}"/>
    <cellStyle name="Normal 2 3 6 5 2" xfId="10231" xr:uid="{00000000-0005-0000-0000-00009D8C0000}"/>
    <cellStyle name="Normal 2 3 6 5 2 2" xfId="18024" xr:uid="{00000000-0005-0000-0000-00009E8C0000}"/>
    <cellStyle name="Normal 2 3 6 5 2 2 2" xfId="35661" xr:uid="{00000000-0005-0000-0000-00009F8C0000}"/>
    <cellStyle name="Normal 2 3 6 5 2 3" xfId="28598" xr:uid="{00000000-0005-0000-0000-0000A08C0000}"/>
    <cellStyle name="Normal 2 3 6 5 3" xfId="15031" xr:uid="{00000000-0005-0000-0000-0000A18C0000}"/>
    <cellStyle name="Normal 2 3 6 5 3 2" xfId="32666" xr:uid="{00000000-0005-0000-0000-0000A28C0000}"/>
    <cellStyle name="Normal 2 3 6 5 4" xfId="25735" xr:uid="{00000000-0005-0000-0000-0000A38C0000}"/>
    <cellStyle name="Normal 2 3 6 6" xfId="7844" xr:uid="{00000000-0005-0000-0000-0000A48C0000}"/>
    <cellStyle name="Normal 2 3 6 6 2" xfId="15641" xr:uid="{00000000-0005-0000-0000-0000A58C0000}"/>
    <cellStyle name="Normal 2 3 6 6 2 2" xfId="33276" xr:uid="{00000000-0005-0000-0000-0000A68C0000}"/>
    <cellStyle name="Normal 2 3 6 6 3" xfId="26260" xr:uid="{00000000-0005-0000-0000-0000A78C0000}"/>
    <cellStyle name="Normal 2 3 6 7" xfId="11763" xr:uid="{00000000-0005-0000-0000-0000A88C0000}"/>
    <cellStyle name="Normal 2 3 6 7 2" xfId="29450" xr:uid="{00000000-0005-0000-0000-0000A98C0000}"/>
    <cellStyle name="Normal 2 3 6 8" xfId="22821" xr:uid="{00000000-0005-0000-0000-0000AA8C0000}"/>
    <cellStyle name="Normal 2 3 6 8 2" xfId="39005" xr:uid="{00000000-0005-0000-0000-0000AB8C0000}"/>
    <cellStyle name="Normal 2 3 6 9" xfId="23395" xr:uid="{00000000-0005-0000-0000-0000AC8C0000}"/>
    <cellStyle name="Normal 2 3 7" xfId="2287" xr:uid="{00000000-0005-0000-0000-0000AD8C0000}"/>
    <cellStyle name="Normal 2 3 7 10" xfId="52047" xr:uid="{00000000-0005-0000-0000-0000AE8C0000}"/>
    <cellStyle name="Normal 2 3 7 2" xfId="4409" xr:uid="{00000000-0005-0000-0000-0000AF8C0000}"/>
    <cellStyle name="Normal 2 3 7 2 2" xfId="8524" xr:uid="{00000000-0005-0000-0000-0000B08C0000}"/>
    <cellStyle name="Normal 2 3 7 2 2 2" xfId="16320" xr:uid="{00000000-0005-0000-0000-0000B18C0000}"/>
    <cellStyle name="Normal 2 3 7 2 2 2 2" xfId="33955" xr:uid="{00000000-0005-0000-0000-0000B28C0000}"/>
    <cellStyle name="Normal 2 3 7 2 2 3" xfId="26925" xr:uid="{00000000-0005-0000-0000-0000B38C0000}"/>
    <cellStyle name="Normal 2 3 7 2 3" xfId="12772" xr:uid="{00000000-0005-0000-0000-0000B48C0000}"/>
    <cellStyle name="Normal 2 3 7 2 3 2" xfId="30430" xr:uid="{00000000-0005-0000-0000-0000B58C0000}"/>
    <cellStyle name="Normal 2 3 7 2 4" xfId="24060" xr:uid="{00000000-0005-0000-0000-0000B68C0000}"/>
    <cellStyle name="Normal 2 3 7 3" xfId="5838" xr:uid="{00000000-0005-0000-0000-0000B78C0000}"/>
    <cellStyle name="Normal 2 3 7 3 2" xfId="9138" xr:uid="{00000000-0005-0000-0000-0000B88C0000}"/>
    <cellStyle name="Normal 2 3 7 3 2 2" xfId="16933" xr:uid="{00000000-0005-0000-0000-0000B98C0000}"/>
    <cellStyle name="Normal 2 3 7 3 2 2 2" xfId="34569" xr:uid="{00000000-0005-0000-0000-0000BA8C0000}"/>
    <cellStyle name="Normal 2 3 7 3 2 3" xfId="27526" xr:uid="{00000000-0005-0000-0000-0000BB8C0000}"/>
    <cellStyle name="Normal 2 3 7 3 3" xfId="13694" xr:uid="{00000000-0005-0000-0000-0000BC8C0000}"/>
    <cellStyle name="Normal 2 3 7 3 3 2" xfId="31334" xr:uid="{00000000-0005-0000-0000-0000BD8C0000}"/>
    <cellStyle name="Normal 2 3 7 3 4" xfId="24661" xr:uid="{00000000-0005-0000-0000-0000BE8C0000}"/>
    <cellStyle name="Normal 2 3 7 4" xfId="6468" xr:uid="{00000000-0005-0000-0000-0000BF8C0000}"/>
    <cellStyle name="Normal 2 3 7 4 2" xfId="9678" xr:uid="{00000000-0005-0000-0000-0000C08C0000}"/>
    <cellStyle name="Normal 2 3 7 4 2 2" xfId="17472" xr:uid="{00000000-0005-0000-0000-0000C18C0000}"/>
    <cellStyle name="Normal 2 3 7 4 2 2 2" xfId="35109" xr:uid="{00000000-0005-0000-0000-0000C28C0000}"/>
    <cellStyle name="Normal 2 3 7 4 2 3" xfId="28062" xr:uid="{00000000-0005-0000-0000-0000C38C0000}"/>
    <cellStyle name="Normal 2 3 7 4 3" xfId="14257" xr:uid="{00000000-0005-0000-0000-0000C48C0000}"/>
    <cellStyle name="Normal 2 3 7 4 3 2" xfId="31892" xr:uid="{00000000-0005-0000-0000-0000C58C0000}"/>
    <cellStyle name="Normal 2 3 7 4 4" xfId="25198" xr:uid="{00000000-0005-0000-0000-0000C68C0000}"/>
    <cellStyle name="Normal 2 3 7 5" xfId="7244" xr:uid="{00000000-0005-0000-0000-0000C78C0000}"/>
    <cellStyle name="Normal 2 3 7 5 2" xfId="10232" xr:uid="{00000000-0005-0000-0000-0000C88C0000}"/>
    <cellStyle name="Normal 2 3 7 5 2 2" xfId="18025" xr:uid="{00000000-0005-0000-0000-0000C98C0000}"/>
    <cellStyle name="Normal 2 3 7 5 2 2 2" xfId="35662" xr:uid="{00000000-0005-0000-0000-0000CA8C0000}"/>
    <cellStyle name="Normal 2 3 7 5 2 3" xfId="28599" xr:uid="{00000000-0005-0000-0000-0000CB8C0000}"/>
    <cellStyle name="Normal 2 3 7 5 3" xfId="15032" xr:uid="{00000000-0005-0000-0000-0000CC8C0000}"/>
    <cellStyle name="Normal 2 3 7 5 3 2" xfId="32667" xr:uid="{00000000-0005-0000-0000-0000CD8C0000}"/>
    <cellStyle name="Normal 2 3 7 5 4" xfId="25736" xr:uid="{00000000-0005-0000-0000-0000CE8C0000}"/>
    <cellStyle name="Normal 2 3 7 6" xfId="7845" xr:uid="{00000000-0005-0000-0000-0000CF8C0000}"/>
    <cellStyle name="Normal 2 3 7 6 2" xfId="15642" xr:uid="{00000000-0005-0000-0000-0000D08C0000}"/>
    <cellStyle name="Normal 2 3 7 6 2 2" xfId="33277" xr:uid="{00000000-0005-0000-0000-0000D18C0000}"/>
    <cellStyle name="Normal 2 3 7 6 3" xfId="26261" xr:uid="{00000000-0005-0000-0000-0000D28C0000}"/>
    <cellStyle name="Normal 2 3 7 7" xfId="11764" xr:uid="{00000000-0005-0000-0000-0000D38C0000}"/>
    <cellStyle name="Normal 2 3 7 7 2" xfId="29451" xr:uid="{00000000-0005-0000-0000-0000D48C0000}"/>
    <cellStyle name="Normal 2 3 7 8" xfId="22825" xr:uid="{00000000-0005-0000-0000-0000D58C0000}"/>
    <cellStyle name="Normal 2 3 7 8 2" xfId="39007" xr:uid="{00000000-0005-0000-0000-0000D68C0000}"/>
    <cellStyle name="Normal 2 3 7 9" xfId="23396" xr:uid="{00000000-0005-0000-0000-0000D78C0000}"/>
    <cellStyle name="Normal 2 3 8" xfId="2288" xr:uid="{00000000-0005-0000-0000-0000D88C0000}"/>
    <cellStyle name="Normal 2 3 8 10" xfId="52048" xr:uid="{00000000-0005-0000-0000-0000D98C0000}"/>
    <cellStyle name="Normal 2 3 8 2" xfId="4410" xr:uid="{00000000-0005-0000-0000-0000DA8C0000}"/>
    <cellStyle name="Normal 2 3 8 2 2" xfId="8525" xr:uid="{00000000-0005-0000-0000-0000DB8C0000}"/>
    <cellStyle name="Normal 2 3 8 2 2 2" xfId="16321" xr:uid="{00000000-0005-0000-0000-0000DC8C0000}"/>
    <cellStyle name="Normal 2 3 8 2 2 2 2" xfId="33956" xr:uid="{00000000-0005-0000-0000-0000DD8C0000}"/>
    <cellStyle name="Normal 2 3 8 2 2 3" xfId="26926" xr:uid="{00000000-0005-0000-0000-0000DE8C0000}"/>
    <cellStyle name="Normal 2 3 8 2 3" xfId="12773" xr:uid="{00000000-0005-0000-0000-0000DF8C0000}"/>
    <cellStyle name="Normal 2 3 8 2 3 2" xfId="30431" xr:uid="{00000000-0005-0000-0000-0000E08C0000}"/>
    <cellStyle name="Normal 2 3 8 2 4" xfId="24061" xr:uid="{00000000-0005-0000-0000-0000E18C0000}"/>
    <cellStyle name="Normal 2 3 8 3" xfId="5839" xr:uid="{00000000-0005-0000-0000-0000E28C0000}"/>
    <cellStyle name="Normal 2 3 8 3 2" xfId="9139" xr:uid="{00000000-0005-0000-0000-0000E38C0000}"/>
    <cellStyle name="Normal 2 3 8 3 2 2" xfId="16934" xr:uid="{00000000-0005-0000-0000-0000E48C0000}"/>
    <cellStyle name="Normal 2 3 8 3 2 2 2" xfId="34570" xr:uid="{00000000-0005-0000-0000-0000E58C0000}"/>
    <cellStyle name="Normal 2 3 8 3 2 3" xfId="27527" xr:uid="{00000000-0005-0000-0000-0000E68C0000}"/>
    <cellStyle name="Normal 2 3 8 3 3" xfId="13695" xr:uid="{00000000-0005-0000-0000-0000E78C0000}"/>
    <cellStyle name="Normal 2 3 8 3 3 2" xfId="31335" xr:uid="{00000000-0005-0000-0000-0000E88C0000}"/>
    <cellStyle name="Normal 2 3 8 3 4" xfId="24662" xr:uid="{00000000-0005-0000-0000-0000E98C0000}"/>
    <cellStyle name="Normal 2 3 8 4" xfId="6469" xr:uid="{00000000-0005-0000-0000-0000EA8C0000}"/>
    <cellStyle name="Normal 2 3 8 4 2" xfId="9679" xr:uid="{00000000-0005-0000-0000-0000EB8C0000}"/>
    <cellStyle name="Normal 2 3 8 4 2 2" xfId="17473" xr:uid="{00000000-0005-0000-0000-0000EC8C0000}"/>
    <cellStyle name="Normal 2 3 8 4 2 2 2" xfId="35110" xr:uid="{00000000-0005-0000-0000-0000ED8C0000}"/>
    <cellStyle name="Normal 2 3 8 4 2 3" xfId="28063" xr:uid="{00000000-0005-0000-0000-0000EE8C0000}"/>
    <cellStyle name="Normal 2 3 8 4 3" xfId="14258" xr:uid="{00000000-0005-0000-0000-0000EF8C0000}"/>
    <cellStyle name="Normal 2 3 8 4 3 2" xfId="31893" xr:uid="{00000000-0005-0000-0000-0000F08C0000}"/>
    <cellStyle name="Normal 2 3 8 4 4" xfId="25199" xr:uid="{00000000-0005-0000-0000-0000F18C0000}"/>
    <cellStyle name="Normal 2 3 8 5" xfId="7245" xr:uid="{00000000-0005-0000-0000-0000F28C0000}"/>
    <cellStyle name="Normal 2 3 8 5 2" xfId="10233" xr:uid="{00000000-0005-0000-0000-0000F38C0000}"/>
    <cellStyle name="Normal 2 3 8 5 2 2" xfId="18026" xr:uid="{00000000-0005-0000-0000-0000F48C0000}"/>
    <cellStyle name="Normal 2 3 8 5 2 2 2" xfId="35663" xr:uid="{00000000-0005-0000-0000-0000F58C0000}"/>
    <cellStyle name="Normal 2 3 8 5 2 3" xfId="28600" xr:uid="{00000000-0005-0000-0000-0000F68C0000}"/>
    <cellStyle name="Normal 2 3 8 5 3" xfId="15033" xr:uid="{00000000-0005-0000-0000-0000F78C0000}"/>
    <cellStyle name="Normal 2 3 8 5 3 2" xfId="32668" xr:uid="{00000000-0005-0000-0000-0000F88C0000}"/>
    <cellStyle name="Normal 2 3 8 5 4" xfId="25737" xr:uid="{00000000-0005-0000-0000-0000F98C0000}"/>
    <cellStyle name="Normal 2 3 8 6" xfId="7846" xr:uid="{00000000-0005-0000-0000-0000FA8C0000}"/>
    <cellStyle name="Normal 2 3 8 6 2" xfId="15643" xr:uid="{00000000-0005-0000-0000-0000FB8C0000}"/>
    <cellStyle name="Normal 2 3 8 6 2 2" xfId="33278" xr:uid="{00000000-0005-0000-0000-0000FC8C0000}"/>
    <cellStyle name="Normal 2 3 8 6 3" xfId="26262" xr:uid="{00000000-0005-0000-0000-0000FD8C0000}"/>
    <cellStyle name="Normal 2 3 8 7" xfId="11765" xr:uid="{00000000-0005-0000-0000-0000FE8C0000}"/>
    <cellStyle name="Normal 2 3 8 7 2" xfId="29452" xr:uid="{00000000-0005-0000-0000-0000FF8C0000}"/>
    <cellStyle name="Normal 2 3 8 8" xfId="22827" xr:uid="{00000000-0005-0000-0000-0000008D0000}"/>
    <cellStyle name="Normal 2 3 8 8 2" xfId="39009" xr:uid="{00000000-0005-0000-0000-0000018D0000}"/>
    <cellStyle name="Normal 2 3 8 9" xfId="23397" xr:uid="{00000000-0005-0000-0000-0000028D0000}"/>
    <cellStyle name="Normal 2 3 9" xfId="2289" xr:uid="{00000000-0005-0000-0000-0000038D0000}"/>
    <cellStyle name="Normal 2 3 9 10" xfId="52049" xr:uid="{00000000-0005-0000-0000-0000048D0000}"/>
    <cellStyle name="Normal 2 3 9 2" xfId="4411" xr:uid="{00000000-0005-0000-0000-0000058D0000}"/>
    <cellStyle name="Normal 2 3 9 2 2" xfId="8526" xr:uid="{00000000-0005-0000-0000-0000068D0000}"/>
    <cellStyle name="Normal 2 3 9 2 2 2" xfId="16322" xr:uid="{00000000-0005-0000-0000-0000078D0000}"/>
    <cellStyle name="Normal 2 3 9 2 2 2 2" xfId="33957" xr:uid="{00000000-0005-0000-0000-0000088D0000}"/>
    <cellStyle name="Normal 2 3 9 2 2 3" xfId="26927" xr:uid="{00000000-0005-0000-0000-0000098D0000}"/>
    <cellStyle name="Normal 2 3 9 2 3" xfId="12774" xr:uid="{00000000-0005-0000-0000-00000A8D0000}"/>
    <cellStyle name="Normal 2 3 9 2 3 2" xfId="30432" xr:uid="{00000000-0005-0000-0000-00000B8D0000}"/>
    <cellStyle name="Normal 2 3 9 2 4" xfId="24062" xr:uid="{00000000-0005-0000-0000-00000C8D0000}"/>
    <cellStyle name="Normal 2 3 9 3" xfId="5840" xr:uid="{00000000-0005-0000-0000-00000D8D0000}"/>
    <cellStyle name="Normal 2 3 9 3 2" xfId="9140" xr:uid="{00000000-0005-0000-0000-00000E8D0000}"/>
    <cellStyle name="Normal 2 3 9 3 2 2" xfId="16935" xr:uid="{00000000-0005-0000-0000-00000F8D0000}"/>
    <cellStyle name="Normal 2 3 9 3 2 2 2" xfId="34571" xr:uid="{00000000-0005-0000-0000-0000108D0000}"/>
    <cellStyle name="Normal 2 3 9 3 2 3" xfId="27528" xr:uid="{00000000-0005-0000-0000-0000118D0000}"/>
    <cellStyle name="Normal 2 3 9 3 3" xfId="13696" xr:uid="{00000000-0005-0000-0000-0000128D0000}"/>
    <cellStyle name="Normal 2 3 9 3 3 2" xfId="31336" xr:uid="{00000000-0005-0000-0000-0000138D0000}"/>
    <cellStyle name="Normal 2 3 9 3 4" xfId="24663" xr:uid="{00000000-0005-0000-0000-0000148D0000}"/>
    <cellStyle name="Normal 2 3 9 4" xfId="6470" xr:uid="{00000000-0005-0000-0000-0000158D0000}"/>
    <cellStyle name="Normal 2 3 9 4 2" xfId="9680" xr:uid="{00000000-0005-0000-0000-0000168D0000}"/>
    <cellStyle name="Normal 2 3 9 4 2 2" xfId="17474" xr:uid="{00000000-0005-0000-0000-0000178D0000}"/>
    <cellStyle name="Normal 2 3 9 4 2 2 2" xfId="35111" xr:uid="{00000000-0005-0000-0000-0000188D0000}"/>
    <cellStyle name="Normal 2 3 9 4 2 3" xfId="28064" xr:uid="{00000000-0005-0000-0000-0000198D0000}"/>
    <cellStyle name="Normal 2 3 9 4 3" xfId="14259" xr:uid="{00000000-0005-0000-0000-00001A8D0000}"/>
    <cellStyle name="Normal 2 3 9 4 3 2" xfId="31894" xr:uid="{00000000-0005-0000-0000-00001B8D0000}"/>
    <cellStyle name="Normal 2 3 9 4 4" xfId="25200" xr:uid="{00000000-0005-0000-0000-00001C8D0000}"/>
    <cellStyle name="Normal 2 3 9 5" xfId="7246" xr:uid="{00000000-0005-0000-0000-00001D8D0000}"/>
    <cellStyle name="Normal 2 3 9 5 2" xfId="10234" xr:uid="{00000000-0005-0000-0000-00001E8D0000}"/>
    <cellStyle name="Normal 2 3 9 5 2 2" xfId="18027" xr:uid="{00000000-0005-0000-0000-00001F8D0000}"/>
    <cellStyle name="Normal 2 3 9 5 2 2 2" xfId="35664" xr:uid="{00000000-0005-0000-0000-0000208D0000}"/>
    <cellStyle name="Normal 2 3 9 5 2 3" xfId="28601" xr:uid="{00000000-0005-0000-0000-0000218D0000}"/>
    <cellStyle name="Normal 2 3 9 5 3" xfId="15034" xr:uid="{00000000-0005-0000-0000-0000228D0000}"/>
    <cellStyle name="Normal 2 3 9 5 3 2" xfId="32669" xr:uid="{00000000-0005-0000-0000-0000238D0000}"/>
    <cellStyle name="Normal 2 3 9 5 4" xfId="25738" xr:uid="{00000000-0005-0000-0000-0000248D0000}"/>
    <cellStyle name="Normal 2 3 9 6" xfId="7847" xr:uid="{00000000-0005-0000-0000-0000258D0000}"/>
    <cellStyle name="Normal 2 3 9 6 2" xfId="15644" xr:uid="{00000000-0005-0000-0000-0000268D0000}"/>
    <cellStyle name="Normal 2 3 9 6 2 2" xfId="33279" xr:uid="{00000000-0005-0000-0000-0000278D0000}"/>
    <cellStyle name="Normal 2 3 9 6 3" xfId="26263" xr:uid="{00000000-0005-0000-0000-0000288D0000}"/>
    <cellStyle name="Normal 2 3 9 7" xfId="11766" xr:uid="{00000000-0005-0000-0000-0000298D0000}"/>
    <cellStyle name="Normal 2 3 9 7 2" xfId="29453" xr:uid="{00000000-0005-0000-0000-00002A8D0000}"/>
    <cellStyle name="Normal 2 3 9 8" xfId="22830" xr:uid="{00000000-0005-0000-0000-00002B8D0000}"/>
    <cellStyle name="Normal 2 3 9 8 2" xfId="39011" xr:uid="{00000000-0005-0000-0000-00002C8D0000}"/>
    <cellStyle name="Normal 2 3 9 9" xfId="23398" xr:uid="{00000000-0005-0000-0000-00002D8D0000}"/>
    <cellStyle name="Normal 2 3_Sheet1" xfId="2290" xr:uid="{00000000-0005-0000-0000-00002E8D0000}"/>
    <cellStyle name="Normal 2 4" xfId="191" xr:uid="{00000000-0005-0000-0000-00002F8D0000}"/>
    <cellStyle name="Normal 2 4 10" xfId="2291" xr:uid="{00000000-0005-0000-0000-0000308D0000}"/>
    <cellStyle name="Normal 2 4 2" xfId="2292" xr:uid="{00000000-0005-0000-0000-0000318D0000}"/>
    <cellStyle name="Normal 2 4 2 10" xfId="23399" xr:uid="{00000000-0005-0000-0000-0000328D0000}"/>
    <cellStyle name="Normal 2 4 2 11" xfId="52051" xr:uid="{00000000-0005-0000-0000-0000338D0000}"/>
    <cellStyle name="Normal 2 4 2 2" xfId="4414" xr:uid="{00000000-0005-0000-0000-0000348D0000}"/>
    <cellStyle name="Normal 2 4 2 3" xfId="4413" xr:uid="{00000000-0005-0000-0000-0000358D0000}"/>
    <cellStyle name="Normal 2 4 2 3 2" xfId="8527" xr:uid="{00000000-0005-0000-0000-0000368D0000}"/>
    <cellStyle name="Normal 2 4 2 3 2 2" xfId="16323" xr:uid="{00000000-0005-0000-0000-0000378D0000}"/>
    <cellStyle name="Normal 2 4 2 3 2 2 2" xfId="33958" xr:uid="{00000000-0005-0000-0000-0000388D0000}"/>
    <cellStyle name="Normal 2 4 2 3 2 3" xfId="26928" xr:uid="{00000000-0005-0000-0000-0000398D0000}"/>
    <cellStyle name="Normal 2 4 2 3 3" xfId="12775" xr:uid="{00000000-0005-0000-0000-00003A8D0000}"/>
    <cellStyle name="Normal 2 4 2 3 3 2" xfId="30433" xr:uid="{00000000-0005-0000-0000-00003B8D0000}"/>
    <cellStyle name="Normal 2 4 2 3 4" xfId="24063" xr:uid="{00000000-0005-0000-0000-00003C8D0000}"/>
    <cellStyle name="Normal 2 4 2 4" xfId="5841" xr:uid="{00000000-0005-0000-0000-00003D8D0000}"/>
    <cellStyle name="Normal 2 4 2 4 2" xfId="9141" xr:uid="{00000000-0005-0000-0000-00003E8D0000}"/>
    <cellStyle name="Normal 2 4 2 4 2 2" xfId="16936" xr:uid="{00000000-0005-0000-0000-00003F8D0000}"/>
    <cellStyle name="Normal 2 4 2 4 2 2 2" xfId="34572" xr:uid="{00000000-0005-0000-0000-0000408D0000}"/>
    <cellStyle name="Normal 2 4 2 4 2 3" xfId="27529" xr:uid="{00000000-0005-0000-0000-0000418D0000}"/>
    <cellStyle name="Normal 2 4 2 4 3" xfId="13697" xr:uid="{00000000-0005-0000-0000-0000428D0000}"/>
    <cellStyle name="Normal 2 4 2 4 3 2" xfId="31337" xr:uid="{00000000-0005-0000-0000-0000438D0000}"/>
    <cellStyle name="Normal 2 4 2 4 4" xfId="24664" xr:uid="{00000000-0005-0000-0000-0000448D0000}"/>
    <cellStyle name="Normal 2 4 2 5" xfId="6471" xr:uid="{00000000-0005-0000-0000-0000458D0000}"/>
    <cellStyle name="Normal 2 4 2 5 2" xfId="9681" xr:uid="{00000000-0005-0000-0000-0000468D0000}"/>
    <cellStyle name="Normal 2 4 2 5 2 2" xfId="17475" xr:uid="{00000000-0005-0000-0000-0000478D0000}"/>
    <cellStyle name="Normal 2 4 2 5 2 2 2" xfId="35112" xr:uid="{00000000-0005-0000-0000-0000488D0000}"/>
    <cellStyle name="Normal 2 4 2 5 2 3" xfId="28065" xr:uid="{00000000-0005-0000-0000-0000498D0000}"/>
    <cellStyle name="Normal 2 4 2 5 3" xfId="14260" xr:uid="{00000000-0005-0000-0000-00004A8D0000}"/>
    <cellStyle name="Normal 2 4 2 5 3 2" xfId="31895" xr:uid="{00000000-0005-0000-0000-00004B8D0000}"/>
    <cellStyle name="Normal 2 4 2 5 4" xfId="25201" xr:uid="{00000000-0005-0000-0000-00004C8D0000}"/>
    <cellStyle name="Normal 2 4 2 6" xfId="7247" xr:uid="{00000000-0005-0000-0000-00004D8D0000}"/>
    <cellStyle name="Normal 2 4 2 6 2" xfId="10235" xr:uid="{00000000-0005-0000-0000-00004E8D0000}"/>
    <cellStyle name="Normal 2 4 2 6 2 2" xfId="18028" xr:uid="{00000000-0005-0000-0000-00004F8D0000}"/>
    <cellStyle name="Normal 2 4 2 6 2 2 2" xfId="35665" xr:uid="{00000000-0005-0000-0000-0000508D0000}"/>
    <cellStyle name="Normal 2 4 2 6 2 3" xfId="28602" xr:uid="{00000000-0005-0000-0000-0000518D0000}"/>
    <cellStyle name="Normal 2 4 2 6 3" xfId="15035" xr:uid="{00000000-0005-0000-0000-0000528D0000}"/>
    <cellStyle name="Normal 2 4 2 6 3 2" xfId="32670" xr:uid="{00000000-0005-0000-0000-0000538D0000}"/>
    <cellStyle name="Normal 2 4 2 6 4" xfId="25739" xr:uid="{00000000-0005-0000-0000-0000548D0000}"/>
    <cellStyle name="Normal 2 4 2 7" xfId="7848" xr:uid="{00000000-0005-0000-0000-0000558D0000}"/>
    <cellStyle name="Normal 2 4 2 7 2" xfId="15645" xr:uid="{00000000-0005-0000-0000-0000568D0000}"/>
    <cellStyle name="Normal 2 4 2 7 2 2" xfId="33280" xr:uid="{00000000-0005-0000-0000-0000578D0000}"/>
    <cellStyle name="Normal 2 4 2 7 3" xfId="26264" xr:uid="{00000000-0005-0000-0000-0000588D0000}"/>
    <cellStyle name="Normal 2 4 2 8" xfId="11767" xr:uid="{00000000-0005-0000-0000-0000598D0000}"/>
    <cellStyle name="Normal 2 4 2 8 2" xfId="29454" xr:uid="{00000000-0005-0000-0000-00005A8D0000}"/>
    <cellStyle name="Normal 2 4 2 9" xfId="22795" xr:uid="{00000000-0005-0000-0000-00005B8D0000}"/>
    <cellStyle name="Normal 2 4 2 9 2" xfId="39000" xr:uid="{00000000-0005-0000-0000-00005C8D0000}"/>
    <cellStyle name="Normal 2 4 3" xfId="2293" xr:uid="{00000000-0005-0000-0000-00005D8D0000}"/>
    <cellStyle name="Normal 2 4 3 2" xfId="4415" xr:uid="{00000000-0005-0000-0000-00005E8D0000}"/>
    <cellStyle name="Normal 2 4 3 3" xfId="22805" xr:uid="{00000000-0005-0000-0000-00005F8D0000}"/>
    <cellStyle name="Normal 2 4 3 3 2" xfId="39002" xr:uid="{00000000-0005-0000-0000-0000608D0000}"/>
    <cellStyle name="Normal 2 4 3 4" xfId="52052" xr:uid="{00000000-0005-0000-0000-0000618D0000}"/>
    <cellStyle name="Normal 2 4 4" xfId="4416" xr:uid="{00000000-0005-0000-0000-0000628D0000}"/>
    <cellStyle name="Normal 2 4 4 2" xfId="22820" xr:uid="{00000000-0005-0000-0000-0000638D0000}"/>
    <cellStyle name="Normal 2 4 4 2 2" xfId="39004" xr:uid="{00000000-0005-0000-0000-0000648D0000}"/>
    <cellStyle name="Normal 2 4 5" xfId="4417" xr:uid="{00000000-0005-0000-0000-0000658D0000}"/>
    <cellStyle name="Normal 2 4 5 2" xfId="22822" xr:uid="{00000000-0005-0000-0000-0000668D0000}"/>
    <cellStyle name="Normal 2 4 5 2 2" xfId="39006" xr:uid="{00000000-0005-0000-0000-0000678D0000}"/>
    <cellStyle name="Normal 2 4 6" xfId="4412" xr:uid="{00000000-0005-0000-0000-0000688D0000}"/>
    <cellStyle name="Normal 2 4 6 2" xfId="22826" xr:uid="{00000000-0005-0000-0000-0000698D0000}"/>
    <cellStyle name="Normal 2 4 6 2 2" xfId="39008" xr:uid="{00000000-0005-0000-0000-00006A8D0000}"/>
    <cellStyle name="Normal 2 4 7" xfId="22828" xr:uid="{00000000-0005-0000-0000-00006B8D0000}"/>
    <cellStyle name="Normal 2 4 7 2" xfId="39010" xr:uid="{00000000-0005-0000-0000-00006C8D0000}"/>
    <cellStyle name="Normal 2 4 8" xfId="22831" xr:uid="{00000000-0005-0000-0000-00006D8D0000}"/>
    <cellStyle name="Normal 2 4 8 2" xfId="39012" xr:uid="{00000000-0005-0000-0000-00006E8D0000}"/>
    <cellStyle name="Normal 2 4 9" xfId="52050" xr:uid="{00000000-0005-0000-0000-00006F8D0000}"/>
    <cellStyle name="Normal 2 5" xfId="2294" xr:uid="{00000000-0005-0000-0000-0000708D0000}"/>
    <cellStyle name="Normal 2 5 2" xfId="2295" xr:uid="{00000000-0005-0000-0000-0000718D0000}"/>
    <cellStyle name="Normal 2 5 2 2" xfId="4419" xr:uid="{00000000-0005-0000-0000-0000728D0000}"/>
    <cellStyle name="Normal 2 5 2 3" xfId="52054" xr:uid="{00000000-0005-0000-0000-0000738D0000}"/>
    <cellStyle name="Normal 2 5 3" xfId="4418" xr:uid="{00000000-0005-0000-0000-0000748D0000}"/>
    <cellStyle name="Normal 2 5 4" xfId="52053" xr:uid="{00000000-0005-0000-0000-0000758D0000}"/>
    <cellStyle name="Normal 2 5_BallGrid" xfId="2296" xr:uid="{00000000-0005-0000-0000-0000768D0000}"/>
    <cellStyle name="Normal 2 6" xfId="2297" xr:uid="{00000000-0005-0000-0000-0000778D0000}"/>
    <cellStyle name="Normal 2 6 10" xfId="52055" xr:uid="{00000000-0005-0000-0000-0000788D0000}"/>
    <cellStyle name="Normal 2 6 2" xfId="4420" xr:uid="{00000000-0005-0000-0000-0000798D0000}"/>
    <cellStyle name="Normal 2 6 2 2" xfId="8528" xr:uid="{00000000-0005-0000-0000-00007A8D0000}"/>
    <cellStyle name="Normal 2 6 2 2 2" xfId="16324" xr:uid="{00000000-0005-0000-0000-00007B8D0000}"/>
    <cellStyle name="Normal 2 6 2 2 2 2" xfId="33959" xr:uid="{00000000-0005-0000-0000-00007C8D0000}"/>
    <cellStyle name="Normal 2 6 2 2 3" xfId="26929" xr:uid="{00000000-0005-0000-0000-00007D8D0000}"/>
    <cellStyle name="Normal 2 6 2 3" xfId="12776" xr:uid="{00000000-0005-0000-0000-00007E8D0000}"/>
    <cellStyle name="Normal 2 6 2 3 2" xfId="30434" xr:uid="{00000000-0005-0000-0000-00007F8D0000}"/>
    <cellStyle name="Normal 2 6 2 4" xfId="22758" xr:uid="{00000000-0005-0000-0000-0000808D0000}"/>
    <cellStyle name="Normal 2 6 2 4 2" xfId="38965" xr:uid="{00000000-0005-0000-0000-0000818D0000}"/>
    <cellStyle name="Normal 2 6 2 5" xfId="24064" xr:uid="{00000000-0005-0000-0000-0000828D0000}"/>
    <cellStyle name="Normal 2 6 3" xfId="5842" xr:uid="{00000000-0005-0000-0000-0000838D0000}"/>
    <cellStyle name="Normal 2 6 3 2" xfId="9142" xr:uid="{00000000-0005-0000-0000-0000848D0000}"/>
    <cellStyle name="Normal 2 6 3 2 2" xfId="16937" xr:uid="{00000000-0005-0000-0000-0000858D0000}"/>
    <cellStyle name="Normal 2 6 3 2 2 2" xfId="34573" xr:uid="{00000000-0005-0000-0000-0000868D0000}"/>
    <cellStyle name="Normal 2 6 3 2 3" xfId="27530" xr:uid="{00000000-0005-0000-0000-0000878D0000}"/>
    <cellStyle name="Normal 2 6 3 3" xfId="13698" xr:uid="{00000000-0005-0000-0000-0000888D0000}"/>
    <cellStyle name="Normal 2 6 3 3 2" xfId="31338" xr:uid="{00000000-0005-0000-0000-0000898D0000}"/>
    <cellStyle name="Normal 2 6 3 4" xfId="24665" xr:uid="{00000000-0005-0000-0000-00008A8D0000}"/>
    <cellStyle name="Normal 2 6 4" xfId="6472" xr:uid="{00000000-0005-0000-0000-00008B8D0000}"/>
    <cellStyle name="Normal 2 6 4 2" xfId="9682" xr:uid="{00000000-0005-0000-0000-00008C8D0000}"/>
    <cellStyle name="Normal 2 6 4 2 2" xfId="17476" xr:uid="{00000000-0005-0000-0000-00008D8D0000}"/>
    <cellStyle name="Normal 2 6 4 2 2 2" xfId="35113" xr:uid="{00000000-0005-0000-0000-00008E8D0000}"/>
    <cellStyle name="Normal 2 6 4 2 3" xfId="28066" xr:uid="{00000000-0005-0000-0000-00008F8D0000}"/>
    <cellStyle name="Normal 2 6 4 3" xfId="14261" xr:uid="{00000000-0005-0000-0000-0000908D0000}"/>
    <cellStyle name="Normal 2 6 4 3 2" xfId="31896" xr:uid="{00000000-0005-0000-0000-0000918D0000}"/>
    <cellStyle name="Normal 2 6 4 4" xfId="25202" xr:uid="{00000000-0005-0000-0000-0000928D0000}"/>
    <cellStyle name="Normal 2 6 5" xfId="7248" xr:uid="{00000000-0005-0000-0000-0000938D0000}"/>
    <cellStyle name="Normal 2 6 5 2" xfId="10236" xr:uid="{00000000-0005-0000-0000-0000948D0000}"/>
    <cellStyle name="Normal 2 6 5 2 2" xfId="18029" xr:uid="{00000000-0005-0000-0000-0000958D0000}"/>
    <cellStyle name="Normal 2 6 5 2 2 2" xfId="35666" xr:uid="{00000000-0005-0000-0000-0000968D0000}"/>
    <cellStyle name="Normal 2 6 5 2 3" xfId="28603" xr:uid="{00000000-0005-0000-0000-0000978D0000}"/>
    <cellStyle name="Normal 2 6 5 3" xfId="15036" xr:uid="{00000000-0005-0000-0000-0000988D0000}"/>
    <cellStyle name="Normal 2 6 5 3 2" xfId="32671" xr:uid="{00000000-0005-0000-0000-0000998D0000}"/>
    <cellStyle name="Normal 2 6 5 4" xfId="25740" xr:uid="{00000000-0005-0000-0000-00009A8D0000}"/>
    <cellStyle name="Normal 2 6 6" xfId="7849" xr:uid="{00000000-0005-0000-0000-00009B8D0000}"/>
    <cellStyle name="Normal 2 6 6 2" xfId="15646" xr:uid="{00000000-0005-0000-0000-00009C8D0000}"/>
    <cellStyle name="Normal 2 6 6 2 2" xfId="33281" xr:uid="{00000000-0005-0000-0000-00009D8D0000}"/>
    <cellStyle name="Normal 2 6 6 3" xfId="26265" xr:uid="{00000000-0005-0000-0000-00009E8D0000}"/>
    <cellStyle name="Normal 2 6 7" xfId="11769" xr:uid="{00000000-0005-0000-0000-00009F8D0000}"/>
    <cellStyle name="Normal 2 6 7 2" xfId="29456" xr:uid="{00000000-0005-0000-0000-0000A08D0000}"/>
    <cellStyle name="Normal 2 6 8" xfId="21989" xr:uid="{00000000-0005-0000-0000-0000A18D0000}"/>
    <cellStyle name="Normal 2 6 8 2" xfId="38733" xr:uid="{00000000-0005-0000-0000-0000A28D0000}"/>
    <cellStyle name="Normal 2 6 9" xfId="23400" xr:uid="{00000000-0005-0000-0000-0000A38D0000}"/>
    <cellStyle name="Normal 2 7" xfId="2298" xr:uid="{00000000-0005-0000-0000-0000A48D0000}"/>
    <cellStyle name="Normal 2 7 10" xfId="52056" xr:uid="{00000000-0005-0000-0000-0000A58D0000}"/>
    <cellStyle name="Normal 2 7 2" xfId="4421" xr:uid="{00000000-0005-0000-0000-0000A68D0000}"/>
    <cellStyle name="Normal 2 7 2 2" xfId="8529" xr:uid="{00000000-0005-0000-0000-0000A78D0000}"/>
    <cellStyle name="Normal 2 7 2 2 2" xfId="16325" xr:uid="{00000000-0005-0000-0000-0000A88D0000}"/>
    <cellStyle name="Normal 2 7 2 2 2 2" xfId="33960" xr:uid="{00000000-0005-0000-0000-0000A98D0000}"/>
    <cellStyle name="Normal 2 7 2 2 3" xfId="26930" xr:uid="{00000000-0005-0000-0000-0000AA8D0000}"/>
    <cellStyle name="Normal 2 7 2 3" xfId="12777" xr:uid="{00000000-0005-0000-0000-0000AB8D0000}"/>
    <cellStyle name="Normal 2 7 2 3 2" xfId="30435" xr:uid="{00000000-0005-0000-0000-0000AC8D0000}"/>
    <cellStyle name="Normal 2 7 2 4" xfId="24065" xr:uid="{00000000-0005-0000-0000-0000AD8D0000}"/>
    <cellStyle name="Normal 2 7 3" xfId="5843" xr:uid="{00000000-0005-0000-0000-0000AE8D0000}"/>
    <cellStyle name="Normal 2 7 3 2" xfId="9143" xr:uid="{00000000-0005-0000-0000-0000AF8D0000}"/>
    <cellStyle name="Normal 2 7 3 2 2" xfId="16938" xr:uid="{00000000-0005-0000-0000-0000B08D0000}"/>
    <cellStyle name="Normal 2 7 3 2 2 2" xfId="34574" xr:uid="{00000000-0005-0000-0000-0000B18D0000}"/>
    <cellStyle name="Normal 2 7 3 2 3" xfId="27531" xr:uid="{00000000-0005-0000-0000-0000B28D0000}"/>
    <cellStyle name="Normal 2 7 3 3" xfId="13699" xr:uid="{00000000-0005-0000-0000-0000B38D0000}"/>
    <cellStyle name="Normal 2 7 3 3 2" xfId="31339" xr:uid="{00000000-0005-0000-0000-0000B48D0000}"/>
    <cellStyle name="Normal 2 7 3 4" xfId="24666" xr:uid="{00000000-0005-0000-0000-0000B58D0000}"/>
    <cellStyle name="Normal 2 7 4" xfId="6473" xr:uid="{00000000-0005-0000-0000-0000B68D0000}"/>
    <cellStyle name="Normal 2 7 4 2" xfId="9683" xr:uid="{00000000-0005-0000-0000-0000B78D0000}"/>
    <cellStyle name="Normal 2 7 4 2 2" xfId="17477" xr:uid="{00000000-0005-0000-0000-0000B88D0000}"/>
    <cellStyle name="Normal 2 7 4 2 2 2" xfId="35114" xr:uid="{00000000-0005-0000-0000-0000B98D0000}"/>
    <cellStyle name="Normal 2 7 4 2 3" xfId="28067" xr:uid="{00000000-0005-0000-0000-0000BA8D0000}"/>
    <cellStyle name="Normal 2 7 4 3" xfId="14262" xr:uid="{00000000-0005-0000-0000-0000BB8D0000}"/>
    <cellStyle name="Normal 2 7 4 3 2" xfId="31897" xr:uid="{00000000-0005-0000-0000-0000BC8D0000}"/>
    <cellStyle name="Normal 2 7 4 4" xfId="25203" xr:uid="{00000000-0005-0000-0000-0000BD8D0000}"/>
    <cellStyle name="Normal 2 7 5" xfId="7249" xr:uid="{00000000-0005-0000-0000-0000BE8D0000}"/>
    <cellStyle name="Normal 2 7 5 2" xfId="10237" xr:uid="{00000000-0005-0000-0000-0000BF8D0000}"/>
    <cellStyle name="Normal 2 7 5 2 2" xfId="18030" xr:uid="{00000000-0005-0000-0000-0000C08D0000}"/>
    <cellStyle name="Normal 2 7 5 2 2 2" xfId="35667" xr:uid="{00000000-0005-0000-0000-0000C18D0000}"/>
    <cellStyle name="Normal 2 7 5 2 3" xfId="28604" xr:uid="{00000000-0005-0000-0000-0000C28D0000}"/>
    <cellStyle name="Normal 2 7 5 3" xfId="15037" xr:uid="{00000000-0005-0000-0000-0000C38D0000}"/>
    <cellStyle name="Normal 2 7 5 3 2" xfId="32672" xr:uid="{00000000-0005-0000-0000-0000C48D0000}"/>
    <cellStyle name="Normal 2 7 5 4" xfId="25741" xr:uid="{00000000-0005-0000-0000-0000C58D0000}"/>
    <cellStyle name="Normal 2 7 6" xfId="7850" xr:uid="{00000000-0005-0000-0000-0000C68D0000}"/>
    <cellStyle name="Normal 2 7 6 2" xfId="15647" xr:uid="{00000000-0005-0000-0000-0000C78D0000}"/>
    <cellStyle name="Normal 2 7 6 2 2" xfId="33282" xr:uid="{00000000-0005-0000-0000-0000C88D0000}"/>
    <cellStyle name="Normal 2 7 6 3" xfId="26266" xr:uid="{00000000-0005-0000-0000-0000C98D0000}"/>
    <cellStyle name="Normal 2 7 7" xfId="11770" xr:uid="{00000000-0005-0000-0000-0000CA8D0000}"/>
    <cellStyle name="Normal 2 7 7 2" xfId="29457" xr:uid="{00000000-0005-0000-0000-0000CB8D0000}"/>
    <cellStyle name="Normal 2 7 8" xfId="21990" xr:uid="{00000000-0005-0000-0000-0000CC8D0000}"/>
    <cellStyle name="Normal 2 7 8 2" xfId="38734" xr:uid="{00000000-0005-0000-0000-0000CD8D0000}"/>
    <cellStyle name="Normal 2 7 9" xfId="23401" xr:uid="{00000000-0005-0000-0000-0000CE8D0000}"/>
    <cellStyle name="Normal 2 8" xfId="2299" xr:uid="{00000000-0005-0000-0000-0000CF8D0000}"/>
    <cellStyle name="Normal 2 8 10" xfId="52057" xr:uid="{00000000-0005-0000-0000-0000D08D0000}"/>
    <cellStyle name="Normal 2 8 2" xfId="4422" xr:uid="{00000000-0005-0000-0000-0000D18D0000}"/>
    <cellStyle name="Normal 2 8 2 2" xfId="8530" xr:uid="{00000000-0005-0000-0000-0000D28D0000}"/>
    <cellStyle name="Normal 2 8 2 2 2" xfId="16326" xr:uid="{00000000-0005-0000-0000-0000D38D0000}"/>
    <cellStyle name="Normal 2 8 2 2 2 2" xfId="33961" xr:uid="{00000000-0005-0000-0000-0000D48D0000}"/>
    <cellStyle name="Normal 2 8 2 2 3" xfId="26931" xr:uid="{00000000-0005-0000-0000-0000D58D0000}"/>
    <cellStyle name="Normal 2 8 2 3" xfId="12778" xr:uid="{00000000-0005-0000-0000-0000D68D0000}"/>
    <cellStyle name="Normal 2 8 2 3 2" xfId="30436" xr:uid="{00000000-0005-0000-0000-0000D78D0000}"/>
    <cellStyle name="Normal 2 8 2 4" xfId="24066" xr:uid="{00000000-0005-0000-0000-0000D88D0000}"/>
    <cellStyle name="Normal 2 8 3" xfId="5844" xr:uid="{00000000-0005-0000-0000-0000D98D0000}"/>
    <cellStyle name="Normal 2 8 3 2" xfId="9144" xr:uid="{00000000-0005-0000-0000-0000DA8D0000}"/>
    <cellStyle name="Normal 2 8 3 2 2" xfId="16939" xr:uid="{00000000-0005-0000-0000-0000DB8D0000}"/>
    <cellStyle name="Normal 2 8 3 2 2 2" xfId="34575" xr:uid="{00000000-0005-0000-0000-0000DC8D0000}"/>
    <cellStyle name="Normal 2 8 3 2 3" xfId="27532" xr:uid="{00000000-0005-0000-0000-0000DD8D0000}"/>
    <cellStyle name="Normal 2 8 3 3" xfId="13700" xr:uid="{00000000-0005-0000-0000-0000DE8D0000}"/>
    <cellStyle name="Normal 2 8 3 3 2" xfId="31340" xr:uid="{00000000-0005-0000-0000-0000DF8D0000}"/>
    <cellStyle name="Normal 2 8 3 4" xfId="24667" xr:uid="{00000000-0005-0000-0000-0000E08D0000}"/>
    <cellStyle name="Normal 2 8 4" xfId="6474" xr:uid="{00000000-0005-0000-0000-0000E18D0000}"/>
    <cellStyle name="Normal 2 8 4 2" xfId="9684" xr:uid="{00000000-0005-0000-0000-0000E28D0000}"/>
    <cellStyle name="Normal 2 8 4 2 2" xfId="17478" xr:uid="{00000000-0005-0000-0000-0000E38D0000}"/>
    <cellStyle name="Normal 2 8 4 2 2 2" xfId="35115" xr:uid="{00000000-0005-0000-0000-0000E48D0000}"/>
    <cellStyle name="Normal 2 8 4 2 3" xfId="28068" xr:uid="{00000000-0005-0000-0000-0000E58D0000}"/>
    <cellStyle name="Normal 2 8 4 3" xfId="14263" xr:uid="{00000000-0005-0000-0000-0000E68D0000}"/>
    <cellStyle name="Normal 2 8 4 3 2" xfId="31898" xr:uid="{00000000-0005-0000-0000-0000E78D0000}"/>
    <cellStyle name="Normal 2 8 4 4" xfId="25204" xr:uid="{00000000-0005-0000-0000-0000E88D0000}"/>
    <cellStyle name="Normal 2 8 5" xfId="7250" xr:uid="{00000000-0005-0000-0000-0000E98D0000}"/>
    <cellStyle name="Normal 2 8 5 2" xfId="10238" xr:uid="{00000000-0005-0000-0000-0000EA8D0000}"/>
    <cellStyle name="Normal 2 8 5 2 2" xfId="18031" xr:uid="{00000000-0005-0000-0000-0000EB8D0000}"/>
    <cellStyle name="Normal 2 8 5 2 2 2" xfId="35668" xr:uid="{00000000-0005-0000-0000-0000EC8D0000}"/>
    <cellStyle name="Normal 2 8 5 2 3" xfId="28605" xr:uid="{00000000-0005-0000-0000-0000ED8D0000}"/>
    <cellStyle name="Normal 2 8 5 3" xfId="15038" xr:uid="{00000000-0005-0000-0000-0000EE8D0000}"/>
    <cellStyle name="Normal 2 8 5 3 2" xfId="32673" xr:uid="{00000000-0005-0000-0000-0000EF8D0000}"/>
    <cellStyle name="Normal 2 8 5 4" xfId="25742" xr:uid="{00000000-0005-0000-0000-0000F08D0000}"/>
    <cellStyle name="Normal 2 8 6" xfId="7851" xr:uid="{00000000-0005-0000-0000-0000F18D0000}"/>
    <cellStyle name="Normal 2 8 6 2" xfId="15648" xr:uid="{00000000-0005-0000-0000-0000F28D0000}"/>
    <cellStyle name="Normal 2 8 6 2 2" xfId="33283" xr:uid="{00000000-0005-0000-0000-0000F38D0000}"/>
    <cellStyle name="Normal 2 8 6 3" xfId="26267" xr:uid="{00000000-0005-0000-0000-0000F48D0000}"/>
    <cellStyle name="Normal 2 8 7" xfId="11771" xr:uid="{00000000-0005-0000-0000-0000F58D0000}"/>
    <cellStyle name="Normal 2 8 7 2" xfId="29458" xr:uid="{00000000-0005-0000-0000-0000F68D0000}"/>
    <cellStyle name="Normal 2 8 8" xfId="21991" xr:uid="{00000000-0005-0000-0000-0000F78D0000}"/>
    <cellStyle name="Normal 2 8 8 2" xfId="38735" xr:uid="{00000000-0005-0000-0000-0000F88D0000}"/>
    <cellStyle name="Normal 2 8 9" xfId="23402" xr:uid="{00000000-0005-0000-0000-0000F98D0000}"/>
    <cellStyle name="Normal 2 9" xfId="2300" xr:uid="{00000000-0005-0000-0000-0000FA8D0000}"/>
    <cellStyle name="Normal 2 9 10" xfId="52058" xr:uid="{00000000-0005-0000-0000-0000FB8D0000}"/>
    <cellStyle name="Normal 2 9 2" xfId="4423" xr:uid="{00000000-0005-0000-0000-0000FC8D0000}"/>
    <cellStyle name="Normal 2 9 2 2" xfId="8531" xr:uid="{00000000-0005-0000-0000-0000FD8D0000}"/>
    <cellStyle name="Normal 2 9 2 2 2" xfId="16327" xr:uid="{00000000-0005-0000-0000-0000FE8D0000}"/>
    <cellStyle name="Normal 2 9 2 2 2 2" xfId="33962" xr:uid="{00000000-0005-0000-0000-0000FF8D0000}"/>
    <cellStyle name="Normal 2 9 2 2 3" xfId="26932" xr:uid="{00000000-0005-0000-0000-0000008E0000}"/>
    <cellStyle name="Normal 2 9 2 3" xfId="12779" xr:uid="{00000000-0005-0000-0000-0000018E0000}"/>
    <cellStyle name="Normal 2 9 2 3 2" xfId="30437" xr:uid="{00000000-0005-0000-0000-0000028E0000}"/>
    <cellStyle name="Normal 2 9 2 4" xfId="24067" xr:uid="{00000000-0005-0000-0000-0000038E0000}"/>
    <cellStyle name="Normal 2 9 3" xfId="5845" xr:uid="{00000000-0005-0000-0000-0000048E0000}"/>
    <cellStyle name="Normal 2 9 3 2" xfId="9145" xr:uid="{00000000-0005-0000-0000-0000058E0000}"/>
    <cellStyle name="Normal 2 9 3 2 2" xfId="16940" xr:uid="{00000000-0005-0000-0000-0000068E0000}"/>
    <cellStyle name="Normal 2 9 3 2 2 2" xfId="34576" xr:uid="{00000000-0005-0000-0000-0000078E0000}"/>
    <cellStyle name="Normal 2 9 3 2 3" xfId="27533" xr:uid="{00000000-0005-0000-0000-0000088E0000}"/>
    <cellStyle name="Normal 2 9 3 3" xfId="13701" xr:uid="{00000000-0005-0000-0000-0000098E0000}"/>
    <cellStyle name="Normal 2 9 3 3 2" xfId="31341" xr:uid="{00000000-0005-0000-0000-00000A8E0000}"/>
    <cellStyle name="Normal 2 9 3 4" xfId="24668" xr:uid="{00000000-0005-0000-0000-00000B8E0000}"/>
    <cellStyle name="Normal 2 9 4" xfId="6475" xr:uid="{00000000-0005-0000-0000-00000C8E0000}"/>
    <cellStyle name="Normal 2 9 4 2" xfId="9685" xr:uid="{00000000-0005-0000-0000-00000D8E0000}"/>
    <cellStyle name="Normal 2 9 4 2 2" xfId="17479" xr:uid="{00000000-0005-0000-0000-00000E8E0000}"/>
    <cellStyle name="Normal 2 9 4 2 2 2" xfId="35116" xr:uid="{00000000-0005-0000-0000-00000F8E0000}"/>
    <cellStyle name="Normal 2 9 4 2 3" xfId="28069" xr:uid="{00000000-0005-0000-0000-0000108E0000}"/>
    <cellStyle name="Normal 2 9 4 3" xfId="14264" xr:uid="{00000000-0005-0000-0000-0000118E0000}"/>
    <cellStyle name="Normal 2 9 4 3 2" xfId="31899" xr:uid="{00000000-0005-0000-0000-0000128E0000}"/>
    <cellStyle name="Normal 2 9 4 4" xfId="25205" xr:uid="{00000000-0005-0000-0000-0000138E0000}"/>
    <cellStyle name="Normal 2 9 5" xfId="7251" xr:uid="{00000000-0005-0000-0000-0000148E0000}"/>
    <cellStyle name="Normal 2 9 5 2" xfId="10239" xr:uid="{00000000-0005-0000-0000-0000158E0000}"/>
    <cellStyle name="Normal 2 9 5 2 2" xfId="18032" xr:uid="{00000000-0005-0000-0000-0000168E0000}"/>
    <cellStyle name="Normal 2 9 5 2 2 2" xfId="35669" xr:uid="{00000000-0005-0000-0000-0000178E0000}"/>
    <cellStyle name="Normal 2 9 5 2 3" xfId="28606" xr:uid="{00000000-0005-0000-0000-0000188E0000}"/>
    <cellStyle name="Normal 2 9 5 3" xfId="15039" xr:uid="{00000000-0005-0000-0000-0000198E0000}"/>
    <cellStyle name="Normal 2 9 5 3 2" xfId="32674" xr:uid="{00000000-0005-0000-0000-00001A8E0000}"/>
    <cellStyle name="Normal 2 9 5 4" xfId="25743" xr:uid="{00000000-0005-0000-0000-00001B8E0000}"/>
    <cellStyle name="Normal 2 9 6" xfId="7852" xr:uid="{00000000-0005-0000-0000-00001C8E0000}"/>
    <cellStyle name="Normal 2 9 6 2" xfId="15649" xr:uid="{00000000-0005-0000-0000-00001D8E0000}"/>
    <cellStyle name="Normal 2 9 6 2 2" xfId="33284" xr:uid="{00000000-0005-0000-0000-00001E8E0000}"/>
    <cellStyle name="Normal 2 9 6 3" xfId="26268" xr:uid="{00000000-0005-0000-0000-00001F8E0000}"/>
    <cellStyle name="Normal 2 9 7" xfId="11772" xr:uid="{00000000-0005-0000-0000-0000208E0000}"/>
    <cellStyle name="Normal 2 9 7 2" xfId="29459" xr:uid="{00000000-0005-0000-0000-0000218E0000}"/>
    <cellStyle name="Normal 2 9 8" xfId="21992" xr:uid="{00000000-0005-0000-0000-0000228E0000}"/>
    <cellStyle name="Normal 2 9 8 2" xfId="38736" xr:uid="{00000000-0005-0000-0000-0000238E0000}"/>
    <cellStyle name="Normal 2 9 9" xfId="23403" xr:uid="{00000000-0005-0000-0000-0000248E0000}"/>
    <cellStyle name="Normal 2_BallGrid" xfId="2301" xr:uid="{00000000-0005-0000-0000-0000258E0000}"/>
    <cellStyle name="Normal 20" xfId="2302" xr:uid="{00000000-0005-0000-0000-0000268E0000}"/>
    <cellStyle name="Normal 20 2" xfId="2303" xr:uid="{00000000-0005-0000-0000-0000278E0000}"/>
    <cellStyle name="Normal 20 2 2" xfId="2304" xr:uid="{00000000-0005-0000-0000-0000288E0000}"/>
    <cellStyle name="Normal 20 2 3" xfId="22965" xr:uid="{00000000-0005-0000-0000-0000298E0000}"/>
    <cellStyle name="Normal 20 2 4" xfId="22759" xr:uid="{00000000-0005-0000-0000-00002A8E0000}"/>
    <cellStyle name="Normal 20 2 4 2" xfId="38966" xr:uid="{00000000-0005-0000-0000-00002B8E0000}"/>
    <cellStyle name="Normal 20 2_Sheet1" xfId="2305" xr:uid="{00000000-0005-0000-0000-00002C8E0000}"/>
    <cellStyle name="Normal 20 3" xfId="2306" xr:uid="{00000000-0005-0000-0000-00002D8E0000}"/>
    <cellStyle name="Normal 20 4" xfId="22964" xr:uid="{00000000-0005-0000-0000-00002E8E0000}"/>
    <cellStyle name="Normal 20 5" xfId="22548" xr:uid="{00000000-0005-0000-0000-00002F8E0000}"/>
    <cellStyle name="Normal 20 5 2" xfId="38861" xr:uid="{00000000-0005-0000-0000-0000308E0000}"/>
    <cellStyle name="Normal 20 6" xfId="53242" xr:uid="{00000000-0005-0000-0000-0000318E0000}"/>
    <cellStyle name="Normal 20_Sheet1" xfId="2307" xr:uid="{00000000-0005-0000-0000-0000328E0000}"/>
    <cellStyle name="Normal 200" xfId="2308" xr:uid="{00000000-0005-0000-0000-0000338E0000}"/>
    <cellStyle name="Normal 200 2" xfId="4424" xr:uid="{00000000-0005-0000-0000-0000348E0000}"/>
    <cellStyle name="Normal 200 3" xfId="52059" xr:uid="{00000000-0005-0000-0000-0000358E0000}"/>
    <cellStyle name="Normal 201" xfId="2309" xr:uid="{00000000-0005-0000-0000-0000368E0000}"/>
    <cellStyle name="Normal 201 2" xfId="4425" xr:uid="{00000000-0005-0000-0000-0000378E0000}"/>
    <cellStyle name="Normal 201 3" xfId="52060" xr:uid="{00000000-0005-0000-0000-0000388E0000}"/>
    <cellStyle name="Normal 202" xfId="2310" xr:uid="{00000000-0005-0000-0000-0000398E0000}"/>
    <cellStyle name="Normal 202 2" xfId="4426" xr:uid="{00000000-0005-0000-0000-00003A8E0000}"/>
    <cellStyle name="Normal 202 3" xfId="52061" xr:uid="{00000000-0005-0000-0000-00003B8E0000}"/>
    <cellStyle name="Normal 203" xfId="2311" xr:uid="{00000000-0005-0000-0000-00003C8E0000}"/>
    <cellStyle name="Normal 203 2" xfId="4427" xr:uid="{00000000-0005-0000-0000-00003D8E0000}"/>
    <cellStyle name="Normal 203 3" xfId="52062" xr:uid="{00000000-0005-0000-0000-00003E8E0000}"/>
    <cellStyle name="Normal 204" xfId="2312" xr:uid="{00000000-0005-0000-0000-00003F8E0000}"/>
    <cellStyle name="Normal 204 2" xfId="4428" xr:uid="{00000000-0005-0000-0000-0000408E0000}"/>
    <cellStyle name="Normal 204 3" xfId="52063" xr:uid="{00000000-0005-0000-0000-0000418E0000}"/>
    <cellStyle name="Normal 205" xfId="2313" xr:uid="{00000000-0005-0000-0000-0000428E0000}"/>
    <cellStyle name="Normal 205 2" xfId="4429" xr:uid="{00000000-0005-0000-0000-0000438E0000}"/>
    <cellStyle name="Normal 205 3" xfId="52064" xr:uid="{00000000-0005-0000-0000-0000448E0000}"/>
    <cellStyle name="Normal 206" xfId="2314" xr:uid="{00000000-0005-0000-0000-0000458E0000}"/>
    <cellStyle name="Normal 206 2" xfId="4430" xr:uid="{00000000-0005-0000-0000-0000468E0000}"/>
    <cellStyle name="Normal 206 3" xfId="52065" xr:uid="{00000000-0005-0000-0000-0000478E0000}"/>
    <cellStyle name="Normal 207" xfId="2315" xr:uid="{00000000-0005-0000-0000-0000488E0000}"/>
    <cellStyle name="Normal 207 2" xfId="4431" xr:uid="{00000000-0005-0000-0000-0000498E0000}"/>
    <cellStyle name="Normal 207 3" xfId="52066" xr:uid="{00000000-0005-0000-0000-00004A8E0000}"/>
    <cellStyle name="Normal 208" xfId="2316" xr:uid="{00000000-0005-0000-0000-00004B8E0000}"/>
    <cellStyle name="Normal 208 2" xfId="4432" xr:uid="{00000000-0005-0000-0000-00004C8E0000}"/>
    <cellStyle name="Normal 208 3" xfId="52067" xr:uid="{00000000-0005-0000-0000-00004D8E0000}"/>
    <cellStyle name="Normal 209" xfId="2317" xr:uid="{00000000-0005-0000-0000-00004E8E0000}"/>
    <cellStyle name="Normal 209 2" xfId="4433" xr:uid="{00000000-0005-0000-0000-00004F8E0000}"/>
    <cellStyle name="Normal 209 3" xfId="52068" xr:uid="{00000000-0005-0000-0000-0000508E0000}"/>
    <cellStyle name="Normal 21" xfId="2318" xr:uid="{00000000-0005-0000-0000-0000518E0000}"/>
    <cellStyle name="Normal 21 2" xfId="2319" xr:uid="{00000000-0005-0000-0000-0000528E0000}"/>
    <cellStyle name="Normal 21 2 2" xfId="2320" xr:uid="{00000000-0005-0000-0000-0000538E0000}"/>
    <cellStyle name="Normal 21 2 3" xfId="22967" xr:uid="{00000000-0005-0000-0000-0000548E0000}"/>
    <cellStyle name="Normal 21 2 4" xfId="22760" xr:uid="{00000000-0005-0000-0000-0000558E0000}"/>
    <cellStyle name="Normal 21 2 4 2" xfId="38967" xr:uid="{00000000-0005-0000-0000-0000568E0000}"/>
    <cellStyle name="Normal 21 2_Sheet1" xfId="2321" xr:uid="{00000000-0005-0000-0000-0000578E0000}"/>
    <cellStyle name="Normal 21 3" xfId="2322" xr:uid="{00000000-0005-0000-0000-0000588E0000}"/>
    <cellStyle name="Normal 21 4" xfId="22966" xr:uid="{00000000-0005-0000-0000-0000598E0000}"/>
    <cellStyle name="Normal 21 5" xfId="22549" xr:uid="{00000000-0005-0000-0000-00005A8E0000}"/>
    <cellStyle name="Normal 21 5 2" xfId="38862" xr:uid="{00000000-0005-0000-0000-00005B8E0000}"/>
    <cellStyle name="Normal 21 6" xfId="53243" xr:uid="{00000000-0005-0000-0000-00005C8E0000}"/>
    <cellStyle name="Normal 21_Sheet1" xfId="2323" xr:uid="{00000000-0005-0000-0000-00005D8E0000}"/>
    <cellStyle name="Normal 210" xfId="2324" xr:uid="{00000000-0005-0000-0000-00005E8E0000}"/>
    <cellStyle name="Normal 210 2" xfId="4434" xr:uid="{00000000-0005-0000-0000-00005F8E0000}"/>
    <cellStyle name="Normal 210 3" xfId="52069" xr:uid="{00000000-0005-0000-0000-0000608E0000}"/>
    <cellStyle name="Normal 211" xfId="2325" xr:uid="{00000000-0005-0000-0000-0000618E0000}"/>
    <cellStyle name="Normal 211 2" xfId="4435" xr:uid="{00000000-0005-0000-0000-0000628E0000}"/>
    <cellStyle name="Normal 211 3" xfId="52070" xr:uid="{00000000-0005-0000-0000-0000638E0000}"/>
    <cellStyle name="Normal 212" xfId="2326" xr:uid="{00000000-0005-0000-0000-0000648E0000}"/>
    <cellStyle name="Normal 212 2" xfId="4436" xr:uid="{00000000-0005-0000-0000-0000658E0000}"/>
    <cellStyle name="Normal 212 3" xfId="52071" xr:uid="{00000000-0005-0000-0000-0000668E0000}"/>
    <cellStyle name="Normal 213" xfId="2327" xr:uid="{00000000-0005-0000-0000-0000678E0000}"/>
    <cellStyle name="Normal 213 2" xfId="4437" xr:uid="{00000000-0005-0000-0000-0000688E0000}"/>
    <cellStyle name="Normal 213 3" xfId="52072" xr:uid="{00000000-0005-0000-0000-0000698E0000}"/>
    <cellStyle name="Normal 214" xfId="2328" xr:uid="{00000000-0005-0000-0000-00006A8E0000}"/>
    <cellStyle name="Normal 214 2" xfId="4438" xr:uid="{00000000-0005-0000-0000-00006B8E0000}"/>
    <cellStyle name="Normal 214 3" xfId="52073" xr:uid="{00000000-0005-0000-0000-00006C8E0000}"/>
    <cellStyle name="Normal 215" xfId="2329" xr:uid="{00000000-0005-0000-0000-00006D8E0000}"/>
    <cellStyle name="Normal 215 2" xfId="4439" xr:uid="{00000000-0005-0000-0000-00006E8E0000}"/>
    <cellStyle name="Normal 215 3" xfId="52074" xr:uid="{00000000-0005-0000-0000-00006F8E0000}"/>
    <cellStyle name="Normal 216" xfId="2330" xr:uid="{00000000-0005-0000-0000-0000708E0000}"/>
    <cellStyle name="Normal 216 2" xfId="4440" xr:uid="{00000000-0005-0000-0000-0000718E0000}"/>
    <cellStyle name="Normal 216 3" xfId="52075" xr:uid="{00000000-0005-0000-0000-0000728E0000}"/>
    <cellStyle name="Normal 217" xfId="2331" xr:uid="{00000000-0005-0000-0000-0000738E0000}"/>
    <cellStyle name="Normal 217 10" xfId="52076" xr:uid="{00000000-0005-0000-0000-0000748E0000}"/>
    <cellStyle name="Normal 217 2" xfId="4441" xr:uid="{00000000-0005-0000-0000-0000758E0000}"/>
    <cellStyle name="Normal 217 2 2" xfId="8532" xr:uid="{00000000-0005-0000-0000-0000768E0000}"/>
    <cellStyle name="Normal 217 2 2 2" xfId="16328" xr:uid="{00000000-0005-0000-0000-0000778E0000}"/>
    <cellStyle name="Normal 217 2 2 2 2" xfId="33963" xr:uid="{00000000-0005-0000-0000-0000788E0000}"/>
    <cellStyle name="Normal 217 2 2 3" xfId="26933" xr:uid="{00000000-0005-0000-0000-0000798E0000}"/>
    <cellStyle name="Normal 217 2 3" xfId="12780" xr:uid="{00000000-0005-0000-0000-00007A8E0000}"/>
    <cellStyle name="Normal 217 2 3 2" xfId="30438" xr:uid="{00000000-0005-0000-0000-00007B8E0000}"/>
    <cellStyle name="Normal 217 2 4" xfId="24068" xr:uid="{00000000-0005-0000-0000-00007C8E0000}"/>
    <cellStyle name="Normal 217 3" xfId="5846" xr:uid="{00000000-0005-0000-0000-00007D8E0000}"/>
    <cellStyle name="Normal 217 3 2" xfId="9146" xr:uid="{00000000-0005-0000-0000-00007E8E0000}"/>
    <cellStyle name="Normal 217 3 2 2" xfId="16941" xr:uid="{00000000-0005-0000-0000-00007F8E0000}"/>
    <cellStyle name="Normal 217 3 2 2 2" xfId="34577" xr:uid="{00000000-0005-0000-0000-0000808E0000}"/>
    <cellStyle name="Normal 217 3 2 3" xfId="27534" xr:uid="{00000000-0005-0000-0000-0000818E0000}"/>
    <cellStyle name="Normal 217 3 3" xfId="13702" xr:uid="{00000000-0005-0000-0000-0000828E0000}"/>
    <cellStyle name="Normal 217 3 3 2" xfId="31342" xr:uid="{00000000-0005-0000-0000-0000838E0000}"/>
    <cellStyle name="Normal 217 3 4" xfId="24669" xr:uid="{00000000-0005-0000-0000-0000848E0000}"/>
    <cellStyle name="Normal 217 4" xfId="6476" xr:uid="{00000000-0005-0000-0000-0000858E0000}"/>
    <cellStyle name="Normal 217 4 2" xfId="9686" xr:uid="{00000000-0005-0000-0000-0000868E0000}"/>
    <cellStyle name="Normal 217 4 2 2" xfId="17480" xr:uid="{00000000-0005-0000-0000-0000878E0000}"/>
    <cellStyle name="Normal 217 4 2 2 2" xfId="35117" xr:uid="{00000000-0005-0000-0000-0000888E0000}"/>
    <cellStyle name="Normal 217 4 2 3" xfId="28070" xr:uid="{00000000-0005-0000-0000-0000898E0000}"/>
    <cellStyle name="Normal 217 4 3" xfId="14265" xr:uid="{00000000-0005-0000-0000-00008A8E0000}"/>
    <cellStyle name="Normal 217 4 3 2" xfId="31900" xr:uid="{00000000-0005-0000-0000-00008B8E0000}"/>
    <cellStyle name="Normal 217 4 4" xfId="25206" xr:uid="{00000000-0005-0000-0000-00008C8E0000}"/>
    <cellStyle name="Normal 217 5" xfId="7252" xr:uid="{00000000-0005-0000-0000-00008D8E0000}"/>
    <cellStyle name="Normal 217 5 2" xfId="10240" xr:uid="{00000000-0005-0000-0000-00008E8E0000}"/>
    <cellStyle name="Normal 217 5 2 2" xfId="18033" xr:uid="{00000000-0005-0000-0000-00008F8E0000}"/>
    <cellStyle name="Normal 217 5 2 2 2" xfId="35670" xr:uid="{00000000-0005-0000-0000-0000908E0000}"/>
    <cellStyle name="Normal 217 5 2 3" xfId="28607" xr:uid="{00000000-0005-0000-0000-0000918E0000}"/>
    <cellStyle name="Normal 217 5 3" xfId="15040" xr:uid="{00000000-0005-0000-0000-0000928E0000}"/>
    <cellStyle name="Normal 217 5 3 2" xfId="32675" xr:uid="{00000000-0005-0000-0000-0000938E0000}"/>
    <cellStyle name="Normal 217 5 4" xfId="25744" xr:uid="{00000000-0005-0000-0000-0000948E0000}"/>
    <cellStyle name="Normal 217 6" xfId="7853" xr:uid="{00000000-0005-0000-0000-0000958E0000}"/>
    <cellStyle name="Normal 217 6 2" xfId="15650" xr:uid="{00000000-0005-0000-0000-0000968E0000}"/>
    <cellStyle name="Normal 217 6 2 2" xfId="33285" xr:uid="{00000000-0005-0000-0000-0000978E0000}"/>
    <cellStyle name="Normal 217 6 3" xfId="26269" xr:uid="{00000000-0005-0000-0000-0000988E0000}"/>
    <cellStyle name="Normal 217 7" xfId="11773" xr:uid="{00000000-0005-0000-0000-0000998E0000}"/>
    <cellStyle name="Normal 217 7 2" xfId="29460" xr:uid="{00000000-0005-0000-0000-00009A8E0000}"/>
    <cellStyle name="Normal 217 8" xfId="22824" xr:uid="{00000000-0005-0000-0000-00009B8E0000}"/>
    <cellStyle name="Normal 217 9" xfId="23404" xr:uid="{00000000-0005-0000-0000-00009C8E0000}"/>
    <cellStyle name="Normal 218" xfId="2332" xr:uid="{00000000-0005-0000-0000-00009D8E0000}"/>
    <cellStyle name="Normal 218 2" xfId="4442" xr:uid="{00000000-0005-0000-0000-00009E8E0000}"/>
    <cellStyle name="Normal 218 3" xfId="52077" xr:uid="{00000000-0005-0000-0000-00009F8E0000}"/>
    <cellStyle name="Normal 219" xfId="2333" xr:uid="{00000000-0005-0000-0000-0000A08E0000}"/>
    <cellStyle name="Normal 219 2" xfId="2334" xr:uid="{00000000-0005-0000-0000-0000A18E0000}"/>
    <cellStyle name="Normal 219 2 2" xfId="4444" xr:uid="{00000000-0005-0000-0000-0000A28E0000}"/>
    <cellStyle name="Normal 219 2 2 2" xfId="8533" xr:uid="{00000000-0005-0000-0000-0000A38E0000}"/>
    <cellStyle name="Normal 219 2 2 2 2" xfId="16329" xr:uid="{00000000-0005-0000-0000-0000A48E0000}"/>
    <cellStyle name="Normal 219 2 2 2 2 2" xfId="33964" xr:uid="{00000000-0005-0000-0000-0000A58E0000}"/>
    <cellStyle name="Normal 219 2 2 2 3" xfId="26934" xr:uid="{00000000-0005-0000-0000-0000A68E0000}"/>
    <cellStyle name="Normal 219 2 2 3" xfId="12782" xr:uid="{00000000-0005-0000-0000-0000A78E0000}"/>
    <cellStyle name="Normal 219 2 2 3 2" xfId="30440" xr:uid="{00000000-0005-0000-0000-0000A88E0000}"/>
    <cellStyle name="Normal 219 2 2 4" xfId="24069" xr:uid="{00000000-0005-0000-0000-0000A98E0000}"/>
    <cellStyle name="Normal 219 2 3" xfId="5847" xr:uid="{00000000-0005-0000-0000-0000AA8E0000}"/>
    <cellStyle name="Normal 219 2 3 2" xfId="9147" xr:uid="{00000000-0005-0000-0000-0000AB8E0000}"/>
    <cellStyle name="Normal 219 2 3 2 2" xfId="16942" xr:uid="{00000000-0005-0000-0000-0000AC8E0000}"/>
    <cellStyle name="Normal 219 2 3 2 2 2" xfId="34578" xr:uid="{00000000-0005-0000-0000-0000AD8E0000}"/>
    <cellStyle name="Normal 219 2 3 2 3" xfId="27535" xr:uid="{00000000-0005-0000-0000-0000AE8E0000}"/>
    <cellStyle name="Normal 219 2 3 3" xfId="13703" xr:uid="{00000000-0005-0000-0000-0000AF8E0000}"/>
    <cellStyle name="Normal 219 2 3 3 2" xfId="31343" xr:uid="{00000000-0005-0000-0000-0000B08E0000}"/>
    <cellStyle name="Normal 219 2 3 4" xfId="24670" xr:uid="{00000000-0005-0000-0000-0000B18E0000}"/>
    <cellStyle name="Normal 219 2 4" xfId="6477" xr:uid="{00000000-0005-0000-0000-0000B28E0000}"/>
    <cellStyle name="Normal 219 2 4 2" xfId="9687" xr:uid="{00000000-0005-0000-0000-0000B38E0000}"/>
    <cellStyle name="Normal 219 2 4 2 2" xfId="17481" xr:uid="{00000000-0005-0000-0000-0000B48E0000}"/>
    <cellStyle name="Normal 219 2 4 2 2 2" xfId="35118" xr:uid="{00000000-0005-0000-0000-0000B58E0000}"/>
    <cellStyle name="Normal 219 2 4 2 3" xfId="28071" xr:uid="{00000000-0005-0000-0000-0000B68E0000}"/>
    <cellStyle name="Normal 219 2 4 3" xfId="14266" xr:uid="{00000000-0005-0000-0000-0000B78E0000}"/>
    <cellStyle name="Normal 219 2 4 3 2" xfId="31901" xr:uid="{00000000-0005-0000-0000-0000B88E0000}"/>
    <cellStyle name="Normal 219 2 4 4" xfId="25207" xr:uid="{00000000-0005-0000-0000-0000B98E0000}"/>
    <cellStyle name="Normal 219 2 5" xfId="7253" xr:uid="{00000000-0005-0000-0000-0000BA8E0000}"/>
    <cellStyle name="Normal 219 2 5 2" xfId="10241" xr:uid="{00000000-0005-0000-0000-0000BB8E0000}"/>
    <cellStyle name="Normal 219 2 5 2 2" xfId="18034" xr:uid="{00000000-0005-0000-0000-0000BC8E0000}"/>
    <cellStyle name="Normal 219 2 5 2 2 2" xfId="35671" xr:uid="{00000000-0005-0000-0000-0000BD8E0000}"/>
    <cellStyle name="Normal 219 2 5 2 3" xfId="28608" xr:uid="{00000000-0005-0000-0000-0000BE8E0000}"/>
    <cellStyle name="Normal 219 2 5 3" xfId="15041" xr:uid="{00000000-0005-0000-0000-0000BF8E0000}"/>
    <cellStyle name="Normal 219 2 5 3 2" xfId="32676" xr:uid="{00000000-0005-0000-0000-0000C08E0000}"/>
    <cellStyle name="Normal 219 2 5 4" xfId="25745" xr:uid="{00000000-0005-0000-0000-0000C18E0000}"/>
    <cellStyle name="Normal 219 2 6" xfId="7854" xr:uid="{00000000-0005-0000-0000-0000C28E0000}"/>
    <cellStyle name="Normal 219 2 6 2" xfId="15651" xr:uid="{00000000-0005-0000-0000-0000C38E0000}"/>
    <cellStyle name="Normal 219 2 6 2 2" xfId="33286" xr:uid="{00000000-0005-0000-0000-0000C48E0000}"/>
    <cellStyle name="Normal 219 2 6 3" xfId="26270" xr:uid="{00000000-0005-0000-0000-0000C58E0000}"/>
    <cellStyle name="Normal 219 2 7" xfId="11774" xr:uid="{00000000-0005-0000-0000-0000C68E0000}"/>
    <cellStyle name="Normal 219 2 7 2" xfId="29461" xr:uid="{00000000-0005-0000-0000-0000C78E0000}"/>
    <cellStyle name="Normal 219 2 8" xfId="23405" xr:uid="{00000000-0005-0000-0000-0000C88E0000}"/>
    <cellStyle name="Normal 219 2 9" xfId="52079" xr:uid="{00000000-0005-0000-0000-0000C98E0000}"/>
    <cellStyle name="Normal 219 3" xfId="4443" xr:uid="{00000000-0005-0000-0000-0000CA8E0000}"/>
    <cellStyle name="Normal 219 4" xfId="52078" xr:uid="{00000000-0005-0000-0000-0000CB8E0000}"/>
    <cellStyle name="Normal 22" xfId="2335" xr:uid="{00000000-0005-0000-0000-0000CC8E0000}"/>
    <cellStyle name="Normal 22 2" xfId="2336" xr:uid="{00000000-0005-0000-0000-0000CD8E0000}"/>
    <cellStyle name="Normal 22 2 2" xfId="2337" xr:uid="{00000000-0005-0000-0000-0000CE8E0000}"/>
    <cellStyle name="Normal 22 2 3" xfId="22969" xr:uid="{00000000-0005-0000-0000-0000CF8E0000}"/>
    <cellStyle name="Normal 22 2 4" xfId="22761" xr:uid="{00000000-0005-0000-0000-0000D08E0000}"/>
    <cellStyle name="Normal 22 2 4 2" xfId="38968" xr:uid="{00000000-0005-0000-0000-0000D18E0000}"/>
    <cellStyle name="Normal 22 2_Sheet1" xfId="2338" xr:uid="{00000000-0005-0000-0000-0000D28E0000}"/>
    <cellStyle name="Normal 22 3" xfId="2339" xr:uid="{00000000-0005-0000-0000-0000D38E0000}"/>
    <cellStyle name="Normal 22 4" xfId="22968" xr:uid="{00000000-0005-0000-0000-0000D48E0000}"/>
    <cellStyle name="Normal 22 5" xfId="22550" xr:uid="{00000000-0005-0000-0000-0000D58E0000}"/>
    <cellStyle name="Normal 22 5 2" xfId="38863" xr:uid="{00000000-0005-0000-0000-0000D68E0000}"/>
    <cellStyle name="Normal 22 6" xfId="53244" xr:uid="{00000000-0005-0000-0000-0000D78E0000}"/>
    <cellStyle name="Normal 22_Sheet1" xfId="2340" xr:uid="{00000000-0005-0000-0000-0000D88E0000}"/>
    <cellStyle name="Normal 220" xfId="2341" xr:uid="{00000000-0005-0000-0000-0000D98E0000}"/>
    <cellStyle name="Normal 220 2" xfId="2342" xr:uid="{00000000-0005-0000-0000-0000DA8E0000}"/>
    <cellStyle name="Normal 220 2 2" xfId="4446" xr:uid="{00000000-0005-0000-0000-0000DB8E0000}"/>
    <cellStyle name="Normal 220 2 2 2" xfId="8534" xr:uid="{00000000-0005-0000-0000-0000DC8E0000}"/>
    <cellStyle name="Normal 220 2 2 2 2" xfId="16330" xr:uid="{00000000-0005-0000-0000-0000DD8E0000}"/>
    <cellStyle name="Normal 220 2 2 2 2 2" xfId="33965" xr:uid="{00000000-0005-0000-0000-0000DE8E0000}"/>
    <cellStyle name="Normal 220 2 2 2 3" xfId="26935" xr:uid="{00000000-0005-0000-0000-0000DF8E0000}"/>
    <cellStyle name="Normal 220 2 2 3" xfId="12783" xr:uid="{00000000-0005-0000-0000-0000E08E0000}"/>
    <cellStyle name="Normal 220 2 2 3 2" xfId="30441" xr:uid="{00000000-0005-0000-0000-0000E18E0000}"/>
    <cellStyle name="Normal 220 2 2 4" xfId="24070" xr:uid="{00000000-0005-0000-0000-0000E28E0000}"/>
    <cellStyle name="Normal 220 2 3" xfId="5848" xr:uid="{00000000-0005-0000-0000-0000E38E0000}"/>
    <cellStyle name="Normal 220 2 3 2" xfId="9148" xr:uid="{00000000-0005-0000-0000-0000E48E0000}"/>
    <cellStyle name="Normal 220 2 3 2 2" xfId="16943" xr:uid="{00000000-0005-0000-0000-0000E58E0000}"/>
    <cellStyle name="Normal 220 2 3 2 2 2" xfId="34579" xr:uid="{00000000-0005-0000-0000-0000E68E0000}"/>
    <cellStyle name="Normal 220 2 3 2 3" xfId="27536" xr:uid="{00000000-0005-0000-0000-0000E78E0000}"/>
    <cellStyle name="Normal 220 2 3 3" xfId="13704" xr:uid="{00000000-0005-0000-0000-0000E88E0000}"/>
    <cellStyle name="Normal 220 2 3 3 2" xfId="31344" xr:uid="{00000000-0005-0000-0000-0000E98E0000}"/>
    <cellStyle name="Normal 220 2 3 4" xfId="24671" xr:uid="{00000000-0005-0000-0000-0000EA8E0000}"/>
    <cellStyle name="Normal 220 2 4" xfId="6478" xr:uid="{00000000-0005-0000-0000-0000EB8E0000}"/>
    <cellStyle name="Normal 220 2 4 2" xfId="9688" xr:uid="{00000000-0005-0000-0000-0000EC8E0000}"/>
    <cellStyle name="Normal 220 2 4 2 2" xfId="17482" xr:uid="{00000000-0005-0000-0000-0000ED8E0000}"/>
    <cellStyle name="Normal 220 2 4 2 2 2" xfId="35119" xr:uid="{00000000-0005-0000-0000-0000EE8E0000}"/>
    <cellStyle name="Normal 220 2 4 2 3" xfId="28072" xr:uid="{00000000-0005-0000-0000-0000EF8E0000}"/>
    <cellStyle name="Normal 220 2 4 3" xfId="14267" xr:uid="{00000000-0005-0000-0000-0000F08E0000}"/>
    <cellStyle name="Normal 220 2 4 3 2" xfId="31902" xr:uid="{00000000-0005-0000-0000-0000F18E0000}"/>
    <cellStyle name="Normal 220 2 4 4" xfId="25208" xr:uid="{00000000-0005-0000-0000-0000F28E0000}"/>
    <cellStyle name="Normal 220 2 5" xfId="7254" xr:uid="{00000000-0005-0000-0000-0000F38E0000}"/>
    <cellStyle name="Normal 220 2 5 2" xfId="10242" xr:uid="{00000000-0005-0000-0000-0000F48E0000}"/>
    <cellStyle name="Normal 220 2 5 2 2" xfId="18035" xr:uid="{00000000-0005-0000-0000-0000F58E0000}"/>
    <cellStyle name="Normal 220 2 5 2 2 2" xfId="35672" xr:uid="{00000000-0005-0000-0000-0000F68E0000}"/>
    <cellStyle name="Normal 220 2 5 2 3" xfId="28609" xr:uid="{00000000-0005-0000-0000-0000F78E0000}"/>
    <cellStyle name="Normal 220 2 5 3" xfId="15042" xr:uid="{00000000-0005-0000-0000-0000F88E0000}"/>
    <cellStyle name="Normal 220 2 5 3 2" xfId="32677" xr:uid="{00000000-0005-0000-0000-0000F98E0000}"/>
    <cellStyle name="Normal 220 2 5 4" xfId="25746" xr:uid="{00000000-0005-0000-0000-0000FA8E0000}"/>
    <cellStyle name="Normal 220 2 6" xfId="7855" xr:uid="{00000000-0005-0000-0000-0000FB8E0000}"/>
    <cellStyle name="Normal 220 2 6 2" xfId="15652" xr:uid="{00000000-0005-0000-0000-0000FC8E0000}"/>
    <cellStyle name="Normal 220 2 6 2 2" xfId="33287" xr:uid="{00000000-0005-0000-0000-0000FD8E0000}"/>
    <cellStyle name="Normal 220 2 6 3" xfId="26271" xr:uid="{00000000-0005-0000-0000-0000FE8E0000}"/>
    <cellStyle name="Normal 220 2 7" xfId="11775" xr:uid="{00000000-0005-0000-0000-0000FF8E0000}"/>
    <cellStyle name="Normal 220 2 7 2" xfId="29462" xr:uid="{00000000-0005-0000-0000-0000008F0000}"/>
    <cellStyle name="Normal 220 2 8" xfId="23406" xr:uid="{00000000-0005-0000-0000-0000018F0000}"/>
    <cellStyle name="Normal 220 2 9" xfId="52081" xr:uid="{00000000-0005-0000-0000-0000028F0000}"/>
    <cellStyle name="Normal 220 3" xfId="4445" xr:uid="{00000000-0005-0000-0000-0000038F0000}"/>
    <cellStyle name="Normal 220 4" xfId="52080" xr:uid="{00000000-0005-0000-0000-0000048F0000}"/>
    <cellStyle name="Normal 221" xfId="2343" xr:uid="{00000000-0005-0000-0000-0000058F0000}"/>
    <cellStyle name="Normal 221 2" xfId="4447" xr:uid="{00000000-0005-0000-0000-0000068F0000}"/>
    <cellStyle name="Normal 221 3" xfId="52082" xr:uid="{00000000-0005-0000-0000-0000078F0000}"/>
    <cellStyle name="Normal 222" xfId="2344" xr:uid="{00000000-0005-0000-0000-0000088F0000}"/>
    <cellStyle name="Normal 222 10" xfId="52083" xr:uid="{00000000-0005-0000-0000-0000098F0000}"/>
    <cellStyle name="Normal 222 2" xfId="4448" xr:uid="{00000000-0005-0000-0000-00000A8F0000}"/>
    <cellStyle name="Normal 222 2 2" xfId="8535" xr:uid="{00000000-0005-0000-0000-00000B8F0000}"/>
    <cellStyle name="Normal 222 2 2 2" xfId="16331" xr:uid="{00000000-0005-0000-0000-00000C8F0000}"/>
    <cellStyle name="Normal 222 2 2 2 2" xfId="33966" xr:uid="{00000000-0005-0000-0000-00000D8F0000}"/>
    <cellStyle name="Normal 222 2 2 3" xfId="26936" xr:uid="{00000000-0005-0000-0000-00000E8F0000}"/>
    <cellStyle name="Normal 222 2 3" xfId="12784" xr:uid="{00000000-0005-0000-0000-00000F8F0000}"/>
    <cellStyle name="Normal 222 2 3 2" xfId="30442" xr:uid="{00000000-0005-0000-0000-0000108F0000}"/>
    <cellStyle name="Normal 222 2 4" xfId="24071" xr:uid="{00000000-0005-0000-0000-0000118F0000}"/>
    <cellStyle name="Normal 222 3" xfId="5849" xr:uid="{00000000-0005-0000-0000-0000128F0000}"/>
    <cellStyle name="Normal 222 3 2" xfId="9149" xr:uid="{00000000-0005-0000-0000-0000138F0000}"/>
    <cellStyle name="Normal 222 3 2 2" xfId="16944" xr:uid="{00000000-0005-0000-0000-0000148F0000}"/>
    <cellStyle name="Normal 222 3 2 2 2" xfId="34580" xr:uid="{00000000-0005-0000-0000-0000158F0000}"/>
    <cellStyle name="Normal 222 3 2 3" xfId="27537" xr:uid="{00000000-0005-0000-0000-0000168F0000}"/>
    <cellStyle name="Normal 222 3 3" xfId="13705" xr:uid="{00000000-0005-0000-0000-0000178F0000}"/>
    <cellStyle name="Normal 222 3 3 2" xfId="31345" xr:uid="{00000000-0005-0000-0000-0000188F0000}"/>
    <cellStyle name="Normal 222 3 4" xfId="24672" xr:uid="{00000000-0005-0000-0000-0000198F0000}"/>
    <cellStyle name="Normal 222 4" xfId="6479" xr:uid="{00000000-0005-0000-0000-00001A8F0000}"/>
    <cellStyle name="Normal 222 4 2" xfId="9689" xr:uid="{00000000-0005-0000-0000-00001B8F0000}"/>
    <cellStyle name="Normal 222 4 2 2" xfId="17483" xr:uid="{00000000-0005-0000-0000-00001C8F0000}"/>
    <cellStyle name="Normal 222 4 2 2 2" xfId="35120" xr:uid="{00000000-0005-0000-0000-00001D8F0000}"/>
    <cellStyle name="Normal 222 4 2 3" xfId="28073" xr:uid="{00000000-0005-0000-0000-00001E8F0000}"/>
    <cellStyle name="Normal 222 4 3" xfId="14268" xr:uid="{00000000-0005-0000-0000-00001F8F0000}"/>
    <cellStyle name="Normal 222 4 3 2" xfId="31903" xr:uid="{00000000-0005-0000-0000-0000208F0000}"/>
    <cellStyle name="Normal 222 4 4" xfId="25209" xr:uid="{00000000-0005-0000-0000-0000218F0000}"/>
    <cellStyle name="Normal 222 5" xfId="7255" xr:uid="{00000000-0005-0000-0000-0000228F0000}"/>
    <cellStyle name="Normal 222 5 2" xfId="10243" xr:uid="{00000000-0005-0000-0000-0000238F0000}"/>
    <cellStyle name="Normal 222 5 2 2" xfId="18036" xr:uid="{00000000-0005-0000-0000-0000248F0000}"/>
    <cellStyle name="Normal 222 5 2 2 2" xfId="35673" xr:uid="{00000000-0005-0000-0000-0000258F0000}"/>
    <cellStyle name="Normal 222 5 2 3" xfId="28610" xr:uid="{00000000-0005-0000-0000-0000268F0000}"/>
    <cellStyle name="Normal 222 5 3" xfId="15043" xr:uid="{00000000-0005-0000-0000-0000278F0000}"/>
    <cellStyle name="Normal 222 5 3 2" xfId="32678" xr:uid="{00000000-0005-0000-0000-0000288F0000}"/>
    <cellStyle name="Normal 222 5 4" xfId="25747" xr:uid="{00000000-0005-0000-0000-0000298F0000}"/>
    <cellStyle name="Normal 222 6" xfId="7856" xr:uid="{00000000-0005-0000-0000-00002A8F0000}"/>
    <cellStyle name="Normal 222 6 2" xfId="15653" xr:uid="{00000000-0005-0000-0000-00002B8F0000}"/>
    <cellStyle name="Normal 222 6 2 2" xfId="33288" xr:uid="{00000000-0005-0000-0000-00002C8F0000}"/>
    <cellStyle name="Normal 222 6 3" xfId="26272" xr:uid="{00000000-0005-0000-0000-00002D8F0000}"/>
    <cellStyle name="Normal 222 7" xfId="11776" xr:uid="{00000000-0005-0000-0000-00002E8F0000}"/>
    <cellStyle name="Normal 222 7 2" xfId="29463" xr:uid="{00000000-0005-0000-0000-00002F8F0000}"/>
    <cellStyle name="Normal 222 8" xfId="22829" xr:uid="{00000000-0005-0000-0000-0000308F0000}"/>
    <cellStyle name="Normal 222 9" xfId="23407" xr:uid="{00000000-0005-0000-0000-0000318F0000}"/>
    <cellStyle name="Normal 223" xfId="2345" xr:uid="{00000000-0005-0000-0000-0000328F0000}"/>
    <cellStyle name="Normal 223 10" xfId="52084" xr:uid="{00000000-0005-0000-0000-0000338F0000}"/>
    <cellStyle name="Normal 223 2" xfId="4449" xr:uid="{00000000-0005-0000-0000-0000348F0000}"/>
    <cellStyle name="Normal 223 2 2" xfId="8536" xr:uid="{00000000-0005-0000-0000-0000358F0000}"/>
    <cellStyle name="Normal 223 2 2 2" xfId="16332" xr:uid="{00000000-0005-0000-0000-0000368F0000}"/>
    <cellStyle name="Normal 223 2 2 2 2" xfId="33967" xr:uid="{00000000-0005-0000-0000-0000378F0000}"/>
    <cellStyle name="Normal 223 2 2 3" xfId="26937" xr:uid="{00000000-0005-0000-0000-0000388F0000}"/>
    <cellStyle name="Normal 223 2 3" xfId="12785" xr:uid="{00000000-0005-0000-0000-0000398F0000}"/>
    <cellStyle name="Normal 223 2 3 2" xfId="30443" xr:uid="{00000000-0005-0000-0000-00003A8F0000}"/>
    <cellStyle name="Normal 223 2 4" xfId="24072" xr:uid="{00000000-0005-0000-0000-00003B8F0000}"/>
    <cellStyle name="Normal 223 3" xfId="5850" xr:uid="{00000000-0005-0000-0000-00003C8F0000}"/>
    <cellStyle name="Normal 223 3 2" xfId="9150" xr:uid="{00000000-0005-0000-0000-00003D8F0000}"/>
    <cellStyle name="Normal 223 3 2 2" xfId="16945" xr:uid="{00000000-0005-0000-0000-00003E8F0000}"/>
    <cellStyle name="Normal 223 3 2 2 2" xfId="34581" xr:uid="{00000000-0005-0000-0000-00003F8F0000}"/>
    <cellStyle name="Normal 223 3 2 3" xfId="27538" xr:uid="{00000000-0005-0000-0000-0000408F0000}"/>
    <cellStyle name="Normal 223 3 3" xfId="13706" xr:uid="{00000000-0005-0000-0000-0000418F0000}"/>
    <cellStyle name="Normal 223 3 3 2" xfId="31346" xr:uid="{00000000-0005-0000-0000-0000428F0000}"/>
    <cellStyle name="Normal 223 3 4" xfId="24673" xr:uid="{00000000-0005-0000-0000-0000438F0000}"/>
    <cellStyle name="Normal 223 4" xfId="6480" xr:uid="{00000000-0005-0000-0000-0000448F0000}"/>
    <cellStyle name="Normal 223 4 2" xfId="9690" xr:uid="{00000000-0005-0000-0000-0000458F0000}"/>
    <cellStyle name="Normal 223 4 2 2" xfId="17484" xr:uid="{00000000-0005-0000-0000-0000468F0000}"/>
    <cellStyle name="Normal 223 4 2 2 2" xfId="35121" xr:uid="{00000000-0005-0000-0000-0000478F0000}"/>
    <cellStyle name="Normal 223 4 2 3" xfId="28074" xr:uid="{00000000-0005-0000-0000-0000488F0000}"/>
    <cellStyle name="Normal 223 4 3" xfId="14269" xr:uid="{00000000-0005-0000-0000-0000498F0000}"/>
    <cellStyle name="Normal 223 4 3 2" xfId="31904" xr:uid="{00000000-0005-0000-0000-00004A8F0000}"/>
    <cellStyle name="Normal 223 4 4" xfId="25210" xr:uid="{00000000-0005-0000-0000-00004B8F0000}"/>
    <cellStyle name="Normal 223 5" xfId="7256" xr:uid="{00000000-0005-0000-0000-00004C8F0000}"/>
    <cellStyle name="Normal 223 5 2" xfId="10244" xr:uid="{00000000-0005-0000-0000-00004D8F0000}"/>
    <cellStyle name="Normal 223 5 2 2" xfId="18037" xr:uid="{00000000-0005-0000-0000-00004E8F0000}"/>
    <cellStyle name="Normal 223 5 2 2 2" xfId="35674" xr:uid="{00000000-0005-0000-0000-00004F8F0000}"/>
    <cellStyle name="Normal 223 5 2 3" xfId="28611" xr:uid="{00000000-0005-0000-0000-0000508F0000}"/>
    <cellStyle name="Normal 223 5 3" xfId="15044" xr:uid="{00000000-0005-0000-0000-0000518F0000}"/>
    <cellStyle name="Normal 223 5 3 2" xfId="32679" xr:uid="{00000000-0005-0000-0000-0000528F0000}"/>
    <cellStyle name="Normal 223 5 4" xfId="25748" xr:uid="{00000000-0005-0000-0000-0000538F0000}"/>
    <cellStyle name="Normal 223 6" xfId="7857" xr:uid="{00000000-0005-0000-0000-0000548F0000}"/>
    <cellStyle name="Normal 223 6 2" xfId="15654" xr:uid="{00000000-0005-0000-0000-0000558F0000}"/>
    <cellStyle name="Normal 223 6 2 2" xfId="33289" xr:uid="{00000000-0005-0000-0000-0000568F0000}"/>
    <cellStyle name="Normal 223 6 3" xfId="26273" xr:uid="{00000000-0005-0000-0000-0000578F0000}"/>
    <cellStyle name="Normal 223 7" xfId="11777" xr:uid="{00000000-0005-0000-0000-0000588F0000}"/>
    <cellStyle name="Normal 223 7 2" xfId="29464" xr:uid="{00000000-0005-0000-0000-0000598F0000}"/>
    <cellStyle name="Normal 223 8" xfId="22832" xr:uid="{00000000-0005-0000-0000-00005A8F0000}"/>
    <cellStyle name="Normal 223 9" xfId="23408" xr:uid="{00000000-0005-0000-0000-00005B8F0000}"/>
    <cellStyle name="Normal 224" xfId="2346" xr:uid="{00000000-0005-0000-0000-00005C8F0000}"/>
    <cellStyle name="Normal 224 10" xfId="52085" xr:uid="{00000000-0005-0000-0000-00005D8F0000}"/>
    <cellStyle name="Normal 224 2" xfId="4450" xr:uid="{00000000-0005-0000-0000-00005E8F0000}"/>
    <cellStyle name="Normal 224 2 2" xfId="8537" xr:uid="{00000000-0005-0000-0000-00005F8F0000}"/>
    <cellStyle name="Normal 224 2 2 2" xfId="16333" xr:uid="{00000000-0005-0000-0000-0000608F0000}"/>
    <cellStyle name="Normal 224 2 2 2 2" xfId="33968" xr:uid="{00000000-0005-0000-0000-0000618F0000}"/>
    <cellStyle name="Normal 224 2 2 3" xfId="26938" xr:uid="{00000000-0005-0000-0000-0000628F0000}"/>
    <cellStyle name="Normal 224 2 3" xfId="12786" xr:uid="{00000000-0005-0000-0000-0000638F0000}"/>
    <cellStyle name="Normal 224 2 3 2" xfId="30444" xr:uid="{00000000-0005-0000-0000-0000648F0000}"/>
    <cellStyle name="Normal 224 2 4" xfId="24073" xr:uid="{00000000-0005-0000-0000-0000658F0000}"/>
    <cellStyle name="Normal 224 3" xfId="5851" xr:uid="{00000000-0005-0000-0000-0000668F0000}"/>
    <cellStyle name="Normal 224 3 2" xfId="9151" xr:uid="{00000000-0005-0000-0000-0000678F0000}"/>
    <cellStyle name="Normal 224 3 2 2" xfId="16946" xr:uid="{00000000-0005-0000-0000-0000688F0000}"/>
    <cellStyle name="Normal 224 3 2 2 2" xfId="34582" xr:uid="{00000000-0005-0000-0000-0000698F0000}"/>
    <cellStyle name="Normal 224 3 2 3" xfId="27539" xr:uid="{00000000-0005-0000-0000-00006A8F0000}"/>
    <cellStyle name="Normal 224 3 3" xfId="13707" xr:uid="{00000000-0005-0000-0000-00006B8F0000}"/>
    <cellStyle name="Normal 224 3 3 2" xfId="31347" xr:uid="{00000000-0005-0000-0000-00006C8F0000}"/>
    <cellStyle name="Normal 224 3 4" xfId="24674" xr:uid="{00000000-0005-0000-0000-00006D8F0000}"/>
    <cellStyle name="Normal 224 4" xfId="6481" xr:uid="{00000000-0005-0000-0000-00006E8F0000}"/>
    <cellStyle name="Normal 224 4 2" xfId="9691" xr:uid="{00000000-0005-0000-0000-00006F8F0000}"/>
    <cellStyle name="Normal 224 4 2 2" xfId="17485" xr:uid="{00000000-0005-0000-0000-0000708F0000}"/>
    <cellStyle name="Normal 224 4 2 2 2" xfId="35122" xr:uid="{00000000-0005-0000-0000-0000718F0000}"/>
    <cellStyle name="Normal 224 4 2 3" xfId="28075" xr:uid="{00000000-0005-0000-0000-0000728F0000}"/>
    <cellStyle name="Normal 224 4 3" xfId="14270" xr:uid="{00000000-0005-0000-0000-0000738F0000}"/>
    <cellStyle name="Normal 224 4 3 2" xfId="31905" xr:uid="{00000000-0005-0000-0000-0000748F0000}"/>
    <cellStyle name="Normal 224 4 4" xfId="25211" xr:uid="{00000000-0005-0000-0000-0000758F0000}"/>
    <cellStyle name="Normal 224 5" xfId="7257" xr:uid="{00000000-0005-0000-0000-0000768F0000}"/>
    <cellStyle name="Normal 224 5 2" xfId="10245" xr:uid="{00000000-0005-0000-0000-0000778F0000}"/>
    <cellStyle name="Normal 224 5 2 2" xfId="18038" xr:uid="{00000000-0005-0000-0000-0000788F0000}"/>
    <cellStyle name="Normal 224 5 2 2 2" xfId="35675" xr:uid="{00000000-0005-0000-0000-0000798F0000}"/>
    <cellStyle name="Normal 224 5 2 3" xfId="28612" xr:uid="{00000000-0005-0000-0000-00007A8F0000}"/>
    <cellStyle name="Normal 224 5 3" xfId="15045" xr:uid="{00000000-0005-0000-0000-00007B8F0000}"/>
    <cellStyle name="Normal 224 5 3 2" xfId="32680" xr:uid="{00000000-0005-0000-0000-00007C8F0000}"/>
    <cellStyle name="Normal 224 5 4" xfId="25749" xr:uid="{00000000-0005-0000-0000-00007D8F0000}"/>
    <cellStyle name="Normal 224 6" xfId="7858" xr:uid="{00000000-0005-0000-0000-00007E8F0000}"/>
    <cellStyle name="Normal 224 6 2" xfId="15655" xr:uid="{00000000-0005-0000-0000-00007F8F0000}"/>
    <cellStyle name="Normal 224 6 2 2" xfId="33290" xr:uid="{00000000-0005-0000-0000-0000808F0000}"/>
    <cellStyle name="Normal 224 6 3" xfId="26274" xr:uid="{00000000-0005-0000-0000-0000818F0000}"/>
    <cellStyle name="Normal 224 7" xfId="11778" xr:uid="{00000000-0005-0000-0000-0000828F0000}"/>
    <cellStyle name="Normal 224 7 2" xfId="29465" xr:uid="{00000000-0005-0000-0000-0000838F0000}"/>
    <cellStyle name="Normal 224 8" xfId="22031" xr:uid="{00000000-0005-0000-0000-0000848F0000}"/>
    <cellStyle name="Normal 224 9" xfId="23409" xr:uid="{00000000-0005-0000-0000-0000858F0000}"/>
    <cellStyle name="Normal 225" xfId="2347" xr:uid="{00000000-0005-0000-0000-0000868F0000}"/>
    <cellStyle name="Normal 225 2" xfId="4451" xr:uid="{00000000-0005-0000-0000-0000878F0000}"/>
    <cellStyle name="Normal 225 2 2" xfId="8538" xr:uid="{00000000-0005-0000-0000-0000888F0000}"/>
    <cellStyle name="Normal 225 2 2 2" xfId="16334" xr:uid="{00000000-0005-0000-0000-0000898F0000}"/>
    <cellStyle name="Normal 225 2 2 2 2" xfId="33969" xr:uid="{00000000-0005-0000-0000-00008A8F0000}"/>
    <cellStyle name="Normal 225 2 2 3" xfId="26939" xr:uid="{00000000-0005-0000-0000-00008B8F0000}"/>
    <cellStyle name="Normal 225 2 3" xfId="12787" xr:uid="{00000000-0005-0000-0000-00008C8F0000}"/>
    <cellStyle name="Normal 225 2 3 2" xfId="30445" xr:uid="{00000000-0005-0000-0000-00008D8F0000}"/>
    <cellStyle name="Normal 225 2 4" xfId="24074" xr:uid="{00000000-0005-0000-0000-00008E8F0000}"/>
    <cellStyle name="Normal 225 3" xfId="5852" xr:uid="{00000000-0005-0000-0000-00008F8F0000}"/>
    <cellStyle name="Normal 225 3 2" xfId="9152" xr:uid="{00000000-0005-0000-0000-0000908F0000}"/>
    <cellStyle name="Normal 225 3 2 2" xfId="16947" xr:uid="{00000000-0005-0000-0000-0000918F0000}"/>
    <cellStyle name="Normal 225 3 2 2 2" xfId="34583" xr:uid="{00000000-0005-0000-0000-0000928F0000}"/>
    <cellStyle name="Normal 225 3 2 3" xfId="27540" xr:uid="{00000000-0005-0000-0000-0000938F0000}"/>
    <cellStyle name="Normal 225 3 3" xfId="13708" xr:uid="{00000000-0005-0000-0000-0000948F0000}"/>
    <cellStyle name="Normal 225 3 3 2" xfId="31348" xr:uid="{00000000-0005-0000-0000-0000958F0000}"/>
    <cellStyle name="Normal 225 3 4" xfId="24675" xr:uid="{00000000-0005-0000-0000-0000968F0000}"/>
    <cellStyle name="Normal 225 4" xfId="6482" xr:uid="{00000000-0005-0000-0000-0000978F0000}"/>
    <cellStyle name="Normal 225 4 2" xfId="9692" xr:uid="{00000000-0005-0000-0000-0000988F0000}"/>
    <cellStyle name="Normal 225 4 2 2" xfId="17486" xr:uid="{00000000-0005-0000-0000-0000998F0000}"/>
    <cellStyle name="Normal 225 4 2 2 2" xfId="35123" xr:uid="{00000000-0005-0000-0000-00009A8F0000}"/>
    <cellStyle name="Normal 225 4 2 3" xfId="28076" xr:uid="{00000000-0005-0000-0000-00009B8F0000}"/>
    <cellStyle name="Normal 225 4 3" xfId="14271" xr:uid="{00000000-0005-0000-0000-00009C8F0000}"/>
    <cellStyle name="Normal 225 4 3 2" xfId="31906" xr:uid="{00000000-0005-0000-0000-00009D8F0000}"/>
    <cellStyle name="Normal 225 4 4" xfId="25212" xr:uid="{00000000-0005-0000-0000-00009E8F0000}"/>
    <cellStyle name="Normal 225 5" xfId="7258" xr:uid="{00000000-0005-0000-0000-00009F8F0000}"/>
    <cellStyle name="Normal 225 5 2" xfId="10246" xr:uid="{00000000-0005-0000-0000-0000A08F0000}"/>
    <cellStyle name="Normal 225 5 2 2" xfId="18039" xr:uid="{00000000-0005-0000-0000-0000A18F0000}"/>
    <cellStyle name="Normal 225 5 2 2 2" xfId="35676" xr:uid="{00000000-0005-0000-0000-0000A28F0000}"/>
    <cellStyle name="Normal 225 5 2 3" xfId="28613" xr:uid="{00000000-0005-0000-0000-0000A38F0000}"/>
    <cellStyle name="Normal 225 5 3" xfId="15046" xr:uid="{00000000-0005-0000-0000-0000A48F0000}"/>
    <cellStyle name="Normal 225 5 3 2" xfId="32681" xr:uid="{00000000-0005-0000-0000-0000A58F0000}"/>
    <cellStyle name="Normal 225 5 4" xfId="25750" xr:uid="{00000000-0005-0000-0000-0000A68F0000}"/>
    <cellStyle name="Normal 225 6" xfId="7859" xr:uid="{00000000-0005-0000-0000-0000A78F0000}"/>
    <cellStyle name="Normal 225 6 2" xfId="15656" xr:uid="{00000000-0005-0000-0000-0000A88F0000}"/>
    <cellStyle name="Normal 225 6 2 2" xfId="33291" xr:uid="{00000000-0005-0000-0000-0000A98F0000}"/>
    <cellStyle name="Normal 225 6 3" xfId="26275" xr:uid="{00000000-0005-0000-0000-0000AA8F0000}"/>
    <cellStyle name="Normal 225 7" xfId="11779" xr:uid="{00000000-0005-0000-0000-0000AB8F0000}"/>
    <cellStyle name="Normal 225 7 2" xfId="29466" xr:uid="{00000000-0005-0000-0000-0000AC8F0000}"/>
    <cellStyle name="Normal 225 8" xfId="23410" xr:uid="{00000000-0005-0000-0000-0000AD8F0000}"/>
    <cellStyle name="Normal 225 9" xfId="52086" xr:uid="{00000000-0005-0000-0000-0000AE8F0000}"/>
    <cellStyle name="Normal 226" xfId="2348" xr:uid="{00000000-0005-0000-0000-0000AF8F0000}"/>
    <cellStyle name="Normal 226 10" xfId="52087" xr:uid="{00000000-0005-0000-0000-0000B08F0000}"/>
    <cellStyle name="Normal 226 2" xfId="2349" xr:uid="{00000000-0005-0000-0000-0000B18F0000}"/>
    <cellStyle name="Normal 226 2 2" xfId="4453" xr:uid="{00000000-0005-0000-0000-0000B28F0000}"/>
    <cellStyle name="Normal 226 2 3" xfId="52088" xr:uid="{00000000-0005-0000-0000-0000B38F0000}"/>
    <cellStyle name="Normal 226 3" xfId="4452" xr:uid="{00000000-0005-0000-0000-0000B48F0000}"/>
    <cellStyle name="Normal 226 3 2" xfId="8539" xr:uid="{00000000-0005-0000-0000-0000B58F0000}"/>
    <cellStyle name="Normal 226 3 2 2" xfId="16335" xr:uid="{00000000-0005-0000-0000-0000B68F0000}"/>
    <cellStyle name="Normal 226 3 2 2 2" xfId="33970" xr:uid="{00000000-0005-0000-0000-0000B78F0000}"/>
    <cellStyle name="Normal 226 3 2 3" xfId="26940" xr:uid="{00000000-0005-0000-0000-0000B88F0000}"/>
    <cellStyle name="Normal 226 3 3" xfId="12788" xr:uid="{00000000-0005-0000-0000-0000B98F0000}"/>
    <cellStyle name="Normal 226 3 3 2" xfId="30446" xr:uid="{00000000-0005-0000-0000-0000BA8F0000}"/>
    <cellStyle name="Normal 226 3 4" xfId="24075" xr:uid="{00000000-0005-0000-0000-0000BB8F0000}"/>
    <cellStyle name="Normal 226 4" xfId="5853" xr:uid="{00000000-0005-0000-0000-0000BC8F0000}"/>
    <cellStyle name="Normal 226 4 2" xfId="9153" xr:uid="{00000000-0005-0000-0000-0000BD8F0000}"/>
    <cellStyle name="Normal 226 4 2 2" xfId="16948" xr:uid="{00000000-0005-0000-0000-0000BE8F0000}"/>
    <cellStyle name="Normal 226 4 2 2 2" xfId="34584" xr:uid="{00000000-0005-0000-0000-0000BF8F0000}"/>
    <cellStyle name="Normal 226 4 2 3" xfId="27541" xr:uid="{00000000-0005-0000-0000-0000C08F0000}"/>
    <cellStyle name="Normal 226 4 3" xfId="13709" xr:uid="{00000000-0005-0000-0000-0000C18F0000}"/>
    <cellStyle name="Normal 226 4 3 2" xfId="31349" xr:uid="{00000000-0005-0000-0000-0000C28F0000}"/>
    <cellStyle name="Normal 226 4 4" xfId="24676" xr:uid="{00000000-0005-0000-0000-0000C38F0000}"/>
    <cellStyle name="Normal 226 5" xfId="6483" xr:uid="{00000000-0005-0000-0000-0000C48F0000}"/>
    <cellStyle name="Normal 226 5 2" xfId="9693" xr:uid="{00000000-0005-0000-0000-0000C58F0000}"/>
    <cellStyle name="Normal 226 5 2 2" xfId="17487" xr:uid="{00000000-0005-0000-0000-0000C68F0000}"/>
    <cellStyle name="Normal 226 5 2 2 2" xfId="35124" xr:uid="{00000000-0005-0000-0000-0000C78F0000}"/>
    <cellStyle name="Normal 226 5 2 3" xfId="28077" xr:uid="{00000000-0005-0000-0000-0000C88F0000}"/>
    <cellStyle name="Normal 226 5 3" xfId="14272" xr:uid="{00000000-0005-0000-0000-0000C98F0000}"/>
    <cellStyle name="Normal 226 5 3 2" xfId="31907" xr:uid="{00000000-0005-0000-0000-0000CA8F0000}"/>
    <cellStyle name="Normal 226 5 4" xfId="25213" xr:uid="{00000000-0005-0000-0000-0000CB8F0000}"/>
    <cellStyle name="Normal 226 6" xfId="7259" xr:uid="{00000000-0005-0000-0000-0000CC8F0000}"/>
    <cellStyle name="Normal 226 6 2" xfId="10247" xr:uid="{00000000-0005-0000-0000-0000CD8F0000}"/>
    <cellStyle name="Normal 226 6 2 2" xfId="18040" xr:uid="{00000000-0005-0000-0000-0000CE8F0000}"/>
    <cellStyle name="Normal 226 6 2 2 2" xfId="35677" xr:uid="{00000000-0005-0000-0000-0000CF8F0000}"/>
    <cellStyle name="Normal 226 6 2 3" xfId="28614" xr:uid="{00000000-0005-0000-0000-0000D08F0000}"/>
    <cellStyle name="Normal 226 6 3" xfId="15047" xr:uid="{00000000-0005-0000-0000-0000D18F0000}"/>
    <cellStyle name="Normal 226 6 3 2" xfId="32682" xr:uid="{00000000-0005-0000-0000-0000D28F0000}"/>
    <cellStyle name="Normal 226 6 4" xfId="25751" xr:uid="{00000000-0005-0000-0000-0000D38F0000}"/>
    <cellStyle name="Normal 226 7" xfId="7860" xr:uid="{00000000-0005-0000-0000-0000D48F0000}"/>
    <cellStyle name="Normal 226 7 2" xfId="15657" xr:uid="{00000000-0005-0000-0000-0000D58F0000}"/>
    <cellStyle name="Normal 226 7 2 2" xfId="33292" xr:uid="{00000000-0005-0000-0000-0000D68F0000}"/>
    <cellStyle name="Normal 226 7 3" xfId="26276" xr:uid="{00000000-0005-0000-0000-0000D78F0000}"/>
    <cellStyle name="Normal 226 8" xfId="11780" xr:uid="{00000000-0005-0000-0000-0000D88F0000}"/>
    <cellStyle name="Normal 226 8 2" xfId="29467" xr:uid="{00000000-0005-0000-0000-0000D98F0000}"/>
    <cellStyle name="Normal 226 9" xfId="23411" xr:uid="{00000000-0005-0000-0000-0000DA8F0000}"/>
    <cellStyle name="Normal 227" xfId="2350" xr:uid="{00000000-0005-0000-0000-0000DB8F0000}"/>
    <cellStyle name="Normal 227 10" xfId="52089" xr:uid="{00000000-0005-0000-0000-0000DC8F0000}"/>
    <cellStyle name="Normal 227 2" xfId="2351" xr:uid="{00000000-0005-0000-0000-0000DD8F0000}"/>
    <cellStyle name="Normal 227 2 2" xfId="4455" xr:uid="{00000000-0005-0000-0000-0000DE8F0000}"/>
    <cellStyle name="Normal 227 2 3" xfId="52090" xr:uid="{00000000-0005-0000-0000-0000DF8F0000}"/>
    <cellStyle name="Normal 227 3" xfId="4454" xr:uid="{00000000-0005-0000-0000-0000E08F0000}"/>
    <cellStyle name="Normal 227 3 2" xfId="8540" xr:uid="{00000000-0005-0000-0000-0000E18F0000}"/>
    <cellStyle name="Normal 227 3 2 2" xfId="16336" xr:uid="{00000000-0005-0000-0000-0000E28F0000}"/>
    <cellStyle name="Normal 227 3 2 2 2" xfId="33971" xr:uid="{00000000-0005-0000-0000-0000E38F0000}"/>
    <cellStyle name="Normal 227 3 2 3" xfId="26941" xr:uid="{00000000-0005-0000-0000-0000E48F0000}"/>
    <cellStyle name="Normal 227 3 3" xfId="12789" xr:uid="{00000000-0005-0000-0000-0000E58F0000}"/>
    <cellStyle name="Normal 227 3 3 2" xfId="30447" xr:uid="{00000000-0005-0000-0000-0000E68F0000}"/>
    <cellStyle name="Normal 227 3 4" xfId="24076" xr:uid="{00000000-0005-0000-0000-0000E78F0000}"/>
    <cellStyle name="Normal 227 4" xfId="5854" xr:uid="{00000000-0005-0000-0000-0000E88F0000}"/>
    <cellStyle name="Normal 227 4 2" xfId="9154" xr:uid="{00000000-0005-0000-0000-0000E98F0000}"/>
    <cellStyle name="Normal 227 4 2 2" xfId="16949" xr:uid="{00000000-0005-0000-0000-0000EA8F0000}"/>
    <cellStyle name="Normal 227 4 2 2 2" xfId="34585" xr:uid="{00000000-0005-0000-0000-0000EB8F0000}"/>
    <cellStyle name="Normal 227 4 2 3" xfId="27542" xr:uid="{00000000-0005-0000-0000-0000EC8F0000}"/>
    <cellStyle name="Normal 227 4 3" xfId="13710" xr:uid="{00000000-0005-0000-0000-0000ED8F0000}"/>
    <cellStyle name="Normal 227 4 3 2" xfId="31350" xr:uid="{00000000-0005-0000-0000-0000EE8F0000}"/>
    <cellStyle name="Normal 227 4 4" xfId="24677" xr:uid="{00000000-0005-0000-0000-0000EF8F0000}"/>
    <cellStyle name="Normal 227 5" xfId="6484" xr:uid="{00000000-0005-0000-0000-0000F08F0000}"/>
    <cellStyle name="Normal 227 5 2" xfId="9694" xr:uid="{00000000-0005-0000-0000-0000F18F0000}"/>
    <cellStyle name="Normal 227 5 2 2" xfId="17488" xr:uid="{00000000-0005-0000-0000-0000F28F0000}"/>
    <cellStyle name="Normal 227 5 2 2 2" xfId="35125" xr:uid="{00000000-0005-0000-0000-0000F38F0000}"/>
    <cellStyle name="Normal 227 5 2 3" xfId="28078" xr:uid="{00000000-0005-0000-0000-0000F48F0000}"/>
    <cellStyle name="Normal 227 5 3" xfId="14273" xr:uid="{00000000-0005-0000-0000-0000F58F0000}"/>
    <cellStyle name="Normal 227 5 3 2" xfId="31908" xr:uid="{00000000-0005-0000-0000-0000F68F0000}"/>
    <cellStyle name="Normal 227 5 4" xfId="25214" xr:uid="{00000000-0005-0000-0000-0000F78F0000}"/>
    <cellStyle name="Normal 227 6" xfId="7260" xr:uid="{00000000-0005-0000-0000-0000F88F0000}"/>
    <cellStyle name="Normal 227 6 2" xfId="10248" xr:uid="{00000000-0005-0000-0000-0000F98F0000}"/>
    <cellStyle name="Normal 227 6 2 2" xfId="18041" xr:uid="{00000000-0005-0000-0000-0000FA8F0000}"/>
    <cellStyle name="Normal 227 6 2 2 2" xfId="35678" xr:uid="{00000000-0005-0000-0000-0000FB8F0000}"/>
    <cellStyle name="Normal 227 6 2 3" xfId="28615" xr:uid="{00000000-0005-0000-0000-0000FC8F0000}"/>
    <cellStyle name="Normal 227 6 3" xfId="15048" xr:uid="{00000000-0005-0000-0000-0000FD8F0000}"/>
    <cellStyle name="Normal 227 6 3 2" xfId="32683" xr:uid="{00000000-0005-0000-0000-0000FE8F0000}"/>
    <cellStyle name="Normal 227 6 4" xfId="25752" xr:uid="{00000000-0005-0000-0000-0000FF8F0000}"/>
    <cellStyle name="Normal 227 7" xfId="7861" xr:uid="{00000000-0005-0000-0000-000000900000}"/>
    <cellStyle name="Normal 227 7 2" xfId="15658" xr:uid="{00000000-0005-0000-0000-000001900000}"/>
    <cellStyle name="Normal 227 7 2 2" xfId="33293" xr:uid="{00000000-0005-0000-0000-000002900000}"/>
    <cellStyle name="Normal 227 7 3" xfId="26277" xr:uid="{00000000-0005-0000-0000-000003900000}"/>
    <cellStyle name="Normal 227 8" xfId="11781" xr:uid="{00000000-0005-0000-0000-000004900000}"/>
    <cellStyle name="Normal 227 8 2" xfId="29468" xr:uid="{00000000-0005-0000-0000-000005900000}"/>
    <cellStyle name="Normal 227 9" xfId="23412" xr:uid="{00000000-0005-0000-0000-000006900000}"/>
    <cellStyle name="Normal 228" xfId="2352" xr:uid="{00000000-0005-0000-0000-000007900000}"/>
    <cellStyle name="Normal 228 2" xfId="4456" xr:uid="{00000000-0005-0000-0000-000008900000}"/>
    <cellStyle name="Normal 228 3" xfId="52091" xr:uid="{00000000-0005-0000-0000-000009900000}"/>
    <cellStyle name="Normal 229" xfId="2353" xr:uid="{00000000-0005-0000-0000-00000A900000}"/>
    <cellStyle name="Normal 229 2" xfId="4457" xr:uid="{00000000-0005-0000-0000-00000B900000}"/>
    <cellStyle name="Normal 229 3" xfId="52092" xr:uid="{00000000-0005-0000-0000-00000C900000}"/>
    <cellStyle name="Normal 23" xfId="2354" xr:uid="{00000000-0005-0000-0000-00000D900000}"/>
    <cellStyle name="Normal 23 2" xfId="2355" xr:uid="{00000000-0005-0000-0000-00000E900000}"/>
    <cellStyle name="Normal 23 2 2" xfId="2356" xr:uid="{00000000-0005-0000-0000-00000F900000}"/>
    <cellStyle name="Normal 23 2 3" xfId="22971" xr:uid="{00000000-0005-0000-0000-000010900000}"/>
    <cellStyle name="Normal 23 2 4" xfId="22762" xr:uid="{00000000-0005-0000-0000-000011900000}"/>
    <cellStyle name="Normal 23 2 4 2" xfId="38969" xr:uid="{00000000-0005-0000-0000-000012900000}"/>
    <cellStyle name="Normal 23 2_Sheet1" xfId="2357" xr:uid="{00000000-0005-0000-0000-000013900000}"/>
    <cellStyle name="Normal 23 3" xfId="2358" xr:uid="{00000000-0005-0000-0000-000014900000}"/>
    <cellStyle name="Normal 23 4" xfId="22970" xr:uid="{00000000-0005-0000-0000-000015900000}"/>
    <cellStyle name="Normal 23 5" xfId="22551" xr:uid="{00000000-0005-0000-0000-000016900000}"/>
    <cellStyle name="Normal 23 5 2" xfId="38864" xr:uid="{00000000-0005-0000-0000-000017900000}"/>
    <cellStyle name="Normal 23 6" xfId="53245" xr:uid="{00000000-0005-0000-0000-000018900000}"/>
    <cellStyle name="Normal 23_Sheet1" xfId="2359" xr:uid="{00000000-0005-0000-0000-000019900000}"/>
    <cellStyle name="Normal 230" xfId="2360" xr:uid="{00000000-0005-0000-0000-00001A900000}"/>
    <cellStyle name="Normal 230 2" xfId="4458" xr:uid="{00000000-0005-0000-0000-00001B900000}"/>
    <cellStyle name="Normal 230 3" xfId="52093" xr:uid="{00000000-0005-0000-0000-00001C900000}"/>
    <cellStyle name="Normal 231" xfId="2361" xr:uid="{00000000-0005-0000-0000-00001D900000}"/>
    <cellStyle name="Normal 231 2" xfId="4459" xr:uid="{00000000-0005-0000-0000-00001E900000}"/>
    <cellStyle name="Normal 231 3" xfId="52094" xr:uid="{00000000-0005-0000-0000-00001F900000}"/>
    <cellStyle name="Normal 232" xfId="2362" xr:uid="{00000000-0005-0000-0000-000020900000}"/>
    <cellStyle name="Normal 232 2" xfId="4460" xr:uid="{00000000-0005-0000-0000-000021900000}"/>
    <cellStyle name="Normal 232 3" xfId="52095" xr:uid="{00000000-0005-0000-0000-000022900000}"/>
    <cellStyle name="Normal 233" xfId="2363" xr:uid="{00000000-0005-0000-0000-000023900000}"/>
    <cellStyle name="Normal 233 2" xfId="4461" xr:uid="{00000000-0005-0000-0000-000024900000}"/>
    <cellStyle name="Normal 233 2 2" xfId="8541" xr:uid="{00000000-0005-0000-0000-000025900000}"/>
    <cellStyle name="Normal 233 2 2 2" xfId="16337" xr:uid="{00000000-0005-0000-0000-000026900000}"/>
    <cellStyle name="Normal 233 2 2 2 2" xfId="33972" xr:uid="{00000000-0005-0000-0000-000027900000}"/>
    <cellStyle name="Normal 233 2 2 3" xfId="26942" xr:uid="{00000000-0005-0000-0000-000028900000}"/>
    <cellStyle name="Normal 233 2 3" xfId="12790" xr:uid="{00000000-0005-0000-0000-000029900000}"/>
    <cellStyle name="Normal 233 2 3 2" xfId="30448" xr:uid="{00000000-0005-0000-0000-00002A900000}"/>
    <cellStyle name="Normal 233 2 4" xfId="24077" xr:uid="{00000000-0005-0000-0000-00002B900000}"/>
    <cellStyle name="Normal 233 3" xfId="5855" xr:uid="{00000000-0005-0000-0000-00002C900000}"/>
    <cellStyle name="Normal 233 3 2" xfId="9155" xr:uid="{00000000-0005-0000-0000-00002D900000}"/>
    <cellStyle name="Normal 233 3 2 2" xfId="16950" xr:uid="{00000000-0005-0000-0000-00002E900000}"/>
    <cellStyle name="Normal 233 3 2 2 2" xfId="34586" xr:uid="{00000000-0005-0000-0000-00002F900000}"/>
    <cellStyle name="Normal 233 3 2 3" xfId="27543" xr:uid="{00000000-0005-0000-0000-000030900000}"/>
    <cellStyle name="Normal 233 3 3" xfId="13711" xr:uid="{00000000-0005-0000-0000-000031900000}"/>
    <cellStyle name="Normal 233 3 3 2" xfId="31351" xr:uid="{00000000-0005-0000-0000-000032900000}"/>
    <cellStyle name="Normal 233 3 4" xfId="24678" xr:uid="{00000000-0005-0000-0000-000033900000}"/>
    <cellStyle name="Normal 233 4" xfId="6485" xr:uid="{00000000-0005-0000-0000-000034900000}"/>
    <cellStyle name="Normal 233 4 2" xfId="9695" xr:uid="{00000000-0005-0000-0000-000035900000}"/>
    <cellStyle name="Normal 233 4 2 2" xfId="17489" xr:uid="{00000000-0005-0000-0000-000036900000}"/>
    <cellStyle name="Normal 233 4 2 2 2" xfId="35126" xr:uid="{00000000-0005-0000-0000-000037900000}"/>
    <cellStyle name="Normal 233 4 2 3" xfId="28079" xr:uid="{00000000-0005-0000-0000-000038900000}"/>
    <cellStyle name="Normal 233 4 3" xfId="14274" xr:uid="{00000000-0005-0000-0000-000039900000}"/>
    <cellStyle name="Normal 233 4 3 2" xfId="31909" xr:uid="{00000000-0005-0000-0000-00003A900000}"/>
    <cellStyle name="Normal 233 4 4" xfId="25215" xr:uid="{00000000-0005-0000-0000-00003B900000}"/>
    <cellStyle name="Normal 233 5" xfId="7261" xr:uid="{00000000-0005-0000-0000-00003C900000}"/>
    <cellStyle name="Normal 233 5 2" xfId="10249" xr:uid="{00000000-0005-0000-0000-00003D900000}"/>
    <cellStyle name="Normal 233 5 2 2" xfId="18042" xr:uid="{00000000-0005-0000-0000-00003E900000}"/>
    <cellStyle name="Normal 233 5 2 2 2" xfId="35679" xr:uid="{00000000-0005-0000-0000-00003F900000}"/>
    <cellStyle name="Normal 233 5 2 3" xfId="28616" xr:uid="{00000000-0005-0000-0000-000040900000}"/>
    <cellStyle name="Normal 233 5 3" xfId="15049" xr:uid="{00000000-0005-0000-0000-000041900000}"/>
    <cellStyle name="Normal 233 5 3 2" xfId="32684" xr:uid="{00000000-0005-0000-0000-000042900000}"/>
    <cellStyle name="Normal 233 5 4" xfId="25753" xr:uid="{00000000-0005-0000-0000-000043900000}"/>
    <cellStyle name="Normal 233 6" xfId="7862" xr:uid="{00000000-0005-0000-0000-000044900000}"/>
    <cellStyle name="Normal 233 6 2" xfId="15659" xr:uid="{00000000-0005-0000-0000-000045900000}"/>
    <cellStyle name="Normal 233 6 2 2" xfId="33294" xr:uid="{00000000-0005-0000-0000-000046900000}"/>
    <cellStyle name="Normal 233 6 3" xfId="26278" xr:uid="{00000000-0005-0000-0000-000047900000}"/>
    <cellStyle name="Normal 233 7" xfId="11782" xr:uid="{00000000-0005-0000-0000-000048900000}"/>
    <cellStyle name="Normal 233 7 2" xfId="29469" xr:uid="{00000000-0005-0000-0000-000049900000}"/>
    <cellStyle name="Normal 233 8" xfId="23413" xr:uid="{00000000-0005-0000-0000-00004A900000}"/>
    <cellStyle name="Normal 233 9" xfId="52096" xr:uid="{00000000-0005-0000-0000-00004B900000}"/>
    <cellStyle name="Normal 234" xfId="2364" xr:uid="{00000000-0005-0000-0000-00004C900000}"/>
    <cellStyle name="Normal 234 2" xfId="4462" xr:uid="{00000000-0005-0000-0000-00004D900000}"/>
    <cellStyle name="Normal 234 3" xfId="52097" xr:uid="{00000000-0005-0000-0000-00004E900000}"/>
    <cellStyle name="Normal 235" xfId="2365" xr:uid="{00000000-0005-0000-0000-00004F900000}"/>
    <cellStyle name="Normal 235 2" xfId="4463" xr:uid="{00000000-0005-0000-0000-000050900000}"/>
    <cellStyle name="Normal 235 3" xfId="52098" xr:uid="{00000000-0005-0000-0000-000051900000}"/>
    <cellStyle name="Normal 236" xfId="2366" xr:uid="{00000000-0005-0000-0000-000052900000}"/>
    <cellStyle name="Normal 236 2" xfId="4464" xr:uid="{00000000-0005-0000-0000-000053900000}"/>
    <cellStyle name="Normal 236 3" xfId="52099" xr:uid="{00000000-0005-0000-0000-000054900000}"/>
    <cellStyle name="Normal 237" xfId="2367" xr:uid="{00000000-0005-0000-0000-000055900000}"/>
    <cellStyle name="Normal 237 2" xfId="4465" xr:uid="{00000000-0005-0000-0000-000056900000}"/>
    <cellStyle name="Normal 237 3" xfId="52100" xr:uid="{00000000-0005-0000-0000-000057900000}"/>
    <cellStyle name="Normal 238" xfId="2368" xr:uid="{00000000-0005-0000-0000-000058900000}"/>
    <cellStyle name="Normal 238 2" xfId="4466" xr:uid="{00000000-0005-0000-0000-000059900000}"/>
    <cellStyle name="Normal 238 3" xfId="52101" xr:uid="{00000000-0005-0000-0000-00005A900000}"/>
    <cellStyle name="Normal 239" xfId="2369" xr:uid="{00000000-0005-0000-0000-00005B900000}"/>
    <cellStyle name="Normal 239 2" xfId="4467" xr:uid="{00000000-0005-0000-0000-00005C900000}"/>
    <cellStyle name="Normal 239 3" xfId="52102" xr:uid="{00000000-0005-0000-0000-00005D900000}"/>
    <cellStyle name="Normal 24" xfId="2370" xr:uid="{00000000-0005-0000-0000-00005E900000}"/>
    <cellStyle name="Normal 24 2" xfId="2371" xr:uid="{00000000-0005-0000-0000-00005F900000}"/>
    <cellStyle name="Normal 24 2 2" xfId="2372" xr:uid="{00000000-0005-0000-0000-000060900000}"/>
    <cellStyle name="Normal 24 2 3" xfId="22973" xr:uid="{00000000-0005-0000-0000-000061900000}"/>
    <cellStyle name="Normal 24 2 4" xfId="22763" xr:uid="{00000000-0005-0000-0000-000062900000}"/>
    <cellStyle name="Normal 24 2 4 2" xfId="38970" xr:uid="{00000000-0005-0000-0000-000063900000}"/>
    <cellStyle name="Normal 24 2_Sheet1" xfId="2373" xr:uid="{00000000-0005-0000-0000-000064900000}"/>
    <cellStyle name="Normal 24 3" xfId="2374" xr:uid="{00000000-0005-0000-0000-000065900000}"/>
    <cellStyle name="Normal 24 4" xfId="22972" xr:uid="{00000000-0005-0000-0000-000066900000}"/>
    <cellStyle name="Normal 24 5" xfId="22552" xr:uid="{00000000-0005-0000-0000-000067900000}"/>
    <cellStyle name="Normal 24 5 2" xfId="38865" xr:uid="{00000000-0005-0000-0000-000068900000}"/>
    <cellStyle name="Normal 24 6" xfId="53246" xr:uid="{00000000-0005-0000-0000-000069900000}"/>
    <cellStyle name="Normal 24_Sheet1" xfId="2375" xr:uid="{00000000-0005-0000-0000-00006A900000}"/>
    <cellStyle name="Normal 240" xfId="2376" xr:uid="{00000000-0005-0000-0000-00006B900000}"/>
    <cellStyle name="Normal 240 2" xfId="4468" xr:uid="{00000000-0005-0000-0000-00006C900000}"/>
    <cellStyle name="Normal 240 3" xfId="52103" xr:uid="{00000000-0005-0000-0000-00006D900000}"/>
    <cellStyle name="Normal 241" xfId="2377" xr:uid="{00000000-0005-0000-0000-00006E900000}"/>
    <cellStyle name="Normal 241 2" xfId="4469" xr:uid="{00000000-0005-0000-0000-00006F900000}"/>
    <cellStyle name="Normal 241 3" xfId="52104" xr:uid="{00000000-0005-0000-0000-000070900000}"/>
    <cellStyle name="Normal 242" xfId="2378" xr:uid="{00000000-0005-0000-0000-000071900000}"/>
    <cellStyle name="Normal 242 2" xfId="4470" xr:uid="{00000000-0005-0000-0000-000072900000}"/>
    <cellStyle name="Normal 242 3" xfId="52105" xr:uid="{00000000-0005-0000-0000-000073900000}"/>
    <cellStyle name="Normal 243" xfId="2379" xr:uid="{00000000-0005-0000-0000-000074900000}"/>
    <cellStyle name="Normal 243 2" xfId="4471" xr:uid="{00000000-0005-0000-0000-000075900000}"/>
    <cellStyle name="Normal 243 3" xfId="52106" xr:uid="{00000000-0005-0000-0000-000076900000}"/>
    <cellStyle name="Normal 244" xfId="2380" xr:uid="{00000000-0005-0000-0000-000077900000}"/>
    <cellStyle name="Normal 244 2" xfId="4472" xr:uid="{00000000-0005-0000-0000-000078900000}"/>
    <cellStyle name="Normal 244 3" xfId="52107" xr:uid="{00000000-0005-0000-0000-000079900000}"/>
    <cellStyle name="Normal 245" xfId="2381" xr:uid="{00000000-0005-0000-0000-00007A900000}"/>
    <cellStyle name="Normal 245 2" xfId="4473" xr:uid="{00000000-0005-0000-0000-00007B900000}"/>
    <cellStyle name="Normal 245 3" xfId="52108" xr:uid="{00000000-0005-0000-0000-00007C900000}"/>
    <cellStyle name="Normal 246" xfId="2382" xr:uid="{00000000-0005-0000-0000-00007D900000}"/>
    <cellStyle name="Normal 246 2" xfId="4474" xr:uid="{00000000-0005-0000-0000-00007E900000}"/>
    <cellStyle name="Normal 246 3" xfId="52109" xr:uid="{00000000-0005-0000-0000-00007F900000}"/>
    <cellStyle name="Normal 247" xfId="2383" xr:uid="{00000000-0005-0000-0000-000080900000}"/>
    <cellStyle name="Normal 247 2" xfId="4475" xr:uid="{00000000-0005-0000-0000-000081900000}"/>
    <cellStyle name="Normal 247 3" xfId="52110" xr:uid="{00000000-0005-0000-0000-000082900000}"/>
    <cellStyle name="Normal 248" xfId="2384" xr:uid="{00000000-0005-0000-0000-000083900000}"/>
    <cellStyle name="Normal 248 2" xfId="4476" xr:uid="{00000000-0005-0000-0000-000084900000}"/>
    <cellStyle name="Normal 248 3" xfId="52111" xr:uid="{00000000-0005-0000-0000-000085900000}"/>
    <cellStyle name="Normal 249" xfId="2385" xr:uid="{00000000-0005-0000-0000-000086900000}"/>
    <cellStyle name="Normal 249 2" xfId="4477" xr:uid="{00000000-0005-0000-0000-000087900000}"/>
    <cellStyle name="Normal 249 3" xfId="52112" xr:uid="{00000000-0005-0000-0000-000088900000}"/>
    <cellStyle name="Normal 25" xfId="2386" xr:uid="{00000000-0005-0000-0000-000089900000}"/>
    <cellStyle name="Normal 25 2" xfId="2387" xr:uid="{00000000-0005-0000-0000-00008A900000}"/>
    <cellStyle name="Normal 25 2 2" xfId="2388" xr:uid="{00000000-0005-0000-0000-00008B900000}"/>
    <cellStyle name="Normal 25 2 3" xfId="22975" xr:uid="{00000000-0005-0000-0000-00008C900000}"/>
    <cellStyle name="Normal 25 2 4" xfId="22764" xr:uid="{00000000-0005-0000-0000-00008D900000}"/>
    <cellStyle name="Normal 25 2 4 2" xfId="38971" xr:uid="{00000000-0005-0000-0000-00008E900000}"/>
    <cellStyle name="Normal 25 2_Sheet1" xfId="2389" xr:uid="{00000000-0005-0000-0000-00008F900000}"/>
    <cellStyle name="Normal 25 3" xfId="2390" xr:uid="{00000000-0005-0000-0000-000090900000}"/>
    <cellStyle name="Normal 25 4" xfId="22974" xr:uid="{00000000-0005-0000-0000-000091900000}"/>
    <cellStyle name="Normal 25 5" xfId="22553" xr:uid="{00000000-0005-0000-0000-000092900000}"/>
    <cellStyle name="Normal 25 5 2" xfId="38866" xr:uid="{00000000-0005-0000-0000-000093900000}"/>
    <cellStyle name="Normal 25 6" xfId="53247" xr:uid="{00000000-0005-0000-0000-000094900000}"/>
    <cellStyle name="Normal 25_Sheet1" xfId="2391" xr:uid="{00000000-0005-0000-0000-000095900000}"/>
    <cellStyle name="Normal 250" xfId="2392" xr:uid="{00000000-0005-0000-0000-000096900000}"/>
    <cellStyle name="Normal 250 2" xfId="4478" xr:uid="{00000000-0005-0000-0000-000097900000}"/>
    <cellStyle name="Normal 250 3" xfId="52113" xr:uid="{00000000-0005-0000-0000-000098900000}"/>
    <cellStyle name="Normal 251" xfId="2393" xr:uid="{00000000-0005-0000-0000-000099900000}"/>
    <cellStyle name="Normal 251 2" xfId="4479" xr:uid="{00000000-0005-0000-0000-00009A900000}"/>
    <cellStyle name="Normal 251 3" xfId="52114" xr:uid="{00000000-0005-0000-0000-00009B900000}"/>
    <cellStyle name="Normal 252" xfId="2394" xr:uid="{00000000-0005-0000-0000-00009C900000}"/>
    <cellStyle name="Normal 252 2" xfId="4480" xr:uid="{00000000-0005-0000-0000-00009D900000}"/>
    <cellStyle name="Normal 252 3" xfId="52115" xr:uid="{00000000-0005-0000-0000-00009E900000}"/>
    <cellStyle name="Normal 253" xfId="2395" xr:uid="{00000000-0005-0000-0000-00009F900000}"/>
    <cellStyle name="Normal 253 2" xfId="4481" xr:uid="{00000000-0005-0000-0000-0000A0900000}"/>
    <cellStyle name="Normal 253 2 2" xfId="8542" xr:uid="{00000000-0005-0000-0000-0000A1900000}"/>
    <cellStyle name="Normal 253 2 2 2" xfId="16338" xr:uid="{00000000-0005-0000-0000-0000A2900000}"/>
    <cellStyle name="Normal 253 2 2 2 2" xfId="33973" xr:uid="{00000000-0005-0000-0000-0000A3900000}"/>
    <cellStyle name="Normal 253 2 2 3" xfId="26943" xr:uid="{00000000-0005-0000-0000-0000A4900000}"/>
    <cellStyle name="Normal 253 2 3" xfId="12792" xr:uid="{00000000-0005-0000-0000-0000A5900000}"/>
    <cellStyle name="Normal 253 2 3 2" xfId="30450" xr:uid="{00000000-0005-0000-0000-0000A6900000}"/>
    <cellStyle name="Normal 253 2 4" xfId="24078" xr:uid="{00000000-0005-0000-0000-0000A7900000}"/>
    <cellStyle name="Normal 253 3" xfId="5856" xr:uid="{00000000-0005-0000-0000-0000A8900000}"/>
    <cellStyle name="Normal 253 3 2" xfId="9156" xr:uid="{00000000-0005-0000-0000-0000A9900000}"/>
    <cellStyle name="Normal 253 3 2 2" xfId="16951" xr:uid="{00000000-0005-0000-0000-0000AA900000}"/>
    <cellStyle name="Normal 253 3 2 2 2" xfId="34587" xr:uid="{00000000-0005-0000-0000-0000AB900000}"/>
    <cellStyle name="Normal 253 3 2 3" xfId="27544" xr:uid="{00000000-0005-0000-0000-0000AC900000}"/>
    <cellStyle name="Normal 253 3 3" xfId="13712" xr:uid="{00000000-0005-0000-0000-0000AD900000}"/>
    <cellStyle name="Normal 253 3 3 2" xfId="31352" xr:uid="{00000000-0005-0000-0000-0000AE900000}"/>
    <cellStyle name="Normal 253 3 4" xfId="24679" xr:uid="{00000000-0005-0000-0000-0000AF900000}"/>
    <cellStyle name="Normal 253 4" xfId="6486" xr:uid="{00000000-0005-0000-0000-0000B0900000}"/>
    <cellStyle name="Normal 253 4 2" xfId="9696" xr:uid="{00000000-0005-0000-0000-0000B1900000}"/>
    <cellStyle name="Normal 253 4 2 2" xfId="17490" xr:uid="{00000000-0005-0000-0000-0000B2900000}"/>
    <cellStyle name="Normal 253 4 2 2 2" xfId="35127" xr:uid="{00000000-0005-0000-0000-0000B3900000}"/>
    <cellStyle name="Normal 253 4 2 3" xfId="28080" xr:uid="{00000000-0005-0000-0000-0000B4900000}"/>
    <cellStyle name="Normal 253 4 3" xfId="14275" xr:uid="{00000000-0005-0000-0000-0000B5900000}"/>
    <cellStyle name="Normal 253 4 3 2" xfId="31910" xr:uid="{00000000-0005-0000-0000-0000B6900000}"/>
    <cellStyle name="Normal 253 4 4" xfId="25216" xr:uid="{00000000-0005-0000-0000-0000B7900000}"/>
    <cellStyle name="Normal 253 5" xfId="7262" xr:uid="{00000000-0005-0000-0000-0000B8900000}"/>
    <cellStyle name="Normal 253 5 2" xfId="10250" xr:uid="{00000000-0005-0000-0000-0000B9900000}"/>
    <cellStyle name="Normal 253 5 2 2" xfId="18043" xr:uid="{00000000-0005-0000-0000-0000BA900000}"/>
    <cellStyle name="Normal 253 5 2 2 2" xfId="35680" xr:uid="{00000000-0005-0000-0000-0000BB900000}"/>
    <cellStyle name="Normal 253 5 2 3" xfId="28617" xr:uid="{00000000-0005-0000-0000-0000BC900000}"/>
    <cellStyle name="Normal 253 5 3" xfId="15050" xr:uid="{00000000-0005-0000-0000-0000BD900000}"/>
    <cellStyle name="Normal 253 5 3 2" xfId="32685" xr:uid="{00000000-0005-0000-0000-0000BE900000}"/>
    <cellStyle name="Normal 253 5 4" xfId="25754" xr:uid="{00000000-0005-0000-0000-0000BF900000}"/>
    <cellStyle name="Normal 253 6" xfId="7863" xr:uid="{00000000-0005-0000-0000-0000C0900000}"/>
    <cellStyle name="Normal 253 6 2" xfId="15660" xr:uid="{00000000-0005-0000-0000-0000C1900000}"/>
    <cellStyle name="Normal 253 6 2 2" xfId="33295" xr:uid="{00000000-0005-0000-0000-0000C2900000}"/>
    <cellStyle name="Normal 253 6 3" xfId="26279" xr:uid="{00000000-0005-0000-0000-0000C3900000}"/>
    <cellStyle name="Normal 253 7" xfId="11786" xr:uid="{00000000-0005-0000-0000-0000C4900000}"/>
    <cellStyle name="Normal 253 7 2" xfId="29472" xr:uid="{00000000-0005-0000-0000-0000C5900000}"/>
    <cellStyle name="Normal 253 8" xfId="23414" xr:uid="{00000000-0005-0000-0000-0000C6900000}"/>
    <cellStyle name="Normal 253 9" xfId="52116" xr:uid="{00000000-0005-0000-0000-0000C7900000}"/>
    <cellStyle name="Normal 254" xfId="2396" xr:uid="{00000000-0005-0000-0000-0000C8900000}"/>
    <cellStyle name="Normal 254 2" xfId="4482" xr:uid="{00000000-0005-0000-0000-0000C9900000}"/>
    <cellStyle name="Normal 254 3" xfId="52117" xr:uid="{00000000-0005-0000-0000-0000CA900000}"/>
    <cellStyle name="Normal 255" xfId="2397" xr:uid="{00000000-0005-0000-0000-0000CB900000}"/>
    <cellStyle name="Normal 255 2" xfId="4483" xr:uid="{00000000-0005-0000-0000-0000CC900000}"/>
    <cellStyle name="Normal 255 3" xfId="52118" xr:uid="{00000000-0005-0000-0000-0000CD900000}"/>
    <cellStyle name="Normal 256" xfId="2398" xr:uid="{00000000-0005-0000-0000-0000CE900000}"/>
    <cellStyle name="Normal 256 2" xfId="4484" xr:uid="{00000000-0005-0000-0000-0000CF900000}"/>
    <cellStyle name="Normal 256 3" xfId="52119" xr:uid="{00000000-0005-0000-0000-0000D0900000}"/>
    <cellStyle name="Normal 257" xfId="2399" xr:uid="{00000000-0005-0000-0000-0000D1900000}"/>
    <cellStyle name="Normal 257 2" xfId="4485" xr:uid="{00000000-0005-0000-0000-0000D2900000}"/>
    <cellStyle name="Normal 257 3" xfId="52120" xr:uid="{00000000-0005-0000-0000-0000D3900000}"/>
    <cellStyle name="Normal 258" xfId="2400" xr:uid="{00000000-0005-0000-0000-0000D4900000}"/>
    <cellStyle name="Normal 258 2" xfId="4486" xr:uid="{00000000-0005-0000-0000-0000D5900000}"/>
    <cellStyle name="Normal 258 3" xfId="52121" xr:uid="{00000000-0005-0000-0000-0000D6900000}"/>
    <cellStyle name="Normal 259" xfId="2401" xr:uid="{00000000-0005-0000-0000-0000D7900000}"/>
    <cellStyle name="Normal 259 2" xfId="4487" xr:uid="{00000000-0005-0000-0000-0000D8900000}"/>
    <cellStyle name="Normal 259 3" xfId="52122" xr:uid="{00000000-0005-0000-0000-0000D9900000}"/>
    <cellStyle name="Normal 26" xfId="2402" xr:uid="{00000000-0005-0000-0000-0000DA900000}"/>
    <cellStyle name="Normal 26 2" xfId="2403" xr:uid="{00000000-0005-0000-0000-0000DB900000}"/>
    <cellStyle name="Normal 26 2 2" xfId="2404" xr:uid="{00000000-0005-0000-0000-0000DC900000}"/>
    <cellStyle name="Normal 26 2 3" xfId="22977" xr:uid="{00000000-0005-0000-0000-0000DD900000}"/>
    <cellStyle name="Normal 26 2 4" xfId="22765" xr:uid="{00000000-0005-0000-0000-0000DE900000}"/>
    <cellStyle name="Normal 26 2 4 2" xfId="38972" xr:uid="{00000000-0005-0000-0000-0000DF900000}"/>
    <cellStyle name="Normal 26 2_Sheet1" xfId="2405" xr:uid="{00000000-0005-0000-0000-0000E0900000}"/>
    <cellStyle name="Normal 26 3" xfId="2406" xr:uid="{00000000-0005-0000-0000-0000E1900000}"/>
    <cellStyle name="Normal 26 4" xfId="22976" xr:uid="{00000000-0005-0000-0000-0000E2900000}"/>
    <cellStyle name="Normal 26 5" xfId="22554" xr:uid="{00000000-0005-0000-0000-0000E3900000}"/>
    <cellStyle name="Normal 26 5 2" xfId="38867" xr:uid="{00000000-0005-0000-0000-0000E4900000}"/>
    <cellStyle name="Normal 26 6" xfId="53248" xr:uid="{00000000-0005-0000-0000-0000E5900000}"/>
    <cellStyle name="Normal 26_Sheet1" xfId="2407" xr:uid="{00000000-0005-0000-0000-0000E6900000}"/>
    <cellStyle name="Normal 260" xfId="2408" xr:uid="{00000000-0005-0000-0000-0000E7900000}"/>
    <cellStyle name="Normal 260 2" xfId="4488" xr:uid="{00000000-0005-0000-0000-0000E8900000}"/>
    <cellStyle name="Normal 260 3" xfId="52123" xr:uid="{00000000-0005-0000-0000-0000E9900000}"/>
    <cellStyle name="Normal 261" xfId="2409" xr:uid="{00000000-0005-0000-0000-0000EA900000}"/>
    <cellStyle name="Normal 261 2" xfId="4489" xr:uid="{00000000-0005-0000-0000-0000EB900000}"/>
    <cellStyle name="Normal 261 3" xfId="52124" xr:uid="{00000000-0005-0000-0000-0000EC900000}"/>
    <cellStyle name="Normal 262" xfId="2410" xr:uid="{00000000-0005-0000-0000-0000ED900000}"/>
    <cellStyle name="Normal 262 2" xfId="4490" xr:uid="{00000000-0005-0000-0000-0000EE900000}"/>
    <cellStyle name="Normal 262 3" xfId="52125" xr:uid="{00000000-0005-0000-0000-0000EF900000}"/>
    <cellStyle name="Normal 263" xfId="2411" xr:uid="{00000000-0005-0000-0000-0000F0900000}"/>
    <cellStyle name="Normal 263 2" xfId="4491" xr:uid="{00000000-0005-0000-0000-0000F1900000}"/>
    <cellStyle name="Normal 263 3" xfId="52126" xr:uid="{00000000-0005-0000-0000-0000F2900000}"/>
    <cellStyle name="Normal 264" xfId="2412" xr:uid="{00000000-0005-0000-0000-0000F3900000}"/>
    <cellStyle name="Normal 264 2" xfId="4492" xr:uid="{00000000-0005-0000-0000-0000F4900000}"/>
    <cellStyle name="Normal 264 3" xfId="52127" xr:uid="{00000000-0005-0000-0000-0000F5900000}"/>
    <cellStyle name="Normal 265" xfId="2413" xr:uid="{00000000-0005-0000-0000-0000F6900000}"/>
    <cellStyle name="Normal 265 2" xfId="4493" xr:uid="{00000000-0005-0000-0000-0000F7900000}"/>
    <cellStyle name="Normal 265 3" xfId="52128" xr:uid="{00000000-0005-0000-0000-0000F8900000}"/>
    <cellStyle name="Normal 266" xfId="2414" xr:uid="{00000000-0005-0000-0000-0000F9900000}"/>
    <cellStyle name="Normal 266 2" xfId="4494" xr:uid="{00000000-0005-0000-0000-0000FA900000}"/>
    <cellStyle name="Normal 266 2 2" xfId="8543" xr:uid="{00000000-0005-0000-0000-0000FB900000}"/>
    <cellStyle name="Normal 266 2 2 2" xfId="16339" xr:uid="{00000000-0005-0000-0000-0000FC900000}"/>
    <cellStyle name="Normal 266 2 2 2 2" xfId="33974" xr:uid="{00000000-0005-0000-0000-0000FD900000}"/>
    <cellStyle name="Normal 266 2 2 3" xfId="26944" xr:uid="{00000000-0005-0000-0000-0000FE900000}"/>
    <cellStyle name="Normal 266 2 3" xfId="12796" xr:uid="{00000000-0005-0000-0000-0000FF900000}"/>
    <cellStyle name="Normal 266 2 3 2" xfId="30453" xr:uid="{00000000-0005-0000-0000-000000910000}"/>
    <cellStyle name="Normal 266 2 4" xfId="24079" xr:uid="{00000000-0005-0000-0000-000001910000}"/>
    <cellStyle name="Normal 266 3" xfId="5857" xr:uid="{00000000-0005-0000-0000-000002910000}"/>
    <cellStyle name="Normal 266 3 2" xfId="9157" xr:uid="{00000000-0005-0000-0000-000003910000}"/>
    <cellStyle name="Normal 266 3 2 2" xfId="16952" xr:uid="{00000000-0005-0000-0000-000004910000}"/>
    <cellStyle name="Normal 266 3 2 2 2" xfId="34588" xr:uid="{00000000-0005-0000-0000-000005910000}"/>
    <cellStyle name="Normal 266 3 2 3" xfId="27545" xr:uid="{00000000-0005-0000-0000-000006910000}"/>
    <cellStyle name="Normal 266 3 3" xfId="13713" xr:uid="{00000000-0005-0000-0000-000007910000}"/>
    <cellStyle name="Normal 266 3 3 2" xfId="31353" xr:uid="{00000000-0005-0000-0000-000008910000}"/>
    <cellStyle name="Normal 266 3 4" xfId="24680" xr:uid="{00000000-0005-0000-0000-000009910000}"/>
    <cellStyle name="Normal 266 4" xfId="6487" xr:uid="{00000000-0005-0000-0000-00000A910000}"/>
    <cellStyle name="Normal 266 4 2" xfId="9697" xr:uid="{00000000-0005-0000-0000-00000B910000}"/>
    <cellStyle name="Normal 266 4 2 2" xfId="17491" xr:uid="{00000000-0005-0000-0000-00000C910000}"/>
    <cellStyle name="Normal 266 4 2 2 2" xfId="35128" xr:uid="{00000000-0005-0000-0000-00000D910000}"/>
    <cellStyle name="Normal 266 4 2 3" xfId="28081" xr:uid="{00000000-0005-0000-0000-00000E910000}"/>
    <cellStyle name="Normal 266 4 3" xfId="14276" xr:uid="{00000000-0005-0000-0000-00000F910000}"/>
    <cellStyle name="Normal 266 4 3 2" xfId="31911" xr:uid="{00000000-0005-0000-0000-000010910000}"/>
    <cellStyle name="Normal 266 4 4" xfId="25217" xr:uid="{00000000-0005-0000-0000-000011910000}"/>
    <cellStyle name="Normal 266 5" xfId="7263" xr:uid="{00000000-0005-0000-0000-000012910000}"/>
    <cellStyle name="Normal 266 5 2" xfId="10251" xr:uid="{00000000-0005-0000-0000-000013910000}"/>
    <cellStyle name="Normal 266 5 2 2" xfId="18044" xr:uid="{00000000-0005-0000-0000-000014910000}"/>
    <cellStyle name="Normal 266 5 2 2 2" xfId="35681" xr:uid="{00000000-0005-0000-0000-000015910000}"/>
    <cellStyle name="Normal 266 5 2 3" xfId="28618" xr:uid="{00000000-0005-0000-0000-000016910000}"/>
    <cellStyle name="Normal 266 5 3" xfId="15051" xr:uid="{00000000-0005-0000-0000-000017910000}"/>
    <cellStyle name="Normal 266 5 3 2" xfId="32686" xr:uid="{00000000-0005-0000-0000-000018910000}"/>
    <cellStyle name="Normal 266 5 4" xfId="25755" xr:uid="{00000000-0005-0000-0000-000019910000}"/>
    <cellStyle name="Normal 266 6" xfId="7864" xr:uid="{00000000-0005-0000-0000-00001A910000}"/>
    <cellStyle name="Normal 266 6 2" xfId="15661" xr:uid="{00000000-0005-0000-0000-00001B910000}"/>
    <cellStyle name="Normal 266 6 2 2" xfId="33296" xr:uid="{00000000-0005-0000-0000-00001C910000}"/>
    <cellStyle name="Normal 266 6 3" xfId="26280" xr:uid="{00000000-0005-0000-0000-00001D910000}"/>
    <cellStyle name="Normal 266 7" xfId="11791" xr:uid="{00000000-0005-0000-0000-00001E910000}"/>
    <cellStyle name="Normal 266 7 2" xfId="29477" xr:uid="{00000000-0005-0000-0000-00001F910000}"/>
    <cellStyle name="Normal 266 8" xfId="23415" xr:uid="{00000000-0005-0000-0000-000020910000}"/>
    <cellStyle name="Normal 266 9" xfId="52129" xr:uid="{00000000-0005-0000-0000-000021910000}"/>
    <cellStyle name="Normal 267" xfId="2415" xr:uid="{00000000-0005-0000-0000-000022910000}"/>
    <cellStyle name="Normal 267 2" xfId="4495" xr:uid="{00000000-0005-0000-0000-000023910000}"/>
    <cellStyle name="Normal 267 3" xfId="52130" xr:uid="{00000000-0005-0000-0000-000024910000}"/>
    <cellStyle name="Normal 268" xfId="2416" xr:uid="{00000000-0005-0000-0000-000025910000}"/>
    <cellStyle name="Normal 268 2" xfId="4496" xr:uid="{00000000-0005-0000-0000-000026910000}"/>
    <cellStyle name="Normal 268 3" xfId="52131" xr:uid="{00000000-0005-0000-0000-000027910000}"/>
    <cellStyle name="Normal 269" xfId="2417" xr:uid="{00000000-0005-0000-0000-000028910000}"/>
    <cellStyle name="Normal 269 2" xfId="4497" xr:uid="{00000000-0005-0000-0000-000029910000}"/>
    <cellStyle name="Normal 269 3" xfId="52132" xr:uid="{00000000-0005-0000-0000-00002A910000}"/>
    <cellStyle name="Normal 27" xfId="2418" xr:uid="{00000000-0005-0000-0000-00002B910000}"/>
    <cellStyle name="Normal 27 2" xfId="2419" xr:uid="{00000000-0005-0000-0000-00002C910000}"/>
    <cellStyle name="Normal 27 2 2" xfId="2420" xr:uid="{00000000-0005-0000-0000-00002D910000}"/>
    <cellStyle name="Normal 27 2 3" xfId="22979" xr:uid="{00000000-0005-0000-0000-00002E910000}"/>
    <cellStyle name="Normal 27 2 4" xfId="22766" xr:uid="{00000000-0005-0000-0000-00002F910000}"/>
    <cellStyle name="Normal 27 2 4 2" xfId="38973" xr:uid="{00000000-0005-0000-0000-000030910000}"/>
    <cellStyle name="Normal 27 2_Sheet1" xfId="2421" xr:uid="{00000000-0005-0000-0000-000031910000}"/>
    <cellStyle name="Normal 27 3" xfId="2422" xr:uid="{00000000-0005-0000-0000-000032910000}"/>
    <cellStyle name="Normal 27 4" xfId="22978" xr:uid="{00000000-0005-0000-0000-000033910000}"/>
    <cellStyle name="Normal 27 5" xfId="22555" xr:uid="{00000000-0005-0000-0000-000034910000}"/>
    <cellStyle name="Normal 27 5 2" xfId="38868" xr:uid="{00000000-0005-0000-0000-000035910000}"/>
    <cellStyle name="Normal 27 6" xfId="53249" xr:uid="{00000000-0005-0000-0000-000036910000}"/>
    <cellStyle name="Normal 27_Sheet1" xfId="2423" xr:uid="{00000000-0005-0000-0000-000037910000}"/>
    <cellStyle name="Normal 270" xfId="2424" xr:uid="{00000000-0005-0000-0000-000038910000}"/>
    <cellStyle name="Normal 270 2" xfId="4498" xr:uid="{00000000-0005-0000-0000-000039910000}"/>
    <cellStyle name="Normal 270 3" xfId="52133" xr:uid="{00000000-0005-0000-0000-00003A910000}"/>
    <cellStyle name="Normal 271" xfId="2425" xr:uid="{00000000-0005-0000-0000-00003B910000}"/>
    <cellStyle name="Normal 271 2" xfId="4499" xr:uid="{00000000-0005-0000-0000-00003C910000}"/>
    <cellStyle name="Normal 271 3" xfId="52134" xr:uid="{00000000-0005-0000-0000-00003D910000}"/>
    <cellStyle name="Normal 272" xfId="2426" xr:uid="{00000000-0005-0000-0000-00003E910000}"/>
    <cellStyle name="Normal 272 2" xfId="4500" xr:uid="{00000000-0005-0000-0000-00003F910000}"/>
    <cellStyle name="Normal 272 3" xfId="52135" xr:uid="{00000000-0005-0000-0000-000040910000}"/>
    <cellStyle name="Normal 273" xfId="2427" xr:uid="{00000000-0005-0000-0000-000041910000}"/>
    <cellStyle name="Normal 273 2" xfId="4501" xr:uid="{00000000-0005-0000-0000-000042910000}"/>
    <cellStyle name="Normal 273 3" xfId="52136" xr:uid="{00000000-0005-0000-0000-000043910000}"/>
    <cellStyle name="Normal 274" xfId="2428" xr:uid="{00000000-0005-0000-0000-000044910000}"/>
    <cellStyle name="Normal 274 2" xfId="4502" xr:uid="{00000000-0005-0000-0000-000045910000}"/>
    <cellStyle name="Normal 274 3" xfId="52137" xr:uid="{00000000-0005-0000-0000-000046910000}"/>
    <cellStyle name="Normal 275" xfId="2429" xr:uid="{00000000-0005-0000-0000-000047910000}"/>
    <cellStyle name="Normal 275 2" xfId="4503" xr:uid="{00000000-0005-0000-0000-000048910000}"/>
    <cellStyle name="Normal 275 3" xfId="52138" xr:uid="{00000000-0005-0000-0000-000049910000}"/>
    <cellStyle name="Normal 276" xfId="2430" xr:uid="{00000000-0005-0000-0000-00004A910000}"/>
    <cellStyle name="Normal 276 2" xfId="4504" xr:uid="{00000000-0005-0000-0000-00004B910000}"/>
    <cellStyle name="Normal 276 3" xfId="52139" xr:uid="{00000000-0005-0000-0000-00004C910000}"/>
    <cellStyle name="Normal 277" xfId="2431" xr:uid="{00000000-0005-0000-0000-00004D910000}"/>
    <cellStyle name="Normal 277 2" xfId="4505" xr:uid="{00000000-0005-0000-0000-00004E910000}"/>
    <cellStyle name="Normal 277 3" xfId="52140" xr:uid="{00000000-0005-0000-0000-00004F910000}"/>
    <cellStyle name="Normal 278" xfId="194" xr:uid="{00000000-0005-0000-0000-000050910000}"/>
    <cellStyle name="Normal 278 10" xfId="11793" xr:uid="{00000000-0005-0000-0000-000051910000}"/>
    <cellStyle name="Normal 278 10 2" xfId="29479" xr:uid="{00000000-0005-0000-0000-000052910000}"/>
    <cellStyle name="Normal 278 11" xfId="23416" xr:uid="{00000000-0005-0000-0000-000053910000}"/>
    <cellStyle name="Normal 278 12" xfId="52141" xr:uid="{00000000-0005-0000-0000-000054910000}"/>
    <cellStyle name="Normal 278 13" xfId="2432" xr:uid="{00000000-0005-0000-0000-000055910000}"/>
    <cellStyle name="Normal 278 2" xfId="4507" xr:uid="{00000000-0005-0000-0000-000056910000}"/>
    <cellStyle name="Normal 278 2 2" xfId="4508" xr:uid="{00000000-0005-0000-0000-000057910000}"/>
    <cellStyle name="Normal 278 2 2 2" xfId="5859" xr:uid="{00000000-0005-0000-0000-000058910000}"/>
    <cellStyle name="Normal 278 2 2 2 2" xfId="9159" xr:uid="{00000000-0005-0000-0000-000059910000}"/>
    <cellStyle name="Normal 278 2 2 2 2 2" xfId="16954" xr:uid="{00000000-0005-0000-0000-00005A910000}"/>
    <cellStyle name="Normal 278 2 2 2 2 2 2" xfId="34590" xr:uid="{00000000-0005-0000-0000-00005B910000}"/>
    <cellStyle name="Normal 278 2 2 2 2 3" xfId="27547" xr:uid="{00000000-0005-0000-0000-00005C910000}"/>
    <cellStyle name="Normal 278 2 2 2 3" xfId="13715" xr:uid="{00000000-0005-0000-0000-00005D910000}"/>
    <cellStyle name="Normal 278 2 2 2 3 2" xfId="31355" xr:uid="{00000000-0005-0000-0000-00005E910000}"/>
    <cellStyle name="Normal 278 2 2 2 4" xfId="24682" xr:uid="{00000000-0005-0000-0000-00005F910000}"/>
    <cellStyle name="Normal 278 2 2 3" xfId="6489" xr:uid="{00000000-0005-0000-0000-000060910000}"/>
    <cellStyle name="Normal 278 2 2 3 2" xfId="9699" xr:uid="{00000000-0005-0000-0000-000061910000}"/>
    <cellStyle name="Normal 278 2 2 3 2 2" xfId="17493" xr:uid="{00000000-0005-0000-0000-000062910000}"/>
    <cellStyle name="Normal 278 2 2 3 2 2 2" xfId="35130" xr:uid="{00000000-0005-0000-0000-000063910000}"/>
    <cellStyle name="Normal 278 2 2 3 2 3" xfId="28083" xr:uid="{00000000-0005-0000-0000-000064910000}"/>
    <cellStyle name="Normal 278 2 2 3 3" xfId="14278" xr:uid="{00000000-0005-0000-0000-000065910000}"/>
    <cellStyle name="Normal 278 2 2 3 3 2" xfId="31913" xr:uid="{00000000-0005-0000-0000-000066910000}"/>
    <cellStyle name="Normal 278 2 2 3 4" xfId="25219" xr:uid="{00000000-0005-0000-0000-000067910000}"/>
    <cellStyle name="Normal 278 2 2 4" xfId="7265" xr:uid="{00000000-0005-0000-0000-000068910000}"/>
    <cellStyle name="Normal 278 2 2 4 2" xfId="10253" xr:uid="{00000000-0005-0000-0000-000069910000}"/>
    <cellStyle name="Normal 278 2 2 4 2 2" xfId="18046" xr:uid="{00000000-0005-0000-0000-00006A910000}"/>
    <cellStyle name="Normal 278 2 2 4 2 2 2" xfId="35683" xr:uid="{00000000-0005-0000-0000-00006B910000}"/>
    <cellStyle name="Normal 278 2 2 4 2 3" xfId="28620" xr:uid="{00000000-0005-0000-0000-00006C910000}"/>
    <cellStyle name="Normal 278 2 2 4 3" xfId="15053" xr:uid="{00000000-0005-0000-0000-00006D910000}"/>
    <cellStyle name="Normal 278 2 2 4 3 2" xfId="32688" xr:uid="{00000000-0005-0000-0000-00006E910000}"/>
    <cellStyle name="Normal 278 2 2 4 4" xfId="25757" xr:uid="{00000000-0005-0000-0000-00006F910000}"/>
    <cellStyle name="Normal 278 2 2 5" xfId="8545" xr:uid="{00000000-0005-0000-0000-000070910000}"/>
    <cellStyle name="Normal 278 2 2 5 2" xfId="16341" xr:uid="{00000000-0005-0000-0000-000071910000}"/>
    <cellStyle name="Normal 278 2 2 5 2 2" xfId="33976" xr:uid="{00000000-0005-0000-0000-000072910000}"/>
    <cellStyle name="Normal 278 2 2 5 3" xfId="26946" xr:uid="{00000000-0005-0000-0000-000073910000}"/>
    <cellStyle name="Normal 278 2 2 6" xfId="12799" xr:uid="{00000000-0005-0000-0000-000074910000}"/>
    <cellStyle name="Normal 278 2 2 6 2" xfId="30456" xr:uid="{00000000-0005-0000-0000-000075910000}"/>
    <cellStyle name="Normal 278 2 2 7" xfId="24081" xr:uid="{00000000-0005-0000-0000-000076910000}"/>
    <cellStyle name="Normal 278 3" xfId="4509" xr:uid="{00000000-0005-0000-0000-000077910000}"/>
    <cellStyle name="Normal 278 3 2" xfId="5860" xr:uid="{00000000-0005-0000-0000-000078910000}"/>
    <cellStyle name="Normal 278 3 2 2" xfId="9160" xr:uid="{00000000-0005-0000-0000-000079910000}"/>
    <cellStyle name="Normal 278 3 2 2 2" xfId="16955" xr:uid="{00000000-0005-0000-0000-00007A910000}"/>
    <cellStyle name="Normal 278 3 2 2 2 2" xfId="34591" xr:uid="{00000000-0005-0000-0000-00007B910000}"/>
    <cellStyle name="Normal 278 3 2 2 3" xfId="27548" xr:uid="{00000000-0005-0000-0000-00007C910000}"/>
    <cellStyle name="Normal 278 3 2 3" xfId="13716" xr:uid="{00000000-0005-0000-0000-00007D910000}"/>
    <cellStyle name="Normal 278 3 2 3 2" xfId="31356" xr:uid="{00000000-0005-0000-0000-00007E910000}"/>
    <cellStyle name="Normal 278 3 2 4" xfId="24683" xr:uid="{00000000-0005-0000-0000-00007F910000}"/>
    <cellStyle name="Normal 278 3 3" xfId="6490" xr:uid="{00000000-0005-0000-0000-000080910000}"/>
    <cellStyle name="Normal 278 3 3 2" xfId="9700" xr:uid="{00000000-0005-0000-0000-000081910000}"/>
    <cellStyle name="Normal 278 3 3 2 2" xfId="17494" xr:uid="{00000000-0005-0000-0000-000082910000}"/>
    <cellStyle name="Normal 278 3 3 2 2 2" xfId="35131" xr:uid="{00000000-0005-0000-0000-000083910000}"/>
    <cellStyle name="Normal 278 3 3 2 3" xfId="28084" xr:uid="{00000000-0005-0000-0000-000084910000}"/>
    <cellStyle name="Normal 278 3 3 3" xfId="14279" xr:uid="{00000000-0005-0000-0000-000085910000}"/>
    <cellStyle name="Normal 278 3 3 3 2" xfId="31914" xr:uid="{00000000-0005-0000-0000-000086910000}"/>
    <cellStyle name="Normal 278 3 3 4" xfId="25220" xr:uid="{00000000-0005-0000-0000-000087910000}"/>
    <cellStyle name="Normal 278 3 4" xfId="7266" xr:uid="{00000000-0005-0000-0000-000088910000}"/>
    <cellStyle name="Normal 278 3 4 2" xfId="10254" xr:uid="{00000000-0005-0000-0000-000089910000}"/>
    <cellStyle name="Normal 278 3 4 2 2" xfId="18047" xr:uid="{00000000-0005-0000-0000-00008A910000}"/>
    <cellStyle name="Normal 278 3 4 2 2 2" xfId="35684" xr:uid="{00000000-0005-0000-0000-00008B910000}"/>
    <cellStyle name="Normal 278 3 4 2 3" xfId="28621" xr:uid="{00000000-0005-0000-0000-00008C910000}"/>
    <cellStyle name="Normal 278 3 4 3" xfId="15054" xr:uid="{00000000-0005-0000-0000-00008D910000}"/>
    <cellStyle name="Normal 278 3 4 3 2" xfId="32689" xr:uid="{00000000-0005-0000-0000-00008E910000}"/>
    <cellStyle name="Normal 278 3 4 4" xfId="25758" xr:uid="{00000000-0005-0000-0000-00008F910000}"/>
    <cellStyle name="Normal 278 3 5" xfId="8546" xr:uid="{00000000-0005-0000-0000-000090910000}"/>
    <cellStyle name="Normal 278 3 5 2" xfId="16342" xr:uid="{00000000-0005-0000-0000-000091910000}"/>
    <cellStyle name="Normal 278 3 5 2 2" xfId="33977" xr:uid="{00000000-0005-0000-0000-000092910000}"/>
    <cellStyle name="Normal 278 3 5 3" xfId="26947" xr:uid="{00000000-0005-0000-0000-000093910000}"/>
    <cellStyle name="Normal 278 3 6" xfId="12800" xr:uid="{00000000-0005-0000-0000-000094910000}"/>
    <cellStyle name="Normal 278 3 6 2" xfId="30457" xr:uid="{00000000-0005-0000-0000-000095910000}"/>
    <cellStyle name="Normal 278 3 7" xfId="24082" xr:uid="{00000000-0005-0000-0000-000096910000}"/>
    <cellStyle name="Normal 278 4" xfId="4510" xr:uid="{00000000-0005-0000-0000-000097910000}"/>
    <cellStyle name="Normal 278 4 2" xfId="8547" xr:uid="{00000000-0005-0000-0000-000098910000}"/>
    <cellStyle name="Normal 278 4 2 2" xfId="16343" xr:uid="{00000000-0005-0000-0000-000099910000}"/>
    <cellStyle name="Normal 278 4 2 2 2" xfId="33978" xr:uid="{00000000-0005-0000-0000-00009A910000}"/>
    <cellStyle name="Normal 278 4 2 3" xfId="26948" xr:uid="{00000000-0005-0000-0000-00009B910000}"/>
    <cellStyle name="Normal 278 4 3" xfId="12801" xr:uid="{00000000-0005-0000-0000-00009C910000}"/>
    <cellStyle name="Normal 278 4 3 2" xfId="30458" xr:uid="{00000000-0005-0000-0000-00009D910000}"/>
    <cellStyle name="Normal 278 4 4" xfId="24083" xr:uid="{00000000-0005-0000-0000-00009E910000}"/>
    <cellStyle name="Normal 278 5" xfId="4506" xr:uid="{00000000-0005-0000-0000-00009F910000}"/>
    <cellStyle name="Normal 278 5 2" xfId="8544" xr:uid="{00000000-0005-0000-0000-0000A0910000}"/>
    <cellStyle name="Normal 278 5 2 2" xfId="16340" xr:uid="{00000000-0005-0000-0000-0000A1910000}"/>
    <cellStyle name="Normal 278 5 2 2 2" xfId="33975" xr:uid="{00000000-0005-0000-0000-0000A2910000}"/>
    <cellStyle name="Normal 278 5 2 3" xfId="26945" xr:uid="{00000000-0005-0000-0000-0000A3910000}"/>
    <cellStyle name="Normal 278 5 3" xfId="12798" xr:uid="{00000000-0005-0000-0000-0000A4910000}"/>
    <cellStyle name="Normal 278 5 3 2" xfId="30455" xr:uid="{00000000-0005-0000-0000-0000A5910000}"/>
    <cellStyle name="Normal 278 5 4" xfId="24080" xr:uid="{00000000-0005-0000-0000-0000A6910000}"/>
    <cellStyle name="Normal 278 6" xfId="5858" xr:uid="{00000000-0005-0000-0000-0000A7910000}"/>
    <cellStyle name="Normal 278 6 2" xfId="9158" xr:uid="{00000000-0005-0000-0000-0000A8910000}"/>
    <cellStyle name="Normal 278 6 2 2" xfId="16953" xr:uid="{00000000-0005-0000-0000-0000A9910000}"/>
    <cellStyle name="Normal 278 6 2 2 2" xfId="34589" xr:uid="{00000000-0005-0000-0000-0000AA910000}"/>
    <cellStyle name="Normal 278 6 2 3" xfId="27546" xr:uid="{00000000-0005-0000-0000-0000AB910000}"/>
    <cellStyle name="Normal 278 6 3" xfId="13714" xr:uid="{00000000-0005-0000-0000-0000AC910000}"/>
    <cellStyle name="Normal 278 6 3 2" xfId="31354" xr:uid="{00000000-0005-0000-0000-0000AD910000}"/>
    <cellStyle name="Normal 278 6 4" xfId="24681" xr:uid="{00000000-0005-0000-0000-0000AE910000}"/>
    <cellStyle name="Normal 278 7" xfId="6488" xr:uid="{00000000-0005-0000-0000-0000AF910000}"/>
    <cellStyle name="Normal 278 7 2" xfId="9698" xr:uid="{00000000-0005-0000-0000-0000B0910000}"/>
    <cellStyle name="Normal 278 7 2 2" xfId="17492" xr:uid="{00000000-0005-0000-0000-0000B1910000}"/>
    <cellStyle name="Normal 278 7 2 2 2" xfId="35129" xr:uid="{00000000-0005-0000-0000-0000B2910000}"/>
    <cellStyle name="Normal 278 7 2 3" xfId="28082" xr:uid="{00000000-0005-0000-0000-0000B3910000}"/>
    <cellStyle name="Normal 278 7 3" xfId="14277" xr:uid="{00000000-0005-0000-0000-0000B4910000}"/>
    <cellStyle name="Normal 278 7 3 2" xfId="31912" xr:uid="{00000000-0005-0000-0000-0000B5910000}"/>
    <cellStyle name="Normal 278 7 4" xfId="25218" xr:uid="{00000000-0005-0000-0000-0000B6910000}"/>
    <cellStyle name="Normal 278 8" xfId="7264" xr:uid="{00000000-0005-0000-0000-0000B7910000}"/>
    <cellStyle name="Normal 278 8 2" xfId="10252" xr:uid="{00000000-0005-0000-0000-0000B8910000}"/>
    <cellStyle name="Normal 278 8 2 2" xfId="18045" xr:uid="{00000000-0005-0000-0000-0000B9910000}"/>
    <cellStyle name="Normal 278 8 2 2 2" xfId="35682" xr:uid="{00000000-0005-0000-0000-0000BA910000}"/>
    <cellStyle name="Normal 278 8 2 3" xfId="28619" xr:uid="{00000000-0005-0000-0000-0000BB910000}"/>
    <cellStyle name="Normal 278 8 3" xfId="15052" xr:uid="{00000000-0005-0000-0000-0000BC910000}"/>
    <cellStyle name="Normal 278 8 3 2" xfId="32687" xr:uid="{00000000-0005-0000-0000-0000BD910000}"/>
    <cellStyle name="Normal 278 8 4" xfId="25756" xr:uid="{00000000-0005-0000-0000-0000BE910000}"/>
    <cellStyle name="Normal 278 9" xfId="7865" xr:uid="{00000000-0005-0000-0000-0000BF910000}"/>
    <cellStyle name="Normal 278 9 2" xfId="15662" xr:uid="{00000000-0005-0000-0000-0000C0910000}"/>
    <cellStyle name="Normal 278 9 2 2" xfId="33297" xr:uid="{00000000-0005-0000-0000-0000C1910000}"/>
    <cellStyle name="Normal 278 9 3" xfId="26281" xr:uid="{00000000-0005-0000-0000-0000C2910000}"/>
    <cellStyle name="Normal 279" xfId="2433" xr:uid="{00000000-0005-0000-0000-0000C3910000}"/>
    <cellStyle name="Normal 279 2" xfId="4511" xr:uid="{00000000-0005-0000-0000-0000C4910000}"/>
    <cellStyle name="Normal 279 2 2" xfId="8548" xr:uid="{00000000-0005-0000-0000-0000C5910000}"/>
    <cellStyle name="Normal 279 2 2 2" xfId="16344" xr:uid="{00000000-0005-0000-0000-0000C6910000}"/>
    <cellStyle name="Normal 279 2 2 2 2" xfId="33979" xr:uid="{00000000-0005-0000-0000-0000C7910000}"/>
    <cellStyle name="Normal 279 2 2 3" xfId="26949" xr:uid="{00000000-0005-0000-0000-0000C8910000}"/>
    <cellStyle name="Normal 279 2 3" xfId="12802" xr:uid="{00000000-0005-0000-0000-0000C9910000}"/>
    <cellStyle name="Normal 279 2 3 2" xfId="30459" xr:uid="{00000000-0005-0000-0000-0000CA910000}"/>
    <cellStyle name="Normal 279 2 4" xfId="24084" xr:uid="{00000000-0005-0000-0000-0000CB910000}"/>
    <cellStyle name="Normal 279 3" xfId="5861" xr:uid="{00000000-0005-0000-0000-0000CC910000}"/>
    <cellStyle name="Normal 279 3 2" xfId="9161" xr:uid="{00000000-0005-0000-0000-0000CD910000}"/>
    <cellStyle name="Normal 279 3 2 2" xfId="16956" xr:uid="{00000000-0005-0000-0000-0000CE910000}"/>
    <cellStyle name="Normal 279 3 2 2 2" xfId="34592" xr:uid="{00000000-0005-0000-0000-0000CF910000}"/>
    <cellStyle name="Normal 279 3 2 3" xfId="27549" xr:uid="{00000000-0005-0000-0000-0000D0910000}"/>
    <cellStyle name="Normal 279 3 3" xfId="13717" xr:uid="{00000000-0005-0000-0000-0000D1910000}"/>
    <cellStyle name="Normal 279 3 3 2" xfId="31357" xr:uid="{00000000-0005-0000-0000-0000D2910000}"/>
    <cellStyle name="Normal 279 3 4" xfId="24684" xr:uid="{00000000-0005-0000-0000-0000D3910000}"/>
    <cellStyle name="Normal 279 4" xfId="6491" xr:uid="{00000000-0005-0000-0000-0000D4910000}"/>
    <cellStyle name="Normal 279 4 2" xfId="9701" xr:uid="{00000000-0005-0000-0000-0000D5910000}"/>
    <cellStyle name="Normal 279 4 2 2" xfId="17495" xr:uid="{00000000-0005-0000-0000-0000D6910000}"/>
    <cellStyle name="Normal 279 4 2 2 2" xfId="35132" xr:uid="{00000000-0005-0000-0000-0000D7910000}"/>
    <cellStyle name="Normal 279 4 2 3" xfId="28085" xr:uid="{00000000-0005-0000-0000-0000D8910000}"/>
    <cellStyle name="Normal 279 4 3" xfId="14280" xr:uid="{00000000-0005-0000-0000-0000D9910000}"/>
    <cellStyle name="Normal 279 4 3 2" xfId="31915" xr:uid="{00000000-0005-0000-0000-0000DA910000}"/>
    <cellStyle name="Normal 279 4 4" xfId="25221" xr:uid="{00000000-0005-0000-0000-0000DB910000}"/>
    <cellStyle name="Normal 279 5" xfId="7267" xr:uid="{00000000-0005-0000-0000-0000DC910000}"/>
    <cellStyle name="Normal 279 5 2" xfId="10255" xr:uid="{00000000-0005-0000-0000-0000DD910000}"/>
    <cellStyle name="Normal 279 5 2 2" xfId="18048" xr:uid="{00000000-0005-0000-0000-0000DE910000}"/>
    <cellStyle name="Normal 279 5 2 2 2" xfId="35685" xr:uid="{00000000-0005-0000-0000-0000DF910000}"/>
    <cellStyle name="Normal 279 5 2 3" xfId="28622" xr:uid="{00000000-0005-0000-0000-0000E0910000}"/>
    <cellStyle name="Normal 279 5 3" xfId="15055" xr:uid="{00000000-0005-0000-0000-0000E1910000}"/>
    <cellStyle name="Normal 279 5 3 2" xfId="32690" xr:uid="{00000000-0005-0000-0000-0000E2910000}"/>
    <cellStyle name="Normal 279 5 4" xfId="25759" xr:uid="{00000000-0005-0000-0000-0000E3910000}"/>
    <cellStyle name="Normal 279 6" xfId="7866" xr:uid="{00000000-0005-0000-0000-0000E4910000}"/>
    <cellStyle name="Normal 279 6 2" xfId="15663" xr:uid="{00000000-0005-0000-0000-0000E5910000}"/>
    <cellStyle name="Normal 279 6 2 2" xfId="33298" xr:uid="{00000000-0005-0000-0000-0000E6910000}"/>
    <cellStyle name="Normal 279 6 3" xfId="26282" xr:uid="{00000000-0005-0000-0000-0000E7910000}"/>
    <cellStyle name="Normal 279 7" xfId="11794" xr:uid="{00000000-0005-0000-0000-0000E8910000}"/>
    <cellStyle name="Normal 279 7 2" xfId="29480" xr:uid="{00000000-0005-0000-0000-0000E9910000}"/>
    <cellStyle name="Normal 279 8" xfId="23417" xr:uid="{00000000-0005-0000-0000-0000EA910000}"/>
    <cellStyle name="Normal 279 9" xfId="52142" xr:uid="{00000000-0005-0000-0000-0000EB910000}"/>
    <cellStyle name="Normal 28" xfId="2434" xr:uid="{00000000-0005-0000-0000-0000EC910000}"/>
    <cellStyle name="Normal 28 2" xfId="2435" xr:uid="{00000000-0005-0000-0000-0000ED910000}"/>
    <cellStyle name="Normal 28 2 2" xfId="2436" xr:uid="{00000000-0005-0000-0000-0000EE910000}"/>
    <cellStyle name="Normal 28 2 3" xfId="22981" xr:uid="{00000000-0005-0000-0000-0000EF910000}"/>
    <cellStyle name="Normal 28 2 4" xfId="22767" xr:uid="{00000000-0005-0000-0000-0000F0910000}"/>
    <cellStyle name="Normal 28 2 4 2" xfId="38974" xr:uid="{00000000-0005-0000-0000-0000F1910000}"/>
    <cellStyle name="Normal 28 2_Sheet1" xfId="2437" xr:uid="{00000000-0005-0000-0000-0000F2910000}"/>
    <cellStyle name="Normal 28 3" xfId="2438" xr:uid="{00000000-0005-0000-0000-0000F3910000}"/>
    <cellStyle name="Normal 28 4" xfId="22980" xr:uid="{00000000-0005-0000-0000-0000F4910000}"/>
    <cellStyle name="Normal 28 5" xfId="22556" xr:uid="{00000000-0005-0000-0000-0000F5910000}"/>
    <cellStyle name="Normal 28 5 2" xfId="38869" xr:uid="{00000000-0005-0000-0000-0000F6910000}"/>
    <cellStyle name="Normal 28 6" xfId="53250" xr:uid="{00000000-0005-0000-0000-0000F7910000}"/>
    <cellStyle name="Normal 28_Sheet1" xfId="2439" xr:uid="{00000000-0005-0000-0000-0000F8910000}"/>
    <cellStyle name="Normal 280" xfId="2440" xr:uid="{00000000-0005-0000-0000-0000F9910000}"/>
    <cellStyle name="Normal 280 2" xfId="4512" xr:uid="{00000000-0005-0000-0000-0000FA910000}"/>
    <cellStyle name="Normal 280 3" xfId="52143" xr:uid="{00000000-0005-0000-0000-0000FB910000}"/>
    <cellStyle name="Normal 281" xfId="2441" xr:uid="{00000000-0005-0000-0000-0000FC910000}"/>
    <cellStyle name="Normal 281 2" xfId="4513" xr:uid="{00000000-0005-0000-0000-0000FD910000}"/>
    <cellStyle name="Normal 281 3" xfId="52144" xr:uid="{00000000-0005-0000-0000-0000FE910000}"/>
    <cellStyle name="Normal 282" xfId="2442" xr:uid="{00000000-0005-0000-0000-0000FF910000}"/>
    <cellStyle name="Normal 282 2" xfId="4514" xr:uid="{00000000-0005-0000-0000-000000920000}"/>
    <cellStyle name="Normal 282 3" xfId="52145" xr:uid="{00000000-0005-0000-0000-000001920000}"/>
    <cellStyle name="Normal 283" xfId="2443" xr:uid="{00000000-0005-0000-0000-000002920000}"/>
    <cellStyle name="Normal 283 2" xfId="4515" xr:uid="{00000000-0005-0000-0000-000003920000}"/>
    <cellStyle name="Normal 283 3" xfId="52146" xr:uid="{00000000-0005-0000-0000-000004920000}"/>
    <cellStyle name="Normal 284" xfId="2444" xr:uid="{00000000-0005-0000-0000-000005920000}"/>
    <cellStyle name="Normal 284 2" xfId="4516" xr:uid="{00000000-0005-0000-0000-000006920000}"/>
    <cellStyle name="Normal 284 3" xfId="52147" xr:uid="{00000000-0005-0000-0000-000007920000}"/>
    <cellStyle name="Normal 285" xfId="2445" xr:uid="{00000000-0005-0000-0000-000008920000}"/>
    <cellStyle name="Normal 285 2" xfId="4517" xr:uid="{00000000-0005-0000-0000-000009920000}"/>
    <cellStyle name="Normal 285 3" xfId="52148" xr:uid="{00000000-0005-0000-0000-00000A920000}"/>
    <cellStyle name="Normal 286" xfId="2446" xr:uid="{00000000-0005-0000-0000-00000B920000}"/>
    <cellStyle name="Normal 286 2" xfId="4518" xr:uid="{00000000-0005-0000-0000-00000C920000}"/>
    <cellStyle name="Normal 286 3" xfId="52149" xr:uid="{00000000-0005-0000-0000-00000D920000}"/>
    <cellStyle name="Normal 287" xfId="2447" xr:uid="{00000000-0005-0000-0000-00000E920000}"/>
    <cellStyle name="Normal 287 2" xfId="4519" xr:uid="{00000000-0005-0000-0000-00000F920000}"/>
    <cellStyle name="Normal 287 3" xfId="52150" xr:uid="{00000000-0005-0000-0000-000010920000}"/>
    <cellStyle name="Normal 288" xfId="2448" xr:uid="{00000000-0005-0000-0000-000011920000}"/>
    <cellStyle name="Normal 288 2" xfId="4520" xr:uid="{00000000-0005-0000-0000-000012920000}"/>
    <cellStyle name="Normal 288 3" xfId="52151" xr:uid="{00000000-0005-0000-0000-000013920000}"/>
    <cellStyle name="Normal 289" xfId="2449" xr:uid="{00000000-0005-0000-0000-000014920000}"/>
    <cellStyle name="Normal 289 2" xfId="4521" xr:uid="{00000000-0005-0000-0000-000015920000}"/>
    <cellStyle name="Normal 289 3" xfId="52152" xr:uid="{00000000-0005-0000-0000-000016920000}"/>
    <cellStyle name="Normal 29" xfId="2450" xr:uid="{00000000-0005-0000-0000-000017920000}"/>
    <cellStyle name="Normal 29 2" xfId="2451" xr:uid="{00000000-0005-0000-0000-000018920000}"/>
    <cellStyle name="Normal 29 2 2" xfId="2452" xr:uid="{00000000-0005-0000-0000-000019920000}"/>
    <cellStyle name="Normal 29 2 3" xfId="22983" xr:uid="{00000000-0005-0000-0000-00001A920000}"/>
    <cellStyle name="Normal 29 2 4" xfId="22768" xr:uid="{00000000-0005-0000-0000-00001B920000}"/>
    <cellStyle name="Normal 29 2 4 2" xfId="38975" xr:uid="{00000000-0005-0000-0000-00001C920000}"/>
    <cellStyle name="Normal 29 2_Sheet1" xfId="2453" xr:uid="{00000000-0005-0000-0000-00001D920000}"/>
    <cellStyle name="Normal 29 3" xfId="2454" xr:uid="{00000000-0005-0000-0000-00001E920000}"/>
    <cellStyle name="Normal 29 4" xfId="22982" xr:uid="{00000000-0005-0000-0000-00001F920000}"/>
    <cellStyle name="Normal 29 5" xfId="22557" xr:uid="{00000000-0005-0000-0000-000020920000}"/>
    <cellStyle name="Normal 29 5 2" xfId="38870" xr:uid="{00000000-0005-0000-0000-000021920000}"/>
    <cellStyle name="Normal 29 6" xfId="53251" xr:uid="{00000000-0005-0000-0000-000022920000}"/>
    <cellStyle name="Normal 29_Sheet1" xfId="2455" xr:uid="{00000000-0005-0000-0000-000023920000}"/>
    <cellStyle name="Normal 290" xfId="2456" xr:uid="{00000000-0005-0000-0000-000024920000}"/>
    <cellStyle name="Normal 290 2" xfId="4522" xr:uid="{00000000-0005-0000-0000-000025920000}"/>
    <cellStyle name="Normal 290 3" xfId="52153" xr:uid="{00000000-0005-0000-0000-000026920000}"/>
    <cellStyle name="Normal 291" xfId="2457" xr:uid="{00000000-0005-0000-0000-000027920000}"/>
    <cellStyle name="Normal 291 2" xfId="4523" xr:uid="{00000000-0005-0000-0000-000028920000}"/>
    <cellStyle name="Normal 291 3" xfId="52154" xr:uid="{00000000-0005-0000-0000-000029920000}"/>
    <cellStyle name="Normal 292" xfId="2458" xr:uid="{00000000-0005-0000-0000-00002A920000}"/>
    <cellStyle name="Normal 292 2" xfId="4524" xr:uid="{00000000-0005-0000-0000-00002B920000}"/>
    <cellStyle name="Normal 292 3" xfId="52155" xr:uid="{00000000-0005-0000-0000-00002C920000}"/>
    <cellStyle name="Normal 293" xfId="2459" xr:uid="{00000000-0005-0000-0000-00002D920000}"/>
    <cellStyle name="Normal 293 2" xfId="4525" xr:uid="{00000000-0005-0000-0000-00002E920000}"/>
    <cellStyle name="Normal 293 3" xfId="52156" xr:uid="{00000000-0005-0000-0000-00002F920000}"/>
    <cellStyle name="Normal 294" xfId="2460" xr:uid="{00000000-0005-0000-0000-000030920000}"/>
    <cellStyle name="Normal 294 2" xfId="4526" xr:uid="{00000000-0005-0000-0000-000031920000}"/>
    <cellStyle name="Normal 294 3" xfId="52157" xr:uid="{00000000-0005-0000-0000-000032920000}"/>
    <cellStyle name="Normal 295" xfId="2461" xr:uid="{00000000-0005-0000-0000-000033920000}"/>
    <cellStyle name="Normal 295 2" xfId="4527" xr:uid="{00000000-0005-0000-0000-000034920000}"/>
    <cellStyle name="Normal 295 3" xfId="52158" xr:uid="{00000000-0005-0000-0000-000035920000}"/>
    <cellStyle name="Normal 296" xfId="2462" xr:uid="{00000000-0005-0000-0000-000036920000}"/>
    <cellStyle name="Normal 296 2" xfId="4528" xr:uid="{00000000-0005-0000-0000-000037920000}"/>
    <cellStyle name="Normal 296 3" xfId="52159" xr:uid="{00000000-0005-0000-0000-000038920000}"/>
    <cellStyle name="Normal 297" xfId="2463" xr:uid="{00000000-0005-0000-0000-000039920000}"/>
    <cellStyle name="Normal 297 2" xfId="4529" xr:uid="{00000000-0005-0000-0000-00003A920000}"/>
    <cellStyle name="Normal 297 3" xfId="52160" xr:uid="{00000000-0005-0000-0000-00003B920000}"/>
    <cellStyle name="Normal 298" xfId="2464" xr:uid="{00000000-0005-0000-0000-00003C920000}"/>
    <cellStyle name="Normal 298 2" xfId="4530" xr:uid="{00000000-0005-0000-0000-00003D920000}"/>
    <cellStyle name="Normal 298 3" xfId="52161" xr:uid="{00000000-0005-0000-0000-00003E920000}"/>
    <cellStyle name="Normal 299" xfId="2465" xr:uid="{00000000-0005-0000-0000-00003F920000}"/>
    <cellStyle name="Normal 299 2" xfId="4531" xr:uid="{00000000-0005-0000-0000-000040920000}"/>
    <cellStyle name="Normal 299 3" xfId="52162" xr:uid="{00000000-0005-0000-0000-000041920000}"/>
    <cellStyle name="Normal 3" xfId="2" xr:uid="{00000000-0005-0000-0000-000042920000}"/>
    <cellStyle name="Normal 3 10" xfId="2466" xr:uid="{00000000-0005-0000-0000-000043920000}"/>
    <cellStyle name="Normal 3 10 2" xfId="4532" xr:uid="{00000000-0005-0000-0000-000044920000}"/>
    <cellStyle name="Normal 3 10 3" xfId="52163" xr:uid="{00000000-0005-0000-0000-000045920000}"/>
    <cellStyle name="Normal 3 11" xfId="2467" xr:uid="{00000000-0005-0000-0000-000046920000}"/>
    <cellStyle name="Normal 3 12" xfId="2468" xr:uid="{00000000-0005-0000-0000-000047920000}"/>
    <cellStyle name="Normal 3 12 2" xfId="4533" xr:uid="{00000000-0005-0000-0000-000048920000}"/>
    <cellStyle name="Normal 3 12 3" xfId="22984" xr:uid="{00000000-0005-0000-0000-000049920000}"/>
    <cellStyle name="Normal 3 12 4" xfId="52164" xr:uid="{00000000-0005-0000-0000-00004A920000}"/>
    <cellStyle name="Normal 3 13" xfId="2469" xr:uid="{00000000-0005-0000-0000-00004B920000}"/>
    <cellStyle name="Normal 3 13 2" xfId="22558" xr:uid="{00000000-0005-0000-0000-00004C920000}"/>
    <cellStyle name="Normal 3 13 2 2" xfId="38871" xr:uid="{00000000-0005-0000-0000-00004D920000}"/>
    <cellStyle name="Normal 3 14" xfId="2470" xr:uid="{00000000-0005-0000-0000-00004E920000}"/>
    <cellStyle name="Normal 3 15" xfId="4534" xr:uid="{00000000-0005-0000-0000-00004F920000}"/>
    <cellStyle name="Normal 3 15 2" xfId="53252" xr:uid="{00000000-0005-0000-0000-000050920000}"/>
    <cellStyle name="Normal 3 16" xfId="4535" xr:uid="{00000000-0005-0000-0000-000051920000}"/>
    <cellStyle name="Normal 3 17" xfId="187" xr:uid="{00000000-0005-0000-0000-000052920000}"/>
    <cellStyle name="Normal 3 2" xfId="120" xr:uid="{00000000-0005-0000-0000-000053920000}"/>
    <cellStyle name="Normal 3 2 2" xfId="2472" xr:uid="{00000000-0005-0000-0000-000054920000}"/>
    <cellStyle name="Normal 3 2 3" xfId="22985" xr:uid="{00000000-0005-0000-0000-000055920000}"/>
    <cellStyle name="Normal 3 2 4" xfId="22559" xr:uid="{00000000-0005-0000-0000-000056920000}"/>
    <cellStyle name="Normal 3 2 5" xfId="2471" xr:uid="{00000000-0005-0000-0000-000057920000}"/>
    <cellStyle name="Normal 3 2_Sheet1" xfId="2473" xr:uid="{00000000-0005-0000-0000-000058920000}"/>
    <cellStyle name="Normal 3 3" xfId="2474" xr:uid="{00000000-0005-0000-0000-000059920000}"/>
    <cellStyle name="Normal 3 3 2" xfId="22986" xr:uid="{00000000-0005-0000-0000-00005A920000}"/>
    <cellStyle name="Normal 3 3 3" xfId="22560" xr:uid="{00000000-0005-0000-0000-00005B920000}"/>
    <cellStyle name="Normal 3 3 4" xfId="53253" xr:uid="{00000000-0005-0000-0000-00005C920000}"/>
    <cellStyle name="Normal 3 4" xfId="2475" xr:uid="{00000000-0005-0000-0000-00005D920000}"/>
    <cellStyle name="Normal 3 4 2" xfId="2476" xr:uid="{00000000-0005-0000-0000-00005E920000}"/>
    <cellStyle name="Normal 3 4 2 2" xfId="4537" xr:uid="{00000000-0005-0000-0000-00005F920000}"/>
    <cellStyle name="Normal 3 4 2 3" xfId="22770" xr:uid="{00000000-0005-0000-0000-000060920000}"/>
    <cellStyle name="Normal 3 4 2 3 2" xfId="38977" xr:uid="{00000000-0005-0000-0000-000061920000}"/>
    <cellStyle name="Normal 3 4 2 4" xfId="52166" xr:uid="{00000000-0005-0000-0000-000062920000}"/>
    <cellStyle name="Normal 3 4 3" xfId="4536" xr:uid="{00000000-0005-0000-0000-000063920000}"/>
    <cellStyle name="Normal 3 4 4" xfId="22561" xr:uid="{00000000-0005-0000-0000-000064920000}"/>
    <cellStyle name="Normal 3 4 4 2" xfId="38872" xr:uid="{00000000-0005-0000-0000-000065920000}"/>
    <cellStyle name="Normal 3 4 5" xfId="52165" xr:uid="{00000000-0005-0000-0000-000066920000}"/>
    <cellStyle name="Normal 3 4_BallGrid" xfId="2477" xr:uid="{00000000-0005-0000-0000-000067920000}"/>
    <cellStyle name="Normal 3 5" xfId="2478" xr:uid="{00000000-0005-0000-0000-000068920000}"/>
    <cellStyle name="Normal 3 5 2" xfId="4538" xr:uid="{00000000-0005-0000-0000-000069920000}"/>
    <cellStyle name="Normal 3 5 3" xfId="52167" xr:uid="{00000000-0005-0000-0000-00006A920000}"/>
    <cellStyle name="Normal 3 6" xfId="2479" xr:uid="{00000000-0005-0000-0000-00006B920000}"/>
    <cellStyle name="Normal 3 6 2" xfId="4539" xr:uid="{00000000-0005-0000-0000-00006C920000}"/>
    <cellStyle name="Normal 3 6 3" xfId="22695" xr:uid="{00000000-0005-0000-0000-00006D920000}"/>
    <cellStyle name="Normal 3 6 3 2" xfId="38913" xr:uid="{00000000-0005-0000-0000-00006E920000}"/>
    <cellStyle name="Normal 3 6 4" xfId="52168" xr:uid="{00000000-0005-0000-0000-00006F920000}"/>
    <cellStyle name="Normal 3 7" xfId="2480" xr:uid="{00000000-0005-0000-0000-000070920000}"/>
    <cellStyle name="Normal 3 7 2" xfId="4540" xr:uid="{00000000-0005-0000-0000-000071920000}"/>
    <cellStyle name="Normal 3 7 3" xfId="22769" xr:uid="{00000000-0005-0000-0000-000072920000}"/>
    <cellStyle name="Normal 3 7 3 2" xfId="38976" xr:uid="{00000000-0005-0000-0000-000073920000}"/>
    <cellStyle name="Normal 3 7 4" xfId="52169" xr:uid="{00000000-0005-0000-0000-000074920000}"/>
    <cellStyle name="Normal 3 8" xfId="2481" xr:uid="{00000000-0005-0000-0000-000075920000}"/>
    <cellStyle name="Normal 3 8 2" xfId="4541" xr:uid="{00000000-0005-0000-0000-000076920000}"/>
    <cellStyle name="Normal 3 8 3" xfId="52170" xr:uid="{00000000-0005-0000-0000-000077920000}"/>
    <cellStyle name="Normal 3 9" xfId="2482" xr:uid="{00000000-0005-0000-0000-000078920000}"/>
    <cellStyle name="Normal 3 9 2" xfId="4542" xr:uid="{00000000-0005-0000-0000-000079920000}"/>
    <cellStyle name="Normal 3 9 3" xfId="52171" xr:uid="{00000000-0005-0000-0000-00007A920000}"/>
    <cellStyle name="Normal 3_BallGrid" xfId="2483" xr:uid="{00000000-0005-0000-0000-00007B920000}"/>
    <cellStyle name="Normal 30" xfId="2484" xr:uid="{00000000-0005-0000-0000-00007C920000}"/>
    <cellStyle name="Normal 30 2" xfId="2485" xr:uid="{00000000-0005-0000-0000-00007D920000}"/>
    <cellStyle name="Normal 30 2 10" xfId="52172" xr:uid="{00000000-0005-0000-0000-00007E920000}"/>
    <cellStyle name="Normal 30 2 2" xfId="4543" xr:uid="{00000000-0005-0000-0000-00007F920000}"/>
    <cellStyle name="Normal 30 2 2 2" xfId="8549" xr:uid="{00000000-0005-0000-0000-000080920000}"/>
    <cellStyle name="Normal 30 2 2 2 2" xfId="16345" xr:uid="{00000000-0005-0000-0000-000081920000}"/>
    <cellStyle name="Normal 30 2 2 2 2 2" xfId="33980" xr:uid="{00000000-0005-0000-0000-000082920000}"/>
    <cellStyle name="Normal 30 2 2 2 3" xfId="26950" xr:uid="{00000000-0005-0000-0000-000083920000}"/>
    <cellStyle name="Normal 30 2 2 3" xfId="12810" xr:uid="{00000000-0005-0000-0000-000084920000}"/>
    <cellStyle name="Normal 30 2 2 3 2" xfId="30466" xr:uid="{00000000-0005-0000-0000-000085920000}"/>
    <cellStyle name="Normal 30 2 2 4" xfId="24085" xr:uid="{00000000-0005-0000-0000-000086920000}"/>
    <cellStyle name="Normal 30 2 3" xfId="5862" xr:uid="{00000000-0005-0000-0000-000087920000}"/>
    <cellStyle name="Normal 30 2 3 2" xfId="9162" xr:uid="{00000000-0005-0000-0000-000088920000}"/>
    <cellStyle name="Normal 30 2 3 2 2" xfId="16957" xr:uid="{00000000-0005-0000-0000-000089920000}"/>
    <cellStyle name="Normal 30 2 3 2 2 2" xfId="34593" xr:uid="{00000000-0005-0000-0000-00008A920000}"/>
    <cellStyle name="Normal 30 2 3 2 3" xfId="27550" xr:uid="{00000000-0005-0000-0000-00008B920000}"/>
    <cellStyle name="Normal 30 2 3 3" xfId="13718" xr:uid="{00000000-0005-0000-0000-00008C920000}"/>
    <cellStyle name="Normal 30 2 3 3 2" xfId="31358" xr:uid="{00000000-0005-0000-0000-00008D920000}"/>
    <cellStyle name="Normal 30 2 3 4" xfId="24685" xr:uid="{00000000-0005-0000-0000-00008E920000}"/>
    <cellStyle name="Normal 30 2 4" xfId="6492" xr:uid="{00000000-0005-0000-0000-00008F920000}"/>
    <cellStyle name="Normal 30 2 4 2" xfId="9702" xr:uid="{00000000-0005-0000-0000-000090920000}"/>
    <cellStyle name="Normal 30 2 4 2 2" xfId="17496" xr:uid="{00000000-0005-0000-0000-000091920000}"/>
    <cellStyle name="Normal 30 2 4 2 2 2" xfId="35133" xr:uid="{00000000-0005-0000-0000-000092920000}"/>
    <cellStyle name="Normal 30 2 4 2 3" xfId="28086" xr:uid="{00000000-0005-0000-0000-000093920000}"/>
    <cellStyle name="Normal 30 2 4 3" xfId="14281" xr:uid="{00000000-0005-0000-0000-000094920000}"/>
    <cellStyle name="Normal 30 2 4 3 2" xfId="31916" xr:uid="{00000000-0005-0000-0000-000095920000}"/>
    <cellStyle name="Normal 30 2 4 4" xfId="25222" xr:uid="{00000000-0005-0000-0000-000096920000}"/>
    <cellStyle name="Normal 30 2 5" xfId="7268" xr:uid="{00000000-0005-0000-0000-000097920000}"/>
    <cellStyle name="Normal 30 2 5 2" xfId="10256" xr:uid="{00000000-0005-0000-0000-000098920000}"/>
    <cellStyle name="Normal 30 2 5 2 2" xfId="18049" xr:uid="{00000000-0005-0000-0000-000099920000}"/>
    <cellStyle name="Normal 30 2 5 2 2 2" xfId="35686" xr:uid="{00000000-0005-0000-0000-00009A920000}"/>
    <cellStyle name="Normal 30 2 5 2 3" xfId="28623" xr:uid="{00000000-0005-0000-0000-00009B920000}"/>
    <cellStyle name="Normal 30 2 5 3" xfId="15056" xr:uid="{00000000-0005-0000-0000-00009C920000}"/>
    <cellStyle name="Normal 30 2 5 3 2" xfId="32691" xr:uid="{00000000-0005-0000-0000-00009D920000}"/>
    <cellStyle name="Normal 30 2 5 4" xfId="25760" xr:uid="{00000000-0005-0000-0000-00009E920000}"/>
    <cellStyle name="Normal 30 2 6" xfId="7867" xr:uid="{00000000-0005-0000-0000-00009F920000}"/>
    <cellStyle name="Normal 30 2 6 2" xfId="15664" xr:uid="{00000000-0005-0000-0000-0000A0920000}"/>
    <cellStyle name="Normal 30 2 6 2 2" xfId="33299" xr:uid="{00000000-0005-0000-0000-0000A1920000}"/>
    <cellStyle name="Normal 30 2 6 3" xfId="26283" xr:uid="{00000000-0005-0000-0000-0000A2920000}"/>
    <cellStyle name="Normal 30 2 7" xfId="11803" xr:uid="{00000000-0005-0000-0000-0000A3920000}"/>
    <cellStyle name="Normal 30 2 7 2" xfId="29489" xr:uid="{00000000-0005-0000-0000-0000A4920000}"/>
    <cellStyle name="Normal 30 2 8" xfId="21993" xr:uid="{00000000-0005-0000-0000-0000A5920000}"/>
    <cellStyle name="Normal 30 2 8 2" xfId="38737" xr:uid="{00000000-0005-0000-0000-0000A6920000}"/>
    <cellStyle name="Normal 30 2 9" xfId="23418" xr:uid="{00000000-0005-0000-0000-0000A7920000}"/>
    <cellStyle name="Normal 30 3" xfId="2486" xr:uid="{00000000-0005-0000-0000-0000A8920000}"/>
    <cellStyle name="Normal 30 3 2" xfId="2487" xr:uid="{00000000-0005-0000-0000-0000A9920000}"/>
    <cellStyle name="Normal 30 3_Sheet1" xfId="2488" xr:uid="{00000000-0005-0000-0000-0000AA920000}"/>
    <cellStyle name="Normal 30 4" xfId="2489" xr:uid="{00000000-0005-0000-0000-0000AB920000}"/>
    <cellStyle name="Normal 30 5" xfId="22987" xr:uid="{00000000-0005-0000-0000-0000AC920000}"/>
    <cellStyle name="Normal 30 6" xfId="53254" xr:uid="{00000000-0005-0000-0000-0000AD920000}"/>
    <cellStyle name="Normal 30_Sheet1" xfId="2490" xr:uid="{00000000-0005-0000-0000-0000AE920000}"/>
    <cellStyle name="Normal 300" xfId="2491" xr:uid="{00000000-0005-0000-0000-0000AF920000}"/>
    <cellStyle name="Normal 300 2" xfId="4544" xr:uid="{00000000-0005-0000-0000-0000B0920000}"/>
    <cellStyle name="Normal 300 3" xfId="52173" xr:uid="{00000000-0005-0000-0000-0000B1920000}"/>
    <cellStyle name="Normal 301" xfId="2492" xr:uid="{00000000-0005-0000-0000-0000B2920000}"/>
    <cellStyle name="Normal 301 2" xfId="4545" xr:uid="{00000000-0005-0000-0000-0000B3920000}"/>
    <cellStyle name="Normal 301 3" xfId="52174" xr:uid="{00000000-0005-0000-0000-0000B4920000}"/>
    <cellStyle name="Normal 302" xfId="2493" xr:uid="{00000000-0005-0000-0000-0000B5920000}"/>
    <cellStyle name="Normal 302 2" xfId="4546" xr:uid="{00000000-0005-0000-0000-0000B6920000}"/>
    <cellStyle name="Normal 302 3" xfId="52175" xr:uid="{00000000-0005-0000-0000-0000B7920000}"/>
    <cellStyle name="Normal 303" xfId="2494" xr:uid="{00000000-0005-0000-0000-0000B8920000}"/>
    <cellStyle name="Normal 303 2" xfId="4547" xr:uid="{00000000-0005-0000-0000-0000B9920000}"/>
    <cellStyle name="Normal 303 3" xfId="52176" xr:uid="{00000000-0005-0000-0000-0000BA920000}"/>
    <cellStyle name="Normal 304" xfId="2495" xr:uid="{00000000-0005-0000-0000-0000BB920000}"/>
    <cellStyle name="Normal 304 2" xfId="4548" xr:uid="{00000000-0005-0000-0000-0000BC920000}"/>
    <cellStyle name="Normal 304 3" xfId="52177" xr:uid="{00000000-0005-0000-0000-0000BD920000}"/>
    <cellStyle name="Normal 305" xfId="2496" xr:uid="{00000000-0005-0000-0000-0000BE920000}"/>
    <cellStyle name="Normal 305 2" xfId="4549" xr:uid="{00000000-0005-0000-0000-0000BF920000}"/>
    <cellStyle name="Normal 305 3" xfId="52178" xr:uid="{00000000-0005-0000-0000-0000C0920000}"/>
    <cellStyle name="Normal 306" xfId="2497" xr:uid="{00000000-0005-0000-0000-0000C1920000}"/>
    <cellStyle name="Normal 306 2" xfId="4550" xr:uid="{00000000-0005-0000-0000-0000C2920000}"/>
    <cellStyle name="Normal 306 3" xfId="52179" xr:uid="{00000000-0005-0000-0000-0000C3920000}"/>
    <cellStyle name="Normal 307" xfId="2498" xr:uid="{00000000-0005-0000-0000-0000C4920000}"/>
    <cellStyle name="Normal 307 2" xfId="4551" xr:uid="{00000000-0005-0000-0000-0000C5920000}"/>
    <cellStyle name="Normal 307 3" xfId="52180" xr:uid="{00000000-0005-0000-0000-0000C6920000}"/>
    <cellStyle name="Normal 308" xfId="2499" xr:uid="{00000000-0005-0000-0000-0000C7920000}"/>
    <cellStyle name="Normal 308 2" xfId="4552" xr:uid="{00000000-0005-0000-0000-0000C8920000}"/>
    <cellStyle name="Normal 308 3" xfId="52181" xr:uid="{00000000-0005-0000-0000-0000C9920000}"/>
    <cellStyle name="Normal 309" xfId="2500" xr:uid="{00000000-0005-0000-0000-0000CA920000}"/>
    <cellStyle name="Normal 309 2" xfId="4553" xr:uid="{00000000-0005-0000-0000-0000CB920000}"/>
    <cellStyle name="Normal 309 3" xfId="52182" xr:uid="{00000000-0005-0000-0000-0000CC920000}"/>
    <cellStyle name="Normal 31" xfId="2501" xr:uid="{00000000-0005-0000-0000-0000CD920000}"/>
    <cellStyle name="Normal 31 2" xfId="2502" xr:uid="{00000000-0005-0000-0000-0000CE920000}"/>
    <cellStyle name="Normal 31 2 2" xfId="2503" xr:uid="{00000000-0005-0000-0000-0000CF920000}"/>
    <cellStyle name="Normal 31 2 3" xfId="22989" xr:uid="{00000000-0005-0000-0000-0000D0920000}"/>
    <cellStyle name="Normal 31 2 4" xfId="22771" xr:uid="{00000000-0005-0000-0000-0000D1920000}"/>
    <cellStyle name="Normal 31 2 4 2" xfId="38978" xr:uid="{00000000-0005-0000-0000-0000D2920000}"/>
    <cellStyle name="Normal 31 2_Sheet1" xfId="2504" xr:uid="{00000000-0005-0000-0000-0000D3920000}"/>
    <cellStyle name="Normal 31 3" xfId="2505" xr:uid="{00000000-0005-0000-0000-0000D4920000}"/>
    <cellStyle name="Normal 31 4" xfId="22988" xr:uid="{00000000-0005-0000-0000-0000D5920000}"/>
    <cellStyle name="Normal 31 5" xfId="22562" xr:uid="{00000000-0005-0000-0000-0000D6920000}"/>
    <cellStyle name="Normal 31 5 2" xfId="38873" xr:uid="{00000000-0005-0000-0000-0000D7920000}"/>
    <cellStyle name="Normal 31 6" xfId="53255" xr:uid="{00000000-0005-0000-0000-0000D8920000}"/>
    <cellStyle name="Normal 31_Sheet1" xfId="2506" xr:uid="{00000000-0005-0000-0000-0000D9920000}"/>
    <cellStyle name="Normal 310" xfId="2507" xr:uid="{00000000-0005-0000-0000-0000DA920000}"/>
    <cellStyle name="Normal 310 2" xfId="4554" xr:uid="{00000000-0005-0000-0000-0000DB920000}"/>
    <cellStyle name="Normal 310 3" xfId="52183" xr:uid="{00000000-0005-0000-0000-0000DC920000}"/>
    <cellStyle name="Normal 311" xfId="2508" xr:uid="{00000000-0005-0000-0000-0000DD920000}"/>
    <cellStyle name="Normal 311 2" xfId="4555" xr:uid="{00000000-0005-0000-0000-0000DE920000}"/>
    <cellStyle name="Normal 311 3" xfId="52184" xr:uid="{00000000-0005-0000-0000-0000DF920000}"/>
    <cellStyle name="Normal 312" xfId="2509" xr:uid="{00000000-0005-0000-0000-0000E0920000}"/>
    <cellStyle name="Normal 312 2" xfId="4556" xr:uid="{00000000-0005-0000-0000-0000E1920000}"/>
    <cellStyle name="Normal 312 3" xfId="52185" xr:uid="{00000000-0005-0000-0000-0000E2920000}"/>
    <cellStyle name="Normal 313" xfId="2510" xr:uid="{00000000-0005-0000-0000-0000E3920000}"/>
    <cellStyle name="Normal 313 2" xfId="4557" xr:uid="{00000000-0005-0000-0000-0000E4920000}"/>
    <cellStyle name="Normal 313 3" xfId="52186" xr:uid="{00000000-0005-0000-0000-0000E5920000}"/>
    <cellStyle name="Normal 314" xfId="2511" xr:uid="{00000000-0005-0000-0000-0000E6920000}"/>
    <cellStyle name="Normal 314 2" xfId="4558" xr:uid="{00000000-0005-0000-0000-0000E7920000}"/>
    <cellStyle name="Normal 314 3" xfId="52187" xr:uid="{00000000-0005-0000-0000-0000E8920000}"/>
    <cellStyle name="Normal 315" xfId="2512" xr:uid="{00000000-0005-0000-0000-0000E9920000}"/>
    <cellStyle name="Normal 315 2" xfId="4559" xr:uid="{00000000-0005-0000-0000-0000EA920000}"/>
    <cellStyle name="Normal 315 3" xfId="52188" xr:uid="{00000000-0005-0000-0000-0000EB920000}"/>
    <cellStyle name="Normal 316" xfId="2513" xr:uid="{00000000-0005-0000-0000-0000EC920000}"/>
    <cellStyle name="Normal 316 2" xfId="4560" xr:uid="{00000000-0005-0000-0000-0000ED920000}"/>
    <cellStyle name="Normal 316 3" xfId="52189" xr:uid="{00000000-0005-0000-0000-0000EE920000}"/>
    <cellStyle name="Normal 317" xfId="2514" xr:uid="{00000000-0005-0000-0000-0000EF920000}"/>
    <cellStyle name="Normal 317 2" xfId="4561" xr:uid="{00000000-0005-0000-0000-0000F0920000}"/>
    <cellStyle name="Normal 317 3" xfId="52190" xr:uid="{00000000-0005-0000-0000-0000F1920000}"/>
    <cellStyle name="Normal 318" xfId="2515" xr:uid="{00000000-0005-0000-0000-0000F2920000}"/>
    <cellStyle name="Normal 318 2" xfId="4562" xr:uid="{00000000-0005-0000-0000-0000F3920000}"/>
    <cellStyle name="Normal 318 3" xfId="52191" xr:uid="{00000000-0005-0000-0000-0000F4920000}"/>
    <cellStyle name="Normal 319" xfId="2516" xr:uid="{00000000-0005-0000-0000-0000F5920000}"/>
    <cellStyle name="Normal 319 2" xfId="4563" xr:uid="{00000000-0005-0000-0000-0000F6920000}"/>
    <cellStyle name="Normal 319 2 2" xfId="8550" xr:uid="{00000000-0005-0000-0000-0000F7920000}"/>
    <cellStyle name="Normal 319 2 2 2" xfId="16346" xr:uid="{00000000-0005-0000-0000-0000F8920000}"/>
    <cellStyle name="Normal 319 2 2 2 2" xfId="33981" xr:uid="{00000000-0005-0000-0000-0000F9920000}"/>
    <cellStyle name="Normal 319 2 2 3" xfId="26951" xr:uid="{00000000-0005-0000-0000-0000FA920000}"/>
    <cellStyle name="Normal 319 2 3" xfId="12814" xr:uid="{00000000-0005-0000-0000-0000FB920000}"/>
    <cellStyle name="Normal 319 2 3 2" xfId="30469" xr:uid="{00000000-0005-0000-0000-0000FC920000}"/>
    <cellStyle name="Normal 319 2 4" xfId="24086" xr:uid="{00000000-0005-0000-0000-0000FD920000}"/>
    <cellStyle name="Normal 319 3" xfId="5863" xr:uid="{00000000-0005-0000-0000-0000FE920000}"/>
    <cellStyle name="Normal 319 3 2" xfId="9163" xr:uid="{00000000-0005-0000-0000-0000FF920000}"/>
    <cellStyle name="Normal 319 3 2 2" xfId="16958" xr:uid="{00000000-0005-0000-0000-000000930000}"/>
    <cellStyle name="Normal 319 3 2 2 2" xfId="34594" xr:uid="{00000000-0005-0000-0000-000001930000}"/>
    <cellStyle name="Normal 319 3 2 3" xfId="27551" xr:uid="{00000000-0005-0000-0000-000002930000}"/>
    <cellStyle name="Normal 319 3 3" xfId="13719" xr:uid="{00000000-0005-0000-0000-000003930000}"/>
    <cellStyle name="Normal 319 3 3 2" xfId="31359" xr:uid="{00000000-0005-0000-0000-000004930000}"/>
    <cellStyle name="Normal 319 3 4" xfId="24686" xr:uid="{00000000-0005-0000-0000-000005930000}"/>
    <cellStyle name="Normal 319 4" xfId="6493" xr:uid="{00000000-0005-0000-0000-000006930000}"/>
    <cellStyle name="Normal 319 4 2" xfId="9703" xr:uid="{00000000-0005-0000-0000-000007930000}"/>
    <cellStyle name="Normal 319 4 2 2" xfId="17497" xr:uid="{00000000-0005-0000-0000-000008930000}"/>
    <cellStyle name="Normal 319 4 2 2 2" xfId="35134" xr:uid="{00000000-0005-0000-0000-000009930000}"/>
    <cellStyle name="Normal 319 4 2 3" xfId="28087" xr:uid="{00000000-0005-0000-0000-00000A930000}"/>
    <cellStyle name="Normal 319 4 3" xfId="14282" xr:uid="{00000000-0005-0000-0000-00000B930000}"/>
    <cellStyle name="Normal 319 4 3 2" xfId="31917" xr:uid="{00000000-0005-0000-0000-00000C930000}"/>
    <cellStyle name="Normal 319 4 4" xfId="25223" xr:uid="{00000000-0005-0000-0000-00000D930000}"/>
    <cellStyle name="Normal 319 5" xfId="7269" xr:uid="{00000000-0005-0000-0000-00000E930000}"/>
    <cellStyle name="Normal 319 5 2" xfId="10257" xr:uid="{00000000-0005-0000-0000-00000F930000}"/>
    <cellStyle name="Normal 319 5 2 2" xfId="18050" xr:uid="{00000000-0005-0000-0000-000010930000}"/>
    <cellStyle name="Normal 319 5 2 2 2" xfId="35687" xr:uid="{00000000-0005-0000-0000-000011930000}"/>
    <cellStyle name="Normal 319 5 2 3" xfId="28624" xr:uid="{00000000-0005-0000-0000-000012930000}"/>
    <cellStyle name="Normal 319 5 3" xfId="15057" xr:uid="{00000000-0005-0000-0000-000013930000}"/>
    <cellStyle name="Normal 319 5 3 2" xfId="32692" xr:uid="{00000000-0005-0000-0000-000014930000}"/>
    <cellStyle name="Normal 319 5 4" xfId="25761" xr:uid="{00000000-0005-0000-0000-000015930000}"/>
    <cellStyle name="Normal 319 6" xfId="7868" xr:uid="{00000000-0005-0000-0000-000016930000}"/>
    <cellStyle name="Normal 319 6 2" xfId="15665" xr:uid="{00000000-0005-0000-0000-000017930000}"/>
    <cellStyle name="Normal 319 6 2 2" xfId="33300" xr:uid="{00000000-0005-0000-0000-000018930000}"/>
    <cellStyle name="Normal 319 6 3" xfId="26284" xr:uid="{00000000-0005-0000-0000-000019930000}"/>
    <cellStyle name="Normal 319 7" xfId="11808" xr:uid="{00000000-0005-0000-0000-00001A930000}"/>
    <cellStyle name="Normal 319 7 2" xfId="29494" xr:uid="{00000000-0005-0000-0000-00001B930000}"/>
    <cellStyle name="Normal 319 8" xfId="23419" xr:uid="{00000000-0005-0000-0000-00001C930000}"/>
    <cellStyle name="Normal 319 9" xfId="52192" xr:uid="{00000000-0005-0000-0000-00001D930000}"/>
    <cellStyle name="Normal 32" xfId="2517" xr:uid="{00000000-0005-0000-0000-00001E930000}"/>
    <cellStyle name="Normal 32 2" xfId="2518" xr:uid="{00000000-0005-0000-0000-00001F930000}"/>
    <cellStyle name="Normal 32 2 2" xfId="2519" xr:uid="{00000000-0005-0000-0000-000020930000}"/>
    <cellStyle name="Normal 32 2 3" xfId="22991" xr:uid="{00000000-0005-0000-0000-000021930000}"/>
    <cellStyle name="Normal 32 2 4" xfId="22772" xr:uid="{00000000-0005-0000-0000-000022930000}"/>
    <cellStyle name="Normal 32 2 4 2" xfId="38979" xr:uid="{00000000-0005-0000-0000-000023930000}"/>
    <cellStyle name="Normal 32 2_Sheet1" xfId="2520" xr:uid="{00000000-0005-0000-0000-000024930000}"/>
    <cellStyle name="Normal 32 3" xfId="2521" xr:uid="{00000000-0005-0000-0000-000025930000}"/>
    <cellStyle name="Normal 32 4" xfId="22990" xr:uid="{00000000-0005-0000-0000-000026930000}"/>
    <cellStyle name="Normal 32 5" xfId="22563" xr:uid="{00000000-0005-0000-0000-000027930000}"/>
    <cellStyle name="Normal 32 5 2" xfId="38874" xr:uid="{00000000-0005-0000-0000-000028930000}"/>
    <cellStyle name="Normal 32 6" xfId="53256" xr:uid="{00000000-0005-0000-0000-000029930000}"/>
    <cellStyle name="Normal 32_Sheet1" xfId="2522" xr:uid="{00000000-0005-0000-0000-00002A930000}"/>
    <cellStyle name="Normal 320" xfId="2523" xr:uid="{00000000-0005-0000-0000-00002B930000}"/>
    <cellStyle name="Normal 320 2" xfId="4564" xr:uid="{00000000-0005-0000-0000-00002C930000}"/>
    <cellStyle name="Normal 320 2 2" xfId="8551" xr:uid="{00000000-0005-0000-0000-00002D930000}"/>
    <cellStyle name="Normal 320 2 2 2" xfId="16347" xr:uid="{00000000-0005-0000-0000-00002E930000}"/>
    <cellStyle name="Normal 320 2 2 2 2" xfId="33982" xr:uid="{00000000-0005-0000-0000-00002F930000}"/>
    <cellStyle name="Normal 320 2 2 3" xfId="26952" xr:uid="{00000000-0005-0000-0000-000030930000}"/>
    <cellStyle name="Normal 320 2 3" xfId="12815" xr:uid="{00000000-0005-0000-0000-000031930000}"/>
    <cellStyle name="Normal 320 2 3 2" xfId="30470" xr:uid="{00000000-0005-0000-0000-000032930000}"/>
    <cellStyle name="Normal 320 2 4" xfId="24087" xr:uid="{00000000-0005-0000-0000-000033930000}"/>
    <cellStyle name="Normal 320 3" xfId="5864" xr:uid="{00000000-0005-0000-0000-000034930000}"/>
    <cellStyle name="Normal 320 3 2" xfId="9164" xr:uid="{00000000-0005-0000-0000-000035930000}"/>
    <cellStyle name="Normal 320 3 2 2" xfId="16959" xr:uid="{00000000-0005-0000-0000-000036930000}"/>
    <cellStyle name="Normal 320 3 2 2 2" xfId="34595" xr:uid="{00000000-0005-0000-0000-000037930000}"/>
    <cellStyle name="Normal 320 3 2 3" xfId="27552" xr:uid="{00000000-0005-0000-0000-000038930000}"/>
    <cellStyle name="Normal 320 3 3" xfId="13720" xr:uid="{00000000-0005-0000-0000-000039930000}"/>
    <cellStyle name="Normal 320 3 3 2" xfId="31360" xr:uid="{00000000-0005-0000-0000-00003A930000}"/>
    <cellStyle name="Normal 320 3 4" xfId="24687" xr:uid="{00000000-0005-0000-0000-00003B930000}"/>
    <cellStyle name="Normal 320 4" xfId="6494" xr:uid="{00000000-0005-0000-0000-00003C930000}"/>
    <cellStyle name="Normal 320 4 2" xfId="9704" xr:uid="{00000000-0005-0000-0000-00003D930000}"/>
    <cellStyle name="Normal 320 4 2 2" xfId="17498" xr:uid="{00000000-0005-0000-0000-00003E930000}"/>
    <cellStyle name="Normal 320 4 2 2 2" xfId="35135" xr:uid="{00000000-0005-0000-0000-00003F930000}"/>
    <cellStyle name="Normal 320 4 2 3" xfId="28088" xr:uid="{00000000-0005-0000-0000-000040930000}"/>
    <cellStyle name="Normal 320 4 3" xfId="14283" xr:uid="{00000000-0005-0000-0000-000041930000}"/>
    <cellStyle name="Normal 320 4 3 2" xfId="31918" xr:uid="{00000000-0005-0000-0000-000042930000}"/>
    <cellStyle name="Normal 320 4 4" xfId="25224" xr:uid="{00000000-0005-0000-0000-000043930000}"/>
    <cellStyle name="Normal 320 5" xfId="7270" xr:uid="{00000000-0005-0000-0000-000044930000}"/>
    <cellStyle name="Normal 320 5 2" xfId="10258" xr:uid="{00000000-0005-0000-0000-000045930000}"/>
    <cellStyle name="Normal 320 5 2 2" xfId="18051" xr:uid="{00000000-0005-0000-0000-000046930000}"/>
    <cellStyle name="Normal 320 5 2 2 2" xfId="35688" xr:uid="{00000000-0005-0000-0000-000047930000}"/>
    <cellStyle name="Normal 320 5 2 3" xfId="28625" xr:uid="{00000000-0005-0000-0000-000048930000}"/>
    <cellStyle name="Normal 320 5 3" xfId="15058" xr:uid="{00000000-0005-0000-0000-000049930000}"/>
    <cellStyle name="Normal 320 5 3 2" xfId="32693" xr:uid="{00000000-0005-0000-0000-00004A930000}"/>
    <cellStyle name="Normal 320 5 4" xfId="25762" xr:uid="{00000000-0005-0000-0000-00004B930000}"/>
    <cellStyle name="Normal 320 6" xfId="7869" xr:uid="{00000000-0005-0000-0000-00004C930000}"/>
    <cellStyle name="Normal 320 6 2" xfId="15666" xr:uid="{00000000-0005-0000-0000-00004D930000}"/>
    <cellStyle name="Normal 320 6 2 2" xfId="33301" xr:uid="{00000000-0005-0000-0000-00004E930000}"/>
    <cellStyle name="Normal 320 6 3" xfId="26285" xr:uid="{00000000-0005-0000-0000-00004F930000}"/>
    <cellStyle name="Normal 320 7" xfId="11810" xr:uid="{00000000-0005-0000-0000-000050930000}"/>
    <cellStyle name="Normal 320 7 2" xfId="29496" xr:uid="{00000000-0005-0000-0000-000051930000}"/>
    <cellStyle name="Normal 320 8" xfId="23420" xr:uid="{00000000-0005-0000-0000-000052930000}"/>
    <cellStyle name="Normal 320 9" xfId="52193" xr:uid="{00000000-0005-0000-0000-000053930000}"/>
    <cellStyle name="Normal 321" xfId="2524" xr:uid="{00000000-0005-0000-0000-000054930000}"/>
    <cellStyle name="Normal 321 2" xfId="4565" xr:uid="{00000000-0005-0000-0000-000055930000}"/>
    <cellStyle name="Normal 321 2 2" xfId="8552" xr:uid="{00000000-0005-0000-0000-000056930000}"/>
    <cellStyle name="Normal 321 2 2 2" xfId="16348" xr:uid="{00000000-0005-0000-0000-000057930000}"/>
    <cellStyle name="Normal 321 2 2 2 2" xfId="33983" xr:uid="{00000000-0005-0000-0000-000058930000}"/>
    <cellStyle name="Normal 321 2 2 3" xfId="26953" xr:uid="{00000000-0005-0000-0000-000059930000}"/>
    <cellStyle name="Normal 321 2 3" xfId="12816" xr:uid="{00000000-0005-0000-0000-00005A930000}"/>
    <cellStyle name="Normal 321 2 3 2" xfId="30471" xr:uid="{00000000-0005-0000-0000-00005B930000}"/>
    <cellStyle name="Normal 321 2 4" xfId="24088" xr:uid="{00000000-0005-0000-0000-00005C930000}"/>
    <cellStyle name="Normal 321 3" xfId="5865" xr:uid="{00000000-0005-0000-0000-00005D930000}"/>
    <cellStyle name="Normal 321 3 2" xfId="9165" xr:uid="{00000000-0005-0000-0000-00005E930000}"/>
    <cellStyle name="Normal 321 3 2 2" xfId="16960" xr:uid="{00000000-0005-0000-0000-00005F930000}"/>
    <cellStyle name="Normal 321 3 2 2 2" xfId="34596" xr:uid="{00000000-0005-0000-0000-000060930000}"/>
    <cellStyle name="Normal 321 3 2 3" xfId="27553" xr:uid="{00000000-0005-0000-0000-000061930000}"/>
    <cellStyle name="Normal 321 3 3" xfId="13721" xr:uid="{00000000-0005-0000-0000-000062930000}"/>
    <cellStyle name="Normal 321 3 3 2" xfId="31361" xr:uid="{00000000-0005-0000-0000-000063930000}"/>
    <cellStyle name="Normal 321 3 4" xfId="24688" xr:uid="{00000000-0005-0000-0000-000064930000}"/>
    <cellStyle name="Normal 321 4" xfId="6495" xr:uid="{00000000-0005-0000-0000-000065930000}"/>
    <cellStyle name="Normal 321 4 2" xfId="9705" xr:uid="{00000000-0005-0000-0000-000066930000}"/>
    <cellStyle name="Normal 321 4 2 2" xfId="17499" xr:uid="{00000000-0005-0000-0000-000067930000}"/>
    <cellStyle name="Normal 321 4 2 2 2" xfId="35136" xr:uid="{00000000-0005-0000-0000-000068930000}"/>
    <cellStyle name="Normal 321 4 2 3" xfId="28089" xr:uid="{00000000-0005-0000-0000-000069930000}"/>
    <cellStyle name="Normal 321 4 3" xfId="14284" xr:uid="{00000000-0005-0000-0000-00006A930000}"/>
    <cellStyle name="Normal 321 4 3 2" xfId="31919" xr:uid="{00000000-0005-0000-0000-00006B930000}"/>
    <cellStyle name="Normal 321 4 4" xfId="25225" xr:uid="{00000000-0005-0000-0000-00006C930000}"/>
    <cellStyle name="Normal 321 5" xfId="7271" xr:uid="{00000000-0005-0000-0000-00006D930000}"/>
    <cellStyle name="Normal 321 5 2" xfId="10259" xr:uid="{00000000-0005-0000-0000-00006E930000}"/>
    <cellStyle name="Normal 321 5 2 2" xfId="18052" xr:uid="{00000000-0005-0000-0000-00006F930000}"/>
    <cellStyle name="Normal 321 5 2 2 2" xfId="35689" xr:uid="{00000000-0005-0000-0000-000070930000}"/>
    <cellStyle name="Normal 321 5 2 3" xfId="28626" xr:uid="{00000000-0005-0000-0000-000071930000}"/>
    <cellStyle name="Normal 321 5 3" xfId="15059" xr:uid="{00000000-0005-0000-0000-000072930000}"/>
    <cellStyle name="Normal 321 5 3 2" xfId="32694" xr:uid="{00000000-0005-0000-0000-000073930000}"/>
    <cellStyle name="Normal 321 5 4" xfId="25763" xr:uid="{00000000-0005-0000-0000-000074930000}"/>
    <cellStyle name="Normal 321 6" xfId="7870" xr:uid="{00000000-0005-0000-0000-000075930000}"/>
    <cellStyle name="Normal 321 6 2" xfId="15667" xr:uid="{00000000-0005-0000-0000-000076930000}"/>
    <cellStyle name="Normal 321 6 2 2" xfId="33302" xr:uid="{00000000-0005-0000-0000-000077930000}"/>
    <cellStyle name="Normal 321 6 3" xfId="26286" xr:uid="{00000000-0005-0000-0000-000078930000}"/>
    <cellStyle name="Normal 321 7" xfId="11811" xr:uid="{00000000-0005-0000-0000-000079930000}"/>
    <cellStyle name="Normal 321 7 2" xfId="29497" xr:uid="{00000000-0005-0000-0000-00007A930000}"/>
    <cellStyle name="Normal 321 8" xfId="23421" xr:uid="{00000000-0005-0000-0000-00007B930000}"/>
    <cellStyle name="Normal 321 9" xfId="52194" xr:uid="{00000000-0005-0000-0000-00007C930000}"/>
    <cellStyle name="Normal 322" xfId="2525" xr:uid="{00000000-0005-0000-0000-00007D930000}"/>
    <cellStyle name="Normal 322 2" xfId="4566" xr:uid="{00000000-0005-0000-0000-00007E930000}"/>
    <cellStyle name="Normal 322 2 2" xfId="8553" xr:uid="{00000000-0005-0000-0000-00007F930000}"/>
    <cellStyle name="Normal 322 2 2 2" xfId="16349" xr:uid="{00000000-0005-0000-0000-000080930000}"/>
    <cellStyle name="Normal 322 2 2 2 2" xfId="33984" xr:uid="{00000000-0005-0000-0000-000081930000}"/>
    <cellStyle name="Normal 322 2 2 3" xfId="26954" xr:uid="{00000000-0005-0000-0000-000082930000}"/>
    <cellStyle name="Normal 322 2 3" xfId="12817" xr:uid="{00000000-0005-0000-0000-000083930000}"/>
    <cellStyle name="Normal 322 2 3 2" xfId="30472" xr:uid="{00000000-0005-0000-0000-000084930000}"/>
    <cellStyle name="Normal 322 2 4" xfId="24089" xr:uid="{00000000-0005-0000-0000-000085930000}"/>
    <cellStyle name="Normal 322 3" xfId="5866" xr:uid="{00000000-0005-0000-0000-000086930000}"/>
    <cellStyle name="Normal 322 3 2" xfId="9166" xr:uid="{00000000-0005-0000-0000-000087930000}"/>
    <cellStyle name="Normal 322 3 2 2" xfId="16961" xr:uid="{00000000-0005-0000-0000-000088930000}"/>
    <cellStyle name="Normal 322 3 2 2 2" xfId="34597" xr:uid="{00000000-0005-0000-0000-000089930000}"/>
    <cellStyle name="Normal 322 3 2 3" xfId="27554" xr:uid="{00000000-0005-0000-0000-00008A930000}"/>
    <cellStyle name="Normal 322 3 3" xfId="13722" xr:uid="{00000000-0005-0000-0000-00008B930000}"/>
    <cellStyle name="Normal 322 3 3 2" xfId="31362" xr:uid="{00000000-0005-0000-0000-00008C930000}"/>
    <cellStyle name="Normal 322 3 4" xfId="24689" xr:uid="{00000000-0005-0000-0000-00008D930000}"/>
    <cellStyle name="Normal 322 4" xfId="6496" xr:uid="{00000000-0005-0000-0000-00008E930000}"/>
    <cellStyle name="Normal 322 4 2" xfId="9706" xr:uid="{00000000-0005-0000-0000-00008F930000}"/>
    <cellStyle name="Normal 322 4 2 2" xfId="17500" xr:uid="{00000000-0005-0000-0000-000090930000}"/>
    <cellStyle name="Normal 322 4 2 2 2" xfId="35137" xr:uid="{00000000-0005-0000-0000-000091930000}"/>
    <cellStyle name="Normal 322 4 2 3" xfId="28090" xr:uid="{00000000-0005-0000-0000-000092930000}"/>
    <cellStyle name="Normal 322 4 3" xfId="14285" xr:uid="{00000000-0005-0000-0000-000093930000}"/>
    <cellStyle name="Normal 322 4 3 2" xfId="31920" xr:uid="{00000000-0005-0000-0000-000094930000}"/>
    <cellStyle name="Normal 322 4 4" xfId="25226" xr:uid="{00000000-0005-0000-0000-000095930000}"/>
    <cellStyle name="Normal 322 5" xfId="7272" xr:uid="{00000000-0005-0000-0000-000096930000}"/>
    <cellStyle name="Normal 322 5 2" xfId="10260" xr:uid="{00000000-0005-0000-0000-000097930000}"/>
    <cellStyle name="Normal 322 5 2 2" xfId="18053" xr:uid="{00000000-0005-0000-0000-000098930000}"/>
    <cellStyle name="Normal 322 5 2 2 2" xfId="35690" xr:uid="{00000000-0005-0000-0000-000099930000}"/>
    <cellStyle name="Normal 322 5 2 3" xfId="28627" xr:uid="{00000000-0005-0000-0000-00009A930000}"/>
    <cellStyle name="Normal 322 5 3" xfId="15060" xr:uid="{00000000-0005-0000-0000-00009B930000}"/>
    <cellStyle name="Normal 322 5 3 2" xfId="32695" xr:uid="{00000000-0005-0000-0000-00009C930000}"/>
    <cellStyle name="Normal 322 5 4" xfId="25764" xr:uid="{00000000-0005-0000-0000-00009D930000}"/>
    <cellStyle name="Normal 322 6" xfId="7871" xr:uid="{00000000-0005-0000-0000-00009E930000}"/>
    <cellStyle name="Normal 322 6 2" xfId="15668" xr:uid="{00000000-0005-0000-0000-00009F930000}"/>
    <cellStyle name="Normal 322 6 2 2" xfId="33303" xr:uid="{00000000-0005-0000-0000-0000A0930000}"/>
    <cellStyle name="Normal 322 6 3" xfId="26287" xr:uid="{00000000-0005-0000-0000-0000A1930000}"/>
    <cellStyle name="Normal 322 7" xfId="11812" xr:uid="{00000000-0005-0000-0000-0000A2930000}"/>
    <cellStyle name="Normal 322 7 2" xfId="29498" xr:uid="{00000000-0005-0000-0000-0000A3930000}"/>
    <cellStyle name="Normal 322 8" xfId="23422" xr:uid="{00000000-0005-0000-0000-0000A4930000}"/>
    <cellStyle name="Normal 322 9" xfId="52195" xr:uid="{00000000-0005-0000-0000-0000A5930000}"/>
    <cellStyle name="Normal 323" xfId="2526" xr:uid="{00000000-0005-0000-0000-0000A6930000}"/>
    <cellStyle name="Normal 323 2" xfId="4567" xr:uid="{00000000-0005-0000-0000-0000A7930000}"/>
    <cellStyle name="Normal 323 2 2" xfId="8554" xr:uid="{00000000-0005-0000-0000-0000A8930000}"/>
    <cellStyle name="Normal 323 2 2 2" xfId="16350" xr:uid="{00000000-0005-0000-0000-0000A9930000}"/>
    <cellStyle name="Normal 323 2 2 2 2" xfId="33985" xr:uid="{00000000-0005-0000-0000-0000AA930000}"/>
    <cellStyle name="Normal 323 2 2 3" xfId="26955" xr:uid="{00000000-0005-0000-0000-0000AB930000}"/>
    <cellStyle name="Normal 323 2 3" xfId="12818" xr:uid="{00000000-0005-0000-0000-0000AC930000}"/>
    <cellStyle name="Normal 323 2 3 2" xfId="30473" xr:uid="{00000000-0005-0000-0000-0000AD930000}"/>
    <cellStyle name="Normal 323 2 4" xfId="24090" xr:uid="{00000000-0005-0000-0000-0000AE930000}"/>
    <cellStyle name="Normal 323 3" xfId="5867" xr:uid="{00000000-0005-0000-0000-0000AF930000}"/>
    <cellStyle name="Normal 323 3 2" xfId="9167" xr:uid="{00000000-0005-0000-0000-0000B0930000}"/>
    <cellStyle name="Normal 323 3 2 2" xfId="16962" xr:uid="{00000000-0005-0000-0000-0000B1930000}"/>
    <cellStyle name="Normal 323 3 2 2 2" xfId="34598" xr:uid="{00000000-0005-0000-0000-0000B2930000}"/>
    <cellStyle name="Normal 323 3 2 3" xfId="27555" xr:uid="{00000000-0005-0000-0000-0000B3930000}"/>
    <cellStyle name="Normal 323 3 3" xfId="13723" xr:uid="{00000000-0005-0000-0000-0000B4930000}"/>
    <cellStyle name="Normal 323 3 3 2" xfId="31363" xr:uid="{00000000-0005-0000-0000-0000B5930000}"/>
    <cellStyle name="Normal 323 3 4" xfId="24690" xr:uid="{00000000-0005-0000-0000-0000B6930000}"/>
    <cellStyle name="Normal 323 4" xfId="6497" xr:uid="{00000000-0005-0000-0000-0000B7930000}"/>
    <cellStyle name="Normal 323 4 2" xfId="9707" xr:uid="{00000000-0005-0000-0000-0000B8930000}"/>
    <cellStyle name="Normal 323 4 2 2" xfId="17501" xr:uid="{00000000-0005-0000-0000-0000B9930000}"/>
    <cellStyle name="Normal 323 4 2 2 2" xfId="35138" xr:uid="{00000000-0005-0000-0000-0000BA930000}"/>
    <cellStyle name="Normal 323 4 2 3" xfId="28091" xr:uid="{00000000-0005-0000-0000-0000BB930000}"/>
    <cellStyle name="Normal 323 4 3" xfId="14286" xr:uid="{00000000-0005-0000-0000-0000BC930000}"/>
    <cellStyle name="Normal 323 4 3 2" xfId="31921" xr:uid="{00000000-0005-0000-0000-0000BD930000}"/>
    <cellStyle name="Normal 323 4 4" xfId="25227" xr:uid="{00000000-0005-0000-0000-0000BE930000}"/>
    <cellStyle name="Normal 323 5" xfId="7273" xr:uid="{00000000-0005-0000-0000-0000BF930000}"/>
    <cellStyle name="Normal 323 5 2" xfId="10261" xr:uid="{00000000-0005-0000-0000-0000C0930000}"/>
    <cellStyle name="Normal 323 5 2 2" xfId="18054" xr:uid="{00000000-0005-0000-0000-0000C1930000}"/>
    <cellStyle name="Normal 323 5 2 2 2" xfId="35691" xr:uid="{00000000-0005-0000-0000-0000C2930000}"/>
    <cellStyle name="Normal 323 5 2 3" xfId="28628" xr:uid="{00000000-0005-0000-0000-0000C3930000}"/>
    <cellStyle name="Normal 323 5 3" xfId="15061" xr:uid="{00000000-0005-0000-0000-0000C4930000}"/>
    <cellStyle name="Normal 323 5 3 2" xfId="32696" xr:uid="{00000000-0005-0000-0000-0000C5930000}"/>
    <cellStyle name="Normal 323 5 4" xfId="25765" xr:uid="{00000000-0005-0000-0000-0000C6930000}"/>
    <cellStyle name="Normal 323 6" xfId="7872" xr:uid="{00000000-0005-0000-0000-0000C7930000}"/>
    <cellStyle name="Normal 323 6 2" xfId="15669" xr:uid="{00000000-0005-0000-0000-0000C8930000}"/>
    <cellStyle name="Normal 323 6 2 2" xfId="33304" xr:uid="{00000000-0005-0000-0000-0000C9930000}"/>
    <cellStyle name="Normal 323 6 3" xfId="26288" xr:uid="{00000000-0005-0000-0000-0000CA930000}"/>
    <cellStyle name="Normal 323 7" xfId="11813" xr:uid="{00000000-0005-0000-0000-0000CB930000}"/>
    <cellStyle name="Normal 323 7 2" xfId="29499" xr:uid="{00000000-0005-0000-0000-0000CC930000}"/>
    <cellStyle name="Normal 323 8" xfId="23423" xr:uid="{00000000-0005-0000-0000-0000CD930000}"/>
    <cellStyle name="Normal 323 9" xfId="52196" xr:uid="{00000000-0005-0000-0000-0000CE930000}"/>
    <cellStyle name="Normal 324" xfId="2527" xr:uid="{00000000-0005-0000-0000-0000CF930000}"/>
    <cellStyle name="Normal 324 2" xfId="4568" xr:uid="{00000000-0005-0000-0000-0000D0930000}"/>
    <cellStyle name="Normal 324 2 2" xfId="8555" xr:uid="{00000000-0005-0000-0000-0000D1930000}"/>
    <cellStyle name="Normal 324 2 2 2" xfId="16351" xr:uid="{00000000-0005-0000-0000-0000D2930000}"/>
    <cellStyle name="Normal 324 2 2 2 2" xfId="33986" xr:uid="{00000000-0005-0000-0000-0000D3930000}"/>
    <cellStyle name="Normal 324 2 2 3" xfId="26956" xr:uid="{00000000-0005-0000-0000-0000D4930000}"/>
    <cellStyle name="Normal 324 2 3" xfId="12819" xr:uid="{00000000-0005-0000-0000-0000D5930000}"/>
    <cellStyle name="Normal 324 2 3 2" xfId="30474" xr:uid="{00000000-0005-0000-0000-0000D6930000}"/>
    <cellStyle name="Normal 324 2 4" xfId="24091" xr:uid="{00000000-0005-0000-0000-0000D7930000}"/>
    <cellStyle name="Normal 324 3" xfId="5868" xr:uid="{00000000-0005-0000-0000-0000D8930000}"/>
    <cellStyle name="Normal 324 3 2" xfId="9168" xr:uid="{00000000-0005-0000-0000-0000D9930000}"/>
    <cellStyle name="Normal 324 3 2 2" xfId="16963" xr:uid="{00000000-0005-0000-0000-0000DA930000}"/>
    <cellStyle name="Normal 324 3 2 2 2" xfId="34599" xr:uid="{00000000-0005-0000-0000-0000DB930000}"/>
    <cellStyle name="Normal 324 3 2 3" xfId="27556" xr:uid="{00000000-0005-0000-0000-0000DC930000}"/>
    <cellStyle name="Normal 324 3 3" xfId="13724" xr:uid="{00000000-0005-0000-0000-0000DD930000}"/>
    <cellStyle name="Normal 324 3 3 2" xfId="31364" xr:uid="{00000000-0005-0000-0000-0000DE930000}"/>
    <cellStyle name="Normal 324 3 4" xfId="24691" xr:uid="{00000000-0005-0000-0000-0000DF930000}"/>
    <cellStyle name="Normal 324 4" xfId="6498" xr:uid="{00000000-0005-0000-0000-0000E0930000}"/>
    <cellStyle name="Normal 324 4 2" xfId="9708" xr:uid="{00000000-0005-0000-0000-0000E1930000}"/>
    <cellStyle name="Normal 324 4 2 2" xfId="17502" xr:uid="{00000000-0005-0000-0000-0000E2930000}"/>
    <cellStyle name="Normal 324 4 2 2 2" xfId="35139" xr:uid="{00000000-0005-0000-0000-0000E3930000}"/>
    <cellStyle name="Normal 324 4 2 3" xfId="28092" xr:uid="{00000000-0005-0000-0000-0000E4930000}"/>
    <cellStyle name="Normal 324 4 3" xfId="14287" xr:uid="{00000000-0005-0000-0000-0000E5930000}"/>
    <cellStyle name="Normal 324 4 3 2" xfId="31922" xr:uid="{00000000-0005-0000-0000-0000E6930000}"/>
    <cellStyle name="Normal 324 4 4" xfId="25228" xr:uid="{00000000-0005-0000-0000-0000E7930000}"/>
    <cellStyle name="Normal 324 5" xfId="7274" xr:uid="{00000000-0005-0000-0000-0000E8930000}"/>
    <cellStyle name="Normal 324 5 2" xfId="10262" xr:uid="{00000000-0005-0000-0000-0000E9930000}"/>
    <cellStyle name="Normal 324 5 2 2" xfId="18055" xr:uid="{00000000-0005-0000-0000-0000EA930000}"/>
    <cellStyle name="Normal 324 5 2 2 2" xfId="35692" xr:uid="{00000000-0005-0000-0000-0000EB930000}"/>
    <cellStyle name="Normal 324 5 2 3" xfId="28629" xr:uid="{00000000-0005-0000-0000-0000EC930000}"/>
    <cellStyle name="Normal 324 5 3" xfId="15062" xr:uid="{00000000-0005-0000-0000-0000ED930000}"/>
    <cellStyle name="Normal 324 5 3 2" xfId="32697" xr:uid="{00000000-0005-0000-0000-0000EE930000}"/>
    <cellStyle name="Normal 324 5 4" xfId="25766" xr:uid="{00000000-0005-0000-0000-0000EF930000}"/>
    <cellStyle name="Normal 324 6" xfId="7873" xr:uid="{00000000-0005-0000-0000-0000F0930000}"/>
    <cellStyle name="Normal 324 6 2" xfId="15670" xr:uid="{00000000-0005-0000-0000-0000F1930000}"/>
    <cellStyle name="Normal 324 6 2 2" xfId="33305" xr:uid="{00000000-0005-0000-0000-0000F2930000}"/>
    <cellStyle name="Normal 324 6 3" xfId="26289" xr:uid="{00000000-0005-0000-0000-0000F3930000}"/>
    <cellStyle name="Normal 324 7" xfId="11814" xr:uid="{00000000-0005-0000-0000-0000F4930000}"/>
    <cellStyle name="Normal 324 7 2" xfId="29500" xr:uid="{00000000-0005-0000-0000-0000F5930000}"/>
    <cellStyle name="Normal 324 8" xfId="23424" xr:uid="{00000000-0005-0000-0000-0000F6930000}"/>
    <cellStyle name="Normal 324 9" xfId="52197" xr:uid="{00000000-0005-0000-0000-0000F7930000}"/>
    <cellStyle name="Normal 325" xfId="2528" xr:uid="{00000000-0005-0000-0000-0000F8930000}"/>
    <cellStyle name="Normal 325 2" xfId="4569" xr:uid="{00000000-0005-0000-0000-0000F9930000}"/>
    <cellStyle name="Normal 325 2 2" xfId="8556" xr:uid="{00000000-0005-0000-0000-0000FA930000}"/>
    <cellStyle name="Normal 325 2 2 2" xfId="16352" xr:uid="{00000000-0005-0000-0000-0000FB930000}"/>
    <cellStyle name="Normal 325 2 2 2 2" xfId="33987" xr:uid="{00000000-0005-0000-0000-0000FC930000}"/>
    <cellStyle name="Normal 325 2 2 3" xfId="26957" xr:uid="{00000000-0005-0000-0000-0000FD930000}"/>
    <cellStyle name="Normal 325 2 3" xfId="12820" xr:uid="{00000000-0005-0000-0000-0000FE930000}"/>
    <cellStyle name="Normal 325 2 3 2" xfId="30475" xr:uid="{00000000-0005-0000-0000-0000FF930000}"/>
    <cellStyle name="Normal 325 2 4" xfId="24092" xr:uid="{00000000-0005-0000-0000-000000940000}"/>
    <cellStyle name="Normal 325 3" xfId="5869" xr:uid="{00000000-0005-0000-0000-000001940000}"/>
    <cellStyle name="Normal 325 3 2" xfId="9169" xr:uid="{00000000-0005-0000-0000-000002940000}"/>
    <cellStyle name="Normal 325 3 2 2" xfId="16964" xr:uid="{00000000-0005-0000-0000-000003940000}"/>
    <cellStyle name="Normal 325 3 2 2 2" xfId="34600" xr:uid="{00000000-0005-0000-0000-000004940000}"/>
    <cellStyle name="Normal 325 3 2 3" xfId="27557" xr:uid="{00000000-0005-0000-0000-000005940000}"/>
    <cellStyle name="Normal 325 3 3" xfId="13725" xr:uid="{00000000-0005-0000-0000-000006940000}"/>
    <cellStyle name="Normal 325 3 3 2" xfId="31365" xr:uid="{00000000-0005-0000-0000-000007940000}"/>
    <cellStyle name="Normal 325 3 4" xfId="24692" xr:uid="{00000000-0005-0000-0000-000008940000}"/>
    <cellStyle name="Normal 325 4" xfId="6499" xr:uid="{00000000-0005-0000-0000-000009940000}"/>
    <cellStyle name="Normal 325 4 2" xfId="9709" xr:uid="{00000000-0005-0000-0000-00000A940000}"/>
    <cellStyle name="Normal 325 4 2 2" xfId="17503" xr:uid="{00000000-0005-0000-0000-00000B940000}"/>
    <cellStyle name="Normal 325 4 2 2 2" xfId="35140" xr:uid="{00000000-0005-0000-0000-00000C940000}"/>
    <cellStyle name="Normal 325 4 2 3" xfId="28093" xr:uid="{00000000-0005-0000-0000-00000D940000}"/>
    <cellStyle name="Normal 325 4 3" xfId="14288" xr:uid="{00000000-0005-0000-0000-00000E940000}"/>
    <cellStyle name="Normal 325 4 3 2" xfId="31923" xr:uid="{00000000-0005-0000-0000-00000F940000}"/>
    <cellStyle name="Normal 325 4 4" xfId="25229" xr:uid="{00000000-0005-0000-0000-000010940000}"/>
    <cellStyle name="Normal 325 5" xfId="7275" xr:uid="{00000000-0005-0000-0000-000011940000}"/>
    <cellStyle name="Normal 325 5 2" xfId="10263" xr:uid="{00000000-0005-0000-0000-000012940000}"/>
    <cellStyle name="Normal 325 5 2 2" xfId="18056" xr:uid="{00000000-0005-0000-0000-000013940000}"/>
    <cellStyle name="Normal 325 5 2 2 2" xfId="35693" xr:uid="{00000000-0005-0000-0000-000014940000}"/>
    <cellStyle name="Normal 325 5 2 3" xfId="28630" xr:uid="{00000000-0005-0000-0000-000015940000}"/>
    <cellStyle name="Normal 325 5 3" xfId="15063" xr:uid="{00000000-0005-0000-0000-000016940000}"/>
    <cellStyle name="Normal 325 5 3 2" xfId="32698" xr:uid="{00000000-0005-0000-0000-000017940000}"/>
    <cellStyle name="Normal 325 5 4" xfId="25767" xr:uid="{00000000-0005-0000-0000-000018940000}"/>
    <cellStyle name="Normal 325 6" xfId="7874" xr:uid="{00000000-0005-0000-0000-000019940000}"/>
    <cellStyle name="Normal 325 6 2" xfId="15671" xr:uid="{00000000-0005-0000-0000-00001A940000}"/>
    <cellStyle name="Normal 325 6 2 2" xfId="33306" xr:uid="{00000000-0005-0000-0000-00001B940000}"/>
    <cellStyle name="Normal 325 6 3" xfId="26290" xr:uid="{00000000-0005-0000-0000-00001C940000}"/>
    <cellStyle name="Normal 325 7" xfId="11815" xr:uid="{00000000-0005-0000-0000-00001D940000}"/>
    <cellStyle name="Normal 325 7 2" xfId="29501" xr:uid="{00000000-0005-0000-0000-00001E940000}"/>
    <cellStyle name="Normal 325 8" xfId="23425" xr:uid="{00000000-0005-0000-0000-00001F940000}"/>
    <cellStyle name="Normal 325 9" xfId="52198" xr:uid="{00000000-0005-0000-0000-000020940000}"/>
    <cellStyle name="Normal 326" xfId="2529" xr:uid="{00000000-0005-0000-0000-000021940000}"/>
    <cellStyle name="Normal 326 2" xfId="4570" xr:uid="{00000000-0005-0000-0000-000022940000}"/>
    <cellStyle name="Normal 326 2 2" xfId="8557" xr:uid="{00000000-0005-0000-0000-000023940000}"/>
    <cellStyle name="Normal 326 2 2 2" xfId="16353" xr:uid="{00000000-0005-0000-0000-000024940000}"/>
    <cellStyle name="Normal 326 2 2 2 2" xfId="33988" xr:uid="{00000000-0005-0000-0000-000025940000}"/>
    <cellStyle name="Normal 326 2 2 3" xfId="26958" xr:uid="{00000000-0005-0000-0000-000026940000}"/>
    <cellStyle name="Normal 326 2 3" xfId="12821" xr:uid="{00000000-0005-0000-0000-000027940000}"/>
    <cellStyle name="Normal 326 2 3 2" xfId="30476" xr:uid="{00000000-0005-0000-0000-000028940000}"/>
    <cellStyle name="Normal 326 2 4" xfId="24093" xr:uid="{00000000-0005-0000-0000-000029940000}"/>
    <cellStyle name="Normal 326 3" xfId="5870" xr:uid="{00000000-0005-0000-0000-00002A940000}"/>
    <cellStyle name="Normal 326 3 2" xfId="9170" xr:uid="{00000000-0005-0000-0000-00002B940000}"/>
    <cellStyle name="Normal 326 3 2 2" xfId="16965" xr:uid="{00000000-0005-0000-0000-00002C940000}"/>
    <cellStyle name="Normal 326 3 2 2 2" xfId="34601" xr:uid="{00000000-0005-0000-0000-00002D940000}"/>
    <cellStyle name="Normal 326 3 2 3" xfId="27558" xr:uid="{00000000-0005-0000-0000-00002E940000}"/>
    <cellStyle name="Normal 326 3 3" xfId="13726" xr:uid="{00000000-0005-0000-0000-00002F940000}"/>
    <cellStyle name="Normal 326 3 3 2" xfId="31366" xr:uid="{00000000-0005-0000-0000-000030940000}"/>
    <cellStyle name="Normal 326 3 4" xfId="24693" xr:uid="{00000000-0005-0000-0000-000031940000}"/>
    <cellStyle name="Normal 326 4" xfId="6500" xr:uid="{00000000-0005-0000-0000-000032940000}"/>
    <cellStyle name="Normal 326 4 2" xfId="9710" xr:uid="{00000000-0005-0000-0000-000033940000}"/>
    <cellStyle name="Normal 326 4 2 2" xfId="17504" xr:uid="{00000000-0005-0000-0000-000034940000}"/>
    <cellStyle name="Normal 326 4 2 2 2" xfId="35141" xr:uid="{00000000-0005-0000-0000-000035940000}"/>
    <cellStyle name="Normal 326 4 2 3" xfId="28094" xr:uid="{00000000-0005-0000-0000-000036940000}"/>
    <cellStyle name="Normal 326 4 3" xfId="14289" xr:uid="{00000000-0005-0000-0000-000037940000}"/>
    <cellStyle name="Normal 326 4 3 2" xfId="31924" xr:uid="{00000000-0005-0000-0000-000038940000}"/>
    <cellStyle name="Normal 326 4 4" xfId="25230" xr:uid="{00000000-0005-0000-0000-000039940000}"/>
    <cellStyle name="Normal 326 5" xfId="7276" xr:uid="{00000000-0005-0000-0000-00003A940000}"/>
    <cellStyle name="Normal 326 5 2" xfId="10264" xr:uid="{00000000-0005-0000-0000-00003B940000}"/>
    <cellStyle name="Normal 326 5 2 2" xfId="18057" xr:uid="{00000000-0005-0000-0000-00003C940000}"/>
    <cellStyle name="Normal 326 5 2 2 2" xfId="35694" xr:uid="{00000000-0005-0000-0000-00003D940000}"/>
    <cellStyle name="Normal 326 5 2 3" xfId="28631" xr:uid="{00000000-0005-0000-0000-00003E940000}"/>
    <cellStyle name="Normal 326 5 3" xfId="15064" xr:uid="{00000000-0005-0000-0000-00003F940000}"/>
    <cellStyle name="Normal 326 5 3 2" xfId="32699" xr:uid="{00000000-0005-0000-0000-000040940000}"/>
    <cellStyle name="Normal 326 5 4" xfId="25768" xr:uid="{00000000-0005-0000-0000-000041940000}"/>
    <cellStyle name="Normal 326 6" xfId="7875" xr:uid="{00000000-0005-0000-0000-000042940000}"/>
    <cellStyle name="Normal 326 6 2" xfId="15672" xr:uid="{00000000-0005-0000-0000-000043940000}"/>
    <cellStyle name="Normal 326 6 2 2" xfId="33307" xr:uid="{00000000-0005-0000-0000-000044940000}"/>
    <cellStyle name="Normal 326 6 3" xfId="26291" xr:uid="{00000000-0005-0000-0000-000045940000}"/>
    <cellStyle name="Normal 326 7" xfId="11816" xr:uid="{00000000-0005-0000-0000-000046940000}"/>
    <cellStyle name="Normal 326 7 2" xfId="29502" xr:uid="{00000000-0005-0000-0000-000047940000}"/>
    <cellStyle name="Normal 326 8" xfId="23426" xr:uid="{00000000-0005-0000-0000-000048940000}"/>
    <cellStyle name="Normal 326 9" xfId="52199" xr:uid="{00000000-0005-0000-0000-000049940000}"/>
    <cellStyle name="Normal 327" xfId="2530" xr:uid="{00000000-0005-0000-0000-00004A940000}"/>
    <cellStyle name="Normal 327 2" xfId="4571" xr:uid="{00000000-0005-0000-0000-00004B940000}"/>
    <cellStyle name="Normal 327 2 2" xfId="8558" xr:uid="{00000000-0005-0000-0000-00004C940000}"/>
    <cellStyle name="Normal 327 2 2 2" xfId="16354" xr:uid="{00000000-0005-0000-0000-00004D940000}"/>
    <cellStyle name="Normal 327 2 2 2 2" xfId="33989" xr:uid="{00000000-0005-0000-0000-00004E940000}"/>
    <cellStyle name="Normal 327 2 2 3" xfId="26959" xr:uid="{00000000-0005-0000-0000-00004F940000}"/>
    <cellStyle name="Normal 327 2 3" xfId="12822" xr:uid="{00000000-0005-0000-0000-000050940000}"/>
    <cellStyle name="Normal 327 2 3 2" xfId="30477" xr:uid="{00000000-0005-0000-0000-000051940000}"/>
    <cellStyle name="Normal 327 2 4" xfId="24094" xr:uid="{00000000-0005-0000-0000-000052940000}"/>
    <cellStyle name="Normal 327 3" xfId="5871" xr:uid="{00000000-0005-0000-0000-000053940000}"/>
    <cellStyle name="Normal 327 3 2" xfId="9171" xr:uid="{00000000-0005-0000-0000-000054940000}"/>
    <cellStyle name="Normal 327 3 2 2" xfId="16966" xr:uid="{00000000-0005-0000-0000-000055940000}"/>
    <cellStyle name="Normal 327 3 2 2 2" xfId="34602" xr:uid="{00000000-0005-0000-0000-000056940000}"/>
    <cellStyle name="Normal 327 3 2 3" xfId="27559" xr:uid="{00000000-0005-0000-0000-000057940000}"/>
    <cellStyle name="Normal 327 3 3" xfId="13727" xr:uid="{00000000-0005-0000-0000-000058940000}"/>
    <cellStyle name="Normal 327 3 3 2" xfId="31367" xr:uid="{00000000-0005-0000-0000-000059940000}"/>
    <cellStyle name="Normal 327 3 4" xfId="24694" xr:uid="{00000000-0005-0000-0000-00005A940000}"/>
    <cellStyle name="Normal 327 4" xfId="6501" xr:uid="{00000000-0005-0000-0000-00005B940000}"/>
    <cellStyle name="Normal 327 4 2" xfId="9711" xr:uid="{00000000-0005-0000-0000-00005C940000}"/>
    <cellStyle name="Normal 327 4 2 2" xfId="17505" xr:uid="{00000000-0005-0000-0000-00005D940000}"/>
    <cellStyle name="Normal 327 4 2 2 2" xfId="35142" xr:uid="{00000000-0005-0000-0000-00005E940000}"/>
    <cellStyle name="Normal 327 4 2 3" xfId="28095" xr:uid="{00000000-0005-0000-0000-00005F940000}"/>
    <cellStyle name="Normal 327 4 3" xfId="14290" xr:uid="{00000000-0005-0000-0000-000060940000}"/>
    <cellStyle name="Normal 327 4 3 2" xfId="31925" xr:uid="{00000000-0005-0000-0000-000061940000}"/>
    <cellStyle name="Normal 327 4 4" xfId="25231" xr:uid="{00000000-0005-0000-0000-000062940000}"/>
    <cellStyle name="Normal 327 5" xfId="7277" xr:uid="{00000000-0005-0000-0000-000063940000}"/>
    <cellStyle name="Normal 327 5 2" xfId="10265" xr:uid="{00000000-0005-0000-0000-000064940000}"/>
    <cellStyle name="Normal 327 5 2 2" xfId="18058" xr:uid="{00000000-0005-0000-0000-000065940000}"/>
    <cellStyle name="Normal 327 5 2 2 2" xfId="35695" xr:uid="{00000000-0005-0000-0000-000066940000}"/>
    <cellStyle name="Normal 327 5 2 3" xfId="28632" xr:uid="{00000000-0005-0000-0000-000067940000}"/>
    <cellStyle name="Normal 327 5 3" xfId="15065" xr:uid="{00000000-0005-0000-0000-000068940000}"/>
    <cellStyle name="Normal 327 5 3 2" xfId="32700" xr:uid="{00000000-0005-0000-0000-000069940000}"/>
    <cellStyle name="Normal 327 5 4" xfId="25769" xr:uid="{00000000-0005-0000-0000-00006A940000}"/>
    <cellStyle name="Normal 327 6" xfId="7876" xr:uid="{00000000-0005-0000-0000-00006B940000}"/>
    <cellStyle name="Normal 327 6 2" xfId="15673" xr:uid="{00000000-0005-0000-0000-00006C940000}"/>
    <cellStyle name="Normal 327 6 2 2" xfId="33308" xr:uid="{00000000-0005-0000-0000-00006D940000}"/>
    <cellStyle name="Normal 327 6 3" xfId="26292" xr:uid="{00000000-0005-0000-0000-00006E940000}"/>
    <cellStyle name="Normal 327 7" xfId="11817" xr:uid="{00000000-0005-0000-0000-00006F940000}"/>
    <cellStyle name="Normal 327 7 2" xfId="29503" xr:uid="{00000000-0005-0000-0000-000070940000}"/>
    <cellStyle name="Normal 327 8" xfId="23427" xr:uid="{00000000-0005-0000-0000-000071940000}"/>
    <cellStyle name="Normal 327 9" xfId="52200" xr:uid="{00000000-0005-0000-0000-000072940000}"/>
    <cellStyle name="Normal 328" xfId="2531" xr:uid="{00000000-0005-0000-0000-000073940000}"/>
    <cellStyle name="Normal 328 2" xfId="4572" xr:uid="{00000000-0005-0000-0000-000074940000}"/>
    <cellStyle name="Normal 328 2 2" xfId="8559" xr:uid="{00000000-0005-0000-0000-000075940000}"/>
    <cellStyle name="Normal 328 2 2 2" xfId="16355" xr:uid="{00000000-0005-0000-0000-000076940000}"/>
    <cellStyle name="Normal 328 2 2 2 2" xfId="33990" xr:uid="{00000000-0005-0000-0000-000077940000}"/>
    <cellStyle name="Normal 328 2 2 3" xfId="26960" xr:uid="{00000000-0005-0000-0000-000078940000}"/>
    <cellStyle name="Normal 328 2 3" xfId="12823" xr:uid="{00000000-0005-0000-0000-000079940000}"/>
    <cellStyle name="Normal 328 2 3 2" xfId="30478" xr:uid="{00000000-0005-0000-0000-00007A940000}"/>
    <cellStyle name="Normal 328 2 4" xfId="24095" xr:uid="{00000000-0005-0000-0000-00007B940000}"/>
    <cellStyle name="Normal 328 3" xfId="5872" xr:uid="{00000000-0005-0000-0000-00007C940000}"/>
    <cellStyle name="Normal 328 3 2" xfId="9172" xr:uid="{00000000-0005-0000-0000-00007D940000}"/>
    <cellStyle name="Normal 328 3 2 2" xfId="16967" xr:uid="{00000000-0005-0000-0000-00007E940000}"/>
    <cellStyle name="Normal 328 3 2 2 2" xfId="34603" xr:uid="{00000000-0005-0000-0000-00007F940000}"/>
    <cellStyle name="Normal 328 3 2 3" xfId="27560" xr:uid="{00000000-0005-0000-0000-000080940000}"/>
    <cellStyle name="Normal 328 3 3" xfId="13728" xr:uid="{00000000-0005-0000-0000-000081940000}"/>
    <cellStyle name="Normal 328 3 3 2" xfId="31368" xr:uid="{00000000-0005-0000-0000-000082940000}"/>
    <cellStyle name="Normal 328 3 4" xfId="24695" xr:uid="{00000000-0005-0000-0000-000083940000}"/>
    <cellStyle name="Normal 328 4" xfId="6502" xr:uid="{00000000-0005-0000-0000-000084940000}"/>
    <cellStyle name="Normal 328 4 2" xfId="9712" xr:uid="{00000000-0005-0000-0000-000085940000}"/>
    <cellStyle name="Normal 328 4 2 2" xfId="17506" xr:uid="{00000000-0005-0000-0000-000086940000}"/>
    <cellStyle name="Normal 328 4 2 2 2" xfId="35143" xr:uid="{00000000-0005-0000-0000-000087940000}"/>
    <cellStyle name="Normal 328 4 2 3" xfId="28096" xr:uid="{00000000-0005-0000-0000-000088940000}"/>
    <cellStyle name="Normal 328 4 3" xfId="14291" xr:uid="{00000000-0005-0000-0000-000089940000}"/>
    <cellStyle name="Normal 328 4 3 2" xfId="31926" xr:uid="{00000000-0005-0000-0000-00008A940000}"/>
    <cellStyle name="Normal 328 4 4" xfId="25232" xr:uid="{00000000-0005-0000-0000-00008B940000}"/>
    <cellStyle name="Normal 328 5" xfId="7278" xr:uid="{00000000-0005-0000-0000-00008C940000}"/>
    <cellStyle name="Normal 328 5 2" xfId="10266" xr:uid="{00000000-0005-0000-0000-00008D940000}"/>
    <cellStyle name="Normal 328 5 2 2" xfId="18059" xr:uid="{00000000-0005-0000-0000-00008E940000}"/>
    <cellStyle name="Normal 328 5 2 2 2" xfId="35696" xr:uid="{00000000-0005-0000-0000-00008F940000}"/>
    <cellStyle name="Normal 328 5 2 3" xfId="28633" xr:uid="{00000000-0005-0000-0000-000090940000}"/>
    <cellStyle name="Normal 328 5 3" xfId="15066" xr:uid="{00000000-0005-0000-0000-000091940000}"/>
    <cellStyle name="Normal 328 5 3 2" xfId="32701" xr:uid="{00000000-0005-0000-0000-000092940000}"/>
    <cellStyle name="Normal 328 5 4" xfId="25770" xr:uid="{00000000-0005-0000-0000-000093940000}"/>
    <cellStyle name="Normal 328 6" xfId="7877" xr:uid="{00000000-0005-0000-0000-000094940000}"/>
    <cellStyle name="Normal 328 6 2" xfId="15674" xr:uid="{00000000-0005-0000-0000-000095940000}"/>
    <cellStyle name="Normal 328 6 2 2" xfId="33309" xr:uid="{00000000-0005-0000-0000-000096940000}"/>
    <cellStyle name="Normal 328 6 3" xfId="26293" xr:uid="{00000000-0005-0000-0000-000097940000}"/>
    <cellStyle name="Normal 328 7" xfId="11818" xr:uid="{00000000-0005-0000-0000-000098940000}"/>
    <cellStyle name="Normal 328 7 2" xfId="29504" xr:uid="{00000000-0005-0000-0000-000099940000}"/>
    <cellStyle name="Normal 328 8" xfId="23428" xr:uid="{00000000-0005-0000-0000-00009A940000}"/>
    <cellStyle name="Normal 328 9" xfId="52201" xr:uid="{00000000-0005-0000-0000-00009B940000}"/>
    <cellStyle name="Normal 329" xfId="2532" xr:uid="{00000000-0005-0000-0000-00009C940000}"/>
    <cellStyle name="Normal 329 2" xfId="4573" xr:uid="{00000000-0005-0000-0000-00009D940000}"/>
    <cellStyle name="Normal 329 2 2" xfId="8560" xr:uid="{00000000-0005-0000-0000-00009E940000}"/>
    <cellStyle name="Normal 329 2 2 2" xfId="16356" xr:uid="{00000000-0005-0000-0000-00009F940000}"/>
    <cellStyle name="Normal 329 2 2 2 2" xfId="33991" xr:uid="{00000000-0005-0000-0000-0000A0940000}"/>
    <cellStyle name="Normal 329 2 2 3" xfId="26961" xr:uid="{00000000-0005-0000-0000-0000A1940000}"/>
    <cellStyle name="Normal 329 2 3" xfId="12824" xr:uid="{00000000-0005-0000-0000-0000A2940000}"/>
    <cellStyle name="Normal 329 2 3 2" xfId="30479" xr:uid="{00000000-0005-0000-0000-0000A3940000}"/>
    <cellStyle name="Normal 329 2 4" xfId="24096" xr:uid="{00000000-0005-0000-0000-0000A4940000}"/>
    <cellStyle name="Normal 329 3" xfId="5873" xr:uid="{00000000-0005-0000-0000-0000A5940000}"/>
    <cellStyle name="Normal 329 3 2" xfId="9173" xr:uid="{00000000-0005-0000-0000-0000A6940000}"/>
    <cellStyle name="Normal 329 3 2 2" xfId="16968" xr:uid="{00000000-0005-0000-0000-0000A7940000}"/>
    <cellStyle name="Normal 329 3 2 2 2" xfId="34604" xr:uid="{00000000-0005-0000-0000-0000A8940000}"/>
    <cellStyle name="Normal 329 3 2 3" xfId="27561" xr:uid="{00000000-0005-0000-0000-0000A9940000}"/>
    <cellStyle name="Normal 329 3 3" xfId="13729" xr:uid="{00000000-0005-0000-0000-0000AA940000}"/>
    <cellStyle name="Normal 329 3 3 2" xfId="31369" xr:uid="{00000000-0005-0000-0000-0000AB940000}"/>
    <cellStyle name="Normal 329 3 4" xfId="24696" xr:uid="{00000000-0005-0000-0000-0000AC940000}"/>
    <cellStyle name="Normal 329 4" xfId="6503" xr:uid="{00000000-0005-0000-0000-0000AD940000}"/>
    <cellStyle name="Normal 329 4 2" xfId="9713" xr:uid="{00000000-0005-0000-0000-0000AE940000}"/>
    <cellStyle name="Normal 329 4 2 2" xfId="17507" xr:uid="{00000000-0005-0000-0000-0000AF940000}"/>
    <cellStyle name="Normal 329 4 2 2 2" xfId="35144" xr:uid="{00000000-0005-0000-0000-0000B0940000}"/>
    <cellStyle name="Normal 329 4 2 3" xfId="28097" xr:uid="{00000000-0005-0000-0000-0000B1940000}"/>
    <cellStyle name="Normal 329 4 3" xfId="14292" xr:uid="{00000000-0005-0000-0000-0000B2940000}"/>
    <cellStyle name="Normal 329 4 3 2" xfId="31927" xr:uid="{00000000-0005-0000-0000-0000B3940000}"/>
    <cellStyle name="Normal 329 4 4" xfId="25233" xr:uid="{00000000-0005-0000-0000-0000B4940000}"/>
    <cellStyle name="Normal 329 5" xfId="7279" xr:uid="{00000000-0005-0000-0000-0000B5940000}"/>
    <cellStyle name="Normal 329 5 2" xfId="10267" xr:uid="{00000000-0005-0000-0000-0000B6940000}"/>
    <cellStyle name="Normal 329 5 2 2" xfId="18060" xr:uid="{00000000-0005-0000-0000-0000B7940000}"/>
    <cellStyle name="Normal 329 5 2 2 2" xfId="35697" xr:uid="{00000000-0005-0000-0000-0000B8940000}"/>
    <cellStyle name="Normal 329 5 2 3" xfId="28634" xr:uid="{00000000-0005-0000-0000-0000B9940000}"/>
    <cellStyle name="Normal 329 5 3" xfId="15067" xr:uid="{00000000-0005-0000-0000-0000BA940000}"/>
    <cellStyle name="Normal 329 5 3 2" xfId="32702" xr:uid="{00000000-0005-0000-0000-0000BB940000}"/>
    <cellStyle name="Normal 329 5 4" xfId="25771" xr:uid="{00000000-0005-0000-0000-0000BC940000}"/>
    <cellStyle name="Normal 329 6" xfId="7878" xr:uid="{00000000-0005-0000-0000-0000BD940000}"/>
    <cellStyle name="Normal 329 6 2" xfId="15675" xr:uid="{00000000-0005-0000-0000-0000BE940000}"/>
    <cellStyle name="Normal 329 6 2 2" xfId="33310" xr:uid="{00000000-0005-0000-0000-0000BF940000}"/>
    <cellStyle name="Normal 329 6 3" xfId="26294" xr:uid="{00000000-0005-0000-0000-0000C0940000}"/>
    <cellStyle name="Normal 329 7" xfId="11819" xr:uid="{00000000-0005-0000-0000-0000C1940000}"/>
    <cellStyle name="Normal 329 7 2" xfId="29505" xr:uid="{00000000-0005-0000-0000-0000C2940000}"/>
    <cellStyle name="Normal 329 8" xfId="23429" xr:uid="{00000000-0005-0000-0000-0000C3940000}"/>
    <cellStyle name="Normal 329 9" xfId="52202" xr:uid="{00000000-0005-0000-0000-0000C4940000}"/>
    <cellStyle name="Normal 33" xfId="2533" xr:uid="{00000000-0005-0000-0000-0000C5940000}"/>
    <cellStyle name="Normal 33 10" xfId="2534" xr:uid="{00000000-0005-0000-0000-0000C6940000}"/>
    <cellStyle name="Normal 33 10 2" xfId="2535" xr:uid="{00000000-0005-0000-0000-0000C7940000}"/>
    <cellStyle name="Normal 33 10 2 2" xfId="4575" xr:uid="{00000000-0005-0000-0000-0000C8940000}"/>
    <cellStyle name="Normal 33 10 2 3" xfId="52204" xr:uid="{00000000-0005-0000-0000-0000C9940000}"/>
    <cellStyle name="Normal 33 10 3" xfId="4574" xr:uid="{00000000-0005-0000-0000-0000CA940000}"/>
    <cellStyle name="Normal 33 10 4" xfId="52203" xr:uid="{00000000-0005-0000-0000-0000CB940000}"/>
    <cellStyle name="Normal 33 11" xfId="2536" xr:uid="{00000000-0005-0000-0000-0000CC940000}"/>
    <cellStyle name="Normal 33 11 2" xfId="2537" xr:uid="{00000000-0005-0000-0000-0000CD940000}"/>
    <cellStyle name="Normal 33 11 2 2" xfId="4577" xr:uid="{00000000-0005-0000-0000-0000CE940000}"/>
    <cellStyle name="Normal 33 11 2 3" xfId="52206" xr:uid="{00000000-0005-0000-0000-0000CF940000}"/>
    <cellStyle name="Normal 33 11 3" xfId="4576" xr:uid="{00000000-0005-0000-0000-0000D0940000}"/>
    <cellStyle name="Normal 33 11 4" xfId="52205" xr:uid="{00000000-0005-0000-0000-0000D1940000}"/>
    <cellStyle name="Normal 33 12" xfId="2538" xr:uid="{00000000-0005-0000-0000-0000D2940000}"/>
    <cellStyle name="Normal 33 12 2" xfId="2539" xr:uid="{00000000-0005-0000-0000-0000D3940000}"/>
    <cellStyle name="Normal 33 12 2 2" xfId="4579" xr:uid="{00000000-0005-0000-0000-0000D4940000}"/>
    <cellStyle name="Normal 33 12 2 3" xfId="52208" xr:uid="{00000000-0005-0000-0000-0000D5940000}"/>
    <cellStyle name="Normal 33 12 3" xfId="2540" xr:uid="{00000000-0005-0000-0000-0000D6940000}"/>
    <cellStyle name="Normal 33 12 3 2" xfId="2541" xr:uid="{00000000-0005-0000-0000-0000D7940000}"/>
    <cellStyle name="Normal 33 12 3 2 2" xfId="4581" xr:uid="{00000000-0005-0000-0000-0000D8940000}"/>
    <cellStyle name="Normal 33 12 3 2 3" xfId="52210" xr:uid="{00000000-0005-0000-0000-0000D9940000}"/>
    <cellStyle name="Normal 33 12 3 3" xfId="2542" xr:uid="{00000000-0005-0000-0000-0000DA940000}"/>
    <cellStyle name="Normal 33 12 3 3 2" xfId="2543" xr:uid="{00000000-0005-0000-0000-0000DB940000}"/>
    <cellStyle name="Normal 33 12 3 3 2 2" xfId="4583" xr:uid="{00000000-0005-0000-0000-0000DC940000}"/>
    <cellStyle name="Normal 33 12 3 3 2 3" xfId="52212" xr:uid="{00000000-0005-0000-0000-0000DD940000}"/>
    <cellStyle name="Normal 33 12 3 3 3" xfId="4582" xr:uid="{00000000-0005-0000-0000-0000DE940000}"/>
    <cellStyle name="Normal 33 12 3 3 4" xfId="52211" xr:uid="{00000000-0005-0000-0000-0000DF940000}"/>
    <cellStyle name="Normal 33 12 3 4" xfId="4584" xr:uid="{00000000-0005-0000-0000-0000E0940000}"/>
    <cellStyle name="Normal 33 12 3 5" xfId="4580" xr:uid="{00000000-0005-0000-0000-0000E1940000}"/>
    <cellStyle name="Normal 33 12 3 6" xfId="52209" xr:uid="{00000000-0005-0000-0000-0000E2940000}"/>
    <cellStyle name="Normal 33 12 4" xfId="4578" xr:uid="{00000000-0005-0000-0000-0000E3940000}"/>
    <cellStyle name="Normal 33 12 5" xfId="52207" xr:uid="{00000000-0005-0000-0000-0000E4940000}"/>
    <cellStyle name="Normal 33 13" xfId="2544" xr:uid="{00000000-0005-0000-0000-0000E5940000}"/>
    <cellStyle name="Normal 33 13 2" xfId="2545" xr:uid="{00000000-0005-0000-0000-0000E6940000}"/>
    <cellStyle name="Normal 33 13 2 2" xfId="4586" xr:uid="{00000000-0005-0000-0000-0000E7940000}"/>
    <cellStyle name="Normal 33 13 2 3" xfId="52214" xr:uid="{00000000-0005-0000-0000-0000E8940000}"/>
    <cellStyle name="Normal 33 13 3" xfId="2546" xr:uid="{00000000-0005-0000-0000-0000E9940000}"/>
    <cellStyle name="Normal 33 13 3 2" xfId="4587" xr:uid="{00000000-0005-0000-0000-0000EA940000}"/>
    <cellStyle name="Normal 33 13 3 3" xfId="52215" xr:uid="{00000000-0005-0000-0000-0000EB940000}"/>
    <cellStyle name="Normal 33 13 4" xfId="2547" xr:uid="{00000000-0005-0000-0000-0000EC940000}"/>
    <cellStyle name="Normal 33 13 5" xfId="4588" xr:uid="{00000000-0005-0000-0000-0000ED940000}"/>
    <cellStyle name="Normal 33 13 6" xfId="4589" xr:uid="{00000000-0005-0000-0000-0000EE940000}"/>
    <cellStyle name="Normal 33 13 7" xfId="4585" xr:uid="{00000000-0005-0000-0000-0000EF940000}"/>
    <cellStyle name="Normal 33 13 8" xfId="52213" xr:uid="{00000000-0005-0000-0000-0000F0940000}"/>
    <cellStyle name="Normal 33 14" xfId="2548" xr:uid="{00000000-0005-0000-0000-0000F1940000}"/>
    <cellStyle name="Normal 33 14 2" xfId="2549" xr:uid="{00000000-0005-0000-0000-0000F2940000}"/>
    <cellStyle name="Normal 33 14 2 2" xfId="4590" xr:uid="{00000000-0005-0000-0000-0000F3940000}"/>
    <cellStyle name="Normal 33 14 2 3" xfId="52217" xr:uid="{00000000-0005-0000-0000-0000F4940000}"/>
    <cellStyle name="Normal 33 14 3" xfId="2550" xr:uid="{00000000-0005-0000-0000-0000F5940000}"/>
    <cellStyle name="Normal 33 14 3 2" xfId="4592" xr:uid="{00000000-0005-0000-0000-0000F6940000}"/>
    <cellStyle name="Normal 33 14 3 3" xfId="4591" xr:uid="{00000000-0005-0000-0000-0000F7940000}"/>
    <cellStyle name="Normal 33 14 3 4" xfId="52218" xr:uid="{00000000-0005-0000-0000-0000F8940000}"/>
    <cellStyle name="Normal 33 14 4" xfId="2551" xr:uid="{00000000-0005-0000-0000-0000F9940000}"/>
    <cellStyle name="Normal 33 14 5" xfId="52216" xr:uid="{00000000-0005-0000-0000-0000FA940000}"/>
    <cellStyle name="Normal 33 15" xfId="2552" xr:uid="{00000000-0005-0000-0000-0000FB940000}"/>
    <cellStyle name="Normal 33 15 2" xfId="2553" xr:uid="{00000000-0005-0000-0000-0000FC940000}"/>
    <cellStyle name="Normal 33 15 3" xfId="52219" xr:uid="{00000000-0005-0000-0000-0000FD940000}"/>
    <cellStyle name="Normal 33 16" xfId="2554" xr:uid="{00000000-0005-0000-0000-0000FE940000}"/>
    <cellStyle name="Normal 33 16 2" xfId="2555" xr:uid="{00000000-0005-0000-0000-0000FF940000}"/>
    <cellStyle name="Normal 33 16 2 2" xfId="52221" xr:uid="{00000000-0005-0000-0000-000000950000}"/>
    <cellStyle name="Normal 33 16 3" xfId="2556" xr:uid="{00000000-0005-0000-0000-000001950000}"/>
    <cellStyle name="Normal 33 16 3 2" xfId="2557" xr:uid="{00000000-0005-0000-0000-000002950000}"/>
    <cellStyle name="Normal 33 16 3 3" xfId="2558" xr:uid="{00000000-0005-0000-0000-000003950000}"/>
    <cellStyle name="Normal 33 16 3 4" xfId="2559" xr:uid="{00000000-0005-0000-0000-000004950000}"/>
    <cellStyle name="Normal 33 16 4" xfId="52220" xr:uid="{00000000-0005-0000-0000-000005950000}"/>
    <cellStyle name="Normal 33 17" xfId="2560" xr:uid="{00000000-0005-0000-0000-000006950000}"/>
    <cellStyle name="Normal 33 17 2" xfId="2561" xr:uid="{00000000-0005-0000-0000-000007950000}"/>
    <cellStyle name="Normal 33 17 3" xfId="2562" xr:uid="{00000000-0005-0000-0000-000008950000}"/>
    <cellStyle name="Normal 33 18" xfId="2563" xr:uid="{00000000-0005-0000-0000-000009950000}"/>
    <cellStyle name="Normal 33 19" xfId="2564" xr:uid="{00000000-0005-0000-0000-00000A950000}"/>
    <cellStyle name="Normal 33 2" xfId="2565" xr:uid="{00000000-0005-0000-0000-00000B950000}"/>
    <cellStyle name="Normal 33 2 2" xfId="4593" xr:uid="{00000000-0005-0000-0000-00000C950000}"/>
    <cellStyle name="Normal 33 2 3" xfId="22773" xr:uid="{00000000-0005-0000-0000-00000D950000}"/>
    <cellStyle name="Normal 33 2 3 2" xfId="38980" xr:uid="{00000000-0005-0000-0000-00000E950000}"/>
    <cellStyle name="Normal 33 2 4" xfId="52222" xr:uid="{00000000-0005-0000-0000-00000F950000}"/>
    <cellStyle name="Normal 33 20" xfId="2566" xr:uid="{00000000-0005-0000-0000-000010950000}"/>
    <cellStyle name="Normal 33 3" xfId="2567" xr:uid="{00000000-0005-0000-0000-000011950000}"/>
    <cellStyle name="Normal 33 3 2" xfId="4594" xr:uid="{00000000-0005-0000-0000-000012950000}"/>
    <cellStyle name="Normal 33 3 3" xfId="52223" xr:uid="{00000000-0005-0000-0000-000013950000}"/>
    <cellStyle name="Normal 33 4" xfId="2568" xr:uid="{00000000-0005-0000-0000-000014950000}"/>
    <cellStyle name="Normal 33 4 2" xfId="4595" xr:uid="{00000000-0005-0000-0000-000015950000}"/>
    <cellStyle name="Normal 33 4 3" xfId="52224" xr:uid="{00000000-0005-0000-0000-000016950000}"/>
    <cellStyle name="Normal 33 5" xfId="2569" xr:uid="{00000000-0005-0000-0000-000017950000}"/>
    <cellStyle name="Normal 33 5 2" xfId="2570" xr:uid="{00000000-0005-0000-0000-000018950000}"/>
    <cellStyle name="Normal 33 5 2 2" xfId="4597" xr:uid="{00000000-0005-0000-0000-000019950000}"/>
    <cellStyle name="Normal 33 5 2 3" xfId="52226" xr:uid="{00000000-0005-0000-0000-00001A950000}"/>
    <cellStyle name="Normal 33 5 3" xfId="4596" xr:uid="{00000000-0005-0000-0000-00001B950000}"/>
    <cellStyle name="Normal 33 5 4" xfId="52225" xr:uid="{00000000-0005-0000-0000-00001C950000}"/>
    <cellStyle name="Normal 33 5_BallGrid" xfId="2571" xr:uid="{00000000-0005-0000-0000-00001D950000}"/>
    <cellStyle name="Normal 33 6" xfId="2572" xr:uid="{00000000-0005-0000-0000-00001E950000}"/>
    <cellStyle name="Normal 33 6 2" xfId="2573" xr:uid="{00000000-0005-0000-0000-00001F950000}"/>
    <cellStyle name="Normal 33 6 2 2" xfId="4599" xr:uid="{00000000-0005-0000-0000-000020950000}"/>
    <cellStyle name="Normal 33 6 2 3" xfId="52228" xr:uid="{00000000-0005-0000-0000-000021950000}"/>
    <cellStyle name="Normal 33 6 3" xfId="4598" xr:uid="{00000000-0005-0000-0000-000022950000}"/>
    <cellStyle name="Normal 33 6 4" xfId="52227" xr:uid="{00000000-0005-0000-0000-000023950000}"/>
    <cellStyle name="Normal 33 7" xfId="2574" xr:uid="{00000000-0005-0000-0000-000024950000}"/>
    <cellStyle name="Normal 33 7 2" xfId="2575" xr:uid="{00000000-0005-0000-0000-000025950000}"/>
    <cellStyle name="Normal 33 7 2 2" xfId="4601" xr:uid="{00000000-0005-0000-0000-000026950000}"/>
    <cellStyle name="Normal 33 7 2 3" xfId="52230" xr:uid="{00000000-0005-0000-0000-000027950000}"/>
    <cellStyle name="Normal 33 7 3" xfId="2576" xr:uid="{00000000-0005-0000-0000-000028950000}"/>
    <cellStyle name="Normal 33 7 3 2" xfId="4602" xr:uid="{00000000-0005-0000-0000-000029950000}"/>
    <cellStyle name="Normal 33 7 3 3" xfId="52231" xr:uid="{00000000-0005-0000-0000-00002A950000}"/>
    <cellStyle name="Normal 33 7 4" xfId="2577" xr:uid="{00000000-0005-0000-0000-00002B950000}"/>
    <cellStyle name="Normal 33 7 4 2" xfId="2578" xr:uid="{00000000-0005-0000-0000-00002C950000}"/>
    <cellStyle name="Normal 33 7 4 2 2" xfId="4604" xr:uid="{00000000-0005-0000-0000-00002D950000}"/>
    <cellStyle name="Normal 33 7 4 2 3" xfId="52233" xr:uid="{00000000-0005-0000-0000-00002E950000}"/>
    <cellStyle name="Normal 33 7 4 3" xfId="4603" xr:uid="{00000000-0005-0000-0000-00002F950000}"/>
    <cellStyle name="Normal 33 7 4 4" xfId="52232" xr:uid="{00000000-0005-0000-0000-000030950000}"/>
    <cellStyle name="Normal 33 7 5" xfId="2579" xr:uid="{00000000-0005-0000-0000-000031950000}"/>
    <cellStyle name="Normal 33 7 5 2" xfId="2580" xr:uid="{00000000-0005-0000-0000-000032950000}"/>
    <cellStyle name="Normal 33 7 5 2 2" xfId="4606" xr:uid="{00000000-0005-0000-0000-000033950000}"/>
    <cellStyle name="Normal 33 7 5 2 3" xfId="52235" xr:uid="{00000000-0005-0000-0000-000034950000}"/>
    <cellStyle name="Normal 33 7 5 3" xfId="2581" xr:uid="{00000000-0005-0000-0000-000035950000}"/>
    <cellStyle name="Normal 33 7 5 3 2" xfId="2582" xr:uid="{00000000-0005-0000-0000-000036950000}"/>
    <cellStyle name="Normal 33 7 5 3 2 2" xfId="4608" xr:uid="{00000000-0005-0000-0000-000037950000}"/>
    <cellStyle name="Normal 33 7 5 3 2 3" xfId="52237" xr:uid="{00000000-0005-0000-0000-000038950000}"/>
    <cellStyle name="Normal 33 7 5 3 3" xfId="2583" xr:uid="{00000000-0005-0000-0000-000039950000}"/>
    <cellStyle name="Normal 33 7 5 3 3 2" xfId="2584" xr:uid="{00000000-0005-0000-0000-00003A950000}"/>
    <cellStyle name="Normal 33 7 5 3 3 2 2" xfId="4610" xr:uid="{00000000-0005-0000-0000-00003B950000}"/>
    <cellStyle name="Normal 33 7 5 3 3 2 3" xfId="52239" xr:uid="{00000000-0005-0000-0000-00003C950000}"/>
    <cellStyle name="Normal 33 7 5 3 3 3" xfId="4609" xr:uid="{00000000-0005-0000-0000-00003D950000}"/>
    <cellStyle name="Normal 33 7 5 3 3 4" xfId="52238" xr:uid="{00000000-0005-0000-0000-00003E950000}"/>
    <cellStyle name="Normal 33 7 5 3 4" xfId="4611" xr:uid="{00000000-0005-0000-0000-00003F950000}"/>
    <cellStyle name="Normal 33 7 5 3 5" xfId="4607" xr:uid="{00000000-0005-0000-0000-000040950000}"/>
    <cellStyle name="Normal 33 7 5 3 6" xfId="52236" xr:uid="{00000000-0005-0000-0000-000041950000}"/>
    <cellStyle name="Normal 33 7 5 4" xfId="4605" xr:uid="{00000000-0005-0000-0000-000042950000}"/>
    <cellStyle name="Normal 33 7 5 5" xfId="52234" xr:uid="{00000000-0005-0000-0000-000043950000}"/>
    <cellStyle name="Normal 33 7 6" xfId="4600" xr:uid="{00000000-0005-0000-0000-000044950000}"/>
    <cellStyle name="Normal 33 7 7" xfId="22564" xr:uid="{00000000-0005-0000-0000-000045950000}"/>
    <cellStyle name="Normal 33 7 7 2" xfId="38875" xr:uid="{00000000-0005-0000-0000-000046950000}"/>
    <cellStyle name="Normal 33 7 8" xfId="52229" xr:uid="{00000000-0005-0000-0000-000047950000}"/>
    <cellStyle name="Normal 33 8" xfId="2585" xr:uid="{00000000-0005-0000-0000-000048950000}"/>
    <cellStyle name="Normal 33 8 2" xfId="2586" xr:uid="{00000000-0005-0000-0000-000049950000}"/>
    <cellStyle name="Normal 33 8 2 2" xfId="4613" xr:uid="{00000000-0005-0000-0000-00004A950000}"/>
    <cellStyle name="Normal 33 8 2 3" xfId="52241" xr:uid="{00000000-0005-0000-0000-00004B950000}"/>
    <cellStyle name="Normal 33 8 3" xfId="2587" xr:uid="{00000000-0005-0000-0000-00004C950000}"/>
    <cellStyle name="Normal 33 8 3 2" xfId="2588" xr:uid="{00000000-0005-0000-0000-00004D950000}"/>
    <cellStyle name="Normal 33 8 3 2 2" xfId="4615" xr:uid="{00000000-0005-0000-0000-00004E950000}"/>
    <cellStyle name="Normal 33 8 3 2 3" xfId="52243" xr:uid="{00000000-0005-0000-0000-00004F950000}"/>
    <cellStyle name="Normal 33 8 3 3" xfId="4614" xr:uid="{00000000-0005-0000-0000-000050950000}"/>
    <cellStyle name="Normal 33 8 3 4" xfId="52242" xr:uid="{00000000-0005-0000-0000-000051950000}"/>
    <cellStyle name="Normal 33 8 4" xfId="2589" xr:uid="{00000000-0005-0000-0000-000052950000}"/>
    <cellStyle name="Normal 33 8 4 2" xfId="2590" xr:uid="{00000000-0005-0000-0000-000053950000}"/>
    <cellStyle name="Normal 33 8 4 2 2" xfId="4617" xr:uid="{00000000-0005-0000-0000-000054950000}"/>
    <cellStyle name="Normal 33 8 4 2 3" xfId="52245" xr:uid="{00000000-0005-0000-0000-000055950000}"/>
    <cellStyle name="Normal 33 8 4 3" xfId="2591" xr:uid="{00000000-0005-0000-0000-000056950000}"/>
    <cellStyle name="Normal 33 8 4 3 2" xfId="2592" xr:uid="{00000000-0005-0000-0000-000057950000}"/>
    <cellStyle name="Normal 33 8 4 3 2 2" xfId="4619" xr:uid="{00000000-0005-0000-0000-000058950000}"/>
    <cellStyle name="Normal 33 8 4 3 2 3" xfId="52247" xr:uid="{00000000-0005-0000-0000-000059950000}"/>
    <cellStyle name="Normal 33 8 4 3 3" xfId="2593" xr:uid="{00000000-0005-0000-0000-00005A950000}"/>
    <cellStyle name="Normal 33 8 4 3 3 2" xfId="2594" xr:uid="{00000000-0005-0000-0000-00005B950000}"/>
    <cellStyle name="Normal 33 8 4 3 3 2 2" xfId="4621" xr:uid="{00000000-0005-0000-0000-00005C950000}"/>
    <cellStyle name="Normal 33 8 4 3 3 2 3" xfId="52249" xr:uid="{00000000-0005-0000-0000-00005D950000}"/>
    <cellStyle name="Normal 33 8 4 3 3 3" xfId="4620" xr:uid="{00000000-0005-0000-0000-00005E950000}"/>
    <cellStyle name="Normal 33 8 4 3 3 4" xfId="52248" xr:uid="{00000000-0005-0000-0000-00005F950000}"/>
    <cellStyle name="Normal 33 8 4 3 4" xfId="4622" xr:uid="{00000000-0005-0000-0000-000060950000}"/>
    <cellStyle name="Normal 33 8 4 3 5" xfId="4618" xr:uid="{00000000-0005-0000-0000-000061950000}"/>
    <cellStyle name="Normal 33 8 4 3 6" xfId="52246" xr:uid="{00000000-0005-0000-0000-000062950000}"/>
    <cellStyle name="Normal 33 8 4 4" xfId="4616" xr:uid="{00000000-0005-0000-0000-000063950000}"/>
    <cellStyle name="Normal 33 8 4 5" xfId="52244" xr:uid="{00000000-0005-0000-0000-000064950000}"/>
    <cellStyle name="Normal 33 8 5" xfId="4612" xr:uid="{00000000-0005-0000-0000-000065950000}"/>
    <cellStyle name="Normal 33 8 6" xfId="52240" xr:uid="{00000000-0005-0000-0000-000066950000}"/>
    <cellStyle name="Normal 33 9" xfId="2595" xr:uid="{00000000-0005-0000-0000-000067950000}"/>
    <cellStyle name="Normal 33 9 2" xfId="2596" xr:uid="{00000000-0005-0000-0000-000068950000}"/>
    <cellStyle name="Normal 33 9 2 2" xfId="4624" xr:uid="{00000000-0005-0000-0000-000069950000}"/>
    <cellStyle name="Normal 33 9 2 3" xfId="52251" xr:uid="{00000000-0005-0000-0000-00006A950000}"/>
    <cellStyle name="Normal 33 9 3" xfId="2597" xr:uid="{00000000-0005-0000-0000-00006B950000}"/>
    <cellStyle name="Normal 33 9 3 2" xfId="2598" xr:uid="{00000000-0005-0000-0000-00006C950000}"/>
    <cellStyle name="Normal 33 9 3 2 2" xfId="4626" xr:uid="{00000000-0005-0000-0000-00006D950000}"/>
    <cellStyle name="Normal 33 9 3 2 3" xfId="52253" xr:uid="{00000000-0005-0000-0000-00006E950000}"/>
    <cellStyle name="Normal 33 9 3 3" xfId="4625" xr:uid="{00000000-0005-0000-0000-00006F950000}"/>
    <cellStyle name="Normal 33 9 3 4" xfId="52252" xr:uid="{00000000-0005-0000-0000-000070950000}"/>
    <cellStyle name="Normal 33 9 4" xfId="2599" xr:uid="{00000000-0005-0000-0000-000071950000}"/>
    <cellStyle name="Normal 33 9 4 2" xfId="4627" xr:uid="{00000000-0005-0000-0000-000072950000}"/>
    <cellStyle name="Normal 33 9 4 3" xfId="52254" xr:uid="{00000000-0005-0000-0000-000073950000}"/>
    <cellStyle name="Normal 33 9 5" xfId="4623" xr:uid="{00000000-0005-0000-0000-000074950000}"/>
    <cellStyle name="Normal 33 9 6" xfId="52250" xr:uid="{00000000-0005-0000-0000-000075950000}"/>
    <cellStyle name="Normal 33_BallGrid" xfId="2600" xr:uid="{00000000-0005-0000-0000-000076950000}"/>
    <cellStyle name="Normal 330" xfId="2601" xr:uid="{00000000-0005-0000-0000-000077950000}"/>
    <cellStyle name="Normal 330 2" xfId="4628" xr:uid="{00000000-0005-0000-0000-000078950000}"/>
    <cellStyle name="Normal 330 2 2" xfId="8561" xr:uid="{00000000-0005-0000-0000-000079950000}"/>
    <cellStyle name="Normal 330 2 2 2" xfId="16357" xr:uid="{00000000-0005-0000-0000-00007A950000}"/>
    <cellStyle name="Normal 330 2 2 2 2" xfId="33992" xr:uid="{00000000-0005-0000-0000-00007B950000}"/>
    <cellStyle name="Normal 330 2 2 3" xfId="26962" xr:uid="{00000000-0005-0000-0000-00007C950000}"/>
    <cellStyle name="Normal 330 2 3" xfId="12830" xr:uid="{00000000-0005-0000-0000-00007D950000}"/>
    <cellStyle name="Normal 330 2 3 2" xfId="30485" xr:uid="{00000000-0005-0000-0000-00007E950000}"/>
    <cellStyle name="Normal 330 2 4" xfId="24097" xr:uid="{00000000-0005-0000-0000-00007F950000}"/>
    <cellStyle name="Normal 330 3" xfId="5874" xr:uid="{00000000-0005-0000-0000-000080950000}"/>
    <cellStyle name="Normal 330 3 2" xfId="9174" xr:uid="{00000000-0005-0000-0000-000081950000}"/>
    <cellStyle name="Normal 330 3 2 2" xfId="16969" xr:uid="{00000000-0005-0000-0000-000082950000}"/>
    <cellStyle name="Normal 330 3 2 2 2" xfId="34605" xr:uid="{00000000-0005-0000-0000-000083950000}"/>
    <cellStyle name="Normal 330 3 2 3" xfId="27562" xr:uid="{00000000-0005-0000-0000-000084950000}"/>
    <cellStyle name="Normal 330 3 3" xfId="13730" xr:uid="{00000000-0005-0000-0000-000085950000}"/>
    <cellStyle name="Normal 330 3 3 2" xfId="31370" xr:uid="{00000000-0005-0000-0000-000086950000}"/>
    <cellStyle name="Normal 330 3 4" xfId="24697" xr:uid="{00000000-0005-0000-0000-000087950000}"/>
    <cellStyle name="Normal 330 4" xfId="6504" xr:uid="{00000000-0005-0000-0000-000088950000}"/>
    <cellStyle name="Normal 330 4 2" xfId="9714" xr:uid="{00000000-0005-0000-0000-000089950000}"/>
    <cellStyle name="Normal 330 4 2 2" xfId="17508" xr:uid="{00000000-0005-0000-0000-00008A950000}"/>
    <cellStyle name="Normal 330 4 2 2 2" xfId="35145" xr:uid="{00000000-0005-0000-0000-00008B950000}"/>
    <cellStyle name="Normal 330 4 2 3" xfId="28098" xr:uid="{00000000-0005-0000-0000-00008C950000}"/>
    <cellStyle name="Normal 330 4 3" xfId="14293" xr:uid="{00000000-0005-0000-0000-00008D950000}"/>
    <cellStyle name="Normal 330 4 3 2" xfId="31928" xr:uid="{00000000-0005-0000-0000-00008E950000}"/>
    <cellStyle name="Normal 330 4 4" xfId="25234" xr:uid="{00000000-0005-0000-0000-00008F950000}"/>
    <cellStyle name="Normal 330 5" xfId="7280" xr:uid="{00000000-0005-0000-0000-000090950000}"/>
    <cellStyle name="Normal 330 5 2" xfId="10268" xr:uid="{00000000-0005-0000-0000-000091950000}"/>
    <cellStyle name="Normal 330 5 2 2" xfId="18061" xr:uid="{00000000-0005-0000-0000-000092950000}"/>
    <cellStyle name="Normal 330 5 2 2 2" xfId="35698" xr:uid="{00000000-0005-0000-0000-000093950000}"/>
    <cellStyle name="Normal 330 5 2 3" xfId="28635" xr:uid="{00000000-0005-0000-0000-000094950000}"/>
    <cellStyle name="Normal 330 5 3" xfId="15068" xr:uid="{00000000-0005-0000-0000-000095950000}"/>
    <cellStyle name="Normal 330 5 3 2" xfId="32703" xr:uid="{00000000-0005-0000-0000-000096950000}"/>
    <cellStyle name="Normal 330 5 4" xfId="25772" xr:uid="{00000000-0005-0000-0000-000097950000}"/>
    <cellStyle name="Normal 330 6" xfId="7879" xr:uid="{00000000-0005-0000-0000-000098950000}"/>
    <cellStyle name="Normal 330 6 2" xfId="15676" xr:uid="{00000000-0005-0000-0000-000099950000}"/>
    <cellStyle name="Normal 330 6 2 2" xfId="33311" xr:uid="{00000000-0005-0000-0000-00009A950000}"/>
    <cellStyle name="Normal 330 6 3" xfId="26295" xr:uid="{00000000-0005-0000-0000-00009B950000}"/>
    <cellStyle name="Normal 330 7" xfId="11826" xr:uid="{00000000-0005-0000-0000-00009C950000}"/>
    <cellStyle name="Normal 330 7 2" xfId="29511" xr:uid="{00000000-0005-0000-0000-00009D950000}"/>
    <cellStyle name="Normal 330 8" xfId="23430" xr:uid="{00000000-0005-0000-0000-00009E950000}"/>
    <cellStyle name="Normal 330 9" xfId="52255" xr:uid="{00000000-0005-0000-0000-00009F950000}"/>
    <cellStyle name="Normal 331" xfId="2602" xr:uid="{00000000-0005-0000-0000-0000A0950000}"/>
    <cellStyle name="Normal 331 2" xfId="4629" xr:uid="{00000000-0005-0000-0000-0000A1950000}"/>
    <cellStyle name="Normal 331 2 2" xfId="8562" xr:uid="{00000000-0005-0000-0000-0000A2950000}"/>
    <cellStyle name="Normal 331 2 2 2" xfId="16358" xr:uid="{00000000-0005-0000-0000-0000A3950000}"/>
    <cellStyle name="Normal 331 2 2 2 2" xfId="33993" xr:uid="{00000000-0005-0000-0000-0000A4950000}"/>
    <cellStyle name="Normal 331 2 2 3" xfId="26963" xr:uid="{00000000-0005-0000-0000-0000A5950000}"/>
    <cellStyle name="Normal 331 2 3" xfId="12831" xr:uid="{00000000-0005-0000-0000-0000A6950000}"/>
    <cellStyle name="Normal 331 2 3 2" xfId="30486" xr:uid="{00000000-0005-0000-0000-0000A7950000}"/>
    <cellStyle name="Normal 331 2 4" xfId="24098" xr:uid="{00000000-0005-0000-0000-0000A8950000}"/>
    <cellStyle name="Normal 331 3" xfId="5875" xr:uid="{00000000-0005-0000-0000-0000A9950000}"/>
    <cellStyle name="Normal 331 3 2" xfId="9175" xr:uid="{00000000-0005-0000-0000-0000AA950000}"/>
    <cellStyle name="Normal 331 3 2 2" xfId="16970" xr:uid="{00000000-0005-0000-0000-0000AB950000}"/>
    <cellStyle name="Normal 331 3 2 2 2" xfId="34606" xr:uid="{00000000-0005-0000-0000-0000AC950000}"/>
    <cellStyle name="Normal 331 3 2 3" xfId="27563" xr:uid="{00000000-0005-0000-0000-0000AD950000}"/>
    <cellStyle name="Normal 331 3 3" xfId="13731" xr:uid="{00000000-0005-0000-0000-0000AE950000}"/>
    <cellStyle name="Normal 331 3 3 2" xfId="31371" xr:uid="{00000000-0005-0000-0000-0000AF950000}"/>
    <cellStyle name="Normal 331 3 4" xfId="24698" xr:uid="{00000000-0005-0000-0000-0000B0950000}"/>
    <cellStyle name="Normal 331 4" xfId="6505" xr:uid="{00000000-0005-0000-0000-0000B1950000}"/>
    <cellStyle name="Normal 331 4 2" xfId="9715" xr:uid="{00000000-0005-0000-0000-0000B2950000}"/>
    <cellStyle name="Normal 331 4 2 2" xfId="17509" xr:uid="{00000000-0005-0000-0000-0000B3950000}"/>
    <cellStyle name="Normal 331 4 2 2 2" xfId="35146" xr:uid="{00000000-0005-0000-0000-0000B4950000}"/>
    <cellStyle name="Normal 331 4 2 3" xfId="28099" xr:uid="{00000000-0005-0000-0000-0000B5950000}"/>
    <cellStyle name="Normal 331 4 3" xfId="14294" xr:uid="{00000000-0005-0000-0000-0000B6950000}"/>
    <cellStyle name="Normal 331 4 3 2" xfId="31929" xr:uid="{00000000-0005-0000-0000-0000B7950000}"/>
    <cellStyle name="Normal 331 4 4" xfId="25235" xr:uid="{00000000-0005-0000-0000-0000B8950000}"/>
    <cellStyle name="Normal 331 5" xfId="7281" xr:uid="{00000000-0005-0000-0000-0000B9950000}"/>
    <cellStyle name="Normal 331 5 2" xfId="10269" xr:uid="{00000000-0005-0000-0000-0000BA950000}"/>
    <cellStyle name="Normal 331 5 2 2" xfId="18062" xr:uid="{00000000-0005-0000-0000-0000BB950000}"/>
    <cellStyle name="Normal 331 5 2 2 2" xfId="35699" xr:uid="{00000000-0005-0000-0000-0000BC950000}"/>
    <cellStyle name="Normal 331 5 2 3" xfId="28636" xr:uid="{00000000-0005-0000-0000-0000BD950000}"/>
    <cellStyle name="Normal 331 5 3" xfId="15069" xr:uid="{00000000-0005-0000-0000-0000BE950000}"/>
    <cellStyle name="Normal 331 5 3 2" xfId="32704" xr:uid="{00000000-0005-0000-0000-0000BF950000}"/>
    <cellStyle name="Normal 331 5 4" xfId="25773" xr:uid="{00000000-0005-0000-0000-0000C0950000}"/>
    <cellStyle name="Normal 331 6" xfId="7880" xr:uid="{00000000-0005-0000-0000-0000C1950000}"/>
    <cellStyle name="Normal 331 6 2" xfId="15677" xr:uid="{00000000-0005-0000-0000-0000C2950000}"/>
    <cellStyle name="Normal 331 6 2 2" xfId="33312" xr:uid="{00000000-0005-0000-0000-0000C3950000}"/>
    <cellStyle name="Normal 331 6 3" xfId="26296" xr:uid="{00000000-0005-0000-0000-0000C4950000}"/>
    <cellStyle name="Normal 331 7" xfId="11827" xr:uid="{00000000-0005-0000-0000-0000C5950000}"/>
    <cellStyle name="Normal 331 7 2" xfId="29512" xr:uid="{00000000-0005-0000-0000-0000C6950000}"/>
    <cellStyle name="Normal 331 8" xfId="23431" xr:uid="{00000000-0005-0000-0000-0000C7950000}"/>
    <cellStyle name="Normal 331 9" xfId="52256" xr:uid="{00000000-0005-0000-0000-0000C8950000}"/>
    <cellStyle name="Normal 332" xfId="2603" xr:uid="{00000000-0005-0000-0000-0000C9950000}"/>
    <cellStyle name="Normal 332 2" xfId="4630" xr:uid="{00000000-0005-0000-0000-0000CA950000}"/>
    <cellStyle name="Normal 332 2 2" xfId="8563" xr:uid="{00000000-0005-0000-0000-0000CB950000}"/>
    <cellStyle name="Normal 332 2 2 2" xfId="16359" xr:uid="{00000000-0005-0000-0000-0000CC950000}"/>
    <cellStyle name="Normal 332 2 2 2 2" xfId="33994" xr:uid="{00000000-0005-0000-0000-0000CD950000}"/>
    <cellStyle name="Normal 332 2 2 3" xfId="26964" xr:uid="{00000000-0005-0000-0000-0000CE950000}"/>
    <cellStyle name="Normal 332 2 3" xfId="12832" xr:uid="{00000000-0005-0000-0000-0000CF950000}"/>
    <cellStyle name="Normal 332 2 3 2" xfId="30487" xr:uid="{00000000-0005-0000-0000-0000D0950000}"/>
    <cellStyle name="Normal 332 2 4" xfId="24099" xr:uid="{00000000-0005-0000-0000-0000D1950000}"/>
    <cellStyle name="Normal 332 3" xfId="5876" xr:uid="{00000000-0005-0000-0000-0000D2950000}"/>
    <cellStyle name="Normal 332 3 2" xfId="9176" xr:uid="{00000000-0005-0000-0000-0000D3950000}"/>
    <cellStyle name="Normal 332 3 2 2" xfId="16971" xr:uid="{00000000-0005-0000-0000-0000D4950000}"/>
    <cellStyle name="Normal 332 3 2 2 2" xfId="34607" xr:uid="{00000000-0005-0000-0000-0000D5950000}"/>
    <cellStyle name="Normal 332 3 2 3" xfId="27564" xr:uid="{00000000-0005-0000-0000-0000D6950000}"/>
    <cellStyle name="Normal 332 3 3" xfId="13732" xr:uid="{00000000-0005-0000-0000-0000D7950000}"/>
    <cellStyle name="Normal 332 3 3 2" xfId="31372" xr:uid="{00000000-0005-0000-0000-0000D8950000}"/>
    <cellStyle name="Normal 332 3 4" xfId="24699" xr:uid="{00000000-0005-0000-0000-0000D9950000}"/>
    <cellStyle name="Normal 332 4" xfId="6506" xr:uid="{00000000-0005-0000-0000-0000DA950000}"/>
    <cellStyle name="Normal 332 4 2" xfId="9716" xr:uid="{00000000-0005-0000-0000-0000DB950000}"/>
    <cellStyle name="Normal 332 4 2 2" xfId="17510" xr:uid="{00000000-0005-0000-0000-0000DC950000}"/>
    <cellStyle name="Normal 332 4 2 2 2" xfId="35147" xr:uid="{00000000-0005-0000-0000-0000DD950000}"/>
    <cellStyle name="Normal 332 4 2 3" xfId="28100" xr:uid="{00000000-0005-0000-0000-0000DE950000}"/>
    <cellStyle name="Normal 332 4 3" xfId="14295" xr:uid="{00000000-0005-0000-0000-0000DF950000}"/>
    <cellStyle name="Normal 332 4 3 2" xfId="31930" xr:uid="{00000000-0005-0000-0000-0000E0950000}"/>
    <cellStyle name="Normal 332 4 4" xfId="25236" xr:uid="{00000000-0005-0000-0000-0000E1950000}"/>
    <cellStyle name="Normal 332 5" xfId="7282" xr:uid="{00000000-0005-0000-0000-0000E2950000}"/>
    <cellStyle name="Normal 332 5 2" xfId="10270" xr:uid="{00000000-0005-0000-0000-0000E3950000}"/>
    <cellStyle name="Normal 332 5 2 2" xfId="18063" xr:uid="{00000000-0005-0000-0000-0000E4950000}"/>
    <cellStyle name="Normal 332 5 2 2 2" xfId="35700" xr:uid="{00000000-0005-0000-0000-0000E5950000}"/>
    <cellStyle name="Normal 332 5 2 3" xfId="28637" xr:uid="{00000000-0005-0000-0000-0000E6950000}"/>
    <cellStyle name="Normal 332 5 3" xfId="15070" xr:uid="{00000000-0005-0000-0000-0000E7950000}"/>
    <cellStyle name="Normal 332 5 3 2" xfId="32705" xr:uid="{00000000-0005-0000-0000-0000E8950000}"/>
    <cellStyle name="Normal 332 5 4" xfId="25774" xr:uid="{00000000-0005-0000-0000-0000E9950000}"/>
    <cellStyle name="Normal 332 6" xfId="7881" xr:uid="{00000000-0005-0000-0000-0000EA950000}"/>
    <cellStyle name="Normal 332 6 2" xfId="15678" xr:uid="{00000000-0005-0000-0000-0000EB950000}"/>
    <cellStyle name="Normal 332 6 2 2" xfId="33313" xr:uid="{00000000-0005-0000-0000-0000EC950000}"/>
    <cellStyle name="Normal 332 6 3" xfId="26297" xr:uid="{00000000-0005-0000-0000-0000ED950000}"/>
    <cellStyle name="Normal 332 7" xfId="11828" xr:uid="{00000000-0005-0000-0000-0000EE950000}"/>
    <cellStyle name="Normal 332 7 2" xfId="29513" xr:uid="{00000000-0005-0000-0000-0000EF950000}"/>
    <cellStyle name="Normal 332 8" xfId="23432" xr:uid="{00000000-0005-0000-0000-0000F0950000}"/>
    <cellStyle name="Normal 332 9" xfId="52257" xr:uid="{00000000-0005-0000-0000-0000F1950000}"/>
    <cellStyle name="Normal 333" xfId="2604" xr:uid="{00000000-0005-0000-0000-0000F2950000}"/>
    <cellStyle name="Normal 333 2" xfId="4631" xr:uid="{00000000-0005-0000-0000-0000F3950000}"/>
    <cellStyle name="Normal 333 2 2" xfId="8564" xr:uid="{00000000-0005-0000-0000-0000F4950000}"/>
    <cellStyle name="Normal 333 2 2 2" xfId="16360" xr:uid="{00000000-0005-0000-0000-0000F5950000}"/>
    <cellStyle name="Normal 333 2 2 2 2" xfId="33995" xr:uid="{00000000-0005-0000-0000-0000F6950000}"/>
    <cellStyle name="Normal 333 2 2 3" xfId="26965" xr:uid="{00000000-0005-0000-0000-0000F7950000}"/>
    <cellStyle name="Normal 333 2 3" xfId="12833" xr:uid="{00000000-0005-0000-0000-0000F8950000}"/>
    <cellStyle name="Normal 333 2 3 2" xfId="30488" xr:uid="{00000000-0005-0000-0000-0000F9950000}"/>
    <cellStyle name="Normal 333 2 4" xfId="24100" xr:uid="{00000000-0005-0000-0000-0000FA950000}"/>
    <cellStyle name="Normal 333 3" xfId="5877" xr:uid="{00000000-0005-0000-0000-0000FB950000}"/>
    <cellStyle name="Normal 333 3 2" xfId="9177" xr:uid="{00000000-0005-0000-0000-0000FC950000}"/>
    <cellStyle name="Normal 333 3 2 2" xfId="16972" xr:uid="{00000000-0005-0000-0000-0000FD950000}"/>
    <cellStyle name="Normal 333 3 2 2 2" xfId="34608" xr:uid="{00000000-0005-0000-0000-0000FE950000}"/>
    <cellStyle name="Normal 333 3 2 3" xfId="27565" xr:uid="{00000000-0005-0000-0000-0000FF950000}"/>
    <cellStyle name="Normal 333 3 3" xfId="13733" xr:uid="{00000000-0005-0000-0000-000000960000}"/>
    <cellStyle name="Normal 333 3 3 2" xfId="31373" xr:uid="{00000000-0005-0000-0000-000001960000}"/>
    <cellStyle name="Normal 333 3 4" xfId="24700" xr:uid="{00000000-0005-0000-0000-000002960000}"/>
    <cellStyle name="Normal 333 4" xfId="6507" xr:uid="{00000000-0005-0000-0000-000003960000}"/>
    <cellStyle name="Normal 333 4 2" xfId="9717" xr:uid="{00000000-0005-0000-0000-000004960000}"/>
    <cellStyle name="Normal 333 4 2 2" xfId="17511" xr:uid="{00000000-0005-0000-0000-000005960000}"/>
    <cellStyle name="Normal 333 4 2 2 2" xfId="35148" xr:uid="{00000000-0005-0000-0000-000006960000}"/>
    <cellStyle name="Normal 333 4 2 3" xfId="28101" xr:uid="{00000000-0005-0000-0000-000007960000}"/>
    <cellStyle name="Normal 333 4 3" xfId="14296" xr:uid="{00000000-0005-0000-0000-000008960000}"/>
    <cellStyle name="Normal 333 4 3 2" xfId="31931" xr:uid="{00000000-0005-0000-0000-000009960000}"/>
    <cellStyle name="Normal 333 4 4" xfId="25237" xr:uid="{00000000-0005-0000-0000-00000A960000}"/>
    <cellStyle name="Normal 333 5" xfId="7283" xr:uid="{00000000-0005-0000-0000-00000B960000}"/>
    <cellStyle name="Normal 333 5 2" xfId="10271" xr:uid="{00000000-0005-0000-0000-00000C960000}"/>
    <cellStyle name="Normal 333 5 2 2" xfId="18064" xr:uid="{00000000-0005-0000-0000-00000D960000}"/>
    <cellStyle name="Normal 333 5 2 2 2" xfId="35701" xr:uid="{00000000-0005-0000-0000-00000E960000}"/>
    <cellStyle name="Normal 333 5 2 3" xfId="28638" xr:uid="{00000000-0005-0000-0000-00000F960000}"/>
    <cellStyle name="Normal 333 5 3" xfId="15071" xr:uid="{00000000-0005-0000-0000-000010960000}"/>
    <cellStyle name="Normal 333 5 3 2" xfId="32706" xr:uid="{00000000-0005-0000-0000-000011960000}"/>
    <cellStyle name="Normal 333 5 4" xfId="25775" xr:uid="{00000000-0005-0000-0000-000012960000}"/>
    <cellStyle name="Normal 333 6" xfId="7882" xr:uid="{00000000-0005-0000-0000-000013960000}"/>
    <cellStyle name="Normal 333 6 2" xfId="15679" xr:uid="{00000000-0005-0000-0000-000014960000}"/>
    <cellStyle name="Normal 333 6 2 2" xfId="33314" xr:uid="{00000000-0005-0000-0000-000015960000}"/>
    <cellStyle name="Normal 333 6 3" xfId="26298" xr:uid="{00000000-0005-0000-0000-000016960000}"/>
    <cellStyle name="Normal 333 7" xfId="11829" xr:uid="{00000000-0005-0000-0000-000017960000}"/>
    <cellStyle name="Normal 333 7 2" xfId="29514" xr:uid="{00000000-0005-0000-0000-000018960000}"/>
    <cellStyle name="Normal 333 8" xfId="23433" xr:uid="{00000000-0005-0000-0000-000019960000}"/>
    <cellStyle name="Normal 333 9" xfId="52258" xr:uid="{00000000-0005-0000-0000-00001A960000}"/>
    <cellStyle name="Normal 334" xfId="2605" xr:uid="{00000000-0005-0000-0000-00001B960000}"/>
    <cellStyle name="Normal 334 2" xfId="4632" xr:uid="{00000000-0005-0000-0000-00001C960000}"/>
    <cellStyle name="Normal 334 2 2" xfId="8565" xr:uid="{00000000-0005-0000-0000-00001D960000}"/>
    <cellStyle name="Normal 334 2 2 2" xfId="16361" xr:uid="{00000000-0005-0000-0000-00001E960000}"/>
    <cellStyle name="Normal 334 2 2 2 2" xfId="33996" xr:uid="{00000000-0005-0000-0000-00001F960000}"/>
    <cellStyle name="Normal 334 2 2 3" xfId="26966" xr:uid="{00000000-0005-0000-0000-000020960000}"/>
    <cellStyle name="Normal 334 2 3" xfId="12834" xr:uid="{00000000-0005-0000-0000-000021960000}"/>
    <cellStyle name="Normal 334 2 3 2" xfId="30489" xr:uid="{00000000-0005-0000-0000-000022960000}"/>
    <cellStyle name="Normal 334 2 4" xfId="24101" xr:uid="{00000000-0005-0000-0000-000023960000}"/>
    <cellStyle name="Normal 334 3" xfId="5878" xr:uid="{00000000-0005-0000-0000-000024960000}"/>
    <cellStyle name="Normal 334 3 2" xfId="9178" xr:uid="{00000000-0005-0000-0000-000025960000}"/>
    <cellStyle name="Normal 334 3 2 2" xfId="16973" xr:uid="{00000000-0005-0000-0000-000026960000}"/>
    <cellStyle name="Normal 334 3 2 2 2" xfId="34609" xr:uid="{00000000-0005-0000-0000-000027960000}"/>
    <cellStyle name="Normal 334 3 2 3" xfId="27566" xr:uid="{00000000-0005-0000-0000-000028960000}"/>
    <cellStyle name="Normal 334 3 3" xfId="13734" xr:uid="{00000000-0005-0000-0000-000029960000}"/>
    <cellStyle name="Normal 334 3 3 2" xfId="31374" xr:uid="{00000000-0005-0000-0000-00002A960000}"/>
    <cellStyle name="Normal 334 3 4" xfId="24701" xr:uid="{00000000-0005-0000-0000-00002B960000}"/>
    <cellStyle name="Normal 334 4" xfId="6508" xr:uid="{00000000-0005-0000-0000-00002C960000}"/>
    <cellStyle name="Normal 334 4 2" xfId="9718" xr:uid="{00000000-0005-0000-0000-00002D960000}"/>
    <cellStyle name="Normal 334 4 2 2" xfId="17512" xr:uid="{00000000-0005-0000-0000-00002E960000}"/>
    <cellStyle name="Normal 334 4 2 2 2" xfId="35149" xr:uid="{00000000-0005-0000-0000-00002F960000}"/>
    <cellStyle name="Normal 334 4 2 3" xfId="28102" xr:uid="{00000000-0005-0000-0000-000030960000}"/>
    <cellStyle name="Normal 334 4 3" xfId="14297" xr:uid="{00000000-0005-0000-0000-000031960000}"/>
    <cellStyle name="Normal 334 4 3 2" xfId="31932" xr:uid="{00000000-0005-0000-0000-000032960000}"/>
    <cellStyle name="Normal 334 4 4" xfId="25238" xr:uid="{00000000-0005-0000-0000-000033960000}"/>
    <cellStyle name="Normal 334 5" xfId="7284" xr:uid="{00000000-0005-0000-0000-000034960000}"/>
    <cellStyle name="Normal 334 5 2" xfId="10272" xr:uid="{00000000-0005-0000-0000-000035960000}"/>
    <cellStyle name="Normal 334 5 2 2" xfId="18065" xr:uid="{00000000-0005-0000-0000-000036960000}"/>
    <cellStyle name="Normal 334 5 2 2 2" xfId="35702" xr:uid="{00000000-0005-0000-0000-000037960000}"/>
    <cellStyle name="Normal 334 5 2 3" xfId="28639" xr:uid="{00000000-0005-0000-0000-000038960000}"/>
    <cellStyle name="Normal 334 5 3" xfId="15072" xr:uid="{00000000-0005-0000-0000-000039960000}"/>
    <cellStyle name="Normal 334 5 3 2" xfId="32707" xr:uid="{00000000-0005-0000-0000-00003A960000}"/>
    <cellStyle name="Normal 334 5 4" xfId="25776" xr:uid="{00000000-0005-0000-0000-00003B960000}"/>
    <cellStyle name="Normal 334 6" xfId="7883" xr:uid="{00000000-0005-0000-0000-00003C960000}"/>
    <cellStyle name="Normal 334 6 2" xfId="15680" xr:uid="{00000000-0005-0000-0000-00003D960000}"/>
    <cellStyle name="Normal 334 6 2 2" xfId="33315" xr:uid="{00000000-0005-0000-0000-00003E960000}"/>
    <cellStyle name="Normal 334 6 3" xfId="26299" xr:uid="{00000000-0005-0000-0000-00003F960000}"/>
    <cellStyle name="Normal 334 7" xfId="11830" xr:uid="{00000000-0005-0000-0000-000040960000}"/>
    <cellStyle name="Normal 334 7 2" xfId="29515" xr:uid="{00000000-0005-0000-0000-000041960000}"/>
    <cellStyle name="Normal 334 8" xfId="23434" xr:uid="{00000000-0005-0000-0000-000042960000}"/>
    <cellStyle name="Normal 334 9" xfId="52259" xr:uid="{00000000-0005-0000-0000-000043960000}"/>
    <cellStyle name="Normal 335" xfId="2606" xr:uid="{00000000-0005-0000-0000-000044960000}"/>
    <cellStyle name="Normal 335 2" xfId="4633" xr:uid="{00000000-0005-0000-0000-000045960000}"/>
    <cellStyle name="Normal 335 2 2" xfId="8566" xr:uid="{00000000-0005-0000-0000-000046960000}"/>
    <cellStyle name="Normal 335 2 2 2" xfId="16362" xr:uid="{00000000-0005-0000-0000-000047960000}"/>
    <cellStyle name="Normal 335 2 2 2 2" xfId="33997" xr:uid="{00000000-0005-0000-0000-000048960000}"/>
    <cellStyle name="Normal 335 2 2 3" xfId="26967" xr:uid="{00000000-0005-0000-0000-000049960000}"/>
    <cellStyle name="Normal 335 2 3" xfId="12835" xr:uid="{00000000-0005-0000-0000-00004A960000}"/>
    <cellStyle name="Normal 335 2 3 2" xfId="30490" xr:uid="{00000000-0005-0000-0000-00004B960000}"/>
    <cellStyle name="Normal 335 2 4" xfId="24102" xr:uid="{00000000-0005-0000-0000-00004C960000}"/>
    <cellStyle name="Normal 335 3" xfId="5879" xr:uid="{00000000-0005-0000-0000-00004D960000}"/>
    <cellStyle name="Normal 335 3 2" xfId="9179" xr:uid="{00000000-0005-0000-0000-00004E960000}"/>
    <cellStyle name="Normal 335 3 2 2" xfId="16974" xr:uid="{00000000-0005-0000-0000-00004F960000}"/>
    <cellStyle name="Normal 335 3 2 2 2" xfId="34610" xr:uid="{00000000-0005-0000-0000-000050960000}"/>
    <cellStyle name="Normal 335 3 2 3" xfId="27567" xr:uid="{00000000-0005-0000-0000-000051960000}"/>
    <cellStyle name="Normal 335 3 3" xfId="13735" xr:uid="{00000000-0005-0000-0000-000052960000}"/>
    <cellStyle name="Normal 335 3 3 2" xfId="31375" xr:uid="{00000000-0005-0000-0000-000053960000}"/>
    <cellStyle name="Normal 335 3 4" xfId="24702" xr:uid="{00000000-0005-0000-0000-000054960000}"/>
    <cellStyle name="Normal 335 4" xfId="6509" xr:uid="{00000000-0005-0000-0000-000055960000}"/>
    <cellStyle name="Normal 335 4 2" xfId="9719" xr:uid="{00000000-0005-0000-0000-000056960000}"/>
    <cellStyle name="Normal 335 4 2 2" xfId="17513" xr:uid="{00000000-0005-0000-0000-000057960000}"/>
    <cellStyle name="Normal 335 4 2 2 2" xfId="35150" xr:uid="{00000000-0005-0000-0000-000058960000}"/>
    <cellStyle name="Normal 335 4 2 3" xfId="28103" xr:uid="{00000000-0005-0000-0000-000059960000}"/>
    <cellStyle name="Normal 335 4 3" xfId="14298" xr:uid="{00000000-0005-0000-0000-00005A960000}"/>
    <cellStyle name="Normal 335 4 3 2" xfId="31933" xr:uid="{00000000-0005-0000-0000-00005B960000}"/>
    <cellStyle name="Normal 335 4 4" xfId="25239" xr:uid="{00000000-0005-0000-0000-00005C960000}"/>
    <cellStyle name="Normal 335 5" xfId="7285" xr:uid="{00000000-0005-0000-0000-00005D960000}"/>
    <cellStyle name="Normal 335 5 2" xfId="10273" xr:uid="{00000000-0005-0000-0000-00005E960000}"/>
    <cellStyle name="Normal 335 5 2 2" xfId="18066" xr:uid="{00000000-0005-0000-0000-00005F960000}"/>
    <cellStyle name="Normal 335 5 2 2 2" xfId="35703" xr:uid="{00000000-0005-0000-0000-000060960000}"/>
    <cellStyle name="Normal 335 5 2 3" xfId="28640" xr:uid="{00000000-0005-0000-0000-000061960000}"/>
    <cellStyle name="Normal 335 5 3" xfId="15073" xr:uid="{00000000-0005-0000-0000-000062960000}"/>
    <cellStyle name="Normal 335 5 3 2" xfId="32708" xr:uid="{00000000-0005-0000-0000-000063960000}"/>
    <cellStyle name="Normal 335 5 4" xfId="25777" xr:uid="{00000000-0005-0000-0000-000064960000}"/>
    <cellStyle name="Normal 335 6" xfId="7884" xr:uid="{00000000-0005-0000-0000-000065960000}"/>
    <cellStyle name="Normal 335 6 2" xfId="15681" xr:uid="{00000000-0005-0000-0000-000066960000}"/>
    <cellStyle name="Normal 335 6 2 2" xfId="33316" xr:uid="{00000000-0005-0000-0000-000067960000}"/>
    <cellStyle name="Normal 335 6 3" xfId="26300" xr:uid="{00000000-0005-0000-0000-000068960000}"/>
    <cellStyle name="Normal 335 7" xfId="11831" xr:uid="{00000000-0005-0000-0000-000069960000}"/>
    <cellStyle name="Normal 335 7 2" xfId="29516" xr:uid="{00000000-0005-0000-0000-00006A960000}"/>
    <cellStyle name="Normal 335 8" xfId="23435" xr:uid="{00000000-0005-0000-0000-00006B960000}"/>
    <cellStyle name="Normal 335 9" xfId="52260" xr:uid="{00000000-0005-0000-0000-00006C960000}"/>
    <cellStyle name="Normal 336" xfId="2607" xr:uid="{00000000-0005-0000-0000-00006D960000}"/>
    <cellStyle name="Normal 336 2" xfId="4634" xr:uid="{00000000-0005-0000-0000-00006E960000}"/>
    <cellStyle name="Normal 336 2 2" xfId="8567" xr:uid="{00000000-0005-0000-0000-00006F960000}"/>
    <cellStyle name="Normal 336 2 2 2" xfId="16363" xr:uid="{00000000-0005-0000-0000-000070960000}"/>
    <cellStyle name="Normal 336 2 2 2 2" xfId="33998" xr:uid="{00000000-0005-0000-0000-000071960000}"/>
    <cellStyle name="Normal 336 2 2 3" xfId="26968" xr:uid="{00000000-0005-0000-0000-000072960000}"/>
    <cellStyle name="Normal 336 2 3" xfId="12836" xr:uid="{00000000-0005-0000-0000-000073960000}"/>
    <cellStyle name="Normal 336 2 3 2" xfId="30491" xr:uid="{00000000-0005-0000-0000-000074960000}"/>
    <cellStyle name="Normal 336 2 4" xfId="24103" xr:uid="{00000000-0005-0000-0000-000075960000}"/>
    <cellStyle name="Normal 336 3" xfId="5880" xr:uid="{00000000-0005-0000-0000-000076960000}"/>
    <cellStyle name="Normal 336 3 2" xfId="9180" xr:uid="{00000000-0005-0000-0000-000077960000}"/>
    <cellStyle name="Normal 336 3 2 2" xfId="16975" xr:uid="{00000000-0005-0000-0000-000078960000}"/>
    <cellStyle name="Normal 336 3 2 2 2" xfId="34611" xr:uid="{00000000-0005-0000-0000-000079960000}"/>
    <cellStyle name="Normal 336 3 2 3" xfId="27568" xr:uid="{00000000-0005-0000-0000-00007A960000}"/>
    <cellStyle name="Normal 336 3 3" xfId="13736" xr:uid="{00000000-0005-0000-0000-00007B960000}"/>
    <cellStyle name="Normal 336 3 3 2" xfId="31376" xr:uid="{00000000-0005-0000-0000-00007C960000}"/>
    <cellStyle name="Normal 336 3 4" xfId="24703" xr:uid="{00000000-0005-0000-0000-00007D960000}"/>
    <cellStyle name="Normal 336 4" xfId="6510" xr:uid="{00000000-0005-0000-0000-00007E960000}"/>
    <cellStyle name="Normal 336 4 2" xfId="9720" xr:uid="{00000000-0005-0000-0000-00007F960000}"/>
    <cellStyle name="Normal 336 4 2 2" xfId="17514" xr:uid="{00000000-0005-0000-0000-000080960000}"/>
    <cellStyle name="Normal 336 4 2 2 2" xfId="35151" xr:uid="{00000000-0005-0000-0000-000081960000}"/>
    <cellStyle name="Normal 336 4 2 3" xfId="28104" xr:uid="{00000000-0005-0000-0000-000082960000}"/>
    <cellStyle name="Normal 336 4 3" xfId="14299" xr:uid="{00000000-0005-0000-0000-000083960000}"/>
    <cellStyle name="Normal 336 4 3 2" xfId="31934" xr:uid="{00000000-0005-0000-0000-000084960000}"/>
    <cellStyle name="Normal 336 4 4" xfId="25240" xr:uid="{00000000-0005-0000-0000-000085960000}"/>
    <cellStyle name="Normal 336 5" xfId="7286" xr:uid="{00000000-0005-0000-0000-000086960000}"/>
    <cellStyle name="Normal 336 5 2" xfId="10274" xr:uid="{00000000-0005-0000-0000-000087960000}"/>
    <cellStyle name="Normal 336 5 2 2" xfId="18067" xr:uid="{00000000-0005-0000-0000-000088960000}"/>
    <cellStyle name="Normal 336 5 2 2 2" xfId="35704" xr:uid="{00000000-0005-0000-0000-000089960000}"/>
    <cellStyle name="Normal 336 5 2 3" xfId="28641" xr:uid="{00000000-0005-0000-0000-00008A960000}"/>
    <cellStyle name="Normal 336 5 3" xfId="15074" xr:uid="{00000000-0005-0000-0000-00008B960000}"/>
    <cellStyle name="Normal 336 5 3 2" xfId="32709" xr:uid="{00000000-0005-0000-0000-00008C960000}"/>
    <cellStyle name="Normal 336 5 4" xfId="25778" xr:uid="{00000000-0005-0000-0000-00008D960000}"/>
    <cellStyle name="Normal 336 6" xfId="7885" xr:uid="{00000000-0005-0000-0000-00008E960000}"/>
    <cellStyle name="Normal 336 6 2" xfId="15682" xr:uid="{00000000-0005-0000-0000-00008F960000}"/>
    <cellStyle name="Normal 336 6 2 2" xfId="33317" xr:uid="{00000000-0005-0000-0000-000090960000}"/>
    <cellStyle name="Normal 336 6 3" xfId="26301" xr:uid="{00000000-0005-0000-0000-000091960000}"/>
    <cellStyle name="Normal 336 7" xfId="11832" xr:uid="{00000000-0005-0000-0000-000092960000}"/>
    <cellStyle name="Normal 336 7 2" xfId="29517" xr:uid="{00000000-0005-0000-0000-000093960000}"/>
    <cellStyle name="Normal 336 8" xfId="23436" xr:uid="{00000000-0005-0000-0000-000094960000}"/>
    <cellStyle name="Normal 336 9" xfId="52261" xr:uid="{00000000-0005-0000-0000-000095960000}"/>
    <cellStyle name="Normal 337" xfId="2608" xr:uid="{00000000-0005-0000-0000-000096960000}"/>
    <cellStyle name="Normal 337 2" xfId="4635" xr:uid="{00000000-0005-0000-0000-000097960000}"/>
    <cellStyle name="Normal 337 2 2" xfId="8568" xr:uid="{00000000-0005-0000-0000-000098960000}"/>
    <cellStyle name="Normal 337 2 2 2" xfId="16364" xr:uid="{00000000-0005-0000-0000-000099960000}"/>
    <cellStyle name="Normal 337 2 2 2 2" xfId="33999" xr:uid="{00000000-0005-0000-0000-00009A960000}"/>
    <cellStyle name="Normal 337 2 2 3" xfId="26969" xr:uid="{00000000-0005-0000-0000-00009B960000}"/>
    <cellStyle name="Normal 337 2 3" xfId="12837" xr:uid="{00000000-0005-0000-0000-00009C960000}"/>
    <cellStyle name="Normal 337 2 3 2" xfId="30492" xr:uid="{00000000-0005-0000-0000-00009D960000}"/>
    <cellStyle name="Normal 337 2 4" xfId="24104" xr:uid="{00000000-0005-0000-0000-00009E960000}"/>
    <cellStyle name="Normal 337 3" xfId="5881" xr:uid="{00000000-0005-0000-0000-00009F960000}"/>
    <cellStyle name="Normal 337 3 2" xfId="9181" xr:uid="{00000000-0005-0000-0000-0000A0960000}"/>
    <cellStyle name="Normal 337 3 2 2" xfId="16976" xr:uid="{00000000-0005-0000-0000-0000A1960000}"/>
    <cellStyle name="Normal 337 3 2 2 2" xfId="34612" xr:uid="{00000000-0005-0000-0000-0000A2960000}"/>
    <cellStyle name="Normal 337 3 2 3" xfId="27569" xr:uid="{00000000-0005-0000-0000-0000A3960000}"/>
    <cellStyle name="Normal 337 3 3" xfId="13737" xr:uid="{00000000-0005-0000-0000-0000A4960000}"/>
    <cellStyle name="Normal 337 3 3 2" xfId="31377" xr:uid="{00000000-0005-0000-0000-0000A5960000}"/>
    <cellStyle name="Normal 337 3 4" xfId="24704" xr:uid="{00000000-0005-0000-0000-0000A6960000}"/>
    <cellStyle name="Normal 337 4" xfId="6511" xr:uid="{00000000-0005-0000-0000-0000A7960000}"/>
    <cellStyle name="Normal 337 4 2" xfId="9721" xr:uid="{00000000-0005-0000-0000-0000A8960000}"/>
    <cellStyle name="Normal 337 4 2 2" xfId="17515" xr:uid="{00000000-0005-0000-0000-0000A9960000}"/>
    <cellStyle name="Normal 337 4 2 2 2" xfId="35152" xr:uid="{00000000-0005-0000-0000-0000AA960000}"/>
    <cellStyle name="Normal 337 4 2 3" xfId="28105" xr:uid="{00000000-0005-0000-0000-0000AB960000}"/>
    <cellStyle name="Normal 337 4 3" xfId="14300" xr:uid="{00000000-0005-0000-0000-0000AC960000}"/>
    <cellStyle name="Normal 337 4 3 2" xfId="31935" xr:uid="{00000000-0005-0000-0000-0000AD960000}"/>
    <cellStyle name="Normal 337 4 4" xfId="25241" xr:uid="{00000000-0005-0000-0000-0000AE960000}"/>
    <cellStyle name="Normal 337 5" xfId="7287" xr:uid="{00000000-0005-0000-0000-0000AF960000}"/>
    <cellStyle name="Normal 337 5 2" xfId="10275" xr:uid="{00000000-0005-0000-0000-0000B0960000}"/>
    <cellStyle name="Normal 337 5 2 2" xfId="18068" xr:uid="{00000000-0005-0000-0000-0000B1960000}"/>
    <cellStyle name="Normal 337 5 2 2 2" xfId="35705" xr:uid="{00000000-0005-0000-0000-0000B2960000}"/>
    <cellStyle name="Normal 337 5 2 3" xfId="28642" xr:uid="{00000000-0005-0000-0000-0000B3960000}"/>
    <cellStyle name="Normal 337 5 3" xfId="15075" xr:uid="{00000000-0005-0000-0000-0000B4960000}"/>
    <cellStyle name="Normal 337 5 3 2" xfId="32710" xr:uid="{00000000-0005-0000-0000-0000B5960000}"/>
    <cellStyle name="Normal 337 5 4" xfId="25779" xr:uid="{00000000-0005-0000-0000-0000B6960000}"/>
    <cellStyle name="Normal 337 6" xfId="7886" xr:uid="{00000000-0005-0000-0000-0000B7960000}"/>
    <cellStyle name="Normal 337 6 2" xfId="15683" xr:uid="{00000000-0005-0000-0000-0000B8960000}"/>
    <cellStyle name="Normal 337 6 2 2" xfId="33318" xr:uid="{00000000-0005-0000-0000-0000B9960000}"/>
    <cellStyle name="Normal 337 6 3" xfId="26302" xr:uid="{00000000-0005-0000-0000-0000BA960000}"/>
    <cellStyle name="Normal 337 7" xfId="11833" xr:uid="{00000000-0005-0000-0000-0000BB960000}"/>
    <cellStyle name="Normal 337 7 2" xfId="29518" xr:uid="{00000000-0005-0000-0000-0000BC960000}"/>
    <cellStyle name="Normal 337 8" xfId="23437" xr:uid="{00000000-0005-0000-0000-0000BD960000}"/>
    <cellStyle name="Normal 337 9" xfId="52262" xr:uid="{00000000-0005-0000-0000-0000BE960000}"/>
    <cellStyle name="Normal 338" xfId="2609" xr:uid="{00000000-0005-0000-0000-0000BF960000}"/>
    <cellStyle name="Normal 338 2" xfId="4636" xr:uid="{00000000-0005-0000-0000-0000C0960000}"/>
    <cellStyle name="Normal 338 2 2" xfId="8569" xr:uid="{00000000-0005-0000-0000-0000C1960000}"/>
    <cellStyle name="Normal 338 2 2 2" xfId="16365" xr:uid="{00000000-0005-0000-0000-0000C2960000}"/>
    <cellStyle name="Normal 338 2 2 2 2" xfId="34000" xr:uid="{00000000-0005-0000-0000-0000C3960000}"/>
    <cellStyle name="Normal 338 2 2 3" xfId="26970" xr:uid="{00000000-0005-0000-0000-0000C4960000}"/>
    <cellStyle name="Normal 338 2 3" xfId="12838" xr:uid="{00000000-0005-0000-0000-0000C5960000}"/>
    <cellStyle name="Normal 338 2 3 2" xfId="30493" xr:uid="{00000000-0005-0000-0000-0000C6960000}"/>
    <cellStyle name="Normal 338 2 4" xfId="24105" xr:uid="{00000000-0005-0000-0000-0000C7960000}"/>
    <cellStyle name="Normal 338 3" xfId="5882" xr:uid="{00000000-0005-0000-0000-0000C8960000}"/>
    <cellStyle name="Normal 338 3 2" xfId="9182" xr:uid="{00000000-0005-0000-0000-0000C9960000}"/>
    <cellStyle name="Normal 338 3 2 2" xfId="16977" xr:uid="{00000000-0005-0000-0000-0000CA960000}"/>
    <cellStyle name="Normal 338 3 2 2 2" xfId="34613" xr:uid="{00000000-0005-0000-0000-0000CB960000}"/>
    <cellStyle name="Normal 338 3 2 3" xfId="27570" xr:uid="{00000000-0005-0000-0000-0000CC960000}"/>
    <cellStyle name="Normal 338 3 3" xfId="13738" xr:uid="{00000000-0005-0000-0000-0000CD960000}"/>
    <cellStyle name="Normal 338 3 3 2" xfId="31378" xr:uid="{00000000-0005-0000-0000-0000CE960000}"/>
    <cellStyle name="Normal 338 3 4" xfId="24705" xr:uid="{00000000-0005-0000-0000-0000CF960000}"/>
    <cellStyle name="Normal 338 4" xfId="6512" xr:uid="{00000000-0005-0000-0000-0000D0960000}"/>
    <cellStyle name="Normal 338 4 2" xfId="9722" xr:uid="{00000000-0005-0000-0000-0000D1960000}"/>
    <cellStyle name="Normal 338 4 2 2" xfId="17516" xr:uid="{00000000-0005-0000-0000-0000D2960000}"/>
    <cellStyle name="Normal 338 4 2 2 2" xfId="35153" xr:uid="{00000000-0005-0000-0000-0000D3960000}"/>
    <cellStyle name="Normal 338 4 2 3" xfId="28106" xr:uid="{00000000-0005-0000-0000-0000D4960000}"/>
    <cellStyle name="Normal 338 4 3" xfId="14301" xr:uid="{00000000-0005-0000-0000-0000D5960000}"/>
    <cellStyle name="Normal 338 4 3 2" xfId="31936" xr:uid="{00000000-0005-0000-0000-0000D6960000}"/>
    <cellStyle name="Normal 338 4 4" xfId="25242" xr:uid="{00000000-0005-0000-0000-0000D7960000}"/>
    <cellStyle name="Normal 338 5" xfId="7288" xr:uid="{00000000-0005-0000-0000-0000D8960000}"/>
    <cellStyle name="Normal 338 5 2" xfId="10276" xr:uid="{00000000-0005-0000-0000-0000D9960000}"/>
    <cellStyle name="Normal 338 5 2 2" xfId="18069" xr:uid="{00000000-0005-0000-0000-0000DA960000}"/>
    <cellStyle name="Normal 338 5 2 2 2" xfId="35706" xr:uid="{00000000-0005-0000-0000-0000DB960000}"/>
    <cellStyle name="Normal 338 5 2 3" xfId="28643" xr:uid="{00000000-0005-0000-0000-0000DC960000}"/>
    <cellStyle name="Normal 338 5 3" xfId="15076" xr:uid="{00000000-0005-0000-0000-0000DD960000}"/>
    <cellStyle name="Normal 338 5 3 2" xfId="32711" xr:uid="{00000000-0005-0000-0000-0000DE960000}"/>
    <cellStyle name="Normal 338 5 4" xfId="25780" xr:uid="{00000000-0005-0000-0000-0000DF960000}"/>
    <cellStyle name="Normal 338 6" xfId="7887" xr:uid="{00000000-0005-0000-0000-0000E0960000}"/>
    <cellStyle name="Normal 338 6 2" xfId="15684" xr:uid="{00000000-0005-0000-0000-0000E1960000}"/>
    <cellStyle name="Normal 338 6 2 2" xfId="33319" xr:uid="{00000000-0005-0000-0000-0000E2960000}"/>
    <cellStyle name="Normal 338 6 3" xfId="26303" xr:uid="{00000000-0005-0000-0000-0000E3960000}"/>
    <cellStyle name="Normal 338 7" xfId="11834" xr:uid="{00000000-0005-0000-0000-0000E4960000}"/>
    <cellStyle name="Normal 338 7 2" xfId="29519" xr:uid="{00000000-0005-0000-0000-0000E5960000}"/>
    <cellStyle name="Normal 338 8" xfId="23438" xr:uid="{00000000-0005-0000-0000-0000E6960000}"/>
    <cellStyle name="Normal 338 9" xfId="52263" xr:uid="{00000000-0005-0000-0000-0000E7960000}"/>
    <cellStyle name="Normal 339" xfId="2610" xr:uid="{00000000-0005-0000-0000-0000E8960000}"/>
    <cellStyle name="Normal 339 2" xfId="4637" xr:uid="{00000000-0005-0000-0000-0000E9960000}"/>
    <cellStyle name="Normal 339 2 2" xfId="8570" xr:uid="{00000000-0005-0000-0000-0000EA960000}"/>
    <cellStyle name="Normal 339 2 2 2" xfId="16366" xr:uid="{00000000-0005-0000-0000-0000EB960000}"/>
    <cellStyle name="Normal 339 2 2 2 2" xfId="34001" xr:uid="{00000000-0005-0000-0000-0000EC960000}"/>
    <cellStyle name="Normal 339 2 2 3" xfId="26971" xr:uid="{00000000-0005-0000-0000-0000ED960000}"/>
    <cellStyle name="Normal 339 2 3" xfId="12839" xr:uid="{00000000-0005-0000-0000-0000EE960000}"/>
    <cellStyle name="Normal 339 2 3 2" xfId="30494" xr:uid="{00000000-0005-0000-0000-0000EF960000}"/>
    <cellStyle name="Normal 339 2 4" xfId="24106" xr:uid="{00000000-0005-0000-0000-0000F0960000}"/>
    <cellStyle name="Normal 339 3" xfId="5883" xr:uid="{00000000-0005-0000-0000-0000F1960000}"/>
    <cellStyle name="Normal 339 3 2" xfId="9183" xr:uid="{00000000-0005-0000-0000-0000F2960000}"/>
    <cellStyle name="Normal 339 3 2 2" xfId="16978" xr:uid="{00000000-0005-0000-0000-0000F3960000}"/>
    <cellStyle name="Normal 339 3 2 2 2" xfId="34614" xr:uid="{00000000-0005-0000-0000-0000F4960000}"/>
    <cellStyle name="Normal 339 3 2 3" xfId="27571" xr:uid="{00000000-0005-0000-0000-0000F5960000}"/>
    <cellStyle name="Normal 339 3 3" xfId="13739" xr:uid="{00000000-0005-0000-0000-0000F6960000}"/>
    <cellStyle name="Normal 339 3 3 2" xfId="31379" xr:uid="{00000000-0005-0000-0000-0000F7960000}"/>
    <cellStyle name="Normal 339 3 4" xfId="24706" xr:uid="{00000000-0005-0000-0000-0000F8960000}"/>
    <cellStyle name="Normal 339 4" xfId="6513" xr:uid="{00000000-0005-0000-0000-0000F9960000}"/>
    <cellStyle name="Normal 339 4 2" xfId="9723" xr:uid="{00000000-0005-0000-0000-0000FA960000}"/>
    <cellStyle name="Normal 339 4 2 2" xfId="17517" xr:uid="{00000000-0005-0000-0000-0000FB960000}"/>
    <cellStyle name="Normal 339 4 2 2 2" xfId="35154" xr:uid="{00000000-0005-0000-0000-0000FC960000}"/>
    <cellStyle name="Normal 339 4 2 3" xfId="28107" xr:uid="{00000000-0005-0000-0000-0000FD960000}"/>
    <cellStyle name="Normal 339 4 3" xfId="14302" xr:uid="{00000000-0005-0000-0000-0000FE960000}"/>
    <cellStyle name="Normal 339 4 3 2" xfId="31937" xr:uid="{00000000-0005-0000-0000-0000FF960000}"/>
    <cellStyle name="Normal 339 4 4" xfId="25243" xr:uid="{00000000-0005-0000-0000-000000970000}"/>
    <cellStyle name="Normal 339 5" xfId="7289" xr:uid="{00000000-0005-0000-0000-000001970000}"/>
    <cellStyle name="Normal 339 5 2" xfId="10277" xr:uid="{00000000-0005-0000-0000-000002970000}"/>
    <cellStyle name="Normal 339 5 2 2" xfId="18070" xr:uid="{00000000-0005-0000-0000-000003970000}"/>
    <cellStyle name="Normal 339 5 2 2 2" xfId="35707" xr:uid="{00000000-0005-0000-0000-000004970000}"/>
    <cellStyle name="Normal 339 5 2 3" xfId="28644" xr:uid="{00000000-0005-0000-0000-000005970000}"/>
    <cellStyle name="Normal 339 5 3" xfId="15077" xr:uid="{00000000-0005-0000-0000-000006970000}"/>
    <cellStyle name="Normal 339 5 3 2" xfId="32712" xr:uid="{00000000-0005-0000-0000-000007970000}"/>
    <cellStyle name="Normal 339 5 4" xfId="25781" xr:uid="{00000000-0005-0000-0000-000008970000}"/>
    <cellStyle name="Normal 339 6" xfId="7888" xr:uid="{00000000-0005-0000-0000-000009970000}"/>
    <cellStyle name="Normal 339 6 2" xfId="15685" xr:uid="{00000000-0005-0000-0000-00000A970000}"/>
    <cellStyle name="Normal 339 6 2 2" xfId="33320" xr:uid="{00000000-0005-0000-0000-00000B970000}"/>
    <cellStyle name="Normal 339 6 3" xfId="26304" xr:uid="{00000000-0005-0000-0000-00000C970000}"/>
    <cellStyle name="Normal 339 7" xfId="11835" xr:uid="{00000000-0005-0000-0000-00000D970000}"/>
    <cellStyle name="Normal 339 7 2" xfId="29520" xr:uid="{00000000-0005-0000-0000-00000E970000}"/>
    <cellStyle name="Normal 339 8" xfId="23439" xr:uid="{00000000-0005-0000-0000-00000F970000}"/>
    <cellStyle name="Normal 339 9" xfId="52264" xr:uid="{00000000-0005-0000-0000-000010970000}"/>
    <cellStyle name="Normal 34" xfId="2611" xr:uid="{00000000-0005-0000-0000-000011970000}"/>
    <cellStyle name="Normal 34 2" xfId="2612" xr:uid="{00000000-0005-0000-0000-000012970000}"/>
    <cellStyle name="Normal 34 2 2" xfId="4639" xr:uid="{00000000-0005-0000-0000-000013970000}"/>
    <cellStyle name="Normal 34 2 3" xfId="22774" xr:uid="{00000000-0005-0000-0000-000014970000}"/>
    <cellStyle name="Normal 34 2 3 2" xfId="38981" xr:uid="{00000000-0005-0000-0000-000015970000}"/>
    <cellStyle name="Normal 34 2 4" xfId="52266" xr:uid="{00000000-0005-0000-0000-000016970000}"/>
    <cellStyle name="Normal 34 3" xfId="4638" xr:uid="{00000000-0005-0000-0000-000017970000}"/>
    <cellStyle name="Normal 34 4" xfId="22565" xr:uid="{00000000-0005-0000-0000-000018970000}"/>
    <cellStyle name="Normal 34 4 2" xfId="38876" xr:uid="{00000000-0005-0000-0000-000019970000}"/>
    <cellStyle name="Normal 34 5" xfId="52265" xr:uid="{00000000-0005-0000-0000-00001A970000}"/>
    <cellStyle name="Normal 340" xfId="2613" xr:uid="{00000000-0005-0000-0000-00001B970000}"/>
    <cellStyle name="Normal 340 2" xfId="4640" xr:uid="{00000000-0005-0000-0000-00001C970000}"/>
    <cellStyle name="Normal 340 2 2" xfId="8571" xr:uid="{00000000-0005-0000-0000-00001D970000}"/>
    <cellStyle name="Normal 340 2 2 2" xfId="16367" xr:uid="{00000000-0005-0000-0000-00001E970000}"/>
    <cellStyle name="Normal 340 2 2 2 2" xfId="34002" xr:uid="{00000000-0005-0000-0000-00001F970000}"/>
    <cellStyle name="Normal 340 2 2 3" xfId="26972" xr:uid="{00000000-0005-0000-0000-000020970000}"/>
    <cellStyle name="Normal 340 2 3" xfId="12840" xr:uid="{00000000-0005-0000-0000-000021970000}"/>
    <cellStyle name="Normal 340 2 3 2" xfId="30495" xr:uid="{00000000-0005-0000-0000-000022970000}"/>
    <cellStyle name="Normal 340 2 4" xfId="24107" xr:uid="{00000000-0005-0000-0000-000023970000}"/>
    <cellStyle name="Normal 340 3" xfId="5884" xr:uid="{00000000-0005-0000-0000-000024970000}"/>
    <cellStyle name="Normal 340 3 2" xfId="9184" xr:uid="{00000000-0005-0000-0000-000025970000}"/>
    <cellStyle name="Normal 340 3 2 2" xfId="16979" xr:uid="{00000000-0005-0000-0000-000026970000}"/>
    <cellStyle name="Normal 340 3 2 2 2" xfId="34615" xr:uid="{00000000-0005-0000-0000-000027970000}"/>
    <cellStyle name="Normal 340 3 2 3" xfId="27572" xr:uid="{00000000-0005-0000-0000-000028970000}"/>
    <cellStyle name="Normal 340 3 3" xfId="13740" xr:uid="{00000000-0005-0000-0000-000029970000}"/>
    <cellStyle name="Normal 340 3 3 2" xfId="31380" xr:uid="{00000000-0005-0000-0000-00002A970000}"/>
    <cellStyle name="Normal 340 3 4" xfId="24707" xr:uid="{00000000-0005-0000-0000-00002B970000}"/>
    <cellStyle name="Normal 340 4" xfId="6514" xr:uid="{00000000-0005-0000-0000-00002C970000}"/>
    <cellStyle name="Normal 340 4 2" xfId="9724" xr:uid="{00000000-0005-0000-0000-00002D970000}"/>
    <cellStyle name="Normal 340 4 2 2" xfId="17518" xr:uid="{00000000-0005-0000-0000-00002E970000}"/>
    <cellStyle name="Normal 340 4 2 2 2" xfId="35155" xr:uid="{00000000-0005-0000-0000-00002F970000}"/>
    <cellStyle name="Normal 340 4 2 3" xfId="28108" xr:uid="{00000000-0005-0000-0000-000030970000}"/>
    <cellStyle name="Normal 340 4 3" xfId="14303" xr:uid="{00000000-0005-0000-0000-000031970000}"/>
    <cellStyle name="Normal 340 4 3 2" xfId="31938" xr:uid="{00000000-0005-0000-0000-000032970000}"/>
    <cellStyle name="Normal 340 4 4" xfId="25244" xr:uid="{00000000-0005-0000-0000-000033970000}"/>
    <cellStyle name="Normal 340 5" xfId="7290" xr:uid="{00000000-0005-0000-0000-000034970000}"/>
    <cellStyle name="Normal 340 5 2" xfId="10278" xr:uid="{00000000-0005-0000-0000-000035970000}"/>
    <cellStyle name="Normal 340 5 2 2" xfId="18071" xr:uid="{00000000-0005-0000-0000-000036970000}"/>
    <cellStyle name="Normal 340 5 2 2 2" xfId="35708" xr:uid="{00000000-0005-0000-0000-000037970000}"/>
    <cellStyle name="Normal 340 5 2 3" xfId="28645" xr:uid="{00000000-0005-0000-0000-000038970000}"/>
    <cellStyle name="Normal 340 5 3" xfId="15078" xr:uid="{00000000-0005-0000-0000-000039970000}"/>
    <cellStyle name="Normal 340 5 3 2" xfId="32713" xr:uid="{00000000-0005-0000-0000-00003A970000}"/>
    <cellStyle name="Normal 340 5 4" xfId="25782" xr:uid="{00000000-0005-0000-0000-00003B970000}"/>
    <cellStyle name="Normal 340 6" xfId="7889" xr:uid="{00000000-0005-0000-0000-00003C970000}"/>
    <cellStyle name="Normal 340 6 2" xfId="15686" xr:uid="{00000000-0005-0000-0000-00003D970000}"/>
    <cellStyle name="Normal 340 6 2 2" xfId="33321" xr:uid="{00000000-0005-0000-0000-00003E970000}"/>
    <cellStyle name="Normal 340 6 3" xfId="26305" xr:uid="{00000000-0005-0000-0000-00003F970000}"/>
    <cellStyle name="Normal 340 7" xfId="11836" xr:uid="{00000000-0005-0000-0000-000040970000}"/>
    <cellStyle name="Normal 340 7 2" xfId="29521" xr:uid="{00000000-0005-0000-0000-000041970000}"/>
    <cellStyle name="Normal 340 8" xfId="23440" xr:uid="{00000000-0005-0000-0000-000042970000}"/>
    <cellStyle name="Normal 340 9" xfId="52267" xr:uid="{00000000-0005-0000-0000-000043970000}"/>
    <cellStyle name="Normal 341" xfId="2614" xr:uid="{00000000-0005-0000-0000-000044970000}"/>
    <cellStyle name="Normal 341 2" xfId="4641" xr:uid="{00000000-0005-0000-0000-000045970000}"/>
    <cellStyle name="Normal 341 2 2" xfId="8572" xr:uid="{00000000-0005-0000-0000-000046970000}"/>
    <cellStyle name="Normal 341 2 2 2" xfId="16368" xr:uid="{00000000-0005-0000-0000-000047970000}"/>
    <cellStyle name="Normal 341 2 2 2 2" xfId="34003" xr:uid="{00000000-0005-0000-0000-000048970000}"/>
    <cellStyle name="Normal 341 2 2 3" xfId="26973" xr:uid="{00000000-0005-0000-0000-000049970000}"/>
    <cellStyle name="Normal 341 2 3" xfId="12841" xr:uid="{00000000-0005-0000-0000-00004A970000}"/>
    <cellStyle name="Normal 341 2 3 2" xfId="30496" xr:uid="{00000000-0005-0000-0000-00004B970000}"/>
    <cellStyle name="Normal 341 2 4" xfId="24108" xr:uid="{00000000-0005-0000-0000-00004C970000}"/>
    <cellStyle name="Normal 341 3" xfId="5885" xr:uid="{00000000-0005-0000-0000-00004D970000}"/>
    <cellStyle name="Normal 341 3 2" xfId="9185" xr:uid="{00000000-0005-0000-0000-00004E970000}"/>
    <cellStyle name="Normal 341 3 2 2" xfId="16980" xr:uid="{00000000-0005-0000-0000-00004F970000}"/>
    <cellStyle name="Normal 341 3 2 2 2" xfId="34616" xr:uid="{00000000-0005-0000-0000-000050970000}"/>
    <cellStyle name="Normal 341 3 2 3" xfId="27573" xr:uid="{00000000-0005-0000-0000-000051970000}"/>
    <cellStyle name="Normal 341 3 3" xfId="13741" xr:uid="{00000000-0005-0000-0000-000052970000}"/>
    <cellStyle name="Normal 341 3 3 2" xfId="31381" xr:uid="{00000000-0005-0000-0000-000053970000}"/>
    <cellStyle name="Normal 341 3 4" xfId="24708" xr:uid="{00000000-0005-0000-0000-000054970000}"/>
    <cellStyle name="Normal 341 4" xfId="6515" xr:uid="{00000000-0005-0000-0000-000055970000}"/>
    <cellStyle name="Normal 341 4 2" xfId="9725" xr:uid="{00000000-0005-0000-0000-000056970000}"/>
    <cellStyle name="Normal 341 4 2 2" xfId="17519" xr:uid="{00000000-0005-0000-0000-000057970000}"/>
    <cellStyle name="Normal 341 4 2 2 2" xfId="35156" xr:uid="{00000000-0005-0000-0000-000058970000}"/>
    <cellStyle name="Normal 341 4 2 3" xfId="28109" xr:uid="{00000000-0005-0000-0000-000059970000}"/>
    <cellStyle name="Normal 341 4 3" xfId="14304" xr:uid="{00000000-0005-0000-0000-00005A970000}"/>
    <cellStyle name="Normal 341 4 3 2" xfId="31939" xr:uid="{00000000-0005-0000-0000-00005B970000}"/>
    <cellStyle name="Normal 341 4 4" xfId="25245" xr:uid="{00000000-0005-0000-0000-00005C970000}"/>
    <cellStyle name="Normal 341 5" xfId="7291" xr:uid="{00000000-0005-0000-0000-00005D970000}"/>
    <cellStyle name="Normal 341 5 2" xfId="10279" xr:uid="{00000000-0005-0000-0000-00005E970000}"/>
    <cellStyle name="Normal 341 5 2 2" xfId="18072" xr:uid="{00000000-0005-0000-0000-00005F970000}"/>
    <cellStyle name="Normal 341 5 2 2 2" xfId="35709" xr:uid="{00000000-0005-0000-0000-000060970000}"/>
    <cellStyle name="Normal 341 5 2 3" xfId="28646" xr:uid="{00000000-0005-0000-0000-000061970000}"/>
    <cellStyle name="Normal 341 5 3" xfId="15079" xr:uid="{00000000-0005-0000-0000-000062970000}"/>
    <cellStyle name="Normal 341 5 3 2" xfId="32714" xr:uid="{00000000-0005-0000-0000-000063970000}"/>
    <cellStyle name="Normal 341 5 4" xfId="25783" xr:uid="{00000000-0005-0000-0000-000064970000}"/>
    <cellStyle name="Normal 341 6" xfId="7890" xr:uid="{00000000-0005-0000-0000-000065970000}"/>
    <cellStyle name="Normal 341 6 2" xfId="15687" xr:uid="{00000000-0005-0000-0000-000066970000}"/>
    <cellStyle name="Normal 341 6 2 2" xfId="33322" xr:uid="{00000000-0005-0000-0000-000067970000}"/>
    <cellStyle name="Normal 341 6 3" xfId="26306" xr:uid="{00000000-0005-0000-0000-000068970000}"/>
    <cellStyle name="Normal 341 7" xfId="11837" xr:uid="{00000000-0005-0000-0000-000069970000}"/>
    <cellStyle name="Normal 341 7 2" xfId="29522" xr:uid="{00000000-0005-0000-0000-00006A970000}"/>
    <cellStyle name="Normal 341 8" xfId="23441" xr:uid="{00000000-0005-0000-0000-00006B970000}"/>
    <cellStyle name="Normal 341 9" xfId="52268" xr:uid="{00000000-0005-0000-0000-00006C970000}"/>
    <cellStyle name="Normal 342" xfId="2615" xr:uid="{00000000-0005-0000-0000-00006D970000}"/>
    <cellStyle name="Normal 342 2" xfId="4642" xr:uid="{00000000-0005-0000-0000-00006E970000}"/>
    <cellStyle name="Normal 342 2 2" xfId="8573" xr:uid="{00000000-0005-0000-0000-00006F970000}"/>
    <cellStyle name="Normal 342 2 2 2" xfId="16369" xr:uid="{00000000-0005-0000-0000-000070970000}"/>
    <cellStyle name="Normal 342 2 2 2 2" xfId="34004" xr:uid="{00000000-0005-0000-0000-000071970000}"/>
    <cellStyle name="Normal 342 2 2 3" xfId="26974" xr:uid="{00000000-0005-0000-0000-000072970000}"/>
    <cellStyle name="Normal 342 2 3" xfId="12842" xr:uid="{00000000-0005-0000-0000-000073970000}"/>
    <cellStyle name="Normal 342 2 3 2" xfId="30497" xr:uid="{00000000-0005-0000-0000-000074970000}"/>
    <cellStyle name="Normal 342 2 4" xfId="24109" xr:uid="{00000000-0005-0000-0000-000075970000}"/>
    <cellStyle name="Normal 342 3" xfId="5886" xr:uid="{00000000-0005-0000-0000-000076970000}"/>
    <cellStyle name="Normal 342 3 2" xfId="9186" xr:uid="{00000000-0005-0000-0000-000077970000}"/>
    <cellStyle name="Normal 342 3 2 2" xfId="16981" xr:uid="{00000000-0005-0000-0000-000078970000}"/>
    <cellStyle name="Normal 342 3 2 2 2" xfId="34617" xr:uid="{00000000-0005-0000-0000-000079970000}"/>
    <cellStyle name="Normal 342 3 2 3" xfId="27574" xr:uid="{00000000-0005-0000-0000-00007A970000}"/>
    <cellStyle name="Normal 342 3 3" xfId="13742" xr:uid="{00000000-0005-0000-0000-00007B970000}"/>
    <cellStyle name="Normal 342 3 3 2" xfId="31382" xr:uid="{00000000-0005-0000-0000-00007C970000}"/>
    <cellStyle name="Normal 342 3 4" xfId="24709" xr:uid="{00000000-0005-0000-0000-00007D970000}"/>
    <cellStyle name="Normal 342 4" xfId="6516" xr:uid="{00000000-0005-0000-0000-00007E970000}"/>
    <cellStyle name="Normal 342 4 2" xfId="9726" xr:uid="{00000000-0005-0000-0000-00007F970000}"/>
    <cellStyle name="Normal 342 4 2 2" xfId="17520" xr:uid="{00000000-0005-0000-0000-000080970000}"/>
    <cellStyle name="Normal 342 4 2 2 2" xfId="35157" xr:uid="{00000000-0005-0000-0000-000081970000}"/>
    <cellStyle name="Normal 342 4 2 3" xfId="28110" xr:uid="{00000000-0005-0000-0000-000082970000}"/>
    <cellStyle name="Normal 342 4 3" xfId="14305" xr:uid="{00000000-0005-0000-0000-000083970000}"/>
    <cellStyle name="Normal 342 4 3 2" xfId="31940" xr:uid="{00000000-0005-0000-0000-000084970000}"/>
    <cellStyle name="Normal 342 4 4" xfId="25246" xr:uid="{00000000-0005-0000-0000-000085970000}"/>
    <cellStyle name="Normal 342 5" xfId="7292" xr:uid="{00000000-0005-0000-0000-000086970000}"/>
    <cellStyle name="Normal 342 5 2" xfId="10280" xr:uid="{00000000-0005-0000-0000-000087970000}"/>
    <cellStyle name="Normal 342 5 2 2" xfId="18073" xr:uid="{00000000-0005-0000-0000-000088970000}"/>
    <cellStyle name="Normal 342 5 2 2 2" xfId="35710" xr:uid="{00000000-0005-0000-0000-000089970000}"/>
    <cellStyle name="Normal 342 5 2 3" xfId="28647" xr:uid="{00000000-0005-0000-0000-00008A970000}"/>
    <cellStyle name="Normal 342 5 3" xfId="15080" xr:uid="{00000000-0005-0000-0000-00008B970000}"/>
    <cellStyle name="Normal 342 5 3 2" xfId="32715" xr:uid="{00000000-0005-0000-0000-00008C970000}"/>
    <cellStyle name="Normal 342 5 4" xfId="25784" xr:uid="{00000000-0005-0000-0000-00008D970000}"/>
    <cellStyle name="Normal 342 6" xfId="7891" xr:uid="{00000000-0005-0000-0000-00008E970000}"/>
    <cellStyle name="Normal 342 6 2" xfId="15688" xr:uid="{00000000-0005-0000-0000-00008F970000}"/>
    <cellStyle name="Normal 342 6 2 2" xfId="33323" xr:uid="{00000000-0005-0000-0000-000090970000}"/>
    <cellStyle name="Normal 342 6 3" xfId="26307" xr:uid="{00000000-0005-0000-0000-000091970000}"/>
    <cellStyle name="Normal 342 7" xfId="11838" xr:uid="{00000000-0005-0000-0000-000092970000}"/>
    <cellStyle name="Normal 342 7 2" xfId="29523" xr:uid="{00000000-0005-0000-0000-000093970000}"/>
    <cellStyle name="Normal 342 8" xfId="23442" xr:uid="{00000000-0005-0000-0000-000094970000}"/>
    <cellStyle name="Normal 342 9" xfId="52269" xr:uid="{00000000-0005-0000-0000-000095970000}"/>
    <cellStyle name="Normal 343" xfId="2616" xr:uid="{00000000-0005-0000-0000-000096970000}"/>
    <cellStyle name="Normal 343 2" xfId="4643" xr:uid="{00000000-0005-0000-0000-000097970000}"/>
    <cellStyle name="Normal 343 2 2" xfId="8574" xr:uid="{00000000-0005-0000-0000-000098970000}"/>
    <cellStyle name="Normal 343 2 2 2" xfId="16370" xr:uid="{00000000-0005-0000-0000-000099970000}"/>
    <cellStyle name="Normal 343 2 2 2 2" xfId="34005" xr:uid="{00000000-0005-0000-0000-00009A970000}"/>
    <cellStyle name="Normal 343 2 2 3" xfId="26975" xr:uid="{00000000-0005-0000-0000-00009B970000}"/>
    <cellStyle name="Normal 343 2 3" xfId="12843" xr:uid="{00000000-0005-0000-0000-00009C970000}"/>
    <cellStyle name="Normal 343 2 3 2" xfId="30498" xr:uid="{00000000-0005-0000-0000-00009D970000}"/>
    <cellStyle name="Normal 343 2 4" xfId="24110" xr:uid="{00000000-0005-0000-0000-00009E970000}"/>
    <cellStyle name="Normal 343 3" xfId="5887" xr:uid="{00000000-0005-0000-0000-00009F970000}"/>
    <cellStyle name="Normal 343 3 2" xfId="9187" xr:uid="{00000000-0005-0000-0000-0000A0970000}"/>
    <cellStyle name="Normal 343 3 2 2" xfId="16982" xr:uid="{00000000-0005-0000-0000-0000A1970000}"/>
    <cellStyle name="Normal 343 3 2 2 2" xfId="34618" xr:uid="{00000000-0005-0000-0000-0000A2970000}"/>
    <cellStyle name="Normal 343 3 2 3" xfId="27575" xr:uid="{00000000-0005-0000-0000-0000A3970000}"/>
    <cellStyle name="Normal 343 3 3" xfId="13743" xr:uid="{00000000-0005-0000-0000-0000A4970000}"/>
    <cellStyle name="Normal 343 3 3 2" xfId="31383" xr:uid="{00000000-0005-0000-0000-0000A5970000}"/>
    <cellStyle name="Normal 343 3 4" xfId="24710" xr:uid="{00000000-0005-0000-0000-0000A6970000}"/>
    <cellStyle name="Normal 343 4" xfId="6517" xr:uid="{00000000-0005-0000-0000-0000A7970000}"/>
    <cellStyle name="Normal 343 4 2" xfId="9727" xr:uid="{00000000-0005-0000-0000-0000A8970000}"/>
    <cellStyle name="Normal 343 4 2 2" xfId="17521" xr:uid="{00000000-0005-0000-0000-0000A9970000}"/>
    <cellStyle name="Normal 343 4 2 2 2" xfId="35158" xr:uid="{00000000-0005-0000-0000-0000AA970000}"/>
    <cellStyle name="Normal 343 4 2 3" xfId="28111" xr:uid="{00000000-0005-0000-0000-0000AB970000}"/>
    <cellStyle name="Normal 343 4 3" xfId="14306" xr:uid="{00000000-0005-0000-0000-0000AC970000}"/>
    <cellStyle name="Normal 343 4 3 2" xfId="31941" xr:uid="{00000000-0005-0000-0000-0000AD970000}"/>
    <cellStyle name="Normal 343 4 4" xfId="25247" xr:uid="{00000000-0005-0000-0000-0000AE970000}"/>
    <cellStyle name="Normal 343 5" xfId="7293" xr:uid="{00000000-0005-0000-0000-0000AF970000}"/>
    <cellStyle name="Normal 343 5 2" xfId="10281" xr:uid="{00000000-0005-0000-0000-0000B0970000}"/>
    <cellStyle name="Normal 343 5 2 2" xfId="18074" xr:uid="{00000000-0005-0000-0000-0000B1970000}"/>
    <cellStyle name="Normal 343 5 2 2 2" xfId="35711" xr:uid="{00000000-0005-0000-0000-0000B2970000}"/>
    <cellStyle name="Normal 343 5 2 3" xfId="28648" xr:uid="{00000000-0005-0000-0000-0000B3970000}"/>
    <cellStyle name="Normal 343 5 3" xfId="15081" xr:uid="{00000000-0005-0000-0000-0000B4970000}"/>
    <cellStyle name="Normal 343 5 3 2" xfId="32716" xr:uid="{00000000-0005-0000-0000-0000B5970000}"/>
    <cellStyle name="Normal 343 5 4" xfId="25785" xr:uid="{00000000-0005-0000-0000-0000B6970000}"/>
    <cellStyle name="Normal 343 6" xfId="7892" xr:uid="{00000000-0005-0000-0000-0000B7970000}"/>
    <cellStyle name="Normal 343 6 2" xfId="15689" xr:uid="{00000000-0005-0000-0000-0000B8970000}"/>
    <cellStyle name="Normal 343 6 2 2" xfId="33324" xr:uid="{00000000-0005-0000-0000-0000B9970000}"/>
    <cellStyle name="Normal 343 6 3" xfId="26308" xr:uid="{00000000-0005-0000-0000-0000BA970000}"/>
    <cellStyle name="Normal 343 7" xfId="11839" xr:uid="{00000000-0005-0000-0000-0000BB970000}"/>
    <cellStyle name="Normal 343 7 2" xfId="29524" xr:uid="{00000000-0005-0000-0000-0000BC970000}"/>
    <cellStyle name="Normal 343 8" xfId="23443" xr:uid="{00000000-0005-0000-0000-0000BD970000}"/>
    <cellStyle name="Normal 343 9" xfId="52270" xr:uid="{00000000-0005-0000-0000-0000BE970000}"/>
    <cellStyle name="Normal 344" xfId="2617" xr:uid="{00000000-0005-0000-0000-0000BF970000}"/>
    <cellStyle name="Normal 344 2" xfId="4644" xr:uid="{00000000-0005-0000-0000-0000C0970000}"/>
    <cellStyle name="Normal 344 2 2" xfId="8575" xr:uid="{00000000-0005-0000-0000-0000C1970000}"/>
    <cellStyle name="Normal 344 2 2 2" xfId="16371" xr:uid="{00000000-0005-0000-0000-0000C2970000}"/>
    <cellStyle name="Normal 344 2 2 2 2" xfId="34006" xr:uid="{00000000-0005-0000-0000-0000C3970000}"/>
    <cellStyle name="Normal 344 2 2 3" xfId="26976" xr:uid="{00000000-0005-0000-0000-0000C4970000}"/>
    <cellStyle name="Normal 344 2 3" xfId="12844" xr:uid="{00000000-0005-0000-0000-0000C5970000}"/>
    <cellStyle name="Normal 344 2 3 2" xfId="30499" xr:uid="{00000000-0005-0000-0000-0000C6970000}"/>
    <cellStyle name="Normal 344 2 4" xfId="24111" xr:uid="{00000000-0005-0000-0000-0000C7970000}"/>
    <cellStyle name="Normal 344 3" xfId="5888" xr:uid="{00000000-0005-0000-0000-0000C8970000}"/>
    <cellStyle name="Normal 344 3 2" xfId="9188" xr:uid="{00000000-0005-0000-0000-0000C9970000}"/>
    <cellStyle name="Normal 344 3 2 2" xfId="16983" xr:uid="{00000000-0005-0000-0000-0000CA970000}"/>
    <cellStyle name="Normal 344 3 2 2 2" xfId="34619" xr:uid="{00000000-0005-0000-0000-0000CB970000}"/>
    <cellStyle name="Normal 344 3 2 3" xfId="27576" xr:uid="{00000000-0005-0000-0000-0000CC970000}"/>
    <cellStyle name="Normal 344 3 3" xfId="13744" xr:uid="{00000000-0005-0000-0000-0000CD970000}"/>
    <cellStyle name="Normal 344 3 3 2" xfId="31384" xr:uid="{00000000-0005-0000-0000-0000CE970000}"/>
    <cellStyle name="Normal 344 3 4" xfId="24711" xr:uid="{00000000-0005-0000-0000-0000CF970000}"/>
    <cellStyle name="Normal 344 4" xfId="6518" xr:uid="{00000000-0005-0000-0000-0000D0970000}"/>
    <cellStyle name="Normal 344 4 2" xfId="9728" xr:uid="{00000000-0005-0000-0000-0000D1970000}"/>
    <cellStyle name="Normal 344 4 2 2" xfId="17522" xr:uid="{00000000-0005-0000-0000-0000D2970000}"/>
    <cellStyle name="Normal 344 4 2 2 2" xfId="35159" xr:uid="{00000000-0005-0000-0000-0000D3970000}"/>
    <cellStyle name="Normal 344 4 2 3" xfId="28112" xr:uid="{00000000-0005-0000-0000-0000D4970000}"/>
    <cellStyle name="Normal 344 4 3" xfId="14307" xr:uid="{00000000-0005-0000-0000-0000D5970000}"/>
    <cellStyle name="Normal 344 4 3 2" xfId="31942" xr:uid="{00000000-0005-0000-0000-0000D6970000}"/>
    <cellStyle name="Normal 344 4 4" xfId="25248" xr:uid="{00000000-0005-0000-0000-0000D7970000}"/>
    <cellStyle name="Normal 344 5" xfId="7294" xr:uid="{00000000-0005-0000-0000-0000D8970000}"/>
    <cellStyle name="Normal 344 5 2" xfId="10282" xr:uid="{00000000-0005-0000-0000-0000D9970000}"/>
    <cellStyle name="Normal 344 5 2 2" xfId="18075" xr:uid="{00000000-0005-0000-0000-0000DA970000}"/>
    <cellStyle name="Normal 344 5 2 2 2" xfId="35712" xr:uid="{00000000-0005-0000-0000-0000DB970000}"/>
    <cellStyle name="Normal 344 5 2 3" xfId="28649" xr:uid="{00000000-0005-0000-0000-0000DC970000}"/>
    <cellStyle name="Normal 344 5 3" xfId="15082" xr:uid="{00000000-0005-0000-0000-0000DD970000}"/>
    <cellStyle name="Normal 344 5 3 2" xfId="32717" xr:uid="{00000000-0005-0000-0000-0000DE970000}"/>
    <cellStyle name="Normal 344 5 4" xfId="25786" xr:uid="{00000000-0005-0000-0000-0000DF970000}"/>
    <cellStyle name="Normal 344 6" xfId="7893" xr:uid="{00000000-0005-0000-0000-0000E0970000}"/>
    <cellStyle name="Normal 344 6 2" xfId="15690" xr:uid="{00000000-0005-0000-0000-0000E1970000}"/>
    <cellStyle name="Normal 344 6 2 2" xfId="33325" xr:uid="{00000000-0005-0000-0000-0000E2970000}"/>
    <cellStyle name="Normal 344 6 3" xfId="26309" xr:uid="{00000000-0005-0000-0000-0000E3970000}"/>
    <cellStyle name="Normal 344 7" xfId="11840" xr:uid="{00000000-0005-0000-0000-0000E4970000}"/>
    <cellStyle name="Normal 344 7 2" xfId="29525" xr:uid="{00000000-0005-0000-0000-0000E5970000}"/>
    <cellStyle name="Normal 344 8" xfId="23444" xr:uid="{00000000-0005-0000-0000-0000E6970000}"/>
    <cellStyle name="Normal 344 9" xfId="52271" xr:uid="{00000000-0005-0000-0000-0000E7970000}"/>
    <cellStyle name="Normal 345" xfId="2618" xr:uid="{00000000-0005-0000-0000-0000E8970000}"/>
    <cellStyle name="Normal 345 2" xfId="4645" xr:uid="{00000000-0005-0000-0000-0000E9970000}"/>
    <cellStyle name="Normal 345 2 2" xfId="8576" xr:uid="{00000000-0005-0000-0000-0000EA970000}"/>
    <cellStyle name="Normal 345 2 2 2" xfId="16372" xr:uid="{00000000-0005-0000-0000-0000EB970000}"/>
    <cellStyle name="Normal 345 2 2 2 2" xfId="34007" xr:uid="{00000000-0005-0000-0000-0000EC970000}"/>
    <cellStyle name="Normal 345 2 2 3" xfId="26977" xr:uid="{00000000-0005-0000-0000-0000ED970000}"/>
    <cellStyle name="Normal 345 2 3" xfId="12845" xr:uid="{00000000-0005-0000-0000-0000EE970000}"/>
    <cellStyle name="Normal 345 2 3 2" xfId="30500" xr:uid="{00000000-0005-0000-0000-0000EF970000}"/>
    <cellStyle name="Normal 345 2 4" xfId="24112" xr:uid="{00000000-0005-0000-0000-0000F0970000}"/>
    <cellStyle name="Normal 345 3" xfId="5889" xr:uid="{00000000-0005-0000-0000-0000F1970000}"/>
    <cellStyle name="Normal 345 3 2" xfId="9189" xr:uid="{00000000-0005-0000-0000-0000F2970000}"/>
    <cellStyle name="Normal 345 3 2 2" xfId="16984" xr:uid="{00000000-0005-0000-0000-0000F3970000}"/>
    <cellStyle name="Normal 345 3 2 2 2" xfId="34620" xr:uid="{00000000-0005-0000-0000-0000F4970000}"/>
    <cellStyle name="Normal 345 3 2 3" xfId="27577" xr:uid="{00000000-0005-0000-0000-0000F5970000}"/>
    <cellStyle name="Normal 345 3 3" xfId="13745" xr:uid="{00000000-0005-0000-0000-0000F6970000}"/>
    <cellStyle name="Normal 345 3 3 2" xfId="31385" xr:uid="{00000000-0005-0000-0000-0000F7970000}"/>
    <cellStyle name="Normal 345 3 4" xfId="24712" xr:uid="{00000000-0005-0000-0000-0000F8970000}"/>
    <cellStyle name="Normal 345 4" xfId="6519" xr:uid="{00000000-0005-0000-0000-0000F9970000}"/>
    <cellStyle name="Normal 345 4 2" xfId="9729" xr:uid="{00000000-0005-0000-0000-0000FA970000}"/>
    <cellStyle name="Normal 345 4 2 2" xfId="17523" xr:uid="{00000000-0005-0000-0000-0000FB970000}"/>
    <cellStyle name="Normal 345 4 2 2 2" xfId="35160" xr:uid="{00000000-0005-0000-0000-0000FC970000}"/>
    <cellStyle name="Normal 345 4 2 3" xfId="28113" xr:uid="{00000000-0005-0000-0000-0000FD970000}"/>
    <cellStyle name="Normal 345 4 3" xfId="14308" xr:uid="{00000000-0005-0000-0000-0000FE970000}"/>
    <cellStyle name="Normal 345 4 3 2" xfId="31943" xr:uid="{00000000-0005-0000-0000-0000FF970000}"/>
    <cellStyle name="Normal 345 4 4" xfId="25249" xr:uid="{00000000-0005-0000-0000-000000980000}"/>
    <cellStyle name="Normal 345 5" xfId="7295" xr:uid="{00000000-0005-0000-0000-000001980000}"/>
    <cellStyle name="Normal 345 5 2" xfId="10283" xr:uid="{00000000-0005-0000-0000-000002980000}"/>
    <cellStyle name="Normal 345 5 2 2" xfId="18076" xr:uid="{00000000-0005-0000-0000-000003980000}"/>
    <cellStyle name="Normal 345 5 2 2 2" xfId="35713" xr:uid="{00000000-0005-0000-0000-000004980000}"/>
    <cellStyle name="Normal 345 5 2 3" xfId="28650" xr:uid="{00000000-0005-0000-0000-000005980000}"/>
    <cellStyle name="Normal 345 5 3" xfId="15083" xr:uid="{00000000-0005-0000-0000-000006980000}"/>
    <cellStyle name="Normal 345 5 3 2" xfId="32718" xr:uid="{00000000-0005-0000-0000-000007980000}"/>
    <cellStyle name="Normal 345 5 4" xfId="25787" xr:uid="{00000000-0005-0000-0000-000008980000}"/>
    <cellStyle name="Normal 345 6" xfId="7894" xr:uid="{00000000-0005-0000-0000-000009980000}"/>
    <cellStyle name="Normal 345 6 2" xfId="15691" xr:uid="{00000000-0005-0000-0000-00000A980000}"/>
    <cellStyle name="Normal 345 6 2 2" xfId="33326" xr:uid="{00000000-0005-0000-0000-00000B980000}"/>
    <cellStyle name="Normal 345 6 3" xfId="26310" xr:uid="{00000000-0005-0000-0000-00000C980000}"/>
    <cellStyle name="Normal 345 7" xfId="11841" xr:uid="{00000000-0005-0000-0000-00000D980000}"/>
    <cellStyle name="Normal 345 7 2" xfId="29526" xr:uid="{00000000-0005-0000-0000-00000E980000}"/>
    <cellStyle name="Normal 345 8" xfId="23445" xr:uid="{00000000-0005-0000-0000-00000F980000}"/>
    <cellStyle name="Normal 345 9" xfId="52272" xr:uid="{00000000-0005-0000-0000-000010980000}"/>
    <cellStyle name="Normal 346" xfId="2619" xr:uid="{00000000-0005-0000-0000-000011980000}"/>
    <cellStyle name="Normal 346 2" xfId="4646" xr:uid="{00000000-0005-0000-0000-000012980000}"/>
    <cellStyle name="Normal 346 2 2" xfId="8577" xr:uid="{00000000-0005-0000-0000-000013980000}"/>
    <cellStyle name="Normal 346 2 2 2" xfId="16373" xr:uid="{00000000-0005-0000-0000-000014980000}"/>
    <cellStyle name="Normal 346 2 2 2 2" xfId="34008" xr:uid="{00000000-0005-0000-0000-000015980000}"/>
    <cellStyle name="Normal 346 2 2 3" xfId="26978" xr:uid="{00000000-0005-0000-0000-000016980000}"/>
    <cellStyle name="Normal 346 2 3" xfId="12846" xr:uid="{00000000-0005-0000-0000-000017980000}"/>
    <cellStyle name="Normal 346 2 3 2" xfId="30501" xr:uid="{00000000-0005-0000-0000-000018980000}"/>
    <cellStyle name="Normal 346 2 4" xfId="24113" xr:uid="{00000000-0005-0000-0000-000019980000}"/>
    <cellStyle name="Normal 346 3" xfId="5890" xr:uid="{00000000-0005-0000-0000-00001A980000}"/>
    <cellStyle name="Normal 346 3 2" xfId="9190" xr:uid="{00000000-0005-0000-0000-00001B980000}"/>
    <cellStyle name="Normal 346 3 2 2" xfId="16985" xr:uid="{00000000-0005-0000-0000-00001C980000}"/>
    <cellStyle name="Normal 346 3 2 2 2" xfId="34621" xr:uid="{00000000-0005-0000-0000-00001D980000}"/>
    <cellStyle name="Normal 346 3 2 3" xfId="27578" xr:uid="{00000000-0005-0000-0000-00001E980000}"/>
    <cellStyle name="Normal 346 3 3" xfId="13746" xr:uid="{00000000-0005-0000-0000-00001F980000}"/>
    <cellStyle name="Normal 346 3 3 2" xfId="31386" xr:uid="{00000000-0005-0000-0000-000020980000}"/>
    <cellStyle name="Normal 346 3 4" xfId="24713" xr:uid="{00000000-0005-0000-0000-000021980000}"/>
    <cellStyle name="Normal 346 4" xfId="6520" xr:uid="{00000000-0005-0000-0000-000022980000}"/>
    <cellStyle name="Normal 346 4 2" xfId="9730" xr:uid="{00000000-0005-0000-0000-000023980000}"/>
    <cellStyle name="Normal 346 4 2 2" xfId="17524" xr:uid="{00000000-0005-0000-0000-000024980000}"/>
    <cellStyle name="Normal 346 4 2 2 2" xfId="35161" xr:uid="{00000000-0005-0000-0000-000025980000}"/>
    <cellStyle name="Normal 346 4 2 3" xfId="28114" xr:uid="{00000000-0005-0000-0000-000026980000}"/>
    <cellStyle name="Normal 346 4 3" xfId="14309" xr:uid="{00000000-0005-0000-0000-000027980000}"/>
    <cellStyle name="Normal 346 4 3 2" xfId="31944" xr:uid="{00000000-0005-0000-0000-000028980000}"/>
    <cellStyle name="Normal 346 4 4" xfId="25250" xr:uid="{00000000-0005-0000-0000-000029980000}"/>
    <cellStyle name="Normal 346 5" xfId="7296" xr:uid="{00000000-0005-0000-0000-00002A980000}"/>
    <cellStyle name="Normal 346 5 2" xfId="10284" xr:uid="{00000000-0005-0000-0000-00002B980000}"/>
    <cellStyle name="Normal 346 5 2 2" xfId="18077" xr:uid="{00000000-0005-0000-0000-00002C980000}"/>
    <cellStyle name="Normal 346 5 2 2 2" xfId="35714" xr:uid="{00000000-0005-0000-0000-00002D980000}"/>
    <cellStyle name="Normal 346 5 2 3" xfId="28651" xr:uid="{00000000-0005-0000-0000-00002E980000}"/>
    <cellStyle name="Normal 346 5 3" xfId="15084" xr:uid="{00000000-0005-0000-0000-00002F980000}"/>
    <cellStyle name="Normal 346 5 3 2" xfId="32719" xr:uid="{00000000-0005-0000-0000-000030980000}"/>
    <cellStyle name="Normal 346 5 4" xfId="25788" xr:uid="{00000000-0005-0000-0000-000031980000}"/>
    <cellStyle name="Normal 346 6" xfId="7895" xr:uid="{00000000-0005-0000-0000-000032980000}"/>
    <cellStyle name="Normal 346 6 2" xfId="15692" xr:uid="{00000000-0005-0000-0000-000033980000}"/>
    <cellStyle name="Normal 346 6 2 2" xfId="33327" xr:uid="{00000000-0005-0000-0000-000034980000}"/>
    <cellStyle name="Normal 346 6 3" xfId="26311" xr:uid="{00000000-0005-0000-0000-000035980000}"/>
    <cellStyle name="Normal 346 7" xfId="11842" xr:uid="{00000000-0005-0000-0000-000036980000}"/>
    <cellStyle name="Normal 346 7 2" xfId="29527" xr:uid="{00000000-0005-0000-0000-000037980000}"/>
    <cellStyle name="Normal 346 8" xfId="23446" xr:uid="{00000000-0005-0000-0000-000038980000}"/>
    <cellStyle name="Normal 346 9" xfId="52273" xr:uid="{00000000-0005-0000-0000-000039980000}"/>
    <cellStyle name="Normal 347" xfId="2620" xr:uid="{00000000-0005-0000-0000-00003A980000}"/>
    <cellStyle name="Normal 347 2" xfId="4647" xr:uid="{00000000-0005-0000-0000-00003B980000}"/>
    <cellStyle name="Normal 347 2 2" xfId="8578" xr:uid="{00000000-0005-0000-0000-00003C980000}"/>
    <cellStyle name="Normal 347 2 2 2" xfId="16374" xr:uid="{00000000-0005-0000-0000-00003D980000}"/>
    <cellStyle name="Normal 347 2 2 2 2" xfId="34009" xr:uid="{00000000-0005-0000-0000-00003E980000}"/>
    <cellStyle name="Normal 347 2 2 3" xfId="26979" xr:uid="{00000000-0005-0000-0000-00003F980000}"/>
    <cellStyle name="Normal 347 2 3" xfId="12847" xr:uid="{00000000-0005-0000-0000-000040980000}"/>
    <cellStyle name="Normal 347 2 3 2" xfId="30502" xr:uid="{00000000-0005-0000-0000-000041980000}"/>
    <cellStyle name="Normal 347 2 4" xfId="24114" xr:uid="{00000000-0005-0000-0000-000042980000}"/>
    <cellStyle name="Normal 347 3" xfId="5891" xr:uid="{00000000-0005-0000-0000-000043980000}"/>
    <cellStyle name="Normal 347 3 2" xfId="9191" xr:uid="{00000000-0005-0000-0000-000044980000}"/>
    <cellStyle name="Normal 347 3 2 2" xfId="16986" xr:uid="{00000000-0005-0000-0000-000045980000}"/>
    <cellStyle name="Normal 347 3 2 2 2" xfId="34622" xr:uid="{00000000-0005-0000-0000-000046980000}"/>
    <cellStyle name="Normal 347 3 2 3" xfId="27579" xr:uid="{00000000-0005-0000-0000-000047980000}"/>
    <cellStyle name="Normal 347 3 3" xfId="13747" xr:uid="{00000000-0005-0000-0000-000048980000}"/>
    <cellStyle name="Normal 347 3 3 2" xfId="31387" xr:uid="{00000000-0005-0000-0000-000049980000}"/>
    <cellStyle name="Normal 347 3 4" xfId="24714" xr:uid="{00000000-0005-0000-0000-00004A980000}"/>
    <cellStyle name="Normal 347 4" xfId="6521" xr:uid="{00000000-0005-0000-0000-00004B980000}"/>
    <cellStyle name="Normal 347 4 2" xfId="9731" xr:uid="{00000000-0005-0000-0000-00004C980000}"/>
    <cellStyle name="Normal 347 4 2 2" xfId="17525" xr:uid="{00000000-0005-0000-0000-00004D980000}"/>
    <cellStyle name="Normal 347 4 2 2 2" xfId="35162" xr:uid="{00000000-0005-0000-0000-00004E980000}"/>
    <cellStyle name="Normal 347 4 2 3" xfId="28115" xr:uid="{00000000-0005-0000-0000-00004F980000}"/>
    <cellStyle name="Normal 347 4 3" xfId="14310" xr:uid="{00000000-0005-0000-0000-000050980000}"/>
    <cellStyle name="Normal 347 4 3 2" xfId="31945" xr:uid="{00000000-0005-0000-0000-000051980000}"/>
    <cellStyle name="Normal 347 4 4" xfId="25251" xr:uid="{00000000-0005-0000-0000-000052980000}"/>
    <cellStyle name="Normal 347 5" xfId="7297" xr:uid="{00000000-0005-0000-0000-000053980000}"/>
    <cellStyle name="Normal 347 5 2" xfId="10285" xr:uid="{00000000-0005-0000-0000-000054980000}"/>
    <cellStyle name="Normal 347 5 2 2" xfId="18078" xr:uid="{00000000-0005-0000-0000-000055980000}"/>
    <cellStyle name="Normal 347 5 2 2 2" xfId="35715" xr:uid="{00000000-0005-0000-0000-000056980000}"/>
    <cellStyle name="Normal 347 5 2 3" xfId="28652" xr:uid="{00000000-0005-0000-0000-000057980000}"/>
    <cellStyle name="Normal 347 5 3" xfId="15085" xr:uid="{00000000-0005-0000-0000-000058980000}"/>
    <cellStyle name="Normal 347 5 3 2" xfId="32720" xr:uid="{00000000-0005-0000-0000-000059980000}"/>
    <cellStyle name="Normal 347 5 4" xfId="25789" xr:uid="{00000000-0005-0000-0000-00005A980000}"/>
    <cellStyle name="Normal 347 6" xfId="7896" xr:uid="{00000000-0005-0000-0000-00005B980000}"/>
    <cellStyle name="Normal 347 6 2" xfId="15693" xr:uid="{00000000-0005-0000-0000-00005C980000}"/>
    <cellStyle name="Normal 347 6 2 2" xfId="33328" xr:uid="{00000000-0005-0000-0000-00005D980000}"/>
    <cellStyle name="Normal 347 6 3" xfId="26312" xr:uid="{00000000-0005-0000-0000-00005E980000}"/>
    <cellStyle name="Normal 347 7" xfId="11843" xr:uid="{00000000-0005-0000-0000-00005F980000}"/>
    <cellStyle name="Normal 347 7 2" xfId="29528" xr:uid="{00000000-0005-0000-0000-000060980000}"/>
    <cellStyle name="Normal 347 8" xfId="23447" xr:uid="{00000000-0005-0000-0000-000061980000}"/>
    <cellStyle name="Normal 347 9" xfId="52274" xr:uid="{00000000-0005-0000-0000-000062980000}"/>
    <cellStyle name="Normal 348" xfId="2621" xr:uid="{00000000-0005-0000-0000-000063980000}"/>
    <cellStyle name="Normal 348 2" xfId="4648" xr:uid="{00000000-0005-0000-0000-000064980000}"/>
    <cellStyle name="Normal 348 2 2" xfId="8579" xr:uid="{00000000-0005-0000-0000-000065980000}"/>
    <cellStyle name="Normal 348 2 2 2" xfId="16375" xr:uid="{00000000-0005-0000-0000-000066980000}"/>
    <cellStyle name="Normal 348 2 2 2 2" xfId="34010" xr:uid="{00000000-0005-0000-0000-000067980000}"/>
    <cellStyle name="Normal 348 2 2 3" xfId="26980" xr:uid="{00000000-0005-0000-0000-000068980000}"/>
    <cellStyle name="Normal 348 2 3" xfId="12848" xr:uid="{00000000-0005-0000-0000-000069980000}"/>
    <cellStyle name="Normal 348 2 3 2" xfId="30503" xr:uid="{00000000-0005-0000-0000-00006A980000}"/>
    <cellStyle name="Normal 348 2 4" xfId="24115" xr:uid="{00000000-0005-0000-0000-00006B980000}"/>
    <cellStyle name="Normal 348 3" xfId="5892" xr:uid="{00000000-0005-0000-0000-00006C980000}"/>
    <cellStyle name="Normal 348 3 2" xfId="9192" xr:uid="{00000000-0005-0000-0000-00006D980000}"/>
    <cellStyle name="Normal 348 3 2 2" xfId="16987" xr:uid="{00000000-0005-0000-0000-00006E980000}"/>
    <cellStyle name="Normal 348 3 2 2 2" xfId="34623" xr:uid="{00000000-0005-0000-0000-00006F980000}"/>
    <cellStyle name="Normal 348 3 2 3" xfId="27580" xr:uid="{00000000-0005-0000-0000-000070980000}"/>
    <cellStyle name="Normal 348 3 3" xfId="13748" xr:uid="{00000000-0005-0000-0000-000071980000}"/>
    <cellStyle name="Normal 348 3 3 2" xfId="31388" xr:uid="{00000000-0005-0000-0000-000072980000}"/>
    <cellStyle name="Normal 348 3 4" xfId="24715" xr:uid="{00000000-0005-0000-0000-000073980000}"/>
    <cellStyle name="Normal 348 4" xfId="6522" xr:uid="{00000000-0005-0000-0000-000074980000}"/>
    <cellStyle name="Normal 348 4 2" xfId="9732" xr:uid="{00000000-0005-0000-0000-000075980000}"/>
    <cellStyle name="Normal 348 4 2 2" xfId="17526" xr:uid="{00000000-0005-0000-0000-000076980000}"/>
    <cellStyle name="Normal 348 4 2 2 2" xfId="35163" xr:uid="{00000000-0005-0000-0000-000077980000}"/>
    <cellStyle name="Normal 348 4 2 3" xfId="28116" xr:uid="{00000000-0005-0000-0000-000078980000}"/>
    <cellStyle name="Normal 348 4 3" xfId="14311" xr:uid="{00000000-0005-0000-0000-000079980000}"/>
    <cellStyle name="Normal 348 4 3 2" xfId="31946" xr:uid="{00000000-0005-0000-0000-00007A980000}"/>
    <cellStyle name="Normal 348 4 4" xfId="25252" xr:uid="{00000000-0005-0000-0000-00007B980000}"/>
    <cellStyle name="Normal 348 5" xfId="7298" xr:uid="{00000000-0005-0000-0000-00007C980000}"/>
    <cellStyle name="Normal 348 5 2" xfId="10286" xr:uid="{00000000-0005-0000-0000-00007D980000}"/>
    <cellStyle name="Normal 348 5 2 2" xfId="18079" xr:uid="{00000000-0005-0000-0000-00007E980000}"/>
    <cellStyle name="Normal 348 5 2 2 2" xfId="35716" xr:uid="{00000000-0005-0000-0000-00007F980000}"/>
    <cellStyle name="Normal 348 5 2 3" xfId="28653" xr:uid="{00000000-0005-0000-0000-000080980000}"/>
    <cellStyle name="Normal 348 5 3" xfId="15086" xr:uid="{00000000-0005-0000-0000-000081980000}"/>
    <cellStyle name="Normal 348 5 3 2" xfId="32721" xr:uid="{00000000-0005-0000-0000-000082980000}"/>
    <cellStyle name="Normal 348 5 4" xfId="25790" xr:uid="{00000000-0005-0000-0000-000083980000}"/>
    <cellStyle name="Normal 348 6" xfId="7897" xr:uid="{00000000-0005-0000-0000-000084980000}"/>
    <cellStyle name="Normal 348 6 2" xfId="15694" xr:uid="{00000000-0005-0000-0000-000085980000}"/>
    <cellStyle name="Normal 348 6 2 2" xfId="33329" xr:uid="{00000000-0005-0000-0000-000086980000}"/>
    <cellStyle name="Normal 348 6 3" xfId="26313" xr:uid="{00000000-0005-0000-0000-000087980000}"/>
    <cellStyle name="Normal 348 7" xfId="11844" xr:uid="{00000000-0005-0000-0000-000088980000}"/>
    <cellStyle name="Normal 348 7 2" xfId="29529" xr:uid="{00000000-0005-0000-0000-000089980000}"/>
    <cellStyle name="Normal 348 8" xfId="23448" xr:uid="{00000000-0005-0000-0000-00008A980000}"/>
    <cellStyle name="Normal 348 9" xfId="52275" xr:uid="{00000000-0005-0000-0000-00008B980000}"/>
    <cellStyle name="Normal 349" xfId="2622" xr:uid="{00000000-0005-0000-0000-00008C980000}"/>
    <cellStyle name="Normal 349 2" xfId="4649" xr:uid="{00000000-0005-0000-0000-00008D980000}"/>
    <cellStyle name="Normal 349 2 2" xfId="8580" xr:uid="{00000000-0005-0000-0000-00008E980000}"/>
    <cellStyle name="Normal 349 2 2 2" xfId="16376" xr:uid="{00000000-0005-0000-0000-00008F980000}"/>
    <cellStyle name="Normal 349 2 2 2 2" xfId="34011" xr:uid="{00000000-0005-0000-0000-000090980000}"/>
    <cellStyle name="Normal 349 2 2 3" xfId="26981" xr:uid="{00000000-0005-0000-0000-000091980000}"/>
    <cellStyle name="Normal 349 2 3" xfId="12849" xr:uid="{00000000-0005-0000-0000-000092980000}"/>
    <cellStyle name="Normal 349 2 3 2" xfId="30504" xr:uid="{00000000-0005-0000-0000-000093980000}"/>
    <cellStyle name="Normal 349 2 4" xfId="24116" xr:uid="{00000000-0005-0000-0000-000094980000}"/>
    <cellStyle name="Normal 349 3" xfId="5893" xr:uid="{00000000-0005-0000-0000-000095980000}"/>
    <cellStyle name="Normal 349 3 2" xfId="9193" xr:uid="{00000000-0005-0000-0000-000096980000}"/>
    <cellStyle name="Normal 349 3 2 2" xfId="16988" xr:uid="{00000000-0005-0000-0000-000097980000}"/>
    <cellStyle name="Normal 349 3 2 2 2" xfId="34624" xr:uid="{00000000-0005-0000-0000-000098980000}"/>
    <cellStyle name="Normal 349 3 2 3" xfId="27581" xr:uid="{00000000-0005-0000-0000-000099980000}"/>
    <cellStyle name="Normal 349 3 3" xfId="13749" xr:uid="{00000000-0005-0000-0000-00009A980000}"/>
    <cellStyle name="Normal 349 3 3 2" xfId="31389" xr:uid="{00000000-0005-0000-0000-00009B980000}"/>
    <cellStyle name="Normal 349 3 4" xfId="24716" xr:uid="{00000000-0005-0000-0000-00009C980000}"/>
    <cellStyle name="Normal 349 4" xfId="6523" xr:uid="{00000000-0005-0000-0000-00009D980000}"/>
    <cellStyle name="Normal 349 4 2" xfId="9733" xr:uid="{00000000-0005-0000-0000-00009E980000}"/>
    <cellStyle name="Normal 349 4 2 2" xfId="17527" xr:uid="{00000000-0005-0000-0000-00009F980000}"/>
    <cellStyle name="Normal 349 4 2 2 2" xfId="35164" xr:uid="{00000000-0005-0000-0000-0000A0980000}"/>
    <cellStyle name="Normal 349 4 2 3" xfId="28117" xr:uid="{00000000-0005-0000-0000-0000A1980000}"/>
    <cellStyle name="Normal 349 4 3" xfId="14312" xr:uid="{00000000-0005-0000-0000-0000A2980000}"/>
    <cellStyle name="Normal 349 4 3 2" xfId="31947" xr:uid="{00000000-0005-0000-0000-0000A3980000}"/>
    <cellStyle name="Normal 349 4 4" xfId="25253" xr:uid="{00000000-0005-0000-0000-0000A4980000}"/>
    <cellStyle name="Normal 349 5" xfId="7299" xr:uid="{00000000-0005-0000-0000-0000A5980000}"/>
    <cellStyle name="Normal 349 5 2" xfId="10287" xr:uid="{00000000-0005-0000-0000-0000A6980000}"/>
    <cellStyle name="Normal 349 5 2 2" xfId="18080" xr:uid="{00000000-0005-0000-0000-0000A7980000}"/>
    <cellStyle name="Normal 349 5 2 2 2" xfId="35717" xr:uid="{00000000-0005-0000-0000-0000A8980000}"/>
    <cellStyle name="Normal 349 5 2 3" xfId="28654" xr:uid="{00000000-0005-0000-0000-0000A9980000}"/>
    <cellStyle name="Normal 349 5 3" xfId="15087" xr:uid="{00000000-0005-0000-0000-0000AA980000}"/>
    <cellStyle name="Normal 349 5 3 2" xfId="32722" xr:uid="{00000000-0005-0000-0000-0000AB980000}"/>
    <cellStyle name="Normal 349 5 4" xfId="25791" xr:uid="{00000000-0005-0000-0000-0000AC980000}"/>
    <cellStyle name="Normal 349 6" xfId="7898" xr:uid="{00000000-0005-0000-0000-0000AD980000}"/>
    <cellStyle name="Normal 349 6 2" xfId="15695" xr:uid="{00000000-0005-0000-0000-0000AE980000}"/>
    <cellStyle name="Normal 349 6 2 2" xfId="33330" xr:uid="{00000000-0005-0000-0000-0000AF980000}"/>
    <cellStyle name="Normal 349 6 3" xfId="26314" xr:uid="{00000000-0005-0000-0000-0000B0980000}"/>
    <cellStyle name="Normal 349 7" xfId="11845" xr:uid="{00000000-0005-0000-0000-0000B1980000}"/>
    <cellStyle name="Normal 349 7 2" xfId="29530" xr:uid="{00000000-0005-0000-0000-0000B2980000}"/>
    <cellStyle name="Normal 349 8" xfId="23449" xr:uid="{00000000-0005-0000-0000-0000B3980000}"/>
    <cellStyle name="Normal 349 9" xfId="52276" xr:uid="{00000000-0005-0000-0000-0000B4980000}"/>
    <cellStyle name="Normal 35" xfId="2623" xr:uid="{00000000-0005-0000-0000-0000B5980000}"/>
    <cellStyle name="Normal 35 10" xfId="2624" xr:uid="{00000000-0005-0000-0000-0000B6980000}"/>
    <cellStyle name="Normal 35 10 2" xfId="2625" xr:uid="{00000000-0005-0000-0000-0000B7980000}"/>
    <cellStyle name="Normal 35 10 2 2" xfId="4651" xr:uid="{00000000-0005-0000-0000-0000B8980000}"/>
    <cellStyle name="Normal 35 10 2 3" xfId="52278" xr:uid="{00000000-0005-0000-0000-0000B9980000}"/>
    <cellStyle name="Normal 35 10 3" xfId="4650" xr:uid="{00000000-0005-0000-0000-0000BA980000}"/>
    <cellStyle name="Normal 35 10 4" xfId="52277" xr:uid="{00000000-0005-0000-0000-0000BB980000}"/>
    <cellStyle name="Normal 35 10 5" xfId="53258" xr:uid="{00000000-0005-0000-0000-0000BC980000}"/>
    <cellStyle name="Normal 35 11" xfId="2626" xr:uid="{00000000-0005-0000-0000-0000BD980000}"/>
    <cellStyle name="Normal 35 11 2" xfId="2627" xr:uid="{00000000-0005-0000-0000-0000BE980000}"/>
    <cellStyle name="Normal 35 11 2 2" xfId="4653" xr:uid="{00000000-0005-0000-0000-0000BF980000}"/>
    <cellStyle name="Normal 35 11 2 3" xfId="52280" xr:uid="{00000000-0005-0000-0000-0000C0980000}"/>
    <cellStyle name="Normal 35 11 3" xfId="4652" xr:uid="{00000000-0005-0000-0000-0000C1980000}"/>
    <cellStyle name="Normal 35 11 4" xfId="52279" xr:uid="{00000000-0005-0000-0000-0000C2980000}"/>
    <cellStyle name="Normal 35 12" xfId="2628" xr:uid="{00000000-0005-0000-0000-0000C3980000}"/>
    <cellStyle name="Normal 35 12 2" xfId="2629" xr:uid="{00000000-0005-0000-0000-0000C4980000}"/>
    <cellStyle name="Normal 35 12 2 2" xfId="4655" xr:uid="{00000000-0005-0000-0000-0000C5980000}"/>
    <cellStyle name="Normal 35 12 2 3" xfId="52282" xr:uid="{00000000-0005-0000-0000-0000C6980000}"/>
    <cellStyle name="Normal 35 12 3" xfId="2630" xr:uid="{00000000-0005-0000-0000-0000C7980000}"/>
    <cellStyle name="Normal 35 12 3 2" xfId="2631" xr:uid="{00000000-0005-0000-0000-0000C8980000}"/>
    <cellStyle name="Normal 35 12 3 2 2" xfId="4657" xr:uid="{00000000-0005-0000-0000-0000C9980000}"/>
    <cellStyle name="Normal 35 12 3 2 3" xfId="52284" xr:uid="{00000000-0005-0000-0000-0000CA980000}"/>
    <cellStyle name="Normal 35 12 3 3" xfId="2632" xr:uid="{00000000-0005-0000-0000-0000CB980000}"/>
    <cellStyle name="Normal 35 12 3 3 2" xfId="2633" xr:uid="{00000000-0005-0000-0000-0000CC980000}"/>
    <cellStyle name="Normal 35 12 3 3 2 2" xfId="4659" xr:uid="{00000000-0005-0000-0000-0000CD980000}"/>
    <cellStyle name="Normal 35 12 3 3 2 3" xfId="52286" xr:uid="{00000000-0005-0000-0000-0000CE980000}"/>
    <cellStyle name="Normal 35 12 3 3 3" xfId="4658" xr:uid="{00000000-0005-0000-0000-0000CF980000}"/>
    <cellStyle name="Normal 35 12 3 3 4" xfId="52285" xr:uid="{00000000-0005-0000-0000-0000D0980000}"/>
    <cellStyle name="Normal 35 12 3 4" xfId="4660" xr:uid="{00000000-0005-0000-0000-0000D1980000}"/>
    <cellStyle name="Normal 35 12 3 5" xfId="4656" xr:uid="{00000000-0005-0000-0000-0000D2980000}"/>
    <cellStyle name="Normal 35 12 3 6" xfId="52283" xr:uid="{00000000-0005-0000-0000-0000D3980000}"/>
    <cellStyle name="Normal 35 12 4" xfId="4654" xr:uid="{00000000-0005-0000-0000-0000D4980000}"/>
    <cellStyle name="Normal 35 12 5" xfId="52281" xr:uid="{00000000-0005-0000-0000-0000D5980000}"/>
    <cellStyle name="Normal 35 13" xfId="2634" xr:uid="{00000000-0005-0000-0000-0000D6980000}"/>
    <cellStyle name="Normal 35 13 2" xfId="2635" xr:uid="{00000000-0005-0000-0000-0000D7980000}"/>
    <cellStyle name="Normal 35 13 2 2" xfId="4662" xr:uid="{00000000-0005-0000-0000-0000D8980000}"/>
    <cellStyle name="Normal 35 13 2 3" xfId="52288" xr:uid="{00000000-0005-0000-0000-0000D9980000}"/>
    <cellStyle name="Normal 35 13 3" xfId="2636" xr:uid="{00000000-0005-0000-0000-0000DA980000}"/>
    <cellStyle name="Normal 35 13 3 2" xfId="4663" xr:uid="{00000000-0005-0000-0000-0000DB980000}"/>
    <cellStyle name="Normal 35 13 3 3" xfId="52289" xr:uid="{00000000-0005-0000-0000-0000DC980000}"/>
    <cellStyle name="Normal 35 13 4" xfId="2637" xr:uid="{00000000-0005-0000-0000-0000DD980000}"/>
    <cellStyle name="Normal 35 13 5" xfId="4664" xr:uid="{00000000-0005-0000-0000-0000DE980000}"/>
    <cellStyle name="Normal 35 13 6" xfId="4665" xr:uid="{00000000-0005-0000-0000-0000DF980000}"/>
    <cellStyle name="Normal 35 13 7" xfId="4661" xr:uid="{00000000-0005-0000-0000-0000E0980000}"/>
    <cellStyle name="Normal 35 13 8" xfId="52287" xr:uid="{00000000-0005-0000-0000-0000E1980000}"/>
    <cellStyle name="Normal 35 14" xfId="2638" xr:uid="{00000000-0005-0000-0000-0000E2980000}"/>
    <cellStyle name="Normal 35 14 2" xfId="2639" xr:uid="{00000000-0005-0000-0000-0000E3980000}"/>
    <cellStyle name="Normal 35 14 2 2" xfId="4666" xr:uid="{00000000-0005-0000-0000-0000E4980000}"/>
    <cellStyle name="Normal 35 14 2 3" xfId="52291" xr:uid="{00000000-0005-0000-0000-0000E5980000}"/>
    <cellStyle name="Normal 35 14 3" xfId="2640" xr:uid="{00000000-0005-0000-0000-0000E6980000}"/>
    <cellStyle name="Normal 35 14 3 2" xfId="4668" xr:uid="{00000000-0005-0000-0000-0000E7980000}"/>
    <cellStyle name="Normal 35 14 3 3" xfId="4667" xr:uid="{00000000-0005-0000-0000-0000E8980000}"/>
    <cellStyle name="Normal 35 14 3 4" xfId="52292" xr:uid="{00000000-0005-0000-0000-0000E9980000}"/>
    <cellStyle name="Normal 35 14 4" xfId="2641" xr:uid="{00000000-0005-0000-0000-0000EA980000}"/>
    <cellStyle name="Normal 35 14 5" xfId="52290" xr:uid="{00000000-0005-0000-0000-0000EB980000}"/>
    <cellStyle name="Normal 35 15" xfId="2642" xr:uid="{00000000-0005-0000-0000-0000EC980000}"/>
    <cellStyle name="Normal 35 15 2" xfId="2643" xr:uid="{00000000-0005-0000-0000-0000ED980000}"/>
    <cellStyle name="Normal 35 15 3" xfId="52293" xr:uid="{00000000-0005-0000-0000-0000EE980000}"/>
    <cellStyle name="Normal 35 16" xfId="2644" xr:uid="{00000000-0005-0000-0000-0000EF980000}"/>
    <cellStyle name="Normal 35 16 2" xfId="2645" xr:uid="{00000000-0005-0000-0000-0000F0980000}"/>
    <cellStyle name="Normal 35 16 2 2" xfId="52295" xr:uid="{00000000-0005-0000-0000-0000F1980000}"/>
    <cellStyle name="Normal 35 16 3" xfId="2646" xr:uid="{00000000-0005-0000-0000-0000F2980000}"/>
    <cellStyle name="Normal 35 16 3 2" xfId="2647" xr:uid="{00000000-0005-0000-0000-0000F3980000}"/>
    <cellStyle name="Normal 35 16 3 3" xfId="2648" xr:uid="{00000000-0005-0000-0000-0000F4980000}"/>
    <cellStyle name="Normal 35 16 3 4" xfId="2649" xr:uid="{00000000-0005-0000-0000-0000F5980000}"/>
    <cellStyle name="Normal 35 16 4" xfId="52294" xr:uid="{00000000-0005-0000-0000-0000F6980000}"/>
    <cellStyle name="Normal 35 17" xfId="2650" xr:uid="{00000000-0005-0000-0000-0000F7980000}"/>
    <cellStyle name="Normal 35 17 2" xfId="2651" xr:uid="{00000000-0005-0000-0000-0000F8980000}"/>
    <cellStyle name="Normal 35 17 3" xfId="2652" xr:uid="{00000000-0005-0000-0000-0000F9980000}"/>
    <cellStyle name="Normal 35 18" xfId="2653" xr:uid="{00000000-0005-0000-0000-0000FA980000}"/>
    <cellStyle name="Normal 35 19" xfId="2654" xr:uid="{00000000-0005-0000-0000-0000FB980000}"/>
    <cellStyle name="Normal 35 2" xfId="2655" xr:uid="{00000000-0005-0000-0000-0000FC980000}"/>
    <cellStyle name="Normal 35 2 2" xfId="2656" xr:uid="{00000000-0005-0000-0000-0000FD980000}"/>
    <cellStyle name="Normal 35 2 2 2" xfId="2657" xr:uid="{00000000-0005-0000-0000-0000FE980000}"/>
    <cellStyle name="Normal 35 2 2 2 2" xfId="4671" xr:uid="{00000000-0005-0000-0000-0000FF980000}"/>
    <cellStyle name="Normal 35 2 2 2 3" xfId="52298" xr:uid="{00000000-0005-0000-0000-000000990000}"/>
    <cellStyle name="Normal 35 2 2 3" xfId="4670" xr:uid="{00000000-0005-0000-0000-000001990000}"/>
    <cellStyle name="Normal 35 2 2 4" xfId="52297" xr:uid="{00000000-0005-0000-0000-000002990000}"/>
    <cellStyle name="Normal 35 2 2_BallGrid" xfId="2658" xr:uid="{00000000-0005-0000-0000-000003990000}"/>
    <cellStyle name="Normal 35 2 3" xfId="2659" xr:uid="{00000000-0005-0000-0000-000004990000}"/>
    <cellStyle name="Normal 35 2 3 2" xfId="4672" xr:uid="{00000000-0005-0000-0000-000005990000}"/>
    <cellStyle name="Normal 35 2 3 3" xfId="52299" xr:uid="{00000000-0005-0000-0000-000006990000}"/>
    <cellStyle name="Normal 35 2 4" xfId="4669" xr:uid="{00000000-0005-0000-0000-000007990000}"/>
    <cellStyle name="Normal 35 2 5" xfId="22775" xr:uid="{00000000-0005-0000-0000-000008990000}"/>
    <cellStyle name="Normal 35 2 5 2" xfId="38982" xr:uid="{00000000-0005-0000-0000-000009990000}"/>
    <cellStyle name="Normal 35 2 6" xfId="22854" xr:uid="{00000000-0005-0000-0000-00000A990000}"/>
    <cellStyle name="Normal 35 2 6 2" xfId="39027" xr:uid="{00000000-0005-0000-0000-00000B990000}"/>
    <cellStyle name="Normal 35 2 7" xfId="52296" xr:uid="{00000000-0005-0000-0000-00000C990000}"/>
    <cellStyle name="Normal 35 20" xfId="2660" xr:uid="{00000000-0005-0000-0000-00000D990000}"/>
    <cellStyle name="Normal 35 21" xfId="53257" xr:uid="{00000000-0005-0000-0000-00000E990000}"/>
    <cellStyle name="Normal 35 3" xfId="2661" xr:uid="{00000000-0005-0000-0000-00000F990000}"/>
    <cellStyle name="Normal 35 3 2" xfId="4673" xr:uid="{00000000-0005-0000-0000-000010990000}"/>
    <cellStyle name="Normal 35 3 3" xfId="52300" xr:uid="{00000000-0005-0000-0000-000011990000}"/>
    <cellStyle name="Normal 35 4" xfId="2662" xr:uid="{00000000-0005-0000-0000-000012990000}"/>
    <cellStyle name="Normal 35 4 2" xfId="4674" xr:uid="{00000000-0005-0000-0000-000013990000}"/>
    <cellStyle name="Normal 35 4 3" xfId="52301" xr:uid="{00000000-0005-0000-0000-000014990000}"/>
    <cellStyle name="Normal 35 5" xfId="2663" xr:uid="{00000000-0005-0000-0000-000015990000}"/>
    <cellStyle name="Normal 35 5 2" xfId="2664" xr:uid="{00000000-0005-0000-0000-000016990000}"/>
    <cellStyle name="Normal 35 5 2 2" xfId="4676" xr:uid="{00000000-0005-0000-0000-000017990000}"/>
    <cellStyle name="Normal 35 5 2 3" xfId="52303" xr:uid="{00000000-0005-0000-0000-000018990000}"/>
    <cellStyle name="Normal 35 5 3" xfId="4675" xr:uid="{00000000-0005-0000-0000-000019990000}"/>
    <cellStyle name="Normal 35 5 4" xfId="52302" xr:uid="{00000000-0005-0000-0000-00001A990000}"/>
    <cellStyle name="Normal 35 5_BallGrid" xfId="2665" xr:uid="{00000000-0005-0000-0000-00001B990000}"/>
    <cellStyle name="Normal 35 6" xfId="2666" xr:uid="{00000000-0005-0000-0000-00001C990000}"/>
    <cellStyle name="Normal 35 6 2" xfId="2667" xr:uid="{00000000-0005-0000-0000-00001D990000}"/>
    <cellStyle name="Normal 35 6 2 2" xfId="4678" xr:uid="{00000000-0005-0000-0000-00001E990000}"/>
    <cellStyle name="Normal 35 6 2 3" xfId="52305" xr:uid="{00000000-0005-0000-0000-00001F990000}"/>
    <cellStyle name="Normal 35 6 3" xfId="4677" xr:uid="{00000000-0005-0000-0000-000020990000}"/>
    <cellStyle name="Normal 35 6 4" xfId="52304" xr:uid="{00000000-0005-0000-0000-000021990000}"/>
    <cellStyle name="Normal 35 7" xfId="2668" xr:uid="{00000000-0005-0000-0000-000022990000}"/>
    <cellStyle name="Normal 35 7 2" xfId="2669" xr:uid="{00000000-0005-0000-0000-000023990000}"/>
    <cellStyle name="Normal 35 7 2 2" xfId="4680" xr:uid="{00000000-0005-0000-0000-000024990000}"/>
    <cellStyle name="Normal 35 7 2 3" xfId="52307" xr:uid="{00000000-0005-0000-0000-000025990000}"/>
    <cellStyle name="Normal 35 7 3" xfId="2670" xr:uid="{00000000-0005-0000-0000-000026990000}"/>
    <cellStyle name="Normal 35 7 3 2" xfId="4681" xr:uid="{00000000-0005-0000-0000-000027990000}"/>
    <cellStyle name="Normal 35 7 3 3" xfId="52308" xr:uid="{00000000-0005-0000-0000-000028990000}"/>
    <cellStyle name="Normal 35 7 4" xfId="2671" xr:uid="{00000000-0005-0000-0000-000029990000}"/>
    <cellStyle name="Normal 35 7 4 2" xfId="2672" xr:uid="{00000000-0005-0000-0000-00002A990000}"/>
    <cellStyle name="Normal 35 7 4 2 2" xfId="4683" xr:uid="{00000000-0005-0000-0000-00002B990000}"/>
    <cellStyle name="Normal 35 7 4 2 3" xfId="52310" xr:uid="{00000000-0005-0000-0000-00002C990000}"/>
    <cellStyle name="Normal 35 7 4 3" xfId="4682" xr:uid="{00000000-0005-0000-0000-00002D990000}"/>
    <cellStyle name="Normal 35 7 4 4" xfId="52309" xr:uid="{00000000-0005-0000-0000-00002E990000}"/>
    <cellStyle name="Normal 35 7 5" xfId="2673" xr:uid="{00000000-0005-0000-0000-00002F990000}"/>
    <cellStyle name="Normal 35 7 5 2" xfId="2674" xr:uid="{00000000-0005-0000-0000-000030990000}"/>
    <cellStyle name="Normal 35 7 5 2 2" xfId="4685" xr:uid="{00000000-0005-0000-0000-000031990000}"/>
    <cellStyle name="Normal 35 7 5 2 3" xfId="52312" xr:uid="{00000000-0005-0000-0000-000032990000}"/>
    <cellStyle name="Normal 35 7 5 3" xfId="2675" xr:uid="{00000000-0005-0000-0000-000033990000}"/>
    <cellStyle name="Normal 35 7 5 3 2" xfId="2676" xr:uid="{00000000-0005-0000-0000-000034990000}"/>
    <cellStyle name="Normal 35 7 5 3 2 2" xfId="4687" xr:uid="{00000000-0005-0000-0000-000035990000}"/>
    <cellStyle name="Normal 35 7 5 3 2 3" xfId="52314" xr:uid="{00000000-0005-0000-0000-000036990000}"/>
    <cellStyle name="Normal 35 7 5 3 3" xfId="2677" xr:uid="{00000000-0005-0000-0000-000037990000}"/>
    <cellStyle name="Normal 35 7 5 3 3 2" xfId="2678" xr:uid="{00000000-0005-0000-0000-000038990000}"/>
    <cellStyle name="Normal 35 7 5 3 3 2 2" xfId="4689" xr:uid="{00000000-0005-0000-0000-000039990000}"/>
    <cellStyle name="Normal 35 7 5 3 3 2 3" xfId="52316" xr:uid="{00000000-0005-0000-0000-00003A990000}"/>
    <cellStyle name="Normal 35 7 5 3 3 3" xfId="4688" xr:uid="{00000000-0005-0000-0000-00003B990000}"/>
    <cellStyle name="Normal 35 7 5 3 3 4" xfId="52315" xr:uid="{00000000-0005-0000-0000-00003C990000}"/>
    <cellStyle name="Normal 35 7 5 3 4" xfId="4690" xr:uid="{00000000-0005-0000-0000-00003D990000}"/>
    <cellStyle name="Normal 35 7 5 3 5" xfId="4686" xr:uid="{00000000-0005-0000-0000-00003E990000}"/>
    <cellStyle name="Normal 35 7 5 3 6" xfId="52313" xr:uid="{00000000-0005-0000-0000-00003F990000}"/>
    <cellStyle name="Normal 35 7 5 4" xfId="4684" xr:uid="{00000000-0005-0000-0000-000040990000}"/>
    <cellStyle name="Normal 35 7 5 5" xfId="52311" xr:uid="{00000000-0005-0000-0000-000041990000}"/>
    <cellStyle name="Normal 35 7 6" xfId="4679" xr:uid="{00000000-0005-0000-0000-000042990000}"/>
    <cellStyle name="Normal 35 7 7" xfId="22566" xr:uid="{00000000-0005-0000-0000-000043990000}"/>
    <cellStyle name="Normal 35 7 7 2" xfId="38877" xr:uid="{00000000-0005-0000-0000-000044990000}"/>
    <cellStyle name="Normal 35 7 8" xfId="52306" xr:uid="{00000000-0005-0000-0000-000045990000}"/>
    <cellStyle name="Normal 35 8" xfId="2679" xr:uid="{00000000-0005-0000-0000-000046990000}"/>
    <cellStyle name="Normal 35 8 2" xfId="2680" xr:uid="{00000000-0005-0000-0000-000047990000}"/>
    <cellStyle name="Normal 35 8 2 2" xfId="4692" xr:uid="{00000000-0005-0000-0000-000048990000}"/>
    <cellStyle name="Normal 35 8 2 3" xfId="52318" xr:uid="{00000000-0005-0000-0000-000049990000}"/>
    <cellStyle name="Normal 35 8 3" xfId="2681" xr:uid="{00000000-0005-0000-0000-00004A990000}"/>
    <cellStyle name="Normal 35 8 3 2" xfId="2682" xr:uid="{00000000-0005-0000-0000-00004B990000}"/>
    <cellStyle name="Normal 35 8 3 2 2" xfId="4694" xr:uid="{00000000-0005-0000-0000-00004C990000}"/>
    <cellStyle name="Normal 35 8 3 2 3" xfId="52320" xr:uid="{00000000-0005-0000-0000-00004D990000}"/>
    <cellStyle name="Normal 35 8 3 3" xfId="4693" xr:uid="{00000000-0005-0000-0000-00004E990000}"/>
    <cellStyle name="Normal 35 8 3 4" xfId="52319" xr:uid="{00000000-0005-0000-0000-00004F990000}"/>
    <cellStyle name="Normal 35 8 4" xfId="2683" xr:uid="{00000000-0005-0000-0000-000050990000}"/>
    <cellStyle name="Normal 35 8 4 2" xfId="2684" xr:uid="{00000000-0005-0000-0000-000051990000}"/>
    <cellStyle name="Normal 35 8 4 2 2" xfId="4696" xr:uid="{00000000-0005-0000-0000-000052990000}"/>
    <cellStyle name="Normal 35 8 4 2 3" xfId="52322" xr:uid="{00000000-0005-0000-0000-000053990000}"/>
    <cellStyle name="Normal 35 8 4 3" xfId="2685" xr:uid="{00000000-0005-0000-0000-000054990000}"/>
    <cellStyle name="Normal 35 8 4 3 2" xfId="2686" xr:uid="{00000000-0005-0000-0000-000055990000}"/>
    <cellStyle name="Normal 35 8 4 3 2 2" xfId="4698" xr:uid="{00000000-0005-0000-0000-000056990000}"/>
    <cellStyle name="Normal 35 8 4 3 2 3" xfId="52324" xr:uid="{00000000-0005-0000-0000-000057990000}"/>
    <cellStyle name="Normal 35 8 4 3 3" xfId="2687" xr:uid="{00000000-0005-0000-0000-000058990000}"/>
    <cellStyle name="Normal 35 8 4 3 3 2" xfId="2688" xr:uid="{00000000-0005-0000-0000-000059990000}"/>
    <cellStyle name="Normal 35 8 4 3 3 2 2" xfId="4700" xr:uid="{00000000-0005-0000-0000-00005A990000}"/>
    <cellStyle name="Normal 35 8 4 3 3 2 3" xfId="52326" xr:uid="{00000000-0005-0000-0000-00005B990000}"/>
    <cellStyle name="Normal 35 8 4 3 3 3" xfId="4699" xr:uid="{00000000-0005-0000-0000-00005C990000}"/>
    <cellStyle name="Normal 35 8 4 3 3 4" xfId="52325" xr:uid="{00000000-0005-0000-0000-00005D990000}"/>
    <cellStyle name="Normal 35 8 4 3 4" xfId="4701" xr:uid="{00000000-0005-0000-0000-00005E990000}"/>
    <cellStyle name="Normal 35 8 4 3 5" xfId="4697" xr:uid="{00000000-0005-0000-0000-00005F990000}"/>
    <cellStyle name="Normal 35 8 4 3 6" xfId="52323" xr:uid="{00000000-0005-0000-0000-000060990000}"/>
    <cellStyle name="Normal 35 8 4 4" xfId="4695" xr:uid="{00000000-0005-0000-0000-000061990000}"/>
    <cellStyle name="Normal 35 8 4 5" xfId="52321" xr:uid="{00000000-0005-0000-0000-000062990000}"/>
    <cellStyle name="Normal 35 8 5" xfId="4691" xr:uid="{00000000-0005-0000-0000-000063990000}"/>
    <cellStyle name="Normal 35 8 6" xfId="22320" xr:uid="{00000000-0005-0000-0000-000064990000}"/>
    <cellStyle name="Normal 35 8 6 2" xfId="38833" xr:uid="{00000000-0005-0000-0000-000065990000}"/>
    <cellStyle name="Normal 35 8 7" xfId="52317" xr:uid="{00000000-0005-0000-0000-000066990000}"/>
    <cellStyle name="Normal 35 9" xfId="2689" xr:uid="{00000000-0005-0000-0000-000067990000}"/>
    <cellStyle name="Normal 35 9 2" xfId="2690" xr:uid="{00000000-0005-0000-0000-000068990000}"/>
    <cellStyle name="Normal 35 9 2 2" xfId="4703" xr:uid="{00000000-0005-0000-0000-000069990000}"/>
    <cellStyle name="Normal 35 9 2 3" xfId="52328" xr:uid="{00000000-0005-0000-0000-00006A990000}"/>
    <cellStyle name="Normal 35 9 3" xfId="2691" xr:uid="{00000000-0005-0000-0000-00006B990000}"/>
    <cellStyle name="Normal 35 9 3 2" xfId="2692" xr:uid="{00000000-0005-0000-0000-00006C990000}"/>
    <cellStyle name="Normal 35 9 3 2 2" xfId="4705" xr:uid="{00000000-0005-0000-0000-00006D990000}"/>
    <cellStyle name="Normal 35 9 3 2 3" xfId="52330" xr:uid="{00000000-0005-0000-0000-00006E990000}"/>
    <cellStyle name="Normal 35 9 3 3" xfId="4704" xr:uid="{00000000-0005-0000-0000-00006F990000}"/>
    <cellStyle name="Normal 35 9 3 4" xfId="52329" xr:uid="{00000000-0005-0000-0000-000070990000}"/>
    <cellStyle name="Normal 35 9 4" xfId="2693" xr:uid="{00000000-0005-0000-0000-000071990000}"/>
    <cellStyle name="Normal 35 9 4 2" xfId="4706" xr:uid="{00000000-0005-0000-0000-000072990000}"/>
    <cellStyle name="Normal 35 9 4 3" xfId="52331" xr:uid="{00000000-0005-0000-0000-000073990000}"/>
    <cellStyle name="Normal 35 9 5" xfId="4702" xr:uid="{00000000-0005-0000-0000-000074990000}"/>
    <cellStyle name="Normal 35 9 6" xfId="52327" xr:uid="{00000000-0005-0000-0000-000075990000}"/>
    <cellStyle name="Normal 35_BallGrid" xfId="2694" xr:uid="{00000000-0005-0000-0000-000076990000}"/>
    <cellStyle name="Normal 350" xfId="2695" xr:uid="{00000000-0005-0000-0000-000077990000}"/>
    <cellStyle name="Normal 350 2" xfId="4707" xr:uid="{00000000-0005-0000-0000-000078990000}"/>
    <cellStyle name="Normal 350 2 2" xfId="8581" xr:uid="{00000000-0005-0000-0000-000079990000}"/>
    <cellStyle name="Normal 350 2 2 2" xfId="16377" xr:uid="{00000000-0005-0000-0000-00007A990000}"/>
    <cellStyle name="Normal 350 2 2 2 2" xfId="34012" xr:uid="{00000000-0005-0000-0000-00007B990000}"/>
    <cellStyle name="Normal 350 2 2 3" xfId="26982" xr:uid="{00000000-0005-0000-0000-00007C990000}"/>
    <cellStyle name="Normal 350 2 3" xfId="12869" xr:uid="{00000000-0005-0000-0000-00007D990000}"/>
    <cellStyle name="Normal 350 2 3 2" xfId="30519" xr:uid="{00000000-0005-0000-0000-00007E990000}"/>
    <cellStyle name="Normal 350 2 4" xfId="24117" xr:uid="{00000000-0005-0000-0000-00007F990000}"/>
    <cellStyle name="Normal 350 3" xfId="5894" xr:uid="{00000000-0005-0000-0000-000080990000}"/>
    <cellStyle name="Normal 350 3 2" xfId="9194" xr:uid="{00000000-0005-0000-0000-000081990000}"/>
    <cellStyle name="Normal 350 3 2 2" xfId="16989" xr:uid="{00000000-0005-0000-0000-000082990000}"/>
    <cellStyle name="Normal 350 3 2 2 2" xfId="34625" xr:uid="{00000000-0005-0000-0000-000083990000}"/>
    <cellStyle name="Normal 350 3 2 3" xfId="27582" xr:uid="{00000000-0005-0000-0000-000084990000}"/>
    <cellStyle name="Normal 350 3 3" xfId="13750" xr:uid="{00000000-0005-0000-0000-000085990000}"/>
    <cellStyle name="Normal 350 3 3 2" xfId="31390" xr:uid="{00000000-0005-0000-0000-000086990000}"/>
    <cellStyle name="Normal 350 3 4" xfId="24717" xr:uid="{00000000-0005-0000-0000-000087990000}"/>
    <cellStyle name="Normal 350 4" xfId="6524" xr:uid="{00000000-0005-0000-0000-000088990000}"/>
    <cellStyle name="Normal 350 4 2" xfId="9734" xr:uid="{00000000-0005-0000-0000-000089990000}"/>
    <cellStyle name="Normal 350 4 2 2" xfId="17528" xr:uid="{00000000-0005-0000-0000-00008A990000}"/>
    <cellStyle name="Normal 350 4 2 2 2" xfId="35165" xr:uid="{00000000-0005-0000-0000-00008B990000}"/>
    <cellStyle name="Normal 350 4 2 3" xfId="28118" xr:uid="{00000000-0005-0000-0000-00008C990000}"/>
    <cellStyle name="Normal 350 4 3" xfId="14313" xr:uid="{00000000-0005-0000-0000-00008D990000}"/>
    <cellStyle name="Normal 350 4 3 2" xfId="31948" xr:uid="{00000000-0005-0000-0000-00008E990000}"/>
    <cellStyle name="Normal 350 4 4" xfId="25254" xr:uid="{00000000-0005-0000-0000-00008F990000}"/>
    <cellStyle name="Normal 350 5" xfId="7300" xr:uid="{00000000-0005-0000-0000-000090990000}"/>
    <cellStyle name="Normal 350 5 2" xfId="10288" xr:uid="{00000000-0005-0000-0000-000091990000}"/>
    <cellStyle name="Normal 350 5 2 2" xfId="18081" xr:uid="{00000000-0005-0000-0000-000092990000}"/>
    <cellStyle name="Normal 350 5 2 2 2" xfId="35718" xr:uid="{00000000-0005-0000-0000-000093990000}"/>
    <cellStyle name="Normal 350 5 2 3" xfId="28655" xr:uid="{00000000-0005-0000-0000-000094990000}"/>
    <cellStyle name="Normal 350 5 3" xfId="15088" xr:uid="{00000000-0005-0000-0000-000095990000}"/>
    <cellStyle name="Normal 350 5 3 2" xfId="32723" xr:uid="{00000000-0005-0000-0000-000096990000}"/>
    <cellStyle name="Normal 350 5 4" xfId="25792" xr:uid="{00000000-0005-0000-0000-000097990000}"/>
    <cellStyle name="Normal 350 6" xfId="7899" xr:uid="{00000000-0005-0000-0000-000098990000}"/>
    <cellStyle name="Normal 350 6 2" xfId="15696" xr:uid="{00000000-0005-0000-0000-000099990000}"/>
    <cellStyle name="Normal 350 6 2 2" xfId="33331" xr:uid="{00000000-0005-0000-0000-00009A990000}"/>
    <cellStyle name="Normal 350 6 3" xfId="26315" xr:uid="{00000000-0005-0000-0000-00009B990000}"/>
    <cellStyle name="Normal 350 7" xfId="11856" xr:uid="{00000000-0005-0000-0000-00009C990000}"/>
    <cellStyle name="Normal 350 7 2" xfId="29539" xr:uid="{00000000-0005-0000-0000-00009D990000}"/>
    <cellStyle name="Normal 350 8" xfId="23450" xr:uid="{00000000-0005-0000-0000-00009E990000}"/>
    <cellStyle name="Normal 350 9" xfId="52332" xr:uid="{00000000-0005-0000-0000-00009F990000}"/>
    <cellStyle name="Normal 351" xfId="2696" xr:uid="{00000000-0005-0000-0000-0000A0990000}"/>
    <cellStyle name="Normal 351 2" xfId="4708" xr:uid="{00000000-0005-0000-0000-0000A1990000}"/>
    <cellStyle name="Normal 351 2 2" xfId="8582" xr:uid="{00000000-0005-0000-0000-0000A2990000}"/>
    <cellStyle name="Normal 351 2 2 2" xfId="16378" xr:uid="{00000000-0005-0000-0000-0000A3990000}"/>
    <cellStyle name="Normal 351 2 2 2 2" xfId="34013" xr:uid="{00000000-0005-0000-0000-0000A4990000}"/>
    <cellStyle name="Normal 351 2 2 3" xfId="26983" xr:uid="{00000000-0005-0000-0000-0000A5990000}"/>
    <cellStyle name="Normal 351 2 3" xfId="12870" xr:uid="{00000000-0005-0000-0000-0000A6990000}"/>
    <cellStyle name="Normal 351 2 3 2" xfId="30520" xr:uid="{00000000-0005-0000-0000-0000A7990000}"/>
    <cellStyle name="Normal 351 2 4" xfId="24118" xr:uid="{00000000-0005-0000-0000-0000A8990000}"/>
    <cellStyle name="Normal 351 3" xfId="5895" xr:uid="{00000000-0005-0000-0000-0000A9990000}"/>
    <cellStyle name="Normal 351 3 2" xfId="9195" xr:uid="{00000000-0005-0000-0000-0000AA990000}"/>
    <cellStyle name="Normal 351 3 2 2" xfId="16990" xr:uid="{00000000-0005-0000-0000-0000AB990000}"/>
    <cellStyle name="Normal 351 3 2 2 2" xfId="34626" xr:uid="{00000000-0005-0000-0000-0000AC990000}"/>
    <cellStyle name="Normal 351 3 2 3" xfId="27583" xr:uid="{00000000-0005-0000-0000-0000AD990000}"/>
    <cellStyle name="Normal 351 3 3" xfId="13751" xr:uid="{00000000-0005-0000-0000-0000AE990000}"/>
    <cellStyle name="Normal 351 3 3 2" xfId="31391" xr:uid="{00000000-0005-0000-0000-0000AF990000}"/>
    <cellStyle name="Normal 351 3 4" xfId="24718" xr:uid="{00000000-0005-0000-0000-0000B0990000}"/>
    <cellStyle name="Normal 351 4" xfId="6525" xr:uid="{00000000-0005-0000-0000-0000B1990000}"/>
    <cellStyle name="Normal 351 4 2" xfId="9735" xr:uid="{00000000-0005-0000-0000-0000B2990000}"/>
    <cellStyle name="Normal 351 4 2 2" xfId="17529" xr:uid="{00000000-0005-0000-0000-0000B3990000}"/>
    <cellStyle name="Normal 351 4 2 2 2" xfId="35166" xr:uid="{00000000-0005-0000-0000-0000B4990000}"/>
    <cellStyle name="Normal 351 4 2 3" xfId="28119" xr:uid="{00000000-0005-0000-0000-0000B5990000}"/>
    <cellStyle name="Normal 351 4 3" xfId="14314" xr:uid="{00000000-0005-0000-0000-0000B6990000}"/>
    <cellStyle name="Normal 351 4 3 2" xfId="31949" xr:uid="{00000000-0005-0000-0000-0000B7990000}"/>
    <cellStyle name="Normal 351 4 4" xfId="25255" xr:uid="{00000000-0005-0000-0000-0000B8990000}"/>
    <cellStyle name="Normal 351 5" xfId="7301" xr:uid="{00000000-0005-0000-0000-0000B9990000}"/>
    <cellStyle name="Normal 351 5 2" xfId="10289" xr:uid="{00000000-0005-0000-0000-0000BA990000}"/>
    <cellStyle name="Normal 351 5 2 2" xfId="18082" xr:uid="{00000000-0005-0000-0000-0000BB990000}"/>
    <cellStyle name="Normal 351 5 2 2 2" xfId="35719" xr:uid="{00000000-0005-0000-0000-0000BC990000}"/>
    <cellStyle name="Normal 351 5 2 3" xfId="28656" xr:uid="{00000000-0005-0000-0000-0000BD990000}"/>
    <cellStyle name="Normal 351 5 3" xfId="15089" xr:uid="{00000000-0005-0000-0000-0000BE990000}"/>
    <cellStyle name="Normal 351 5 3 2" xfId="32724" xr:uid="{00000000-0005-0000-0000-0000BF990000}"/>
    <cellStyle name="Normal 351 5 4" xfId="25793" xr:uid="{00000000-0005-0000-0000-0000C0990000}"/>
    <cellStyle name="Normal 351 6" xfId="7900" xr:uid="{00000000-0005-0000-0000-0000C1990000}"/>
    <cellStyle name="Normal 351 6 2" xfId="15697" xr:uid="{00000000-0005-0000-0000-0000C2990000}"/>
    <cellStyle name="Normal 351 6 2 2" xfId="33332" xr:uid="{00000000-0005-0000-0000-0000C3990000}"/>
    <cellStyle name="Normal 351 6 3" xfId="26316" xr:uid="{00000000-0005-0000-0000-0000C4990000}"/>
    <cellStyle name="Normal 351 7" xfId="11857" xr:uid="{00000000-0005-0000-0000-0000C5990000}"/>
    <cellStyle name="Normal 351 7 2" xfId="29540" xr:uid="{00000000-0005-0000-0000-0000C6990000}"/>
    <cellStyle name="Normal 351 8" xfId="23451" xr:uid="{00000000-0005-0000-0000-0000C7990000}"/>
    <cellStyle name="Normal 351 9" xfId="52333" xr:uid="{00000000-0005-0000-0000-0000C8990000}"/>
    <cellStyle name="Normal 352" xfId="2697" xr:uid="{00000000-0005-0000-0000-0000C9990000}"/>
    <cellStyle name="Normal 352 2" xfId="4709" xr:uid="{00000000-0005-0000-0000-0000CA990000}"/>
    <cellStyle name="Normal 352 2 2" xfId="8583" xr:uid="{00000000-0005-0000-0000-0000CB990000}"/>
    <cellStyle name="Normal 352 2 2 2" xfId="16379" xr:uid="{00000000-0005-0000-0000-0000CC990000}"/>
    <cellStyle name="Normal 352 2 2 2 2" xfId="34014" xr:uid="{00000000-0005-0000-0000-0000CD990000}"/>
    <cellStyle name="Normal 352 2 2 3" xfId="26984" xr:uid="{00000000-0005-0000-0000-0000CE990000}"/>
    <cellStyle name="Normal 352 2 3" xfId="12871" xr:uid="{00000000-0005-0000-0000-0000CF990000}"/>
    <cellStyle name="Normal 352 2 3 2" xfId="30521" xr:uid="{00000000-0005-0000-0000-0000D0990000}"/>
    <cellStyle name="Normal 352 2 4" xfId="24119" xr:uid="{00000000-0005-0000-0000-0000D1990000}"/>
    <cellStyle name="Normal 352 3" xfId="5896" xr:uid="{00000000-0005-0000-0000-0000D2990000}"/>
    <cellStyle name="Normal 352 3 2" xfId="9196" xr:uid="{00000000-0005-0000-0000-0000D3990000}"/>
    <cellStyle name="Normal 352 3 2 2" xfId="16991" xr:uid="{00000000-0005-0000-0000-0000D4990000}"/>
    <cellStyle name="Normal 352 3 2 2 2" xfId="34627" xr:uid="{00000000-0005-0000-0000-0000D5990000}"/>
    <cellStyle name="Normal 352 3 2 3" xfId="27584" xr:uid="{00000000-0005-0000-0000-0000D6990000}"/>
    <cellStyle name="Normal 352 3 3" xfId="13752" xr:uid="{00000000-0005-0000-0000-0000D7990000}"/>
    <cellStyle name="Normal 352 3 3 2" xfId="31392" xr:uid="{00000000-0005-0000-0000-0000D8990000}"/>
    <cellStyle name="Normal 352 3 4" xfId="24719" xr:uid="{00000000-0005-0000-0000-0000D9990000}"/>
    <cellStyle name="Normal 352 4" xfId="6526" xr:uid="{00000000-0005-0000-0000-0000DA990000}"/>
    <cellStyle name="Normal 352 4 2" xfId="9736" xr:uid="{00000000-0005-0000-0000-0000DB990000}"/>
    <cellStyle name="Normal 352 4 2 2" xfId="17530" xr:uid="{00000000-0005-0000-0000-0000DC990000}"/>
    <cellStyle name="Normal 352 4 2 2 2" xfId="35167" xr:uid="{00000000-0005-0000-0000-0000DD990000}"/>
    <cellStyle name="Normal 352 4 2 3" xfId="28120" xr:uid="{00000000-0005-0000-0000-0000DE990000}"/>
    <cellStyle name="Normal 352 4 3" xfId="14315" xr:uid="{00000000-0005-0000-0000-0000DF990000}"/>
    <cellStyle name="Normal 352 4 3 2" xfId="31950" xr:uid="{00000000-0005-0000-0000-0000E0990000}"/>
    <cellStyle name="Normal 352 4 4" xfId="25256" xr:uid="{00000000-0005-0000-0000-0000E1990000}"/>
    <cellStyle name="Normal 352 5" xfId="7302" xr:uid="{00000000-0005-0000-0000-0000E2990000}"/>
    <cellStyle name="Normal 352 5 2" xfId="10290" xr:uid="{00000000-0005-0000-0000-0000E3990000}"/>
    <cellStyle name="Normal 352 5 2 2" xfId="18083" xr:uid="{00000000-0005-0000-0000-0000E4990000}"/>
    <cellStyle name="Normal 352 5 2 2 2" xfId="35720" xr:uid="{00000000-0005-0000-0000-0000E5990000}"/>
    <cellStyle name="Normal 352 5 2 3" xfId="28657" xr:uid="{00000000-0005-0000-0000-0000E6990000}"/>
    <cellStyle name="Normal 352 5 3" xfId="15090" xr:uid="{00000000-0005-0000-0000-0000E7990000}"/>
    <cellStyle name="Normal 352 5 3 2" xfId="32725" xr:uid="{00000000-0005-0000-0000-0000E8990000}"/>
    <cellStyle name="Normal 352 5 4" xfId="25794" xr:uid="{00000000-0005-0000-0000-0000E9990000}"/>
    <cellStyle name="Normal 352 6" xfId="7901" xr:uid="{00000000-0005-0000-0000-0000EA990000}"/>
    <cellStyle name="Normal 352 6 2" xfId="15698" xr:uid="{00000000-0005-0000-0000-0000EB990000}"/>
    <cellStyle name="Normal 352 6 2 2" xfId="33333" xr:uid="{00000000-0005-0000-0000-0000EC990000}"/>
    <cellStyle name="Normal 352 6 3" xfId="26317" xr:uid="{00000000-0005-0000-0000-0000ED990000}"/>
    <cellStyle name="Normal 352 7" xfId="11858" xr:uid="{00000000-0005-0000-0000-0000EE990000}"/>
    <cellStyle name="Normal 352 7 2" xfId="29541" xr:uid="{00000000-0005-0000-0000-0000EF990000}"/>
    <cellStyle name="Normal 352 8" xfId="23452" xr:uid="{00000000-0005-0000-0000-0000F0990000}"/>
    <cellStyle name="Normal 352 9" xfId="52334" xr:uid="{00000000-0005-0000-0000-0000F1990000}"/>
    <cellStyle name="Normal 353" xfId="2698" xr:uid="{00000000-0005-0000-0000-0000F2990000}"/>
    <cellStyle name="Normal 353 2" xfId="4710" xr:uid="{00000000-0005-0000-0000-0000F3990000}"/>
    <cellStyle name="Normal 353 2 2" xfId="8584" xr:uid="{00000000-0005-0000-0000-0000F4990000}"/>
    <cellStyle name="Normal 353 2 2 2" xfId="16380" xr:uid="{00000000-0005-0000-0000-0000F5990000}"/>
    <cellStyle name="Normal 353 2 2 2 2" xfId="34015" xr:uid="{00000000-0005-0000-0000-0000F6990000}"/>
    <cellStyle name="Normal 353 2 2 3" xfId="26985" xr:uid="{00000000-0005-0000-0000-0000F7990000}"/>
    <cellStyle name="Normal 353 2 3" xfId="12872" xr:uid="{00000000-0005-0000-0000-0000F8990000}"/>
    <cellStyle name="Normal 353 2 3 2" xfId="30522" xr:uid="{00000000-0005-0000-0000-0000F9990000}"/>
    <cellStyle name="Normal 353 2 4" xfId="24120" xr:uid="{00000000-0005-0000-0000-0000FA990000}"/>
    <cellStyle name="Normal 353 3" xfId="5897" xr:uid="{00000000-0005-0000-0000-0000FB990000}"/>
    <cellStyle name="Normal 353 3 2" xfId="9197" xr:uid="{00000000-0005-0000-0000-0000FC990000}"/>
    <cellStyle name="Normal 353 3 2 2" xfId="16992" xr:uid="{00000000-0005-0000-0000-0000FD990000}"/>
    <cellStyle name="Normal 353 3 2 2 2" xfId="34628" xr:uid="{00000000-0005-0000-0000-0000FE990000}"/>
    <cellStyle name="Normal 353 3 2 3" xfId="27585" xr:uid="{00000000-0005-0000-0000-0000FF990000}"/>
    <cellStyle name="Normal 353 3 3" xfId="13753" xr:uid="{00000000-0005-0000-0000-0000009A0000}"/>
    <cellStyle name="Normal 353 3 3 2" xfId="31393" xr:uid="{00000000-0005-0000-0000-0000019A0000}"/>
    <cellStyle name="Normal 353 3 4" xfId="24720" xr:uid="{00000000-0005-0000-0000-0000029A0000}"/>
    <cellStyle name="Normal 353 4" xfId="6527" xr:uid="{00000000-0005-0000-0000-0000039A0000}"/>
    <cellStyle name="Normal 353 4 2" xfId="9737" xr:uid="{00000000-0005-0000-0000-0000049A0000}"/>
    <cellStyle name="Normal 353 4 2 2" xfId="17531" xr:uid="{00000000-0005-0000-0000-0000059A0000}"/>
    <cellStyle name="Normal 353 4 2 2 2" xfId="35168" xr:uid="{00000000-0005-0000-0000-0000069A0000}"/>
    <cellStyle name="Normal 353 4 2 3" xfId="28121" xr:uid="{00000000-0005-0000-0000-0000079A0000}"/>
    <cellStyle name="Normal 353 4 3" xfId="14316" xr:uid="{00000000-0005-0000-0000-0000089A0000}"/>
    <cellStyle name="Normal 353 4 3 2" xfId="31951" xr:uid="{00000000-0005-0000-0000-0000099A0000}"/>
    <cellStyle name="Normal 353 4 4" xfId="25257" xr:uid="{00000000-0005-0000-0000-00000A9A0000}"/>
    <cellStyle name="Normal 353 5" xfId="7303" xr:uid="{00000000-0005-0000-0000-00000B9A0000}"/>
    <cellStyle name="Normal 353 5 2" xfId="10291" xr:uid="{00000000-0005-0000-0000-00000C9A0000}"/>
    <cellStyle name="Normal 353 5 2 2" xfId="18084" xr:uid="{00000000-0005-0000-0000-00000D9A0000}"/>
    <cellStyle name="Normal 353 5 2 2 2" xfId="35721" xr:uid="{00000000-0005-0000-0000-00000E9A0000}"/>
    <cellStyle name="Normal 353 5 2 3" xfId="28658" xr:uid="{00000000-0005-0000-0000-00000F9A0000}"/>
    <cellStyle name="Normal 353 5 3" xfId="15091" xr:uid="{00000000-0005-0000-0000-0000109A0000}"/>
    <cellStyle name="Normal 353 5 3 2" xfId="32726" xr:uid="{00000000-0005-0000-0000-0000119A0000}"/>
    <cellStyle name="Normal 353 5 4" xfId="25795" xr:uid="{00000000-0005-0000-0000-0000129A0000}"/>
    <cellStyle name="Normal 353 6" xfId="7902" xr:uid="{00000000-0005-0000-0000-0000139A0000}"/>
    <cellStyle name="Normal 353 6 2" xfId="15699" xr:uid="{00000000-0005-0000-0000-0000149A0000}"/>
    <cellStyle name="Normal 353 6 2 2" xfId="33334" xr:uid="{00000000-0005-0000-0000-0000159A0000}"/>
    <cellStyle name="Normal 353 6 3" xfId="26318" xr:uid="{00000000-0005-0000-0000-0000169A0000}"/>
    <cellStyle name="Normal 353 7" xfId="11859" xr:uid="{00000000-0005-0000-0000-0000179A0000}"/>
    <cellStyle name="Normal 353 7 2" xfId="29542" xr:uid="{00000000-0005-0000-0000-0000189A0000}"/>
    <cellStyle name="Normal 353 8" xfId="23453" xr:uid="{00000000-0005-0000-0000-0000199A0000}"/>
    <cellStyle name="Normal 353 9" xfId="52335" xr:uid="{00000000-0005-0000-0000-00001A9A0000}"/>
    <cellStyle name="Normal 354" xfId="2699" xr:uid="{00000000-0005-0000-0000-00001B9A0000}"/>
    <cellStyle name="Normal 354 2" xfId="4711" xr:uid="{00000000-0005-0000-0000-00001C9A0000}"/>
    <cellStyle name="Normal 354 2 2" xfId="8585" xr:uid="{00000000-0005-0000-0000-00001D9A0000}"/>
    <cellStyle name="Normal 354 2 2 2" xfId="16381" xr:uid="{00000000-0005-0000-0000-00001E9A0000}"/>
    <cellStyle name="Normal 354 2 2 2 2" xfId="34016" xr:uid="{00000000-0005-0000-0000-00001F9A0000}"/>
    <cellStyle name="Normal 354 2 2 3" xfId="26986" xr:uid="{00000000-0005-0000-0000-0000209A0000}"/>
    <cellStyle name="Normal 354 2 3" xfId="12873" xr:uid="{00000000-0005-0000-0000-0000219A0000}"/>
    <cellStyle name="Normal 354 2 3 2" xfId="30523" xr:uid="{00000000-0005-0000-0000-0000229A0000}"/>
    <cellStyle name="Normal 354 2 4" xfId="24121" xr:uid="{00000000-0005-0000-0000-0000239A0000}"/>
    <cellStyle name="Normal 354 3" xfId="5898" xr:uid="{00000000-0005-0000-0000-0000249A0000}"/>
    <cellStyle name="Normal 354 3 2" xfId="9198" xr:uid="{00000000-0005-0000-0000-0000259A0000}"/>
    <cellStyle name="Normal 354 3 2 2" xfId="16993" xr:uid="{00000000-0005-0000-0000-0000269A0000}"/>
    <cellStyle name="Normal 354 3 2 2 2" xfId="34629" xr:uid="{00000000-0005-0000-0000-0000279A0000}"/>
    <cellStyle name="Normal 354 3 2 3" xfId="27586" xr:uid="{00000000-0005-0000-0000-0000289A0000}"/>
    <cellStyle name="Normal 354 3 3" xfId="13754" xr:uid="{00000000-0005-0000-0000-0000299A0000}"/>
    <cellStyle name="Normal 354 3 3 2" xfId="31394" xr:uid="{00000000-0005-0000-0000-00002A9A0000}"/>
    <cellStyle name="Normal 354 3 4" xfId="24721" xr:uid="{00000000-0005-0000-0000-00002B9A0000}"/>
    <cellStyle name="Normal 354 4" xfId="6528" xr:uid="{00000000-0005-0000-0000-00002C9A0000}"/>
    <cellStyle name="Normal 354 4 2" xfId="9738" xr:uid="{00000000-0005-0000-0000-00002D9A0000}"/>
    <cellStyle name="Normal 354 4 2 2" xfId="17532" xr:uid="{00000000-0005-0000-0000-00002E9A0000}"/>
    <cellStyle name="Normal 354 4 2 2 2" xfId="35169" xr:uid="{00000000-0005-0000-0000-00002F9A0000}"/>
    <cellStyle name="Normal 354 4 2 3" xfId="28122" xr:uid="{00000000-0005-0000-0000-0000309A0000}"/>
    <cellStyle name="Normal 354 4 3" xfId="14317" xr:uid="{00000000-0005-0000-0000-0000319A0000}"/>
    <cellStyle name="Normal 354 4 3 2" xfId="31952" xr:uid="{00000000-0005-0000-0000-0000329A0000}"/>
    <cellStyle name="Normal 354 4 4" xfId="25258" xr:uid="{00000000-0005-0000-0000-0000339A0000}"/>
    <cellStyle name="Normal 354 5" xfId="7304" xr:uid="{00000000-0005-0000-0000-0000349A0000}"/>
    <cellStyle name="Normal 354 5 2" xfId="10292" xr:uid="{00000000-0005-0000-0000-0000359A0000}"/>
    <cellStyle name="Normal 354 5 2 2" xfId="18085" xr:uid="{00000000-0005-0000-0000-0000369A0000}"/>
    <cellStyle name="Normal 354 5 2 2 2" xfId="35722" xr:uid="{00000000-0005-0000-0000-0000379A0000}"/>
    <cellStyle name="Normal 354 5 2 3" xfId="28659" xr:uid="{00000000-0005-0000-0000-0000389A0000}"/>
    <cellStyle name="Normal 354 5 3" xfId="15092" xr:uid="{00000000-0005-0000-0000-0000399A0000}"/>
    <cellStyle name="Normal 354 5 3 2" xfId="32727" xr:uid="{00000000-0005-0000-0000-00003A9A0000}"/>
    <cellStyle name="Normal 354 5 4" xfId="25796" xr:uid="{00000000-0005-0000-0000-00003B9A0000}"/>
    <cellStyle name="Normal 354 6" xfId="7903" xr:uid="{00000000-0005-0000-0000-00003C9A0000}"/>
    <cellStyle name="Normal 354 6 2" xfId="15700" xr:uid="{00000000-0005-0000-0000-00003D9A0000}"/>
    <cellStyle name="Normal 354 6 2 2" xfId="33335" xr:uid="{00000000-0005-0000-0000-00003E9A0000}"/>
    <cellStyle name="Normal 354 6 3" xfId="26319" xr:uid="{00000000-0005-0000-0000-00003F9A0000}"/>
    <cellStyle name="Normal 354 7" xfId="11860" xr:uid="{00000000-0005-0000-0000-0000409A0000}"/>
    <cellStyle name="Normal 354 7 2" xfId="29543" xr:uid="{00000000-0005-0000-0000-0000419A0000}"/>
    <cellStyle name="Normal 354 8" xfId="23454" xr:uid="{00000000-0005-0000-0000-0000429A0000}"/>
    <cellStyle name="Normal 354 9" xfId="52336" xr:uid="{00000000-0005-0000-0000-0000439A0000}"/>
    <cellStyle name="Normal 355" xfId="2700" xr:uid="{00000000-0005-0000-0000-0000449A0000}"/>
    <cellStyle name="Normal 355 2" xfId="4712" xr:uid="{00000000-0005-0000-0000-0000459A0000}"/>
    <cellStyle name="Normal 355 2 2" xfId="8586" xr:uid="{00000000-0005-0000-0000-0000469A0000}"/>
    <cellStyle name="Normal 355 2 2 2" xfId="16382" xr:uid="{00000000-0005-0000-0000-0000479A0000}"/>
    <cellStyle name="Normal 355 2 2 2 2" xfId="34017" xr:uid="{00000000-0005-0000-0000-0000489A0000}"/>
    <cellStyle name="Normal 355 2 2 3" xfId="26987" xr:uid="{00000000-0005-0000-0000-0000499A0000}"/>
    <cellStyle name="Normal 355 2 3" xfId="12874" xr:uid="{00000000-0005-0000-0000-00004A9A0000}"/>
    <cellStyle name="Normal 355 2 3 2" xfId="30524" xr:uid="{00000000-0005-0000-0000-00004B9A0000}"/>
    <cellStyle name="Normal 355 2 4" xfId="24122" xr:uid="{00000000-0005-0000-0000-00004C9A0000}"/>
    <cellStyle name="Normal 355 3" xfId="5899" xr:uid="{00000000-0005-0000-0000-00004D9A0000}"/>
    <cellStyle name="Normal 355 3 2" xfId="9199" xr:uid="{00000000-0005-0000-0000-00004E9A0000}"/>
    <cellStyle name="Normal 355 3 2 2" xfId="16994" xr:uid="{00000000-0005-0000-0000-00004F9A0000}"/>
    <cellStyle name="Normal 355 3 2 2 2" xfId="34630" xr:uid="{00000000-0005-0000-0000-0000509A0000}"/>
    <cellStyle name="Normal 355 3 2 3" xfId="27587" xr:uid="{00000000-0005-0000-0000-0000519A0000}"/>
    <cellStyle name="Normal 355 3 3" xfId="13755" xr:uid="{00000000-0005-0000-0000-0000529A0000}"/>
    <cellStyle name="Normal 355 3 3 2" xfId="31395" xr:uid="{00000000-0005-0000-0000-0000539A0000}"/>
    <cellStyle name="Normal 355 3 4" xfId="24722" xr:uid="{00000000-0005-0000-0000-0000549A0000}"/>
    <cellStyle name="Normal 355 4" xfId="6529" xr:uid="{00000000-0005-0000-0000-0000559A0000}"/>
    <cellStyle name="Normal 355 4 2" xfId="9739" xr:uid="{00000000-0005-0000-0000-0000569A0000}"/>
    <cellStyle name="Normal 355 4 2 2" xfId="17533" xr:uid="{00000000-0005-0000-0000-0000579A0000}"/>
    <cellStyle name="Normal 355 4 2 2 2" xfId="35170" xr:uid="{00000000-0005-0000-0000-0000589A0000}"/>
    <cellStyle name="Normal 355 4 2 3" xfId="28123" xr:uid="{00000000-0005-0000-0000-0000599A0000}"/>
    <cellStyle name="Normal 355 4 3" xfId="14318" xr:uid="{00000000-0005-0000-0000-00005A9A0000}"/>
    <cellStyle name="Normal 355 4 3 2" xfId="31953" xr:uid="{00000000-0005-0000-0000-00005B9A0000}"/>
    <cellStyle name="Normal 355 4 4" xfId="25259" xr:uid="{00000000-0005-0000-0000-00005C9A0000}"/>
    <cellStyle name="Normal 355 5" xfId="7305" xr:uid="{00000000-0005-0000-0000-00005D9A0000}"/>
    <cellStyle name="Normal 355 5 2" xfId="10293" xr:uid="{00000000-0005-0000-0000-00005E9A0000}"/>
    <cellStyle name="Normal 355 5 2 2" xfId="18086" xr:uid="{00000000-0005-0000-0000-00005F9A0000}"/>
    <cellStyle name="Normal 355 5 2 2 2" xfId="35723" xr:uid="{00000000-0005-0000-0000-0000609A0000}"/>
    <cellStyle name="Normal 355 5 2 3" xfId="28660" xr:uid="{00000000-0005-0000-0000-0000619A0000}"/>
    <cellStyle name="Normal 355 5 3" xfId="15093" xr:uid="{00000000-0005-0000-0000-0000629A0000}"/>
    <cellStyle name="Normal 355 5 3 2" xfId="32728" xr:uid="{00000000-0005-0000-0000-0000639A0000}"/>
    <cellStyle name="Normal 355 5 4" xfId="25797" xr:uid="{00000000-0005-0000-0000-0000649A0000}"/>
    <cellStyle name="Normal 355 6" xfId="7904" xr:uid="{00000000-0005-0000-0000-0000659A0000}"/>
    <cellStyle name="Normal 355 6 2" xfId="15701" xr:uid="{00000000-0005-0000-0000-0000669A0000}"/>
    <cellStyle name="Normal 355 6 2 2" xfId="33336" xr:uid="{00000000-0005-0000-0000-0000679A0000}"/>
    <cellStyle name="Normal 355 6 3" xfId="26320" xr:uid="{00000000-0005-0000-0000-0000689A0000}"/>
    <cellStyle name="Normal 355 7" xfId="11861" xr:uid="{00000000-0005-0000-0000-0000699A0000}"/>
    <cellStyle name="Normal 355 7 2" xfId="29544" xr:uid="{00000000-0005-0000-0000-00006A9A0000}"/>
    <cellStyle name="Normal 355 8" xfId="23455" xr:uid="{00000000-0005-0000-0000-00006B9A0000}"/>
    <cellStyle name="Normal 355 9" xfId="52337" xr:uid="{00000000-0005-0000-0000-00006C9A0000}"/>
    <cellStyle name="Normal 356" xfId="2701" xr:uid="{00000000-0005-0000-0000-00006D9A0000}"/>
    <cellStyle name="Normal 356 2" xfId="4713" xr:uid="{00000000-0005-0000-0000-00006E9A0000}"/>
    <cellStyle name="Normal 356 2 2" xfId="8587" xr:uid="{00000000-0005-0000-0000-00006F9A0000}"/>
    <cellStyle name="Normal 356 2 2 2" xfId="16383" xr:uid="{00000000-0005-0000-0000-0000709A0000}"/>
    <cellStyle name="Normal 356 2 2 2 2" xfId="34018" xr:uid="{00000000-0005-0000-0000-0000719A0000}"/>
    <cellStyle name="Normal 356 2 2 3" xfId="26988" xr:uid="{00000000-0005-0000-0000-0000729A0000}"/>
    <cellStyle name="Normal 356 2 3" xfId="12875" xr:uid="{00000000-0005-0000-0000-0000739A0000}"/>
    <cellStyle name="Normal 356 2 3 2" xfId="30525" xr:uid="{00000000-0005-0000-0000-0000749A0000}"/>
    <cellStyle name="Normal 356 2 4" xfId="24123" xr:uid="{00000000-0005-0000-0000-0000759A0000}"/>
    <cellStyle name="Normal 356 3" xfId="5900" xr:uid="{00000000-0005-0000-0000-0000769A0000}"/>
    <cellStyle name="Normal 356 3 2" xfId="9200" xr:uid="{00000000-0005-0000-0000-0000779A0000}"/>
    <cellStyle name="Normal 356 3 2 2" xfId="16995" xr:uid="{00000000-0005-0000-0000-0000789A0000}"/>
    <cellStyle name="Normal 356 3 2 2 2" xfId="34631" xr:uid="{00000000-0005-0000-0000-0000799A0000}"/>
    <cellStyle name="Normal 356 3 2 3" xfId="27588" xr:uid="{00000000-0005-0000-0000-00007A9A0000}"/>
    <cellStyle name="Normal 356 3 3" xfId="13756" xr:uid="{00000000-0005-0000-0000-00007B9A0000}"/>
    <cellStyle name="Normal 356 3 3 2" xfId="31396" xr:uid="{00000000-0005-0000-0000-00007C9A0000}"/>
    <cellStyle name="Normal 356 3 4" xfId="24723" xr:uid="{00000000-0005-0000-0000-00007D9A0000}"/>
    <cellStyle name="Normal 356 4" xfId="6530" xr:uid="{00000000-0005-0000-0000-00007E9A0000}"/>
    <cellStyle name="Normal 356 4 2" xfId="9740" xr:uid="{00000000-0005-0000-0000-00007F9A0000}"/>
    <cellStyle name="Normal 356 4 2 2" xfId="17534" xr:uid="{00000000-0005-0000-0000-0000809A0000}"/>
    <cellStyle name="Normal 356 4 2 2 2" xfId="35171" xr:uid="{00000000-0005-0000-0000-0000819A0000}"/>
    <cellStyle name="Normal 356 4 2 3" xfId="28124" xr:uid="{00000000-0005-0000-0000-0000829A0000}"/>
    <cellStyle name="Normal 356 4 3" xfId="14319" xr:uid="{00000000-0005-0000-0000-0000839A0000}"/>
    <cellStyle name="Normal 356 4 3 2" xfId="31954" xr:uid="{00000000-0005-0000-0000-0000849A0000}"/>
    <cellStyle name="Normal 356 4 4" xfId="25260" xr:uid="{00000000-0005-0000-0000-0000859A0000}"/>
    <cellStyle name="Normal 356 5" xfId="7306" xr:uid="{00000000-0005-0000-0000-0000869A0000}"/>
    <cellStyle name="Normal 356 5 2" xfId="10294" xr:uid="{00000000-0005-0000-0000-0000879A0000}"/>
    <cellStyle name="Normal 356 5 2 2" xfId="18087" xr:uid="{00000000-0005-0000-0000-0000889A0000}"/>
    <cellStyle name="Normal 356 5 2 2 2" xfId="35724" xr:uid="{00000000-0005-0000-0000-0000899A0000}"/>
    <cellStyle name="Normal 356 5 2 3" xfId="28661" xr:uid="{00000000-0005-0000-0000-00008A9A0000}"/>
    <cellStyle name="Normal 356 5 3" xfId="15094" xr:uid="{00000000-0005-0000-0000-00008B9A0000}"/>
    <cellStyle name="Normal 356 5 3 2" xfId="32729" xr:uid="{00000000-0005-0000-0000-00008C9A0000}"/>
    <cellStyle name="Normal 356 5 4" xfId="25798" xr:uid="{00000000-0005-0000-0000-00008D9A0000}"/>
    <cellStyle name="Normal 356 6" xfId="7905" xr:uid="{00000000-0005-0000-0000-00008E9A0000}"/>
    <cellStyle name="Normal 356 6 2" xfId="15702" xr:uid="{00000000-0005-0000-0000-00008F9A0000}"/>
    <cellStyle name="Normal 356 6 2 2" xfId="33337" xr:uid="{00000000-0005-0000-0000-0000909A0000}"/>
    <cellStyle name="Normal 356 6 3" xfId="26321" xr:uid="{00000000-0005-0000-0000-0000919A0000}"/>
    <cellStyle name="Normal 356 7" xfId="11862" xr:uid="{00000000-0005-0000-0000-0000929A0000}"/>
    <cellStyle name="Normal 356 7 2" xfId="29545" xr:uid="{00000000-0005-0000-0000-0000939A0000}"/>
    <cellStyle name="Normal 356 8" xfId="23456" xr:uid="{00000000-0005-0000-0000-0000949A0000}"/>
    <cellStyle name="Normal 356 9" xfId="52338" xr:uid="{00000000-0005-0000-0000-0000959A0000}"/>
    <cellStyle name="Normal 357" xfId="2702" xr:uid="{00000000-0005-0000-0000-0000969A0000}"/>
    <cellStyle name="Normal 357 2" xfId="4714" xr:uid="{00000000-0005-0000-0000-0000979A0000}"/>
    <cellStyle name="Normal 357 2 2" xfId="8588" xr:uid="{00000000-0005-0000-0000-0000989A0000}"/>
    <cellStyle name="Normal 357 2 2 2" xfId="16384" xr:uid="{00000000-0005-0000-0000-0000999A0000}"/>
    <cellStyle name="Normal 357 2 2 2 2" xfId="34019" xr:uid="{00000000-0005-0000-0000-00009A9A0000}"/>
    <cellStyle name="Normal 357 2 2 3" xfId="26989" xr:uid="{00000000-0005-0000-0000-00009B9A0000}"/>
    <cellStyle name="Normal 357 2 3" xfId="12876" xr:uid="{00000000-0005-0000-0000-00009C9A0000}"/>
    <cellStyle name="Normal 357 2 3 2" xfId="30526" xr:uid="{00000000-0005-0000-0000-00009D9A0000}"/>
    <cellStyle name="Normal 357 2 4" xfId="24124" xr:uid="{00000000-0005-0000-0000-00009E9A0000}"/>
    <cellStyle name="Normal 357 3" xfId="5901" xr:uid="{00000000-0005-0000-0000-00009F9A0000}"/>
    <cellStyle name="Normal 357 3 2" xfId="9201" xr:uid="{00000000-0005-0000-0000-0000A09A0000}"/>
    <cellStyle name="Normal 357 3 2 2" xfId="16996" xr:uid="{00000000-0005-0000-0000-0000A19A0000}"/>
    <cellStyle name="Normal 357 3 2 2 2" xfId="34632" xr:uid="{00000000-0005-0000-0000-0000A29A0000}"/>
    <cellStyle name="Normal 357 3 2 3" xfId="27589" xr:uid="{00000000-0005-0000-0000-0000A39A0000}"/>
    <cellStyle name="Normal 357 3 3" xfId="13757" xr:uid="{00000000-0005-0000-0000-0000A49A0000}"/>
    <cellStyle name="Normal 357 3 3 2" xfId="31397" xr:uid="{00000000-0005-0000-0000-0000A59A0000}"/>
    <cellStyle name="Normal 357 3 4" xfId="24724" xr:uid="{00000000-0005-0000-0000-0000A69A0000}"/>
    <cellStyle name="Normal 357 4" xfId="6531" xr:uid="{00000000-0005-0000-0000-0000A79A0000}"/>
    <cellStyle name="Normal 357 4 2" xfId="9741" xr:uid="{00000000-0005-0000-0000-0000A89A0000}"/>
    <cellStyle name="Normal 357 4 2 2" xfId="17535" xr:uid="{00000000-0005-0000-0000-0000A99A0000}"/>
    <cellStyle name="Normal 357 4 2 2 2" xfId="35172" xr:uid="{00000000-0005-0000-0000-0000AA9A0000}"/>
    <cellStyle name="Normal 357 4 2 3" xfId="28125" xr:uid="{00000000-0005-0000-0000-0000AB9A0000}"/>
    <cellStyle name="Normal 357 4 3" xfId="14320" xr:uid="{00000000-0005-0000-0000-0000AC9A0000}"/>
    <cellStyle name="Normal 357 4 3 2" xfId="31955" xr:uid="{00000000-0005-0000-0000-0000AD9A0000}"/>
    <cellStyle name="Normal 357 4 4" xfId="25261" xr:uid="{00000000-0005-0000-0000-0000AE9A0000}"/>
    <cellStyle name="Normal 357 5" xfId="7307" xr:uid="{00000000-0005-0000-0000-0000AF9A0000}"/>
    <cellStyle name="Normal 357 5 2" xfId="10295" xr:uid="{00000000-0005-0000-0000-0000B09A0000}"/>
    <cellStyle name="Normal 357 5 2 2" xfId="18088" xr:uid="{00000000-0005-0000-0000-0000B19A0000}"/>
    <cellStyle name="Normal 357 5 2 2 2" xfId="35725" xr:uid="{00000000-0005-0000-0000-0000B29A0000}"/>
    <cellStyle name="Normal 357 5 2 3" xfId="28662" xr:uid="{00000000-0005-0000-0000-0000B39A0000}"/>
    <cellStyle name="Normal 357 5 3" xfId="15095" xr:uid="{00000000-0005-0000-0000-0000B49A0000}"/>
    <cellStyle name="Normal 357 5 3 2" xfId="32730" xr:uid="{00000000-0005-0000-0000-0000B59A0000}"/>
    <cellStyle name="Normal 357 5 4" xfId="25799" xr:uid="{00000000-0005-0000-0000-0000B69A0000}"/>
    <cellStyle name="Normal 357 6" xfId="7906" xr:uid="{00000000-0005-0000-0000-0000B79A0000}"/>
    <cellStyle name="Normal 357 6 2" xfId="15703" xr:uid="{00000000-0005-0000-0000-0000B89A0000}"/>
    <cellStyle name="Normal 357 6 2 2" xfId="33338" xr:uid="{00000000-0005-0000-0000-0000B99A0000}"/>
    <cellStyle name="Normal 357 6 3" xfId="26322" xr:uid="{00000000-0005-0000-0000-0000BA9A0000}"/>
    <cellStyle name="Normal 357 7" xfId="11863" xr:uid="{00000000-0005-0000-0000-0000BB9A0000}"/>
    <cellStyle name="Normal 357 7 2" xfId="29546" xr:uid="{00000000-0005-0000-0000-0000BC9A0000}"/>
    <cellStyle name="Normal 357 8" xfId="23457" xr:uid="{00000000-0005-0000-0000-0000BD9A0000}"/>
    <cellStyle name="Normal 357 9" xfId="52339" xr:uid="{00000000-0005-0000-0000-0000BE9A0000}"/>
    <cellStyle name="Normal 358" xfId="2703" xr:uid="{00000000-0005-0000-0000-0000BF9A0000}"/>
    <cellStyle name="Normal 358 2" xfId="4715" xr:uid="{00000000-0005-0000-0000-0000C09A0000}"/>
    <cellStyle name="Normal 358 2 2" xfId="8589" xr:uid="{00000000-0005-0000-0000-0000C19A0000}"/>
    <cellStyle name="Normal 358 2 2 2" xfId="16385" xr:uid="{00000000-0005-0000-0000-0000C29A0000}"/>
    <cellStyle name="Normal 358 2 2 2 2" xfId="34020" xr:uid="{00000000-0005-0000-0000-0000C39A0000}"/>
    <cellStyle name="Normal 358 2 2 3" xfId="26990" xr:uid="{00000000-0005-0000-0000-0000C49A0000}"/>
    <cellStyle name="Normal 358 2 3" xfId="12877" xr:uid="{00000000-0005-0000-0000-0000C59A0000}"/>
    <cellStyle name="Normal 358 2 3 2" xfId="30527" xr:uid="{00000000-0005-0000-0000-0000C69A0000}"/>
    <cellStyle name="Normal 358 2 4" xfId="24125" xr:uid="{00000000-0005-0000-0000-0000C79A0000}"/>
    <cellStyle name="Normal 358 3" xfId="5902" xr:uid="{00000000-0005-0000-0000-0000C89A0000}"/>
    <cellStyle name="Normal 358 3 2" xfId="9202" xr:uid="{00000000-0005-0000-0000-0000C99A0000}"/>
    <cellStyle name="Normal 358 3 2 2" xfId="16997" xr:uid="{00000000-0005-0000-0000-0000CA9A0000}"/>
    <cellStyle name="Normal 358 3 2 2 2" xfId="34633" xr:uid="{00000000-0005-0000-0000-0000CB9A0000}"/>
    <cellStyle name="Normal 358 3 2 3" xfId="27590" xr:uid="{00000000-0005-0000-0000-0000CC9A0000}"/>
    <cellStyle name="Normal 358 3 3" xfId="13758" xr:uid="{00000000-0005-0000-0000-0000CD9A0000}"/>
    <cellStyle name="Normal 358 3 3 2" xfId="31398" xr:uid="{00000000-0005-0000-0000-0000CE9A0000}"/>
    <cellStyle name="Normal 358 3 4" xfId="24725" xr:uid="{00000000-0005-0000-0000-0000CF9A0000}"/>
    <cellStyle name="Normal 358 4" xfId="6532" xr:uid="{00000000-0005-0000-0000-0000D09A0000}"/>
    <cellStyle name="Normal 358 4 2" xfId="9742" xr:uid="{00000000-0005-0000-0000-0000D19A0000}"/>
    <cellStyle name="Normal 358 4 2 2" xfId="17536" xr:uid="{00000000-0005-0000-0000-0000D29A0000}"/>
    <cellStyle name="Normal 358 4 2 2 2" xfId="35173" xr:uid="{00000000-0005-0000-0000-0000D39A0000}"/>
    <cellStyle name="Normal 358 4 2 3" xfId="28126" xr:uid="{00000000-0005-0000-0000-0000D49A0000}"/>
    <cellStyle name="Normal 358 4 3" xfId="14321" xr:uid="{00000000-0005-0000-0000-0000D59A0000}"/>
    <cellStyle name="Normal 358 4 3 2" xfId="31956" xr:uid="{00000000-0005-0000-0000-0000D69A0000}"/>
    <cellStyle name="Normal 358 4 4" xfId="25262" xr:uid="{00000000-0005-0000-0000-0000D79A0000}"/>
    <cellStyle name="Normal 358 5" xfId="7308" xr:uid="{00000000-0005-0000-0000-0000D89A0000}"/>
    <cellStyle name="Normal 358 5 2" xfId="10296" xr:uid="{00000000-0005-0000-0000-0000D99A0000}"/>
    <cellStyle name="Normal 358 5 2 2" xfId="18089" xr:uid="{00000000-0005-0000-0000-0000DA9A0000}"/>
    <cellStyle name="Normal 358 5 2 2 2" xfId="35726" xr:uid="{00000000-0005-0000-0000-0000DB9A0000}"/>
    <cellStyle name="Normal 358 5 2 3" xfId="28663" xr:uid="{00000000-0005-0000-0000-0000DC9A0000}"/>
    <cellStyle name="Normal 358 5 3" xfId="15096" xr:uid="{00000000-0005-0000-0000-0000DD9A0000}"/>
    <cellStyle name="Normal 358 5 3 2" xfId="32731" xr:uid="{00000000-0005-0000-0000-0000DE9A0000}"/>
    <cellStyle name="Normal 358 5 4" xfId="25800" xr:uid="{00000000-0005-0000-0000-0000DF9A0000}"/>
    <cellStyle name="Normal 358 6" xfId="7907" xr:uid="{00000000-0005-0000-0000-0000E09A0000}"/>
    <cellStyle name="Normal 358 6 2" xfId="15704" xr:uid="{00000000-0005-0000-0000-0000E19A0000}"/>
    <cellStyle name="Normal 358 6 2 2" xfId="33339" xr:uid="{00000000-0005-0000-0000-0000E29A0000}"/>
    <cellStyle name="Normal 358 6 3" xfId="26323" xr:uid="{00000000-0005-0000-0000-0000E39A0000}"/>
    <cellStyle name="Normal 358 7" xfId="11864" xr:uid="{00000000-0005-0000-0000-0000E49A0000}"/>
    <cellStyle name="Normal 358 7 2" xfId="29547" xr:uid="{00000000-0005-0000-0000-0000E59A0000}"/>
    <cellStyle name="Normal 358 8" xfId="23458" xr:uid="{00000000-0005-0000-0000-0000E69A0000}"/>
    <cellStyle name="Normal 358 9" xfId="52340" xr:uid="{00000000-0005-0000-0000-0000E79A0000}"/>
    <cellStyle name="Normal 359" xfId="2704" xr:uid="{00000000-0005-0000-0000-0000E89A0000}"/>
    <cellStyle name="Normal 359 2" xfId="4716" xr:uid="{00000000-0005-0000-0000-0000E99A0000}"/>
    <cellStyle name="Normal 359 2 2" xfId="8590" xr:uid="{00000000-0005-0000-0000-0000EA9A0000}"/>
    <cellStyle name="Normal 359 2 2 2" xfId="16386" xr:uid="{00000000-0005-0000-0000-0000EB9A0000}"/>
    <cellStyle name="Normal 359 2 2 2 2" xfId="34021" xr:uid="{00000000-0005-0000-0000-0000EC9A0000}"/>
    <cellStyle name="Normal 359 2 2 3" xfId="26991" xr:uid="{00000000-0005-0000-0000-0000ED9A0000}"/>
    <cellStyle name="Normal 359 2 3" xfId="12878" xr:uid="{00000000-0005-0000-0000-0000EE9A0000}"/>
    <cellStyle name="Normal 359 2 3 2" xfId="30528" xr:uid="{00000000-0005-0000-0000-0000EF9A0000}"/>
    <cellStyle name="Normal 359 2 4" xfId="24126" xr:uid="{00000000-0005-0000-0000-0000F09A0000}"/>
    <cellStyle name="Normal 359 3" xfId="5903" xr:uid="{00000000-0005-0000-0000-0000F19A0000}"/>
    <cellStyle name="Normal 359 3 2" xfId="9203" xr:uid="{00000000-0005-0000-0000-0000F29A0000}"/>
    <cellStyle name="Normal 359 3 2 2" xfId="16998" xr:uid="{00000000-0005-0000-0000-0000F39A0000}"/>
    <cellStyle name="Normal 359 3 2 2 2" xfId="34634" xr:uid="{00000000-0005-0000-0000-0000F49A0000}"/>
    <cellStyle name="Normal 359 3 2 3" xfId="27591" xr:uid="{00000000-0005-0000-0000-0000F59A0000}"/>
    <cellStyle name="Normal 359 3 3" xfId="13759" xr:uid="{00000000-0005-0000-0000-0000F69A0000}"/>
    <cellStyle name="Normal 359 3 3 2" xfId="31399" xr:uid="{00000000-0005-0000-0000-0000F79A0000}"/>
    <cellStyle name="Normal 359 3 4" xfId="24726" xr:uid="{00000000-0005-0000-0000-0000F89A0000}"/>
    <cellStyle name="Normal 359 4" xfId="6533" xr:uid="{00000000-0005-0000-0000-0000F99A0000}"/>
    <cellStyle name="Normal 359 4 2" xfId="9743" xr:uid="{00000000-0005-0000-0000-0000FA9A0000}"/>
    <cellStyle name="Normal 359 4 2 2" xfId="17537" xr:uid="{00000000-0005-0000-0000-0000FB9A0000}"/>
    <cellStyle name="Normal 359 4 2 2 2" xfId="35174" xr:uid="{00000000-0005-0000-0000-0000FC9A0000}"/>
    <cellStyle name="Normal 359 4 2 3" xfId="28127" xr:uid="{00000000-0005-0000-0000-0000FD9A0000}"/>
    <cellStyle name="Normal 359 4 3" xfId="14322" xr:uid="{00000000-0005-0000-0000-0000FE9A0000}"/>
    <cellStyle name="Normal 359 4 3 2" xfId="31957" xr:uid="{00000000-0005-0000-0000-0000FF9A0000}"/>
    <cellStyle name="Normal 359 4 4" xfId="25263" xr:uid="{00000000-0005-0000-0000-0000009B0000}"/>
    <cellStyle name="Normal 359 5" xfId="7309" xr:uid="{00000000-0005-0000-0000-0000019B0000}"/>
    <cellStyle name="Normal 359 5 2" xfId="10297" xr:uid="{00000000-0005-0000-0000-0000029B0000}"/>
    <cellStyle name="Normal 359 5 2 2" xfId="18090" xr:uid="{00000000-0005-0000-0000-0000039B0000}"/>
    <cellStyle name="Normal 359 5 2 2 2" xfId="35727" xr:uid="{00000000-0005-0000-0000-0000049B0000}"/>
    <cellStyle name="Normal 359 5 2 3" xfId="28664" xr:uid="{00000000-0005-0000-0000-0000059B0000}"/>
    <cellStyle name="Normal 359 5 3" xfId="15097" xr:uid="{00000000-0005-0000-0000-0000069B0000}"/>
    <cellStyle name="Normal 359 5 3 2" xfId="32732" xr:uid="{00000000-0005-0000-0000-0000079B0000}"/>
    <cellStyle name="Normal 359 5 4" xfId="25801" xr:uid="{00000000-0005-0000-0000-0000089B0000}"/>
    <cellStyle name="Normal 359 6" xfId="7908" xr:uid="{00000000-0005-0000-0000-0000099B0000}"/>
    <cellStyle name="Normal 359 6 2" xfId="15705" xr:uid="{00000000-0005-0000-0000-00000A9B0000}"/>
    <cellStyle name="Normal 359 6 2 2" xfId="33340" xr:uid="{00000000-0005-0000-0000-00000B9B0000}"/>
    <cellStyle name="Normal 359 6 3" xfId="26324" xr:uid="{00000000-0005-0000-0000-00000C9B0000}"/>
    <cellStyle name="Normal 359 7" xfId="11865" xr:uid="{00000000-0005-0000-0000-00000D9B0000}"/>
    <cellStyle name="Normal 359 7 2" xfId="29548" xr:uid="{00000000-0005-0000-0000-00000E9B0000}"/>
    <cellStyle name="Normal 359 8" xfId="23459" xr:uid="{00000000-0005-0000-0000-00000F9B0000}"/>
    <cellStyle name="Normal 359 9" xfId="52341" xr:uid="{00000000-0005-0000-0000-0000109B0000}"/>
    <cellStyle name="Normal 36" xfId="2705" xr:uid="{00000000-0005-0000-0000-0000119B0000}"/>
    <cellStyle name="Normal 36 2" xfId="4717" xr:uid="{00000000-0005-0000-0000-0000129B0000}"/>
    <cellStyle name="Normal 36 2 2" xfId="22776" xr:uid="{00000000-0005-0000-0000-0000139B0000}"/>
    <cellStyle name="Normal 36 2 2 2" xfId="38983" xr:uid="{00000000-0005-0000-0000-0000149B0000}"/>
    <cellStyle name="Normal 36 3" xfId="22992" xr:uid="{00000000-0005-0000-0000-0000159B0000}"/>
    <cellStyle name="Normal 36 4" xfId="22567" xr:uid="{00000000-0005-0000-0000-0000169B0000}"/>
    <cellStyle name="Normal 36 4 2" xfId="38878" xr:uid="{00000000-0005-0000-0000-0000179B0000}"/>
    <cellStyle name="Normal 36 5" xfId="52342" xr:uid="{00000000-0005-0000-0000-0000189B0000}"/>
    <cellStyle name="Normal 360" xfId="2706" xr:uid="{00000000-0005-0000-0000-0000199B0000}"/>
    <cellStyle name="Normal 360 2" xfId="4718" xr:uid="{00000000-0005-0000-0000-00001A9B0000}"/>
    <cellStyle name="Normal 360 2 2" xfId="8591" xr:uid="{00000000-0005-0000-0000-00001B9B0000}"/>
    <cellStyle name="Normal 360 2 2 2" xfId="16387" xr:uid="{00000000-0005-0000-0000-00001C9B0000}"/>
    <cellStyle name="Normal 360 2 2 2 2" xfId="34022" xr:uid="{00000000-0005-0000-0000-00001D9B0000}"/>
    <cellStyle name="Normal 360 2 2 3" xfId="26992" xr:uid="{00000000-0005-0000-0000-00001E9B0000}"/>
    <cellStyle name="Normal 360 2 3" xfId="12879" xr:uid="{00000000-0005-0000-0000-00001F9B0000}"/>
    <cellStyle name="Normal 360 2 3 2" xfId="30529" xr:uid="{00000000-0005-0000-0000-0000209B0000}"/>
    <cellStyle name="Normal 360 2 4" xfId="24127" xr:uid="{00000000-0005-0000-0000-0000219B0000}"/>
    <cellStyle name="Normal 360 3" xfId="5904" xr:uid="{00000000-0005-0000-0000-0000229B0000}"/>
    <cellStyle name="Normal 360 3 2" xfId="9204" xr:uid="{00000000-0005-0000-0000-0000239B0000}"/>
    <cellStyle name="Normal 360 3 2 2" xfId="16999" xr:uid="{00000000-0005-0000-0000-0000249B0000}"/>
    <cellStyle name="Normal 360 3 2 2 2" xfId="34635" xr:uid="{00000000-0005-0000-0000-0000259B0000}"/>
    <cellStyle name="Normal 360 3 2 3" xfId="27592" xr:uid="{00000000-0005-0000-0000-0000269B0000}"/>
    <cellStyle name="Normal 360 3 3" xfId="13760" xr:uid="{00000000-0005-0000-0000-0000279B0000}"/>
    <cellStyle name="Normal 360 3 3 2" xfId="31400" xr:uid="{00000000-0005-0000-0000-0000289B0000}"/>
    <cellStyle name="Normal 360 3 4" xfId="24727" xr:uid="{00000000-0005-0000-0000-0000299B0000}"/>
    <cellStyle name="Normal 360 4" xfId="6534" xr:uid="{00000000-0005-0000-0000-00002A9B0000}"/>
    <cellStyle name="Normal 360 4 2" xfId="9744" xr:uid="{00000000-0005-0000-0000-00002B9B0000}"/>
    <cellStyle name="Normal 360 4 2 2" xfId="17538" xr:uid="{00000000-0005-0000-0000-00002C9B0000}"/>
    <cellStyle name="Normal 360 4 2 2 2" xfId="35175" xr:uid="{00000000-0005-0000-0000-00002D9B0000}"/>
    <cellStyle name="Normal 360 4 2 3" xfId="28128" xr:uid="{00000000-0005-0000-0000-00002E9B0000}"/>
    <cellStyle name="Normal 360 4 3" xfId="14323" xr:uid="{00000000-0005-0000-0000-00002F9B0000}"/>
    <cellStyle name="Normal 360 4 3 2" xfId="31958" xr:uid="{00000000-0005-0000-0000-0000309B0000}"/>
    <cellStyle name="Normal 360 4 4" xfId="25264" xr:uid="{00000000-0005-0000-0000-0000319B0000}"/>
    <cellStyle name="Normal 360 5" xfId="7310" xr:uid="{00000000-0005-0000-0000-0000329B0000}"/>
    <cellStyle name="Normal 360 5 2" xfId="10298" xr:uid="{00000000-0005-0000-0000-0000339B0000}"/>
    <cellStyle name="Normal 360 5 2 2" xfId="18091" xr:uid="{00000000-0005-0000-0000-0000349B0000}"/>
    <cellStyle name="Normal 360 5 2 2 2" xfId="35728" xr:uid="{00000000-0005-0000-0000-0000359B0000}"/>
    <cellStyle name="Normal 360 5 2 3" xfId="28665" xr:uid="{00000000-0005-0000-0000-0000369B0000}"/>
    <cellStyle name="Normal 360 5 3" xfId="15098" xr:uid="{00000000-0005-0000-0000-0000379B0000}"/>
    <cellStyle name="Normal 360 5 3 2" xfId="32733" xr:uid="{00000000-0005-0000-0000-0000389B0000}"/>
    <cellStyle name="Normal 360 5 4" xfId="25802" xr:uid="{00000000-0005-0000-0000-0000399B0000}"/>
    <cellStyle name="Normal 360 6" xfId="7909" xr:uid="{00000000-0005-0000-0000-00003A9B0000}"/>
    <cellStyle name="Normal 360 6 2" xfId="15706" xr:uid="{00000000-0005-0000-0000-00003B9B0000}"/>
    <cellStyle name="Normal 360 6 2 2" xfId="33341" xr:uid="{00000000-0005-0000-0000-00003C9B0000}"/>
    <cellStyle name="Normal 360 6 3" xfId="26325" xr:uid="{00000000-0005-0000-0000-00003D9B0000}"/>
    <cellStyle name="Normal 360 7" xfId="11866" xr:uid="{00000000-0005-0000-0000-00003E9B0000}"/>
    <cellStyle name="Normal 360 7 2" xfId="29549" xr:uid="{00000000-0005-0000-0000-00003F9B0000}"/>
    <cellStyle name="Normal 360 8" xfId="23460" xr:uid="{00000000-0005-0000-0000-0000409B0000}"/>
    <cellStyle name="Normal 360 9" xfId="52343" xr:uid="{00000000-0005-0000-0000-0000419B0000}"/>
    <cellStyle name="Normal 361" xfId="2707" xr:uid="{00000000-0005-0000-0000-0000429B0000}"/>
    <cellStyle name="Normal 361 2" xfId="4719" xr:uid="{00000000-0005-0000-0000-0000439B0000}"/>
    <cellStyle name="Normal 361 2 2" xfId="8592" xr:uid="{00000000-0005-0000-0000-0000449B0000}"/>
    <cellStyle name="Normal 361 2 2 2" xfId="16388" xr:uid="{00000000-0005-0000-0000-0000459B0000}"/>
    <cellStyle name="Normal 361 2 2 2 2" xfId="34023" xr:uid="{00000000-0005-0000-0000-0000469B0000}"/>
    <cellStyle name="Normal 361 2 2 3" xfId="26993" xr:uid="{00000000-0005-0000-0000-0000479B0000}"/>
    <cellStyle name="Normal 361 2 3" xfId="12880" xr:uid="{00000000-0005-0000-0000-0000489B0000}"/>
    <cellStyle name="Normal 361 2 3 2" xfId="30530" xr:uid="{00000000-0005-0000-0000-0000499B0000}"/>
    <cellStyle name="Normal 361 2 4" xfId="24128" xr:uid="{00000000-0005-0000-0000-00004A9B0000}"/>
    <cellStyle name="Normal 361 3" xfId="5905" xr:uid="{00000000-0005-0000-0000-00004B9B0000}"/>
    <cellStyle name="Normal 361 3 2" xfId="9205" xr:uid="{00000000-0005-0000-0000-00004C9B0000}"/>
    <cellStyle name="Normal 361 3 2 2" xfId="17000" xr:uid="{00000000-0005-0000-0000-00004D9B0000}"/>
    <cellStyle name="Normal 361 3 2 2 2" xfId="34636" xr:uid="{00000000-0005-0000-0000-00004E9B0000}"/>
    <cellStyle name="Normal 361 3 2 3" xfId="27593" xr:uid="{00000000-0005-0000-0000-00004F9B0000}"/>
    <cellStyle name="Normal 361 3 3" xfId="13761" xr:uid="{00000000-0005-0000-0000-0000509B0000}"/>
    <cellStyle name="Normal 361 3 3 2" xfId="31401" xr:uid="{00000000-0005-0000-0000-0000519B0000}"/>
    <cellStyle name="Normal 361 3 4" xfId="24728" xr:uid="{00000000-0005-0000-0000-0000529B0000}"/>
    <cellStyle name="Normal 361 4" xfId="6535" xr:uid="{00000000-0005-0000-0000-0000539B0000}"/>
    <cellStyle name="Normal 361 4 2" xfId="9745" xr:uid="{00000000-0005-0000-0000-0000549B0000}"/>
    <cellStyle name="Normal 361 4 2 2" xfId="17539" xr:uid="{00000000-0005-0000-0000-0000559B0000}"/>
    <cellStyle name="Normal 361 4 2 2 2" xfId="35176" xr:uid="{00000000-0005-0000-0000-0000569B0000}"/>
    <cellStyle name="Normal 361 4 2 3" xfId="28129" xr:uid="{00000000-0005-0000-0000-0000579B0000}"/>
    <cellStyle name="Normal 361 4 3" xfId="14324" xr:uid="{00000000-0005-0000-0000-0000589B0000}"/>
    <cellStyle name="Normal 361 4 3 2" xfId="31959" xr:uid="{00000000-0005-0000-0000-0000599B0000}"/>
    <cellStyle name="Normal 361 4 4" xfId="25265" xr:uid="{00000000-0005-0000-0000-00005A9B0000}"/>
    <cellStyle name="Normal 361 5" xfId="7311" xr:uid="{00000000-0005-0000-0000-00005B9B0000}"/>
    <cellStyle name="Normal 361 5 2" xfId="10299" xr:uid="{00000000-0005-0000-0000-00005C9B0000}"/>
    <cellStyle name="Normal 361 5 2 2" xfId="18092" xr:uid="{00000000-0005-0000-0000-00005D9B0000}"/>
    <cellStyle name="Normal 361 5 2 2 2" xfId="35729" xr:uid="{00000000-0005-0000-0000-00005E9B0000}"/>
    <cellStyle name="Normal 361 5 2 3" xfId="28666" xr:uid="{00000000-0005-0000-0000-00005F9B0000}"/>
    <cellStyle name="Normal 361 5 3" xfId="15099" xr:uid="{00000000-0005-0000-0000-0000609B0000}"/>
    <cellStyle name="Normal 361 5 3 2" xfId="32734" xr:uid="{00000000-0005-0000-0000-0000619B0000}"/>
    <cellStyle name="Normal 361 5 4" xfId="25803" xr:uid="{00000000-0005-0000-0000-0000629B0000}"/>
    <cellStyle name="Normal 361 6" xfId="7910" xr:uid="{00000000-0005-0000-0000-0000639B0000}"/>
    <cellStyle name="Normal 361 6 2" xfId="15707" xr:uid="{00000000-0005-0000-0000-0000649B0000}"/>
    <cellStyle name="Normal 361 6 2 2" xfId="33342" xr:uid="{00000000-0005-0000-0000-0000659B0000}"/>
    <cellStyle name="Normal 361 6 3" xfId="26326" xr:uid="{00000000-0005-0000-0000-0000669B0000}"/>
    <cellStyle name="Normal 361 7" xfId="11867" xr:uid="{00000000-0005-0000-0000-0000679B0000}"/>
    <cellStyle name="Normal 361 7 2" xfId="29550" xr:uid="{00000000-0005-0000-0000-0000689B0000}"/>
    <cellStyle name="Normal 361 8" xfId="23461" xr:uid="{00000000-0005-0000-0000-0000699B0000}"/>
    <cellStyle name="Normal 361 9" xfId="52344" xr:uid="{00000000-0005-0000-0000-00006A9B0000}"/>
    <cellStyle name="Normal 362" xfId="2708" xr:uid="{00000000-0005-0000-0000-00006B9B0000}"/>
    <cellStyle name="Normal 362 2" xfId="4720" xr:uid="{00000000-0005-0000-0000-00006C9B0000}"/>
    <cellStyle name="Normal 362 2 2" xfId="8593" xr:uid="{00000000-0005-0000-0000-00006D9B0000}"/>
    <cellStyle name="Normal 362 2 2 2" xfId="16389" xr:uid="{00000000-0005-0000-0000-00006E9B0000}"/>
    <cellStyle name="Normal 362 2 2 2 2" xfId="34024" xr:uid="{00000000-0005-0000-0000-00006F9B0000}"/>
    <cellStyle name="Normal 362 2 2 3" xfId="26994" xr:uid="{00000000-0005-0000-0000-0000709B0000}"/>
    <cellStyle name="Normal 362 2 3" xfId="12881" xr:uid="{00000000-0005-0000-0000-0000719B0000}"/>
    <cellStyle name="Normal 362 2 3 2" xfId="30531" xr:uid="{00000000-0005-0000-0000-0000729B0000}"/>
    <cellStyle name="Normal 362 2 4" xfId="24129" xr:uid="{00000000-0005-0000-0000-0000739B0000}"/>
    <cellStyle name="Normal 362 3" xfId="5906" xr:uid="{00000000-0005-0000-0000-0000749B0000}"/>
    <cellStyle name="Normal 362 3 2" xfId="9206" xr:uid="{00000000-0005-0000-0000-0000759B0000}"/>
    <cellStyle name="Normal 362 3 2 2" xfId="17001" xr:uid="{00000000-0005-0000-0000-0000769B0000}"/>
    <cellStyle name="Normal 362 3 2 2 2" xfId="34637" xr:uid="{00000000-0005-0000-0000-0000779B0000}"/>
    <cellStyle name="Normal 362 3 2 3" xfId="27594" xr:uid="{00000000-0005-0000-0000-0000789B0000}"/>
    <cellStyle name="Normal 362 3 3" xfId="13762" xr:uid="{00000000-0005-0000-0000-0000799B0000}"/>
    <cellStyle name="Normal 362 3 3 2" xfId="31402" xr:uid="{00000000-0005-0000-0000-00007A9B0000}"/>
    <cellStyle name="Normal 362 3 4" xfId="24729" xr:uid="{00000000-0005-0000-0000-00007B9B0000}"/>
    <cellStyle name="Normal 362 4" xfId="6536" xr:uid="{00000000-0005-0000-0000-00007C9B0000}"/>
    <cellStyle name="Normal 362 4 2" xfId="9746" xr:uid="{00000000-0005-0000-0000-00007D9B0000}"/>
    <cellStyle name="Normal 362 4 2 2" xfId="17540" xr:uid="{00000000-0005-0000-0000-00007E9B0000}"/>
    <cellStyle name="Normal 362 4 2 2 2" xfId="35177" xr:uid="{00000000-0005-0000-0000-00007F9B0000}"/>
    <cellStyle name="Normal 362 4 2 3" xfId="28130" xr:uid="{00000000-0005-0000-0000-0000809B0000}"/>
    <cellStyle name="Normal 362 4 3" xfId="14325" xr:uid="{00000000-0005-0000-0000-0000819B0000}"/>
    <cellStyle name="Normal 362 4 3 2" xfId="31960" xr:uid="{00000000-0005-0000-0000-0000829B0000}"/>
    <cellStyle name="Normal 362 4 4" xfId="25266" xr:uid="{00000000-0005-0000-0000-0000839B0000}"/>
    <cellStyle name="Normal 362 5" xfId="7312" xr:uid="{00000000-0005-0000-0000-0000849B0000}"/>
    <cellStyle name="Normal 362 5 2" xfId="10300" xr:uid="{00000000-0005-0000-0000-0000859B0000}"/>
    <cellStyle name="Normal 362 5 2 2" xfId="18093" xr:uid="{00000000-0005-0000-0000-0000869B0000}"/>
    <cellStyle name="Normal 362 5 2 2 2" xfId="35730" xr:uid="{00000000-0005-0000-0000-0000879B0000}"/>
    <cellStyle name="Normal 362 5 2 3" xfId="28667" xr:uid="{00000000-0005-0000-0000-0000889B0000}"/>
    <cellStyle name="Normal 362 5 3" xfId="15100" xr:uid="{00000000-0005-0000-0000-0000899B0000}"/>
    <cellStyle name="Normal 362 5 3 2" xfId="32735" xr:uid="{00000000-0005-0000-0000-00008A9B0000}"/>
    <cellStyle name="Normal 362 5 4" xfId="25804" xr:uid="{00000000-0005-0000-0000-00008B9B0000}"/>
    <cellStyle name="Normal 362 6" xfId="7911" xr:uid="{00000000-0005-0000-0000-00008C9B0000}"/>
    <cellStyle name="Normal 362 6 2" xfId="15708" xr:uid="{00000000-0005-0000-0000-00008D9B0000}"/>
    <cellStyle name="Normal 362 6 2 2" xfId="33343" xr:uid="{00000000-0005-0000-0000-00008E9B0000}"/>
    <cellStyle name="Normal 362 6 3" xfId="26327" xr:uid="{00000000-0005-0000-0000-00008F9B0000}"/>
    <cellStyle name="Normal 362 7" xfId="11868" xr:uid="{00000000-0005-0000-0000-0000909B0000}"/>
    <cellStyle name="Normal 362 7 2" xfId="29551" xr:uid="{00000000-0005-0000-0000-0000919B0000}"/>
    <cellStyle name="Normal 362 8" xfId="23462" xr:uid="{00000000-0005-0000-0000-0000929B0000}"/>
    <cellStyle name="Normal 362 9" xfId="52345" xr:uid="{00000000-0005-0000-0000-0000939B0000}"/>
    <cellStyle name="Normal 363" xfId="2709" xr:uid="{00000000-0005-0000-0000-0000949B0000}"/>
    <cellStyle name="Normal 363 2" xfId="4721" xr:uid="{00000000-0005-0000-0000-0000959B0000}"/>
    <cellStyle name="Normal 363 2 2" xfId="8594" xr:uid="{00000000-0005-0000-0000-0000969B0000}"/>
    <cellStyle name="Normal 363 2 2 2" xfId="16390" xr:uid="{00000000-0005-0000-0000-0000979B0000}"/>
    <cellStyle name="Normal 363 2 2 2 2" xfId="34025" xr:uid="{00000000-0005-0000-0000-0000989B0000}"/>
    <cellStyle name="Normal 363 2 2 3" xfId="26995" xr:uid="{00000000-0005-0000-0000-0000999B0000}"/>
    <cellStyle name="Normal 363 2 3" xfId="12882" xr:uid="{00000000-0005-0000-0000-00009A9B0000}"/>
    <cellStyle name="Normal 363 2 3 2" xfId="30532" xr:uid="{00000000-0005-0000-0000-00009B9B0000}"/>
    <cellStyle name="Normal 363 2 4" xfId="24130" xr:uid="{00000000-0005-0000-0000-00009C9B0000}"/>
    <cellStyle name="Normal 363 3" xfId="5907" xr:uid="{00000000-0005-0000-0000-00009D9B0000}"/>
    <cellStyle name="Normal 363 3 2" xfId="9207" xr:uid="{00000000-0005-0000-0000-00009E9B0000}"/>
    <cellStyle name="Normal 363 3 2 2" xfId="17002" xr:uid="{00000000-0005-0000-0000-00009F9B0000}"/>
    <cellStyle name="Normal 363 3 2 2 2" xfId="34638" xr:uid="{00000000-0005-0000-0000-0000A09B0000}"/>
    <cellStyle name="Normal 363 3 2 3" xfId="27595" xr:uid="{00000000-0005-0000-0000-0000A19B0000}"/>
    <cellStyle name="Normal 363 3 3" xfId="13763" xr:uid="{00000000-0005-0000-0000-0000A29B0000}"/>
    <cellStyle name="Normal 363 3 3 2" xfId="31403" xr:uid="{00000000-0005-0000-0000-0000A39B0000}"/>
    <cellStyle name="Normal 363 3 4" xfId="24730" xr:uid="{00000000-0005-0000-0000-0000A49B0000}"/>
    <cellStyle name="Normal 363 4" xfId="6537" xr:uid="{00000000-0005-0000-0000-0000A59B0000}"/>
    <cellStyle name="Normal 363 4 2" xfId="9747" xr:uid="{00000000-0005-0000-0000-0000A69B0000}"/>
    <cellStyle name="Normal 363 4 2 2" xfId="17541" xr:uid="{00000000-0005-0000-0000-0000A79B0000}"/>
    <cellStyle name="Normal 363 4 2 2 2" xfId="35178" xr:uid="{00000000-0005-0000-0000-0000A89B0000}"/>
    <cellStyle name="Normal 363 4 2 3" xfId="28131" xr:uid="{00000000-0005-0000-0000-0000A99B0000}"/>
    <cellStyle name="Normal 363 4 3" xfId="14326" xr:uid="{00000000-0005-0000-0000-0000AA9B0000}"/>
    <cellStyle name="Normal 363 4 3 2" xfId="31961" xr:uid="{00000000-0005-0000-0000-0000AB9B0000}"/>
    <cellStyle name="Normal 363 4 4" xfId="25267" xr:uid="{00000000-0005-0000-0000-0000AC9B0000}"/>
    <cellStyle name="Normal 363 5" xfId="7313" xr:uid="{00000000-0005-0000-0000-0000AD9B0000}"/>
    <cellStyle name="Normal 363 5 2" xfId="10301" xr:uid="{00000000-0005-0000-0000-0000AE9B0000}"/>
    <cellStyle name="Normal 363 5 2 2" xfId="18094" xr:uid="{00000000-0005-0000-0000-0000AF9B0000}"/>
    <cellStyle name="Normal 363 5 2 2 2" xfId="35731" xr:uid="{00000000-0005-0000-0000-0000B09B0000}"/>
    <cellStyle name="Normal 363 5 2 3" xfId="28668" xr:uid="{00000000-0005-0000-0000-0000B19B0000}"/>
    <cellStyle name="Normal 363 5 3" xfId="15101" xr:uid="{00000000-0005-0000-0000-0000B29B0000}"/>
    <cellStyle name="Normal 363 5 3 2" xfId="32736" xr:uid="{00000000-0005-0000-0000-0000B39B0000}"/>
    <cellStyle name="Normal 363 5 4" xfId="25805" xr:uid="{00000000-0005-0000-0000-0000B49B0000}"/>
    <cellStyle name="Normal 363 6" xfId="7912" xr:uid="{00000000-0005-0000-0000-0000B59B0000}"/>
    <cellStyle name="Normal 363 6 2" xfId="15709" xr:uid="{00000000-0005-0000-0000-0000B69B0000}"/>
    <cellStyle name="Normal 363 6 2 2" xfId="33344" xr:uid="{00000000-0005-0000-0000-0000B79B0000}"/>
    <cellStyle name="Normal 363 6 3" xfId="26328" xr:uid="{00000000-0005-0000-0000-0000B89B0000}"/>
    <cellStyle name="Normal 363 7" xfId="11869" xr:uid="{00000000-0005-0000-0000-0000B99B0000}"/>
    <cellStyle name="Normal 363 7 2" xfId="29552" xr:uid="{00000000-0005-0000-0000-0000BA9B0000}"/>
    <cellStyle name="Normal 363 8" xfId="23463" xr:uid="{00000000-0005-0000-0000-0000BB9B0000}"/>
    <cellStyle name="Normal 363 9" xfId="52346" xr:uid="{00000000-0005-0000-0000-0000BC9B0000}"/>
    <cellStyle name="Normal 364" xfId="2710" xr:uid="{00000000-0005-0000-0000-0000BD9B0000}"/>
    <cellStyle name="Normal 364 2" xfId="4722" xr:uid="{00000000-0005-0000-0000-0000BE9B0000}"/>
    <cellStyle name="Normal 364 2 2" xfId="8595" xr:uid="{00000000-0005-0000-0000-0000BF9B0000}"/>
    <cellStyle name="Normal 364 2 2 2" xfId="16391" xr:uid="{00000000-0005-0000-0000-0000C09B0000}"/>
    <cellStyle name="Normal 364 2 2 2 2" xfId="34026" xr:uid="{00000000-0005-0000-0000-0000C19B0000}"/>
    <cellStyle name="Normal 364 2 2 3" xfId="26996" xr:uid="{00000000-0005-0000-0000-0000C29B0000}"/>
    <cellStyle name="Normal 364 2 3" xfId="12883" xr:uid="{00000000-0005-0000-0000-0000C39B0000}"/>
    <cellStyle name="Normal 364 2 3 2" xfId="30533" xr:uid="{00000000-0005-0000-0000-0000C49B0000}"/>
    <cellStyle name="Normal 364 2 4" xfId="24131" xr:uid="{00000000-0005-0000-0000-0000C59B0000}"/>
    <cellStyle name="Normal 364 3" xfId="5908" xr:uid="{00000000-0005-0000-0000-0000C69B0000}"/>
    <cellStyle name="Normal 364 3 2" xfId="9208" xr:uid="{00000000-0005-0000-0000-0000C79B0000}"/>
    <cellStyle name="Normal 364 3 2 2" xfId="17003" xr:uid="{00000000-0005-0000-0000-0000C89B0000}"/>
    <cellStyle name="Normal 364 3 2 2 2" xfId="34639" xr:uid="{00000000-0005-0000-0000-0000C99B0000}"/>
    <cellStyle name="Normal 364 3 2 3" xfId="27596" xr:uid="{00000000-0005-0000-0000-0000CA9B0000}"/>
    <cellStyle name="Normal 364 3 3" xfId="13764" xr:uid="{00000000-0005-0000-0000-0000CB9B0000}"/>
    <cellStyle name="Normal 364 3 3 2" xfId="31404" xr:uid="{00000000-0005-0000-0000-0000CC9B0000}"/>
    <cellStyle name="Normal 364 3 4" xfId="24731" xr:uid="{00000000-0005-0000-0000-0000CD9B0000}"/>
    <cellStyle name="Normal 364 4" xfId="6538" xr:uid="{00000000-0005-0000-0000-0000CE9B0000}"/>
    <cellStyle name="Normal 364 4 2" xfId="9748" xr:uid="{00000000-0005-0000-0000-0000CF9B0000}"/>
    <cellStyle name="Normal 364 4 2 2" xfId="17542" xr:uid="{00000000-0005-0000-0000-0000D09B0000}"/>
    <cellStyle name="Normal 364 4 2 2 2" xfId="35179" xr:uid="{00000000-0005-0000-0000-0000D19B0000}"/>
    <cellStyle name="Normal 364 4 2 3" xfId="28132" xr:uid="{00000000-0005-0000-0000-0000D29B0000}"/>
    <cellStyle name="Normal 364 4 3" xfId="14327" xr:uid="{00000000-0005-0000-0000-0000D39B0000}"/>
    <cellStyle name="Normal 364 4 3 2" xfId="31962" xr:uid="{00000000-0005-0000-0000-0000D49B0000}"/>
    <cellStyle name="Normal 364 4 4" xfId="25268" xr:uid="{00000000-0005-0000-0000-0000D59B0000}"/>
    <cellStyle name="Normal 364 5" xfId="7314" xr:uid="{00000000-0005-0000-0000-0000D69B0000}"/>
    <cellStyle name="Normal 364 5 2" xfId="10302" xr:uid="{00000000-0005-0000-0000-0000D79B0000}"/>
    <cellStyle name="Normal 364 5 2 2" xfId="18095" xr:uid="{00000000-0005-0000-0000-0000D89B0000}"/>
    <cellStyle name="Normal 364 5 2 2 2" xfId="35732" xr:uid="{00000000-0005-0000-0000-0000D99B0000}"/>
    <cellStyle name="Normal 364 5 2 3" xfId="28669" xr:uid="{00000000-0005-0000-0000-0000DA9B0000}"/>
    <cellStyle name="Normal 364 5 3" xfId="15102" xr:uid="{00000000-0005-0000-0000-0000DB9B0000}"/>
    <cellStyle name="Normal 364 5 3 2" xfId="32737" xr:uid="{00000000-0005-0000-0000-0000DC9B0000}"/>
    <cellStyle name="Normal 364 5 4" xfId="25806" xr:uid="{00000000-0005-0000-0000-0000DD9B0000}"/>
    <cellStyle name="Normal 364 6" xfId="7913" xr:uid="{00000000-0005-0000-0000-0000DE9B0000}"/>
    <cellStyle name="Normal 364 6 2" xfId="15710" xr:uid="{00000000-0005-0000-0000-0000DF9B0000}"/>
    <cellStyle name="Normal 364 6 2 2" xfId="33345" xr:uid="{00000000-0005-0000-0000-0000E09B0000}"/>
    <cellStyle name="Normal 364 6 3" xfId="26329" xr:uid="{00000000-0005-0000-0000-0000E19B0000}"/>
    <cellStyle name="Normal 364 7" xfId="11870" xr:uid="{00000000-0005-0000-0000-0000E29B0000}"/>
    <cellStyle name="Normal 364 7 2" xfId="29553" xr:uid="{00000000-0005-0000-0000-0000E39B0000}"/>
    <cellStyle name="Normal 364 8" xfId="23464" xr:uid="{00000000-0005-0000-0000-0000E49B0000}"/>
    <cellStyle name="Normal 364 9" xfId="52347" xr:uid="{00000000-0005-0000-0000-0000E59B0000}"/>
    <cellStyle name="Normal 365" xfId="2711" xr:uid="{00000000-0005-0000-0000-0000E69B0000}"/>
    <cellStyle name="Normal 365 2" xfId="4723" xr:uid="{00000000-0005-0000-0000-0000E79B0000}"/>
    <cellStyle name="Normal 365 2 2" xfId="8596" xr:uid="{00000000-0005-0000-0000-0000E89B0000}"/>
    <cellStyle name="Normal 365 2 2 2" xfId="16392" xr:uid="{00000000-0005-0000-0000-0000E99B0000}"/>
    <cellStyle name="Normal 365 2 2 2 2" xfId="34027" xr:uid="{00000000-0005-0000-0000-0000EA9B0000}"/>
    <cellStyle name="Normal 365 2 2 3" xfId="26997" xr:uid="{00000000-0005-0000-0000-0000EB9B0000}"/>
    <cellStyle name="Normal 365 2 3" xfId="12884" xr:uid="{00000000-0005-0000-0000-0000EC9B0000}"/>
    <cellStyle name="Normal 365 2 3 2" xfId="30534" xr:uid="{00000000-0005-0000-0000-0000ED9B0000}"/>
    <cellStyle name="Normal 365 2 4" xfId="24132" xr:uid="{00000000-0005-0000-0000-0000EE9B0000}"/>
    <cellStyle name="Normal 365 3" xfId="5909" xr:uid="{00000000-0005-0000-0000-0000EF9B0000}"/>
    <cellStyle name="Normal 365 3 2" xfId="9209" xr:uid="{00000000-0005-0000-0000-0000F09B0000}"/>
    <cellStyle name="Normal 365 3 2 2" xfId="17004" xr:uid="{00000000-0005-0000-0000-0000F19B0000}"/>
    <cellStyle name="Normal 365 3 2 2 2" xfId="34640" xr:uid="{00000000-0005-0000-0000-0000F29B0000}"/>
    <cellStyle name="Normal 365 3 2 3" xfId="27597" xr:uid="{00000000-0005-0000-0000-0000F39B0000}"/>
    <cellStyle name="Normal 365 3 3" xfId="13765" xr:uid="{00000000-0005-0000-0000-0000F49B0000}"/>
    <cellStyle name="Normal 365 3 3 2" xfId="31405" xr:uid="{00000000-0005-0000-0000-0000F59B0000}"/>
    <cellStyle name="Normal 365 3 4" xfId="24732" xr:uid="{00000000-0005-0000-0000-0000F69B0000}"/>
    <cellStyle name="Normal 365 4" xfId="6539" xr:uid="{00000000-0005-0000-0000-0000F79B0000}"/>
    <cellStyle name="Normal 365 4 2" xfId="9749" xr:uid="{00000000-0005-0000-0000-0000F89B0000}"/>
    <cellStyle name="Normal 365 4 2 2" xfId="17543" xr:uid="{00000000-0005-0000-0000-0000F99B0000}"/>
    <cellStyle name="Normal 365 4 2 2 2" xfId="35180" xr:uid="{00000000-0005-0000-0000-0000FA9B0000}"/>
    <cellStyle name="Normal 365 4 2 3" xfId="28133" xr:uid="{00000000-0005-0000-0000-0000FB9B0000}"/>
    <cellStyle name="Normal 365 4 3" xfId="14328" xr:uid="{00000000-0005-0000-0000-0000FC9B0000}"/>
    <cellStyle name="Normal 365 4 3 2" xfId="31963" xr:uid="{00000000-0005-0000-0000-0000FD9B0000}"/>
    <cellStyle name="Normal 365 4 4" xfId="25269" xr:uid="{00000000-0005-0000-0000-0000FE9B0000}"/>
    <cellStyle name="Normal 365 5" xfId="7315" xr:uid="{00000000-0005-0000-0000-0000FF9B0000}"/>
    <cellStyle name="Normal 365 5 2" xfId="10303" xr:uid="{00000000-0005-0000-0000-0000009C0000}"/>
    <cellStyle name="Normal 365 5 2 2" xfId="18096" xr:uid="{00000000-0005-0000-0000-0000019C0000}"/>
    <cellStyle name="Normal 365 5 2 2 2" xfId="35733" xr:uid="{00000000-0005-0000-0000-0000029C0000}"/>
    <cellStyle name="Normal 365 5 2 3" xfId="28670" xr:uid="{00000000-0005-0000-0000-0000039C0000}"/>
    <cellStyle name="Normal 365 5 3" xfId="15103" xr:uid="{00000000-0005-0000-0000-0000049C0000}"/>
    <cellStyle name="Normal 365 5 3 2" xfId="32738" xr:uid="{00000000-0005-0000-0000-0000059C0000}"/>
    <cellStyle name="Normal 365 5 4" xfId="25807" xr:uid="{00000000-0005-0000-0000-0000069C0000}"/>
    <cellStyle name="Normal 365 6" xfId="7914" xr:uid="{00000000-0005-0000-0000-0000079C0000}"/>
    <cellStyle name="Normal 365 6 2" xfId="15711" xr:uid="{00000000-0005-0000-0000-0000089C0000}"/>
    <cellStyle name="Normal 365 6 2 2" xfId="33346" xr:uid="{00000000-0005-0000-0000-0000099C0000}"/>
    <cellStyle name="Normal 365 6 3" xfId="26330" xr:uid="{00000000-0005-0000-0000-00000A9C0000}"/>
    <cellStyle name="Normal 365 7" xfId="11871" xr:uid="{00000000-0005-0000-0000-00000B9C0000}"/>
    <cellStyle name="Normal 365 7 2" xfId="29554" xr:uid="{00000000-0005-0000-0000-00000C9C0000}"/>
    <cellStyle name="Normal 365 8" xfId="23465" xr:uid="{00000000-0005-0000-0000-00000D9C0000}"/>
    <cellStyle name="Normal 365 9" xfId="52348" xr:uid="{00000000-0005-0000-0000-00000E9C0000}"/>
    <cellStyle name="Normal 366" xfId="2712" xr:uid="{00000000-0005-0000-0000-00000F9C0000}"/>
    <cellStyle name="Normal 366 2" xfId="4724" xr:uid="{00000000-0005-0000-0000-0000109C0000}"/>
    <cellStyle name="Normal 366 2 2" xfId="8597" xr:uid="{00000000-0005-0000-0000-0000119C0000}"/>
    <cellStyle name="Normal 366 2 2 2" xfId="16393" xr:uid="{00000000-0005-0000-0000-0000129C0000}"/>
    <cellStyle name="Normal 366 2 2 2 2" xfId="34028" xr:uid="{00000000-0005-0000-0000-0000139C0000}"/>
    <cellStyle name="Normal 366 2 2 3" xfId="26998" xr:uid="{00000000-0005-0000-0000-0000149C0000}"/>
    <cellStyle name="Normal 366 2 3" xfId="12885" xr:uid="{00000000-0005-0000-0000-0000159C0000}"/>
    <cellStyle name="Normal 366 2 3 2" xfId="30535" xr:uid="{00000000-0005-0000-0000-0000169C0000}"/>
    <cellStyle name="Normal 366 2 4" xfId="24133" xr:uid="{00000000-0005-0000-0000-0000179C0000}"/>
    <cellStyle name="Normal 366 3" xfId="5910" xr:uid="{00000000-0005-0000-0000-0000189C0000}"/>
    <cellStyle name="Normal 366 3 2" xfId="9210" xr:uid="{00000000-0005-0000-0000-0000199C0000}"/>
    <cellStyle name="Normal 366 3 2 2" xfId="17005" xr:uid="{00000000-0005-0000-0000-00001A9C0000}"/>
    <cellStyle name="Normal 366 3 2 2 2" xfId="34641" xr:uid="{00000000-0005-0000-0000-00001B9C0000}"/>
    <cellStyle name="Normal 366 3 2 3" xfId="27598" xr:uid="{00000000-0005-0000-0000-00001C9C0000}"/>
    <cellStyle name="Normal 366 3 3" xfId="13766" xr:uid="{00000000-0005-0000-0000-00001D9C0000}"/>
    <cellStyle name="Normal 366 3 3 2" xfId="31406" xr:uid="{00000000-0005-0000-0000-00001E9C0000}"/>
    <cellStyle name="Normal 366 3 4" xfId="24733" xr:uid="{00000000-0005-0000-0000-00001F9C0000}"/>
    <cellStyle name="Normal 366 4" xfId="6540" xr:uid="{00000000-0005-0000-0000-0000209C0000}"/>
    <cellStyle name="Normal 366 4 2" xfId="9750" xr:uid="{00000000-0005-0000-0000-0000219C0000}"/>
    <cellStyle name="Normal 366 4 2 2" xfId="17544" xr:uid="{00000000-0005-0000-0000-0000229C0000}"/>
    <cellStyle name="Normal 366 4 2 2 2" xfId="35181" xr:uid="{00000000-0005-0000-0000-0000239C0000}"/>
    <cellStyle name="Normal 366 4 2 3" xfId="28134" xr:uid="{00000000-0005-0000-0000-0000249C0000}"/>
    <cellStyle name="Normal 366 4 3" xfId="14329" xr:uid="{00000000-0005-0000-0000-0000259C0000}"/>
    <cellStyle name="Normal 366 4 3 2" xfId="31964" xr:uid="{00000000-0005-0000-0000-0000269C0000}"/>
    <cellStyle name="Normal 366 4 4" xfId="25270" xr:uid="{00000000-0005-0000-0000-0000279C0000}"/>
    <cellStyle name="Normal 366 5" xfId="7316" xr:uid="{00000000-0005-0000-0000-0000289C0000}"/>
    <cellStyle name="Normal 366 5 2" xfId="10304" xr:uid="{00000000-0005-0000-0000-0000299C0000}"/>
    <cellStyle name="Normal 366 5 2 2" xfId="18097" xr:uid="{00000000-0005-0000-0000-00002A9C0000}"/>
    <cellStyle name="Normal 366 5 2 2 2" xfId="35734" xr:uid="{00000000-0005-0000-0000-00002B9C0000}"/>
    <cellStyle name="Normal 366 5 2 3" xfId="28671" xr:uid="{00000000-0005-0000-0000-00002C9C0000}"/>
    <cellStyle name="Normal 366 5 3" xfId="15104" xr:uid="{00000000-0005-0000-0000-00002D9C0000}"/>
    <cellStyle name="Normal 366 5 3 2" xfId="32739" xr:uid="{00000000-0005-0000-0000-00002E9C0000}"/>
    <cellStyle name="Normal 366 5 4" xfId="25808" xr:uid="{00000000-0005-0000-0000-00002F9C0000}"/>
    <cellStyle name="Normal 366 6" xfId="7915" xr:uid="{00000000-0005-0000-0000-0000309C0000}"/>
    <cellStyle name="Normal 366 6 2" xfId="15712" xr:uid="{00000000-0005-0000-0000-0000319C0000}"/>
    <cellStyle name="Normal 366 6 2 2" xfId="33347" xr:uid="{00000000-0005-0000-0000-0000329C0000}"/>
    <cellStyle name="Normal 366 6 3" xfId="26331" xr:uid="{00000000-0005-0000-0000-0000339C0000}"/>
    <cellStyle name="Normal 366 7" xfId="11872" xr:uid="{00000000-0005-0000-0000-0000349C0000}"/>
    <cellStyle name="Normal 366 7 2" xfId="29555" xr:uid="{00000000-0005-0000-0000-0000359C0000}"/>
    <cellStyle name="Normal 366 8" xfId="23466" xr:uid="{00000000-0005-0000-0000-0000369C0000}"/>
    <cellStyle name="Normal 366 9" xfId="52349" xr:uid="{00000000-0005-0000-0000-0000379C0000}"/>
    <cellStyle name="Normal 367" xfId="2713" xr:uid="{00000000-0005-0000-0000-0000389C0000}"/>
    <cellStyle name="Normal 367 2" xfId="4725" xr:uid="{00000000-0005-0000-0000-0000399C0000}"/>
    <cellStyle name="Normal 367 2 2" xfId="8598" xr:uid="{00000000-0005-0000-0000-00003A9C0000}"/>
    <cellStyle name="Normal 367 2 2 2" xfId="16394" xr:uid="{00000000-0005-0000-0000-00003B9C0000}"/>
    <cellStyle name="Normal 367 2 2 2 2" xfId="34029" xr:uid="{00000000-0005-0000-0000-00003C9C0000}"/>
    <cellStyle name="Normal 367 2 2 3" xfId="26999" xr:uid="{00000000-0005-0000-0000-00003D9C0000}"/>
    <cellStyle name="Normal 367 2 3" xfId="12886" xr:uid="{00000000-0005-0000-0000-00003E9C0000}"/>
    <cellStyle name="Normal 367 2 3 2" xfId="30536" xr:uid="{00000000-0005-0000-0000-00003F9C0000}"/>
    <cellStyle name="Normal 367 2 4" xfId="24134" xr:uid="{00000000-0005-0000-0000-0000409C0000}"/>
    <cellStyle name="Normal 367 3" xfId="5911" xr:uid="{00000000-0005-0000-0000-0000419C0000}"/>
    <cellStyle name="Normal 367 3 2" xfId="9211" xr:uid="{00000000-0005-0000-0000-0000429C0000}"/>
    <cellStyle name="Normal 367 3 2 2" xfId="17006" xr:uid="{00000000-0005-0000-0000-0000439C0000}"/>
    <cellStyle name="Normal 367 3 2 2 2" xfId="34642" xr:uid="{00000000-0005-0000-0000-0000449C0000}"/>
    <cellStyle name="Normal 367 3 2 3" xfId="27599" xr:uid="{00000000-0005-0000-0000-0000459C0000}"/>
    <cellStyle name="Normal 367 3 3" xfId="13767" xr:uid="{00000000-0005-0000-0000-0000469C0000}"/>
    <cellStyle name="Normal 367 3 3 2" xfId="31407" xr:uid="{00000000-0005-0000-0000-0000479C0000}"/>
    <cellStyle name="Normal 367 3 4" xfId="24734" xr:uid="{00000000-0005-0000-0000-0000489C0000}"/>
    <cellStyle name="Normal 367 4" xfId="6541" xr:uid="{00000000-0005-0000-0000-0000499C0000}"/>
    <cellStyle name="Normal 367 4 2" xfId="9751" xr:uid="{00000000-0005-0000-0000-00004A9C0000}"/>
    <cellStyle name="Normal 367 4 2 2" xfId="17545" xr:uid="{00000000-0005-0000-0000-00004B9C0000}"/>
    <cellStyle name="Normal 367 4 2 2 2" xfId="35182" xr:uid="{00000000-0005-0000-0000-00004C9C0000}"/>
    <cellStyle name="Normal 367 4 2 3" xfId="28135" xr:uid="{00000000-0005-0000-0000-00004D9C0000}"/>
    <cellStyle name="Normal 367 4 3" xfId="14330" xr:uid="{00000000-0005-0000-0000-00004E9C0000}"/>
    <cellStyle name="Normal 367 4 3 2" xfId="31965" xr:uid="{00000000-0005-0000-0000-00004F9C0000}"/>
    <cellStyle name="Normal 367 4 4" xfId="25271" xr:uid="{00000000-0005-0000-0000-0000509C0000}"/>
    <cellStyle name="Normal 367 5" xfId="7317" xr:uid="{00000000-0005-0000-0000-0000519C0000}"/>
    <cellStyle name="Normal 367 5 2" xfId="10305" xr:uid="{00000000-0005-0000-0000-0000529C0000}"/>
    <cellStyle name="Normal 367 5 2 2" xfId="18098" xr:uid="{00000000-0005-0000-0000-0000539C0000}"/>
    <cellStyle name="Normal 367 5 2 2 2" xfId="35735" xr:uid="{00000000-0005-0000-0000-0000549C0000}"/>
    <cellStyle name="Normal 367 5 2 3" xfId="28672" xr:uid="{00000000-0005-0000-0000-0000559C0000}"/>
    <cellStyle name="Normal 367 5 3" xfId="15105" xr:uid="{00000000-0005-0000-0000-0000569C0000}"/>
    <cellStyle name="Normal 367 5 3 2" xfId="32740" xr:uid="{00000000-0005-0000-0000-0000579C0000}"/>
    <cellStyle name="Normal 367 5 4" xfId="25809" xr:uid="{00000000-0005-0000-0000-0000589C0000}"/>
    <cellStyle name="Normal 367 6" xfId="7916" xr:uid="{00000000-0005-0000-0000-0000599C0000}"/>
    <cellStyle name="Normal 367 6 2" xfId="15713" xr:uid="{00000000-0005-0000-0000-00005A9C0000}"/>
    <cellStyle name="Normal 367 6 2 2" xfId="33348" xr:uid="{00000000-0005-0000-0000-00005B9C0000}"/>
    <cellStyle name="Normal 367 6 3" xfId="26332" xr:uid="{00000000-0005-0000-0000-00005C9C0000}"/>
    <cellStyle name="Normal 367 7" xfId="11873" xr:uid="{00000000-0005-0000-0000-00005D9C0000}"/>
    <cellStyle name="Normal 367 7 2" xfId="29556" xr:uid="{00000000-0005-0000-0000-00005E9C0000}"/>
    <cellStyle name="Normal 367 8" xfId="23467" xr:uid="{00000000-0005-0000-0000-00005F9C0000}"/>
    <cellStyle name="Normal 367 9" xfId="52350" xr:uid="{00000000-0005-0000-0000-0000609C0000}"/>
    <cellStyle name="Normal 368" xfId="2714" xr:uid="{00000000-0005-0000-0000-0000619C0000}"/>
    <cellStyle name="Normal 368 2" xfId="4726" xr:uid="{00000000-0005-0000-0000-0000629C0000}"/>
    <cellStyle name="Normal 368 2 2" xfId="8599" xr:uid="{00000000-0005-0000-0000-0000639C0000}"/>
    <cellStyle name="Normal 368 2 2 2" xfId="16395" xr:uid="{00000000-0005-0000-0000-0000649C0000}"/>
    <cellStyle name="Normal 368 2 2 2 2" xfId="34030" xr:uid="{00000000-0005-0000-0000-0000659C0000}"/>
    <cellStyle name="Normal 368 2 2 3" xfId="27000" xr:uid="{00000000-0005-0000-0000-0000669C0000}"/>
    <cellStyle name="Normal 368 2 3" xfId="12887" xr:uid="{00000000-0005-0000-0000-0000679C0000}"/>
    <cellStyle name="Normal 368 2 3 2" xfId="30537" xr:uid="{00000000-0005-0000-0000-0000689C0000}"/>
    <cellStyle name="Normal 368 2 4" xfId="24135" xr:uid="{00000000-0005-0000-0000-0000699C0000}"/>
    <cellStyle name="Normal 368 3" xfId="5912" xr:uid="{00000000-0005-0000-0000-00006A9C0000}"/>
    <cellStyle name="Normal 368 3 2" xfId="9212" xr:uid="{00000000-0005-0000-0000-00006B9C0000}"/>
    <cellStyle name="Normal 368 3 2 2" xfId="17007" xr:uid="{00000000-0005-0000-0000-00006C9C0000}"/>
    <cellStyle name="Normal 368 3 2 2 2" xfId="34643" xr:uid="{00000000-0005-0000-0000-00006D9C0000}"/>
    <cellStyle name="Normal 368 3 2 3" xfId="27600" xr:uid="{00000000-0005-0000-0000-00006E9C0000}"/>
    <cellStyle name="Normal 368 3 3" xfId="13768" xr:uid="{00000000-0005-0000-0000-00006F9C0000}"/>
    <cellStyle name="Normal 368 3 3 2" xfId="31408" xr:uid="{00000000-0005-0000-0000-0000709C0000}"/>
    <cellStyle name="Normal 368 3 4" xfId="24735" xr:uid="{00000000-0005-0000-0000-0000719C0000}"/>
    <cellStyle name="Normal 368 4" xfId="6542" xr:uid="{00000000-0005-0000-0000-0000729C0000}"/>
    <cellStyle name="Normal 368 4 2" xfId="9752" xr:uid="{00000000-0005-0000-0000-0000739C0000}"/>
    <cellStyle name="Normal 368 4 2 2" xfId="17546" xr:uid="{00000000-0005-0000-0000-0000749C0000}"/>
    <cellStyle name="Normal 368 4 2 2 2" xfId="35183" xr:uid="{00000000-0005-0000-0000-0000759C0000}"/>
    <cellStyle name="Normal 368 4 2 3" xfId="28136" xr:uid="{00000000-0005-0000-0000-0000769C0000}"/>
    <cellStyle name="Normal 368 4 3" xfId="14331" xr:uid="{00000000-0005-0000-0000-0000779C0000}"/>
    <cellStyle name="Normal 368 4 3 2" xfId="31966" xr:uid="{00000000-0005-0000-0000-0000789C0000}"/>
    <cellStyle name="Normal 368 4 4" xfId="25272" xr:uid="{00000000-0005-0000-0000-0000799C0000}"/>
    <cellStyle name="Normal 368 5" xfId="7318" xr:uid="{00000000-0005-0000-0000-00007A9C0000}"/>
    <cellStyle name="Normal 368 5 2" xfId="10306" xr:uid="{00000000-0005-0000-0000-00007B9C0000}"/>
    <cellStyle name="Normal 368 5 2 2" xfId="18099" xr:uid="{00000000-0005-0000-0000-00007C9C0000}"/>
    <cellStyle name="Normal 368 5 2 2 2" xfId="35736" xr:uid="{00000000-0005-0000-0000-00007D9C0000}"/>
    <cellStyle name="Normal 368 5 2 3" xfId="28673" xr:uid="{00000000-0005-0000-0000-00007E9C0000}"/>
    <cellStyle name="Normal 368 5 3" xfId="15106" xr:uid="{00000000-0005-0000-0000-00007F9C0000}"/>
    <cellStyle name="Normal 368 5 3 2" xfId="32741" xr:uid="{00000000-0005-0000-0000-0000809C0000}"/>
    <cellStyle name="Normal 368 5 4" xfId="25810" xr:uid="{00000000-0005-0000-0000-0000819C0000}"/>
    <cellStyle name="Normal 368 6" xfId="7917" xr:uid="{00000000-0005-0000-0000-0000829C0000}"/>
    <cellStyle name="Normal 368 6 2" xfId="15714" xr:uid="{00000000-0005-0000-0000-0000839C0000}"/>
    <cellStyle name="Normal 368 6 2 2" xfId="33349" xr:uid="{00000000-0005-0000-0000-0000849C0000}"/>
    <cellStyle name="Normal 368 6 3" xfId="26333" xr:uid="{00000000-0005-0000-0000-0000859C0000}"/>
    <cellStyle name="Normal 368 7" xfId="11874" xr:uid="{00000000-0005-0000-0000-0000869C0000}"/>
    <cellStyle name="Normal 368 7 2" xfId="29557" xr:uid="{00000000-0005-0000-0000-0000879C0000}"/>
    <cellStyle name="Normal 368 8" xfId="23468" xr:uid="{00000000-0005-0000-0000-0000889C0000}"/>
    <cellStyle name="Normal 368 9" xfId="52351" xr:uid="{00000000-0005-0000-0000-0000899C0000}"/>
    <cellStyle name="Normal 369" xfId="2715" xr:uid="{00000000-0005-0000-0000-00008A9C0000}"/>
    <cellStyle name="Normal 369 2" xfId="4727" xr:uid="{00000000-0005-0000-0000-00008B9C0000}"/>
    <cellStyle name="Normal 369 2 2" xfId="8600" xr:uid="{00000000-0005-0000-0000-00008C9C0000}"/>
    <cellStyle name="Normal 369 2 2 2" xfId="16396" xr:uid="{00000000-0005-0000-0000-00008D9C0000}"/>
    <cellStyle name="Normal 369 2 2 2 2" xfId="34031" xr:uid="{00000000-0005-0000-0000-00008E9C0000}"/>
    <cellStyle name="Normal 369 2 2 3" xfId="27001" xr:uid="{00000000-0005-0000-0000-00008F9C0000}"/>
    <cellStyle name="Normal 369 2 3" xfId="12888" xr:uid="{00000000-0005-0000-0000-0000909C0000}"/>
    <cellStyle name="Normal 369 2 3 2" xfId="30538" xr:uid="{00000000-0005-0000-0000-0000919C0000}"/>
    <cellStyle name="Normal 369 2 4" xfId="24136" xr:uid="{00000000-0005-0000-0000-0000929C0000}"/>
    <cellStyle name="Normal 369 3" xfId="5913" xr:uid="{00000000-0005-0000-0000-0000939C0000}"/>
    <cellStyle name="Normal 369 3 2" xfId="9213" xr:uid="{00000000-0005-0000-0000-0000949C0000}"/>
    <cellStyle name="Normal 369 3 2 2" xfId="17008" xr:uid="{00000000-0005-0000-0000-0000959C0000}"/>
    <cellStyle name="Normal 369 3 2 2 2" xfId="34644" xr:uid="{00000000-0005-0000-0000-0000969C0000}"/>
    <cellStyle name="Normal 369 3 2 3" xfId="27601" xr:uid="{00000000-0005-0000-0000-0000979C0000}"/>
    <cellStyle name="Normal 369 3 3" xfId="13769" xr:uid="{00000000-0005-0000-0000-0000989C0000}"/>
    <cellStyle name="Normal 369 3 3 2" xfId="31409" xr:uid="{00000000-0005-0000-0000-0000999C0000}"/>
    <cellStyle name="Normal 369 3 4" xfId="24736" xr:uid="{00000000-0005-0000-0000-00009A9C0000}"/>
    <cellStyle name="Normal 369 4" xfId="6543" xr:uid="{00000000-0005-0000-0000-00009B9C0000}"/>
    <cellStyle name="Normal 369 4 2" xfId="9753" xr:uid="{00000000-0005-0000-0000-00009C9C0000}"/>
    <cellStyle name="Normal 369 4 2 2" xfId="17547" xr:uid="{00000000-0005-0000-0000-00009D9C0000}"/>
    <cellStyle name="Normal 369 4 2 2 2" xfId="35184" xr:uid="{00000000-0005-0000-0000-00009E9C0000}"/>
    <cellStyle name="Normal 369 4 2 3" xfId="28137" xr:uid="{00000000-0005-0000-0000-00009F9C0000}"/>
    <cellStyle name="Normal 369 4 3" xfId="14332" xr:uid="{00000000-0005-0000-0000-0000A09C0000}"/>
    <cellStyle name="Normal 369 4 3 2" xfId="31967" xr:uid="{00000000-0005-0000-0000-0000A19C0000}"/>
    <cellStyle name="Normal 369 4 4" xfId="25273" xr:uid="{00000000-0005-0000-0000-0000A29C0000}"/>
    <cellStyle name="Normal 369 5" xfId="7319" xr:uid="{00000000-0005-0000-0000-0000A39C0000}"/>
    <cellStyle name="Normal 369 5 2" xfId="10307" xr:uid="{00000000-0005-0000-0000-0000A49C0000}"/>
    <cellStyle name="Normal 369 5 2 2" xfId="18100" xr:uid="{00000000-0005-0000-0000-0000A59C0000}"/>
    <cellStyle name="Normal 369 5 2 2 2" xfId="35737" xr:uid="{00000000-0005-0000-0000-0000A69C0000}"/>
    <cellStyle name="Normal 369 5 2 3" xfId="28674" xr:uid="{00000000-0005-0000-0000-0000A79C0000}"/>
    <cellStyle name="Normal 369 5 3" xfId="15107" xr:uid="{00000000-0005-0000-0000-0000A89C0000}"/>
    <cellStyle name="Normal 369 5 3 2" xfId="32742" xr:uid="{00000000-0005-0000-0000-0000A99C0000}"/>
    <cellStyle name="Normal 369 5 4" xfId="25811" xr:uid="{00000000-0005-0000-0000-0000AA9C0000}"/>
    <cellStyle name="Normal 369 6" xfId="7918" xr:uid="{00000000-0005-0000-0000-0000AB9C0000}"/>
    <cellStyle name="Normal 369 6 2" xfId="15715" xr:uid="{00000000-0005-0000-0000-0000AC9C0000}"/>
    <cellStyle name="Normal 369 6 2 2" xfId="33350" xr:uid="{00000000-0005-0000-0000-0000AD9C0000}"/>
    <cellStyle name="Normal 369 6 3" xfId="26334" xr:uid="{00000000-0005-0000-0000-0000AE9C0000}"/>
    <cellStyle name="Normal 369 7" xfId="11875" xr:uid="{00000000-0005-0000-0000-0000AF9C0000}"/>
    <cellStyle name="Normal 369 7 2" xfId="29558" xr:uid="{00000000-0005-0000-0000-0000B09C0000}"/>
    <cellStyle name="Normal 369 8" xfId="23469" xr:uid="{00000000-0005-0000-0000-0000B19C0000}"/>
    <cellStyle name="Normal 369 9" xfId="52352" xr:uid="{00000000-0005-0000-0000-0000B29C0000}"/>
    <cellStyle name="Normal 37" xfId="2716" xr:uid="{00000000-0005-0000-0000-0000B39C0000}"/>
    <cellStyle name="Normal 37 2" xfId="4728" xr:uid="{00000000-0005-0000-0000-0000B49C0000}"/>
    <cellStyle name="Normal 37 2 2" xfId="22777" xr:uid="{00000000-0005-0000-0000-0000B59C0000}"/>
    <cellStyle name="Normal 37 2 2 2" xfId="38984" xr:uid="{00000000-0005-0000-0000-0000B69C0000}"/>
    <cellStyle name="Normal 37 3" xfId="22993" xr:uid="{00000000-0005-0000-0000-0000B79C0000}"/>
    <cellStyle name="Normal 37 4" xfId="22568" xr:uid="{00000000-0005-0000-0000-0000B89C0000}"/>
    <cellStyle name="Normal 37 4 2" xfId="38879" xr:uid="{00000000-0005-0000-0000-0000B99C0000}"/>
    <cellStyle name="Normal 37 5" xfId="52353" xr:uid="{00000000-0005-0000-0000-0000BA9C0000}"/>
    <cellStyle name="Normal 370" xfId="2717" xr:uid="{00000000-0005-0000-0000-0000BB9C0000}"/>
    <cellStyle name="Normal 370 2" xfId="4729" xr:uid="{00000000-0005-0000-0000-0000BC9C0000}"/>
    <cellStyle name="Normal 370 2 2" xfId="8601" xr:uid="{00000000-0005-0000-0000-0000BD9C0000}"/>
    <cellStyle name="Normal 370 2 2 2" xfId="16397" xr:uid="{00000000-0005-0000-0000-0000BE9C0000}"/>
    <cellStyle name="Normal 370 2 2 2 2" xfId="34032" xr:uid="{00000000-0005-0000-0000-0000BF9C0000}"/>
    <cellStyle name="Normal 370 2 2 3" xfId="27002" xr:uid="{00000000-0005-0000-0000-0000C09C0000}"/>
    <cellStyle name="Normal 370 2 3" xfId="12889" xr:uid="{00000000-0005-0000-0000-0000C19C0000}"/>
    <cellStyle name="Normal 370 2 3 2" xfId="30539" xr:uid="{00000000-0005-0000-0000-0000C29C0000}"/>
    <cellStyle name="Normal 370 2 4" xfId="24137" xr:uid="{00000000-0005-0000-0000-0000C39C0000}"/>
    <cellStyle name="Normal 370 3" xfId="5914" xr:uid="{00000000-0005-0000-0000-0000C49C0000}"/>
    <cellStyle name="Normal 370 3 2" xfId="9214" xr:uid="{00000000-0005-0000-0000-0000C59C0000}"/>
    <cellStyle name="Normal 370 3 2 2" xfId="17009" xr:uid="{00000000-0005-0000-0000-0000C69C0000}"/>
    <cellStyle name="Normal 370 3 2 2 2" xfId="34645" xr:uid="{00000000-0005-0000-0000-0000C79C0000}"/>
    <cellStyle name="Normal 370 3 2 3" xfId="27602" xr:uid="{00000000-0005-0000-0000-0000C89C0000}"/>
    <cellStyle name="Normal 370 3 3" xfId="13770" xr:uid="{00000000-0005-0000-0000-0000C99C0000}"/>
    <cellStyle name="Normal 370 3 3 2" xfId="31410" xr:uid="{00000000-0005-0000-0000-0000CA9C0000}"/>
    <cellStyle name="Normal 370 3 4" xfId="24737" xr:uid="{00000000-0005-0000-0000-0000CB9C0000}"/>
    <cellStyle name="Normal 370 4" xfId="6544" xr:uid="{00000000-0005-0000-0000-0000CC9C0000}"/>
    <cellStyle name="Normal 370 4 2" xfId="9754" xr:uid="{00000000-0005-0000-0000-0000CD9C0000}"/>
    <cellStyle name="Normal 370 4 2 2" xfId="17548" xr:uid="{00000000-0005-0000-0000-0000CE9C0000}"/>
    <cellStyle name="Normal 370 4 2 2 2" xfId="35185" xr:uid="{00000000-0005-0000-0000-0000CF9C0000}"/>
    <cellStyle name="Normal 370 4 2 3" xfId="28138" xr:uid="{00000000-0005-0000-0000-0000D09C0000}"/>
    <cellStyle name="Normal 370 4 3" xfId="14333" xr:uid="{00000000-0005-0000-0000-0000D19C0000}"/>
    <cellStyle name="Normal 370 4 3 2" xfId="31968" xr:uid="{00000000-0005-0000-0000-0000D29C0000}"/>
    <cellStyle name="Normal 370 4 4" xfId="25274" xr:uid="{00000000-0005-0000-0000-0000D39C0000}"/>
    <cellStyle name="Normal 370 5" xfId="7320" xr:uid="{00000000-0005-0000-0000-0000D49C0000}"/>
    <cellStyle name="Normal 370 5 2" xfId="10308" xr:uid="{00000000-0005-0000-0000-0000D59C0000}"/>
    <cellStyle name="Normal 370 5 2 2" xfId="18101" xr:uid="{00000000-0005-0000-0000-0000D69C0000}"/>
    <cellStyle name="Normal 370 5 2 2 2" xfId="35738" xr:uid="{00000000-0005-0000-0000-0000D79C0000}"/>
    <cellStyle name="Normal 370 5 2 3" xfId="28675" xr:uid="{00000000-0005-0000-0000-0000D89C0000}"/>
    <cellStyle name="Normal 370 5 3" xfId="15108" xr:uid="{00000000-0005-0000-0000-0000D99C0000}"/>
    <cellStyle name="Normal 370 5 3 2" xfId="32743" xr:uid="{00000000-0005-0000-0000-0000DA9C0000}"/>
    <cellStyle name="Normal 370 5 4" xfId="25812" xr:uid="{00000000-0005-0000-0000-0000DB9C0000}"/>
    <cellStyle name="Normal 370 6" xfId="7919" xr:uid="{00000000-0005-0000-0000-0000DC9C0000}"/>
    <cellStyle name="Normal 370 6 2" xfId="15716" xr:uid="{00000000-0005-0000-0000-0000DD9C0000}"/>
    <cellStyle name="Normal 370 6 2 2" xfId="33351" xr:uid="{00000000-0005-0000-0000-0000DE9C0000}"/>
    <cellStyle name="Normal 370 6 3" xfId="26335" xr:uid="{00000000-0005-0000-0000-0000DF9C0000}"/>
    <cellStyle name="Normal 370 7" xfId="11876" xr:uid="{00000000-0005-0000-0000-0000E09C0000}"/>
    <cellStyle name="Normal 370 7 2" xfId="29559" xr:uid="{00000000-0005-0000-0000-0000E19C0000}"/>
    <cellStyle name="Normal 370 8" xfId="23470" xr:uid="{00000000-0005-0000-0000-0000E29C0000}"/>
    <cellStyle name="Normal 370 9" xfId="52354" xr:uid="{00000000-0005-0000-0000-0000E39C0000}"/>
    <cellStyle name="Normal 371" xfId="2718" xr:uid="{00000000-0005-0000-0000-0000E49C0000}"/>
    <cellStyle name="Normal 371 2" xfId="4730" xr:uid="{00000000-0005-0000-0000-0000E59C0000}"/>
    <cellStyle name="Normal 371 2 2" xfId="8602" xr:uid="{00000000-0005-0000-0000-0000E69C0000}"/>
    <cellStyle name="Normal 371 2 2 2" xfId="16398" xr:uid="{00000000-0005-0000-0000-0000E79C0000}"/>
    <cellStyle name="Normal 371 2 2 2 2" xfId="34033" xr:uid="{00000000-0005-0000-0000-0000E89C0000}"/>
    <cellStyle name="Normal 371 2 2 3" xfId="27003" xr:uid="{00000000-0005-0000-0000-0000E99C0000}"/>
    <cellStyle name="Normal 371 2 3" xfId="12890" xr:uid="{00000000-0005-0000-0000-0000EA9C0000}"/>
    <cellStyle name="Normal 371 2 3 2" xfId="30540" xr:uid="{00000000-0005-0000-0000-0000EB9C0000}"/>
    <cellStyle name="Normal 371 2 4" xfId="24138" xr:uid="{00000000-0005-0000-0000-0000EC9C0000}"/>
    <cellStyle name="Normal 371 3" xfId="5915" xr:uid="{00000000-0005-0000-0000-0000ED9C0000}"/>
    <cellStyle name="Normal 371 3 2" xfId="9215" xr:uid="{00000000-0005-0000-0000-0000EE9C0000}"/>
    <cellStyle name="Normal 371 3 2 2" xfId="17010" xr:uid="{00000000-0005-0000-0000-0000EF9C0000}"/>
    <cellStyle name="Normal 371 3 2 2 2" xfId="34646" xr:uid="{00000000-0005-0000-0000-0000F09C0000}"/>
    <cellStyle name="Normal 371 3 2 3" xfId="27603" xr:uid="{00000000-0005-0000-0000-0000F19C0000}"/>
    <cellStyle name="Normal 371 3 3" xfId="13771" xr:uid="{00000000-0005-0000-0000-0000F29C0000}"/>
    <cellStyle name="Normal 371 3 3 2" xfId="31411" xr:uid="{00000000-0005-0000-0000-0000F39C0000}"/>
    <cellStyle name="Normal 371 3 4" xfId="24738" xr:uid="{00000000-0005-0000-0000-0000F49C0000}"/>
    <cellStyle name="Normal 371 4" xfId="6545" xr:uid="{00000000-0005-0000-0000-0000F59C0000}"/>
    <cellStyle name="Normal 371 4 2" xfId="9755" xr:uid="{00000000-0005-0000-0000-0000F69C0000}"/>
    <cellStyle name="Normal 371 4 2 2" xfId="17549" xr:uid="{00000000-0005-0000-0000-0000F79C0000}"/>
    <cellStyle name="Normal 371 4 2 2 2" xfId="35186" xr:uid="{00000000-0005-0000-0000-0000F89C0000}"/>
    <cellStyle name="Normal 371 4 2 3" xfId="28139" xr:uid="{00000000-0005-0000-0000-0000F99C0000}"/>
    <cellStyle name="Normal 371 4 3" xfId="14334" xr:uid="{00000000-0005-0000-0000-0000FA9C0000}"/>
    <cellStyle name="Normal 371 4 3 2" xfId="31969" xr:uid="{00000000-0005-0000-0000-0000FB9C0000}"/>
    <cellStyle name="Normal 371 4 4" xfId="25275" xr:uid="{00000000-0005-0000-0000-0000FC9C0000}"/>
    <cellStyle name="Normal 371 5" xfId="7321" xr:uid="{00000000-0005-0000-0000-0000FD9C0000}"/>
    <cellStyle name="Normal 371 5 2" xfId="10309" xr:uid="{00000000-0005-0000-0000-0000FE9C0000}"/>
    <cellStyle name="Normal 371 5 2 2" xfId="18102" xr:uid="{00000000-0005-0000-0000-0000FF9C0000}"/>
    <cellStyle name="Normal 371 5 2 2 2" xfId="35739" xr:uid="{00000000-0005-0000-0000-0000009D0000}"/>
    <cellStyle name="Normal 371 5 2 3" xfId="28676" xr:uid="{00000000-0005-0000-0000-0000019D0000}"/>
    <cellStyle name="Normal 371 5 3" xfId="15109" xr:uid="{00000000-0005-0000-0000-0000029D0000}"/>
    <cellStyle name="Normal 371 5 3 2" xfId="32744" xr:uid="{00000000-0005-0000-0000-0000039D0000}"/>
    <cellStyle name="Normal 371 5 4" xfId="25813" xr:uid="{00000000-0005-0000-0000-0000049D0000}"/>
    <cellStyle name="Normal 371 6" xfId="7920" xr:uid="{00000000-0005-0000-0000-0000059D0000}"/>
    <cellStyle name="Normal 371 6 2" xfId="15717" xr:uid="{00000000-0005-0000-0000-0000069D0000}"/>
    <cellStyle name="Normal 371 6 2 2" xfId="33352" xr:uid="{00000000-0005-0000-0000-0000079D0000}"/>
    <cellStyle name="Normal 371 6 3" xfId="26336" xr:uid="{00000000-0005-0000-0000-0000089D0000}"/>
    <cellStyle name="Normal 371 7" xfId="11877" xr:uid="{00000000-0005-0000-0000-0000099D0000}"/>
    <cellStyle name="Normal 371 7 2" xfId="29560" xr:uid="{00000000-0005-0000-0000-00000A9D0000}"/>
    <cellStyle name="Normal 371 8" xfId="23471" xr:uid="{00000000-0005-0000-0000-00000B9D0000}"/>
    <cellStyle name="Normal 371 9" xfId="52355" xr:uid="{00000000-0005-0000-0000-00000C9D0000}"/>
    <cellStyle name="Normal 372" xfId="2719" xr:uid="{00000000-0005-0000-0000-00000D9D0000}"/>
    <cellStyle name="Normal 372 2" xfId="4731" xr:uid="{00000000-0005-0000-0000-00000E9D0000}"/>
    <cellStyle name="Normal 372 2 2" xfId="8603" xr:uid="{00000000-0005-0000-0000-00000F9D0000}"/>
    <cellStyle name="Normal 372 2 2 2" xfId="16399" xr:uid="{00000000-0005-0000-0000-0000109D0000}"/>
    <cellStyle name="Normal 372 2 2 2 2" xfId="34034" xr:uid="{00000000-0005-0000-0000-0000119D0000}"/>
    <cellStyle name="Normal 372 2 2 3" xfId="27004" xr:uid="{00000000-0005-0000-0000-0000129D0000}"/>
    <cellStyle name="Normal 372 2 3" xfId="12891" xr:uid="{00000000-0005-0000-0000-0000139D0000}"/>
    <cellStyle name="Normal 372 2 3 2" xfId="30541" xr:uid="{00000000-0005-0000-0000-0000149D0000}"/>
    <cellStyle name="Normal 372 2 4" xfId="24139" xr:uid="{00000000-0005-0000-0000-0000159D0000}"/>
    <cellStyle name="Normal 372 3" xfId="5916" xr:uid="{00000000-0005-0000-0000-0000169D0000}"/>
    <cellStyle name="Normal 372 3 2" xfId="9216" xr:uid="{00000000-0005-0000-0000-0000179D0000}"/>
    <cellStyle name="Normal 372 3 2 2" xfId="17011" xr:uid="{00000000-0005-0000-0000-0000189D0000}"/>
    <cellStyle name="Normal 372 3 2 2 2" xfId="34647" xr:uid="{00000000-0005-0000-0000-0000199D0000}"/>
    <cellStyle name="Normal 372 3 2 3" xfId="27604" xr:uid="{00000000-0005-0000-0000-00001A9D0000}"/>
    <cellStyle name="Normal 372 3 3" xfId="13772" xr:uid="{00000000-0005-0000-0000-00001B9D0000}"/>
    <cellStyle name="Normal 372 3 3 2" xfId="31412" xr:uid="{00000000-0005-0000-0000-00001C9D0000}"/>
    <cellStyle name="Normal 372 3 4" xfId="24739" xr:uid="{00000000-0005-0000-0000-00001D9D0000}"/>
    <cellStyle name="Normal 372 4" xfId="6546" xr:uid="{00000000-0005-0000-0000-00001E9D0000}"/>
    <cellStyle name="Normal 372 4 2" xfId="9756" xr:uid="{00000000-0005-0000-0000-00001F9D0000}"/>
    <cellStyle name="Normal 372 4 2 2" xfId="17550" xr:uid="{00000000-0005-0000-0000-0000209D0000}"/>
    <cellStyle name="Normal 372 4 2 2 2" xfId="35187" xr:uid="{00000000-0005-0000-0000-0000219D0000}"/>
    <cellStyle name="Normal 372 4 2 3" xfId="28140" xr:uid="{00000000-0005-0000-0000-0000229D0000}"/>
    <cellStyle name="Normal 372 4 3" xfId="14335" xr:uid="{00000000-0005-0000-0000-0000239D0000}"/>
    <cellStyle name="Normal 372 4 3 2" xfId="31970" xr:uid="{00000000-0005-0000-0000-0000249D0000}"/>
    <cellStyle name="Normal 372 4 4" xfId="25276" xr:uid="{00000000-0005-0000-0000-0000259D0000}"/>
    <cellStyle name="Normal 372 5" xfId="7322" xr:uid="{00000000-0005-0000-0000-0000269D0000}"/>
    <cellStyle name="Normal 372 5 2" xfId="10310" xr:uid="{00000000-0005-0000-0000-0000279D0000}"/>
    <cellStyle name="Normal 372 5 2 2" xfId="18103" xr:uid="{00000000-0005-0000-0000-0000289D0000}"/>
    <cellStyle name="Normal 372 5 2 2 2" xfId="35740" xr:uid="{00000000-0005-0000-0000-0000299D0000}"/>
    <cellStyle name="Normal 372 5 2 3" xfId="28677" xr:uid="{00000000-0005-0000-0000-00002A9D0000}"/>
    <cellStyle name="Normal 372 5 3" xfId="15110" xr:uid="{00000000-0005-0000-0000-00002B9D0000}"/>
    <cellStyle name="Normal 372 5 3 2" xfId="32745" xr:uid="{00000000-0005-0000-0000-00002C9D0000}"/>
    <cellStyle name="Normal 372 5 4" xfId="25814" xr:uid="{00000000-0005-0000-0000-00002D9D0000}"/>
    <cellStyle name="Normal 372 6" xfId="7921" xr:uid="{00000000-0005-0000-0000-00002E9D0000}"/>
    <cellStyle name="Normal 372 6 2" xfId="15718" xr:uid="{00000000-0005-0000-0000-00002F9D0000}"/>
    <cellStyle name="Normal 372 6 2 2" xfId="33353" xr:uid="{00000000-0005-0000-0000-0000309D0000}"/>
    <cellStyle name="Normal 372 6 3" xfId="26337" xr:uid="{00000000-0005-0000-0000-0000319D0000}"/>
    <cellStyle name="Normal 372 7" xfId="11878" xr:uid="{00000000-0005-0000-0000-0000329D0000}"/>
    <cellStyle name="Normal 372 7 2" xfId="29561" xr:uid="{00000000-0005-0000-0000-0000339D0000}"/>
    <cellStyle name="Normal 372 8" xfId="23472" xr:uid="{00000000-0005-0000-0000-0000349D0000}"/>
    <cellStyle name="Normal 372 9" xfId="52356" xr:uid="{00000000-0005-0000-0000-0000359D0000}"/>
    <cellStyle name="Normal 373" xfId="2720" xr:uid="{00000000-0005-0000-0000-0000369D0000}"/>
    <cellStyle name="Normal 373 2" xfId="4732" xr:uid="{00000000-0005-0000-0000-0000379D0000}"/>
    <cellStyle name="Normal 373 2 2" xfId="8604" xr:uid="{00000000-0005-0000-0000-0000389D0000}"/>
    <cellStyle name="Normal 373 2 2 2" xfId="16400" xr:uid="{00000000-0005-0000-0000-0000399D0000}"/>
    <cellStyle name="Normal 373 2 2 2 2" xfId="34035" xr:uid="{00000000-0005-0000-0000-00003A9D0000}"/>
    <cellStyle name="Normal 373 2 2 3" xfId="27005" xr:uid="{00000000-0005-0000-0000-00003B9D0000}"/>
    <cellStyle name="Normal 373 2 3" xfId="12892" xr:uid="{00000000-0005-0000-0000-00003C9D0000}"/>
    <cellStyle name="Normal 373 2 3 2" xfId="30542" xr:uid="{00000000-0005-0000-0000-00003D9D0000}"/>
    <cellStyle name="Normal 373 2 4" xfId="24140" xr:uid="{00000000-0005-0000-0000-00003E9D0000}"/>
    <cellStyle name="Normal 373 3" xfId="5917" xr:uid="{00000000-0005-0000-0000-00003F9D0000}"/>
    <cellStyle name="Normal 373 3 2" xfId="9217" xr:uid="{00000000-0005-0000-0000-0000409D0000}"/>
    <cellStyle name="Normal 373 3 2 2" xfId="17012" xr:uid="{00000000-0005-0000-0000-0000419D0000}"/>
    <cellStyle name="Normal 373 3 2 2 2" xfId="34648" xr:uid="{00000000-0005-0000-0000-0000429D0000}"/>
    <cellStyle name="Normal 373 3 2 3" xfId="27605" xr:uid="{00000000-0005-0000-0000-0000439D0000}"/>
    <cellStyle name="Normal 373 3 3" xfId="13773" xr:uid="{00000000-0005-0000-0000-0000449D0000}"/>
    <cellStyle name="Normal 373 3 3 2" xfId="31413" xr:uid="{00000000-0005-0000-0000-0000459D0000}"/>
    <cellStyle name="Normal 373 3 4" xfId="24740" xr:uid="{00000000-0005-0000-0000-0000469D0000}"/>
    <cellStyle name="Normal 373 4" xfId="6547" xr:uid="{00000000-0005-0000-0000-0000479D0000}"/>
    <cellStyle name="Normal 373 4 2" xfId="9757" xr:uid="{00000000-0005-0000-0000-0000489D0000}"/>
    <cellStyle name="Normal 373 4 2 2" xfId="17551" xr:uid="{00000000-0005-0000-0000-0000499D0000}"/>
    <cellStyle name="Normal 373 4 2 2 2" xfId="35188" xr:uid="{00000000-0005-0000-0000-00004A9D0000}"/>
    <cellStyle name="Normal 373 4 2 3" xfId="28141" xr:uid="{00000000-0005-0000-0000-00004B9D0000}"/>
    <cellStyle name="Normal 373 4 3" xfId="14336" xr:uid="{00000000-0005-0000-0000-00004C9D0000}"/>
    <cellStyle name="Normal 373 4 3 2" xfId="31971" xr:uid="{00000000-0005-0000-0000-00004D9D0000}"/>
    <cellStyle name="Normal 373 4 4" xfId="25277" xr:uid="{00000000-0005-0000-0000-00004E9D0000}"/>
    <cellStyle name="Normal 373 5" xfId="7323" xr:uid="{00000000-0005-0000-0000-00004F9D0000}"/>
    <cellStyle name="Normal 373 5 2" xfId="10311" xr:uid="{00000000-0005-0000-0000-0000509D0000}"/>
    <cellStyle name="Normal 373 5 2 2" xfId="18104" xr:uid="{00000000-0005-0000-0000-0000519D0000}"/>
    <cellStyle name="Normal 373 5 2 2 2" xfId="35741" xr:uid="{00000000-0005-0000-0000-0000529D0000}"/>
    <cellStyle name="Normal 373 5 2 3" xfId="28678" xr:uid="{00000000-0005-0000-0000-0000539D0000}"/>
    <cellStyle name="Normal 373 5 3" xfId="15111" xr:uid="{00000000-0005-0000-0000-0000549D0000}"/>
    <cellStyle name="Normal 373 5 3 2" xfId="32746" xr:uid="{00000000-0005-0000-0000-0000559D0000}"/>
    <cellStyle name="Normal 373 5 4" xfId="25815" xr:uid="{00000000-0005-0000-0000-0000569D0000}"/>
    <cellStyle name="Normal 373 6" xfId="7922" xr:uid="{00000000-0005-0000-0000-0000579D0000}"/>
    <cellStyle name="Normal 373 6 2" xfId="15719" xr:uid="{00000000-0005-0000-0000-0000589D0000}"/>
    <cellStyle name="Normal 373 6 2 2" xfId="33354" xr:uid="{00000000-0005-0000-0000-0000599D0000}"/>
    <cellStyle name="Normal 373 6 3" xfId="26338" xr:uid="{00000000-0005-0000-0000-00005A9D0000}"/>
    <cellStyle name="Normal 373 7" xfId="11879" xr:uid="{00000000-0005-0000-0000-00005B9D0000}"/>
    <cellStyle name="Normal 373 7 2" xfId="29562" xr:uid="{00000000-0005-0000-0000-00005C9D0000}"/>
    <cellStyle name="Normal 373 8" xfId="23473" xr:uid="{00000000-0005-0000-0000-00005D9D0000}"/>
    <cellStyle name="Normal 373 9" xfId="52357" xr:uid="{00000000-0005-0000-0000-00005E9D0000}"/>
    <cellStyle name="Normal 374" xfId="2721" xr:uid="{00000000-0005-0000-0000-00005F9D0000}"/>
    <cellStyle name="Normal 374 2" xfId="4733" xr:uid="{00000000-0005-0000-0000-0000609D0000}"/>
    <cellStyle name="Normal 374 2 2" xfId="8605" xr:uid="{00000000-0005-0000-0000-0000619D0000}"/>
    <cellStyle name="Normal 374 2 2 2" xfId="16401" xr:uid="{00000000-0005-0000-0000-0000629D0000}"/>
    <cellStyle name="Normal 374 2 2 2 2" xfId="34036" xr:uid="{00000000-0005-0000-0000-0000639D0000}"/>
    <cellStyle name="Normal 374 2 2 3" xfId="27006" xr:uid="{00000000-0005-0000-0000-0000649D0000}"/>
    <cellStyle name="Normal 374 2 3" xfId="12893" xr:uid="{00000000-0005-0000-0000-0000659D0000}"/>
    <cellStyle name="Normal 374 2 3 2" xfId="30543" xr:uid="{00000000-0005-0000-0000-0000669D0000}"/>
    <cellStyle name="Normal 374 2 4" xfId="24141" xr:uid="{00000000-0005-0000-0000-0000679D0000}"/>
    <cellStyle name="Normal 374 3" xfId="5918" xr:uid="{00000000-0005-0000-0000-0000689D0000}"/>
    <cellStyle name="Normal 374 3 2" xfId="9218" xr:uid="{00000000-0005-0000-0000-0000699D0000}"/>
    <cellStyle name="Normal 374 3 2 2" xfId="17013" xr:uid="{00000000-0005-0000-0000-00006A9D0000}"/>
    <cellStyle name="Normal 374 3 2 2 2" xfId="34649" xr:uid="{00000000-0005-0000-0000-00006B9D0000}"/>
    <cellStyle name="Normal 374 3 2 3" xfId="27606" xr:uid="{00000000-0005-0000-0000-00006C9D0000}"/>
    <cellStyle name="Normal 374 3 3" xfId="13774" xr:uid="{00000000-0005-0000-0000-00006D9D0000}"/>
    <cellStyle name="Normal 374 3 3 2" xfId="31414" xr:uid="{00000000-0005-0000-0000-00006E9D0000}"/>
    <cellStyle name="Normal 374 3 4" xfId="24741" xr:uid="{00000000-0005-0000-0000-00006F9D0000}"/>
    <cellStyle name="Normal 374 4" xfId="6548" xr:uid="{00000000-0005-0000-0000-0000709D0000}"/>
    <cellStyle name="Normal 374 4 2" xfId="9758" xr:uid="{00000000-0005-0000-0000-0000719D0000}"/>
    <cellStyle name="Normal 374 4 2 2" xfId="17552" xr:uid="{00000000-0005-0000-0000-0000729D0000}"/>
    <cellStyle name="Normal 374 4 2 2 2" xfId="35189" xr:uid="{00000000-0005-0000-0000-0000739D0000}"/>
    <cellStyle name="Normal 374 4 2 3" xfId="28142" xr:uid="{00000000-0005-0000-0000-0000749D0000}"/>
    <cellStyle name="Normal 374 4 3" xfId="14337" xr:uid="{00000000-0005-0000-0000-0000759D0000}"/>
    <cellStyle name="Normal 374 4 3 2" xfId="31972" xr:uid="{00000000-0005-0000-0000-0000769D0000}"/>
    <cellStyle name="Normal 374 4 4" xfId="25278" xr:uid="{00000000-0005-0000-0000-0000779D0000}"/>
    <cellStyle name="Normal 374 5" xfId="7324" xr:uid="{00000000-0005-0000-0000-0000789D0000}"/>
    <cellStyle name="Normal 374 5 2" xfId="10312" xr:uid="{00000000-0005-0000-0000-0000799D0000}"/>
    <cellStyle name="Normal 374 5 2 2" xfId="18105" xr:uid="{00000000-0005-0000-0000-00007A9D0000}"/>
    <cellStyle name="Normal 374 5 2 2 2" xfId="35742" xr:uid="{00000000-0005-0000-0000-00007B9D0000}"/>
    <cellStyle name="Normal 374 5 2 3" xfId="28679" xr:uid="{00000000-0005-0000-0000-00007C9D0000}"/>
    <cellStyle name="Normal 374 5 3" xfId="15112" xr:uid="{00000000-0005-0000-0000-00007D9D0000}"/>
    <cellStyle name="Normal 374 5 3 2" xfId="32747" xr:uid="{00000000-0005-0000-0000-00007E9D0000}"/>
    <cellStyle name="Normal 374 5 4" xfId="25816" xr:uid="{00000000-0005-0000-0000-00007F9D0000}"/>
    <cellStyle name="Normal 374 6" xfId="7923" xr:uid="{00000000-0005-0000-0000-0000809D0000}"/>
    <cellStyle name="Normal 374 6 2" xfId="15720" xr:uid="{00000000-0005-0000-0000-0000819D0000}"/>
    <cellStyle name="Normal 374 6 2 2" xfId="33355" xr:uid="{00000000-0005-0000-0000-0000829D0000}"/>
    <cellStyle name="Normal 374 6 3" xfId="26339" xr:uid="{00000000-0005-0000-0000-0000839D0000}"/>
    <cellStyle name="Normal 374 7" xfId="11880" xr:uid="{00000000-0005-0000-0000-0000849D0000}"/>
    <cellStyle name="Normal 374 7 2" xfId="29563" xr:uid="{00000000-0005-0000-0000-0000859D0000}"/>
    <cellStyle name="Normal 374 8" xfId="23474" xr:uid="{00000000-0005-0000-0000-0000869D0000}"/>
    <cellStyle name="Normal 374 9" xfId="52358" xr:uid="{00000000-0005-0000-0000-0000879D0000}"/>
    <cellStyle name="Normal 375" xfId="2722" xr:uid="{00000000-0005-0000-0000-0000889D0000}"/>
    <cellStyle name="Normal 375 2" xfId="4734" xr:uid="{00000000-0005-0000-0000-0000899D0000}"/>
    <cellStyle name="Normal 375 2 2" xfId="8606" xr:uid="{00000000-0005-0000-0000-00008A9D0000}"/>
    <cellStyle name="Normal 375 2 2 2" xfId="16402" xr:uid="{00000000-0005-0000-0000-00008B9D0000}"/>
    <cellStyle name="Normal 375 2 2 2 2" xfId="34037" xr:uid="{00000000-0005-0000-0000-00008C9D0000}"/>
    <cellStyle name="Normal 375 2 2 3" xfId="27007" xr:uid="{00000000-0005-0000-0000-00008D9D0000}"/>
    <cellStyle name="Normal 375 2 3" xfId="12894" xr:uid="{00000000-0005-0000-0000-00008E9D0000}"/>
    <cellStyle name="Normal 375 2 3 2" xfId="30544" xr:uid="{00000000-0005-0000-0000-00008F9D0000}"/>
    <cellStyle name="Normal 375 2 4" xfId="24142" xr:uid="{00000000-0005-0000-0000-0000909D0000}"/>
    <cellStyle name="Normal 375 3" xfId="5919" xr:uid="{00000000-0005-0000-0000-0000919D0000}"/>
    <cellStyle name="Normal 375 3 2" xfId="9219" xr:uid="{00000000-0005-0000-0000-0000929D0000}"/>
    <cellStyle name="Normal 375 3 2 2" xfId="17014" xr:uid="{00000000-0005-0000-0000-0000939D0000}"/>
    <cellStyle name="Normal 375 3 2 2 2" xfId="34650" xr:uid="{00000000-0005-0000-0000-0000949D0000}"/>
    <cellStyle name="Normal 375 3 2 3" xfId="27607" xr:uid="{00000000-0005-0000-0000-0000959D0000}"/>
    <cellStyle name="Normal 375 3 3" xfId="13775" xr:uid="{00000000-0005-0000-0000-0000969D0000}"/>
    <cellStyle name="Normal 375 3 3 2" xfId="31415" xr:uid="{00000000-0005-0000-0000-0000979D0000}"/>
    <cellStyle name="Normal 375 3 4" xfId="24742" xr:uid="{00000000-0005-0000-0000-0000989D0000}"/>
    <cellStyle name="Normal 375 4" xfId="6549" xr:uid="{00000000-0005-0000-0000-0000999D0000}"/>
    <cellStyle name="Normal 375 4 2" xfId="9759" xr:uid="{00000000-0005-0000-0000-00009A9D0000}"/>
    <cellStyle name="Normal 375 4 2 2" xfId="17553" xr:uid="{00000000-0005-0000-0000-00009B9D0000}"/>
    <cellStyle name="Normal 375 4 2 2 2" xfId="35190" xr:uid="{00000000-0005-0000-0000-00009C9D0000}"/>
    <cellStyle name="Normal 375 4 2 3" xfId="28143" xr:uid="{00000000-0005-0000-0000-00009D9D0000}"/>
    <cellStyle name="Normal 375 4 3" xfId="14338" xr:uid="{00000000-0005-0000-0000-00009E9D0000}"/>
    <cellStyle name="Normal 375 4 3 2" xfId="31973" xr:uid="{00000000-0005-0000-0000-00009F9D0000}"/>
    <cellStyle name="Normal 375 4 4" xfId="25279" xr:uid="{00000000-0005-0000-0000-0000A09D0000}"/>
    <cellStyle name="Normal 375 5" xfId="7325" xr:uid="{00000000-0005-0000-0000-0000A19D0000}"/>
    <cellStyle name="Normal 375 5 2" xfId="10313" xr:uid="{00000000-0005-0000-0000-0000A29D0000}"/>
    <cellStyle name="Normal 375 5 2 2" xfId="18106" xr:uid="{00000000-0005-0000-0000-0000A39D0000}"/>
    <cellStyle name="Normal 375 5 2 2 2" xfId="35743" xr:uid="{00000000-0005-0000-0000-0000A49D0000}"/>
    <cellStyle name="Normal 375 5 2 3" xfId="28680" xr:uid="{00000000-0005-0000-0000-0000A59D0000}"/>
    <cellStyle name="Normal 375 5 3" xfId="15113" xr:uid="{00000000-0005-0000-0000-0000A69D0000}"/>
    <cellStyle name="Normal 375 5 3 2" xfId="32748" xr:uid="{00000000-0005-0000-0000-0000A79D0000}"/>
    <cellStyle name="Normal 375 5 4" xfId="25817" xr:uid="{00000000-0005-0000-0000-0000A89D0000}"/>
    <cellStyle name="Normal 375 6" xfId="7924" xr:uid="{00000000-0005-0000-0000-0000A99D0000}"/>
    <cellStyle name="Normal 375 6 2" xfId="15721" xr:uid="{00000000-0005-0000-0000-0000AA9D0000}"/>
    <cellStyle name="Normal 375 6 2 2" xfId="33356" xr:uid="{00000000-0005-0000-0000-0000AB9D0000}"/>
    <cellStyle name="Normal 375 6 3" xfId="26340" xr:uid="{00000000-0005-0000-0000-0000AC9D0000}"/>
    <cellStyle name="Normal 375 7" xfId="11881" xr:uid="{00000000-0005-0000-0000-0000AD9D0000}"/>
    <cellStyle name="Normal 375 7 2" xfId="29564" xr:uid="{00000000-0005-0000-0000-0000AE9D0000}"/>
    <cellStyle name="Normal 375 8" xfId="23475" xr:uid="{00000000-0005-0000-0000-0000AF9D0000}"/>
    <cellStyle name="Normal 375 9" xfId="52359" xr:uid="{00000000-0005-0000-0000-0000B09D0000}"/>
    <cellStyle name="Normal 376" xfId="2723" xr:uid="{00000000-0005-0000-0000-0000B19D0000}"/>
    <cellStyle name="Normal 376 2" xfId="4735" xr:uid="{00000000-0005-0000-0000-0000B29D0000}"/>
    <cellStyle name="Normal 376 2 2" xfId="8607" xr:uid="{00000000-0005-0000-0000-0000B39D0000}"/>
    <cellStyle name="Normal 376 2 2 2" xfId="16403" xr:uid="{00000000-0005-0000-0000-0000B49D0000}"/>
    <cellStyle name="Normal 376 2 2 2 2" xfId="34038" xr:uid="{00000000-0005-0000-0000-0000B59D0000}"/>
    <cellStyle name="Normal 376 2 2 3" xfId="27008" xr:uid="{00000000-0005-0000-0000-0000B69D0000}"/>
    <cellStyle name="Normal 376 2 3" xfId="12895" xr:uid="{00000000-0005-0000-0000-0000B79D0000}"/>
    <cellStyle name="Normal 376 2 3 2" xfId="30545" xr:uid="{00000000-0005-0000-0000-0000B89D0000}"/>
    <cellStyle name="Normal 376 2 4" xfId="24143" xr:uid="{00000000-0005-0000-0000-0000B99D0000}"/>
    <cellStyle name="Normal 376 3" xfId="5920" xr:uid="{00000000-0005-0000-0000-0000BA9D0000}"/>
    <cellStyle name="Normal 376 3 2" xfId="9220" xr:uid="{00000000-0005-0000-0000-0000BB9D0000}"/>
    <cellStyle name="Normal 376 3 2 2" xfId="17015" xr:uid="{00000000-0005-0000-0000-0000BC9D0000}"/>
    <cellStyle name="Normal 376 3 2 2 2" xfId="34651" xr:uid="{00000000-0005-0000-0000-0000BD9D0000}"/>
    <cellStyle name="Normal 376 3 2 3" xfId="27608" xr:uid="{00000000-0005-0000-0000-0000BE9D0000}"/>
    <cellStyle name="Normal 376 3 3" xfId="13776" xr:uid="{00000000-0005-0000-0000-0000BF9D0000}"/>
    <cellStyle name="Normal 376 3 3 2" xfId="31416" xr:uid="{00000000-0005-0000-0000-0000C09D0000}"/>
    <cellStyle name="Normal 376 3 4" xfId="24743" xr:uid="{00000000-0005-0000-0000-0000C19D0000}"/>
    <cellStyle name="Normal 376 4" xfId="6550" xr:uid="{00000000-0005-0000-0000-0000C29D0000}"/>
    <cellStyle name="Normal 376 4 2" xfId="9760" xr:uid="{00000000-0005-0000-0000-0000C39D0000}"/>
    <cellStyle name="Normal 376 4 2 2" xfId="17554" xr:uid="{00000000-0005-0000-0000-0000C49D0000}"/>
    <cellStyle name="Normal 376 4 2 2 2" xfId="35191" xr:uid="{00000000-0005-0000-0000-0000C59D0000}"/>
    <cellStyle name="Normal 376 4 2 3" xfId="28144" xr:uid="{00000000-0005-0000-0000-0000C69D0000}"/>
    <cellStyle name="Normal 376 4 3" xfId="14339" xr:uid="{00000000-0005-0000-0000-0000C79D0000}"/>
    <cellStyle name="Normal 376 4 3 2" xfId="31974" xr:uid="{00000000-0005-0000-0000-0000C89D0000}"/>
    <cellStyle name="Normal 376 4 4" xfId="25280" xr:uid="{00000000-0005-0000-0000-0000C99D0000}"/>
    <cellStyle name="Normal 376 5" xfId="7326" xr:uid="{00000000-0005-0000-0000-0000CA9D0000}"/>
    <cellStyle name="Normal 376 5 2" xfId="10314" xr:uid="{00000000-0005-0000-0000-0000CB9D0000}"/>
    <cellStyle name="Normal 376 5 2 2" xfId="18107" xr:uid="{00000000-0005-0000-0000-0000CC9D0000}"/>
    <cellStyle name="Normal 376 5 2 2 2" xfId="35744" xr:uid="{00000000-0005-0000-0000-0000CD9D0000}"/>
    <cellStyle name="Normal 376 5 2 3" xfId="28681" xr:uid="{00000000-0005-0000-0000-0000CE9D0000}"/>
    <cellStyle name="Normal 376 5 3" xfId="15114" xr:uid="{00000000-0005-0000-0000-0000CF9D0000}"/>
    <cellStyle name="Normal 376 5 3 2" xfId="32749" xr:uid="{00000000-0005-0000-0000-0000D09D0000}"/>
    <cellStyle name="Normal 376 5 4" xfId="25818" xr:uid="{00000000-0005-0000-0000-0000D19D0000}"/>
    <cellStyle name="Normal 376 6" xfId="7925" xr:uid="{00000000-0005-0000-0000-0000D29D0000}"/>
    <cellStyle name="Normal 376 6 2" xfId="15722" xr:uid="{00000000-0005-0000-0000-0000D39D0000}"/>
    <cellStyle name="Normal 376 6 2 2" xfId="33357" xr:uid="{00000000-0005-0000-0000-0000D49D0000}"/>
    <cellStyle name="Normal 376 6 3" xfId="26341" xr:uid="{00000000-0005-0000-0000-0000D59D0000}"/>
    <cellStyle name="Normal 376 7" xfId="11882" xr:uid="{00000000-0005-0000-0000-0000D69D0000}"/>
    <cellStyle name="Normal 376 7 2" xfId="29565" xr:uid="{00000000-0005-0000-0000-0000D79D0000}"/>
    <cellStyle name="Normal 376 8" xfId="23476" xr:uid="{00000000-0005-0000-0000-0000D89D0000}"/>
    <cellStyle name="Normal 376 9" xfId="52360" xr:uid="{00000000-0005-0000-0000-0000D99D0000}"/>
    <cellStyle name="Normal 377" xfId="2724" xr:uid="{00000000-0005-0000-0000-0000DA9D0000}"/>
    <cellStyle name="Normal 377 2" xfId="4736" xr:uid="{00000000-0005-0000-0000-0000DB9D0000}"/>
    <cellStyle name="Normal 377 3" xfId="52361" xr:uid="{00000000-0005-0000-0000-0000DC9D0000}"/>
    <cellStyle name="Normal 378" xfId="2725" xr:uid="{00000000-0005-0000-0000-0000DD9D0000}"/>
    <cellStyle name="Normal 378 2" xfId="4737" xr:uid="{00000000-0005-0000-0000-0000DE9D0000}"/>
    <cellStyle name="Normal 378 3" xfId="52362" xr:uid="{00000000-0005-0000-0000-0000DF9D0000}"/>
    <cellStyle name="Normal 379" xfId="2726" xr:uid="{00000000-0005-0000-0000-0000E09D0000}"/>
    <cellStyle name="Normal 379 2" xfId="4738" xr:uid="{00000000-0005-0000-0000-0000E19D0000}"/>
    <cellStyle name="Normal 379 3" xfId="52363" xr:uid="{00000000-0005-0000-0000-0000E29D0000}"/>
    <cellStyle name="Normal 38" xfId="2727" xr:uid="{00000000-0005-0000-0000-0000E39D0000}"/>
    <cellStyle name="Normal 38 2" xfId="4739" xr:uid="{00000000-0005-0000-0000-0000E49D0000}"/>
    <cellStyle name="Normal 38 2 2" xfId="22778" xr:uid="{00000000-0005-0000-0000-0000E59D0000}"/>
    <cellStyle name="Normal 38 2 2 2" xfId="38985" xr:uid="{00000000-0005-0000-0000-0000E69D0000}"/>
    <cellStyle name="Normal 38 3" xfId="22994" xr:uid="{00000000-0005-0000-0000-0000E79D0000}"/>
    <cellStyle name="Normal 38 4" xfId="22569" xr:uid="{00000000-0005-0000-0000-0000E89D0000}"/>
    <cellStyle name="Normal 38 4 2" xfId="38880" xr:uid="{00000000-0005-0000-0000-0000E99D0000}"/>
    <cellStyle name="Normal 38 5" xfId="52364" xr:uid="{00000000-0005-0000-0000-0000EA9D0000}"/>
    <cellStyle name="Normal 380" xfId="2728" xr:uid="{00000000-0005-0000-0000-0000EB9D0000}"/>
    <cellStyle name="Normal 380 2" xfId="4740" xr:uid="{00000000-0005-0000-0000-0000EC9D0000}"/>
    <cellStyle name="Normal 380 3" xfId="52365" xr:uid="{00000000-0005-0000-0000-0000ED9D0000}"/>
    <cellStyle name="Normal 381" xfId="2729" xr:uid="{00000000-0005-0000-0000-0000EE9D0000}"/>
    <cellStyle name="Normal 381 2" xfId="4741" xr:uid="{00000000-0005-0000-0000-0000EF9D0000}"/>
    <cellStyle name="Normal 381 3" xfId="52366" xr:uid="{00000000-0005-0000-0000-0000F09D0000}"/>
    <cellStyle name="Normal 382" xfId="2730" xr:uid="{00000000-0005-0000-0000-0000F19D0000}"/>
    <cellStyle name="Normal 382 2" xfId="4742" xr:uid="{00000000-0005-0000-0000-0000F29D0000}"/>
    <cellStyle name="Normal 382 3" xfId="52367" xr:uid="{00000000-0005-0000-0000-0000F39D0000}"/>
    <cellStyle name="Normal 383" xfId="2731" xr:uid="{00000000-0005-0000-0000-0000F49D0000}"/>
    <cellStyle name="Normal 383 2" xfId="4743" xr:uid="{00000000-0005-0000-0000-0000F59D0000}"/>
    <cellStyle name="Normal 383 3" xfId="52368" xr:uid="{00000000-0005-0000-0000-0000F69D0000}"/>
    <cellStyle name="Normal 384" xfId="2732" xr:uid="{00000000-0005-0000-0000-0000F79D0000}"/>
    <cellStyle name="Normal 384 2" xfId="4744" xr:uid="{00000000-0005-0000-0000-0000F89D0000}"/>
    <cellStyle name="Normal 384 2 2" xfId="8608" xr:uid="{00000000-0005-0000-0000-0000F99D0000}"/>
    <cellStyle name="Normal 384 2 2 2" xfId="16404" xr:uid="{00000000-0005-0000-0000-0000FA9D0000}"/>
    <cellStyle name="Normal 384 2 2 2 2" xfId="34039" xr:uid="{00000000-0005-0000-0000-0000FB9D0000}"/>
    <cellStyle name="Normal 384 2 2 3" xfId="27009" xr:uid="{00000000-0005-0000-0000-0000FC9D0000}"/>
    <cellStyle name="Normal 384 2 3" xfId="12897" xr:uid="{00000000-0005-0000-0000-0000FD9D0000}"/>
    <cellStyle name="Normal 384 2 3 2" xfId="30547" xr:uid="{00000000-0005-0000-0000-0000FE9D0000}"/>
    <cellStyle name="Normal 384 2 4" xfId="24144" xr:uid="{00000000-0005-0000-0000-0000FF9D0000}"/>
    <cellStyle name="Normal 384 3" xfId="5921" xr:uid="{00000000-0005-0000-0000-0000009E0000}"/>
    <cellStyle name="Normal 384 3 2" xfId="9221" xr:uid="{00000000-0005-0000-0000-0000019E0000}"/>
    <cellStyle name="Normal 384 3 2 2" xfId="17016" xr:uid="{00000000-0005-0000-0000-0000029E0000}"/>
    <cellStyle name="Normal 384 3 2 2 2" xfId="34652" xr:uid="{00000000-0005-0000-0000-0000039E0000}"/>
    <cellStyle name="Normal 384 3 2 3" xfId="27609" xr:uid="{00000000-0005-0000-0000-0000049E0000}"/>
    <cellStyle name="Normal 384 3 3" xfId="13777" xr:uid="{00000000-0005-0000-0000-0000059E0000}"/>
    <cellStyle name="Normal 384 3 3 2" xfId="31417" xr:uid="{00000000-0005-0000-0000-0000069E0000}"/>
    <cellStyle name="Normal 384 3 4" xfId="24744" xr:uid="{00000000-0005-0000-0000-0000079E0000}"/>
    <cellStyle name="Normal 384 4" xfId="6551" xr:uid="{00000000-0005-0000-0000-0000089E0000}"/>
    <cellStyle name="Normal 384 4 2" xfId="9761" xr:uid="{00000000-0005-0000-0000-0000099E0000}"/>
    <cellStyle name="Normal 384 4 2 2" xfId="17555" xr:uid="{00000000-0005-0000-0000-00000A9E0000}"/>
    <cellStyle name="Normal 384 4 2 2 2" xfId="35192" xr:uid="{00000000-0005-0000-0000-00000B9E0000}"/>
    <cellStyle name="Normal 384 4 2 3" xfId="28145" xr:uid="{00000000-0005-0000-0000-00000C9E0000}"/>
    <cellStyle name="Normal 384 4 3" xfId="14340" xr:uid="{00000000-0005-0000-0000-00000D9E0000}"/>
    <cellStyle name="Normal 384 4 3 2" xfId="31975" xr:uid="{00000000-0005-0000-0000-00000E9E0000}"/>
    <cellStyle name="Normal 384 4 4" xfId="25281" xr:uid="{00000000-0005-0000-0000-00000F9E0000}"/>
    <cellStyle name="Normal 384 5" xfId="7327" xr:uid="{00000000-0005-0000-0000-0000109E0000}"/>
    <cellStyle name="Normal 384 5 2" xfId="10315" xr:uid="{00000000-0005-0000-0000-0000119E0000}"/>
    <cellStyle name="Normal 384 5 2 2" xfId="18108" xr:uid="{00000000-0005-0000-0000-0000129E0000}"/>
    <cellStyle name="Normal 384 5 2 2 2" xfId="35745" xr:uid="{00000000-0005-0000-0000-0000139E0000}"/>
    <cellStyle name="Normal 384 5 2 3" xfId="28682" xr:uid="{00000000-0005-0000-0000-0000149E0000}"/>
    <cellStyle name="Normal 384 5 3" xfId="15115" xr:uid="{00000000-0005-0000-0000-0000159E0000}"/>
    <cellStyle name="Normal 384 5 3 2" xfId="32750" xr:uid="{00000000-0005-0000-0000-0000169E0000}"/>
    <cellStyle name="Normal 384 5 4" xfId="25819" xr:uid="{00000000-0005-0000-0000-0000179E0000}"/>
    <cellStyle name="Normal 384 6" xfId="7926" xr:uid="{00000000-0005-0000-0000-0000189E0000}"/>
    <cellStyle name="Normal 384 6 2" xfId="15723" xr:uid="{00000000-0005-0000-0000-0000199E0000}"/>
    <cellStyle name="Normal 384 6 2 2" xfId="33358" xr:uid="{00000000-0005-0000-0000-00001A9E0000}"/>
    <cellStyle name="Normal 384 6 3" xfId="26342" xr:uid="{00000000-0005-0000-0000-00001B9E0000}"/>
    <cellStyle name="Normal 384 7" xfId="11883" xr:uid="{00000000-0005-0000-0000-00001C9E0000}"/>
    <cellStyle name="Normal 384 7 2" xfId="29566" xr:uid="{00000000-0005-0000-0000-00001D9E0000}"/>
    <cellStyle name="Normal 384 8" xfId="23477" xr:uid="{00000000-0005-0000-0000-00001E9E0000}"/>
    <cellStyle name="Normal 384 9" xfId="52369" xr:uid="{00000000-0005-0000-0000-00001F9E0000}"/>
    <cellStyle name="Normal 385" xfId="2733" xr:uid="{00000000-0005-0000-0000-0000209E0000}"/>
    <cellStyle name="Normal 385 2" xfId="4745" xr:uid="{00000000-0005-0000-0000-0000219E0000}"/>
    <cellStyle name="Normal 385 3" xfId="52370" xr:uid="{00000000-0005-0000-0000-0000229E0000}"/>
    <cellStyle name="Normal 386" xfId="2734" xr:uid="{00000000-0005-0000-0000-0000239E0000}"/>
    <cellStyle name="Normal 386 2" xfId="4746" xr:uid="{00000000-0005-0000-0000-0000249E0000}"/>
    <cellStyle name="Normal 386 3" xfId="52371" xr:uid="{00000000-0005-0000-0000-0000259E0000}"/>
    <cellStyle name="Normal 387" xfId="2735" xr:uid="{00000000-0005-0000-0000-0000269E0000}"/>
    <cellStyle name="Normal 387 2" xfId="4747" xr:uid="{00000000-0005-0000-0000-0000279E0000}"/>
    <cellStyle name="Normal 387 3" xfId="52372" xr:uid="{00000000-0005-0000-0000-0000289E0000}"/>
    <cellStyle name="Normal 388" xfId="2736" xr:uid="{00000000-0005-0000-0000-0000299E0000}"/>
    <cellStyle name="Normal 388 2" xfId="4748" xr:uid="{00000000-0005-0000-0000-00002A9E0000}"/>
    <cellStyle name="Normal 388 3" xfId="52373" xr:uid="{00000000-0005-0000-0000-00002B9E0000}"/>
    <cellStyle name="Normal 389" xfId="2737" xr:uid="{00000000-0005-0000-0000-00002C9E0000}"/>
    <cellStyle name="Normal 389 2" xfId="4749" xr:uid="{00000000-0005-0000-0000-00002D9E0000}"/>
    <cellStyle name="Normal 389 3" xfId="52374" xr:uid="{00000000-0005-0000-0000-00002E9E0000}"/>
    <cellStyle name="Normal 39" xfId="2738" xr:uid="{00000000-0005-0000-0000-00002F9E0000}"/>
    <cellStyle name="Normal 39 2" xfId="4750" xr:uid="{00000000-0005-0000-0000-0000309E0000}"/>
    <cellStyle name="Normal 39 2 2" xfId="22779" xr:uid="{00000000-0005-0000-0000-0000319E0000}"/>
    <cellStyle name="Normal 39 2 2 2" xfId="38986" xr:uid="{00000000-0005-0000-0000-0000329E0000}"/>
    <cellStyle name="Normal 39 3" xfId="22995" xr:uid="{00000000-0005-0000-0000-0000339E0000}"/>
    <cellStyle name="Normal 39 4" xfId="22570" xr:uid="{00000000-0005-0000-0000-0000349E0000}"/>
    <cellStyle name="Normal 39 4 2" xfId="38881" xr:uid="{00000000-0005-0000-0000-0000359E0000}"/>
    <cellStyle name="Normal 39 5" xfId="52375" xr:uid="{00000000-0005-0000-0000-0000369E0000}"/>
    <cellStyle name="Normal 390" xfId="2739" xr:uid="{00000000-0005-0000-0000-0000379E0000}"/>
    <cellStyle name="Normal 390 2" xfId="4751" xr:uid="{00000000-0005-0000-0000-0000389E0000}"/>
    <cellStyle name="Normal 390 2 2" xfId="8609" xr:uid="{00000000-0005-0000-0000-0000399E0000}"/>
    <cellStyle name="Normal 390 2 2 2" xfId="16405" xr:uid="{00000000-0005-0000-0000-00003A9E0000}"/>
    <cellStyle name="Normal 390 2 2 2 2" xfId="34040" xr:uid="{00000000-0005-0000-0000-00003B9E0000}"/>
    <cellStyle name="Normal 390 2 2 3" xfId="27010" xr:uid="{00000000-0005-0000-0000-00003C9E0000}"/>
    <cellStyle name="Normal 390 2 3" xfId="12900" xr:uid="{00000000-0005-0000-0000-00003D9E0000}"/>
    <cellStyle name="Normal 390 2 3 2" xfId="30550" xr:uid="{00000000-0005-0000-0000-00003E9E0000}"/>
    <cellStyle name="Normal 390 2 4" xfId="24145" xr:uid="{00000000-0005-0000-0000-00003F9E0000}"/>
    <cellStyle name="Normal 390 3" xfId="5922" xr:uid="{00000000-0005-0000-0000-0000409E0000}"/>
    <cellStyle name="Normal 390 3 2" xfId="9222" xr:uid="{00000000-0005-0000-0000-0000419E0000}"/>
    <cellStyle name="Normal 390 3 2 2" xfId="17017" xr:uid="{00000000-0005-0000-0000-0000429E0000}"/>
    <cellStyle name="Normal 390 3 2 2 2" xfId="34653" xr:uid="{00000000-0005-0000-0000-0000439E0000}"/>
    <cellStyle name="Normal 390 3 2 3" xfId="27610" xr:uid="{00000000-0005-0000-0000-0000449E0000}"/>
    <cellStyle name="Normal 390 3 3" xfId="13778" xr:uid="{00000000-0005-0000-0000-0000459E0000}"/>
    <cellStyle name="Normal 390 3 3 2" xfId="31418" xr:uid="{00000000-0005-0000-0000-0000469E0000}"/>
    <cellStyle name="Normal 390 3 4" xfId="24745" xr:uid="{00000000-0005-0000-0000-0000479E0000}"/>
    <cellStyle name="Normal 390 4" xfId="6552" xr:uid="{00000000-0005-0000-0000-0000489E0000}"/>
    <cellStyle name="Normal 390 4 2" xfId="9762" xr:uid="{00000000-0005-0000-0000-0000499E0000}"/>
    <cellStyle name="Normal 390 4 2 2" xfId="17556" xr:uid="{00000000-0005-0000-0000-00004A9E0000}"/>
    <cellStyle name="Normal 390 4 2 2 2" xfId="35193" xr:uid="{00000000-0005-0000-0000-00004B9E0000}"/>
    <cellStyle name="Normal 390 4 2 3" xfId="28146" xr:uid="{00000000-0005-0000-0000-00004C9E0000}"/>
    <cellStyle name="Normal 390 4 3" xfId="14341" xr:uid="{00000000-0005-0000-0000-00004D9E0000}"/>
    <cellStyle name="Normal 390 4 3 2" xfId="31976" xr:uid="{00000000-0005-0000-0000-00004E9E0000}"/>
    <cellStyle name="Normal 390 4 4" xfId="25282" xr:uid="{00000000-0005-0000-0000-00004F9E0000}"/>
    <cellStyle name="Normal 390 5" xfId="7328" xr:uid="{00000000-0005-0000-0000-0000509E0000}"/>
    <cellStyle name="Normal 390 5 2" xfId="10316" xr:uid="{00000000-0005-0000-0000-0000519E0000}"/>
    <cellStyle name="Normal 390 5 2 2" xfId="18109" xr:uid="{00000000-0005-0000-0000-0000529E0000}"/>
    <cellStyle name="Normal 390 5 2 2 2" xfId="35746" xr:uid="{00000000-0005-0000-0000-0000539E0000}"/>
    <cellStyle name="Normal 390 5 2 3" xfId="28683" xr:uid="{00000000-0005-0000-0000-0000549E0000}"/>
    <cellStyle name="Normal 390 5 3" xfId="15116" xr:uid="{00000000-0005-0000-0000-0000559E0000}"/>
    <cellStyle name="Normal 390 5 3 2" xfId="32751" xr:uid="{00000000-0005-0000-0000-0000569E0000}"/>
    <cellStyle name="Normal 390 5 4" xfId="25820" xr:uid="{00000000-0005-0000-0000-0000579E0000}"/>
    <cellStyle name="Normal 390 6" xfId="7927" xr:uid="{00000000-0005-0000-0000-0000589E0000}"/>
    <cellStyle name="Normal 390 6 2" xfId="15724" xr:uid="{00000000-0005-0000-0000-0000599E0000}"/>
    <cellStyle name="Normal 390 6 2 2" xfId="33359" xr:uid="{00000000-0005-0000-0000-00005A9E0000}"/>
    <cellStyle name="Normal 390 6 3" xfId="26343" xr:uid="{00000000-0005-0000-0000-00005B9E0000}"/>
    <cellStyle name="Normal 390 7" xfId="11886" xr:uid="{00000000-0005-0000-0000-00005C9E0000}"/>
    <cellStyle name="Normal 390 7 2" xfId="29569" xr:uid="{00000000-0005-0000-0000-00005D9E0000}"/>
    <cellStyle name="Normal 390 8" xfId="23478" xr:uid="{00000000-0005-0000-0000-00005E9E0000}"/>
    <cellStyle name="Normal 390 9" xfId="52376" xr:uid="{00000000-0005-0000-0000-00005F9E0000}"/>
    <cellStyle name="Normal 391" xfId="2740" xr:uid="{00000000-0005-0000-0000-0000609E0000}"/>
    <cellStyle name="Normal 391 2" xfId="4752" xr:uid="{00000000-0005-0000-0000-0000619E0000}"/>
    <cellStyle name="Normal 391 3" xfId="52377" xr:uid="{00000000-0005-0000-0000-0000629E0000}"/>
    <cellStyle name="Normal 392" xfId="2741" xr:uid="{00000000-0005-0000-0000-0000639E0000}"/>
    <cellStyle name="Normal 392 2" xfId="4753" xr:uid="{00000000-0005-0000-0000-0000649E0000}"/>
    <cellStyle name="Normal 392 3" xfId="52378" xr:uid="{00000000-0005-0000-0000-0000659E0000}"/>
    <cellStyle name="Normal 393" xfId="2742" xr:uid="{00000000-0005-0000-0000-0000669E0000}"/>
    <cellStyle name="Normal 393 2" xfId="4754" xr:uid="{00000000-0005-0000-0000-0000679E0000}"/>
    <cellStyle name="Normal 393 3" xfId="52379" xr:uid="{00000000-0005-0000-0000-0000689E0000}"/>
    <cellStyle name="Normal 394" xfId="2743" xr:uid="{00000000-0005-0000-0000-0000699E0000}"/>
    <cellStyle name="Normal 394 2" xfId="4755" xr:uid="{00000000-0005-0000-0000-00006A9E0000}"/>
    <cellStyle name="Normal 394 3" xfId="52380" xr:uid="{00000000-0005-0000-0000-00006B9E0000}"/>
    <cellStyle name="Normal 395" xfId="2744" xr:uid="{00000000-0005-0000-0000-00006C9E0000}"/>
    <cellStyle name="Normal 395 2" xfId="4756" xr:uid="{00000000-0005-0000-0000-00006D9E0000}"/>
    <cellStyle name="Normal 395 3" xfId="52381" xr:uid="{00000000-0005-0000-0000-00006E9E0000}"/>
    <cellStyle name="Normal 396" xfId="2745" xr:uid="{00000000-0005-0000-0000-00006F9E0000}"/>
    <cellStyle name="Normal 396 2" xfId="4757" xr:uid="{00000000-0005-0000-0000-0000709E0000}"/>
    <cellStyle name="Normal 396 2 2" xfId="8610" xr:uid="{00000000-0005-0000-0000-0000719E0000}"/>
    <cellStyle name="Normal 396 2 2 2" xfId="16406" xr:uid="{00000000-0005-0000-0000-0000729E0000}"/>
    <cellStyle name="Normal 396 2 2 2 2" xfId="34041" xr:uid="{00000000-0005-0000-0000-0000739E0000}"/>
    <cellStyle name="Normal 396 2 2 3" xfId="27011" xr:uid="{00000000-0005-0000-0000-0000749E0000}"/>
    <cellStyle name="Normal 396 2 3" xfId="12901" xr:uid="{00000000-0005-0000-0000-0000759E0000}"/>
    <cellStyle name="Normal 396 2 3 2" xfId="30551" xr:uid="{00000000-0005-0000-0000-0000769E0000}"/>
    <cellStyle name="Normal 396 2 4" xfId="24146" xr:uid="{00000000-0005-0000-0000-0000779E0000}"/>
    <cellStyle name="Normal 396 3" xfId="5923" xr:uid="{00000000-0005-0000-0000-0000789E0000}"/>
    <cellStyle name="Normal 396 3 2" xfId="9223" xr:uid="{00000000-0005-0000-0000-0000799E0000}"/>
    <cellStyle name="Normal 396 3 2 2" xfId="17018" xr:uid="{00000000-0005-0000-0000-00007A9E0000}"/>
    <cellStyle name="Normal 396 3 2 2 2" xfId="34654" xr:uid="{00000000-0005-0000-0000-00007B9E0000}"/>
    <cellStyle name="Normal 396 3 2 3" xfId="27611" xr:uid="{00000000-0005-0000-0000-00007C9E0000}"/>
    <cellStyle name="Normal 396 3 3" xfId="13779" xr:uid="{00000000-0005-0000-0000-00007D9E0000}"/>
    <cellStyle name="Normal 396 3 3 2" xfId="31419" xr:uid="{00000000-0005-0000-0000-00007E9E0000}"/>
    <cellStyle name="Normal 396 3 4" xfId="24746" xr:uid="{00000000-0005-0000-0000-00007F9E0000}"/>
    <cellStyle name="Normal 396 4" xfId="6553" xr:uid="{00000000-0005-0000-0000-0000809E0000}"/>
    <cellStyle name="Normal 396 4 2" xfId="9763" xr:uid="{00000000-0005-0000-0000-0000819E0000}"/>
    <cellStyle name="Normal 396 4 2 2" xfId="17557" xr:uid="{00000000-0005-0000-0000-0000829E0000}"/>
    <cellStyle name="Normal 396 4 2 2 2" xfId="35194" xr:uid="{00000000-0005-0000-0000-0000839E0000}"/>
    <cellStyle name="Normal 396 4 2 3" xfId="28147" xr:uid="{00000000-0005-0000-0000-0000849E0000}"/>
    <cellStyle name="Normal 396 4 3" xfId="14342" xr:uid="{00000000-0005-0000-0000-0000859E0000}"/>
    <cellStyle name="Normal 396 4 3 2" xfId="31977" xr:uid="{00000000-0005-0000-0000-0000869E0000}"/>
    <cellStyle name="Normal 396 4 4" xfId="25283" xr:uid="{00000000-0005-0000-0000-0000879E0000}"/>
    <cellStyle name="Normal 396 5" xfId="7329" xr:uid="{00000000-0005-0000-0000-0000889E0000}"/>
    <cellStyle name="Normal 396 5 2" xfId="10317" xr:uid="{00000000-0005-0000-0000-0000899E0000}"/>
    <cellStyle name="Normal 396 5 2 2" xfId="18110" xr:uid="{00000000-0005-0000-0000-00008A9E0000}"/>
    <cellStyle name="Normal 396 5 2 2 2" xfId="35747" xr:uid="{00000000-0005-0000-0000-00008B9E0000}"/>
    <cellStyle name="Normal 396 5 2 3" xfId="28684" xr:uid="{00000000-0005-0000-0000-00008C9E0000}"/>
    <cellStyle name="Normal 396 5 3" xfId="15117" xr:uid="{00000000-0005-0000-0000-00008D9E0000}"/>
    <cellStyle name="Normal 396 5 3 2" xfId="32752" xr:uid="{00000000-0005-0000-0000-00008E9E0000}"/>
    <cellStyle name="Normal 396 5 4" xfId="25821" xr:uid="{00000000-0005-0000-0000-00008F9E0000}"/>
    <cellStyle name="Normal 396 6" xfId="7928" xr:uid="{00000000-0005-0000-0000-0000909E0000}"/>
    <cellStyle name="Normal 396 6 2" xfId="15725" xr:uid="{00000000-0005-0000-0000-0000919E0000}"/>
    <cellStyle name="Normal 396 6 2 2" xfId="33360" xr:uid="{00000000-0005-0000-0000-0000929E0000}"/>
    <cellStyle name="Normal 396 6 3" xfId="26344" xr:uid="{00000000-0005-0000-0000-0000939E0000}"/>
    <cellStyle name="Normal 396 7" xfId="11887" xr:uid="{00000000-0005-0000-0000-0000949E0000}"/>
    <cellStyle name="Normal 396 7 2" xfId="29570" xr:uid="{00000000-0005-0000-0000-0000959E0000}"/>
    <cellStyle name="Normal 396 8" xfId="23479" xr:uid="{00000000-0005-0000-0000-0000969E0000}"/>
    <cellStyle name="Normal 396 9" xfId="52382" xr:uid="{00000000-0005-0000-0000-0000979E0000}"/>
    <cellStyle name="Normal 397" xfId="2746" xr:uid="{00000000-0005-0000-0000-0000989E0000}"/>
    <cellStyle name="Normal 397 2" xfId="4758" xr:uid="{00000000-0005-0000-0000-0000999E0000}"/>
    <cellStyle name="Normal 397 3" xfId="52383" xr:uid="{00000000-0005-0000-0000-00009A9E0000}"/>
    <cellStyle name="Normal 398" xfId="2747" xr:uid="{00000000-0005-0000-0000-00009B9E0000}"/>
    <cellStyle name="Normal 398 2" xfId="4759" xr:uid="{00000000-0005-0000-0000-00009C9E0000}"/>
    <cellStyle name="Normal 398 3" xfId="52384" xr:uid="{00000000-0005-0000-0000-00009D9E0000}"/>
    <cellStyle name="Normal 399" xfId="2748" xr:uid="{00000000-0005-0000-0000-00009E9E0000}"/>
    <cellStyle name="Normal 399 2" xfId="4760" xr:uid="{00000000-0005-0000-0000-00009F9E0000}"/>
    <cellStyle name="Normal 399 2 2" xfId="8611" xr:uid="{00000000-0005-0000-0000-0000A09E0000}"/>
    <cellStyle name="Normal 399 2 2 2" xfId="16407" xr:uid="{00000000-0005-0000-0000-0000A19E0000}"/>
    <cellStyle name="Normal 399 2 2 2 2" xfId="34042" xr:uid="{00000000-0005-0000-0000-0000A29E0000}"/>
    <cellStyle name="Normal 399 2 2 3" xfId="27012" xr:uid="{00000000-0005-0000-0000-0000A39E0000}"/>
    <cellStyle name="Normal 399 2 3" xfId="12902" xr:uid="{00000000-0005-0000-0000-0000A49E0000}"/>
    <cellStyle name="Normal 399 2 3 2" xfId="30552" xr:uid="{00000000-0005-0000-0000-0000A59E0000}"/>
    <cellStyle name="Normal 399 2 4" xfId="24147" xr:uid="{00000000-0005-0000-0000-0000A69E0000}"/>
    <cellStyle name="Normal 399 3" xfId="5924" xr:uid="{00000000-0005-0000-0000-0000A79E0000}"/>
    <cellStyle name="Normal 399 3 2" xfId="9224" xr:uid="{00000000-0005-0000-0000-0000A89E0000}"/>
    <cellStyle name="Normal 399 3 2 2" xfId="17019" xr:uid="{00000000-0005-0000-0000-0000A99E0000}"/>
    <cellStyle name="Normal 399 3 2 2 2" xfId="34655" xr:uid="{00000000-0005-0000-0000-0000AA9E0000}"/>
    <cellStyle name="Normal 399 3 2 3" xfId="27612" xr:uid="{00000000-0005-0000-0000-0000AB9E0000}"/>
    <cellStyle name="Normal 399 3 3" xfId="13780" xr:uid="{00000000-0005-0000-0000-0000AC9E0000}"/>
    <cellStyle name="Normal 399 3 3 2" xfId="31420" xr:uid="{00000000-0005-0000-0000-0000AD9E0000}"/>
    <cellStyle name="Normal 399 3 4" xfId="24747" xr:uid="{00000000-0005-0000-0000-0000AE9E0000}"/>
    <cellStyle name="Normal 399 4" xfId="6554" xr:uid="{00000000-0005-0000-0000-0000AF9E0000}"/>
    <cellStyle name="Normal 399 4 2" xfId="9764" xr:uid="{00000000-0005-0000-0000-0000B09E0000}"/>
    <cellStyle name="Normal 399 4 2 2" xfId="17558" xr:uid="{00000000-0005-0000-0000-0000B19E0000}"/>
    <cellStyle name="Normal 399 4 2 2 2" xfId="35195" xr:uid="{00000000-0005-0000-0000-0000B29E0000}"/>
    <cellStyle name="Normal 399 4 2 3" xfId="28148" xr:uid="{00000000-0005-0000-0000-0000B39E0000}"/>
    <cellStyle name="Normal 399 4 3" xfId="14343" xr:uid="{00000000-0005-0000-0000-0000B49E0000}"/>
    <cellStyle name="Normal 399 4 3 2" xfId="31978" xr:uid="{00000000-0005-0000-0000-0000B59E0000}"/>
    <cellStyle name="Normal 399 4 4" xfId="25284" xr:uid="{00000000-0005-0000-0000-0000B69E0000}"/>
    <cellStyle name="Normal 399 5" xfId="7330" xr:uid="{00000000-0005-0000-0000-0000B79E0000}"/>
    <cellStyle name="Normal 399 5 2" xfId="10318" xr:uid="{00000000-0005-0000-0000-0000B89E0000}"/>
    <cellStyle name="Normal 399 5 2 2" xfId="18111" xr:uid="{00000000-0005-0000-0000-0000B99E0000}"/>
    <cellStyle name="Normal 399 5 2 2 2" xfId="35748" xr:uid="{00000000-0005-0000-0000-0000BA9E0000}"/>
    <cellStyle name="Normal 399 5 2 3" xfId="28685" xr:uid="{00000000-0005-0000-0000-0000BB9E0000}"/>
    <cellStyle name="Normal 399 5 3" xfId="15118" xr:uid="{00000000-0005-0000-0000-0000BC9E0000}"/>
    <cellStyle name="Normal 399 5 3 2" xfId="32753" xr:uid="{00000000-0005-0000-0000-0000BD9E0000}"/>
    <cellStyle name="Normal 399 5 4" xfId="25822" xr:uid="{00000000-0005-0000-0000-0000BE9E0000}"/>
    <cellStyle name="Normal 399 6" xfId="7929" xr:uid="{00000000-0005-0000-0000-0000BF9E0000}"/>
    <cellStyle name="Normal 399 6 2" xfId="15726" xr:uid="{00000000-0005-0000-0000-0000C09E0000}"/>
    <cellStyle name="Normal 399 6 2 2" xfId="33361" xr:uid="{00000000-0005-0000-0000-0000C19E0000}"/>
    <cellStyle name="Normal 399 6 3" xfId="26345" xr:uid="{00000000-0005-0000-0000-0000C29E0000}"/>
    <cellStyle name="Normal 399 7" xfId="11888" xr:uid="{00000000-0005-0000-0000-0000C39E0000}"/>
    <cellStyle name="Normal 399 7 2" xfId="29571" xr:uid="{00000000-0005-0000-0000-0000C49E0000}"/>
    <cellStyle name="Normal 399 8" xfId="23480" xr:uid="{00000000-0005-0000-0000-0000C59E0000}"/>
    <cellStyle name="Normal 399 9" xfId="52385" xr:uid="{00000000-0005-0000-0000-0000C69E0000}"/>
    <cellStyle name="Normal 4" xfId="121" xr:uid="{00000000-0005-0000-0000-0000C79E0000}"/>
    <cellStyle name="Normal 4 2" xfId="122" xr:uid="{00000000-0005-0000-0000-0000C89E0000}"/>
    <cellStyle name="Normal 4 2 2" xfId="123" xr:uid="{00000000-0005-0000-0000-0000C99E0000}"/>
    <cellStyle name="Normal 4 2 3" xfId="52387" xr:uid="{00000000-0005-0000-0000-0000CA9E0000}"/>
    <cellStyle name="Normal 4 3" xfId="124" xr:uid="{00000000-0005-0000-0000-0000CB9E0000}"/>
    <cellStyle name="Normal 4 3 2" xfId="125" xr:uid="{00000000-0005-0000-0000-0000CC9E0000}"/>
    <cellStyle name="Normal 4 4" xfId="126" xr:uid="{00000000-0005-0000-0000-0000CD9E0000}"/>
    <cellStyle name="Normal 4 5" xfId="52386" xr:uid="{00000000-0005-0000-0000-0000CE9E0000}"/>
    <cellStyle name="Normal 40" xfId="2749" xr:uid="{00000000-0005-0000-0000-0000CF9E0000}"/>
    <cellStyle name="Normal 40 2" xfId="4761" xr:uid="{00000000-0005-0000-0000-0000D09E0000}"/>
    <cellStyle name="Normal 40 2 2" xfId="22780" xr:uid="{00000000-0005-0000-0000-0000D19E0000}"/>
    <cellStyle name="Normal 40 2 2 2" xfId="38987" xr:uid="{00000000-0005-0000-0000-0000D29E0000}"/>
    <cellStyle name="Normal 40 3" xfId="22996" xr:uid="{00000000-0005-0000-0000-0000D39E0000}"/>
    <cellStyle name="Normal 40 4" xfId="22571" xr:uid="{00000000-0005-0000-0000-0000D49E0000}"/>
    <cellStyle name="Normal 40 4 2" xfId="38882" xr:uid="{00000000-0005-0000-0000-0000D59E0000}"/>
    <cellStyle name="Normal 40 5" xfId="52388" xr:uid="{00000000-0005-0000-0000-0000D69E0000}"/>
    <cellStyle name="Normal 400" xfId="2750" xr:uid="{00000000-0005-0000-0000-0000D79E0000}"/>
    <cellStyle name="Normal 400 2" xfId="4762" xr:uid="{00000000-0005-0000-0000-0000D89E0000}"/>
    <cellStyle name="Normal 400 2 2" xfId="8612" xr:uid="{00000000-0005-0000-0000-0000D99E0000}"/>
    <cellStyle name="Normal 400 2 2 2" xfId="16408" xr:uid="{00000000-0005-0000-0000-0000DA9E0000}"/>
    <cellStyle name="Normal 400 2 2 2 2" xfId="34043" xr:uid="{00000000-0005-0000-0000-0000DB9E0000}"/>
    <cellStyle name="Normal 400 2 2 3" xfId="27013" xr:uid="{00000000-0005-0000-0000-0000DC9E0000}"/>
    <cellStyle name="Normal 400 2 3" xfId="12903" xr:uid="{00000000-0005-0000-0000-0000DD9E0000}"/>
    <cellStyle name="Normal 400 2 3 2" xfId="30553" xr:uid="{00000000-0005-0000-0000-0000DE9E0000}"/>
    <cellStyle name="Normal 400 2 4" xfId="24148" xr:uid="{00000000-0005-0000-0000-0000DF9E0000}"/>
    <cellStyle name="Normal 400 3" xfId="5925" xr:uid="{00000000-0005-0000-0000-0000E09E0000}"/>
    <cellStyle name="Normal 400 3 2" xfId="9225" xr:uid="{00000000-0005-0000-0000-0000E19E0000}"/>
    <cellStyle name="Normal 400 3 2 2" xfId="17020" xr:uid="{00000000-0005-0000-0000-0000E29E0000}"/>
    <cellStyle name="Normal 400 3 2 2 2" xfId="34656" xr:uid="{00000000-0005-0000-0000-0000E39E0000}"/>
    <cellStyle name="Normal 400 3 2 3" xfId="27613" xr:uid="{00000000-0005-0000-0000-0000E49E0000}"/>
    <cellStyle name="Normal 400 3 3" xfId="13781" xr:uid="{00000000-0005-0000-0000-0000E59E0000}"/>
    <cellStyle name="Normal 400 3 3 2" xfId="31421" xr:uid="{00000000-0005-0000-0000-0000E69E0000}"/>
    <cellStyle name="Normal 400 3 4" xfId="24748" xr:uid="{00000000-0005-0000-0000-0000E79E0000}"/>
    <cellStyle name="Normal 400 4" xfId="6555" xr:uid="{00000000-0005-0000-0000-0000E89E0000}"/>
    <cellStyle name="Normal 400 4 2" xfId="9765" xr:uid="{00000000-0005-0000-0000-0000E99E0000}"/>
    <cellStyle name="Normal 400 4 2 2" xfId="17559" xr:uid="{00000000-0005-0000-0000-0000EA9E0000}"/>
    <cellStyle name="Normal 400 4 2 2 2" xfId="35196" xr:uid="{00000000-0005-0000-0000-0000EB9E0000}"/>
    <cellStyle name="Normal 400 4 2 3" xfId="28149" xr:uid="{00000000-0005-0000-0000-0000EC9E0000}"/>
    <cellStyle name="Normal 400 4 3" xfId="14344" xr:uid="{00000000-0005-0000-0000-0000ED9E0000}"/>
    <cellStyle name="Normal 400 4 3 2" xfId="31979" xr:uid="{00000000-0005-0000-0000-0000EE9E0000}"/>
    <cellStyle name="Normal 400 4 4" xfId="25285" xr:uid="{00000000-0005-0000-0000-0000EF9E0000}"/>
    <cellStyle name="Normal 400 5" xfId="7331" xr:uid="{00000000-0005-0000-0000-0000F09E0000}"/>
    <cellStyle name="Normal 400 5 2" xfId="10319" xr:uid="{00000000-0005-0000-0000-0000F19E0000}"/>
    <cellStyle name="Normal 400 5 2 2" xfId="18112" xr:uid="{00000000-0005-0000-0000-0000F29E0000}"/>
    <cellStyle name="Normal 400 5 2 2 2" xfId="35749" xr:uid="{00000000-0005-0000-0000-0000F39E0000}"/>
    <cellStyle name="Normal 400 5 2 3" xfId="28686" xr:uid="{00000000-0005-0000-0000-0000F49E0000}"/>
    <cellStyle name="Normal 400 5 3" xfId="15119" xr:uid="{00000000-0005-0000-0000-0000F59E0000}"/>
    <cellStyle name="Normal 400 5 3 2" xfId="32754" xr:uid="{00000000-0005-0000-0000-0000F69E0000}"/>
    <cellStyle name="Normal 400 5 4" xfId="25823" xr:uid="{00000000-0005-0000-0000-0000F79E0000}"/>
    <cellStyle name="Normal 400 6" xfId="7930" xr:uid="{00000000-0005-0000-0000-0000F89E0000}"/>
    <cellStyle name="Normal 400 6 2" xfId="15727" xr:uid="{00000000-0005-0000-0000-0000F99E0000}"/>
    <cellStyle name="Normal 400 6 2 2" xfId="33362" xr:uid="{00000000-0005-0000-0000-0000FA9E0000}"/>
    <cellStyle name="Normal 400 6 3" xfId="26346" xr:uid="{00000000-0005-0000-0000-0000FB9E0000}"/>
    <cellStyle name="Normal 400 7" xfId="11889" xr:uid="{00000000-0005-0000-0000-0000FC9E0000}"/>
    <cellStyle name="Normal 400 7 2" xfId="29572" xr:uid="{00000000-0005-0000-0000-0000FD9E0000}"/>
    <cellStyle name="Normal 400 8" xfId="23481" xr:uid="{00000000-0005-0000-0000-0000FE9E0000}"/>
    <cellStyle name="Normal 400 9" xfId="52389" xr:uid="{00000000-0005-0000-0000-0000FF9E0000}"/>
    <cellStyle name="Normal 401" xfId="2751" xr:uid="{00000000-0005-0000-0000-0000009F0000}"/>
    <cellStyle name="Normal 401 2" xfId="4763" xr:uid="{00000000-0005-0000-0000-0000019F0000}"/>
    <cellStyle name="Normal 401 3" xfId="52390" xr:uid="{00000000-0005-0000-0000-0000029F0000}"/>
    <cellStyle name="Normal 402" xfId="2752" xr:uid="{00000000-0005-0000-0000-0000039F0000}"/>
    <cellStyle name="Normal 402 2" xfId="4764" xr:uid="{00000000-0005-0000-0000-0000049F0000}"/>
    <cellStyle name="Normal 402 2 2" xfId="8613" xr:uid="{00000000-0005-0000-0000-0000059F0000}"/>
    <cellStyle name="Normal 402 2 2 2" xfId="16409" xr:uid="{00000000-0005-0000-0000-0000069F0000}"/>
    <cellStyle name="Normal 402 2 2 2 2" xfId="34044" xr:uid="{00000000-0005-0000-0000-0000079F0000}"/>
    <cellStyle name="Normal 402 2 2 3" xfId="27014" xr:uid="{00000000-0005-0000-0000-0000089F0000}"/>
    <cellStyle name="Normal 402 2 3" xfId="12904" xr:uid="{00000000-0005-0000-0000-0000099F0000}"/>
    <cellStyle name="Normal 402 2 3 2" xfId="30554" xr:uid="{00000000-0005-0000-0000-00000A9F0000}"/>
    <cellStyle name="Normal 402 2 4" xfId="24149" xr:uid="{00000000-0005-0000-0000-00000B9F0000}"/>
    <cellStyle name="Normal 402 3" xfId="5926" xr:uid="{00000000-0005-0000-0000-00000C9F0000}"/>
    <cellStyle name="Normal 402 3 2" xfId="9226" xr:uid="{00000000-0005-0000-0000-00000D9F0000}"/>
    <cellStyle name="Normal 402 3 2 2" xfId="17021" xr:uid="{00000000-0005-0000-0000-00000E9F0000}"/>
    <cellStyle name="Normal 402 3 2 2 2" xfId="34657" xr:uid="{00000000-0005-0000-0000-00000F9F0000}"/>
    <cellStyle name="Normal 402 3 2 3" xfId="27614" xr:uid="{00000000-0005-0000-0000-0000109F0000}"/>
    <cellStyle name="Normal 402 3 3" xfId="13782" xr:uid="{00000000-0005-0000-0000-0000119F0000}"/>
    <cellStyle name="Normal 402 3 3 2" xfId="31422" xr:uid="{00000000-0005-0000-0000-0000129F0000}"/>
    <cellStyle name="Normal 402 3 4" xfId="24749" xr:uid="{00000000-0005-0000-0000-0000139F0000}"/>
    <cellStyle name="Normal 402 4" xfId="6556" xr:uid="{00000000-0005-0000-0000-0000149F0000}"/>
    <cellStyle name="Normal 402 4 2" xfId="9766" xr:uid="{00000000-0005-0000-0000-0000159F0000}"/>
    <cellStyle name="Normal 402 4 2 2" xfId="17560" xr:uid="{00000000-0005-0000-0000-0000169F0000}"/>
    <cellStyle name="Normal 402 4 2 2 2" xfId="35197" xr:uid="{00000000-0005-0000-0000-0000179F0000}"/>
    <cellStyle name="Normal 402 4 2 3" xfId="28150" xr:uid="{00000000-0005-0000-0000-0000189F0000}"/>
    <cellStyle name="Normal 402 4 3" xfId="14345" xr:uid="{00000000-0005-0000-0000-0000199F0000}"/>
    <cellStyle name="Normal 402 4 3 2" xfId="31980" xr:uid="{00000000-0005-0000-0000-00001A9F0000}"/>
    <cellStyle name="Normal 402 4 4" xfId="25286" xr:uid="{00000000-0005-0000-0000-00001B9F0000}"/>
    <cellStyle name="Normal 402 5" xfId="7332" xr:uid="{00000000-0005-0000-0000-00001C9F0000}"/>
    <cellStyle name="Normal 402 5 2" xfId="10320" xr:uid="{00000000-0005-0000-0000-00001D9F0000}"/>
    <cellStyle name="Normal 402 5 2 2" xfId="18113" xr:uid="{00000000-0005-0000-0000-00001E9F0000}"/>
    <cellStyle name="Normal 402 5 2 2 2" xfId="35750" xr:uid="{00000000-0005-0000-0000-00001F9F0000}"/>
    <cellStyle name="Normal 402 5 2 3" xfId="28687" xr:uid="{00000000-0005-0000-0000-0000209F0000}"/>
    <cellStyle name="Normal 402 5 3" xfId="15120" xr:uid="{00000000-0005-0000-0000-0000219F0000}"/>
    <cellStyle name="Normal 402 5 3 2" xfId="32755" xr:uid="{00000000-0005-0000-0000-0000229F0000}"/>
    <cellStyle name="Normal 402 5 4" xfId="25824" xr:uid="{00000000-0005-0000-0000-0000239F0000}"/>
    <cellStyle name="Normal 402 6" xfId="7931" xr:uid="{00000000-0005-0000-0000-0000249F0000}"/>
    <cellStyle name="Normal 402 6 2" xfId="15728" xr:uid="{00000000-0005-0000-0000-0000259F0000}"/>
    <cellStyle name="Normal 402 6 2 2" xfId="33363" xr:uid="{00000000-0005-0000-0000-0000269F0000}"/>
    <cellStyle name="Normal 402 6 3" xfId="26347" xr:uid="{00000000-0005-0000-0000-0000279F0000}"/>
    <cellStyle name="Normal 402 7" xfId="11890" xr:uid="{00000000-0005-0000-0000-0000289F0000}"/>
    <cellStyle name="Normal 402 7 2" xfId="29573" xr:uid="{00000000-0005-0000-0000-0000299F0000}"/>
    <cellStyle name="Normal 402 8" xfId="23482" xr:uid="{00000000-0005-0000-0000-00002A9F0000}"/>
    <cellStyle name="Normal 402 9" xfId="52391" xr:uid="{00000000-0005-0000-0000-00002B9F0000}"/>
    <cellStyle name="Normal 403" xfId="2753" xr:uid="{00000000-0005-0000-0000-00002C9F0000}"/>
    <cellStyle name="Normal 403 2" xfId="4765" xr:uid="{00000000-0005-0000-0000-00002D9F0000}"/>
    <cellStyle name="Normal 403 2 2" xfId="8614" xr:uid="{00000000-0005-0000-0000-00002E9F0000}"/>
    <cellStyle name="Normal 403 2 2 2" xfId="16410" xr:uid="{00000000-0005-0000-0000-00002F9F0000}"/>
    <cellStyle name="Normal 403 2 2 2 2" xfId="34045" xr:uid="{00000000-0005-0000-0000-0000309F0000}"/>
    <cellStyle name="Normal 403 2 2 3" xfId="27015" xr:uid="{00000000-0005-0000-0000-0000319F0000}"/>
    <cellStyle name="Normal 403 2 3" xfId="12905" xr:uid="{00000000-0005-0000-0000-0000329F0000}"/>
    <cellStyle name="Normal 403 2 3 2" xfId="30555" xr:uid="{00000000-0005-0000-0000-0000339F0000}"/>
    <cellStyle name="Normal 403 2 4" xfId="24150" xr:uid="{00000000-0005-0000-0000-0000349F0000}"/>
    <cellStyle name="Normal 403 3" xfId="5927" xr:uid="{00000000-0005-0000-0000-0000359F0000}"/>
    <cellStyle name="Normal 403 3 2" xfId="9227" xr:uid="{00000000-0005-0000-0000-0000369F0000}"/>
    <cellStyle name="Normal 403 3 2 2" xfId="17022" xr:uid="{00000000-0005-0000-0000-0000379F0000}"/>
    <cellStyle name="Normal 403 3 2 2 2" xfId="34658" xr:uid="{00000000-0005-0000-0000-0000389F0000}"/>
    <cellStyle name="Normal 403 3 2 3" xfId="27615" xr:uid="{00000000-0005-0000-0000-0000399F0000}"/>
    <cellStyle name="Normal 403 3 3" xfId="13783" xr:uid="{00000000-0005-0000-0000-00003A9F0000}"/>
    <cellStyle name="Normal 403 3 3 2" xfId="31423" xr:uid="{00000000-0005-0000-0000-00003B9F0000}"/>
    <cellStyle name="Normal 403 3 4" xfId="24750" xr:uid="{00000000-0005-0000-0000-00003C9F0000}"/>
    <cellStyle name="Normal 403 4" xfId="6557" xr:uid="{00000000-0005-0000-0000-00003D9F0000}"/>
    <cellStyle name="Normal 403 4 2" xfId="9767" xr:uid="{00000000-0005-0000-0000-00003E9F0000}"/>
    <cellStyle name="Normal 403 4 2 2" xfId="17561" xr:uid="{00000000-0005-0000-0000-00003F9F0000}"/>
    <cellStyle name="Normal 403 4 2 2 2" xfId="35198" xr:uid="{00000000-0005-0000-0000-0000409F0000}"/>
    <cellStyle name="Normal 403 4 2 3" xfId="28151" xr:uid="{00000000-0005-0000-0000-0000419F0000}"/>
    <cellStyle name="Normal 403 4 3" xfId="14346" xr:uid="{00000000-0005-0000-0000-0000429F0000}"/>
    <cellStyle name="Normal 403 4 3 2" xfId="31981" xr:uid="{00000000-0005-0000-0000-0000439F0000}"/>
    <cellStyle name="Normal 403 4 4" xfId="25287" xr:uid="{00000000-0005-0000-0000-0000449F0000}"/>
    <cellStyle name="Normal 403 5" xfId="7333" xr:uid="{00000000-0005-0000-0000-0000459F0000}"/>
    <cellStyle name="Normal 403 5 2" xfId="10321" xr:uid="{00000000-0005-0000-0000-0000469F0000}"/>
    <cellStyle name="Normal 403 5 2 2" xfId="18114" xr:uid="{00000000-0005-0000-0000-0000479F0000}"/>
    <cellStyle name="Normal 403 5 2 2 2" xfId="35751" xr:uid="{00000000-0005-0000-0000-0000489F0000}"/>
    <cellStyle name="Normal 403 5 2 3" xfId="28688" xr:uid="{00000000-0005-0000-0000-0000499F0000}"/>
    <cellStyle name="Normal 403 5 3" xfId="15121" xr:uid="{00000000-0005-0000-0000-00004A9F0000}"/>
    <cellStyle name="Normal 403 5 3 2" xfId="32756" xr:uid="{00000000-0005-0000-0000-00004B9F0000}"/>
    <cellStyle name="Normal 403 5 4" xfId="25825" xr:uid="{00000000-0005-0000-0000-00004C9F0000}"/>
    <cellStyle name="Normal 403 6" xfId="7932" xr:uid="{00000000-0005-0000-0000-00004D9F0000}"/>
    <cellStyle name="Normal 403 6 2" xfId="15729" xr:uid="{00000000-0005-0000-0000-00004E9F0000}"/>
    <cellStyle name="Normal 403 6 2 2" xfId="33364" xr:uid="{00000000-0005-0000-0000-00004F9F0000}"/>
    <cellStyle name="Normal 403 6 3" xfId="26348" xr:uid="{00000000-0005-0000-0000-0000509F0000}"/>
    <cellStyle name="Normal 403 7" xfId="11891" xr:uid="{00000000-0005-0000-0000-0000519F0000}"/>
    <cellStyle name="Normal 403 7 2" xfId="29574" xr:uid="{00000000-0005-0000-0000-0000529F0000}"/>
    <cellStyle name="Normal 403 8" xfId="23483" xr:uid="{00000000-0005-0000-0000-0000539F0000}"/>
    <cellStyle name="Normal 403 9" xfId="52392" xr:uid="{00000000-0005-0000-0000-0000549F0000}"/>
    <cellStyle name="Normal 404" xfId="2754" xr:uid="{00000000-0005-0000-0000-0000559F0000}"/>
    <cellStyle name="Normal 404 2" xfId="4766" xr:uid="{00000000-0005-0000-0000-0000569F0000}"/>
    <cellStyle name="Normal 404 2 2" xfId="8615" xr:uid="{00000000-0005-0000-0000-0000579F0000}"/>
    <cellStyle name="Normal 404 2 2 2" xfId="16411" xr:uid="{00000000-0005-0000-0000-0000589F0000}"/>
    <cellStyle name="Normal 404 2 2 2 2" xfId="34046" xr:uid="{00000000-0005-0000-0000-0000599F0000}"/>
    <cellStyle name="Normal 404 2 2 3" xfId="27016" xr:uid="{00000000-0005-0000-0000-00005A9F0000}"/>
    <cellStyle name="Normal 404 2 3" xfId="12906" xr:uid="{00000000-0005-0000-0000-00005B9F0000}"/>
    <cellStyle name="Normal 404 2 3 2" xfId="30556" xr:uid="{00000000-0005-0000-0000-00005C9F0000}"/>
    <cellStyle name="Normal 404 2 4" xfId="24151" xr:uid="{00000000-0005-0000-0000-00005D9F0000}"/>
    <cellStyle name="Normal 404 3" xfId="5928" xr:uid="{00000000-0005-0000-0000-00005E9F0000}"/>
    <cellStyle name="Normal 404 3 2" xfId="9228" xr:uid="{00000000-0005-0000-0000-00005F9F0000}"/>
    <cellStyle name="Normal 404 3 2 2" xfId="17023" xr:uid="{00000000-0005-0000-0000-0000609F0000}"/>
    <cellStyle name="Normal 404 3 2 2 2" xfId="34659" xr:uid="{00000000-0005-0000-0000-0000619F0000}"/>
    <cellStyle name="Normal 404 3 2 3" xfId="27616" xr:uid="{00000000-0005-0000-0000-0000629F0000}"/>
    <cellStyle name="Normal 404 3 3" xfId="13784" xr:uid="{00000000-0005-0000-0000-0000639F0000}"/>
    <cellStyle name="Normal 404 3 3 2" xfId="31424" xr:uid="{00000000-0005-0000-0000-0000649F0000}"/>
    <cellStyle name="Normal 404 3 4" xfId="24751" xr:uid="{00000000-0005-0000-0000-0000659F0000}"/>
    <cellStyle name="Normal 404 4" xfId="6558" xr:uid="{00000000-0005-0000-0000-0000669F0000}"/>
    <cellStyle name="Normal 404 4 2" xfId="9768" xr:uid="{00000000-0005-0000-0000-0000679F0000}"/>
    <cellStyle name="Normal 404 4 2 2" xfId="17562" xr:uid="{00000000-0005-0000-0000-0000689F0000}"/>
    <cellStyle name="Normal 404 4 2 2 2" xfId="35199" xr:uid="{00000000-0005-0000-0000-0000699F0000}"/>
    <cellStyle name="Normal 404 4 2 3" xfId="28152" xr:uid="{00000000-0005-0000-0000-00006A9F0000}"/>
    <cellStyle name="Normal 404 4 3" xfId="14347" xr:uid="{00000000-0005-0000-0000-00006B9F0000}"/>
    <cellStyle name="Normal 404 4 3 2" xfId="31982" xr:uid="{00000000-0005-0000-0000-00006C9F0000}"/>
    <cellStyle name="Normal 404 4 4" xfId="25288" xr:uid="{00000000-0005-0000-0000-00006D9F0000}"/>
    <cellStyle name="Normal 404 5" xfId="7334" xr:uid="{00000000-0005-0000-0000-00006E9F0000}"/>
    <cellStyle name="Normal 404 5 2" xfId="10322" xr:uid="{00000000-0005-0000-0000-00006F9F0000}"/>
    <cellStyle name="Normal 404 5 2 2" xfId="18115" xr:uid="{00000000-0005-0000-0000-0000709F0000}"/>
    <cellStyle name="Normal 404 5 2 2 2" xfId="35752" xr:uid="{00000000-0005-0000-0000-0000719F0000}"/>
    <cellStyle name="Normal 404 5 2 3" xfId="28689" xr:uid="{00000000-0005-0000-0000-0000729F0000}"/>
    <cellStyle name="Normal 404 5 3" xfId="15122" xr:uid="{00000000-0005-0000-0000-0000739F0000}"/>
    <cellStyle name="Normal 404 5 3 2" xfId="32757" xr:uid="{00000000-0005-0000-0000-0000749F0000}"/>
    <cellStyle name="Normal 404 5 4" xfId="25826" xr:uid="{00000000-0005-0000-0000-0000759F0000}"/>
    <cellStyle name="Normal 404 6" xfId="7933" xr:uid="{00000000-0005-0000-0000-0000769F0000}"/>
    <cellStyle name="Normal 404 6 2" xfId="15730" xr:uid="{00000000-0005-0000-0000-0000779F0000}"/>
    <cellStyle name="Normal 404 6 2 2" xfId="33365" xr:uid="{00000000-0005-0000-0000-0000789F0000}"/>
    <cellStyle name="Normal 404 6 3" xfId="26349" xr:uid="{00000000-0005-0000-0000-0000799F0000}"/>
    <cellStyle name="Normal 404 7" xfId="11892" xr:uid="{00000000-0005-0000-0000-00007A9F0000}"/>
    <cellStyle name="Normal 404 7 2" xfId="29575" xr:uid="{00000000-0005-0000-0000-00007B9F0000}"/>
    <cellStyle name="Normal 404 8" xfId="23484" xr:uid="{00000000-0005-0000-0000-00007C9F0000}"/>
    <cellStyle name="Normal 404 9" xfId="52393" xr:uid="{00000000-0005-0000-0000-00007D9F0000}"/>
    <cellStyle name="Normal 405" xfId="2755" xr:uid="{00000000-0005-0000-0000-00007E9F0000}"/>
    <cellStyle name="Normal 405 2" xfId="4767" xr:uid="{00000000-0005-0000-0000-00007F9F0000}"/>
    <cellStyle name="Normal 405 2 2" xfId="8616" xr:uid="{00000000-0005-0000-0000-0000809F0000}"/>
    <cellStyle name="Normal 405 2 2 2" xfId="16412" xr:uid="{00000000-0005-0000-0000-0000819F0000}"/>
    <cellStyle name="Normal 405 2 2 2 2" xfId="34047" xr:uid="{00000000-0005-0000-0000-0000829F0000}"/>
    <cellStyle name="Normal 405 2 2 3" xfId="27017" xr:uid="{00000000-0005-0000-0000-0000839F0000}"/>
    <cellStyle name="Normal 405 2 3" xfId="12907" xr:uid="{00000000-0005-0000-0000-0000849F0000}"/>
    <cellStyle name="Normal 405 2 3 2" xfId="30557" xr:uid="{00000000-0005-0000-0000-0000859F0000}"/>
    <cellStyle name="Normal 405 2 4" xfId="24152" xr:uid="{00000000-0005-0000-0000-0000869F0000}"/>
    <cellStyle name="Normal 405 3" xfId="5929" xr:uid="{00000000-0005-0000-0000-0000879F0000}"/>
    <cellStyle name="Normal 405 3 2" xfId="9229" xr:uid="{00000000-0005-0000-0000-0000889F0000}"/>
    <cellStyle name="Normal 405 3 2 2" xfId="17024" xr:uid="{00000000-0005-0000-0000-0000899F0000}"/>
    <cellStyle name="Normal 405 3 2 2 2" xfId="34660" xr:uid="{00000000-0005-0000-0000-00008A9F0000}"/>
    <cellStyle name="Normal 405 3 2 3" xfId="27617" xr:uid="{00000000-0005-0000-0000-00008B9F0000}"/>
    <cellStyle name="Normal 405 3 3" xfId="13785" xr:uid="{00000000-0005-0000-0000-00008C9F0000}"/>
    <cellStyle name="Normal 405 3 3 2" xfId="31425" xr:uid="{00000000-0005-0000-0000-00008D9F0000}"/>
    <cellStyle name="Normal 405 3 4" xfId="24752" xr:uid="{00000000-0005-0000-0000-00008E9F0000}"/>
    <cellStyle name="Normal 405 4" xfId="6559" xr:uid="{00000000-0005-0000-0000-00008F9F0000}"/>
    <cellStyle name="Normal 405 4 2" xfId="9769" xr:uid="{00000000-0005-0000-0000-0000909F0000}"/>
    <cellStyle name="Normal 405 4 2 2" xfId="17563" xr:uid="{00000000-0005-0000-0000-0000919F0000}"/>
    <cellStyle name="Normal 405 4 2 2 2" xfId="35200" xr:uid="{00000000-0005-0000-0000-0000929F0000}"/>
    <cellStyle name="Normal 405 4 2 3" xfId="28153" xr:uid="{00000000-0005-0000-0000-0000939F0000}"/>
    <cellStyle name="Normal 405 4 3" xfId="14348" xr:uid="{00000000-0005-0000-0000-0000949F0000}"/>
    <cellStyle name="Normal 405 4 3 2" xfId="31983" xr:uid="{00000000-0005-0000-0000-0000959F0000}"/>
    <cellStyle name="Normal 405 4 4" xfId="25289" xr:uid="{00000000-0005-0000-0000-0000969F0000}"/>
    <cellStyle name="Normal 405 5" xfId="7335" xr:uid="{00000000-0005-0000-0000-0000979F0000}"/>
    <cellStyle name="Normal 405 5 2" xfId="10323" xr:uid="{00000000-0005-0000-0000-0000989F0000}"/>
    <cellStyle name="Normal 405 5 2 2" xfId="18116" xr:uid="{00000000-0005-0000-0000-0000999F0000}"/>
    <cellStyle name="Normal 405 5 2 2 2" xfId="35753" xr:uid="{00000000-0005-0000-0000-00009A9F0000}"/>
    <cellStyle name="Normal 405 5 2 3" xfId="28690" xr:uid="{00000000-0005-0000-0000-00009B9F0000}"/>
    <cellStyle name="Normal 405 5 3" xfId="15123" xr:uid="{00000000-0005-0000-0000-00009C9F0000}"/>
    <cellStyle name="Normal 405 5 3 2" xfId="32758" xr:uid="{00000000-0005-0000-0000-00009D9F0000}"/>
    <cellStyle name="Normal 405 5 4" xfId="25827" xr:uid="{00000000-0005-0000-0000-00009E9F0000}"/>
    <cellStyle name="Normal 405 6" xfId="7934" xr:uid="{00000000-0005-0000-0000-00009F9F0000}"/>
    <cellStyle name="Normal 405 6 2" xfId="15731" xr:uid="{00000000-0005-0000-0000-0000A09F0000}"/>
    <cellStyle name="Normal 405 6 2 2" xfId="33366" xr:uid="{00000000-0005-0000-0000-0000A19F0000}"/>
    <cellStyle name="Normal 405 6 3" xfId="26350" xr:uid="{00000000-0005-0000-0000-0000A29F0000}"/>
    <cellStyle name="Normal 405 7" xfId="11893" xr:uid="{00000000-0005-0000-0000-0000A39F0000}"/>
    <cellStyle name="Normal 405 7 2" xfId="29576" xr:uid="{00000000-0005-0000-0000-0000A49F0000}"/>
    <cellStyle name="Normal 405 8" xfId="23485" xr:uid="{00000000-0005-0000-0000-0000A59F0000}"/>
    <cellStyle name="Normal 405 9" xfId="52394" xr:uid="{00000000-0005-0000-0000-0000A69F0000}"/>
    <cellStyle name="Normal 406" xfId="2756" xr:uid="{00000000-0005-0000-0000-0000A79F0000}"/>
    <cellStyle name="Normal 406 2" xfId="4768" xr:uid="{00000000-0005-0000-0000-0000A89F0000}"/>
    <cellStyle name="Normal 406 2 2" xfId="8617" xr:uid="{00000000-0005-0000-0000-0000A99F0000}"/>
    <cellStyle name="Normal 406 2 2 2" xfId="16413" xr:uid="{00000000-0005-0000-0000-0000AA9F0000}"/>
    <cellStyle name="Normal 406 2 2 2 2" xfId="34048" xr:uid="{00000000-0005-0000-0000-0000AB9F0000}"/>
    <cellStyle name="Normal 406 2 2 3" xfId="27018" xr:uid="{00000000-0005-0000-0000-0000AC9F0000}"/>
    <cellStyle name="Normal 406 2 3" xfId="12908" xr:uid="{00000000-0005-0000-0000-0000AD9F0000}"/>
    <cellStyle name="Normal 406 2 3 2" xfId="30558" xr:uid="{00000000-0005-0000-0000-0000AE9F0000}"/>
    <cellStyle name="Normal 406 2 4" xfId="24153" xr:uid="{00000000-0005-0000-0000-0000AF9F0000}"/>
    <cellStyle name="Normal 406 3" xfId="5930" xr:uid="{00000000-0005-0000-0000-0000B09F0000}"/>
    <cellStyle name="Normal 406 3 2" xfId="9230" xr:uid="{00000000-0005-0000-0000-0000B19F0000}"/>
    <cellStyle name="Normal 406 3 2 2" xfId="17025" xr:uid="{00000000-0005-0000-0000-0000B29F0000}"/>
    <cellStyle name="Normal 406 3 2 2 2" xfId="34661" xr:uid="{00000000-0005-0000-0000-0000B39F0000}"/>
    <cellStyle name="Normal 406 3 2 3" xfId="27618" xr:uid="{00000000-0005-0000-0000-0000B49F0000}"/>
    <cellStyle name="Normal 406 3 3" xfId="13786" xr:uid="{00000000-0005-0000-0000-0000B59F0000}"/>
    <cellStyle name="Normal 406 3 3 2" xfId="31426" xr:uid="{00000000-0005-0000-0000-0000B69F0000}"/>
    <cellStyle name="Normal 406 3 4" xfId="24753" xr:uid="{00000000-0005-0000-0000-0000B79F0000}"/>
    <cellStyle name="Normal 406 4" xfId="6560" xr:uid="{00000000-0005-0000-0000-0000B89F0000}"/>
    <cellStyle name="Normal 406 4 2" xfId="9770" xr:uid="{00000000-0005-0000-0000-0000B99F0000}"/>
    <cellStyle name="Normal 406 4 2 2" xfId="17564" xr:uid="{00000000-0005-0000-0000-0000BA9F0000}"/>
    <cellStyle name="Normal 406 4 2 2 2" xfId="35201" xr:uid="{00000000-0005-0000-0000-0000BB9F0000}"/>
    <cellStyle name="Normal 406 4 2 3" xfId="28154" xr:uid="{00000000-0005-0000-0000-0000BC9F0000}"/>
    <cellStyle name="Normal 406 4 3" xfId="14349" xr:uid="{00000000-0005-0000-0000-0000BD9F0000}"/>
    <cellStyle name="Normal 406 4 3 2" xfId="31984" xr:uid="{00000000-0005-0000-0000-0000BE9F0000}"/>
    <cellStyle name="Normal 406 4 4" xfId="25290" xr:uid="{00000000-0005-0000-0000-0000BF9F0000}"/>
    <cellStyle name="Normal 406 5" xfId="7336" xr:uid="{00000000-0005-0000-0000-0000C09F0000}"/>
    <cellStyle name="Normal 406 5 2" xfId="10324" xr:uid="{00000000-0005-0000-0000-0000C19F0000}"/>
    <cellStyle name="Normal 406 5 2 2" xfId="18117" xr:uid="{00000000-0005-0000-0000-0000C29F0000}"/>
    <cellStyle name="Normal 406 5 2 2 2" xfId="35754" xr:uid="{00000000-0005-0000-0000-0000C39F0000}"/>
    <cellStyle name="Normal 406 5 2 3" xfId="28691" xr:uid="{00000000-0005-0000-0000-0000C49F0000}"/>
    <cellStyle name="Normal 406 5 3" xfId="15124" xr:uid="{00000000-0005-0000-0000-0000C59F0000}"/>
    <cellStyle name="Normal 406 5 3 2" xfId="32759" xr:uid="{00000000-0005-0000-0000-0000C69F0000}"/>
    <cellStyle name="Normal 406 5 4" xfId="25828" xr:uid="{00000000-0005-0000-0000-0000C79F0000}"/>
    <cellStyle name="Normal 406 6" xfId="7935" xr:uid="{00000000-0005-0000-0000-0000C89F0000}"/>
    <cellStyle name="Normal 406 6 2" xfId="15732" xr:uid="{00000000-0005-0000-0000-0000C99F0000}"/>
    <cellStyle name="Normal 406 6 2 2" xfId="33367" xr:uid="{00000000-0005-0000-0000-0000CA9F0000}"/>
    <cellStyle name="Normal 406 6 3" xfId="26351" xr:uid="{00000000-0005-0000-0000-0000CB9F0000}"/>
    <cellStyle name="Normal 406 7" xfId="11894" xr:uid="{00000000-0005-0000-0000-0000CC9F0000}"/>
    <cellStyle name="Normal 406 7 2" xfId="29577" xr:uid="{00000000-0005-0000-0000-0000CD9F0000}"/>
    <cellStyle name="Normal 406 8" xfId="23486" xr:uid="{00000000-0005-0000-0000-0000CE9F0000}"/>
    <cellStyle name="Normal 406 9" xfId="52395" xr:uid="{00000000-0005-0000-0000-0000CF9F0000}"/>
    <cellStyle name="Normal 407" xfId="2757" xr:uid="{00000000-0005-0000-0000-0000D09F0000}"/>
    <cellStyle name="Normal 407 2" xfId="4769" xr:uid="{00000000-0005-0000-0000-0000D19F0000}"/>
    <cellStyle name="Normal 407 2 2" xfId="8618" xr:uid="{00000000-0005-0000-0000-0000D29F0000}"/>
    <cellStyle name="Normal 407 2 2 2" xfId="16414" xr:uid="{00000000-0005-0000-0000-0000D39F0000}"/>
    <cellStyle name="Normal 407 2 2 2 2" xfId="34049" xr:uid="{00000000-0005-0000-0000-0000D49F0000}"/>
    <cellStyle name="Normal 407 2 2 3" xfId="27019" xr:uid="{00000000-0005-0000-0000-0000D59F0000}"/>
    <cellStyle name="Normal 407 2 3" xfId="12909" xr:uid="{00000000-0005-0000-0000-0000D69F0000}"/>
    <cellStyle name="Normal 407 2 3 2" xfId="30559" xr:uid="{00000000-0005-0000-0000-0000D79F0000}"/>
    <cellStyle name="Normal 407 2 4" xfId="24154" xr:uid="{00000000-0005-0000-0000-0000D89F0000}"/>
    <cellStyle name="Normal 407 3" xfId="5931" xr:uid="{00000000-0005-0000-0000-0000D99F0000}"/>
    <cellStyle name="Normal 407 3 2" xfId="9231" xr:uid="{00000000-0005-0000-0000-0000DA9F0000}"/>
    <cellStyle name="Normal 407 3 2 2" xfId="17026" xr:uid="{00000000-0005-0000-0000-0000DB9F0000}"/>
    <cellStyle name="Normal 407 3 2 2 2" xfId="34662" xr:uid="{00000000-0005-0000-0000-0000DC9F0000}"/>
    <cellStyle name="Normal 407 3 2 3" xfId="27619" xr:uid="{00000000-0005-0000-0000-0000DD9F0000}"/>
    <cellStyle name="Normal 407 3 3" xfId="13787" xr:uid="{00000000-0005-0000-0000-0000DE9F0000}"/>
    <cellStyle name="Normal 407 3 3 2" xfId="31427" xr:uid="{00000000-0005-0000-0000-0000DF9F0000}"/>
    <cellStyle name="Normal 407 3 4" xfId="24754" xr:uid="{00000000-0005-0000-0000-0000E09F0000}"/>
    <cellStyle name="Normal 407 4" xfId="6561" xr:uid="{00000000-0005-0000-0000-0000E19F0000}"/>
    <cellStyle name="Normal 407 4 2" xfId="9771" xr:uid="{00000000-0005-0000-0000-0000E29F0000}"/>
    <cellStyle name="Normal 407 4 2 2" xfId="17565" xr:uid="{00000000-0005-0000-0000-0000E39F0000}"/>
    <cellStyle name="Normal 407 4 2 2 2" xfId="35202" xr:uid="{00000000-0005-0000-0000-0000E49F0000}"/>
    <cellStyle name="Normal 407 4 2 3" xfId="28155" xr:uid="{00000000-0005-0000-0000-0000E59F0000}"/>
    <cellStyle name="Normal 407 4 3" xfId="14350" xr:uid="{00000000-0005-0000-0000-0000E69F0000}"/>
    <cellStyle name="Normal 407 4 3 2" xfId="31985" xr:uid="{00000000-0005-0000-0000-0000E79F0000}"/>
    <cellStyle name="Normal 407 4 4" xfId="25291" xr:uid="{00000000-0005-0000-0000-0000E89F0000}"/>
    <cellStyle name="Normal 407 5" xfId="7337" xr:uid="{00000000-0005-0000-0000-0000E99F0000}"/>
    <cellStyle name="Normal 407 5 2" xfId="10325" xr:uid="{00000000-0005-0000-0000-0000EA9F0000}"/>
    <cellStyle name="Normal 407 5 2 2" xfId="18118" xr:uid="{00000000-0005-0000-0000-0000EB9F0000}"/>
    <cellStyle name="Normal 407 5 2 2 2" xfId="35755" xr:uid="{00000000-0005-0000-0000-0000EC9F0000}"/>
    <cellStyle name="Normal 407 5 2 3" xfId="28692" xr:uid="{00000000-0005-0000-0000-0000ED9F0000}"/>
    <cellStyle name="Normal 407 5 3" xfId="15125" xr:uid="{00000000-0005-0000-0000-0000EE9F0000}"/>
    <cellStyle name="Normal 407 5 3 2" xfId="32760" xr:uid="{00000000-0005-0000-0000-0000EF9F0000}"/>
    <cellStyle name="Normal 407 5 4" xfId="25829" xr:uid="{00000000-0005-0000-0000-0000F09F0000}"/>
    <cellStyle name="Normal 407 6" xfId="7936" xr:uid="{00000000-0005-0000-0000-0000F19F0000}"/>
    <cellStyle name="Normal 407 6 2" xfId="15733" xr:uid="{00000000-0005-0000-0000-0000F29F0000}"/>
    <cellStyle name="Normal 407 6 2 2" xfId="33368" xr:uid="{00000000-0005-0000-0000-0000F39F0000}"/>
    <cellStyle name="Normal 407 6 3" xfId="26352" xr:uid="{00000000-0005-0000-0000-0000F49F0000}"/>
    <cellStyle name="Normal 407 7" xfId="11895" xr:uid="{00000000-0005-0000-0000-0000F59F0000}"/>
    <cellStyle name="Normal 407 7 2" xfId="29578" xr:uid="{00000000-0005-0000-0000-0000F69F0000}"/>
    <cellStyle name="Normal 407 8" xfId="23487" xr:uid="{00000000-0005-0000-0000-0000F79F0000}"/>
    <cellStyle name="Normal 407 9" xfId="52396" xr:uid="{00000000-0005-0000-0000-0000F89F0000}"/>
    <cellStyle name="Normal 408" xfId="2758" xr:uid="{00000000-0005-0000-0000-0000F99F0000}"/>
    <cellStyle name="Normal 408 2" xfId="4770" xr:uid="{00000000-0005-0000-0000-0000FA9F0000}"/>
    <cellStyle name="Normal 408 2 2" xfId="8619" xr:uid="{00000000-0005-0000-0000-0000FB9F0000}"/>
    <cellStyle name="Normal 408 2 2 2" xfId="16415" xr:uid="{00000000-0005-0000-0000-0000FC9F0000}"/>
    <cellStyle name="Normal 408 2 2 2 2" xfId="34050" xr:uid="{00000000-0005-0000-0000-0000FD9F0000}"/>
    <cellStyle name="Normal 408 2 2 3" xfId="27020" xr:uid="{00000000-0005-0000-0000-0000FE9F0000}"/>
    <cellStyle name="Normal 408 2 3" xfId="12910" xr:uid="{00000000-0005-0000-0000-0000FF9F0000}"/>
    <cellStyle name="Normal 408 2 3 2" xfId="30560" xr:uid="{00000000-0005-0000-0000-000000A00000}"/>
    <cellStyle name="Normal 408 2 4" xfId="24155" xr:uid="{00000000-0005-0000-0000-000001A00000}"/>
    <cellStyle name="Normal 408 3" xfId="5932" xr:uid="{00000000-0005-0000-0000-000002A00000}"/>
    <cellStyle name="Normal 408 3 2" xfId="9232" xr:uid="{00000000-0005-0000-0000-000003A00000}"/>
    <cellStyle name="Normal 408 3 2 2" xfId="17027" xr:uid="{00000000-0005-0000-0000-000004A00000}"/>
    <cellStyle name="Normal 408 3 2 2 2" xfId="34663" xr:uid="{00000000-0005-0000-0000-000005A00000}"/>
    <cellStyle name="Normal 408 3 2 3" xfId="27620" xr:uid="{00000000-0005-0000-0000-000006A00000}"/>
    <cellStyle name="Normal 408 3 3" xfId="13788" xr:uid="{00000000-0005-0000-0000-000007A00000}"/>
    <cellStyle name="Normal 408 3 3 2" xfId="31428" xr:uid="{00000000-0005-0000-0000-000008A00000}"/>
    <cellStyle name="Normal 408 3 4" xfId="24755" xr:uid="{00000000-0005-0000-0000-000009A00000}"/>
    <cellStyle name="Normal 408 4" xfId="6562" xr:uid="{00000000-0005-0000-0000-00000AA00000}"/>
    <cellStyle name="Normal 408 4 2" xfId="9772" xr:uid="{00000000-0005-0000-0000-00000BA00000}"/>
    <cellStyle name="Normal 408 4 2 2" xfId="17566" xr:uid="{00000000-0005-0000-0000-00000CA00000}"/>
    <cellStyle name="Normal 408 4 2 2 2" xfId="35203" xr:uid="{00000000-0005-0000-0000-00000DA00000}"/>
    <cellStyle name="Normal 408 4 2 3" xfId="28156" xr:uid="{00000000-0005-0000-0000-00000EA00000}"/>
    <cellStyle name="Normal 408 4 3" xfId="14351" xr:uid="{00000000-0005-0000-0000-00000FA00000}"/>
    <cellStyle name="Normal 408 4 3 2" xfId="31986" xr:uid="{00000000-0005-0000-0000-000010A00000}"/>
    <cellStyle name="Normal 408 4 4" xfId="25292" xr:uid="{00000000-0005-0000-0000-000011A00000}"/>
    <cellStyle name="Normal 408 5" xfId="7338" xr:uid="{00000000-0005-0000-0000-000012A00000}"/>
    <cellStyle name="Normal 408 5 2" xfId="10326" xr:uid="{00000000-0005-0000-0000-000013A00000}"/>
    <cellStyle name="Normal 408 5 2 2" xfId="18119" xr:uid="{00000000-0005-0000-0000-000014A00000}"/>
    <cellStyle name="Normal 408 5 2 2 2" xfId="35756" xr:uid="{00000000-0005-0000-0000-000015A00000}"/>
    <cellStyle name="Normal 408 5 2 3" xfId="28693" xr:uid="{00000000-0005-0000-0000-000016A00000}"/>
    <cellStyle name="Normal 408 5 3" xfId="15126" xr:uid="{00000000-0005-0000-0000-000017A00000}"/>
    <cellStyle name="Normal 408 5 3 2" xfId="32761" xr:uid="{00000000-0005-0000-0000-000018A00000}"/>
    <cellStyle name="Normal 408 5 4" xfId="25830" xr:uid="{00000000-0005-0000-0000-000019A00000}"/>
    <cellStyle name="Normal 408 6" xfId="7937" xr:uid="{00000000-0005-0000-0000-00001AA00000}"/>
    <cellStyle name="Normal 408 6 2" xfId="15734" xr:uid="{00000000-0005-0000-0000-00001BA00000}"/>
    <cellStyle name="Normal 408 6 2 2" xfId="33369" xr:uid="{00000000-0005-0000-0000-00001CA00000}"/>
    <cellStyle name="Normal 408 6 3" xfId="26353" xr:uid="{00000000-0005-0000-0000-00001DA00000}"/>
    <cellStyle name="Normal 408 7" xfId="11896" xr:uid="{00000000-0005-0000-0000-00001EA00000}"/>
    <cellStyle name="Normal 408 7 2" xfId="29579" xr:uid="{00000000-0005-0000-0000-00001FA00000}"/>
    <cellStyle name="Normal 408 8" xfId="23488" xr:uid="{00000000-0005-0000-0000-000020A00000}"/>
    <cellStyle name="Normal 408 9" xfId="52397" xr:uid="{00000000-0005-0000-0000-000021A00000}"/>
    <cellStyle name="Normal 409" xfId="2759" xr:uid="{00000000-0005-0000-0000-000022A00000}"/>
    <cellStyle name="Normal 409 2" xfId="4771" xr:uid="{00000000-0005-0000-0000-000023A00000}"/>
    <cellStyle name="Normal 409 2 2" xfId="8620" xr:uid="{00000000-0005-0000-0000-000024A00000}"/>
    <cellStyle name="Normal 409 2 2 2" xfId="16416" xr:uid="{00000000-0005-0000-0000-000025A00000}"/>
    <cellStyle name="Normal 409 2 2 2 2" xfId="34051" xr:uid="{00000000-0005-0000-0000-000026A00000}"/>
    <cellStyle name="Normal 409 2 2 3" xfId="27021" xr:uid="{00000000-0005-0000-0000-000027A00000}"/>
    <cellStyle name="Normal 409 2 3" xfId="12911" xr:uid="{00000000-0005-0000-0000-000028A00000}"/>
    <cellStyle name="Normal 409 2 3 2" xfId="30561" xr:uid="{00000000-0005-0000-0000-000029A00000}"/>
    <cellStyle name="Normal 409 2 4" xfId="24156" xr:uid="{00000000-0005-0000-0000-00002AA00000}"/>
    <cellStyle name="Normal 409 3" xfId="5933" xr:uid="{00000000-0005-0000-0000-00002BA00000}"/>
    <cellStyle name="Normal 409 3 2" xfId="9233" xr:uid="{00000000-0005-0000-0000-00002CA00000}"/>
    <cellStyle name="Normal 409 3 2 2" xfId="17028" xr:uid="{00000000-0005-0000-0000-00002DA00000}"/>
    <cellStyle name="Normal 409 3 2 2 2" xfId="34664" xr:uid="{00000000-0005-0000-0000-00002EA00000}"/>
    <cellStyle name="Normal 409 3 2 3" xfId="27621" xr:uid="{00000000-0005-0000-0000-00002FA00000}"/>
    <cellStyle name="Normal 409 3 3" xfId="13789" xr:uid="{00000000-0005-0000-0000-000030A00000}"/>
    <cellStyle name="Normal 409 3 3 2" xfId="31429" xr:uid="{00000000-0005-0000-0000-000031A00000}"/>
    <cellStyle name="Normal 409 3 4" xfId="24756" xr:uid="{00000000-0005-0000-0000-000032A00000}"/>
    <cellStyle name="Normal 409 4" xfId="6563" xr:uid="{00000000-0005-0000-0000-000033A00000}"/>
    <cellStyle name="Normal 409 4 2" xfId="9773" xr:uid="{00000000-0005-0000-0000-000034A00000}"/>
    <cellStyle name="Normal 409 4 2 2" xfId="17567" xr:uid="{00000000-0005-0000-0000-000035A00000}"/>
    <cellStyle name="Normal 409 4 2 2 2" xfId="35204" xr:uid="{00000000-0005-0000-0000-000036A00000}"/>
    <cellStyle name="Normal 409 4 2 3" xfId="28157" xr:uid="{00000000-0005-0000-0000-000037A00000}"/>
    <cellStyle name="Normal 409 4 3" xfId="14352" xr:uid="{00000000-0005-0000-0000-000038A00000}"/>
    <cellStyle name="Normal 409 4 3 2" xfId="31987" xr:uid="{00000000-0005-0000-0000-000039A00000}"/>
    <cellStyle name="Normal 409 4 4" xfId="25293" xr:uid="{00000000-0005-0000-0000-00003AA00000}"/>
    <cellStyle name="Normal 409 5" xfId="7339" xr:uid="{00000000-0005-0000-0000-00003BA00000}"/>
    <cellStyle name="Normal 409 5 2" xfId="10327" xr:uid="{00000000-0005-0000-0000-00003CA00000}"/>
    <cellStyle name="Normal 409 5 2 2" xfId="18120" xr:uid="{00000000-0005-0000-0000-00003DA00000}"/>
    <cellStyle name="Normal 409 5 2 2 2" xfId="35757" xr:uid="{00000000-0005-0000-0000-00003EA00000}"/>
    <cellStyle name="Normal 409 5 2 3" xfId="28694" xr:uid="{00000000-0005-0000-0000-00003FA00000}"/>
    <cellStyle name="Normal 409 5 3" xfId="15127" xr:uid="{00000000-0005-0000-0000-000040A00000}"/>
    <cellStyle name="Normal 409 5 3 2" xfId="32762" xr:uid="{00000000-0005-0000-0000-000041A00000}"/>
    <cellStyle name="Normal 409 5 4" xfId="25831" xr:uid="{00000000-0005-0000-0000-000042A00000}"/>
    <cellStyle name="Normal 409 6" xfId="7938" xr:uid="{00000000-0005-0000-0000-000043A00000}"/>
    <cellStyle name="Normal 409 6 2" xfId="15735" xr:uid="{00000000-0005-0000-0000-000044A00000}"/>
    <cellStyle name="Normal 409 6 2 2" xfId="33370" xr:uid="{00000000-0005-0000-0000-000045A00000}"/>
    <cellStyle name="Normal 409 6 3" xfId="26354" xr:uid="{00000000-0005-0000-0000-000046A00000}"/>
    <cellStyle name="Normal 409 7" xfId="11897" xr:uid="{00000000-0005-0000-0000-000047A00000}"/>
    <cellStyle name="Normal 409 7 2" xfId="29580" xr:uid="{00000000-0005-0000-0000-000048A00000}"/>
    <cellStyle name="Normal 409 8" xfId="23489" xr:uid="{00000000-0005-0000-0000-000049A00000}"/>
    <cellStyle name="Normal 409 9" xfId="52398" xr:uid="{00000000-0005-0000-0000-00004AA00000}"/>
    <cellStyle name="Normal 41" xfId="2760" xr:uid="{00000000-0005-0000-0000-00004BA00000}"/>
    <cellStyle name="Normal 41 2" xfId="4772" xr:uid="{00000000-0005-0000-0000-00004CA00000}"/>
    <cellStyle name="Normal 41 2 2" xfId="22781" xr:uid="{00000000-0005-0000-0000-00004DA00000}"/>
    <cellStyle name="Normal 41 2 2 2" xfId="38988" xr:uid="{00000000-0005-0000-0000-00004EA00000}"/>
    <cellStyle name="Normal 41 3" xfId="22997" xr:uid="{00000000-0005-0000-0000-00004FA00000}"/>
    <cellStyle name="Normal 41 4" xfId="22572" xr:uid="{00000000-0005-0000-0000-000050A00000}"/>
    <cellStyle name="Normal 41 4 2" xfId="38883" xr:uid="{00000000-0005-0000-0000-000051A00000}"/>
    <cellStyle name="Normal 41 5" xfId="52399" xr:uid="{00000000-0005-0000-0000-000052A00000}"/>
    <cellStyle name="Normal 410" xfId="2761" xr:uid="{00000000-0005-0000-0000-000053A00000}"/>
    <cellStyle name="Normal 410 2" xfId="4773" xr:uid="{00000000-0005-0000-0000-000054A00000}"/>
    <cellStyle name="Normal 410 2 2" xfId="8621" xr:uid="{00000000-0005-0000-0000-000055A00000}"/>
    <cellStyle name="Normal 410 2 2 2" xfId="16417" xr:uid="{00000000-0005-0000-0000-000056A00000}"/>
    <cellStyle name="Normal 410 2 2 2 2" xfId="34052" xr:uid="{00000000-0005-0000-0000-000057A00000}"/>
    <cellStyle name="Normal 410 2 2 3" xfId="27022" xr:uid="{00000000-0005-0000-0000-000058A00000}"/>
    <cellStyle name="Normal 410 2 3" xfId="12913" xr:uid="{00000000-0005-0000-0000-000059A00000}"/>
    <cellStyle name="Normal 410 2 3 2" xfId="30563" xr:uid="{00000000-0005-0000-0000-00005AA00000}"/>
    <cellStyle name="Normal 410 2 4" xfId="24157" xr:uid="{00000000-0005-0000-0000-00005BA00000}"/>
    <cellStyle name="Normal 410 3" xfId="5934" xr:uid="{00000000-0005-0000-0000-00005CA00000}"/>
    <cellStyle name="Normal 410 3 2" xfId="9234" xr:uid="{00000000-0005-0000-0000-00005DA00000}"/>
    <cellStyle name="Normal 410 3 2 2" xfId="17029" xr:uid="{00000000-0005-0000-0000-00005EA00000}"/>
    <cellStyle name="Normal 410 3 2 2 2" xfId="34665" xr:uid="{00000000-0005-0000-0000-00005FA00000}"/>
    <cellStyle name="Normal 410 3 2 3" xfId="27622" xr:uid="{00000000-0005-0000-0000-000060A00000}"/>
    <cellStyle name="Normal 410 3 3" xfId="13790" xr:uid="{00000000-0005-0000-0000-000061A00000}"/>
    <cellStyle name="Normal 410 3 3 2" xfId="31430" xr:uid="{00000000-0005-0000-0000-000062A00000}"/>
    <cellStyle name="Normal 410 3 4" xfId="24757" xr:uid="{00000000-0005-0000-0000-000063A00000}"/>
    <cellStyle name="Normal 410 4" xfId="6564" xr:uid="{00000000-0005-0000-0000-000064A00000}"/>
    <cellStyle name="Normal 410 4 2" xfId="9774" xr:uid="{00000000-0005-0000-0000-000065A00000}"/>
    <cellStyle name="Normal 410 4 2 2" xfId="17568" xr:uid="{00000000-0005-0000-0000-000066A00000}"/>
    <cellStyle name="Normal 410 4 2 2 2" xfId="35205" xr:uid="{00000000-0005-0000-0000-000067A00000}"/>
    <cellStyle name="Normal 410 4 2 3" xfId="28158" xr:uid="{00000000-0005-0000-0000-000068A00000}"/>
    <cellStyle name="Normal 410 4 3" xfId="14353" xr:uid="{00000000-0005-0000-0000-000069A00000}"/>
    <cellStyle name="Normal 410 4 3 2" xfId="31988" xr:uid="{00000000-0005-0000-0000-00006AA00000}"/>
    <cellStyle name="Normal 410 4 4" xfId="25294" xr:uid="{00000000-0005-0000-0000-00006BA00000}"/>
    <cellStyle name="Normal 410 5" xfId="7340" xr:uid="{00000000-0005-0000-0000-00006CA00000}"/>
    <cellStyle name="Normal 410 5 2" xfId="10328" xr:uid="{00000000-0005-0000-0000-00006DA00000}"/>
    <cellStyle name="Normal 410 5 2 2" xfId="18121" xr:uid="{00000000-0005-0000-0000-00006EA00000}"/>
    <cellStyle name="Normal 410 5 2 2 2" xfId="35758" xr:uid="{00000000-0005-0000-0000-00006FA00000}"/>
    <cellStyle name="Normal 410 5 2 3" xfId="28695" xr:uid="{00000000-0005-0000-0000-000070A00000}"/>
    <cellStyle name="Normal 410 5 3" xfId="15128" xr:uid="{00000000-0005-0000-0000-000071A00000}"/>
    <cellStyle name="Normal 410 5 3 2" xfId="32763" xr:uid="{00000000-0005-0000-0000-000072A00000}"/>
    <cellStyle name="Normal 410 5 4" xfId="25832" xr:uid="{00000000-0005-0000-0000-000073A00000}"/>
    <cellStyle name="Normal 410 6" xfId="7939" xr:uid="{00000000-0005-0000-0000-000074A00000}"/>
    <cellStyle name="Normal 410 6 2" xfId="15736" xr:uid="{00000000-0005-0000-0000-000075A00000}"/>
    <cellStyle name="Normal 410 6 2 2" xfId="33371" xr:uid="{00000000-0005-0000-0000-000076A00000}"/>
    <cellStyle name="Normal 410 6 3" xfId="26355" xr:uid="{00000000-0005-0000-0000-000077A00000}"/>
    <cellStyle name="Normal 410 7" xfId="11898" xr:uid="{00000000-0005-0000-0000-000078A00000}"/>
    <cellStyle name="Normal 410 7 2" xfId="29581" xr:uid="{00000000-0005-0000-0000-000079A00000}"/>
    <cellStyle name="Normal 410 8" xfId="23490" xr:uid="{00000000-0005-0000-0000-00007AA00000}"/>
    <cellStyle name="Normal 410 9" xfId="52400" xr:uid="{00000000-0005-0000-0000-00007BA00000}"/>
    <cellStyle name="Normal 411" xfId="2762" xr:uid="{00000000-0005-0000-0000-00007CA00000}"/>
    <cellStyle name="Normal 411 2" xfId="4774" xr:uid="{00000000-0005-0000-0000-00007DA00000}"/>
    <cellStyle name="Normal 411 2 2" xfId="8622" xr:uid="{00000000-0005-0000-0000-00007EA00000}"/>
    <cellStyle name="Normal 411 2 2 2" xfId="16418" xr:uid="{00000000-0005-0000-0000-00007FA00000}"/>
    <cellStyle name="Normal 411 2 2 2 2" xfId="34053" xr:uid="{00000000-0005-0000-0000-000080A00000}"/>
    <cellStyle name="Normal 411 2 2 3" xfId="27023" xr:uid="{00000000-0005-0000-0000-000081A00000}"/>
    <cellStyle name="Normal 411 2 3" xfId="12914" xr:uid="{00000000-0005-0000-0000-000082A00000}"/>
    <cellStyle name="Normal 411 2 3 2" xfId="30564" xr:uid="{00000000-0005-0000-0000-000083A00000}"/>
    <cellStyle name="Normal 411 2 4" xfId="24158" xr:uid="{00000000-0005-0000-0000-000084A00000}"/>
    <cellStyle name="Normal 411 3" xfId="5935" xr:uid="{00000000-0005-0000-0000-000085A00000}"/>
    <cellStyle name="Normal 411 3 2" xfId="9235" xr:uid="{00000000-0005-0000-0000-000086A00000}"/>
    <cellStyle name="Normal 411 3 2 2" xfId="17030" xr:uid="{00000000-0005-0000-0000-000087A00000}"/>
    <cellStyle name="Normal 411 3 2 2 2" xfId="34666" xr:uid="{00000000-0005-0000-0000-000088A00000}"/>
    <cellStyle name="Normal 411 3 2 3" xfId="27623" xr:uid="{00000000-0005-0000-0000-000089A00000}"/>
    <cellStyle name="Normal 411 3 3" xfId="13791" xr:uid="{00000000-0005-0000-0000-00008AA00000}"/>
    <cellStyle name="Normal 411 3 3 2" xfId="31431" xr:uid="{00000000-0005-0000-0000-00008BA00000}"/>
    <cellStyle name="Normal 411 3 4" xfId="24758" xr:uid="{00000000-0005-0000-0000-00008CA00000}"/>
    <cellStyle name="Normal 411 4" xfId="6565" xr:uid="{00000000-0005-0000-0000-00008DA00000}"/>
    <cellStyle name="Normal 411 4 2" xfId="9775" xr:uid="{00000000-0005-0000-0000-00008EA00000}"/>
    <cellStyle name="Normal 411 4 2 2" xfId="17569" xr:uid="{00000000-0005-0000-0000-00008FA00000}"/>
    <cellStyle name="Normal 411 4 2 2 2" xfId="35206" xr:uid="{00000000-0005-0000-0000-000090A00000}"/>
    <cellStyle name="Normal 411 4 2 3" xfId="28159" xr:uid="{00000000-0005-0000-0000-000091A00000}"/>
    <cellStyle name="Normal 411 4 3" xfId="14354" xr:uid="{00000000-0005-0000-0000-000092A00000}"/>
    <cellStyle name="Normal 411 4 3 2" xfId="31989" xr:uid="{00000000-0005-0000-0000-000093A00000}"/>
    <cellStyle name="Normal 411 4 4" xfId="25295" xr:uid="{00000000-0005-0000-0000-000094A00000}"/>
    <cellStyle name="Normal 411 5" xfId="7341" xr:uid="{00000000-0005-0000-0000-000095A00000}"/>
    <cellStyle name="Normal 411 5 2" xfId="10329" xr:uid="{00000000-0005-0000-0000-000096A00000}"/>
    <cellStyle name="Normal 411 5 2 2" xfId="18122" xr:uid="{00000000-0005-0000-0000-000097A00000}"/>
    <cellStyle name="Normal 411 5 2 2 2" xfId="35759" xr:uid="{00000000-0005-0000-0000-000098A00000}"/>
    <cellStyle name="Normal 411 5 2 3" xfId="28696" xr:uid="{00000000-0005-0000-0000-000099A00000}"/>
    <cellStyle name="Normal 411 5 3" xfId="15129" xr:uid="{00000000-0005-0000-0000-00009AA00000}"/>
    <cellStyle name="Normal 411 5 3 2" xfId="32764" xr:uid="{00000000-0005-0000-0000-00009BA00000}"/>
    <cellStyle name="Normal 411 5 4" xfId="25833" xr:uid="{00000000-0005-0000-0000-00009CA00000}"/>
    <cellStyle name="Normal 411 6" xfId="7940" xr:uid="{00000000-0005-0000-0000-00009DA00000}"/>
    <cellStyle name="Normal 411 6 2" xfId="15737" xr:uid="{00000000-0005-0000-0000-00009EA00000}"/>
    <cellStyle name="Normal 411 6 2 2" xfId="33372" xr:uid="{00000000-0005-0000-0000-00009FA00000}"/>
    <cellStyle name="Normal 411 6 3" xfId="26356" xr:uid="{00000000-0005-0000-0000-0000A0A00000}"/>
    <cellStyle name="Normal 411 7" xfId="11899" xr:uid="{00000000-0005-0000-0000-0000A1A00000}"/>
    <cellStyle name="Normal 411 7 2" xfId="29582" xr:uid="{00000000-0005-0000-0000-0000A2A00000}"/>
    <cellStyle name="Normal 411 8" xfId="23491" xr:uid="{00000000-0005-0000-0000-0000A3A00000}"/>
    <cellStyle name="Normal 411 9" xfId="52401" xr:uid="{00000000-0005-0000-0000-0000A4A00000}"/>
    <cellStyle name="Normal 412" xfId="2763" xr:uid="{00000000-0005-0000-0000-0000A5A00000}"/>
    <cellStyle name="Normal 412 2" xfId="4775" xr:uid="{00000000-0005-0000-0000-0000A6A00000}"/>
    <cellStyle name="Normal 412 2 2" xfId="8623" xr:uid="{00000000-0005-0000-0000-0000A7A00000}"/>
    <cellStyle name="Normal 412 2 2 2" xfId="16419" xr:uid="{00000000-0005-0000-0000-0000A8A00000}"/>
    <cellStyle name="Normal 412 2 2 2 2" xfId="34054" xr:uid="{00000000-0005-0000-0000-0000A9A00000}"/>
    <cellStyle name="Normal 412 2 2 3" xfId="27024" xr:uid="{00000000-0005-0000-0000-0000AAA00000}"/>
    <cellStyle name="Normal 412 2 3" xfId="12915" xr:uid="{00000000-0005-0000-0000-0000ABA00000}"/>
    <cellStyle name="Normal 412 2 3 2" xfId="30565" xr:uid="{00000000-0005-0000-0000-0000ACA00000}"/>
    <cellStyle name="Normal 412 2 4" xfId="24159" xr:uid="{00000000-0005-0000-0000-0000ADA00000}"/>
    <cellStyle name="Normal 412 3" xfId="5936" xr:uid="{00000000-0005-0000-0000-0000AEA00000}"/>
    <cellStyle name="Normal 412 3 2" xfId="9236" xr:uid="{00000000-0005-0000-0000-0000AFA00000}"/>
    <cellStyle name="Normal 412 3 2 2" xfId="17031" xr:uid="{00000000-0005-0000-0000-0000B0A00000}"/>
    <cellStyle name="Normal 412 3 2 2 2" xfId="34667" xr:uid="{00000000-0005-0000-0000-0000B1A00000}"/>
    <cellStyle name="Normal 412 3 2 3" xfId="27624" xr:uid="{00000000-0005-0000-0000-0000B2A00000}"/>
    <cellStyle name="Normal 412 3 3" xfId="13792" xr:uid="{00000000-0005-0000-0000-0000B3A00000}"/>
    <cellStyle name="Normal 412 3 3 2" xfId="31432" xr:uid="{00000000-0005-0000-0000-0000B4A00000}"/>
    <cellStyle name="Normal 412 3 4" xfId="24759" xr:uid="{00000000-0005-0000-0000-0000B5A00000}"/>
    <cellStyle name="Normal 412 4" xfId="6566" xr:uid="{00000000-0005-0000-0000-0000B6A00000}"/>
    <cellStyle name="Normal 412 4 2" xfId="9776" xr:uid="{00000000-0005-0000-0000-0000B7A00000}"/>
    <cellStyle name="Normal 412 4 2 2" xfId="17570" xr:uid="{00000000-0005-0000-0000-0000B8A00000}"/>
    <cellStyle name="Normal 412 4 2 2 2" xfId="35207" xr:uid="{00000000-0005-0000-0000-0000B9A00000}"/>
    <cellStyle name="Normal 412 4 2 3" xfId="28160" xr:uid="{00000000-0005-0000-0000-0000BAA00000}"/>
    <cellStyle name="Normal 412 4 3" xfId="14355" xr:uid="{00000000-0005-0000-0000-0000BBA00000}"/>
    <cellStyle name="Normal 412 4 3 2" xfId="31990" xr:uid="{00000000-0005-0000-0000-0000BCA00000}"/>
    <cellStyle name="Normal 412 4 4" xfId="25296" xr:uid="{00000000-0005-0000-0000-0000BDA00000}"/>
    <cellStyle name="Normal 412 5" xfId="7342" xr:uid="{00000000-0005-0000-0000-0000BEA00000}"/>
    <cellStyle name="Normal 412 5 2" xfId="10330" xr:uid="{00000000-0005-0000-0000-0000BFA00000}"/>
    <cellStyle name="Normal 412 5 2 2" xfId="18123" xr:uid="{00000000-0005-0000-0000-0000C0A00000}"/>
    <cellStyle name="Normal 412 5 2 2 2" xfId="35760" xr:uid="{00000000-0005-0000-0000-0000C1A00000}"/>
    <cellStyle name="Normal 412 5 2 3" xfId="28697" xr:uid="{00000000-0005-0000-0000-0000C2A00000}"/>
    <cellStyle name="Normal 412 5 3" xfId="15130" xr:uid="{00000000-0005-0000-0000-0000C3A00000}"/>
    <cellStyle name="Normal 412 5 3 2" xfId="32765" xr:uid="{00000000-0005-0000-0000-0000C4A00000}"/>
    <cellStyle name="Normal 412 5 4" xfId="25834" xr:uid="{00000000-0005-0000-0000-0000C5A00000}"/>
    <cellStyle name="Normal 412 6" xfId="7941" xr:uid="{00000000-0005-0000-0000-0000C6A00000}"/>
    <cellStyle name="Normal 412 6 2" xfId="15738" xr:uid="{00000000-0005-0000-0000-0000C7A00000}"/>
    <cellStyle name="Normal 412 6 2 2" xfId="33373" xr:uid="{00000000-0005-0000-0000-0000C8A00000}"/>
    <cellStyle name="Normal 412 6 3" xfId="26357" xr:uid="{00000000-0005-0000-0000-0000C9A00000}"/>
    <cellStyle name="Normal 412 7" xfId="11900" xr:uid="{00000000-0005-0000-0000-0000CAA00000}"/>
    <cellStyle name="Normal 412 7 2" xfId="29583" xr:uid="{00000000-0005-0000-0000-0000CBA00000}"/>
    <cellStyle name="Normal 412 8" xfId="23492" xr:uid="{00000000-0005-0000-0000-0000CCA00000}"/>
    <cellStyle name="Normal 412 9" xfId="52402" xr:uid="{00000000-0005-0000-0000-0000CDA00000}"/>
    <cellStyle name="Normal 413" xfId="2764" xr:uid="{00000000-0005-0000-0000-0000CEA00000}"/>
    <cellStyle name="Normal 413 2" xfId="4776" xr:uid="{00000000-0005-0000-0000-0000CFA00000}"/>
    <cellStyle name="Normal 413 2 2" xfId="8624" xr:uid="{00000000-0005-0000-0000-0000D0A00000}"/>
    <cellStyle name="Normal 413 2 2 2" xfId="16420" xr:uid="{00000000-0005-0000-0000-0000D1A00000}"/>
    <cellStyle name="Normal 413 2 2 2 2" xfId="34055" xr:uid="{00000000-0005-0000-0000-0000D2A00000}"/>
    <cellStyle name="Normal 413 2 2 3" xfId="27025" xr:uid="{00000000-0005-0000-0000-0000D3A00000}"/>
    <cellStyle name="Normal 413 2 3" xfId="12916" xr:uid="{00000000-0005-0000-0000-0000D4A00000}"/>
    <cellStyle name="Normal 413 2 3 2" xfId="30566" xr:uid="{00000000-0005-0000-0000-0000D5A00000}"/>
    <cellStyle name="Normal 413 2 4" xfId="24160" xr:uid="{00000000-0005-0000-0000-0000D6A00000}"/>
    <cellStyle name="Normal 413 3" xfId="5937" xr:uid="{00000000-0005-0000-0000-0000D7A00000}"/>
    <cellStyle name="Normal 413 3 2" xfId="9237" xr:uid="{00000000-0005-0000-0000-0000D8A00000}"/>
    <cellStyle name="Normal 413 3 2 2" xfId="17032" xr:uid="{00000000-0005-0000-0000-0000D9A00000}"/>
    <cellStyle name="Normal 413 3 2 2 2" xfId="34668" xr:uid="{00000000-0005-0000-0000-0000DAA00000}"/>
    <cellStyle name="Normal 413 3 2 3" xfId="27625" xr:uid="{00000000-0005-0000-0000-0000DBA00000}"/>
    <cellStyle name="Normal 413 3 3" xfId="13793" xr:uid="{00000000-0005-0000-0000-0000DCA00000}"/>
    <cellStyle name="Normal 413 3 3 2" xfId="31433" xr:uid="{00000000-0005-0000-0000-0000DDA00000}"/>
    <cellStyle name="Normal 413 3 4" xfId="24760" xr:uid="{00000000-0005-0000-0000-0000DEA00000}"/>
    <cellStyle name="Normal 413 4" xfId="6567" xr:uid="{00000000-0005-0000-0000-0000DFA00000}"/>
    <cellStyle name="Normal 413 4 2" xfId="9777" xr:uid="{00000000-0005-0000-0000-0000E0A00000}"/>
    <cellStyle name="Normal 413 4 2 2" xfId="17571" xr:uid="{00000000-0005-0000-0000-0000E1A00000}"/>
    <cellStyle name="Normal 413 4 2 2 2" xfId="35208" xr:uid="{00000000-0005-0000-0000-0000E2A00000}"/>
    <cellStyle name="Normal 413 4 2 3" xfId="28161" xr:uid="{00000000-0005-0000-0000-0000E3A00000}"/>
    <cellStyle name="Normal 413 4 3" xfId="14356" xr:uid="{00000000-0005-0000-0000-0000E4A00000}"/>
    <cellStyle name="Normal 413 4 3 2" xfId="31991" xr:uid="{00000000-0005-0000-0000-0000E5A00000}"/>
    <cellStyle name="Normal 413 4 4" xfId="25297" xr:uid="{00000000-0005-0000-0000-0000E6A00000}"/>
    <cellStyle name="Normal 413 5" xfId="7343" xr:uid="{00000000-0005-0000-0000-0000E7A00000}"/>
    <cellStyle name="Normal 413 5 2" xfId="10331" xr:uid="{00000000-0005-0000-0000-0000E8A00000}"/>
    <cellStyle name="Normal 413 5 2 2" xfId="18124" xr:uid="{00000000-0005-0000-0000-0000E9A00000}"/>
    <cellStyle name="Normal 413 5 2 2 2" xfId="35761" xr:uid="{00000000-0005-0000-0000-0000EAA00000}"/>
    <cellStyle name="Normal 413 5 2 3" xfId="28698" xr:uid="{00000000-0005-0000-0000-0000EBA00000}"/>
    <cellStyle name="Normal 413 5 3" xfId="15131" xr:uid="{00000000-0005-0000-0000-0000ECA00000}"/>
    <cellStyle name="Normal 413 5 3 2" xfId="32766" xr:uid="{00000000-0005-0000-0000-0000EDA00000}"/>
    <cellStyle name="Normal 413 5 4" xfId="25835" xr:uid="{00000000-0005-0000-0000-0000EEA00000}"/>
    <cellStyle name="Normal 413 6" xfId="7942" xr:uid="{00000000-0005-0000-0000-0000EFA00000}"/>
    <cellStyle name="Normal 413 6 2" xfId="15739" xr:uid="{00000000-0005-0000-0000-0000F0A00000}"/>
    <cellStyle name="Normal 413 6 2 2" xfId="33374" xr:uid="{00000000-0005-0000-0000-0000F1A00000}"/>
    <cellStyle name="Normal 413 6 3" xfId="26358" xr:uid="{00000000-0005-0000-0000-0000F2A00000}"/>
    <cellStyle name="Normal 413 7" xfId="11901" xr:uid="{00000000-0005-0000-0000-0000F3A00000}"/>
    <cellStyle name="Normal 413 7 2" xfId="29584" xr:uid="{00000000-0005-0000-0000-0000F4A00000}"/>
    <cellStyle name="Normal 413 8" xfId="23493" xr:uid="{00000000-0005-0000-0000-0000F5A00000}"/>
    <cellStyle name="Normal 413 9" xfId="52403" xr:uid="{00000000-0005-0000-0000-0000F6A00000}"/>
    <cellStyle name="Normal 414" xfId="2765" xr:uid="{00000000-0005-0000-0000-0000F7A00000}"/>
    <cellStyle name="Normal 414 2" xfId="4777" xr:uid="{00000000-0005-0000-0000-0000F8A00000}"/>
    <cellStyle name="Normal 414 2 2" xfId="8625" xr:uid="{00000000-0005-0000-0000-0000F9A00000}"/>
    <cellStyle name="Normal 414 2 2 2" xfId="16421" xr:uid="{00000000-0005-0000-0000-0000FAA00000}"/>
    <cellStyle name="Normal 414 2 2 2 2" xfId="34056" xr:uid="{00000000-0005-0000-0000-0000FBA00000}"/>
    <cellStyle name="Normal 414 2 2 3" xfId="27026" xr:uid="{00000000-0005-0000-0000-0000FCA00000}"/>
    <cellStyle name="Normal 414 2 3" xfId="12917" xr:uid="{00000000-0005-0000-0000-0000FDA00000}"/>
    <cellStyle name="Normal 414 2 3 2" xfId="30567" xr:uid="{00000000-0005-0000-0000-0000FEA00000}"/>
    <cellStyle name="Normal 414 2 4" xfId="24161" xr:uid="{00000000-0005-0000-0000-0000FFA00000}"/>
    <cellStyle name="Normal 414 3" xfId="5938" xr:uid="{00000000-0005-0000-0000-000000A10000}"/>
    <cellStyle name="Normal 414 3 2" xfId="9238" xr:uid="{00000000-0005-0000-0000-000001A10000}"/>
    <cellStyle name="Normal 414 3 2 2" xfId="17033" xr:uid="{00000000-0005-0000-0000-000002A10000}"/>
    <cellStyle name="Normal 414 3 2 2 2" xfId="34669" xr:uid="{00000000-0005-0000-0000-000003A10000}"/>
    <cellStyle name="Normal 414 3 2 3" xfId="27626" xr:uid="{00000000-0005-0000-0000-000004A10000}"/>
    <cellStyle name="Normal 414 3 3" xfId="13794" xr:uid="{00000000-0005-0000-0000-000005A10000}"/>
    <cellStyle name="Normal 414 3 3 2" xfId="31434" xr:uid="{00000000-0005-0000-0000-000006A10000}"/>
    <cellStyle name="Normal 414 3 4" xfId="24761" xr:uid="{00000000-0005-0000-0000-000007A10000}"/>
    <cellStyle name="Normal 414 4" xfId="6568" xr:uid="{00000000-0005-0000-0000-000008A10000}"/>
    <cellStyle name="Normal 414 4 2" xfId="9778" xr:uid="{00000000-0005-0000-0000-000009A10000}"/>
    <cellStyle name="Normal 414 4 2 2" xfId="17572" xr:uid="{00000000-0005-0000-0000-00000AA10000}"/>
    <cellStyle name="Normal 414 4 2 2 2" xfId="35209" xr:uid="{00000000-0005-0000-0000-00000BA10000}"/>
    <cellStyle name="Normal 414 4 2 3" xfId="28162" xr:uid="{00000000-0005-0000-0000-00000CA10000}"/>
    <cellStyle name="Normal 414 4 3" xfId="14357" xr:uid="{00000000-0005-0000-0000-00000DA10000}"/>
    <cellStyle name="Normal 414 4 3 2" xfId="31992" xr:uid="{00000000-0005-0000-0000-00000EA10000}"/>
    <cellStyle name="Normal 414 4 4" xfId="25298" xr:uid="{00000000-0005-0000-0000-00000FA10000}"/>
    <cellStyle name="Normal 414 5" xfId="7344" xr:uid="{00000000-0005-0000-0000-000010A10000}"/>
    <cellStyle name="Normal 414 5 2" xfId="10332" xr:uid="{00000000-0005-0000-0000-000011A10000}"/>
    <cellStyle name="Normal 414 5 2 2" xfId="18125" xr:uid="{00000000-0005-0000-0000-000012A10000}"/>
    <cellStyle name="Normal 414 5 2 2 2" xfId="35762" xr:uid="{00000000-0005-0000-0000-000013A10000}"/>
    <cellStyle name="Normal 414 5 2 3" xfId="28699" xr:uid="{00000000-0005-0000-0000-000014A10000}"/>
    <cellStyle name="Normal 414 5 3" xfId="15132" xr:uid="{00000000-0005-0000-0000-000015A10000}"/>
    <cellStyle name="Normal 414 5 3 2" xfId="32767" xr:uid="{00000000-0005-0000-0000-000016A10000}"/>
    <cellStyle name="Normal 414 5 4" xfId="25836" xr:uid="{00000000-0005-0000-0000-000017A10000}"/>
    <cellStyle name="Normal 414 6" xfId="7943" xr:uid="{00000000-0005-0000-0000-000018A10000}"/>
    <cellStyle name="Normal 414 6 2" xfId="15740" xr:uid="{00000000-0005-0000-0000-000019A10000}"/>
    <cellStyle name="Normal 414 6 2 2" xfId="33375" xr:uid="{00000000-0005-0000-0000-00001AA10000}"/>
    <cellStyle name="Normal 414 6 3" xfId="26359" xr:uid="{00000000-0005-0000-0000-00001BA10000}"/>
    <cellStyle name="Normal 414 7" xfId="11902" xr:uid="{00000000-0005-0000-0000-00001CA10000}"/>
    <cellStyle name="Normal 414 7 2" xfId="29585" xr:uid="{00000000-0005-0000-0000-00001DA10000}"/>
    <cellStyle name="Normal 414 8" xfId="23494" xr:uid="{00000000-0005-0000-0000-00001EA10000}"/>
    <cellStyle name="Normal 414 9" xfId="52404" xr:uid="{00000000-0005-0000-0000-00001FA10000}"/>
    <cellStyle name="Normal 415" xfId="2766" xr:uid="{00000000-0005-0000-0000-000020A10000}"/>
    <cellStyle name="Normal 415 2" xfId="4778" xr:uid="{00000000-0005-0000-0000-000021A10000}"/>
    <cellStyle name="Normal 415 2 2" xfId="8626" xr:uid="{00000000-0005-0000-0000-000022A10000}"/>
    <cellStyle name="Normal 415 2 2 2" xfId="16422" xr:uid="{00000000-0005-0000-0000-000023A10000}"/>
    <cellStyle name="Normal 415 2 2 2 2" xfId="34057" xr:uid="{00000000-0005-0000-0000-000024A10000}"/>
    <cellStyle name="Normal 415 2 2 3" xfId="27027" xr:uid="{00000000-0005-0000-0000-000025A10000}"/>
    <cellStyle name="Normal 415 2 3" xfId="12918" xr:uid="{00000000-0005-0000-0000-000026A10000}"/>
    <cellStyle name="Normal 415 2 3 2" xfId="30568" xr:uid="{00000000-0005-0000-0000-000027A10000}"/>
    <cellStyle name="Normal 415 2 4" xfId="24162" xr:uid="{00000000-0005-0000-0000-000028A10000}"/>
    <cellStyle name="Normal 415 3" xfId="5939" xr:uid="{00000000-0005-0000-0000-000029A10000}"/>
    <cellStyle name="Normal 415 3 2" xfId="9239" xr:uid="{00000000-0005-0000-0000-00002AA10000}"/>
    <cellStyle name="Normal 415 3 2 2" xfId="17034" xr:uid="{00000000-0005-0000-0000-00002BA10000}"/>
    <cellStyle name="Normal 415 3 2 2 2" xfId="34670" xr:uid="{00000000-0005-0000-0000-00002CA10000}"/>
    <cellStyle name="Normal 415 3 2 3" xfId="27627" xr:uid="{00000000-0005-0000-0000-00002DA10000}"/>
    <cellStyle name="Normal 415 3 3" xfId="13795" xr:uid="{00000000-0005-0000-0000-00002EA10000}"/>
    <cellStyle name="Normal 415 3 3 2" xfId="31435" xr:uid="{00000000-0005-0000-0000-00002FA10000}"/>
    <cellStyle name="Normal 415 3 4" xfId="24762" xr:uid="{00000000-0005-0000-0000-000030A10000}"/>
    <cellStyle name="Normal 415 4" xfId="6569" xr:uid="{00000000-0005-0000-0000-000031A10000}"/>
    <cellStyle name="Normal 415 4 2" xfId="9779" xr:uid="{00000000-0005-0000-0000-000032A10000}"/>
    <cellStyle name="Normal 415 4 2 2" xfId="17573" xr:uid="{00000000-0005-0000-0000-000033A10000}"/>
    <cellStyle name="Normal 415 4 2 2 2" xfId="35210" xr:uid="{00000000-0005-0000-0000-000034A10000}"/>
    <cellStyle name="Normal 415 4 2 3" xfId="28163" xr:uid="{00000000-0005-0000-0000-000035A10000}"/>
    <cellStyle name="Normal 415 4 3" xfId="14358" xr:uid="{00000000-0005-0000-0000-000036A10000}"/>
    <cellStyle name="Normal 415 4 3 2" xfId="31993" xr:uid="{00000000-0005-0000-0000-000037A10000}"/>
    <cellStyle name="Normal 415 4 4" xfId="25299" xr:uid="{00000000-0005-0000-0000-000038A10000}"/>
    <cellStyle name="Normal 415 5" xfId="7345" xr:uid="{00000000-0005-0000-0000-000039A10000}"/>
    <cellStyle name="Normal 415 5 2" xfId="10333" xr:uid="{00000000-0005-0000-0000-00003AA10000}"/>
    <cellStyle name="Normal 415 5 2 2" xfId="18126" xr:uid="{00000000-0005-0000-0000-00003BA10000}"/>
    <cellStyle name="Normal 415 5 2 2 2" xfId="35763" xr:uid="{00000000-0005-0000-0000-00003CA10000}"/>
    <cellStyle name="Normal 415 5 2 3" xfId="28700" xr:uid="{00000000-0005-0000-0000-00003DA10000}"/>
    <cellStyle name="Normal 415 5 3" xfId="15133" xr:uid="{00000000-0005-0000-0000-00003EA10000}"/>
    <cellStyle name="Normal 415 5 3 2" xfId="32768" xr:uid="{00000000-0005-0000-0000-00003FA10000}"/>
    <cellStyle name="Normal 415 5 4" xfId="25837" xr:uid="{00000000-0005-0000-0000-000040A10000}"/>
    <cellStyle name="Normal 415 6" xfId="7944" xr:uid="{00000000-0005-0000-0000-000041A10000}"/>
    <cellStyle name="Normal 415 6 2" xfId="15741" xr:uid="{00000000-0005-0000-0000-000042A10000}"/>
    <cellStyle name="Normal 415 6 2 2" xfId="33376" xr:uid="{00000000-0005-0000-0000-000043A10000}"/>
    <cellStyle name="Normal 415 6 3" xfId="26360" xr:uid="{00000000-0005-0000-0000-000044A10000}"/>
    <cellStyle name="Normal 415 7" xfId="11903" xr:uid="{00000000-0005-0000-0000-000045A10000}"/>
    <cellStyle name="Normal 415 7 2" xfId="29586" xr:uid="{00000000-0005-0000-0000-000046A10000}"/>
    <cellStyle name="Normal 415 8" xfId="23495" xr:uid="{00000000-0005-0000-0000-000047A10000}"/>
    <cellStyle name="Normal 415 9" xfId="52405" xr:uid="{00000000-0005-0000-0000-000048A10000}"/>
    <cellStyle name="Normal 416" xfId="2767" xr:uid="{00000000-0005-0000-0000-000049A10000}"/>
    <cellStyle name="Normal 416 2" xfId="4779" xr:uid="{00000000-0005-0000-0000-00004AA10000}"/>
    <cellStyle name="Normal 416 3" xfId="52406" xr:uid="{00000000-0005-0000-0000-00004BA10000}"/>
    <cellStyle name="Normal 417" xfId="2768" xr:uid="{00000000-0005-0000-0000-00004CA10000}"/>
    <cellStyle name="Normal 417 2" xfId="4780" xr:uid="{00000000-0005-0000-0000-00004DA10000}"/>
    <cellStyle name="Normal 417 3" xfId="52407" xr:uid="{00000000-0005-0000-0000-00004EA10000}"/>
    <cellStyle name="Normal 418" xfId="2769" xr:uid="{00000000-0005-0000-0000-00004FA10000}"/>
    <cellStyle name="Normal 418 2" xfId="4781" xr:uid="{00000000-0005-0000-0000-000050A10000}"/>
    <cellStyle name="Normal 418 2 2" xfId="8627" xr:uid="{00000000-0005-0000-0000-000051A10000}"/>
    <cellStyle name="Normal 418 2 2 2" xfId="16423" xr:uid="{00000000-0005-0000-0000-000052A10000}"/>
    <cellStyle name="Normal 418 2 2 2 2" xfId="34058" xr:uid="{00000000-0005-0000-0000-000053A10000}"/>
    <cellStyle name="Normal 418 2 2 3" xfId="27028" xr:uid="{00000000-0005-0000-0000-000054A10000}"/>
    <cellStyle name="Normal 418 2 3" xfId="12919" xr:uid="{00000000-0005-0000-0000-000055A10000}"/>
    <cellStyle name="Normal 418 2 3 2" xfId="30569" xr:uid="{00000000-0005-0000-0000-000056A10000}"/>
    <cellStyle name="Normal 418 2 4" xfId="24163" xr:uid="{00000000-0005-0000-0000-000057A10000}"/>
    <cellStyle name="Normal 418 3" xfId="5940" xr:uid="{00000000-0005-0000-0000-000058A10000}"/>
    <cellStyle name="Normal 418 3 2" xfId="9240" xr:uid="{00000000-0005-0000-0000-000059A10000}"/>
    <cellStyle name="Normal 418 3 2 2" xfId="17035" xr:uid="{00000000-0005-0000-0000-00005AA10000}"/>
    <cellStyle name="Normal 418 3 2 2 2" xfId="34671" xr:uid="{00000000-0005-0000-0000-00005BA10000}"/>
    <cellStyle name="Normal 418 3 2 3" xfId="27628" xr:uid="{00000000-0005-0000-0000-00005CA10000}"/>
    <cellStyle name="Normal 418 3 3" xfId="13796" xr:uid="{00000000-0005-0000-0000-00005DA10000}"/>
    <cellStyle name="Normal 418 3 3 2" xfId="31436" xr:uid="{00000000-0005-0000-0000-00005EA10000}"/>
    <cellStyle name="Normal 418 3 4" xfId="24763" xr:uid="{00000000-0005-0000-0000-00005FA10000}"/>
    <cellStyle name="Normal 418 4" xfId="6570" xr:uid="{00000000-0005-0000-0000-000060A10000}"/>
    <cellStyle name="Normal 418 4 2" xfId="9780" xr:uid="{00000000-0005-0000-0000-000061A10000}"/>
    <cellStyle name="Normal 418 4 2 2" xfId="17574" xr:uid="{00000000-0005-0000-0000-000062A10000}"/>
    <cellStyle name="Normal 418 4 2 2 2" xfId="35211" xr:uid="{00000000-0005-0000-0000-000063A10000}"/>
    <cellStyle name="Normal 418 4 2 3" xfId="28164" xr:uid="{00000000-0005-0000-0000-000064A10000}"/>
    <cellStyle name="Normal 418 4 3" xfId="14359" xr:uid="{00000000-0005-0000-0000-000065A10000}"/>
    <cellStyle name="Normal 418 4 3 2" xfId="31994" xr:uid="{00000000-0005-0000-0000-000066A10000}"/>
    <cellStyle name="Normal 418 4 4" xfId="25300" xr:uid="{00000000-0005-0000-0000-000067A10000}"/>
    <cellStyle name="Normal 418 5" xfId="7346" xr:uid="{00000000-0005-0000-0000-000068A10000}"/>
    <cellStyle name="Normal 418 5 2" xfId="10334" xr:uid="{00000000-0005-0000-0000-000069A10000}"/>
    <cellStyle name="Normal 418 5 2 2" xfId="18127" xr:uid="{00000000-0005-0000-0000-00006AA10000}"/>
    <cellStyle name="Normal 418 5 2 2 2" xfId="35764" xr:uid="{00000000-0005-0000-0000-00006BA10000}"/>
    <cellStyle name="Normal 418 5 2 3" xfId="28701" xr:uid="{00000000-0005-0000-0000-00006CA10000}"/>
    <cellStyle name="Normal 418 5 3" xfId="15134" xr:uid="{00000000-0005-0000-0000-00006DA10000}"/>
    <cellStyle name="Normal 418 5 3 2" xfId="32769" xr:uid="{00000000-0005-0000-0000-00006EA10000}"/>
    <cellStyle name="Normal 418 5 4" xfId="25838" xr:uid="{00000000-0005-0000-0000-00006FA10000}"/>
    <cellStyle name="Normal 418 6" xfId="7945" xr:uid="{00000000-0005-0000-0000-000070A10000}"/>
    <cellStyle name="Normal 418 6 2" xfId="15742" xr:uid="{00000000-0005-0000-0000-000071A10000}"/>
    <cellStyle name="Normal 418 6 2 2" xfId="33377" xr:uid="{00000000-0005-0000-0000-000072A10000}"/>
    <cellStyle name="Normal 418 6 3" xfId="26361" xr:uid="{00000000-0005-0000-0000-000073A10000}"/>
    <cellStyle name="Normal 418 7" xfId="11904" xr:uid="{00000000-0005-0000-0000-000074A10000}"/>
    <cellStyle name="Normal 418 7 2" xfId="29587" xr:uid="{00000000-0005-0000-0000-000075A10000}"/>
    <cellStyle name="Normal 418 8" xfId="23496" xr:uid="{00000000-0005-0000-0000-000076A10000}"/>
    <cellStyle name="Normal 418 9" xfId="52408" xr:uid="{00000000-0005-0000-0000-000077A10000}"/>
    <cellStyle name="Normal 419" xfId="2770" xr:uid="{00000000-0005-0000-0000-000078A10000}"/>
    <cellStyle name="Normal 419 2" xfId="4782" xr:uid="{00000000-0005-0000-0000-000079A10000}"/>
    <cellStyle name="Normal 419 2 2" xfId="8628" xr:uid="{00000000-0005-0000-0000-00007AA10000}"/>
    <cellStyle name="Normal 419 2 2 2" xfId="16424" xr:uid="{00000000-0005-0000-0000-00007BA10000}"/>
    <cellStyle name="Normal 419 2 2 2 2" xfId="34059" xr:uid="{00000000-0005-0000-0000-00007CA10000}"/>
    <cellStyle name="Normal 419 2 2 3" xfId="27029" xr:uid="{00000000-0005-0000-0000-00007DA10000}"/>
    <cellStyle name="Normal 419 2 3" xfId="12920" xr:uid="{00000000-0005-0000-0000-00007EA10000}"/>
    <cellStyle name="Normal 419 2 3 2" xfId="30570" xr:uid="{00000000-0005-0000-0000-00007FA10000}"/>
    <cellStyle name="Normal 419 2 4" xfId="24164" xr:uid="{00000000-0005-0000-0000-000080A10000}"/>
    <cellStyle name="Normal 419 3" xfId="5941" xr:uid="{00000000-0005-0000-0000-000081A10000}"/>
    <cellStyle name="Normal 419 3 2" xfId="9241" xr:uid="{00000000-0005-0000-0000-000082A10000}"/>
    <cellStyle name="Normal 419 3 2 2" xfId="17036" xr:uid="{00000000-0005-0000-0000-000083A10000}"/>
    <cellStyle name="Normal 419 3 2 2 2" xfId="34672" xr:uid="{00000000-0005-0000-0000-000084A10000}"/>
    <cellStyle name="Normal 419 3 2 3" xfId="27629" xr:uid="{00000000-0005-0000-0000-000085A10000}"/>
    <cellStyle name="Normal 419 3 3" xfId="13797" xr:uid="{00000000-0005-0000-0000-000086A10000}"/>
    <cellStyle name="Normal 419 3 3 2" xfId="31437" xr:uid="{00000000-0005-0000-0000-000087A10000}"/>
    <cellStyle name="Normal 419 3 4" xfId="24764" xr:uid="{00000000-0005-0000-0000-000088A10000}"/>
    <cellStyle name="Normal 419 4" xfId="6571" xr:uid="{00000000-0005-0000-0000-000089A10000}"/>
    <cellStyle name="Normal 419 4 2" xfId="9781" xr:uid="{00000000-0005-0000-0000-00008AA10000}"/>
    <cellStyle name="Normal 419 4 2 2" xfId="17575" xr:uid="{00000000-0005-0000-0000-00008BA10000}"/>
    <cellStyle name="Normal 419 4 2 2 2" xfId="35212" xr:uid="{00000000-0005-0000-0000-00008CA10000}"/>
    <cellStyle name="Normal 419 4 2 3" xfId="28165" xr:uid="{00000000-0005-0000-0000-00008DA10000}"/>
    <cellStyle name="Normal 419 4 3" xfId="14360" xr:uid="{00000000-0005-0000-0000-00008EA10000}"/>
    <cellStyle name="Normal 419 4 3 2" xfId="31995" xr:uid="{00000000-0005-0000-0000-00008FA10000}"/>
    <cellStyle name="Normal 419 4 4" xfId="25301" xr:uid="{00000000-0005-0000-0000-000090A10000}"/>
    <cellStyle name="Normal 419 5" xfId="7347" xr:uid="{00000000-0005-0000-0000-000091A10000}"/>
    <cellStyle name="Normal 419 5 2" xfId="10335" xr:uid="{00000000-0005-0000-0000-000092A10000}"/>
    <cellStyle name="Normal 419 5 2 2" xfId="18128" xr:uid="{00000000-0005-0000-0000-000093A10000}"/>
    <cellStyle name="Normal 419 5 2 2 2" xfId="35765" xr:uid="{00000000-0005-0000-0000-000094A10000}"/>
    <cellStyle name="Normal 419 5 2 3" xfId="28702" xr:uid="{00000000-0005-0000-0000-000095A10000}"/>
    <cellStyle name="Normal 419 5 3" xfId="15135" xr:uid="{00000000-0005-0000-0000-000096A10000}"/>
    <cellStyle name="Normal 419 5 3 2" xfId="32770" xr:uid="{00000000-0005-0000-0000-000097A10000}"/>
    <cellStyle name="Normal 419 5 4" xfId="25839" xr:uid="{00000000-0005-0000-0000-000098A10000}"/>
    <cellStyle name="Normal 419 6" xfId="7946" xr:uid="{00000000-0005-0000-0000-000099A10000}"/>
    <cellStyle name="Normal 419 6 2" xfId="15743" xr:uid="{00000000-0005-0000-0000-00009AA10000}"/>
    <cellStyle name="Normal 419 6 2 2" xfId="33378" xr:uid="{00000000-0005-0000-0000-00009BA10000}"/>
    <cellStyle name="Normal 419 6 3" xfId="26362" xr:uid="{00000000-0005-0000-0000-00009CA10000}"/>
    <cellStyle name="Normal 419 7" xfId="11905" xr:uid="{00000000-0005-0000-0000-00009DA10000}"/>
    <cellStyle name="Normal 419 7 2" xfId="29588" xr:uid="{00000000-0005-0000-0000-00009EA10000}"/>
    <cellStyle name="Normal 419 8" xfId="23497" xr:uid="{00000000-0005-0000-0000-00009FA10000}"/>
    <cellStyle name="Normal 419 9" xfId="52409" xr:uid="{00000000-0005-0000-0000-0000A0A10000}"/>
    <cellStyle name="Normal 42" xfId="2771" xr:uid="{00000000-0005-0000-0000-0000A1A10000}"/>
    <cellStyle name="Normal 42 2" xfId="4783" xr:uid="{00000000-0005-0000-0000-0000A2A10000}"/>
    <cellStyle name="Normal 42 2 2" xfId="22782" xr:uid="{00000000-0005-0000-0000-0000A3A10000}"/>
    <cellStyle name="Normal 42 2 2 2" xfId="38989" xr:uid="{00000000-0005-0000-0000-0000A4A10000}"/>
    <cellStyle name="Normal 42 3" xfId="22998" xr:uid="{00000000-0005-0000-0000-0000A5A10000}"/>
    <cellStyle name="Normal 42 4" xfId="22573" xr:uid="{00000000-0005-0000-0000-0000A6A10000}"/>
    <cellStyle name="Normal 42 4 2" xfId="38884" xr:uid="{00000000-0005-0000-0000-0000A7A10000}"/>
    <cellStyle name="Normal 42 5" xfId="52410" xr:uid="{00000000-0005-0000-0000-0000A8A10000}"/>
    <cellStyle name="Normal 420" xfId="2772" xr:uid="{00000000-0005-0000-0000-0000A9A10000}"/>
    <cellStyle name="Normal 420 2" xfId="4784" xr:uid="{00000000-0005-0000-0000-0000AAA10000}"/>
    <cellStyle name="Normal 420 2 2" xfId="8629" xr:uid="{00000000-0005-0000-0000-0000ABA10000}"/>
    <cellStyle name="Normal 420 2 2 2" xfId="16425" xr:uid="{00000000-0005-0000-0000-0000ACA10000}"/>
    <cellStyle name="Normal 420 2 2 2 2" xfId="34060" xr:uid="{00000000-0005-0000-0000-0000ADA10000}"/>
    <cellStyle name="Normal 420 2 2 3" xfId="27030" xr:uid="{00000000-0005-0000-0000-0000AEA10000}"/>
    <cellStyle name="Normal 420 2 3" xfId="12921" xr:uid="{00000000-0005-0000-0000-0000AFA10000}"/>
    <cellStyle name="Normal 420 2 3 2" xfId="30571" xr:uid="{00000000-0005-0000-0000-0000B0A10000}"/>
    <cellStyle name="Normal 420 2 4" xfId="24165" xr:uid="{00000000-0005-0000-0000-0000B1A10000}"/>
    <cellStyle name="Normal 420 3" xfId="5942" xr:uid="{00000000-0005-0000-0000-0000B2A10000}"/>
    <cellStyle name="Normal 420 3 2" xfId="9242" xr:uid="{00000000-0005-0000-0000-0000B3A10000}"/>
    <cellStyle name="Normal 420 3 2 2" xfId="17037" xr:uid="{00000000-0005-0000-0000-0000B4A10000}"/>
    <cellStyle name="Normal 420 3 2 2 2" xfId="34673" xr:uid="{00000000-0005-0000-0000-0000B5A10000}"/>
    <cellStyle name="Normal 420 3 2 3" xfId="27630" xr:uid="{00000000-0005-0000-0000-0000B6A10000}"/>
    <cellStyle name="Normal 420 3 3" xfId="13798" xr:uid="{00000000-0005-0000-0000-0000B7A10000}"/>
    <cellStyle name="Normal 420 3 3 2" xfId="31438" xr:uid="{00000000-0005-0000-0000-0000B8A10000}"/>
    <cellStyle name="Normal 420 3 4" xfId="24765" xr:uid="{00000000-0005-0000-0000-0000B9A10000}"/>
    <cellStyle name="Normal 420 4" xfId="6572" xr:uid="{00000000-0005-0000-0000-0000BAA10000}"/>
    <cellStyle name="Normal 420 4 2" xfId="9782" xr:uid="{00000000-0005-0000-0000-0000BBA10000}"/>
    <cellStyle name="Normal 420 4 2 2" xfId="17576" xr:uid="{00000000-0005-0000-0000-0000BCA10000}"/>
    <cellStyle name="Normal 420 4 2 2 2" xfId="35213" xr:uid="{00000000-0005-0000-0000-0000BDA10000}"/>
    <cellStyle name="Normal 420 4 2 3" xfId="28166" xr:uid="{00000000-0005-0000-0000-0000BEA10000}"/>
    <cellStyle name="Normal 420 4 3" xfId="14361" xr:uid="{00000000-0005-0000-0000-0000BFA10000}"/>
    <cellStyle name="Normal 420 4 3 2" xfId="31996" xr:uid="{00000000-0005-0000-0000-0000C0A10000}"/>
    <cellStyle name="Normal 420 4 4" xfId="25302" xr:uid="{00000000-0005-0000-0000-0000C1A10000}"/>
    <cellStyle name="Normal 420 5" xfId="7348" xr:uid="{00000000-0005-0000-0000-0000C2A10000}"/>
    <cellStyle name="Normal 420 5 2" xfId="10336" xr:uid="{00000000-0005-0000-0000-0000C3A10000}"/>
    <cellStyle name="Normal 420 5 2 2" xfId="18129" xr:uid="{00000000-0005-0000-0000-0000C4A10000}"/>
    <cellStyle name="Normal 420 5 2 2 2" xfId="35766" xr:uid="{00000000-0005-0000-0000-0000C5A10000}"/>
    <cellStyle name="Normal 420 5 2 3" xfId="28703" xr:uid="{00000000-0005-0000-0000-0000C6A10000}"/>
    <cellStyle name="Normal 420 5 3" xfId="15136" xr:uid="{00000000-0005-0000-0000-0000C7A10000}"/>
    <cellStyle name="Normal 420 5 3 2" xfId="32771" xr:uid="{00000000-0005-0000-0000-0000C8A10000}"/>
    <cellStyle name="Normal 420 5 4" xfId="25840" xr:uid="{00000000-0005-0000-0000-0000C9A10000}"/>
    <cellStyle name="Normal 420 6" xfId="7947" xr:uid="{00000000-0005-0000-0000-0000CAA10000}"/>
    <cellStyle name="Normal 420 6 2" xfId="15744" xr:uid="{00000000-0005-0000-0000-0000CBA10000}"/>
    <cellStyle name="Normal 420 6 2 2" xfId="33379" xr:uid="{00000000-0005-0000-0000-0000CCA10000}"/>
    <cellStyle name="Normal 420 6 3" xfId="26363" xr:uid="{00000000-0005-0000-0000-0000CDA10000}"/>
    <cellStyle name="Normal 420 7" xfId="11906" xr:uid="{00000000-0005-0000-0000-0000CEA10000}"/>
    <cellStyle name="Normal 420 7 2" xfId="29589" xr:uid="{00000000-0005-0000-0000-0000CFA10000}"/>
    <cellStyle name="Normal 420 8" xfId="23498" xr:uid="{00000000-0005-0000-0000-0000D0A10000}"/>
    <cellStyle name="Normal 420 9" xfId="52411" xr:uid="{00000000-0005-0000-0000-0000D1A10000}"/>
    <cellStyle name="Normal 421" xfId="2773" xr:uid="{00000000-0005-0000-0000-0000D2A10000}"/>
    <cellStyle name="Normal 421 2" xfId="4785" xr:uid="{00000000-0005-0000-0000-0000D3A10000}"/>
    <cellStyle name="Normal 421 2 2" xfId="8630" xr:uid="{00000000-0005-0000-0000-0000D4A10000}"/>
    <cellStyle name="Normal 421 2 2 2" xfId="16426" xr:uid="{00000000-0005-0000-0000-0000D5A10000}"/>
    <cellStyle name="Normal 421 2 2 2 2" xfId="34061" xr:uid="{00000000-0005-0000-0000-0000D6A10000}"/>
    <cellStyle name="Normal 421 2 2 3" xfId="27031" xr:uid="{00000000-0005-0000-0000-0000D7A10000}"/>
    <cellStyle name="Normal 421 2 3" xfId="12922" xr:uid="{00000000-0005-0000-0000-0000D8A10000}"/>
    <cellStyle name="Normal 421 2 3 2" xfId="30572" xr:uid="{00000000-0005-0000-0000-0000D9A10000}"/>
    <cellStyle name="Normal 421 2 4" xfId="24166" xr:uid="{00000000-0005-0000-0000-0000DAA10000}"/>
    <cellStyle name="Normal 421 3" xfId="5943" xr:uid="{00000000-0005-0000-0000-0000DBA10000}"/>
    <cellStyle name="Normal 421 3 2" xfId="9243" xr:uid="{00000000-0005-0000-0000-0000DCA10000}"/>
    <cellStyle name="Normal 421 3 2 2" xfId="17038" xr:uid="{00000000-0005-0000-0000-0000DDA10000}"/>
    <cellStyle name="Normal 421 3 2 2 2" xfId="34674" xr:uid="{00000000-0005-0000-0000-0000DEA10000}"/>
    <cellStyle name="Normal 421 3 2 3" xfId="27631" xr:uid="{00000000-0005-0000-0000-0000DFA10000}"/>
    <cellStyle name="Normal 421 3 3" xfId="13799" xr:uid="{00000000-0005-0000-0000-0000E0A10000}"/>
    <cellStyle name="Normal 421 3 3 2" xfId="31439" xr:uid="{00000000-0005-0000-0000-0000E1A10000}"/>
    <cellStyle name="Normal 421 3 4" xfId="24766" xr:uid="{00000000-0005-0000-0000-0000E2A10000}"/>
    <cellStyle name="Normal 421 4" xfId="6573" xr:uid="{00000000-0005-0000-0000-0000E3A10000}"/>
    <cellStyle name="Normal 421 4 2" xfId="9783" xr:uid="{00000000-0005-0000-0000-0000E4A10000}"/>
    <cellStyle name="Normal 421 4 2 2" xfId="17577" xr:uid="{00000000-0005-0000-0000-0000E5A10000}"/>
    <cellStyle name="Normal 421 4 2 2 2" xfId="35214" xr:uid="{00000000-0005-0000-0000-0000E6A10000}"/>
    <cellStyle name="Normal 421 4 2 3" xfId="28167" xr:uid="{00000000-0005-0000-0000-0000E7A10000}"/>
    <cellStyle name="Normal 421 4 3" xfId="14362" xr:uid="{00000000-0005-0000-0000-0000E8A10000}"/>
    <cellStyle name="Normal 421 4 3 2" xfId="31997" xr:uid="{00000000-0005-0000-0000-0000E9A10000}"/>
    <cellStyle name="Normal 421 4 4" xfId="25303" xr:uid="{00000000-0005-0000-0000-0000EAA10000}"/>
    <cellStyle name="Normal 421 5" xfId="7349" xr:uid="{00000000-0005-0000-0000-0000EBA10000}"/>
    <cellStyle name="Normal 421 5 2" xfId="10337" xr:uid="{00000000-0005-0000-0000-0000ECA10000}"/>
    <cellStyle name="Normal 421 5 2 2" xfId="18130" xr:uid="{00000000-0005-0000-0000-0000EDA10000}"/>
    <cellStyle name="Normal 421 5 2 2 2" xfId="35767" xr:uid="{00000000-0005-0000-0000-0000EEA10000}"/>
    <cellStyle name="Normal 421 5 2 3" xfId="28704" xr:uid="{00000000-0005-0000-0000-0000EFA10000}"/>
    <cellStyle name="Normal 421 5 3" xfId="15137" xr:uid="{00000000-0005-0000-0000-0000F0A10000}"/>
    <cellStyle name="Normal 421 5 3 2" xfId="32772" xr:uid="{00000000-0005-0000-0000-0000F1A10000}"/>
    <cellStyle name="Normal 421 5 4" xfId="25841" xr:uid="{00000000-0005-0000-0000-0000F2A10000}"/>
    <cellStyle name="Normal 421 6" xfId="7948" xr:uid="{00000000-0005-0000-0000-0000F3A10000}"/>
    <cellStyle name="Normal 421 6 2" xfId="15745" xr:uid="{00000000-0005-0000-0000-0000F4A10000}"/>
    <cellStyle name="Normal 421 6 2 2" xfId="33380" xr:uid="{00000000-0005-0000-0000-0000F5A10000}"/>
    <cellStyle name="Normal 421 6 3" xfId="26364" xr:uid="{00000000-0005-0000-0000-0000F6A10000}"/>
    <cellStyle name="Normal 421 7" xfId="11907" xr:uid="{00000000-0005-0000-0000-0000F7A10000}"/>
    <cellStyle name="Normal 421 7 2" xfId="29590" xr:uid="{00000000-0005-0000-0000-0000F8A10000}"/>
    <cellStyle name="Normal 421 8" xfId="23499" xr:uid="{00000000-0005-0000-0000-0000F9A10000}"/>
    <cellStyle name="Normal 421 9" xfId="52412" xr:uid="{00000000-0005-0000-0000-0000FAA10000}"/>
    <cellStyle name="Normal 422" xfId="2774" xr:uid="{00000000-0005-0000-0000-0000FBA10000}"/>
    <cellStyle name="Normal 422 2" xfId="4786" xr:uid="{00000000-0005-0000-0000-0000FCA10000}"/>
    <cellStyle name="Normal 422 2 2" xfId="8631" xr:uid="{00000000-0005-0000-0000-0000FDA10000}"/>
    <cellStyle name="Normal 422 2 2 2" xfId="16427" xr:uid="{00000000-0005-0000-0000-0000FEA10000}"/>
    <cellStyle name="Normal 422 2 2 2 2" xfId="34062" xr:uid="{00000000-0005-0000-0000-0000FFA10000}"/>
    <cellStyle name="Normal 422 2 2 3" xfId="27032" xr:uid="{00000000-0005-0000-0000-000000A20000}"/>
    <cellStyle name="Normal 422 2 3" xfId="12923" xr:uid="{00000000-0005-0000-0000-000001A20000}"/>
    <cellStyle name="Normal 422 2 3 2" xfId="30573" xr:uid="{00000000-0005-0000-0000-000002A20000}"/>
    <cellStyle name="Normal 422 2 4" xfId="24167" xr:uid="{00000000-0005-0000-0000-000003A20000}"/>
    <cellStyle name="Normal 422 3" xfId="5944" xr:uid="{00000000-0005-0000-0000-000004A20000}"/>
    <cellStyle name="Normal 422 3 2" xfId="9244" xr:uid="{00000000-0005-0000-0000-000005A20000}"/>
    <cellStyle name="Normal 422 3 2 2" xfId="17039" xr:uid="{00000000-0005-0000-0000-000006A20000}"/>
    <cellStyle name="Normal 422 3 2 2 2" xfId="34675" xr:uid="{00000000-0005-0000-0000-000007A20000}"/>
    <cellStyle name="Normal 422 3 2 3" xfId="27632" xr:uid="{00000000-0005-0000-0000-000008A20000}"/>
    <cellStyle name="Normal 422 3 3" xfId="13800" xr:uid="{00000000-0005-0000-0000-000009A20000}"/>
    <cellStyle name="Normal 422 3 3 2" xfId="31440" xr:uid="{00000000-0005-0000-0000-00000AA20000}"/>
    <cellStyle name="Normal 422 3 4" xfId="24767" xr:uid="{00000000-0005-0000-0000-00000BA20000}"/>
    <cellStyle name="Normal 422 4" xfId="6574" xr:uid="{00000000-0005-0000-0000-00000CA20000}"/>
    <cellStyle name="Normal 422 4 2" xfId="9784" xr:uid="{00000000-0005-0000-0000-00000DA20000}"/>
    <cellStyle name="Normal 422 4 2 2" xfId="17578" xr:uid="{00000000-0005-0000-0000-00000EA20000}"/>
    <cellStyle name="Normal 422 4 2 2 2" xfId="35215" xr:uid="{00000000-0005-0000-0000-00000FA20000}"/>
    <cellStyle name="Normal 422 4 2 3" xfId="28168" xr:uid="{00000000-0005-0000-0000-000010A20000}"/>
    <cellStyle name="Normal 422 4 3" xfId="14363" xr:uid="{00000000-0005-0000-0000-000011A20000}"/>
    <cellStyle name="Normal 422 4 3 2" xfId="31998" xr:uid="{00000000-0005-0000-0000-000012A20000}"/>
    <cellStyle name="Normal 422 4 4" xfId="25304" xr:uid="{00000000-0005-0000-0000-000013A20000}"/>
    <cellStyle name="Normal 422 5" xfId="7350" xr:uid="{00000000-0005-0000-0000-000014A20000}"/>
    <cellStyle name="Normal 422 5 2" xfId="10338" xr:uid="{00000000-0005-0000-0000-000015A20000}"/>
    <cellStyle name="Normal 422 5 2 2" xfId="18131" xr:uid="{00000000-0005-0000-0000-000016A20000}"/>
    <cellStyle name="Normal 422 5 2 2 2" xfId="35768" xr:uid="{00000000-0005-0000-0000-000017A20000}"/>
    <cellStyle name="Normal 422 5 2 3" xfId="28705" xr:uid="{00000000-0005-0000-0000-000018A20000}"/>
    <cellStyle name="Normal 422 5 3" xfId="15138" xr:uid="{00000000-0005-0000-0000-000019A20000}"/>
    <cellStyle name="Normal 422 5 3 2" xfId="32773" xr:uid="{00000000-0005-0000-0000-00001AA20000}"/>
    <cellStyle name="Normal 422 5 4" xfId="25842" xr:uid="{00000000-0005-0000-0000-00001BA20000}"/>
    <cellStyle name="Normal 422 6" xfId="7949" xr:uid="{00000000-0005-0000-0000-00001CA20000}"/>
    <cellStyle name="Normal 422 6 2" xfId="15746" xr:uid="{00000000-0005-0000-0000-00001DA20000}"/>
    <cellStyle name="Normal 422 6 2 2" xfId="33381" xr:uid="{00000000-0005-0000-0000-00001EA20000}"/>
    <cellStyle name="Normal 422 6 3" xfId="26365" xr:uid="{00000000-0005-0000-0000-00001FA20000}"/>
    <cellStyle name="Normal 422 7" xfId="11908" xr:uid="{00000000-0005-0000-0000-000020A20000}"/>
    <cellStyle name="Normal 422 7 2" xfId="29591" xr:uid="{00000000-0005-0000-0000-000021A20000}"/>
    <cellStyle name="Normal 422 8" xfId="23500" xr:uid="{00000000-0005-0000-0000-000022A20000}"/>
    <cellStyle name="Normal 422 9" xfId="52413" xr:uid="{00000000-0005-0000-0000-000023A20000}"/>
    <cellStyle name="Normal 423" xfId="2775" xr:uid="{00000000-0005-0000-0000-000024A20000}"/>
    <cellStyle name="Normal 423 2" xfId="4787" xr:uid="{00000000-0005-0000-0000-000025A20000}"/>
    <cellStyle name="Normal 423 2 2" xfId="8632" xr:uid="{00000000-0005-0000-0000-000026A20000}"/>
    <cellStyle name="Normal 423 2 2 2" xfId="16428" xr:uid="{00000000-0005-0000-0000-000027A20000}"/>
    <cellStyle name="Normal 423 2 2 2 2" xfId="34063" xr:uid="{00000000-0005-0000-0000-000028A20000}"/>
    <cellStyle name="Normal 423 2 2 3" xfId="27033" xr:uid="{00000000-0005-0000-0000-000029A20000}"/>
    <cellStyle name="Normal 423 2 3" xfId="12924" xr:uid="{00000000-0005-0000-0000-00002AA20000}"/>
    <cellStyle name="Normal 423 2 3 2" xfId="30574" xr:uid="{00000000-0005-0000-0000-00002BA20000}"/>
    <cellStyle name="Normal 423 2 4" xfId="24168" xr:uid="{00000000-0005-0000-0000-00002CA20000}"/>
    <cellStyle name="Normal 423 3" xfId="5945" xr:uid="{00000000-0005-0000-0000-00002DA20000}"/>
    <cellStyle name="Normal 423 3 2" xfId="9245" xr:uid="{00000000-0005-0000-0000-00002EA20000}"/>
    <cellStyle name="Normal 423 3 2 2" xfId="17040" xr:uid="{00000000-0005-0000-0000-00002FA20000}"/>
    <cellStyle name="Normal 423 3 2 2 2" xfId="34676" xr:uid="{00000000-0005-0000-0000-000030A20000}"/>
    <cellStyle name="Normal 423 3 2 3" xfId="27633" xr:uid="{00000000-0005-0000-0000-000031A20000}"/>
    <cellStyle name="Normal 423 3 3" xfId="13801" xr:uid="{00000000-0005-0000-0000-000032A20000}"/>
    <cellStyle name="Normal 423 3 3 2" xfId="31441" xr:uid="{00000000-0005-0000-0000-000033A20000}"/>
    <cellStyle name="Normal 423 3 4" xfId="24768" xr:uid="{00000000-0005-0000-0000-000034A20000}"/>
    <cellStyle name="Normal 423 4" xfId="6575" xr:uid="{00000000-0005-0000-0000-000035A20000}"/>
    <cellStyle name="Normal 423 4 2" xfId="9785" xr:uid="{00000000-0005-0000-0000-000036A20000}"/>
    <cellStyle name="Normal 423 4 2 2" xfId="17579" xr:uid="{00000000-0005-0000-0000-000037A20000}"/>
    <cellStyle name="Normal 423 4 2 2 2" xfId="35216" xr:uid="{00000000-0005-0000-0000-000038A20000}"/>
    <cellStyle name="Normal 423 4 2 3" xfId="28169" xr:uid="{00000000-0005-0000-0000-000039A20000}"/>
    <cellStyle name="Normal 423 4 3" xfId="14364" xr:uid="{00000000-0005-0000-0000-00003AA20000}"/>
    <cellStyle name="Normal 423 4 3 2" xfId="31999" xr:uid="{00000000-0005-0000-0000-00003BA20000}"/>
    <cellStyle name="Normal 423 4 4" xfId="25305" xr:uid="{00000000-0005-0000-0000-00003CA20000}"/>
    <cellStyle name="Normal 423 5" xfId="7351" xr:uid="{00000000-0005-0000-0000-00003DA20000}"/>
    <cellStyle name="Normal 423 5 2" xfId="10339" xr:uid="{00000000-0005-0000-0000-00003EA20000}"/>
    <cellStyle name="Normal 423 5 2 2" xfId="18132" xr:uid="{00000000-0005-0000-0000-00003FA20000}"/>
    <cellStyle name="Normal 423 5 2 2 2" xfId="35769" xr:uid="{00000000-0005-0000-0000-000040A20000}"/>
    <cellStyle name="Normal 423 5 2 3" xfId="28706" xr:uid="{00000000-0005-0000-0000-000041A20000}"/>
    <cellStyle name="Normal 423 5 3" xfId="15139" xr:uid="{00000000-0005-0000-0000-000042A20000}"/>
    <cellStyle name="Normal 423 5 3 2" xfId="32774" xr:uid="{00000000-0005-0000-0000-000043A20000}"/>
    <cellStyle name="Normal 423 5 4" xfId="25843" xr:uid="{00000000-0005-0000-0000-000044A20000}"/>
    <cellStyle name="Normal 423 6" xfId="7950" xr:uid="{00000000-0005-0000-0000-000045A20000}"/>
    <cellStyle name="Normal 423 6 2" xfId="15747" xr:uid="{00000000-0005-0000-0000-000046A20000}"/>
    <cellStyle name="Normal 423 6 2 2" xfId="33382" xr:uid="{00000000-0005-0000-0000-000047A20000}"/>
    <cellStyle name="Normal 423 6 3" xfId="26366" xr:uid="{00000000-0005-0000-0000-000048A20000}"/>
    <cellStyle name="Normal 423 7" xfId="11909" xr:uid="{00000000-0005-0000-0000-000049A20000}"/>
    <cellStyle name="Normal 423 7 2" xfId="29592" xr:uid="{00000000-0005-0000-0000-00004AA20000}"/>
    <cellStyle name="Normal 423 8" xfId="23501" xr:uid="{00000000-0005-0000-0000-00004BA20000}"/>
    <cellStyle name="Normal 423 9" xfId="52414" xr:uid="{00000000-0005-0000-0000-00004CA20000}"/>
    <cellStyle name="Normal 424" xfId="2776" xr:uid="{00000000-0005-0000-0000-00004DA20000}"/>
    <cellStyle name="Normal 424 2" xfId="4788" xr:uid="{00000000-0005-0000-0000-00004EA20000}"/>
    <cellStyle name="Normal 424 2 2" xfId="8633" xr:uid="{00000000-0005-0000-0000-00004FA20000}"/>
    <cellStyle name="Normal 424 2 2 2" xfId="16429" xr:uid="{00000000-0005-0000-0000-000050A20000}"/>
    <cellStyle name="Normal 424 2 2 2 2" xfId="34064" xr:uid="{00000000-0005-0000-0000-000051A20000}"/>
    <cellStyle name="Normal 424 2 2 3" xfId="27034" xr:uid="{00000000-0005-0000-0000-000052A20000}"/>
    <cellStyle name="Normal 424 2 3" xfId="12925" xr:uid="{00000000-0005-0000-0000-000053A20000}"/>
    <cellStyle name="Normal 424 2 3 2" xfId="30575" xr:uid="{00000000-0005-0000-0000-000054A20000}"/>
    <cellStyle name="Normal 424 2 4" xfId="24169" xr:uid="{00000000-0005-0000-0000-000055A20000}"/>
    <cellStyle name="Normal 424 3" xfId="5946" xr:uid="{00000000-0005-0000-0000-000056A20000}"/>
    <cellStyle name="Normal 424 3 2" xfId="9246" xr:uid="{00000000-0005-0000-0000-000057A20000}"/>
    <cellStyle name="Normal 424 3 2 2" xfId="17041" xr:uid="{00000000-0005-0000-0000-000058A20000}"/>
    <cellStyle name="Normal 424 3 2 2 2" xfId="34677" xr:uid="{00000000-0005-0000-0000-000059A20000}"/>
    <cellStyle name="Normal 424 3 2 3" xfId="27634" xr:uid="{00000000-0005-0000-0000-00005AA20000}"/>
    <cellStyle name="Normal 424 3 3" xfId="13802" xr:uid="{00000000-0005-0000-0000-00005BA20000}"/>
    <cellStyle name="Normal 424 3 3 2" xfId="31442" xr:uid="{00000000-0005-0000-0000-00005CA20000}"/>
    <cellStyle name="Normal 424 3 4" xfId="24769" xr:uid="{00000000-0005-0000-0000-00005DA20000}"/>
    <cellStyle name="Normal 424 4" xfId="6576" xr:uid="{00000000-0005-0000-0000-00005EA20000}"/>
    <cellStyle name="Normal 424 4 2" xfId="9786" xr:uid="{00000000-0005-0000-0000-00005FA20000}"/>
    <cellStyle name="Normal 424 4 2 2" xfId="17580" xr:uid="{00000000-0005-0000-0000-000060A20000}"/>
    <cellStyle name="Normal 424 4 2 2 2" xfId="35217" xr:uid="{00000000-0005-0000-0000-000061A20000}"/>
    <cellStyle name="Normal 424 4 2 3" xfId="28170" xr:uid="{00000000-0005-0000-0000-000062A20000}"/>
    <cellStyle name="Normal 424 4 3" xfId="14365" xr:uid="{00000000-0005-0000-0000-000063A20000}"/>
    <cellStyle name="Normal 424 4 3 2" xfId="32000" xr:uid="{00000000-0005-0000-0000-000064A20000}"/>
    <cellStyle name="Normal 424 4 4" xfId="25306" xr:uid="{00000000-0005-0000-0000-000065A20000}"/>
    <cellStyle name="Normal 424 5" xfId="7352" xr:uid="{00000000-0005-0000-0000-000066A20000}"/>
    <cellStyle name="Normal 424 5 2" xfId="10340" xr:uid="{00000000-0005-0000-0000-000067A20000}"/>
    <cellStyle name="Normal 424 5 2 2" xfId="18133" xr:uid="{00000000-0005-0000-0000-000068A20000}"/>
    <cellStyle name="Normal 424 5 2 2 2" xfId="35770" xr:uid="{00000000-0005-0000-0000-000069A20000}"/>
    <cellStyle name="Normal 424 5 2 3" xfId="28707" xr:uid="{00000000-0005-0000-0000-00006AA20000}"/>
    <cellStyle name="Normal 424 5 3" xfId="15140" xr:uid="{00000000-0005-0000-0000-00006BA20000}"/>
    <cellStyle name="Normal 424 5 3 2" xfId="32775" xr:uid="{00000000-0005-0000-0000-00006CA20000}"/>
    <cellStyle name="Normal 424 5 4" xfId="25844" xr:uid="{00000000-0005-0000-0000-00006DA20000}"/>
    <cellStyle name="Normal 424 6" xfId="7951" xr:uid="{00000000-0005-0000-0000-00006EA20000}"/>
    <cellStyle name="Normal 424 6 2" xfId="15748" xr:uid="{00000000-0005-0000-0000-00006FA20000}"/>
    <cellStyle name="Normal 424 6 2 2" xfId="33383" xr:uid="{00000000-0005-0000-0000-000070A20000}"/>
    <cellStyle name="Normal 424 6 3" xfId="26367" xr:uid="{00000000-0005-0000-0000-000071A20000}"/>
    <cellStyle name="Normal 424 7" xfId="11910" xr:uid="{00000000-0005-0000-0000-000072A20000}"/>
    <cellStyle name="Normal 424 7 2" xfId="29593" xr:uid="{00000000-0005-0000-0000-000073A20000}"/>
    <cellStyle name="Normal 424 8" xfId="23502" xr:uid="{00000000-0005-0000-0000-000074A20000}"/>
    <cellStyle name="Normal 424 9" xfId="52415" xr:uid="{00000000-0005-0000-0000-000075A20000}"/>
    <cellStyle name="Normal 425" xfId="2777" xr:uid="{00000000-0005-0000-0000-000076A20000}"/>
    <cellStyle name="Normal 425 2" xfId="4789" xr:uid="{00000000-0005-0000-0000-000077A20000}"/>
    <cellStyle name="Normal 425 2 2" xfId="8634" xr:uid="{00000000-0005-0000-0000-000078A20000}"/>
    <cellStyle name="Normal 425 2 2 2" xfId="16430" xr:uid="{00000000-0005-0000-0000-000079A20000}"/>
    <cellStyle name="Normal 425 2 2 2 2" xfId="34065" xr:uid="{00000000-0005-0000-0000-00007AA20000}"/>
    <cellStyle name="Normal 425 2 2 3" xfId="27035" xr:uid="{00000000-0005-0000-0000-00007BA20000}"/>
    <cellStyle name="Normal 425 2 3" xfId="12926" xr:uid="{00000000-0005-0000-0000-00007CA20000}"/>
    <cellStyle name="Normal 425 2 3 2" xfId="30576" xr:uid="{00000000-0005-0000-0000-00007DA20000}"/>
    <cellStyle name="Normal 425 2 4" xfId="24170" xr:uid="{00000000-0005-0000-0000-00007EA20000}"/>
    <cellStyle name="Normal 425 3" xfId="5947" xr:uid="{00000000-0005-0000-0000-00007FA20000}"/>
    <cellStyle name="Normal 425 3 2" xfId="9247" xr:uid="{00000000-0005-0000-0000-000080A20000}"/>
    <cellStyle name="Normal 425 3 2 2" xfId="17042" xr:uid="{00000000-0005-0000-0000-000081A20000}"/>
    <cellStyle name="Normal 425 3 2 2 2" xfId="34678" xr:uid="{00000000-0005-0000-0000-000082A20000}"/>
    <cellStyle name="Normal 425 3 2 3" xfId="27635" xr:uid="{00000000-0005-0000-0000-000083A20000}"/>
    <cellStyle name="Normal 425 3 3" xfId="13803" xr:uid="{00000000-0005-0000-0000-000084A20000}"/>
    <cellStyle name="Normal 425 3 3 2" xfId="31443" xr:uid="{00000000-0005-0000-0000-000085A20000}"/>
    <cellStyle name="Normal 425 3 4" xfId="24770" xr:uid="{00000000-0005-0000-0000-000086A20000}"/>
    <cellStyle name="Normal 425 4" xfId="6577" xr:uid="{00000000-0005-0000-0000-000087A20000}"/>
    <cellStyle name="Normal 425 4 2" xfId="9787" xr:uid="{00000000-0005-0000-0000-000088A20000}"/>
    <cellStyle name="Normal 425 4 2 2" xfId="17581" xr:uid="{00000000-0005-0000-0000-000089A20000}"/>
    <cellStyle name="Normal 425 4 2 2 2" xfId="35218" xr:uid="{00000000-0005-0000-0000-00008AA20000}"/>
    <cellStyle name="Normal 425 4 2 3" xfId="28171" xr:uid="{00000000-0005-0000-0000-00008BA20000}"/>
    <cellStyle name="Normal 425 4 3" xfId="14366" xr:uid="{00000000-0005-0000-0000-00008CA20000}"/>
    <cellStyle name="Normal 425 4 3 2" xfId="32001" xr:uid="{00000000-0005-0000-0000-00008DA20000}"/>
    <cellStyle name="Normal 425 4 4" xfId="25307" xr:uid="{00000000-0005-0000-0000-00008EA20000}"/>
    <cellStyle name="Normal 425 5" xfId="7353" xr:uid="{00000000-0005-0000-0000-00008FA20000}"/>
    <cellStyle name="Normal 425 5 2" xfId="10341" xr:uid="{00000000-0005-0000-0000-000090A20000}"/>
    <cellStyle name="Normal 425 5 2 2" xfId="18134" xr:uid="{00000000-0005-0000-0000-000091A20000}"/>
    <cellStyle name="Normal 425 5 2 2 2" xfId="35771" xr:uid="{00000000-0005-0000-0000-000092A20000}"/>
    <cellStyle name="Normal 425 5 2 3" xfId="28708" xr:uid="{00000000-0005-0000-0000-000093A20000}"/>
    <cellStyle name="Normal 425 5 3" xfId="15141" xr:uid="{00000000-0005-0000-0000-000094A20000}"/>
    <cellStyle name="Normal 425 5 3 2" xfId="32776" xr:uid="{00000000-0005-0000-0000-000095A20000}"/>
    <cellStyle name="Normal 425 5 4" xfId="25845" xr:uid="{00000000-0005-0000-0000-000096A20000}"/>
    <cellStyle name="Normal 425 6" xfId="7952" xr:uid="{00000000-0005-0000-0000-000097A20000}"/>
    <cellStyle name="Normal 425 6 2" xfId="15749" xr:uid="{00000000-0005-0000-0000-000098A20000}"/>
    <cellStyle name="Normal 425 6 2 2" xfId="33384" xr:uid="{00000000-0005-0000-0000-000099A20000}"/>
    <cellStyle name="Normal 425 6 3" xfId="26368" xr:uid="{00000000-0005-0000-0000-00009AA20000}"/>
    <cellStyle name="Normal 425 7" xfId="11911" xr:uid="{00000000-0005-0000-0000-00009BA20000}"/>
    <cellStyle name="Normal 425 7 2" xfId="29594" xr:uid="{00000000-0005-0000-0000-00009CA20000}"/>
    <cellStyle name="Normal 425 8" xfId="23503" xr:uid="{00000000-0005-0000-0000-00009DA20000}"/>
    <cellStyle name="Normal 425 9" xfId="52416" xr:uid="{00000000-0005-0000-0000-00009EA20000}"/>
    <cellStyle name="Normal 426" xfId="2778" xr:uid="{00000000-0005-0000-0000-00009FA20000}"/>
    <cellStyle name="Normal 426 2" xfId="4790" xr:uid="{00000000-0005-0000-0000-0000A0A20000}"/>
    <cellStyle name="Normal 426 2 2" xfId="8635" xr:uid="{00000000-0005-0000-0000-0000A1A20000}"/>
    <cellStyle name="Normal 426 2 2 2" xfId="16431" xr:uid="{00000000-0005-0000-0000-0000A2A20000}"/>
    <cellStyle name="Normal 426 2 2 2 2" xfId="34066" xr:uid="{00000000-0005-0000-0000-0000A3A20000}"/>
    <cellStyle name="Normal 426 2 2 3" xfId="27036" xr:uid="{00000000-0005-0000-0000-0000A4A20000}"/>
    <cellStyle name="Normal 426 2 3" xfId="12927" xr:uid="{00000000-0005-0000-0000-0000A5A20000}"/>
    <cellStyle name="Normal 426 2 3 2" xfId="30577" xr:uid="{00000000-0005-0000-0000-0000A6A20000}"/>
    <cellStyle name="Normal 426 2 4" xfId="24171" xr:uid="{00000000-0005-0000-0000-0000A7A20000}"/>
    <cellStyle name="Normal 426 3" xfId="5948" xr:uid="{00000000-0005-0000-0000-0000A8A20000}"/>
    <cellStyle name="Normal 426 3 2" xfId="9248" xr:uid="{00000000-0005-0000-0000-0000A9A20000}"/>
    <cellStyle name="Normal 426 3 2 2" xfId="17043" xr:uid="{00000000-0005-0000-0000-0000AAA20000}"/>
    <cellStyle name="Normal 426 3 2 2 2" xfId="34679" xr:uid="{00000000-0005-0000-0000-0000ABA20000}"/>
    <cellStyle name="Normal 426 3 2 3" xfId="27636" xr:uid="{00000000-0005-0000-0000-0000ACA20000}"/>
    <cellStyle name="Normal 426 3 3" xfId="13804" xr:uid="{00000000-0005-0000-0000-0000ADA20000}"/>
    <cellStyle name="Normal 426 3 3 2" xfId="31444" xr:uid="{00000000-0005-0000-0000-0000AEA20000}"/>
    <cellStyle name="Normal 426 3 4" xfId="24771" xr:uid="{00000000-0005-0000-0000-0000AFA20000}"/>
    <cellStyle name="Normal 426 4" xfId="6578" xr:uid="{00000000-0005-0000-0000-0000B0A20000}"/>
    <cellStyle name="Normal 426 4 2" xfId="9788" xr:uid="{00000000-0005-0000-0000-0000B1A20000}"/>
    <cellStyle name="Normal 426 4 2 2" xfId="17582" xr:uid="{00000000-0005-0000-0000-0000B2A20000}"/>
    <cellStyle name="Normal 426 4 2 2 2" xfId="35219" xr:uid="{00000000-0005-0000-0000-0000B3A20000}"/>
    <cellStyle name="Normal 426 4 2 3" xfId="28172" xr:uid="{00000000-0005-0000-0000-0000B4A20000}"/>
    <cellStyle name="Normal 426 4 3" xfId="14367" xr:uid="{00000000-0005-0000-0000-0000B5A20000}"/>
    <cellStyle name="Normal 426 4 3 2" xfId="32002" xr:uid="{00000000-0005-0000-0000-0000B6A20000}"/>
    <cellStyle name="Normal 426 4 4" xfId="25308" xr:uid="{00000000-0005-0000-0000-0000B7A20000}"/>
    <cellStyle name="Normal 426 5" xfId="7354" xr:uid="{00000000-0005-0000-0000-0000B8A20000}"/>
    <cellStyle name="Normal 426 5 2" xfId="10342" xr:uid="{00000000-0005-0000-0000-0000B9A20000}"/>
    <cellStyle name="Normal 426 5 2 2" xfId="18135" xr:uid="{00000000-0005-0000-0000-0000BAA20000}"/>
    <cellStyle name="Normal 426 5 2 2 2" xfId="35772" xr:uid="{00000000-0005-0000-0000-0000BBA20000}"/>
    <cellStyle name="Normal 426 5 2 3" xfId="28709" xr:uid="{00000000-0005-0000-0000-0000BCA20000}"/>
    <cellStyle name="Normal 426 5 3" xfId="15142" xr:uid="{00000000-0005-0000-0000-0000BDA20000}"/>
    <cellStyle name="Normal 426 5 3 2" xfId="32777" xr:uid="{00000000-0005-0000-0000-0000BEA20000}"/>
    <cellStyle name="Normal 426 5 4" xfId="25846" xr:uid="{00000000-0005-0000-0000-0000BFA20000}"/>
    <cellStyle name="Normal 426 6" xfId="7953" xr:uid="{00000000-0005-0000-0000-0000C0A20000}"/>
    <cellStyle name="Normal 426 6 2" xfId="15750" xr:uid="{00000000-0005-0000-0000-0000C1A20000}"/>
    <cellStyle name="Normal 426 6 2 2" xfId="33385" xr:uid="{00000000-0005-0000-0000-0000C2A20000}"/>
    <cellStyle name="Normal 426 6 3" xfId="26369" xr:uid="{00000000-0005-0000-0000-0000C3A20000}"/>
    <cellStyle name="Normal 426 7" xfId="11912" xr:uid="{00000000-0005-0000-0000-0000C4A20000}"/>
    <cellStyle name="Normal 426 7 2" xfId="29595" xr:uid="{00000000-0005-0000-0000-0000C5A20000}"/>
    <cellStyle name="Normal 426 8" xfId="23504" xr:uid="{00000000-0005-0000-0000-0000C6A20000}"/>
    <cellStyle name="Normal 426 9" xfId="52417" xr:uid="{00000000-0005-0000-0000-0000C7A20000}"/>
    <cellStyle name="Normal 427" xfId="2779" xr:uid="{00000000-0005-0000-0000-0000C8A20000}"/>
    <cellStyle name="Normal 427 2" xfId="4791" xr:uid="{00000000-0005-0000-0000-0000C9A20000}"/>
    <cellStyle name="Normal 427 2 2" xfId="8636" xr:uid="{00000000-0005-0000-0000-0000CAA20000}"/>
    <cellStyle name="Normal 427 2 2 2" xfId="16432" xr:uid="{00000000-0005-0000-0000-0000CBA20000}"/>
    <cellStyle name="Normal 427 2 2 2 2" xfId="34067" xr:uid="{00000000-0005-0000-0000-0000CCA20000}"/>
    <cellStyle name="Normal 427 2 2 3" xfId="27037" xr:uid="{00000000-0005-0000-0000-0000CDA20000}"/>
    <cellStyle name="Normal 427 2 3" xfId="12928" xr:uid="{00000000-0005-0000-0000-0000CEA20000}"/>
    <cellStyle name="Normal 427 2 3 2" xfId="30578" xr:uid="{00000000-0005-0000-0000-0000CFA20000}"/>
    <cellStyle name="Normal 427 2 4" xfId="24172" xr:uid="{00000000-0005-0000-0000-0000D0A20000}"/>
    <cellStyle name="Normal 427 3" xfId="5949" xr:uid="{00000000-0005-0000-0000-0000D1A20000}"/>
    <cellStyle name="Normal 427 3 2" xfId="9249" xr:uid="{00000000-0005-0000-0000-0000D2A20000}"/>
    <cellStyle name="Normal 427 3 2 2" xfId="17044" xr:uid="{00000000-0005-0000-0000-0000D3A20000}"/>
    <cellStyle name="Normal 427 3 2 2 2" xfId="34680" xr:uid="{00000000-0005-0000-0000-0000D4A20000}"/>
    <cellStyle name="Normal 427 3 2 3" xfId="27637" xr:uid="{00000000-0005-0000-0000-0000D5A20000}"/>
    <cellStyle name="Normal 427 3 3" xfId="13805" xr:uid="{00000000-0005-0000-0000-0000D6A20000}"/>
    <cellStyle name="Normal 427 3 3 2" xfId="31445" xr:uid="{00000000-0005-0000-0000-0000D7A20000}"/>
    <cellStyle name="Normal 427 3 4" xfId="24772" xr:uid="{00000000-0005-0000-0000-0000D8A20000}"/>
    <cellStyle name="Normal 427 4" xfId="6579" xr:uid="{00000000-0005-0000-0000-0000D9A20000}"/>
    <cellStyle name="Normal 427 4 2" xfId="9789" xr:uid="{00000000-0005-0000-0000-0000DAA20000}"/>
    <cellStyle name="Normal 427 4 2 2" xfId="17583" xr:uid="{00000000-0005-0000-0000-0000DBA20000}"/>
    <cellStyle name="Normal 427 4 2 2 2" xfId="35220" xr:uid="{00000000-0005-0000-0000-0000DCA20000}"/>
    <cellStyle name="Normal 427 4 2 3" xfId="28173" xr:uid="{00000000-0005-0000-0000-0000DDA20000}"/>
    <cellStyle name="Normal 427 4 3" xfId="14368" xr:uid="{00000000-0005-0000-0000-0000DEA20000}"/>
    <cellStyle name="Normal 427 4 3 2" xfId="32003" xr:uid="{00000000-0005-0000-0000-0000DFA20000}"/>
    <cellStyle name="Normal 427 4 4" xfId="25309" xr:uid="{00000000-0005-0000-0000-0000E0A20000}"/>
    <cellStyle name="Normal 427 5" xfId="7355" xr:uid="{00000000-0005-0000-0000-0000E1A20000}"/>
    <cellStyle name="Normal 427 5 2" xfId="10343" xr:uid="{00000000-0005-0000-0000-0000E2A20000}"/>
    <cellStyle name="Normal 427 5 2 2" xfId="18136" xr:uid="{00000000-0005-0000-0000-0000E3A20000}"/>
    <cellStyle name="Normal 427 5 2 2 2" xfId="35773" xr:uid="{00000000-0005-0000-0000-0000E4A20000}"/>
    <cellStyle name="Normal 427 5 2 3" xfId="28710" xr:uid="{00000000-0005-0000-0000-0000E5A20000}"/>
    <cellStyle name="Normal 427 5 3" xfId="15143" xr:uid="{00000000-0005-0000-0000-0000E6A20000}"/>
    <cellStyle name="Normal 427 5 3 2" xfId="32778" xr:uid="{00000000-0005-0000-0000-0000E7A20000}"/>
    <cellStyle name="Normal 427 5 4" xfId="25847" xr:uid="{00000000-0005-0000-0000-0000E8A20000}"/>
    <cellStyle name="Normal 427 6" xfId="7954" xr:uid="{00000000-0005-0000-0000-0000E9A20000}"/>
    <cellStyle name="Normal 427 6 2" xfId="15751" xr:uid="{00000000-0005-0000-0000-0000EAA20000}"/>
    <cellStyle name="Normal 427 6 2 2" xfId="33386" xr:uid="{00000000-0005-0000-0000-0000EBA20000}"/>
    <cellStyle name="Normal 427 6 3" xfId="26370" xr:uid="{00000000-0005-0000-0000-0000ECA20000}"/>
    <cellStyle name="Normal 427 7" xfId="11913" xr:uid="{00000000-0005-0000-0000-0000EDA20000}"/>
    <cellStyle name="Normal 427 7 2" xfId="29596" xr:uid="{00000000-0005-0000-0000-0000EEA20000}"/>
    <cellStyle name="Normal 427 8" xfId="23505" xr:uid="{00000000-0005-0000-0000-0000EFA20000}"/>
    <cellStyle name="Normal 427 9" xfId="52418" xr:uid="{00000000-0005-0000-0000-0000F0A20000}"/>
    <cellStyle name="Normal 428" xfId="2780" xr:uid="{00000000-0005-0000-0000-0000F1A20000}"/>
    <cellStyle name="Normal 428 2" xfId="4792" xr:uid="{00000000-0005-0000-0000-0000F2A20000}"/>
    <cellStyle name="Normal 428 2 2" xfId="8637" xr:uid="{00000000-0005-0000-0000-0000F3A20000}"/>
    <cellStyle name="Normal 428 2 2 2" xfId="16433" xr:uid="{00000000-0005-0000-0000-0000F4A20000}"/>
    <cellStyle name="Normal 428 2 2 2 2" xfId="34068" xr:uid="{00000000-0005-0000-0000-0000F5A20000}"/>
    <cellStyle name="Normal 428 2 2 3" xfId="27038" xr:uid="{00000000-0005-0000-0000-0000F6A20000}"/>
    <cellStyle name="Normal 428 2 3" xfId="12929" xr:uid="{00000000-0005-0000-0000-0000F7A20000}"/>
    <cellStyle name="Normal 428 2 3 2" xfId="30579" xr:uid="{00000000-0005-0000-0000-0000F8A20000}"/>
    <cellStyle name="Normal 428 2 4" xfId="24173" xr:uid="{00000000-0005-0000-0000-0000F9A20000}"/>
    <cellStyle name="Normal 428 3" xfId="5950" xr:uid="{00000000-0005-0000-0000-0000FAA20000}"/>
    <cellStyle name="Normal 428 3 2" xfId="9250" xr:uid="{00000000-0005-0000-0000-0000FBA20000}"/>
    <cellStyle name="Normal 428 3 2 2" xfId="17045" xr:uid="{00000000-0005-0000-0000-0000FCA20000}"/>
    <cellStyle name="Normal 428 3 2 2 2" xfId="34681" xr:uid="{00000000-0005-0000-0000-0000FDA20000}"/>
    <cellStyle name="Normal 428 3 2 3" xfId="27638" xr:uid="{00000000-0005-0000-0000-0000FEA20000}"/>
    <cellStyle name="Normal 428 3 3" xfId="13806" xr:uid="{00000000-0005-0000-0000-0000FFA20000}"/>
    <cellStyle name="Normal 428 3 3 2" xfId="31446" xr:uid="{00000000-0005-0000-0000-000000A30000}"/>
    <cellStyle name="Normal 428 3 4" xfId="24773" xr:uid="{00000000-0005-0000-0000-000001A30000}"/>
    <cellStyle name="Normal 428 4" xfId="6580" xr:uid="{00000000-0005-0000-0000-000002A30000}"/>
    <cellStyle name="Normal 428 4 2" xfId="9790" xr:uid="{00000000-0005-0000-0000-000003A30000}"/>
    <cellStyle name="Normal 428 4 2 2" xfId="17584" xr:uid="{00000000-0005-0000-0000-000004A30000}"/>
    <cellStyle name="Normal 428 4 2 2 2" xfId="35221" xr:uid="{00000000-0005-0000-0000-000005A30000}"/>
    <cellStyle name="Normal 428 4 2 3" xfId="28174" xr:uid="{00000000-0005-0000-0000-000006A30000}"/>
    <cellStyle name="Normal 428 4 3" xfId="14369" xr:uid="{00000000-0005-0000-0000-000007A30000}"/>
    <cellStyle name="Normal 428 4 3 2" xfId="32004" xr:uid="{00000000-0005-0000-0000-000008A30000}"/>
    <cellStyle name="Normal 428 4 4" xfId="25310" xr:uid="{00000000-0005-0000-0000-000009A30000}"/>
    <cellStyle name="Normal 428 5" xfId="7356" xr:uid="{00000000-0005-0000-0000-00000AA30000}"/>
    <cellStyle name="Normal 428 5 2" xfId="10344" xr:uid="{00000000-0005-0000-0000-00000BA30000}"/>
    <cellStyle name="Normal 428 5 2 2" xfId="18137" xr:uid="{00000000-0005-0000-0000-00000CA30000}"/>
    <cellStyle name="Normal 428 5 2 2 2" xfId="35774" xr:uid="{00000000-0005-0000-0000-00000DA30000}"/>
    <cellStyle name="Normal 428 5 2 3" xfId="28711" xr:uid="{00000000-0005-0000-0000-00000EA30000}"/>
    <cellStyle name="Normal 428 5 3" xfId="15144" xr:uid="{00000000-0005-0000-0000-00000FA30000}"/>
    <cellStyle name="Normal 428 5 3 2" xfId="32779" xr:uid="{00000000-0005-0000-0000-000010A30000}"/>
    <cellStyle name="Normal 428 5 4" xfId="25848" xr:uid="{00000000-0005-0000-0000-000011A30000}"/>
    <cellStyle name="Normal 428 6" xfId="7955" xr:uid="{00000000-0005-0000-0000-000012A30000}"/>
    <cellStyle name="Normal 428 6 2" xfId="15752" xr:uid="{00000000-0005-0000-0000-000013A30000}"/>
    <cellStyle name="Normal 428 6 2 2" xfId="33387" xr:uid="{00000000-0005-0000-0000-000014A30000}"/>
    <cellStyle name="Normal 428 6 3" xfId="26371" xr:uid="{00000000-0005-0000-0000-000015A30000}"/>
    <cellStyle name="Normal 428 7" xfId="11914" xr:uid="{00000000-0005-0000-0000-000016A30000}"/>
    <cellStyle name="Normal 428 7 2" xfId="29597" xr:uid="{00000000-0005-0000-0000-000017A30000}"/>
    <cellStyle name="Normal 428 8" xfId="23506" xr:uid="{00000000-0005-0000-0000-000018A30000}"/>
    <cellStyle name="Normal 428 9" xfId="52419" xr:uid="{00000000-0005-0000-0000-000019A30000}"/>
    <cellStyle name="Normal 429" xfId="2781" xr:uid="{00000000-0005-0000-0000-00001AA30000}"/>
    <cellStyle name="Normal 429 2" xfId="2782" xr:uid="{00000000-0005-0000-0000-00001BA30000}"/>
    <cellStyle name="Normal 429 2 2" xfId="4794" xr:uid="{00000000-0005-0000-0000-00001CA30000}"/>
    <cellStyle name="Normal 429 2 3" xfId="52421" xr:uid="{00000000-0005-0000-0000-00001DA30000}"/>
    <cellStyle name="Normal 429 3" xfId="2783" xr:uid="{00000000-0005-0000-0000-00001EA30000}"/>
    <cellStyle name="Normal 429 3 2" xfId="4795" xr:uid="{00000000-0005-0000-0000-00001FA30000}"/>
    <cellStyle name="Normal 429 4" xfId="4793" xr:uid="{00000000-0005-0000-0000-000020A30000}"/>
    <cellStyle name="Normal 429 5" xfId="52420" xr:uid="{00000000-0005-0000-0000-000021A30000}"/>
    <cellStyle name="Normal 43" xfId="2784" xr:uid="{00000000-0005-0000-0000-000022A30000}"/>
    <cellStyle name="Normal 43 2" xfId="4796" xr:uid="{00000000-0005-0000-0000-000023A30000}"/>
    <cellStyle name="Normal 43 2 2" xfId="22783" xr:uid="{00000000-0005-0000-0000-000024A30000}"/>
    <cellStyle name="Normal 43 2 2 2" xfId="38990" xr:uid="{00000000-0005-0000-0000-000025A30000}"/>
    <cellStyle name="Normal 43 3" xfId="22999" xr:uid="{00000000-0005-0000-0000-000026A30000}"/>
    <cellStyle name="Normal 43 4" xfId="22574" xr:uid="{00000000-0005-0000-0000-000027A30000}"/>
    <cellStyle name="Normal 43 4 2" xfId="38885" xr:uid="{00000000-0005-0000-0000-000028A30000}"/>
    <cellStyle name="Normal 43 5" xfId="52422" xr:uid="{00000000-0005-0000-0000-000029A30000}"/>
    <cellStyle name="Normal 430" xfId="2785" xr:uid="{00000000-0005-0000-0000-00002AA30000}"/>
    <cellStyle name="Normal 430 10" xfId="52423" xr:uid="{00000000-0005-0000-0000-00002BA30000}"/>
    <cellStyle name="Normal 430 2" xfId="2786" xr:uid="{00000000-0005-0000-0000-00002CA30000}"/>
    <cellStyle name="Normal 430 2 2" xfId="4798" xr:uid="{00000000-0005-0000-0000-00002DA30000}"/>
    <cellStyle name="Normal 430 2 3" xfId="52424" xr:uid="{00000000-0005-0000-0000-00002EA30000}"/>
    <cellStyle name="Normal 430 3" xfId="4797" xr:uid="{00000000-0005-0000-0000-00002FA30000}"/>
    <cellStyle name="Normal 430 3 2" xfId="8638" xr:uid="{00000000-0005-0000-0000-000030A30000}"/>
    <cellStyle name="Normal 430 3 2 2" xfId="16434" xr:uid="{00000000-0005-0000-0000-000031A30000}"/>
    <cellStyle name="Normal 430 3 2 2 2" xfId="34069" xr:uid="{00000000-0005-0000-0000-000032A30000}"/>
    <cellStyle name="Normal 430 3 2 3" xfId="27039" xr:uid="{00000000-0005-0000-0000-000033A30000}"/>
    <cellStyle name="Normal 430 3 3" xfId="12932" xr:uid="{00000000-0005-0000-0000-000034A30000}"/>
    <cellStyle name="Normal 430 3 3 2" xfId="30582" xr:uid="{00000000-0005-0000-0000-000035A30000}"/>
    <cellStyle name="Normal 430 3 4" xfId="24174" xr:uid="{00000000-0005-0000-0000-000036A30000}"/>
    <cellStyle name="Normal 430 4" xfId="5951" xr:uid="{00000000-0005-0000-0000-000037A30000}"/>
    <cellStyle name="Normal 430 4 2" xfId="9251" xr:uid="{00000000-0005-0000-0000-000038A30000}"/>
    <cellStyle name="Normal 430 4 2 2" xfId="17046" xr:uid="{00000000-0005-0000-0000-000039A30000}"/>
    <cellStyle name="Normal 430 4 2 2 2" xfId="34682" xr:uid="{00000000-0005-0000-0000-00003AA30000}"/>
    <cellStyle name="Normal 430 4 2 3" xfId="27639" xr:uid="{00000000-0005-0000-0000-00003BA30000}"/>
    <cellStyle name="Normal 430 4 3" xfId="13807" xr:uid="{00000000-0005-0000-0000-00003CA30000}"/>
    <cellStyle name="Normal 430 4 3 2" xfId="31447" xr:uid="{00000000-0005-0000-0000-00003DA30000}"/>
    <cellStyle name="Normal 430 4 4" xfId="24774" xr:uid="{00000000-0005-0000-0000-00003EA30000}"/>
    <cellStyle name="Normal 430 5" xfId="6581" xr:uid="{00000000-0005-0000-0000-00003FA30000}"/>
    <cellStyle name="Normal 430 5 2" xfId="9791" xr:uid="{00000000-0005-0000-0000-000040A30000}"/>
    <cellStyle name="Normal 430 5 2 2" xfId="17585" xr:uid="{00000000-0005-0000-0000-000041A30000}"/>
    <cellStyle name="Normal 430 5 2 2 2" xfId="35222" xr:uid="{00000000-0005-0000-0000-000042A30000}"/>
    <cellStyle name="Normal 430 5 2 3" xfId="28175" xr:uid="{00000000-0005-0000-0000-000043A30000}"/>
    <cellStyle name="Normal 430 5 3" xfId="14370" xr:uid="{00000000-0005-0000-0000-000044A30000}"/>
    <cellStyle name="Normal 430 5 3 2" xfId="32005" xr:uid="{00000000-0005-0000-0000-000045A30000}"/>
    <cellStyle name="Normal 430 5 4" xfId="25311" xr:uid="{00000000-0005-0000-0000-000046A30000}"/>
    <cellStyle name="Normal 430 6" xfId="7357" xr:uid="{00000000-0005-0000-0000-000047A30000}"/>
    <cellStyle name="Normal 430 6 2" xfId="10345" xr:uid="{00000000-0005-0000-0000-000048A30000}"/>
    <cellStyle name="Normal 430 6 2 2" xfId="18138" xr:uid="{00000000-0005-0000-0000-000049A30000}"/>
    <cellStyle name="Normal 430 6 2 2 2" xfId="35775" xr:uid="{00000000-0005-0000-0000-00004AA30000}"/>
    <cellStyle name="Normal 430 6 2 3" xfId="28712" xr:uid="{00000000-0005-0000-0000-00004BA30000}"/>
    <cellStyle name="Normal 430 6 3" xfId="15145" xr:uid="{00000000-0005-0000-0000-00004CA30000}"/>
    <cellStyle name="Normal 430 6 3 2" xfId="32780" xr:uid="{00000000-0005-0000-0000-00004DA30000}"/>
    <cellStyle name="Normal 430 6 4" xfId="25849" xr:uid="{00000000-0005-0000-0000-00004EA30000}"/>
    <cellStyle name="Normal 430 7" xfId="7956" xr:uid="{00000000-0005-0000-0000-00004FA30000}"/>
    <cellStyle name="Normal 430 7 2" xfId="15753" xr:uid="{00000000-0005-0000-0000-000050A30000}"/>
    <cellStyle name="Normal 430 7 2 2" xfId="33388" xr:uid="{00000000-0005-0000-0000-000051A30000}"/>
    <cellStyle name="Normal 430 7 3" xfId="26372" xr:uid="{00000000-0005-0000-0000-000052A30000}"/>
    <cellStyle name="Normal 430 8" xfId="11916" xr:uid="{00000000-0005-0000-0000-000053A30000}"/>
    <cellStyle name="Normal 430 8 2" xfId="29599" xr:uid="{00000000-0005-0000-0000-000054A30000}"/>
    <cellStyle name="Normal 430 9" xfId="23507" xr:uid="{00000000-0005-0000-0000-000055A30000}"/>
    <cellStyle name="Normal 431" xfId="2787" xr:uid="{00000000-0005-0000-0000-000056A30000}"/>
    <cellStyle name="Normal 431 10" xfId="52425" xr:uid="{00000000-0005-0000-0000-000057A30000}"/>
    <cellStyle name="Normal 431 2" xfId="2788" xr:uid="{00000000-0005-0000-0000-000058A30000}"/>
    <cellStyle name="Normal 431 2 2" xfId="4800" xr:uid="{00000000-0005-0000-0000-000059A30000}"/>
    <cellStyle name="Normal 431 2 3" xfId="52426" xr:uid="{00000000-0005-0000-0000-00005AA30000}"/>
    <cellStyle name="Normal 431 3" xfId="4799" xr:uid="{00000000-0005-0000-0000-00005BA30000}"/>
    <cellStyle name="Normal 431 3 2" xfId="8639" xr:uid="{00000000-0005-0000-0000-00005CA30000}"/>
    <cellStyle name="Normal 431 3 2 2" xfId="16435" xr:uid="{00000000-0005-0000-0000-00005DA30000}"/>
    <cellStyle name="Normal 431 3 2 2 2" xfId="34070" xr:uid="{00000000-0005-0000-0000-00005EA30000}"/>
    <cellStyle name="Normal 431 3 2 3" xfId="27040" xr:uid="{00000000-0005-0000-0000-00005FA30000}"/>
    <cellStyle name="Normal 431 3 3" xfId="12933" xr:uid="{00000000-0005-0000-0000-000060A30000}"/>
    <cellStyle name="Normal 431 3 3 2" xfId="30583" xr:uid="{00000000-0005-0000-0000-000061A30000}"/>
    <cellStyle name="Normal 431 3 4" xfId="24175" xr:uid="{00000000-0005-0000-0000-000062A30000}"/>
    <cellStyle name="Normal 431 4" xfId="5952" xr:uid="{00000000-0005-0000-0000-000063A30000}"/>
    <cellStyle name="Normal 431 4 2" xfId="9252" xr:uid="{00000000-0005-0000-0000-000064A30000}"/>
    <cellStyle name="Normal 431 4 2 2" xfId="17047" xr:uid="{00000000-0005-0000-0000-000065A30000}"/>
    <cellStyle name="Normal 431 4 2 2 2" xfId="34683" xr:uid="{00000000-0005-0000-0000-000066A30000}"/>
    <cellStyle name="Normal 431 4 2 3" xfId="27640" xr:uid="{00000000-0005-0000-0000-000067A30000}"/>
    <cellStyle name="Normal 431 4 3" xfId="13808" xr:uid="{00000000-0005-0000-0000-000068A30000}"/>
    <cellStyle name="Normal 431 4 3 2" xfId="31448" xr:uid="{00000000-0005-0000-0000-000069A30000}"/>
    <cellStyle name="Normal 431 4 4" xfId="24775" xr:uid="{00000000-0005-0000-0000-00006AA30000}"/>
    <cellStyle name="Normal 431 5" xfId="6582" xr:uid="{00000000-0005-0000-0000-00006BA30000}"/>
    <cellStyle name="Normal 431 5 2" xfId="9792" xr:uid="{00000000-0005-0000-0000-00006CA30000}"/>
    <cellStyle name="Normal 431 5 2 2" xfId="17586" xr:uid="{00000000-0005-0000-0000-00006DA30000}"/>
    <cellStyle name="Normal 431 5 2 2 2" xfId="35223" xr:uid="{00000000-0005-0000-0000-00006EA30000}"/>
    <cellStyle name="Normal 431 5 2 3" xfId="28176" xr:uid="{00000000-0005-0000-0000-00006FA30000}"/>
    <cellStyle name="Normal 431 5 3" xfId="14371" xr:uid="{00000000-0005-0000-0000-000070A30000}"/>
    <cellStyle name="Normal 431 5 3 2" xfId="32006" xr:uid="{00000000-0005-0000-0000-000071A30000}"/>
    <cellStyle name="Normal 431 5 4" xfId="25312" xr:uid="{00000000-0005-0000-0000-000072A30000}"/>
    <cellStyle name="Normal 431 6" xfId="7358" xr:uid="{00000000-0005-0000-0000-000073A30000}"/>
    <cellStyle name="Normal 431 6 2" xfId="10346" xr:uid="{00000000-0005-0000-0000-000074A30000}"/>
    <cellStyle name="Normal 431 6 2 2" xfId="18139" xr:uid="{00000000-0005-0000-0000-000075A30000}"/>
    <cellStyle name="Normal 431 6 2 2 2" xfId="35776" xr:uid="{00000000-0005-0000-0000-000076A30000}"/>
    <cellStyle name="Normal 431 6 2 3" xfId="28713" xr:uid="{00000000-0005-0000-0000-000077A30000}"/>
    <cellStyle name="Normal 431 6 3" xfId="15146" xr:uid="{00000000-0005-0000-0000-000078A30000}"/>
    <cellStyle name="Normal 431 6 3 2" xfId="32781" xr:uid="{00000000-0005-0000-0000-000079A30000}"/>
    <cellStyle name="Normal 431 6 4" xfId="25850" xr:uid="{00000000-0005-0000-0000-00007AA30000}"/>
    <cellStyle name="Normal 431 7" xfId="7957" xr:uid="{00000000-0005-0000-0000-00007BA30000}"/>
    <cellStyle name="Normal 431 7 2" xfId="15754" xr:uid="{00000000-0005-0000-0000-00007CA30000}"/>
    <cellStyle name="Normal 431 7 2 2" xfId="33389" xr:uid="{00000000-0005-0000-0000-00007DA30000}"/>
    <cellStyle name="Normal 431 7 3" xfId="26373" xr:uid="{00000000-0005-0000-0000-00007EA30000}"/>
    <cellStyle name="Normal 431 8" xfId="11917" xr:uid="{00000000-0005-0000-0000-00007FA30000}"/>
    <cellStyle name="Normal 431 8 2" xfId="29600" xr:uid="{00000000-0005-0000-0000-000080A30000}"/>
    <cellStyle name="Normal 431 9" xfId="23508" xr:uid="{00000000-0005-0000-0000-000081A30000}"/>
    <cellStyle name="Normal 432" xfId="2789" xr:uid="{00000000-0005-0000-0000-000082A30000}"/>
    <cellStyle name="Normal 432 10" xfId="52427" xr:uid="{00000000-0005-0000-0000-000083A30000}"/>
    <cellStyle name="Normal 432 2" xfId="2790" xr:uid="{00000000-0005-0000-0000-000084A30000}"/>
    <cellStyle name="Normal 432 2 2" xfId="4802" xr:uid="{00000000-0005-0000-0000-000085A30000}"/>
    <cellStyle name="Normal 432 2 3" xfId="52428" xr:uid="{00000000-0005-0000-0000-000086A30000}"/>
    <cellStyle name="Normal 432 3" xfId="4801" xr:uid="{00000000-0005-0000-0000-000087A30000}"/>
    <cellStyle name="Normal 432 3 2" xfId="8640" xr:uid="{00000000-0005-0000-0000-000088A30000}"/>
    <cellStyle name="Normal 432 3 2 2" xfId="16436" xr:uid="{00000000-0005-0000-0000-000089A30000}"/>
    <cellStyle name="Normal 432 3 2 2 2" xfId="34071" xr:uid="{00000000-0005-0000-0000-00008AA30000}"/>
    <cellStyle name="Normal 432 3 2 3" xfId="27041" xr:uid="{00000000-0005-0000-0000-00008BA30000}"/>
    <cellStyle name="Normal 432 3 3" xfId="12934" xr:uid="{00000000-0005-0000-0000-00008CA30000}"/>
    <cellStyle name="Normal 432 3 3 2" xfId="30584" xr:uid="{00000000-0005-0000-0000-00008DA30000}"/>
    <cellStyle name="Normal 432 3 4" xfId="24176" xr:uid="{00000000-0005-0000-0000-00008EA30000}"/>
    <cellStyle name="Normal 432 4" xfId="5953" xr:uid="{00000000-0005-0000-0000-00008FA30000}"/>
    <cellStyle name="Normal 432 4 2" xfId="9253" xr:uid="{00000000-0005-0000-0000-000090A30000}"/>
    <cellStyle name="Normal 432 4 2 2" xfId="17048" xr:uid="{00000000-0005-0000-0000-000091A30000}"/>
    <cellStyle name="Normal 432 4 2 2 2" xfId="34684" xr:uid="{00000000-0005-0000-0000-000092A30000}"/>
    <cellStyle name="Normal 432 4 2 3" xfId="27641" xr:uid="{00000000-0005-0000-0000-000093A30000}"/>
    <cellStyle name="Normal 432 4 3" xfId="13809" xr:uid="{00000000-0005-0000-0000-000094A30000}"/>
    <cellStyle name="Normal 432 4 3 2" xfId="31449" xr:uid="{00000000-0005-0000-0000-000095A30000}"/>
    <cellStyle name="Normal 432 4 4" xfId="24776" xr:uid="{00000000-0005-0000-0000-000096A30000}"/>
    <cellStyle name="Normal 432 5" xfId="6583" xr:uid="{00000000-0005-0000-0000-000097A30000}"/>
    <cellStyle name="Normal 432 5 2" xfId="9793" xr:uid="{00000000-0005-0000-0000-000098A30000}"/>
    <cellStyle name="Normal 432 5 2 2" xfId="17587" xr:uid="{00000000-0005-0000-0000-000099A30000}"/>
    <cellStyle name="Normal 432 5 2 2 2" xfId="35224" xr:uid="{00000000-0005-0000-0000-00009AA30000}"/>
    <cellStyle name="Normal 432 5 2 3" xfId="28177" xr:uid="{00000000-0005-0000-0000-00009BA30000}"/>
    <cellStyle name="Normal 432 5 3" xfId="14372" xr:uid="{00000000-0005-0000-0000-00009CA30000}"/>
    <cellStyle name="Normal 432 5 3 2" xfId="32007" xr:uid="{00000000-0005-0000-0000-00009DA30000}"/>
    <cellStyle name="Normal 432 5 4" xfId="25313" xr:uid="{00000000-0005-0000-0000-00009EA30000}"/>
    <cellStyle name="Normal 432 6" xfId="7359" xr:uid="{00000000-0005-0000-0000-00009FA30000}"/>
    <cellStyle name="Normal 432 6 2" xfId="10347" xr:uid="{00000000-0005-0000-0000-0000A0A30000}"/>
    <cellStyle name="Normal 432 6 2 2" xfId="18140" xr:uid="{00000000-0005-0000-0000-0000A1A30000}"/>
    <cellStyle name="Normal 432 6 2 2 2" xfId="35777" xr:uid="{00000000-0005-0000-0000-0000A2A30000}"/>
    <cellStyle name="Normal 432 6 2 3" xfId="28714" xr:uid="{00000000-0005-0000-0000-0000A3A30000}"/>
    <cellStyle name="Normal 432 6 3" xfId="15147" xr:uid="{00000000-0005-0000-0000-0000A4A30000}"/>
    <cellStyle name="Normal 432 6 3 2" xfId="32782" xr:uid="{00000000-0005-0000-0000-0000A5A30000}"/>
    <cellStyle name="Normal 432 6 4" xfId="25851" xr:uid="{00000000-0005-0000-0000-0000A6A30000}"/>
    <cellStyle name="Normal 432 7" xfId="7958" xr:uid="{00000000-0005-0000-0000-0000A7A30000}"/>
    <cellStyle name="Normal 432 7 2" xfId="15755" xr:uid="{00000000-0005-0000-0000-0000A8A30000}"/>
    <cellStyle name="Normal 432 7 2 2" xfId="33390" xr:uid="{00000000-0005-0000-0000-0000A9A30000}"/>
    <cellStyle name="Normal 432 7 3" xfId="26374" xr:uid="{00000000-0005-0000-0000-0000AAA30000}"/>
    <cellStyle name="Normal 432 8" xfId="11918" xr:uid="{00000000-0005-0000-0000-0000ABA30000}"/>
    <cellStyle name="Normal 432 8 2" xfId="29601" xr:uid="{00000000-0005-0000-0000-0000ACA30000}"/>
    <cellStyle name="Normal 432 9" xfId="23509" xr:uid="{00000000-0005-0000-0000-0000ADA30000}"/>
    <cellStyle name="Normal 433" xfId="2791" xr:uid="{00000000-0005-0000-0000-0000AEA30000}"/>
    <cellStyle name="Normal 433 10" xfId="52429" xr:uid="{00000000-0005-0000-0000-0000AFA30000}"/>
    <cellStyle name="Normal 433 2" xfId="2792" xr:uid="{00000000-0005-0000-0000-0000B0A30000}"/>
    <cellStyle name="Normal 433 2 2" xfId="4804" xr:uid="{00000000-0005-0000-0000-0000B1A30000}"/>
    <cellStyle name="Normal 433 2 3" xfId="52430" xr:uid="{00000000-0005-0000-0000-0000B2A30000}"/>
    <cellStyle name="Normal 433 3" xfId="4803" xr:uid="{00000000-0005-0000-0000-0000B3A30000}"/>
    <cellStyle name="Normal 433 3 2" xfId="8641" xr:uid="{00000000-0005-0000-0000-0000B4A30000}"/>
    <cellStyle name="Normal 433 3 2 2" xfId="16437" xr:uid="{00000000-0005-0000-0000-0000B5A30000}"/>
    <cellStyle name="Normal 433 3 2 2 2" xfId="34072" xr:uid="{00000000-0005-0000-0000-0000B6A30000}"/>
    <cellStyle name="Normal 433 3 2 3" xfId="27042" xr:uid="{00000000-0005-0000-0000-0000B7A30000}"/>
    <cellStyle name="Normal 433 3 3" xfId="12935" xr:uid="{00000000-0005-0000-0000-0000B8A30000}"/>
    <cellStyle name="Normal 433 3 3 2" xfId="30585" xr:uid="{00000000-0005-0000-0000-0000B9A30000}"/>
    <cellStyle name="Normal 433 3 4" xfId="24177" xr:uid="{00000000-0005-0000-0000-0000BAA30000}"/>
    <cellStyle name="Normal 433 4" xfId="5954" xr:uid="{00000000-0005-0000-0000-0000BBA30000}"/>
    <cellStyle name="Normal 433 4 2" xfId="9254" xr:uid="{00000000-0005-0000-0000-0000BCA30000}"/>
    <cellStyle name="Normal 433 4 2 2" xfId="17049" xr:uid="{00000000-0005-0000-0000-0000BDA30000}"/>
    <cellStyle name="Normal 433 4 2 2 2" xfId="34685" xr:uid="{00000000-0005-0000-0000-0000BEA30000}"/>
    <cellStyle name="Normal 433 4 2 3" xfId="27642" xr:uid="{00000000-0005-0000-0000-0000BFA30000}"/>
    <cellStyle name="Normal 433 4 3" xfId="13810" xr:uid="{00000000-0005-0000-0000-0000C0A30000}"/>
    <cellStyle name="Normal 433 4 3 2" xfId="31450" xr:uid="{00000000-0005-0000-0000-0000C1A30000}"/>
    <cellStyle name="Normal 433 4 4" xfId="24777" xr:uid="{00000000-0005-0000-0000-0000C2A30000}"/>
    <cellStyle name="Normal 433 5" xfId="6584" xr:uid="{00000000-0005-0000-0000-0000C3A30000}"/>
    <cellStyle name="Normal 433 5 2" xfId="9794" xr:uid="{00000000-0005-0000-0000-0000C4A30000}"/>
    <cellStyle name="Normal 433 5 2 2" xfId="17588" xr:uid="{00000000-0005-0000-0000-0000C5A30000}"/>
    <cellStyle name="Normal 433 5 2 2 2" xfId="35225" xr:uid="{00000000-0005-0000-0000-0000C6A30000}"/>
    <cellStyle name="Normal 433 5 2 3" xfId="28178" xr:uid="{00000000-0005-0000-0000-0000C7A30000}"/>
    <cellStyle name="Normal 433 5 3" xfId="14373" xr:uid="{00000000-0005-0000-0000-0000C8A30000}"/>
    <cellStyle name="Normal 433 5 3 2" xfId="32008" xr:uid="{00000000-0005-0000-0000-0000C9A30000}"/>
    <cellStyle name="Normal 433 5 4" xfId="25314" xr:uid="{00000000-0005-0000-0000-0000CAA30000}"/>
    <cellStyle name="Normal 433 6" xfId="7360" xr:uid="{00000000-0005-0000-0000-0000CBA30000}"/>
    <cellStyle name="Normal 433 6 2" xfId="10348" xr:uid="{00000000-0005-0000-0000-0000CCA30000}"/>
    <cellStyle name="Normal 433 6 2 2" xfId="18141" xr:uid="{00000000-0005-0000-0000-0000CDA30000}"/>
    <cellStyle name="Normal 433 6 2 2 2" xfId="35778" xr:uid="{00000000-0005-0000-0000-0000CEA30000}"/>
    <cellStyle name="Normal 433 6 2 3" xfId="28715" xr:uid="{00000000-0005-0000-0000-0000CFA30000}"/>
    <cellStyle name="Normal 433 6 3" xfId="15148" xr:uid="{00000000-0005-0000-0000-0000D0A30000}"/>
    <cellStyle name="Normal 433 6 3 2" xfId="32783" xr:uid="{00000000-0005-0000-0000-0000D1A30000}"/>
    <cellStyle name="Normal 433 6 4" xfId="25852" xr:uid="{00000000-0005-0000-0000-0000D2A30000}"/>
    <cellStyle name="Normal 433 7" xfId="7959" xr:uid="{00000000-0005-0000-0000-0000D3A30000}"/>
    <cellStyle name="Normal 433 7 2" xfId="15756" xr:uid="{00000000-0005-0000-0000-0000D4A30000}"/>
    <cellStyle name="Normal 433 7 2 2" xfId="33391" xr:uid="{00000000-0005-0000-0000-0000D5A30000}"/>
    <cellStyle name="Normal 433 7 3" xfId="26375" xr:uid="{00000000-0005-0000-0000-0000D6A30000}"/>
    <cellStyle name="Normal 433 8" xfId="11919" xr:uid="{00000000-0005-0000-0000-0000D7A30000}"/>
    <cellStyle name="Normal 433 8 2" xfId="29602" xr:uid="{00000000-0005-0000-0000-0000D8A30000}"/>
    <cellStyle name="Normal 433 9" xfId="23510" xr:uid="{00000000-0005-0000-0000-0000D9A30000}"/>
    <cellStyle name="Normal 434" xfId="2793" xr:uid="{00000000-0005-0000-0000-0000DAA30000}"/>
    <cellStyle name="Normal 434 2" xfId="4805" xr:uid="{00000000-0005-0000-0000-0000DBA30000}"/>
    <cellStyle name="Normal 434 2 2" xfId="8642" xr:uid="{00000000-0005-0000-0000-0000DCA30000}"/>
    <cellStyle name="Normal 434 2 2 2" xfId="16438" xr:uid="{00000000-0005-0000-0000-0000DDA30000}"/>
    <cellStyle name="Normal 434 2 2 2 2" xfId="34073" xr:uid="{00000000-0005-0000-0000-0000DEA30000}"/>
    <cellStyle name="Normal 434 2 2 3" xfId="27043" xr:uid="{00000000-0005-0000-0000-0000DFA30000}"/>
    <cellStyle name="Normal 434 2 3" xfId="12936" xr:uid="{00000000-0005-0000-0000-0000E0A30000}"/>
    <cellStyle name="Normal 434 2 3 2" xfId="30586" xr:uid="{00000000-0005-0000-0000-0000E1A30000}"/>
    <cellStyle name="Normal 434 2 4" xfId="24178" xr:uid="{00000000-0005-0000-0000-0000E2A30000}"/>
    <cellStyle name="Normal 434 3" xfId="5955" xr:uid="{00000000-0005-0000-0000-0000E3A30000}"/>
    <cellStyle name="Normal 434 3 2" xfId="9255" xr:uid="{00000000-0005-0000-0000-0000E4A30000}"/>
    <cellStyle name="Normal 434 3 2 2" xfId="17050" xr:uid="{00000000-0005-0000-0000-0000E5A30000}"/>
    <cellStyle name="Normal 434 3 2 2 2" xfId="34686" xr:uid="{00000000-0005-0000-0000-0000E6A30000}"/>
    <cellStyle name="Normal 434 3 2 3" xfId="27643" xr:uid="{00000000-0005-0000-0000-0000E7A30000}"/>
    <cellStyle name="Normal 434 3 3" xfId="13811" xr:uid="{00000000-0005-0000-0000-0000E8A30000}"/>
    <cellStyle name="Normal 434 3 3 2" xfId="31451" xr:uid="{00000000-0005-0000-0000-0000E9A30000}"/>
    <cellStyle name="Normal 434 3 4" xfId="24778" xr:uid="{00000000-0005-0000-0000-0000EAA30000}"/>
    <cellStyle name="Normal 434 4" xfId="6585" xr:uid="{00000000-0005-0000-0000-0000EBA30000}"/>
    <cellStyle name="Normal 434 4 2" xfId="9795" xr:uid="{00000000-0005-0000-0000-0000ECA30000}"/>
    <cellStyle name="Normal 434 4 2 2" xfId="17589" xr:uid="{00000000-0005-0000-0000-0000EDA30000}"/>
    <cellStyle name="Normal 434 4 2 2 2" xfId="35226" xr:uid="{00000000-0005-0000-0000-0000EEA30000}"/>
    <cellStyle name="Normal 434 4 2 3" xfId="28179" xr:uid="{00000000-0005-0000-0000-0000EFA30000}"/>
    <cellStyle name="Normal 434 4 3" xfId="14374" xr:uid="{00000000-0005-0000-0000-0000F0A30000}"/>
    <cellStyle name="Normal 434 4 3 2" xfId="32009" xr:uid="{00000000-0005-0000-0000-0000F1A30000}"/>
    <cellStyle name="Normal 434 4 4" xfId="25315" xr:uid="{00000000-0005-0000-0000-0000F2A30000}"/>
    <cellStyle name="Normal 434 5" xfId="7361" xr:uid="{00000000-0005-0000-0000-0000F3A30000}"/>
    <cellStyle name="Normal 434 5 2" xfId="10349" xr:uid="{00000000-0005-0000-0000-0000F4A30000}"/>
    <cellStyle name="Normal 434 5 2 2" xfId="18142" xr:uid="{00000000-0005-0000-0000-0000F5A30000}"/>
    <cellStyle name="Normal 434 5 2 2 2" xfId="35779" xr:uid="{00000000-0005-0000-0000-0000F6A30000}"/>
    <cellStyle name="Normal 434 5 2 3" xfId="28716" xr:uid="{00000000-0005-0000-0000-0000F7A30000}"/>
    <cellStyle name="Normal 434 5 3" xfId="15149" xr:uid="{00000000-0005-0000-0000-0000F8A30000}"/>
    <cellStyle name="Normal 434 5 3 2" xfId="32784" xr:uid="{00000000-0005-0000-0000-0000F9A30000}"/>
    <cellStyle name="Normal 434 5 4" xfId="25853" xr:uid="{00000000-0005-0000-0000-0000FAA30000}"/>
    <cellStyle name="Normal 434 6" xfId="7960" xr:uid="{00000000-0005-0000-0000-0000FBA30000}"/>
    <cellStyle name="Normal 434 6 2" xfId="15757" xr:uid="{00000000-0005-0000-0000-0000FCA30000}"/>
    <cellStyle name="Normal 434 6 2 2" xfId="33392" xr:uid="{00000000-0005-0000-0000-0000FDA30000}"/>
    <cellStyle name="Normal 434 6 3" xfId="26376" xr:uid="{00000000-0005-0000-0000-0000FEA30000}"/>
    <cellStyle name="Normal 434 7" xfId="11920" xr:uid="{00000000-0005-0000-0000-0000FFA30000}"/>
    <cellStyle name="Normal 434 7 2" xfId="29603" xr:uid="{00000000-0005-0000-0000-000000A40000}"/>
    <cellStyle name="Normal 434 8" xfId="23511" xr:uid="{00000000-0005-0000-0000-000001A40000}"/>
    <cellStyle name="Normal 434 9" xfId="52431" xr:uid="{00000000-0005-0000-0000-000002A40000}"/>
    <cellStyle name="Normal 435" xfId="2794" xr:uid="{00000000-0005-0000-0000-000003A40000}"/>
    <cellStyle name="Normal 435 2" xfId="4807" xr:uid="{00000000-0005-0000-0000-000004A40000}"/>
    <cellStyle name="Normal 435 2 2" xfId="8643" xr:uid="{00000000-0005-0000-0000-000005A40000}"/>
    <cellStyle name="Normal 435 2 2 2" xfId="16439" xr:uid="{00000000-0005-0000-0000-000006A40000}"/>
    <cellStyle name="Normal 435 2 2 2 2" xfId="34074" xr:uid="{00000000-0005-0000-0000-000007A40000}"/>
    <cellStyle name="Normal 435 2 2 3" xfId="27044" xr:uid="{00000000-0005-0000-0000-000008A40000}"/>
    <cellStyle name="Normal 435 2 3" xfId="12938" xr:uid="{00000000-0005-0000-0000-000009A40000}"/>
    <cellStyle name="Normal 435 2 3 2" xfId="30588" xr:uid="{00000000-0005-0000-0000-00000AA40000}"/>
    <cellStyle name="Normal 435 2 4" xfId="24179" xr:uid="{00000000-0005-0000-0000-00000BA40000}"/>
    <cellStyle name="Normal 435 3" xfId="4806" xr:uid="{00000000-0005-0000-0000-00000CA40000}"/>
    <cellStyle name="Normal 435 4" xfId="7961" xr:uid="{00000000-0005-0000-0000-00000DA40000}"/>
    <cellStyle name="Normal 435 4 2" xfId="15758" xr:uid="{00000000-0005-0000-0000-00000EA40000}"/>
    <cellStyle name="Normal 435 4 2 2" xfId="33393" xr:uid="{00000000-0005-0000-0000-00000FA40000}"/>
    <cellStyle name="Normal 435 4 3" xfId="26377" xr:uid="{00000000-0005-0000-0000-000010A40000}"/>
    <cellStyle name="Normal 435 5" xfId="11921" xr:uid="{00000000-0005-0000-0000-000011A40000}"/>
    <cellStyle name="Normal 435 5 2" xfId="29604" xr:uid="{00000000-0005-0000-0000-000012A40000}"/>
    <cellStyle name="Normal 435 6" xfId="23512" xr:uid="{00000000-0005-0000-0000-000013A40000}"/>
    <cellStyle name="Normal 435 7" xfId="52432" xr:uid="{00000000-0005-0000-0000-000014A40000}"/>
    <cellStyle name="Normal 436" xfId="2795" xr:uid="{00000000-0005-0000-0000-000015A40000}"/>
    <cellStyle name="Normal 436 2" xfId="4809" xr:uid="{00000000-0005-0000-0000-000016A40000}"/>
    <cellStyle name="Normal 436 2 2" xfId="8644" xr:uid="{00000000-0005-0000-0000-000017A40000}"/>
    <cellStyle name="Normal 436 2 2 2" xfId="16440" xr:uid="{00000000-0005-0000-0000-000018A40000}"/>
    <cellStyle name="Normal 436 2 2 2 2" xfId="34075" xr:uid="{00000000-0005-0000-0000-000019A40000}"/>
    <cellStyle name="Normal 436 2 2 3" xfId="27045" xr:uid="{00000000-0005-0000-0000-00001AA40000}"/>
    <cellStyle name="Normal 436 2 3" xfId="12940" xr:uid="{00000000-0005-0000-0000-00001BA40000}"/>
    <cellStyle name="Normal 436 2 3 2" xfId="30589" xr:uid="{00000000-0005-0000-0000-00001CA40000}"/>
    <cellStyle name="Normal 436 2 4" xfId="24180" xr:uid="{00000000-0005-0000-0000-00001DA40000}"/>
    <cellStyle name="Normal 436 3" xfId="4808" xr:uid="{00000000-0005-0000-0000-00001EA40000}"/>
    <cellStyle name="Normal 436 4" xfId="7962" xr:uid="{00000000-0005-0000-0000-00001FA40000}"/>
    <cellStyle name="Normal 436 4 2" xfId="15759" xr:uid="{00000000-0005-0000-0000-000020A40000}"/>
    <cellStyle name="Normal 436 4 2 2" xfId="33394" xr:uid="{00000000-0005-0000-0000-000021A40000}"/>
    <cellStyle name="Normal 436 4 3" xfId="26378" xr:uid="{00000000-0005-0000-0000-000022A40000}"/>
    <cellStyle name="Normal 436 5" xfId="11922" xr:uid="{00000000-0005-0000-0000-000023A40000}"/>
    <cellStyle name="Normal 436 5 2" xfId="29605" xr:uid="{00000000-0005-0000-0000-000024A40000}"/>
    <cellStyle name="Normal 436 6" xfId="23513" xr:uid="{00000000-0005-0000-0000-000025A40000}"/>
    <cellStyle name="Normal 436 7" xfId="52433" xr:uid="{00000000-0005-0000-0000-000026A40000}"/>
    <cellStyle name="Normal 437" xfId="2796" xr:uid="{00000000-0005-0000-0000-000027A40000}"/>
    <cellStyle name="Normal 437 2" xfId="4811" xr:uid="{00000000-0005-0000-0000-000028A40000}"/>
    <cellStyle name="Normal 437 2 2" xfId="8645" xr:uid="{00000000-0005-0000-0000-000029A40000}"/>
    <cellStyle name="Normal 437 2 2 2" xfId="16441" xr:uid="{00000000-0005-0000-0000-00002AA40000}"/>
    <cellStyle name="Normal 437 2 2 2 2" xfId="34076" xr:uid="{00000000-0005-0000-0000-00002BA40000}"/>
    <cellStyle name="Normal 437 2 2 3" xfId="27046" xr:uid="{00000000-0005-0000-0000-00002CA40000}"/>
    <cellStyle name="Normal 437 2 3" xfId="12941" xr:uid="{00000000-0005-0000-0000-00002DA40000}"/>
    <cellStyle name="Normal 437 2 3 2" xfId="30590" xr:uid="{00000000-0005-0000-0000-00002EA40000}"/>
    <cellStyle name="Normal 437 2 4" xfId="24181" xr:uid="{00000000-0005-0000-0000-00002FA40000}"/>
    <cellStyle name="Normal 437 3" xfId="4810" xr:uid="{00000000-0005-0000-0000-000030A40000}"/>
    <cellStyle name="Normal 437 4" xfId="7963" xr:uid="{00000000-0005-0000-0000-000031A40000}"/>
    <cellStyle name="Normal 437 4 2" xfId="15760" xr:uid="{00000000-0005-0000-0000-000032A40000}"/>
    <cellStyle name="Normal 437 4 2 2" xfId="33395" xr:uid="{00000000-0005-0000-0000-000033A40000}"/>
    <cellStyle name="Normal 437 4 3" xfId="26379" xr:uid="{00000000-0005-0000-0000-000034A40000}"/>
    <cellStyle name="Normal 437 5" xfId="11923" xr:uid="{00000000-0005-0000-0000-000035A40000}"/>
    <cellStyle name="Normal 437 5 2" xfId="29606" xr:uid="{00000000-0005-0000-0000-000036A40000}"/>
    <cellStyle name="Normal 437 6" xfId="23514" xr:uid="{00000000-0005-0000-0000-000037A40000}"/>
    <cellStyle name="Normal 437 7" xfId="52434" xr:uid="{00000000-0005-0000-0000-000038A40000}"/>
    <cellStyle name="Normal 438" xfId="2797" xr:uid="{00000000-0005-0000-0000-000039A40000}"/>
    <cellStyle name="Normal 438 2" xfId="4813" xr:uid="{00000000-0005-0000-0000-00003AA40000}"/>
    <cellStyle name="Normal 438 2 2" xfId="8646" xr:uid="{00000000-0005-0000-0000-00003BA40000}"/>
    <cellStyle name="Normal 438 2 2 2" xfId="16442" xr:uid="{00000000-0005-0000-0000-00003CA40000}"/>
    <cellStyle name="Normal 438 2 2 2 2" xfId="34077" xr:uid="{00000000-0005-0000-0000-00003DA40000}"/>
    <cellStyle name="Normal 438 2 2 3" xfId="27047" xr:uid="{00000000-0005-0000-0000-00003EA40000}"/>
    <cellStyle name="Normal 438 2 3" xfId="12942" xr:uid="{00000000-0005-0000-0000-00003FA40000}"/>
    <cellStyle name="Normal 438 2 3 2" xfId="30591" xr:uid="{00000000-0005-0000-0000-000040A40000}"/>
    <cellStyle name="Normal 438 2 4" xfId="24182" xr:uid="{00000000-0005-0000-0000-000041A40000}"/>
    <cellStyle name="Normal 438 3" xfId="4812" xr:uid="{00000000-0005-0000-0000-000042A40000}"/>
    <cellStyle name="Normal 438 4" xfId="7964" xr:uid="{00000000-0005-0000-0000-000043A40000}"/>
    <cellStyle name="Normal 438 4 2" xfId="15761" xr:uid="{00000000-0005-0000-0000-000044A40000}"/>
    <cellStyle name="Normal 438 4 2 2" xfId="33396" xr:uid="{00000000-0005-0000-0000-000045A40000}"/>
    <cellStyle name="Normal 438 4 3" xfId="26380" xr:uid="{00000000-0005-0000-0000-000046A40000}"/>
    <cellStyle name="Normal 438 5" xfId="11924" xr:uid="{00000000-0005-0000-0000-000047A40000}"/>
    <cellStyle name="Normal 438 5 2" xfId="29607" xr:uid="{00000000-0005-0000-0000-000048A40000}"/>
    <cellStyle name="Normal 438 6" xfId="23515" xr:uid="{00000000-0005-0000-0000-000049A40000}"/>
    <cellStyle name="Normal 438 7" xfId="52435" xr:uid="{00000000-0005-0000-0000-00004AA40000}"/>
    <cellStyle name="Normal 439" xfId="2798" xr:uid="{00000000-0005-0000-0000-00004BA40000}"/>
    <cellStyle name="Normal 439 2" xfId="4815" xr:uid="{00000000-0005-0000-0000-00004CA40000}"/>
    <cellStyle name="Normal 439 2 2" xfId="8647" xr:uid="{00000000-0005-0000-0000-00004DA40000}"/>
    <cellStyle name="Normal 439 2 2 2" xfId="16443" xr:uid="{00000000-0005-0000-0000-00004EA40000}"/>
    <cellStyle name="Normal 439 2 2 2 2" xfId="34078" xr:uid="{00000000-0005-0000-0000-00004FA40000}"/>
    <cellStyle name="Normal 439 2 2 3" xfId="27048" xr:uid="{00000000-0005-0000-0000-000050A40000}"/>
    <cellStyle name="Normal 439 2 3" xfId="12943" xr:uid="{00000000-0005-0000-0000-000051A40000}"/>
    <cellStyle name="Normal 439 2 3 2" xfId="30592" xr:uid="{00000000-0005-0000-0000-000052A40000}"/>
    <cellStyle name="Normal 439 2 4" xfId="24183" xr:uid="{00000000-0005-0000-0000-000053A40000}"/>
    <cellStyle name="Normal 439 3" xfId="4814" xr:uid="{00000000-0005-0000-0000-000054A40000}"/>
    <cellStyle name="Normal 439 4" xfId="7965" xr:uid="{00000000-0005-0000-0000-000055A40000}"/>
    <cellStyle name="Normal 439 4 2" xfId="15762" xr:uid="{00000000-0005-0000-0000-000056A40000}"/>
    <cellStyle name="Normal 439 4 2 2" xfId="33397" xr:uid="{00000000-0005-0000-0000-000057A40000}"/>
    <cellStyle name="Normal 439 4 3" xfId="26381" xr:uid="{00000000-0005-0000-0000-000058A40000}"/>
    <cellStyle name="Normal 439 5" xfId="11925" xr:uid="{00000000-0005-0000-0000-000059A40000}"/>
    <cellStyle name="Normal 439 5 2" xfId="29608" xr:uid="{00000000-0005-0000-0000-00005AA40000}"/>
    <cellStyle name="Normal 439 6" xfId="23516" xr:uid="{00000000-0005-0000-0000-00005BA40000}"/>
    <cellStyle name="Normal 439 7" xfId="52436" xr:uid="{00000000-0005-0000-0000-00005CA40000}"/>
    <cellStyle name="Normal 44" xfId="2799" xr:uid="{00000000-0005-0000-0000-00005DA40000}"/>
    <cellStyle name="Normal 44 2" xfId="4816" xr:uid="{00000000-0005-0000-0000-00005EA40000}"/>
    <cellStyle name="Normal 44 2 2" xfId="22784" xr:uid="{00000000-0005-0000-0000-00005FA40000}"/>
    <cellStyle name="Normal 44 2 2 2" xfId="38991" xr:uid="{00000000-0005-0000-0000-000060A40000}"/>
    <cellStyle name="Normal 44 3" xfId="23000" xr:uid="{00000000-0005-0000-0000-000061A40000}"/>
    <cellStyle name="Normal 44 4" xfId="22575" xr:uid="{00000000-0005-0000-0000-000062A40000}"/>
    <cellStyle name="Normal 44 4 2" xfId="38886" xr:uid="{00000000-0005-0000-0000-000063A40000}"/>
    <cellStyle name="Normal 44 5" xfId="52437" xr:uid="{00000000-0005-0000-0000-000064A40000}"/>
    <cellStyle name="Normal 440" xfId="2800" xr:uid="{00000000-0005-0000-0000-000065A40000}"/>
    <cellStyle name="Normal 440 2" xfId="4818" xr:uid="{00000000-0005-0000-0000-000066A40000}"/>
    <cellStyle name="Normal 440 2 2" xfId="8648" xr:uid="{00000000-0005-0000-0000-000067A40000}"/>
    <cellStyle name="Normal 440 2 2 2" xfId="16444" xr:uid="{00000000-0005-0000-0000-000068A40000}"/>
    <cellStyle name="Normal 440 2 2 2 2" xfId="34079" xr:uid="{00000000-0005-0000-0000-000069A40000}"/>
    <cellStyle name="Normal 440 2 2 3" xfId="27049" xr:uid="{00000000-0005-0000-0000-00006AA40000}"/>
    <cellStyle name="Normal 440 2 3" xfId="12945" xr:uid="{00000000-0005-0000-0000-00006BA40000}"/>
    <cellStyle name="Normal 440 2 3 2" xfId="30594" xr:uid="{00000000-0005-0000-0000-00006CA40000}"/>
    <cellStyle name="Normal 440 2 4" xfId="24184" xr:uid="{00000000-0005-0000-0000-00006DA40000}"/>
    <cellStyle name="Normal 440 3" xfId="4817" xr:uid="{00000000-0005-0000-0000-00006EA40000}"/>
    <cellStyle name="Normal 440 4" xfId="7966" xr:uid="{00000000-0005-0000-0000-00006FA40000}"/>
    <cellStyle name="Normal 440 4 2" xfId="15763" xr:uid="{00000000-0005-0000-0000-000070A40000}"/>
    <cellStyle name="Normal 440 4 2 2" xfId="33398" xr:uid="{00000000-0005-0000-0000-000071A40000}"/>
    <cellStyle name="Normal 440 4 3" xfId="26382" xr:uid="{00000000-0005-0000-0000-000072A40000}"/>
    <cellStyle name="Normal 440 5" xfId="11926" xr:uid="{00000000-0005-0000-0000-000073A40000}"/>
    <cellStyle name="Normal 440 5 2" xfId="29609" xr:uid="{00000000-0005-0000-0000-000074A40000}"/>
    <cellStyle name="Normal 440 6" xfId="23517" xr:uid="{00000000-0005-0000-0000-000075A40000}"/>
    <cellStyle name="Normal 440 7" xfId="52438" xr:uid="{00000000-0005-0000-0000-000076A40000}"/>
    <cellStyle name="Normal 441" xfId="2801" xr:uid="{00000000-0005-0000-0000-000077A40000}"/>
    <cellStyle name="Normal 441 2" xfId="4819" xr:uid="{00000000-0005-0000-0000-000078A40000}"/>
    <cellStyle name="Normal 441 2 2" xfId="8649" xr:uid="{00000000-0005-0000-0000-000079A40000}"/>
    <cellStyle name="Normal 441 2 2 2" xfId="16445" xr:uid="{00000000-0005-0000-0000-00007AA40000}"/>
    <cellStyle name="Normal 441 2 2 2 2" xfId="34080" xr:uid="{00000000-0005-0000-0000-00007BA40000}"/>
    <cellStyle name="Normal 441 2 2 3" xfId="27050" xr:uid="{00000000-0005-0000-0000-00007CA40000}"/>
    <cellStyle name="Normal 441 2 3" xfId="12946" xr:uid="{00000000-0005-0000-0000-00007DA40000}"/>
    <cellStyle name="Normal 441 2 3 2" xfId="30595" xr:uid="{00000000-0005-0000-0000-00007EA40000}"/>
    <cellStyle name="Normal 441 2 4" xfId="24185" xr:uid="{00000000-0005-0000-0000-00007FA40000}"/>
    <cellStyle name="Normal 441 3" xfId="5956" xr:uid="{00000000-0005-0000-0000-000080A40000}"/>
    <cellStyle name="Normal 441 3 2" xfId="9256" xr:uid="{00000000-0005-0000-0000-000081A40000}"/>
    <cellStyle name="Normal 441 3 2 2" xfId="17051" xr:uid="{00000000-0005-0000-0000-000082A40000}"/>
    <cellStyle name="Normal 441 3 2 2 2" xfId="34687" xr:uid="{00000000-0005-0000-0000-000083A40000}"/>
    <cellStyle name="Normal 441 3 2 3" xfId="27644" xr:uid="{00000000-0005-0000-0000-000084A40000}"/>
    <cellStyle name="Normal 441 3 3" xfId="13812" xr:uid="{00000000-0005-0000-0000-000085A40000}"/>
    <cellStyle name="Normal 441 3 3 2" xfId="31452" xr:uid="{00000000-0005-0000-0000-000086A40000}"/>
    <cellStyle name="Normal 441 3 4" xfId="24779" xr:uid="{00000000-0005-0000-0000-000087A40000}"/>
    <cellStyle name="Normal 441 4" xfId="6586" xr:uid="{00000000-0005-0000-0000-000088A40000}"/>
    <cellStyle name="Normal 441 4 2" xfId="9796" xr:uid="{00000000-0005-0000-0000-000089A40000}"/>
    <cellStyle name="Normal 441 4 2 2" xfId="17590" xr:uid="{00000000-0005-0000-0000-00008AA40000}"/>
    <cellStyle name="Normal 441 4 2 2 2" xfId="35227" xr:uid="{00000000-0005-0000-0000-00008BA40000}"/>
    <cellStyle name="Normal 441 4 2 3" xfId="28180" xr:uid="{00000000-0005-0000-0000-00008CA40000}"/>
    <cellStyle name="Normal 441 4 3" xfId="14375" xr:uid="{00000000-0005-0000-0000-00008DA40000}"/>
    <cellStyle name="Normal 441 4 3 2" xfId="32010" xr:uid="{00000000-0005-0000-0000-00008EA40000}"/>
    <cellStyle name="Normal 441 4 4" xfId="25316" xr:uid="{00000000-0005-0000-0000-00008FA40000}"/>
    <cellStyle name="Normal 441 5" xfId="7362" xr:uid="{00000000-0005-0000-0000-000090A40000}"/>
    <cellStyle name="Normal 441 5 2" xfId="10350" xr:uid="{00000000-0005-0000-0000-000091A40000}"/>
    <cellStyle name="Normal 441 5 2 2" xfId="18143" xr:uid="{00000000-0005-0000-0000-000092A40000}"/>
    <cellStyle name="Normal 441 5 2 2 2" xfId="35780" xr:uid="{00000000-0005-0000-0000-000093A40000}"/>
    <cellStyle name="Normal 441 5 2 3" xfId="28717" xr:uid="{00000000-0005-0000-0000-000094A40000}"/>
    <cellStyle name="Normal 441 5 3" xfId="15150" xr:uid="{00000000-0005-0000-0000-000095A40000}"/>
    <cellStyle name="Normal 441 5 3 2" xfId="32785" xr:uid="{00000000-0005-0000-0000-000096A40000}"/>
    <cellStyle name="Normal 441 5 4" xfId="25854" xr:uid="{00000000-0005-0000-0000-000097A40000}"/>
    <cellStyle name="Normal 441 6" xfId="7967" xr:uid="{00000000-0005-0000-0000-000098A40000}"/>
    <cellStyle name="Normal 441 6 2" xfId="15764" xr:uid="{00000000-0005-0000-0000-000099A40000}"/>
    <cellStyle name="Normal 441 6 2 2" xfId="33399" xr:uid="{00000000-0005-0000-0000-00009AA40000}"/>
    <cellStyle name="Normal 441 6 3" xfId="26383" xr:uid="{00000000-0005-0000-0000-00009BA40000}"/>
    <cellStyle name="Normal 441 7" xfId="11927" xr:uid="{00000000-0005-0000-0000-00009CA40000}"/>
    <cellStyle name="Normal 441 7 2" xfId="29610" xr:uid="{00000000-0005-0000-0000-00009DA40000}"/>
    <cellStyle name="Normal 441 8" xfId="23518" xr:uid="{00000000-0005-0000-0000-00009EA40000}"/>
    <cellStyle name="Normal 441 9" xfId="52439" xr:uid="{00000000-0005-0000-0000-00009FA40000}"/>
    <cellStyle name="Normal 442" xfId="2802" xr:uid="{00000000-0005-0000-0000-0000A0A40000}"/>
    <cellStyle name="Normal 442 2" xfId="4820" xr:uid="{00000000-0005-0000-0000-0000A1A40000}"/>
    <cellStyle name="Normal 442 2 2" xfId="8650" xr:uid="{00000000-0005-0000-0000-0000A2A40000}"/>
    <cellStyle name="Normal 442 2 2 2" xfId="16446" xr:uid="{00000000-0005-0000-0000-0000A3A40000}"/>
    <cellStyle name="Normal 442 2 2 2 2" xfId="34081" xr:uid="{00000000-0005-0000-0000-0000A4A40000}"/>
    <cellStyle name="Normal 442 2 2 3" xfId="27051" xr:uid="{00000000-0005-0000-0000-0000A5A40000}"/>
    <cellStyle name="Normal 442 2 3" xfId="12947" xr:uid="{00000000-0005-0000-0000-0000A6A40000}"/>
    <cellStyle name="Normal 442 2 3 2" xfId="30596" xr:uid="{00000000-0005-0000-0000-0000A7A40000}"/>
    <cellStyle name="Normal 442 2 4" xfId="24186" xr:uid="{00000000-0005-0000-0000-0000A8A40000}"/>
    <cellStyle name="Normal 442 3" xfId="5957" xr:uid="{00000000-0005-0000-0000-0000A9A40000}"/>
    <cellStyle name="Normal 442 3 2" xfId="9257" xr:uid="{00000000-0005-0000-0000-0000AAA40000}"/>
    <cellStyle name="Normal 442 3 2 2" xfId="17052" xr:uid="{00000000-0005-0000-0000-0000ABA40000}"/>
    <cellStyle name="Normal 442 3 2 2 2" xfId="34688" xr:uid="{00000000-0005-0000-0000-0000ACA40000}"/>
    <cellStyle name="Normal 442 3 2 3" xfId="27645" xr:uid="{00000000-0005-0000-0000-0000ADA40000}"/>
    <cellStyle name="Normal 442 3 3" xfId="13813" xr:uid="{00000000-0005-0000-0000-0000AEA40000}"/>
    <cellStyle name="Normal 442 3 3 2" xfId="31453" xr:uid="{00000000-0005-0000-0000-0000AFA40000}"/>
    <cellStyle name="Normal 442 3 4" xfId="24780" xr:uid="{00000000-0005-0000-0000-0000B0A40000}"/>
    <cellStyle name="Normal 442 4" xfId="6587" xr:uid="{00000000-0005-0000-0000-0000B1A40000}"/>
    <cellStyle name="Normal 442 4 2" xfId="9797" xr:uid="{00000000-0005-0000-0000-0000B2A40000}"/>
    <cellStyle name="Normal 442 4 2 2" xfId="17591" xr:uid="{00000000-0005-0000-0000-0000B3A40000}"/>
    <cellStyle name="Normal 442 4 2 2 2" xfId="35228" xr:uid="{00000000-0005-0000-0000-0000B4A40000}"/>
    <cellStyle name="Normal 442 4 2 3" xfId="28181" xr:uid="{00000000-0005-0000-0000-0000B5A40000}"/>
    <cellStyle name="Normal 442 4 3" xfId="14376" xr:uid="{00000000-0005-0000-0000-0000B6A40000}"/>
    <cellStyle name="Normal 442 4 3 2" xfId="32011" xr:uid="{00000000-0005-0000-0000-0000B7A40000}"/>
    <cellStyle name="Normal 442 4 4" xfId="25317" xr:uid="{00000000-0005-0000-0000-0000B8A40000}"/>
    <cellStyle name="Normal 442 5" xfId="7363" xr:uid="{00000000-0005-0000-0000-0000B9A40000}"/>
    <cellStyle name="Normal 442 5 2" xfId="10351" xr:uid="{00000000-0005-0000-0000-0000BAA40000}"/>
    <cellStyle name="Normal 442 5 2 2" xfId="18144" xr:uid="{00000000-0005-0000-0000-0000BBA40000}"/>
    <cellStyle name="Normal 442 5 2 2 2" xfId="35781" xr:uid="{00000000-0005-0000-0000-0000BCA40000}"/>
    <cellStyle name="Normal 442 5 2 3" xfId="28718" xr:uid="{00000000-0005-0000-0000-0000BDA40000}"/>
    <cellStyle name="Normal 442 5 3" xfId="15151" xr:uid="{00000000-0005-0000-0000-0000BEA40000}"/>
    <cellStyle name="Normal 442 5 3 2" xfId="32786" xr:uid="{00000000-0005-0000-0000-0000BFA40000}"/>
    <cellStyle name="Normal 442 5 4" xfId="25855" xr:uid="{00000000-0005-0000-0000-0000C0A40000}"/>
    <cellStyle name="Normal 442 6" xfId="7968" xr:uid="{00000000-0005-0000-0000-0000C1A40000}"/>
    <cellStyle name="Normal 442 6 2" xfId="15765" xr:uid="{00000000-0005-0000-0000-0000C2A40000}"/>
    <cellStyle name="Normal 442 6 2 2" xfId="33400" xr:uid="{00000000-0005-0000-0000-0000C3A40000}"/>
    <cellStyle name="Normal 442 6 3" xfId="26384" xr:uid="{00000000-0005-0000-0000-0000C4A40000}"/>
    <cellStyle name="Normal 442 7" xfId="11928" xr:uid="{00000000-0005-0000-0000-0000C5A40000}"/>
    <cellStyle name="Normal 442 7 2" xfId="29611" xr:uid="{00000000-0005-0000-0000-0000C6A40000}"/>
    <cellStyle name="Normal 442 8" xfId="23519" xr:uid="{00000000-0005-0000-0000-0000C7A40000}"/>
    <cellStyle name="Normal 442 9" xfId="52440" xr:uid="{00000000-0005-0000-0000-0000C8A40000}"/>
    <cellStyle name="Normal 443" xfId="2803" xr:uid="{00000000-0005-0000-0000-0000C9A40000}"/>
    <cellStyle name="Normal 443 2" xfId="4821" xr:uid="{00000000-0005-0000-0000-0000CAA40000}"/>
    <cellStyle name="Normal 443 2 2" xfId="8651" xr:uid="{00000000-0005-0000-0000-0000CBA40000}"/>
    <cellStyle name="Normal 443 2 2 2" xfId="16447" xr:uid="{00000000-0005-0000-0000-0000CCA40000}"/>
    <cellStyle name="Normal 443 2 2 2 2" xfId="34082" xr:uid="{00000000-0005-0000-0000-0000CDA40000}"/>
    <cellStyle name="Normal 443 2 2 3" xfId="27052" xr:uid="{00000000-0005-0000-0000-0000CEA40000}"/>
    <cellStyle name="Normal 443 2 3" xfId="12948" xr:uid="{00000000-0005-0000-0000-0000CFA40000}"/>
    <cellStyle name="Normal 443 2 3 2" xfId="30597" xr:uid="{00000000-0005-0000-0000-0000D0A40000}"/>
    <cellStyle name="Normal 443 2 4" xfId="24187" xr:uid="{00000000-0005-0000-0000-0000D1A40000}"/>
    <cellStyle name="Normal 443 3" xfId="5958" xr:uid="{00000000-0005-0000-0000-0000D2A40000}"/>
    <cellStyle name="Normal 443 3 2" xfId="9258" xr:uid="{00000000-0005-0000-0000-0000D3A40000}"/>
    <cellStyle name="Normal 443 3 2 2" xfId="17053" xr:uid="{00000000-0005-0000-0000-0000D4A40000}"/>
    <cellStyle name="Normal 443 3 2 2 2" xfId="34689" xr:uid="{00000000-0005-0000-0000-0000D5A40000}"/>
    <cellStyle name="Normal 443 3 2 3" xfId="27646" xr:uid="{00000000-0005-0000-0000-0000D6A40000}"/>
    <cellStyle name="Normal 443 3 3" xfId="13814" xr:uid="{00000000-0005-0000-0000-0000D7A40000}"/>
    <cellStyle name="Normal 443 3 3 2" xfId="31454" xr:uid="{00000000-0005-0000-0000-0000D8A40000}"/>
    <cellStyle name="Normal 443 3 4" xfId="24781" xr:uid="{00000000-0005-0000-0000-0000D9A40000}"/>
    <cellStyle name="Normal 443 4" xfId="6588" xr:uid="{00000000-0005-0000-0000-0000DAA40000}"/>
    <cellStyle name="Normal 443 4 2" xfId="9798" xr:uid="{00000000-0005-0000-0000-0000DBA40000}"/>
    <cellStyle name="Normal 443 4 2 2" xfId="17592" xr:uid="{00000000-0005-0000-0000-0000DCA40000}"/>
    <cellStyle name="Normal 443 4 2 2 2" xfId="35229" xr:uid="{00000000-0005-0000-0000-0000DDA40000}"/>
    <cellStyle name="Normal 443 4 2 3" xfId="28182" xr:uid="{00000000-0005-0000-0000-0000DEA40000}"/>
    <cellStyle name="Normal 443 4 3" xfId="14377" xr:uid="{00000000-0005-0000-0000-0000DFA40000}"/>
    <cellStyle name="Normal 443 4 3 2" xfId="32012" xr:uid="{00000000-0005-0000-0000-0000E0A40000}"/>
    <cellStyle name="Normal 443 4 4" xfId="25318" xr:uid="{00000000-0005-0000-0000-0000E1A40000}"/>
    <cellStyle name="Normal 443 5" xfId="7364" xr:uid="{00000000-0005-0000-0000-0000E2A40000}"/>
    <cellStyle name="Normal 443 5 2" xfId="10352" xr:uid="{00000000-0005-0000-0000-0000E3A40000}"/>
    <cellStyle name="Normal 443 5 2 2" xfId="18145" xr:uid="{00000000-0005-0000-0000-0000E4A40000}"/>
    <cellStyle name="Normal 443 5 2 2 2" xfId="35782" xr:uid="{00000000-0005-0000-0000-0000E5A40000}"/>
    <cellStyle name="Normal 443 5 2 3" xfId="28719" xr:uid="{00000000-0005-0000-0000-0000E6A40000}"/>
    <cellStyle name="Normal 443 5 3" xfId="15152" xr:uid="{00000000-0005-0000-0000-0000E7A40000}"/>
    <cellStyle name="Normal 443 5 3 2" xfId="32787" xr:uid="{00000000-0005-0000-0000-0000E8A40000}"/>
    <cellStyle name="Normal 443 5 4" xfId="25856" xr:uid="{00000000-0005-0000-0000-0000E9A40000}"/>
    <cellStyle name="Normal 443 6" xfId="7969" xr:uid="{00000000-0005-0000-0000-0000EAA40000}"/>
    <cellStyle name="Normal 443 6 2" xfId="15766" xr:uid="{00000000-0005-0000-0000-0000EBA40000}"/>
    <cellStyle name="Normal 443 6 2 2" xfId="33401" xr:uid="{00000000-0005-0000-0000-0000ECA40000}"/>
    <cellStyle name="Normal 443 6 3" xfId="26385" xr:uid="{00000000-0005-0000-0000-0000EDA40000}"/>
    <cellStyle name="Normal 443 7" xfId="11929" xr:uid="{00000000-0005-0000-0000-0000EEA40000}"/>
    <cellStyle name="Normal 443 7 2" xfId="29612" xr:uid="{00000000-0005-0000-0000-0000EFA40000}"/>
    <cellStyle name="Normal 443 8" xfId="23520" xr:uid="{00000000-0005-0000-0000-0000F0A40000}"/>
    <cellStyle name="Normal 443 9" xfId="52441" xr:uid="{00000000-0005-0000-0000-0000F1A40000}"/>
    <cellStyle name="Normal 444" xfId="2804" xr:uid="{00000000-0005-0000-0000-0000F2A40000}"/>
    <cellStyle name="Normal 444 2" xfId="4822" xr:uid="{00000000-0005-0000-0000-0000F3A40000}"/>
    <cellStyle name="Normal 444 2 2" xfId="8652" xr:uid="{00000000-0005-0000-0000-0000F4A40000}"/>
    <cellStyle name="Normal 444 2 2 2" xfId="16448" xr:uid="{00000000-0005-0000-0000-0000F5A40000}"/>
    <cellStyle name="Normal 444 2 2 2 2" xfId="34083" xr:uid="{00000000-0005-0000-0000-0000F6A40000}"/>
    <cellStyle name="Normal 444 2 2 3" xfId="27053" xr:uid="{00000000-0005-0000-0000-0000F7A40000}"/>
    <cellStyle name="Normal 444 2 3" xfId="12949" xr:uid="{00000000-0005-0000-0000-0000F8A40000}"/>
    <cellStyle name="Normal 444 2 3 2" xfId="30598" xr:uid="{00000000-0005-0000-0000-0000F9A40000}"/>
    <cellStyle name="Normal 444 2 4" xfId="24188" xr:uid="{00000000-0005-0000-0000-0000FAA40000}"/>
    <cellStyle name="Normal 444 3" xfId="5959" xr:uid="{00000000-0005-0000-0000-0000FBA40000}"/>
    <cellStyle name="Normal 444 3 2" xfId="9259" xr:uid="{00000000-0005-0000-0000-0000FCA40000}"/>
    <cellStyle name="Normal 444 3 2 2" xfId="17054" xr:uid="{00000000-0005-0000-0000-0000FDA40000}"/>
    <cellStyle name="Normal 444 3 2 2 2" xfId="34690" xr:uid="{00000000-0005-0000-0000-0000FEA40000}"/>
    <cellStyle name="Normal 444 3 2 3" xfId="27647" xr:uid="{00000000-0005-0000-0000-0000FFA40000}"/>
    <cellStyle name="Normal 444 3 3" xfId="13815" xr:uid="{00000000-0005-0000-0000-000000A50000}"/>
    <cellStyle name="Normal 444 3 3 2" xfId="31455" xr:uid="{00000000-0005-0000-0000-000001A50000}"/>
    <cellStyle name="Normal 444 3 4" xfId="24782" xr:uid="{00000000-0005-0000-0000-000002A50000}"/>
    <cellStyle name="Normal 444 4" xfId="6589" xr:uid="{00000000-0005-0000-0000-000003A50000}"/>
    <cellStyle name="Normal 444 4 2" xfId="9799" xr:uid="{00000000-0005-0000-0000-000004A50000}"/>
    <cellStyle name="Normal 444 4 2 2" xfId="17593" xr:uid="{00000000-0005-0000-0000-000005A50000}"/>
    <cellStyle name="Normal 444 4 2 2 2" xfId="35230" xr:uid="{00000000-0005-0000-0000-000006A50000}"/>
    <cellStyle name="Normal 444 4 2 3" xfId="28183" xr:uid="{00000000-0005-0000-0000-000007A50000}"/>
    <cellStyle name="Normal 444 4 3" xfId="14378" xr:uid="{00000000-0005-0000-0000-000008A50000}"/>
    <cellStyle name="Normal 444 4 3 2" xfId="32013" xr:uid="{00000000-0005-0000-0000-000009A50000}"/>
    <cellStyle name="Normal 444 4 4" xfId="25319" xr:uid="{00000000-0005-0000-0000-00000AA50000}"/>
    <cellStyle name="Normal 444 5" xfId="7365" xr:uid="{00000000-0005-0000-0000-00000BA50000}"/>
    <cellStyle name="Normal 444 5 2" xfId="10353" xr:uid="{00000000-0005-0000-0000-00000CA50000}"/>
    <cellStyle name="Normal 444 5 2 2" xfId="18146" xr:uid="{00000000-0005-0000-0000-00000DA50000}"/>
    <cellStyle name="Normal 444 5 2 2 2" xfId="35783" xr:uid="{00000000-0005-0000-0000-00000EA50000}"/>
    <cellStyle name="Normal 444 5 2 3" xfId="28720" xr:uid="{00000000-0005-0000-0000-00000FA50000}"/>
    <cellStyle name="Normal 444 5 3" xfId="15153" xr:uid="{00000000-0005-0000-0000-000010A50000}"/>
    <cellStyle name="Normal 444 5 3 2" xfId="32788" xr:uid="{00000000-0005-0000-0000-000011A50000}"/>
    <cellStyle name="Normal 444 5 4" xfId="25857" xr:uid="{00000000-0005-0000-0000-000012A50000}"/>
    <cellStyle name="Normal 444 6" xfId="7970" xr:uid="{00000000-0005-0000-0000-000013A50000}"/>
    <cellStyle name="Normal 444 6 2" xfId="15767" xr:uid="{00000000-0005-0000-0000-000014A50000}"/>
    <cellStyle name="Normal 444 6 2 2" xfId="33402" xr:uid="{00000000-0005-0000-0000-000015A50000}"/>
    <cellStyle name="Normal 444 6 3" xfId="26386" xr:uid="{00000000-0005-0000-0000-000016A50000}"/>
    <cellStyle name="Normal 444 7" xfId="11930" xr:uid="{00000000-0005-0000-0000-000017A50000}"/>
    <cellStyle name="Normal 444 7 2" xfId="29613" xr:uid="{00000000-0005-0000-0000-000018A50000}"/>
    <cellStyle name="Normal 444 8" xfId="23521" xr:uid="{00000000-0005-0000-0000-000019A50000}"/>
    <cellStyle name="Normal 444 9" xfId="52442" xr:uid="{00000000-0005-0000-0000-00001AA50000}"/>
    <cellStyle name="Normal 445" xfId="2805" xr:uid="{00000000-0005-0000-0000-00001BA50000}"/>
    <cellStyle name="Normal 445 2" xfId="4823" xr:uid="{00000000-0005-0000-0000-00001CA50000}"/>
    <cellStyle name="Normal 445 2 2" xfId="8653" xr:uid="{00000000-0005-0000-0000-00001DA50000}"/>
    <cellStyle name="Normal 445 2 2 2" xfId="16449" xr:uid="{00000000-0005-0000-0000-00001EA50000}"/>
    <cellStyle name="Normal 445 2 2 2 2" xfId="34084" xr:uid="{00000000-0005-0000-0000-00001FA50000}"/>
    <cellStyle name="Normal 445 2 2 3" xfId="27054" xr:uid="{00000000-0005-0000-0000-000020A50000}"/>
    <cellStyle name="Normal 445 2 3" xfId="12950" xr:uid="{00000000-0005-0000-0000-000021A50000}"/>
    <cellStyle name="Normal 445 2 3 2" xfId="30599" xr:uid="{00000000-0005-0000-0000-000022A50000}"/>
    <cellStyle name="Normal 445 2 4" xfId="24189" xr:uid="{00000000-0005-0000-0000-000023A50000}"/>
    <cellStyle name="Normal 445 3" xfId="5960" xr:uid="{00000000-0005-0000-0000-000024A50000}"/>
    <cellStyle name="Normal 445 3 2" xfId="9260" xr:uid="{00000000-0005-0000-0000-000025A50000}"/>
    <cellStyle name="Normal 445 3 2 2" xfId="17055" xr:uid="{00000000-0005-0000-0000-000026A50000}"/>
    <cellStyle name="Normal 445 3 2 2 2" xfId="34691" xr:uid="{00000000-0005-0000-0000-000027A50000}"/>
    <cellStyle name="Normal 445 3 2 3" xfId="27648" xr:uid="{00000000-0005-0000-0000-000028A50000}"/>
    <cellStyle name="Normal 445 3 3" xfId="13816" xr:uid="{00000000-0005-0000-0000-000029A50000}"/>
    <cellStyle name="Normal 445 3 3 2" xfId="31456" xr:uid="{00000000-0005-0000-0000-00002AA50000}"/>
    <cellStyle name="Normal 445 3 4" xfId="24783" xr:uid="{00000000-0005-0000-0000-00002BA50000}"/>
    <cellStyle name="Normal 445 4" xfId="6590" xr:uid="{00000000-0005-0000-0000-00002CA50000}"/>
    <cellStyle name="Normal 445 4 2" xfId="9800" xr:uid="{00000000-0005-0000-0000-00002DA50000}"/>
    <cellStyle name="Normal 445 4 2 2" xfId="17594" xr:uid="{00000000-0005-0000-0000-00002EA50000}"/>
    <cellStyle name="Normal 445 4 2 2 2" xfId="35231" xr:uid="{00000000-0005-0000-0000-00002FA50000}"/>
    <cellStyle name="Normal 445 4 2 3" xfId="28184" xr:uid="{00000000-0005-0000-0000-000030A50000}"/>
    <cellStyle name="Normal 445 4 3" xfId="14379" xr:uid="{00000000-0005-0000-0000-000031A50000}"/>
    <cellStyle name="Normal 445 4 3 2" xfId="32014" xr:uid="{00000000-0005-0000-0000-000032A50000}"/>
    <cellStyle name="Normal 445 4 4" xfId="25320" xr:uid="{00000000-0005-0000-0000-000033A50000}"/>
    <cellStyle name="Normal 445 5" xfId="7366" xr:uid="{00000000-0005-0000-0000-000034A50000}"/>
    <cellStyle name="Normal 445 5 2" xfId="10354" xr:uid="{00000000-0005-0000-0000-000035A50000}"/>
    <cellStyle name="Normal 445 5 2 2" xfId="18147" xr:uid="{00000000-0005-0000-0000-000036A50000}"/>
    <cellStyle name="Normal 445 5 2 2 2" xfId="35784" xr:uid="{00000000-0005-0000-0000-000037A50000}"/>
    <cellStyle name="Normal 445 5 2 3" xfId="28721" xr:uid="{00000000-0005-0000-0000-000038A50000}"/>
    <cellStyle name="Normal 445 5 3" xfId="15154" xr:uid="{00000000-0005-0000-0000-000039A50000}"/>
    <cellStyle name="Normal 445 5 3 2" xfId="32789" xr:uid="{00000000-0005-0000-0000-00003AA50000}"/>
    <cellStyle name="Normal 445 5 4" xfId="25858" xr:uid="{00000000-0005-0000-0000-00003BA50000}"/>
    <cellStyle name="Normal 445 6" xfId="7971" xr:uid="{00000000-0005-0000-0000-00003CA50000}"/>
    <cellStyle name="Normal 445 6 2" xfId="15768" xr:uid="{00000000-0005-0000-0000-00003DA50000}"/>
    <cellStyle name="Normal 445 6 2 2" xfId="33403" xr:uid="{00000000-0005-0000-0000-00003EA50000}"/>
    <cellStyle name="Normal 445 6 3" xfId="26387" xr:uid="{00000000-0005-0000-0000-00003FA50000}"/>
    <cellStyle name="Normal 445 7" xfId="11931" xr:uid="{00000000-0005-0000-0000-000040A50000}"/>
    <cellStyle name="Normal 445 7 2" xfId="29614" xr:uid="{00000000-0005-0000-0000-000041A50000}"/>
    <cellStyle name="Normal 445 8" xfId="23522" xr:uid="{00000000-0005-0000-0000-000042A50000}"/>
    <cellStyle name="Normal 445 9" xfId="52443" xr:uid="{00000000-0005-0000-0000-000043A50000}"/>
    <cellStyle name="Normal 446" xfId="2806" xr:uid="{00000000-0005-0000-0000-000044A50000}"/>
    <cellStyle name="Normal 446 2" xfId="4825" xr:uid="{00000000-0005-0000-0000-000045A50000}"/>
    <cellStyle name="Normal 446 2 2" xfId="8654" xr:uid="{00000000-0005-0000-0000-000046A50000}"/>
    <cellStyle name="Normal 446 2 2 2" xfId="16450" xr:uid="{00000000-0005-0000-0000-000047A50000}"/>
    <cellStyle name="Normal 446 2 2 2 2" xfId="34085" xr:uid="{00000000-0005-0000-0000-000048A50000}"/>
    <cellStyle name="Normal 446 2 2 3" xfId="27055" xr:uid="{00000000-0005-0000-0000-000049A50000}"/>
    <cellStyle name="Normal 446 2 3" xfId="12952" xr:uid="{00000000-0005-0000-0000-00004AA50000}"/>
    <cellStyle name="Normal 446 2 3 2" xfId="30601" xr:uid="{00000000-0005-0000-0000-00004BA50000}"/>
    <cellStyle name="Normal 446 2 4" xfId="24190" xr:uid="{00000000-0005-0000-0000-00004CA50000}"/>
    <cellStyle name="Normal 446 3" xfId="4824" xr:uid="{00000000-0005-0000-0000-00004DA50000}"/>
    <cellStyle name="Normal 446 4" xfId="7972" xr:uid="{00000000-0005-0000-0000-00004EA50000}"/>
    <cellStyle name="Normal 446 4 2" xfId="15769" xr:uid="{00000000-0005-0000-0000-00004FA50000}"/>
    <cellStyle name="Normal 446 4 2 2" xfId="33404" xr:uid="{00000000-0005-0000-0000-000050A50000}"/>
    <cellStyle name="Normal 446 4 3" xfId="26388" xr:uid="{00000000-0005-0000-0000-000051A50000}"/>
    <cellStyle name="Normal 446 5" xfId="11932" xr:uid="{00000000-0005-0000-0000-000052A50000}"/>
    <cellStyle name="Normal 446 5 2" xfId="29615" xr:uid="{00000000-0005-0000-0000-000053A50000}"/>
    <cellStyle name="Normal 446 6" xfId="23523" xr:uid="{00000000-0005-0000-0000-000054A50000}"/>
    <cellStyle name="Normal 446 7" xfId="52444" xr:uid="{00000000-0005-0000-0000-000055A50000}"/>
    <cellStyle name="Normal 447" xfId="2807" xr:uid="{00000000-0005-0000-0000-000056A50000}"/>
    <cellStyle name="Normal 447 2" xfId="4827" xr:uid="{00000000-0005-0000-0000-000057A50000}"/>
    <cellStyle name="Normal 447 2 2" xfId="8655" xr:uid="{00000000-0005-0000-0000-000058A50000}"/>
    <cellStyle name="Normal 447 2 2 2" xfId="16451" xr:uid="{00000000-0005-0000-0000-000059A50000}"/>
    <cellStyle name="Normal 447 2 2 2 2" xfId="34086" xr:uid="{00000000-0005-0000-0000-00005AA50000}"/>
    <cellStyle name="Normal 447 2 2 3" xfId="27056" xr:uid="{00000000-0005-0000-0000-00005BA50000}"/>
    <cellStyle name="Normal 447 2 3" xfId="12953" xr:uid="{00000000-0005-0000-0000-00005CA50000}"/>
    <cellStyle name="Normal 447 2 3 2" xfId="30602" xr:uid="{00000000-0005-0000-0000-00005DA50000}"/>
    <cellStyle name="Normal 447 2 4" xfId="24191" xr:uid="{00000000-0005-0000-0000-00005EA50000}"/>
    <cellStyle name="Normal 447 3" xfId="4826" xr:uid="{00000000-0005-0000-0000-00005FA50000}"/>
    <cellStyle name="Normal 447 4" xfId="7973" xr:uid="{00000000-0005-0000-0000-000060A50000}"/>
    <cellStyle name="Normal 447 4 2" xfId="15770" xr:uid="{00000000-0005-0000-0000-000061A50000}"/>
    <cellStyle name="Normal 447 4 2 2" xfId="33405" xr:uid="{00000000-0005-0000-0000-000062A50000}"/>
    <cellStyle name="Normal 447 4 3" xfId="26389" xr:uid="{00000000-0005-0000-0000-000063A50000}"/>
    <cellStyle name="Normal 447 5" xfId="11933" xr:uid="{00000000-0005-0000-0000-000064A50000}"/>
    <cellStyle name="Normal 447 5 2" xfId="29616" xr:uid="{00000000-0005-0000-0000-000065A50000}"/>
    <cellStyle name="Normal 447 6" xfId="23524" xr:uid="{00000000-0005-0000-0000-000066A50000}"/>
    <cellStyle name="Normal 447 7" xfId="52445" xr:uid="{00000000-0005-0000-0000-000067A50000}"/>
    <cellStyle name="Normal 448" xfId="2808" xr:uid="{00000000-0005-0000-0000-000068A50000}"/>
    <cellStyle name="Normal 448 2" xfId="4828" xr:uid="{00000000-0005-0000-0000-000069A50000}"/>
    <cellStyle name="Normal 448 2 2" xfId="8656" xr:uid="{00000000-0005-0000-0000-00006AA50000}"/>
    <cellStyle name="Normal 448 2 2 2" xfId="16452" xr:uid="{00000000-0005-0000-0000-00006BA50000}"/>
    <cellStyle name="Normal 448 2 2 2 2" xfId="34087" xr:uid="{00000000-0005-0000-0000-00006CA50000}"/>
    <cellStyle name="Normal 448 2 2 3" xfId="27057" xr:uid="{00000000-0005-0000-0000-00006DA50000}"/>
    <cellStyle name="Normal 448 2 3" xfId="12954" xr:uid="{00000000-0005-0000-0000-00006EA50000}"/>
    <cellStyle name="Normal 448 2 3 2" xfId="30603" xr:uid="{00000000-0005-0000-0000-00006FA50000}"/>
    <cellStyle name="Normal 448 2 4" xfId="24192" xr:uid="{00000000-0005-0000-0000-000070A50000}"/>
    <cellStyle name="Normal 448 3" xfId="5961" xr:uid="{00000000-0005-0000-0000-000071A50000}"/>
    <cellStyle name="Normal 448 3 2" xfId="9261" xr:uid="{00000000-0005-0000-0000-000072A50000}"/>
    <cellStyle name="Normal 448 3 2 2" xfId="17056" xr:uid="{00000000-0005-0000-0000-000073A50000}"/>
    <cellStyle name="Normal 448 3 2 2 2" xfId="34692" xr:uid="{00000000-0005-0000-0000-000074A50000}"/>
    <cellStyle name="Normal 448 3 2 3" xfId="27649" xr:uid="{00000000-0005-0000-0000-000075A50000}"/>
    <cellStyle name="Normal 448 3 3" xfId="13817" xr:uid="{00000000-0005-0000-0000-000076A50000}"/>
    <cellStyle name="Normal 448 3 3 2" xfId="31457" xr:uid="{00000000-0005-0000-0000-000077A50000}"/>
    <cellStyle name="Normal 448 3 4" xfId="24784" xr:uid="{00000000-0005-0000-0000-000078A50000}"/>
    <cellStyle name="Normal 448 4" xfId="6591" xr:uid="{00000000-0005-0000-0000-000079A50000}"/>
    <cellStyle name="Normal 448 4 2" xfId="9801" xr:uid="{00000000-0005-0000-0000-00007AA50000}"/>
    <cellStyle name="Normal 448 4 2 2" xfId="17595" xr:uid="{00000000-0005-0000-0000-00007BA50000}"/>
    <cellStyle name="Normal 448 4 2 2 2" xfId="35232" xr:uid="{00000000-0005-0000-0000-00007CA50000}"/>
    <cellStyle name="Normal 448 4 2 3" xfId="28185" xr:uid="{00000000-0005-0000-0000-00007DA50000}"/>
    <cellStyle name="Normal 448 4 3" xfId="14380" xr:uid="{00000000-0005-0000-0000-00007EA50000}"/>
    <cellStyle name="Normal 448 4 3 2" xfId="32015" xr:uid="{00000000-0005-0000-0000-00007FA50000}"/>
    <cellStyle name="Normal 448 4 4" xfId="25321" xr:uid="{00000000-0005-0000-0000-000080A50000}"/>
    <cellStyle name="Normal 448 5" xfId="7367" xr:uid="{00000000-0005-0000-0000-000081A50000}"/>
    <cellStyle name="Normal 448 5 2" xfId="10355" xr:uid="{00000000-0005-0000-0000-000082A50000}"/>
    <cellStyle name="Normal 448 5 2 2" xfId="18148" xr:uid="{00000000-0005-0000-0000-000083A50000}"/>
    <cellStyle name="Normal 448 5 2 2 2" xfId="35785" xr:uid="{00000000-0005-0000-0000-000084A50000}"/>
    <cellStyle name="Normal 448 5 2 3" xfId="28722" xr:uid="{00000000-0005-0000-0000-000085A50000}"/>
    <cellStyle name="Normal 448 5 3" xfId="15155" xr:uid="{00000000-0005-0000-0000-000086A50000}"/>
    <cellStyle name="Normal 448 5 3 2" xfId="32790" xr:uid="{00000000-0005-0000-0000-000087A50000}"/>
    <cellStyle name="Normal 448 5 4" xfId="25859" xr:uid="{00000000-0005-0000-0000-000088A50000}"/>
    <cellStyle name="Normal 448 6" xfId="7974" xr:uid="{00000000-0005-0000-0000-000089A50000}"/>
    <cellStyle name="Normal 448 6 2" xfId="15771" xr:uid="{00000000-0005-0000-0000-00008AA50000}"/>
    <cellStyle name="Normal 448 6 2 2" xfId="33406" xr:uid="{00000000-0005-0000-0000-00008BA50000}"/>
    <cellStyle name="Normal 448 6 3" xfId="26390" xr:uid="{00000000-0005-0000-0000-00008CA50000}"/>
    <cellStyle name="Normal 448 7" xfId="11934" xr:uid="{00000000-0005-0000-0000-00008DA50000}"/>
    <cellStyle name="Normal 448 7 2" xfId="29617" xr:uid="{00000000-0005-0000-0000-00008EA50000}"/>
    <cellStyle name="Normal 448 8" xfId="23525" xr:uid="{00000000-0005-0000-0000-00008FA50000}"/>
    <cellStyle name="Normal 448 9" xfId="52446" xr:uid="{00000000-0005-0000-0000-000090A50000}"/>
    <cellStyle name="Normal 449" xfId="2809" xr:uid="{00000000-0005-0000-0000-000091A50000}"/>
    <cellStyle name="Normal 449 2" xfId="4830" xr:uid="{00000000-0005-0000-0000-000092A50000}"/>
    <cellStyle name="Normal 449 2 2" xfId="8657" xr:uid="{00000000-0005-0000-0000-000093A50000}"/>
    <cellStyle name="Normal 449 2 2 2" xfId="16453" xr:uid="{00000000-0005-0000-0000-000094A50000}"/>
    <cellStyle name="Normal 449 2 2 2 2" xfId="34088" xr:uid="{00000000-0005-0000-0000-000095A50000}"/>
    <cellStyle name="Normal 449 2 2 3" xfId="27058" xr:uid="{00000000-0005-0000-0000-000096A50000}"/>
    <cellStyle name="Normal 449 2 3" xfId="12955" xr:uid="{00000000-0005-0000-0000-000097A50000}"/>
    <cellStyle name="Normal 449 2 3 2" xfId="30604" xr:uid="{00000000-0005-0000-0000-000098A50000}"/>
    <cellStyle name="Normal 449 2 4" xfId="24193" xr:uid="{00000000-0005-0000-0000-000099A50000}"/>
    <cellStyle name="Normal 449 3" xfId="4829" xr:uid="{00000000-0005-0000-0000-00009AA50000}"/>
    <cellStyle name="Normal 449 4" xfId="7975" xr:uid="{00000000-0005-0000-0000-00009BA50000}"/>
    <cellStyle name="Normal 449 4 2" xfId="15772" xr:uid="{00000000-0005-0000-0000-00009CA50000}"/>
    <cellStyle name="Normal 449 4 2 2" xfId="33407" xr:uid="{00000000-0005-0000-0000-00009DA50000}"/>
    <cellStyle name="Normal 449 4 3" xfId="26391" xr:uid="{00000000-0005-0000-0000-00009EA50000}"/>
    <cellStyle name="Normal 449 5" xfId="11935" xr:uid="{00000000-0005-0000-0000-00009FA50000}"/>
    <cellStyle name="Normal 449 5 2" xfId="29618" xr:uid="{00000000-0005-0000-0000-0000A0A50000}"/>
    <cellStyle name="Normal 449 6" xfId="23526" xr:uid="{00000000-0005-0000-0000-0000A1A50000}"/>
    <cellStyle name="Normal 449 7" xfId="52447" xr:uid="{00000000-0005-0000-0000-0000A2A50000}"/>
    <cellStyle name="Normal 45" xfId="2810" xr:uid="{00000000-0005-0000-0000-0000A3A50000}"/>
    <cellStyle name="Normal 45 2" xfId="4831" xr:uid="{00000000-0005-0000-0000-0000A4A50000}"/>
    <cellStyle name="Normal 45 2 2" xfId="22785" xr:uid="{00000000-0005-0000-0000-0000A5A50000}"/>
    <cellStyle name="Normal 45 2 2 2" xfId="38992" xr:uid="{00000000-0005-0000-0000-0000A6A50000}"/>
    <cellStyle name="Normal 45 3" xfId="23001" xr:uid="{00000000-0005-0000-0000-0000A7A50000}"/>
    <cellStyle name="Normal 45 4" xfId="22576" xr:uid="{00000000-0005-0000-0000-0000A8A50000}"/>
    <cellStyle name="Normal 45 4 2" xfId="38887" xr:uid="{00000000-0005-0000-0000-0000A9A50000}"/>
    <cellStyle name="Normal 45 5" xfId="52448" xr:uid="{00000000-0005-0000-0000-0000AAA50000}"/>
    <cellStyle name="Normal 450" xfId="2811" xr:uid="{00000000-0005-0000-0000-0000ABA50000}"/>
    <cellStyle name="Normal 450 2" xfId="4833" xr:uid="{00000000-0005-0000-0000-0000ACA50000}"/>
    <cellStyle name="Normal 450 2 2" xfId="8658" xr:uid="{00000000-0005-0000-0000-0000ADA50000}"/>
    <cellStyle name="Normal 450 2 2 2" xfId="16454" xr:uid="{00000000-0005-0000-0000-0000AEA50000}"/>
    <cellStyle name="Normal 450 2 2 2 2" xfId="34089" xr:uid="{00000000-0005-0000-0000-0000AFA50000}"/>
    <cellStyle name="Normal 450 2 2 3" xfId="27059" xr:uid="{00000000-0005-0000-0000-0000B0A50000}"/>
    <cellStyle name="Normal 450 2 3" xfId="12956" xr:uid="{00000000-0005-0000-0000-0000B1A50000}"/>
    <cellStyle name="Normal 450 2 3 2" xfId="30605" xr:uid="{00000000-0005-0000-0000-0000B2A50000}"/>
    <cellStyle name="Normal 450 2 4" xfId="24194" xr:uid="{00000000-0005-0000-0000-0000B3A50000}"/>
    <cellStyle name="Normal 450 3" xfId="4832" xr:uid="{00000000-0005-0000-0000-0000B4A50000}"/>
    <cellStyle name="Normal 450 4" xfId="7976" xr:uid="{00000000-0005-0000-0000-0000B5A50000}"/>
    <cellStyle name="Normal 450 4 2" xfId="15773" xr:uid="{00000000-0005-0000-0000-0000B6A50000}"/>
    <cellStyle name="Normal 450 4 2 2" xfId="33408" xr:uid="{00000000-0005-0000-0000-0000B7A50000}"/>
    <cellStyle name="Normal 450 4 3" xfId="26392" xr:uid="{00000000-0005-0000-0000-0000B8A50000}"/>
    <cellStyle name="Normal 450 5" xfId="11936" xr:uid="{00000000-0005-0000-0000-0000B9A50000}"/>
    <cellStyle name="Normal 450 5 2" xfId="29619" xr:uid="{00000000-0005-0000-0000-0000BAA50000}"/>
    <cellStyle name="Normal 450 6" xfId="23527" xr:uid="{00000000-0005-0000-0000-0000BBA50000}"/>
    <cellStyle name="Normal 450 7" xfId="52449" xr:uid="{00000000-0005-0000-0000-0000BCA50000}"/>
    <cellStyle name="Normal 451" xfId="2812" xr:uid="{00000000-0005-0000-0000-0000BDA50000}"/>
    <cellStyle name="Normal 451 2" xfId="4835" xr:uid="{00000000-0005-0000-0000-0000BEA50000}"/>
    <cellStyle name="Normal 451 2 2" xfId="8659" xr:uid="{00000000-0005-0000-0000-0000BFA50000}"/>
    <cellStyle name="Normal 451 2 2 2" xfId="16455" xr:uid="{00000000-0005-0000-0000-0000C0A50000}"/>
    <cellStyle name="Normal 451 2 2 2 2" xfId="34090" xr:uid="{00000000-0005-0000-0000-0000C1A50000}"/>
    <cellStyle name="Normal 451 2 2 3" xfId="27060" xr:uid="{00000000-0005-0000-0000-0000C2A50000}"/>
    <cellStyle name="Normal 451 2 3" xfId="12957" xr:uid="{00000000-0005-0000-0000-0000C3A50000}"/>
    <cellStyle name="Normal 451 2 3 2" xfId="30606" xr:uid="{00000000-0005-0000-0000-0000C4A50000}"/>
    <cellStyle name="Normal 451 2 4" xfId="24195" xr:uid="{00000000-0005-0000-0000-0000C5A50000}"/>
    <cellStyle name="Normal 451 3" xfId="4834" xr:uid="{00000000-0005-0000-0000-0000C6A50000}"/>
    <cellStyle name="Normal 451 4" xfId="7977" xr:uid="{00000000-0005-0000-0000-0000C7A50000}"/>
    <cellStyle name="Normal 451 4 2" xfId="15774" xr:uid="{00000000-0005-0000-0000-0000C8A50000}"/>
    <cellStyle name="Normal 451 4 2 2" xfId="33409" xr:uid="{00000000-0005-0000-0000-0000C9A50000}"/>
    <cellStyle name="Normal 451 4 3" xfId="26393" xr:uid="{00000000-0005-0000-0000-0000CAA50000}"/>
    <cellStyle name="Normal 451 5" xfId="11937" xr:uid="{00000000-0005-0000-0000-0000CBA50000}"/>
    <cellStyle name="Normal 451 5 2" xfId="29620" xr:uid="{00000000-0005-0000-0000-0000CCA50000}"/>
    <cellStyle name="Normal 451 6" xfId="23528" xr:uid="{00000000-0005-0000-0000-0000CDA50000}"/>
    <cellStyle name="Normal 451 7" xfId="52450" xr:uid="{00000000-0005-0000-0000-0000CEA50000}"/>
    <cellStyle name="Normal 452" xfId="2813" xr:uid="{00000000-0005-0000-0000-0000CFA50000}"/>
    <cellStyle name="Normal 452 2" xfId="4837" xr:uid="{00000000-0005-0000-0000-0000D0A50000}"/>
    <cellStyle name="Normal 452 2 2" xfId="8660" xr:uid="{00000000-0005-0000-0000-0000D1A50000}"/>
    <cellStyle name="Normal 452 2 2 2" xfId="16456" xr:uid="{00000000-0005-0000-0000-0000D2A50000}"/>
    <cellStyle name="Normal 452 2 2 2 2" xfId="34091" xr:uid="{00000000-0005-0000-0000-0000D3A50000}"/>
    <cellStyle name="Normal 452 2 2 3" xfId="27061" xr:uid="{00000000-0005-0000-0000-0000D4A50000}"/>
    <cellStyle name="Normal 452 2 3" xfId="12958" xr:uid="{00000000-0005-0000-0000-0000D5A50000}"/>
    <cellStyle name="Normal 452 2 3 2" xfId="30607" xr:uid="{00000000-0005-0000-0000-0000D6A50000}"/>
    <cellStyle name="Normal 452 2 4" xfId="24196" xr:uid="{00000000-0005-0000-0000-0000D7A50000}"/>
    <cellStyle name="Normal 452 3" xfId="4836" xr:uid="{00000000-0005-0000-0000-0000D8A50000}"/>
    <cellStyle name="Normal 452 4" xfId="7978" xr:uid="{00000000-0005-0000-0000-0000D9A50000}"/>
    <cellStyle name="Normal 452 4 2" xfId="15775" xr:uid="{00000000-0005-0000-0000-0000DAA50000}"/>
    <cellStyle name="Normal 452 4 2 2" xfId="33410" xr:uid="{00000000-0005-0000-0000-0000DBA50000}"/>
    <cellStyle name="Normal 452 4 3" xfId="26394" xr:uid="{00000000-0005-0000-0000-0000DCA50000}"/>
    <cellStyle name="Normal 452 5" xfId="11938" xr:uid="{00000000-0005-0000-0000-0000DDA50000}"/>
    <cellStyle name="Normal 452 5 2" xfId="29621" xr:uid="{00000000-0005-0000-0000-0000DEA50000}"/>
    <cellStyle name="Normal 452 6" xfId="23529" xr:uid="{00000000-0005-0000-0000-0000DFA50000}"/>
    <cellStyle name="Normal 452 7" xfId="52451" xr:uid="{00000000-0005-0000-0000-0000E0A50000}"/>
    <cellStyle name="Normal 453" xfId="2814" xr:uid="{00000000-0005-0000-0000-0000E1A50000}"/>
    <cellStyle name="Normal 453 2" xfId="4839" xr:uid="{00000000-0005-0000-0000-0000E2A50000}"/>
    <cellStyle name="Normal 453 2 2" xfId="8661" xr:uid="{00000000-0005-0000-0000-0000E3A50000}"/>
    <cellStyle name="Normal 453 2 2 2" xfId="16457" xr:uid="{00000000-0005-0000-0000-0000E4A50000}"/>
    <cellStyle name="Normal 453 2 2 2 2" xfId="34092" xr:uid="{00000000-0005-0000-0000-0000E5A50000}"/>
    <cellStyle name="Normal 453 2 2 3" xfId="27062" xr:uid="{00000000-0005-0000-0000-0000E6A50000}"/>
    <cellStyle name="Normal 453 2 3" xfId="12959" xr:uid="{00000000-0005-0000-0000-0000E7A50000}"/>
    <cellStyle name="Normal 453 2 3 2" xfId="30608" xr:uid="{00000000-0005-0000-0000-0000E8A50000}"/>
    <cellStyle name="Normal 453 2 4" xfId="24197" xr:uid="{00000000-0005-0000-0000-0000E9A50000}"/>
    <cellStyle name="Normal 453 3" xfId="4838" xr:uid="{00000000-0005-0000-0000-0000EAA50000}"/>
    <cellStyle name="Normal 453 4" xfId="7979" xr:uid="{00000000-0005-0000-0000-0000EBA50000}"/>
    <cellStyle name="Normal 453 4 2" xfId="15776" xr:uid="{00000000-0005-0000-0000-0000ECA50000}"/>
    <cellStyle name="Normal 453 4 2 2" xfId="33411" xr:uid="{00000000-0005-0000-0000-0000EDA50000}"/>
    <cellStyle name="Normal 453 4 3" xfId="26395" xr:uid="{00000000-0005-0000-0000-0000EEA50000}"/>
    <cellStyle name="Normal 453 5" xfId="11939" xr:uid="{00000000-0005-0000-0000-0000EFA50000}"/>
    <cellStyle name="Normal 453 5 2" xfId="29622" xr:uid="{00000000-0005-0000-0000-0000F0A50000}"/>
    <cellStyle name="Normal 453 6" xfId="23530" xr:uid="{00000000-0005-0000-0000-0000F1A50000}"/>
    <cellStyle name="Normal 453 7" xfId="52452" xr:uid="{00000000-0005-0000-0000-0000F2A50000}"/>
    <cellStyle name="Normal 454" xfId="2815" xr:uid="{00000000-0005-0000-0000-0000F3A50000}"/>
    <cellStyle name="Normal 454 2" xfId="4841" xr:uid="{00000000-0005-0000-0000-0000F4A50000}"/>
    <cellStyle name="Normal 454 2 2" xfId="8662" xr:uid="{00000000-0005-0000-0000-0000F5A50000}"/>
    <cellStyle name="Normal 454 2 2 2" xfId="16458" xr:uid="{00000000-0005-0000-0000-0000F6A50000}"/>
    <cellStyle name="Normal 454 2 2 2 2" xfId="34093" xr:uid="{00000000-0005-0000-0000-0000F7A50000}"/>
    <cellStyle name="Normal 454 2 2 3" xfId="27063" xr:uid="{00000000-0005-0000-0000-0000F8A50000}"/>
    <cellStyle name="Normal 454 2 3" xfId="12960" xr:uid="{00000000-0005-0000-0000-0000F9A50000}"/>
    <cellStyle name="Normal 454 2 3 2" xfId="30609" xr:uid="{00000000-0005-0000-0000-0000FAA50000}"/>
    <cellStyle name="Normal 454 2 4" xfId="24198" xr:uid="{00000000-0005-0000-0000-0000FBA50000}"/>
    <cellStyle name="Normal 454 3" xfId="4840" xr:uid="{00000000-0005-0000-0000-0000FCA50000}"/>
    <cellStyle name="Normal 454 4" xfId="7980" xr:uid="{00000000-0005-0000-0000-0000FDA50000}"/>
    <cellStyle name="Normal 454 4 2" xfId="15777" xr:uid="{00000000-0005-0000-0000-0000FEA50000}"/>
    <cellStyle name="Normal 454 4 2 2" xfId="33412" xr:uid="{00000000-0005-0000-0000-0000FFA50000}"/>
    <cellStyle name="Normal 454 4 3" xfId="26396" xr:uid="{00000000-0005-0000-0000-000000A60000}"/>
    <cellStyle name="Normal 454 5" xfId="11940" xr:uid="{00000000-0005-0000-0000-000001A60000}"/>
    <cellStyle name="Normal 454 5 2" xfId="29623" xr:uid="{00000000-0005-0000-0000-000002A60000}"/>
    <cellStyle name="Normal 454 6" xfId="23531" xr:uid="{00000000-0005-0000-0000-000003A60000}"/>
    <cellStyle name="Normal 454 7" xfId="52453" xr:uid="{00000000-0005-0000-0000-000004A60000}"/>
    <cellStyle name="Normal 455" xfId="2816" xr:uid="{00000000-0005-0000-0000-000005A60000}"/>
    <cellStyle name="Normal 455 2" xfId="4843" xr:uid="{00000000-0005-0000-0000-000006A60000}"/>
    <cellStyle name="Normal 455 2 2" xfId="8663" xr:uid="{00000000-0005-0000-0000-000007A60000}"/>
    <cellStyle name="Normal 455 2 2 2" xfId="16459" xr:uid="{00000000-0005-0000-0000-000008A60000}"/>
    <cellStyle name="Normal 455 2 2 2 2" xfId="34094" xr:uid="{00000000-0005-0000-0000-000009A60000}"/>
    <cellStyle name="Normal 455 2 2 3" xfId="27064" xr:uid="{00000000-0005-0000-0000-00000AA60000}"/>
    <cellStyle name="Normal 455 2 3" xfId="12961" xr:uid="{00000000-0005-0000-0000-00000BA60000}"/>
    <cellStyle name="Normal 455 2 3 2" xfId="30610" xr:uid="{00000000-0005-0000-0000-00000CA60000}"/>
    <cellStyle name="Normal 455 2 4" xfId="24199" xr:uid="{00000000-0005-0000-0000-00000DA60000}"/>
    <cellStyle name="Normal 455 3" xfId="4842" xr:uid="{00000000-0005-0000-0000-00000EA60000}"/>
    <cellStyle name="Normal 455 4" xfId="7981" xr:uid="{00000000-0005-0000-0000-00000FA60000}"/>
    <cellStyle name="Normal 455 4 2" xfId="15778" xr:uid="{00000000-0005-0000-0000-000010A60000}"/>
    <cellStyle name="Normal 455 4 2 2" xfId="33413" xr:uid="{00000000-0005-0000-0000-000011A60000}"/>
    <cellStyle name="Normal 455 4 3" xfId="26397" xr:uid="{00000000-0005-0000-0000-000012A60000}"/>
    <cellStyle name="Normal 455 5" xfId="11941" xr:uid="{00000000-0005-0000-0000-000013A60000}"/>
    <cellStyle name="Normal 455 5 2" xfId="29624" xr:uid="{00000000-0005-0000-0000-000014A60000}"/>
    <cellStyle name="Normal 455 6" xfId="23532" xr:uid="{00000000-0005-0000-0000-000015A60000}"/>
    <cellStyle name="Normal 455 7" xfId="52454" xr:uid="{00000000-0005-0000-0000-000016A60000}"/>
    <cellStyle name="Normal 456" xfId="2817" xr:uid="{00000000-0005-0000-0000-000017A60000}"/>
    <cellStyle name="Normal 456 2" xfId="4845" xr:uid="{00000000-0005-0000-0000-000018A60000}"/>
    <cellStyle name="Normal 456 2 2" xfId="8664" xr:uid="{00000000-0005-0000-0000-000019A60000}"/>
    <cellStyle name="Normal 456 2 2 2" xfId="16460" xr:uid="{00000000-0005-0000-0000-00001AA60000}"/>
    <cellStyle name="Normal 456 2 2 2 2" xfId="34095" xr:uid="{00000000-0005-0000-0000-00001BA60000}"/>
    <cellStyle name="Normal 456 2 2 3" xfId="27065" xr:uid="{00000000-0005-0000-0000-00001CA60000}"/>
    <cellStyle name="Normal 456 2 3" xfId="12962" xr:uid="{00000000-0005-0000-0000-00001DA60000}"/>
    <cellStyle name="Normal 456 2 3 2" xfId="30611" xr:uid="{00000000-0005-0000-0000-00001EA60000}"/>
    <cellStyle name="Normal 456 2 4" xfId="24200" xr:uid="{00000000-0005-0000-0000-00001FA60000}"/>
    <cellStyle name="Normal 456 3" xfId="4844" xr:uid="{00000000-0005-0000-0000-000020A60000}"/>
    <cellStyle name="Normal 456 4" xfId="7982" xr:uid="{00000000-0005-0000-0000-000021A60000}"/>
    <cellStyle name="Normal 456 4 2" xfId="15779" xr:uid="{00000000-0005-0000-0000-000022A60000}"/>
    <cellStyle name="Normal 456 4 2 2" xfId="33414" xr:uid="{00000000-0005-0000-0000-000023A60000}"/>
    <cellStyle name="Normal 456 4 3" xfId="26398" xr:uid="{00000000-0005-0000-0000-000024A60000}"/>
    <cellStyle name="Normal 456 5" xfId="11942" xr:uid="{00000000-0005-0000-0000-000025A60000}"/>
    <cellStyle name="Normal 456 5 2" xfId="29625" xr:uid="{00000000-0005-0000-0000-000026A60000}"/>
    <cellStyle name="Normal 456 6" xfId="23533" xr:uid="{00000000-0005-0000-0000-000027A60000}"/>
    <cellStyle name="Normal 456 7" xfId="52455" xr:uid="{00000000-0005-0000-0000-000028A60000}"/>
    <cellStyle name="Normal 457" xfId="2818" xr:uid="{00000000-0005-0000-0000-000029A60000}"/>
    <cellStyle name="Normal 457 2" xfId="4847" xr:uid="{00000000-0005-0000-0000-00002AA60000}"/>
    <cellStyle name="Normal 457 2 2" xfId="8665" xr:uid="{00000000-0005-0000-0000-00002BA60000}"/>
    <cellStyle name="Normal 457 2 2 2" xfId="16461" xr:uid="{00000000-0005-0000-0000-00002CA60000}"/>
    <cellStyle name="Normal 457 2 2 2 2" xfId="34096" xr:uid="{00000000-0005-0000-0000-00002DA60000}"/>
    <cellStyle name="Normal 457 2 2 3" xfId="27066" xr:uid="{00000000-0005-0000-0000-00002EA60000}"/>
    <cellStyle name="Normal 457 2 3" xfId="12963" xr:uid="{00000000-0005-0000-0000-00002FA60000}"/>
    <cellStyle name="Normal 457 2 3 2" xfId="30612" xr:uid="{00000000-0005-0000-0000-000030A60000}"/>
    <cellStyle name="Normal 457 2 4" xfId="24201" xr:uid="{00000000-0005-0000-0000-000031A60000}"/>
    <cellStyle name="Normal 457 3" xfId="4846" xr:uid="{00000000-0005-0000-0000-000032A60000}"/>
    <cellStyle name="Normal 457 4" xfId="7983" xr:uid="{00000000-0005-0000-0000-000033A60000}"/>
    <cellStyle name="Normal 457 4 2" xfId="15780" xr:uid="{00000000-0005-0000-0000-000034A60000}"/>
    <cellStyle name="Normal 457 4 2 2" xfId="33415" xr:uid="{00000000-0005-0000-0000-000035A60000}"/>
    <cellStyle name="Normal 457 4 3" xfId="26399" xr:uid="{00000000-0005-0000-0000-000036A60000}"/>
    <cellStyle name="Normal 457 5" xfId="11943" xr:uid="{00000000-0005-0000-0000-000037A60000}"/>
    <cellStyle name="Normal 457 5 2" xfId="29626" xr:uid="{00000000-0005-0000-0000-000038A60000}"/>
    <cellStyle name="Normal 457 6" xfId="23534" xr:uid="{00000000-0005-0000-0000-000039A60000}"/>
    <cellStyle name="Normal 457 7" xfId="52456" xr:uid="{00000000-0005-0000-0000-00003AA60000}"/>
    <cellStyle name="Normal 458" xfId="2819" xr:uid="{00000000-0005-0000-0000-00003BA60000}"/>
    <cellStyle name="Normal 458 2" xfId="4849" xr:uid="{00000000-0005-0000-0000-00003CA60000}"/>
    <cellStyle name="Normal 458 2 2" xfId="8666" xr:uid="{00000000-0005-0000-0000-00003DA60000}"/>
    <cellStyle name="Normal 458 2 2 2" xfId="16462" xr:uid="{00000000-0005-0000-0000-00003EA60000}"/>
    <cellStyle name="Normal 458 2 2 2 2" xfId="34097" xr:uid="{00000000-0005-0000-0000-00003FA60000}"/>
    <cellStyle name="Normal 458 2 2 3" xfId="27067" xr:uid="{00000000-0005-0000-0000-000040A60000}"/>
    <cellStyle name="Normal 458 2 3" xfId="12964" xr:uid="{00000000-0005-0000-0000-000041A60000}"/>
    <cellStyle name="Normal 458 2 3 2" xfId="30613" xr:uid="{00000000-0005-0000-0000-000042A60000}"/>
    <cellStyle name="Normal 458 2 4" xfId="24202" xr:uid="{00000000-0005-0000-0000-000043A60000}"/>
    <cellStyle name="Normal 458 3" xfId="4848" xr:uid="{00000000-0005-0000-0000-000044A60000}"/>
    <cellStyle name="Normal 458 4" xfId="7984" xr:uid="{00000000-0005-0000-0000-000045A60000}"/>
    <cellStyle name="Normal 458 4 2" xfId="15781" xr:uid="{00000000-0005-0000-0000-000046A60000}"/>
    <cellStyle name="Normal 458 4 2 2" xfId="33416" xr:uid="{00000000-0005-0000-0000-000047A60000}"/>
    <cellStyle name="Normal 458 4 3" xfId="26400" xr:uid="{00000000-0005-0000-0000-000048A60000}"/>
    <cellStyle name="Normal 458 5" xfId="11944" xr:uid="{00000000-0005-0000-0000-000049A60000}"/>
    <cellStyle name="Normal 458 5 2" xfId="29627" xr:uid="{00000000-0005-0000-0000-00004AA60000}"/>
    <cellStyle name="Normal 458 6" xfId="23535" xr:uid="{00000000-0005-0000-0000-00004BA60000}"/>
    <cellStyle name="Normal 458 7" xfId="52457" xr:uid="{00000000-0005-0000-0000-00004CA60000}"/>
    <cellStyle name="Normal 459" xfId="2820" xr:uid="{00000000-0005-0000-0000-00004DA60000}"/>
    <cellStyle name="Normal 459 2" xfId="4851" xr:uid="{00000000-0005-0000-0000-00004EA60000}"/>
    <cellStyle name="Normal 459 2 2" xfId="8667" xr:uid="{00000000-0005-0000-0000-00004FA60000}"/>
    <cellStyle name="Normal 459 2 2 2" xfId="16463" xr:uid="{00000000-0005-0000-0000-000050A60000}"/>
    <cellStyle name="Normal 459 2 2 2 2" xfId="34098" xr:uid="{00000000-0005-0000-0000-000051A60000}"/>
    <cellStyle name="Normal 459 2 2 3" xfId="27068" xr:uid="{00000000-0005-0000-0000-000052A60000}"/>
    <cellStyle name="Normal 459 2 3" xfId="12965" xr:uid="{00000000-0005-0000-0000-000053A60000}"/>
    <cellStyle name="Normal 459 2 3 2" xfId="30614" xr:uid="{00000000-0005-0000-0000-000054A60000}"/>
    <cellStyle name="Normal 459 2 4" xfId="24203" xr:uid="{00000000-0005-0000-0000-000055A60000}"/>
    <cellStyle name="Normal 459 3" xfId="4850" xr:uid="{00000000-0005-0000-0000-000056A60000}"/>
    <cellStyle name="Normal 459 4" xfId="7985" xr:uid="{00000000-0005-0000-0000-000057A60000}"/>
    <cellStyle name="Normal 459 4 2" xfId="15782" xr:uid="{00000000-0005-0000-0000-000058A60000}"/>
    <cellStyle name="Normal 459 4 2 2" xfId="33417" xr:uid="{00000000-0005-0000-0000-000059A60000}"/>
    <cellStyle name="Normal 459 4 3" xfId="26401" xr:uid="{00000000-0005-0000-0000-00005AA60000}"/>
    <cellStyle name="Normal 459 5" xfId="11945" xr:uid="{00000000-0005-0000-0000-00005BA60000}"/>
    <cellStyle name="Normal 459 5 2" xfId="29628" xr:uid="{00000000-0005-0000-0000-00005CA60000}"/>
    <cellStyle name="Normal 459 6" xfId="23536" xr:uid="{00000000-0005-0000-0000-00005DA60000}"/>
    <cellStyle name="Normal 459 7" xfId="52458" xr:uid="{00000000-0005-0000-0000-00005EA60000}"/>
    <cellStyle name="Normal 46" xfId="2821" xr:uid="{00000000-0005-0000-0000-00005FA60000}"/>
    <cellStyle name="Normal 46 2" xfId="4852" xr:uid="{00000000-0005-0000-0000-000060A60000}"/>
    <cellStyle name="Normal 46 2 2" xfId="22786" xr:uid="{00000000-0005-0000-0000-000061A60000}"/>
    <cellStyle name="Normal 46 2 2 2" xfId="38993" xr:uid="{00000000-0005-0000-0000-000062A60000}"/>
    <cellStyle name="Normal 46 3" xfId="23002" xr:uid="{00000000-0005-0000-0000-000063A60000}"/>
    <cellStyle name="Normal 46 4" xfId="22577" xr:uid="{00000000-0005-0000-0000-000064A60000}"/>
    <cellStyle name="Normal 46 4 2" xfId="38888" xr:uid="{00000000-0005-0000-0000-000065A60000}"/>
    <cellStyle name="Normal 46 5" xfId="52459" xr:uid="{00000000-0005-0000-0000-000066A60000}"/>
    <cellStyle name="Normal 460" xfId="2822" xr:uid="{00000000-0005-0000-0000-000067A60000}"/>
    <cellStyle name="Normal 460 2" xfId="4854" xr:uid="{00000000-0005-0000-0000-000068A60000}"/>
    <cellStyle name="Normal 460 2 2" xfId="8668" xr:uid="{00000000-0005-0000-0000-000069A60000}"/>
    <cellStyle name="Normal 460 2 2 2" xfId="16464" xr:uid="{00000000-0005-0000-0000-00006AA60000}"/>
    <cellStyle name="Normal 460 2 2 2 2" xfId="34099" xr:uid="{00000000-0005-0000-0000-00006BA60000}"/>
    <cellStyle name="Normal 460 2 2 3" xfId="27069" xr:uid="{00000000-0005-0000-0000-00006CA60000}"/>
    <cellStyle name="Normal 460 2 3" xfId="12966" xr:uid="{00000000-0005-0000-0000-00006DA60000}"/>
    <cellStyle name="Normal 460 2 3 2" xfId="30615" xr:uid="{00000000-0005-0000-0000-00006EA60000}"/>
    <cellStyle name="Normal 460 2 4" xfId="24204" xr:uid="{00000000-0005-0000-0000-00006FA60000}"/>
    <cellStyle name="Normal 460 3" xfId="4853" xr:uid="{00000000-0005-0000-0000-000070A60000}"/>
    <cellStyle name="Normal 460 4" xfId="7986" xr:uid="{00000000-0005-0000-0000-000071A60000}"/>
    <cellStyle name="Normal 460 4 2" xfId="15783" xr:uid="{00000000-0005-0000-0000-000072A60000}"/>
    <cellStyle name="Normal 460 4 2 2" xfId="33418" xr:uid="{00000000-0005-0000-0000-000073A60000}"/>
    <cellStyle name="Normal 460 4 3" xfId="26402" xr:uid="{00000000-0005-0000-0000-000074A60000}"/>
    <cellStyle name="Normal 460 5" xfId="11946" xr:uid="{00000000-0005-0000-0000-000075A60000}"/>
    <cellStyle name="Normal 460 5 2" xfId="29629" xr:uid="{00000000-0005-0000-0000-000076A60000}"/>
    <cellStyle name="Normal 460 6" xfId="23537" xr:uid="{00000000-0005-0000-0000-000077A60000}"/>
    <cellStyle name="Normal 460 7" xfId="52460" xr:uid="{00000000-0005-0000-0000-000078A60000}"/>
    <cellStyle name="Normal 461" xfId="2823" xr:uid="{00000000-0005-0000-0000-000079A60000}"/>
    <cellStyle name="Normal 461 2" xfId="4856" xr:uid="{00000000-0005-0000-0000-00007AA60000}"/>
    <cellStyle name="Normal 461 2 2" xfId="8669" xr:uid="{00000000-0005-0000-0000-00007BA60000}"/>
    <cellStyle name="Normal 461 2 2 2" xfId="16465" xr:uid="{00000000-0005-0000-0000-00007CA60000}"/>
    <cellStyle name="Normal 461 2 2 2 2" xfId="34100" xr:uid="{00000000-0005-0000-0000-00007DA60000}"/>
    <cellStyle name="Normal 461 2 2 3" xfId="27070" xr:uid="{00000000-0005-0000-0000-00007EA60000}"/>
    <cellStyle name="Normal 461 2 3" xfId="12967" xr:uid="{00000000-0005-0000-0000-00007FA60000}"/>
    <cellStyle name="Normal 461 2 3 2" xfId="30616" xr:uid="{00000000-0005-0000-0000-000080A60000}"/>
    <cellStyle name="Normal 461 2 4" xfId="24205" xr:uid="{00000000-0005-0000-0000-000081A60000}"/>
    <cellStyle name="Normal 461 3" xfId="4855" xr:uid="{00000000-0005-0000-0000-000082A60000}"/>
    <cellStyle name="Normal 461 4" xfId="7987" xr:uid="{00000000-0005-0000-0000-000083A60000}"/>
    <cellStyle name="Normal 461 4 2" xfId="15784" xr:uid="{00000000-0005-0000-0000-000084A60000}"/>
    <cellStyle name="Normal 461 4 2 2" xfId="33419" xr:uid="{00000000-0005-0000-0000-000085A60000}"/>
    <cellStyle name="Normal 461 4 3" xfId="26403" xr:uid="{00000000-0005-0000-0000-000086A60000}"/>
    <cellStyle name="Normal 461 5" xfId="11947" xr:uid="{00000000-0005-0000-0000-000087A60000}"/>
    <cellStyle name="Normal 461 5 2" xfId="29630" xr:uid="{00000000-0005-0000-0000-000088A60000}"/>
    <cellStyle name="Normal 461 6" xfId="23538" xr:uid="{00000000-0005-0000-0000-000089A60000}"/>
    <cellStyle name="Normal 461 7" xfId="52461" xr:uid="{00000000-0005-0000-0000-00008AA60000}"/>
    <cellStyle name="Normal 462" xfId="2824" xr:uid="{00000000-0005-0000-0000-00008BA60000}"/>
    <cellStyle name="Normal 462 2" xfId="4858" xr:uid="{00000000-0005-0000-0000-00008CA60000}"/>
    <cellStyle name="Normal 462 2 2" xfId="8670" xr:uid="{00000000-0005-0000-0000-00008DA60000}"/>
    <cellStyle name="Normal 462 2 2 2" xfId="16466" xr:uid="{00000000-0005-0000-0000-00008EA60000}"/>
    <cellStyle name="Normal 462 2 2 2 2" xfId="34101" xr:uid="{00000000-0005-0000-0000-00008FA60000}"/>
    <cellStyle name="Normal 462 2 2 3" xfId="27071" xr:uid="{00000000-0005-0000-0000-000090A60000}"/>
    <cellStyle name="Normal 462 2 3" xfId="12968" xr:uid="{00000000-0005-0000-0000-000091A60000}"/>
    <cellStyle name="Normal 462 2 3 2" xfId="30617" xr:uid="{00000000-0005-0000-0000-000092A60000}"/>
    <cellStyle name="Normal 462 2 4" xfId="24206" xr:uid="{00000000-0005-0000-0000-000093A60000}"/>
    <cellStyle name="Normal 462 3" xfId="4857" xr:uid="{00000000-0005-0000-0000-000094A60000}"/>
    <cellStyle name="Normal 462 4" xfId="7988" xr:uid="{00000000-0005-0000-0000-000095A60000}"/>
    <cellStyle name="Normal 462 4 2" xfId="15785" xr:uid="{00000000-0005-0000-0000-000096A60000}"/>
    <cellStyle name="Normal 462 4 2 2" xfId="33420" xr:uid="{00000000-0005-0000-0000-000097A60000}"/>
    <cellStyle name="Normal 462 4 3" xfId="26404" xr:uid="{00000000-0005-0000-0000-000098A60000}"/>
    <cellStyle name="Normal 462 5" xfId="11948" xr:uid="{00000000-0005-0000-0000-000099A60000}"/>
    <cellStyle name="Normal 462 5 2" xfId="29631" xr:uid="{00000000-0005-0000-0000-00009AA60000}"/>
    <cellStyle name="Normal 462 6" xfId="23539" xr:uid="{00000000-0005-0000-0000-00009BA60000}"/>
    <cellStyle name="Normal 462 7" xfId="52462" xr:uid="{00000000-0005-0000-0000-00009CA60000}"/>
    <cellStyle name="Normal 463" xfId="2825" xr:uid="{00000000-0005-0000-0000-00009DA60000}"/>
    <cellStyle name="Normal 463 2" xfId="4860" xr:uid="{00000000-0005-0000-0000-00009EA60000}"/>
    <cellStyle name="Normal 463 2 2" xfId="8671" xr:uid="{00000000-0005-0000-0000-00009FA60000}"/>
    <cellStyle name="Normal 463 2 2 2" xfId="16467" xr:uid="{00000000-0005-0000-0000-0000A0A60000}"/>
    <cellStyle name="Normal 463 2 2 2 2" xfId="34102" xr:uid="{00000000-0005-0000-0000-0000A1A60000}"/>
    <cellStyle name="Normal 463 2 2 3" xfId="27072" xr:uid="{00000000-0005-0000-0000-0000A2A60000}"/>
    <cellStyle name="Normal 463 2 3" xfId="12969" xr:uid="{00000000-0005-0000-0000-0000A3A60000}"/>
    <cellStyle name="Normal 463 2 3 2" xfId="30618" xr:uid="{00000000-0005-0000-0000-0000A4A60000}"/>
    <cellStyle name="Normal 463 2 4" xfId="24207" xr:uid="{00000000-0005-0000-0000-0000A5A60000}"/>
    <cellStyle name="Normal 463 3" xfId="4859" xr:uid="{00000000-0005-0000-0000-0000A6A60000}"/>
    <cellStyle name="Normal 463 4" xfId="7989" xr:uid="{00000000-0005-0000-0000-0000A7A60000}"/>
    <cellStyle name="Normal 463 4 2" xfId="15786" xr:uid="{00000000-0005-0000-0000-0000A8A60000}"/>
    <cellStyle name="Normal 463 4 2 2" xfId="33421" xr:uid="{00000000-0005-0000-0000-0000A9A60000}"/>
    <cellStyle name="Normal 463 4 3" xfId="26405" xr:uid="{00000000-0005-0000-0000-0000AAA60000}"/>
    <cellStyle name="Normal 463 5" xfId="11949" xr:uid="{00000000-0005-0000-0000-0000ABA60000}"/>
    <cellStyle name="Normal 463 5 2" xfId="29632" xr:uid="{00000000-0005-0000-0000-0000ACA60000}"/>
    <cellStyle name="Normal 463 6" xfId="23540" xr:uid="{00000000-0005-0000-0000-0000ADA60000}"/>
    <cellStyle name="Normal 463 7" xfId="52463" xr:uid="{00000000-0005-0000-0000-0000AEA60000}"/>
    <cellStyle name="Normal 464" xfId="2826" xr:uid="{00000000-0005-0000-0000-0000AFA60000}"/>
    <cellStyle name="Normal 464 2" xfId="4862" xr:uid="{00000000-0005-0000-0000-0000B0A60000}"/>
    <cellStyle name="Normal 464 2 2" xfId="8672" xr:uid="{00000000-0005-0000-0000-0000B1A60000}"/>
    <cellStyle name="Normal 464 2 2 2" xfId="16468" xr:uid="{00000000-0005-0000-0000-0000B2A60000}"/>
    <cellStyle name="Normal 464 2 2 2 2" xfId="34103" xr:uid="{00000000-0005-0000-0000-0000B3A60000}"/>
    <cellStyle name="Normal 464 2 2 3" xfId="27073" xr:uid="{00000000-0005-0000-0000-0000B4A60000}"/>
    <cellStyle name="Normal 464 2 3" xfId="12970" xr:uid="{00000000-0005-0000-0000-0000B5A60000}"/>
    <cellStyle name="Normal 464 2 3 2" xfId="30619" xr:uid="{00000000-0005-0000-0000-0000B6A60000}"/>
    <cellStyle name="Normal 464 2 4" xfId="24208" xr:uid="{00000000-0005-0000-0000-0000B7A60000}"/>
    <cellStyle name="Normal 464 3" xfId="4861" xr:uid="{00000000-0005-0000-0000-0000B8A60000}"/>
    <cellStyle name="Normal 464 4" xfId="7990" xr:uid="{00000000-0005-0000-0000-0000B9A60000}"/>
    <cellStyle name="Normal 464 4 2" xfId="15787" xr:uid="{00000000-0005-0000-0000-0000BAA60000}"/>
    <cellStyle name="Normal 464 4 2 2" xfId="33422" xr:uid="{00000000-0005-0000-0000-0000BBA60000}"/>
    <cellStyle name="Normal 464 4 3" xfId="26406" xr:uid="{00000000-0005-0000-0000-0000BCA60000}"/>
    <cellStyle name="Normal 464 5" xfId="11950" xr:uid="{00000000-0005-0000-0000-0000BDA60000}"/>
    <cellStyle name="Normal 464 5 2" xfId="29633" xr:uid="{00000000-0005-0000-0000-0000BEA60000}"/>
    <cellStyle name="Normal 464 6" xfId="23541" xr:uid="{00000000-0005-0000-0000-0000BFA60000}"/>
    <cellStyle name="Normal 464 7" xfId="52464" xr:uid="{00000000-0005-0000-0000-0000C0A60000}"/>
    <cellStyle name="Normal 465" xfId="2827" xr:uid="{00000000-0005-0000-0000-0000C1A60000}"/>
    <cellStyle name="Normal 465 2" xfId="4864" xr:uid="{00000000-0005-0000-0000-0000C2A60000}"/>
    <cellStyle name="Normal 465 2 2" xfId="8673" xr:uid="{00000000-0005-0000-0000-0000C3A60000}"/>
    <cellStyle name="Normal 465 2 2 2" xfId="16469" xr:uid="{00000000-0005-0000-0000-0000C4A60000}"/>
    <cellStyle name="Normal 465 2 2 2 2" xfId="34104" xr:uid="{00000000-0005-0000-0000-0000C5A60000}"/>
    <cellStyle name="Normal 465 2 2 3" xfId="27074" xr:uid="{00000000-0005-0000-0000-0000C6A60000}"/>
    <cellStyle name="Normal 465 2 3" xfId="12972" xr:uid="{00000000-0005-0000-0000-0000C7A60000}"/>
    <cellStyle name="Normal 465 2 3 2" xfId="30621" xr:uid="{00000000-0005-0000-0000-0000C8A60000}"/>
    <cellStyle name="Normal 465 2 4" xfId="24209" xr:uid="{00000000-0005-0000-0000-0000C9A60000}"/>
    <cellStyle name="Normal 465 3" xfId="4863" xr:uid="{00000000-0005-0000-0000-0000CAA60000}"/>
    <cellStyle name="Normal 465 4" xfId="7991" xr:uid="{00000000-0005-0000-0000-0000CBA60000}"/>
    <cellStyle name="Normal 465 4 2" xfId="15788" xr:uid="{00000000-0005-0000-0000-0000CCA60000}"/>
    <cellStyle name="Normal 465 4 2 2" xfId="33423" xr:uid="{00000000-0005-0000-0000-0000CDA60000}"/>
    <cellStyle name="Normal 465 4 3" xfId="26407" xr:uid="{00000000-0005-0000-0000-0000CEA60000}"/>
    <cellStyle name="Normal 465 5" xfId="11951" xr:uid="{00000000-0005-0000-0000-0000CFA60000}"/>
    <cellStyle name="Normal 465 5 2" xfId="29634" xr:uid="{00000000-0005-0000-0000-0000D0A60000}"/>
    <cellStyle name="Normal 465 6" xfId="23542" xr:uid="{00000000-0005-0000-0000-0000D1A60000}"/>
    <cellStyle name="Normal 465 7" xfId="52465" xr:uid="{00000000-0005-0000-0000-0000D2A60000}"/>
    <cellStyle name="Normal 466" xfId="2828" xr:uid="{00000000-0005-0000-0000-0000D3A60000}"/>
    <cellStyle name="Normal 466 2" xfId="4866" xr:uid="{00000000-0005-0000-0000-0000D4A60000}"/>
    <cellStyle name="Normal 466 2 2" xfId="8674" xr:uid="{00000000-0005-0000-0000-0000D5A60000}"/>
    <cellStyle name="Normal 466 2 2 2" xfId="16470" xr:uid="{00000000-0005-0000-0000-0000D6A60000}"/>
    <cellStyle name="Normal 466 2 2 2 2" xfId="34105" xr:uid="{00000000-0005-0000-0000-0000D7A60000}"/>
    <cellStyle name="Normal 466 2 2 3" xfId="27075" xr:uid="{00000000-0005-0000-0000-0000D8A60000}"/>
    <cellStyle name="Normal 466 2 3" xfId="12973" xr:uid="{00000000-0005-0000-0000-0000D9A60000}"/>
    <cellStyle name="Normal 466 2 3 2" xfId="30622" xr:uid="{00000000-0005-0000-0000-0000DAA60000}"/>
    <cellStyle name="Normal 466 2 4" xfId="24210" xr:uid="{00000000-0005-0000-0000-0000DBA60000}"/>
    <cellStyle name="Normal 466 3" xfId="4865" xr:uid="{00000000-0005-0000-0000-0000DCA60000}"/>
    <cellStyle name="Normal 466 4" xfId="7992" xr:uid="{00000000-0005-0000-0000-0000DDA60000}"/>
    <cellStyle name="Normal 466 4 2" xfId="15789" xr:uid="{00000000-0005-0000-0000-0000DEA60000}"/>
    <cellStyle name="Normal 466 4 2 2" xfId="33424" xr:uid="{00000000-0005-0000-0000-0000DFA60000}"/>
    <cellStyle name="Normal 466 4 3" xfId="26408" xr:uid="{00000000-0005-0000-0000-0000E0A60000}"/>
    <cellStyle name="Normal 466 5" xfId="11952" xr:uid="{00000000-0005-0000-0000-0000E1A60000}"/>
    <cellStyle name="Normal 466 5 2" xfId="29635" xr:uid="{00000000-0005-0000-0000-0000E2A60000}"/>
    <cellStyle name="Normal 466 6" xfId="23543" xr:uid="{00000000-0005-0000-0000-0000E3A60000}"/>
    <cellStyle name="Normal 466 7" xfId="52466" xr:uid="{00000000-0005-0000-0000-0000E4A60000}"/>
    <cellStyle name="Normal 467" xfId="2829" xr:uid="{00000000-0005-0000-0000-0000E5A60000}"/>
    <cellStyle name="Normal 467 2" xfId="4868" xr:uid="{00000000-0005-0000-0000-0000E6A60000}"/>
    <cellStyle name="Normal 467 2 2" xfId="8675" xr:uid="{00000000-0005-0000-0000-0000E7A60000}"/>
    <cellStyle name="Normal 467 2 2 2" xfId="16471" xr:uid="{00000000-0005-0000-0000-0000E8A60000}"/>
    <cellStyle name="Normal 467 2 2 2 2" xfId="34106" xr:uid="{00000000-0005-0000-0000-0000E9A60000}"/>
    <cellStyle name="Normal 467 2 2 3" xfId="27076" xr:uid="{00000000-0005-0000-0000-0000EAA60000}"/>
    <cellStyle name="Normal 467 2 3" xfId="12974" xr:uid="{00000000-0005-0000-0000-0000EBA60000}"/>
    <cellStyle name="Normal 467 2 3 2" xfId="30623" xr:uid="{00000000-0005-0000-0000-0000ECA60000}"/>
    <cellStyle name="Normal 467 2 4" xfId="24211" xr:uid="{00000000-0005-0000-0000-0000EDA60000}"/>
    <cellStyle name="Normal 467 3" xfId="4867" xr:uid="{00000000-0005-0000-0000-0000EEA60000}"/>
    <cellStyle name="Normal 467 4" xfId="7993" xr:uid="{00000000-0005-0000-0000-0000EFA60000}"/>
    <cellStyle name="Normal 467 4 2" xfId="15790" xr:uid="{00000000-0005-0000-0000-0000F0A60000}"/>
    <cellStyle name="Normal 467 4 2 2" xfId="33425" xr:uid="{00000000-0005-0000-0000-0000F1A60000}"/>
    <cellStyle name="Normal 467 4 3" xfId="26409" xr:uid="{00000000-0005-0000-0000-0000F2A60000}"/>
    <cellStyle name="Normal 467 5" xfId="11953" xr:uid="{00000000-0005-0000-0000-0000F3A60000}"/>
    <cellStyle name="Normal 467 5 2" xfId="29636" xr:uid="{00000000-0005-0000-0000-0000F4A60000}"/>
    <cellStyle name="Normal 467 6" xfId="23544" xr:uid="{00000000-0005-0000-0000-0000F5A60000}"/>
    <cellStyle name="Normal 467 7" xfId="52467" xr:uid="{00000000-0005-0000-0000-0000F6A60000}"/>
    <cellStyle name="Normal 468" xfId="2830" xr:uid="{00000000-0005-0000-0000-0000F7A60000}"/>
    <cellStyle name="Normal 468 2" xfId="4870" xr:uid="{00000000-0005-0000-0000-0000F8A60000}"/>
    <cellStyle name="Normal 468 2 2" xfId="8676" xr:uid="{00000000-0005-0000-0000-0000F9A60000}"/>
    <cellStyle name="Normal 468 2 2 2" xfId="16472" xr:uid="{00000000-0005-0000-0000-0000FAA60000}"/>
    <cellStyle name="Normal 468 2 2 2 2" xfId="34107" xr:uid="{00000000-0005-0000-0000-0000FBA60000}"/>
    <cellStyle name="Normal 468 2 2 3" xfId="27077" xr:uid="{00000000-0005-0000-0000-0000FCA60000}"/>
    <cellStyle name="Normal 468 2 3" xfId="12975" xr:uid="{00000000-0005-0000-0000-0000FDA60000}"/>
    <cellStyle name="Normal 468 2 3 2" xfId="30624" xr:uid="{00000000-0005-0000-0000-0000FEA60000}"/>
    <cellStyle name="Normal 468 2 4" xfId="24212" xr:uid="{00000000-0005-0000-0000-0000FFA60000}"/>
    <cellStyle name="Normal 468 3" xfId="4869" xr:uid="{00000000-0005-0000-0000-000000A70000}"/>
    <cellStyle name="Normal 468 4" xfId="7994" xr:uid="{00000000-0005-0000-0000-000001A70000}"/>
    <cellStyle name="Normal 468 4 2" xfId="15791" xr:uid="{00000000-0005-0000-0000-000002A70000}"/>
    <cellStyle name="Normal 468 4 2 2" xfId="33426" xr:uid="{00000000-0005-0000-0000-000003A70000}"/>
    <cellStyle name="Normal 468 4 3" xfId="26410" xr:uid="{00000000-0005-0000-0000-000004A70000}"/>
    <cellStyle name="Normal 468 5" xfId="11954" xr:uid="{00000000-0005-0000-0000-000005A70000}"/>
    <cellStyle name="Normal 468 5 2" xfId="29637" xr:uid="{00000000-0005-0000-0000-000006A70000}"/>
    <cellStyle name="Normal 468 6" xfId="23545" xr:uid="{00000000-0005-0000-0000-000007A70000}"/>
    <cellStyle name="Normal 468 7" xfId="52468" xr:uid="{00000000-0005-0000-0000-000008A70000}"/>
    <cellStyle name="Normal 469" xfId="2831" xr:uid="{00000000-0005-0000-0000-000009A70000}"/>
    <cellStyle name="Normal 469 2" xfId="4872" xr:uid="{00000000-0005-0000-0000-00000AA70000}"/>
    <cellStyle name="Normal 469 2 2" xfId="8677" xr:uid="{00000000-0005-0000-0000-00000BA70000}"/>
    <cellStyle name="Normal 469 2 2 2" xfId="16473" xr:uid="{00000000-0005-0000-0000-00000CA70000}"/>
    <cellStyle name="Normal 469 2 2 2 2" xfId="34108" xr:uid="{00000000-0005-0000-0000-00000DA70000}"/>
    <cellStyle name="Normal 469 2 2 3" xfId="27078" xr:uid="{00000000-0005-0000-0000-00000EA70000}"/>
    <cellStyle name="Normal 469 2 3" xfId="12976" xr:uid="{00000000-0005-0000-0000-00000FA70000}"/>
    <cellStyle name="Normal 469 2 3 2" xfId="30625" xr:uid="{00000000-0005-0000-0000-000010A70000}"/>
    <cellStyle name="Normal 469 2 4" xfId="24213" xr:uid="{00000000-0005-0000-0000-000011A70000}"/>
    <cellStyle name="Normal 469 3" xfId="4871" xr:uid="{00000000-0005-0000-0000-000012A70000}"/>
    <cellStyle name="Normal 469 4" xfId="7995" xr:uid="{00000000-0005-0000-0000-000013A70000}"/>
    <cellStyle name="Normal 469 4 2" xfId="15792" xr:uid="{00000000-0005-0000-0000-000014A70000}"/>
    <cellStyle name="Normal 469 4 2 2" xfId="33427" xr:uid="{00000000-0005-0000-0000-000015A70000}"/>
    <cellStyle name="Normal 469 4 3" xfId="26411" xr:uid="{00000000-0005-0000-0000-000016A70000}"/>
    <cellStyle name="Normal 469 5" xfId="11955" xr:uid="{00000000-0005-0000-0000-000017A70000}"/>
    <cellStyle name="Normal 469 5 2" xfId="29638" xr:uid="{00000000-0005-0000-0000-000018A70000}"/>
    <cellStyle name="Normal 469 6" xfId="23546" xr:uid="{00000000-0005-0000-0000-000019A70000}"/>
    <cellStyle name="Normal 469 7" xfId="52469" xr:uid="{00000000-0005-0000-0000-00001AA70000}"/>
    <cellStyle name="Normal 47" xfId="2832" xr:uid="{00000000-0005-0000-0000-00001BA70000}"/>
    <cellStyle name="Normal 47 2" xfId="4873" xr:uid="{00000000-0005-0000-0000-00001CA70000}"/>
    <cellStyle name="Normal 47 2 2" xfId="22787" xr:uid="{00000000-0005-0000-0000-00001DA70000}"/>
    <cellStyle name="Normal 47 2 2 2" xfId="38994" xr:uid="{00000000-0005-0000-0000-00001EA70000}"/>
    <cellStyle name="Normal 47 3" xfId="23003" xr:uid="{00000000-0005-0000-0000-00001FA70000}"/>
    <cellStyle name="Normal 47 4" xfId="22578" xr:uid="{00000000-0005-0000-0000-000020A70000}"/>
    <cellStyle name="Normal 47 4 2" xfId="38889" xr:uid="{00000000-0005-0000-0000-000021A70000}"/>
    <cellStyle name="Normal 47 5" xfId="52470" xr:uid="{00000000-0005-0000-0000-000022A70000}"/>
    <cellStyle name="Normal 470" xfId="2833" xr:uid="{00000000-0005-0000-0000-000023A70000}"/>
    <cellStyle name="Normal 470 2" xfId="4875" xr:uid="{00000000-0005-0000-0000-000024A70000}"/>
    <cellStyle name="Normal 470 2 2" xfId="8678" xr:uid="{00000000-0005-0000-0000-000025A70000}"/>
    <cellStyle name="Normal 470 2 2 2" xfId="16474" xr:uid="{00000000-0005-0000-0000-000026A70000}"/>
    <cellStyle name="Normal 470 2 2 2 2" xfId="34109" xr:uid="{00000000-0005-0000-0000-000027A70000}"/>
    <cellStyle name="Normal 470 2 2 3" xfId="27079" xr:uid="{00000000-0005-0000-0000-000028A70000}"/>
    <cellStyle name="Normal 470 2 3" xfId="12977" xr:uid="{00000000-0005-0000-0000-000029A70000}"/>
    <cellStyle name="Normal 470 2 3 2" xfId="30626" xr:uid="{00000000-0005-0000-0000-00002AA70000}"/>
    <cellStyle name="Normal 470 2 4" xfId="24214" xr:uid="{00000000-0005-0000-0000-00002BA70000}"/>
    <cellStyle name="Normal 470 3" xfId="4874" xr:uid="{00000000-0005-0000-0000-00002CA70000}"/>
    <cellStyle name="Normal 470 4" xfId="7996" xr:uid="{00000000-0005-0000-0000-00002DA70000}"/>
    <cellStyle name="Normal 470 4 2" xfId="15793" xr:uid="{00000000-0005-0000-0000-00002EA70000}"/>
    <cellStyle name="Normal 470 4 2 2" xfId="33428" xr:uid="{00000000-0005-0000-0000-00002FA70000}"/>
    <cellStyle name="Normal 470 4 3" xfId="26412" xr:uid="{00000000-0005-0000-0000-000030A70000}"/>
    <cellStyle name="Normal 470 5" xfId="11956" xr:uid="{00000000-0005-0000-0000-000031A70000}"/>
    <cellStyle name="Normal 470 5 2" xfId="29639" xr:uid="{00000000-0005-0000-0000-000032A70000}"/>
    <cellStyle name="Normal 470 6" xfId="23547" xr:uid="{00000000-0005-0000-0000-000033A70000}"/>
    <cellStyle name="Normal 470 7" xfId="52471" xr:uid="{00000000-0005-0000-0000-000034A70000}"/>
    <cellStyle name="Normal 471" xfId="2834" xr:uid="{00000000-0005-0000-0000-000035A70000}"/>
    <cellStyle name="Normal 471 2" xfId="4877" xr:uid="{00000000-0005-0000-0000-000036A70000}"/>
    <cellStyle name="Normal 471 2 2" xfId="8679" xr:uid="{00000000-0005-0000-0000-000037A70000}"/>
    <cellStyle name="Normal 471 2 2 2" xfId="16475" xr:uid="{00000000-0005-0000-0000-000038A70000}"/>
    <cellStyle name="Normal 471 2 2 2 2" xfId="34110" xr:uid="{00000000-0005-0000-0000-000039A70000}"/>
    <cellStyle name="Normal 471 2 2 3" xfId="27080" xr:uid="{00000000-0005-0000-0000-00003AA70000}"/>
    <cellStyle name="Normal 471 2 3" xfId="12978" xr:uid="{00000000-0005-0000-0000-00003BA70000}"/>
    <cellStyle name="Normal 471 2 3 2" xfId="30627" xr:uid="{00000000-0005-0000-0000-00003CA70000}"/>
    <cellStyle name="Normal 471 2 4" xfId="24215" xr:uid="{00000000-0005-0000-0000-00003DA70000}"/>
    <cellStyle name="Normal 471 3" xfId="4876" xr:uid="{00000000-0005-0000-0000-00003EA70000}"/>
    <cellStyle name="Normal 471 4" xfId="7997" xr:uid="{00000000-0005-0000-0000-00003FA70000}"/>
    <cellStyle name="Normal 471 4 2" xfId="15794" xr:uid="{00000000-0005-0000-0000-000040A70000}"/>
    <cellStyle name="Normal 471 4 2 2" xfId="33429" xr:uid="{00000000-0005-0000-0000-000041A70000}"/>
    <cellStyle name="Normal 471 4 3" xfId="26413" xr:uid="{00000000-0005-0000-0000-000042A70000}"/>
    <cellStyle name="Normal 471 5" xfId="11957" xr:uid="{00000000-0005-0000-0000-000043A70000}"/>
    <cellStyle name="Normal 471 5 2" xfId="29640" xr:uid="{00000000-0005-0000-0000-000044A70000}"/>
    <cellStyle name="Normal 471 6" xfId="23548" xr:uid="{00000000-0005-0000-0000-000045A70000}"/>
    <cellStyle name="Normal 471 7" xfId="52472" xr:uid="{00000000-0005-0000-0000-000046A70000}"/>
    <cellStyle name="Normal 472" xfId="2835" xr:uid="{00000000-0005-0000-0000-000047A70000}"/>
    <cellStyle name="Normal 472 2" xfId="4879" xr:uid="{00000000-0005-0000-0000-000048A70000}"/>
    <cellStyle name="Normal 472 2 2" xfId="8680" xr:uid="{00000000-0005-0000-0000-000049A70000}"/>
    <cellStyle name="Normal 472 2 2 2" xfId="16476" xr:uid="{00000000-0005-0000-0000-00004AA70000}"/>
    <cellStyle name="Normal 472 2 2 2 2" xfId="34111" xr:uid="{00000000-0005-0000-0000-00004BA70000}"/>
    <cellStyle name="Normal 472 2 2 3" xfId="27081" xr:uid="{00000000-0005-0000-0000-00004CA70000}"/>
    <cellStyle name="Normal 472 2 3" xfId="12979" xr:uid="{00000000-0005-0000-0000-00004DA70000}"/>
    <cellStyle name="Normal 472 2 3 2" xfId="30628" xr:uid="{00000000-0005-0000-0000-00004EA70000}"/>
    <cellStyle name="Normal 472 2 4" xfId="24216" xr:uid="{00000000-0005-0000-0000-00004FA70000}"/>
    <cellStyle name="Normal 472 3" xfId="4878" xr:uid="{00000000-0005-0000-0000-000050A70000}"/>
    <cellStyle name="Normal 472 4" xfId="7998" xr:uid="{00000000-0005-0000-0000-000051A70000}"/>
    <cellStyle name="Normal 472 4 2" xfId="15795" xr:uid="{00000000-0005-0000-0000-000052A70000}"/>
    <cellStyle name="Normal 472 4 2 2" xfId="33430" xr:uid="{00000000-0005-0000-0000-000053A70000}"/>
    <cellStyle name="Normal 472 4 3" xfId="26414" xr:uid="{00000000-0005-0000-0000-000054A70000}"/>
    <cellStyle name="Normal 472 5" xfId="11958" xr:uid="{00000000-0005-0000-0000-000055A70000}"/>
    <cellStyle name="Normal 472 5 2" xfId="29641" xr:uid="{00000000-0005-0000-0000-000056A70000}"/>
    <cellStyle name="Normal 472 6" xfId="23549" xr:uid="{00000000-0005-0000-0000-000057A70000}"/>
    <cellStyle name="Normal 472 7" xfId="52473" xr:uid="{00000000-0005-0000-0000-000058A70000}"/>
    <cellStyle name="Normal 473" xfId="2836" xr:uid="{00000000-0005-0000-0000-000059A70000}"/>
    <cellStyle name="Normal 473 2" xfId="4881" xr:uid="{00000000-0005-0000-0000-00005AA70000}"/>
    <cellStyle name="Normal 473 2 2" xfId="8681" xr:uid="{00000000-0005-0000-0000-00005BA70000}"/>
    <cellStyle name="Normal 473 2 2 2" xfId="16477" xr:uid="{00000000-0005-0000-0000-00005CA70000}"/>
    <cellStyle name="Normal 473 2 2 2 2" xfId="34112" xr:uid="{00000000-0005-0000-0000-00005DA70000}"/>
    <cellStyle name="Normal 473 2 2 3" xfId="27082" xr:uid="{00000000-0005-0000-0000-00005EA70000}"/>
    <cellStyle name="Normal 473 2 3" xfId="12980" xr:uid="{00000000-0005-0000-0000-00005FA70000}"/>
    <cellStyle name="Normal 473 2 3 2" xfId="30629" xr:uid="{00000000-0005-0000-0000-000060A70000}"/>
    <cellStyle name="Normal 473 2 4" xfId="24217" xr:uid="{00000000-0005-0000-0000-000061A70000}"/>
    <cellStyle name="Normal 473 3" xfId="4880" xr:uid="{00000000-0005-0000-0000-000062A70000}"/>
    <cellStyle name="Normal 473 4" xfId="7999" xr:uid="{00000000-0005-0000-0000-000063A70000}"/>
    <cellStyle name="Normal 473 4 2" xfId="15796" xr:uid="{00000000-0005-0000-0000-000064A70000}"/>
    <cellStyle name="Normal 473 4 2 2" xfId="33431" xr:uid="{00000000-0005-0000-0000-000065A70000}"/>
    <cellStyle name="Normal 473 4 3" xfId="26415" xr:uid="{00000000-0005-0000-0000-000066A70000}"/>
    <cellStyle name="Normal 473 5" xfId="11959" xr:uid="{00000000-0005-0000-0000-000067A70000}"/>
    <cellStyle name="Normal 473 5 2" xfId="29642" xr:uid="{00000000-0005-0000-0000-000068A70000}"/>
    <cellStyle name="Normal 473 6" xfId="23550" xr:uid="{00000000-0005-0000-0000-000069A70000}"/>
    <cellStyle name="Normal 473 7" xfId="52474" xr:uid="{00000000-0005-0000-0000-00006AA70000}"/>
    <cellStyle name="Normal 474" xfId="2837" xr:uid="{00000000-0005-0000-0000-00006BA70000}"/>
    <cellStyle name="Normal 474 2" xfId="4883" xr:uid="{00000000-0005-0000-0000-00006CA70000}"/>
    <cellStyle name="Normal 474 2 2" xfId="8682" xr:uid="{00000000-0005-0000-0000-00006DA70000}"/>
    <cellStyle name="Normal 474 2 2 2" xfId="16478" xr:uid="{00000000-0005-0000-0000-00006EA70000}"/>
    <cellStyle name="Normal 474 2 2 2 2" xfId="34113" xr:uid="{00000000-0005-0000-0000-00006FA70000}"/>
    <cellStyle name="Normal 474 2 2 3" xfId="27083" xr:uid="{00000000-0005-0000-0000-000070A70000}"/>
    <cellStyle name="Normal 474 2 3" xfId="12981" xr:uid="{00000000-0005-0000-0000-000071A70000}"/>
    <cellStyle name="Normal 474 2 3 2" xfId="30630" xr:uid="{00000000-0005-0000-0000-000072A70000}"/>
    <cellStyle name="Normal 474 2 4" xfId="24218" xr:uid="{00000000-0005-0000-0000-000073A70000}"/>
    <cellStyle name="Normal 474 3" xfId="4882" xr:uid="{00000000-0005-0000-0000-000074A70000}"/>
    <cellStyle name="Normal 474 4" xfId="8000" xr:uid="{00000000-0005-0000-0000-000075A70000}"/>
    <cellStyle name="Normal 474 4 2" xfId="15797" xr:uid="{00000000-0005-0000-0000-000076A70000}"/>
    <cellStyle name="Normal 474 4 2 2" xfId="33432" xr:uid="{00000000-0005-0000-0000-000077A70000}"/>
    <cellStyle name="Normal 474 4 3" xfId="26416" xr:uid="{00000000-0005-0000-0000-000078A70000}"/>
    <cellStyle name="Normal 474 5" xfId="11960" xr:uid="{00000000-0005-0000-0000-000079A70000}"/>
    <cellStyle name="Normal 474 5 2" xfId="29643" xr:uid="{00000000-0005-0000-0000-00007AA70000}"/>
    <cellStyle name="Normal 474 6" xfId="23551" xr:uid="{00000000-0005-0000-0000-00007BA70000}"/>
    <cellStyle name="Normal 474 7" xfId="52475" xr:uid="{00000000-0005-0000-0000-00007CA70000}"/>
    <cellStyle name="Normal 475" xfId="2838" xr:uid="{00000000-0005-0000-0000-00007DA70000}"/>
    <cellStyle name="Normal 475 2" xfId="4885" xr:uid="{00000000-0005-0000-0000-00007EA70000}"/>
    <cellStyle name="Normal 475 2 2" xfId="8683" xr:uid="{00000000-0005-0000-0000-00007FA70000}"/>
    <cellStyle name="Normal 475 2 2 2" xfId="16479" xr:uid="{00000000-0005-0000-0000-000080A70000}"/>
    <cellStyle name="Normal 475 2 2 2 2" xfId="34114" xr:uid="{00000000-0005-0000-0000-000081A70000}"/>
    <cellStyle name="Normal 475 2 2 3" xfId="27084" xr:uid="{00000000-0005-0000-0000-000082A70000}"/>
    <cellStyle name="Normal 475 2 3" xfId="12982" xr:uid="{00000000-0005-0000-0000-000083A70000}"/>
    <cellStyle name="Normal 475 2 3 2" xfId="30631" xr:uid="{00000000-0005-0000-0000-000084A70000}"/>
    <cellStyle name="Normal 475 2 4" xfId="24219" xr:uid="{00000000-0005-0000-0000-000085A70000}"/>
    <cellStyle name="Normal 475 3" xfId="4884" xr:uid="{00000000-0005-0000-0000-000086A70000}"/>
    <cellStyle name="Normal 475 4" xfId="8001" xr:uid="{00000000-0005-0000-0000-000087A70000}"/>
    <cellStyle name="Normal 475 4 2" xfId="15798" xr:uid="{00000000-0005-0000-0000-000088A70000}"/>
    <cellStyle name="Normal 475 4 2 2" xfId="33433" xr:uid="{00000000-0005-0000-0000-000089A70000}"/>
    <cellStyle name="Normal 475 4 3" xfId="26417" xr:uid="{00000000-0005-0000-0000-00008AA70000}"/>
    <cellStyle name="Normal 475 5" xfId="11961" xr:uid="{00000000-0005-0000-0000-00008BA70000}"/>
    <cellStyle name="Normal 475 5 2" xfId="29644" xr:uid="{00000000-0005-0000-0000-00008CA70000}"/>
    <cellStyle name="Normal 475 6" xfId="23552" xr:uid="{00000000-0005-0000-0000-00008DA70000}"/>
    <cellStyle name="Normal 475 7" xfId="52476" xr:uid="{00000000-0005-0000-0000-00008EA70000}"/>
    <cellStyle name="Normal 476" xfId="2839" xr:uid="{00000000-0005-0000-0000-00008FA70000}"/>
    <cellStyle name="Normal 476 2" xfId="4887" xr:uid="{00000000-0005-0000-0000-000090A70000}"/>
    <cellStyle name="Normal 476 2 2" xfId="8684" xr:uid="{00000000-0005-0000-0000-000091A70000}"/>
    <cellStyle name="Normal 476 2 2 2" xfId="16480" xr:uid="{00000000-0005-0000-0000-000092A70000}"/>
    <cellStyle name="Normal 476 2 2 2 2" xfId="34115" xr:uid="{00000000-0005-0000-0000-000093A70000}"/>
    <cellStyle name="Normal 476 2 2 3" xfId="27085" xr:uid="{00000000-0005-0000-0000-000094A70000}"/>
    <cellStyle name="Normal 476 2 3" xfId="12983" xr:uid="{00000000-0005-0000-0000-000095A70000}"/>
    <cellStyle name="Normal 476 2 3 2" xfId="30632" xr:uid="{00000000-0005-0000-0000-000096A70000}"/>
    <cellStyle name="Normal 476 2 4" xfId="24220" xr:uid="{00000000-0005-0000-0000-000097A70000}"/>
    <cellStyle name="Normal 476 3" xfId="4886" xr:uid="{00000000-0005-0000-0000-000098A70000}"/>
    <cellStyle name="Normal 476 4" xfId="8002" xr:uid="{00000000-0005-0000-0000-000099A70000}"/>
    <cellStyle name="Normal 476 4 2" xfId="15799" xr:uid="{00000000-0005-0000-0000-00009AA70000}"/>
    <cellStyle name="Normal 476 4 2 2" xfId="33434" xr:uid="{00000000-0005-0000-0000-00009BA70000}"/>
    <cellStyle name="Normal 476 4 3" xfId="26418" xr:uid="{00000000-0005-0000-0000-00009CA70000}"/>
    <cellStyle name="Normal 476 5" xfId="11962" xr:uid="{00000000-0005-0000-0000-00009DA70000}"/>
    <cellStyle name="Normal 476 5 2" xfId="29645" xr:uid="{00000000-0005-0000-0000-00009EA70000}"/>
    <cellStyle name="Normal 476 6" xfId="23553" xr:uid="{00000000-0005-0000-0000-00009FA70000}"/>
    <cellStyle name="Normal 476 7" xfId="52477" xr:uid="{00000000-0005-0000-0000-0000A0A70000}"/>
    <cellStyle name="Normal 477" xfId="2840" xr:uid="{00000000-0005-0000-0000-0000A1A70000}"/>
    <cellStyle name="Normal 477 2" xfId="4889" xr:uid="{00000000-0005-0000-0000-0000A2A70000}"/>
    <cellStyle name="Normal 477 2 2" xfId="8685" xr:uid="{00000000-0005-0000-0000-0000A3A70000}"/>
    <cellStyle name="Normal 477 2 2 2" xfId="16481" xr:uid="{00000000-0005-0000-0000-0000A4A70000}"/>
    <cellStyle name="Normal 477 2 2 2 2" xfId="34116" xr:uid="{00000000-0005-0000-0000-0000A5A70000}"/>
    <cellStyle name="Normal 477 2 2 3" xfId="27086" xr:uid="{00000000-0005-0000-0000-0000A6A70000}"/>
    <cellStyle name="Normal 477 2 3" xfId="12984" xr:uid="{00000000-0005-0000-0000-0000A7A70000}"/>
    <cellStyle name="Normal 477 2 3 2" xfId="30633" xr:uid="{00000000-0005-0000-0000-0000A8A70000}"/>
    <cellStyle name="Normal 477 2 4" xfId="24221" xr:uid="{00000000-0005-0000-0000-0000A9A70000}"/>
    <cellStyle name="Normal 477 3" xfId="4888" xr:uid="{00000000-0005-0000-0000-0000AAA70000}"/>
    <cellStyle name="Normal 477 4" xfId="8003" xr:uid="{00000000-0005-0000-0000-0000ABA70000}"/>
    <cellStyle name="Normal 477 4 2" xfId="15800" xr:uid="{00000000-0005-0000-0000-0000ACA70000}"/>
    <cellStyle name="Normal 477 4 2 2" xfId="33435" xr:uid="{00000000-0005-0000-0000-0000ADA70000}"/>
    <cellStyle name="Normal 477 4 3" xfId="26419" xr:uid="{00000000-0005-0000-0000-0000AEA70000}"/>
    <cellStyle name="Normal 477 5" xfId="11963" xr:uid="{00000000-0005-0000-0000-0000AFA70000}"/>
    <cellStyle name="Normal 477 5 2" xfId="29646" xr:uid="{00000000-0005-0000-0000-0000B0A70000}"/>
    <cellStyle name="Normal 477 6" xfId="23554" xr:uid="{00000000-0005-0000-0000-0000B1A70000}"/>
    <cellStyle name="Normal 477 7" xfId="52478" xr:uid="{00000000-0005-0000-0000-0000B2A70000}"/>
    <cellStyle name="Normal 478" xfId="2841" xr:uid="{00000000-0005-0000-0000-0000B3A70000}"/>
    <cellStyle name="Normal 478 2" xfId="4891" xr:uid="{00000000-0005-0000-0000-0000B4A70000}"/>
    <cellStyle name="Normal 478 2 2" xfId="8686" xr:uid="{00000000-0005-0000-0000-0000B5A70000}"/>
    <cellStyle name="Normal 478 2 2 2" xfId="16482" xr:uid="{00000000-0005-0000-0000-0000B6A70000}"/>
    <cellStyle name="Normal 478 2 2 2 2" xfId="34117" xr:uid="{00000000-0005-0000-0000-0000B7A70000}"/>
    <cellStyle name="Normal 478 2 2 3" xfId="27087" xr:uid="{00000000-0005-0000-0000-0000B8A70000}"/>
    <cellStyle name="Normal 478 2 3" xfId="12985" xr:uid="{00000000-0005-0000-0000-0000B9A70000}"/>
    <cellStyle name="Normal 478 2 3 2" xfId="30634" xr:uid="{00000000-0005-0000-0000-0000BAA70000}"/>
    <cellStyle name="Normal 478 2 4" xfId="24222" xr:uid="{00000000-0005-0000-0000-0000BBA70000}"/>
    <cellStyle name="Normal 478 3" xfId="4890" xr:uid="{00000000-0005-0000-0000-0000BCA70000}"/>
    <cellStyle name="Normal 478 4" xfId="8004" xr:uid="{00000000-0005-0000-0000-0000BDA70000}"/>
    <cellStyle name="Normal 478 4 2" xfId="15801" xr:uid="{00000000-0005-0000-0000-0000BEA70000}"/>
    <cellStyle name="Normal 478 4 2 2" xfId="33436" xr:uid="{00000000-0005-0000-0000-0000BFA70000}"/>
    <cellStyle name="Normal 478 4 3" xfId="26420" xr:uid="{00000000-0005-0000-0000-0000C0A70000}"/>
    <cellStyle name="Normal 478 5" xfId="11964" xr:uid="{00000000-0005-0000-0000-0000C1A70000}"/>
    <cellStyle name="Normal 478 5 2" xfId="29647" xr:uid="{00000000-0005-0000-0000-0000C2A70000}"/>
    <cellStyle name="Normal 478 6" xfId="23555" xr:uid="{00000000-0005-0000-0000-0000C3A70000}"/>
    <cellStyle name="Normal 478 7" xfId="52479" xr:uid="{00000000-0005-0000-0000-0000C4A70000}"/>
    <cellStyle name="Normal 479" xfId="2842" xr:uid="{00000000-0005-0000-0000-0000C5A70000}"/>
    <cellStyle name="Normal 479 2" xfId="4893" xr:uid="{00000000-0005-0000-0000-0000C6A70000}"/>
    <cellStyle name="Normal 479 2 2" xfId="8687" xr:uid="{00000000-0005-0000-0000-0000C7A70000}"/>
    <cellStyle name="Normal 479 2 2 2" xfId="16483" xr:uid="{00000000-0005-0000-0000-0000C8A70000}"/>
    <cellStyle name="Normal 479 2 2 2 2" xfId="34118" xr:uid="{00000000-0005-0000-0000-0000C9A70000}"/>
    <cellStyle name="Normal 479 2 2 3" xfId="27088" xr:uid="{00000000-0005-0000-0000-0000CAA70000}"/>
    <cellStyle name="Normal 479 2 3" xfId="12986" xr:uid="{00000000-0005-0000-0000-0000CBA70000}"/>
    <cellStyle name="Normal 479 2 3 2" xfId="30635" xr:uid="{00000000-0005-0000-0000-0000CCA70000}"/>
    <cellStyle name="Normal 479 2 4" xfId="24223" xr:uid="{00000000-0005-0000-0000-0000CDA70000}"/>
    <cellStyle name="Normal 479 3" xfId="4892" xr:uid="{00000000-0005-0000-0000-0000CEA70000}"/>
    <cellStyle name="Normal 479 4" xfId="8005" xr:uid="{00000000-0005-0000-0000-0000CFA70000}"/>
    <cellStyle name="Normal 479 4 2" xfId="15802" xr:uid="{00000000-0005-0000-0000-0000D0A70000}"/>
    <cellStyle name="Normal 479 4 2 2" xfId="33437" xr:uid="{00000000-0005-0000-0000-0000D1A70000}"/>
    <cellStyle name="Normal 479 4 3" xfId="26421" xr:uid="{00000000-0005-0000-0000-0000D2A70000}"/>
    <cellStyle name="Normal 479 5" xfId="11965" xr:uid="{00000000-0005-0000-0000-0000D3A70000}"/>
    <cellStyle name="Normal 479 5 2" xfId="29648" xr:uid="{00000000-0005-0000-0000-0000D4A70000}"/>
    <cellStyle name="Normal 479 6" xfId="23556" xr:uid="{00000000-0005-0000-0000-0000D5A70000}"/>
    <cellStyle name="Normal 479 7" xfId="52480" xr:uid="{00000000-0005-0000-0000-0000D6A70000}"/>
    <cellStyle name="Normal 48" xfId="2843" xr:uid="{00000000-0005-0000-0000-0000D7A70000}"/>
    <cellStyle name="Normal 48 2" xfId="4894" xr:uid="{00000000-0005-0000-0000-0000D8A70000}"/>
    <cellStyle name="Normal 48 2 2" xfId="22788" xr:uid="{00000000-0005-0000-0000-0000D9A70000}"/>
    <cellStyle name="Normal 48 2 2 2" xfId="38995" xr:uid="{00000000-0005-0000-0000-0000DAA70000}"/>
    <cellStyle name="Normal 48 3" xfId="23004" xr:uid="{00000000-0005-0000-0000-0000DBA70000}"/>
    <cellStyle name="Normal 48 4" xfId="22579" xr:uid="{00000000-0005-0000-0000-0000DCA70000}"/>
    <cellStyle name="Normal 48 4 2" xfId="38890" xr:uid="{00000000-0005-0000-0000-0000DDA70000}"/>
    <cellStyle name="Normal 48 5" xfId="52481" xr:uid="{00000000-0005-0000-0000-0000DEA70000}"/>
    <cellStyle name="Normal 480" xfId="2844" xr:uid="{00000000-0005-0000-0000-0000DFA70000}"/>
    <cellStyle name="Normal 480 2" xfId="4896" xr:uid="{00000000-0005-0000-0000-0000E0A70000}"/>
    <cellStyle name="Normal 480 2 2" xfId="8688" xr:uid="{00000000-0005-0000-0000-0000E1A70000}"/>
    <cellStyle name="Normal 480 2 2 2" xfId="16484" xr:uid="{00000000-0005-0000-0000-0000E2A70000}"/>
    <cellStyle name="Normal 480 2 2 2 2" xfId="34119" xr:uid="{00000000-0005-0000-0000-0000E3A70000}"/>
    <cellStyle name="Normal 480 2 2 3" xfId="27089" xr:uid="{00000000-0005-0000-0000-0000E4A70000}"/>
    <cellStyle name="Normal 480 2 3" xfId="12987" xr:uid="{00000000-0005-0000-0000-0000E5A70000}"/>
    <cellStyle name="Normal 480 2 3 2" xfId="30636" xr:uid="{00000000-0005-0000-0000-0000E6A70000}"/>
    <cellStyle name="Normal 480 2 4" xfId="24224" xr:uid="{00000000-0005-0000-0000-0000E7A70000}"/>
    <cellStyle name="Normal 480 3" xfId="4895" xr:uid="{00000000-0005-0000-0000-0000E8A70000}"/>
    <cellStyle name="Normal 480 4" xfId="8006" xr:uid="{00000000-0005-0000-0000-0000E9A70000}"/>
    <cellStyle name="Normal 480 4 2" xfId="15803" xr:uid="{00000000-0005-0000-0000-0000EAA70000}"/>
    <cellStyle name="Normal 480 4 2 2" xfId="33438" xr:uid="{00000000-0005-0000-0000-0000EBA70000}"/>
    <cellStyle name="Normal 480 4 3" xfId="26422" xr:uid="{00000000-0005-0000-0000-0000ECA70000}"/>
    <cellStyle name="Normal 480 5" xfId="11966" xr:uid="{00000000-0005-0000-0000-0000EDA70000}"/>
    <cellStyle name="Normal 480 5 2" xfId="29649" xr:uid="{00000000-0005-0000-0000-0000EEA70000}"/>
    <cellStyle name="Normal 480 6" xfId="23557" xr:uid="{00000000-0005-0000-0000-0000EFA70000}"/>
    <cellStyle name="Normal 480 7" xfId="52482" xr:uid="{00000000-0005-0000-0000-0000F0A70000}"/>
    <cellStyle name="Normal 481" xfId="2845" xr:uid="{00000000-0005-0000-0000-0000F1A70000}"/>
    <cellStyle name="Normal 481 2" xfId="4898" xr:uid="{00000000-0005-0000-0000-0000F2A70000}"/>
    <cellStyle name="Normal 481 2 2" xfId="8689" xr:uid="{00000000-0005-0000-0000-0000F3A70000}"/>
    <cellStyle name="Normal 481 2 2 2" xfId="16485" xr:uid="{00000000-0005-0000-0000-0000F4A70000}"/>
    <cellStyle name="Normal 481 2 2 2 2" xfId="34120" xr:uid="{00000000-0005-0000-0000-0000F5A70000}"/>
    <cellStyle name="Normal 481 2 2 3" xfId="27090" xr:uid="{00000000-0005-0000-0000-0000F6A70000}"/>
    <cellStyle name="Normal 481 2 3" xfId="12988" xr:uid="{00000000-0005-0000-0000-0000F7A70000}"/>
    <cellStyle name="Normal 481 2 3 2" xfId="30637" xr:uid="{00000000-0005-0000-0000-0000F8A70000}"/>
    <cellStyle name="Normal 481 2 4" xfId="24225" xr:uid="{00000000-0005-0000-0000-0000F9A70000}"/>
    <cellStyle name="Normal 481 3" xfId="4897" xr:uid="{00000000-0005-0000-0000-0000FAA70000}"/>
    <cellStyle name="Normal 481 4" xfId="8007" xr:uid="{00000000-0005-0000-0000-0000FBA70000}"/>
    <cellStyle name="Normal 481 4 2" xfId="15804" xr:uid="{00000000-0005-0000-0000-0000FCA70000}"/>
    <cellStyle name="Normal 481 4 2 2" xfId="33439" xr:uid="{00000000-0005-0000-0000-0000FDA70000}"/>
    <cellStyle name="Normal 481 4 3" xfId="26423" xr:uid="{00000000-0005-0000-0000-0000FEA70000}"/>
    <cellStyle name="Normal 481 5" xfId="11967" xr:uid="{00000000-0005-0000-0000-0000FFA70000}"/>
    <cellStyle name="Normal 481 5 2" xfId="29650" xr:uid="{00000000-0005-0000-0000-000000A80000}"/>
    <cellStyle name="Normal 481 6" xfId="23558" xr:uid="{00000000-0005-0000-0000-000001A80000}"/>
    <cellStyle name="Normal 481 7" xfId="52483" xr:uid="{00000000-0005-0000-0000-000002A80000}"/>
    <cellStyle name="Normal 482" xfId="2846" xr:uid="{00000000-0005-0000-0000-000003A80000}"/>
    <cellStyle name="Normal 482 2" xfId="4900" xr:uid="{00000000-0005-0000-0000-000004A80000}"/>
    <cellStyle name="Normal 482 2 2" xfId="8690" xr:uid="{00000000-0005-0000-0000-000005A80000}"/>
    <cellStyle name="Normal 482 2 2 2" xfId="16486" xr:uid="{00000000-0005-0000-0000-000006A80000}"/>
    <cellStyle name="Normal 482 2 2 2 2" xfId="34121" xr:uid="{00000000-0005-0000-0000-000007A80000}"/>
    <cellStyle name="Normal 482 2 2 3" xfId="27091" xr:uid="{00000000-0005-0000-0000-000008A80000}"/>
    <cellStyle name="Normal 482 2 3" xfId="12989" xr:uid="{00000000-0005-0000-0000-000009A80000}"/>
    <cellStyle name="Normal 482 2 3 2" xfId="30638" xr:uid="{00000000-0005-0000-0000-00000AA80000}"/>
    <cellStyle name="Normal 482 2 4" xfId="24226" xr:uid="{00000000-0005-0000-0000-00000BA80000}"/>
    <cellStyle name="Normal 482 3" xfId="4899" xr:uid="{00000000-0005-0000-0000-00000CA80000}"/>
    <cellStyle name="Normal 482 4" xfId="8008" xr:uid="{00000000-0005-0000-0000-00000DA80000}"/>
    <cellStyle name="Normal 482 4 2" xfId="15805" xr:uid="{00000000-0005-0000-0000-00000EA80000}"/>
    <cellStyle name="Normal 482 4 2 2" xfId="33440" xr:uid="{00000000-0005-0000-0000-00000FA80000}"/>
    <cellStyle name="Normal 482 4 3" xfId="26424" xr:uid="{00000000-0005-0000-0000-000010A80000}"/>
    <cellStyle name="Normal 482 5" xfId="11968" xr:uid="{00000000-0005-0000-0000-000011A80000}"/>
    <cellStyle name="Normal 482 5 2" xfId="29651" xr:uid="{00000000-0005-0000-0000-000012A80000}"/>
    <cellStyle name="Normal 482 6" xfId="23559" xr:uid="{00000000-0005-0000-0000-000013A80000}"/>
    <cellStyle name="Normal 482 7" xfId="52484" xr:uid="{00000000-0005-0000-0000-000014A80000}"/>
    <cellStyle name="Normal 483" xfId="2847" xr:uid="{00000000-0005-0000-0000-000015A80000}"/>
    <cellStyle name="Normal 483 2" xfId="4901" xr:uid="{00000000-0005-0000-0000-000016A80000}"/>
    <cellStyle name="Normal 483 2 2" xfId="8691" xr:uid="{00000000-0005-0000-0000-000017A80000}"/>
    <cellStyle name="Normal 483 2 2 2" xfId="16487" xr:uid="{00000000-0005-0000-0000-000018A80000}"/>
    <cellStyle name="Normal 483 2 2 2 2" xfId="34122" xr:uid="{00000000-0005-0000-0000-000019A80000}"/>
    <cellStyle name="Normal 483 2 2 3" xfId="27092" xr:uid="{00000000-0005-0000-0000-00001AA80000}"/>
    <cellStyle name="Normal 483 2 3" xfId="12990" xr:uid="{00000000-0005-0000-0000-00001BA80000}"/>
    <cellStyle name="Normal 483 2 3 2" xfId="30639" xr:uid="{00000000-0005-0000-0000-00001CA80000}"/>
    <cellStyle name="Normal 483 2 4" xfId="24227" xr:uid="{00000000-0005-0000-0000-00001DA80000}"/>
    <cellStyle name="Normal 483 3" xfId="5962" xr:uid="{00000000-0005-0000-0000-00001EA80000}"/>
    <cellStyle name="Normal 483 3 2" xfId="9262" xr:uid="{00000000-0005-0000-0000-00001FA80000}"/>
    <cellStyle name="Normal 483 3 2 2" xfId="17057" xr:uid="{00000000-0005-0000-0000-000020A80000}"/>
    <cellStyle name="Normal 483 3 2 2 2" xfId="34693" xr:uid="{00000000-0005-0000-0000-000021A80000}"/>
    <cellStyle name="Normal 483 3 2 3" xfId="27650" xr:uid="{00000000-0005-0000-0000-000022A80000}"/>
    <cellStyle name="Normal 483 3 3" xfId="13818" xr:uid="{00000000-0005-0000-0000-000023A80000}"/>
    <cellStyle name="Normal 483 3 3 2" xfId="31458" xr:uid="{00000000-0005-0000-0000-000024A80000}"/>
    <cellStyle name="Normal 483 3 4" xfId="24785" xr:uid="{00000000-0005-0000-0000-000025A80000}"/>
    <cellStyle name="Normal 483 4" xfId="6592" xr:uid="{00000000-0005-0000-0000-000026A80000}"/>
    <cellStyle name="Normal 483 4 2" xfId="9802" xr:uid="{00000000-0005-0000-0000-000027A80000}"/>
    <cellStyle name="Normal 483 4 2 2" xfId="17596" xr:uid="{00000000-0005-0000-0000-000028A80000}"/>
    <cellStyle name="Normal 483 4 2 2 2" xfId="35233" xr:uid="{00000000-0005-0000-0000-000029A80000}"/>
    <cellStyle name="Normal 483 4 2 3" xfId="28186" xr:uid="{00000000-0005-0000-0000-00002AA80000}"/>
    <cellStyle name="Normal 483 4 3" xfId="14381" xr:uid="{00000000-0005-0000-0000-00002BA80000}"/>
    <cellStyle name="Normal 483 4 3 2" xfId="32016" xr:uid="{00000000-0005-0000-0000-00002CA80000}"/>
    <cellStyle name="Normal 483 4 4" xfId="25322" xr:uid="{00000000-0005-0000-0000-00002DA80000}"/>
    <cellStyle name="Normal 483 5" xfId="7368" xr:uid="{00000000-0005-0000-0000-00002EA80000}"/>
    <cellStyle name="Normal 483 5 2" xfId="10356" xr:uid="{00000000-0005-0000-0000-00002FA80000}"/>
    <cellStyle name="Normal 483 5 2 2" xfId="18149" xr:uid="{00000000-0005-0000-0000-000030A80000}"/>
    <cellStyle name="Normal 483 5 2 2 2" xfId="35786" xr:uid="{00000000-0005-0000-0000-000031A80000}"/>
    <cellStyle name="Normal 483 5 2 3" xfId="28723" xr:uid="{00000000-0005-0000-0000-000032A80000}"/>
    <cellStyle name="Normal 483 5 3" xfId="15156" xr:uid="{00000000-0005-0000-0000-000033A80000}"/>
    <cellStyle name="Normal 483 5 3 2" xfId="32791" xr:uid="{00000000-0005-0000-0000-000034A80000}"/>
    <cellStyle name="Normal 483 5 4" xfId="25860" xr:uid="{00000000-0005-0000-0000-000035A80000}"/>
    <cellStyle name="Normal 483 6" xfId="8009" xr:uid="{00000000-0005-0000-0000-000036A80000}"/>
    <cellStyle name="Normal 483 6 2" xfId="15806" xr:uid="{00000000-0005-0000-0000-000037A80000}"/>
    <cellStyle name="Normal 483 6 2 2" xfId="33441" xr:uid="{00000000-0005-0000-0000-000038A80000}"/>
    <cellStyle name="Normal 483 6 3" xfId="26425" xr:uid="{00000000-0005-0000-0000-000039A80000}"/>
    <cellStyle name="Normal 483 7" xfId="11969" xr:uid="{00000000-0005-0000-0000-00003AA80000}"/>
    <cellStyle name="Normal 483 7 2" xfId="29652" xr:uid="{00000000-0005-0000-0000-00003BA80000}"/>
    <cellStyle name="Normal 483 8" xfId="23560" xr:uid="{00000000-0005-0000-0000-00003CA80000}"/>
    <cellStyle name="Normal 483 9" xfId="52485" xr:uid="{00000000-0005-0000-0000-00003DA80000}"/>
    <cellStyle name="Normal 484" xfId="2848" xr:uid="{00000000-0005-0000-0000-00003EA80000}"/>
    <cellStyle name="Normal 484 2" xfId="4902" xr:uid="{00000000-0005-0000-0000-00003FA80000}"/>
    <cellStyle name="Normal 484 2 2" xfId="8692" xr:uid="{00000000-0005-0000-0000-000040A80000}"/>
    <cellStyle name="Normal 484 2 2 2" xfId="16488" xr:uid="{00000000-0005-0000-0000-000041A80000}"/>
    <cellStyle name="Normal 484 2 2 2 2" xfId="34123" xr:uid="{00000000-0005-0000-0000-000042A80000}"/>
    <cellStyle name="Normal 484 2 2 3" xfId="27093" xr:uid="{00000000-0005-0000-0000-000043A80000}"/>
    <cellStyle name="Normal 484 2 3" xfId="12991" xr:uid="{00000000-0005-0000-0000-000044A80000}"/>
    <cellStyle name="Normal 484 2 3 2" xfId="30640" xr:uid="{00000000-0005-0000-0000-000045A80000}"/>
    <cellStyle name="Normal 484 2 4" xfId="24228" xr:uid="{00000000-0005-0000-0000-000046A80000}"/>
    <cellStyle name="Normal 484 3" xfId="5963" xr:uid="{00000000-0005-0000-0000-000047A80000}"/>
    <cellStyle name="Normal 484 3 2" xfId="9263" xr:uid="{00000000-0005-0000-0000-000048A80000}"/>
    <cellStyle name="Normal 484 3 2 2" xfId="17058" xr:uid="{00000000-0005-0000-0000-000049A80000}"/>
    <cellStyle name="Normal 484 3 2 2 2" xfId="34694" xr:uid="{00000000-0005-0000-0000-00004AA80000}"/>
    <cellStyle name="Normal 484 3 2 3" xfId="27651" xr:uid="{00000000-0005-0000-0000-00004BA80000}"/>
    <cellStyle name="Normal 484 3 3" xfId="13819" xr:uid="{00000000-0005-0000-0000-00004CA80000}"/>
    <cellStyle name="Normal 484 3 3 2" xfId="31459" xr:uid="{00000000-0005-0000-0000-00004DA80000}"/>
    <cellStyle name="Normal 484 3 4" xfId="24786" xr:uid="{00000000-0005-0000-0000-00004EA80000}"/>
    <cellStyle name="Normal 484 4" xfId="6593" xr:uid="{00000000-0005-0000-0000-00004FA80000}"/>
    <cellStyle name="Normal 484 4 2" xfId="9803" xr:uid="{00000000-0005-0000-0000-000050A80000}"/>
    <cellStyle name="Normal 484 4 2 2" xfId="17597" xr:uid="{00000000-0005-0000-0000-000051A80000}"/>
    <cellStyle name="Normal 484 4 2 2 2" xfId="35234" xr:uid="{00000000-0005-0000-0000-000052A80000}"/>
    <cellStyle name="Normal 484 4 2 3" xfId="28187" xr:uid="{00000000-0005-0000-0000-000053A80000}"/>
    <cellStyle name="Normal 484 4 3" xfId="14382" xr:uid="{00000000-0005-0000-0000-000054A80000}"/>
    <cellStyle name="Normal 484 4 3 2" xfId="32017" xr:uid="{00000000-0005-0000-0000-000055A80000}"/>
    <cellStyle name="Normal 484 4 4" xfId="25323" xr:uid="{00000000-0005-0000-0000-000056A80000}"/>
    <cellStyle name="Normal 484 5" xfId="7369" xr:uid="{00000000-0005-0000-0000-000057A80000}"/>
    <cellStyle name="Normal 484 5 2" xfId="10357" xr:uid="{00000000-0005-0000-0000-000058A80000}"/>
    <cellStyle name="Normal 484 5 2 2" xfId="18150" xr:uid="{00000000-0005-0000-0000-000059A80000}"/>
    <cellStyle name="Normal 484 5 2 2 2" xfId="35787" xr:uid="{00000000-0005-0000-0000-00005AA80000}"/>
    <cellStyle name="Normal 484 5 2 3" xfId="28724" xr:uid="{00000000-0005-0000-0000-00005BA80000}"/>
    <cellStyle name="Normal 484 5 3" xfId="15157" xr:uid="{00000000-0005-0000-0000-00005CA80000}"/>
    <cellStyle name="Normal 484 5 3 2" xfId="32792" xr:uid="{00000000-0005-0000-0000-00005DA80000}"/>
    <cellStyle name="Normal 484 5 4" xfId="25861" xr:uid="{00000000-0005-0000-0000-00005EA80000}"/>
    <cellStyle name="Normal 484 6" xfId="8010" xr:uid="{00000000-0005-0000-0000-00005FA80000}"/>
    <cellStyle name="Normal 484 6 2" xfId="15807" xr:uid="{00000000-0005-0000-0000-000060A80000}"/>
    <cellStyle name="Normal 484 6 2 2" xfId="33442" xr:uid="{00000000-0005-0000-0000-000061A80000}"/>
    <cellStyle name="Normal 484 6 3" xfId="26426" xr:uid="{00000000-0005-0000-0000-000062A80000}"/>
    <cellStyle name="Normal 484 7" xfId="11970" xr:uid="{00000000-0005-0000-0000-000063A80000}"/>
    <cellStyle name="Normal 484 7 2" xfId="29653" xr:uid="{00000000-0005-0000-0000-000064A80000}"/>
    <cellStyle name="Normal 484 8" xfId="23561" xr:uid="{00000000-0005-0000-0000-000065A80000}"/>
    <cellStyle name="Normal 484 9" xfId="52486" xr:uid="{00000000-0005-0000-0000-000066A80000}"/>
    <cellStyle name="Normal 485" xfId="195" xr:uid="{00000000-0005-0000-0000-000067A80000}"/>
    <cellStyle name="Normal 485 10" xfId="23562" xr:uid="{00000000-0005-0000-0000-000068A80000}"/>
    <cellStyle name="Normal 485 11" xfId="52487" xr:uid="{00000000-0005-0000-0000-000069A80000}"/>
    <cellStyle name="Normal 485 12" xfId="2849" xr:uid="{00000000-0005-0000-0000-00006AA80000}"/>
    <cellStyle name="Normal 485 2" xfId="193" xr:uid="{00000000-0005-0000-0000-00006BA80000}"/>
    <cellStyle name="Normal 485 2 2" xfId="4904" xr:uid="{00000000-0005-0000-0000-00006CA80000}"/>
    <cellStyle name="Normal 485 3" xfId="197" xr:uid="{00000000-0005-0000-0000-00006DA80000}"/>
    <cellStyle name="Normal 485 3 2" xfId="211" xr:uid="{00000000-0005-0000-0000-00006EA80000}"/>
    <cellStyle name="Normal 485 3 3" xfId="204" xr:uid="{00000000-0005-0000-0000-00006FA80000}"/>
    <cellStyle name="Normal 485 4" xfId="198" xr:uid="{00000000-0005-0000-0000-000070A80000}"/>
    <cellStyle name="Normal 485 4 2" xfId="212" xr:uid="{00000000-0005-0000-0000-000071A80000}"/>
    <cellStyle name="Normal 485 4 3" xfId="205" xr:uid="{00000000-0005-0000-0000-000072A80000}"/>
    <cellStyle name="Normal 485 5" xfId="4905" xr:uid="{00000000-0005-0000-0000-000073A80000}"/>
    <cellStyle name="Normal 485 5 2" xfId="8693" xr:uid="{00000000-0005-0000-0000-000074A80000}"/>
    <cellStyle name="Normal 485 5 2 2" xfId="16489" xr:uid="{00000000-0005-0000-0000-000075A80000}"/>
    <cellStyle name="Normal 485 5 2 2 2" xfId="34124" xr:uid="{00000000-0005-0000-0000-000076A80000}"/>
    <cellStyle name="Normal 485 5 2 3" xfId="27094" xr:uid="{00000000-0005-0000-0000-000077A80000}"/>
    <cellStyle name="Normal 485 5 3" xfId="12993" xr:uid="{00000000-0005-0000-0000-000078A80000}"/>
    <cellStyle name="Normal 485 5 3 2" xfId="30642" xr:uid="{00000000-0005-0000-0000-000079A80000}"/>
    <cellStyle name="Normal 485 5 4" xfId="24229" xr:uid="{00000000-0005-0000-0000-00007AA80000}"/>
    <cellStyle name="Normal 485 6" xfId="4903" xr:uid="{00000000-0005-0000-0000-00007BA80000}"/>
    <cellStyle name="Normal 485 7" xfId="8011" xr:uid="{00000000-0005-0000-0000-00007CA80000}"/>
    <cellStyle name="Normal 485 7 2" xfId="15808" xr:uid="{00000000-0005-0000-0000-00007DA80000}"/>
    <cellStyle name="Normal 485 7 2 2" xfId="33443" xr:uid="{00000000-0005-0000-0000-00007EA80000}"/>
    <cellStyle name="Normal 485 7 3" xfId="26427" xr:uid="{00000000-0005-0000-0000-00007FA80000}"/>
    <cellStyle name="Normal 485 8" xfId="11971" xr:uid="{00000000-0005-0000-0000-000080A80000}"/>
    <cellStyle name="Normal 485 8 2" xfId="29654" xr:uid="{00000000-0005-0000-0000-000081A80000}"/>
    <cellStyle name="Normal 485 9" xfId="21957" xr:uid="{00000000-0005-0000-0000-000082A80000}"/>
    <cellStyle name="Normal 485 9 2" xfId="38710" xr:uid="{00000000-0005-0000-0000-000083A80000}"/>
    <cellStyle name="Normal 486" xfId="2850" xr:uid="{00000000-0005-0000-0000-000084A80000}"/>
    <cellStyle name="Normal 486 2" xfId="4907" xr:uid="{00000000-0005-0000-0000-000085A80000}"/>
    <cellStyle name="Normal 486 2 2" xfId="8694" xr:uid="{00000000-0005-0000-0000-000086A80000}"/>
    <cellStyle name="Normal 486 2 2 2" xfId="16490" xr:uid="{00000000-0005-0000-0000-000087A80000}"/>
    <cellStyle name="Normal 486 2 2 2 2" xfId="34125" xr:uid="{00000000-0005-0000-0000-000088A80000}"/>
    <cellStyle name="Normal 486 2 2 3" xfId="27095" xr:uid="{00000000-0005-0000-0000-000089A80000}"/>
    <cellStyle name="Normal 486 2 3" xfId="12994" xr:uid="{00000000-0005-0000-0000-00008AA80000}"/>
    <cellStyle name="Normal 486 2 3 2" xfId="30643" xr:uid="{00000000-0005-0000-0000-00008BA80000}"/>
    <cellStyle name="Normal 486 2 4" xfId="24230" xr:uid="{00000000-0005-0000-0000-00008CA80000}"/>
    <cellStyle name="Normal 486 3" xfId="4906" xr:uid="{00000000-0005-0000-0000-00008DA80000}"/>
    <cellStyle name="Normal 486 4" xfId="8012" xr:uid="{00000000-0005-0000-0000-00008EA80000}"/>
    <cellStyle name="Normal 486 4 2" xfId="15809" xr:uid="{00000000-0005-0000-0000-00008FA80000}"/>
    <cellStyle name="Normal 486 4 2 2" xfId="33444" xr:uid="{00000000-0005-0000-0000-000090A80000}"/>
    <cellStyle name="Normal 486 4 3" xfId="26428" xr:uid="{00000000-0005-0000-0000-000091A80000}"/>
    <cellStyle name="Normal 486 5" xfId="11972" xr:uid="{00000000-0005-0000-0000-000092A80000}"/>
    <cellStyle name="Normal 486 5 2" xfId="29655" xr:uid="{00000000-0005-0000-0000-000093A80000}"/>
    <cellStyle name="Normal 486 6" xfId="23563" xr:uid="{00000000-0005-0000-0000-000094A80000}"/>
    <cellStyle name="Normal 486 7" xfId="52488" xr:uid="{00000000-0005-0000-0000-000095A80000}"/>
    <cellStyle name="Normal 487" xfId="2851" xr:uid="{00000000-0005-0000-0000-000096A80000}"/>
    <cellStyle name="Normal 487 2" xfId="4909" xr:uid="{00000000-0005-0000-0000-000097A80000}"/>
    <cellStyle name="Normal 487 2 2" xfId="8695" xr:uid="{00000000-0005-0000-0000-000098A80000}"/>
    <cellStyle name="Normal 487 2 2 2" xfId="16491" xr:uid="{00000000-0005-0000-0000-000099A80000}"/>
    <cellStyle name="Normal 487 2 2 2 2" xfId="34126" xr:uid="{00000000-0005-0000-0000-00009AA80000}"/>
    <cellStyle name="Normal 487 2 2 3" xfId="27096" xr:uid="{00000000-0005-0000-0000-00009BA80000}"/>
    <cellStyle name="Normal 487 2 3" xfId="12995" xr:uid="{00000000-0005-0000-0000-00009CA80000}"/>
    <cellStyle name="Normal 487 2 3 2" xfId="30644" xr:uid="{00000000-0005-0000-0000-00009DA80000}"/>
    <cellStyle name="Normal 487 2 4" xfId="24231" xr:uid="{00000000-0005-0000-0000-00009EA80000}"/>
    <cellStyle name="Normal 487 3" xfId="4908" xr:uid="{00000000-0005-0000-0000-00009FA80000}"/>
    <cellStyle name="Normal 487 4" xfId="8013" xr:uid="{00000000-0005-0000-0000-0000A0A80000}"/>
    <cellStyle name="Normal 487 4 2" xfId="15810" xr:uid="{00000000-0005-0000-0000-0000A1A80000}"/>
    <cellStyle name="Normal 487 4 2 2" xfId="33445" xr:uid="{00000000-0005-0000-0000-0000A2A80000}"/>
    <cellStyle name="Normal 487 4 3" xfId="26429" xr:uid="{00000000-0005-0000-0000-0000A3A80000}"/>
    <cellStyle name="Normal 487 5" xfId="11973" xr:uid="{00000000-0005-0000-0000-0000A4A80000}"/>
    <cellStyle name="Normal 487 5 2" xfId="29656" xr:uid="{00000000-0005-0000-0000-0000A5A80000}"/>
    <cellStyle name="Normal 487 6" xfId="23564" xr:uid="{00000000-0005-0000-0000-0000A6A80000}"/>
    <cellStyle name="Normal 487 7" xfId="52489" xr:uid="{00000000-0005-0000-0000-0000A7A80000}"/>
    <cellStyle name="Normal 488" xfId="2852" xr:uid="{00000000-0005-0000-0000-0000A8A80000}"/>
    <cellStyle name="Normal 488 2" xfId="4911" xr:uid="{00000000-0005-0000-0000-0000A9A80000}"/>
    <cellStyle name="Normal 488 2 2" xfId="8696" xr:uid="{00000000-0005-0000-0000-0000AAA80000}"/>
    <cellStyle name="Normal 488 2 2 2" xfId="16492" xr:uid="{00000000-0005-0000-0000-0000ABA80000}"/>
    <cellStyle name="Normal 488 2 2 2 2" xfId="34127" xr:uid="{00000000-0005-0000-0000-0000ACA80000}"/>
    <cellStyle name="Normal 488 2 2 3" xfId="27097" xr:uid="{00000000-0005-0000-0000-0000ADA80000}"/>
    <cellStyle name="Normal 488 2 3" xfId="12996" xr:uid="{00000000-0005-0000-0000-0000AEA80000}"/>
    <cellStyle name="Normal 488 2 3 2" xfId="30645" xr:uid="{00000000-0005-0000-0000-0000AFA80000}"/>
    <cellStyle name="Normal 488 2 4" xfId="24232" xr:uid="{00000000-0005-0000-0000-0000B0A80000}"/>
    <cellStyle name="Normal 488 3" xfId="4910" xr:uid="{00000000-0005-0000-0000-0000B1A80000}"/>
    <cellStyle name="Normal 488 4" xfId="8014" xr:uid="{00000000-0005-0000-0000-0000B2A80000}"/>
    <cellStyle name="Normal 488 4 2" xfId="15811" xr:uid="{00000000-0005-0000-0000-0000B3A80000}"/>
    <cellStyle name="Normal 488 4 2 2" xfId="33446" xr:uid="{00000000-0005-0000-0000-0000B4A80000}"/>
    <cellStyle name="Normal 488 4 3" xfId="26430" xr:uid="{00000000-0005-0000-0000-0000B5A80000}"/>
    <cellStyle name="Normal 488 5" xfId="11974" xr:uid="{00000000-0005-0000-0000-0000B6A80000}"/>
    <cellStyle name="Normal 488 5 2" xfId="29657" xr:uid="{00000000-0005-0000-0000-0000B7A80000}"/>
    <cellStyle name="Normal 488 6" xfId="23565" xr:uid="{00000000-0005-0000-0000-0000B8A80000}"/>
    <cellStyle name="Normal 488 7" xfId="52490" xr:uid="{00000000-0005-0000-0000-0000B9A80000}"/>
    <cellStyle name="Normal 489" xfId="2853" xr:uid="{00000000-0005-0000-0000-0000BAA80000}"/>
    <cellStyle name="Normal 489 2" xfId="4913" xr:uid="{00000000-0005-0000-0000-0000BBA80000}"/>
    <cellStyle name="Normal 489 2 2" xfId="8697" xr:uid="{00000000-0005-0000-0000-0000BCA80000}"/>
    <cellStyle name="Normal 489 2 2 2" xfId="16493" xr:uid="{00000000-0005-0000-0000-0000BDA80000}"/>
    <cellStyle name="Normal 489 2 2 2 2" xfId="34128" xr:uid="{00000000-0005-0000-0000-0000BEA80000}"/>
    <cellStyle name="Normal 489 2 2 3" xfId="27098" xr:uid="{00000000-0005-0000-0000-0000BFA80000}"/>
    <cellStyle name="Normal 489 2 3" xfId="12997" xr:uid="{00000000-0005-0000-0000-0000C0A80000}"/>
    <cellStyle name="Normal 489 2 3 2" xfId="30646" xr:uid="{00000000-0005-0000-0000-0000C1A80000}"/>
    <cellStyle name="Normal 489 2 4" xfId="24233" xr:uid="{00000000-0005-0000-0000-0000C2A80000}"/>
    <cellStyle name="Normal 489 3" xfId="4912" xr:uid="{00000000-0005-0000-0000-0000C3A80000}"/>
    <cellStyle name="Normal 489 4" xfId="8015" xr:uid="{00000000-0005-0000-0000-0000C4A80000}"/>
    <cellStyle name="Normal 489 4 2" xfId="15812" xr:uid="{00000000-0005-0000-0000-0000C5A80000}"/>
    <cellStyle name="Normal 489 4 2 2" xfId="33447" xr:uid="{00000000-0005-0000-0000-0000C6A80000}"/>
    <cellStyle name="Normal 489 4 3" xfId="26431" xr:uid="{00000000-0005-0000-0000-0000C7A80000}"/>
    <cellStyle name="Normal 489 5" xfId="11975" xr:uid="{00000000-0005-0000-0000-0000C8A80000}"/>
    <cellStyle name="Normal 489 5 2" xfId="29658" xr:uid="{00000000-0005-0000-0000-0000C9A80000}"/>
    <cellStyle name="Normal 489 6" xfId="23566" xr:uid="{00000000-0005-0000-0000-0000CAA80000}"/>
    <cellStyle name="Normal 489 7" xfId="52491" xr:uid="{00000000-0005-0000-0000-0000CBA80000}"/>
    <cellStyle name="Normal 49" xfId="2854" xr:uid="{00000000-0005-0000-0000-0000CCA80000}"/>
    <cellStyle name="Normal 49 2" xfId="4914" xr:uid="{00000000-0005-0000-0000-0000CDA80000}"/>
    <cellStyle name="Normal 49 3" xfId="52492" xr:uid="{00000000-0005-0000-0000-0000CEA80000}"/>
    <cellStyle name="Normal 490" xfId="2855" xr:uid="{00000000-0005-0000-0000-0000CFA80000}"/>
    <cellStyle name="Normal 490 2" xfId="4916" xr:uid="{00000000-0005-0000-0000-0000D0A80000}"/>
    <cellStyle name="Normal 490 2 2" xfId="8698" xr:uid="{00000000-0005-0000-0000-0000D1A80000}"/>
    <cellStyle name="Normal 490 2 2 2" xfId="16494" xr:uid="{00000000-0005-0000-0000-0000D2A80000}"/>
    <cellStyle name="Normal 490 2 2 2 2" xfId="34129" xr:uid="{00000000-0005-0000-0000-0000D3A80000}"/>
    <cellStyle name="Normal 490 2 2 3" xfId="27099" xr:uid="{00000000-0005-0000-0000-0000D4A80000}"/>
    <cellStyle name="Normal 490 2 3" xfId="12998" xr:uid="{00000000-0005-0000-0000-0000D5A80000}"/>
    <cellStyle name="Normal 490 2 3 2" xfId="30647" xr:uid="{00000000-0005-0000-0000-0000D6A80000}"/>
    <cellStyle name="Normal 490 2 4" xfId="24234" xr:uid="{00000000-0005-0000-0000-0000D7A80000}"/>
    <cellStyle name="Normal 490 3" xfId="4915" xr:uid="{00000000-0005-0000-0000-0000D8A80000}"/>
    <cellStyle name="Normal 490 4" xfId="8016" xr:uid="{00000000-0005-0000-0000-0000D9A80000}"/>
    <cellStyle name="Normal 490 4 2" xfId="15813" xr:uid="{00000000-0005-0000-0000-0000DAA80000}"/>
    <cellStyle name="Normal 490 4 2 2" xfId="33448" xr:uid="{00000000-0005-0000-0000-0000DBA80000}"/>
    <cellStyle name="Normal 490 4 3" xfId="26432" xr:uid="{00000000-0005-0000-0000-0000DCA80000}"/>
    <cellStyle name="Normal 490 5" xfId="11976" xr:uid="{00000000-0005-0000-0000-0000DDA80000}"/>
    <cellStyle name="Normal 490 5 2" xfId="29659" xr:uid="{00000000-0005-0000-0000-0000DEA80000}"/>
    <cellStyle name="Normal 490 6" xfId="23567" xr:uid="{00000000-0005-0000-0000-0000DFA80000}"/>
    <cellStyle name="Normal 490 7" xfId="52493" xr:uid="{00000000-0005-0000-0000-0000E0A80000}"/>
    <cellStyle name="Normal 491" xfId="2856" xr:uid="{00000000-0005-0000-0000-0000E1A80000}"/>
    <cellStyle name="Normal 491 2" xfId="4918" xr:uid="{00000000-0005-0000-0000-0000E2A80000}"/>
    <cellStyle name="Normal 491 2 2" xfId="8699" xr:uid="{00000000-0005-0000-0000-0000E3A80000}"/>
    <cellStyle name="Normal 491 2 2 2" xfId="16495" xr:uid="{00000000-0005-0000-0000-0000E4A80000}"/>
    <cellStyle name="Normal 491 2 2 2 2" xfId="34130" xr:uid="{00000000-0005-0000-0000-0000E5A80000}"/>
    <cellStyle name="Normal 491 2 2 3" xfId="27100" xr:uid="{00000000-0005-0000-0000-0000E6A80000}"/>
    <cellStyle name="Normal 491 2 3" xfId="13000" xr:uid="{00000000-0005-0000-0000-0000E7A80000}"/>
    <cellStyle name="Normal 491 2 3 2" xfId="30649" xr:uid="{00000000-0005-0000-0000-0000E8A80000}"/>
    <cellStyle name="Normal 491 2 4" xfId="24235" xr:uid="{00000000-0005-0000-0000-0000E9A80000}"/>
    <cellStyle name="Normal 491 3" xfId="4917" xr:uid="{00000000-0005-0000-0000-0000EAA80000}"/>
    <cellStyle name="Normal 491 4" xfId="8017" xr:uid="{00000000-0005-0000-0000-0000EBA80000}"/>
    <cellStyle name="Normal 491 4 2" xfId="15814" xr:uid="{00000000-0005-0000-0000-0000ECA80000}"/>
    <cellStyle name="Normal 491 4 2 2" xfId="33449" xr:uid="{00000000-0005-0000-0000-0000EDA80000}"/>
    <cellStyle name="Normal 491 4 3" xfId="26433" xr:uid="{00000000-0005-0000-0000-0000EEA80000}"/>
    <cellStyle name="Normal 491 5" xfId="11977" xr:uid="{00000000-0005-0000-0000-0000EFA80000}"/>
    <cellStyle name="Normal 491 5 2" xfId="29660" xr:uid="{00000000-0005-0000-0000-0000F0A80000}"/>
    <cellStyle name="Normal 491 6" xfId="23568" xr:uid="{00000000-0005-0000-0000-0000F1A80000}"/>
    <cellStyle name="Normal 491 7" xfId="52494" xr:uid="{00000000-0005-0000-0000-0000F2A80000}"/>
    <cellStyle name="Normal 492" xfId="2857" xr:uid="{00000000-0005-0000-0000-0000F3A80000}"/>
    <cellStyle name="Normal 492 2" xfId="4920" xr:uid="{00000000-0005-0000-0000-0000F4A80000}"/>
    <cellStyle name="Normal 492 2 2" xfId="8700" xr:uid="{00000000-0005-0000-0000-0000F5A80000}"/>
    <cellStyle name="Normal 492 2 2 2" xfId="16496" xr:uid="{00000000-0005-0000-0000-0000F6A80000}"/>
    <cellStyle name="Normal 492 2 2 2 2" xfId="34131" xr:uid="{00000000-0005-0000-0000-0000F7A80000}"/>
    <cellStyle name="Normal 492 2 2 3" xfId="27101" xr:uid="{00000000-0005-0000-0000-0000F8A80000}"/>
    <cellStyle name="Normal 492 2 3" xfId="13001" xr:uid="{00000000-0005-0000-0000-0000F9A80000}"/>
    <cellStyle name="Normal 492 2 3 2" xfId="30650" xr:uid="{00000000-0005-0000-0000-0000FAA80000}"/>
    <cellStyle name="Normal 492 2 4" xfId="24236" xr:uid="{00000000-0005-0000-0000-0000FBA80000}"/>
    <cellStyle name="Normal 492 3" xfId="4919" xr:uid="{00000000-0005-0000-0000-0000FCA80000}"/>
    <cellStyle name="Normal 492 4" xfId="8018" xr:uid="{00000000-0005-0000-0000-0000FDA80000}"/>
    <cellStyle name="Normal 492 4 2" xfId="15815" xr:uid="{00000000-0005-0000-0000-0000FEA80000}"/>
    <cellStyle name="Normal 492 4 2 2" xfId="33450" xr:uid="{00000000-0005-0000-0000-0000FFA80000}"/>
    <cellStyle name="Normal 492 4 3" xfId="26434" xr:uid="{00000000-0005-0000-0000-000000A90000}"/>
    <cellStyle name="Normal 492 5" xfId="11978" xr:uid="{00000000-0005-0000-0000-000001A90000}"/>
    <cellStyle name="Normal 492 5 2" xfId="29661" xr:uid="{00000000-0005-0000-0000-000002A90000}"/>
    <cellStyle name="Normal 492 6" xfId="23569" xr:uid="{00000000-0005-0000-0000-000003A90000}"/>
    <cellStyle name="Normal 492 7" xfId="52495" xr:uid="{00000000-0005-0000-0000-000004A90000}"/>
    <cellStyle name="Normal 493" xfId="2858" xr:uid="{00000000-0005-0000-0000-000005A90000}"/>
    <cellStyle name="Normal 493 2" xfId="4922" xr:uid="{00000000-0005-0000-0000-000006A90000}"/>
    <cellStyle name="Normal 493 2 2" xfId="8701" xr:uid="{00000000-0005-0000-0000-000007A90000}"/>
    <cellStyle name="Normal 493 2 2 2" xfId="16497" xr:uid="{00000000-0005-0000-0000-000008A90000}"/>
    <cellStyle name="Normal 493 2 2 2 2" xfId="34132" xr:uid="{00000000-0005-0000-0000-000009A90000}"/>
    <cellStyle name="Normal 493 2 2 3" xfId="27102" xr:uid="{00000000-0005-0000-0000-00000AA90000}"/>
    <cellStyle name="Normal 493 2 3" xfId="13002" xr:uid="{00000000-0005-0000-0000-00000BA90000}"/>
    <cellStyle name="Normal 493 2 3 2" xfId="30651" xr:uid="{00000000-0005-0000-0000-00000CA90000}"/>
    <cellStyle name="Normal 493 2 4" xfId="24237" xr:uid="{00000000-0005-0000-0000-00000DA90000}"/>
    <cellStyle name="Normal 493 3" xfId="4921" xr:uid="{00000000-0005-0000-0000-00000EA90000}"/>
    <cellStyle name="Normal 493 4" xfId="8019" xr:uid="{00000000-0005-0000-0000-00000FA90000}"/>
    <cellStyle name="Normal 493 4 2" xfId="15816" xr:uid="{00000000-0005-0000-0000-000010A90000}"/>
    <cellStyle name="Normal 493 4 2 2" xfId="33451" xr:uid="{00000000-0005-0000-0000-000011A90000}"/>
    <cellStyle name="Normal 493 4 3" xfId="26435" xr:uid="{00000000-0005-0000-0000-000012A90000}"/>
    <cellStyle name="Normal 493 5" xfId="11979" xr:uid="{00000000-0005-0000-0000-000013A90000}"/>
    <cellStyle name="Normal 493 5 2" xfId="29662" xr:uid="{00000000-0005-0000-0000-000014A90000}"/>
    <cellStyle name="Normal 493 6" xfId="23570" xr:uid="{00000000-0005-0000-0000-000015A90000}"/>
    <cellStyle name="Normal 493 7" xfId="52496" xr:uid="{00000000-0005-0000-0000-000016A90000}"/>
    <cellStyle name="Normal 494" xfId="2859" xr:uid="{00000000-0005-0000-0000-000017A90000}"/>
    <cellStyle name="Normal 494 2" xfId="4924" xr:uid="{00000000-0005-0000-0000-000018A90000}"/>
    <cellStyle name="Normal 494 2 2" xfId="8702" xr:uid="{00000000-0005-0000-0000-000019A90000}"/>
    <cellStyle name="Normal 494 2 2 2" xfId="16498" xr:uid="{00000000-0005-0000-0000-00001AA90000}"/>
    <cellStyle name="Normal 494 2 2 2 2" xfId="34133" xr:uid="{00000000-0005-0000-0000-00001BA90000}"/>
    <cellStyle name="Normal 494 2 2 3" xfId="27103" xr:uid="{00000000-0005-0000-0000-00001CA90000}"/>
    <cellStyle name="Normal 494 2 3" xfId="13003" xr:uid="{00000000-0005-0000-0000-00001DA90000}"/>
    <cellStyle name="Normal 494 2 3 2" xfId="30652" xr:uid="{00000000-0005-0000-0000-00001EA90000}"/>
    <cellStyle name="Normal 494 2 4" xfId="24238" xr:uid="{00000000-0005-0000-0000-00001FA90000}"/>
    <cellStyle name="Normal 494 3" xfId="4923" xr:uid="{00000000-0005-0000-0000-000020A90000}"/>
    <cellStyle name="Normal 494 4" xfId="8020" xr:uid="{00000000-0005-0000-0000-000021A90000}"/>
    <cellStyle name="Normal 494 4 2" xfId="15817" xr:uid="{00000000-0005-0000-0000-000022A90000}"/>
    <cellStyle name="Normal 494 4 2 2" xfId="33452" xr:uid="{00000000-0005-0000-0000-000023A90000}"/>
    <cellStyle name="Normal 494 4 3" xfId="26436" xr:uid="{00000000-0005-0000-0000-000024A90000}"/>
    <cellStyle name="Normal 494 5" xfId="11980" xr:uid="{00000000-0005-0000-0000-000025A90000}"/>
    <cellStyle name="Normal 494 5 2" xfId="29663" xr:uid="{00000000-0005-0000-0000-000026A90000}"/>
    <cellStyle name="Normal 494 6" xfId="23571" xr:uid="{00000000-0005-0000-0000-000027A90000}"/>
    <cellStyle name="Normal 494 7" xfId="52497" xr:uid="{00000000-0005-0000-0000-000028A90000}"/>
    <cellStyle name="Normal 495" xfId="2860" xr:uid="{00000000-0005-0000-0000-000029A90000}"/>
    <cellStyle name="Normal 495 2" xfId="4926" xr:uid="{00000000-0005-0000-0000-00002AA90000}"/>
    <cellStyle name="Normal 495 2 2" xfId="8703" xr:uid="{00000000-0005-0000-0000-00002BA90000}"/>
    <cellStyle name="Normal 495 2 2 2" xfId="16499" xr:uid="{00000000-0005-0000-0000-00002CA90000}"/>
    <cellStyle name="Normal 495 2 2 2 2" xfId="34134" xr:uid="{00000000-0005-0000-0000-00002DA90000}"/>
    <cellStyle name="Normal 495 2 2 3" xfId="27104" xr:uid="{00000000-0005-0000-0000-00002EA90000}"/>
    <cellStyle name="Normal 495 2 3" xfId="13004" xr:uid="{00000000-0005-0000-0000-00002FA90000}"/>
    <cellStyle name="Normal 495 2 3 2" xfId="30653" xr:uid="{00000000-0005-0000-0000-000030A90000}"/>
    <cellStyle name="Normal 495 2 4" xfId="24239" xr:uid="{00000000-0005-0000-0000-000031A90000}"/>
    <cellStyle name="Normal 495 3" xfId="4925" xr:uid="{00000000-0005-0000-0000-000032A90000}"/>
    <cellStyle name="Normal 495 4" xfId="8021" xr:uid="{00000000-0005-0000-0000-000033A90000}"/>
    <cellStyle name="Normal 495 4 2" xfId="15818" xr:uid="{00000000-0005-0000-0000-000034A90000}"/>
    <cellStyle name="Normal 495 4 2 2" xfId="33453" xr:uid="{00000000-0005-0000-0000-000035A90000}"/>
    <cellStyle name="Normal 495 4 3" xfId="26437" xr:uid="{00000000-0005-0000-0000-000036A90000}"/>
    <cellStyle name="Normal 495 5" xfId="11981" xr:uid="{00000000-0005-0000-0000-000037A90000}"/>
    <cellStyle name="Normal 495 5 2" xfId="29664" xr:uid="{00000000-0005-0000-0000-000038A90000}"/>
    <cellStyle name="Normal 495 6" xfId="23572" xr:uid="{00000000-0005-0000-0000-000039A90000}"/>
    <cellStyle name="Normal 495 7" xfId="52498" xr:uid="{00000000-0005-0000-0000-00003AA90000}"/>
    <cellStyle name="Normal 496" xfId="2861" xr:uid="{00000000-0005-0000-0000-00003BA90000}"/>
    <cellStyle name="Normal 496 2" xfId="4928" xr:uid="{00000000-0005-0000-0000-00003CA90000}"/>
    <cellStyle name="Normal 496 2 2" xfId="8704" xr:uid="{00000000-0005-0000-0000-00003DA90000}"/>
    <cellStyle name="Normal 496 2 2 2" xfId="16500" xr:uid="{00000000-0005-0000-0000-00003EA90000}"/>
    <cellStyle name="Normal 496 2 2 2 2" xfId="34135" xr:uid="{00000000-0005-0000-0000-00003FA90000}"/>
    <cellStyle name="Normal 496 2 2 3" xfId="27105" xr:uid="{00000000-0005-0000-0000-000040A90000}"/>
    <cellStyle name="Normal 496 2 3" xfId="13005" xr:uid="{00000000-0005-0000-0000-000041A90000}"/>
    <cellStyle name="Normal 496 2 3 2" xfId="30654" xr:uid="{00000000-0005-0000-0000-000042A90000}"/>
    <cellStyle name="Normal 496 2 4" xfId="24240" xr:uid="{00000000-0005-0000-0000-000043A90000}"/>
    <cellStyle name="Normal 496 3" xfId="4927" xr:uid="{00000000-0005-0000-0000-000044A90000}"/>
    <cellStyle name="Normal 496 4" xfId="8022" xr:uid="{00000000-0005-0000-0000-000045A90000}"/>
    <cellStyle name="Normal 496 4 2" xfId="15819" xr:uid="{00000000-0005-0000-0000-000046A90000}"/>
    <cellStyle name="Normal 496 4 2 2" xfId="33454" xr:uid="{00000000-0005-0000-0000-000047A90000}"/>
    <cellStyle name="Normal 496 4 3" xfId="26438" xr:uid="{00000000-0005-0000-0000-000048A90000}"/>
    <cellStyle name="Normal 496 5" xfId="11982" xr:uid="{00000000-0005-0000-0000-000049A90000}"/>
    <cellStyle name="Normal 496 5 2" xfId="29665" xr:uid="{00000000-0005-0000-0000-00004AA90000}"/>
    <cellStyle name="Normal 496 6" xfId="23573" xr:uid="{00000000-0005-0000-0000-00004BA90000}"/>
    <cellStyle name="Normal 496 7" xfId="52499" xr:uid="{00000000-0005-0000-0000-00004CA90000}"/>
    <cellStyle name="Normal 497" xfId="2862" xr:uid="{00000000-0005-0000-0000-00004DA90000}"/>
    <cellStyle name="Normal 497 2" xfId="4930" xr:uid="{00000000-0005-0000-0000-00004EA90000}"/>
    <cellStyle name="Normal 497 2 2" xfId="8705" xr:uid="{00000000-0005-0000-0000-00004FA90000}"/>
    <cellStyle name="Normal 497 2 2 2" xfId="16501" xr:uid="{00000000-0005-0000-0000-000050A90000}"/>
    <cellStyle name="Normal 497 2 2 2 2" xfId="34136" xr:uid="{00000000-0005-0000-0000-000051A90000}"/>
    <cellStyle name="Normal 497 2 2 3" xfId="27106" xr:uid="{00000000-0005-0000-0000-000052A90000}"/>
    <cellStyle name="Normal 497 2 3" xfId="13006" xr:uid="{00000000-0005-0000-0000-000053A90000}"/>
    <cellStyle name="Normal 497 2 3 2" xfId="30655" xr:uid="{00000000-0005-0000-0000-000054A90000}"/>
    <cellStyle name="Normal 497 2 4" xfId="24241" xr:uid="{00000000-0005-0000-0000-000055A90000}"/>
    <cellStyle name="Normal 497 3" xfId="4929" xr:uid="{00000000-0005-0000-0000-000056A90000}"/>
    <cellStyle name="Normal 497 4" xfId="8023" xr:uid="{00000000-0005-0000-0000-000057A90000}"/>
    <cellStyle name="Normal 497 4 2" xfId="15820" xr:uid="{00000000-0005-0000-0000-000058A90000}"/>
    <cellStyle name="Normal 497 4 2 2" xfId="33455" xr:uid="{00000000-0005-0000-0000-000059A90000}"/>
    <cellStyle name="Normal 497 4 3" xfId="26439" xr:uid="{00000000-0005-0000-0000-00005AA90000}"/>
    <cellStyle name="Normal 497 5" xfId="11983" xr:uid="{00000000-0005-0000-0000-00005BA90000}"/>
    <cellStyle name="Normal 497 5 2" xfId="29666" xr:uid="{00000000-0005-0000-0000-00005CA90000}"/>
    <cellStyle name="Normal 497 6" xfId="23574" xr:uid="{00000000-0005-0000-0000-00005DA90000}"/>
    <cellStyle name="Normal 497 7" xfId="52500" xr:uid="{00000000-0005-0000-0000-00005EA90000}"/>
    <cellStyle name="Normal 498" xfId="2863" xr:uid="{00000000-0005-0000-0000-00005FA90000}"/>
    <cellStyle name="Normal 498 2" xfId="4932" xr:uid="{00000000-0005-0000-0000-000060A90000}"/>
    <cellStyle name="Normal 498 2 2" xfId="8706" xr:uid="{00000000-0005-0000-0000-000061A90000}"/>
    <cellStyle name="Normal 498 2 2 2" xfId="16502" xr:uid="{00000000-0005-0000-0000-000062A90000}"/>
    <cellStyle name="Normal 498 2 2 2 2" xfId="34137" xr:uid="{00000000-0005-0000-0000-000063A90000}"/>
    <cellStyle name="Normal 498 2 2 3" xfId="27107" xr:uid="{00000000-0005-0000-0000-000064A90000}"/>
    <cellStyle name="Normal 498 2 3" xfId="13007" xr:uid="{00000000-0005-0000-0000-000065A90000}"/>
    <cellStyle name="Normal 498 2 3 2" xfId="30656" xr:uid="{00000000-0005-0000-0000-000066A90000}"/>
    <cellStyle name="Normal 498 2 4" xfId="24242" xr:uid="{00000000-0005-0000-0000-000067A90000}"/>
    <cellStyle name="Normal 498 3" xfId="4931" xr:uid="{00000000-0005-0000-0000-000068A90000}"/>
    <cellStyle name="Normal 498 4" xfId="8024" xr:uid="{00000000-0005-0000-0000-000069A90000}"/>
    <cellStyle name="Normal 498 4 2" xfId="15821" xr:uid="{00000000-0005-0000-0000-00006AA90000}"/>
    <cellStyle name="Normal 498 4 2 2" xfId="33456" xr:uid="{00000000-0005-0000-0000-00006BA90000}"/>
    <cellStyle name="Normal 498 4 3" xfId="26440" xr:uid="{00000000-0005-0000-0000-00006CA90000}"/>
    <cellStyle name="Normal 498 5" xfId="11984" xr:uid="{00000000-0005-0000-0000-00006DA90000}"/>
    <cellStyle name="Normal 498 5 2" xfId="29667" xr:uid="{00000000-0005-0000-0000-00006EA90000}"/>
    <cellStyle name="Normal 498 6" xfId="23575" xr:uid="{00000000-0005-0000-0000-00006FA90000}"/>
    <cellStyle name="Normal 498 7" xfId="52501" xr:uid="{00000000-0005-0000-0000-000070A90000}"/>
    <cellStyle name="Normal 499" xfId="2864" xr:uid="{00000000-0005-0000-0000-000071A90000}"/>
    <cellStyle name="Normal 499 2" xfId="4933" xr:uid="{00000000-0005-0000-0000-000072A90000}"/>
    <cellStyle name="Normal 499 2 2" xfId="8707" xr:uid="{00000000-0005-0000-0000-000073A90000}"/>
    <cellStyle name="Normal 499 2 2 2" xfId="16503" xr:uid="{00000000-0005-0000-0000-000074A90000}"/>
    <cellStyle name="Normal 499 2 2 2 2" xfId="34138" xr:uid="{00000000-0005-0000-0000-000075A90000}"/>
    <cellStyle name="Normal 499 2 2 3" xfId="27108" xr:uid="{00000000-0005-0000-0000-000076A90000}"/>
    <cellStyle name="Normal 499 2 3" xfId="13008" xr:uid="{00000000-0005-0000-0000-000077A90000}"/>
    <cellStyle name="Normal 499 2 3 2" xfId="30657" xr:uid="{00000000-0005-0000-0000-000078A90000}"/>
    <cellStyle name="Normal 499 2 4" xfId="24243" xr:uid="{00000000-0005-0000-0000-000079A90000}"/>
    <cellStyle name="Normal 499 3" xfId="5964" xr:uid="{00000000-0005-0000-0000-00007AA90000}"/>
    <cellStyle name="Normal 499 3 2" xfId="9264" xr:uid="{00000000-0005-0000-0000-00007BA90000}"/>
    <cellStyle name="Normal 499 3 2 2" xfId="17059" xr:uid="{00000000-0005-0000-0000-00007CA90000}"/>
    <cellStyle name="Normal 499 3 2 2 2" xfId="34695" xr:uid="{00000000-0005-0000-0000-00007DA90000}"/>
    <cellStyle name="Normal 499 3 2 3" xfId="27652" xr:uid="{00000000-0005-0000-0000-00007EA90000}"/>
    <cellStyle name="Normal 499 3 3" xfId="13820" xr:uid="{00000000-0005-0000-0000-00007FA90000}"/>
    <cellStyle name="Normal 499 3 3 2" xfId="31460" xr:uid="{00000000-0005-0000-0000-000080A90000}"/>
    <cellStyle name="Normal 499 3 4" xfId="24787" xr:uid="{00000000-0005-0000-0000-000081A90000}"/>
    <cellStyle name="Normal 499 4" xfId="6594" xr:uid="{00000000-0005-0000-0000-000082A90000}"/>
    <cellStyle name="Normal 499 4 2" xfId="9804" xr:uid="{00000000-0005-0000-0000-000083A90000}"/>
    <cellStyle name="Normal 499 4 2 2" xfId="17598" xr:uid="{00000000-0005-0000-0000-000084A90000}"/>
    <cellStyle name="Normal 499 4 2 2 2" xfId="35235" xr:uid="{00000000-0005-0000-0000-000085A90000}"/>
    <cellStyle name="Normal 499 4 2 3" xfId="28188" xr:uid="{00000000-0005-0000-0000-000086A90000}"/>
    <cellStyle name="Normal 499 4 3" xfId="14383" xr:uid="{00000000-0005-0000-0000-000087A90000}"/>
    <cellStyle name="Normal 499 4 3 2" xfId="32018" xr:uid="{00000000-0005-0000-0000-000088A90000}"/>
    <cellStyle name="Normal 499 4 4" xfId="25324" xr:uid="{00000000-0005-0000-0000-000089A90000}"/>
    <cellStyle name="Normal 499 5" xfId="7370" xr:uid="{00000000-0005-0000-0000-00008AA90000}"/>
    <cellStyle name="Normal 499 5 2" xfId="10358" xr:uid="{00000000-0005-0000-0000-00008BA90000}"/>
    <cellStyle name="Normal 499 5 2 2" xfId="18151" xr:uid="{00000000-0005-0000-0000-00008CA90000}"/>
    <cellStyle name="Normal 499 5 2 2 2" xfId="35788" xr:uid="{00000000-0005-0000-0000-00008DA90000}"/>
    <cellStyle name="Normal 499 5 2 3" xfId="28725" xr:uid="{00000000-0005-0000-0000-00008EA90000}"/>
    <cellStyle name="Normal 499 5 3" xfId="15158" xr:uid="{00000000-0005-0000-0000-00008FA90000}"/>
    <cellStyle name="Normal 499 5 3 2" xfId="32793" xr:uid="{00000000-0005-0000-0000-000090A90000}"/>
    <cellStyle name="Normal 499 5 4" xfId="25862" xr:uid="{00000000-0005-0000-0000-000091A90000}"/>
    <cellStyle name="Normal 499 6" xfId="8025" xr:uid="{00000000-0005-0000-0000-000092A90000}"/>
    <cellStyle name="Normal 499 6 2" xfId="15822" xr:uid="{00000000-0005-0000-0000-000093A90000}"/>
    <cellStyle name="Normal 499 6 2 2" xfId="33457" xr:uid="{00000000-0005-0000-0000-000094A90000}"/>
    <cellStyle name="Normal 499 6 3" xfId="26441" xr:uid="{00000000-0005-0000-0000-000095A90000}"/>
    <cellStyle name="Normal 499 7" xfId="11985" xr:uid="{00000000-0005-0000-0000-000096A90000}"/>
    <cellStyle name="Normal 499 7 2" xfId="29668" xr:uid="{00000000-0005-0000-0000-000097A90000}"/>
    <cellStyle name="Normal 499 8" xfId="23576" xr:uid="{00000000-0005-0000-0000-000098A90000}"/>
    <cellStyle name="Normal 499 9" xfId="52502" xr:uid="{00000000-0005-0000-0000-000099A90000}"/>
    <cellStyle name="Normal 5" xfId="127" xr:uid="{00000000-0005-0000-0000-00009AA90000}"/>
    <cellStyle name="Normal 5 10" xfId="2866" xr:uid="{00000000-0005-0000-0000-00009BA90000}"/>
    <cellStyle name="Normal 5 10 2" xfId="4934" xr:uid="{00000000-0005-0000-0000-00009CA90000}"/>
    <cellStyle name="Normal 5 10 3" xfId="52503" xr:uid="{00000000-0005-0000-0000-00009DA90000}"/>
    <cellStyle name="Normal 5 11" xfId="2867" xr:uid="{00000000-0005-0000-0000-00009EA90000}"/>
    <cellStyle name="Normal 5 11 2" xfId="4935" xr:uid="{00000000-0005-0000-0000-00009FA90000}"/>
    <cellStyle name="Normal 5 11 3" xfId="52504" xr:uid="{00000000-0005-0000-0000-0000A0A90000}"/>
    <cellStyle name="Normal 5 12" xfId="2868" xr:uid="{00000000-0005-0000-0000-0000A1A90000}"/>
    <cellStyle name="Normal 5 13" xfId="2869" xr:uid="{00000000-0005-0000-0000-0000A2A90000}"/>
    <cellStyle name="Normal 5 14" xfId="4936" xr:uid="{00000000-0005-0000-0000-0000A3A90000}"/>
    <cellStyle name="Normal 5 15" xfId="4937" xr:uid="{00000000-0005-0000-0000-0000A4A90000}"/>
    <cellStyle name="Normal 5 16" xfId="2865" xr:uid="{00000000-0005-0000-0000-0000A5A90000}"/>
    <cellStyle name="Normal 5 2" xfId="128" xr:uid="{00000000-0005-0000-0000-0000A6A90000}"/>
    <cellStyle name="Normal 5 2 2" xfId="2871" xr:uid="{00000000-0005-0000-0000-0000A7A90000}"/>
    <cellStyle name="Normal 5 2 2 2" xfId="23005" xr:uid="{00000000-0005-0000-0000-0000A8A90000}"/>
    <cellStyle name="Normal 5 2 2 3" xfId="22706" xr:uid="{00000000-0005-0000-0000-0000A9A90000}"/>
    <cellStyle name="Normal 5 2 3" xfId="2870" xr:uid="{00000000-0005-0000-0000-0000AAA90000}"/>
    <cellStyle name="Normal 5 2_Sheet1" xfId="2872" xr:uid="{00000000-0005-0000-0000-0000ABA90000}"/>
    <cellStyle name="Normal 5 3" xfId="2873" xr:uid="{00000000-0005-0000-0000-0000ACA90000}"/>
    <cellStyle name="Normal 5 4" xfId="2874" xr:uid="{00000000-0005-0000-0000-0000ADA90000}"/>
    <cellStyle name="Normal 5 4 2" xfId="2875" xr:uid="{00000000-0005-0000-0000-0000AEA90000}"/>
    <cellStyle name="Normal 5 4 2 2" xfId="4939" xr:uid="{00000000-0005-0000-0000-0000AFA90000}"/>
    <cellStyle name="Normal 5 4 2 3" xfId="52506" xr:uid="{00000000-0005-0000-0000-0000B0A90000}"/>
    <cellStyle name="Normal 5 4 3" xfId="4938" xr:uid="{00000000-0005-0000-0000-0000B1A90000}"/>
    <cellStyle name="Normal 5 4 4" xfId="52505" xr:uid="{00000000-0005-0000-0000-0000B2A90000}"/>
    <cellStyle name="Normal 5 5" xfId="2876" xr:uid="{00000000-0005-0000-0000-0000B3A90000}"/>
    <cellStyle name="Normal 5 5 2" xfId="4940" xr:uid="{00000000-0005-0000-0000-0000B4A90000}"/>
    <cellStyle name="Normal 5 5 3" xfId="52507" xr:uid="{00000000-0005-0000-0000-0000B5A90000}"/>
    <cellStyle name="Normal 5 6" xfId="2877" xr:uid="{00000000-0005-0000-0000-0000B6A90000}"/>
    <cellStyle name="Normal 5 6 2" xfId="4941" xr:uid="{00000000-0005-0000-0000-0000B7A90000}"/>
    <cellStyle name="Normal 5 6 3" xfId="52508" xr:uid="{00000000-0005-0000-0000-0000B8A90000}"/>
    <cellStyle name="Normal 5 7" xfId="2878" xr:uid="{00000000-0005-0000-0000-0000B9A90000}"/>
    <cellStyle name="Normal 5 7 2" xfId="4942" xr:uid="{00000000-0005-0000-0000-0000BAA90000}"/>
    <cellStyle name="Normal 5 7 3" xfId="52509" xr:uid="{00000000-0005-0000-0000-0000BBA90000}"/>
    <cellStyle name="Normal 5 8" xfId="2879" xr:uid="{00000000-0005-0000-0000-0000BCA90000}"/>
    <cellStyle name="Normal 5 8 2" xfId="4943" xr:uid="{00000000-0005-0000-0000-0000BDA90000}"/>
    <cellStyle name="Normal 5 8 3" xfId="52510" xr:uid="{00000000-0005-0000-0000-0000BEA90000}"/>
    <cellStyle name="Normal 5 9" xfId="2880" xr:uid="{00000000-0005-0000-0000-0000BFA90000}"/>
    <cellStyle name="Normal 5 9 2" xfId="4944" xr:uid="{00000000-0005-0000-0000-0000C0A90000}"/>
    <cellStyle name="Normal 5 9 3" xfId="52511" xr:uid="{00000000-0005-0000-0000-0000C1A90000}"/>
    <cellStyle name="Normal 5_Sheet1" xfId="2881" xr:uid="{00000000-0005-0000-0000-0000C2A90000}"/>
    <cellStyle name="Normal 50" xfId="2882" xr:uid="{00000000-0005-0000-0000-0000C3A90000}"/>
    <cellStyle name="Normal 50 2" xfId="4945" xr:uid="{00000000-0005-0000-0000-0000C4A90000}"/>
    <cellStyle name="Normal 50 3" xfId="52512" xr:uid="{00000000-0005-0000-0000-0000C5A90000}"/>
    <cellStyle name="Normal 500" xfId="2883" xr:uid="{00000000-0005-0000-0000-0000C6A90000}"/>
    <cellStyle name="Normal 500 2" xfId="4946" xr:uid="{00000000-0005-0000-0000-0000C7A90000}"/>
    <cellStyle name="Normal 500 2 2" xfId="8708" xr:uid="{00000000-0005-0000-0000-0000C8A90000}"/>
    <cellStyle name="Normal 500 2 2 2" xfId="16504" xr:uid="{00000000-0005-0000-0000-0000C9A90000}"/>
    <cellStyle name="Normal 500 2 2 2 2" xfId="34139" xr:uid="{00000000-0005-0000-0000-0000CAA90000}"/>
    <cellStyle name="Normal 500 2 2 3" xfId="27109" xr:uid="{00000000-0005-0000-0000-0000CBA90000}"/>
    <cellStyle name="Normal 500 2 3" xfId="13009" xr:uid="{00000000-0005-0000-0000-0000CCA90000}"/>
    <cellStyle name="Normal 500 2 3 2" xfId="30658" xr:uid="{00000000-0005-0000-0000-0000CDA90000}"/>
    <cellStyle name="Normal 500 2 4" xfId="24244" xr:uid="{00000000-0005-0000-0000-0000CEA90000}"/>
    <cellStyle name="Normal 500 3" xfId="5965" xr:uid="{00000000-0005-0000-0000-0000CFA90000}"/>
    <cellStyle name="Normal 500 3 2" xfId="9265" xr:uid="{00000000-0005-0000-0000-0000D0A90000}"/>
    <cellStyle name="Normal 500 3 2 2" xfId="17060" xr:uid="{00000000-0005-0000-0000-0000D1A90000}"/>
    <cellStyle name="Normal 500 3 2 2 2" xfId="34696" xr:uid="{00000000-0005-0000-0000-0000D2A90000}"/>
    <cellStyle name="Normal 500 3 2 3" xfId="27653" xr:uid="{00000000-0005-0000-0000-0000D3A90000}"/>
    <cellStyle name="Normal 500 3 3" xfId="13821" xr:uid="{00000000-0005-0000-0000-0000D4A90000}"/>
    <cellStyle name="Normal 500 3 3 2" xfId="31461" xr:uid="{00000000-0005-0000-0000-0000D5A90000}"/>
    <cellStyle name="Normal 500 3 4" xfId="24788" xr:uid="{00000000-0005-0000-0000-0000D6A90000}"/>
    <cellStyle name="Normal 500 4" xfId="6595" xr:uid="{00000000-0005-0000-0000-0000D7A90000}"/>
    <cellStyle name="Normal 500 4 2" xfId="9805" xr:uid="{00000000-0005-0000-0000-0000D8A90000}"/>
    <cellStyle name="Normal 500 4 2 2" xfId="17599" xr:uid="{00000000-0005-0000-0000-0000D9A90000}"/>
    <cellStyle name="Normal 500 4 2 2 2" xfId="35236" xr:uid="{00000000-0005-0000-0000-0000DAA90000}"/>
    <cellStyle name="Normal 500 4 2 3" xfId="28189" xr:uid="{00000000-0005-0000-0000-0000DBA90000}"/>
    <cellStyle name="Normal 500 4 3" xfId="14384" xr:uid="{00000000-0005-0000-0000-0000DCA90000}"/>
    <cellStyle name="Normal 500 4 3 2" xfId="32019" xr:uid="{00000000-0005-0000-0000-0000DDA90000}"/>
    <cellStyle name="Normal 500 4 4" xfId="25325" xr:uid="{00000000-0005-0000-0000-0000DEA90000}"/>
    <cellStyle name="Normal 500 5" xfId="7371" xr:uid="{00000000-0005-0000-0000-0000DFA90000}"/>
    <cellStyle name="Normal 500 5 2" xfId="10359" xr:uid="{00000000-0005-0000-0000-0000E0A90000}"/>
    <cellStyle name="Normal 500 5 2 2" xfId="18152" xr:uid="{00000000-0005-0000-0000-0000E1A90000}"/>
    <cellStyle name="Normal 500 5 2 2 2" xfId="35789" xr:uid="{00000000-0005-0000-0000-0000E2A90000}"/>
    <cellStyle name="Normal 500 5 2 3" xfId="28726" xr:uid="{00000000-0005-0000-0000-0000E3A90000}"/>
    <cellStyle name="Normal 500 5 3" xfId="15159" xr:uid="{00000000-0005-0000-0000-0000E4A90000}"/>
    <cellStyle name="Normal 500 5 3 2" xfId="32794" xr:uid="{00000000-0005-0000-0000-0000E5A90000}"/>
    <cellStyle name="Normal 500 5 4" xfId="25863" xr:uid="{00000000-0005-0000-0000-0000E6A90000}"/>
    <cellStyle name="Normal 500 6" xfId="8026" xr:uid="{00000000-0005-0000-0000-0000E7A90000}"/>
    <cellStyle name="Normal 500 6 2" xfId="15823" xr:uid="{00000000-0005-0000-0000-0000E8A90000}"/>
    <cellStyle name="Normal 500 6 2 2" xfId="33458" xr:uid="{00000000-0005-0000-0000-0000E9A90000}"/>
    <cellStyle name="Normal 500 6 3" xfId="26442" xr:uid="{00000000-0005-0000-0000-0000EAA90000}"/>
    <cellStyle name="Normal 500 7" xfId="11987" xr:uid="{00000000-0005-0000-0000-0000EBA90000}"/>
    <cellStyle name="Normal 500 7 2" xfId="29669" xr:uid="{00000000-0005-0000-0000-0000ECA90000}"/>
    <cellStyle name="Normal 500 8" xfId="23577" xr:uid="{00000000-0005-0000-0000-0000EDA90000}"/>
    <cellStyle name="Normal 500 9" xfId="52513" xr:uid="{00000000-0005-0000-0000-0000EEA90000}"/>
    <cellStyle name="Normal 501" xfId="2884" xr:uid="{00000000-0005-0000-0000-0000EFA90000}"/>
    <cellStyle name="Normal 501 2" xfId="4947" xr:uid="{00000000-0005-0000-0000-0000F0A90000}"/>
    <cellStyle name="Normal 501 2 2" xfId="8709" xr:uid="{00000000-0005-0000-0000-0000F1A90000}"/>
    <cellStyle name="Normal 501 2 2 2" xfId="16505" xr:uid="{00000000-0005-0000-0000-0000F2A90000}"/>
    <cellStyle name="Normal 501 2 2 2 2" xfId="34140" xr:uid="{00000000-0005-0000-0000-0000F3A90000}"/>
    <cellStyle name="Normal 501 2 2 3" xfId="27110" xr:uid="{00000000-0005-0000-0000-0000F4A90000}"/>
    <cellStyle name="Normal 501 2 3" xfId="13010" xr:uid="{00000000-0005-0000-0000-0000F5A90000}"/>
    <cellStyle name="Normal 501 2 3 2" xfId="30659" xr:uid="{00000000-0005-0000-0000-0000F6A90000}"/>
    <cellStyle name="Normal 501 2 4" xfId="24245" xr:uid="{00000000-0005-0000-0000-0000F7A90000}"/>
    <cellStyle name="Normal 501 3" xfId="5966" xr:uid="{00000000-0005-0000-0000-0000F8A90000}"/>
    <cellStyle name="Normal 501 3 2" xfId="9266" xr:uid="{00000000-0005-0000-0000-0000F9A90000}"/>
    <cellStyle name="Normal 501 3 2 2" xfId="17061" xr:uid="{00000000-0005-0000-0000-0000FAA90000}"/>
    <cellStyle name="Normal 501 3 2 2 2" xfId="34697" xr:uid="{00000000-0005-0000-0000-0000FBA90000}"/>
    <cellStyle name="Normal 501 3 2 3" xfId="27654" xr:uid="{00000000-0005-0000-0000-0000FCA90000}"/>
    <cellStyle name="Normal 501 3 3" xfId="13822" xr:uid="{00000000-0005-0000-0000-0000FDA90000}"/>
    <cellStyle name="Normal 501 3 3 2" xfId="31462" xr:uid="{00000000-0005-0000-0000-0000FEA90000}"/>
    <cellStyle name="Normal 501 3 4" xfId="24789" xr:uid="{00000000-0005-0000-0000-0000FFA90000}"/>
    <cellStyle name="Normal 501 4" xfId="6596" xr:uid="{00000000-0005-0000-0000-000000AA0000}"/>
    <cellStyle name="Normal 501 4 2" xfId="9806" xr:uid="{00000000-0005-0000-0000-000001AA0000}"/>
    <cellStyle name="Normal 501 4 2 2" xfId="17600" xr:uid="{00000000-0005-0000-0000-000002AA0000}"/>
    <cellStyle name="Normal 501 4 2 2 2" xfId="35237" xr:uid="{00000000-0005-0000-0000-000003AA0000}"/>
    <cellStyle name="Normal 501 4 2 3" xfId="28190" xr:uid="{00000000-0005-0000-0000-000004AA0000}"/>
    <cellStyle name="Normal 501 4 3" xfId="14385" xr:uid="{00000000-0005-0000-0000-000005AA0000}"/>
    <cellStyle name="Normal 501 4 3 2" xfId="32020" xr:uid="{00000000-0005-0000-0000-000006AA0000}"/>
    <cellStyle name="Normal 501 4 4" xfId="25326" xr:uid="{00000000-0005-0000-0000-000007AA0000}"/>
    <cellStyle name="Normal 501 5" xfId="7372" xr:uid="{00000000-0005-0000-0000-000008AA0000}"/>
    <cellStyle name="Normal 501 5 2" xfId="10360" xr:uid="{00000000-0005-0000-0000-000009AA0000}"/>
    <cellStyle name="Normal 501 5 2 2" xfId="18153" xr:uid="{00000000-0005-0000-0000-00000AAA0000}"/>
    <cellStyle name="Normal 501 5 2 2 2" xfId="35790" xr:uid="{00000000-0005-0000-0000-00000BAA0000}"/>
    <cellStyle name="Normal 501 5 2 3" xfId="28727" xr:uid="{00000000-0005-0000-0000-00000CAA0000}"/>
    <cellStyle name="Normal 501 5 3" xfId="15160" xr:uid="{00000000-0005-0000-0000-00000DAA0000}"/>
    <cellStyle name="Normal 501 5 3 2" xfId="32795" xr:uid="{00000000-0005-0000-0000-00000EAA0000}"/>
    <cellStyle name="Normal 501 5 4" xfId="25864" xr:uid="{00000000-0005-0000-0000-00000FAA0000}"/>
    <cellStyle name="Normal 501 6" xfId="8027" xr:uid="{00000000-0005-0000-0000-000010AA0000}"/>
    <cellStyle name="Normal 501 6 2" xfId="15824" xr:uid="{00000000-0005-0000-0000-000011AA0000}"/>
    <cellStyle name="Normal 501 6 2 2" xfId="33459" xr:uid="{00000000-0005-0000-0000-000012AA0000}"/>
    <cellStyle name="Normal 501 6 3" xfId="26443" xr:uid="{00000000-0005-0000-0000-000013AA0000}"/>
    <cellStyle name="Normal 501 7" xfId="11988" xr:uid="{00000000-0005-0000-0000-000014AA0000}"/>
    <cellStyle name="Normal 501 7 2" xfId="29670" xr:uid="{00000000-0005-0000-0000-000015AA0000}"/>
    <cellStyle name="Normal 501 8" xfId="23578" xr:uid="{00000000-0005-0000-0000-000016AA0000}"/>
    <cellStyle name="Normal 501 9" xfId="52514" xr:uid="{00000000-0005-0000-0000-000017AA0000}"/>
    <cellStyle name="Normal 502" xfId="2885" xr:uid="{00000000-0005-0000-0000-000018AA0000}"/>
    <cellStyle name="Normal 502 2" xfId="4948" xr:uid="{00000000-0005-0000-0000-000019AA0000}"/>
    <cellStyle name="Normal 502 2 2" xfId="8710" xr:uid="{00000000-0005-0000-0000-00001AAA0000}"/>
    <cellStyle name="Normal 502 2 2 2" xfId="16506" xr:uid="{00000000-0005-0000-0000-00001BAA0000}"/>
    <cellStyle name="Normal 502 2 2 2 2" xfId="34141" xr:uid="{00000000-0005-0000-0000-00001CAA0000}"/>
    <cellStyle name="Normal 502 2 2 3" xfId="27111" xr:uid="{00000000-0005-0000-0000-00001DAA0000}"/>
    <cellStyle name="Normal 502 2 3" xfId="13011" xr:uid="{00000000-0005-0000-0000-00001EAA0000}"/>
    <cellStyle name="Normal 502 2 3 2" xfId="30660" xr:uid="{00000000-0005-0000-0000-00001FAA0000}"/>
    <cellStyle name="Normal 502 2 4" xfId="24246" xr:uid="{00000000-0005-0000-0000-000020AA0000}"/>
    <cellStyle name="Normal 502 3" xfId="5967" xr:uid="{00000000-0005-0000-0000-000021AA0000}"/>
    <cellStyle name="Normal 502 3 2" xfId="9267" xr:uid="{00000000-0005-0000-0000-000022AA0000}"/>
    <cellStyle name="Normal 502 3 2 2" xfId="17062" xr:uid="{00000000-0005-0000-0000-000023AA0000}"/>
    <cellStyle name="Normal 502 3 2 2 2" xfId="34698" xr:uid="{00000000-0005-0000-0000-000024AA0000}"/>
    <cellStyle name="Normal 502 3 2 3" xfId="27655" xr:uid="{00000000-0005-0000-0000-000025AA0000}"/>
    <cellStyle name="Normal 502 3 3" xfId="13823" xr:uid="{00000000-0005-0000-0000-000026AA0000}"/>
    <cellStyle name="Normal 502 3 3 2" xfId="31463" xr:uid="{00000000-0005-0000-0000-000027AA0000}"/>
    <cellStyle name="Normal 502 3 4" xfId="24790" xr:uid="{00000000-0005-0000-0000-000028AA0000}"/>
    <cellStyle name="Normal 502 4" xfId="6597" xr:uid="{00000000-0005-0000-0000-000029AA0000}"/>
    <cellStyle name="Normal 502 4 2" xfId="9807" xr:uid="{00000000-0005-0000-0000-00002AAA0000}"/>
    <cellStyle name="Normal 502 4 2 2" xfId="17601" xr:uid="{00000000-0005-0000-0000-00002BAA0000}"/>
    <cellStyle name="Normal 502 4 2 2 2" xfId="35238" xr:uid="{00000000-0005-0000-0000-00002CAA0000}"/>
    <cellStyle name="Normal 502 4 2 3" xfId="28191" xr:uid="{00000000-0005-0000-0000-00002DAA0000}"/>
    <cellStyle name="Normal 502 4 3" xfId="14386" xr:uid="{00000000-0005-0000-0000-00002EAA0000}"/>
    <cellStyle name="Normal 502 4 3 2" xfId="32021" xr:uid="{00000000-0005-0000-0000-00002FAA0000}"/>
    <cellStyle name="Normal 502 4 4" xfId="25327" xr:uid="{00000000-0005-0000-0000-000030AA0000}"/>
    <cellStyle name="Normal 502 5" xfId="7373" xr:uid="{00000000-0005-0000-0000-000031AA0000}"/>
    <cellStyle name="Normal 502 5 2" xfId="10361" xr:uid="{00000000-0005-0000-0000-000032AA0000}"/>
    <cellStyle name="Normal 502 5 2 2" xfId="18154" xr:uid="{00000000-0005-0000-0000-000033AA0000}"/>
    <cellStyle name="Normal 502 5 2 2 2" xfId="35791" xr:uid="{00000000-0005-0000-0000-000034AA0000}"/>
    <cellStyle name="Normal 502 5 2 3" xfId="28728" xr:uid="{00000000-0005-0000-0000-000035AA0000}"/>
    <cellStyle name="Normal 502 5 3" xfId="15161" xr:uid="{00000000-0005-0000-0000-000036AA0000}"/>
    <cellStyle name="Normal 502 5 3 2" xfId="32796" xr:uid="{00000000-0005-0000-0000-000037AA0000}"/>
    <cellStyle name="Normal 502 5 4" xfId="25865" xr:uid="{00000000-0005-0000-0000-000038AA0000}"/>
    <cellStyle name="Normal 502 6" xfId="8028" xr:uid="{00000000-0005-0000-0000-000039AA0000}"/>
    <cellStyle name="Normal 502 6 2" xfId="15825" xr:uid="{00000000-0005-0000-0000-00003AAA0000}"/>
    <cellStyle name="Normal 502 6 2 2" xfId="33460" xr:uid="{00000000-0005-0000-0000-00003BAA0000}"/>
    <cellStyle name="Normal 502 6 3" xfId="26444" xr:uid="{00000000-0005-0000-0000-00003CAA0000}"/>
    <cellStyle name="Normal 502 7" xfId="11989" xr:uid="{00000000-0005-0000-0000-00003DAA0000}"/>
    <cellStyle name="Normal 502 7 2" xfId="29671" xr:uid="{00000000-0005-0000-0000-00003EAA0000}"/>
    <cellStyle name="Normal 502 8" xfId="23579" xr:uid="{00000000-0005-0000-0000-00003FAA0000}"/>
    <cellStyle name="Normal 502 9" xfId="52515" xr:uid="{00000000-0005-0000-0000-000040AA0000}"/>
    <cellStyle name="Normal 503" xfId="2886" xr:uid="{00000000-0005-0000-0000-000041AA0000}"/>
    <cellStyle name="Normal 503 2" xfId="4949" xr:uid="{00000000-0005-0000-0000-000042AA0000}"/>
    <cellStyle name="Normal 503 2 2" xfId="8711" xr:uid="{00000000-0005-0000-0000-000043AA0000}"/>
    <cellStyle name="Normal 503 2 2 2" xfId="16507" xr:uid="{00000000-0005-0000-0000-000044AA0000}"/>
    <cellStyle name="Normal 503 2 2 2 2" xfId="34142" xr:uid="{00000000-0005-0000-0000-000045AA0000}"/>
    <cellStyle name="Normal 503 2 2 3" xfId="27112" xr:uid="{00000000-0005-0000-0000-000046AA0000}"/>
    <cellStyle name="Normal 503 2 3" xfId="13012" xr:uid="{00000000-0005-0000-0000-000047AA0000}"/>
    <cellStyle name="Normal 503 2 3 2" xfId="30661" xr:uid="{00000000-0005-0000-0000-000048AA0000}"/>
    <cellStyle name="Normal 503 2 4" xfId="24247" xr:uid="{00000000-0005-0000-0000-000049AA0000}"/>
    <cellStyle name="Normal 503 3" xfId="5968" xr:uid="{00000000-0005-0000-0000-00004AAA0000}"/>
    <cellStyle name="Normal 503 3 2" xfId="9268" xr:uid="{00000000-0005-0000-0000-00004BAA0000}"/>
    <cellStyle name="Normal 503 3 2 2" xfId="17063" xr:uid="{00000000-0005-0000-0000-00004CAA0000}"/>
    <cellStyle name="Normal 503 3 2 2 2" xfId="34699" xr:uid="{00000000-0005-0000-0000-00004DAA0000}"/>
    <cellStyle name="Normal 503 3 2 3" xfId="27656" xr:uid="{00000000-0005-0000-0000-00004EAA0000}"/>
    <cellStyle name="Normal 503 3 3" xfId="13824" xr:uid="{00000000-0005-0000-0000-00004FAA0000}"/>
    <cellStyle name="Normal 503 3 3 2" xfId="31464" xr:uid="{00000000-0005-0000-0000-000050AA0000}"/>
    <cellStyle name="Normal 503 3 4" xfId="24791" xr:uid="{00000000-0005-0000-0000-000051AA0000}"/>
    <cellStyle name="Normal 503 4" xfId="6598" xr:uid="{00000000-0005-0000-0000-000052AA0000}"/>
    <cellStyle name="Normal 503 4 2" xfId="9808" xr:uid="{00000000-0005-0000-0000-000053AA0000}"/>
    <cellStyle name="Normal 503 4 2 2" xfId="17602" xr:uid="{00000000-0005-0000-0000-000054AA0000}"/>
    <cellStyle name="Normal 503 4 2 2 2" xfId="35239" xr:uid="{00000000-0005-0000-0000-000055AA0000}"/>
    <cellStyle name="Normal 503 4 2 3" xfId="28192" xr:uid="{00000000-0005-0000-0000-000056AA0000}"/>
    <cellStyle name="Normal 503 4 3" xfId="14387" xr:uid="{00000000-0005-0000-0000-000057AA0000}"/>
    <cellStyle name="Normal 503 4 3 2" xfId="32022" xr:uid="{00000000-0005-0000-0000-000058AA0000}"/>
    <cellStyle name="Normal 503 4 4" xfId="25328" xr:uid="{00000000-0005-0000-0000-000059AA0000}"/>
    <cellStyle name="Normal 503 5" xfId="7374" xr:uid="{00000000-0005-0000-0000-00005AAA0000}"/>
    <cellStyle name="Normal 503 5 2" xfId="10362" xr:uid="{00000000-0005-0000-0000-00005BAA0000}"/>
    <cellStyle name="Normal 503 5 2 2" xfId="18155" xr:uid="{00000000-0005-0000-0000-00005CAA0000}"/>
    <cellStyle name="Normal 503 5 2 2 2" xfId="35792" xr:uid="{00000000-0005-0000-0000-00005DAA0000}"/>
    <cellStyle name="Normal 503 5 2 3" xfId="28729" xr:uid="{00000000-0005-0000-0000-00005EAA0000}"/>
    <cellStyle name="Normal 503 5 3" xfId="15162" xr:uid="{00000000-0005-0000-0000-00005FAA0000}"/>
    <cellStyle name="Normal 503 5 3 2" xfId="32797" xr:uid="{00000000-0005-0000-0000-000060AA0000}"/>
    <cellStyle name="Normal 503 5 4" xfId="25866" xr:uid="{00000000-0005-0000-0000-000061AA0000}"/>
    <cellStyle name="Normal 503 6" xfId="8029" xr:uid="{00000000-0005-0000-0000-000062AA0000}"/>
    <cellStyle name="Normal 503 6 2" xfId="15826" xr:uid="{00000000-0005-0000-0000-000063AA0000}"/>
    <cellStyle name="Normal 503 6 2 2" xfId="33461" xr:uid="{00000000-0005-0000-0000-000064AA0000}"/>
    <cellStyle name="Normal 503 6 3" xfId="26445" xr:uid="{00000000-0005-0000-0000-000065AA0000}"/>
    <cellStyle name="Normal 503 7" xfId="11990" xr:uid="{00000000-0005-0000-0000-000066AA0000}"/>
    <cellStyle name="Normal 503 7 2" xfId="29672" xr:uid="{00000000-0005-0000-0000-000067AA0000}"/>
    <cellStyle name="Normal 503 8" xfId="23580" xr:uid="{00000000-0005-0000-0000-000068AA0000}"/>
    <cellStyle name="Normal 503 9" xfId="52516" xr:uid="{00000000-0005-0000-0000-000069AA0000}"/>
    <cellStyle name="Normal 504" xfId="2887" xr:uid="{00000000-0005-0000-0000-00006AAA0000}"/>
    <cellStyle name="Normal 504 2" xfId="4950" xr:uid="{00000000-0005-0000-0000-00006BAA0000}"/>
    <cellStyle name="Normal 504 2 2" xfId="8712" xr:uid="{00000000-0005-0000-0000-00006CAA0000}"/>
    <cellStyle name="Normal 504 2 2 2" xfId="16508" xr:uid="{00000000-0005-0000-0000-00006DAA0000}"/>
    <cellStyle name="Normal 504 2 2 2 2" xfId="34143" xr:uid="{00000000-0005-0000-0000-00006EAA0000}"/>
    <cellStyle name="Normal 504 2 2 3" xfId="27113" xr:uid="{00000000-0005-0000-0000-00006FAA0000}"/>
    <cellStyle name="Normal 504 2 3" xfId="13013" xr:uid="{00000000-0005-0000-0000-000070AA0000}"/>
    <cellStyle name="Normal 504 2 3 2" xfId="30662" xr:uid="{00000000-0005-0000-0000-000071AA0000}"/>
    <cellStyle name="Normal 504 2 4" xfId="24248" xr:uid="{00000000-0005-0000-0000-000072AA0000}"/>
    <cellStyle name="Normal 504 3" xfId="5969" xr:uid="{00000000-0005-0000-0000-000073AA0000}"/>
    <cellStyle name="Normal 504 3 2" xfId="9269" xr:uid="{00000000-0005-0000-0000-000074AA0000}"/>
    <cellStyle name="Normal 504 3 2 2" xfId="17064" xr:uid="{00000000-0005-0000-0000-000075AA0000}"/>
    <cellStyle name="Normal 504 3 2 2 2" xfId="34700" xr:uid="{00000000-0005-0000-0000-000076AA0000}"/>
    <cellStyle name="Normal 504 3 2 3" xfId="27657" xr:uid="{00000000-0005-0000-0000-000077AA0000}"/>
    <cellStyle name="Normal 504 3 3" xfId="13825" xr:uid="{00000000-0005-0000-0000-000078AA0000}"/>
    <cellStyle name="Normal 504 3 3 2" xfId="31465" xr:uid="{00000000-0005-0000-0000-000079AA0000}"/>
    <cellStyle name="Normal 504 3 4" xfId="24792" xr:uid="{00000000-0005-0000-0000-00007AAA0000}"/>
    <cellStyle name="Normal 504 4" xfId="6599" xr:uid="{00000000-0005-0000-0000-00007BAA0000}"/>
    <cellStyle name="Normal 504 4 2" xfId="9809" xr:uid="{00000000-0005-0000-0000-00007CAA0000}"/>
    <cellStyle name="Normal 504 4 2 2" xfId="17603" xr:uid="{00000000-0005-0000-0000-00007DAA0000}"/>
    <cellStyle name="Normal 504 4 2 2 2" xfId="35240" xr:uid="{00000000-0005-0000-0000-00007EAA0000}"/>
    <cellStyle name="Normal 504 4 2 3" xfId="28193" xr:uid="{00000000-0005-0000-0000-00007FAA0000}"/>
    <cellStyle name="Normal 504 4 3" xfId="14388" xr:uid="{00000000-0005-0000-0000-000080AA0000}"/>
    <cellStyle name="Normal 504 4 3 2" xfId="32023" xr:uid="{00000000-0005-0000-0000-000081AA0000}"/>
    <cellStyle name="Normal 504 4 4" xfId="25329" xr:uid="{00000000-0005-0000-0000-000082AA0000}"/>
    <cellStyle name="Normal 504 5" xfId="7375" xr:uid="{00000000-0005-0000-0000-000083AA0000}"/>
    <cellStyle name="Normal 504 5 2" xfId="10363" xr:uid="{00000000-0005-0000-0000-000084AA0000}"/>
    <cellStyle name="Normal 504 5 2 2" xfId="18156" xr:uid="{00000000-0005-0000-0000-000085AA0000}"/>
    <cellStyle name="Normal 504 5 2 2 2" xfId="35793" xr:uid="{00000000-0005-0000-0000-000086AA0000}"/>
    <cellStyle name="Normal 504 5 2 3" xfId="28730" xr:uid="{00000000-0005-0000-0000-000087AA0000}"/>
    <cellStyle name="Normal 504 5 3" xfId="15163" xr:uid="{00000000-0005-0000-0000-000088AA0000}"/>
    <cellStyle name="Normal 504 5 3 2" xfId="32798" xr:uid="{00000000-0005-0000-0000-000089AA0000}"/>
    <cellStyle name="Normal 504 5 4" xfId="25867" xr:uid="{00000000-0005-0000-0000-00008AAA0000}"/>
    <cellStyle name="Normal 504 6" xfId="8030" xr:uid="{00000000-0005-0000-0000-00008BAA0000}"/>
    <cellStyle name="Normal 504 6 2" xfId="15827" xr:uid="{00000000-0005-0000-0000-00008CAA0000}"/>
    <cellStyle name="Normal 504 6 2 2" xfId="33462" xr:uid="{00000000-0005-0000-0000-00008DAA0000}"/>
    <cellStyle name="Normal 504 6 3" xfId="26446" xr:uid="{00000000-0005-0000-0000-00008EAA0000}"/>
    <cellStyle name="Normal 504 7" xfId="11991" xr:uid="{00000000-0005-0000-0000-00008FAA0000}"/>
    <cellStyle name="Normal 504 7 2" xfId="29673" xr:uid="{00000000-0005-0000-0000-000090AA0000}"/>
    <cellStyle name="Normal 504 8" xfId="23581" xr:uid="{00000000-0005-0000-0000-000091AA0000}"/>
    <cellStyle name="Normal 504 9" xfId="52517" xr:uid="{00000000-0005-0000-0000-000092AA0000}"/>
    <cellStyle name="Normal 505" xfId="2888" xr:uid="{00000000-0005-0000-0000-000093AA0000}"/>
    <cellStyle name="Normal 505 2" xfId="4951" xr:uid="{00000000-0005-0000-0000-000094AA0000}"/>
    <cellStyle name="Normal 505 2 2" xfId="8713" xr:uid="{00000000-0005-0000-0000-000095AA0000}"/>
    <cellStyle name="Normal 505 2 2 2" xfId="16509" xr:uid="{00000000-0005-0000-0000-000096AA0000}"/>
    <cellStyle name="Normal 505 2 2 2 2" xfId="34144" xr:uid="{00000000-0005-0000-0000-000097AA0000}"/>
    <cellStyle name="Normal 505 2 2 3" xfId="27114" xr:uid="{00000000-0005-0000-0000-000098AA0000}"/>
    <cellStyle name="Normal 505 2 3" xfId="13014" xr:uid="{00000000-0005-0000-0000-000099AA0000}"/>
    <cellStyle name="Normal 505 2 3 2" xfId="30663" xr:uid="{00000000-0005-0000-0000-00009AAA0000}"/>
    <cellStyle name="Normal 505 2 4" xfId="24249" xr:uid="{00000000-0005-0000-0000-00009BAA0000}"/>
    <cellStyle name="Normal 505 3" xfId="5970" xr:uid="{00000000-0005-0000-0000-00009CAA0000}"/>
    <cellStyle name="Normal 505 3 2" xfId="9270" xr:uid="{00000000-0005-0000-0000-00009DAA0000}"/>
    <cellStyle name="Normal 505 3 2 2" xfId="17065" xr:uid="{00000000-0005-0000-0000-00009EAA0000}"/>
    <cellStyle name="Normal 505 3 2 2 2" xfId="34701" xr:uid="{00000000-0005-0000-0000-00009FAA0000}"/>
    <cellStyle name="Normal 505 3 2 3" xfId="27658" xr:uid="{00000000-0005-0000-0000-0000A0AA0000}"/>
    <cellStyle name="Normal 505 3 3" xfId="13826" xr:uid="{00000000-0005-0000-0000-0000A1AA0000}"/>
    <cellStyle name="Normal 505 3 3 2" xfId="31466" xr:uid="{00000000-0005-0000-0000-0000A2AA0000}"/>
    <cellStyle name="Normal 505 3 4" xfId="24793" xr:uid="{00000000-0005-0000-0000-0000A3AA0000}"/>
    <cellStyle name="Normal 505 4" xfId="6600" xr:uid="{00000000-0005-0000-0000-0000A4AA0000}"/>
    <cellStyle name="Normal 505 4 2" xfId="9810" xr:uid="{00000000-0005-0000-0000-0000A5AA0000}"/>
    <cellStyle name="Normal 505 4 2 2" xfId="17604" xr:uid="{00000000-0005-0000-0000-0000A6AA0000}"/>
    <cellStyle name="Normal 505 4 2 2 2" xfId="35241" xr:uid="{00000000-0005-0000-0000-0000A7AA0000}"/>
    <cellStyle name="Normal 505 4 2 3" xfId="28194" xr:uid="{00000000-0005-0000-0000-0000A8AA0000}"/>
    <cellStyle name="Normal 505 4 3" xfId="14389" xr:uid="{00000000-0005-0000-0000-0000A9AA0000}"/>
    <cellStyle name="Normal 505 4 3 2" xfId="32024" xr:uid="{00000000-0005-0000-0000-0000AAAA0000}"/>
    <cellStyle name="Normal 505 4 4" xfId="25330" xr:uid="{00000000-0005-0000-0000-0000ABAA0000}"/>
    <cellStyle name="Normal 505 5" xfId="7376" xr:uid="{00000000-0005-0000-0000-0000ACAA0000}"/>
    <cellStyle name="Normal 505 5 2" xfId="10364" xr:uid="{00000000-0005-0000-0000-0000ADAA0000}"/>
    <cellStyle name="Normal 505 5 2 2" xfId="18157" xr:uid="{00000000-0005-0000-0000-0000AEAA0000}"/>
    <cellStyle name="Normal 505 5 2 2 2" xfId="35794" xr:uid="{00000000-0005-0000-0000-0000AFAA0000}"/>
    <cellStyle name="Normal 505 5 2 3" xfId="28731" xr:uid="{00000000-0005-0000-0000-0000B0AA0000}"/>
    <cellStyle name="Normal 505 5 3" xfId="15164" xr:uid="{00000000-0005-0000-0000-0000B1AA0000}"/>
    <cellStyle name="Normal 505 5 3 2" xfId="32799" xr:uid="{00000000-0005-0000-0000-0000B2AA0000}"/>
    <cellStyle name="Normal 505 5 4" xfId="25868" xr:uid="{00000000-0005-0000-0000-0000B3AA0000}"/>
    <cellStyle name="Normal 505 6" xfId="8031" xr:uid="{00000000-0005-0000-0000-0000B4AA0000}"/>
    <cellStyle name="Normal 505 6 2" xfId="15828" xr:uid="{00000000-0005-0000-0000-0000B5AA0000}"/>
    <cellStyle name="Normal 505 6 2 2" xfId="33463" xr:uid="{00000000-0005-0000-0000-0000B6AA0000}"/>
    <cellStyle name="Normal 505 6 3" xfId="26447" xr:uid="{00000000-0005-0000-0000-0000B7AA0000}"/>
    <cellStyle name="Normal 505 7" xfId="11992" xr:uid="{00000000-0005-0000-0000-0000B8AA0000}"/>
    <cellStyle name="Normal 505 7 2" xfId="29674" xr:uid="{00000000-0005-0000-0000-0000B9AA0000}"/>
    <cellStyle name="Normal 505 8" xfId="23582" xr:uid="{00000000-0005-0000-0000-0000BAAA0000}"/>
    <cellStyle name="Normal 505 9" xfId="52518" xr:uid="{00000000-0005-0000-0000-0000BBAA0000}"/>
    <cellStyle name="Normal 506" xfId="2889" xr:uid="{00000000-0005-0000-0000-0000BCAA0000}"/>
    <cellStyle name="Normal 506 2" xfId="4952" xr:uid="{00000000-0005-0000-0000-0000BDAA0000}"/>
    <cellStyle name="Normal 506 2 2" xfId="8714" xr:uid="{00000000-0005-0000-0000-0000BEAA0000}"/>
    <cellStyle name="Normal 506 2 2 2" xfId="16510" xr:uid="{00000000-0005-0000-0000-0000BFAA0000}"/>
    <cellStyle name="Normal 506 2 2 2 2" xfId="34145" xr:uid="{00000000-0005-0000-0000-0000C0AA0000}"/>
    <cellStyle name="Normal 506 2 2 3" xfId="27115" xr:uid="{00000000-0005-0000-0000-0000C1AA0000}"/>
    <cellStyle name="Normal 506 2 3" xfId="13015" xr:uid="{00000000-0005-0000-0000-0000C2AA0000}"/>
    <cellStyle name="Normal 506 2 3 2" xfId="30664" xr:uid="{00000000-0005-0000-0000-0000C3AA0000}"/>
    <cellStyle name="Normal 506 2 4" xfId="24250" xr:uid="{00000000-0005-0000-0000-0000C4AA0000}"/>
    <cellStyle name="Normal 506 3" xfId="5971" xr:uid="{00000000-0005-0000-0000-0000C5AA0000}"/>
    <cellStyle name="Normal 506 3 2" xfId="9271" xr:uid="{00000000-0005-0000-0000-0000C6AA0000}"/>
    <cellStyle name="Normal 506 3 2 2" xfId="17066" xr:uid="{00000000-0005-0000-0000-0000C7AA0000}"/>
    <cellStyle name="Normal 506 3 2 2 2" xfId="34702" xr:uid="{00000000-0005-0000-0000-0000C8AA0000}"/>
    <cellStyle name="Normal 506 3 2 3" xfId="27659" xr:uid="{00000000-0005-0000-0000-0000C9AA0000}"/>
    <cellStyle name="Normal 506 3 3" xfId="13827" xr:uid="{00000000-0005-0000-0000-0000CAAA0000}"/>
    <cellStyle name="Normal 506 3 3 2" xfId="31467" xr:uid="{00000000-0005-0000-0000-0000CBAA0000}"/>
    <cellStyle name="Normal 506 3 4" xfId="24794" xr:uid="{00000000-0005-0000-0000-0000CCAA0000}"/>
    <cellStyle name="Normal 506 4" xfId="6601" xr:uid="{00000000-0005-0000-0000-0000CDAA0000}"/>
    <cellStyle name="Normal 506 4 2" xfId="9811" xr:uid="{00000000-0005-0000-0000-0000CEAA0000}"/>
    <cellStyle name="Normal 506 4 2 2" xfId="17605" xr:uid="{00000000-0005-0000-0000-0000CFAA0000}"/>
    <cellStyle name="Normal 506 4 2 2 2" xfId="35242" xr:uid="{00000000-0005-0000-0000-0000D0AA0000}"/>
    <cellStyle name="Normal 506 4 2 3" xfId="28195" xr:uid="{00000000-0005-0000-0000-0000D1AA0000}"/>
    <cellStyle name="Normal 506 4 3" xfId="14390" xr:uid="{00000000-0005-0000-0000-0000D2AA0000}"/>
    <cellStyle name="Normal 506 4 3 2" xfId="32025" xr:uid="{00000000-0005-0000-0000-0000D3AA0000}"/>
    <cellStyle name="Normal 506 4 4" xfId="25331" xr:uid="{00000000-0005-0000-0000-0000D4AA0000}"/>
    <cellStyle name="Normal 506 5" xfId="7377" xr:uid="{00000000-0005-0000-0000-0000D5AA0000}"/>
    <cellStyle name="Normal 506 5 2" xfId="10365" xr:uid="{00000000-0005-0000-0000-0000D6AA0000}"/>
    <cellStyle name="Normal 506 5 2 2" xfId="18158" xr:uid="{00000000-0005-0000-0000-0000D7AA0000}"/>
    <cellStyle name="Normal 506 5 2 2 2" xfId="35795" xr:uid="{00000000-0005-0000-0000-0000D8AA0000}"/>
    <cellStyle name="Normal 506 5 2 3" xfId="28732" xr:uid="{00000000-0005-0000-0000-0000D9AA0000}"/>
    <cellStyle name="Normal 506 5 3" xfId="15165" xr:uid="{00000000-0005-0000-0000-0000DAAA0000}"/>
    <cellStyle name="Normal 506 5 3 2" xfId="32800" xr:uid="{00000000-0005-0000-0000-0000DBAA0000}"/>
    <cellStyle name="Normal 506 5 4" xfId="25869" xr:uid="{00000000-0005-0000-0000-0000DCAA0000}"/>
    <cellStyle name="Normal 506 6" xfId="8032" xr:uid="{00000000-0005-0000-0000-0000DDAA0000}"/>
    <cellStyle name="Normal 506 6 2" xfId="15829" xr:uid="{00000000-0005-0000-0000-0000DEAA0000}"/>
    <cellStyle name="Normal 506 6 2 2" xfId="33464" xr:uid="{00000000-0005-0000-0000-0000DFAA0000}"/>
    <cellStyle name="Normal 506 6 3" xfId="26448" xr:uid="{00000000-0005-0000-0000-0000E0AA0000}"/>
    <cellStyle name="Normal 506 7" xfId="11993" xr:uid="{00000000-0005-0000-0000-0000E1AA0000}"/>
    <cellStyle name="Normal 506 7 2" xfId="29675" xr:uid="{00000000-0005-0000-0000-0000E2AA0000}"/>
    <cellStyle name="Normal 506 8" xfId="23583" xr:uid="{00000000-0005-0000-0000-0000E3AA0000}"/>
    <cellStyle name="Normal 506 9" xfId="52519" xr:uid="{00000000-0005-0000-0000-0000E4AA0000}"/>
    <cellStyle name="Normal 507" xfId="2890" xr:uid="{00000000-0005-0000-0000-0000E5AA0000}"/>
    <cellStyle name="Normal 507 2" xfId="4953" xr:uid="{00000000-0005-0000-0000-0000E6AA0000}"/>
    <cellStyle name="Normal 507 2 2" xfId="8715" xr:uid="{00000000-0005-0000-0000-0000E7AA0000}"/>
    <cellStyle name="Normal 507 2 2 2" xfId="16511" xr:uid="{00000000-0005-0000-0000-0000E8AA0000}"/>
    <cellStyle name="Normal 507 2 2 2 2" xfId="34146" xr:uid="{00000000-0005-0000-0000-0000E9AA0000}"/>
    <cellStyle name="Normal 507 2 2 3" xfId="27116" xr:uid="{00000000-0005-0000-0000-0000EAAA0000}"/>
    <cellStyle name="Normal 507 2 3" xfId="13016" xr:uid="{00000000-0005-0000-0000-0000EBAA0000}"/>
    <cellStyle name="Normal 507 2 3 2" xfId="30665" xr:uid="{00000000-0005-0000-0000-0000ECAA0000}"/>
    <cellStyle name="Normal 507 2 4" xfId="24251" xr:uid="{00000000-0005-0000-0000-0000EDAA0000}"/>
    <cellStyle name="Normal 507 3" xfId="5972" xr:uid="{00000000-0005-0000-0000-0000EEAA0000}"/>
    <cellStyle name="Normal 507 3 2" xfId="9272" xr:uid="{00000000-0005-0000-0000-0000EFAA0000}"/>
    <cellStyle name="Normal 507 3 2 2" xfId="17067" xr:uid="{00000000-0005-0000-0000-0000F0AA0000}"/>
    <cellStyle name="Normal 507 3 2 2 2" xfId="34703" xr:uid="{00000000-0005-0000-0000-0000F1AA0000}"/>
    <cellStyle name="Normal 507 3 2 3" xfId="27660" xr:uid="{00000000-0005-0000-0000-0000F2AA0000}"/>
    <cellStyle name="Normal 507 3 3" xfId="13828" xr:uid="{00000000-0005-0000-0000-0000F3AA0000}"/>
    <cellStyle name="Normal 507 3 3 2" xfId="31468" xr:uid="{00000000-0005-0000-0000-0000F4AA0000}"/>
    <cellStyle name="Normal 507 3 4" xfId="24795" xr:uid="{00000000-0005-0000-0000-0000F5AA0000}"/>
    <cellStyle name="Normal 507 4" xfId="6602" xr:uid="{00000000-0005-0000-0000-0000F6AA0000}"/>
    <cellStyle name="Normal 507 4 2" xfId="9812" xr:uid="{00000000-0005-0000-0000-0000F7AA0000}"/>
    <cellStyle name="Normal 507 4 2 2" xfId="17606" xr:uid="{00000000-0005-0000-0000-0000F8AA0000}"/>
    <cellStyle name="Normal 507 4 2 2 2" xfId="35243" xr:uid="{00000000-0005-0000-0000-0000F9AA0000}"/>
    <cellStyle name="Normal 507 4 2 3" xfId="28196" xr:uid="{00000000-0005-0000-0000-0000FAAA0000}"/>
    <cellStyle name="Normal 507 4 3" xfId="14391" xr:uid="{00000000-0005-0000-0000-0000FBAA0000}"/>
    <cellStyle name="Normal 507 4 3 2" xfId="32026" xr:uid="{00000000-0005-0000-0000-0000FCAA0000}"/>
    <cellStyle name="Normal 507 4 4" xfId="25332" xr:uid="{00000000-0005-0000-0000-0000FDAA0000}"/>
    <cellStyle name="Normal 507 5" xfId="7378" xr:uid="{00000000-0005-0000-0000-0000FEAA0000}"/>
    <cellStyle name="Normal 507 5 2" xfId="10366" xr:uid="{00000000-0005-0000-0000-0000FFAA0000}"/>
    <cellStyle name="Normal 507 5 2 2" xfId="18159" xr:uid="{00000000-0005-0000-0000-000000AB0000}"/>
    <cellStyle name="Normal 507 5 2 2 2" xfId="35796" xr:uid="{00000000-0005-0000-0000-000001AB0000}"/>
    <cellStyle name="Normal 507 5 2 3" xfId="28733" xr:uid="{00000000-0005-0000-0000-000002AB0000}"/>
    <cellStyle name="Normal 507 5 3" xfId="15166" xr:uid="{00000000-0005-0000-0000-000003AB0000}"/>
    <cellStyle name="Normal 507 5 3 2" xfId="32801" xr:uid="{00000000-0005-0000-0000-000004AB0000}"/>
    <cellStyle name="Normal 507 5 4" xfId="25870" xr:uid="{00000000-0005-0000-0000-000005AB0000}"/>
    <cellStyle name="Normal 507 6" xfId="8033" xr:uid="{00000000-0005-0000-0000-000006AB0000}"/>
    <cellStyle name="Normal 507 6 2" xfId="15830" xr:uid="{00000000-0005-0000-0000-000007AB0000}"/>
    <cellStyle name="Normal 507 6 2 2" xfId="33465" xr:uid="{00000000-0005-0000-0000-000008AB0000}"/>
    <cellStyle name="Normal 507 6 3" xfId="26449" xr:uid="{00000000-0005-0000-0000-000009AB0000}"/>
    <cellStyle name="Normal 507 7" xfId="11994" xr:uid="{00000000-0005-0000-0000-00000AAB0000}"/>
    <cellStyle name="Normal 507 7 2" xfId="29676" xr:uid="{00000000-0005-0000-0000-00000BAB0000}"/>
    <cellStyle name="Normal 507 8" xfId="23584" xr:uid="{00000000-0005-0000-0000-00000CAB0000}"/>
    <cellStyle name="Normal 507 9" xfId="52520" xr:uid="{00000000-0005-0000-0000-00000DAB0000}"/>
    <cellStyle name="Normal 508" xfId="2891" xr:uid="{00000000-0005-0000-0000-00000EAB0000}"/>
    <cellStyle name="Normal 508 2" xfId="4954" xr:uid="{00000000-0005-0000-0000-00000FAB0000}"/>
    <cellStyle name="Normal 508 2 2" xfId="8716" xr:uid="{00000000-0005-0000-0000-000010AB0000}"/>
    <cellStyle name="Normal 508 2 2 2" xfId="16512" xr:uid="{00000000-0005-0000-0000-000011AB0000}"/>
    <cellStyle name="Normal 508 2 2 2 2" xfId="34147" xr:uid="{00000000-0005-0000-0000-000012AB0000}"/>
    <cellStyle name="Normal 508 2 2 3" xfId="27117" xr:uid="{00000000-0005-0000-0000-000013AB0000}"/>
    <cellStyle name="Normal 508 2 3" xfId="13017" xr:uid="{00000000-0005-0000-0000-000014AB0000}"/>
    <cellStyle name="Normal 508 2 3 2" xfId="30666" xr:uid="{00000000-0005-0000-0000-000015AB0000}"/>
    <cellStyle name="Normal 508 2 4" xfId="24252" xr:uid="{00000000-0005-0000-0000-000016AB0000}"/>
    <cellStyle name="Normal 508 3" xfId="5973" xr:uid="{00000000-0005-0000-0000-000017AB0000}"/>
    <cellStyle name="Normal 508 3 2" xfId="9273" xr:uid="{00000000-0005-0000-0000-000018AB0000}"/>
    <cellStyle name="Normal 508 3 2 2" xfId="17068" xr:uid="{00000000-0005-0000-0000-000019AB0000}"/>
    <cellStyle name="Normal 508 3 2 2 2" xfId="34704" xr:uid="{00000000-0005-0000-0000-00001AAB0000}"/>
    <cellStyle name="Normal 508 3 2 3" xfId="27661" xr:uid="{00000000-0005-0000-0000-00001BAB0000}"/>
    <cellStyle name="Normal 508 3 3" xfId="13829" xr:uid="{00000000-0005-0000-0000-00001CAB0000}"/>
    <cellStyle name="Normal 508 3 3 2" xfId="31469" xr:uid="{00000000-0005-0000-0000-00001DAB0000}"/>
    <cellStyle name="Normal 508 3 4" xfId="24796" xr:uid="{00000000-0005-0000-0000-00001EAB0000}"/>
    <cellStyle name="Normal 508 4" xfId="6603" xr:uid="{00000000-0005-0000-0000-00001FAB0000}"/>
    <cellStyle name="Normal 508 4 2" xfId="9813" xr:uid="{00000000-0005-0000-0000-000020AB0000}"/>
    <cellStyle name="Normal 508 4 2 2" xfId="17607" xr:uid="{00000000-0005-0000-0000-000021AB0000}"/>
    <cellStyle name="Normal 508 4 2 2 2" xfId="35244" xr:uid="{00000000-0005-0000-0000-000022AB0000}"/>
    <cellStyle name="Normal 508 4 2 3" xfId="28197" xr:uid="{00000000-0005-0000-0000-000023AB0000}"/>
    <cellStyle name="Normal 508 4 3" xfId="14392" xr:uid="{00000000-0005-0000-0000-000024AB0000}"/>
    <cellStyle name="Normal 508 4 3 2" xfId="32027" xr:uid="{00000000-0005-0000-0000-000025AB0000}"/>
    <cellStyle name="Normal 508 4 4" xfId="25333" xr:uid="{00000000-0005-0000-0000-000026AB0000}"/>
    <cellStyle name="Normal 508 5" xfId="7379" xr:uid="{00000000-0005-0000-0000-000027AB0000}"/>
    <cellStyle name="Normal 508 5 2" xfId="10367" xr:uid="{00000000-0005-0000-0000-000028AB0000}"/>
    <cellStyle name="Normal 508 5 2 2" xfId="18160" xr:uid="{00000000-0005-0000-0000-000029AB0000}"/>
    <cellStyle name="Normal 508 5 2 2 2" xfId="35797" xr:uid="{00000000-0005-0000-0000-00002AAB0000}"/>
    <cellStyle name="Normal 508 5 2 3" xfId="28734" xr:uid="{00000000-0005-0000-0000-00002BAB0000}"/>
    <cellStyle name="Normal 508 5 3" xfId="15167" xr:uid="{00000000-0005-0000-0000-00002CAB0000}"/>
    <cellStyle name="Normal 508 5 3 2" xfId="32802" xr:uid="{00000000-0005-0000-0000-00002DAB0000}"/>
    <cellStyle name="Normal 508 5 4" xfId="25871" xr:uid="{00000000-0005-0000-0000-00002EAB0000}"/>
    <cellStyle name="Normal 508 6" xfId="8034" xr:uid="{00000000-0005-0000-0000-00002FAB0000}"/>
    <cellStyle name="Normal 508 6 2" xfId="15831" xr:uid="{00000000-0005-0000-0000-000030AB0000}"/>
    <cellStyle name="Normal 508 6 2 2" xfId="33466" xr:uid="{00000000-0005-0000-0000-000031AB0000}"/>
    <cellStyle name="Normal 508 6 3" xfId="26450" xr:uid="{00000000-0005-0000-0000-000032AB0000}"/>
    <cellStyle name="Normal 508 7" xfId="11995" xr:uid="{00000000-0005-0000-0000-000033AB0000}"/>
    <cellStyle name="Normal 508 7 2" xfId="29677" xr:uid="{00000000-0005-0000-0000-000034AB0000}"/>
    <cellStyle name="Normal 508 8" xfId="23585" xr:uid="{00000000-0005-0000-0000-000035AB0000}"/>
    <cellStyle name="Normal 508 9" xfId="52521" xr:uid="{00000000-0005-0000-0000-000036AB0000}"/>
    <cellStyle name="Normal 509" xfId="2892" xr:uid="{00000000-0005-0000-0000-000037AB0000}"/>
    <cellStyle name="Normal 509 2" xfId="4955" xr:uid="{00000000-0005-0000-0000-000038AB0000}"/>
    <cellStyle name="Normal 509 2 2" xfId="8717" xr:uid="{00000000-0005-0000-0000-000039AB0000}"/>
    <cellStyle name="Normal 509 2 2 2" xfId="16513" xr:uid="{00000000-0005-0000-0000-00003AAB0000}"/>
    <cellStyle name="Normal 509 2 2 2 2" xfId="34148" xr:uid="{00000000-0005-0000-0000-00003BAB0000}"/>
    <cellStyle name="Normal 509 2 2 3" xfId="27118" xr:uid="{00000000-0005-0000-0000-00003CAB0000}"/>
    <cellStyle name="Normal 509 2 3" xfId="13018" xr:uid="{00000000-0005-0000-0000-00003DAB0000}"/>
    <cellStyle name="Normal 509 2 3 2" xfId="30667" xr:uid="{00000000-0005-0000-0000-00003EAB0000}"/>
    <cellStyle name="Normal 509 2 4" xfId="24253" xr:uid="{00000000-0005-0000-0000-00003FAB0000}"/>
    <cellStyle name="Normal 509 3" xfId="5974" xr:uid="{00000000-0005-0000-0000-000040AB0000}"/>
    <cellStyle name="Normal 509 3 2" xfId="9274" xr:uid="{00000000-0005-0000-0000-000041AB0000}"/>
    <cellStyle name="Normal 509 3 2 2" xfId="17069" xr:uid="{00000000-0005-0000-0000-000042AB0000}"/>
    <cellStyle name="Normal 509 3 2 2 2" xfId="34705" xr:uid="{00000000-0005-0000-0000-000043AB0000}"/>
    <cellStyle name="Normal 509 3 2 3" xfId="27662" xr:uid="{00000000-0005-0000-0000-000044AB0000}"/>
    <cellStyle name="Normal 509 3 3" xfId="13830" xr:uid="{00000000-0005-0000-0000-000045AB0000}"/>
    <cellStyle name="Normal 509 3 3 2" xfId="31470" xr:uid="{00000000-0005-0000-0000-000046AB0000}"/>
    <cellStyle name="Normal 509 3 4" xfId="24797" xr:uid="{00000000-0005-0000-0000-000047AB0000}"/>
    <cellStyle name="Normal 509 4" xfId="6604" xr:uid="{00000000-0005-0000-0000-000048AB0000}"/>
    <cellStyle name="Normal 509 4 2" xfId="9814" xr:uid="{00000000-0005-0000-0000-000049AB0000}"/>
    <cellStyle name="Normal 509 4 2 2" xfId="17608" xr:uid="{00000000-0005-0000-0000-00004AAB0000}"/>
    <cellStyle name="Normal 509 4 2 2 2" xfId="35245" xr:uid="{00000000-0005-0000-0000-00004BAB0000}"/>
    <cellStyle name="Normal 509 4 2 3" xfId="28198" xr:uid="{00000000-0005-0000-0000-00004CAB0000}"/>
    <cellStyle name="Normal 509 4 3" xfId="14393" xr:uid="{00000000-0005-0000-0000-00004DAB0000}"/>
    <cellStyle name="Normal 509 4 3 2" xfId="32028" xr:uid="{00000000-0005-0000-0000-00004EAB0000}"/>
    <cellStyle name="Normal 509 4 4" xfId="25334" xr:uid="{00000000-0005-0000-0000-00004FAB0000}"/>
    <cellStyle name="Normal 509 5" xfId="7380" xr:uid="{00000000-0005-0000-0000-000050AB0000}"/>
    <cellStyle name="Normal 509 5 2" xfId="10368" xr:uid="{00000000-0005-0000-0000-000051AB0000}"/>
    <cellStyle name="Normal 509 5 2 2" xfId="18161" xr:uid="{00000000-0005-0000-0000-000052AB0000}"/>
    <cellStyle name="Normal 509 5 2 2 2" xfId="35798" xr:uid="{00000000-0005-0000-0000-000053AB0000}"/>
    <cellStyle name="Normal 509 5 2 3" xfId="28735" xr:uid="{00000000-0005-0000-0000-000054AB0000}"/>
    <cellStyle name="Normal 509 5 3" xfId="15168" xr:uid="{00000000-0005-0000-0000-000055AB0000}"/>
    <cellStyle name="Normal 509 5 3 2" xfId="32803" xr:uid="{00000000-0005-0000-0000-000056AB0000}"/>
    <cellStyle name="Normal 509 5 4" xfId="25872" xr:uid="{00000000-0005-0000-0000-000057AB0000}"/>
    <cellStyle name="Normal 509 6" xfId="8035" xr:uid="{00000000-0005-0000-0000-000058AB0000}"/>
    <cellStyle name="Normal 509 6 2" xfId="15832" xr:uid="{00000000-0005-0000-0000-000059AB0000}"/>
    <cellStyle name="Normal 509 6 2 2" xfId="33467" xr:uid="{00000000-0005-0000-0000-00005AAB0000}"/>
    <cellStyle name="Normal 509 6 3" xfId="26451" xr:uid="{00000000-0005-0000-0000-00005BAB0000}"/>
    <cellStyle name="Normal 509 7" xfId="11996" xr:uid="{00000000-0005-0000-0000-00005CAB0000}"/>
    <cellStyle name="Normal 509 7 2" xfId="29678" xr:uid="{00000000-0005-0000-0000-00005DAB0000}"/>
    <cellStyle name="Normal 509 8" xfId="23586" xr:uid="{00000000-0005-0000-0000-00005EAB0000}"/>
    <cellStyle name="Normal 509 9" xfId="52522" xr:uid="{00000000-0005-0000-0000-00005FAB0000}"/>
    <cellStyle name="Normal 51" xfId="2893" xr:uid="{00000000-0005-0000-0000-000060AB0000}"/>
    <cellStyle name="Normal 51 2" xfId="4956" xr:uid="{00000000-0005-0000-0000-000061AB0000}"/>
    <cellStyle name="Normal 51 3" xfId="52523" xr:uid="{00000000-0005-0000-0000-000062AB0000}"/>
    <cellStyle name="Normal 510" xfId="2894" xr:uid="{00000000-0005-0000-0000-000063AB0000}"/>
    <cellStyle name="Normal 510 2" xfId="4957" xr:uid="{00000000-0005-0000-0000-000064AB0000}"/>
    <cellStyle name="Normal 510 2 2" xfId="8718" xr:uid="{00000000-0005-0000-0000-000065AB0000}"/>
    <cellStyle name="Normal 510 2 2 2" xfId="16514" xr:uid="{00000000-0005-0000-0000-000066AB0000}"/>
    <cellStyle name="Normal 510 2 2 2 2" xfId="34149" xr:uid="{00000000-0005-0000-0000-000067AB0000}"/>
    <cellStyle name="Normal 510 2 2 3" xfId="27119" xr:uid="{00000000-0005-0000-0000-000068AB0000}"/>
    <cellStyle name="Normal 510 2 3" xfId="13019" xr:uid="{00000000-0005-0000-0000-000069AB0000}"/>
    <cellStyle name="Normal 510 2 3 2" xfId="30668" xr:uid="{00000000-0005-0000-0000-00006AAB0000}"/>
    <cellStyle name="Normal 510 2 4" xfId="24254" xr:uid="{00000000-0005-0000-0000-00006BAB0000}"/>
    <cellStyle name="Normal 510 3" xfId="5975" xr:uid="{00000000-0005-0000-0000-00006CAB0000}"/>
    <cellStyle name="Normal 510 3 2" xfId="9275" xr:uid="{00000000-0005-0000-0000-00006DAB0000}"/>
    <cellStyle name="Normal 510 3 2 2" xfId="17070" xr:uid="{00000000-0005-0000-0000-00006EAB0000}"/>
    <cellStyle name="Normal 510 3 2 2 2" xfId="34706" xr:uid="{00000000-0005-0000-0000-00006FAB0000}"/>
    <cellStyle name="Normal 510 3 2 3" xfId="27663" xr:uid="{00000000-0005-0000-0000-000070AB0000}"/>
    <cellStyle name="Normal 510 3 3" xfId="13831" xr:uid="{00000000-0005-0000-0000-000071AB0000}"/>
    <cellStyle name="Normal 510 3 3 2" xfId="31471" xr:uid="{00000000-0005-0000-0000-000072AB0000}"/>
    <cellStyle name="Normal 510 3 4" xfId="24798" xr:uid="{00000000-0005-0000-0000-000073AB0000}"/>
    <cellStyle name="Normal 510 4" xfId="6605" xr:uid="{00000000-0005-0000-0000-000074AB0000}"/>
    <cellStyle name="Normal 510 4 2" xfId="9815" xr:uid="{00000000-0005-0000-0000-000075AB0000}"/>
    <cellStyle name="Normal 510 4 2 2" xfId="17609" xr:uid="{00000000-0005-0000-0000-000076AB0000}"/>
    <cellStyle name="Normal 510 4 2 2 2" xfId="35246" xr:uid="{00000000-0005-0000-0000-000077AB0000}"/>
    <cellStyle name="Normal 510 4 2 3" xfId="28199" xr:uid="{00000000-0005-0000-0000-000078AB0000}"/>
    <cellStyle name="Normal 510 4 3" xfId="14394" xr:uid="{00000000-0005-0000-0000-000079AB0000}"/>
    <cellStyle name="Normal 510 4 3 2" xfId="32029" xr:uid="{00000000-0005-0000-0000-00007AAB0000}"/>
    <cellStyle name="Normal 510 4 4" xfId="25335" xr:uid="{00000000-0005-0000-0000-00007BAB0000}"/>
    <cellStyle name="Normal 510 5" xfId="7381" xr:uid="{00000000-0005-0000-0000-00007CAB0000}"/>
    <cellStyle name="Normal 510 5 2" xfId="10369" xr:uid="{00000000-0005-0000-0000-00007DAB0000}"/>
    <cellStyle name="Normal 510 5 2 2" xfId="18162" xr:uid="{00000000-0005-0000-0000-00007EAB0000}"/>
    <cellStyle name="Normal 510 5 2 2 2" xfId="35799" xr:uid="{00000000-0005-0000-0000-00007FAB0000}"/>
    <cellStyle name="Normal 510 5 2 3" xfId="28736" xr:uid="{00000000-0005-0000-0000-000080AB0000}"/>
    <cellStyle name="Normal 510 5 3" xfId="15169" xr:uid="{00000000-0005-0000-0000-000081AB0000}"/>
    <cellStyle name="Normal 510 5 3 2" xfId="32804" xr:uid="{00000000-0005-0000-0000-000082AB0000}"/>
    <cellStyle name="Normal 510 5 4" xfId="25873" xr:uid="{00000000-0005-0000-0000-000083AB0000}"/>
    <cellStyle name="Normal 510 6" xfId="8036" xr:uid="{00000000-0005-0000-0000-000084AB0000}"/>
    <cellStyle name="Normal 510 6 2" xfId="15833" xr:uid="{00000000-0005-0000-0000-000085AB0000}"/>
    <cellStyle name="Normal 510 6 2 2" xfId="33468" xr:uid="{00000000-0005-0000-0000-000086AB0000}"/>
    <cellStyle name="Normal 510 6 3" xfId="26452" xr:uid="{00000000-0005-0000-0000-000087AB0000}"/>
    <cellStyle name="Normal 510 7" xfId="11997" xr:uid="{00000000-0005-0000-0000-000088AB0000}"/>
    <cellStyle name="Normal 510 7 2" xfId="29679" xr:uid="{00000000-0005-0000-0000-000089AB0000}"/>
    <cellStyle name="Normal 510 8" xfId="23587" xr:uid="{00000000-0005-0000-0000-00008AAB0000}"/>
    <cellStyle name="Normal 510 9" xfId="52524" xr:uid="{00000000-0005-0000-0000-00008BAB0000}"/>
    <cellStyle name="Normal 511" xfId="2895" xr:uid="{00000000-0005-0000-0000-00008CAB0000}"/>
    <cellStyle name="Normal 511 2" xfId="4958" xr:uid="{00000000-0005-0000-0000-00008DAB0000}"/>
    <cellStyle name="Normal 511 2 2" xfId="8719" xr:uid="{00000000-0005-0000-0000-00008EAB0000}"/>
    <cellStyle name="Normal 511 2 2 2" xfId="16515" xr:uid="{00000000-0005-0000-0000-00008FAB0000}"/>
    <cellStyle name="Normal 511 2 2 2 2" xfId="34150" xr:uid="{00000000-0005-0000-0000-000090AB0000}"/>
    <cellStyle name="Normal 511 2 2 3" xfId="27120" xr:uid="{00000000-0005-0000-0000-000091AB0000}"/>
    <cellStyle name="Normal 511 2 3" xfId="13020" xr:uid="{00000000-0005-0000-0000-000092AB0000}"/>
    <cellStyle name="Normal 511 2 3 2" xfId="30669" xr:uid="{00000000-0005-0000-0000-000093AB0000}"/>
    <cellStyle name="Normal 511 2 4" xfId="24255" xr:uid="{00000000-0005-0000-0000-000094AB0000}"/>
    <cellStyle name="Normal 511 3" xfId="5976" xr:uid="{00000000-0005-0000-0000-000095AB0000}"/>
    <cellStyle name="Normal 511 3 2" xfId="9276" xr:uid="{00000000-0005-0000-0000-000096AB0000}"/>
    <cellStyle name="Normal 511 3 2 2" xfId="17071" xr:uid="{00000000-0005-0000-0000-000097AB0000}"/>
    <cellStyle name="Normal 511 3 2 2 2" xfId="34707" xr:uid="{00000000-0005-0000-0000-000098AB0000}"/>
    <cellStyle name="Normal 511 3 2 3" xfId="27664" xr:uid="{00000000-0005-0000-0000-000099AB0000}"/>
    <cellStyle name="Normal 511 3 3" xfId="13832" xr:uid="{00000000-0005-0000-0000-00009AAB0000}"/>
    <cellStyle name="Normal 511 3 3 2" xfId="31472" xr:uid="{00000000-0005-0000-0000-00009BAB0000}"/>
    <cellStyle name="Normal 511 3 4" xfId="24799" xr:uid="{00000000-0005-0000-0000-00009CAB0000}"/>
    <cellStyle name="Normal 511 4" xfId="6606" xr:uid="{00000000-0005-0000-0000-00009DAB0000}"/>
    <cellStyle name="Normal 511 4 2" xfId="9816" xr:uid="{00000000-0005-0000-0000-00009EAB0000}"/>
    <cellStyle name="Normal 511 4 2 2" xfId="17610" xr:uid="{00000000-0005-0000-0000-00009FAB0000}"/>
    <cellStyle name="Normal 511 4 2 2 2" xfId="35247" xr:uid="{00000000-0005-0000-0000-0000A0AB0000}"/>
    <cellStyle name="Normal 511 4 2 3" xfId="28200" xr:uid="{00000000-0005-0000-0000-0000A1AB0000}"/>
    <cellStyle name="Normal 511 4 3" xfId="14395" xr:uid="{00000000-0005-0000-0000-0000A2AB0000}"/>
    <cellStyle name="Normal 511 4 3 2" xfId="32030" xr:uid="{00000000-0005-0000-0000-0000A3AB0000}"/>
    <cellStyle name="Normal 511 4 4" xfId="25336" xr:uid="{00000000-0005-0000-0000-0000A4AB0000}"/>
    <cellStyle name="Normal 511 5" xfId="7382" xr:uid="{00000000-0005-0000-0000-0000A5AB0000}"/>
    <cellStyle name="Normal 511 5 2" xfId="10370" xr:uid="{00000000-0005-0000-0000-0000A6AB0000}"/>
    <cellStyle name="Normal 511 5 2 2" xfId="18163" xr:uid="{00000000-0005-0000-0000-0000A7AB0000}"/>
    <cellStyle name="Normal 511 5 2 2 2" xfId="35800" xr:uid="{00000000-0005-0000-0000-0000A8AB0000}"/>
    <cellStyle name="Normal 511 5 2 3" xfId="28737" xr:uid="{00000000-0005-0000-0000-0000A9AB0000}"/>
    <cellStyle name="Normal 511 5 3" xfId="15170" xr:uid="{00000000-0005-0000-0000-0000AAAB0000}"/>
    <cellStyle name="Normal 511 5 3 2" xfId="32805" xr:uid="{00000000-0005-0000-0000-0000ABAB0000}"/>
    <cellStyle name="Normal 511 5 4" xfId="25874" xr:uid="{00000000-0005-0000-0000-0000ACAB0000}"/>
    <cellStyle name="Normal 511 6" xfId="8037" xr:uid="{00000000-0005-0000-0000-0000ADAB0000}"/>
    <cellStyle name="Normal 511 6 2" xfId="15834" xr:uid="{00000000-0005-0000-0000-0000AEAB0000}"/>
    <cellStyle name="Normal 511 6 2 2" xfId="33469" xr:uid="{00000000-0005-0000-0000-0000AFAB0000}"/>
    <cellStyle name="Normal 511 6 3" xfId="26453" xr:uid="{00000000-0005-0000-0000-0000B0AB0000}"/>
    <cellStyle name="Normal 511 7" xfId="11998" xr:uid="{00000000-0005-0000-0000-0000B1AB0000}"/>
    <cellStyle name="Normal 511 7 2" xfId="29680" xr:uid="{00000000-0005-0000-0000-0000B2AB0000}"/>
    <cellStyle name="Normal 511 8" xfId="23588" xr:uid="{00000000-0005-0000-0000-0000B3AB0000}"/>
    <cellStyle name="Normal 511 9" xfId="52525" xr:uid="{00000000-0005-0000-0000-0000B4AB0000}"/>
    <cellStyle name="Normal 512" xfId="2896" xr:uid="{00000000-0005-0000-0000-0000B5AB0000}"/>
    <cellStyle name="Normal 512 2" xfId="4959" xr:uid="{00000000-0005-0000-0000-0000B6AB0000}"/>
    <cellStyle name="Normal 512 2 2" xfId="8720" xr:uid="{00000000-0005-0000-0000-0000B7AB0000}"/>
    <cellStyle name="Normal 512 2 2 2" xfId="16516" xr:uid="{00000000-0005-0000-0000-0000B8AB0000}"/>
    <cellStyle name="Normal 512 2 2 2 2" xfId="34151" xr:uid="{00000000-0005-0000-0000-0000B9AB0000}"/>
    <cellStyle name="Normal 512 2 2 3" xfId="27121" xr:uid="{00000000-0005-0000-0000-0000BAAB0000}"/>
    <cellStyle name="Normal 512 2 3" xfId="13021" xr:uid="{00000000-0005-0000-0000-0000BBAB0000}"/>
    <cellStyle name="Normal 512 2 3 2" xfId="30670" xr:uid="{00000000-0005-0000-0000-0000BCAB0000}"/>
    <cellStyle name="Normal 512 2 4" xfId="24256" xr:uid="{00000000-0005-0000-0000-0000BDAB0000}"/>
    <cellStyle name="Normal 512 3" xfId="5977" xr:uid="{00000000-0005-0000-0000-0000BEAB0000}"/>
    <cellStyle name="Normal 512 3 2" xfId="9277" xr:uid="{00000000-0005-0000-0000-0000BFAB0000}"/>
    <cellStyle name="Normal 512 3 2 2" xfId="17072" xr:uid="{00000000-0005-0000-0000-0000C0AB0000}"/>
    <cellStyle name="Normal 512 3 2 2 2" xfId="34708" xr:uid="{00000000-0005-0000-0000-0000C1AB0000}"/>
    <cellStyle name="Normal 512 3 2 3" xfId="27665" xr:uid="{00000000-0005-0000-0000-0000C2AB0000}"/>
    <cellStyle name="Normal 512 3 3" xfId="13833" xr:uid="{00000000-0005-0000-0000-0000C3AB0000}"/>
    <cellStyle name="Normal 512 3 3 2" xfId="31473" xr:uid="{00000000-0005-0000-0000-0000C4AB0000}"/>
    <cellStyle name="Normal 512 3 4" xfId="24800" xr:uid="{00000000-0005-0000-0000-0000C5AB0000}"/>
    <cellStyle name="Normal 512 4" xfId="6607" xr:uid="{00000000-0005-0000-0000-0000C6AB0000}"/>
    <cellStyle name="Normal 512 4 2" xfId="9817" xr:uid="{00000000-0005-0000-0000-0000C7AB0000}"/>
    <cellStyle name="Normal 512 4 2 2" xfId="17611" xr:uid="{00000000-0005-0000-0000-0000C8AB0000}"/>
    <cellStyle name="Normal 512 4 2 2 2" xfId="35248" xr:uid="{00000000-0005-0000-0000-0000C9AB0000}"/>
    <cellStyle name="Normal 512 4 2 3" xfId="28201" xr:uid="{00000000-0005-0000-0000-0000CAAB0000}"/>
    <cellStyle name="Normal 512 4 3" xfId="14396" xr:uid="{00000000-0005-0000-0000-0000CBAB0000}"/>
    <cellStyle name="Normal 512 4 3 2" xfId="32031" xr:uid="{00000000-0005-0000-0000-0000CCAB0000}"/>
    <cellStyle name="Normal 512 4 4" xfId="25337" xr:uid="{00000000-0005-0000-0000-0000CDAB0000}"/>
    <cellStyle name="Normal 512 5" xfId="7383" xr:uid="{00000000-0005-0000-0000-0000CEAB0000}"/>
    <cellStyle name="Normal 512 5 2" xfId="10371" xr:uid="{00000000-0005-0000-0000-0000CFAB0000}"/>
    <cellStyle name="Normal 512 5 2 2" xfId="18164" xr:uid="{00000000-0005-0000-0000-0000D0AB0000}"/>
    <cellStyle name="Normal 512 5 2 2 2" xfId="35801" xr:uid="{00000000-0005-0000-0000-0000D1AB0000}"/>
    <cellStyle name="Normal 512 5 2 3" xfId="28738" xr:uid="{00000000-0005-0000-0000-0000D2AB0000}"/>
    <cellStyle name="Normal 512 5 3" xfId="15171" xr:uid="{00000000-0005-0000-0000-0000D3AB0000}"/>
    <cellStyle name="Normal 512 5 3 2" xfId="32806" xr:uid="{00000000-0005-0000-0000-0000D4AB0000}"/>
    <cellStyle name="Normal 512 5 4" xfId="25875" xr:uid="{00000000-0005-0000-0000-0000D5AB0000}"/>
    <cellStyle name="Normal 512 6" xfId="8038" xr:uid="{00000000-0005-0000-0000-0000D6AB0000}"/>
    <cellStyle name="Normal 512 6 2" xfId="15835" xr:uid="{00000000-0005-0000-0000-0000D7AB0000}"/>
    <cellStyle name="Normal 512 6 2 2" xfId="33470" xr:uid="{00000000-0005-0000-0000-0000D8AB0000}"/>
    <cellStyle name="Normal 512 6 3" xfId="26454" xr:uid="{00000000-0005-0000-0000-0000D9AB0000}"/>
    <cellStyle name="Normal 512 7" xfId="11999" xr:uid="{00000000-0005-0000-0000-0000DAAB0000}"/>
    <cellStyle name="Normal 512 7 2" xfId="29681" xr:uid="{00000000-0005-0000-0000-0000DBAB0000}"/>
    <cellStyle name="Normal 512 8" xfId="23589" xr:uid="{00000000-0005-0000-0000-0000DCAB0000}"/>
    <cellStyle name="Normal 512 9" xfId="52526" xr:uid="{00000000-0005-0000-0000-0000DDAB0000}"/>
    <cellStyle name="Normal 513" xfId="2897" xr:uid="{00000000-0005-0000-0000-0000DEAB0000}"/>
    <cellStyle name="Normal 513 2" xfId="4960" xr:uid="{00000000-0005-0000-0000-0000DFAB0000}"/>
    <cellStyle name="Normal 513 2 2" xfId="8721" xr:uid="{00000000-0005-0000-0000-0000E0AB0000}"/>
    <cellStyle name="Normal 513 2 2 2" xfId="16517" xr:uid="{00000000-0005-0000-0000-0000E1AB0000}"/>
    <cellStyle name="Normal 513 2 2 2 2" xfId="34152" xr:uid="{00000000-0005-0000-0000-0000E2AB0000}"/>
    <cellStyle name="Normal 513 2 2 3" xfId="27122" xr:uid="{00000000-0005-0000-0000-0000E3AB0000}"/>
    <cellStyle name="Normal 513 2 3" xfId="13022" xr:uid="{00000000-0005-0000-0000-0000E4AB0000}"/>
    <cellStyle name="Normal 513 2 3 2" xfId="30671" xr:uid="{00000000-0005-0000-0000-0000E5AB0000}"/>
    <cellStyle name="Normal 513 2 4" xfId="24257" xr:uid="{00000000-0005-0000-0000-0000E6AB0000}"/>
    <cellStyle name="Normal 513 3" xfId="5978" xr:uid="{00000000-0005-0000-0000-0000E7AB0000}"/>
    <cellStyle name="Normal 513 3 2" xfId="9278" xr:uid="{00000000-0005-0000-0000-0000E8AB0000}"/>
    <cellStyle name="Normal 513 3 2 2" xfId="17073" xr:uid="{00000000-0005-0000-0000-0000E9AB0000}"/>
    <cellStyle name="Normal 513 3 2 2 2" xfId="34709" xr:uid="{00000000-0005-0000-0000-0000EAAB0000}"/>
    <cellStyle name="Normal 513 3 2 3" xfId="27666" xr:uid="{00000000-0005-0000-0000-0000EBAB0000}"/>
    <cellStyle name="Normal 513 3 3" xfId="13834" xr:uid="{00000000-0005-0000-0000-0000ECAB0000}"/>
    <cellStyle name="Normal 513 3 3 2" xfId="31474" xr:uid="{00000000-0005-0000-0000-0000EDAB0000}"/>
    <cellStyle name="Normal 513 3 4" xfId="24801" xr:uid="{00000000-0005-0000-0000-0000EEAB0000}"/>
    <cellStyle name="Normal 513 4" xfId="6608" xr:uid="{00000000-0005-0000-0000-0000EFAB0000}"/>
    <cellStyle name="Normal 513 4 2" xfId="9818" xr:uid="{00000000-0005-0000-0000-0000F0AB0000}"/>
    <cellStyle name="Normal 513 4 2 2" xfId="17612" xr:uid="{00000000-0005-0000-0000-0000F1AB0000}"/>
    <cellStyle name="Normal 513 4 2 2 2" xfId="35249" xr:uid="{00000000-0005-0000-0000-0000F2AB0000}"/>
    <cellStyle name="Normal 513 4 2 3" xfId="28202" xr:uid="{00000000-0005-0000-0000-0000F3AB0000}"/>
    <cellStyle name="Normal 513 4 3" xfId="14397" xr:uid="{00000000-0005-0000-0000-0000F4AB0000}"/>
    <cellStyle name="Normal 513 4 3 2" xfId="32032" xr:uid="{00000000-0005-0000-0000-0000F5AB0000}"/>
    <cellStyle name="Normal 513 4 4" xfId="25338" xr:uid="{00000000-0005-0000-0000-0000F6AB0000}"/>
    <cellStyle name="Normal 513 5" xfId="7384" xr:uid="{00000000-0005-0000-0000-0000F7AB0000}"/>
    <cellStyle name="Normal 513 5 2" xfId="10372" xr:uid="{00000000-0005-0000-0000-0000F8AB0000}"/>
    <cellStyle name="Normal 513 5 2 2" xfId="18165" xr:uid="{00000000-0005-0000-0000-0000F9AB0000}"/>
    <cellStyle name="Normal 513 5 2 2 2" xfId="35802" xr:uid="{00000000-0005-0000-0000-0000FAAB0000}"/>
    <cellStyle name="Normal 513 5 2 3" xfId="28739" xr:uid="{00000000-0005-0000-0000-0000FBAB0000}"/>
    <cellStyle name="Normal 513 5 3" xfId="15172" xr:uid="{00000000-0005-0000-0000-0000FCAB0000}"/>
    <cellStyle name="Normal 513 5 3 2" xfId="32807" xr:uid="{00000000-0005-0000-0000-0000FDAB0000}"/>
    <cellStyle name="Normal 513 5 4" xfId="25876" xr:uid="{00000000-0005-0000-0000-0000FEAB0000}"/>
    <cellStyle name="Normal 513 6" xfId="8039" xr:uid="{00000000-0005-0000-0000-0000FFAB0000}"/>
    <cellStyle name="Normal 513 6 2" xfId="15836" xr:uid="{00000000-0005-0000-0000-000000AC0000}"/>
    <cellStyle name="Normal 513 6 2 2" xfId="33471" xr:uid="{00000000-0005-0000-0000-000001AC0000}"/>
    <cellStyle name="Normal 513 6 3" xfId="26455" xr:uid="{00000000-0005-0000-0000-000002AC0000}"/>
    <cellStyle name="Normal 513 7" xfId="12000" xr:uid="{00000000-0005-0000-0000-000003AC0000}"/>
    <cellStyle name="Normal 513 7 2" xfId="29682" xr:uid="{00000000-0005-0000-0000-000004AC0000}"/>
    <cellStyle name="Normal 513 8" xfId="23590" xr:uid="{00000000-0005-0000-0000-000005AC0000}"/>
    <cellStyle name="Normal 513 9" xfId="52527" xr:uid="{00000000-0005-0000-0000-000006AC0000}"/>
    <cellStyle name="Normal 514" xfId="2898" xr:uid="{00000000-0005-0000-0000-000007AC0000}"/>
    <cellStyle name="Normal 514 2" xfId="4961" xr:uid="{00000000-0005-0000-0000-000008AC0000}"/>
    <cellStyle name="Normal 514 2 2" xfId="8722" xr:uid="{00000000-0005-0000-0000-000009AC0000}"/>
    <cellStyle name="Normal 514 2 2 2" xfId="16518" xr:uid="{00000000-0005-0000-0000-00000AAC0000}"/>
    <cellStyle name="Normal 514 2 2 2 2" xfId="34153" xr:uid="{00000000-0005-0000-0000-00000BAC0000}"/>
    <cellStyle name="Normal 514 2 2 3" xfId="27123" xr:uid="{00000000-0005-0000-0000-00000CAC0000}"/>
    <cellStyle name="Normal 514 2 3" xfId="13023" xr:uid="{00000000-0005-0000-0000-00000DAC0000}"/>
    <cellStyle name="Normal 514 2 3 2" xfId="30672" xr:uid="{00000000-0005-0000-0000-00000EAC0000}"/>
    <cellStyle name="Normal 514 2 4" xfId="24258" xr:uid="{00000000-0005-0000-0000-00000FAC0000}"/>
    <cellStyle name="Normal 514 3" xfId="5979" xr:uid="{00000000-0005-0000-0000-000010AC0000}"/>
    <cellStyle name="Normal 514 3 2" xfId="9279" xr:uid="{00000000-0005-0000-0000-000011AC0000}"/>
    <cellStyle name="Normal 514 3 2 2" xfId="17074" xr:uid="{00000000-0005-0000-0000-000012AC0000}"/>
    <cellStyle name="Normal 514 3 2 2 2" xfId="34710" xr:uid="{00000000-0005-0000-0000-000013AC0000}"/>
    <cellStyle name="Normal 514 3 2 3" xfId="27667" xr:uid="{00000000-0005-0000-0000-000014AC0000}"/>
    <cellStyle name="Normal 514 3 3" xfId="13835" xr:uid="{00000000-0005-0000-0000-000015AC0000}"/>
    <cellStyle name="Normal 514 3 3 2" xfId="31475" xr:uid="{00000000-0005-0000-0000-000016AC0000}"/>
    <cellStyle name="Normal 514 3 4" xfId="24802" xr:uid="{00000000-0005-0000-0000-000017AC0000}"/>
    <cellStyle name="Normal 514 4" xfId="6609" xr:uid="{00000000-0005-0000-0000-000018AC0000}"/>
    <cellStyle name="Normal 514 4 2" xfId="9819" xr:uid="{00000000-0005-0000-0000-000019AC0000}"/>
    <cellStyle name="Normal 514 4 2 2" xfId="17613" xr:uid="{00000000-0005-0000-0000-00001AAC0000}"/>
    <cellStyle name="Normal 514 4 2 2 2" xfId="35250" xr:uid="{00000000-0005-0000-0000-00001BAC0000}"/>
    <cellStyle name="Normal 514 4 2 3" xfId="28203" xr:uid="{00000000-0005-0000-0000-00001CAC0000}"/>
    <cellStyle name="Normal 514 4 3" xfId="14398" xr:uid="{00000000-0005-0000-0000-00001DAC0000}"/>
    <cellStyle name="Normal 514 4 3 2" xfId="32033" xr:uid="{00000000-0005-0000-0000-00001EAC0000}"/>
    <cellStyle name="Normal 514 4 4" xfId="25339" xr:uid="{00000000-0005-0000-0000-00001FAC0000}"/>
    <cellStyle name="Normal 514 5" xfId="7385" xr:uid="{00000000-0005-0000-0000-000020AC0000}"/>
    <cellStyle name="Normal 514 5 2" xfId="10373" xr:uid="{00000000-0005-0000-0000-000021AC0000}"/>
    <cellStyle name="Normal 514 5 2 2" xfId="18166" xr:uid="{00000000-0005-0000-0000-000022AC0000}"/>
    <cellStyle name="Normal 514 5 2 2 2" xfId="35803" xr:uid="{00000000-0005-0000-0000-000023AC0000}"/>
    <cellStyle name="Normal 514 5 2 3" xfId="28740" xr:uid="{00000000-0005-0000-0000-000024AC0000}"/>
    <cellStyle name="Normal 514 5 3" xfId="15173" xr:uid="{00000000-0005-0000-0000-000025AC0000}"/>
    <cellStyle name="Normal 514 5 3 2" xfId="32808" xr:uid="{00000000-0005-0000-0000-000026AC0000}"/>
    <cellStyle name="Normal 514 5 4" xfId="25877" xr:uid="{00000000-0005-0000-0000-000027AC0000}"/>
    <cellStyle name="Normal 514 6" xfId="8040" xr:uid="{00000000-0005-0000-0000-000028AC0000}"/>
    <cellStyle name="Normal 514 6 2" xfId="15837" xr:uid="{00000000-0005-0000-0000-000029AC0000}"/>
    <cellStyle name="Normal 514 6 2 2" xfId="33472" xr:uid="{00000000-0005-0000-0000-00002AAC0000}"/>
    <cellStyle name="Normal 514 6 3" xfId="26456" xr:uid="{00000000-0005-0000-0000-00002BAC0000}"/>
    <cellStyle name="Normal 514 7" xfId="12001" xr:uid="{00000000-0005-0000-0000-00002CAC0000}"/>
    <cellStyle name="Normal 514 7 2" xfId="29683" xr:uid="{00000000-0005-0000-0000-00002DAC0000}"/>
    <cellStyle name="Normal 514 8" xfId="23591" xr:uid="{00000000-0005-0000-0000-00002EAC0000}"/>
    <cellStyle name="Normal 514 9" xfId="52528" xr:uid="{00000000-0005-0000-0000-00002FAC0000}"/>
    <cellStyle name="Normal 515" xfId="2899" xr:uid="{00000000-0005-0000-0000-000030AC0000}"/>
    <cellStyle name="Normal 515 2" xfId="4962" xr:uid="{00000000-0005-0000-0000-000031AC0000}"/>
    <cellStyle name="Normal 515 2 2" xfId="8723" xr:uid="{00000000-0005-0000-0000-000032AC0000}"/>
    <cellStyle name="Normal 515 2 2 2" xfId="16519" xr:uid="{00000000-0005-0000-0000-000033AC0000}"/>
    <cellStyle name="Normal 515 2 2 2 2" xfId="34154" xr:uid="{00000000-0005-0000-0000-000034AC0000}"/>
    <cellStyle name="Normal 515 2 2 3" xfId="27124" xr:uid="{00000000-0005-0000-0000-000035AC0000}"/>
    <cellStyle name="Normal 515 2 3" xfId="13024" xr:uid="{00000000-0005-0000-0000-000036AC0000}"/>
    <cellStyle name="Normal 515 2 3 2" xfId="30673" xr:uid="{00000000-0005-0000-0000-000037AC0000}"/>
    <cellStyle name="Normal 515 2 4" xfId="24259" xr:uid="{00000000-0005-0000-0000-000038AC0000}"/>
    <cellStyle name="Normal 515 3" xfId="5980" xr:uid="{00000000-0005-0000-0000-000039AC0000}"/>
    <cellStyle name="Normal 515 3 2" xfId="9280" xr:uid="{00000000-0005-0000-0000-00003AAC0000}"/>
    <cellStyle name="Normal 515 3 2 2" xfId="17075" xr:uid="{00000000-0005-0000-0000-00003BAC0000}"/>
    <cellStyle name="Normal 515 3 2 2 2" xfId="34711" xr:uid="{00000000-0005-0000-0000-00003CAC0000}"/>
    <cellStyle name="Normal 515 3 2 3" xfId="27668" xr:uid="{00000000-0005-0000-0000-00003DAC0000}"/>
    <cellStyle name="Normal 515 3 3" xfId="13836" xr:uid="{00000000-0005-0000-0000-00003EAC0000}"/>
    <cellStyle name="Normal 515 3 3 2" xfId="31476" xr:uid="{00000000-0005-0000-0000-00003FAC0000}"/>
    <cellStyle name="Normal 515 3 4" xfId="24803" xr:uid="{00000000-0005-0000-0000-000040AC0000}"/>
    <cellStyle name="Normal 515 4" xfId="6610" xr:uid="{00000000-0005-0000-0000-000041AC0000}"/>
    <cellStyle name="Normal 515 4 2" xfId="9820" xr:uid="{00000000-0005-0000-0000-000042AC0000}"/>
    <cellStyle name="Normal 515 4 2 2" xfId="17614" xr:uid="{00000000-0005-0000-0000-000043AC0000}"/>
    <cellStyle name="Normal 515 4 2 2 2" xfId="35251" xr:uid="{00000000-0005-0000-0000-000044AC0000}"/>
    <cellStyle name="Normal 515 4 2 3" xfId="28204" xr:uid="{00000000-0005-0000-0000-000045AC0000}"/>
    <cellStyle name="Normal 515 4 3" xfId="14399" xr:uid="{00000000-0005-0000-0000-000046AC0000}"/>
    <cellStyle name="Normal 515 4 3 2" xfId="32034" xr:uid="{00000000-0005-0000-0000-000047AC0000}"/>
    <cellStyle name="Normal 515 4 4" xfId="25340" xr:uid="{00000000-0005-0000-0000-000048AC0000}"/>
    <cellStyle name="Normal 515 5" xfId="7386" xr:uid="{00000000-0005-0000-0000-000049AC0000}"/>
    <cellStyle name="Normal 515 5 2" xfId="10374" xr:uid="{00000000-0005-0000-0000-00004AAC0000}"/>
    <cellStyle name="Normal 515 5 2 2" xfId="18167" xr:uid="{00000000-0005-0000-0000-00004BAC0000}"/>
    <cellStyle name="Normal 515 5 2 2 2" xfId="35804" xr:uid="{00000000-0005-0000-0000-00004CAC0000}"/>
    <cellStyle name="Normal 515 5 2 3" xfId="28741" xr:uid="{00000000-0005-0000-0000-00004DAC0000}"/>
    <cellStyle name="Normal 515 5 3" xfId="15174" xr:uid="{00000000-0005-0000-0000-00004EAC0000}"/>
    <cellStyle name="Normal 515 5 3 2" xfId="32809" xr:uid="{00000000-0005-0000-0000-00004FAC0000}"/>
    <cellStyle name="Normal 515 5 4" xfId="25878" xr:uid="{00000000-0005-0000-0000-000050AC0000}"/>
    <cellStyle name="Normal 515 6" xfId="8041" xr:uid="{00000000-0005-0000-0000-000051AC0000}"/>
    <cellStyle name="Normal 515 6 2" xfId="15838" xr:uid="{00000000-0005-0000-0000-000052AC0000}"/>
    <cellStyle name="Normal 515 6 2 2" xfId="33473" xr:uid="{00000000-0005-0000-0000-000053AC0000}"/>
    <cellStyle name="Normal 515 6 3" xfId="26457" xr:uid="{00000000-0005-0000-0000-000054AC0000}"/>
    <cellStyle name="Normal 515 7" xfId="12002" xr:uid="{00000000-0005-0000-0000-000055AC0000}"/>
    <cellStyle name="Normal 515 7 2" xfId="29684" xr:uid="{00000000-0005-0000-0000-000056AC0000}"/>
    <cellStyle name="Normal 515 8" xfId="23592" xr:uid="{00000000-0005-0000-0000-000057AC0000}"/>
    <cellStyle name="Normal 515 9" xfId="52529" xr:uid="{00000000-0005-0000-0000-000058AC0000}"/>
    <cellStyle name="Normal 516" xfId="2900" xr:uid="{00000000-0005-0000-0000-000059AC0000}"/>
    <cellStyle name="Normal 516 2" xfId="4963" xr:uid="{00000000-0005-0000-0000-00005AAC0000}"/>
    <cellStyle name="Normal 516 2 2" xfId="8724" xr:uid="{00000000-0005-0000-0000-00005BAC0000}"/>
    <cellStyle name="Normal 516 2 2 2" xfId="16520" xr:uid="{00000000-0005-0000-0000-00005CAC0000}"/>
    <cellStyle name="Normal 516 2 2 2 2" xfId="34155" xr:uid="{00000000-0005-0000-0000-00005DAC0000}"/>
    <cellStyle name="Normal 516 2 2 3" xfId="27125" xr:uid="{00000000-0005-0000-0000-00005EAC0000}"/>
    <cellStyle name="Normal 516 2 3" xfId="13025" xr:uid="{00000000-0005-0000-0000-00005FAC0000}"/>
    <cellStyle name="Normal 516 2 3 2" xfId="30674" xr:uid="{00000000-0005-0000-0000-000060AC0000}"/>
    <cellStyle name="Normal 516 2 4" xfId="24260" xr:uid="{00000000-0005-0000-0000-000061AC0000}"/>
    <cellStyle name="Normal 516 3" xfId="5981" xr:uid="{00000000-0005-0000-0000-000062AC0000}"/>
    <cellStyle name="Normal 516 3 2" xfId="9281" xr:uid="{00000000-0005-0000-0000-000063AC0000}"/>
    <cellStyle name="Normal 516 3 2 2" xfId="17076" xr:uid="{00000000-0005-0000-0000-000064AC0000}"/>
    <cellStyle name="Normal 516 3 2 2 2" xfId="34712" xr:uid="{00000000-0005-0000-0000-000065AC0000}"/>
    <cellStyle name="Normal 516 3 2 3" xfId="27669" xr:uid="{00000000-0005-0000-0000-000066AC0000}"/>
    <cellStyle name="Normal 516 3 3" xfId="13837" xr:uid="{00000000-0005-0000-0000-000067AC0000}"/>
    <cellStyle name="Normal 516 3 3 2" xfId="31477" xr:uid="{00000000-0005-0000-0000-000068AC0000}"/>
    <cellStyle name="Normal 516 3 4" xfId="24804" xr:uid="{00000000-0005-0000-0000-000069AC0000}"/>
    <cellStyle name="Normal 516 4" xfId="6611" xr:uid="{00000000-0005-0000-0000-00006AAC0000}"/>
    <cellStyle name="Normal 516 4 2" xfId="9821" xr:uid="{00000000-0005-0000-0000-00006BAC0000}"/>
    <cellStyle name="Normal 516 4 2 2" xfId="17615" xr:uid="{00000000-0005-0000-0000-00006CAC0000}"/>
    <cellStyle name="Normal 516 4 2 2 2" xfId="35252" xr:uid="{00000000-0005-0000-0000-00006DAC0000}"/>
    <cellStyle name="Normal 516 4 2 3" xfId="28205" xr:uid="{00000000-0005-0000-0000-00006EAC0000}"/>
    <cellStyle name="Normal 516 4 3" xfId="14400" xr:uid="{00000000-0005-0000-0000-00006FAC0000}"/>
    <cellStyle name="Normal 516 4 3 2" xfId="32035" xr:uid="{00000000-0005-0000-0000-000070AC0000}"/>
    <cellStyle name="Normal 516 4 4" xfId="25341" xr:uid="{00000000-0005-0000-0000-000071AC0000}"/>
    <cellStyle name="Normal 516 5" xfId="7387" xr:uid="{00000000-0005-0000-0000-000072AC0000}"/>
    <cellStyle name="Normal 516 5 2" xfId="10375" xr:uid="{00000000-0005-0000-0000-000073AC0000}"/>
    <cellStyle name="Normal 516 5 2 2" xfId="18168" xr:uid="{00000000-0005-0000-0000-000074AC0000}"/>
    <cellStyle name="Normal 516 5 2 2 2" xfId="35805" xr:uid="{00000000-0005-0000-0000-000075AC0000}"/>
    <cellStyle name="Normal 516 5 2 3" xfId="28742" xr:uid="{00000000-0005-0000-0000-000076AC0000}"/>
    <cellStyle name="Normal 516 5 3" xfId="15175" xr:uid="{00000000-0005-0000-0000-000077AC0000}"/>
    <cellStyle name="Normal 516 5 3 2" xfId="32810" xr:uid="{00000000-0005-0000-0000-000078AC0000}"/>
    <cellStyle name="Normal 516 5 4" xfId="25879" xr:uid="{00000000-0005-0000-0000-000079AC0000}"/>
    <cellStyle name="Normal 516 6" xfId="8042" xr:uid="{00000000-0005-0000-0000-00007AAC0000}"/>
    <cellStyle name="Normal 516 6 2" xfId="15839" xr:uid="{00000000-0005-0000-0000-00007BAC0000}"/>
    <cellStyle name="Normal 516 6 2 2" xfId="33474" xr:uid="{00000000-0005-0000-0000-00007CAC0000}"/>
    <cellStyle name="Normal 516 6 3" xfId="26458" xr:uid="{00000000-0005-0000-0000-00007DAC0000}"/>
    <cellStyle name="Normal 516 7" xfId="12003" xr:uid="{00000000-0005-0000-0000-00007EAC0000}"/>
    <cellStyle name="Normal 516 7 2" xfId="29685" xr:uid="{00000000-0005-0000-0000-00007FAC0000}"/>
    <cellStyle name="Normal 516 8" xfId="23593" xr:uid="{00000000-0005-0000-0000-000080AC0000}"/>
    <cellStyle name="Normal 516 9" xfId="52530" xr:uid="{00000000-0005-0000-0000-000081AC0000}"/>
    <cellStyle name="Normal 517" xfId="2901" xr:uid="{00000000-0005-0000-0000-000082AC0000}"/>
    <cellStyle name="Normal 517 2" xfId="4964" xr:uid="{00000000-0005-0000-0000-000083AC0000}"/>
    <cellStyle name="Normal 517 2 2" xfId="8725" xr:uid="{00000000-0005-0000-0000-000084AC0000}"/>
    <cellStyle name="Normal 517 2 2 2" xfId="16521" xr:uid="{00000000-0005-0000-0000-000085AC0000}"/>
    <cellStyle name="Normal 517 2 2 2 2" xfId="34156" xr:uid="{00000000-0005-0000-0000-000086AC0000}"/>
    <cellStyle name="Normal 517 2 2 3" xfId="27126" xr:uid="{00000000-0005-0000-0000-000087AC0000}"/>
    <cellStyle name="Normal 517 2 3" xfId="13026" xr:uid="{00000000-0005-0000-0000-000088AC0000}"/>
    <cellStyle name="Normal 517 2 3 2" xfId="30675" xr:uid="{00000000-0005-0000-0000-000089AC0000}"/>
    <cellStyle name="Normal 517 2 4" xfId="24261" xr:uid="{00000000-0005-0000-0000-00008AAC0000}"/>
    <cellStyle name="Normal 517 3" xfId="5982" xr:uid="{00000000-0005-0000-0000-00008BAC0000}"/>
    <cellStyle name="Normal 517 3 2" xfId="9282" xr:uid="{00000000-0005-0000-0000-00008CAC0000}"/>
    <cellStyle name="Normal 517 3 2 2" xfId="17077" xr:uid="{00000000-0005-0000-0000-00008DAC0000}"/>
    <cellStyle name="Normal 517 3 2 2 2" xfId="34713" xr:uid="{00000000-0005-0000-0000-00008EAC0000}"/>
    <cellStyle name="Normal 517 3 2 3" xfId="27670" xr:uid="{00000000-0005-0000-0000-00008FAC0000}"/>
    <cellStyle name="Normal 517 3 3" xfId="13838" xr:uid="{00000000-0005-0000-0000-000090AC0000}"/>
    <cellStyle name="Normal 517 3 3 2" xfId="31478" xr:uid="{00000000-0005-0000-0000-000091AC0000}"/>
    <cellStyle name="Normal 517 3 4" xfId="24805" xr:uid="{00000000-0005-0000-0000-000092AC0000}"/>
    <cellStyle name="Normal 517 4" xfId="6612" xr:uid="{00000000-0005-0000-0000-000093AC0000}"/>
    <cellStyle name="Normal 517 4 2" xfId="9822" xr:uid="{00000000-0005-0000-0000-000094AC0000}"/>
    <cellStyle name="Normal 517 4 2 2" xfId="17616" xr:uid="{00000000-0005-0000-0000-000095AC0000}"/>
    <cellStyle name="Normal 517 4 2 2 2" xfId="35253" xr:uid="{00000000-0005-0000-0000-000096AC0000}"/>
    <cellStyle name="Normal 517 4 2 3" xfId="28206" xr:uid="{00000000-0005-0000-0000-000097AC0000}"/>
    <cellStyle name="Normal 517 4 3" xfId="14401" xr:uid="{00000000-0005-0000-0000-000098AC0000}"/>
    <cellStyle name="Normal 517 4 3 2" xfId="32036" xr:uid="{00000000-0005-0000-0000-000099AC0000}"/>
    <cellStyle name="Normal 517 4 4" xfId="25342" xr:uid="{00000000-0005-0000-0000-00009AAC0000}"/>
    <cellStyle name="Normal 517 5" xfId="7388" xr:uid="{00000000-0005-0000-0000-00009BAC0000}"/>
    <cellStyle name="Normal 517 5 2" xfId="10376" xr:uid="{00000000-0005-0000-0000-00009CAC0000}"/>
    <cellStyle name="Normal 517 5 2 2" xfId="18169" xr:uid="{00000000-0005-0000-0000-00009DAC0000}"/>
    <cellStyle name="Normal 517 5 2 2 2" xfId="35806" xr:uid="{00000000-0005-0000-0000-00009EAC0000}"/>
    <cellStyle name="Normal 517 5 2 3" xfId="28743" xr:uid="{00000000-0005-0000-0000-00009FAC0000}"/>
    <cellStyle name="Normal 517 5 3" xfId="15176" xr:uid="{00000000-0005-0000-0000-0000A0AC0000}"/>
    <cellStyle name="Normal 517 5 3 2" xfId="32811" xr:uid="{00000000-0005-0000-0000-0000A1AC0000}"/>
    <cellStyle name="Normal 517 5 4" xfId="25880" xr:uid="{00000000-0005-0000-0000-0000A2AC0000}"/>
    <cellStyle name="Normal 517 6" xfId="8043" xr:uid="{00000000-0005-0000-0000-0000A3AC0000}"/>
    <cellStyle name="Normal 517 6 2" xfId="15840" xr:uid="{00000000-0005-0000-0000-0000A4AC0000}"/>
    <cellStyle name="Normal 517 6 2 2" xfId="33475" xr:uid="{00000000-0005-0000-0000-0000A5AC0000}"/>
    <cellStyle name="Normal 517 6 3" xfId="26459" xr:uid="{00000000-0005-0000-0000-0000A6AC0000}"/>
    <cellStyle name="Normal 517 7" xfId="12004" xr:uid="{00000000-0005-0000-0000-0000A7AC0000}"/>
    <cellStyle name="Normal 517 7 2" xfId="29686" xr:uid="{00000000-0005-0000-0000-0000A8AC0000}"/>
    <cellStyle name="Normal 517 8" xfId="23594" xr:uid="{00000000-0005-0000-0000-0000A9AC0000}"/>
    <cellStyle name="Normal 517 9" xfId="52531" xr:uid="{00000000-0005-0000-0000-0000AAAC0000}"/>
    <cellStyle name="Normal 518" xfId="2902" xr:uid="{00000000-0005-0000-0000-0000ABAC0000}"/>
    <cellStyle name="Normal 518 2" xfId="4965" xr:uid="{00000000-0005-0000-0000-0000ACAC0000}"/>
    <cellStyle name="Normal 518 2 2" xfId="8726" xr:uid="{00000000-0005-0000-0000-0000ADAC0000}"/>
    <cellStyle name="Normal 518 2 2 2" xfId="16522" xr:uid="{00000000-0005-0000-0000-0000AEAC0000}"/>
    <cellStyle name="Normal 518 2 2 2 2" xfId="34157" xr:uid="{00000000-0005-0000-0000-0000AFAC0000}"/>
    <cellStyle name="Normal 518 2 2 3" xfId="27127" xr:uid="{00000000-0005-0000-0000-0000B0AC0000}"/>
    <cellStyle name="Normal 518 2 3" xfId="13027" xr:uid="{00000000-0005-0000-0000-0000B1AC0000}"/>
    <cellStyle name="Normal 518 2 3 2" xfId="30676" xr:uid="{00000000-0005-0000-0000-0000B2AC0000}"/>
    <cellStyle name="Normal 518 2 4" xfId="24262" xr:uid="{00000000-0005-0000-0000-0000B3AC0000}"/>
    <cellStyle name="Normal 518 3" xfId="5983" xr:uid="{00000000-0005-0000-0000-0000B4AC0000}"/>
    <cellStyle name="Normal 518 3 2" xfId="9283" xr:uid="{00000000-0005-0000-0000-0000B5AC0000}"/>
    <cellStyle name="Normal 518 3 2 2" xfId="17078" xr:uid="{00000000-0005-0000-0000-0000B6AC0000}"/>
    <cellStyle name="Normal 518 3 2 2 2" xfId="34714" xr:uid="{00000000-0005-0000-0000-0000B7AC0000}"/>
    <cellStyle name="Normal 518 3 2 3" xfId="27671" xr:uid="{00000000-0005-0000-0000-0000B8AC0000}"/>
    <cellStyle name="Normal 518 3 3" xfId="13839" xr:uid="{00000000-0005-0000-0000-0000B9AC0000}"/>
    <cellStyle name="Normal 518 3 3 2" xfId="31479" xr:uid="{00000000-0005-0000-0000-0000BAAC0000}"/>
    <cellStyle name="Normal 518 3 4" xfId="24806" xr:uid="{00000000-0005-0000-0000-0000BBAC0000}"/>
    <cellStyle name="Normal 518 4" xfId="6613" xr:uid="{00000000-0005-0000-0000-0000BCAC0000}"/>
    <cellStyle name="Normal 518 4 2" xfId="9823" xr:uid="{00000000-0005-0000-0000-0000BDAC0000}"/>
    <cellStyle name="Normal 518 4 2 2" xfId="17617" xr:uid="{00000000-0005-0000-0000-0000BEAC0000}"/>
    <cellStyle name="Normal 518 4 2 2 2" xfId="35254" xr:uid="{00000000-0005-0000-0000-0000BFAC0000}"/>
    <cellStyle name="Normal 518 4 2 3" xfId="28207" xr:uid="{00000000-0005-0000-0000-0000C0AC0000}"/>
    <cellStyle name="Normal 518 4 3" xfId="14402" xr:uid="{00000000-0005-0000-0000-0000C1AC0000}"/>
    <cellStyle name="Normal 518 4 3 2" xfId="32037" xr:uid="{00000000-0005-0000-0000-0000C2AC0000}"/>
    <cellStyle name="Normal 518 4 4" xfId="25343" xr:uid="{00000000-0005-0000-0000-0000C3AC0000}"/>
    <cellStyle name="Normal 518 5" xfId="7389" xr:uid="{00000000-0005-0000-0000-0000C4AC0000}"/>
    <cellStyle name="Normal 518 5 2" xfId="10377" xr:uid="{00000000-0005-0000-0000-0000C5AC0000}"/>
    <cellStyle name="Normal 518 5 2 2" xfId="18170" xr:uid="{00000000-0005-0000-0000-0000C6AC0000}"/>
    <cellStyle name="Normal 518 5 2 2 2" xfId="35807" xr:uid="{00000000-0005-0000-0000-0000C7AC0000}"/>
    <cellStyle name="Normal 518 5 2 3" xfId="28744" xr:uid="{00000000-0005-0000-0000-0000C8AC0000}"/>
    <cellStyle name="Normal 518 5 3" xfId="15177" xr:uid="{00000000-0005-0000-0000-0000C9AC0000}"/>
    <cellStyle name="Normal 518 5 3 2" xfId="32812" xr:uid="{00000000-0005-0000-0000-0000CAAC0000}"/>
    <cellStyle name="Normal 518 5 4" xfId="25881" xr:uid="{00000000-0005-0000-0000-0000CBAC0000}"/>
    <cellStyle name="Normal 518 6" xfId="8044" xr:uid="{00000000-0005-0000-0000-0000CCAC0000}"/>
    <cellStyle name="Normal 518 6 2" xfId="15841" xr:uid="{00000000-0005-0000-0000-0000CDAC0000}"/>
    <cellStyle name="Normal 518 6 2 2" xfId="33476" xr:uid="{00000000-0005-0000-0000-0000CEAC0000}"/>
    <cellStyle name="Normal 518 6 3" xfId="26460" xr:uid="{00000000-0005-0000-0000-0000CFAC0000}"/>
    <cellStyle name="Normal 518 7" xfId="12005" xr:uid="{00000000-0005-0000-0000-0000D0AC0000}"/>
    <cellStyle name="Normal 518 7 2" xfId="29687" xr:uid="{00000000-0005-0000-0000-0000D1AC0000}"/>
    <cellStyle name="Normal 518 8" xfId="23595" xr:uid="{00000000-0005-0000-0000-0000D2AC0000}"/>
    <cellStyle name="Normal 518 9" xfId="52532" xr:uid="{00000000-0005-0000-0000-0000D3AC0000}"/>
    <cellStyle name="Normal 519" xfId="2903" xr:uid="{00000000-0005-0000-0000-0000D4AC0000}"/>
    <cellStyle name="Normal 519 2" xfId="4966" xr:uid="{00000000-0005-0000-0000-0000D5AC0000}"/>
    <cellStyle name="Normal 519 2 2" xfId="8727" xr:uid="{00000000-0005-0000-0000-0000D6AC0000}"/>
    <cellStyle name="Normal 519 2 2 2" xfId="16523" xr:uid="{00000000-0005-0000-0000-0000D7AC0000}"/>
    <cellStyle name="Normal 519 2 2 2 2" xfId="34158" xr:uid="{00000000-0005-0000-0000-0000D8AC0000}"/>
    <cellStyle name="Normal 519 2 2 3" xfId="27128" xr:uid="{00000000-0005-0000-0000-0000D9AC0000}"/>
    <cellStyle name="Normal 519 2 3" xfId="13028" xr:uid="{00000000-0005-0000-0000-0000DAAC0000}"/>
    <cellStyle name="Normal 519 2 3 2" xfId="30677" xr:uid="{00000000-0005-0000-0000-0000DBAC0000}"/>
    <cellStyle name="Normal 519 2 4" xfId="24263" xr:uid="{00000000-0005-0000-0000-0000DCAC0000}"/>
    <cellStyle name="Normal 519 3" xfId="5984" xr:uid="{00000000-0005-0000-0000-0000DDAC0000}"/>
    <cellStyle name="Normal 519 3 2" xfId="9284" xr:uid="{00000000-0005-0000-0000-0000DEAC0000}"/>
    <cellStyle name="Normal 519 3 2 2" xfId="17079" xr:uid="{00000000-0005-0000-0000-0000DFAC0000}"/>
    <cellStyle name="Normal 519 3 2 2 2" xfId="34715" xr:uid="{00000000-0005-0000-0000-0000E0AC0000}"/>
    <cellStyle name="Normal 519 3 2 3" xfId="27672" xr:uid="{00000000-0005-0000-0000-0000E1AC0000}"/>
    <cellStyle name="Normal 519 3 3" xfId="13840" xr:uid="{00000000-0005-0000-0000-0000E2AC0000}"/>
    <cellStyle name="Normal 519 3 3 2" xfId="31480" xr:uid="{00000000-0005-0000-0000-0000E3AC0000}"/>
    <cellStyle name="Normal 519 3 4" xfId="24807" xr:uid="{00000000-0005-0000-0000-0000E4AC0000}"/>
    <cellStyle name="Normal 519 4" xfId="6614" xr:uid="{00000000-0005-0000-0000-0000E5AC0000}"/>
    <cellStyle name="Normal 519 4 2" xfId="9824" xr:uid="{00000000-0005-0000-0000-0000E6AC0000}"/>
    <cellStyle name="Normal 519 4 2 2" xfId="17618" xr:uid="{00000000-0005-0000-0000-0000E7AC0000}"/>
    <cellStyle name="Normal 519 4 2 2 2" xfId="35255" xr:uid="{00000000-0005-0000-0000-0000E8AC0000}"/>
    <cellStyle name="Normal 519 4 2 3" xfId="28208" xr:uid="{00000000-0005-0000-0000-0000E9AC0000}"/>
    <cellStyle name="Normal 519 4 3" xfId="14403" xr:uid="{00000000-0005-0000-0000-0000EAAC0000}"/>
    <cellStyle name="Normal 519 4 3 2" xfId="32038" xr:uid="{00000000-0005-0000-0000-0000EBAC0000}"/>
    <cellStyle name="Normal 519 4 4" xfId="25344" xr:uid="{00000000-0005-0000-0000-0000ECAC0000}"/>
    <cellStyle name="Normal 519 5" xfId="7390" xr:uid="{00000000-0005-0000-0000-0000EDAC0000}"/>
    <cellStyle name="Normal 519 5 2" xfId="10378" xr:uid="{00000000-0005-0000-0000-0000EEAC0000}"/>
    <cellStyle name="Normal 519 5 2 2" xfId="18171" xr:uid="{00000000-0005-0000-0000-0000EFAC0000}"/>
    <cellStyle name="Normal 519 5 2 2 2" xfId="35808" xr:uid="{00000000-0005-0000-0000-0000F0AC0000}"/>
    <cellStyle name="Normal 519 5 2 3" xfId="28745" xr:uid="{00000000-0005-0000-0000-0000F1AC0000}"/>
    <cellStyle name="Normal 519 5 3" xfId="15178" xr:uid="{00000000-0005-0000-0000-0000F2AC0000}"/>
    <cellStyle name="Normal 519 5 3 2" xfId="32813" xr:uid="{00000000-0005-0000-0000-0000F3AC0000}"/>
    <cellStyle name="Normal 519 5 4" xfId="25882" xr:uid="{00000000-0005-0000-0000-0000F4AC0000}"/>
    <cellStyle name="Normal 519 6" xfId="8045" xr:uid="{00000000-0005-0000-0000-0000F5AC0000}"/>
    <cellStyle name="Normal 519 6 2" xfId="15842" xr:uid="{00000000-0005-0000-0000-0000F6AC0000}"/>
    <cellStyle name="Normal 519 6 2 2" xfId="33477" xr:uid="{00000000-0005-0000-0000-0000F7AC0000}"/>
    <cellStyle name="Normal 519 6 3" xfId="26461" xr:uid="{00000000-0005-0000-0000-0000F8AC0000}"/>
    <cellStyle name="Normal 519 7" xfId="12006" xr:uid="{00000000-0005-0000-0000-0000F9AC0000}"/>
    <cellStyle name="Normal 519 7 2" xfId="29688" xr:uid="{00000000-0005-0000-0000-0000FAAC0000}"/>
    <cellStyle name="Normal 519 8" xfId="23596" xr:uid="{00000000-0005-0000-0000-0000FBAC0000}"/>
    <cellStyle name="Normal 519 9" xfId="52533" xr:uid="{00000000-0005-0000-0000-0000FCAC0000}"/>
    <cellStyle name="Normal 52" xfId="2904" xr:uid="{00000000-0005-0000-0000-0000FDAC0000}"/>
    <cellStyle name="Normal 52 2" xfId="4967" xr:uid="{00000000-0005-0000-0000-0000FEAC0000}"/>
    <cellStyle name="Normal 52 3" xfId="52534" xr:uid="{00000000-0005-0000-0000-0000FFAC0000}"/>
    <cellStyle name="Normal 520" xfId="2905" xr:uid="{00000000-0005-0000-0000-000000AD0000}"/>
    <cellStyle name="Normal 520 2" xfId="4968" xr:uid="{00000000-0005-0000-0000-000001AD0000}"/>
    <cellStyle name="Normal 520 2 2" xfId="8728" xr:uid="{00000000-0005-0000-0000-000002AD0000}"/>
    <cellStyle name="Normal 520 2 2 2" xfId="16524" xr:uid="{00000000-0005-0000-0000-000003AD0000}"/>
    <cellStyle name="Normal 520 2 2 2 2" xfId="34159" xr:uid="{00000000-0005-0000-0000-000004AD0000}"/>
    <cellStyle name="Normal 520 2 2 3" xfId="27129" xr:uid="{00000000-0005-0000-0000-000005AD0000}"/>
    <cellStyle name="Normal 520 2 3" xfId="13029" xr:uid="{00000000-0005-0000-0000-000006AD0000}"/>
    <cellStyle name="Normal 520 2 3 2" xfId="30678" xr:uid="{00000000-0005-0000-0000-000007AD0000}"/>
    <cellStyle name="Normal 520 2 4" xfId="24264" xr:uid="{00000000-0005-0000-0000-000008AD0000}"/>
    <cellStyle name="Normal 520 3" xfId="5985" xr:uid="{00000000-0005-0000-0000-000009AD0000}"/>
    <cellStyle name="Normal 520 3 2" xfId="9285" xr:uid="{00000000-0005-0000-0000-00000AAD0000}"/>
    <cellStyle name="Normal 520 3 2 2" xfId="17080" xr:uid="{00000000-0005-0000-0000-00000BAD0000}"/>
    <cellStyle name="Normal 520 3 2 2 2" xfId="34716" xr:uid="{00000000-0005-0000-0000-00000CAD0000}"/>
    <cellStyle name="Normal 520 3 2 3" xfId="27673" xr:uid="{00000000-0005-0000-0000-00000DAD0000}"/>
    <cellStyle name="Normal 520 3 3" xfId="13841" xr:uid="{00000000-0005-0000-0000-00000EAD0000}"/>
    <cellStyle name="Normal 520 3 3 2" xfId="31481" xr:uid="{00000000-0005-0000-0000-00000FAD0000}"/>
    <cellStyle name="Normal 520 3 4" xfId="24808" xr:uid="{00000000-0005-0000-0000-000010AD0000}"/>
    <cellStyle name="Normal 520 4" xfId="6615" xr:uid="{00000000-0005-0000-0000-000011AD0000}"/>
    <cellStyle name="Normal 520 4 2" xfId="9825" xr:uid="{00000000-0005-0000-0000-000012AD0000}"/>
    <cellStyle name="Normal 520 4 2 2" xfId="17619" xr:uid="{00000000-0005-0000-0000-000013AD0000}"/>
    <cellStyle name="Normal 520 4 2 2 2" xfId="35256" xr:uid="{00000000-0005-0000-0000-000014AD0000}"/>
    <cellStyle name="Normal 520 4 2 3" xfId="28209" xr:uid="{00000000-0005-0000-0000-000015AD0000}"/>
    <cellStyle name="Normal 520 4 3" xfId="14404" xr:uid="{00000000-0005-0000-0000-000016AD0000}"/>
    <cellStyle name="Normal 520 4 3 2" xfId="32039" xr:uid="{00000000-0005-0000-0000-000017AD0000}"/>
    <cellStyle name="Normal 520 4 4" xfId="25345" xr:uid="{00000000-0005-0000-0000-000018AD0000}"/>
    <cellStyle name="Normal 520 5" xfId="7391" xr:uid="{00000000-0005-0000-0000-000019AD0000}"/>
    <cellStyle name="Normal 520 5 2" xfId="10379" xr:uid="{00000000-0005-0000-0000-00001AAD0000}"/>
    <cellStyle name="Normal 520 5 2 2" xfId="18172" xr:uid="{00000000-0005-0000-0000-00001BAD0000}"/>
    <cellStyle name="Normal 520 5 2 2 2" xfId="35809" xr:uid="{00000000-0005-0000-0000-00001CAD0000}"/>
    <cellStyle name="Normal 520 5 2 3" xfId="28746" xr:uid="{00000000-0005-0000-0000-00001DAD0000}"/>
    <cellStyle name="Normal 520 5 3" xfId="15179" xr:uid="{00000000-0005-0000-0000-00001EAD0000}"/>
    <cellStyle name="Normal 520 5 3 2" xfId="32814" xr:uid="{00000000-0005-0000-0000-00001FAD0000}"/>
    <cellStyle name="Normal 520 5 4" xfId="25883" xr:uid="{00000000-0005-0000-0000-000020AD0000}"/>
    <cellStyle name="Normal 520 6" xfId="8046" xr:uid="{00000000-0005-0000-0000-000021AD0000}"/>
    <cellStyle name="Normal 520 6 2" xfId="15843" xr:uid="{00000000-0005-0000-0000-000022AD0000}"/>
    <cellStyle name="Normal 520 6 2 2" xfId="33478" xr:uid="{00000000-0005-0000-0000-000023AD0000}"/>
    <cellStyle name="Normal 520 6 3" xfId="26462" xr:uid="{00000000-0005-0000-0000-000024AD0000}"/>
    <cellStyle name="Normal 520 7" xfId="12007" xr:uid="{00000000-0005-0000-0000-000025AD0000}"/>
    <cellStyle name="Normal 520 7 2" xfId="29689" xr:uid="{00000000-0005-0000-0000-000026AD0000}"/>
    <cellStyle name="Normal 520 8" xfId="23597" xr:uid="{00000000-0005-0000-0000-000027AD0000}"/>
    <cellStyle name="Normal 520 9" xfId="52535" xr:uid="{00000000-0005-0000-0000-000028AD0000}"/>
    <cellStyle name="Normal 521" xfId="2906" xr:uid="{00000000-0005-0000-0000-000029AD0000}"/>
    <cellStyle name="Normal 521 2" xfId="4969" xr:uid="{00000000-0005-0000-0000-00002AAD0000}"/>
    <cellStyle name="Normal 521 2 2" xfId="8729" xr:uid="{00000000-0005-0000-0000-00002BAD0000}"/>
    <cellStyle name="Normal 521 2 2 2" xfId="16525" xr:uid="{00000000-0005-0000-0000-00002CAD0000}"/>
    <cellStyle name="Normal 521 2 2 2 2" xfId="34160" xr:uid="{00000000-0005-0000-0000-00002DAD0000}"/>
    <cellStyle name="Normal 521 2 2 3" xfId="27130" xr:uid="{00000000-0005-0000-0000-00002EAD0000}"/>
    <cellStyle name="Normal 521 2 3" xfId="13030" xr:uid="{00000000-0005-0000-0000-00002FAD0000}"/>
    <cellStyle name="Normal 521 2 3 2" xfId="30679" xr:uid="{00000000-0005-0000-0000-000030AD0000}"/>
    <cellStyle name="Normal 521 2 4" xfId="24265" xr:uid="{00000000-0005-0000-0000-000031AD0000}"/>
    <cellStyle name="Normal 521 3" xfId="5986" xr:uid="{00000000-0005-0000-0000-000032AD0000}"/>
    <cellStyle name="Normal 521 3 2" xfId="9286" xr:uid="{00000000-0005-0000-0000-000033AD0000}"/>
    <cellStyle name="Normal 521 3 2 2" xfId="17081" xr:uid="{00000000-0005-0000-0000-000034AD0000}"/>
    <cellStyle name="Normal 521 3 2 2 2" xfId="34717" xr:uid="{00000000-0005-0000-0000-000035AD0000}"/>
    <cellStyle name="Normal 521 3 2 3" xfId="27674" xr:uid="{00000000-0005-0000-0000-000036AD0000}"/>
    <cellStyle name="Normal 521 3 3" xfId="13842" xr:uid="{00000000-0005-0000-0000-000037AD0000}"/>
    <cellStyle name="Normal 521 3 3 2" xfId="31482" xr:uid="{00000000-0005-0000-0000-000038AD0000}"/>
    <cellStyle name="Normal 521 3 4" xfId="24809" xr:uid="{00000000-0005-0000-0000-000039AD0000}"/>
    <cellStyle name="Normal 521 4" xfId="6616" xr:uid="{00000000-0005-0000-0000-00003AAD0000}"/>
    <cellStyle name="Normal 521 4 2" xfId="9826" xr:uid="{00000000-0005-0000-0000-00003BAD0000}"/>
    <cellStyle name="Normal 521 4 2 2" xfId="17620" xr:uid="{00000000-0005-0000-0000-00003CAD0000}"/>
    <cellStyle name="Normal 521 4 2 2 2" xfId="35257" xr:uid="{00000000-0005-0000-0000-00003DAD0000}"/>
    <cellStyle name="Normal 521 4 2 3" xfId="28210" xr:uid="{00000000-0005-0000-0000-00003EAD0000}"/>
    <cellStyle name="Normal 521 4 3" xfId="14405" xr:uid="{00000000-0005-0000-0000-00003FAD0000}"/>
    <cellStyle name="Normal 521 4 3 2" xfId="32040" xr:uid="{00000000-0005-0000-0000-000040AD0000}"/>
    <cellStyle name="Normal 521 4 4" xfId="25346" xr:uid="{00000000-0005-0000-0000-000041AD0000}"/>
    <cellStyle name="Normal 521 5" xfId="7392" xr:uid="{00000000-0005-0000-0000-000042AD0000}"/>
    <cellStyle name="Normal 521 5 2" xfId="10380" xr:uid="{00000000-0005-0000-0000-000043AD0000}"/>
    <cellStyle name="Normal 521 5 2 2" xfId="18173" xr:uid="{00000000-0005-0000-0000-000044AD0000}"/>
    <cellStyle name="Normal 521 5 2 2 2" xfId="35810" xr:uid="{00000000-0005-0000-0000-000045AD0000}"/>
    <cellStyle name="Normal 521 5 2 3" xfId="28747" xr:uid="{00000000-0005-0000-0000-000046AD0000}"/>
    <cellStyle name="Normal 521 5 3" xfId="15180" xr:uid="{00000000-0005-0000-0000-000047AD0000}"/>
    <cellStyle name="Normal 521 5 3 2" xfId="32815" xr:uid="{00000000-0005-0000-0000-000048AD0000}"/>
    <cellStyle name="Normal 521 5 4" xfId="25884" xr:uid="{00000000-0005-0000-0000-000049AD0000}"/>
    <cellStyle name="Normal 521 6" xfId="8047" xr:uid="{00000000-0005-0000-0000-00004AAD0000}"/>
    <cellStyle name="Normal 521 6 2" xfId="15844" xr:uid="{00000000-0005-0000-0000-00004BAD0000}"/>
    <cellStyle name="Normal 521 6 2 2" xfId="33479" xr:uid="{00000000-0005-0000-0000-00004CAD0000}"/>
    <cellStyle name="Normal 521 6 3" xfId="26463" xr:uid="{00000000-0005-0000-0000-00004DAD0000}"/>
    <cellStyle name="Normal 521 7" xfId="12008" xr:uid="{00000000-0005-0000-0000-00004EAD0000}"/>
    <cellStyle name="Normal 521 7 2" xfId="29690" xr:uid="{00000000-0005-0000-0000-00004FAD0000}"/>
    <cellStyle name="Normal 521 8" xfId="23598" xr:uid="{00000000-0005-0000-0000-000050AD0000}"/>
    <cellStyle name="Normal 521 9" xfId="52536" xr:uid="{00000000-0005-0000-0000-000051AD0000}"/>
    <cellStyle name="Normal 522" xfId="2907" xr:uid="{00000000-0005-0000-0000-000052AD0000}"/>
    <cellStyle name="Normal 522 2" xfId="4970" xr:uid="{00000000-0005-0000-0000-000053AD0000}"/>
    <cellStyle name="Normal 522 2 2" xfId="8730" xr:uid="{00000000-0005-0000-0000-000054AD0000}"/>
    <cellStyle name="Normal 522 2 2 2" xfId="16526" xr:uid="{00000000-0005-0000-0000-000055AD0000}"/>
    <cellStyle name="Normal 522 2 2 2 2" xfId="34161" xr:uid="{00000000-0005-0000-0000-000056AD0000}"/>
    <cellStyle name="Normal 522 2 2 3" xfId="27131" xr:uid="{00000000-0005-0000-0000-000057AD0000}"/>
    <cellStyle name="Normal 522 2 3" xfId="13031" xr:uid="{00000000-0005-0000-0000-000058AD0000}"/>
    <cellStyle name="Normal 522 2 3 2" xfId="30680" xr:uid="{00000000-0005-0000-0000-000059AD0000}"/>
    <cellStyle name="Normal 522 2 4" xfId="24266" xr:uid="{00000000-0005-0000-0000-00005AAD0000}"/>
    <cellStyle name="Normal 522 3" xfId="5987" xr:uid="{00000000-0005-0000-0000-00005BAD0000}"/>
    <cellStyle name="Normal 522 3 2" xfId="9287" xr:uid="{00000000-0005-0000-0000-00005CAD0000}"/>
    <cellStyle name="Normal 522 3 2 2" xfId="17082" xr:uid="{00000000-0005-0000-0000-00005DAD0000}"/>
    <cellStyle name="Normal 522 3 2 2 2" xfId="34718" xr:uid="{00000000-0005-0000-0000-00005EAD0000}"/>
    <cellStyle name="Normal 522 3 2 3" xfId="27675" xr:uid="{00000000-0005-0000-0000-00005FAD0000}"/>
    <cellStyle name="Normal 522 3 3" xfId="13843" xr:uid="{00000000-0005-0000-0000-000060AD0000}"/>
    <cellStyle name="Normal 522 3 3 2" xfId="31483" xr:uid="{00000000-0005-0000-0000-000061AD0000}"/>
    <cellStyle name="Normal 522 3 4" xfId="24810" xr:uid="{00000000-0005-0000-0000-000062AD0000}"/>
    <cellStyle name="Normal 522 4" xfId="6617" xr:uid="{00000000-0005-0000-0000-000063AD0000}"/>
    <cellStyle name="Normal 522 4 2" xfId="9827" xr:uid="{00000000-0005-0000-0000-000064AD0000}"/>
    <cellStyle name="Normal 522 4 2 2" xfId="17621" xr:uid="{00000000-0005-0000-0000-000065AD0000}"/>
    <cellStyle name="Normal 522 4 2 2 2" xfId="35258" xr:uid="{00000000-0005-0000-0000-000066AD0000}"/>
    <cellStyle name="Normal 522 4 2 3" xfId="28211" xr:uid="{00000000-0005-0000-0000-000067AD0000}"/>
    <cellStyle name="Normal 522 4 3" xfId="14406" xr:uid="{00000000-0005-0000-0000-000068AD0000}"/>
    <cellStyle name="Normal 522 4 3 2" xfId="32041" xr:uid="{00000000-0005-0000-0000-000069AD0000}"/>
    <cellStyle name="Normal 522 4 4" xfId="25347" xr:uid="{00000000-0005-0000-0000-00006AAD0000}"/>
    <cellStyle name="Normal 522 5" xfId="7393" xr:uid="{00000000-0005-0000-0000-00006BAD0000}"/>
    <cellStyle name="Normal 522 5 2" xfId="10381" xr:uid="{00000000-0005-0000-0000-00006CAD0000}"/>
    <cellStyle name="Normal 522 5 2 2" xfId="18174" xr:uid="{00000000-0005-0000-0000-00006DAD0000}"/>
    <cellStyle name="Normal 522 5 2 2 2" xfId="35811" xr:uid="{00000000-0005-0000-0000-00006EAD0000}"/>
    <cellStyle name="Normal 522 5 2 3" xfId="28748" xr:uid="{00000000-0005-0000-0000-00006FAD0000}"/>
    <cellStyle name="Normal 522 5 3" xfId="15181" xr:uid="{00000000-0005-0000-0000-000070AD0000}"/>
    <cellStyle name="Normal 522 5 3 2" xfId="32816" xr:uid="{00000000-0005-0000-0000-000071AD0000}"/>
    <cellStyle name="Normal 522 5 4" xfId="25885" xr:uid="{00000000-0005-0000-0000-000072AD0000}"/>
    <cellStyle name="Normal 522 6" xfId="8048" xr:uid="{00000000-0005-0000-0000-000073AD0000}"/>
    <cellStyle name="Normal 522 6 2" xfId="15845" xr:uid="{00000000-0005-0000-0000-000074AD0000}"/>
    <cellStyle name="Normal 522 6 2 2" xfId="33480" xr:uid="{00000000-0005-0000-0000-000075AD0000}"/>
    <cellStyle name="Normal 522 6 3" xfId="26464" xr:uid="{00000000-0005-0000-0000-000076AD0000}"/>
    <cellStyle name="Normal 522 7" xfId="12009" xr:uid="{00000000-0005-0000-0000-000077AD0000}"/>
    <cellStyle name="Normal 522 7 2" xfId="29691" xr:uid="{00000000-0005-0000-0000-000078AD0000}"/>
    <cellStyle name="Normal 522 8" xfId="23599" xr:uid="{00000000-0005-0000-0000-000079AD0000}"/>
    <cellStyle name="Normal 522 9" xfId="52537" xr:uid="{00000000-0005-0000-0000-00007AAD0000}"/>
    <cellStyle name="Normal 523" xfId="2908" xr:uid="{00000000-0005-0000-0000-00007BAD0000}"/>
    <cellStyle name="Normal 523 2" xfId="4971" xr:uid="{00000000-0005-0000-0000-00007CAD0000}"/>
    <cellStyle name="Normal 523 2 2" xfId="8731" xr:uid="{00000000-0005-0000-0000-00007DAD0000}"/>
    <cellStyle name="Normal 523 2 2 2" xfId="16527" xr:uid="{00000000-0005-0000-0000-00007EAD0000}"/>
    <cellStyle name="Normal 523 2 2 2 2" xfId="34162" xr:uid="{00000000-0005-0000-0000-00007FAD0000}"/>
    <cellStyle name="Normal 523 2 2 3" xfId="27132" xr:uid="{00000000-0005-0000-0000-000080AD0000}"/>
    <cellStyle name="Normal 523 2 3" xfId="13032" xr:uid="{00000000-0005-0000-0000-000081AD0000}"/>
    <cellStyle name="Normal 523 2 3 2" xfId="30681" xr:uid="{00000000-0005-0000-0000-000082AD0000}"/>
    <cellStyle name="Normal 523 2 4" xfId="24267" xr:uid="{00000000-0005-0000-0000-000083AD0000}"/>
    <cellStyle name="Normal 523 3" xfId="5988" xr:uid="{00000000-0005-0000-0000-000084AD0000}"/>
    <cellStyle name="Normal 523 3 2" xfId="9288" xr:uid="{00000000-0005-0000-0000-000085AD0000}"/>
    <cellStyle name="Normal 523 3 2 2" xfId="17083" xr:uid="{00000000-0005-0000-0000-000086AD0000}"/>
    <cellStyle name="Normal 523 3 2 2 2" xfId="34719" xr:uid="{00000000-0005-0000-0000-000087AD0000}"/>
    <cellStyle name="Normal 523 3 2 3" xfId="27676" xr:uid="{00000000-0005-0000-0000-000088AD0000}"/>
    <cellStyle name="Normal 523 3 3" xfId="13844" xr:uid="{00000000-0005-0000-0000-000089AD0000}"/>
    <cellStyle name="Normal 523 3 3 2" xfId="31484" xr:uid="{00000000-0005-0000-0000-00008AAD0000}"/>
    <cellStyle name="Normal 523 3 4" xfId="24811" xr:uid="{00000000-0005-0000-0000-00008BAD0000}"/>
    <cellStyle name="Normal 523 4" xfId="6618" xr:uid="{00000000-0005-0000-0000-00008CAD0000}"/>
    <cellStyle name="Normal 523 4 2" xfId="9828" xr:uid="{00000000-0005-0000-0000-00008DAD0000}"/>
    <cellStyle name="Normal 523 4 2 2" xfId="17622" xr:uid="{00000000-0005-0000-0000-00008EAD0000}"/>
    <cellStyle name="Normal 523 4 2 2 2" xfId="35259" xr:uid="{00000000-0005-0000-0000-00008FAD0000}"/>
    <cellStyle name="Normal 523 4 2 3" xfId="28212" xr:uid="{00000000-0005-0000-0000-000090AD0000}"/>
    <cellStyle name="Normal 523 4 3" xfId="14407" xr:uid="{00000000-0005-0000-0000-000091AD0000}"/>
    <cellStyle name="Normal 523 4 3 2" xfId="32042" xr:uid="{00000000-0005-0000-0000-000092AD0000}"/>
    <cellStyle name="Normal 523 4 4" xfId="25348" xr:uid="{00000000-0005-0000-0000-000093AD0000}"/>
    <cellStyle name="Normal 523 5" xfId="7394" xr:uid="{00000000-0005-0000-0000-000094AD0000}"/>
    <cellStyle name="Normal 523 5 2" xfId="10382" xr:uid="{00000000-0005-0000-0000-000095AD0000}"/>
    <cellStyle name="Normal 523 5 2 2" xfId="18175" xr:uid="{00000000-0005-0000-0000-000096AD0000}"/>
    <cellStyle name="Normal 523 5 2 2 2" xfId="35812" xr:uid="{00000000-0005-0000-0000-000097AD0000}"/>
    <cellStyle name="Normal 523 5 2 3" xfId="28749" xr:uid="{00000000-0005-0000-0000-000098AD0000}"/>
    <cellStyle name="Normal 523 5 3" xfId="15182" xr:uid="{00000000-0005-0000-0000-000099AD0000}"/>
    <cellStyle name="Normal 523 5 3 2" xfId="32817" xr:uid="{00000000-0005-0000-0000-00009AAD0000}"/>
    <cellStyle name="Normal 523 5 4" xfId="25886" xr:uid="{00000000-0005-0000-0000-00009BAD0000}"/>
    <cellStyle name="Normal 523 6" xfId="8049" xr:uid="{00000000-0005-0000-0000-00009CAD0000}"/>
    <cellStyle name="Normal 523 6 2" xfId="15846" xr:uid="{00000000-0005-0000-0000-00009DAD0000}"/>
    <cellStyle name="Normal 523 6 2 2" xfId="33481" xr:uid="{00000000-0005-0000-0000-00009EAD0000}"/>
    <cellStyle name="Normal 523 6 3" xfId="26465" xr:uid="{00000000-0005-0000-0000-00009FAD0000}"/>
    <cellStyle name="Normal 523 7" xfId="12010" xr:uid="{00000000-0005-0000-0000-0000A0AD0000}"/>
    <cellStyle name="Normal 523 7 2" xfId="29692" xr:uid="{00000000-0005-0000-0000-0000A1AD0000}"/>
    <cellStyle name="Normal 523 8" xfId="23600" xr:uid="{00000000-0005-0000-0000-0000A2AD0000}"/>
    <cellStyle name="Normal 523 9" xfId="52538" xr:uid="{00000000-0005-0000-0000-0000A3AD0000}"/>
    <cellStyle name="Normal 524" xfId="2909" xr:uid="{00000000-0005-0000-0000-0000A4AD0000}"/>
    <cellStyle name="Normal 524 2" xfId="4972" xr:uid="{00000000-0005-0000-0000-0000A5AD0000}"/>
    <cellStyle name="Normal 524 2 2" xfId="8732" xr:uid="{00000000-0005-0000-0000-0000A6AD0000}"/>
    <cellStyle name="Normal 524 2 2 2" xfId="16528" xr:uid="{00000000-0005-0000-0000-0000A7AD0000}"/>
    <cellStyle name="Normal 524 2 2 2 2" xfId="34163" xr:uid="{00000000-0005-0000-0000-0000A8AD0000}"/>
    <cellStyle name="Normal 524 2 2 3" xfId="27133" xr:uid="{00000000-0005-0000-0000-0000A9AD0000}"/>
    <cellStyle name="Normal 524 2 3" xfId="13033" xr:uid="{00000000-0005-0000-0000-0000AAAD0000}"/>
    <cellStyle name="Normal 524 2 3 2" xfId="30682" xr:uid="{00000000-0005-0000-0000-0000ABAD0000}"/>
    <cellStyle name="Normal 524 2 4" xfId="24268" xr:uid="{00000000-0005-0000-0000-0000ACAD0000}"/>
    <cellStyle name="Normal 524 3" xfId="5989" xr:uid="{00000000-0005-0000-0000-0000ADAD0000}"/>
    <cellStyle name="Normal 524 3 2" xfId="9289" xr:uid="{00000000-0005-0000-0000-0000AEAD0000}"/>
    <cellStyle name="Normal 524 3 2 2" xfId="17084" xr:uid="{00000000-0005-0000-0000-0000AFAD0000}"/>
    <cellStyle name="Normal 524 3 2 2 2" xfId="34720" xr:uid="{00000000-0005-0000-0000-0000B0AD0000}"/>
    <cellStyle name="Normal 524 3 2 3" xfId="27677" xr:uid="{00000000-0005-0000-0000-0000B1AD0000}"/>
    <cellStyle name="Normal 524 3 3" xfId="13845" xr:uid="{00000000-0005-0000-0000-0000B2AD0000}"/>
    <cellStyle name="Normal 524 3 3 2" xfId="31485" xr:uid="{00000000-0005-0000-0000-0000B3AD0000}"/>
    <cellStyle name="Normal 524 3 4" xfId="24812" xr:uid="{00000000-0005-0000-0000-0000B4AD0000}"/>
    <cellStyle name="Normal 524 4" xfId="6619" xr:uid="{00000000-0005-0000-0000-0000B5AD0000}"/>
    <cellStyle name="Normal 524 4 2" xfId="9829" xr:uid="{00000000-0005-0000-0000-0000B6AD0000}"/>
    <cellStyle name="Normal 524 4 2 2" xfId="17623" xr:uid="{00000000-0005-0000-0000-0000B7AD0000}"/>
    <cellStyle name="Normal 524 4 2 2 2" xfId="35260" xr:uid="{00000000-0005-0000-0000-0000B8AD0000}"/>
    <cellStyle name="Normal 524 4 2 3" xfId="28213" xr:uid="{00000000-0005-0000-0000-0000B9AD0000}"/>
    <cellStyle name="Normal 524 4 3" xfId="14408" xr:uid="{00000000-0005-0000-0000-0000BAAD0000}"/>
    <cellStyle name="Normal 524 4 3 2" xfId="32043" xr:uid="{00000000-0005-0000-0000-0000BBAD0000}"/>
    <cellStyle name="Normal 524 4 4" xfId="25349" xr:uid="{00000000-0005-0000-0000-0000BCAD0000}"/>
    <cellStyle name="Normal 524 5" xfId="7395" xr:uid="{00000000-0005-0000-0000-0000BDAD0000}"/>
    <cellStyle name="Normal 524 5 2" xfId="10383" xr:uid="{00000000-0005-0000-0000-0000BEAD0000}"/>
    <cellStyle name="Normal 524 5 2 2" xfId="18176" xr:uid="{00000000-0005-0000-0000-0000BFAD0000}"/>
    <cellStyle name="Normal 524 5 2 2 2" xfId="35813" xr:uid="{00000000-0005-0000-0000-0000C0AD0000}"/>
    <cellStyle name="Normal 524 5 2 3" xfId="28750" xr:uid="{00000000-0005-0000-0000-0000C1AD0000}"/>
    <cellStyle name="Normal 524 5 3" xfId="15183" xr:uid="{00000000-0005-0000-0000-0000C2AD0000}"/>
    <cellStyle name="Normal 524 5 3 2" xfId="32818" xr:uid="{00000000-0005-0000-0000-0000C3AD0000}"/>
    <cellStyle name="Normal 524 5 4" xfId="25887" xr:uid="{00000000-0005-0000-0000-0000C4AD0000}"/>
    <cellStyle name="Normal 524 6" xfId="8050" xr:uid="{00000000-0005-0000-0000-0000C5AD0000}"/>
    <cellStyle name="Normal 524 6 2" xfId="15847" xr:uid="{00000000-0005-0000-0000-0000C6AD0000}"/>
    <cellStyle name="Normal 524 6 2 2" xfId="33482" xr:uid="{00000000-0005-0000-0000-0000C7AD0000}"/>
    <cellStyle name="Normal 524 6 3" xfId="26466" xr:uid="{00000000-0005-0000-0000-0000C8AD0000}"/>
    <cellStyle name="Normal 524 7" xfId="12011" xr:uid="{00000000-0005-0000-0000-0000C9AD0000}"/>
    <cellStyle name="Normal 524 7 2" xfId="29693" xr:uid="{00000000-0005-0000-0000-0000CAAD0000}"/>
    <cellStyle name="Normal 524 8" xfId="23601" xr:uid="{00000000-0005-0000-0000-0000CBAD0000}"/>
    <cellStyle name="Normal 524 9" xfId="52539" xr:uid="{00000000-0005-0000-0000-0000CCAD0000}"/>
    <cellStyle name="Normal 525" xfId="2910" xr:uid="{00000000-0005-0000-0000-0000CDAD0000}"/>
    <cellStyle name="Normal 525 2" xfId="4973" xr:uid="{00000000-0005-0000-0000-0000CEAD0000}"/>
    <cellStyle name="Normal 525 2 2" xfId="8733" xr:uid="{00000000-0005-0000-0000-0000CFAD0000}"/>
    <cellStyle name="Normal 525 2 2 2" xfId="16529" xr:uid="{00000000-0005-0000-0000-0000D0AD0000}"/>
    <cellStyle name="Normal 525 2 2 2 2" xfId="34164" xr:uid="{00000000-0005-0000-0000-0000D1AD0000}"/>
    <cellStyle name="Normal 525 2 2 3" xfId="27134" xr:uid="{00000000-0005-0000-0000-0000D2AD0000}"/>
    <cellStyle name="Normal 525 2 3" xfId="13034" xr:uid="{00000000-0005-0000-0000-0000D3AD0000}"/>
    <cellStyle name="Normal 525 2 3 2" xfId="30683" xr:uid="{00000000-0005-0000-0000-0000D4AD0000}"/>
    <cellStyle name="Normal 525 2 4" xfId="24269" xr:uid="{00000000-0005-0000-0000-0000D5AD0000}"/>
    <cellStyle name="Normal 525 3" xfId="5990" xr:uid="{00000000-0005-0000-0000-0000D6AD0000}"/>
    <cellStyle name="Normal 525 3 2" xfId="9290" xr:uid="{00000000-0005-0000-0000-0000D7AD0000}"/>
    <cellStyle name="Normal 525 3 2 2" xfId="17085" xr:uid="{00000000-0005-0000-0000-0000D8AD0000}"/>
    <cellStyle name="Normal 525 3 2 2 2" xfId="34721" xr:uid="{00000000-0005-0000-0000-0000D9AD0000}"/>
    <cellStyle name="Normal 525 3 2 3" xfId="27678" xr:uid="{00000000-0005-0000-0000-0000DAAD0000}"/>
    <cellStyle name="Normal 525 3 3" xfId="13846" xr:uid="{00000000-0005-0000-0000-0000DBAD0000}"/>
    <cellStyle name="Normal 525 3 3 2" xfId="31486" xr:uid="{00000000-0005-0000-0000-0000DCAD0000}"/>
    <cellStyle name="Normal 525 3 4" xfId="24813" xr:uid="{00000000-0005-0000-0000-0000DDAD0000}"/>
    <cellStyle name="Normal 525 4" xfId="6620" xr:uid="{00000000-0005-0000-0000-0000DEAD0000}"/>
    <cellStyle name="Normal 525 4 2" xfId="9830" xr:uid="{00000000-0005-0000-0000-0000DFAD0000}"/>
    <cellStyle name="Normal 525 4 2 2" xfId="17624" xr:uid="{00000000-0005-0000-0000-0000E0AD0000}"/>
    <cellStyle name="Normal 525 4 2 2 2" xfId="35261" xr:uid="{00000000-0005-0000-0000-0000E1AD0000}"/>
    <cellStyle name="Normal 525 4 2 3" xfId="28214" xr:uid="{00000000-0005-0000-0000-0000E2AD0000}"/>
    <cellStyle name="Normal 525 4 3" xfId="14409" xr:uid="{00000000-0005-0000-0000-0000E3AD0000}"/>
    <cellStyle name="Normal 525 4 3 2" xfId="32044" xr:uid="{00000000-0005-0000-0000-0000E4AD0000}"/>
    <cellStyle name="Normal 525 4 4" xfId="25350" xr:uid="{00000000-0005-0000-0000-0000E5AD0000}"/>
    <cellStyle name="Normal 525 5" xfId="7396" xr:uid="{00000000-0005-0000-0000-0000E6AD0000}"/>
    <cellStyle name="Normal 525 5 2" xfId="10384" xr:uid="{00000000-0005-0000-0000-0000E7AD0000}"/>
    <cellStyle name="Normal 525 5 2 2" xfId="18177" xr:uid="{00000000-0005-0000-0000-0000E8AD0000}"/>
    <cellStyle name="Normal 525 5 2 2 2" xfId="35814" xr:uid="{00000000-0005-0000-0000-0000E9AD0000}"/>
    <cellStyle name="Normal 525 5 2 3" xfId="28751" xr:uid="{00000000-0005-0000-0000-0000EAAD0000}"/>
    <cellStyle name="Normal 525 5 3" xfId="15184" xr:uid="{00000000-0005-0000-0000-0000EBAD0000}"/>
    <cellStyle name="Normal 525 5 3 2" xfId="32819" xr:uid="{00000000-0005-0000-0000-0000ECAD0000}"/>
    <cellStyle name="Normal 525 5 4" xfId="25888" xr:uid="{00000000-0005-0000-0000-0000EDAD0000}"/>
    <cellStyle name="Normal 525 6" xfId="8051" xr:uid="{00000000-0005-0000-0000-0000EEAD0000}"/>
    <cellStyle name="Normal 525 6 2" xfId="15848" xr:uid="{00000000-0005-0000-0000-0000EFAD0000}"/>
    <cellStyle name="Normal 525 6 2 2" xfId="33483" xr:uid="{00000000-0005-0000-0000-0000F0AD0000}"/>
    <cellStyle name="Normal 525 6 3" xfId="26467" xr:uid="{00000000-0005-0000-0000-0000F1AD0000}"/>
    <cellStyle name="Normal 525 7" xfId="12012" xr:uid="{00000000-0005-0000-0000-0000F2AD0000}"/>
    <cellStyle name="Normal 525 7 2" xfId="29694" xr:uid="{00000000-0005-0000-0000-0000F3AD0000}"/>
    <cellStyle name="Normal 525 8" xfId="23602" xr:uid="{00000000-0005-0000-0000-0000F4AD0000}"/>
    <cellStyle name="Normal 525 9" xfId="52540" xr:uid="{00000000-0005-0000-0000-0000F5AD0000}"/>
    <cellStyle name="Normal 526" xfId="2911" xr:uid="{00000000-0005-0000-0000-0000F6AD0000}"/>
    <cellStyle name="Normal 526 2" xfId="4974" xr:uid="{00000000-0005-0000-0000-0000F7AD0000}"/>
    <cellStyle name="Normal 526 2 2" xfId="8734" xr:uid="{00000000-0005-0000-0000-0000F8AD0000}"/>
    <cellStyle name="Normal 526 2 2 2" xfId="16530" xr:uid="{00000000-0005-0000-0000-0000F9AD0000}"/>
    <cellStyle name="Normal 526 2 2 2 2" xfId="34165" xr:uid="{00000000-0005-0000-0000-0000FAAD0000}"/>
    <cellStyle name="Normal 526 2 2 3" xfId="27135" xr:uid="{00000000-0005-0000-0000-0000FBAD0000}"/>
    <cellStyle name="Normal 526 2 3" xfId="13035" xr:uid="{00000000-0005-0000-0000-0000FCAD0000}"/>
    <cellStyle name="Normal 526 2 3 2" xfId="30684" xr:uid="{00000000-0005-0000-0000-0000FDAD0000}"/>
    <cellStyle name="Normal 526 2 4" xfId="24270" xr:uid="{00000000-0005-0000-0000-0000FEAD0000}"/>
    <cellStyle name="Normal 526 3" xfId="5991" xr:uid="{00000000-0005-0000-0000-0000FFAD0000}"/>
    <cellStyle name="Normal 526 3 2" xfId="9291" xr:uid="{00000000-0005-0000-0000-000000AE0000}"/>
    <cellStyle name="Normal 526 3 2 2" xfId="17086" xr:uid="{00000000-0005-0000-0000-000001AE0000}"/>
    <cellStyle name="Normal 526 3 2 2 2" xfId="34722" xr:uid="{00000000-0005-0000-0000-000002AE0000}"/>
    <cellStyle name="Normal 526 3 2 3" xfId="27679" xr:uid="{00000000-0005-0000-0000-000003AE0000}"/>
    <cellStyle name="Normal 526 3 3" xfId="13847" xr:uid="{00000000-0005-0000-0000-000004AE0000}"/>
    <cellStyle name="Normal 526 3 3 2" xfId="31487" xr:uid="{00000000-0005-0000-0000-000005AE0000}"/>
    <cellStyle name="Normal 526 3 4" xfId="24814" xr:uid="{00000000-0005-0000-0000-000006AE0000}"/>
    <cellStyle name="Normal 526 4" xfId="6621" xr:uid="{00000000-0005-0000-0000-000007AE0000}"/>
    <cellStyle name="Normal 526 4 2" xfId="9831" xr:uid="{00000000-0005-0000-0000-000008AE0000}"/>
    <cellStyle name="Normal 526 4 2 2" xfId="17625" xr:uid="{00000000-0005-0000-0000-000009AE0000}"/>
    <cellStyle name="Normal 526 4 2 2 2" xfId="35262" xr:uid="{00000000-0005-0000-0000-00000AAE0000}"/>
    <cellStyle name="Normal 526 4 2 3" xfId="28215" xr:uid="{00000000-0005-0000-0000-00000BAE0000}"/>
    <cellStyle name="Normal 526 4 3" xfId="14410" xr:uid="{00000000-0005-0000-0000-00000CAE0000}"/>
    <cellStyle name="Normal 526 4 3 2" xfId="32045" xr:uid="{00000000-0005-0000-0000-00000DAE0000}"/>
    <cellStyle name="Normal 526 4 4" xfId="25351" xr:uid="{00000000-0005-0000-0000-00000EAE0000}"/>
    <cellStyle name="Normal 526 5" xfId="7397" xr:uid="{00000000-0005-0000-0000-00000FAE0000}"/>
    <cellStyle name="Normal 526 5 2" xfId="10385" xr:uid="{00000000-0005-0000-0000-000010AE0000}"/>
    <cellStyle name="Normal 526 5 2 2" xfId="18178" xr:uid="{00000000-0005-0000-0000-000011AE0000}"/>
    <cellStyle name="Normal 526 5 2 2 2" xfId="35815" xr:uid="{00000000-0005-0000-0000-000012AE0000}"/>
    <cellStyle name="Normal 526 5 2 3" xfId="28752" xr:uid="{00000000-0005-0000-0000-000013AE0000}"/>
    <cellStyle name="Normal 526 5 3" xfId="15185" xr:uid="{00000000-0005-0000-0000-000014AE0000}"/>
    <cellStyle name="Normal 526 5 3 2" xfId="32820" xr:uid="{00000000-0005-0000-0000-000015AE0000}"/>
    <cellStyle name="Normal 526 5 4" xfId="25889" xr:uid="{00000000-0005-0000-0000-000016AE0000}"/>
    <cellStyle name="Normal 526 6" xfId="8052" xr:uid="{00000000-0005-0000-0000-000017AE0000}"/>
    <cellStyle name="Normal 526 6 2" xfId="15849" xr:uid="{00000000-0005-0000-0000-000018AE0000}"/>
    <cellStyle name="Normal 526 6 2 2" xfId="33484" xr:uid="{00000000-0005-0000-0000-000019AE0000}"/>
    <cellStyle name="Normal 526 6 3" xfId="26468" xr:uid="{00000000-0005-0000-0000-00001AAE0000}"/>
    <cellStyle name="Normal 526 7" xfId="12013" xr:uid="{00000000-0005-0000-0000-00001BAE0000}"/>
    <cellStyle name="Normal 526 7 2" xfId="29695" xr:uid="{00000000-0005-0000-0000-00001CAE0000}"/>
    <cellStyle name="Normal 526 8" xfId="23603" xr:uid="{00000000-0005-0000-0000-00001DAE0000}"/>
    <cellStyle name="Normal 526 9" xfId="52541" xr:uid="{00000000-0005-0000-0000-00001EAE0000}"/>
    <cellStyle name="Normal 527" xfId="2912" xr:uid="{00000000-0005-0000-0000-00001FAE0000}"/>
    <cellStyle name="Normal 527 2" xfId="4975" xr:uid="{00000000-0005-0000-0000-000020AE0000}"/>
    <cellStyle name="Normal 527 2 2" xfId="8735" xr:uid="{00000000-0005-0000-0000-000021AE0000}"/>
    <cellStyle name="Normal 527 2 2 2" xfId="16531" xr:uid="{00000000-0005-0000-0000-000022AE0000}"/>
    <cellStyle name="Normal 527 2 2 2 2" xfId="34166" xr:uid="{00000000-0005-0000-0000-000023AE0000}"/>
    <cellStyle name="Normal 527 2 2 3" xfId="27136" xr:uid="{00000000-0005-0000-0000-000024AE0000}"/>
    <cellStyle name="Normal 527 2 3" xfId="13036" xr:uid="{00000000-0005-0000-0000-000025AE0000}"/>
    <cellStyle name="Normal 527 2 3 2" xfId="30685" xr:uid="{00000000-0005-0000-0000-000026AE0000}"/>
    <cellStyle name="Normal 527 2 4" xfId="24271" xr:uid="{00000000-0005-0000-0000-000027AE0000}"/>
    <cellStyle name="Normal 527 3" xfId="5992" xr:uid="{00000000-0005-0000-0000-000028AE0000}"/>
    <cellStyle name="Normal 527 3 2" xfId="9292" xr:uid="{00000000-0005-0000-0000-000029AE0000}"/>
    <cellStyle name="Normal 527 3 2 2" xfId="17087" xr:uid="{00000000-0005-0000-0000-00002AAE0000}"/>
    <cellStyle name="Normal 527 3 2 2 2" xfId="34723" xr:uid="{00000000-0005-0000-0000-00002BAE0000}"/>
    <cellStyle name="Normal 527 3 2 3" xfId="27680" xr:uid="{00000000-0005-0000-0000-00002CAE0000}"/>
    <cellStyle name="Normal 527 3 3" xfId="13848" xr:uid="{00000000-0005-0000-0000-00002DAE0000}"/>
    <cellStyle name="Normal 527 3 3 2" xfId="31488" xr:uid="{00000000-0005-0000-0000-00002EAE0000}"/>
    <cellStyle name="Normal 527 3 4" xfId="24815" xr:uid="{00000000-0005-0000-0000-00002FAE0000}"/>
    <cellStyle name="Normal 527 4" xfId="6622" xr:uid="{00000000-0005-0000-0000-000030AE0000}"/>
    <cellStyle name="Normal 527 4 2" xfId="9832" xr:uid="{00000000-0005-0000-0000-000031AE0000}"/>
    <cellStyle name="Normal 527 4 2 2" xfId="17626" xr:uid="{00000000-0005-0000-0000-000032AE0000}"/>
    <cellStyle name="Normal 527 4 2 2 2" xfId="35263" xr:uid="{00000000-0005-0000-0000-000033AE0000}"/>
    <cellStyle name="Normal 527 4 2 3" xfId="28216" xr:uid="{00000000-0005-0000-0000-000034AE0000}"/>
    <cellStyle name="Normal 527 4 3" xfId="14411" xr:uid="{00000000-0005-0000-0000-000035AE0000}"/>
    <cellStyle name="Normal 527 4 3 2" xfId="32046" xr:uid="{00000000-0005-0000-0000-000036AE0000}"/>
    <cellStyle name="Normal 527 4 4" xfId="25352" xr:uid="{00000000-0005-0000-0000-000037AE0000}"/>
    <cellStyle name="Normal 527 5" xfId="7398" xr:uid="{00000000-0005-0000-0000-000038AE0000}"/>
    <cellStyle name="Normal 527 5 2" xfId="10386" xr:uid="{00000000-0005-0000-0000-000039AE0000}"/>
    <cellStyle name="Normal 527 5 2 2" xfId="18179" xr:uid="{00000000-0005-0000-0000-00003AAE0000}"/>
    <cellStyle name="Normal 527 5 2 2 2" xfId="35816" xr:uid="{00000000-0005-0000-0000-00003BAE0000}"/>
    <cellStyle name="Normal 527 5 2 3" xfId="28753" xr:uid="{00000000-0005-0000-0000-00003CAE0000}"/>
    <cellStyle name="Normal 527 5 3" xfId="15186" xr:uid="{00000000-0005-0000-0000-00003DAE0000}"/>
    <cellStyle name="Normal 527 5 3 2" xfId="32821" xr:uid="{00000000-0005-0000-0000-00003EAE0000}"/>
    <cellStyle name="Normal 527 5 4" xfId="25890" xr:uid="{00000000-0005-0000-0000-00003FAE0000}"/>
    <cellStyle name="Normal 527 6" xfId="8053" xr:uid="{00000000-0005-0000-0000-000040AE0000}"/>
    <cellStyle name="Normal 527 6 2" xfId="15850" xr:uid="{00000000-0005-0000-0000-000041AE0000}"/>
    <cellStyle name="Normal 527 6 2 2" xfId="33485" xr:uid="{00000000-0005-0000-0000-000042AE0000}"/>
    <cellStyle name="Normal 527 6 3" xfId="26469" xr:uid="{00000000-0005-0000-0000-000043AE0000}"/>
    <cellStyle name="Normal 527 7" xfId="12014" xr:uid="{00000000-0005-0000-0000-000044AE0000}"/>
    <cellStyle name="Normal 527 7 2" xfId="29696" xr:uid="{00000000-0005-0000-0000-000045AE0000}"/>
    <cellStyle name="Normal 527 8" xfId="23604" xr:uid="{00000000-0005-0000-0000-000046AE0000}"/>
    <cellStyle name="Normal 527 9" xfId="52542" xr:uid="{00000000-0005-0000-0000-000047AE0000}"/>
    <cellStyle name="Normal 528" xfId="2913" xr:uid="{00000000-0005-0000-0000-000048AE0000}"/>
    <cellStyle name="Normal 528 2" xfId="4976" xr:uid="{00000000-0005-0000-0000-000049AE0000}"/>
    <cellStyle name="Normal 528 2 2" xfId="8736" xr:uid="{00000000-0005-0000-0000-00004AAE0000}"/>
    <cellStyle name="Normal 528 2 2 2" xfId="16532" xr:uid="{00000000-0005-0000-0000-00004BAE0000}"/>
    <cellStyle name="Normal 528 2 2 2 2" xfId="34167" xr:uid="{00000000-0005-0000-0000-00004CAE0000}"/>
    <cellStyle name="Normal 528 2 2 3" xfId="27137" xr:uid="{00000000-0005-0000-0000-00004DAE0000}"/>
    <cellStyle name="Normal 528 2 3" xfId="13037" xr:uid="{00000000-0005-0000-0000-00004EAE0000}"/>
    <cellStyle name="Normal 528 2 3 2" xfId="30686" xr:uid="{00000000-0005-0000-0000-00004FAE0000}"/>
    <cellStyle name="Normal 528 2 4" xfId="24272" xr:uid="{00000000-0005-0000-0000-000050AE0000}"/>
    <cellStyle name="Normal 528 3" xfId="5993" xr:uid="{00000000-0005-0000-0000-000051AE0000}"/>
    <cellStyle name="Normal 528 3 2" xfId="9293" xr:uid="{00000000-0005-0000-0000-000052AE0000}"/>
    <cellStyle name="Normal 528 3 2 2" xfId="17088" xr:uid="{00000000-0005-0000-0000-000053AE0000}"/>
    <cellStyle name="Normal 528 3 2 2 2" xfId="34724" xr:uid="{00000000-0005-0000-0000-000054AE0000}"/>
    <cellStyle name="Normal 528 3 2 3" xfId="27681" xr:uid="{00000000-0005-0000-0000-000055AE0000}"/>
    <cellStyle name="Normal 528 3 3" xfId="13849" xr:uid="{00000000-0005-0000-0000-000056AE0000}"/>
    <cellStyle name="Normal 528 3 3 2" xfId="31489" xr:uid="{00000000-0005-0000-0000-000057AE0000}"/>
    <cellStyle name="Normal 528 3 4" xfId="24816" xr:uid="{00000000-0005-0000-0000-000058AE0000}"/>
    <cellStyle name="Normal 528 4" xfId="6623" xr:uid="{00000000-0005-0000-0000-000059AE0000}"/>
    <cellStyle name="Normal 528 4 2" xfId="9833" xr:uid="{00000000-0005-0000-0000-00005AAE0000}"/>
    <cellStyle name="Normal 528 4 2 2" xfId="17627" xr:uid="{00000000-0005-0000-0000-00005BAE0000}"/>
    <cellStyle name="Normal 528 4 2 2 2" xfId="35264" xr:uid="{00000000-0005-0000-0000-00005CAE0000}"/>
    <cellStyle name="Normal 528 4 2 3" xfId="28217" xr:uid="{00000000-0005-0000-0000-00005DAE0000}"/>
    <cellStyle name="Normal 528 4 3" xfId="14412" xr:uid="{00000000-0005-0000-0000-00005EAE0000}"/>
    <cellStyle name="Normal 528 4 3 2" xfId="32047" xr:uid="{00000000-0005-0000-0000-00005FAE0000}"/>
    <cellStyle name="Normal 528 4 4" xfId="25353" xr:uid="{00000000-0005-0000-0000-000060AE0000}"/>
    <cellStyle name="Normal 528 5" xfId="7399" xr:uid="{00000000-0005-0000-0000-000061AE0000}"/>
    <cellStyle name="Normal 528 5 2" xfId="10387" xr:uid="{00000000-0005-0000-0000-000062AE0000}"/>
    <cellStyle name="Normal 528 5 2 2" xfId="18180" xr:uid="{00000000-0005-0000-0000-000063AE0000}"/>
    <cellStyle name="Normal 528 5 2 2 2" xfId="35817" xr:uid="{00000000-0005-0000-0000-000064AE0000}"/>
    <cellStyle name="Normal 528 5 2 3" xfId="28754" xr:uid="{00000000-0005-0000-0000-000065AE0000}"/>
    <cellStyle name="Normal 528 5 3" xfId="15187" xr:uid="{00000000-0005-0000-0000-000066AE0000}"/>
    <cellStyle name="Normal 528 5 3 2" xfId="32822" xr:uid="{00000000-0005-0000-0000-000067AE0000}"/>
    <cellStyle name="Normal 528 5 4" xfId="25891" xr:uid="{00000000-0005-0000-0000-000068AE0000}"/>
    <cellStyle name="Normal 528 6" xfId="8054" xr:uid="{00000000-0005-0000-0000-000069AE0000}"/>
    <cellStyle name="Normal 528 6 2" xfId="15851" xr:uid="{00000000-0005-0000-0000-00006AAE0000}"/>
    <cellStyle name="Normal 528 6 2 2" xfId="33486" xr:uid="{00000000-0005-0000-0000-00006BAE0000}"/>
    <cellStyle name="Normal 528 6 3" xfId="26470" xr:uid="{00000000-0005-0000-0000-00006CAE0000}"/>
    <cellStyle name="Normal 528 7" xfId="12015" xr:uid="{00000000-0005-0000-0000-00006DAE0000}"/>
    <cellStyle name="Normal 528 7 2" xfId="29697" xr:uid="{00000000-0005-0000-0000-00006EAE0000}"/>
    <cellStyle name="Normal 528 8" xfId="23605" xr:uid="{00000000-0005-0000-0000-00006FAE0000}"/>
    <cellStyle name="Normal 528 9" xfId="52543" xr:uid="{00000000-0005-0000-0000-000070AE0000}"/>
    <cellStyle name="Normal 529" xfId="2914" xr:uid="{00000000-0005-0000-0000-000071AE0000}"/>
    <cellStyle name="Normal 529 2" xfId="4978" xr:uid="{00000000-0005-0000-0000-000072AE0000}"/>
    <cellStyle name="Normal 529 2 2" xfId="8737" xr:uid="{00000000-0005-0000-0000-000073AE0000}"/>
    <cellStyle name="Normal 529 2 2 2" xfId="16533" xr:uid="{00000000-0005-0000-0000-000074AE0000}"/>
    <cellStyle name="Normal 529 2 2 2 2" xfId="34168" xr:uid="{00000000-0005-0000-0000-000075AE0000}"/>
    <cellStyle name="Normal 529 2 2 3" xfId="27138" xr:uid="{00000000-0005-0000-0000-000076AE0000}"/>
    <cellStyle name="Normal 529 2 3" xfId="13038" xr:uid="{00000000-0005-0000-0000-000077AE0000}"/>
    <cellStyle name="Normal 529 2 3 2" xfId="30687" xr:uid="{00000000-0005-0000-0000-000078AE0000}"/>
    <cellStyle name="Normal 529 2 4" xfId="24273" xr:uid="{00000000-0005-0000-0000-000079AE0000}"/>
    <cellStyle name="Normal 529 3" xfId="4977" xr:uid="{00000000-0005-0000-0000-00007AAE0000}"/>
    <cellStyle name="Normal 529 4" xfId="8055" xr:uid="{00000000-0005-0000-0000-00007BAE0000}"/>
    <cellStyle name="Normal 529 4 2" xfId="15852" xr:uid="{00000000-0005-0000-0000-00007CAE0000}"/>
    <cellStyle name="Normal 529 4 2 2" xfId="33487" xr:uid="{00000000-0005-0000-0000-00007DAE0000}"/>
    <cellStyle name="Normal 529 4 3" xfId="26471" xr:uid="{00000000-0005-0000-0000-00007EAE0000}"/>
    <cellStyle name="Normal 529 5" xfId="12016" xr:uid="{00000000-0005-0000-0000-00007FAE0000}"/>
    <cellStyle name="Normal 529 5 2" xfId="29698" xr:uid="{00000000-0005-0000-0000-000080AE0000}"/>
    <cellStyle name="Normal 529 6" xfId="23606" xr:uid="{00000000-0005-0000-0000-000081AE0000}"/>
    <cellStyle name="Normal 529 7" xfId="52544" xr:uid="{00000000-0005-0000-0000-000082AE0000}"/>
    <cellStyle name="Normal 53" xfId="2915" xr:uid="{00000000-0005-0000-0000-000083AE0000}"/>
    <cellStyle name="Normal 53 2" xfId="4979" xr:uid="{00000000-0005-0000-0000-000084AE0000}"/>
    <cellStyle name="Normal 53 3" xfId="52545" xr:uid="{00000000-0005-0000-0000-000085AE0000}"/>
    <cellStyle name="Normal 530" xfId="2916" xr:uid="{00000000-0005-0000-0000-000086AE0000}"/>
    <cellStyle name="Normal 530 2" xfId="4980" xr:uid="{00000000-0005-0000-0000-000087AE0000}"/>
    <cellStyle name="Normal 530 2 2" xfId="8738" xr:uid="{00000000-0005-0000-0000-000088AE0000}"/>
    <cellStyle name="Normal 530 2 2 2" xfId="16534" xr:uid="{00000000-0005-0000-0000-000089AE0000}"/>
    <cellStyle name="Normal 530 2 2 2 2" xfId="34169" xr:uid="{00000000-0005-0000-0000-00008AAE0000}"/>
    <cellStyle name="Normal 530 2 2 3" xfId="27139" xr:uid="{00000000-0005-0000-0000-00008BAE0000}"/>
    <cellStyle name="Normal 530 2 3" xfId="13039" xr:uid="{00000000-0005-0000-0000-00008CAE0000}"/>
    <cellStyle name="Normal 530 2 3 2" xfId="30688" xr:uid="{00000000-0005-0000-0000-00008DAE0000}"/>
    <cellStyle name="Normal 530 2 4" xfId="24274" xr:uid="{00000000-0005-0000-0000-00008EAE0000}"/>
    <cellStyle name="Normal 530 3" xfId="5994" xr:uid="{00000000-0005-0000-0000-00008FAE0000}"/>
    <cellStyle name="Normal 530 3 2" xfId="9294" xr:uid="{00000000-0005-0000-0000-000090AE0000}"/>
    <cellStyle name="Normal 530 3 2 2" xfId="17089" xr:uid="{00000000-0005-0000-0000-000091AE0000}"/>
    <cellStyle name="Normal 530 3 2 2 2" xfId="34725" xr:uid="{00000000-0005-0000-0000-000092AE0000}"/>
    <cellStyle name="Normal 530 3 2 3" xfId="27682" xr:uid="{00000000-0005-0000-0000-000093AE0000}"/>
    <cellStyle name="Normal 530 3 3" xfId="13850" xr:uid="{00000000-0005-0000-0000-000094AE0000}"/>
    <cellStyle name="Normal 530 3 3 2" xfId="31490" xr:uid="{00000000-0005-0000-0000-000095AE0000}"/>
    <cellStyle name="Normal 530 3 4" xfId="24817" xr:uid="{00000000-0005-0000-0000-000096AE0000}"/>
    <cellStyle name="Normal 530 4" xfId="6624" xr:uid="{00000000-0005-0000-0000-000097AE0000}"/>
    <cellStyle name="Normal 530 4 2" xfId="9834" xr:uid="{00000000-0005-0000-0000-000098AE0000}"/>
    <cellStyle name="Normal 530 4 2 2" xfId="17628" xr:uid="{00000000-0005-0000-0000-000099AE0000}"/>
    <cellStyle name="Normal 530 4 2 2 2" xfId="35265" xr:uid="{00000000-0005-0000-0000-00009AAE0000}"/>
    <cellStyle name="Normal 530 4 2 3" xfId="28218" xr:uid="{00000000-0005-0000-0000-00009BAE0000}"/>
    <cellStyle name="Normal 530 4 3" xfId="14413" xr:uid="{00000000-0005-0000-0000-00009CAE0000}"/>
    <cellStyle name="Normal 530 4 3 2" xfId="32048" xr:uid="{00000000-0005-0000-0000-00009DAE0000}"/>
    <cellStyle name="Normal 530 4 4" xfId="25354" xr:uid="{00000000-0005-0000-0000-00009EAE0000}"/>
    <cellStyle name="Normal 530 5" xfId="7400" xr:uid="{00000000-0005-0000-0000-00009FAE0000}"/>
    <cellStyle name="Normal 530 5 2" xfId="10388" xr:uid="{00000000-0005-0000-0000-0000A0AE0000}"/>
    <cellStyle name="Normal 530 5 2 2" xfId="18181" xr:uid="{00000000-0005-0000-0000-0000A1AE0000}"/>
    <cellStyle name="Normal 530 5 2 2 2" xfId="35818" xr:uid="{00000000-0005-0000-0000-0000A2AE0000}"/>
    <cellStyle name="Normal 530 5 2 3" xfId="28755" xr:uid="{00000000-0005-0000-0000-0000A3AE0000}"/>
    <cellStyle name="Normal 530 5 3" xfId="15188" xr:uid="{00000000-0005-0000-0000-0000A4AE0000}"/>
    <cellStyle name="Normal 530 5 3 2" xfId="32823" xr:uid="{00000000-0005-0000-0000-0000A5AE0000}"/>
    <cellStyle name="Normal 530 5 4" xfId="25892" xr:uid="{00000000-0005-0000-0000-0000A6AE0000}"/>
    <cellStyle name="Normal 530 6" xfId="8056" xr:uid="{00000000-0005-0000-0000-0000A7AE0000}"/>
    <cellStyle name="Normal 530 6 2" xfId="15853" xr:uid="{00000000-0005-0000-0000-0000A8AE0000}"/>
    <cellStyle name="Normal 530 6 2 2" xfId="33488" xr:uid="{00000000-0005-0000-0000-0000A9AE0000}"/>
    <cellStyle name="Normal 530 6 3" xfId="26472" xr:uid="{00000000-0005-0000-0000-0000AAAE0000}"/>
    <cellStyle name="Normal 530 7" xfId="12017" xr:uid="{00000000-0005-0000-0000-0000ABAE0000}"/>
    <cellStyle name="Normal 530 7 2" xfId="29699" xr:uid="{00000000-0005-0000-0000-0000ACAE0000}"/>
    <cellStyle name="Normal 530 8" xfId="23607" xr:uid="{00000000-0005-0000-0000-0000ADAE0000}"/>
    <cellStyle name="Normal 530 9" xfId="52546" xr:uid="{00000000-0005-0000-0000-0000AEAE0000}"/>
    <cellStyle name="Normal 531" xfId="2917" xr:uid="{00000000-0005-0000-0000-0000AFAE0000}"/>
    <cellStyle name="Normal 531 2" xfId="2918" xr:uid="{00000000-0005-0000-0000-0000B0AE0000}"/>
    <cellStyle name="Normal 531 2 2" xfId="4982" xr:uid="{00000000-0005-0000-0000-0000B1AE0000}"/>
    <cellStyle name="Normal 531 2 3" xfId="52548" xr:uid="{00000000-0005-0000-0000-0000B2AE0000}"/>
    <cellStyle name="Normal 531 3" xfId="4983" xr:uid="{00000000-0005-0000-0000-0000B3AE0000}"/>
    <cellStyle name="Normal 531 4" xfId="4981" xr:uid="{00000000-0005-0000-0000-0000B4AE0000}"/>
    <cellStyle name="Normal 531 4 2" xfId="8739" xr:uid="{00000000-0005-0000-0000-0000B5AE0000}"/>
    <cellStyle name="Normal 531 4 2 2" xfId="16535" xr:uid="{00000000-0005-0000-0000-0000B6AE0000}"/>
    <cellStyle name="Normal 531 4 2 2 2" xfId="34170" xr:uid="{00000000-0005-0000-0000-0000B7AE0000}"/>
    <cellStyle name="Normal 531 4 2 3" xfId="27140" xr:uid="{00000000-0005-0000-0000-0000B8AE0000}"/>
    <cellStyle name="Normal 531 4 3" xfId="13040" xr:uid="{00000000-0005-0000-0000-0000B9AE0000}"/>
    <cellStyle name="Normal 531 4 3 2" xfId="30689" xr:uid="{00000000-0005-0000-0000-0000BAAE0000}"/>
    <cellStyle name="Normal 531 4 4" xfId="24275" xr:uid="{00000000-0005-0000-0000-0000BBAE0000}"/>
    <cellStyle name="Normal 531 5" xfId="5995" xr:uid="{00000000-0005-0000-0000-0000BCAE0000}"/>
    <cellStyle name="Normal 531 5 2" xfId="9295" xr:uid="{00000000-0005-0000-0000-0000BDAE0000}"/>
    <cellStyle name="Normal 531 5 2 2" xfId="17090" xr:uid="{00000000-0005-0000-0000-0000BEAE0000}"/>
    <cellStyle name="Normal 531 5 2 2 2" xfId="34726" xr:uid="{00000000-0005-0000-0000-0000BFAE0000}"/>
    <cellStyle name="Normal 531 5 2 3" xfId="27683" xr:uid="{00000000-0005-0000-0000-0000C0AE0000}"/>
    <cellStyle name="Normal 531 5 3" xfId="13851" xr:uid="{00000000-0005-0000-0000-0000C1AE0000}"/>
    <cellStyle name="Normal 531 5 3 2" xfId="31491" xr:uid="{00000000-0005-0000-0000-0000C2AE0000}"/>
    <cellStyle name="Normal 531 5 4" xfId="24818" xr:uid="{00000000-0005-0000-0000-0000C3AE0000}"/>
    <cellStyle name="Normal 531 6" xfId="6625" xr:uid="{00000000-0005-0000-0000-0000C4AE0000}"/>
    <cellStyle name="Normal 531 6 2" xfId="9835" xr:uid="{00000000-0005-0000-0000-0000C5AE0000}"/>
    <cellStyle name="Normal 531 6 2 2" xfId="17629" xr:uid="{00000000-0005-0000-0000-0000C6AE0000}"/>
    <cellStyle name="Normal 531 6 2 2 2" xfId="35266" xr:uid="{00000000-0005-0000-0000-0000C7AE0000}"/>
    <cellStyle name="Normal 531 6 2 3" xfId="28219" xr:uid="{00000000-0005-0000-0000-0000C8AE0000}"/>
    <cellStyle name="Normal 531 6 3" xfId="14414" xr:uid="{00000000-0005-0000-0000-0000C9AE0000}"/>
    <cellStyle name="Normal 531 6 3 2" xfId="32049" xr:uid="{00000000-0005-0000-0000-0000CAAE0000}"/>
    <cellStyle name="Normal 531 6 4" xfId="25355" xr:uid="{00000000-0005-0000-0000-0000CBAE0000}"/>
    <cellStyle name="Normal 531 7" xfId="7401" xr:uid="{00000000-0005-0000-0000-0000CCAE0000}"/>
    <cellStyle name="Normal 531 7 2" xfId="10389" xr:uid="{00000000-0005-0000-0000-0000CDAE0000}"/>
    <cellStyle name="Normal 531 7 2 2" xfId="18182" xr:uid="{00000000-0005-0000-0000-0000CEAE0000}"/>
    <cellStyle name="Normal 531 7 2 2 2" xfId="35819" xr:uid="{00000000-0005-0000-0000-0000CFAE0000}"/>
    <cellStyle name="Normal 531 7 2 3" xfId="28756" xr:uid="{00000000-0005-0000-0000-0000D0AE0000}"/>
    <cellStyle name="Normal 531 7 3" xfId="15189" xr:uid="{00000000-0005-0000-0000-0000D1AE0000}"/>
    <cellStyle name="Normal 531 7 3 2" xfId="32824" xr:uid="{00000000-0005-0000-0000-0000D2AE0000}"/>
    <cellStyle name="Normal 531 7 4" xfId="25893" xr:uid="{00000000-0005-0000-0000-0000D3AE0000}"/>
    <cellStyle name="Normal 531 8" xfId="52547" xr:uid="{00000000-0005-0000-0000-0000D4AE0000}"/>
    <cellStyle name="Normal 532" xfId="2919" xr:uid="{00000000-0005-0000-0000-0000D5AE0000}"/>
    <cellStyle name="Normal 532 2" xfId="4984" xr:uid="{00000000-0005-0000-0000-0000D6AE0000}"/>
    <cellStyle name="Normal 532 2 2" xfId="8740" xr:uid="{00000000-0005-0000-0000-0000D7AE0000}"/>
    <cellStyle name="Normal 532 2 2 2" xfId="16536" xr:uid="{00000000-0005-0000-0000-0000D8AE0000}"/>
    <cellStyle name="Normal 532 2 2 2 2" xfId="34171" xr:uid="{00000000-0005-0000-0000-0000D9AE0000}"/>
    <cellStyle name="Normal 532 2 2 3" xfId="27141" xr:uid="{00000000-0005-0000-0000-0000DAAE0000}"/>
    <cellStyle name="Normal 532 2 3" xfId="13041" xr:uid="{00000000-0005-0000-0000-0000DBAE0000}"/>
    <cellStyle name="Normal 532 2 3 2" xfId="30690" xr:uid="{00000000-0005-0000-0000-0000DCAE0000}"/>
    <cellStyle name="Normal 532 2 4" xfId="24276" xr:uid="{00000000-0005-0000-0000-0000DDAE0000}"/>
    <cellStyle name="Normal 532 3" xfId="5996" xr:uid="{00000000-0005-0000-0000-0000DEAE0000}"/>
    <cellStyle name="Normal 532 3 2" xfId="9296" xr:uid="{00000000-0005-0000-0000-0000DFAE0000}"/>
    <cellStyle name="Normal 532 3 2 2" xfId="17091" xr:uid="{00000000-0005-0000-0000-0000E0AE0000}"/>
    <cellStyle name="Normal 532 3 2 2 2" xfId="34727" xr:uid="{00000000-0005-0000-0000-0000E1AE0000}"/>
    <cellStyle name="Normal 532 3 2 3" xfId="27684" xr:uid="{00000000-0005-0000-0000-0000E2AE0000}"/>
    <cellStyle name="Normal 532 3 3" xfId="13852" xr:uid="{00000000-0005-0000-0000-0000E3AE0000}"/>
    <cellStyle name="Normal 532 3 3 2" xfId="31492" xr:uid="{00000000-0005-0000-0000-0000E4AE0000}"/>
    <cellStyle name="Normal 532 3 4" xfId="24819" xr:uid="{00000000-0005-0000-0000-0000E5AE0000}"/>
    <cellStyle name="Normal 532 4" xfId="6626" xr:uid="{00000000-0005-0000-0000-0000E6AE0000}"/>
    <cellStyle name="Normal 532 4 2" xfId="9836" xr:uid="{00000000-0005-0000-0000-0000E7AE0000}"/>
    <cellStyle name="Normal 532 4 2 2" xfId="17630" xr:uid="{00000000-0005-0000-0000-0000E8AE0000}"/>
    <cellStyle name="Normal 532 4 2 2 2" xfId="35267" xr:uid="{00000000-0005-0000-0000-0000E9AE0000}"/>
    <cellStyle name="Normal 532 4 2 3" xfId="28220" xr:uid="{00000000-0005-0000-0000-0000EAAE0000}"/>
    <cellStyle name="Normal 532 4 3" xfId="14415" xr:uid="{00000000-0005-0000-0000-0000EBAE0000}"/>
    <cellStyle name="Normal 532 4 3 2" xfId="32050" xr:uid="{00000000-0005-0000-0000-0000ECAE0000}"/>
    <cellStyle name="Normal 532 4 4" xfId="25356" xr:uid="{00000000-0005-0000-0000-0000EDAE0000}"/>
    <cellStyle name="Normal 532 5" xfId="7402" xr:uid="{00000000-0005-0000-0000-0000EEAE0000}"/>
    <cellStyle name="Normal 532 5 2" xfId="10390" xr:uid="{00000000-0005-0000-0000-0000EFAE0000}"/>
    <cellStyle name="Normal 532 5 2 2" xfId="18183" xr:uid="{00000000-0005-0000-0000-0000F0AE0000}"/>
    <cellStyle name="Normal 532 5 2 2 2" xfId="35820" xr:uid="{00000000-0005-0000-0000-0000F1AE0000}"/>
    <cellStyle name="Normal 532 5 2 3" xfId="28757" xr:uid="{00000000-0005-0000-0000-0000F2AE0000}"/>
    <cellStyle name="Normal 532 5 3" xfId="15190" xr:uid="{00000000-0005-0000-0000-0000F3AE0000}"/>
    <cellStyle name="Normal 532 5 3 2" xfId="32825" xr:uid="{00000000-0005-0000-0000-0000F4AE0000}"/>
    <cellStyle name="Normal 532 5 4" xfId="25894" xr:uid="{00000000-0005-0000-0000-0000F5AE0000}"/>
    <cellStyle name="Normal 532 6" xfId="8057" xr:uid="{00000000-0005-0000-0000-0000F6AE0000}"/>
    <cellStyle name="Normal 532 6 2" xfId="15854" xr:uid="{00000000-0005-0000-0000-0000F7AE0000}"/>
    <cellStyle name="Normal 532 6 2 2" xfId="33489" xr:uid="{00000000-0005-0000-0000-0000F8AE0000}"/>
    <cellStyle name="Normal 532 6 3" xfId="26473" xr:uid="{00000000-0005-0000-0000-0000F9AE0000}"/>
    <cellStyle name="Normal 532 7" xfId="12019" xr:uid="{00000000-0005-0000-0000-0000FAAE0000}"/>
    <cellStyle name="Normal 532 7 2" xfId="29701" xr:uid="{00000000-0005-0000-0000-0000FBAE0000}"/>
    <cellStyle name="Normal 532 8" xfId="23608" xr:uid="{00000000-0005-0000-0000-0000FCAE0000}"/>
    <cellStyle name="Normal 532 9" xfId="52549" xr:uid="{00000000-0005-0000-0000-0000FDAE0000}"/>
    <cellStyle name="Normal 533" xfId="2920" xr:uid="{00000000-0005-0000-0000-0000FEAE0000}"/>
    <cellStyle name="Normal 533 2" xfId="4986" xr:uid="{00000000-0005-0000-0000-0000FFAE0000}"/>
    <cellStyle name="Normal 533 2 2" xfId="8741" xr:uid="{00000000-0005-0000-0000-000000AF0000}"/>
    <cellStyle name="Normal 533 2 2 2" xfId="16537" xr:uid="{00000000-0005-0000-0000-000001AF0000}"/>
    <cellStyle name="Normal 533 2 2 2 2" xfId="34172" xr:uid="{00000000-0005-0000-0000-000002AF0000}"/>
    <cellStyle name="Normal 533 2 2 3" xfId="27142" xr:uid="{00000000-0005-0000-0000-000003AF0000}"/>
    <cellStyle name="Normal 533 2 3" xfId="13042" xr:uid="{00000000-0005-0000-0000-000004AF0000}"/>
    <cellStyle name="Normal 533 2 3 2" xfId="30691" xr:uid="{00000000-0005-0000-0000-000005AF0000}"/>
    <cellStyle name="Normal 533 2 4" xfId="24277" xr:uid="{00000000-0005-0000-0000-000006AF0000}"/>
    <cellStyle name="Normal 533 3" xfId="4985" xr:uid="{00000000-0005-0000-0000-000007AF0000}"/>
    <cellStyle name="Normal 533 4" xfId="8058" xr:uid="{00000000-0005-0000-0000-000008AF0000}"/>
    <cellStyle name="Normal 533 4 2" xfId="15855" xr:uid="{00000000-0005-0000-0000-000009AF0000}"/>
    <cellStyle name="Normal 533 4 2 2" xfId="33490" xr:uid="{00000000-0005-0000-0000-00000AAF0000}"/>
    <cellStyle name="Normal 533 4 3" xfId="26474" xr:uid="{00000000-0005-0000-0000-00000BAF0000}"/>
    <cellStyle name="Normal 533 5" xfId="12020" xr:uid="{00000000-0005-0000-0000-00000CAF0000}"/>
    <cellStyle name="Normal 533 5 2" xfId="29702" xr:uid="{00000000-0005-0000-0000-00000DAF0000}"/>
    <cellStyle name="Normal 533 6" xfId="23609" xr:uid="{00000000-0005-0000-0000-00000EAF0000}"/>
    <cellStyle name="Normal 533 7" xfId="52550" xr:uid="{00000000-0005-0000-0000-00000FAF0000}"/>
    <cellStyle name="Normal 534" xfId="2921" xr:uid="{00000000-0005-0000-0000-000010AF0000}"/>
    <cellStyle name="Normal 534 2" xfId="4988" xr:uid="{00000000-0005-0000-0000-000011AF0000}"/>
    <cellStyle name="Normal 534 3" xfId="4989" xr:uid="{00000000-0005-0000-0000-000012AF0000}"/>
    <cellStyle name="Normal 534 4" xfId="4990" xr:uid="{00000000-0005-0000-0000-000013AF0000}"/>
    <cellStyle name="Normal 534 4 2" xfId="8742" xr:uid="{00000000-0005-0000-0000-000014AF0000}"/>
    <cellStyle name="Normal 534 4 2 2" xfId="16538" xr:uid="{00000000-0005-0000-0000-000015AF0000}"/>
    <cellStyle name="Normal 534 4 2 2 2" xfId="34173" xr:uid="{00000000-0005-0000-0000-000016AF0000}"/>
    <cellStyle name="Normal 534 4 2 3" xfId="27143" xr:uid="{00000000-0005-0000-0000-000017AF0000}"/>
    <cellStyle name="Normal 534 4 3" xfId="13043" xr:uid="{00000000-0005-0000-0000-000018AF0000}"/>
    <cellStyle name="Normal 534 4 3 2" xfId="30692" xr:uid="{00000000-0005-0000-0000-000019AF0000}"/>
    <cellStyle name="Normal 534 4 4" xfId="24278" xr:uid="{00000000-0005-0000-0000-00001AAF0000}"/>
    <cellStyle name="Normal 534 5" xfId="4987" xr:uid="{00000000-0005-0000-0000-00001BAF0000}"/>
    <cellStyle name="Normal 534 6" xfId="8059" xr:uid="{00000000-0005-0000-0000-00001CAF0000}"/>
    <cellStyle name="Normal 534 6 2" xfId="15856" xr:uid="{00000000-0005-0000-0000-00001DAF0000}"/>
    <cellStyle name="Normal 534 6 2 2" xfId="33491" xr:uid="{00000000-0005-0000-0000-00001EAF0000}"/>
    <cellStyle name="Normal 534 6 3" xfId="26475" xr:uid="{00000000-0005-0000-0000-00001FAF0000}"/>
    <cellStyle name="Normal 534 7" xfId="12021" xr:uid="{00000000-0005-0000-0000-000020AF0000}"/>
    <cellStyle name="Normal 534 7 2" xfId="29703" xr:uid="{00000000-0005-0000-0000-000021AF0000}"/>
    <cellStyle name="Normal 534 8" xfId="23610" xr:uid="{00000000-0005-0000-0000-000022AF0000}"/>
    <cellStyle name="Normal 534 9" xfId="52551" xr:uid="{00000000-0005-0000-0000-000023AF0000}"/>
    <cellStyle name="Normal 535" xfId="2922" xr:uid="{00000000-0005-0000-0000-000024AF0000}"/>
    <cellStyle name="Normal 535 2" xfId="4991" xr:uid="{00000000-0005-0000-0000-000025AF0000}"/>
    <cellStyle name="Normal 535 3" xfId="4992" xr:uid="{00000000-0005-0000-0000-000026AF0000}"/>
    <cellStyle name="Normal 535 4" xfId="52552" xr:uid="{00000000-0005-0000-0000-000027AF0000}"/>
    <cellStyle name="Normal 536" xfId="2923" xr:uid="{00000000-0005-0000-0000-000028AF0000}"/>
    <cellStyle name="Normal 536 2" xfId="4993" xr:uid="{00000000-0005-0000-0000-000029AF0000}"/>
    <cellStyle name="Normal 536 3" xfId="4994" xr:uid="{00000000-0005-0000-0000-00002AAF0000}"/>
    <cellStyle name="Normal 536 4" xfId="52553" xr:uid="{00000000-0005-0000-0000-00002BAF0000}"/>
    <cellStyle name="Normal 537" xfId="2924" xr:uid="{00000000-0005-0000-0000-00002CAF0000}"/>
    <cellStyle name="Normal 537 2" xfId="4995" xr:uid="{00000000-0005-0000-0000-00002DAF0000}"/>
    <cellStyle name="Normal 537 3" xfId="4996" xr:uid="{00000000-0005-0000-0000-00002EAF0000}"/>
    <cellStyle name="Normal 537 4" xfId="52554" xr:uid="{00000000-0005-0000-0000-00002FAF0000}"/>
    <cellStyle name="Normal 538" xfId="2925" xr:uid="{00000000-0005-0000-0000-000030AF0000}"/>
    <cellStyle name="Normal 538 2" xfId="4998" xr:uid="{00000000-0005-0000-0000-000031AF0000}"/>
    <cellStyle name="Normal 538 3" xfId="4999" xr:uid="{00000000-0005-0000-0000-000032AF0000}"/>
    <cellStyle name="Normal 538 4" xfId="4997" xr:uid="{00000000-0005-0000-0000-000033AF0000}"/>
    <cellStyle name="Normal 538 5" xfId="52555" xr:uid="{00000000-0005-0000-0000-000034AF0000}"/>
    <cellStyle name="Normal 539" xfId="2926" xr:uid="{00000000-0005-0000-0000-000035AF0000}"/>
    <cellStyle name="Normal 539 2" xfId="5001" xr:uid="{00000000-0005-0000-0000-000036AF0000}"/>
    <cellStyle name="Normal 539 3" xfId="5002" xr:uid="{00000000-0005-0000-0000-000037AF0000}"/>
    <cellStyle name="Normal 539 4" xfId="5000" xr:uid="{00000000-0005-0000-0000-000038AF0000}"/>
    <cellStyle name="Normal 539 5" xfId="52556" xr:uid="{00000000-0005-0000-0000-000039AF0000}"/>
    <cellStyle name="Normal 54" xfId="2927" xr:uid="{00000000-0005-0000-0000-00003AAF0000}"/>
    <cellStyle name="Normal 54 2" xfId="5003" xr:uid="{00000000-0005-0000-0000-00003BAF0000}"/>
    <cellStyle name="Normal 54 3" xfId="52557" xr:uid="{00000000-0005-0000-0000-00003CAF0000}"/>
    <cellStyle name="Normal 540" xfId="2928" xr:uid="{00000000-0005-0000-0000-00003DAF0000}"/>
    <cellStyle name="Normal 540 2" xfId="5004" xr:uid="{00000000-0005-0000-0000-00003EAF0000}"/>
    <cellStyle name="Normal 540 3" xfId="5005" xr:uid="{00000000-0005-0000-0000-00003FAF0000}"/>
    <cellStyle name="Normal 540 4" xfId="52558" xr:uid="{00000000-0005-0000-0000-000040AF0000}"/>
    <cellStyle name="Normal 541" xfId="2929" xr:uid="{00000000-0005-0000-0000-000041AF0000}"/>
    <cellStyle name="Normal 541 2" xfId="5007" xr:uid="{00000000-0005-0000-0000-000042AF0000}"/>
    <cellStyle name="Normal 541 3" xfId="5008" xr:uid="{00000000-0005-0000-0000-000043AF0000}"/>
    <cellStyle name="Normal 541 4" xfId="5006" xr:uid="{00000000-0005-0000-0000-000044AF0000}"/>
    <cellStyle name="Normal 541 5" xfId="52559" xr:uid="{00000000-0005-0000-0000-000045AF0000}"/>
    <cellStyle name="Normal 542" xfId="2930" xr:uid="{00000000-0005-0000-0000-000046AF0000}"/>
    <cellStyle name="Normal 542 2" xfId="5009" xr:uid="{00000000-0005-0000-0000-000047AF0000}"/>
    <cellStyle name="Normal 542 3" xfId="5010" xr:uid="{00000000-0005-0000-0000-000048AF0000}"/>
    <cellStyle name="Normal 542 4" xfId="52560" xr:uid="{00000000-0005-0000-0000-000049AF0000}"/>
    <cellStyle name="Normal 543" xfId="2931" xr:uid="{00000000-0005-0000-0000-00004AAF0000}"/>
    <cellStyle name="Normal 543 2" xfId="5011" xr:uid="{00000000-0005-0000-0000-00004BAF0000}"/>
    <cellStyle name="Normal 543 3" xfId="5012" xr:uid="{00000000-0005-0000-0000-00004CAF0000}"/>
    <cellStyle name="Normal 543 4" xfId="52561" xr:uid="{00000000-0005-0000-0000-00004DAF0000}"/>
    <cellStyle name="Normal 544" xfId="2932" xr:uid="{00000000-0005-0000-0000-00004EAF0000}"/>
    <cellStyle name="Normal 544 2" xfId="5014" xr:uid="{00000000-0005-0000-0000-00004FAF0000}"/>
    <cellStyle name="Normal 544 3" xfId="5015" xr:uid="{00000000-0005-0000-0000-000050AF0000}"/>
    <cellStyle name="Normal 544 4" xfId="5013" xr:uid="{00000000-0005-0000-0000-000051AF0000}"/>
    <cellStyle name="Normal 544 5" xfId="52562" xr:uid="{00000000-0005-0000-0000-000052AF0000}"/>
    <cellStyle name="Normal 545" xfId="2933" xr:uid="{00000000-0005-0000-0000-000053AF0000}"/>
    <cellStyle name="Normal 545 2" xfId="5016" xr:uid="{00000000-0005-0000-0000-000054AF0000}"/>
    <cellStyle name="Normal 545 3" xfId="5017" xr:uid="{00000000-0005-0000-0000-000055AF0000}"/>
    <cellStyle name="Normal 545 4" xfId="52563" xr:uid="{00000000-0005-0000-0000-000056AF0000}"/>
    <cellStyle name="Normal 546" xfId="2934" xr:uid="{00000000-0005-0000-0000-000057AF0000}"/>
    <cellStyle name="Normal 546 2" xfId="5019" xr:uid="{00000000-0005-0000-0000-000058AF0000}"/>
    <cellStyle name="Normal 546 3" xfId="5020" xr:uid="{00000000-0005-0000-0000-000059AF0000}"/>
    <cellStyle name="Normal 546 4" xfId="5018" xr:uid="{00000000-0005-0000-0000-00005AAF0000}"/>
    <cellStyle name="Normal 546 5" xfId="52564" xr:uid="{00000000-0005-0000-0000-00005BAF0000}"/>
    <cellStyle name="Normal 547" xfId="2935" xr:uid="{00000000-0005-0000-0000-00005CAF0000}"/>
    <cellStyle name="Normal 547 2" xfId="5021" xr:uid="{00000000-0005-0000-0000-00005DAF0000}"/>
    <cellStyle name="Normal 547 3" xfId="5022" xr:uid="{00000000-0005-0000-0000-00005EAF0000}"/>
    <cellStyle name="Normal 547 4" xfId="52565" xr:uid="{00000000-0005-0000-0000-00005FAF0000}"/>
    <cellStyle name="Normal 548" xfId="2936" xr:uid="{00000000-0005-0000-0000-000060AF0000}"/>
    <cellStyle name="Normal 548 2" xfId="5023" xr:uid="{00000000-0005-0000-0000-000061AF0000}"/>
    <cellStyle name="Normal 548 3" xfId="5024" xr:uid="{00000000-0005-0000-0000-000062AF0000}"/>
    <cellStyle name="Normal 548 4" xfId="52566" xr:uid="{00000000-0005-0000-0000-000063AF0000}"/>
    <cellStyle name="Normal 549" xfId="2937" xr:uid="{00000000-0005-0000-0000-000064AF0000}"/>
    <cellStyle name="Normal 549 2" xfId="5026" xr:uid="{00000000-0005-0000-0000-000065AF0000}"/>
    <cellStyle name="Normal 549 3" xfId="5027" xr:uid="{00000000-0005-0000-0000-000066AF0000}"/>
    <cellStyle name="Normal 549 4" xfId="5025" xr:uid="{00000000-0005-0000-0000-000067AF0000}"/>
    <cellStyle name="Normal 549 5" xfId="52567" xr:uid="{00000000-0005-0000-0000-000068AF0000}"/>
    <cellStyle name="Normal 55" xfId="2938" xr:uid="{00000000-0005-0000-0000-000069AF0000}"/>
    <cellStyle name="Normal 55 2" xfId="5028" xr:uid="{00000000-0005-0000-0000-00006AAF0000}"/>
    <cellStyle name="Normal 55 3" xfId="52568" xr:uid="{00000000-0005-0000-0000-00006BAF0000}"/>
    <cellStyle name="Normal 550" xfId="2939" xr:uid="{00000000-0005-0000-0000-00006CAF0000}"/>
    <cellStyle name="Normal 550 2" xfId="5029" xr:uid="{00000000-0005-0000-0000-00006DAF0000}"/>
    <cellStyle name="Normal 550 3" xfId="5030" xr:uid="{00000000-0005-0000-0000-00006EAF0000}"/>
    <cellStyle name="Normal 551" xfId="2940" xr:uid="{00000000-0005-0000-0000-00006FAF0000}"/>
    <cellStyle name="Normal 551 2" xfId="5031" xr:uid="{00000000-0005-0000-0000-000070AF0000}"/>
    <cellStyle name="Normal 551 3" xfId="5032" xr:uid="{00000000-0005-0000-0000-000071AF0000}"/>
    <cellStyle name="Normal 552" xfId="2941" xr:uid="{00000000-0005-0000-0000-000072AF0000}"/>
    <cellStyle name="Normal 552 2" xfId="5033" xr:uid="{00000000-0005-0000-0000-000073AF0000}"/>
    <cellStyle name="Normal 552 3" xfId="5034" xr:uid="{00000000-0005-0000-0000-000074AF0000}"/>
    <cellStyle name="Normal 553" xfId="2942" xr:uid="{00000000-0005-0000-0000-000075AF0000}"/>
    <cellStyle name="Normal 553 2" xfId="5035" xr:uid="{00000000-0005-0000-0000-000076AF0000}"/>
    <cellStyle name="Normal 553 3" xfId="5036" xr:uid="{00000000-0005-0000-0000-000077AF0000}"/>
    <cellStyle name="Normal 554" xfId="2943" xr:uid="{00000000-0005-0000-0000-000078AF0000}"/>
    <cellStyle name="Normal 554 2" xfId="5037" xr:uid="{00000000-0005-0000-0000-000079AF0000}"/>
    <cellStyle name="Normal 554 3" xfId="5038" xr:uid="{00000000-0005-0000-0000-00007AAF0000}"/>
    <cellStyle name="Normal 555" xfId="2944" xr:uid="{00000000-0005-0000-0000-00007BAF0000}"/>
    <cellStyle name="Normal 555 2" xfId="5039" xr:uid="{00000000-0005-0000-0000-00007CAF0000}"/>
    <cellStyle name="Normal 555 3" xfId="5040" xr:uid="{00000000-0005-0000-0000-00007DAF0000}"/>
    <cellStyle name="Normal 556" xfId="2945" xr:uid="{00000000-0005-0000-0000-00007EAF0000}"/>
    <cellStyle name="Normal 556 2" xfId="5041" xr:uid="{00000000-0005-0000-0000-00007FAF0000}"/>
    <cellStyle name="Normal 556 3" xfId="5042" xr:uid="{00000000-0005-0000-0000-000080AF0000}"/>
    <cellStyle name="Normal 557" xfId="2946" xr:uid="{00000000-0005-0000-0000-000081AF0000}"/>
    <cellStyle name="Normal 557 2" xfId="5043" xr:uid="{00000000-0005-0000-0000-000082AF0000}"/>
    <cellStyle name="Normal 557 3" xfId="5044" xr:uid="{00000000-0005-0000-0000-000083AF0000}"/>
    <cellStyle name="Normal 558" xfId="2947" xr:uid="{00000000-0005-0000-0000-000084AF0000}"/>
    <cellStyle name="Normal 558 2" xfId="5045" xr:uid="{00000000-0005-0000-0000-000085AF0000}"/>
    <cellStyle name="Normal 558 3" xfId="5046" xr:uid="{00000000-0005-0000-0000-000086AF0000}"/>
    <cellStyle name="Normal 559" xfId="2948" xr:uid="{00000000-0005-0000-0000-000087AF0000}"/>
    <cellStyle name="Normal 559 2" xfId="5047" xr:uid="{00000000-0005-0000-0000-000088AF0000}"/>
    <cellStyle name="Normal 559 3" xfId="5048" xr:uid="{00000000-0005-0000-0000-000089AF0000}"/>
    <cellStyle name="Normal 559 4" xfId="52569" xr:uid="{00000000-0005-0000-0000-00008AAF0000}"/>
    <cellStyle name="Normal 56" xfId="2949" xr:uid="{00000000-0005-0000-0000-00008BAF0000}"/>
    <cellStyle name="Normal 56 2" xfId="5049" xr:uid="{00000000-0005-0000-0000-00008CAF0000}"/>
    <cellStyle name="Normal 56 3" xfId="52570" xr:uid="{00000000-0005-0000-0000-00008DAF0000}"/>
    <cellStyle name="Normal 560" xfId="2950" xr:uid="{00000000-0005-0000-0000-00008EAF0000}"/>
    <cellStyle name="Normal 560 2" xfId="5051" xr:uid="{00000000-0005-0000-0000-00008FAF0000}"/>
    <cellStyle name="Normal 560 3" xfId="5052" xr:uid="{00000000-0005-0000-0000-000090AF0000}"/>
    <cellStyle name="Normal 560 4" xfId="5050" xr:uid="{00000000-0005-0000-0000-000091AF0000}"/>
    <cellStyle name="Normal 561" xfId="5053" xr:uid="{00000000-0005-0000-0000-000092AF0000}"/>
    <cellStyle name="Normal 561 2" xfId="5054" xr:uid="{00000000-0005-0000-0000-000093AF0000}"/>
    <cellStyle name="Normal 561 3" xfId="5055" xr:uid="{00000000-0005-0000-0000-000094AF0000}"/>
    <cellStyle name="Normal 562" xfId="5056" xr:uid="{00000000-0005-0000-0000-000095AF0000}"/>
    <cellStyle name="Normal 562 2" xfId="5057" xr:uid="{00000000-0005-0000-0000-000096AF0000}"/>
    <cellStyle name="Normal 562 3" xfId="5058" xr:uid="{00000000-0005-0000-0000-000097AF0000}"/>
    <cellStyle name="Normal 563" xfId="5059" xr:uid="{00000000-0005-0000-0000-000098AF0000}"/>
    <cellStyle name="Normal 563 2" xfId="5060" xr:uid="{00000000-0005-0000-0000-000099AF0000}"/>
    <cellStyle name="Normal 563 3" xfId="5061" xr:uid="{00000000-0005-0000-0000-00009AAF0000}"/>
    <cellStyle name="Normal 564" xfId="5062" xr:uid="{00000000-0005-0000-0000-00009BAF0000}"/>
    <cellStyle name="Normal 564 2" xfId="5063" xr:uid="{00000000-0005-0000-0000-00009CAF0000}"/>
    <cellStyle name="Normal 564 3" xfId="5064" xr:uid="{00000000-0005-0000-0000-00009DAF0000}"/>
    <cellStyle name="Normal 565" xfId="5065" xr:uid="{00000000-0005-0000-0000-00009EAF0000}"/>
    <cellStyle name="Normal 565 2" xfId="5066" xr:uid="{00000000-0005-0000-0000-00009FAF0000}"/>
    <cellStyle name="Normal 565 3" xfId="5067" xr:uid="{00000000-0005-0000-0000-0000A0AF0000}"/>
    <cellStyle name="Normal 566" xfId="5068" xr:uid="{00000000-0005-0000-0000-0000A1AF0000}"/>
    <cellStyle name="Normal 566 2" xfId="5069" xr:uid="{00000000-0005-0000-0000-0000A2AF0000}"/>
    <cellStyle name="Normal 566 3" xfId="5070" xr:uid="{00000000-0005-0000-0000-0000A3AF0000}"/>
    <cellStyle name="Normal 567" xfId="5071" xr:uid="{00000000-0005-0000-0000-0000A4AF0000}"/>
    <cellStyle name="Normal 567 2" xfId="5072" xr:uid="{00000000-0005-0000-0000-0000A5AF0000}"/>
    <cellStyle name="Normal 567 3" xfId="5073" xr:uid="{00000000-0005-0000-0000-0000A6AF0000}"/>
    <cellStyle name="Normal 568" xfId="2951" xr:uid="{00000000-0005-0000-0000-0000A7AF0000}"/>
    <cellStyle name="Normal 568 2" xfId="2952" xr:uid="{00000000-0005-0000-0000-0000A8AF0000}"/>
    <cellStyle name="Normal 568 2 2" xfId="5075" xr:uid="{00000000-0005-0000-0000-0000A9AF0000}"/>
    <cellStyle name="Normal 568 2 3" xfId="52572" xr:uid="{00000000-0005-0000-0000-0000AAAF0000}"/>
    <cellStyle name="Normal 568 3" xfId="5076" xr:uid="{00000000-0005-0000-0000-0000ABAF0000}"/>
    <cellStyle name="Normal 568 4" xfId="5074" xr:uid="{00000000-0005-0000-0000-0000ACAF0000}"/>
    <cellStyle name="Normal 568 5" xfId="52571" xr:uid="{00000000-0005-0000-0000-0000ADAF0000}"/>
    <cellStyle name="Normal 569" xfId="5077" xr:uid="{00000000-0005-0000-0000-0000AEAF0000}"/>
    <cellStyle name="Normal 569 2" xfId="5078" xr:uid="{00000000-0005-0000-0000-0000AFAF0000}"/>
    <cellStyle name="Normal 569 3" xfId="5079" xr:uid="{00000000-0005-0000-0000-0000B0AF0000}"/>
    <cellStyle name="Normal 57" xfId="2953" xr:uid="{00000000-0005-0000-0000-0000B1AF0000}"/>
    <cellStyle name="Normal 57 2" xfId="5080" xr:uid="{00000000-0005-0000-0000-0000B2AF0000}"/>
    <cellStyle name="Normal 57 3" xfId="52573" xr:uid="{00000000-0005-0000-0000-0000B3AF0000}"/>
    <cellStyle name="Normal 570" xfId="5081" xr:uid="{00000000-0005-0000-0000-0000B4AF0000}"/>
    <cellStyle name="Normal 570 2" xfId="5082" xr:uid="{00000000-0005-0000-0000-0000B5AF0000}"/>
    <cellStyle name="Normal 570 3" xfId="5083" xr:uid="{00000000-0005-0000-0000-0000B6AF0000}"/>
    <cellStyle name="Normal 571" xfId="5084" xr:uid="{00000000-0005-0000-0000-0000B7AF0000}"/>
    <cellStyle name="Normal 571 2" xfId="5085" xr:uid="{00000000-0005-0000-0000-0000B8AF0000}"/>
    <cellStyle name="Normal 571 3" xfId="5086" xr:uid="{00000000-0005-0000-0000-0000B9AF0000}"/>
    <cellStyle name="Normal 572" xfId="5087" xr:uid="{00000000-0005-0000-0000-0000BAAF0000}"/>
    <cellStyle name="Normal 572 2" xfId="5088" xr:uid="{00000000-0005-0000-0000-0000BBAF0000}"/>
    <cellStyle name="Normal 572 3" xfId="5089" xr:uid="{00000000-0005-0000-0000-0000BCAF0000}"/>
    <cellStyle name="Normal 573" xfId="5090" xr:uid="{00000000-0005-0000-0000-0000BDAF0000}"/>
    <cellStyle name="Normal 573 2" xfId="5091" xr:uid="{00000000-0005-0000-0000-0000BEAF0000}"/>
    <cellStyle name="Normal 573 3" xfId="5092" xr:uid="{00000000-0005-0000-0000-0000BFAF0000}"/>
    <cellStyle name="Normal 574" xfId="5093" xr:uid="{00000000-0005-0000-0000-0000C0AF0000}"/>
    <cellStyle name="Normal 574 2" xfId="5094" xr:uid="{00000000-0005-0000-0000-0000C1AF0000}"/>
    <cellStyle name="Normal 574 3" xfId="5095" xr:uid="{00000000-0005-0000-0000-0000C2AF0000}"/>
    <cellStyle name="Normal 575" xfId="5096" xr:uid="{00000000-0005-0000-0000-0000C3AF0000}"/>
    <cellStyle name="Normal 575 2" xfId="5097" xr:uid="{00000000-0005-0000-0000-0000C4AF0000}"/>
    <cellStyle name="Normal 575 3" xfId="5098" xr:uid="{00000000-0005-0000-0000-0000C5AF0000}"/>
    <cellStyle name="Normal 576" xfId="5099" xr:uid="{00000000-0005-0000-0000-0000C6AF0000}"/>
    <cellStyle name="Normal 576 2" xfId="5100" xr:uid="{00000000-0005-0000-0000-0000C7AF0000}"/>
    <cellStyle name="Normal 576 3" xfId="5101" xr:uid="{00000000-0005-0000-0000-0000C8AF0000}"/>
    <cellStyle name="Normal 577" xfId="5102" xr:uid="{00000000-0005-0000-0000-0000C9AF0000}"/>
    <cellStyle name="Normal 577 2" xfId="5103" xr:uid="{00000000-0005-0000-0000-0000CAAF0000}"/>
    <cellStyle name="Normal 577 3" xfId="5104" xr:uid="{00000000-0005-0000-0000-0000CBAF0000}"/>
    <cellStyle name="Normal 578" xfId="5105" xr:uid="{00000000-0005-0000-0000-0000CCAF0000}"/>
    <cellStyle name="Normal 578 2" xfId="5106" xr:uid="{00000000-0005-0000-0000-0000CDAF0000}"/>
    <cellStyle name="Normal 578 3" xfId="5107" xr:uid="{00000000-0005-0000-0000-0000CEAF0000}"/>
    <cellStyle name="Normal 579" xfId="5108" xr:uid="{00000000-0005-0000-0000-0000CFAF0000}"/>
    <cellStyle name="Normal 579 2" xfId="5109" xr:uid="{00000000-0005-0000-0000-0000D0AF0000}"/>
    <cellStyle name="Normal 579 3" xfId="5110" xr:uid="{00000000-0005-0000-0000-0000D1AF0000}"/>
    <cellStyle name="Normal 58" xfId="2954" xr:uid="{00000000-0005-0000-0000-0000D2AF0000}"/>
    <cellStyle name="Normal 58 2" xfId="5111" xr:uid="{00000000-0005-0000-0000-0000D3AF0000}"/>
    <cellStyle name="Normal 58 3" xfId="52574" xr:uid="{00000000-0005-0000-0000-0000D4AF0000}"/>
    <cellStyle name="Normal 580" xfId="5112" xr:uid="{00000000-0005-0000-0000-0000D5AF0000}"/>
    <cellStyle name="Normal 580 2" xfId="5113" xr:uid="{00000000-0005-0000-0000-0000D6AF0000}"/>
    <cellStyle name="Normal 580 3" xfId="5114" xr:uid="{00000000-0005-0000-0000-0000D7AF0000}"/>
    <cellStyle name="Normal 581" xfId="5115" xr:uid="{00000000-0005-0000-0000-0000D8AF0000}"/>
    <cellStyle name="Normal 581 2" xfId="5116" xr:uid="{00000000-0005-0000-0000-0000D9AF0000}"/>
    <cellStyle name="Normal 581 3" xfId="5117" xr:uid="{00000000-0005-0000-0000-0000DAAF0000}"/>
    <cellStyle name="Normal 582" xfId="5118" xr:uid="{00000000-0005-0000-0000-0000DBAF0000}"/>
    <cellStyle name="Normal 582 2" xfId="5119" xr:uid="{00000000-0005-0000-0000-0000DCAF0000}"/>
    <cellStyle name="Normal 582 3" xfId="5120" xr:uid="{00000000-0005-0000-0000-0000DDAF0000}"/>
    <cellStyle name="Normal 583" xfId="5121" xr:uid="{00000000-0005-0000-0000-0000DEAF0000}"/>
    <cellStyle name="Normal 583 2" xfId="5122" xr:uid="{00000000-0005-0000-0000-0000DFAF0000}"/>
    <cellStyle name="Normal 583 3" xfId="5123" xr:uid="{00000000-0005-0000-0000-0000E0AF0000}"/>
    <cellStyle name="Normal 584" xfId="5124" xr:uid="{00000000-0005-0000-0000-0000E1AF0000}"/>
    <cellStyle name="Normal 584 2" xfId="5125" xr:uid="{00000000-0005-0000-0000-0000E2AF0000}"/>
    <cellStyle name="Normal 584 3" xfId="5126" xr:uid="{00000000-0005-0000-0000-0000E3AF0000}"/>
    <cellStyle name="Normal 585" xfId="5127" xr:uid="{00000000-0005-0000-0000-0000E4AF0000}"/>
    <cellStyle name="Normal 585 2" xfId="5128" xr:uid="{00000000-0005-0000-0000-0000E5AF0000}"/>
    <cellStyle name="Normal 585 3" xfId="5129" xr:uid="{00000000-0005-0000-0000-0000E6AF0000}"/>
    <cellStyle name="Normal 586" xfId="5130" xr:uid="{00000000-0005-0000-0000-0000E7AF0000}"/>
    <cellStyle name="Normal 586 2" xfId="5131" xr:uid="{00000000-0005-0000-0000-0000E8AF0000}"/>
    <cellStyle name="Normal 586 3" xfId="5132" xr:uid="{00000000-0005-0000-0000-0000E9AF0000}"/>
    <cellStyle name="Normal 587" xfId="5133" xr:uid="{00000000-0005-0000-0000-0000EAAF0000}"/>
    <cellStyle name="Normal 588" xfId="5134" xr:uid="{00000000-0005-0000-0000-0000EBAF0000}"/>
    <cellStyle name="Normal 589" xfId="5135" xr:uid="{00000000-0005-0000-0000-0000ECAF0000}"/>
    <cellStyle name="Normal 59" xfId="2955" xr:uid="{00000000-0005-0000-0000-0000EDAF0000}"/>
    <cellStyle name="Normal 59 2" xfId="5136" xr:uid="{00000000-0005-0000-0000-0000EEAF0000}"/>
    <cellStyle name="Normal 59 3" xfId="52575" xr:uid="{00000000-0005-0000-0000-0000EFAF0000}"/>
    <cellStyle name="Normal 590" xfId="5137" xr:uid="{00000000-0005-0000-0000-0000F0AF0000}"/>
    <cellStyle name="Normal 591" xfId="5138" xr:uid="{00000000-0005-0000-0000-0000F1AF0000}"/>
    <cellStyle name="Normal 592" xfId="5139" xr:uid="{00000000-0005-0000-0000-0000F2AF0000}"/>
    <cellStyle name="Normal 593" xfId="5140" xr:uid="{00000000-0005-0000-0000-0000F3AF0000}"/>
    <cellStyle name="Normal 594" xfId="5141" xr:uid="{00000000-0005-0000-0000-0000F4AF0000}"/>
    <cellStyle name="Normal 595" xfId="5142" xr:uid="{00000000-0005-0000-0000-0000F5AF0000}"/>
    <cellStyle name="Normal 596" xfId="5143" xr:uid="{00000000-0005-0000-0000-0000F6AF0000}"/>
    <cellStyle name="Normal 597" xfId="5144" xr:uid="{00000000-0005-0000-0000-0000F7AF0000}"/>
    <cellStyle name="Normal 598" xfId="5145" xr:uid="{00000000-0005-0000-0000-0000F8AF0000}"/>
    <cellStyle name="Normal 599" xfId="5146" xr:uid="{00000000-0005-0000-0000-0000F9AF0000}"/>
    <cellStyle name="Normal 6" xfId="129" xr:uid="{00000000-0005-0000-0000-0000FAAF0000}"/>
    <cellStyle name="Normal 6 10" xfId="2957" xr:uid="{00000000-0005-0000-0000-0000FBAF0000}"/>
    <cellStyle name="Normal 6 10 2" xfId="2958" xr:uid="{00000000-0005-0000-0000-0000FCAF0000}"/>
    <cellStyle name="Normal 6 10 2 2" xfId="5148" xr:uid="{00000000-0005-0000-0000-0000FDAF0000}"/>
    <cellStyle name="Normal 6 10 2 3" xfId="52577" xr:uid="{00000000-0005-0000-0000-0000FEAF0000}"/>
    <cellStyle name="Normal 6 10 3" xfId="2959" xr:uid="{00000000-0005-0000-0000-0000FFAF0000}"/>
    <cellStyle name="Normal 6 10 3 2" xfId="2960" xr:uid="{00000000-0005-0000-0000-000000B00000}"/>
    <cellStyle name="Normal 6 10 3 2 2" xfId="5150" xr:uid="{00000000-0005-0000-0000-000001B00000}"/>
    <cellStyle name="Normal 6 10 3 2 3" xfId="52579" xr:uid="{00000000-0005-0000-0000-000002B00000}"/>
    <cellStyle name="Normal 6 10 3 3" xfId="5149" xr:uid="{00000000-0005-0000-0000-000003B00000}"/>
    <cellStyle name="Normal 6 10 3 4" xfId="52578" xr:uid="{00000000-0005-0000-0000-000004B00000}"/>
    <cellStyle name="Normal 6 10 4" xfId="5151" xr:uid="{00000000-0005-0000-0000-000005B00000}"/>
    <cellStyle name="Normal 6 10 5" xfId="5147" xr:uid="{00000000-0005-0000-0000-000006B00000}"/>
    <cellStyle name="Normal 6 10 6" xfId="52576" xr:uid="{00000000-0005-0000-0000-000007B00000}"/>
    <cellStyle name="Normal 6 11" xfId="2961" xr:uid="{00000000-0005-0000-0000-000008B00000}"/>
    <cellStyle name="Normal 6 11 2" xfId="5152" xr:uid="{00000000-0005-0000-0000-000009B00000}"/>
    <cellStyle name="Normal 6 11 3" xfId="52580" xr:uid="{00000000-0005-0000-0000-00000AB00000}"/>
    <cellStyle name="Normal 6 12" xfId="2962" xr:uid="{00000000-0005-0000-0000-00000BB00000}"/>
    <cellStyle name="Normal 6 12 2" xfId="2963" xr:uid="{00000000-0005-0000-0000-00000CB00000}"/>
    <cellStyle name="Normal 6 12 2 2" xfId="5154" xr:uid="{00000000-0005-0000-0000-00000DB00000}"/>
    <cellStyle name="Normal 6 12 2 3" xfId="52582" xr:uid="{00000000-0005-0000-0000-00000EB00000}"/>
    <cellStyle name="Normal 6 12 3" xfId="5153" xr:uid="{00000000-0005-0000-0000-00000FB00000}"/>
    <cellStyle name="Normal 6 12 4" xfId="52581" xr:uid="{00000000-0005-0000-0000-000010B00000}"/>
    <cellStyle name="Normal 6 13" xfId="2964" xr:uid="{00000000-0005-0000-0000-000011B00000}"/>
    <cellStyle name="Normal 6 13 2" xfId="2965" xr:uid="{00000000-0005-0000-0000-000012B00000}"/>
    <cellStyle name="Normal 6 13 2 2" xfId="5156" xr:uid="{00000000-0005-0000-0000-000013B00000}"/>
    <cellStyle name="Normal 6 13 2 3" xfId="5155" xr:uid="{00000000-0005-0000-0000-000014B00000}"/>
    <cellStyle name="Normal 6 13 3" xfId="2966" xr:uid="{00000000-0005-0000-0000-000015B00000}"/>
    <cellStyle name="Normal 6 13 3 2" xfId="2967" xr:uid="{00000000-0005-0000-0000-000016B00000}"/>
    <cellStyle name="Normal 6 13 3 2 2" xfId="5158" xr:uid="{00000000-0005-0000-0000-000017B00000}"/>
    <cellStyle name="Normal 6 13 3 2 3" xfId="52585" xr:uid="{00000000-0005-0000-0000-000018B00000}"/>
    <cellStyle name="Normal 6 13 3 3" xfId="5157" xr:uid="{00000000-0005-0000-0000-000019B00000}"/>
    <cellStyle name="Normal 6 13 3 4" xfId="52584" xr:uid="{00000000-0005-0000-0000-00001AB00000}"/>
    <cellStyle name="Normal 6 13 4" xfId="2968" xr:uid="{00000000-0005-0000-0000-00001BB00000}"/>
    <cellStyle name="Normal 6 13 4 2" xfId="5160" xr:uid="{00000000-0005-0000-0000-00001CB00000}"/>
    <cellStyle name="Normal 6 13 4 3" xfId="5159" xr:uid="{00000000-0005-0000-0000-00001DB00000}"/>
    <cellStyle name="Normal 6 13 4 4" xfId="52586" xr:uid="{00000000-0005-0000-0000-00001EB00000}"/>
    <cellStyle name="Normal 6 13 5" xfId="2969" xr:uid="{00000000-0005-0000-0000-00001FB00000}"/>
    <cellStyle name="Normal 6 13 6" xfId="52583" xr:uid="{00000000-0005-0000-0000-000020B00000}"/>
    <cellStyle name="Normal 6 14" xfId="2970" xr:uid="{00000000-0005-0000-0000-000021B00000}"/>
    <cellStyle name="Normal 6 14 2" xfId="5161" xr:uid="{00000000-0005-0000-0000-000022B00000}"/>
    <cellStyle name="Normal 6 14 3" xfId="52587" xr:uid="{00000000-0005-0000-0000-000023B00000}"/>
    <cellStyle name="Normal 6 15" xfId="2971" xr:uid="{00000000-0005-0000-0000-000024B00000}"/>
    <cellStyle name="Normal 6 15 2" xfId="5162" xr:uid="{00000000-0005-0000-0000-000025B00000}"/>
    <cellStyle name="Normal 6 15 3" xfId="52588" xr:uid="{00000000-0005-0000-0000-000026B00000}"/>
    <cellStyle name="Normal 6 16" xfId="2972" xr:uid="{00000000-0005-0000-0000-000027B00000}"/>
    <cellStyle name="Normal 6 16 2" xfId="2973" xr:uid="{00000000-0005-0000-0000-000028B00000}"/>
    <cellStyle name="Normal 6 16 2 2" xfId="5164" xr:uid="{00000000-0005-0000-0000-000029B00000}"/>
    <cellStyle name="Normal 6 16 2 3" xfId="52590" xr:uid="{00000000-0005-0000-0000-00002AB00000}"/>
    <cellStyle name="Normal 6 16 3" xfId="5165" xr:uid="{00000000-0005-0000-0000-00002BB00000}"/>
    <cellStyle name="Normal 6 16 4" xfId="5163" xr:uid="{00000000-0005-0000-0000-00002CB00000}"/>
    <cellStyle name="Normal 6 16 5" xfId="52589" xr:uid="{00000000-0005-0000-0000-00002DB00000}"/>
    <cellStyle name="Normal 6 17" xfId="5166" xr:uid="{00000000-0005-0000-0000-00002EB00000}"/>
    <cellStyle name="Normal 6 18" xfId="21956" xr:uid="{00000000-0005-0000-0000-00002FB00000}"/>
    <cellStyle name="Normal 6 18 2" xfId="38709" xr:uid="{00000000-0005-0000-0000-000030B00000}"/>
    <cellStyle name="Normal 6 19" xfId="2956" xr:uid="{00000000-0005-0000-0000-000031B00000}"/>
    <cellStyle name="Normal 6 2" xfId="130" xr:uid="{00000000-0005-0000-0000-000032B00000}"/>
    <cellStyle name="Normal 6 2 2" xfId="2975" xr:uid="{00000000-0005-0000-0000-000033B00000}"/>
    <cellStyle name="Normal 6 2 2 2" xfId="23006" xr:uid="{00000000-0005-0000-0000-000034B00000}"/>
    <cellStyle name="Normal 6 2 2 3" xfId="22707" xr:uid="{00000000-0005-0000-0000-000035B00000}"/>
    <cellStyle name="Normal 6 2 3" xfId="2976" xr:uid="{00000000-0005-0000-0000-000036B00000}"/>
    <cellStyle name="Normal 6 2 3 2" xfId="5167" xr:uid="{00000000-0005-0000-0000-000037B00000}"/>
    <cellStyle name="Normal 6 2 3 3" xfId="52591" xr:uid="{00000000-0005-0000-0000-000038B00000}"/>
    <cellStyle name="Normal 6 2 4" xfId="2974" xr:uid="{00000000-0005-0000-0000-000039B00000}"/>
    <cellStyle name="Normal 6 2_Sheet1" xfId="2977" xr:uid="{00000000-0005-0000-0000-00003AB00000}"/>
    <cellStyle name="Normal 6 3" xfId="2978" xr:uid="{00000000-0005-0000-0000-00003BB00000}"/>
    <cellStyle name="Normal 6 4" xfId="2979" xr:uid="{00000000-0005-0000-0000-00003CB00000}"/>
    <cellStyle name="Normal 6 4 2" xfId="2980" xr:uid="{00000000-0005-0000-0000-00003DB00000}"/>
    <cellStyle name="Normal 6 4 2 2" xfId="5169" xr:uid="{00000000-0005-0000-0000-00003EB00000}"/>
    <cellStyle name="Normal 6 4 2 3" xfId="52593" xr:uid="{00000000-0005-0000-0000-00003FB00000}"/>
    <cellStyle name="Normal 6 4 3" xfId="5168" xr:uid="{00000000-0005-0000-0000-000040B00000}"/>
    <cellStyle name="Normal 6 4 4" xfId="52592" xr:uid="{00000000-0005-0000-0000-000041B00000}"/>
    <cellStyle name="Normal 6 5" xfId="2981" xr:uid="{00000000-0005-0000-0000-000042B00000}"/>
    <cellStyle name="Normal 6 5 2" xfId="2982" xr:uid="{00000000-0005-0000-0000-000043B00000}"/>
    <cellStyle name="Normal 6 5 3" xfId="2983" xr:uid="{00000000-0005-0000-0000-000044B00000}"/>
    <cellStyle name="Normal 6 5 3 2" xfId="5171" xr:uid="{00000000-0005-0000-0000-000045B00000}"/>
    <cellStyle name="Normal 6 5 3 3" xfId="52595" xr:uid="{00000000-0005-0000-0000-000046B00000}"/>
    <cellStyle name="Normal 6 5 4" xfId="2984" xr:uid="{00000000-0005-0000-0000-000047B00000}"/>
    <cellStyle name="Normal 6 5 4 2" xfId="2985" xr:uid="{00000000-0005-0000-0000-000048B00000}"/>
    <cellStyle name="Normal 6 5 4 2 2" xfId="5173" xr:uid="{00000000-0005-0000-0000-000049B00000}"/>
    <cellStyle name="Normal 6 5 4 2 3" xfId="52597" xr:uid="{00000000-0005-0000-0000-00004AB00000}"/>
    <cellStyle name="Normal 6 5 4 3" xfId="5172" xr:uid="{00000000-0005-0000-0000-00004BB00000}"/>
    <cellStyle name="Normal 6 5 4 4" xfId="52596" xr:uid="{00000000-0005-0000-0000-00004CB00000}"/>
    <cellStyle name="Normal 6 5 5" xfId="5174" xr:uid="{00000000-0005-0000-0000-00004DB00000}"/>
    <cellStyle name="Normal 6 5 6" xfId="5170" xr:uid="{00000000-0005-0000-0000-00004EB00000}"/>
    <cellStyle name="Normal 6 5 7" xfId="52594" xr:uid="{00000000-0005-0000-0000-00004FB00000}"/>
    <cellStyle name="Normal 6 6" xfId="2986" xr:uid="{00000000-0005-0000-0000-000050B00000}"/>
    <cellStyle name="Normal 6 6 2" xfId="2987" xr:uid="{00000000-0005-0000-0000-000051B00000}"/>
    <cellStyle name="Normal 6 6 2 2" xfId="5176" xr:uid="{00000000-0005-0000-0000-000052B00000}"/>
    <cellStyle name="Normal 6 6 2 3" xfId="52599" xr:uid="{00000000-0005-0000-0000-000053B00000}"/>
    <cellStyle name="Normal 6 6 3" xfId="2988" xr:uid="{00000000-0005-0000-0000-000054B00000}"/>
    <cellStyle name="Normal 6 6 3 2" xfId="2989" xr:uid="{00000000-0005-0000-0000-000055B00000}"/>
    <cellStyle name="Normal 6 6 3 2 2" xfId="5178" xr:uid="{00000000-0005-0000-0000-000056B00000}"/>
    <cellStyle name="Normal 6 6 3 2 3" xfId="52601" xr:uid="{00000000-0005-0000-0000-000057B00000}"/>
    <cellStyle name="Normal 6 6 3 3" xfId="5177" xr:uid="{00000000-0005-0000-0000-000058B00000}"/>
    <cellStyle name="Normal 6 6 3 4" xfId="52600" xr:uid="{00000000-0005-0000-0000-000059B00000}"/>
    <cellStyle name="Normal 6 6 4" xfId="5179" xr:uid="{00000000-0005-0000-0000-00005AB00000}"/>
    <cellStyle name="Normal 6 6 5" xfId="5175" xr:uid="{00000000-0005-0000-0000-00005BB00000}"/>
    <cellStyle name="Normal 6 6 6" xfId="52598" xr:uid="{00000000-0005-0000-0000-00005CB00000}"/>
    <cellStyle name="Normal 6 7" xfId="2990" xr:uid="{00000000-0005-0000-0000-00005DB00000}"/>
    <cellStyle name="Normal 6 7 2" xfId="2991" xr:uid="{00000000-0005-0000-0000-00005EB00000}"/>
    <cellStyle name="Normal 6 7 2 2" xfId="5181" xr:uid="{00000000-0005-0000-0000-00005FB00000}"/>
    <cellStyle name="Normal 6 7 2 3" xfId="52603" xr:uid="{00000000-0005-0000-0000-000060B00000}"/>
    <cellStyle name="Normal 6 7 3" xfId="2992" xr:uid="{00000000-0005-0000-0000-000061B00000}"/>
    <cellStyle name="Normal 6 7 3 2" xfId="2993" xr:uid="{00000000-0005-0000-0000-000062B00000}"/>
    <cellStyle name="Normal 6 7 3 2 2" xfId="5183" xr:uid="{00000000-0005-0000-0000-000063B00000}"/>
    <cellStyle name="Normal 6 7 3 2 3" xfId="52605" xr:uid="{00000000-0005-0000-0000-000064B00000}"/>
    <cellStyle name="Normal 6 7 3 3" xfId="5182" xr:uid="{00000000-0005-0000-0000-000065B00000}"/>
    <cellStyle name="Normal 6 7 3 4" xfId="52604" xr:uid="{00000000-0005-0000-0000-000066B00000}"/>
    <cellStyle name="Normal 6 7 4" xfId="5184" xr:uid="{00000000-0005-0000-0000-000067B00000}"/>
    <cellStyle name="Normal 6 7 5" xfId="5180" xr:uid="{00000000-0005-0000-0000-000068B00000}"/>
    <cellStyle name="Normal 6 7 6" xfId="52602" xr:uid="{00000000-0005-0000-0000-000069B00000}"/>
    <cellStyle name="Normal 6 8" xfId="2994" xr:uid="{00000000-0005-0000-0000-00006AB00000}"/>
    <cellStyle name="Normal 6 8 2" xfId="2995" xr:uid="{00000000-0005-0000-0000-00006BB00000}"/>
    <cellStyle name="Normal 6 8 2 2" xfId="5186" xr:uid="{00000000-0005-0000-0000-00006CB00000}"/>
    <cellStyle name="Normal 6 8 2 3" xfId="52607" xr:uid="{00000000-0005-0000-0000-00006DB00000}"/>
    <cellStyle name="Normal 6 8 3" xfId="2996" xr:uid="{00000000-0005-0000-0000-00006EB00000}"/>
    <cellStyle name="Normal 6 8 3 2" xfId="2997" xr:uid="{00000000-0005-0000-0000-00006FB00000}"/>
    <cellStyle name="Normal 6 8 3 2 2" xfId="5188" xr:uid="{00000000-0005-0000-0000-000070B00000}"/>
    <cellStyle name="Normal 6 8 3 2 3" xfId="52609" xr:uid="{00000000-0005-0000-0000-000071B00000}"/>
    <cellStyle name="Normal 6 8 3 3" xfId="5187" xr:uid="{00000000-0005-0000-0000-000072B00000}"/>
    <cellStyle name="Normal 6 8 3 4" xfId="52608" xr:uid="{00000000-0005-0000-0000-000073B00000}"/>
    <cellStyle name="Normal 6 8 4" xfId="5189" xr:uid="{00000000-0005-0000-0000-000074B00000}"/>
    <cellStyle name="Normal 6 8 5" xfId="5185" xr:uid="{00000000-0005-0000-0000-000075B00000}"/>
    <cellStyle name="Normal 6 8 6" xfId="52606" xr:uid="{00000000-0005-0000-0000-000076B00000}"/>
    <cellStyle name="Normal 6 9" xfId="2998" xr:uid="{00000000-0005-0000-0000-000077B00000}"/>
    <cellStyle name="Normal 6 9 2" xfId="5190" xr:uid="{00000000-0005-0000-0000-000078B00000}"/>
    <cellStyle name="Normal 6 9 3" xfId="52610" xr:uid="{00000000-0005-0000-0000-000079B00000}"/>
    <cellStyle name="Normal 6_Sheet1" xfId="2999" xr:uid="{00000000-0005-0000-0000-00007AB00000}"/>
    <cellStyle name="Normal 60" xfId="3000" xr:uid="{00000000-0005-0000-0000-00007BB00000}"/>
    <cellStyle name="Normal 60 2" xfId="5191" xr:uid="{00000000-0005-0000-0000-00007CB00000}"/>
    <cellStyle name="Normal 60 3" xfId="52611" xr:uid="{00000000-0005-0000-0000-00007DB00000}"/>
    <cellStyle name="Normal 600" xfId="5192" xr:uid="{00000000-0005-0000-0000-00007EB00000}"/>
    <cellStyle name="Normal 601" xfId="5193" xr:uid="{00000000-0005-0000-0000-00007FB00000}"/>
    <cellStyle name="Normal 602" xfId="5194" xr:uid="{00000000-0005-0000-0000-000080B00000}"/>
    <cellStyle name="Normal 603" xfId="5195" xr:uid="{00000000-0005-0000-0000-000081B00000}"/>
    <cellStyle name="Normal 604" xfId="5196" xr:uid="{00000000-0005-0000-0000-000082B00000}"/>
    <cellStyle name="Normal 605" xfId="5197" xr:uid="{00000000-0005-0000-0000-000083B00000}"/>
    <cellStyle name="Normal 606" xfId="5198" xr:uid="{00000000-0005-0000-0000-000084B00000}"/>
    <cellStyle name="Normal 607" xfId="5199" xr:uid="{00000000-0005-0000-0000-000085B00000}"/>
    <cellStyle name="Normal 608" xfId="5200" xr:uid="{00000000-0005-0000-0000-000086B00000}"/>
    <cellStyle name="Normal 609" xfId="5201" xr:uid="{00000000-0005-0000-0000-000087B00000}"/>
    <cellStyle name="Normal 61" xfId="3001" xr:uid="{00000000-0005-0000-0000-000088B00000}"/>
    <cellStyle name="Normal 61 2" xfId="5202" xr:uid="{00000000-0005-0000-0000-000089B00000}"/>
    <cellStyle name="Normal 61 3" xfId="52612" xr:uid="{00000000-0005-0000-0000-00008AB00000}"/>
    <cellStyle name="Normal 610" xfId="5203" xr:uid="{00000000-0005-0000-0000-00008BB00000}"/>
    <cellStyle name="Normal 611" xfId="5204" xr:uid="{00000000-0005-0000-0000-00008CB00000}"/>
    <cellStyle name="Normal 611 2" xfId="5997" xr:uid="{00000000-0005-0000-0000-00008DB00000}"/>
    <cellStyle name="Normal 611 2 2" xfId="9297" xr:uid="{00000000-0005-0000-0000-00008EB00000}"/>
    <cellStyle name="Normal 611 2 2 2" xfId="17092" xr:uid="{00000000-0005-0000-0000-00008FB00000}"/>
    <cellStyle name="Normal 611 2 2 2 2" xfId="34728" xr:uid="{00000000-0005-0000-0000-000090B00000}"/>
    <cellStyle name="Normal 611 2 2 3" xfId="27685" xr:uid="{00000000-0005-0000-0000-000091B00000}"/>
    <cellStyle name="Normal 611 2 3" xfId="13853" xr:uid="{00000000-0005-0000-0000-000092B00000}"/>
    <cellStyle name="Normal 611 2 3 2" xfId="31493" xr:uid="{00000000-0005-0000-0000-000093B00000}"/>
    <cellStyle name="Normal 611 2 4" xfId="24820" xr:uid="{00000000-0005-0000-0000-000094B00000}"/>
    <cellStyle name="Normal 611 3" xfId="6627" xr:uid="{00000000-0005-0000-0000-000095B00000}"/>
    <cellStyle name="Normal 611 3 2" xfId="9837" xr:uid="{00000000-0005-0000-0000-000096B00000}"/>
    <cellStyle name="Normal 611 3 2 2" xfId="17631" xr:uid="{00000000-0005-0000-0000-000097B00000}"/>
    <cellStyle name="Normal 611 3 2 2 2" xfId="35268" xr:uid="{00000000-0005-0000-0000-000098B00000}"/>
    <cellStyle name="Normal 611 3 2 3" xfId="28221" xr:uid="{00000000-0005-0000-0000-000099B00000}"/>
    <cellStyle name="Normal 611 3 3" xfId="14416" xr:uid="{00000000-0005-0000-0000-00009AB00000}"/>
    <cellStyle name="Normal 611 3 3 2" xfId="32051" xr:uid="{00000000-0005-0000-0000-00009BB00000}"/>
    <cellStyle name="Normal 611 3 4" xfId="25357" xr:uid="{00000000-0005-0000-0000-00009CB00000}"/>
    <cellStyle name="Normal 611 4" xfId="7403" xr:uid="{00000000-0005-0000-0000-00009DB00000}"/>
    <cellStyle name="Normal 611 4 2" xfId="10391" xr:uid="{00000000-0005-0000-0000-00009EB00000}"/>
    <cellStyle name="Normal 611 4 2 2" xfId="18184" xr:uid="{00000000-0005-0000-0000-00009FB00000}"/>
    <cellStyle name="Normal 611 4 2 2 2" xfId="35821" xr:uid="{00000000-0005-0000-0000-0000A0B00000}"/>
    <cellStyle name="Normal 611 4 2 3" xfId="28758" xr:uid="{00000000-0005-0000-0000-0000A1B00000}"/>
    <cellStyle name="Normal 611 4 3" xfId="15191" xr:uid="{00000000-0005-0000-0000-0000A2B00000}"/>
    <cellStyle name="Normal 611 4 3 2" xfId="32826" xr:uid="{00000000-0005-0000-0000-0000A3B00000}"/>
    <cellStyle name="Normal 611 4 4" xfId="25895" xr:uid="{00000000-0005-0000-0000-0000A4B00000}"/>
    <cellStyle name="Normal 611 5" xfId="8743" xr:uid="{00000000-0005-0000-0000-0000A5B00000}"/>
    <cellStyle name="Normal 611 5 2" xfId="16539" xr:uid="{00000000-0005-0000-0000-0000A6B00000}"/>
    <cellStyle name="Normal 611 5 2 2" xfId="34174" xr:uid="{00000000-0005-0000-0000-0000A7B00000}"/>
    <cellStyle name="Normal 611 5 3" xfId="27144" xr:uid="{00000000-0005-0000-0000-0000A8B00000}"/>
    <cellStyle name="Normal 611 6" xfId="13203" xr:uid="{00000000-0005-0000-0000-0000A9B00000}"/>
    <cellStyle name="Normal 611 6 2" xfId="30848" xr:uid="{00000000-0005-0000-0000-0000AAB00000}"/>
    <cellStyle name="Normal 611 7" xfId="24279" xr:uid="{00000000-0005-0000-0000-0000ABB00000}"/>
    <cellStyle name="Normal 612" xfId="5205" xr:uid="{00000000-0005-0000-0000-0000ACB00000}"/>
    <cellStyle name="Normal 612 2" xfId="5998" xr:uid="{00000000-0005-0000-0000-0000ADB00000}"/>
    <cellStyle name="Normal 612 2 2" xfId="9298" xr:uid="{00000000-0005-0000-0000-0000AEB00000}"/>
    <cellStyle name="Normal 612 2 2 2" xfId="17093" xr:uid="{00000000-0005-0000-0000-0000AFB00000}"/>
    <cellStyle name="Normal 612 2 2 2 2" xfId="34729" xr:uid="{00000000-0005-0000-0000-0000B0B00000}"/>
    <cellStyle name="Normal 612 2 2 3" xfId="27686" xr:uid="{00000000-0005-0000-0000-0000B1B00000}"/>
    <cellStyle name="Normal 612 2 3" xfId="13854" xr:uid="{00000000-0005-0000-0000-0000B2B00000}"/>
    <cellStyle name="Normal 612 2 3 2" xfId="31494" xr:uid="{00000000-0005-0000-0000-0000B3B00000}"/>
    <cellStyle name="Normal 612 2 4" xfId="24821" xr:uid="{00000000-0005-0000-0000-0000B4B00000}"/>
    <cellStyle name="Normal 612 3" xfId="6628" xr:uid="{00000000-0005-0000-0000-0000B5B00000}"/>
    <cellStyle name="Normal 612 3 2" xfId="9838" xr:uid="{00000000-0005-0000-0000-0000B6B00000}"/>
    <cellStyle name="Normal 612 3 2 2" xfId="17632" xr:uid="{00000000-0005-0000-0000-0000B7B00000}"/>
    <cellStyle name="Normal 612 3 2 2 2" xfId="35269" xr:uid="{00000000-0005-0000-0000-0000B8B00000}"/>
    <cellStyle name="Normal 612 3 2 3" xfId="28222" xr:uid="{00000000-0005-0000-0000-0000B9B00000}"/>
    <cellStyle name="Normal 612 3 3" xfId="14417" xr:uid="{00000000-0005-0000-0000-0000BAB00000}"/>
    <cellStyle name="Normal 612 3 3 2" xfId="32052" xr:uid="{00000000-0005-0000-0000-0000BBB00000}"/>
    <cellStyle name="Normal 612 3 4" xfId="25358" xr:uid="{00000000-0005-0000-0000-0000BCB00000}"/>
    <cellStyle name="Normal 612 4" xfId="7404" xr:uid="{00000000-0005-0000-0000-0000BDB00000}"/>
    <cellStyle name="Normal 612 4 2" xfId="10392" xr:uid="{00000000-0005-0000-0000-0000BEB00000}"/>
    <cellStyle name="Normal 612 4 2 2" xfId="18185" xr:uid="{00000000-0005-0000-0000-0000BFB00000}"/>
    <cellStyle name="Normal 612 4 2 2 2" xfId="35822" xr:uid="{00000000-0005-0000-0000-0000C0B00000}"/>
    <cellStyle name="Normal 612 4 2 3" xfId="28759" xr:uid="{00000000-0005-0000-0000-0000C1B00000}"/>
    <cellStyle name="Normal 612 4 3" xfId="15192" xr:uid="{00000000-0005-0000-0000-0000C2B00000}"/>
    <cellStyle name="Normal 612 4 3 2" xfId="32827" xr:uid="{00000000-0005-0000-0000-0000C3B00000}"/>
    <cellStyle name="Normal 612 4 4" xfId="25896" xr:uid="{00000000-0005-0000-0000-0000C4B00000}"/>
    <cellStyle name="Normal 612 5" xfId="8744" xr:uid="{00000000-0005-0000-0000-0000C5B00000}"/>
    <cellStyle name="Normal 612 5 2" xfId="16540" xr:uid="{00000000-0005-0000-0000-0000C6B00000}"/>
    <cellStyle name="Normal 612 5 2 2" xfId="34175" xr:uid="{00000000-0005-0000-0000-0000C7B00000}"/>
    <cellStyle name="Normal 612 5 3" xfId="27145" xr:uid="{00000000-0005-0000-0000-0000C8B00000}"/>
    <cellStyle name="Normal 612 6" xfId="13204" xr:uid="{00000000-0005-0000-0000-0000C9B00000}"/>
    <cellStyle name="Normal 612 6 2" xfId="30849" xr:uid="{00000000-0005-0000-0000-0000CAB00000}"/>
    <cellStyle name="Normal 612 7" xfId="24280" xr:uid="{00000000-0005-0000-0000-0000CBB00000}"/>
    <cellStyle name="Normal 613" xfId="5206" xr:uid="{00000000-0005-0000-0000-0000CCB00000}"/>
    <cellStyle name="Normal 613 2" xfId="5999" xr:uid="{00000000-0005-0000-0000-0000CDB00000}"/>
    <cellStyle name="Normal 613 2 2" xfId="9299" xr:uid="{00000000-0005-0000-0000-0000CEB00000}"/>
    <cellStyle name="Normal 613 2 2 2" xfId="17094" xr:uid="{00000000-0005-0000-0000-0000CFB00000}"/>
    <cellStyle name="Normal 613 2 2 2 2" xfId="34730" xr:uid="{00000000-0005-0000-0000-0000D0B00000}"/>
    <cellStyle name="Normal 613 2 2 3" xfId="27687" xr:uid="{00000000-0005-0000-0000-0000D1B00000}"/>
    <cellStyle name="Normal 613 2 3" xfId="13855" xr:uid="{00000000-0005-0000-0000-0000D2B00000}"/>
    <cellStyle name="Normal 613 2 3 2" xfId="31495" xr:uid="{00000000-0005-0000-0000-0000D3B00000}"/>
    <cellStyle name="Normal 613 2 4" xfId="24822" xr:uid="{00000000-0005-0000-0000-0000D4B00000}"/>
    <cellStyle name="Normal 613 3" xfId="6629" xr:uid="{00000000-0005-0000-0000-0000D5B00000}"/>
    <cellStyle name="Normal 613 3 2" xfId="9839" xr:uid="{00000000-0005-0000-0000-0000D6B00000}"/>
    <cellStyle name="Normal 613 3 2 2" xfId="17633" xr:uid="{00000000-0005-0000-0000-0000D7B00000}"/>
    <cellStyle name="Normal 613 3 2 2 2" xfId="35270" xr:uid="{00000000-0005-0000-0000-0000D8B00000}"/>
    <cellStyle name="Normal 613 3 2 3" xfId="28223" xr:uid="{00000000-0005-0000-0000-0000D9B00000}"/>
    <cellStyle name="Normal 613 3 3" xfId="14418" xr:uid="{00000000-0005-0000-0000-0000DAB00000}"/>
    <cellStyle name="Normal 613 3 3 2" xfId="32053" xr:uid="{00000000-0005-0000-0000-0000DBB00000}"/>
    <cellStyle name="Normal 613 3 4" xfId="25359" xr:uid="{00000000-0005-0000-0000-0000DCB00000}"/>
    <cellStyle name="Normal 613 4" xfId="7405" xr:uid="{00000000-0005-0000-0000-0000DDB00000}"/>
    <cellStyle name="Normal 613 4 2" xfId="10393" xr:uid="{00000000-0005-0000-0000-0000DEB00000}"/>
    <cellStyle name="Normal 613 4 2 2" xfId="18186" xr:uid="{00000000-0005-0000-0000-0000DFB00000}"/>
    <cellStyle name="Normal 613 4 2 2 2" xfId="35823" xr:uid="{00000000-0005-0000-0000-0000E0B00000}"/>
    <cellStyle name="Normal 613 4 2 3" xfId="28760" xr:uid="{00000000-0005-0000-0000-0000E1B00000}"/>
    <cellStyle name="Normal 613 4 3" xfId="15193" xr:uid="{00000000-0005-0000-0000-0000E2B00000}"/>
    <cellStyle name="Normal 613 4 3 2" xfId="32828" xr:uid="{00000000-0005-0000-0000-0000E3B00000}"/>
    <cellStyle name="Normal 613 4 4" xfId="25897" xr:uid="{00000000-0005-0000-0000-0000E4B00000}"/>
    <cellStyle name="Normal 613 5" xfId="8745" xr:uid="{00000000-0005-0000-0000-0000E5B00000}"/>
    <cellStyle name="Normal 613 5 2" xfId="16541" xr:uid="{00000000-0005-0000-0000-0000E6B00000}"/>
    <cellStyle name="Normal 613 5 2 2" xfId="34176" xr:uid="{00000000-0005-0000-0000-0000E7B00000}"/>
    <cellStyle name="Normal 613 5 3" xfId="27146" xr:uid="{00000000-0005-0000-0000-0000E8B00000}"/>
    <cellStyle name="Normal 613 6" xfId="13205" xr:uid="{00000000-0005-0000-0000-0000E9B00000}"/>
    <cellStyle name="Normal 613 6 2" xfId="30850" xr:uid="{00000000-0005-0000-0000-0000EAB00000}"/>
    <cellStyle name="Normal 613 7" xfId="24281" xr:uid="{00000000-0005-0000-0000-0000EBB00000}"/>
    <cellStyle name="Normal 614" xfId="5207" xr:uid="{00000000-0005-0000-0000-0000ECB00000}"/>
    <cellStyle name="Normal 614 2" xfId="6000" xr:uid="{00000000-0005-0000-0000-0000EDB00000}"/>
    <cellStyle name="Normal 614 2 2" xfId="9300" xr:uid="{00000000-0005-0000-0000-0000EEB00000}"/>
    <cellStyle name="Normal 614 2 2 2" xfId="17095" xr:uid="{00000000-0005-0000-0000-0000EFB00000}"/>
    <cellStyle name="Normal 614 2 2 2 2" xfId="34731" xr:uid="{00000000-0005-0000-0000-0000F0B00000}"/>
    <cellStyle name="Normal 614 2 2 3" xfId="27688" xr:uid="{00000000-0005-0000-0000-0000F1B00000}"/>
    <cellStyle name="Normal 614 2 3" xfId="13856" xr:uid="{00000000-0005-0000-0000-0000F2B00000}"/>
    <cellStyle name="Normal 614 2 3 2" xfId="31496" xr:uid="{00000000-0005-0000-0000-0000F3B00000}"/>
    <cellStyle name="Normal 614 2 4" xfId="24823" xr:uid="{00000000-0005-0000-0000-0000F4B00000}"/>
    <cellStyle name="Normal 614 3" xfId="6630" xr:uid="{00000000-0005-0000-0000-0000F5B00000}"/>
    <cellStyle name="Normal 614 3 2" xfId="9840" xr:uid="{00000000-0005-0000-0000-0000F6B00000}"/>
    <cellStyle name="Normal 614 3 2 2" xfId="17634" xr:uid="{00000000-0005-0000-0000-0000F7B00000}"/>
    <cellStyle name="Normal 614 3 2 2 2" xfId="35271" xr:uid="{00000000-0005-0000-0000-0000F8B00000}"/>
    <cellStyle name="Normal 614 3 2 3" xfId="28224" xr:uid="{00000000-0005-0000-0000-0000F9B00000}"/>
    <cellStyle name="Normal 614 3 3" xfId="14419" xr:uid="{00000000-0005-0000-0000-0000FAB00000}"/>
    <cellStyle name="Normal 614 3 3 2" xfId="32054" xr:uid="{00000000-0005-0000-0000-0000FBB00000}"/>
    <cellStyle name="Normal 614 3 4" xfId="25360" xr:uid="{00000000-0005-0000-0000-0000FCB00000}"/>
    <cellStyle name="Normal 614 4" xfId="7406" xr:uid="{00000000-0005-0000-0000-0000FDB00000}"/>
    <cellStyle name="Normal 614 4 2" xfId="10394" xr:uid="{00000000-0005-0000-0000-0000FEB00000}"/>
    <cellStyle name="Normal 614 4 2 2" xfId="18187" xr:uid="{00000000-0005-0000-0000-0000FFB00000}"/>
    <cellStyle name="Normal 614 4 2 2 2" xfId="35824" xr:uid="{00000000-0005-0000-0000-000000B10000}"/>
    <cellStyle name="Normal 614 4 2 3" xfId="28761" xr:uid="{00000000-0005-0000-0000-000001B10000}"/>
    <cellStyle name="Normal 614 4 3" xfId="15194" xr:uid="{00000000-0005-0000-0000-000002B10000}"/>
    <cellStyle name="Normal 614 4 3 2" xfId="32829" xr:uid="{00000000-0005-0000-0000-000003B10000}"/>
    <cellStyle name="Normal 614 4 4" xfId="25898" xr:uid="{00000000-0005-0000-0000-000004B10000}"/>
    <cellStyle name="Normal 614 5" xfId="8746" xr:uid="{00000000-0005-0000-0000-000005B10000}"/>
    <cellStyle name="Normal 614 5 2" xfId="16542" xr:uid="{00000000-0005-0000-0000-000006B10000}"/>
    <cellStyle name="Normal 614 5 2 2" xfId="34177" xr:uid="{00000000-0005-0000-0000-000007B10000}"/>
    <cellStyle name="Normal 614 5 3" xfId="27147" xr:uid="{00000000-0005-0000-0000-000008B10000}"/>
    <cellStyle name="Normal 614 6" xfId="13206" xr:uid="{00000000-0005-0000-0000-000009B10000}"/>
    <cellStyle name="Normal 614 6 2" xfId="30851" xr:uid="{00000000-0005-0000-0000-00000AB10000}"/>
    <cellStyle name="Normal 614 7" xfId="24282" xr:uid="{00000000-0005-0000-0000-00000BB10000}"/>
    <cellStyle name="Normal 615" xfId="5208" xr:uid="{00000000-0005-0000-0000-00000CB10000}"/>
    <cellStyle name="Normal 615 2" xfId="6001" xr:uid="{00000000-0005-0000-0000-00000DB10000}"/>
    <cellStyle name="Normal 615 2 2" xfId="9301" xr:uid="{00000000-0005-0000-0000-00000EB10000}"/>
    <cellStyle name="Normal 615 2 2 2" xfId="17096" xr:uid="{00000000-0005-0000-0000-00000FB10000}"/>
    <cellStyle name="Normal 615 2 2 2 2" xfId="34732" xr:uid="{00000000-0005-0000-0000-000010B10000}"/>
    <cellStyle name="Normal 615 2 2 3" xfId="27689" xr:uid="{00000000-0005-0000-0000-000011B10000}"/>
    <cellStyle name="Normal 615 2 3" xfId="13857" xr:uid="{00000000-0005-0000-0000-000012B10000}"/>
    <cellStyle name="Normal 615 2 3 2" xfId="31497" xr:uid="{00000000-0005-0000-0000-000013B10000}"/>
    <cellStyle name="Normal 615 2 4" xfId="24824" xr:uid="{00000000-0005-0000-0000-000014B10000}"/>
    <cellStyle name="Normal 615 3" xfId="6631" xr:uid="{00000000-0005-0000-0000-000015B10000}"/>
    <cellStyle name="Normal 615 3 2" xfId="9841" xr:uid="{00000000-0005-0000-0000-000016B10000}"/>
    <cellStyle name="Normal 615 3 2 2" xfId="17635" xr:uid="{00000000-0005-0000-0000-000017B10000}"/>
    <cellStyle name="Normal 615 3 2 2 2" xfId="35272" xr:uid="{00000000-0005-0000-0000-000018B10000}"/>
    <cellStyle name="Normal 615 3 2 3" xfId="28225" xr:uid="{00000000-0005-0000-0000-000019B10000}"/>
    <cellStyle name="Normal 615 3 3" xfId="14420" xr:uid="{00000000-0005-0000-0000-00001AB10000}"/>
    <cellStyle name="Normal 615 3 3 2" xfId="32055" xr:uid="{00000000-0005-0000-0000-00001BB10000}"/>
    <cellStyle name="Normal 615 3 4" xfId="25361" xr:uid="{00000000-0005-0000-0000-00001CB10000}"/>
    <cellStyle name="Normal 615 4" xfId="7407" xr:uid="{00000000-0005-0000-0000-00001DB10000}"/>
    <cellStyle name="Normal 615 4 2" xfId="10395" xr:uid="{00000000-0005-0000-0000-00001EB10000}"/>
    <cellStyle name="Normal 615 4 2 2" xfId="18188" xr:uid="{00000000-0005-0000-0000-00001FB10000}"/>
    <cellStyle name="Normal 615 4 2 2 2" xfId="35825" xr:uid="{00000000-0005-0000-0000-000020B10000}"/>
    <cellStyle name="Normal 615 4 2 3" xfId="28762" xr:uid="{00000000-0005-0000-0000-000021B10000}"/>
    <cellStyle name="Normal 615 4 3" xfId="15195" xr:uid="{00000000-0005-0000-0000-000022B10000}"/>
    <cellStyle name="Normal 615 4 3 2" xfId="32830" xr:uid="{00000000-0005-0000-0000-000023B10000}"/>
    <cellStyle name="Normal 615 4 4" xfId="25899" xr:uid="{00000000-0005-0000-0000-000024B10000}"/>
    <cellStyle name="Normal 615 5" xfId="8747" xr:uid="{00000000-0005-0000-0000-000025B10000}"/>
    <cellStyle name="Normal 615 5 2" xfId="16543" xr:uid="{00000000-0005-0000-0000-000026B10000}"/>
    <cellStyle name="Normal 615 5 2 2" xfId="34178" xr:uid="{00000000-0005-0000-0000-000027B10000}"/>
    <cellStyle name="Normal 615 5 3" xfId="27148" xr:uid="{00000000-0005-0000-0000-000028B10000}"/>
    <cellStyle name="Normal 615 6" xfId="13207" xr:uid="{00000000-0005-0000-0000-000029B10000}"/>
    <cellStyle name="Normal 615 6 2" xfId="30852" xr:uid="{00000000-0005-0000-0000-00002AB10000}"/>
    <cellStyle name="Normal 615 7" xfId="24283" xr:uid="{00000000-0005-0000-0000-00002BB10000}"/>
    <cellStyle name="Normal 616" xfId="5209" xr:uid="{00000000-0005-0000-0000-00002CB10000}"/>
    <cellStyle name="Normal 616 2" xfId="6002" xr:uid="{00000000-0005-0000-0000-00002DB10000}"/>
    <cellStyle name="Normal 616 2 2" xfId="9302" xr:uid="{00000000-0005-0000-0000-00002EB10000}"/>
    <cellStyle name="Normal 616 2 2 2" xfId="17097" xr:uid="{00000000-0005-0000-0000-00002FB10000}"/>
    <cellStyle name="Normal 616 2 2 2 2" xfId="34733" xr:uid="{00000000-0005-0000-0000-000030B10000}"/>
    <cellStyle name="Normal 616 2 2 3" xfId="27690" xr:uid="{00000000-0005-0000-0000-000031B10000}"/>
    <cellStyle name="Normal 616 2 3" xfId="13858" xr:uid="{00000000-0005-0000-0000-000032B10000}"/>
    <cellStyle name="Normal 616 2 3 2" xfId="31498" xr:uid="{00000000-0005-0000-0000-000033B10000}"/>
    <cellStyle name="Normal 616 2 4" xfId="24825" xr:uid="{00000000-0005-0000-0000-000034B10000}"/>
    <cellStyle name="Normal 616 3" xfId="6632" xr:uid="{00000000-0005-0000-0000-000035B10000}"/>
    <cellStyle name="Normal 616 3 2" xfId="9842" xr:uid="{00000000-0005-0000-0000-000036B10000}"/>
    <cellStyle name="Normal 616 3 2 2" xfId="17636" xr:uid="{00000000-0005-0000-0000-000037B10000}"/>
    <cellStyle name="Normal 616 3 2 2 2" xfId="35273" xr:uid="{00000000-0005-0000-0000-000038B10000}"/>
    <cellStyle name="Normal 616 3 2 3" xfId="28226" xr:uid="{00000000-0005-0000-0000-000039B10000}"/>
    <cellStyle name="Normal 616 3 3" xfId="14421" xr:uid="{00000000-0005-0000-0000-00003AB10000}"/>
    <cellStyle name="Normal 616 3 3 2" xfId="32056" xr:uid="{00000000-0005-0000-0000-00003BB10000}"/>
    <cellStyle name="Normal 616 3 4" xfId="25362" xr:uid="{00000000-0005-0000-0000-00003CB10000}"/>
    <cellStyle name="Normal 616 4" xfId="7408" xr:uid="{00000000-0005-0000-0000-00003DB10000}"/>
    <cellStyle name="Normal 616 4 2" xfId="10396" xr:uid="{00000000-0005-0000-0000-00003EB10000}"/>
    <cellStyle name="Normal 616 4 2 2" xfId="18189" xr:uid="{00000000-0005-0000-0000-00003FB10000}"/>
    <cellStyle name="Normal 616 4 2 2 2" xfId="35826" xr:uid="{00000000-0005-0000-0000-000040B10000}"/>
    <cellStyle name="Normal 616 4 2 3" xfId="28763" xr:uid="{00000000-0005-0000-0000-000041B10000}"/>
    <cellStyle name="Normal 616 4 3" xfId="15196" xr:uid="{00000000-0005-0000-0000-000042B10000}"/>
    <cellStyle name="Normal 616 4 3 2" xfId="32831" xr:uid="{00000000-0005-0000-0000-000043B10000}"/>
    <cellStyle name="Normal 616 4 4" xfId="25900" xr:uid="{00000000-0005-0000-0000-000044B10000}"/>
    <cellStyle name="Normal 616 5" xfId="8748" xr:uid="{00000000-0005-0000-0000-000045B10000}"/>
    <cellStyle name="Normal 616 5 2" xfId="16544" xr:uid="{00000000-0005-0000-0000-000046B10000}"/>
    <cellStyle name="Normal 616 5 2 2" xfId="34179" xr:uid="{00000000-0005-0000-0000-000047B10000}"/>
    <cellStyle name="Normal 616 5 3" xfId="27149" xr:uid="{00000000-0005-0000-0000-000048B10000}"/>
    <cellStyle name="Normal 616 6" xfId="13208" xr:uid="{00000000-0005-0000-0000-000049B10000}"/>
    <cellStyle name="Normal 616 6 2" xfId="30853" xr:uid="{00000000-0005-0000-0000-00004AB10000}"/>
    <cellStyle name="Normal 616 7" xfId="24284" xr:uid="{00000000-0005-0000-0000-00004BB10000}"/>
    <cellStyle name="Normal 617" xfId="5210" xr:uid="{00000000-0005-0000-0000-00004CB10000}"/>
    <cellStyle name="Normal 617 2" xfId="6003" xr:uid="{00000000-0005-0000-0000-00004DB10000}"/>
    <cellStyle name="Normal 617 2 2" xfId="9303" xr:uid="{00000000-0005-0000-0000-00004EB10000}"/>
    <cellStyle name="Normal 617 2 2 2" xfId="17098" xr:uid="{00000000-0005-0000-0000-00004FB10000}"/>
    <cellStyle name="Normal 617 2 2 2 2" xfId="34734" xr:uid="{00000000-0005-0000-0000-000050B10000}"/>
    <cellStyle name="Normal 617 2 2 3" xfId="27691" xr:uid="{00000000-0005-0000-0000-000051B10000}"/>
    <cellStyle name="Normal 617 2 3" xfId="13859" xr:uid="{00000000-0005-0000-0000-000052B10000}"/>
    <cellStyle name="Normal 617 2 3 2" xfId="31499" xr:uid="{00000000-0005-0000-0000-000053B10000}"/>
    <cellStyle name="Normal 617 2 4" xfId="24826" xr:uid="{00000000-0005-0000-0000-000054B10000}"/>
    <cellStyle name="Normal 617 3" xfId="6633" xr:uid="{00000000-0005-0000-0000-000055B10000}"/>
    <cellStyle name="Normal 617 3 2" xfId="9843" xr:uid="{00000000-0005-0000-0000-000056B10000}"/>
    <cellStyle name="Normal 617 3 2 2" xfId="17637" xr:uid="{00000000-0005-0000-0000-000057B10000}"/>
    <cellStyle name="Normal 617 3 2 2 2" xfId="35274" xr:uid="{00000000-0005-0000-0000-000058B10000}"/>
    <cellStyle name="Normal 617 3 2 3" xfId="28227" xr:uid="{00000000-0005-0000-0000-000059B10000}"/>
    <cellStyle name="Normal 617 3 3" xfId="14422" xr:uid="{00000000-0005-0000-0000-00005AB10000}"/>
    <cellStyle name="Normal 617 3 3 2" xfId="32057" xr:uid="{00000000-0005-0000-0000-00005BB10000}"/>
    <cellStyle name="Normal 617 3 4" xfId="25363" xr:uid="{00000000-0005-0000-0000-00005CB10000}"/>
    <cellStyle name="Normal 617 4" xfId="7409" xr:uid="{00000000-0005-0000-0000-00005DB10000}"/>
    <cellStyle name="Normal 617 4 2" xfId="10397" xr:uid="{00000000-0005-0000-0000-00005EB10000}"/>
    <cellStyle name="Normal 617 4 2 2" xfId="18190" xr:uid="{00000000-0005-0000-0000-00005FB10000}"/>
    <cellStyle name="Normal 617 4 2 2 2" xfId="35827" xr:uid="{00000000-0005-0000-0000-000060B10000}"/>
    <cellStyle name="Normal 617 4 2 3" xfId="28764" xr:uid="{00000000-0005-0000-0000-000061B10000}"/>
    <cellStyle name="Normal 617 4 3" xfId="15197" xr:uid="{00000000-0005-0000-0000-000062B10000}"/>
    <cellStyle name="Normal 617 4 3 2" xfId="32832" xr:uid="{00000000-0005-0000-0000-000063B10000}"/>
    <cellStyle name="Normal 617 4 4" xfId="25901" xr:uid="{00000000-0005-0000-0000-000064B10000}"/>
    <cellStyle name="Normal 617 5" xfId="8749" xr:uid="{00000000-0005-0000-0000-000065B10000}"/>
    <cellStyle name="Normal 617 5 2" xfId="16545" xr:uid="{00000000-0005-0000-0000-000066B10000}"/>
    <cellStyle name="Normal 617 5 2 2" xfId="34180" xr:uid="{00000000-0005-0000-0000-000067B10000}"/>
    <cellStyle name="Normal 617 5 3" xfId="27150" xr:uid="{00000000-0005-0000-0000-000068B10000}"/>
    <cellStyle name="Normal 617 6" xfId="13209" xr:uid="{00000000-0005-0000-0000-000069B10000}"/>
    <cellStyle name="Normal 617 6 2" xfId="30854" xr:uid="{00000000-0005-0000-0000-00006AB10000}"/>
    <cellStyle name="Normal 617 7" xfId="24285" xr:uid="{00000000-0005-0000-0000-00006BB10000}"/>
    <cellStyle name="Normal 618" xfId="5211" xr:uid="{00000000-0005-0000-0000-00006CB10000}"/>
    <cellStyle name="Normal 618 2" xfId="6004" xr:uid="{00000000-0005-0000-0000-00006DB10000}"/>
    <cellStyle name="Normal 618 2 2" xfId="9304" xr:uid="{00000000-0005-0000-0000-00006EB10000}"/>
    <cellStyle name="Normal 618 2 2 2" xfId="17099" xr:uid="{00000000-0005-0000-0000-00006FB10000}"/>
    <cellStyle name="Normal 618 2 2 2 2" xfId="34735" xr:uid="{00000000-0005-0000-0000-000070B10000}"/>
    <cellStyle name="Normal 618 2 2 3" xfId="27692" xr:uid="{00000000-0005-0000-0000-000071B10000}"/>
    <cellStyle name="Normal 618 2 3" xfId="13860" xr:uid="{00000000-0005-0000-0000-000072B10000}"/>
    <cellStyle name="Normal 618 2 3 2" xfId="31500" xr:uid="{00000000-0005-0000-0000-000073B10000}"/>
    <cellStyle name="Normal 618 2 4" xfId="24827" xr:uid="{00000000-0005-0000-0000-000074B10000}"/>
    <cellStyle name="Normal 618 3" xfId="6634" xr:uid="{00000000-0005-0000-0000-000075B10000}"/>
    <cellStyle name="Normal 618 3 2" xfId="9844" xr:uid="{00000000-0005-0000-0000-000076B10000}"/>
    <cellStyle name="Normal 618 3 2 2" xfId="17638" xr:uid="{00000000-0005-0000-0000-000077B10000}"/>
    <cellStyle name="Normal 618 3 2 2 2" xfId="35275" xr:uid="{00000000-0005-0000-0000-000078B10000}"/>
    <cellStyle name="Normal 618 3 2 3" xfId="28228" xr:uid="{00000000-0005-0000-0000-000079B10000}"/>
    <cellStyle name="Normal 618 3 3" xfId="14423" xr:uid="{00000000-0005-0000-0000-00007AB10000}"/>
    <cellStyle name="Normal 618 3 3 2" xfId="32058" xr:uid="{00000000-0005-0000-0000-00007BB10000}"/>
    <cellStyle name="Normal 618 3 4" xfId="25364" xr:uid="{00000000-0005-0000-0000-00007CB10000}"/>
    <cellStyle name="Normal 618 4" xfId="7410" xr:uid="{00000000-0005-0000-0000-00007DB10000}"/>
    <cellStyle name="Normal 618 4 2" xfId="10398" xr:uid="{00000000-0005-0000-0000-00007EB10000}"/>
    <cellStyle name="Normal 618 4 2 2" xfId="18191" xr:uid="{00000000-0005-0000-0000-00007FB10000}"/>
    <cellStyle name="Normal 618 4 2 2 2" xfId="35828" xr:uid="{00000000-0005-0000-0000-000080B10000}"/>
    <cellStyle name="Normal 618 4 2 3" xfId="28765" xr:uid="{00000000-0005-0000-0000-000081B10000}"/>
    <cellStyle name="Normal 618 4 3" xfId="15198" xr:uid="{00000000-0005-0000-0000-000082B10000}"/>
    <cellStyle name="Normal 618 4 3 2" xfId="32833" xr:uid="{00000000-0005-0000-0000-000083B10000}"/>
    <cellStyle name="Normal 618 4 4" xfId="25902" xr:uid="{00000000-0005-0000-0000-000084B10000}"/>
    <cellStyle name="Normal 618 5" xfId="8750" xr:uid="{00000000-0005-0000-0000-000085B10000}"/>
    <cellStyle name="Normal 618 5 2" xfId="16546" xr:uid="{00000000-0005-0000-0000-000086B10000}"/>
    <cellStyle name="Normal 618 5 2 2" xfId="34181" xr:uid="{00000000-0005-0000-0000-000087B10000}"/>
    <cellStyle name="Normal 618 5 3" xfId="27151" xr:uid="{00000000-0005-0000-0000-000088B10000}"/>
    <cellStyle name="Normal 618 6" xfId="13210" xr:uid="{00000000-0005-0000-0000-000089B10000}"/>
    <cellStyle name="Normal 618 6 2" xfId="30855" xr:uid="{00000000-0005-0000-0000-00008AB10000}"/>
    <cellStyle name="Normal 618 7" xfId="24286" xr:uid="{00000000-0005-0000-0000-00008BB10000}"/>
    <cellStyle name="Normal 619" xfId="5212" xr:uid="{00000000-0005-0000-0000-00008CB10000}"/>
    <cellStyle name="Normal 619 2" xfId="6005" xr:uid="{00000000-0005-0000-0000-00008DB10000}"/>
    <cellStyle name="Normal 619 2 2" xfId="9305" xr:uid="{00000000-0005-0000-0000-00008EB10000}"/>
    <cellStyle name="Normal 619 2 2 2" xfId="17100" xr:uid="{00000000-0005-0000-0000-00008FB10000}"/>
    <cellStyle name="Normal 619 2 2 2 2" xfId="34736" xr:uid="{00000000-0005-0000-0000-000090B10000}"/>
    <cellStyle name="Normal 619 2 2 3" xfId="27693" xr:uid="{00000000-0005-0000-0000-000091B10000}"/>
    <cellStyle name="Normal 619 2 3" xfId="13861" xr:uid="{00000000-0005-0000-0000-000092B10000}"/>
    <cellStyle name="Normal 619 2 3 2" xfId="31501" xr:uid="{00000000-0005-0000-0000-000093B10000}"/>
    <cellStyle name="Normal 619 2 4" xfId="24828" xr:uid="{00000000-0005-0000-0000-000094B10000}"/>
    <cellStyle name="Normal 619 3" xfId="6635" xr:uid="{00000000-0005-0000-0000-000095B10000}"/>
    <cellStyle name="Normal 619 3 2" xfId="9845" xr:uid="{00000000-0005-0000-0000-000096B10000}"/>
    <cellStyle name="Normal 619 3 2 2" xfId="17639" xr:uid="{00000000-0005-0000-0000-000097B10000}"/>
    <cellStyle name="Normal 619 3 2 2 2" xfId="35276" xr:uid="{00000000-0005-0000-0000-000098B10000}"/>
    <cellStyle name="Normal 619 3 2 3" xfId="28229" xr:uid="{00000000-0005-0000-0000-000099B10000}"/>
    <cellStyle name="Normal 619 3 3" xfId="14424" xr:uid="{00000000-0005-0000-0000-00009AB10000}"/>
    <cellStyle name="Normal 619 3 3 2" xfId="32059" xr:uid="{00000000-0005-0000-0000-00009BB10000}"/>
    <cellStyle name="Normal 619 3 4" xfId="25365" xr:uid="{00000000-0005-0000-0000-00009CB10000}"/>
    <cellStyle name="Normal 619 4" xfId="7411" xr:uid="{00000000-0005-0000-0000-00009DB10000}"/>
    <cellStyle name="Normal 619 4 2" xfId="10399" xr:uid="{00000000-0005-0000-0000-00009EB10000}"/>
    <cellStyle name="Normal 619 4 2 2" xfId="18192" xr:uid="{00000000-0005-0000-0000-00009FB10000}"/>
    <cellStyle name="Normal 619 4 2 2 2" xfId="35829" xr:uid="{00000000-0005-0000-0000-0000A0B10000}"/>
    <cellStyle name="Normal 619 4 2 3" xfId="28766" xr:uid="{00000000-0005-0000-0000-0000A1B10000}"/>
    <cellStyle name="Normal 619 4 3" xfId="15199" xr:uid="{00000000-0005-0000-0000-0000A2B10000}"/>
    <cellStyle name="Normal 619 4 3 2" xfId="32834" xr:uid="{00000000-0005-0000-0000-0000A3B10000}"/>
    <cellStyle name="Normal 619 4 4" xfId="25903" xr:uid="{00000000-0005-0000-0000-0000A4B10000}"/>
    <cellStyle name="Normal 619 5" xfId="8751" xr:uid="{00000000-0005-0000-0000-0000A5B10000}"/>
    <cellStyle name="Normal 619 5 2" xfId="16547" xr:uid="{00000000-0005-0000-0000-0000A6B10000}"/>
    <cellStyle name="Normal 619 5 2 2" xfId="34182" xr:uid="{00000000-0005-0000-0000-0000A7B10000}"/>
    <cellStyle name="Normal 619 5 3" xfId="27152" xr:uid="{00000000-0005-0000-0000-0000A8B10000}"/>
    <cellStyle name="Normal 619 6" xfId="13211" xr:uid="{00000000-0005-0000-0000-0000A9B10000}"/>
    <cellStyle name="Normal 619 6 2" xfId="30856" xr:uid="{00000000-0005-0000-0000-0000AAB10000}"/>
    <cellStyle name="Normal 619 7" xfId="24287" xr:uid="{00000000-0005-0000-0000-0000ABB10000}"/>
    <cellStyle name="Normal 62" xfId="3002" xr:uid="{00000000-0005-0000-0000-0000ACB10000}"/>
    <cellStyle name="Normal 62 2" xfId="5213" xr:uid="{00000000-0005-0000-0000-0000ADB10000}"/>
    <cellStyle name="Normal 62 3" xfId="52613" xr:uid="{00000000-0005-0000-0000-0000AEB10000}"/>
    <cellStyle name="Normal 620" xfId="5214" xr:uid="{00000000-0005-0000-0000-0000AFB10000}"/>
    <cellStyle name="Normal 620 2" xfId="6006" xr:uid="{00000000-0005-0000-0000-0000B0B10000}"/>
    <cellStyle name="Normal 620 2 2" xfId="9306" xr:uid="{00000000-0005-0000-0000-0000B1B10000}"/>
    <cellStyle name="Normal 620 2 2 2" xfId="17101" xr:uid="{00000000-0005-0000-0000-0000B2B10000}"/>
    <cellStyle name="Normal 620 2 2 2 2" xfId="34737" xr:uid="{00000000-0005-0000-0000-0000B3B10000}"/>
    <cellStyle name="Normal 620 2 2 3" xfId="27694" xr:uid="{00000000-0005-0000-0000-0000B4B10000}"/>
    <cellStyle name="Normal 620 2 3" xfId="13862" xr:uid="{00000000-0005-0000-0000-0000B5B10000}"/>
    <cellStyle name="Normal 620 2 3 2" xfId="31502" xr:uid="{00000000-0005-0000-0000-0000B6B10000}"/>
    <cellStyle name="Normal 620 2 4" xfId="24829" xr:uid="{00000000-0005-0000-0000-0000B7B10000}"/>
    <cellStyle name="Normal 620 3" xfId="6636" xr:uid="{00000000-0005-0000-0000-0000B8B10000}"/>
    <cellStyle name="Normal 620 3 2" xfId="9846" xr:uid="{00000000-0005-0000-0000-0000B9B10000}"/>
    <cellStyle name="Normal 620 3 2 2" xfId="17640" xr:uid="{00000000-0005-0000-0000-0000BAB10000}"/>
    <cellStyle name="Normal 620 3 2 2 2" xfId="35277" xr:uid="{00000000-0005-0000-0000-0000BBB10000}"/>
    <cellStyle name="Normal 620 3 2 3" xfId="28230" xr:uid="{00000000-0005-0000-0000-0000BCB10000}"/>
    <cellStyle name="Normal 620 3 3" xfId="14425" xr:uid="{00000000-0005-0000-0000-0000BDB10000}"/>
    <cellStyle name="Normal 620 3 3 2" xfId="32060" xr:uid="{00000000-0005-0000-0000-0000BEB10000}"/>
    <cellStyle name="Normal 620 3 4" xfId="25366" xr:uid="{00000000-0005-0000-0000-0000BFB10000}"/>
    <cellStyle name="Normal 620 4" xfId="7412" xr:uid="{00000000-0005-0000-0000-0000C0B10000}"/>
    <cellStyle name="Normal 620 4 2" xfId="10400" xr:uid="{00000000-0005-0000-0000-0000C1B10000}"/>
    <cellStyle name="Normal 620 4 2 2" xfId="18193" xr:uid="{00000000-0005-0000-0000-0000C2B10000}"/>
    <cellStyle name="Normal 620 4 2 2 2" xfId="35830" xr:uid="{00000000-0005-0000-0000-0000C3B10000}"/>
    <cellStyle name="Normal 620 4 2 3" xfId="28767" xr:uid="{00000000-0005-0000-0000-0000C4B10000}"/>
    <cellStyle name="Normal 620 4 3" xfId="15200" xr:uid="{00000000-0005-0000-0000-0000C5B10000}"/>
    <cellStyle name="Normal 620 4 3 2" xfId="32835" xr:uid="{00000000-0005-0000-0000-0000C6B10000}"/>
    <cellStyle name="Normal 620 4 4" xfId="25904" xr:uid="{00000000-0005-0000-0000-0000C7B10000}"/>
    <cellStyle name="Normal 620 5" xfId="8752" xr:uid="{00000000-0005-0000-0000-0000C8B10000}"/>
    <cellStyle name="Normal 620 5 2" xfId="16548" xr:uid="{00000000-0005-0000-0000-0000C9B10000}"/>
    <cellStyle name="Normal 620 5 2 2" xfId="34183" xr:uid="{00000000-0005-0000-0000-0000CAB10000}"/>
    <cellStyle name="Normal 620 5 3" xfId="27153" xr:uid="{00000000-0005-0000-0000-0000CBB10000}"/>
    <cellStyle name="Normal 620 6" xfId="13212" xr:uid="{00000000-0005-0000-0000-0000CCB10000}"/>
    <cellStyle name="Normal 620 6 2" xfId="30857" xr:uid="{00000000-0005-0000-0000-0000CDB10000}"/>
    <cellStyle name="Normal 620 7" xfId="24288" xr:uid="{00000000-0005-0000-0000-0000CEB10000}"/>
    <cellStyle name="Normal 621" xfId="5215" xr:uid="{00000000-0005-0000-0000-0000CFB10000}"/>
    <cellStyle name="Normal 621 2" xfId="6007" xr:uid="{00000000-0005-0000-0000-0000D0B10000}"/>
    <cellStyle name="Normal 621 2 2" xfId="9307" xr:uid="{00000000-0005-0000-0000-0000D1B10000}"/>
    <cellStyle name="Normal 621 2 2 2" xfId="17102" xr:uid="{00000000-0005-0000-0000-0000D2B10000}"/>
    <cellStyle name="Normal 621 2 2 2 2" xfId="34738" xr:uid="{00000000-0005-0000-0000-0000D3B10000}"/>
    <cellStyle name="Normal 621 2 2 3" xfId="27695" xr:uid="{00000000-0005-0000-0000-0000D4B10000}"/>
    <cellStyle name="Normal 621 2 3" xfId="13863" xr:uid="{00000000-0005-0000-0000-0000D5B10000}"/>
    <cellStyle name="Normal 621 2 3 2" xfId="31503" xr:uid="{00000000-0005-0000-0000-0000D6B10000}"/>
    <cellStyle name="Normal 621 2 4" xfId="24830" xr:uid="{00000000-0005-0000-0000-0000D7B10000}"/>
    <cellStyle name="Normal 621 3" xfId="6637" xr:uid="{00000000-0005-0000-0000-0000D8B10000}"/>
    <cellStyle name="Normal 621 3 2" xfId="9847" xr:uid="{00000000-0005-0000-0000-0000D9B10000}"/>
    <cellStyle name="Normal 621 3 2 2" xfId="17641" xr:uid="{00000000-0005-0000-0000-0000DAB10000}"/>
    <cellStyle name="Normal 621 3 2 2 2" xfId="35278" xr:uid="{00000000-0005-0000-0000-0000DBB10000}"/>
    <cellStyle name="Normal 621 3 2 3" xfId="28231" xr:uid="{00000000-0005-0000-0000-0000DCB10000}"/>
    <cellStyle name="Normal 621 3 3" xfId="14426" xr:uid="{00000000-0005-0000-0000-0000DDB10000}"/>
    <cellStyle name="Normal 621 3 3 2" xfId="32061" xr:uid="{00000000-0005-0000-0000-0000DEB10000}"/>
    <cellStyle name="Normal 621 3 4" xfId="25367" xr:uid="{00000000-0005-0000-0000-0000DFB10000}"/>
    <cellStyle name="Normal 621 4" xfId="7413" xr:uid="{00000000-0005-0000-0000-0000E0B10000}"/>
    <cellStyle name="Normal 621 4 2" xfId="10401" xr:uid="{00000000-0005-0000-0000-0000E1B10000}"/>
    <cellStyle name="Normal 621 4 2 2" xfId="18194" xr:uid="{00000000-0005-0000-0000-0000E2B10000}"/>
    <cellStyle name="Normal 621 4 2 2 2" xfId="35831" xr:uid="{00000000-0005-0000-0000-0000E3B10000}"/>
    <cellStyle name="Normal 621 4 2 3" xfId="28768" xr:uid="{00000000-0005-0000-0000-0000E4B10000}"/>
    <cellStyle name="Normal 621 4 3" xfId="15201" xr:uid="{00000000-0005-0000-0000-0000E5B10000}"/>
    <cellStyle name="Normal 621 4 3 2" xfId="32836" xr:uid="{00000000-0005-0000-0000-0000E6B10000}"/>
    <cellStyle name="Normal 621 4 4" xfId="25905" xr:uid="{00000000-0005-0000-0000-0000E7B10000}"/>
    <cellStyle name="Normal 621 5" xfId="8753" xr:uid="{00000000-0005-0000-0000-0000E8B10000}"/>
    <cellStyle name="Normal 621 5 2" xfId="16549" xr:uid="{00000000-0005-0000-0000-0000E9B10000}"/>
    <cellStyle name="Normal 621 5 2 2" xfId="34184" xr:uid="{00000000-0005-0000-0000-0000EAB10000}"/>
    <cellStyle name="Normal 621 5 3" xfId="27154" xr:uid="{00000000-0005-0000-0000-0000EBB10000}"/>
    <cellStyle name="Normal 621 6" xfId="13213" xr:uid="{00000000-0005-0000-0000-0000ECB10000}"/>
    <cellStyle name="Normal 621 6 2" xfId="30858" xr:uid="{00000000-0005-0000-0000-0000EDB10000}"/>
    <cellStyle name="Normal 621 7" xfId="24289" xr:uid="{00000000-0005-0000-0000-0000EEB10000}"/>
    <cellStyle name="Normal 622" xfId="5216" xr:uid="{00000000-0005-0000-0000-0000EFB10000}"/>
    <cellStyle name="Normal 622 2" xfId="6008" xr:uid="{00000000-0005-0000-0000-0000F0B10000}"/>
    <cellStyle name="Normal 622 2 2" xfId="9308" xr:uid="{00000000-0005-0000-0000-0000F1B10000}"/>
    <cellStyle name="Normal 622 2 2 2" xfId="17103" xr:uid="{00000000-0005-0000-0000-0000F2B10000}"/>
    <cellStyle name="Normal 622 2 2 2 2" xfId="34739" xr:uid="{00000000-0005-0000-0000-0000F3B10000}"/>
    <cellStyle name="Normal 622 2 2 3" xfId="27696" xr:uid="{00000000-0005-0000-0000-0000F4B10000}"/>
    <cellStyle name="Normal 622 2 3" xfId="13864" xr:uid="{00000000-0005-0000-0000-0000F5B10000}"/>
    <cellStyle name="Normal 622 2 3 2" xfId="31504" xr:uid="{00000000-0005-0000-0000-0000F6B10000}"/>
    <cellStyle name="Normal 622 2 4" xfId="24831" xr:uid="{00000000-0005-0000-0000-0000F7B10000}"/>
    <cellStyle name="Normal 622 3" xfId="6638" xr:uid="{00000000-0005-0000-0000-0000F8B10000}"/>
    <cellStyle name="Normal 622 3 2" xfId="9848" xr:uid="{00000000-0005-0000-0000-0000F9B10000}"/>
    <cellStyle name="Normal 622 3 2 2" xfId="17642" xr:uid="{00000000-0005-0000-0000-0000FAB10000}"/>
    <cellStyle name="Normal 622 3 2 2 2" xfId="35279" xr:uid="{00000000-0005-0000-0000-0000FBB10000}"/>
    <cellStyle name="Normal 622 3 2 3" xfId="28232" xr:uid="{00000000-0005-0000-0000-0000FCB10000}"/>
    <cellStyle name="Normal 622 3 3" xfId="14427" xr:uid="{00000000-0005-0000-0000-0000FDB10000}"/>
    <cellStyle name="Normal 622 3 3 2" xfId="32062" xr:uid="{00000000-0005-0000-0000-0000FEB10000}"/>
    <cellStyle name="Normal 622 3 4" xfId="25368" xr:uid="{00000000-0005-0000-0000-0000FFB10000}"/>
    <cellStyle name="Normal 622 4" xfId="7414" xr:uid="{00000000-0005-0000-0000-000000B20000}"/>
    <cellStyle name="Normal 622 4 2" xfId="10402" xr:uid="{00000000-0005-0000-0000-000001B20000}"/>
    <cellStyle name="Normal 622 4 2 2" xfId="18195" xr:uid="{00000000-0005-0000-0000-000002B20000}"/>
    <cellStyle name="Normal 622 4 2 2 2" xfId="35832" xr:uid="{00000000-0005-0000-0000-000003B20000}"/>
    <cellStyle name="Normal 622 4 2 3" xfId="28769" xr:uid="{00000000-0005-0000-0000-000004B20000}"/>
    <cellStyle name="Normal 622 4 3" xfId="15202" xr:uid="{00000000-0005-0000-0000-000005B20000}"/>
    <cellStyle name="Normal 622 4 3 2" xfId="32837" xr:uid="{00000000-0005-0000-0000-000006B20000}"/>
    <cellStyle name="Normal 622 4 4" xfId="25906" xr:uid="{00000000-0005-0000-0000-000007B20000}"/>
    <cellStyle name="Normal 622 5" xfId="8754" xr:uid="{00000000-0005-0000-0000-000008B20000}"/>
    <cellStyle name="Normal 622 5 2" xfId="16550" xr:uid="{00000000-0005-0000-0000-000009B20000}"/>
    <cellStyle name="Normal 622 5 2 2" xfId="34185" xr:uid="{00000000-0005-0000-0000-00000AB20000}"/>
    <cellStyle name="Normal 622 5 3" xfId="27155" xr:uid="{00000000-0005-0000-0000-00000BB20000}"/>
    <cellStyle name="Normal 622 6" xfId="13214" xr:uid="{00000000-0005-0000-0000-00000CB20000}"/>
    <cellStyle name="Normal 622 6 2" xfId="30859" xr:uid="{00000000-0005-0000-0000-00000DB20000}"/>
    <cellStyle name="Normal 622 7" xfId="24290" xr:uid="{00000000-0005-0000-0000-00000EB20000}"/>
    <cellStyle name="Normal 623" xfId="5217" xr:uid="{00000000-0005-0000-0000-00000FB20000}"/>
    <cellStyle name="Normal 623 2" xfId="6009" xr:uid="{00000000-0005-0000-0000-000010B20000}"/>
    <cellStyle name="Normal 623 2 2" xfId="9309" xr:uid="{00000000-0005-0000-0000-000011B20000}"/>
    <cellStyle name="Normal 623 2 2 2" xfId="17104" xr:uid="{00000000-0005-0000-0000-000012B20000}"/>
    <cellStyle name="Normal 623 2 2 2 2" xfId="34740" xr:uid="{00000000-0005-0000-0000-000013B20000}"/>
    <cellStyle name="Normal 623 2 2 3" xfId="27697" xr:uid="{00000000-0005-0000-0000-000014B20000}"/>
    <cellStyle name="Normal 623 2 3" xfId="13865" xr:uid="{00000000-0005-0000-0000-000015B20000}"/>
    <cellStyle name="Normal 623 2 3 2" xfId="31505" xr:uid="{00000000-0005-0000-0000-000016B20000}"/>
    <cellStyle name="Normal 623 2 4" xfId="24832" xr:uid="{00000000-0005-0000-0000-000017B20000}"/>
    <cellStyle name="Normal 623 3" xfId="6639" xr:uid="{00000000-0005-0000-0000-000018B20000}"/>
    <cellStyle name="Normal 623 3 2" xfId="9849" xr:uid="{00000000-0005-0000-0000-000019B20000}"/>
    <cellStyle name="Normal 623 3 2 2" xfId="17643" xr:uid="{00000000-0005-0000-0000-00001AB20000}"/>
    <cellStyle name="Normal 623 3 2 2 2" xfId="35280" xr:uid="{00000000-0005-0000-0000-00001BB20000}"/>
    <cellStyle name="Normal 623 3 2 3" xfId="28233" xr:uid="{00000000-0005-0000-0000-00001CB20000}"/>
    <cellStyle name="Normal 623 3 3" xfId="14428" xr:uid="{00000000-0005-0000-0000-00001DB20000}"/>
    <cellStyle name="Normal 623 3 3 2" xfId="32063" xr:uid="{00000000-0005-0000-0000-00001EB20000}"/>
    <cellStyle name="Normal 623 3 4" xfId="25369" xr:uid="{00000000-0005-0000-0000-00001FB20000}"/>
    <cellStyle name="Normal 623 4" xfId="7415" xr:uid="{00000000-0005-0000-0000-000020B20000}"/>
    <cellStyle name="Normal 623 4 2" xfId="10403" xr:uid="{00000000-0005-0000-0000-000021B20000}"/>
    <cellStyle name="Normal 623 4 2 2" xfId="18196" xr:uid="{00000000-0005-0000-0000-000022B20000}"/>
    <cellStyle name="Normal 623 4 2 2 2" xfId="35833" xr:uid="{00000000-0005-0000-0000-000023B20000}"/>
    <cellStyle name="Normal 623 4 2 3" xfId="28770" xr:uid="{00000000-0005-0000-0000-000024B20000}"/>
    <cellStyle name="Normal 623 4 3" xfId="15203" xr:uid="{00000000-0005-0000-0000-000025B20000}"/>
    <cellStyle name="Normal 623 4 3 2" xfId="32838" xr:uid="{00000000-0005-0000-0000-000026B20000}"/>
    <cellStyle name="Normal 623 4 4" xfId="25907" xr:uid="{00000000-0005-0000-0000-000027B20000}"/>
    <cellStyle name="Normal 623 5" xfId="8755" xr:uid="{00000000-0005-0000-0000-000028B20000}"/>
    <cellStyle name="Normal 623 5 2" xfId="16551" xr:uid="{00000000-0005-0000-0000-000029B20000}"/>
    <cellStyle name="Normal 623 5 2 2" xfId="34186" xr:uid="{00000000-0005-0000-0000-00002AB20000}"/>
    <cellStyle name="Normal 623 5 3" xfId="27156" xr:uid="{00000000-0005-0000-0000-00002BB20000}"/>
    <cellStyle name="Normal 623 6" xfId="13215" xr:uid="{00000000-0005-0000-0000-00002CB20000}"/>
    <cellStyle name="Normal 623 6 2" xfId="30860" xr:uid="{00000000-0005-0000-0000-00002DB20000}"/>
    <cellStyle name="Normal 623 7" xfId="24291" xr:uid="{00000000-0005-0000-0000-00002EB20000}"/>
    <cellStyle name="Normal 624" xfId="5218" xr:uid="{00000000-0005-0000-0000-00002FB20000}"/>
    <cellStyle name="Normal 624 2" xfId="6010" xr:uid="{00000000-0005-0000-0000-000030B20000}"/>
    <cellStyle name="Normal 624 2 2" xfId="9310" xr:uid="{00000000-0005-0000-0000-000031B20000}"/>
    <cellStyle name="Normal 624 2 2 2" xfId="17105" xr:uid="{00000000-0005-0000-0000-000032B20000}"/>
    <cellStyle name="Normal 624 2 2 2 2" xfId="34741" xr:uid="{00000000-0005-0000-0000-000033B20000}"/>
    <cellStyle name="Normal 624 2 2 3" xfId="27698" xr:uid="{00000000-0005-0000-0000-000034B20000}"/>
    <cellStyle name="Normal 624 2 3" xfId="13866" xr:uid="{00000000-0005-0000-0000-000035B20000}"/>
    <cellStyle name="Normal 624 2 3 2" xfId="31506" xr:uid="{00000000-0005-0000-0000-000036B20000}"/>
    <cellStyle name="Normal 624 2 4" xfId="24833" xr:uid="{00000000-0005-0000-0000-000037B20000}"/>
    <cellStyle name="Normal 624 3" xfId="6640" xr:uid="{00000000-0005-0000-0000-000038B20000}"/>
    <cellStyle name="Normal 624 3 2" xfId="9850" xr:uid="{00000000-0005-0000-0000-000039B20000}"/>
    <cellStyle name="Normal 624 3 2 2" xfId="17644" xr:uid="{00000000-0005-0000-0000-00003AB20000}"/>
    <cellStyle name="Normal 624 3 2 2 2" xfId="35281" xr:uid="{00000000-0005-0000-0000-00003BB20000}"/>
    <cellStyle name="Normal 624 3 2 3" xfId="28234" xr:uid="{00000000-0005-0000-0000-00003CB20000}"/>
    <cellStyle name="Normal 624 3 3" xfId="14429" xr:uid="{00000000-0005-0000-0000-00003DB20000}"/>
    <cellStyle name="Normal 624 3 3 2" xfId="32064" xr:uid="{00000000-0005-0000-0000-00003EB20000}"/>
    <cellStyle name="Normal 624 3 4" xfId="25370" xr:uid="{00000000-0005-0000-0000-00003FB20000}"/>
    <cellStyle name="Normal 624 4" xfId="7416" xr:uid="{00000000-0005-0000-0000-000040B20000}"/>
    <cellStyle name="Normal 624 4 2" xfId="10404" xr:uid="{00000000-0005-0000-0000-000041B20000}"/>
    <cellStyle name="Normal 624 4 2 2" xfId="18197" xr:uid="{00000000-0005-0000-0000-000042B20000}"/>
    <cellStyle name="Normal 624 4 2 2 2" xfId="35834" xr:uid="{00000000-0005-0000-0000-000043B20000}"/>
    <cellStyle name="Normal 624 4 2 3" xfId="28771" xr:uid="{00000000-0005-0000-0000-000044B20000}"/>
    <cellStyle name="Normal 624 4 3" xfId="15204" xr:uid="{00000000-0005-0000-0000-000045B20000}"/>
    <cellStyle name="Normal 624 4 3 2" xfId="32839" xr:uid="{00000000-0005-0000-0000-000046B20000}"/>
    <cellStyle name="Normal 624 4 4" xfId="25908" xr:uid="{00000000-0005-0000-0000-000047B20000}"/>
    <cellStyle name="Normal 624 5" xfId="8756" xr:uid="{00000000-0005-0000-0000-000048B20000}"/>
    <cellStyle name="Normal 624 5 2" xfId="16552" xr:uid="{00000000-0005-0000-0000-000049B20000}"/>
    <cellStyle name="Normal 624 5 2 2" xfId="34187" xr:uid="{00000000-0005-0000-0000-00004AB20000}"/>
    <cellStyle name="Normal 624 5 3" xfId="27157" xr:uid="{00000000-0005-0000-0000-00004BB20000}"/>
    <cellStyle name="Normal 624 6" xfId="13216" xr:uid="{00000000-0005-0000-0000-00004CB20000}"/>
    <cellStyle name="Normal 624 6 2" xfId="30861" xr:uid="{00000000-0005-0000-0000-00004DB20000}"/>
    <cellStyle name="Normal 624 7" xfId="24292" xr:uid="{00000000-0005-0000-0000-00004EB20000}"/>
    <cellStyle name="Normal 625" xfId="5219" xr:uid="{00000000-0005-0000-0000-00004FB20000}"/>
    <cellStyle name="Normal 625 2" xfId="6011" xr:uid="{00000000-0005-0000-0000-000050B20000}"/>
    <cellStyle name="Normal 625 2 2" xfId="9311" xr:uid="{00000000-0005-0000-0000-000051B20000}"/>
    <cellStyle name="Normal 625 2 2 2" xfId="17106" xr:uid="{00000000-0005-0000-0000-000052B20000}"/>
    <cellStyle name="Normal 625 2 2 2 2" xfId="34742" xr:uid="{00000000-0005-0000-0000-000053B20000}"/>
    <cellStyle name="Normal 625 2 2 3" xfId="27699" xr:uid="{00000000-0005-0000-0000-000054B20000}"/>
    <cellStyle name="Normal 625 2 3" xfId="13867" xr:uid="{00000000-0005-0000-0000-000055B20000}"/>
    <cellStyle name="Normal 625 2 3 2" xfId="31507" xr:uid="{00000000-0005-0000-0000-000056B20000}"/>
    <cellStyle name="Normal 625 2 4" xfId="24834" xr:uid="{00000000-0005-0000-0000-000057B20000}"/>
    <cellStyle name="Normal 625 3" xfId="6641" xr:uid="{00000000-0005-0000-0000-000058B20000}"/>
    <cellStyle name="Normal 625 3 2" xfId="9851" xr:uid="{00000000-0005-0000-0000-000059B20000}"/>
    <cellStyle name="Normal 625 3 2 2" xfId="17645" xr:uid="{00000000-0005-0000-0000-00005AB20000}"/>
    <cellStyle name="Normal 625 3 2 2 2" xfId="35282" xr:uid="{00000000-0005-0000-0000-00005BB20000}"/>
    <cellStyle name="Normal 625 3 2 3" xfId="28235" xr:uid="{00000000-0005-0000-0000-00005CB20000}"/>
    <cellStyle name="Normal 625 3 3" xfId="14430" xr:uid="{00000000-0005-0000-0000-00005DB20000}"/>
    <cellStyle name="Normal 625 3 3 2" xfId="32065" xr:uid="{00000000-0005-0000-0000-00005EB20000}"/>
    <cellStyle name="Normal 625 3 4" xfId="25371" xr:uid="{00000000-0005-0000-0000-00005FB20000}"/>
    <cellStyle name="Normal 625 4" xfId="7417" xr:uid="{00000000-0005-0000-0000-000060B20000}"/>
    <cellStyle name="Normal 625 4 2" xfId="10405" xr:uid="{00000000-0005-0000-0000-000061B20000}"/>
    <cellStyle name="Normal 625 4 2 2" xfId="18198" xr:uid="{00000000-0005-0000-0000-000062B20000}"/>
    <cellStyle name="Normal 625 4 2 2 2" xfId="35835" xr:uid="{00000000-0005-0000-0000-000063B20000}"/>
    <cellStyle name="Normal 625 4 2 3" xfId="28772" xr:uid="{00000000-0005-0000-0000-000064B20000}"/>
    <cellStyle name="Normal 625 4 3" xfId="15205" xr:uid="{00000000-0005-0000-0000-000065B20000}"/>
    <cellStyle name="Normal 625 4 3 2" xfId="32840" xr:uid="{00000000-0005-0000-0000-000066B20000}"/>
    <cellStyle name="Normal 625 4 4" xfId="25909" xr:uid="{00000000-0005-0000-0000-000067B20000}"/>
    <cellStyle name="Normal 625 5" xfId="8757" xr:uid="{00000000-0005-0000-0000-000068B20000}"/>
    <cellStyle name="Normal 625 5 2" xfId="16553" xr:uid="{00000000-0005-0000-0000-000069B20000}"/>
    <cellStyle name="Normal 625 5 2 2" xfId="34188" xr:uid="{00000000-0005-0000-0000-00006AB20000}"/>
    <cellStyle name="Normal 625 5 3" xfId="27158" xr:uid="{00000000-0005-0000-0000-00006BB20000}"/>
    <cellStyle name="Normal 625 6" xfId="13217" xr:uid="{00000000-0005-0000-0000-00006CB20000}"/>
    <cellStyle name="Normal 625 6 2" xfId="30862" xr:uid="{00000000-0005-0000-0000-00006DB20000}"/>
    <cellStyle name="Normal 625 7" xfId="24293" xr:uid="{00000000-0005-0000-0000-00006EB20000}"/>
    <cellStyle name="Normal 626" xfId="5220" xr:uid="{00000000-0005-0000-0000-00006FB20000}"/>
    <cellStyle name="Normal 626 2" xfId="6012" xr:uid="{00000000-0005-0000-0000-000070B20000}"/>
    <cellStyle name="Normal 626 2 2" xfId="9312" xr:uid="{00000000-0005-0000-0000-000071B20000}"/>
    <cellStyle name="Normal 626 2 2 2" xfId="17107" xr:uid="{00000000-0005-0000-0000-000072B20000}"/>
    <cellStyle name="Normal 626 2 2 2 2" xfId="34743" xr:uid="{00000000-0005-0000-0000-000073B20000}"/>
    <cellStyle name="Normal 626 2 2 3" xfId="27700" xr:uid="{00000000-0005-0000-0000-000074B20000}"/>
    <cellStyle name="Normal 626 2 3" xfId="13868" xr:uid="{00000000-0005-0000-0000-000075B20000}"/>
    <cellStyle name="Normal 626 2 3 2" xfId="31508" xr:uid="{00000000-0005-0000-0000-000076B20000}"/>
    <cellStyle name="Normal 626 2 4" xfId="24835" xr:uid="{00000000-0005-0000-0000-000077B20000}"/>
    <cellStyle name="Normal 626 3" xfId="6642" xr:uid="{00000000-0005-0000-0000-000078B20000}"/>
    <cellStyle name="Normal 626 3 2" xfId="9852" xr:uid="{00000000-0005-0000-0000-000079B20000}"/>
    <cellStyle name="Normal 626 3 2 2" xfId="17646" xr:uid="{00000000-0005-0000-0000-00007AB20000}"/>
    <cellStyle name="Normal 626 3 2 2 2" xfId="35283" xr:uid="{00000000-0005-0000-0000-00007BB20000}"/>
    <cellStyle name="Normal 626 3 2 3" xfId="28236" xr:uid="{00000000-0005-0000-0000-00007CB20000}"/>
    <cellStyle name="Normal 626 3 3" xfId="14431" xr:uid="{00000000-0005-0000-0000-00007DB20000}"/>
    <cellStyle name="Normal 626 3 3 2" xfId="32066" xr:uid="{00000000-0005-0000-0000-00007EB20000}"/>
    <cellStyle name="Normal 626 3 4" xfId="25372" xr:uid="{00000000-0005-0000-0000-00007FB20000}"/>
    <cellStyle name="Normal 626 4" xfId="7418" xr:uid="{00000000-0005-0000-0000-000080B20000}"/>
    <cellStyle name="Normal 626 4 2" xfId="10406" xr:uid="{00000000-0005-0000-0000-000081B20000}"/>
    <cellStyle name="Normal 626 4 2 2" xfId="18199" xr:uid="{00000000-0005-0000-0000-000082B20000}"/>
    <cellStyle name="Normal 626 4 2 2 2" xfId="35836" xr:uid="{00000000-0005-0000-0000-000083B20000}"/>
    <cellStyle name="Normal 626 4 2 3" xfId="28773" xr:uid="{00000000-0005-0000-0000-000084B20000}"/>
    <cellStyle name="Normal 626 4 3" xfId="15206" xr:uid="{00000000-0005-0000-0000-000085B20000}"/>
    <cellStyle name="Normal 626 4 3 2" xfId="32841" xr:uid="{00000000-0005-0000-0000-000086B20000}"/>
    <cellStyle name="Normal 626 4 4" xfId="25910" xr:uid="{00000000-0005-0000-0000-000087B20000}"/>
    <cellStyle name="Normal 626 5" xfId="8758" xr:uid="{00000000-0005-0000-0000-000088B20000}"/>
    <cellStyle name="Normal 626 5 2" xfId="16554" xr:uid="{00000000-0005-0000-0000-000089B20000}"/>
    <cellStyle name="Normal 626 5 2 2" xfId="34189" xr:uid="{00000000-0005-0000-0000-00008AB20000}"/>
    <cellStyle name="Normal 626 5 3" xfId="27159" xr:uid="{00000000-0005-0000-0000-00008BB20000}"/>
    <cellStyle name="Normal 626 6" xfId="13218" xr:uid="{00000000-0005-0000-0000-00008CB20000}"/>
    <cellStyle name="Normal 626 6 2" xfId="30863" xr:uid="{00000000-0005-0000-0000-00008DB20000}"/>
    <cellStyle name="Normal 626 7" xfId="24294" xr:uid="{00000000-0005-0000-0000-00008EB20000}"/>
    <cellStyle name="Normal 627" xfId="5221" xr:uid="{00000000-0005-0000-0000-00008FB20000}"/>
    <cellStyle name="Normal 627 2" xfId="6013" xr:uid="{00000000-0005-0000-0000-000090B20000}"/>
    <cellStyle name="Normal 627 2 2" xfId="9313" xr:uid="{00000000-0005-0000-0000-000091B20000}"/>
    <cellStyle name="Normal 627 2 2 2" xfId="17108" xr:uid="{00000000-0005-0000-0000-000092B20000}"/>
    <cellStyle name="Normal 627 2 2 2 2" xfId="34744" xr:uid="{00000000-0005-0000-0000-000093B20000}"/>
    <cellStyle name="Normal 627 2 2 3" xfId="27701" xr:uid="{00000000-0005-0000-0000-000094B20000}"/>
    <cellStyle name="Normal 627 2 3" xfId="13869" xr:uid="{00000000-0005-0000-0000-000095B20000}"/>
    <cellStyle name="Normal 627 2 3 2" xfId="31509" xr:uid="{00000000-0005-0000-0000-000096B20000}"/>
    <cellStyle name="Normal 627 2 4" xfId="24836" xr:uid="{00000000-0005-0000-0000-000097B20000}"/>
    <cellStyle name="Normal 627 3" xfId="6643" xr:uid="{00000000-0005-0000-0000-000098B20000}"/>
    <cellStyle name="Normal 627 3 2" xfId="9853" xr:uid="{00000000-0005-0000-0000-000099B20000}"/>
    <cellStyle name="Normal 627 3 2 2" xfId="17647" xr:uid="{00000000-0005-0000-0000-00009AB20000}"/>
    <cellStyle name="Normal 627 3 2 2 2" xfId="35284" xr:uid="{00000000-0005-0000-0000-00009BB20000}"/>
    <cellStyle name="Normal 627 3 2 3" xfId="28237" xr:uid="{00000000-0005-0000-0000-00009CB20000}"/>
    <cellStyle name="Normal 627 3 3" xfId="14432" xr:uid="{00000000-0005-0000-0000-00009DB20000}"/>
    <cellStyle name="Normal 627 3 3 2" xfId="32067" xr:uid="{00000000-0005-0000-0000-00009EB20000}"/>
    <cellStyle name="Normal 627 3 4" xfId="25373" xr:uid="{00000000-0005-0000-0000-00009FB20000}"/>
    <cellStyle name="Normal 627 4" xfId="7419" xr:uid="{00000000-0005-0000-0000-0000A0B20000}"/>
    <cellStyle name="Normal 627 4 2" xfId="10407" xr:uid="{00000000-0005-0000-0000-0000A1B20000}"/>
    <cellStyle name="Normal 627 4 2 2" xfId="18200" xr:uid="{00000000-0005-0000-0000-0000A2B20000}"/>
    <cellStyle name="Normal 627 4 2 2 2" xfId="35837" xr:uid="{00000000-0005-0000-0000-0000A3B20000}"/>
    <cellStyle name="Normal 627 4 2 3" xfId="28774" xr:uid="{00000000-0005-0000-0000-0000A4B20000}"/>
    <cellStyle name="Normal 627 4 3" xfId="15207" xr:uid="{00000000-0005-0000-0000-0000A5B20000}"/>
    <cellStyle name="Normal 627 4 3 2" xfId="32842" xr:uid="{00000000-0005-0000-0000-0000A6B20000}"/>
    <cellStyle name="Normal 627 4 4" xfId="25911" xr:uid="{00000000-0005-0000-0000-0000A7B20000}"/>
    <cellStyle name="Normal 627 5" xfId="8759" xr:uid="{00000000-0005-0000-0000-0000A8B20000}"/>
    <cellStyle name="Normal 627 5 2" xfId="16555" xr:uid="{00000000-0005-0000-0000-0000A9B20000}"/>
    <cellStyle name="Normal 627 5 2 2" xfId="34190" xr:uid="{00000000-0005-0000-0000-0000AAB20000}"/>
    <cellStyle name="Normal 627 5 3" xfId="27160" xr:uid="{00000000-0005-0000-0000-0000ABB20000}"/>
    <cellStyle name="Normal 627 6" xfId="13219" xr:uid="{00000000-0005-0000-0000-0000ACB20000}"/>
    <cellStyle name="Normal 627 6 2" xfId="30864" xr:uid="{00000000-0005-0000-0000-0000ADB20000}"/>
    <cellStyle name="Normal 627 7" xfId="24295" xr:uid="{00000000-0005-0000-0000-0000AEB20000}"/>
    <cellStyle name="Normal 628" xfId="5222" xr:uid="{00000000-0005-0000-0000-0000AFB20000}"/>
    <cellStyle name="Normal 628 2" xfId="6014" xr:uid="{00000000-0005-0000-0000-0000B0B20000}"/>
    <cellStyle name="Normal 628 2 2" xfId="9314" xr:uid="{00000000-0005-0000-0000-0000B1B20000}"/>
    <cellStyle name="Normal 628 2 2 2" xfId="17109" xr:uid="{00000000-0005-0000-0000-0000B2B20000}"/>
    <cellStyle name="Normal 628 2 2 2 2" xfId="34745" xr:uid="{00000000-0005-0000-0000-0000B3B20000}"/>
    <cellStyle name="Normal 628 2 2 3" xfId="27702" xr:uid="{00000000-0005-0000-0000-0000B4B20000}"/>
    <cellStyle name="Normal 628 2 3" xfId="13870" xr:uid="{00000000-0005-0000-0000-0000B5B20000}"/>
    <cellStyle name="Normal 628 2 3 2" xfId="31510" xr:uid="{00000000-0005-0000-0000-0000B6B20000}"/>
    <cellStyle name="Normal 628 2 4" xfId="24837" xr:uid="{00000000-0005-0000-0000-0000B7B20000}"/>
    <cellStyle name="Normal 628 3" xfId="6644" xr:uid="{00000000-0005-0000-0000-0000B8B20000}"/>
    <cellStyle name="Normal 628 3 2" xfId="9854" xr:uid="{00000000-0005-0000-0000-0000B9B20000}"/>
    <cellStyle name="Normal 628 3 2 2" xfId="17648" xr:uid="{00000000-0005-0000-0000-0000BAB20000}"/>
    <cellStyle name="Normal 628 3 2 2 2" xfId="35285" xr:uid="{00000000-0005-0000-0000-0000BBB20000}"/>
    <cellStyle name="Normal 628 3 2 3" xfId="28238" xr:uid="{00000000-0005-0000-0000-0000BCB20000}"/>
    <cellStyle name="Normal 628 3 3" xfId="14433" xr:uid="{00000000-0005-0000-0000-0000BDB20000}"/>
    <cellStyle name="Normal 628 3 3 2" xfId="32068" xr:uid="{00000000-0005-0000-0000-0000BEB20000}"/>
    <cellStyle name="Normal 628 3 4" xfId="25374" xr:uid="{00000000-0005-0000-0000-0000BFB20000}"/>
    <cellStyle name="Normal 628 4" xfId="7420" xr:uid="{00000000-0005-0000-0000-0000C0B20000}"/>
    <cellStyle name="Normal 628 4 2" xfId="10408" xr:uid="{00000000-0005-0000-0000-0000C1B20000}"/>
    <cellStyle name="Normal 628 4 2 2" xfId="18201" xr:uid="{00000000-0005-0000-0000-0000C2B20000}"/>
    <cellStyle name="Normal 628 4 2 2 2" xfId="35838" xr:uid="{00000000-0005-0000-0000-0000C3B20000}"/>
    <cellStyle name="Normal 628 4 2 3" xfId="28775" xr:uid="{00000000-0005-0000-0000-0000C4B20000}"/>
    <cellStyle name="Normal 628 4 3" xfId="15208" xr:uid="{00000000-0005-0000-0000-0000C5B20000}"/>
    <cellStyle name="Normal 628 4 3 2" xfId="32843" xr:uid="{00000000-0005-0000-0000-0000C6B20000}"/>
    <cellStyle name="Normal 628 4 4" xfId="25912" xr:uid="{00000000-0005-0000-0000-0000C7B20000}"/>
    <cellStyle name="Normal 628 5" xfId="8760" xr:uid="{00000000-0005-0000-0000-0000C8B20000}"/>
    <cellStyle name="Normal 628 5 2" xfId="16556" xr:uid="{00000000-0005-0000-0000-0000C9B20000}"/>
    <cellStyle name="Normal 628 5 2 2" xfId="34191" xr:uid="{00000000-0005-0000-0000-0000CAB20000}"/>
    <cellStyle name="Normal 628 5 3" xfId="27161" xr:uid="{00000000-0005-0000-0000-0000CBB20000}"/>
    <cellStyle name="Normal 628 6" xfId="13220" xr:uid="{00000000-0005-0000-0000-0000CCB20000}"/>
    <cellStyle name="Normal 628 6 2" xfId="30865" xr:uid="{00000000-0005-0000-0000-0000CDB20000}"/>
    <cellStyle name="Normal 628 7" xfId="24296" xr:uid="{00000000-0005-0000-0000-0000CEB20000}"/>
    <cellStyle name="Normal 629" xfId="5223" xr:uid="{00000000-0005-0000-0000-0000CFB20000}"/>
    <cellStyle name="Normal 629 2" xfId="6015" xr:uid="{00000000-0005-0000-0000-0000D0B20000}"/>
    <cellStyle name="Normal 629 2 2" xfId="9315" xr:uid="{00000000-0005-0000-0000-0000D1B20000}"/>
    <cellStyle name="Normal 629 2 2 2" xfId="17110" xr:uid="{00000000-0005-0000-0000-0000D2B20000}"/>
    <cellStyle name="Normal 629 2 2 2 2" xfId="34746" xr:uid="{00000000-0005-0000-0000-0000D3B20000}"/>
    <cellStyle name="Normal 629 2 2 3" xfId="27703" xr:uid="{00000000-0005-0000-0000-0000D4B20000}"/>
    <cellStyle name="Normal 629 2 3" xfId="13871" xr:uid="{00000000-0005-0000-0000-0000D5B20000}"/>
    <cellStyle name="Normal 629 2 3 2" xfId="31511" xr:uid="{00000000-0005-0000-0000-0000D6B20000}"/>
    <cellStyle name="Normal 629 2 4" xfId="24838" xr:uid="{00000000-0005-0000-0000-0000D7B20000}"/>
    <cellStyle name="Normal 629 3" xfId="6645" xr:uid="{00000000-0005-0000-0000-0000D8B20000}"/>
    <cellStyle name="Normal 629 3 2" xfId="9855" xr:uid="{00000000-0005-0000-0000-0000D9B20000}"/>
    <cellStyle name="Normal 629 3 2 2" xfId="17649" xr:uid="{00000000-0005-0000-0000-0000DAB20000}"/>
    <cellStyle name="Normal 629 3 2 2 2" xfId="35286" xr:uid="{00000000-0005-0000-0000-0000DBB20000}"/>
    <cellStyle name="Normal 629 3 2 3" xfId="28239" xr:uid="{00000000-0005-0000-0000-0000DCB20000}"/>
    <cellStyle name="Normal 629 3 3" xfId="14434" xr:uid="{00000000-0005-0000-0000-0000DDB20000}"/>
    <cellStyle name="Normal 629 3 3 2" xfId="32069" xr:uid="{00000000-0005-0000-0000-0000DEB20000}"/>
    <cellStyle name="Normal 629 3 4" xfId="25375" xr:uid="{00000000-0005-0000-0000-0000DFB20000}"/>
    <cellStyle name="Normal 629 4" xfId="7421" xr:uid="{00000000-0005-0000-0000-0000E0B20000}"/>
    <cellStyle name="Normal 629 4 2" xfId="10409" xr:uid="{00000000-0005-0000-0000-0000E1B20000}"/>
    <cellStyle name="Normal 629 4 2 2" xfId="18202" xr:uid="{00000000-0005-0000-0000-0000E2B20000}"/>
    <cellStyle name="Normal 629 4 2 2 2" xfId="35839" xr:uid="{00000000-0005-0000-0000-0000E3B20000}"/>
    <cellStyle name="Normal 629 4 2 3" xfId="28776" xr:uid="{00000000-0005-0000-0000-0000E4B20000}"/>
    <cellStyle name="Normal 629 4 3" xfId="15209" xr:uid="{00000000-0005-0000-0000-0000E5B20000}"/>
    <cellStyle name="Normal 629 4 3 2" xfId="32844" xr:uid="{00000000-0005-0000-0000-0000E6B20000}"/>
    <cellStyle name="Normal 629 4 4" xfId="25913" xr:uid="{00000000-0005-0000-0000-0000E7B20000}"/>
    <cellStyle name="Normal 629 5" xfId="8761" xr:uid="{00000000-0005-0000-0000-0000E8B20000}"/>
    <cellStyle name="Normal 629 5 2" xfId="16557" xr:uid="{00000000-0005-0000-0000-0000E9B20000}"/>
    <cellStyle name="Normal 629 5 2 2" xfId="34192" xr:uid="{00000000-0005-0000-0000-0000EAB20000}"/>
    <cellStyle name="Normal 629 5 3" xfId="27162" xr:uid="{00000000-0005-0000-0000-0000EBB20000}"/>
    <cellStyle name="Normal 629 6" xfId="13221" xr:uid="{00000000-0005-0000-0000-0000ECB20000}"/>
    <cellStyle name="Normal 629 6 2" xfId="30866" xr:uid="{00000000-0005-0000-0000-0000EDB20000}"/>
    <cellStyle name="Normal 629 7" xfId="24297" xr:uid="{00000000-0005-0000-0000-0000EEB20000}"/>
    <cellStyle name="Normal 63" xfId="3003" xr:uid="{00000000-0005-0000-0000-0000EFB20000}"/>
    <cellStyle name="Normal 63 2" xfId="5224" xr:uid="{00000000-0005-0000-0000-0000F0B20000}"/>
    <cellStyle name="Normal 63 3" xfId="52614" xr:uid="{00000000-0005-0000-0000-0000F1B20000}"/>
    <cellStyle name="Normal 630" xfId="5225" xr:uid="{00000000-0005-0000-0000-0000F2B20000}"/>
    <cellStyle name="Normal 630 2" xfId="6016" xr:uid="{00000000-0005-0000-0000-0000F3B20000}"/>
    <cellStyle name="Normal 630 2 2" xfId="9316" xr:uid="{00000000-0005-0000-0000-0000F4B20000}"/>
    <cellStyle name="Normal 630 2 2 2" xfId="17111" xr:uid="{00000000-0005-0000-0000-0000F5B20000}"/>
    <cellStyle name="Normal 630 2 2 2 2" xfId="34747" xr:uid="{00000000-0005-0000-0000-0000F6B20000}"/>
    <cellStyle name="Normal 630 2 2 3" xfId="27704" xr:uid="{00000000-0005-0000-0000-0000F7B20000}"/>
    <cellStyle name="Normal 630 2 3" xfId="13872" xr:uid="{00000000-0005-0000-0000-0000F8B20000}"/>
    <cellStyle name="Normal 630 2 3 2" xfId="31512" xr:uid="{00000000-0005-0000-0000-0000F9B20000}"/>
    <cellStyle name="Normal 630 2 4" xfId="24839" xr:uid="{00000000-0005-0000-0000-0000FAB20000}"/>
    <cellStyle name="Normal 630 3" xfId="6646" xr:uid="{00000000-0005-0000-0000-0000FBB20000}"/>
    <cellStyle name="Normal 630 3 2" xfId="9856" xr:uid="{00000000-0005-0000-0000-0000FCB20000}"/>
    <cellStyle name="Normal 630 3 2 2" xfId="17650" xr:uid="{00000000-0005-0000-0000-0000FDB20000}"/>
    <cellStyle name="Normal 630 3 2 2 2" xfId="35287" xr:uid="{00000000-0005-0000-0000-0000FEB20000}"/>
    <cellStyle name="Normal 630 3 2 3" xfId="28240" xr:uid="{00000000-0005-0000-0000-0000FFB20000}"/>
    <cellStyle name="Normal 630 3 3" xfId="14435" xr:uid="{00000000-0005-0000-0000-000000B30000}"/>
    <cellStyle name="Normal 630 3 3 2" xfId="32070" xr:uid="{00000000-0005-0000-0000-000001B30000}"/>
    <cellStyle name="Normal 630 3 4" xfId="25376" xr:uid="{00000000-0005-0000-0000-000002B30000}"/>
    <cellStyle name="Normal 630 4" xfId="7422" xr:uid="{00000000-0005-0000-0000-000003B30000}"/>
    <cellStyle name="Normal 630 4 2" xfId="10410" xr:uid="{00000000-0005-0000-0000-000004B30000}"/>
    <cellStyle name="Normal 630 4 2 2" xfId="18203" xr:uid="{00000000-0005-0000-0000-000005B30000}"/>
    <cellStyle name="Normal 630 4 2 2 2" xfId="35840" xr:uid="{00000000-0005-0000-0000-000006B30000}"/>
    <cellStyle name="Normal 630 4 2 3" xfId="28777" xr:uid="{00000000-0005-0000-0000-000007B30000}"/>
    <cellStyle name="Normal 630 4 3" xfId="15210" xr:uid="{00000000-0005-0000-0000-000008B30000}"/>
    <cellStyle name="Normal 630 4 3 2" xfId="32845" xr:uid="{00000000-0005-0000-0000-000009B30000}"/>
    <cellStyle name="Normal 630 4 4" xfId="25914" xr:uid="{00000000-0005-0000-0000-00000AB30000}"/>
    <cellStyle name="Normal 630 5" xfId="8762" xr:uid="{00000000-0005-0000-0000-00000BB30000}"/>
    <cellStyle name="Normal 630 5 2" xfId="16558" xr:uid="{00000000-0005-0000-0000-00000CB30000}"/>
    <cellStyle name="Normal 630 5 2 2" xfId="34193" xr:uid="{00000000-0005-0000-0000-00000DB30000}"/>
    <cellStyle name="Normal 630 5 3" xfId="27163" xr:uid="{00000000-0005-0000-0000-00000EB30000}"/>
    <cellStyle name="Normal 630 6" xfId="13222" xr:uid="{00000000-0005-0000-0000-00000FB30000}"/>
    <cellStyle name="Normal 630 6 2" xfId="30867" xr:uid="{00000000-0005-0000-0000-000010B30000}"/>
    <cellStyle name="Normal 630 7" xfId="24298" xr:uid="{00000000-0005-0000-0000-000011B30000}"/>
    <cellStyle name="Normal 631" xfId="5226" xr:uid="{00000000-0005-0000-0000-000012B30000}"/>
    <cellStyle name="Normal 631 2" xfId="6017" xr:uid="{00000000-0005-0000-0000-000013B30000}"/>
    <cellStyle name="Normal 631 2 2" xfId="9317" xr:uid="{00000000-0005-0000-0000-000014B30000}"/>
    <cellStyle name="Normal 631 2 2 2" xfId="17112" xr:uid="{00000000-0005-0000-0000-000015B30000}"/>
    <cellStyle name="Normal 631 2 2 2 2" xfId="34748" xr:uid="{00000000-0005-0000-0000-000016B30000}"/>
    <cellStyle name="Normal 631 2 2 3" xfId="27705" xr:uid="{00000000-0005-0000-0000-000017B30000}"/>
    <cellStyle name="Normal 631 2 3" xfId="13873" xr:uid="{00000000-0005-0000-0000-000018B30000}"/>
    <cellStyle name="Normal 631 2 3 2" xfId="31513" xr:uid="{00000000-0005-0000-0000-000019B30000}"/>
    <cellStyle name="Normal 631 2 4" xfId="24840" xr:uid="{00000000-0005-0000-0000-00001AB30000}"/>
    <cellStyle name="Normal 631 3" xfId="6647" xr:uid="{00000000-0005-0000-0000-00001BB30000}"/>
    <cellStyle name="Normal 631 3 2" xfId="9857" xr:uid="{00000000-0005-0000-0000-00001CB30000}"/>
    <cellStyle name="Normal 631 3 2 2" xfId="17651" xr:uid="{00000000-0005-0000-0000-00001DB30000}"/>
    <cellStyle name="Normal 631 3 2 2 2" xfId="35288" xr:uid="{00000000-0005-0000-0000-00001EB30000}"/>
    <cellStyle name="Normal 631 3 2 3" xfId="28241" xr:uid="{00000000-0005-0000-0000-00001FB30000}"/>
    <cellStyle name="Normal 631 3 3" xfId="14436" xr:uid="{00000000-0005-0000-0000-000020B30000}"/>
    <cellStyle name="Normal 631 3 3 2" xfId="32071" xr:uid="{00000000-0005-0000-0000-000021B30000}"/>
    <cellStyle name="Normal 631 3 4" xfId="25377" xr:uid="{00000000-0005-0000-0000-000022B30000}"/>
    <cellStyle name="Normal 631 4" xfId="7423" xr:uid="{00000000-0005-0000-0000-000023B30000}"/>
    <cellStyle name="Normal 631 4 2" xfId="10411" xr:uid="{00000000-0005-0000-0000-000024B30000}"/>
    <cellStyle name="Normal 631 4 2 2" xfId="18204" xr:uid="{00000000-0005-0000-0000-000025B30000}"/>
    <cellStyle name="Normal 631 4 2 2 2" xfId="35841" xr:uid="{00000000-0005-0000-0000-000026B30000}"/>
    <cellStyle name="Normal 631 4 2 3" xfId="28778" xr:uid="{00000000-0005-0000-0000-000027B30000}"/>
    <cellStyle name="Normal 631 4 3" xfId="15211" xr:uid="{00000000-0005-0000-0000-000028B30000}"/>
    <cellStyle name="Normal 631 4 3 2" xfId="32846" xr:uid="{00000000-0005-0000-0000-000029B30000}"/>
    <cellStyle name="Normal 631 4 4" xfId="25915" xr:uid="{00000000-0005-0000-0000-00002AB30000}"/>
    <cellStyle name="Normal 631 5" xfId="8763" xr:uid="{00000000-0005-0000-0000-00002BB30000}"/>
    <cellStyle name="Normal 631 5 2" xfId="16559" xr:uid="{00000000-0005-0000-0000-00002CB30000}"/>
    <cellStyle name="Normal 631 5 2 2" xfId="34194" xr:uid="{00000000-0005-0000-0000-00002DB30000}"/>
    <cellStyle name="Normal 631 5 3" xfId="27164" xr:uid="{00000000-0005-0000-0000-00002EB30000}"/>
    <cellStyle name="Normal 631 6" xfId="13223" xr:uid="{00000000-0005-0000-0000-00002FB30000}"/>
    <cellStyle name="Normal 631 6 2" xfId="30868" xr:uid="{00000000-0005-0000-0000-000030B30000}"/>
    <cellStyle name="Normal 631 7" xfId="24299" xr:uid="{00000000-0005-0000-0000-000031B30000}"/>
    <cellStyle name="Normal 632" xfId="5227" xr:uid="{00000000-0005-0000-0000-000032B30000}"/>
    <cellStyle name="Normal 632 2" xfId="6018" xr:uid="{00000000-0005-0000-0000-000033B30000}"/>
    <cellStyle name="Normal 632 2 2" xfId="9318" xr:uid="{00000000-0005-0000-0000-000034B30000}"/>
    <cellStyle name="Normal 632 2 2 2" xfId="17113" xr:uid="{00000000-0005-0000-0000-000035B30000}"/>
    <cellStyle name="Normal 632 2 2 2 2" xfId="34749" xr:uid="{00000000-0005-0000-0000-000036B30000}"/>
    <cellStyle name="Normal 632 2 2 3" xfId="27706" xr:uid="{00000000-0005-0000-0000-000037B30000}"/>
    <cellStyle name="Normal 632 2 3" xfId="13874" xr:uid="{00000000-0005-0000-0000-000038B30000}"/>
    <cellStyle name="Normal 632 2 3 2" xfId="31514" xr:uid="{00000000-0005-0000-0000-000039B30000}"/>
    <cellStyle name="Normal 632 2 4" xfId="24841" xr:uid="{00000000-0005-0000-0000-00003AB30000}"/>
    <cellStyle name="Normal 632 3" xfId="6648" xr:uid="{00000000-0005-0000-0000-00003BB30000}"/>
    <cellStyle name="Normal 632 3 2" xfId="9858" xr:uid="{00000000-0005-0000-0000-00003CB30000}"/>
    <cellStyle name="Normal 632 3 2 2" xfId="17652" xr:uid="{00000000-0005-0000-0000-00003DB30000}"/>
    <cellStyle name="Normal 632 3 2 2 2" xfId="35289" xr:uid="{00000000-0005-0000-0000-00003EB30000}"/>
    <cellStyle name="Normal 632 3 2 3" xfId="28242" xr:uid="{00000000-0005-0000-0000-00003FB30000}"/>
    <cellStyle name="Normal 632 3 3" xfId="14437" xr:uid="{00000000-0005-0000-0000-000040B30000}"/>
    <cellStyle name="Normal 632 3 3 2" xfId="32072" xr:uid="{00000000-0005-0000-0000-000041B30000}"/>
    <cellStyle name="Normal 632 3 4" xfId="25378" xr:uid="{00000000-0005-0000-0000-000042B30000}"/>
    <cellStyle name="Normal 632 4" xfId="7424" xr:uid="{00000000-0005-0000-0000-000043B30000}"/>
    <cellStyle name="Normal 632 4 2" xfId="10412" xr:uid="{00000000-0005-0000-0000-000044B30000}"/>
    <cellStyle name="Normal 632 4 2 2" xfId="18205" xr:uid="{00000000-0005-0000-0000-000045B30000}"/>
    <cellStyle name="Normal 632 4 2 2 2" xfId="35842" xr:uid="{00000000-0005-0000-0000-000046B30000}"/>
    <cellStyle name="Normal 632 4 2 3" xfId="28779" xr:uid="{00000000-0005-0000-0000-000047B30000}"/>
    <cellStyle name="Normal 632 4 3" xfId="15212" xr:uid="{00000000-0005-0000-0000-000048B30000}"/>
    <cellStyle name="Normal 632 4 3 2" xfId="32847" xr:uid="{00000000-0005-0000-0000-000049B30000}"/>
    <cellStyle name="Normal 632 4 4" xfId="25916" xr:uid="{00000000-0005-0000-0000-00004AB30000}"/>
    <cellStyle name="Normal 632 5" xfId="8764" xr:uid="{00000000-0005-0000-0000-00004BB30000}"/>
    <cellStyle name="Normal 632 5 2" xfId="16560" xr:uid="{00000000-0005-0000-0000-00004CB30000}"/>
    <cellStyle name="Normal 632 5 2 2" xfId="34195" xr:uid="{00000000-0005-0000-0000-00004DB30000}"/>
    <cellStyle name="Normal 632 5 3" xfId="27165" xr:uid="{00000000-0005-0000-0000-00004EB30000}"/>
    <cellStyle name="Normal 632 6" xfId="13224" xr:uid="{00000000-0005-0000-0000-00004FB30000}"/>
    <cellStyle name="Normal 632 6 2" xfId="30869" xr:uid="{00000000-0005-0000-0000-000050B30000}"/>
    <cellStyle name="Normal 632 7" xfId="24300" xr:uid="{00000000-0005-0000-0000-000051B30000}"/>
    <cellStyle name="Normal 633" xfId="5228" xr:uid="{00000000-0005-0000-0000-000052B30000}"/>
    <cellStyle name="Normal 633 2" xfId="6019" xr:uid="{00000000-0005-0000-0000-000053B30000}"/>
    <cellStyle name="Normal 633 2 2" xfId="9319" xr:uid="{00000000-0005-0000-0000-000054B30000}"/>
    <cellStyle name="Normal 633 2 2 2" xfId="17114" xr:uid="{00000000-0005-0000-0000-000055B30000}"/>
    <cellStyle name="Normal 633 2 2 2 2" xfId="34750" xr:uid="{00000000-0005-0000-0000-000056B30000}"/>
    <cellStyle name="Normal 633 2 2 3" xfId="27707" xr:uid="{00000000-0005-0000-0000-000057B30000}"/>
    <cellStyle name="Normal 633 2 3" xfId="13875" xr:uid="{00000000-0005-0000-0000-000058B30000}"/>
    <cellStyle name="Normal 633 2 3 2" xfId="31515" xr:uid="{00000000-0005-0000-0000-000059B30000}"/>
    <cellStyle name="Normal 633 2 4" xfId="24842" xr:uid="{00000000-0005-0000-0000-00005AB30000}"/>
    <cellStyle name="Normal 633 3" xfId="6649" xr:uid="{00000000-0005-0000-0000-00005BB30000}"/>
    <cellStyle name="Normal 633 3 2" xfId="9859" xr:uid="{00000000-0005-0000-0000-00005CB30000}"/>
    <cellStyle name="Normal 633 3 2 2" xfId="17653" xr:uid="{00000000-0005-0000-0000-00005DB30000}"/>
    <cellStyle name="Normal 633 3 2 2 2" xfId="35290" xr:uid="{00000000-0005-0000-0000-00005EB30000}"/>
    <cellStyle name="Normal 633 3 2 3" xfId="28243" xr:uid="{00000000-0005-0000-0000-00005FB30000}"/>
    <cellStyle name="Normal 633 3 3" xfId="14438" xr:uid="{00000000-0005-0000-0000-000060B30000}"/>
    <cellStyle name="Normal 633 3 3 2" xfId="32073" xr:uid="{00000000-0005-0000-0000-000061B30000}"/>
    <cellStyle name="Normal 633 3 4" xfId="25379" xr:uid="{00000000-0005-0000-0000-000062B30000}"/>
    <cellStyle name="Normal 633 4" xfId="7425" xr:uid="{00000000-0005-0000-0000-000063B30000}"/>
    <cellStyle name="Normal 633 4 2" xfId="10413" xr:uid="{00000000-0005-0000-0000-000064B30000}"/>
    <cellStyle name="Normal 633 4 2 2" xfId="18206" xr:uid="{00000000-0005-0000-0000-000065B30000}"/>
    <cellStyle name="Normal 633 4 2 2 2" xfId="35843" xr:uid="{00000000-0005-0000-0000-000066B30000}"/>
    <cellStyle name="Normal 633 4 2 3" xfId="28780" xr:uid="{00000000-0005-0000-0000-000067B30000}"/>
    <cellStyle name="Normal 633 4 3" xfId="15213" xr:uid="{00000000-0005-0000-0000-000068B30000}"/>
    <cellStyle name="Normal 633 4 3 2" xfId="32848" xr:uid="{00000000-0005-0000-0000-000069B30000}"/>
    <cellStyle name="Normal 633 4 4" xfId="25917" xr:uid="{00000000-0005-0000-0000-00006AB30000}"/>
    <cellStyle name="Normal 633 5" xfId="8765" xr:uid="{00000000-0005-0000-0000-00006BB30000}"/>
    <cellStyle name="Normal 633 5 2" xfId="16561" xr:uid="{00000000-0005-0000-0000-00006CB30000}"/>
    <cellStyle name="Normal 633 5 2 2" xfId="34196" xr:uid="{00000000-0005-0000-0000-00006DB30000}"/>
    <cellStyle name="Normal 633 5 3" xfId="27166" xr:uid="{00000000-0005-0000-0000-00006EB30000}"/>
    <cellStyle name="Normal 633 6" xfId="13225" xr:uid="{00000000-0005-0000-0000-00006FB30000}"/>
    <cellStyle name="Normal 633 6 2" xfId="30870" xr:uid="{00000000-0005-0000-0000-000070B30000}"/>
    <cellStyle name="Normal 633 7" xfId="24301" xr:uid="{00000000-0005-0000-0000-000071B30000}"/>
    <cellStyle name="Normal 634" xfId="5229" xr:uid="{00000000-0005-0000-0000-000072B30000}"/>
    <cellStyle name="Normal 634 2" xfId="6020" xr:uid="{00000000-0005-0000-0000-000073B30000}"/>
    <cellStyle name="Normal 634 2 2" xfId="9320" xr:uid="{00000000-0005-0000-0000-000074B30000}"/>
    <cellStyle name="Normal 634 2 2 2" xfId="17115" xr:uid="{00000000-0005-0000-0000-000075B30000}"/>
    <cellStyle name="Normal 634 2 2 2 2" xfId="34751" xr:uid="{00000000-0005-0000-0000-000076B30000}"/>
    <cellStyle name="Normal 634 2 2 3" xfId="27708" xr:uid="{00000000-0005-0000-0000-000077B30000}"/>
    <cellStyle name="Normal 634 2 3" xfId="13876" xr:uid="{00000000-0005-0000-0000-000078B30000}"/>
    <cellStyle name="Normal 634 2 3 2" xfId="31516" xr:uid="{00000000-0005-0000-0000-000079B30000}"/>
    <cellStyle name="Normal 634 2 4" xfId="24843" xr:uid="{00000000-0005-0000-0000-00007AB30000}"/>
    <cellStyle name="Normal 634 3" xfId="6650" xr:uid="{00000000-0005-0000-0000-00007BB30000}"/>
    <cellStyle name="Normal 634 3 2" xfId="9860" xr:uid="{00000000-0005-0000-0000-00007CB30000}"/>
    <cellStyle name="Normal 634 3 2 2" xfId="17654" xr:uid="{00000000-0005-0000-0000-00007DB30000}"/>
    <cellStyle name="Normal 634 3 2 2 2" xfId="35291" xr:uid="{00000000-0005-0000-0000-00007EB30000}"/>
    <cellStyle name="Normal 634 3 2 3" xfId="28244" xr:uid="{00000000-0005-0000-0000-00007FB30000}"/>
    <cellStyle name="Normal 634 3 3" xfId="14439" xr:uid="{00000000-0005-0000-0000-000080B30000}"/>
    <cellStyle name="Normal 634 3 3 2" xfId="32074" xr:uid="{00000000-0005-0000-0000-000081B30000}"/>
    <cellStyle name="Normal 634 3 4" xfId="25380" xr:uid="{00000000-0005-0000-0000-000082B30000}"/>
    <cellStyle name="Normal 634 4" xfId="7426" xr:uid="{00000000-0005-0000-0000-000083B30000}"/>
    <cellStyle name="Normal 634 4 2" xfId="10414" xr:uid="{00000000-0005-0000-0000-000084B30000}"/>
    <cellStyle name="Normal 634 4 2 2" xfId="18207" xr:uid="{00000000-0005-0000-0000-000085B30000}"/>
    <cellStyle name="Normal 634 4 2 2 2" xfId="35844" xr:uid="{00000000-0005-0000-0000-000086B30000}"/>
    <cellStyle name="Normal 634 4 2 3" xfId="28781" xr:uid="{00000000-0005-0000-0000-000087B30000}"/>
    <cellStyle name="Normal 634 4 3" xfId="15214" xr:uid="{00000000-0005-0000-0000-000088B30000}"/>
    <cellStyle name="Normal 634 4 3 2" xfId="32849" xr:uid="{00000000-0005-0000-0000-000089B30000}"/>
    <cellStyle name="Normal 634 4 4" xfId="25918" xr:uid="{00000000-0005-0000-0000-00008AB30000}"/>
    <cellStyle name="Normal 634 5" xfId="8766" xr:uid="{00000000-0005-0000-0000-00008BB30000}"/>
    <cellStyle name="Normal 634 5 2" xfId="16562" xr:uid="{00000000-0005-0000-0000-00008CB30000}"/>
    <cellStyle name="Normal 634 5 2 2" xfId="34197" xr:uid="{00000000-0005-0000-0000-00008DB30000}"/>
    <cellStyle name="Normal 634 5 3" xfId="27167" xr:uid="{00000000-0005-0000-0000-00008EB30000}"/>
    <cellStyle name="Normal 634 6" xfId="13226" xr:uid="{00000000-0005-0000-0000-00008FB30000}"/>
    <cellStyle name="Normal 634 6 2" xfId="30871" xr:uid="{00000000-0005-0000-0000-000090B30000}"/>
    <cellStyle name="Normal 634 7" xfId="24302" xr:uid="{00000000-0005-0000-0000-000091B30000}"/>
    <cellStyle name="Normal 635" xfId="5230" xr:uid="{00000000-0005-0000-0000-000092B30000}"/>
    <cellStyle name="Normal 635 2" xfId="6021" xr:uid="{00000000-0005-0000-0000-000093B30000}"/>
    <cellStyle name="Normal 635 2 2" xfId="9321" xr:uid="{00000000-0005-0000-0000-000094B30000}"/>
    <cellStyle name="Normal 635 2 2 2" xfId="17116" xr:uid="{00000000-0005-0000-0000-000095B30000}"/>
    <cellStyle name="Normal 635 2 2 2 2" xfId="34752" xr:uid="{00000000-0005-0000-0000-000096B30000}"/>
    <cellStyle name="Normal 635 2 2 3" xfId="27709" xr:uid="{00000000-0005-0000-0000-000097B30000}"/>
    <cellStyle name="Normal 635 2 3" xfId="13877" xr:uid="{00000000-0005-0000-0000-000098B30000}"/>
    <cellStyle name="Normal 635 2 3 2" xfId="31517" xr:uid="{00000000-0005-0000-0000-000099B30000}"/>
    <cellStyle name="Normal 635 2 4" xfId="24844" xr:uid="{00000000-0005-0000-0000-00009AB30000}"/>
    <cellStyle name="Normal 635 3" xfId="6651" xr:uid="{00000000-0005-0000-0000-00009BB30000}"/>
    <cellStyle name="Normal 635 3 2" xfId="9861" xr:uid="{00000000-0005-0000-0000-00009CB30000}"/>
    <cellStyle name="Normal 635 3 2 2" xfId="17655" xr:uid="{00000000-0005-0000-0000-00009DB30000}"/>
    <cellStyle name="Normal 635 3 2 2 2" xfId="35292" xr:uid="{00000000-0005-0000-0000-00009EB30000}"/>
    <cellStyle name="Normal 635 3 2 3" xfId="28245" xr:uid="{00000000-0005-0000-0000-00009FB30000}"/>
    <cellStyle name="Normal 635 3 3" xfId="14440" xr:uid="{00000000-0005-0000-0000-0000A0B30000}"/>
    <cellStyle name="Normal 635 3 3 2" xfId="32075" xr:uid="{00000000-0005-0000-0000-0000A1B30000}"/>
    <cellStyle name="Normal 635 3 4" xfId="25381" xr:uid="{00000000-0005-0000-0000-0000A2B30000}"/>
    <cellStyle name="Normal 635 4" xfId="7427" xr:uid="{00000000-0005-0000-0000-0000A3B30000}"/>
    <cellStyle name="Normal 635 4 2" xfId="10415" xr:uid="{00000000-0005-0000-0000-0000A4B30000}"/>
    <cellStyle name="Normal 635 4 2 2" xfId="18208" xr:uid="{00000000-0005-0000-0000-0000A5B30000}"/>
    <cellStyle name="Normal 635 4 2 2 2" xfId="35845" xr:uid="{00000000-0005-0000-0000-0000A6B30000}"/>
    <cellStyle name="Normal 635 4 2 3" xfId="28782" xr:uid="{00000000-0005-0000-0000-0000A7B30000}"/>
    <cellStyle name="Normal 635 4 3" xfId="15215" xr:uid="{00000000-0005-0000-0000-0000A8B30000}"/>
    <cellStyle name="Normal 635 4 3 2" xfId="32850" xr:uid="{00000000-0005-0000-0000-0000A9B30000}"/>
    <cellStyle name="Normal 635 4 4" xfId="25919" xr:uid="{00000000-0005-0000-0000-0000AAB30000}"/>
    <cellStyle name="Normal 635 5" xfId="8767" xr:uid="{00000000-0005-0000-0000-0000ABB30000}"/>
    <cellStyle name="Normal 635 5 2" xfId="16563" xr:uid="{00000000-0005-0000-0000-0000ACB30000}"/>
    <cellStyle name="Normal 635 5 2 2" xfId="34198" xr:uid="{00000000-0005-0000-0000-0000ADB30000}"/>
    <cellStyle name="Normal 635 5 3" xfId="27168" xr:uid="{00000000-0005-0000-0000-0000AEB30000}"/>
    <cellStyle name="Normal 635 6" xfId="13227" xr:uid="{00000000-0005-0000-0000-0000AFB30000}"/>
    <cellStyle name="Normal 635 6 2" xfId="30872" xr:uid="{00000000-0005-0000-0000-0000B0B30000}"/>
    <cellStyle name="Normal 635 7" xfId="24303" xr:uid="{00000000-0005-0000-0000-0000B1B30000}"/>
    <cellStyle name="Normal 636" xfId="5231" xr:uid="{00000000-0005-0000-0000-0000B2B30000}"/>
    <cellStyle name="Normal 636 2" xfId="6022" xr:uid="{00000000-0005-0000-0000-0000B3B30000}"/>
    <cellStyle name="Normal 636 2 2" xfId="9322" xr:uid="{00000000-0005-0000-0000-0000B4B30000}"/>
    <cellStyle name="Normal 636 2 2 2" xfId="17117" xr:uid="{00000000-0005-0000-0000-0000B5B30000}"/>
    <cellStyle name="Normal 636 2 2 2 2" xfId="34753" xr:uid="{00000000-0005-0000-0000-0000B6B30000}"/>
    <cellStyle name="Normal 636 2 2 3" xfId="27710" xr:uid="{00000000-0005-0000-0000-0000B7B30000}"/>
    <cellStyle name="Normal 636 2 3" xfId="13878" xr:uid="{00000000-0005-0000-0000-0000B8B30000}"/>
    <cellStyle name="Normal 636 2 3 2" xfId="31518" xr:uid="{00000000-0005-0000-0000-0000B9B30000}"/>
    <cellStyle name="Normal 636 2 4" xfId="24845" xr:uid="{00000000-0005-0000-0000-0000BAB30000}"/>
    <cellStyle name="Normal 636 3" xfId="6652" xr:uid="{00000000-0005-0000-0000-0000BBB30000}"/>
    <cellStyle name="Normal 636 3 2" xfId="9862" xr:uid="{00000000-0005-0000-0000-0000BCB30000}"/>
    <cellStyle name="Normal 636 3 2 2" xfId="17656" xr:uid="{00000000-0005-0000-0000-0000BDB30000}"/>
    <cellStyle name="Normal 636 3 2 2 2" xfId="35293" xr:uid="{00000000-0005-0000-0000-0000BEB30000}"/>
    <cellStyle name="Normal 636 3 2 3" xfId="28246" xr:uid="{00000000-0005-0000-0000-0000BFB30000}"/>
    <cellStyle name="Normal 636 3 3" xfId="14441" xr:uid="{00000000-0005-0000-0000-0000C0B30000}"/>
    <cellStyle name="Normal 636 3 3 2" xfId="32076" xr:uid="{00000000-0005-0000-0000-0000C1B30000}"/>
    <cellStyle name="Normal 636 3 4" xfId="25382" xr:uid="{00000000-0005-0000-0000-0000C2B30000}"/>
    <cellStyle name="Normal 636 4" xfId="7428" xr:uid="{00000000-0005-0000-0000-0000C3B30000}"/>
    <cellStyle name="Normal 636 4 2" xfId="10416" xr:uid="{00000000-0005-0000-0000-0000C4B30000}"/>
    <cellStyle name="Normal 636 4 2 2" xfId="18209" xr:uid="{00000000-0005-0000-0000-0000C5B30000}"/>
    <cellStyle name="Normal 636 4 2 2 2" xfId="35846" xr:uid="{00000000-0005-0000-0000-0000C6B30000}"/>
    <cellStyle name="Normal 636 4 2 3" xfId="28783" xr:uid="{00000000-0005-0000-0000-0000C7B30000}"/>
    <cellStyle name="Normal 636 4 3" xfId="15216" xr:uid="{00000000-0005-0000-0000-0000C8B30000}"/>
    <cellStyle name="Normal 636 4 3 2" xfId="32851" xr:uid="{00000000-0005-0000-0000-0000C9B30000}"/>
    <cellStyle name="Normal 636 4 4" xfId="25920" xr:uid="{00000000-0005-0000-0000-0000CAB30000}"/>
    <cellStyle name="Normal 636 5" xfId="8768" xr:uid="{00000000-0005-0000-0000-0000CBB30000}"/>
    <cellStyle name="Normal 636 5 2" xfId="16564" xr:uid="{00000000-0005-0000-0000-0000CCB30000}"/>
    <cellStyle name="Normal 636 5 2 2" xfId="34199" xr:uid="{00000000-0005-0000-0000-0000CDB30000}"/>
    <cellStyle name="Normal 636 5 3" xfId="27169" xr:uid="{00000000-0005-0000-0000-0000CEB30000}"/>
    <cellStyle name="Normal 636 6" xfId="13228" xr:uid="{00000000-0005-0000-0000-0000CFB30000}"/>
    <cellStyle name="Normal 636 6 2" xfId="30873" xr:uid="{00000000-0005-0000-0000-0000D0B30000}"/>
    <cellStyle name="Normal 636 7" xfId="24304" xr:uid="{00000000-0005-0000-0000-0000D1B30000}"/>
    <cellStyle name="Normal 637" xfId="5232" xr:uid="{00000000-0005-0000-0000-0000D2B30000}"/>
    <cellStyle name="Normal 637 2" xfId="6023" xr:uid="{00000000-0005-0000-0000-0000D3B30000}"/>
    <cellStyle name="Normal 637 2 2" xfId="9323" xr:uid="{00000000-0005-0000-0000-0000D4B30000}"/>
    <cellStyle name="Normal 637 2 2 2" xfId="17118" xr:uid="{00000000-0005-0000-0000-0000D5B30000}"/>
    <cellStyle name="Normal 637 2 2 2 2" xfId="34754" xr:uid="{00000000-0005-0000-0000-0000D6B30000}"/>
    <cellStyle name="Normal 637 2 2 3" xfId="27711" xr:uid="{00000000-0005-0000-0000-0000D7B30000}"/>
    <cellStyle name="Normal 637 2 3" xfId="13879" xr:uid="{00000000-0005-0000-0000-0000D8B30000}"/>
    <cellStyle name="Normal 637 2 3 2" xfId="31519" xr:uid="{00000000-0005-0000-0000-0000D9B30000}"/>
    <cellStyle name="Normal 637 2 4" xfId="24846" xr:uid="{00000000-0005-0000-0000-0000DAB30000}"/>
    <cellStyle name="Normal 637 3" xfId="6653" xr:uid="{00000000-0005-0000-0000-0000DBB30000}"/>
    <cellStyle name="Normal 637 3 2" xfId="9863" xr:uid="{00000000-0005-0000-0000-0000DCB30000}"/>
    <cellStyle name="Normal 637 3 2 2" xfId="17657" xr:uid="{00000000-0005-0000-0000-0000DDB30000}"/>
    <cellStyle name="Normal 637 3 2 2 2" xfId="35294" xr:uid="{00000000-0005-0000-0000-0000DEB30000}"/>
    <cellStyle name="Normal 637 3 2 3" xfId="28247" xr:uid="{00000000-0005-0000-0000-0000DFB30000}"/>
    <cellStyle name="Normal 637 3 3" xfId="14442" xr:uid="{00000000-0005-0000-0000-0000E0B30000}"/>
    <cellStyle name="Normal 637 3 3 2" xfId="32077" xr:uid="{00000000-0005-0000-0000-0000E1B30000}"/>
    <cellStyle name="Normal 637 3 4" xfId="25383" xr:uid="{00000000-0005-0000-0000-0000E2B30000}"/>
    <cellStyle name="Normal 637 4" xfId="7429" xr:uid="{00000000-0005-0000-0000-0000E3B30000}"/>
    <cellStyle name="Normal 637 4 2" xfId="10417" xr:uid="{00000000-0005-0000-0000-0000E4B30000}"/>
    <cellStyle name="Normal 637 4 2 2" xfId="18210" xr:uid="{00000000-0005-0000-0000-0000E5B30000}"/>
    <cellStyle name="Normal 637 4 2 2 2" xfId="35847" xr:uid="{00000000-0005-0000-0000-0000E6B30000}"/>
    <cellStyle name="Normal 637 4 2 3" xfId="28784" xr:uid="{00000000-0005-0000-0000-0000E7B30000}"/>
    <cellStyle name="Normal 637 4 3" xfId="15217" xr:uid="{00000000-0005-0000-0000-0000E8B30000}"/>
    <cellStyle name="Normal 637 4 3 2" xfId="32852" xr:uid="{00000000-0005-0000-0000-0000E9B30000}"/>
    <cellStyle name="Normal 637 4 4" xfId="25921" xr:uid="{00000000-0005-0000-0000-0000EAB30000}"/>
    <cellStyle name="Normal 637 5" xfId="8769" xr:uid="{00000000-0005-0000-0000-0000EBB30000}"/>
    <cellStyle name="Normal 637 5 2" xfId="16565" xr:uid="{00000000-0005-0000-0000-0000ECB30000}"/>
    <cellStyle name="Normal 637 5 2 2" xfId="34200" xr:uid="{00000000-0005-0000-0000-0000EDB30000}"/>
    <cellStyle name="Normal 637 5 3" xfId="27170" xr:uid="{00000000-0005-0000-0000-0000EEB30000}"/>
    <cellStyle name="Normal 637 6" xfId="13229" xr:uid="{00000000-0005-0000-0000-0000EFB30000}"/>
    <cellStyle name="Normal 637 6 2" xfId="30874" xr:uid="{00000000-0005-0000-0000-0000F0B30000}"/>
    <cellStyle name="Normal 637 7" xfId="24305" xr:uid="{00000000-0005-0000-0000-0000F1B30000}"/>
    <cellStyle name="Normal 638" xfId="5233" xr:uid="{00000000-0005-0000-0000-0000F2B30000}"/>
    <cellStyle name="Normal 638 2" xfId="6024" xr:uid="{00000000-0005-0000-0000-0000F3B30000}"/>
    <cellStyle name="Normal 638 2 2" xfId="9324" xr:uid="{00000000-0005-0000-0000-0000F4B30000}"/>
    <cellStyle name="Normal 638 2 2 2" xfId="17119" xr:uid="{00000000-0005-0000-0000-0000F5B30000}"/>
    <cellStyle name="Normal 638 2 2 2 2" xfId="34755" xr:uid="{00000000-0005-0000-0000-0000F6B30000}"/>
    <cellStyle name="Normal 638 2 2 3" xfId="27712" xr:uid="{00000000-0005-0000-0000-0000F7B30000}"/>
    <cellStyle name="Normal 638 2 3" xfId="13880" xr:uid="{00000000-0005-0000-0000-0000F8B30000}"/>
    <cellStyle name="Normal 638 2 3 2" xfId="31520" xr:uid="{00000000-0005-0000-0000-0000F9B30000}"/>
    <cellStyle name="Normal 638 2 4" xfId="24847" xr:uid="{00000000-0005-0000-0000-0000FAB30000}"/>
    <cellStyle name="Normal 638 3" xfId="6654" xr:uid="{00000000-0005-0000-0000-0000FBB30000}"/>
    <cellStyle name="Normal 638 3 2" xfId="9864" xr:uid="{00000000-0005-0000-0000-0000FCB30000}"/>
    <cellStyle name="Normal 638 3 2 2" xfId="17658" xr:uid="{00000000-0005-0000-0000-0000FDB30000}"/>
    <cellStyle name="Normal 638 3 2 2 2" xfId="35295" xr:uid="{00000000-0005-0000-0000-0000FEB30000}"/>
    <cellStyle name="Normal 638 3 2 3" xfId="28248" xr:uid="{00000000-0005-0000-0000-0000FFB30000}"/>
    <cellStyle name="Normal 638 3 3" xfId="14443" xr:uid="{00000000-0005-0000-0000-000000B40000}"/>
    <cellStyle name="Normal 638 3 3 2" xfId="32078" xr:uid="{00000000-0005-0000-0000-000001B40000}"/>
    <cellStyle name="Normal 638 3 4" xfId="25384" xr:uid="{00000000-0005-0000-0000-000002B40000}"/>
    <cellStyle name="Normal 638 4" xfId="7430" xr:uid="{00000000-0005-0000-0000-000003B40000}"/>
    <cellStyle name="Normal 638 4 2" xfId="10418" xr:uid="{00000000-0005-0000-0000-000004B40000}"/>
    <cellStyle name="Normal 638 4 2 2" xfId="18211" xr:uid="{00000000-0005-0000-0000-000005B40000}"/>
    <cellStyle name="Normal 638 4 2 2 2" xfId="35848" xr:uid="{00000000-0005-0000-0000-000006B40000}"/>
    <cellStyle name="Normal 638 4 2 3" xfId="28785" xr:uid="{00000000-0005-0000-0000-000007B40000}"/>
    <cellStyle name="Normal 638 4 3" xfId="15218" xr:uid="{00000000-0005-0000-0000-000008B40000}"/>
    <cellStyle name="Normal 638 4 3 2" xfId="32853" xr:uid="{00000000-0005-0000-0000-000009B40000}"/>
    <cellStyle name="Normal 638 4 4" xfId="25922" xr:uid="{00000000-0005-0000-0000-00000AB40000}"/>
    <cellStyle name="Normal 638 5" xfId="8770" xr:uid="{00000000-0005-0000-0000-00000BB40000}"/>
    <cellStyle name="Normal 638 5 2" xfId="16566" xr:uid="{00000000-0005-0000-0000-00000CB40000}"/>
    <cellStyle name="Normal 638 5 2 2" xfId="34201" xr:uid="{00000000-0005-0000-0000-00000DB40000}"/>
    <cellStyle name="Normal 638 5 3" xfId="27171" xr:uid="{00000000-0005-0000-0000-00000EB40000}"/>
    <cellStyle name="Normal 638 6" xfId="13230" xr:uid="{00000000-0005-0000-0000-00000FB40000}"/>
    <cellStyle name="Normal 638 6 2" xfId="30875" xr:uid="{00000000-0005-0000-0000-000010B40000}"/>
    <cellStyle name="Normal 638 7" xfId="24306" xr:uid="{00000000-0005-0000-0000-000011B40000}"/>
    <cellStyle name="Normal 639" xfId="5234" xr:uid="{00000000-0005-0000-0000-000012B40000}"/>
    <cellStyle name="Normal 639 2" xfId="6025" xr:uid="{00000000-0005-0000-0000-000013B40000}"/>
    <cellStyle name="Normal 639 2 2" xfId="9325" xr:uid="{00000000-0005-0000-0000-000014B40000}"/>
    <cellStyle name="Normal 639 2 2 2" xfId="17120" xr:uid="{00000000-0005-0000-0000-000015B40000}"/>
    <cellStyle name="Normal 639 2 2 2 2" xfId="34756" xr:uid="{00000000-0005-0000-0000-000016B40000}"/>
    <cellStyle name="Normal 639 2 2 3" xfId="27713" xr:uid="{00000000-0005-0000-0000-000017B40000}"/>
    <cellStyle name="Normal 639 2 3" xfId="13881" xr:uid="{00000000-0005-0000-0000-000018B40000}"/>
    <cellStyle name="Normal 639 2 3 2" xfId="31521" xr:uid="{00000000-0005-0000-0000-000019B40000}"/>
    <cellStyle name="Normal 639 2 4" xfId="24848" xr:uid="{00000000-0005-0000-0000-00001AB40000}"/>
    <cellStyle name="Normal 639 3" xfId="6655" xr:uid="{00000000-0005-0000-0000-00001BB40000}"/>
    <cellStyle name="Normal 639 3 2" xfId="9865" xr:uid="{00000000-0005-0000-0000-00001CB40000}"/>
    <cellStyle name="Normal 639 3 2 2" xfId="17659" xr:uid="{00000000-0005-0000-0000-00001DB40000}"/>
    <cellStyle name="Normal 639 3 2 2 2" xfId="35296" xr:uid="{00000000-0005-0000-0000-00001EB40000}"/>
    <cellStyle name="Normal 639 3 2 3" xfId="28249" xr:uid="{00000000-0005-0000-0000-00001FB40000}"/>
    <cellStyle name="Normal 639 3 3" xfId="14444" xr:uid="{00000000-0005-0000-0000-000020B40000}"/>
    <cellStyle name="Normal 639 3 3 2" xfId="32079" xr:uid="{00000000-0005-0000-0000-000021B40000}"/>
    <cellStyle name="Normal 639 3 4" xfId="25385" xr:uid="{00000000-0005-0000-0000-000022B40000}"/>
    <cellStyle name="Normal 639 4" xfId="7431" xr:uid="{00000000-0005-0000-0000-000023B40000}"/>
    <cellStyle name="Normal 639 4 2" xfId="10419" xr:uid="{00000000-0005-0000-0000-000024B40000}"/>
    <cellStyle name="Normal 639 4 2 2" xfId="18212" xr:uid="{00000000-0005-0000-0000-000025B40000}"/>
    <cellStyle name="Normal 639 4 2 2 2" xfId="35849" xr:uid="{00000000-0005-0000-0000-000026B40000}"/>
    <cellStyle name="Normal 639 4 2 3" xfId="28786" xr:uid="{00000000-0005-0000-0000-000027B40000}"/>
    <cellStyle name="Normal 639 4 3" xfId="15219" xr:uid="{00000000-0005-0000-0000-000028B40000}"/>
    <cellStyle name="Normal 639 4 3 2" xfId="32854" xr:uid="{00000000-0005-0000-0000-000029B40000}"/>
    <cellStyle name="Normal 639 4 4" xfId="25923" xr:uid="{00000000-0005-0000-0000-00002AB40000}"/>
    <cellStyle name="Normal 639 5" xfId="8771" xr:uid="{00000000-0005-0000-0000-00002BB40000}"/>
    <cellStyle name="Normal 639 5 2" xfId="16567" xr:uid="{00000000-0005-0000-0000-00002CB40000}"/>
    <cellStyle name="Normal 639 5 2 2" xfId="34202" xr:uid="{00000000-0005-0000-0000-00002DB40000}"/>
    <cellStyle name="Normal 639 5 3" xfId="27172" xr:uid="{00000000-0005-0000-0000-00002EB40000}"/>
    <cellStyle name="Normal 639 6" xfId="13231" xr:uid="{00000000-0005-0000-0000-00002FB40000}"/>
    <cellStyle name="Normal 639 6 2" xfId="30876" xr:uid="{00000000-0005-0000-0000-000030B40000}"/>
    <cellStyle name="Normal 639 7" xfId="24307" xr:uid="{00000000-0005-0000-0000-000031B40000}"/>
    <cellStyle name="Normal 64" xfId="3004" xr:uid="{00000000-0005-0000-0000-000032B40000}"/>
    <cellStyle name="Normal 64 2" xfId="3005" xr:uid="{00000000-0005-0000-0000-000033B40000}"/>
    <cellStyle name="Normal 64 2 10" xfId="52615" xr:uid="{00000000-0005-0000-0000-000034B40000}"/>
    <cellStyle name="Normal 64 2 2" xfId="5235" xr:uid="{00000000-0005-0000-0000-000035B40000}"/>
    <cellStyle name="Normal 64 2 2 2" xfId="8772" xr:uid="{00000000-0005-0000-0000-000036B40000}"/>
    <cellStyle name="Normal 64 2 2 2 2" xfId="16568" xr:uid="{00000000-0005-0000-0000-000037B40000}"/>
    <cellStyle name="Normal 64 2 2 2 2 2" xfId="34203" xr:uid="{00000000-0005-0000-0000-000038B40000}"/>
    <cellStyle name="Normal 64 2 2 2 3" xfId="27173" xr:uid="{00000000-0005-0000-0000-000039B40000}"/>
    <cellStyle name="Normal 64 2 2 3" xfId="13232" xr:uid="{00000000-0005-0000-0000-00003AB40000}"/>
    <cellStyle name="Normal 64 2 2 3 2" xfId="30877" xr:uid="{00000000-0005-0000-0000-00003BB40000}"/>
    <cellStyle name="Normal 64 2 2 4" xfId="24308" xr:uid="{00000000-0005-0000-0000-00003CB40000}"/>
    <cellStyle name="Normal 64 2 3" xfId="6026" xr:uid="{00000000-0005-0000-0000-00003DB40000}"/>
    <cellStyle name="Normal 64 2 3 2" xfId="9326" xr:uid="{00000000-0005-0000-0000-00003EB40000}"/>
    <cellStyle name="Normal 64 2 3 2 2" xfId="17121" xr:uid="{00000000-0005-0000-0000-00003FB40000}"/>
    <cellStyle name="Normal 64 2 3 2 2 2" xfId="34757" xr:uid="{00000000-0005-0000-0000-000040B40000}"/>
    <cellStyle name="Normal 64 2 3 2 3" xfId="27714" xr:uid="{00000000-0005-0000-0000-000041B40000}"/>
    <cellStyle name="Normal 64 2 3 3" xfId="13882" xr:uid="{00000000-0005-0000-0000-000042B40000}"/>
    <cellStyle name="Normal 64 2 3 3 2" xfId="31522" xr:uid="{00000000-0005-0000-0000-000043B40000}"/>
    <cellStyle name="Normal 64 2 3 4" xfId="24849" xr:uid="{00000000-0005-0000-0000-000044B40000}"/>
    <cellStyle name="Normal 64 2 4" xfId="6656" xr:uid="{00000000-0005-0000-0000-000045B40000}"/>
    <cellStyle name="Normal 64 2 4 2" xfId="9866" xr:uid="{00000000-0005-0000-0000-000046B40000}"/>
    <cellStyle name="Normal 64 2 4 2 2" xfId="17660" xr:uid="{00000000-0005-0000-0000-000047B40000}"/>
    <cellStyle name="Normal 64 2 4 2 2 2" xfId="35297" xr:uid="{00000000-0005-0000-0000-000048B40000}"/>
    <cellStyle name="Normal 64 2 4 2 3" xfId="28250" xr:uid="{00000000-0005-0000-0000-000049B40000}"/>
    <cellStyle name="Normal 64 2 4 3" xfId="14445" xr:uid="{00000000-0005-0000-0000-00004AB40000}"/>
    <cellStyle name="Normal 64 2 4 3 2" xfId="32080" xr:uid="{00000000-0005-0000-0000-00004BB40000}"/>
    <cellStyle name="Normal 64 2 4 4" xfId="25386" xr:uid="{00000000-0005-0000-0000-00004CB40000}"/>
    <cellStyle name="Normal 64 2 5" xfId="7432" xr:uid="{00000000-0005-0000-0000-00004DB40000}"/>
    <cellStyle name="Normal 64 2 5 2" xfId="10420" xr:uid="{00000000-0005-0000-0000-00004EB40000}"/>
    <cellStyle name="Normal 64 2 5 2 2" xfId="18213" xr:uid="{00000000-0005-0000-0000-00004FB40000}"/>
    <cellStyle name="Normal 64 2 5 2 2 2" xfId="35850" xr:uid="{00000000-0005-0000-0000-000050B40000}"/>
    <cellStyle name="Normal 64 2 5 2 3" xfId="28787" xr:uid="{00000000-0005-0000-0000-000051B40000}"/>
    <cellStyle name="Normal 64 2 5 3" xfId="15220" xr:uid="{00000000-0005-0000-0000-000052B40000}"/>
    <cellStyle name="Normal 64 2 5 3 2" xfId="32855" xr:uid="{00000000-0005-0000-0000-000053B40000}"/>
    <cellStyle name="Normal 64 2 5 4" xfId="25924" xr:uid="{00000000-0005-0000-0000-000054B40000}"/>
    <cellStyle name="Normal 64 2 6" xfId="8060" xr:uid="{00000000-0005-0000-0000-000055B40000}"/>
    <cellStyle name="Normal 64 2 6 2" xfId="15857" xr:uid="{00000000-0005-0000-0000-000056B40000}"/>
    <cellStyle name="Normal 64 2 6 2 2" xfId="33492" xr:uid="{00000000-0005-0000-0000-000057B40000}"/>
    <cellStyle name="Normal 64 2 6 3" xfId="26476" xr:uid="{00000000-0005-0000-0000-000058B40000}"/>
    <cellStyle name="Normal 64 2 7" xfId="12034" xr:uid="{00000000-0005-0000-0000-000059B40000}"/>
    <cellStyle name="Normal 64 2 7 2" xfId="29713" xr:uid="{00000000-0005-0000-0000-00005AB40000}"/>
    <cellStyle name="Normal 64 2 8" xfId="21994" xr:uid="{00000000-0005-0000-0000-00005BB40000}"/>
    <cellStyle name="Normal 64 2 8 2" xfId="38738" xr:uid="{00000000-0005-0000-0000-00005CB40000}"/>
    <cellStyle name="Normal 64 2 9" xfId="23611" xr:uid="{00000000-0005-0000-0000-00005DB40000}"/>
    <cellStyle name="Normal 64 3" xfId="3006" xr:uid="{00000000-0005-0000-0000-00005EB40000}"/>
    <cellStyle name="Normal 64 3 2" xfId="3007" xr:uid="{00000000-0005-0000-0000-00005FB40000}"/>
    <cellStyle name="Normal 64 3_Sheet1" xfId="3008" xr:uid="{00000000-0005-0000-0000-000060B40000}"/>
    <cellStyle name="Normal 64 4" xfId="3009" xr:uid="{00000000-0005-0000-0000-000061B40000}"/>
    <cellStyle name="Normal 64 5" xfId="23007" xr:uid="{00000000-0005-0000-0000-000062B40000}"/>
    <cellStyle name="Normal 64 6" xfId="22580" xr:uid="{00000000-0005-0000-0000-000063B40000}"/>
    <cellStyle name="Normal 64 7" xfId="22896" xr:uid="{00000000-0005-0000-0000-000064B40000}"/>
    <cellStyle name="Normal 64_Sheet1" xfId="3010" xr:uid="{00000000-0005-0000-0000-000065B40000}"/>
    <cellStyle name="Normal 640" xfId="5236" xr:uid="{00000000-0005-0000-0000-000066B40000}"/>
    <cellStyle name="Normal 640 2" xfId="6027" xr:uid="{00000000-0005-0000-0000-000067B40000}"/>
    <cellStyle name="Normal 640 2 2" xfId="9327" xr:uid="{00000000-0005-0000-0000-000068B40000}"/>
    <cellStyle name="Normal 640 2 2 2" xfId="17122" xr:uid="{00000000-0005-0000-0000-000069B40000}"/>
    <cellStyle name="Normal 640 2 2 2 2" xfId="34758" xr:uid="{00000000-0005-0000-0000-00006AB40000}"/>
    <cellStyle name="Normal 640 2 2 3" xfId="27715" xr:uid="{00000000-0005-0000-0000-00006BB40000}"/>
    <cellStyle name="Normal 640 2 3" xfId="13883" xr:uid="{00000000-0005-0000-0000-00006CB40000}"/>
    <cellStyle name="Normal 640 2 3 2" xfId="31523" xr:uid="{00000000-0005-0000-0000-00006DB40000}"/>
    <cellStyle name="Normal 640 2 4" xfId="24850" xr:uid="{00000000-0005-0000-0000-00006EB40000}"/>
    <cellStyle name="Normal 640 3" xfId="6657" xr:uid="{00000000-0005-0000-0000-00006FB40000}"/>
    <cellStyle name="Normal 640 3 2" xfId="9867" xr:uid="{00000000-0005-0000-0000-000070B40000}"/>
    <cellStyle name="Normal 640 3 2 2" xfId="17661" xr:uid="{00000000-0005-0000-0000-000071B40000}"/>
    <cellStyle name="Normal 640 3 2 2 2" xfId="35298" xr:uid="{00000000-0005-0000-0000-000072B40000}"/>
    <cellStyle name="Normal 640 3 2 3" xfId="28251" xr:uid="{00000000-0005-0000-0000-000073B40000}"/>
    <cellStyle name="Normal 640 3 3" xfId="14446" xr:uid="{00000000-0005-0000-0000-000074B40000}"/>
    <cellStyle name="Normal 640 3 3 2" xfId="32081" xr:uid="{00000000-0005-0000-0000-000075B40000}"/>
    <cellStyle name="Normal 640 3 4" xfId="25387" xr:uid="{00000000-0005-0000-0000-000076B40000}"/>
    <cellStyle name="Normal 640 4" xfId="7433" xr:uid="{00000000-0005-0000-0000-000077B40000}"/>
    <cellStyle name="Normal 640 4 2" xfId="10421" xr:uid="{00000000-0005-0000-0000-000078B40000}"/>
    <cellStyle name="Normal 640 4 2 2" xfId="18214" xr:uid="{00000000-0005-0000-0000-000079B40000}"/>
    <cellStyle name="Normal 640 4 2 2 2" xfId="35851" xr:uid="{00000000-0005-0000-0000-00007AB40000}"/>
    <cellStyle name="Normal 640 4 2 3" xfId="28788" xr:uid="{00000000-0005-0000-0000-00007BB40000}"/>
    <cellStyle name="Normal 640 4 3" xfId="15221" xr:uid="{00000000-0005-0000-0000-00007CB40000}"/>
    <cellStyle name="Normal 640 4 3 2" xfId="32856" xr:uid="{00000000-0005-0000-0000-00007DB40000}"/>
    <cellStyle name="Normal 640 4 4" xfId="25925" xr:uid="{00000000-0005-0000-0000-00007EB40000}"/>
    <cellStyle name="Normal 640 5" xfId="8773" xr:uid="{00000000-0005-0000-0000-00007FB40000}"/>
    <cellStyle name="Normal 640 5 2" xfId="16569" xr:uid="{00000000-0005-0000-0000-000080B40000}"/>
    <cellStyle name="Normal 640 5 2 2" xfId="34204" xr:uid="{00000000-0005-0000-0000-000081B40000}"/>
    <cellStyle name="Normal 640 5 3" xfId="27174" xr:uid="{00000000-0005-0000-0000-000082B40000}"/>
    <cellStyle name="Normal 640 6" xfId="13233" xr:uid="{00000000-0005-0000-0000-000083B40000}"/>
    <cellStyle name="Normal 640 6 2" xfId="30878" xr:uid="{00000000-0005-0000-0000-000084B40000}"/>
    <cellStyle name="Normal 640 7" xfId="24309" xr:uid="{00000000-0005-0000-0000-000085B40000}"/>
    <cellStyle name="Normal 641" xfId="5237" xr:uid="{00000000-0005-0000-0000-000086B40000}"/>
    <cellStyle name="Normal 641 2" xfId="6028" xr:uid="{00000000-0005-0000-0000-000087B40000}"/>
    <cellStyle name="Normal 641 2 2" xfId="9328" xr:uid="{00000000-0005-0000-0000-000088B40000}"/>
    <cellStyle name="Normal 641 2 2 2" xfId="17123" xr:uid="{00000000-0005-0000-0000-000089B40000}"/>
    <cellStyle name="Normal 641 2 2 2 2" xfId="34759" xr:uid="{00000000-0005-0000-0000-00008AB40000}"/>
    <cellStyle name="Normal 641 2 2 3" xfId="27716" xr:uid="{00000000-0005-0000-0000-00008BB40000}"/>
    <cellStyle name="Normal 641 2 3" xfId="13884" xr:uid="{00000000-0005-0000-0000-00008CB40000}"/>
    <cellStyle name="Normal 641 2 3 2" xfId="31524" xr:uid="{00000000-0005-0000-0000-00008DB40000}"/>
    <cellStyle name="Normal 641 2 4" xfId="24851" xr:uid="{00000000-0005-0000-0000-00008EB40000}"/>
    <cellStyle name="Normal 641 3" xfId="6658" xr:uid="{00000000-0005-0000-0000-00008FB40000}"/>
    <cellStyle name="Normal 641 3 2" xfId="9868" xr:uid="{00000000-0005-0000-0000-000090B40000}"/>
    <cellStyle name="Normal 641 3 2 2" xfId="17662" xr:uid="{00000000-0005-0000-0000-000091B40000}"/>
    <cellStyle name="Normal 641 3 2 2 2" xfId="35299" xr:uid="{00000000-0005-0000-0000-000092B40000}"/>
    <cellStyle name="Normal 641 3 2 3" xfId="28252" xr:uid="{00000000-0005-0000-0000-000093B40000}"/>
    <cellStyle name="Normal 641 3 3" xfId="14447" xr:uid="{00000000-0005-0000-0000-000094B40000}"/>
    <cellStyle name="Normal 641 3 3 2" xfId="32082" xr:uid="{00000000-0005-0000-0000-000095B40000}"/>
    <cellStyle name="Normal 641 3 4" xfId="25388" xr:uid="{00000000-0005-0000-0000-000096B40000}"/>
    <cellStyle name="Normal 641 4" xfId="7434" xr:uid="{00000000-0005-0000-0000-000097B40000}"/>
    <cellStyle name="Normal 641 4 2" xfId="10422" xr:uid="{00000000-0005-0000-0000-000098B40000}"/>
    <cellStyle name="Normal 641 4 2 2" xfId="18215" xr:uid="{00000000-0005-0000-0000-000099B40000}"/>
    <cellStyle name="Normal 641 4 2 2 2" xfId="35852" xr:uid="{00000000-0005-0000-0000-00009AB40000}"/>
    <cellStyle name="Normal 641 4 2 3" xfId="28789" xr:uid="{00000000-0005-0000-0000-00009BB40000}"/>
    <cellStyle name="Normal 641 4 3" xfId="15222" xr:uid="{00000000-0005-0000-0000-00009CB40000}"/>
    <cellStyle name="Normal 641 4 3 2" xfId="32857" xr:uid="{00000000-0005-0000-0000-00009DB40000}"/>
    <cellStyle name="Normal 641 4 4" xfId="25926" xr:uid="{00000000-0005-0000-0000-00009EB40000}"/>
    <cellStyle name="Normal 641 5" xfId="8774" xr:uid="{00000000-0005-0000-0000-00009FB40000}"/>
    <cellStyle name="Normal 641 5 2" xfId="16570" xr:uid="{00000000-0005-0000-0000-0000A0B40000}"/>
    <cellStyle name="Normal 641 5 2 2" xfId="34205" xr:uid="{00000000-0005-0000-0000-0000A1B40000}"/>
    <cellStyle name="Normal 641 5 3" xfId="27175" xr:uid="{00000000-0005-0000-0000-0000A2B40000}"/>
    <cellStyle name="Normal 641 6" xfId="13234" xr:uid="{00000000-0005-0000-0000-0000A3B40000}"/>
    <cellStyle name="Normal 641 6 2" xfId="30879" xr:uid="{00000000-0005-0000-0000-0000A4B40000}"/>
    <cellStyle name="Normal 641 7" xfId="24310" xr:uid="{00000000-0005-0000-0000-0000A5B40000}"/>
    <cellStyle name="Normal 642" xfId="5238" xr:uid="{00000000-0005-0000-0000-0000A6B40000}"/>
    <cellStyle name="Normal 642 2" xfId="6029" xr:uid="{00000000-0005-0000-0000-0000A7B40000}"/>
    <cellStyle name="Normal 642 2 2" xfId="9329" xr:uid="{00000000-0005-0000-0000-0000A8B40000}"/>
    <cellStyle name="Normal 642 2 2 2" xfId="17124" xr:uid="{00000000-0005-0000-0000-0000A9B40000}"/>
    <cellStyle name="Normal 642 2 2 2 2" xfId="34760" xr:uid="{00000000-0005-0000-0000-0000AAB40000}"/>
    <cellStyle name="Normal 642 2 2 3" xfId="27717" xr:uid="{00000000-0005-0000-0000-0000ABB40000}"/>
    <cellStyle name="Normal 642 2 3" xfId="13885" xr:uid="{00000000-0005-0000-0000-0000ACB40000}"/>
    <cellStyle name="Normal 642 2 3 2" xfId="31525" xr:uid="{00000000-0005-0000-0000-0000ADB40000}"/>
    <cellStyle name="Normal 642 2 4" xfId="24852" xr:uid="{00000000-0005-0000-0000-0000AEB40000}"/>
    <cellStyle name="Normal 642 3" xfId="6659" xr:uid="{00000000-0005-0000-0000-0000AFB40000}"/>
    <cellStyle name="Normal 642 3 2" xfId="9869" xr:uid="{00000000-0005-0000-0000-0000B0B40000}"/>
    <cellStyle name="Normal 642 3 2 2" xfId="17663" xr:uid="{00000000-0005-0000-0000-0000B1B40000}"/>
    <cellStyle name="Normal 642 3 2 2 2" xfId="35300" xr:uid="{00000000-0005-0000-0000-0000B2B40000}"/>
    <cellStyle name="Normal 642 3 2 3" xfId="28253" xr:uid="{00000000-0005-0000-0000-0000B3B40000}"/>
    <cellStyle name="Normal 642 3 3" xfId="14448" xr:uid="{00000000-0005-0000-0000-0000B4B40000}"/>
    <cellStyle name="Normal 642 3 3 2" xfId="32083" xr:uid="{00000000-0005-0000-0000-0000B5B40000}"/>
    <cellStyle name="Normal 642 3 4" xfId="25389" xr:uid="{00000000-0005-0000-0000-0000B6B40000}"/>
    <cellStyle name="Normal 642 4" xfId="7435" xr:uid="{00000000-0005-0000-0000-0000B7B40000}"/>
    <cellStyle name="Normal 642 4 2" xfId="10423" xr:uid="{00000000-0005-0000-0000-0000B8B40000}"/>
    <cellStyle name="Normal 642 4 2 2" xfId="18216" xr:uid="{00000000-0005-0000-0000-0000B9B40000}"/>
    <cellStyle name="Normal 642 4 2 2 2" xfId="35853" xr:uid="{00000000-0005-0000-0000-0000BAB40000}"/>
    <cellStyle name="Normal 642 4 2 3" xfId="28790" xr:uid="{00000000-0005-0000-0000-0000BBB40000}"/>
    <cellStyle name="Normal 642 4 3" xfId="15223" xr:uid="{00000000-0005-0000-0000-0000BCB40000}"/>
    <cellStyle name="Normal 642 4 3 2" xfId="32858" xr:uid="{00000000-0005-0000-0000-0000BDB40000}"/>
    <cellStyle name="Normal 642 4 4" xfId="25927" xr:uid="{00000000-0005-0000-0000-0000BEB40000}"/>
    <cellStyle name="Normal 642 5" xfId="8775" xr:uid="{00000000-0005-0000-0000-0000BFB40000}"/>
    <cellStyle name="Normal 642 5 2" xfId="16571" xr:uid="{00000000-0005-0000-0000-0000C0B40000}"/>
    <cellStyle name="Normal 642 5 2 2" xfId="34206" xr:uid="{00000000-0005-0000-0000-0000C1B40000}"/>
    <cellStyle name="Normal 642 5 3" xfId="27176" xr:uid="{00000000-0005-0000-0000-0000C2B40000}"/>
    <cellStyle name="Normal 642 6" xfId="13235" xr:uid="{00000000-0005-0000-0000-0000C3B40000}"/>
    <cellStyle name="Normal 642 6 2" xfId="30880" xr:uid="{00000000-0005-0000-0000-0000C4B40000}"/>
    <cellStyle name="Normal 642 7" xfId="24311" xr:uid="{00000000-0005-0000-0000-0000C5B40000}"/>
    <cellStyle name="Normal 643" xfId="5239" xr:uid="{00000000-0005-0000-0000-0000C6B40000}"/>
    <cellStyle name="Normal 643 2" xfId="6030" xr:uid="{00000000-0005-0000-0000-0000C7B40000}"/>
    <cellStyle name="Normal 643 2 2" xfId="9330" xr:uid="{00000000-0005-0000-0000-0000C8B40000}"/>
    <cellStyle name="Normal 643 2 2 2" xfId="17125" xr:uid="{00000000-0005-0000-0000-0000C9B40000}"/>
    <cellStyle name="Normal 643 2 2 2 2" xfId="34761" xr:uid="{00000000-0005-0000-0000-0000CAB40000}"/>
    <cellStyle name="Normal 643 2 2 3" xfId="27718" xr:uid="{00000000-0005-0000-0000-0000CBB40000}"/>
    <cellStyle name="Normal 643 2 3" xfId="13886" xr:uid="{00000000-0005-0000-0000-0000CCB40000}"/>
    <cellStyle name="Normal 643 2 3 2" xfId="31526" xr:uid="{00000000-0005-0000-0000-0000CDB40000}"/>
    <cellStyle name="Normal 643 2 4" xfId="24853" xr:uid="{00000000-0005-0000-0000-0000CEB40000}"/>
    <cellStyle name="Normal 643 3" xfId="6660" xr:uid="{00000000-0005-0000-0000-0000CFB40000}"/>
    <cellStyle name="Normal 643 3 2" xfId="9870" xr:uid="{00000000-0005-0000-0000-0000D0B40000}"/>
    <cellStyle name="Normal 643 3 2 2" xfId="17664" xr:uid="{00000000-0005-0000-0000-0000D1B40000}"/>
    <cellStyle name="Normal 643 3 2 2 2" xfId="35301" xr:uid="{00000000-0005-0000-0000-0000D2B40000}"/>
    <cellStyle name="Normal 643 3 2 3" xfId="28254" xr:uid="{00000000-0005-0000-0000-0000D3B40000}"/>
    <cellStyle name="Normal 643 3 3" xfId="14449" xr:uid="{00000000-0005-0000-0000-0000D4B40000}"/>
    <cellStyle name="Normal 643 3 3 2" xfId="32084" xr:uid="{00000000-0005-0000-0000-0000D5B40000}"/>
    <cellStyle name="Normal 643 3 4" xfId="25390" xr:uid="{00000000-0005-0000-0000-0000D6B40000}"/>
    <cellStyle name="Normal 643 4" xfId="7436" xr:uid="{00000000-0005-0000-0000-0000D7B40000}"/>
    <cellStyle name="Normal 643 4 2" xfId="10424" xr:uid="{00000000-0005-0000-0000-0000D8B40000}"/>
    <cellStyle name="Normal 643 4 2 2" xfId="18217" xr:uid="{00000000-0005-0000-0000-0000D9B40000}"/>
    <cellStyle name="Normal 643 4 2 2 2" xfId="35854" xr:uid="{00000000-0005-0000-0000-0000DAB40000}"/>
    <cellStyle name="Normal 643 4 2 3" xfId="28791" xr:uid="{00000000-0005-0000-0000-0000DBB40000}"/>
    <cellStyle name="Normal 643 4 3" xfId="15224" xr:uid="{00000000-0005-0000-0000-0000DCB40000}"/>
    <cellStyle name="Normal 643 4 3 2" xfId="32859" xr:uid="{00000000-0005-0000-0000-0000DDB40000}"/>
    <cellStyle name="Normal 643 4 4" xfId="25928" xr:uid="{00000000-0005-0000-0000-0000DEB40000}"/>
    <cellStyle name="Normal 643 5" xfId="8776" xr:uid="{00000000-0005-0000-0000-0000DFB40000}"/>
    <cellStyle name="Normal 643 5 2" xfId="16572" xr:uid="{00000000-0005-0000-0000-0000E0B40000}"/>
    <cellStyle name="Normal 643 5 2 2" xfId="34207" xr:uid="{00000000-0005-0000-0000-0000E1B40000}"/>
    <cellStyle name="Normal 643 5 3" xfId="27177" xr:uid="{00000000-0005-0000-0000-0000E2B40000}"/>
    <cellStyle name="Normal 643 6" xfId="13236" xr:uid="{00000000-0005-0000-0000-0000E3B40000}"/>
    <cellStyle name="Normal 643 6 2" xfId="30881" xr:uid="{00000000-0005-0000-0000-0000E4B40000}"/>
    <cellStyle name="Normal 643 7" xfId="24312" xr:uid="{00000000-0005-0000-0000-0000E5B40000}"/>
    <cellStyle name="Normal 644" xfId="5240" xr:uid="{00000000-0005-0000-0000-0000E6B40000}"/>
    <cellStyle name="Normal 644 2" xfId="6031" xr:uid="{00000000-0005-0000-0000-0000E7B40000}"/>
    <cellStyle name="Normal 644 2 2" xfId="9331" xr:uid="{00000000-0005-0000-0000-0000E8B40000}"/>
    <cellStyle name="Normal 644 2 2 2" xfId="17126" xr:uid="{00000000-0005-0000-0000-0000E9B40000}"/>
    <cellStyle name="Normal 644 2 2 2 2" xfId="34762" xr:uid="{00000000-0005-0000-0000-0000EAB40000}"/>
    <cellStyle name="Normal 644 2 2 3" xfId="27719" xr:uid="{00000000-0005-0000-0000-0000EBB40000}"/>
    <cellStyle name="Normal 644 2 3" xfId="13887" xr:uid="{00000000-0005-0000-0000-0000ECB40000}"/>
    <cellStyle name="Normal 644 2 3 2" xfId="31527" xr:uid="{00000000-0005-0000-0000-0000EDB40000}"/>
    <cellStyle name="Normal 644 2 4" xfId="24854" xr:uid="{00000000-0005-0000-0000-0000EEB40000}"/>
    <cellStyle name="Normal 644 3" xfId="6661" xr:uid="{00000000-0005-0000-0000-0000EFB40000}"/>
    <cellStyle name="Normal 644 3 2" xfId="9871" xr:uid="{00000000-0005-0000-0000-0000F0B40000}"/>
    <cellStyle name="Normal 644 3 2 2" xfId="17665" xr:uid="{00000000-0005-0000-0000-0000F1B40000}"/>
    <cellStyle name="Normal 644 3 2 2 2" xfId="35302" xr:uid="{00000000-0005-0000-0000-0000F2B40000}"/>
    <cellStyle name="Normal 644 3 2 3" xfId="28255" xr:uid="{00000000-0005-0000-0000-0000F3B40000}"/>
    <cellStyle name="Normal 644 3 3" xfId="14450" xr:uid="{00000000-0005-0000-0000-0000F4B40000}"/>
    <cellStyle name="Normal 644 3 3 2" xfId="32085" xr:uid="{00000000-0005-0000-0000-0000F5B40000}"/>
    <cellStyle name="Normal 644 3 4" xfId="25391" xr:uid="{00000000-0005-0000-0000-0000F6B40000}"/>
    <cellStyle name="Normal 644 4" xfId="7437" xr:uid="{00000000-0005-0000-0000-0000F7B40000}"/>
    <cellStyle name="Normal 644 4 2" xfId="10425" xr:uid="{00000000-0005-0000-0000-0000F8B40000}"/>
    <cellStyle name="Normal 644 4 2 2" xfId="18218" xr:uid="{00000000-0005-0000-0000-0000F9B40000}"/>
    <cellStyle name="Normal 644 4 2 2 2" xfId="35855" xr:uid="{00000000-0005-0000-0000-0000FAB40000}"/>
    <cellStyle name="Normal 644 4 2 3" xfId="28792" xr:uid="{00000000-0005-0000-0000-0000FBB40000}"/>
    <cellStyle name="Normal 644 4 3" xfId="15225" xr:uid="{00000000-0005-0000-0000-0000FCB40000}"/>
    <cellStyle name="Normal 644 4 3 2" xfId="32860" xr:uid="{00000000-0005-0000-0000-0000FDB40000}"/>
    <cellStyle name="Normal 644 4 4" xfId="25929" xr:uid="{00000000-0005-0000-0000-0000FEB40000}"/>
    <cellStyle name="Normal 644 5" xfId="8777" xr:uid="{00000000-0005-0000-0000-0000FFB40000}"/>
    <cellStyle name="Normal 644 5 2" xfId="16573" xr:uid="{00000000-0005-0000-0000-000000B50000}"/>
    <cellStyle name="Normal 644 5 2 2" xfId="34208" xr:uid="{00000000-0005-0000-0000-000001B50000}"/>
    <cellStyle name="Normal 644 5 3" xfId="27178" xr:uid="{00000000-0005-0000-0000-000002B50000}"/>
    <cellStyle name="Normal 644 6" xfId="13237" xr:uid="{00000000-0005-0000-0000-000003B50000}"/>
    <cellStyle name="Normal 644 6 2" xfId="30882" xr:uid="{00000000-0005-0000-0000-000004B50000}"/>
    <cellStyle name="Normal 644 7" xfId="24313" xr:uid="{00000000-0005-0000-0000-000005B50000}"/>
    <cellStyle name="Normal 645" xfId="5241" xr:uid="{00000000-0005-0000-0000-000006B50000}"/>
    <cellStyle name="Normal 645 2" xfId="6032" xr:uid="{00000000-0005-0000-0000-000007B50000}"/>
    <cellStyle name="Normal 645 2 2" xfId="9332" xr:uid="{00000000-0005-0000-0000-000008B50000}"/>
    <cellStyle name="Normal 645 2 2 2" xfId="17127" xr:uid="{00000000-0005-0000-0000-000009B50000}"/>
    <cellStyle name="Normal 645 2 2 2 2" xfId="34763" xr:uid="{00000000-0005-0000-0000-00000AB50000}"/>
    <cellStyle name="Normal 645 2 2 3" xfId="27720" xr:uid="{00000000-0005-0000-0000-00000BB50000}"/>
    <cellStyle name="Normal 645 2 3" xfId="13888" xr:uid="{00000000-0005-0000-0000-00000CB50000}"/>
    <cellStyle name="Normal 645 2 3 2" xfId="31528" xr:uid="{00000000-0005-0000-0000-00000DB50000}"/>
    <cellStyle name="Normal 645 2 4" xfId="24855" xr:uid="{00000000-0005-0000-0000-00000EB50000}"/>
    <cellStyle name="Normal 645 3" xfId="6662" xr:uid="{00000000-0005-0000-0000-00000FB50000}"/>
    <cellStyle name="Normal 645 3 2" xfId="9872" xr:uid="{00000000-0005-0000-0000-000010B50000}"/>
    <cellStyle name="Normal 645 3 2 2" xfId="17666" xr:uid="{00000000-0005-0000-0000-000011B50000}"/>
    <cellStyle name="Normal 645 3 2 2 2" xfId="35303" xr:uid="{00000000-0005-0000-0000-000012B50000}"/>
    <cellStyle name="Normal 645 3 2 3" xfId="28256" xr:uid="{00000000-0005-0000-0000-000013B50000}"/>
    <cellStyle name="Normal 645 3 3" xfId="14451" xr:uid="{00000000-0005-0000-0000-000014B50000}"/>
    <cellStyle name="Normal 645 3 3 2" xfId="32086" xr:uid="{00000000-0005-0000-0000-000015B50000}"/>
    <cellStyle name="Normal 645 3 4" xfId="25392" xr:uid="{00000000-0005-0000-0000-000016B50000}"/>
    <cellStyle name="Normal 645 4" xfId="7438" xr:uid="{00000000-0005-0000-0000-000017B50000}"/>
    <cellStyle name="Normal 645 4 2" xfId="10426" xr:uid="{00000000-0005-0000-0000-000018B50000}"/>
    <cellStyle name="Normal 645 4 2 2" xfId="18219" xr:uid="{00000000-0005-0000-0000-000019B50000}"/>
    <cellStyle name="Normal 645 4 2 2 2" xfId="35856" xr:uid="{00000000-0005-0000-0000-00001AB50000}"/>
    <cellStyle name="Normal 645 4 2 3" xfId="28793" xr:uid="{00000000-0005-0000-0000-00001BB50000}"/>
    <cellStyle name="Normal 645 4 3" xfId="15226" xr:uid="{00000000-0005-0000-0000-00001CB50000}"/>
    <cellStyle name="Normal 645 4 3 2" xfId="32861" xr:uid="{00000000-0005-0000-0000-00001DB50000}"/>
    <cellStyle name="Normal 645 4 4" xfId="25930" xr:uid="{00000000-0005-0000-0000-00001EB50000}"/>
    <cellStyle name="Normal 645 5" xfId="8778" xr:uid="{00000000-0005-0000-0000-00001FB50000}"/>
    <cellStyle name="Normal 645 5 2" xfId="16574" xr:uid="{00000000-0005-0000-0000-000020B50000}"/>
    <cellStyle name="Normal 645 5 2 2" xfId="34209" xr:uid="{00000000-0005-0000-0000-000021B50000}"/>
    <cellStyle name="Normal 645 5 3" xfId="27179" xr:uid="{00000000-0005-0000-0000-000022B50000}"/>
    <cellStyle name="Normal 645 6" xfId="13238" xr:uid="{00000000-0005-0000-0000-000023B50000}"/>
    <cellStyle name="Normal 645 6 2" xfId="30883" xr:uid="{00000000-0005-0000-0000-000024B50000}"/>
    <cellStyle name="Normal 645 7" xfId="24314" xr:uid="{00000000-0005-0000-0000-000025B50000}"/>
    <cellStyle name="Normal 646" xfId="5242" xr:uid="{00000000-0005-0000-0000-000026B50000}"/>
    <cellStyle name="Normal 646 2" xfId="5243" xr:uid="{00000000-0005-0000-0000-000027B50000}"/>
    <cellStyle name="Normal 646 3" xfId="5244" xr:uid="{00000000-0005-0000-0000-000028B50000}"/>
    <cellStyle name="Normal 646 4" xfId="8779" xr:uid="{00000000-0005-0000-0000-000029B50000}"/>
    <cellStyle name="Normal 646 4 2" xfId="16575" xr:uid="{00000000-0005-0000-0000-00002AB50000}"/>
    <cellStyle name="Normal 646 4 2 2" xfId="34210" xr:uid="{00000000-0005-0000-0000-00002BB50000}"/>
    <cellStyle name="Normal 646 4 3" xfId="27180" xr:uid="{00000000-0005-0000-0000-00002CB50000}"/>
    <cellStyle name="Normal 646 5" xfId="13239" xr:uid="{00000000-0005-0000-0000-00002DB50000}"/>
    <cellStyle name="Normal 646 5 2" xfId="30884" xr:uid="{00000000-0005-0000-0000-00002EB50000}"/>
    <cellStyle name="Normal 646 6" xfId="24315" xr:uid="{00000000-0005-0000-0000-00002FB50000}"/>
    <cellStyle name="Normal 647" xfId="5245" xr:uid="{00000000-0005-0000-0000-000030B50000}"/>
    <cellStyle name="Normal 647 2" xfId="8780" xr:uid="{00000000-0005-0000-0000-000031B50000}"/>
    <cellStyle name="Normal 647 2 2" xfId="16576" xr:uid="{00000000-0005-0000-0000-000032B50000}"/>
    <cellStyle name="Normal 647 2 2 2" xfId="34211" xr:uid="{00000000-0005-0000-0000-000033B50000}"/>
    <cellStyle name="Normal 647 2 3" xfId="27181" xr:uid="{00000000-0005-0000-0000-000034B50000}"/>
    <cellStyle name="Normal 647 3" xfId="13240" xr:uid="{00000000-0005-0000-0000-000035B50000}"/>
    <cellStyle name="Normal 647 3 2" xfId="30885" xr:uid="{00000000-0005-0000-0000-000036B50000}"/>
    <cellStyle name="Normal 647 4" xfId="24316" xr:uid="{00000000-0005-0000-0000-000037B50000}"/>
    <cellStyle name="Normal 648" xfId="5246" xr:uid="{00000000-0005-0000-0000-000038B50000}"/>
    <cellStyle name="Normal 648 2" xfId="8781" xr:uid="{00000000-0005-0000-0000-000039B50000}"/>
    <cellStyle name="Normal 648 2 2" xfId="16577" xr:uid="{00000000-0005-0000-0000-00003AB50000}"/>
    <cellStyle name="Normal 648 2 2 2" xfId="34212" xr:uid="{00000000-0005-0000-0000-00003BB50000}"/>
    <cellStyle name="Normal 648 2 3" xfId="27182" xr:uid="{00000000-0005-0000-0000-00003CB50000}"/>
    <cellStyle name="Normal 648 3" xfId="13241" xr:uid="{00000000-0005-0000-0000-00003DB50000}"/>
    <cellStyle name="Normal 648 3 2" xfId="30886" xr:uid="{00000000-0005-0000-0000-00003EB50000}"/>
    <cellStyle name="Normal 648 4" xfId="24317" xr:uid="{00000000-0005-0000-0000-00003FB50000}"/>
    <cellStyle name="Normal 649" xfId="5247" xr:uid="{00000000-0005-0000-0000-000040B50000}"/>
    <cellStyle name="Normal 65" xfId="3011" xr:uid="{00000000-0005-0000-0000-000041B50000}"/>
    <cellStyle name="Normal 65 2" xfId="5248" xr:uid="{00000000-0005-0000-0000-000042B50000}"/>
    <cellStyle name="Normal 65 3" xfId="52616" xr:uid="{00000000-0005-0000-0000-000043B50000}"/>
    <cellStyle name="Normal 650" xfId="5249" xr:uid="{00000000-0005-0000-0000-000044B50000}"/>
    <cellStyle name="Normal 650 2" xfId="8782" xr:uid="{00000000-0005-0000-0000-000045B50000}"/>
    <cellStyle name="Normal 650 2 2" xfId="16578" xr:uid="{00000000-0005-0000-0000-000046B50000}"/>
    <cellStyle name="Normal 650 2 2 2" xfId="34213" xr:uid="{00000000-0005-0000-0000-000047B50000}"/>
    <cellStyle name="Normal 650 2 3" xfId="27183" xr:uid="{00000000-0005-0000-0000-000048B50000}"/>
    <cellStyle name="Normal 650 3" xfId="13242" xr:uid="{00000000-0005-0000-0000-000049B50000}"/>
    <cellStyle name="Normal 650 3 2" xfId="30887" xr:uid="{00000000-0005-0000-0000-00004AB50000}"/>
    <cellStyle name="Normal 650 4" xfId="24318" xr:uid="{00000000-0005-0000-0000-00004BB50000}"/>
    <cellStyle name="Normal 651" xfId="3452" xr:uid="{00000000-0005-0000-0000-00004CB50000}"/>
    <cellStyle name="Normal 652" xfId="3448" xr:uid="{00000000-0005-0000-0000-00004DB50000}"/>
    <cellStyle name="Normal 652 2" xfId="8074" xr:uid="{00000000-0005-0000-0000-00004EB50000}"/>
    <cellStyle name="Normal 652 2 2" xfId="15870" xr:uid="{00000000-0005-0000-0000-00004FB50000}"/>
    <cellStyle name="Normal 652 2 2 2" xfId="33505" xr:uid="{00000000-0005-0000-0000-000050B50000}"/>
    <cellStyle name="Normal 652 2 3" xfId="26488" xr:uid="{00000000-0005-0000-0000-000051B50000}"/>
    <cellStyle name="Normal 652 3" xfId="12182" xr:uid="{00000000-0005-0000-0000-000052B50000}"/>
    <cellStyle name="Normal 652 3 2" xfId="29854" xr:uid="{00000000-0005-0000-0000-000053B50000}"/>
    <cellStyle name="Normal 652 4" xfId="23623" xr:uid="{00000000-0005-0000-0000-000054B50000}"/>
    <cellStyle name="Normal 653" xfId="5507" xr:uid="{00000000-0005-0000-0000-000055B50000}"/>
    <cellStyle name="Normal 654" xfId="6136" xr:uid="{00000000-0005-0000-0000-000056B50000}"/>
    <cellStyle name="Normal 655" xfId="6674" xr:uid="{00000000-0005-0000-0000-000057B50000}"/>
    <cellStyle name="Normal 656" xfId="7513" xr:uid="{00000000-0005-0000-0000-000058B50000}"/>
    <cellStyle name="Normal 657" xfId="8073" xr:uid="{00000000-0005-0000-0000-000059B50000}"/>
    <cellStyle name="Normal 658" xfId="7512" xr:uid="{00000000-0005-0000-0000-00005AB50000}"/>
    <cellStyle name="Normal 659" xfId="7507" xr:uid="{00000000-0005-0000-0000-00005BB50000}"/>
    <cellStyle name="Normal 659 2" xfId="15306" xr:uid="{00000000-0005-0000-0000-00005CB50000}"/>
    <cellStyle name="Normal 659 2 2" xfId="32941" xr:uid="{00000000-0005-0000-0000-00005DB50000}"/>
    <cellStyle name="Normal 659 3" xfId="25942" xr:uid="{00000000-0005-0000-0000-00005EB50000}"/>
    <cellStyle name="Normal 66" xfId="3012" xr:uid="{00000000-0005-0000-0000-00005FB50000}"/>
    <cellStyle name="Normal 66 2" xfId="5250" xr:uid="{00000000-0005-0000-0000-000060B50000}"/>
    <cellStyle name="Normal 66 3" xfId="52617" xr:uid="{00000000-0005-0000-0000-000061B50000}"/>
    <cellStyle name="Normal 660" xfId="18868" xr:uid="{00000000-0005-0000-0000-000062B50000}"/>
    <cellStyle name="Normal 660 2" xfId="36505" xr:uid="{00000000-0005-0000-0000-000063B50000}"/>
    <cellStyle name="Normal 661" xfId="21934" xr:uid="{00000000-0005-0000-0000-000064B50000}"/>
    <cellStyle name="Normal 661 2" xfId="38687" xr:uid="{00000000-0005-0000-0000-000065B50000}"/>
    <cellStyle name="Normal 662" xfId="22662" xr:uid="{00000000-0005-0000-0000-000066B50000}"/>
    <cellStyle name="Normal 662 2" xfId="38899" xr:uid="{00000000-0005-0000-0000-000067B50000}"/>
    <cellStyle name="Normal 663" xfId="21945" xr:uid="{00000000-0005-0000-0000-000068B50000}"/>
    <cellStyle name="Normal 663 2" xfId="38698" xr:uid="{00000000-0005-0000-0000-000069B50000}"/>
    <cellStyle name="Normal 664" xfId="23056" xr:uid="{00000000-0005-0000-0000-00006AB50000}"/>
    <cellStyle name="Normal 664 2" xfId="39053" xr:uid="{00000000-0005-0000-0000-00006BB50000}"/>
    <cellStyle name="Normal 665" xfId="22877" xr:uid="{00000000-0005-0000-0000-00006CB50000}"/>
    <cellStyle name="Normal 665 2" xfId="39030" xr:uid="{00000000-0005-0000-0000-00006DB50000}"/>
    <cellStyle name="Normal 666" xfId="23081" xr:uid="{00000000-0005-0000-0000-00006EB50000}"/>
    <cellStyle name="Normal 667" xfId="23080" xr:uid="{00000000-0005-0000-0000-00006FB50000}"/>
    <cellStyle name="Normal 668" xfId="22025" xr:uid="{00000000-0005-0000-0000-000070B50000}"/>
    <cellStyle name="Normal 669" xfId="47479" xr:uid="{00000000-0005-0000-0000-000071B50000}"/>
    <cellStyle name="Normal 67" xfId="3013" xr:uid="{00000000-0005-0000-0000-000072B50000}"/>
    <cellStyle name="Normal 67 2" xfId="5251" xr:uid="{00000000-0005-0000-0000-000073B50000}"/>
    <cellStyle name="Normal 67 3" xfId="52618" xr:uid="{00000000-0005-0000-0000-000074B50000}"/>
    <cellStyle name="Normal 670" xfId="23068" xr:uid="{00000000-0005-0000-0000-000075B50000}"/>
    <cellStyle name="Normal 671" xfId="51479" xr:uid="{00000000-0005-0000-0000-000076B50000}"/>
    <cellStyle name="Normal 672" xfId="51492" xr:uid="{00000000-0005-0000-0000-000077B50000}"/>
    <cellStyle name="Normal 673" xfId="51505" xr:uid="{00000000-0005-0000-0000-000078B50000}"/>
    <cellStyle name="Normal 674" xfId="51518" xr:uid="{00000000-0005-0000-0000-000079B50000}"/>
    <cellStyle name="Normal 675" xfId="51519" xr:uid="{00000000-0005-0000-0000-00007AB50000}"/>
    <cellStyle name="Normal 676" xfId="51520" xr:uid="{00000000-0005-0000-0000-00007BB50000}"/>
    <cellStyle name="Normal 677" xfId="51521" xr:uid="{00000000-0005-0000-0000-00007CB50000}"/>
    <cellStyle name="Normal 678" xfId="51522" xr:uid="{00000000-0005-0000-0000-00007DB50000}"/>
    <cellStyle name="Normal 679" xfId="51523" xr:uid="{00000000-0005-0000-0000-00007EB50000}"/>
    <cellStyle name="Normal 68" xfId="3014" xr:uid="{00000000-0005-0000-0000-00007FB50000}"/>
    <cellStyle name="Normal 68 2" xfId="5252" xr:uid="{00000000-0005-0000-0000-000080B50000}"/>
    <cellStyle name="Normal 68 3" xfId="52619" xr:uid="{00000000-0005-0000-0000-000081B50000}"/>
    <cellStyle name="Normal 680" xfId="51524" xr:uid="{00000000-0005-0000-0000-000082B50000}"/>
    <cellStyle name="Normal 681" xfId="51525" xr:uid="{00000000-0005-0000-0000-000083B50000}"/>
    <cellStyle name="Normal 682" xfId="51526" xr:uid="{00000000-0005-0000-0000-000084B50000}"/>
    <cellStyle name="Normal 683" xfId="51527" xr:uid="{00000000-0005-0000-0000-000085B50000}"/>
    <cellStyle name="Normal 684" xfId="51528" xr:uid="{00000000-0005-0000-0000-000086B50000}"/>
    <cellStyle name="Normal 685" xfId="51529" xr:uid="{00000000-0005-0000-0000-000087B50000}"/>
    <cellStyle name="Normal 686" xfId="51530" xr:uid="{00000000-0005-0000-0000-000088B50000}"/>
    <cellStyle name="Normal 687" xfId="51531" xr:uid="{00000000-0005-0000-0000-000089B50000}"/>
    <cellStyle name="Normal 688" xfId="51532" xr:uid="{00000000-0005-0000-0000-00008AB50000}"/>
    <cellStyle name="Normal 689" xfId="51533" xr:uid="{00000000-0005-0000-0000-00008BB50000}"/>
    <cellStyle name="Normal 69" xfId="3015" xr:uid="{00000000-0005-0000-0000-00008CB50000}"/>
    <cellStyle name="Normal 69 2" xfId="3016" xr:uid="{00000000-0005-0000-0000-00008DB50000}"/>
    <cellStyle name="Normal 69 2 2" xfId="5253" xr:uid="{00000000-0005-0000-0000-00008EB50000}"/>
    <cellStyle name="Normal 69 2 3" xfId="52620" xr:uid="{00000000-0005-0000-0000-00008FB50000}"/>
    <cellStyle name="Normal 69 3" xfId="3017" xr:uid="{00000000-0005-0000-0000-000090B50000}"/>
    <cellStyle name="Normal 69 3 2" xfId="3018" xr:uid="{00000000-0005-0000-0000-000091B50000}"/>
    <cellStyle name="Normal 69 3_Sheet1" xfId="3019" xr:uid="{00000000-0005-0000-0000-000092B50000}"/>
    <cellStyle name="Normal 69 4" xfId="3020" xr:uid="{00000000-0005-0000-0000-000093B50000}"/>
    <cellStyle name="Normal 69 5" xfId="23008" xr:uid="{00000000-0005-0000-0000-000094B50000}"/>
    <cellStyle name="Normal 69_Sheet1" xfId="3021" xr:uid="{00000000-0005-0000-0000-000095B50000}"/>
    <cellStyle name="Normal 690" xfId="51534" xr:uid="{00000000-0005-0000-0000-000096B50000}"/>
    <cellStyle name="Normal 691" xfId="51535" xr:uid="{00000000-0005-0000-0000-000097B50000}"/>
    <cellStyle name="Normal 692" xfId="51536" xr:uid="{00000000-0005-0000-0000-000098B50000}"/>
    <cellStyle name="Normal 693" xfId="51537" xr:uid="{00000000-0005-0000-0000-000099B50000}"/>
    <cellStyle name="Normal 694" xfId="51538" xr:uid="{00000000-0005-0000-0000-00009AB50000}"/>
    <cellStyle name="Normal 695" xfId="51539" xr:uid="{00000000-0005-0000-0000-00009BB50000}"/>
    <cellStyle name="Normal 696" xfId="51540" xr:uid="{00000000-0005-0000-0000-00009CB50000}"/>
    <cellStyle name="Normal 697" xfId="51541" xr:uid="{00000000-0005-0000-0000-00009DB50000}"/>
    <cellStyle name="Normal 698" xfId="51542" xr:uid="{00000000-0005-0000-0000-00009EB50000}"/>
    <cellStyle name="Normal 699" xfId="51543" xr:uid="{00000000-0005-0000-0000-00009FB50000}"/>
    <cellStyle name="Normal 7" xfId="131" xr:uid="{00000000-0005-0000-0000-0000A0B50000}"/>
    <cellStyle name="Normal 7 2" xfId="3023" xr:uid="{00000000-0005-0000-0000-0000A1B50000}"/>
    <cellStyle name="Normal 7 2 2" xfId="3024" xr:uid="{00000000-0005-0000-0000-0000A2B50000}"/>
    <cellStyle name="Normal 7 2_Sheet1" xfId="3025" xr:uid="{00000000-0005-0000-0000-0000A3B50000}"/>
    <cellStyle name="Normal 7 3" xfId="3026" xr:uid="{00000000-0005-0000-0000-0000A4B50000}"/>
    <cellStyle name="Normal 7 4" xfId="22581" xr:uid="{00000000-0005-0000-0000-0000A5B50000}"/>
    <cellStyle name="Normal 7 5" xfId="22895" xr:uid="{00000000-0005-0000-0000-0000A6B50000}"/>
    <cellStyle name="Normal 7 6" xfId="3022" xr:uid="{00000000-0005-0000-0000-0000A7B50000}"/>
    <cellStyle name="Normal 7_Sheet1" xfId="3027" xr:uid="{00000000-0005-0000-0000-0000A8B50000}"/>
    <cellStyle name="Normal 70" xfId="3028" xr:uid="{00000000-0005-0000-0000-0000A9B50000}"/>
    <cellStyle name="Normal 70 2" xfId="5254" xr:uid="{00000000-0005-0000-0000-0000AAB50000}"/>
    <cellStyle name="Normal 70 3" xfId="52621" xr:uid="{00000000-0005-0000-0000-0000ABB50000}"/>
    <cellStyle name="Normal 700" xfId="51544" xr:uid="{00000000-0005-0000-0000-0000ACB50000}"/>
    <cellStyle name="Normal 701" xfId="51545" xr:uid="{00000000-0005-0000-0000-0000ADB50000}"/>
    <cellStyle name="Normal 702" xfId="51546" xr:uid="{00000000-0005-0000-0000-0000AEB50000}"/>
    <cellStyle name="Normal 703" xfId="51547" xr:uid="{00000000-0005-0000-0000-0000AFB50000}"/>
    <cellStyle name="Normal 704" xfId="51548" xr:uid="{00000000-0005-0000-0000-0000B0B50000}"/>
    <cellStyle name="Normal 705" xfId="51549" xr:uid="{00000000-0005-0000-0000-0000B1B50000}"/>
    <cellStyle name="Normal 706" xfId="51550" xr:uid="{00000000-0005-0000-0000-0000B2B50000}"/>
    <cellStyle name="Normal 707" xfId="51551" xr:uid="{00000000-0005-0000-0000-0000B3B50000}"/>
    <cellStyle name="Normal 708" xfId="51552" xr:uid="{00000000-0005-0000-0000-0000B4B50000}"/>
    <cellStyle name="Normal 709" xfId="51553" xr:uid="{00000000-0005-0000-0000-0000B5B50000}"/>
    <cellStyle name="Normal 71" xfId="3029" xr:uid="{00000000-0005-0000-0000-0000B6B50000}"/>
    <cellStyle name="Normal 71 2" xfId="5255" xr:uid="{00000000-0005-0000-0000-0000B7B50000}"/>
    <cellStyle name="Normal 71 3" xfId="52622" xr:uid="{00000000-0005-0000-0000-0000B8B50000}"/>
    <cellStyle name="Normal 710" xfId="51554" xr:uid="{00000000-0005-0000-0000-0000B9B50000}"/>
    <cellStyle name="Normal 711" xfId="51555" xr:uid="{00000000-0005-0000-0000-0000BAB50000}"/>
    <cellStyle name="Normal 712" xfId="51556" xr:uid="{00000000-0005-0000-0000-0000BBB50000}"/>
    <cellStyle name="Normal 713" xfId="51557" xr:uid="{00000000-0005-0000-0000-0000BCB50000}"/>
    <cellStyle name="Normal 714" xfId="51558" xr:uid="{00000000-0005-0000-0000-0000BDB50000}"/>
    <cellStyle name="Normal 715" xfId="51559" xr:uid="{00000000-0005-0000-0000-0000BEB50000}"/>
    <cellStyle name="Normal 716" xfId="51560" xr:uid="{00000000-0005-0000-0000-0000BFB50000}"/>
    <cellStyle name="Normal 717" xfId="51561" xr:uid="{00000000-0005-0000-0000-0000C0B50000}"/>
    <cellStyle name="Normal 718" xfId="51562" xr:uid="{00000000-0005-0000-0000-0000C1B50000}"/>
    <cellStyle name="Normal 719" xfId="51563" xr:uid="{00000000-0005-0000-0000-0000C2B50000}"/>
    <cellStyle name="Normal 72" xfId="3030" xr:uid="{00000000-0005-0000-0000-0000C3B50000}"/>
    <cellStyle name="Normal 72 10" xfId="52623" xr:uid="{00000000-0005-0000-0000-0000C4B50000}"/>
    <cellStyle name="Normal 72 2" xfId="5256" xr:uid="{00000000-0005-0000-0000-0000C5B50000}"/>
    <cellStyle name="Normal 72 2 2" xfId="8783" xr:uid="{00000000-0005-0000-0000-0000C6B50000}"/>
    <cellStyle name="Normal 72 2 2 2" xfId="16579" xr:uid="{00000000-0005-0000-0000-0000C7B50000}"/>
    <cellStyle name="Normal 72 2 2 2 2" xfId="34214" xr:uid="{00000000-0005-0000-0000-0000C8B50000}"/>
    <cellStyle name="Normal 72 2 2 3" xfId="27184" xr:uid="{00000000-0005-0000-0000-0000C9B50000}"/>
    <cellStyle name="Normal 72 2 3" xfId="13247" xr:uid="{00000000-0005-0000-0000-0000CAB50000}"/>
    <cellStyle name="Normal 72 2 3 2" xfId="30892" xr:uid="{00000000-0005-0000-0000-0000CBB50000}"/>
    <cellStyle name="Normal 72 2 4" xfId="23009" xr:uid="{00000000-0005-0000-0000-0000CCB50000}"/>
    <cellStyle name="Normal 72 2 4 2" xfId="39052" xr:uid="{00000000-0005-0000-0000-0000CDB50000}"/>
    <cellStyle name="Normal 72 2 5" xfId="24319" xr:uid="{00000000-0005-0000-0000-0000CEB50000}"/>
    <cellStyle name="Normal 72 3" xfId="6033" xr:uid="{00000000-0005-0000-0000-0000CFB50000}"/>
    <cellStyle name="Normal 72 3 2" xfId="9333" xr:uid="{00000000-0005-0000-0000-0000D0B50000}"/>
    <cellStyle name="Normal 72 3 2 2" xfId="17128" xr:uid="{00000000-0005-0000-0000-0000D1B50000}"/>
    <cellStyle name="Normal 72 3 2 2 2" xfId="34764" xr:uid="{00000000-0005-0000-0000-0000D2B50000}"/>
    <cellStyle name="Normal 72 3 2 3" xfId="27721" xr:uid="{00000000-0005-0000-0000-0000D3B50000}"/>
    <cellStyle name="Normal 72 3 3" xfId="13889" xr:uid="{00000000-0005-0000-0000-0000D4B50000}"/>
    <cellStyle name="Normal 72 3 3 2" xfId="31529" xr:uid="{00000000-0005-0000-0000-0000D5B50000}"/>
    <cellStyle name="Normal 72 3 4" xfId="22582" xr:uid="{00000000-0005-0000-0000-0000D6B50000}"/>
    <cellStyle name="Normal 72 3 5" xfId="24856" xr:uid="{00000000-0005-0000-0000-0000D7B50000}"/>
    <cellStyle name="Normal 72 4" xfId="6663" xr:uid="{00000000-0005-0000-0000-0000D8B50000}"/>
    <cellStyle name="Normal 72 4 2" xfId="9873" xr:uid="{00000000-0005-0000-0000-0000D9B50000}"/>
    <cellStyle name="Normal 72 4 2 2" xfId="17667" xr:uid="{00000000-0005-0000-0000-0000DAB50000}"/>
    <cellStyle name="Normal 72 4 2 2 2" xfId="35304" xr:uid="{00000000-0005-0000-0000-0000DBB50000}"/>
    <cellStyle name="Normal 72 4 2 3" xfId="28257" xr:uid="{00000000-0005-0000-0000-0000DCB50000}"/>
    <cellStyle name="Normal 72 4 3" xfId="14452" xr:uid="{00000000-0005-0000-0000-0000DDB50000}"/>
    <cellStyle name="Normal 72 4 3 2" xfId="32087" xr:uid="{00000000-0005-0000-0000-0000DEB50000}"/>
    <cellStyle name="Normal 72 4 4" xfId="25393" xr:uid="{00000000-0005-0000-0000-0000DFB50000}"/>
    <cellStyle name="Normal 72 5" xfId="7439" xr:uid="{00000000-0005-0000-0000-0000E0B50000}"/>
    <cellStyle name="Normal 72 5 2" xfId="10427" xr:uid="{00000000-0005-0000-0000-0000E1B50000}"/>
    <cellStyle name="Normal 72 5 2 2" xfId="18220" xr:uid="{00000000-0005-0000-0000-0000E2B50000}"/>
    <cellStyle name="Normal 72 5 2 2 2" xfId="35857" xr:uid="{00000000-0005-0000-0000-0000E3B50000}"/>
    <cellStyle name="Normal 72 5 2 3" xfId="28794" xr:uid="{00000000-0005-0000-0000-0000E4B50000}"/>
    <cellStyle name="Normal 72 5 3" xfId="15227" xr:uid="{00000000-0005-0000-0000-0000E5B50000}"/>
    <cellStyle name="Normal 72 5 3 2" xfId="32862" xr:uid="{00000000-0005-0000-0000-0000E6B50000}"/>
    <cellStyle name="Normal 72 5 4" xfId="25931" xr:uid="{00000000-0005-0000-0000-0000E7B50000}"/>
    <cellStyle name="Normal 72 6" xfId="8061" xr:uid="{00000000-0005-0000-0000-0000E8B50000}"/>
    <cellStyle name="Normal 72 6 2" xfId="15858" xr:uid="{00000000-0005-0000-0000-0000E9B50000}"/>
    <cellStyle name="Normal 72 6 2 2" xfId="33493" xr:uid="{00000000-0005-0000-0000-0000EAB50000}"/>
    <cellStyle name="Normal 72 6 3" xfId="26477" xr:uid="{00000000-0005-0000-0000-0000EBB50000}"/>
    <cellStyle name="Normal 72 7" xfId="12048" xr:uid="{00000000-0005-0000-0000-0000ECB50000}"/>
    <cellStyle name="Normal 72 7 2" xfId="29727" xr:uid="{00000000-0005-0000-0000-0000EDB50000}"/>
    <cellStyle name="Normal 72 8" xfId="21995" xr:uid="{00000000-0005-0000-0000-0000EEB50000}"/>
    <cellStyle name="Normal 72 8 2" xfId="38739" xr:uid="{00000000-0005-0000-0000-0000EFB50000}"/>
    <cellStyle name="Normal 72 9" xfId="23612" xr:uid="{00000000-0005-0000-0000-0000F0B50000}"/>
    <cellStyle name="Normal 720" xfId="51564" xr:uid="{00000000-0005-0000-0000-0000F1B50000}"/>
    <cellStyle name="Normal 721" xfId="51565" xr:uid="{00000000-0005-0000-0000-0000F2B50000}"/>
    <cellStyle name="Normal 722" xfId="51566" xr:uid="{00000000-0005-0000-0000-0000F3B50000}"/>
    <cellStyle name="Normal 723" xfId="51567" xr:uid="{00000000-0005-0000-0000-0000F4B50000}"/>
    <cellStyle name="Normal 724" xfId="51568" xr:uid="{00000000-0005-0000-0000-0000F5B50000}"/>
    <cellStyle name="Normal 725" xfId="51569" xr:uid="{00000000-0005-0000-0000-0000F6B50000}"/>
    <cellStyle name="Normal 726" xfId="51570" xr:uid="{00000000-0005-0000-0000-0000F7B50000}"/>
    <cellStyle name="Normal 727" xfId="51571" xr:uid="{00000000-0005-0000-0000-0000F8B50000}"/>
    <cellStyle name="Normal 728" xfId="51572" xr:uid="{00000000-0005-0000-0000-0000F9B50000}"/>
    <cellStyle name="Normal 729" xfId="51573" xr:uid="{00000000-0005-0000-0000-0000FAB50000}"/>
    <cellStyle name="Normal 73" xfId="3031" xr:uid="{00000000-0005-0000-0000-0000FBB50000}"/>
    <cellStyle name="Normal 73 2" xfId="5257" xr:uid="{00000000-0005-0000-0000-0000FCB50000}"/>
    <cellStyle name="Normal 73 3" xfId="52624" xr:uid="{00000000-0005-0000-0000-0000FDB50000}"/>
    <cellStyle name="Normal 730" xfId="51574" xr:uid="{00000000-0005-0000-0000-0000FEB50000}"/>
    <cellStyle name="Normal 731" xfId="51575" xr:uid="{00000000-0005-0000-0000-0000FFB50000}"/>
    <cellStyle name="Normal 732" xfId="51576" xr:uid="{00000000-0005-0000-0000-000000B60000}"/>
    <cellStyle name="Normal 733" xfId="51577" xr:uid="{00000000-0005-0000-0000-000001B60000}"/>
    <cellStyle name="Normal 734" xfId="51578" xr:uid="{00000000-0005-0000-0000-000002B60000}"/>
    <cellStyle name="Normal 735" xfId="51579" xr:uid="{00000000-0005-0000-0000-000003B60000}"/>
    <cellStyle name="Normal 736" xfId="51580" xr:uid="{00000000-0005-0000-0000-000004B60000}"/>
    <cellStyle name="Normal 737" xfId="51581" xr:uid="{00000000-0005-0000-0000-000005B60000}"/>
    <cellStyle name="Normal 738" xfId="51582" xr:uid="{00000000-0005-0000-0000-000006B60000}"/>
    <cellStyle name="Normal 739" xfId="51583" xr:uid="{00000000-0005-0000-0000-000007B60000}"/>
    <cellStyle name="Normal 74" xfId="3032" xr:uid="{00000000-0005-0000-0000-000008B60000}"/>
    <cellStyle name="Normal 74 2" xfId="5258" xr:uid="{00000000-0005-0000-0000-000009B60000}"/>
    <cellStyle name="Normal 74 3" xfId="52625" xr:uid="{00000000-0005-0000-0000-00000AB60000}"/>
    <cellStyle name="Normal 740" xfId="51584" xr:uid="{00000000-0005-0000-0000-00000BB60000}"/>
    <cellStyle name="Normal 741" xfId="51585" xr:uid="{00000000-0005-0000-0000-00000CB60000}"/>
    <cellStyle name="Normal 742" xfId="51586" xr:uid="{00000000-0005-0000-0000-00000DB60000}"/>
    <cellStyle name="Normal 743" xfId="51587" xr:uid="{00000000-0005-0000-0000-00000EB60000}"/>
    <cellStyle name="Normal 744" xfId="51588" xr:uid="{00000000-0005-0000-0000-00000FB60000}"/>
    <cellStyle name="Normal 745" xfId="51589" xr:uid="{00000000-0005-0000-0000-000010B60000}"/>
    <cellStyle name="Normal 746" xfId="51590" xr:uid="{00000000-0005-0000-0000-000011B60000}"/>
    <cellStyle name="Normal 747" xfId="51591" xr:uid="{00000000-0005-0000-0000-000012B60000}"/>
    <cellStyle name="Normal 748" xfId="51592" xr:uid="{00000000-0005-0000-0000-000013B60000}"/>
    <cellStyle name="Normal 749" xfId="51593" xr:uid="{00000000-0005-0000-0000-000014B60000}"/>
    <cellStyle name="Normal 75" xfId="3033" xr:uid="{00000000-0005-0000-0000-000015B60000}"/>
    <cellStyle name="Normal 75 2" xfId="3034" xr:uid="{00000000-0005-0000-0000-000016B60000}"/>
    <cellStyle name="Normal 75 2 2" xfId="3035" xr:uid="{00000000-0005-0000-0000-000017B60000}"/>
    <cellStyle name="Normal 75 2 2 2" xfId="5261" xr:uid="{00000000-0005-0000-0000-000018B60000}"/>
    <cellStyle name="Normal 75 2 2 3" xfId="52628" xr:uid="{00000000-0005-0000-0000-000019B60000}"/>
    <cellStyle name="Normal 75 2 3" xfId="5260" xr:uid="{00000000-0005-0000-0000-00001AB60000}"/>
    <cellStyle name="Normal 75 2 4" xfId="52627" xr:uid="{00000000-0005-0000-0000-00001BB60000}"/>
    <cellStyle name="Normal 75 2_BallGrid" xfId="3036" xr:uid="{00000000-0005-0000-0000-00001CB60000}"/>
    <cellStyle name="Normal 75 3" xfId="5259" xr:uid="{00000000-0005-0000-0000-00001DB60000}"/>
    <cellStyle name="Normal 75 4" xfId="52626" xr:uid="{00000000-0005-0000-0000-00001EB60000}"/>
    <cellStyle name="Normal 75_BallGrid" xfId="3037" xr:uid="{00000000-0005-0000-0000-00001FB60000}"/>
    <cellStyle name="Normal 750" xfId="51594" xr:uid="{00000000-0005-0000-0000-000020B60000}"/>
    <cellStyle name="Normal 751" xfId="51595" xr:uid="{00000000-0005-0000-0000-000021B60000}"/>
    <cellStyle name="Normal 752" xfId="51596" xr:uid="{00000000-0005-0000-0000-000022B60000}"/>
    <cellStyle name="Normal 753" xfId="51597" xr:uid="{00000000-0005-0000-0000-000023B60000}"/>
    <cellStyle name="Normal 754" xfId="51598" xr:uid="{00000000-0005-0000-0000-000024B60000}"/>
    <cellStyle name="Normal 755" xfId="51599" xr:uid="{00000000-0005-0000-0000-000025B60000}"/>
    <cellStyle name="Normal 756" xfId="51600" xr:uid="{00000000-0005-0000-0000-000026B60000}"/>
    <cellStyle name="Normal 757" xfId="51601" xr:uid="{00000000-0005-0000-0000-000027B60000}"/>
    <cellStyle name="Normal 758" xfId="51602" xr:uid="{00000000-0005-0000-0000-000028B60000}"/>
    <cellStyle name="Normal 759" xfId="51603" xr:uid="{00000000-0005-0000-0000-000029B60000}"/>
    <cellStyle name="Normal 76" xfId="3038" xr:uid="{00000000-0005-0000-0000-00002AB60000}"/>
    <cellStyle name="Normal 76 2" xfId="3039" xr:uid="{00000000-0005-0000-0000-00002BB60000}"/>
    <cellStyle name="Normal 76 2 10" xfId="52629" xr:uid="{00000000-0005-0000-0000-00002CB60000}"/>
    <cellStyle name="Normal 76 2 2" xfId="5262" xr:uid="{00000000-0005-0000-0000-00002DB60000}"/>
    <cellStyle name="Normal 76 2 2 2" xfId="8784" xr:uid="{00000000-0005-0000-0000-00002EB60000}"/>
    <cellStyle name="Normal 76 2 2 2 2" xfId="16580" xr:uid="{00000000-0005-0000-0000-00002FB60000}"/>
    <cellStyle name="Normal 76 2 2 2 2 2" xfId="34215" xr:uid="{00000000-0005-0000-0000-000030B60000}"/>
    <cellStyle name="Normal 76 2 2 2 3" xfId="27185" xr:uid="{00000000-0005-0000-0000-000031B60000}"/>
    <cellStyle name="Normal 76 2 2 3" xfId="13252" xr:uid="{00000000-0005-0000-0000-000032B60000}"/>
    <cellStyle name="Normal 76 2 2 3 2" xfId="30897" xr:uid="{00000000-0005-0000-0000-000033B60000}"/>
    <cellStyle name="Normal 76 2 2 4" xfId="24320" xr:uid="{00000000-0005-0000-0000-000034B60000}"/>
    <cellStyle name="Normal 76 2 3" xfId="6034" xr:uid="{00000000-0005-0000-0000-000035B60000}"/>
    <cellStyle name="Normal 76 2 3 2" xfId="9334" xr:uid="{00000000-0005-0000-0000-000036B60000}"/>
    <cellStyle name="Normal 76 2 3 2 2" xfId="17129" xr:uid="{00000000-0005-0000-0000-000037B60000}"/>
    <cellStyle name="Normal 76 2 3 2 2 2" xfId="34765" xr:uid="{00000000-0005-0000-0000-000038B60000}"/>
    <cellStyle name="Normal 76 2 3 2 3" xfId="27722" xr:uid="{00000000-0005-0000-0000-000039B60000}"/>
    <cellStyle name="Normal 76 2 3 3" xfId="13890" xr:uid="{00000000-0005-0000-0000-00003AB60000}"/>
    <cellStyle name="Normal 76 2 3 3 2" xfId="31530" xr:uid="{00000000-0005-0000-0000-00003BB60000}"/>
    <cellStyle name="Normal 76 2 3 4" xfId="24857" xr:uid="{00000000-0005-0000-0000-00003CB60000}"/>
    <cellStyle name="Normal 76 2 4" xfId="6664" xr:uid="{00000000-0005-0000-0000-00003DB60000}"/>
    <cellStyle name="Normal 76 2 4 2" xfId="9874" xr:uid="{00000000-0005-0000-0000-00003EB60000}"/>
    <cellStyle name="Normal 76 2 4 2 2" xfId="17668" xr:uid="{00000000-0005-0000-0000-00003FB60000}"/>
    <cellStyle name="Normal 76 2 4 2 2 2" xfId="35305" xr:uid="{00000000-0005-0000-0000-000040B60000}"/>
    <cellStyle name="Normal 76 2 4 2 3" xfId="28258" xr:uid="{00000000-0005-0000-0000-000041B60000}"/>
    <cellStyle name="Normal 76 2 4 3" xfId="14453" xr:uid="{00000000-0005-0000-0000-000042B60000}"/>
    <cellStyle name="Normal 76 2 4 3 2" xfId="32088" xr:uid="{00000000-0005-0000-0000-000043B60000}"/>
    <cellStyle name="Normal 76 2 4 4" xfId="25394" xr:uid="{00000000-0005-0000-0000-000044B60000}"/>
    <cellStyle name="Normal 76 2 5" xfId="7440" xr:uid="{00000000-0005-0000-0000-000045B60000}"/>
    <cellStyle name="Normal 76 2 5 2" xfId="10428" xr:uid="{00000000-0005-0000-0000-000046B60000}"/>
    <cellStyle name="Normal 76 2 5 2 2" xfId="18221" xr:uid="{00000000-0005-0000-0000-000047B60000}"/>
    <cellStyle name="Normal 76 2 5 2 2 2" xfId="35858" xr:uid="{00000000-0005-0000-0000-000048B60000}"/>
    <cellStyle name="Normal 76 2 5 2 3" xfId="28795" xr:uid="{00000000-0005-0000-0000-000049B60000}"/>
    <cellStyle name="Normal 76 2 5 3" xfId="15228" xr:uid="{00000000-0005-0000-0000-00004AB60000}"/>
    <cellStyle name="Normal 76 2 5 3 2" xfId="32863" xr:uid="{00000000-0005-0000-0000-00004BB60000}"/>
    <cellStyle name="Normal 76 2 5 4" xfId="25932" xr:uid="{00000000-0005-0000-0000-00004CB60000}"/>
    <cellStyle name="Normal 76 2 6" xfId="8062" xr:uid="{00000000-0005-0000-0000-00004DB60000}"/>
    <cellStyle name="Normal 76 2 6 2" xfId="15859" xr:uid="{00000000-0005-0000-0000-00004EB60000}"/>
    <cellStyle name="Normal 76 2 6 2 2" xfId="33494" xr:uid="{00000000-0005-0000-0000-00004FB60000}"/>
    <cellStyle name="Normal 76 2 6 3" xfId="26478" xr:uid="{00000000-0005-0000-0000-000050B60000}"/>
    <cellStyle name="Normal 76 2 7" xfId="12056" xr:uid="{00000000-0005-0000-0000-000051B60000}"/>
    <cellStyle name="Normal 76 2 7 2" xfId="29735" xr:uid="{00000000-0005-0000-0000-000052B60000}"/>
    <cellStyle name="Normal 76 2 8" xfId="21996" xr:uid="{00000000-0005-0000-0000-000053B60000}"/>
    <cellStyle name="Normal 76 2 8 2" xfId="38740" xr:uid="{00000000-0005-0000-0000-000054B60000}"/>
    <cellStyle name="Normal 76 2 9" xfId="23613" xr:uid="{00000000-0005-0000-0000-000055B60000}"/>
    <cellStyle name="Normal 76 3" xfId="3040" xr:uid="{00000000-0005-0000-0000-000056B60000}"/>
    <cellStyle name="Normal 76 3 2" xfId="3041" xr:uid="{00000000-0005-0000-0000-000057B60000}"/>
    <cellStyle name="Normal 76 3_Sheet1" xfId="3042" xr:uid="{00000000-0005-0000-0000-000058B60000}"/>
    <cellStyle name="Normal 76 4" xfId="3043" xr:uid="{00000000-0005-0000-0000-000059B60000}"/>
    <cellStyle name="Normal 76 5" xfId="23010" xr:uid="{00000000-0005-0000-0000-00005AB60000}"/>
    <cellStyle name="Normal 76 6" xfId="22583" xr:uid="{00000000-0005-0000-0000-00005BB60000}"/>
    <cellStyle name="Normal 76 7" xfId="22294" xr:uid="{00000000-0005-0000-0000-00005CB60000}"/>
    <cellStyle name="Normal 76_Sheet1" xfId="3044" xr:uid="{00000000-0005-0000-0000-00005DB60000}"/>
    <cellStyle name="Normal 760" xfId="51604" xr:uid="{00000000-0005-0000-0000-00005EB60000}"/>
    <cellStyle name="Normal 761" xfId="51605" xr:uid="{00000000-0005-0000-0000-00005FB60000}"/>
    <cellStyle name="Normal 762" xfId="51606" xr:uid="{00000000-0005-0000-0000-000060B60000}"/>
    <cellStyle name="Normal 763" xfId="51607" xr:uid="{00000000-0005-0000-0000-000061B60000}"/>
    <cellStyle name="Normal 764" xfId="51608" xr:uid="{00000000-0005-0000-0000-000062B60000}"/>
    <cellStyle name="Normal 765" xfId="51609" xr:uid="{00000000-0005-0000-0000-000063B60000}"/>
    <cellStyle name="Normal 766" xfId="51610" xr:uid="{00000000-0005-0000-0000-000064B60000}"/>
    <cellStyle name="Normal 767" xfId="51611" xr:uid="{00000000-0005-0000-0000-000065B60000}"/>
    <cellStyle name="Normal 768" xfId="51612" xr:uid="{00000000-0005-0000-0000-000066B60000}"/>
    <cellStyle name="Normal 769" xfId="51613" xr:uid="{00000000-0005-0000-0000-000067B60000}"/>
    <cellStyle name="Normal 77" xfId="132" xr:uid="{00000000-0005-0000-0000-000068B60000}"/>
    <cellStyle name="Normal 77 2" xfId="3045" xr:uid="{00000000-0005-0000-0000-000069B60000}"/>
    <cellStyle name="Normal 77 2 2" xfId="3046" xr:uid="{00000000-0005-0000-0000-00006AB60000}"/>
    <cellStyle name="Normal 77 2 2 2" xfId="5265" xr:uid="{00000000-0005-0000-0000-00006BB60000}"/>
    <cellStyle name="Normal 77 2 2 3" xfId="52632" xr:uid="{00000000-0005-0000-0000-00006CB60000}"/>
    <cellStyle name="Normal 77 2 3" xfId="5264" xr:uid="{00000000-0005-0000-0000-00006DB60000}"/>
    <cellStyle name="Normal 77 2 4" xfId="52631" xr:uid="{00000000-0005-0000-0000-00006EB60000}"/>
    <cellStyle name="Normal 77 2_BallGrid" xfId="3047" xr:uid="{00000000-0005-0000-0000-00006FB60000}"/>
    <cellStyle name="Normal 77 3" xfId="5263" xr:uid="{00000000-0005-0000-0000-000070B60000}"/>
    <cellStyle name="Normal 77 4" xfId="52630" xr:uid="{00000000-0005-0000-0000-000071B60000}"/>
    <cellStyle name="Normal 77_BallGrid" xfId="3048" xr:uid="{00000000-0005-0000-0000-000072B60000}"/>
    <cellStyle name="Normal 770" xfId="51614" xr:uid="{00000000-0005-0000-0000-000073B60000}"/>
    <cellStyle name="Normal 771" xfId="51615" xr:uid="{00000000-0005-0000-0000-000074B60000}"/>
    <cellStyle name="Normal 772" xfId="51616" xr:uid="{00000000-0005-0000-0000-000075B60000}"/>
    <cellStyle name="Normal 773" xfId="51617" xr:uid="{00000000-0005-0000-0000-000076B60000}"/>
    <cellStyle name="Normal 774" xfId="51618" xr:uid="{00000000-0005-0000-0000-000077B60000}"/>
    <cellStyle name="Normal 775" xfId="51619" xr:uid="{00000000-0005-0000-0000-000078B60000}"/>
    <cellStyle name="Normal 776" xfId="51620" xr:uid="{00000000-0005-0000-0000-000079B60000}"/>
    <cellStyle name="Normal 777" xfId="51621" xr:uid="{00000000-0005-0000-0000-00007AB60000}"/>
    <cellStyle name="Normal 778" xfId="51622" xr:uid="{00000000-0005-0000-0000-00007BB60000}"/>
    <cellStyle name="Normal 779" xfId="51623" xr:uid="{00000000-0005-0000-0000-00007CB60000}"/>
    <cellStyle name="Normal 78" xfId="3049" xr:uid="{00000000-0005-0000-0000-00007DB60000}"/>
    <cellStyle name="Normal 78 2" xfId="3050" xr:uid="{00000000-0005-0000-0000-00007EB60000}"/>
    <cellStyle name="Normal 78 2 10" xfId="52633" xr:uid="{00000000-0005-0000-0000-00007FB60000}"/>
    <cellStyle name="Normal 78 2 2" xfId="5266" xr:uid="{00000000-0005-0000-0000-000080B60000}"/>
    <cellStyle name="Normal 78 2 2 2" xfId="8785" xr:uid="{00000000-0005-0000-0000-000081B60000}"/>
    <cellStyle name="Normal 78 2 2 2 2" xfId="16581" xr:uid="{00000000-0005-0000-0000-000082B60000}"/>
    <cellStyle name="Normal 78 2 2 2 2 2" xfId="34216" xr:uid="{00000000-0005-0000-0000-000083B60000}"/>
    <cellStyle name="Normal 78 2 2 2 3" xfId="27186" xr:uid="{00000000-0005-0000-0000-000084B60000}"/>
    <cellStyle name="Normal 78 2 2 3" xfId="13253" xr:uid="{00000000-0005-0000-0000-000085B60000}"/>
    <cellStyle name="Normal 78 2 2 3 2" xfId="30898" xr:uid="{00000000-0005-0000-0000-000086B60000}"/>
    <cellStyle name="Normal 78 2 2 4" xfId="24321" xr:uid="{00000000-0005-0000-0000-000087B60000}"/>
    <cellStyle name="Normal 78 2 3" xfId="6035" xr:uid="{00000000-0005-0000-0000-000088B60000}"/>
    <cellStyle name="Normal 78 2 3 2" xfId="9335" xr:uid="{00000000-0005-0000-0000-000089B60000}"/>
    <cellStyle name="Normal 78 2 3 2 2" xfId="17130" xr:uid="{00000000-0005-0000-0000-00008AB60000}"/>
    <cellStyle name="Normal 78 2 3 2 2 2" xfId="34766" xr:uid="{00000000-0005-0000-0000-00008BB60000}"/>
    <cellStyle name="Normal 78 2 3 2 3" xfId="27723" xr:uid="{00000000-0005-0000-0000-00008CB60000}"/>
    <cellStyle name="Normal 78 2 3 3" xfId="13891" xr:uid="{00000000-0005-0000-0000-00008DB60000}"/>
    <cellStyle name="Normal 78 2 3 3 2" xfId="31531" xr:uid="{00000000-0005-0000-0000-00008EB60000}"/>
    <cellStyle name="Normal 78 2 3 4" xfId="24858" xr:uid="{00000000-0005-0000-0000-00008FB60000}"/>
    <cellStyle name="Normal 78 2 4" xfId="6665" xr:uid="{00000000-0005-0000-0000-000090B60000}"/>
    <cellStyle name="Normal 78 2 4 2" xfId="9875" xr:uid="{00000000-0005-0000-0000-000091B60000}"/>
    <cellStyle name="Normal 78 2 4 2 2" xfId="17669" xr:uid="{00000000-0005-0000-0000-000092B60000}"/>
    <cellStyle name="Normal 78 2 4 2 2 2" xfId="35306" xr:uid="{00000000-0005-0000-0000-000093B60000}"/>
    <cellStyle name="Normal 78 2 4 2 3" xfId="28259" xr:uid="{00000000-0005-0000-0000-000094B60000}"/>
    <cellStyle name="Normal 78 2 4 3" xfId="14454" xr:uid="{00000000-0005-0000-0000-000095B60000}"/>
    <cellStyle name="Normal 78 2 4 3 2" xfId="32089" xr:uid="{00000000-0005-0000-0000-000096B60000}"/>
    <cellStyle name="Normal 78 2 4 4" xfId="25395" xr:uid="{00000000-0005-0000-0000-000097B60000}"/>
    <cellStyle name="Normal 78 2 5" xfId="7441" xr:uid="{00000000-0005-0000-0000-000098B60000}"/>
    <cellStyle name="Normal 78 2 5 2" xfId="10429" xr:uid="{00000000-0005-0000-0000-000099B60000}"/>
    <cellStyle name="Normal 78 2 5 2 2" xfId="18222" xr:uid="{00000000-0005-0000-0000-00009AB60000}"/>
    <cellStyle name="Normal 78 2 5 2 2 2" xfId="35859" xr:uid="{00000000-0005-0000-0000-00009BB60000}"/>
    <cellStyle name="Normal 78 2 5 2 3" xfId="28796" xr:uid="{00000000-0005-0000-0000-00009CB60000}"/>
    <cellStyle name="Normal 78 2 5 3" xfId="15229" xr:uid="{00000000-0005-0000-0000-00009DB60000}"/>
    <cellStyle name="Normal 78 2 5 3 2" xfId="32864" xr:uid="{00000000-0005-0000-0000-00009EB60000}"/>
    <cellStyle name="Normal 78 2 5 4" xfId="25933" xr:uid="{00000000-0005-0000-0000-00009FB60000}"/>
    <cellStyle name="Normal 78 2 6" xfId="8063" xr:uid="{00000000-0005-0000-0000-0000A0B60000}"/>
    <cellStyle name="Normal 78 2 6 2" xfId="15860" xr:uid="{00000000-0005-0000-0000-0000A1B60000}"/>
    <cellStyle name="Normal 78 2 6 2 2" xfId="33495" xr:uid="{00000000-0005-0000-0000-0000A2B60000}"/>
    <cellStyle name="Normal 78 2 6 3" xfId="26479" xr:uid="{00000000-0005-0000-0000-0000A3B60000}"/>
    <cellStyle name="Normal 78 2 7" xfId="12061" xr:uid="{00000000-0005-0000-0000-0000A4B60000}"/>
    <cellStyle name="Normal 78 2 7 2" xfId="29740" xr:uid="{00000000-0005-0000-0000-0000A5B60000}"/>
    <cellStyle name="Normal 78 2 8" xfId="21997" xr:uid="{00000000-0005-0000-0000-0000A6B60000}"/>
    <cellStyle name="Normal 78 2 8 2" xfId="38741" xr:uid="{00000000-0005-0000-0000-0000A7B60000}"/>
    <cellStyle name="Normal 78 2 9" xfId="23614" xr:uid="{00000000-0005-0000-0000-0000A8B60000}"/>
    <cellStyle name="Normal 78 3" xfId="3051" xr:uid="{00000000-0005-0000-0000-0000A9B60000}"/>
    <cellStyle name="Normal 78 3 2" xfId="3052" xr:uid="{00000000-0005-0000-0000-0000AAB60000}"/>
    <cellStyle name="Normal 78 3_Sheet1" xfId="3053" xr:uid="{00000000-0005-0000-0000-0000ABB60000}"/>
    <cellStyle name="Normal 78 4" xfId="3054" xr:uid="{00000000-0005-0000-0000-0000ACB60000}"/>
    <cellStyle name="Normal 78 5" xfId="23011" xr:uid="{00000000-0005-0000-0000-0000ADB60000}"/>
    <cellStyle name="Normal 78 6" xfId="22584" xr:uid="{00000000-0005-0000-0000-0000AEB60000}"/>
    <cellStyle name="Normal 78 7" xfId="22892" xr:uid="{00000000-0005-0000-0000-0000AFB60000}"/>
    <cellStyle name="Normal 78_Sheet1" xfId="3055" xr:uid="{00000000-0005-0000-0000-0000B0B60000}"/>
    <cellStyle name="Normal 780" xfId="51624" xr:uid="{00000000-0005-0000-0000-0000B1B60000}"/>
    <cellStyle name="Normal 781" xfId="51625" xr:uid="{00000000-0005-0000-0000-0000B2B60000}"/>
    <cellStyle name="Normal 782" xfId="51626" xr:uid="{00000000-0005-0000-0000-0000B3B60000}"/>
    <cellStyle name="Normal 783" xfId="51627" xr:uid="{00000000-0005-0000-0000-0000B4B60000}"/>
    <cellStyle name="Normal 784" xfId="51628" xr:uid="{00000000-0005-0000-0000-0000B5B60000}"/>
    <cellStyle name="Normal 785" xfId="51629" xr:uid="{00000000-0005-0000-0000-0000B6B60000}"/>
    <cellStyle name="Normal 786" xfId="51630" xr:uid="{00000000-0005-0000-0000-0000B7B60000}"/>
    <cellStyle name="Normal 787" xfId="51631" xr:uid="{00000000-0005-0000-0000-0000B8B60000}"/>
    <cellStyle name="Normal 788" xfId="51632" xr:uid="{00000000-0005-0000-0000-0000B9B60000}"/>
    <cellStyle name="Normal 789" xfId="51633" xr:uid="{00000000-0005-0000-0000-0000BAB60000}"/>
    <cellStyle name="Normal 79" xfId="3056" xr:uid="{00000000-0005-0000-0000-0000BBB60000}"/>
    <cellStyle name="Normal 79 2" xfId="3057" xr:uid="{00000000-0005-0000-0000-0000BCB60000}"/>
    <cellStyle name="Normal 79 2 2" xfId="5268" xr:uid="{00000000-0005-0000-0000-0000BDB60000}"/>
    <cellStyle name="Normal 79 2 3" xfId="52635" xr:uid="{00000000-0005-0000-0000-0000BEB60000}"/>
    <cellStyle name="Normal 79 3" xfId="5267" xr:uid="{00000000-0005-0000-0000-0000BFB60000}"/>
    <cellStyle name="Normal 79 4" xfId="52634" xr:uid="{00000000-0005-0000-0000-0000C0B60000}"/>
    <cellStyle name="Normal 79_BallGrid" xfId="3058" xr:uid="{00000000-0005-0000-0000-0000C1B60000}"/>
    <cellStyle name="Normal 790" xfId="51634" xr:uid="{00000000-0005-0000-0000-0000C2B60000}"/>
    <cellStyle name="Normal 791" xfId="3447" xr:uid="{00000000-0005-0000-0000-0000C3B60000}"/>
    <cellStyle name="Normal 792" xfId="51635" xr:uid="{00000000-0005-0000-0000-0000C4B60000}"/>
    <cellStyle name="Normal 793" xfId="214" xr:uid="{00000000-0005-0000-0000-0000C5B60000}"/>
    <cellStyle name="Normal 794" xfId="52906" xr:uid="{00000000-0005-0000-0000-0000C6B60000}"/>
    <cellStyle name="Normal 8" xfId="189" xr:uid="{00000000-0005-0000-0000-0000C7B60000}"/>
    <cellStyle name="Normal 8 2" xfId="207" xr:uid="{00000000-0005-0000-0000-0000C8B60000}"/>
    <cellStyle name="Normal 8 2 2" xfId="3061" xr:uid="{00000000-0005-0000-0000-0000C9B60000}"/>
    <cellStyle name="Normal 8 2 3" xfId="3060" xr:uid="{00000000-0005-0000-0000-0000CAB60000}"/>
    <cellStyle name="Normal 8 2_Sheet1" xfId="3062" xr:uid="{00000000-0005-0000-0000-0000CBB60000}"/>
    <cellStyle name="Normal 8 3" xfId="200" xr:uid="{00000000-0005-0000-0000-0000CCB60000}"/>
    <cellStyle name="Normal 8 3 2" xfId="3063" xr:uid="{00000000-0005-0000-0000-0000CDB60000}"/>
    <cellStyle name="Normal 8 4" xfId="23012" xr:uid="{00000000-0005-0000-0000-0000CEB60000}"/>
    <cellStyle name="Normal 8 5" xfId="22585" xr:uid="{00000000-0005-0000-0000-0000CFB60000}"/>
    <cellStyle name="Normal 8 6" xfId="22891" xr:uid="{00000000-0005-0000-0000-0000D0B60000}"/>
    <cellStyle name="Normal 8 7" xfId="3059" xr:uid="{00000000-0005-0000-0000-0000D1B60000}"/>
    <cellStyle name="Normal 8 8" xfId="53259" xr:uid="{00000000-0005-0000-0000-0000D2B60000}"/>
    <cellStyle name="Normal 8 9" xfId="53368" xr:uid="{00000000-0005-0000-0000-0000D3B60000}"/>
    <cellStyle name="Normal 8_Sheet1" xfId="3064" xr:uid="{00000000-0005-0000-0000-0000D4B60000}"/>
    <cellStyle name="Normal 80" xfId="3065" xr:uid="{00000000-0005-0000-0000-0000D5B60000}"/>
    <cellStyle name="Normal 80 2" xfId="3066" xr:uid="{00000000-0005-0000-0000-0000D6B60000}"/>
    <cellStyle name="Normal 80 2 2" xfId="5270" xr:uid="{00000000-0005-0000-0000-0000D7B60000}"/>
    <cellStyle name="Normal 80 2 3" xfId="52637" xr:uid="{00000000-0005-0000-0000-0000D8B60000}"/>
    <cellStyle name="Normal 80 3" xfId="5269" xr:uid="{00000000-0005-0000-0000-0000D9B60000}"/>
    <cellStyle name="Normal 80 4" xfId="52636" xr:uid="{00000000-0005-0000-0000-0000DAB60000}"/>
    <cellStyle name="Normal 80_BallGrid" xfId="3067" xr:uid="{00000000-0005-0000-0000-0000DBB60000}"/>
    <cellStyle name="Normal 81" xfId="3068" xr:uid="{00000000-0005-0000-0000-0000DCB60000}"/>
    <cellStyle name="Normal 81 2" xfId="3069" xr:uid="{00000000-0005-0000-0000-0000DDB60000}"/>
    <cellStyle name="Normal 81 2 2" xfId="5272" xr:uid="{00000000-0005-0000-0000-0000DEB60000}"/>
    <cellStyle name="Normal 81 2 3" xfId="52639" xr:uid="{00000000-0005-0000-0000-0000DFB60000}"/>
    <cellStyle name="Normal 81 3" xfId="5271" xr:uid="{00000000-0005-0000-0000-0000E0B60000}"/>
    <cellStyle name="Normal 81 4" xfId="52638" xr:uid="{00000000-0005-0000-0000-0000E1B60000}"/>
    <cellStyle name="Normal 81_BallGrid" xfId="3070" xr:uid="{00000000-0005-0000-0000-0000E2B60000}"/>
    <cellStyle name="Normal 82" xfId="3071" xr:uid="{00000000-0005-0000-0000-0000E3B60000}"/>
    <cellStyle name="Normal 82 2" xfId="3072" xr:uid="{00000000-0005-0000-0000-0000E4B60000}"/>
    <cellStyle name="Normal 82 2 10" xfId="52640" xr:uid="{00000000-0005-0000-0000-0000E5B60000}"/>
    <cellStyle name="Normal 82 2 2" xfId="5273" xr:uid="{00000000-0005-0000-0000-0000E6B60000}"/>
    <cellStyle name="Normal 82 2 2 2" xfId="8786" xr:uid="{00000000-0005-0000-0000-0000E7B60000}"/>
    <cellStyle name="Normal 82 2 2 2 2" xfId="16582" xr:uid="{00000000-0005-0000-0000-0000E8B60000}"/>
    <cellStyle name="Normal 82 2 2 2 2 2" xfId="34217" xr:uid="{00000000-0005-0000-0000-0000E9B60000}"/>
    <cellStyle name="Normal 82 2 2 2 3" xfId="27187" xr:uid="{00000000-0005-0000-0000-0000EAB60000}"/>
    <cellStyle name="Normal 82 2 2 3" xfId="13255" xr:uid="{00000000-0005-0000-0000-0000EBB60000}"/>
    <cellStyle name="Normal 82 2 2 3 2" xfId="30900" xr:uid="{00000000-0005-0000-0000-0000ECB60000}"/>
    <cellStyle name="Normal 82 2 2 4" xfId="24322" xr:uid="{00000000-0005-0000-0000-0000EDB60000}"/>
    <cellStyle name="Normal 82 2 3" xfId="6036" xr:uid="{00000000-0005-0000-0000-0000EEB60000}"/>
    <cellStyle name="Normal 82 2 3 2" xfId="9336" xr:uid="{00000000-0005-0000-0000-0000EFB60000}"/>
    <cellStyle name="Normal 82 2 3 2 2" xfId="17131" xr:uid="{00000000-0005-0000-0000-0000F0B60000}"/>
    <cellStyle name="Normal 82 2 3 2 2 2" xfId="34767" xr:uid="{00000000-0005-0000-0000-0000F1B60000}"/>
    <cellStyle name="Normal 82 2 3 2 3" xfId="27724" xr:uid="{00000000-0005-0000-0000-0000F2B60000}"/>
    <cellStyle name="Normal 82 2 3 3" xfId="13892" xr:uid="{00000000-0005-0000-0000-0000F3B60000}"/>
    <cellStyle name="Normal 82 2 3 3 2" xfId="31532" xr:uid="{00000000-0005-0000-0000-0000F4B60000}"/>
    <cellStyle name="Normal 82 2 3 4" xfId="24859" xr:uid="{00000000-0005-0000-0000-0000F5B60000}"/>
    <cellStyle name="Normal 82 2 4" xfId="6666" xr:uid="{00000000-0005-0000-0000-0000F6B60000}"/>
    <cellStyle name="Normal 82 2 4 2" xfId="9876" xr:uid="{00000000-0005-0000-0000-0000F7B60000}"/>
    <cellStyle name="Normal 82 2 4 2 2" xfId="17670" xr:uid="{00000000-0005-0000-0000-0000F8B60000}"/>
    <cellStyle name="Normal 82 2 4 2 2 2" xfId="35307" xr:uid="{00000000-0005-0000-0000-0000F9B60000}"/>
    <cellStyle name="Normal 82 2 4 2 3" xfId="28260" xr:uid="{00000000-0005-0000-0000-0000FAB60000}"/>
    <cellStyle name="Normal 82 2 4 3" xfId="14455" xr:uid="{00000000-0005-0000-0000-0000FBB60000}"/>
    <cellStyle name="Normal 82 2 4 3 2" xfId="32090" xr:uid="{00000000-0005-0000-0000-0000FCB60000}"/>
    <cellStyle name="Normal 82 2 4 4" xfId="25396" xr:uid="{00000000-0005-0000-0000-0000FDB60000}"/>
    <cellStyle name="Normal 82 2 5" xfId="7442" xr:uid="{00000000-0005-0000-0000-0000FEB60000}"/>
    <cellStyle name="Normal 82 2 5 2" xfId="10430" xr:uid="{00000000-0005-0000-0000-0000FFB60000}"/>
    <cellStyle name="Normal 82 2 5 2 2" xfId="18223" xr:uid="{00000000-0005-0000-0000-000000B70000}"/>
    <cellStyle name="Normal 82 2 5 2 2 2" xfId="35860" xr:uid="{00000000-0005-0000-0000-000001B70000}"/>
    <cellStyle name="Normal 82 2 5 2 3" xfId="28797" xr:uid="{00000000-0005-0000-0000-000002B70000}"/>
    <cellStyle name="Normal 82 2 5 3" xfId="15230" xr:uid="{00000000-0005-0000-0000-000003B70000}"/>
    <cellStyle name="Normal 82 2 5 3 2" xfId="32865" xr:uid="{00000000-0005-0000-0000-000004B70000}"/>
    <cellStyle name="Normal 82 2 5 4" xfId="25934" xr:uid="{00000000-0005-0000-0000-000005B70000}"/>
    <cellStyle name="Normal 82 2 6" xfId="8064" xr:uid="{00000000-0005-0000-0000-000006B70000}"/>
    <cellStyle name="Normal 82 2 6 2" xfId="15861" xr:uid="{00000000-0005-0000-0000-000007B70000}"/>
    <cellStyle name="Normal 82 2 6 2 2" xfId="33496" xr:uid="{00000000-0005-0000-0000-000008B70000}"/>
    <cellStyle name="Normal 82 2 6 3" xfId="26480" xr:uid="{00000000-0005-0000-0000-000009B70000}"/>
    <cellStyle name="Normal 82 2 7" xfId="12065" xr:uid="{00000000-0005-0000-0000-00000AB70000}"/>
    <cellStyle name="Normal 82 2 7 2" xfId="29743" xr:uid="{00000000-0005-0000-0000-00000BB70000}"/>
    <cellStyle name="Normal 82 2 8" xfId="21998" xr:uid="{00000000-0005-0000-0000-00000CB70000}"/>
    <cellStyle name="Normal 82 2 8 2" xfId="38742" xr:uid="{00000000-0005-0000-0000-00000DB70000}"/>
    <cellStyle name="Normal 82 2 9" xfId="23615" xr:uid="{00000000-0005-0000-0000-00000EB70000}"/>
    <cellStyle name="Normal 82 3" xfId="3073" xr:uid="{00000000-0005-0000-0000-00000FB70000}"/>
    <cellStyle name="Normal 82 3 2" xfId="3074" xr:uid="{00000000-0005-0000-0000-000010B70000}"/>
    <cellStyle name="Normal 82 3_Sheet1" xfId="3075" xr:uid="{00000000-0005-0000-0000-000011B70000}"/>
    <cellStyle name="Normal 82 4" xfId="3076" xr:uid="{00000000-0005-0000-0000-000012B70000}"/>
    <cellStyle name="Normal 82 5" xfId="23013" xr:uid="{00000000-0005-0000-0000-000013B70000}"/>
    <cellStyle name="Normal 82 6" xfId="22586" xr:uid="{00000000-0005-0000-0000-000014B70000}"/>
    <cellStyle name="Normal 82 7" xfId="22890" xr:uid="{00000000-0005-0000-0000-000015B70000}"/>
    <cellStyle name="Normal 82_Sheet1" xfId="3077" xr:uid="{00000000-0005-0000-0000-000016B70000}"/>
    <cellStyle name="Normal 83" xfId="3078" xr:uid="{00000000-0005-0000-0000-000017B70000}"/>
    <cellStyle name="Normal 83 2" xfId="3079" xr:uid="{00000000-0005-0000-0000-000018B70000}"/>
    <cellStyle name="Normal 83 2 10" xfId="52641" xr:uid="{00000000-0005-0000-0000-000019B70000}"/>
    <cellStyle name="Normal 83 2 2" xfId="5274" xr:uid="{00000000-0005-0000-0000-00001AB70000}"/>
    <cellStyle name="Normal 83 2 2 2" xfId="8787" xr:uid="{00000000-0005-0000-0000-00001BB70000}"/>
    <cellStyle name="Normal 83 2 2 2 2" xfId="16583" xr:uid="{00000000-0005-0000-0000-00001CB70000}"/>
    <cellStyle name="Normal 83 2 2 2 2 2" xfId="34218" xr:uid="{00000000-0005-0000-0000-00001DB70000}"/>
    <cellStyle name="Normal 83 2 2 2 3" xfId="27188" xr:uid="{00000000-0005-0000-0000-00001EB70000}"/>
    <cellStyle name="Normal 83 2 2 3" xfId="13256" xr:uid="{00000000-0005-0000-0000-00001FB70000}"/>
    <cellStyle name="Normal 83 2 2 3 2" xfId="30901" xr:uid="{00000000-0005-0000-0000-000020B70000}"/>
    <cellStyle name="Normal 83 2 2 4" xfId="24323" xr:uid="{00000000-0005-0000-0000-000021B70000}"/>
    <cellStyle name="Normal 83 2 3" xfId="6037" xr:uid="{00000000-0005-0000-0000-000022B70000}"/>
    <cellStyle name="Normal 83 2 3 2" xfId="9337" xr:uid="{00000000-0005-0000-0000-000023B70000}"/>
    <cellStyle name="Normal 83 2 3 2 2" xfId="17132" xr:uid="{00000000-0005-0000-0000-000024B70000}"/>
    <cellStyle name="Normal 83 2 3 2 2 2" xfId="34768" xr:uid="{00000000-0005-0000-0000-000025B70000}"/>
    <cellStyle name="Normal 83 2 3 2 3" xfId="27725" xr:uid="{00000000-0005-0000-0000-000026B70000}"/>
    <cellStyle name="Normal 83 2 3 3" xfId="13893" xr:uid="{00000000-0005-0000-0000-000027B70000}"/>
    <cellStyle name="Normal 83 2 3 3 2" xfId="31533" xr:uid="{00000000-0005-0000-0000-000028B70000}"/>
    <cellStyle name="Normal 83 2 3 4" xfId="24860" xr:uid="{00000000-0005-0000-0000-000029B70000}"/>
    <cellStyle name="Normal 83 2 4" xfId="6667" xr:uid="{00000000-0005-0000-0000-00002AB70000}"/>
    <cellStyle name="Normal 83 2 4 2" xfId="9877" xr:uid="{00000000-0005-0000-0000-00002BB70000}"/>
    <cellStyle name="Normal 83 2 4 2 2" xfId="17671" xr:uid="{00000000-0005-0000-0000-00002CB70000}"/>
    <cellStyle name="Normal 83 2 4 2 2 2" xfId="35308" xr:uid="{00000000-0005-0000-0000-00002DB70000}"/>
    <cellStyle name="Normal 83 2 4 2 3" xfId="28261" xr:uid="{00000000-0005-0000-0000-00002EB70000}"/>
    <cellStyle name="Normal 83 2 4 3" xfId="14456" xr:uid="{00000000-0005-0000-0000-00002FB70000}"/>
    <cellStyle name="Normal 83 2 4 3 2" xfId="32091" xr:uid="{00000000-0005-0000-0000-000030B70000}"/>
    <cellStyle name="Normal 83 2 4 4" xfId="25397" xr:uid="{00000000-0005-0000-0000-000031B70000}"/>
    <cellStyle name="Normal 83 2 5" xfId="7443" xr:uid="{00000000-0005-0000-0000-000032B70000}"/>
    <cellStyle name="Normal 83 2 5 2" xfId="10431" xr:uid="{00000000-0005-0000-0000-000033B70000}"/>
    <cellStyle name="Normal 83 2 5 2 2" xfId="18224" xr:uid="{00000000-0005-0000-0000-000034B70000}"/>
    <cellStyle name="Normal 83 2 5 2 2 2" xfId="35861" xr:uid="{00000000-0005-0000-0000-000035B70000}"/>
    <cellStyle name="Normal 83 2 5 2 3" xfId="28798" xr:uid="{00000000-0005-0000-0000-000036B70000}"/>
    <cellStyle name="Normal 83 2 5 3" xfId="15231" xr:uid="{00000000-0005-0000-0000-000037B70000}"/>
    <cellStyle name="Normal 83 2 5 3 2" xfId="32866" xr:uid="{00000000-0005-0000-0000-000038B70000}"/>
    <cellStyle name="Normal 83 2 5 4" xfId="25935" xr:uid="{00000000-0005-0000-0000-000039B70000}"/>
    <cellStyle name="Normal 83 2 6" xfId="8065" xr:uid="{00000000-0005-0000-0000-00003AB70000}"/>
    <cellStyle name="Normal 83 2 6 2" xfId="15862" xr:uid="{00000000-0005-0000-0000-00003BB70000}"/>
    <cellStyle name="Normal 83 2 6 2 2" xfId="33497" xr:uid="{00000000-0005-0000-0000-00003CB70000}"/>
    <cellStyle name="Normal 83 2 6 3" xfId="26481" xr:uid="{00000000-0005-0000-0000-00003DB70000}"/>
    <cellStyle name="Normal 83 2 7" xfId="12066" xr:uid="{00000000-0005-0000-0000-00003EB70000}"/>
    <cellStyle name="Normal 83 2 7 2" xfId="29744" xr:uid="{00000000-0005-0000-0000-00003FB70000}"/>
    <cellStyle name="Normal 83 2 8" xfId="21999" xr:uid="{00000000-0005-0000-0000-000040B70000}"/>
    <cellStyle name="Normal 83 2 8 2" xfId="38743" xr:uid="{00000000-0005-0000-0000-000041B70000}"/>
    <cellStyle name="Normal 83 2 9" xfId="23616" xr:uid="{00000000-0005-0000-0000-000042B70000}"/>
    <cellStyle name="Normal 83 3" xfId="3080" xr:uid="{00000000-0005-0000-0000-000043B70000}"/>
    <cellStyle name="Normal 83 3 2" xfId="3081" xr:uid="{00000000-0005-0000-0000-000044B70000}"/>
    <cellStyle name="Normal 83 3_Sheet1" xfId="3082" xr:uid="{00000000-0005-0000-0000-000045B70000}"/>
    <cellStyle name="Normal 83 4" xfId="3083" xr:uid="{00000000-0005-0000-0000-000046B70000}"/>
    <cellStyle name="Normal 83 5" xfId="23014" xr:uid="{00000000-0005-0000-0000-000047B70000}"/>
    <cellStyle name="Normal 83 6" xfId="22587" xr:uid="{00000000-0005-0000-0000-000048B70000}"/>
    <cellStyle name="Normal 83 7" xfId="22889" xr:uid="{00000000-0005-0000-0000-000049B70000}"/>
    <cellStyle name="Normal 83_Sheet1" xfId="3084" xr:uid="{00000000-0005-0000-0000-00004AB70000}"/>
    <cellStyle name="Normal 84" xfId="3085" xr:uid="{00000000-0005-0000-0000-00004BB70000}"/>
    <cellStyle name="Normal 84 2" xfId="3086" xr:uid="{00000000-0005-0000-0000-00004CB70000}"/>
    <cellStyle name="Normal 84 2 10" xfId="52642" xr:uid="{00000000-0005-0000-0000-00004DB70000}"/>
    <cellStyle name="Normal 84 2 2" xfId="5275" xr:uid="{00000000-0005-0000-0000-00004EB70000}"/>
    <cellStyle name="Normal 84 2 2 2" xfId="8788" xr:uid="{00000000-0005-0000-0000-00004FB70000}"/>
    <cellStyle name="Normal 84 2 2 2 2" xfId="16584" xr:uid="{00000000-0005-0000-0000-000050B70000}"/>
    <cellStyle name="Normal 84 2 2 2 2 2" xfId="34219" xr:uid="{00000000-0005-0000-0000-000051B70000}"/>
    <cellStyle name="Normal 84 2 2 2 3" xfId="27189" xr:uid="{00000000-0005-0000-0000-000052B70000}"/>
    <cellStyle name="Normal 84 2 2 3" xfId="13257" xr:uid="{00000000-0005-0000-0000-000053B70000}"/>
    <cellStyle name="Normal 84 2 2 3 2" xfId="30902" xr:uid="{00000000-0005-0000-0000-000054B70000}"/>
    <cellStyle name="Normal 84 2 2 4" xfId="24324" xr:uid="{00000000-0005-0000-0000-000055B70000}"/>
    <cellStyle name="Normal 84 2 3" xfId="6038" xr:uid="{00000000-0005-0000-0000-000056B70000}"/>
    <cellStyle name="Normal 84 2 3 2" xfId="9338" xr:uid="{00000000-0005-0000-0000-000057B70000}"/>
    <cellStyle name="Normal 84 2 3 2 2" xfId="17133" xr:uid="{00000000-0005-0000-0000-000058B70000}"/>
    <cellStyle name="Normal 84 2 3 2 2 2" xfId="34769" xr:uid="{00000000-0005-0000-0000-000059B70000}"/>
    <cellStyle name="Normal 84 2 3 2 3" xfId="27726" xr:uid="{00000000-0005-0000-0000-00005AB70000}"/>
    <cellStyle name="Normal 84 2 3 3" xfId="13894" xr:uid="{00000000-0005-0000-0000-00005BB70000}"/>
    <cellStyle name="Normal 84 2 3 3 2" xfId="31534" xr:uid="{00000000-0005-0000-0000-00005CB70000}"/>
    <cellStyle name="Normal 84 2 3 4" xfId="24861" xr:uid="{00000000-0005-0000-0000-00005DB70000}"/>
    <cellStyle name="Normal 84 2 4" xfId="6668" xr:uid="{00000000-0005-0000-0000-00005EB70000}"/>
    <cellStyle name="Normal 84 2 4 2" xfId="9878" xr:uid="{00000000-0005-0000-0000-00005FB70000}"/>
    <cellStyle name="Normal 84 2 4 2 2" xfId="17672" xr:uid="{00000000-0005-0000-0000-000060B70000}"/>
    <cellStyle name="Normal 84 2 4 2 2 2" xfId="35309" xr:uid="{00000000-0005-0000-0000-000061B70000}"/>
    <cellStyle name="Normal 84 2 4 2 3" xfId="28262" xr:uid="{00000000-0005-0000-0000-000062B70000}"/>
    <cellStyle name="Normal 84 2 4 3" xfId="14457" xr:uid="{00000000-0005-0000-0000-000063B70000}"/>
    <cellStyle name="Normal 84 2 4 3 2" xfId="32092" xr:uid="{00000000-0005-0000-0000-000064B70000}"/>
    <cellStyle name="Normal 84 2 4 4" xfId="25398" xr:uid="{00000000-0005-0000-0000-000065B70000}"/>
    <cellStyle name="Normal 84 2 5" xfId="7444" xr:uid="{00000000-0005-0000-0000-000066B70000}"/>
    <cellStyle name="Normal 84 2 5 2" xfId="10432" xr:uid="{00000000-0005-0000-0000-000067B70000}"/>
    <cellStyle name="Normal 84 2 5 2 2" xfId="18225" xr:uid="{00000000-0005-0000-0000-000068B70000}"/>
    <cellStyle name="Normal 84 2 5 2 2 2" xfId="35862" xr:uid="{00000000-0005-0000-0000-000069B70000}"/>
    <cellStyle name="Normal 84 2 5 2 3" xfId="28799" xr:uid="{00000000-0005-0000-0000-00006AB70000}"/>
    <cellStyle name="Normal 84 2 5 3" xfId="15232" xr:uid="{00000000-0005-0000-0000-00006BB70000}"/>
    <cellStyle name="Normal 84 2 5 3 2" xfId="32867" xr:uid="{00000000-0005-0000-0000-00006CB70000}"/>
    <cellStyle name="Normal 84 2 5 4" xfId="25936" xr:uid="{00000000-0005-0000-0000-00006DB70000}"/>
    <cellStyle name="Normal 84 2 6" xfId="8066" xr:uid="{00000000-0005-0000-0000-00006EB70000}"/>
    <cellStyle name="Normal 84 2 6 2" xfId="15863" xr:uid="{00000000-0005-0000-0000-00006FB70000}"/>
    <cellStyle name="Normal 84 2 6 2 2" xfId="33498" xr:uid="{00000000-0005-0000-0000-000070B70000}"/>
    <cellStyle name="Normal 84 2 6 3" xfId="26482" xr:uid="{00000000-0005-0000-0000-000071B70000}"/>
    <cellStyle name="Normal 84 2 7" xfId="12068" xr:uid="{00000000-0005-0000-0000-000072B70000}"/>
    <cellStyle name="Normal 84 2 7 2" xfId="29746" xr:uid="{00000000-0005-0000-0000-000073B70000}"/>
    <cellStyle name="Normal 84 2 8" xfId="22000" xr:uid="{00000000-0005-0000-0000-000074B70000}"/>
    <cellStyle name="Normal 84 2 8 2" xfId="38744" xr:uid="{00000000-0005-0000-0000-000075B70000}"/>
    <cellStyle name="Normal 84 2 9" xfId="23617" xr:uid="{00000000-0005-0000-0000-000076B70000}"/>
    <cellStyle name="Normal 84 3" xfId="3087" xr:uid="{00000000-0005-0000-0000-000077B70000}"/>
    <cellStyle name="Normal 84 3 2" xfId="3088" xr:uid="{00000000-0005-0000-0000-000078B70000}"/>
    <cellStyle name="Normal 84 3_Sheet1" xfId="3089" xr:uid="{00000000-0005-0000-0000-000079B70000}"/>
    <cellStyle name="Normal 84 4" xfId="3090" xr:uid="{00000000-0005-0000-0000-00007AB70000}"/>
    <cellStyle name="Normal 84 5" xfId="23015" xr:uid="{00000000-0005-0000-0000-00007BB70000}"/>
    <cellStyle name="Normal 84 6" xfId="22588" xr:uid="{00000000-0005-0000-0000-00007CB70000}"/>
    <cellStyle name="Normal 84 7" xfId="22888" xr:uid="{00000000-0005-0000-0000-00007DB70000}"/>
    <cellStyle name="Normal 84_Sheet1" xfId="3091" xr:uid="{00000000-0005-0000-0000-00007EB70000}"/>
    <cellStyle name="Normal 85" xfId="3092" xr:uid="{00000000-0005-0000-0000-00007FB70000}"/>
    <cellStyle name="Normal 85 2" xfId="3093" xr:uid="{00000000-0005-0000-0000-000080B70000}"/>
    <cellStyle name="Normal 85 2 10" xfId="52643" xr:uid="{00000000-0005-0000-0000-000081B70000}"/>
    <cellStyle name="Normal 85 2 2" xfId="5276" xr:uid="{00000000-0005-0000-0000-000082B70000}"/>
    <cellStyle name="Normal 85 2 2 2" xfId="8789" xr:uid="{00000000-0005-0000-0000-000083B70000}"/>
    <cellStyle name="Normal 85 2 2 2 2" xfId="16585" xr:uid="{00000000-0005-0000-0000-000084B70000}"/>
    <cellStyle name="Normal 85 2 2 2 2 2" xfId="34220" xr:uid="{00000000-0005-0000-0000-000085B70000}"/>
    <cellStyle name="Normal 85 2 2 2 3" xfId="27190" xr:uid="{00000000-0005-0000-0000-000086B70000}"/>
    <cellStyle name="Normal 85 2 2 3" xfId="13258" xr:uid="{00000000-0005-0000-0000-000087B70000}"/>
    <cellStyle name="Normal 85 2 2 3 2" xfId="30903" xr:uid="{00000000-0005-0000-0000-000088B70000}"/>
    <cellStyle name="Normal 85 2 2 4" xfId="24325" xr:uid="{00000000-0005-0000-0000-000089B70000}"/>
    <cellStyle name="Normal 85 2 3" xfId="6039" xr:uid="{00000000-0005-0000-0000-00008AB70000}"/>
    <cellStyle name="Normal 85 2 3 2" xfId="9339" xr:uid="{00000000-0005-0000-0000-00008BB70000}"/>
    <cellStyle name="Normal 85 2 3 2 2" xfId="17134" xr:uid="{00000000-0005-0000-0000-00008CB70000}"/>
    <cellStyle name="Normal 85 2 3 2 2 2" xfId="34770" xr:uid="{00000000-0005-0000-0000-00008DB70000}"/>
    <cellStyle name="Normal 85 2 3 2 3" xfId="27727" xr:uid="{00000000-0005-0000-0000-00008EB70000}"/>
    <cellStyle name="Normal 85 2 3 3" xfId="13895" xr:uid="{00000000-0005-0000-0000-00008FB70000}"/>
    <cellStyle name="Normal 85 2 3 3 2" xfId="31535" xr:uid="{00000000-0005-0000-0000-000090B70000}"/>
    <cellStyle name="Normal 85 2 3 4" xfId="24862" xr:uid="{00000000-0005-0000-0000-000091B70000}"/>
    <cellStyle name="Normal 85 2 4" xfId="6669" xr:uid="{00000000-0005-0000-0000-000092B70000}"/>
    <cellStyle name="Normal 85 2 4 2" xfId="9879" xr:uid="{00000000-0005-0000-0000-000093B70000}"/>
    <cellStyle name="Normal 85 2 4 2 2" xfId="17673" xr:uid="{00000000-0005-0000-0000-000094B70000}"/>
    <cellStyle name="Normal 85 2 4 2 2 2" xfId="35310" xr:uid="{00000000-0005-0000-0000-000095B70000}"/>
    <cellStyle name="Normal 85 2 4 2 3" xfId="28263" xr:uid="{00000000-0005-0000-0000-000096B70000}"/>
    <cellStyle name="Normal 85 2 4 3" xfId="14458" xr:uid="{00000000-0005-0000-0000-000097B70000}"/>
    <cellStyle name="Normal 85 2 4 3 2" xfId="32093" xr:uid="{00000000-0005-0000-0000-000098B70000}"/>
    <cellStyle name="Normal 85 2 4 4" xfId="25399" xr:uid="{00000000-0005-0000-0000-000099B70000}"/>
    <cellStyle name="Normal 85 2 5" xfId="7445" xr:uid="{00000000-0005-0000-0000-00009AB70000}"/>
    <cellStyle name="Normal 85 2 5 2" xfId="10433" xr:uid="{00000000-0005-0000-0000-00009BB70000}"/>
    <cellStyle name="Normal 85 2 5 2 2" xfId="18226" xr:uid="{00000000-0005-0000-0000-00009CB70000}"/>
    <cellStyle name="Normal 85 2 5 2 2 2" xfId="35863" xr:uid="{00000000-0005-0000-0000-00009DB70000}"/>
    <cellStyle name="Normal 85 2 5 2 3" xfId="28800" xr:uid="{00000000-0005-0000-0000-00009EB70000}"/>
    <cellStyle name="Normal 85 2 5 3" xfId="15233" xr:uid="{00000000-0005-0000-0000-00009FB70000}"/>
    <cellStyle name="Normal 85 2 5 3 2" xfId="32868" xr:uid="{00000000-0005-0000-0000-0000A0B70000}"/>
    <cellStyle name="Normal 85 2 5 4" xfId="25937" xr:uid="{00000000-0005-0000-0000-0000A1B70000}"/>
    <cellStyle name="Normal 85 2 6" xfId="8067" xr:uid="{00000000-0005-0000-0000-0000A2B70000}"/>
    <cellStyle name="Normal 85 2 6 2" xfId="15864" xr:uid="{00000000-0005-0000-0000-0000A3B70000}"/>
    <cellStyle name="Normal 85 2 6 2 2" xfId="33499" xr:uid="{00000000-0005-0000-0000-0000A4B70000}"/>
    <cellStyle name="Normal 85 2 6 3" xfId="26483" xr:uid="{00000000-0005-0000-0000-0000A5B70000}"/>
    <cellStyle name="Normal 85 2 7" xfId="12070" xr:uid="{00000000-0005-0000-0000-0000A6B70000}"/>
    <cellStyle name="Normal 85 2 7 2" xfId="29748" xr:uid="{00000000-0005-0000-0000-0000A7B70000}"/>
    <cellStyle name="Normal 85 2 8" xfId="22001" xr:uid="{00000000-0005-0000-0000-0000A8B70000}"/>
    <cellStyle name="Normal 85 2 8 2" xfId="38745" xr:uid="{00000000-0005-0000-0000-0000A9B70000}"/>
    <cellStyle name="Normal 85 2 9" xfId="23618" xr:uid="{00000000-0005-0000-0000-0000AAB70000}"/>
    <cellStyle name="Normal 85 3" xfId="3094" xr:uid="{00000000-0005-0000-0000-0000ABB70000}"/>
    <cellStyle name="Normal 85 3 2" xfId="3095" xr:uid="{00000000-0005-0000-0000-0000ACB70000}"/>
    <cellStyle name="Normal 85 3_Sheet1" xfId="3096" xr:uid="{00000000-0005-0000-0000-0000ADB70000}"/>
    <cellStyle name="Normal 85 4" xfId="3097" xr:uid="{00000000-0005-0000-0000-0000AEB70000}"/>
    <cellStyle name="Normal 85 5" xfId="23016" xr:uid="{00000000-0005-0000-0000-0000AFB70000}"/>
    <cellStyle name="Normal 85 6" xfId="22589" xr:uid="{00000000-0005-0000-0000-0000B0B70000}"/>
    <cellStyle name="Normal 85 7" xfId="22887" xr:uid="{00000000-0005-0000-0000-0000B1B70000}"/>
    <cellStyle name="Normal 85_Sheet1" xfId="3098" xr:uid="{00000000-0005-0000-0000-0000B2B70000}"/>
    <cellStyle name="Normal 86" xfId="3099" xr:uid="{00000000-0005-0000-0000-0000B3B70000}"/>
    <cellStyle name="Normal 86 2" xfId="3100" xr:uid="{00000000-0005-0000-0000-0000B4B70000}"/>
    <cellStyle name="Normal 86 2 10" xfId="52644" xr:uid="{00000000-0005-0000-0000-0000B5B70000}"/>
    <cellStyle name="Normal 86 2 2" xfId="5277" xr:uid="{00000000-0005-0000-0000-0000B6B70000}"/>
    <cellStyle name="Normal 86 2 2 2" xfId="8790" xr:uid="{00000000-0005-0000-0000-0000B7B70000}"/>
    <cellStyle name="Normal 86 2 2 2 2" xfId="16586" xr:uid="{00000000-0005-0000-0000-0000B8B70000}"/>
    <cellStyle name="Normal 86 2 2 2 2 2" xfId="34221" xr:uid="{00000000-0005-0000-0000-0000B9B70000}"/>
    <cellStyle name="Normal 86 2 2 2 3" xfId="27191" xr:uid="{00000000-0005-0000-0000-0000BAB70000}"/>
    <cellStyle name="Normal 86 2 2 3" xfId="13259" xr:uid="{00000000-0005-0000-0000-0000BBB70000}"/>
    <cellStyle name="Normal 86 2 2 3 2" xfId="30904" xr:uid="{00000000-0005-0000-0000-0000BCB70000}"/>
    <cellStyle name="Normal 86 2 2 4" xfId="24326" xr:uid="{00000000-0005-0000-0000-0000BDB70000}"/>
    <cellStyle name="Normal 86 2 3" xfId="6040" xr:uid="{00000000-0005-0000-0000-0000BEB70000}"/>
    <cellStyle name="Normal 86 2 3 2" xfId="9340" xr:uid="{00000000-0005-0000-0000-0000BFB70000}"/>
    <cellStyle name="Normal 86 2 3 2 2" xfId="17135" xr:uid="{00000000-0005-0000-0000-0000C0B70000}"/>
    <cellStyle name="Normal 86 2 3 2 2 2" xfId="34771" xr:uid="{00000000-0005-0000-0000-0000C1B70000}"/>
    <cellStyle name="Normal 86 2 3 2 3" xfId="27728" xr:uid="{00000000-0005-0000-0000-0000C2B70000}"/>
    <cellStyle name="Normal 86 2 3 3" xfId="13896" xr:uid="{00000000-0005-0000-0000-0000C3B70000}"/>
    <cellStyle name="Normal 86 2 3 3 2" xfId="31536" xr:uid="{00000000-0005-0000-0000-0000C4B70000}"/>
    <cellStyle name="Normal 86 2 3 4" xfId="24863" xr:uid="{00000000-0005-0000-0000-0000C5B70000}"/>
    <cellStyle name="Normal 86 2 4" xfId="6670" xr:uid="{00000000-0005-0000-0000-0000C6B70000}"/>
    <cellStyle name="Normal 86 2 4 2" xfId="9880" xr:uid="{00000000-0005-0000-0000-0000C7B70000}"/>
    <cellStyle name="Normal 86 2 4 2 2" xfId="17674" xr:uid="{00000000-0005-0000-0000-0000C8B70000}"/>
    <cellStyle name="Normal 86 2 4 2 2 2" xfId="35311" xr:uid="{00000000-0005-0000-0000-0000C9B70000}"/>
    <cellStyle name="Normal 86 2 4 2 3" xfId="28264" xr:uid="{00000000-0005-0000-0000-0000CAB70000}"/>
    <cellStyle name="Normal 86 2 4 3" xfId="14459" xr:uid="{00000000-0005-0000-0000-0000CBB70000}"/>
    <cellStyle name="Normal 86 2 4 3 2" xfId="32094" xr:uid="{00000000-0005-0000-0000-0000CCB70000}"/>
    <cellStyle name="Normal 86 2 4 4" xfId="25400" xr:uid="{00000000-0005-0000-0000-0000CDB70000}"/>
    <cellStyle name="Normal 86 2 5" xfId="7446" xr:uid="{00000000-0005-0000-0000-0000CEB70000}"/>
    <cellStyle name="Normal 86 2 5 2" xfId="10434" xr:uid="{00000000-0005-0000-0000-0000CFB70000}"/>
    <cellStyle name="Normal 86 2 5 2 2" xfId="18227" xr:uid="{00000000-0005-0000-0000-0000D0B70000}"/>
    <cellStyle name="Normal 86 2 5 2 2 2" xfId="35864" xr:uid="{00000000-0005-0000-0000-0000D1B70000}"/>
    <cellStyle name="Normal 86 2 5 2 3" xfId="28801" xr:uid="{00000000-0005-0000-0000-0000D2B70000}"/>
    <cellStyle name="Normal 86 2 5 3" xfId="15234" xr:uid="{00000000-0005-0000-0000-0000D3B70000}"/>
    <cellStyle name="Normal 86 2 5 3 2" xfId="32869" xr:uid="{00000000-0005-0000-0000-0000D4B70000}"/>
    <cellStyle name="Normal 86 2 5 4" xfId="25938" xr:uid="{00000000-0005-0000-0000-0000D5B70000}"/>
    <cellStyle name="Normal 86 2 6" xfId="8068" xr:uid="{00000000-0005-0000-0000-0000D6B70000}"/>
    <cellStyle name="Normal 86 2 6 2" xfId="15865" xr:uid="{00000000-0005-0000-0000-0000D7B70000}"/>
    <cellStyle name="Normal 86 2 6 2 2" xfId="33500" xr:uid="{00000000-0005-0000-0000-0000D8B70000}"/>
    <cellStyle name="Normal 86 2 6 3" xfId="26484" xr:uid="{00000000-0005-0000-0000-0000D9B70000}"/>
    <cellStyle name="Normal 86 2 7" xfId="12072" xr:uid="{00000000-0005-0000-0000-0000DAB70000}"/>
    <cellStyle name="Normal 86 2 7 2" xfId="29750" xr:uid="{00000000-0005-0000-0000-0000DBB70000}"/>
    <cellStyle name="Normal 86 2 8" xfId="22002" xr:uid="{00000000-0005-0000-0000-0000DCB70000}"/>
    <cellStyle name="Normal 86 2 8 2" xfId="38746" xr:uid="{00000000-0005-0000-0000-0000DDB70000}"/>
    <cellStyle name="Normal 86 2 9" xfId="23619" xr:uid="{00000000-0005-0000-0000-0000DEB70000}"/>
    <cellStyle name="Normal 86 3" xfId="3101" xr:uid="{00000000-0005-0000-0000-0000DFB70000}"/>
    <cellStyle name="Normal 86 3 2" xfId="3102" xr:uid="{00000000-0005-0000-0000-0000E0B70000}"/>
    <cellStyle name="Normal 86 3_Sheet1" xfId="3103" xr:uid="{00000000-0005-0000-0000-0000E1B70000}"/>
    <cellStyle name="Normal 86 4" xfId="3104" xr:uid="{00000000-0005-0000-0000-0000E2B70000}"/>
    <cellStyle name="Normal 86 5" xfId="23017" xr:uid="{00000000-0005-0000-0000-0000E3B70000}"/>
    <cellStyle name="Normal 86_Sheet1" xfId="3105" xr:uid="{00000000-0005-0000-0000-0000E4B70000}"/>
    <cellStyle name="Normal 87" xfId="3106" xr:uid="{00000000-0005-0000-0000-0000E5B70000}"/>
    <cellStyle name="Normal 87 2" xfId="3107" xr:uid="{00000000-0005-0000-0000-0000E6B70000}"/>
    <cellStyle name="Normal 87 2 10" xfId="52645" xr:uid="{00000000-0005-0000-0000-0000E7B70000}"/>
    <cellStyle name="Normal 87 2 2" xfId="5278" xr:uid="{00000000-0005-0000-0000-0000E8B70000}"/>
    <cellStyle name="Normal 87 2 2 2" xfId="8791" xr:uid="{00000000-0005-0000-0000-0000E9B70000}"/>
    <cellStyle name="Normal 87 2 2 2 2" xfId="16587" xr:uid="{00000000-0005-0000-0000-0000EAB70000}"/>
    <cellStyle name="Normal 87 2 2 2 2 2" xfId="34222" xr:uid="{00000000-0005-0000-0000-0000EBB70000}"/>
    <cellStyle name="Normal 87 2 2 2 3" xfId="27192" xr:uid="{00000000-0005-0000-0000-0000ECB70000}"/>
    <cellStyle name="Normal 87 2 2 3" xfId="13260" xr:uid="{00000000-0005-0000-0000-0000EDB70000}"/>
    <cellStyle name="Normal 87 2 2 3 2" xfId="30905" xr:uid="{00000000-0005-0000-0000-0000EEB70000}"/>
    <cellStyle name="Normal 87 2 2 4" xfId="24327" xr:uid="{00000000-0005-0000-0000-0000EFB70000}"/>
    <cellStyle name="Normal 87 2 3" xfId="6041" xr:uid="{00000000-0005-0000-0000-0000F0B70000}"/>
    <cellStyle name="Normal 87 2 3 2" xfId="9341" xr:uid="{00000000-0005-0000-0000-0000F1B70000}"/>
    <cellStyle name="Normal 87 2 3 2 2" xfId="17136" xr:uid="{00000000-0005-0000-0000-0000F2B70000}"/>
    <cellStyle name="Normal 87 2 3 2 2 2" xfId="34772" xr:uid="{00000000-0005-0000-0000-0000F3B70000}"/>
    <cellStyle name="Normal 87 2 3 2 3" xfId="27729" xr:uid="{00000000-0005-0000-0000-0000F4B70000}"/>
    <cellStyle name="Normal 87 2 3 3" xfId="13897" xr:uid="{00000000-0005-0000-0000-0000F5B70000}"/>
    <cellStyle name="Normal 87 2 3 3 2" xfId="31537" xr:uid="{00000000-0005-0000-0000-0000F6B70000}"/>
    <cellStyle name="Normal 87 2 3 4" xfId="24864" xr:uid="{00000000-0005-0000-0000-0000F7B70000}"/>
    <cellStyle name="Normal 87 2 4" xfId="6671" xr:uid="{00000000-0005-0000-0000-0000F8B70000}"/>
    <cellStyle name="Normal 87 2 4 2" xfId="9881" xr:uid="{00000000-0005-0000-0000-0000F9B70000}"/>
    <cellStyle name="Normal 87 2 4 2 2" xfId="17675" xr:uid="{00000000-0005-0000-0000-0000FAB70000}"/>
    <cellStyle name="Normal 87 2 4 2 2 2" xfId="35312" xr:uid="{00000000-0005-0000-0000-0000FBB70000}"/>
    <cellStyle name="Normal 87 2 4 2 3" xfId="28265" xr:uid="{00000000-0005-0000-0000-0000FCB70000}"/>
    <cellStyle name="Normal 87 2 4 3" xfId="14460" xr:uid="{00000000-0005-0000-0000-0000FDB70000}"/>
    <cellStyle name="Normal 87 2 4 3 2" xfId="32095" xr:uid="{00000000-0005-0000-0000-0000FEB70000}"/>
    <cellStyle name="Normal 87 2 4 4" xfId="25401" xr:uid="{00000000-0005-0000-0000-0000FFB70000}"/>
    <cellStyle name="Normal 87 2 5" xfId="7447" xr:uid="{00000000-0005-0000-0000-000000B80000}"/>
    <cellStyle name="Normal 87 2 5 2" xfId="10435" xr:uid="{00000000-0005-0000-0000-000001B80000}"/>
    <cellStyle name="Normal 87 2 5 2 2" xfId="18228" xr:uid="{00000000-0005-0000-0000-000002B80000}"/>
    <cellStyle name="Normal 87 2 5 2 2 2" xfId="35865" xr:uid="{00000000-0005-0000-0000-000003B80000}"/>
    <cellStyle name="Normal 87 2 5 2 3" xfId="28802" xr:uid="{00000000-0005-0000-0000-000004B80000}"/>
    <cellStyle name="Normal 87 2 5 3" xfId="15235" xr:uid="{00000000-0005-0000-0000-000005B80000}"/>
    <cellStyle name="Normal 87 2 5 3 2" xfId="32870" xr:uid="{00000000-0005-0000-0000-000006B80000}"/>
    <cellStyle name="Normal 87 2 5 4" xfId="25939" xr:uid="{00000000-0005-0000-0000-000007B80000}"/>
    <cellStyle name="Normal 87 2 6" xfId="8069" xr:uid="{00000000-0005-0000-0000-000008B80000}"/>
    <cellStyle name="Normal 87 2 6 2" xfId="15866" xr:uid="{00000000-0005-0000-0000-000009B80000}"/>
    <cellStyle name="Normal 87 2 6 2 2" xfId="33501" xr:uid="{00000000-0005-0000-0000-00000AB80000}"/>
    <cellStyle name="Normal 87 2 6 3" xfId="26485" xr:uid="{00000000-0005-0000-0000-00000BB80000}"/>
    <cellStyle name="Normal 87 2 7" xfId="12074" xr:uid="{00000000-0005-0000-0000-00000CB80000}"/>
    <cellStyle name="Normal 87 2 7 2" xfId="29752" xr:uid="{00000000-0005-0000-0000-00000DB80000}"/>
    <cellStyle name="Normal 87 2 8" xfId="22003" xr:uid="{00000000-0005-0000-0000-00000EB80000}"/>
    <cellStyle name="Normal 87 2 8 2" xfId="38747" xr:uid="{00000000-0005-0000-0000-00000FB80000}"/>
    <cellStyle name="Normal 87 2 9" xfId="23620" xr:uid="{00000000-0005-0000-0000-000010B80000}"/>
    <cellStyle name="Normal 87 3" xfId="3108" xr:uid="{00000000-0005-0000-0000-000011B80000}"/>
    <cellStyle name="Normal 87 3 2" xfId="3109" xr:uid="{00000000-0005-0000-0000-000012B80000}"/>
    <cellStyle name="Normal 87 3_Sheet1" xfId="3110" xr:uid="{00000000-0005-0000-0000-000013B80000}"/>
    <cellStyle name="Normal 87 4" xfId="3111" xr:uid="{00000000-0005-0000-0000-000014B80000}"/>
    <cellStyle name="Normal 87 5" xfId="23018" xr:uid="{00000000-0005-0000-0000-000015B80000}"/>
    <cellStyle name="Normal 87_Sheet1" xfId="3112" xr:uid="{00000000-0005-0000-0000-000016B80000}"/>
    <cellStyle name="Normal 88" xfId="3113" xr:uid="{00000000-0005-0000-0000-000017B80000}"/>
    <cellStyle name="Normal 88 2" xfId="3114" xr:uid="{00000000-0005-0000-0000-000018B80000}"/>
    <cellStyle name="Normal 88 2 2" xfId="5280" xr:uid="{00000000-0005-0000-0000-000019B80000}"/>
    <cellStyle name="Normal 88 2 3" xfId="22789" xr:uid="{00000000-0005-0000-0000-00001AB80000}"/>
    <cellStyle name="Normal 88 2 3 2" xfId="38996" xr:uid="{00000000-0005-0000-0000-00001BB80000}"/>
    <cellStyle name="Normal 88 2 4" xfId="52647" xr:uid="{00000000-0005-0000-0000-00001CB80000}"/>
    <cellStyle name="Normal 88 3" xfId="5279" xr:uid="{00000000-0005-0000-0000-00001DB80000}"/>
    <cellStyle name="Normal 88 4" xfId="22590" xr:uid="{00000000-0005-0000-0000-00001EB80000}"/>
    <cellStyle name="Normal 88 4 2" xfId="38891" xr:uid="{00000000-0005-0000-0000-00001FB80000}"/>
    <cellStyle name="Normal 88 5" xfId="52646" xr:uid="{00000000-0005-0000-0000-000020B80000}"/>
    <cellStyle name="Normal 88_BallGrid" xfId="3115" xr:uid="{00000000-0005-0000-0000-000021B80000}"/>
    <cellStyle name="Normal 89" xfId="3116" xr:uid="{00000000-0005-0000-0000-000022B80000}"/>
    <cellStyle name="Normal 89 2" xfId="3117" xr:uid="{00000000-0005-0000-0000-000023B80000}"/>
    <cellStyle name="Normal 89 2 10" xfId="52648" xr:uid="{00000000-0005-0000-0000-000024B80000}"/>
    <cellStyle name="Normal 89 2 2" xfId="5281" xr:uid="{00000000-0005-0000-0000-000025B80000}"/>
    <cellStyle name="Normal 89 2 2 2" xfId="8792" xr:uid="{00000000-0005-0000-0000-000026B80000}"/>
    <cellStyle name="Normal 89 2 2 2 2" xfId="16588" xr:uid="{00000000-0005-0000-0000-000027B80000}"/>
    <cellStyle name="Normal 89 2 2 2 2 2" xfId="34223" xr:uid="{00000000-0005-0000-0000-000028B80000}"/>
    <cellStyle name="Normal 89 2 2 2 3" xfId="27193" xr:uid="{00000000-0005-0000-0000-000029B80000}"/>
    <cellStyle name="Normal 89 2 2 3" xfId="13262" xr:uid="{00000000-0005-0000-0000-00002AB80000}"/>
    <cellStyle name="Normal 89 2 2 3 2" xfId="30907" xr:uid="{00000000-0005-0000-0000-00002BB80000}"/>
    <cellStyle name="Normal 89 2 2 4" xfId="24328" xr:uid="{00000000-0005-0000-0000-00002CB80000}"/>
    <cellStyle name="Normal 89 2 3" xfId="6042" xr:uid="{00000000-0005-0000-0000-00002DB80000}"/>
    <cellStyle name="Normal 89 2 3 2" xfId="9342" xr:uid="{00000000-0005-0000-0000-00002EB80000}"/>
    <cellStyle name="Normal 89 2 3 2 2" xfId="17137" xr:uid="{00000000-0005-0000-0000-00002FB80000}"/>
    <cellStyle name="Normal 89 2 3 2 2 2" xfId="34773" xr:uid="{00000000-0005-0000-0000-000030B80000}"/>
    <cellStyle name="Normal 89 2 3 2 3" xfId="27730" xr:uid="{00000000-0005-0000-0000-000031B80000}"/>
    <cellStyle name="Normal 89 2 3 3" xfId="13898" xr:uid="{00000000-0005-0000-0000-000032B80000}"/>
    <cellStyle name="Normal 89 2 3 3 2" xfId="31538" xr:uid="{00000000-0005-0000-0000-000033B80000}"/>
    <cellStyle name="Normal 89 2 3 4" xfId="24865" xr:uid="{00000000-0005-0000-0000-000034B80000}"/>
    <cellStyle name="Normal 89 2 4" xfId="6672" xr:uid="{00000000-0005-0000-0000-000035B80000}"/>
    <cellStyle name="Normal 89 2 4 2" xfId="9882" xr:uid="{00000000-0005-0000-0000-000036B80000}"/>
    <cellStyle name="Normal 89 2 4 2 2" xfId="17676" xr:uid="{00000000-0005-0000-0000-000037B80000}"/>
    <cellStyle name="Normal 89 2 4 2 2 2" xfId="35313" xr:uid="{00000000-0005-0000-0000-000038B80000}"/>
    <cellStyle name="Normal 89 2 4 2 3" xfId="28266" xr:uid="{00000000-0005-0000-0000-000039B80000}"/>
    <cellStyle name="Normal 89 2 4 3" xfId="14461" xr:uid="{00000000-0005-0000-0000-00003AB80000}"/>
    <cellStyle name="Normal 89 2 4 3 2" xfId="32096" xr:uid="{00000000-0005-0000-0000-00003BB80000}"/>
    <cellStyle name="Normal 89 2 4 4" xfId="25402" xr:uid="{00000000-0005-0000-0000-00003CB80000}"/>
    <cellStyle name="Normal 89 2 5" xfId="7448" xr:uid="{00000000-0005-0000-0000-00003DB80000}"/>
    <cellStyle name="Normal 89 2 5 2" xfId="10436" xr:uid="{00000000-0005-0000-0000-00003EB80000}"/>
    <cellStyle name="Normal 89 2 5 2 2" xfId="18229" xr:uid="{00000000-0005-0000-0000-00003FB80000}"/>
    <cellStyle name="Normal 89 2 5 2 2 2" xfId="35866" xr:uid="{00000000-0005-0000-0000-000040B80000}"/>
    <cellStyle name="Normal 89 2 5 2 3" xfId="28803" xr:uid="{00000000-0005-0000-0000-000041B80000}"/>
    <cellStyle name="Normal 89 2 5 3" xfId="15236" xr:uid="{00000000-0005-0000-0000-000042B80000}"/>
    <cellStyle name="Normal 89 2 5 3 2" xfId="32871" xr:uid="{00000000-0005-0000-0000-000043B80000}"/>
    <cellStyle name="Normal 89 2 5 4" xfId="25940" xr:uid="{00000000-0005-0000-0000-000044B80000}"/>
    <cellStyle name="Normal 89 2 6" xfId="8070" xr:uid="{00000000-0005-0000-0000-000045B80000}"/>
    <cellStyle name="Normal 89 2 6 2" xfId="15867" xr:uid="{00000000-0005-0000-0000-000046B80000}"/>
    <cellStyle name="Normal 89 2 6 2 2" xfId="33502" xr:uid="{00000000-0005-0000-0000-000047B80000}"/>
    <cellStyle name="Normal 89 2 6 3" xfId="26486" xr:uid="{00000000-0005-0000-0000-000048B80000}"/>
    <cellStyle name="Normal 89 2 7" xfId="12075" xr:uid="{00000000-0005-0000-0000-000049B80000}"/>
    <cellStyle name="Normal 89 2 7 2" xfId="29753" xr:uid="{00000000-0005-0000-0000-00004AB80000}"/>
    <cellStyle name="Normal 89 2 8" xfId="22004" xr:uid="{00000000-0005-0000-0000-00004BB80000}"/>
    <cellStyle name="Normal 89 2 8 2" xfId="38748" xr:uid="{00000000-0005-0000-0000-00004CB80000}"/>
    <cellStyle name="Normal 89 2 9" xfId="23621" xr:uid="{00000000-0005-0000-0000-00004DB80000}"/>
    <cellStyle name="Normal 89 3" xfId="3118" xr:uid="{00000000-0005-0000-0000-00004EB80000}"/>
    <cellStyle name="Normal 89 3 2" xfId="3119" xr:uid="{00000000-0005-0000-0000-00004FB80000}"/>
    <cellStyle name="Normal 89 3_Sheet1" xfId="3120" xr:uid="{00000000-0005-0000-0000-000050B80000}"/>
    <cellStyle name="Normal 89 4" xfId="3121" xr:uid="{00000000-0005-0000-0000-000051B80000}"/>
    <cellStyle name="Normal 89 5" xfId="23019" xr:uid="{00000000-0005-0000-0000-000052B80000}"/>
    <cellStyle name="Normal 89_Sheet1" xfId="3122" xr:uid="{00000000-0005-0000-0000-000053B80000}"/>
    <cellStyle name="Normal 9" xfId="190" xr:uid="{00000000-0005-0000-0000-000054B80000}"/>
    <cellStyle name="Normal 9 2" xfId="208" xr:uid="{00000000-0005-0000-0000-000055B80000}"/>
    <cellStyle name="Normal 9 2 2" xfId="3125" xr:uid="{00000000-0005-0000-0000-000056B80000}"/>
    <cellStyle name="Normal 9 2 3" xfId="3124" xr:uid="{00000000-0005-0000-0000-000057B80000}"/>
    <cellStyle name="Normal 9 2_Sheet1" xfId="3126" xr:uid="{00000000-0005-0000-0000-000058B80000}"/>
    <cellStyle name="Normal 9 3" xfId="201" xr:uid="{00000000-0005-0000-0000-000059B80000}"/>
    <cellStyle name="Normal 9 3 2" xfId="3127" xr:uid="{00000000-0005-0000-0000-00005AB80000}"/>
    <cellStyle name="Normal 9 4" xfId="23020" xr:uid="{00000000-0005-0000-0000-00005BB80000}"/>
    <cellStyle name="Normal 9 5" xfId="22591" xr:uid="{00000000-0005-0000-0000-00005CB80000}"/>
    <cellStyle name="Normal 9 6" xfId="22279" xr:uid="{00000000-0005-0000-0000-00005DB80000}"/>
    <cellStyle name="Normal 9 7" xfId="3123" xr:uid="{00000000-0005-0000-0000-00005EB80000}"/>
    <cellStyle name="Normal 9 8" xfId="53260" xr:uid="{00000000-0005-0000-0000-00005FB80000}"/>
    <cellStyle name="Normal 9 9" xfId="53369" xr:uid="{00000000-0005-0000-0000-000060B80000}"/>
    <cellStyle name="Normal 9_Sheet1" xfId="3128" xr:uid="{00000000-0005-0000-0000-000061B80000}"/>
    <cellStyle name="Normal 90" xfId="3129" xr:uid="{00000000-0005-0000-0000-000062B80000}"/>
    <cellStyle name="Normal 90 10" xfId="52649" xr:uid="{00000000-0005-0000-0000-000063B80000}"/>
    <cellStyle name="Normal 90 2" xfId="5282" xr:uid="{00000000-0005-0000-0000-000064B80000}"/>
    <cellStyle name="Normal 90 2 2" xfId="8793" xr:uid="{00000000-0005-0000-0000-000065B80000}"/>
    <cellStyle name="Normal 90 2 2 2" xfId="16589" xr:uid="{00000000-0005-0000-0000-000066B80000}"/>
    <cellStyle name="Normal 90 2 2 2 2" xfId="34224" xr:uid="{00000000-0005-0000-0000-000067B80000}"/>
    <cellStyle name="Normal 90 2 2 3" xfId="27194" xr:uid="{00000000-0005-0000-0000-000068B80000}"/>
    <cellStyle name="Normal 90 2 3" xfId="13263" xr:uid="{00000000-0005-0000-0000-000069B80000}"/>
    <cellStyle name="Normal 90 2 3 2" xfId="30908" xr:uid="{00000000-0005-0000-0000-00006AB80000}"/>
    <cellStyle name="Normal 90 2 4" xfId="22790" xr:uid="{00000000-0005-0000-0000-00006BB80000}"/>
    <cellStyle name="Normal 90 2 4 2" xfId="38997" xr:uid="{00000000-0005-0000-0000-00006CB80000}"/>
    <cellStyle name="Normal 90 2 5" xfId="24329" xr:uid="{00000000-0005-0000-0000-00006DB80000}"/>
    <cellStyle name="Normal 90 3" xfId="6043" xr:uid="{00000000-0005-0000-0000-00006EB80000}"/>
    <cellStyle name="Normal 90 3 2" xfId="9343" xr:uid="{00000000-0005-0000-0000-00006FB80000}"/>
    <cellStyle name="Normal 90 3 2 2" xfId="17138" xr:uid="{00000000-0005-0000-0000-000070B80000}"/>
    <cellStyle name="Normal 90 3 2 2 2" xfId="34774" xr:uid="{00000000-0005-0000-0000-000071B80000}"/>
    <cellStyle name="Normal 90 3 2 3" xfId="27731" xr:uid="{00000000-0005-0000-0000-000072B80000}"/>
    <cellStyle name="Normal 90 3 3" xfId="13899" xr:uid="{00000000-0005-0000-0000-000073B80000}"/>
    <cellStyle name="Normal 90 3 3 2" xfId="31539" xr:uid="{00000000-0005-0000-0000-000074B80000}"/>
    <cellStyle name="Normal 90 3 4" xfId="24866" xr:uid="{00000000-0005-0000-0000-000075B80000}"/>
    <cellStyle name="Normal 90 4" xfId="6673" xr:uid="{00000000-0005-0000-0000-000076B80000}"/>
    <cellStyle name="Normal 90 4 2" xfId="9883" xr:uid="{00000000-0005-0000-0000-000077B80000}"/>
    <cellStyle name="Normal 90 4 2 2" xfId="17677" xr:uid="{00000000-0005-0000-0000-000078B80000}"/>
    <cellStyle name="Normal 90 4 2 2 2" xfId="35314" xr:uid="{00000000-0005-0000-0000-000079B80000}"/>
    <cellStyle name="Normal 90 4 2 3" xfId="28267" xr:uid="{00000000-0005-0000-0000-00007AB80000}"/>
    <cellStyle name="Normal 90 4 3" xfId="14462" xr:uid="{00000000-0005-0000-0000-00007BB80000}"/>
    <cellStyle name="Normal 90 4 3 2" xfId="32097" xr:uid="{00000000-0005-0000-0000-00007CB80000}"/>
    <cellStyle name="Normal 90 4 4" xfId="25403" xr:uid="{00000000-0005-0000-0000-00007DB80000}"/>
    <cellStyle name="Normal 90 5" xfId="7449" xr:uid="{00000000-0005-0000-0000-00007EB80000}"/>
    <cellStyle name="Normal 90 5 2" xfId="10437" xr:uid="{00000000-0005-0000-0000-00007FB80000}"/>
    <cellStyle name="Normal 90 5 2 2" xfId="18230" xr:uid="{00000000-0005-0000-0000-000080B80000}"/>
    <cellStyle name="Normal 90 5 2 2 2" xfId="35867" xr:uid="{00000000-0005-0000-0000-000081B80000}"/>
    <cellStyle name="Normal 90 5 2 3" xfId="28804" xr:uid="{00000000-0005-0000-0000-000082B80000}"/>
    <cellStyle name="Normal 90 5 3" xfId="15237" xr:uid="{00000000-0005-0000-0000-000083B80000}"/>
    <cellStyle name="Normal 90 5 3 2" xfId="32872" xr:uid="{00000000-0005-0000-0000-000084B80000}"/>
    <cellStyle name="Normal 90 5 4" xfId="25941" xr:uid="{00000000-0005-0000-0000-000085B80000}"/>
    <cellStyle name="Normal 90 6" xfId="8071" xr:uid="{00000000-0005-0000-0000-000086B80000}"/>
    <cellStyle name="Normal 90 6 2" xfId="15868" xr:uid="{00000000-0005-0000-0000-000087B80000}"/>
    <cellStyle name="Normal 90 6 2 2" xfId="33503" xr:uid="{00000000-0005-0000-0000-000088B80000}"/>
    <cellStyle name="Normal 90 6 3" xfId="26487" xr:uid="{00000000-0005-0000-0000-000089B80000}"/>
    <cellStyle name="Normal 90 7" xfId="12077" xr:uid="{00000000-0005-0000-0000-00008AB80000}"/>
    <cellStyle name="Normal 90 7 2" xfId="29754" xr:uid="{00000000-0005-0000-0000-00008BB80000}"/>
    <cellStyle name="Normal 90 8" xfId="22005" xr:uid="{00000000-0005-0000-0000-00008CB80000}"/>
    <cellStyle name="Normal 90 8 2" xfId="38749" xr:uid="{00000000-0005-0000-0000-00008DB80000}"/>
    <cellStyle name="Normal 90 9" xfId="23622" xr:uid="{00000000-0005-0000-0000-00008EB80000}"/>
    <cellStyle name="Normal 91" xfId="3130" xr:uid="{00000000-0005-0000-0000-00008FB80000}"/>
    <cellStyle name="Normal 91 2" xfId="5283" xr:uid="{00000000-0005-0000-0000-000090B80000}"/>
    <cellStyle name="Normal 91 3" xfId="52650" xr:uid="{00000000-0005-0000-0000-000091B80000}"/>
    <cellStyle name="Normal 92" xfId="3131" xr:uid="{00000000-0005-0000-0000-000092B80000}"/>
    <cellStyle name="Normal 92 2" xfId="5284" xr:uid="{00000000-0005-0000-0000-000093B80000}"/>
    <cellStyle name="Normal 92 3" xfId="52651" xr:uid="{00000000-0005-0000-0000-000094B80000}"/>
    <cellStyle name="Normal 93" xfId="3132" xr:uid="{00000000-0005-0000-0000-000095B80000}"/>
    <cellStyle name="Normal 93 2" xfId="5285" xr:uid="{00000000-0005-0000-0000-000096B80000}"/>
    <cellStyle name="Normal 93 3" xfId="52652" xr:uid="{00000000-0005-0000-0000-000097B80000}"/>
    <cellStyle name="Normal 94" xfId="3133" xr:uid="{00000000-0005-0000-0000-000098B80000}"/>
    <cellStyle name="Normal 94 2" xfId="5286" xr:uid="{00000000-0005-0000-0000-000099B80000}"/>
    <cellStyle name="Normal 94 3" xfId="52653" xr:uid="{00000000-0005-0000-0000-00009AB80000}"/>
    <cellStyle name="Normal 95" xfId="3134" xr:uid="{00000000-0005-0000-0000-00009BB80000}"/>
    <cellStyle name="Normal 95 2" xfId="5287" xr:uid="{00000000-0005-0000-0000-00009CB80000}"/>
    <cellStyle name="Normal 95 3" xfId="52654" xr:uid="{00000000-0005-0000-0000-00009DB80000}"/>
    <cellStyle name="Normal 96" xfId="3135" xr:uid="{00000000-0005-0000-0000-00009EB80000}"/>
    <cellStyle name="Normal 96 2" xfId="5288" xr:uid="{00000000-0005-0000-0000-00009FB80000}"/>
    <cellStyle name="Normal 96 3" xfId="52655" xr:uid="{00000000-0005-0000-0000-0000A0B80000}"/>
    <cellStyle name="Normal 97" xfId="3136" xr:uid="{00000000-0005-0000-0000-0000A1B80000}"/>
    <cellStyle name="Normal 97 2" xfId="5289" xr:uid="{00000000-0005-0000-0000-0000A2B80000}"/>
    <cellStyle name="Normal 97 3" xfId="52656" xr:uid="{00000000-0005-0000-0000-0000A3B80000}"/>
    <cellStyle name="Normal 98" xfId="3137" xr:uid="{00000000-0005-0000-0000-0000A4B80000}"/>
    <cellStyle name="Normal 98 2" xfId="5290" xr:uid="{00000000-0005-0000-0000-0000A5B80000}"/>
    <cellStyle name="Normal 98 2 2" xfId="22791" xr:uid="{00000000-0005-0000-0000-0000A6B80000}"/>
    <cellStyle name="Normal 98 2 2 2" xfId="38998" xr:uid="{00000000-0005-0000-0000-0000A7B80000}"/>
    <cellStyle name="Normal 98 3" xfId="23021" xr:uid="{00000000-0005-0000-0000-0000A8B80000}"/>
    <cellStyle name="Normal 98 4" xfId="22592" xr:uid="{00000000-0005-0000-0000-0000A9B80000}"/>
    <cellStyle name="Normal 98 4 2" xfId="38892" xr:uid="{00000000-0005-0000-0000-0000AAB80000}"/>
    <cellStyle name="Normal 98 5" xfId="52657" xr:uid="{00000000-0005-0000-0000-0000ABB80000}"/>
    <cellStyle name="Normal 99" xfId="3138" xr:uid="{00000000-0005-0000-0000-0000ACB80000}"/>
    <cellStyle name="Normal 99 2" xfId="5291" xr:uid="{00000000-0005-0000-0000-0000ADB80000}"/>
    <cellStyle name="Normal 99 3" xfId="22593" xr:uid="{00000000-0005-0000-0000-0000AEB80000}"/>
    <cellStyle name="Normal 99 3 2" xfId="38893" xr:uid="{00000000-0005-0000-0000-0000AFB80000}"/>
    <cellStyle name="Normal 99 4" xfId="52658" xr:uid="{00000000-0005-0000-0000-0000B0B80000}"/>
    <cellStyle name="Note" xfId="160" builtinId="10" customBuiltin="1"/>
    <cellStyle name="Note 10" xfId="3139" xr:uid="{00000000-0005-0000-0000-0000B2B80000}"/>
    <cellStyle name="Note 10 10" xfId="3140" xr:uid="{00000000-0005-0000-0000-0000B3B80000}"/>
    <cellStyle name="Note 10 11" xfId="5292" xr:uid="{00000000-0005-0000-0000-0000B4B80000}"/>
    <cellStyle name="Note 10 2" xfId="3141" xr:uid="{00000000-0005-0000-0000-0000B5B80000}"/>
    <cellStyle name="Note 10 2 2" xfId="3142" xr:uid="{00000000-0005-0000-0000-0000B6B80000}"/>
    <cellStyle name="Note 10 3" xfId="3143" xr:uid="{00000000-0005-0000-0000-0000B7B80000}"/>
    <cellStyle name="Note 10 3 2" xfId="3144" xr:uid="{00000000-0005-0000-0000-0000B8B80000}"/>
    <cellStyle name="Note 10 4" xfId="3145" xr:uid="{00000000-0005-0000-0000-0000B9B80000}"/>
    <cellStyle name="Note 10 5" xfId="3146" xr:uid="{00000000-0005-0000-0000-0000BAB80000}"/>
    <cellStyle name="Note 10 5 2" xfId="3147" xr:uid="{00000000-0005-0000-0000-0000BBB80000}"/>
    <cellStyle name="Note 10 6" xfId="3148" xr:uid="{00000000-0005-0000-0000-0000BCB80000}"/>
    <cellStyle name="Note 10 7" xfId="3149" xr:uid="{00000000-0005-0000-0000-0000BDB80000}"/>
    <cellStyle name="Note 10 8" xfId="3150" xr:uid="{00000000-0005-0000-0000-0000BEB80000}"/>
    <cellStyle name="Note 10 9" xfId="3151" xr:uid="{00000000-0005-0000-0000-0000BFB80000}"/>
    <cellStyle name="Note 11" xfId="3152" xr:uid="{00000000-0005-0000-0000-0000C0B80000}"/>
    <cellStyle name="Note 11 2" xfId="3153" xr:uid="{00000000-0005-0000-0000-0000C1B80000}"/>
    <cellStyle name="Note 12" xfId="3154" xr:uid="{00000000-0005-0000-0000-0000C2B80000}"/>
    <cellStyle name="Note 12 2" xfId="5293" xr:uid="{00000000-0005-0000-0000-0000C3B80000}"/>
    <cellStyle name="Note 12 2 2" xfId="22595" xr:uid="{00000000-0005-0000-0000-0000C4B80000}"/>
    <cellStyle name="Note 12 3" xfId="22596" xr:uid="{00000000-0005-0000-0000-0000C5B80000}"/>
    <cellStyle name="Note 13" xfId="3155" xr:uid="{00000000-0005-0000-0000-0000C6B80000}"/>
    <cellStyle name="Note 13 2" xfId="3156" xr:uid="{00000000-0005-0000-0000-0000C7B80000}"/>
    <cellStyle name="Note 14" xfId="3157" xr:uid="{00000000-0005-0000-0000-0000C8B80000}"/>
    <cellStyle name="Note 14 2" xfId="3158" xr:uid="{00000000-0005-0000-0000-0000C9B80000}"/>
    <cellStyle name="Note 14 2 2" xfId="53262" xr:uid="{00000000-0005-0000-0000-0000CAB80000}"/>
    <cellStyle name="Note 14 3" xfId="5294" xr:uid="{00000000-0005-0000-0000-0000CBB80000}"/>
    <cellStyle name="Note 14 3 2" xfId="53370" xr:uid="{00000000-0005-0000-0000-0000CCB80000}"/>
    <cellStyle name="Note 14 4" xfId="5295" xr:uid="{00000000-0005-0000-0000-0000CDB80000}"/>
    <cellStyle name="Note 14 5" xfId="5296" xr:uid="{00000000-0005-0000-0000-0000CEB80000}"/>
    <cellStyle name="Note 14 6" xfId="22597" xr:uid="{00000000-0005-0000-0000-0000CFB80000}"/>
    <cellStyle name="Note 14 6 2" xfId="47554" xr:uid="{00000000-0005-0000-0000-0000D0B80000}"/>
    <cellStyle name="Note 14 6 3" xfId="51403" xr:uid="{00000000-0005-0000-0000-0000D1B80000}"/>
    <cellStyle name="Note 14 6 4" xfId="38895" xr:uid="{00000000-0005-0000-0000-0000D2B80000}"/>
    <cellStyle name="Note 14 7" xfId="53261" xr:uid="{00000000-0005-0000-0000-0000D3B80000}"/>
    <cellStyle name="Note 15" xfId="3159" xr:uid="{00000000-0005-0000-0000-0000D4B80000}"/>
    <cellStyle name="Note 15 2" xfId="3160" xr:uid="{00000000-0005-0000-0000-0000D5B80000}"/>
    <cellStyle name="Note 15 2 2" xfId="38901" xr:uid="{00000000-0005-0000-0000-0000D6B80000}"/>
    <cellStyle name="Note 15 2 3" xfId="22676" xr:uid="{00000000-0005-0000-0000-0000D7B80000}"/>
    <cellStyle name="Note 16" xfId="3161" xr:uid="{00000000-0005-0000-0000-0000D8B80000}"/>
    <cellStyle name="Note 16 2" xfId="3162" xr:uid="{00000000-0005-0000-0000-0000D9B80000}"/>
    <cellStyle name="Note 16 2 2" xfId="32942" xr:uid="{00000000-0005-0000-0000-0000DAB80000}"/>
    <cellStyle name="Note 16 2 2 2" xfId="53372" xr:uid="{00000000-0005-0000-0000-0000DBB80000}"/>
    <cellStyle name="Note 16 2 3" xfId="15307" xr:uid="{00000000-0005-0000-0000-0000DCB80000}"/>
    <cellStyle name="Note 16 2 4" xfId="53264" xr:uid="{00000000-0005-0000-0000-0000DDB80000}"/>
    <cellStyle name="Note 16 3" xfId="22594" xr:uid="{00000000-0005-0000-0000-0000DEB80000}"/>
    <cellStyle name="Note 16 3 2" xfId="47553" xr:uid="{00000000-0005-0000-0000-0000DFB80000}"/>
    <cellStyle name="Note 16 3 3" xfId="51402" xr:uid="{00000000-0005-0000-0000-0000E0B80000}"/>
    <cellStyle name="Note 16 3 4" xfId="38894" xr:uid="{00000000-0005-0000-0000-0000E1B80000}"/>
    <cellStyle name="Note 16 3 5" xfId="53371" xr:uid="{00000000-0005-0000-0000-0000E2B80000}"/>
    <cellStyle name="Note 16 4" xfId="25943" xr:uid="{00000000-0005-0000-0000-0000E3B80000}"/>
    <cellStyle name="Note 16 5" xfId="7508" xr:uid="{00000000-0005-0000-0000-0000E4B80000}"/>
    <cellStyle name="Note 16 6" xfId="53263" xr:uid="{00000000-0005-0000-0000-0000E5B80000}"/>
    <cellStyle name="Note 17" xfId="3163" xr:uid="{00000000-0005-0000-0000-0000E6B80000}"/>
    <cellStyle name="Note 17 2" xfId="36506" xr:uid="{00000000-0005-0000-0000-0000E7B80000}"/>
    <cellStyle name="Note 17 2 2" xfId="53373" xr:uid="{00000000-0005-0000-0000-0000E8B80000}"/>
    <cellStyle name="Note 17 3" xfId="18869" xr:uid="{00000000-0005-0000-0000-0000E9B80000}"/>
    <cellStyle name="Note 18" xfId="3164" xr:uid="{00000000-0005-0000-0000-0000EAB80000}"/>
    <cellStyle name="Note 19" xfId="51480" xr:uid="{00000000-0005-0000-0000-0000EBB80000}"/>
    <cellStyle name="Note 2" xfId="133" xr:uid="{00000000-0005-0000-0000-0000ECB80000}"/>
    <cellStyle name="Note 2 10" xfId="12080" xr:uid="{00000000-0005-0000-0000-0000EDB80000}"/>
    <cellStyle name="Note 2 10 2" xfId="41825" xr:uid="{00000000-0005-0000-0000-0000EEB80000}"/>
    <cellStyle name="Note 2 10 3" xfId="39334" xr:uid="{00000000-0005-0000-0000-0000EFB80000}"/>
    <cellStyle name="Note 2 10 4" xfId="29756" xr:uid="{00000000-0005-0000-0000-0000F0B80000}"/>
    <cellStyle name="Note 2 11" xfId="19846" xr:uid="{00000000-0005-0000-0000-0000F1B80000}"/>
    <cellStyle name="Note 2 11 2" xfId="45383" xr:uid="{00000000-0005-0000-0000-0000F2B80000}"/>
    <cellStyle name="Note 2 11 3" xfId="49289" xr:uid="{00000000-0005-0000-0000-0000F3B80000}"/>
    <cellStyle name="Note 2 11 4" xfId="37362" xr:uid="{00000000-0005-0000-0000-0000F4B80000}"/>
    <cellStyle name="Note 2 12" xfId="52659" xr:uid="{00000000-0005-0000-0000-0000F5B80000}"/>
    <cellStyle name="Note 2 13" xfId="3165" xr:uid="{00000000-0005-0000-0000-0000F6B80000}"/>
    <cellStyle name="Note 2 14" xfId="52764" xr:uid="{00000000-0005-0000-0000-0000F7B80000}"/>
    <cellStyle name="Note 2 2" xfId="3166" xr:uid="{00000000-0005-0000-0000-0000F8B80000}"/>
    <cellStyle name="Note 2 2 2" xfId="5298" xr:uid="{00000000-0005-0000-0000-0000F9B80000}"/>
    <cellStyle name="Note 2 2 2 2" xfId="10470" xr:uid="{00000000-0005-0000-0000-0000FAB80000}"/>
    <cellStyle name="Note 2 2 2 2 2" xfId="18263" xr:uid="{00000000-0005-0000-0000-0000FBB80000}"/>
    <cellStyle name="Note 2 2 2 2 2 2" xfId="43810" xr:uid="{00000000-0005-0000-0000-0000FCB80000}"/>
    <cellStyle name="Note 2 2 2 2 2 3" xfId="47719" xr:uid="{00000000-0005-0000-0000-0000FDB80000}"/>
    <cellStyle name="Note 2 2 2 2 2 4" xfId="35900" xr:uid="{00000000-0005-0000-0000-0000FEB80000}"/>
    <cellStyle name="Note 2 2 2 2 3" xfId="19144" xr:uid="{00000000-0005-0000-0000-0000FFB80000}"/>
    <cellStyle name="Note 2 2 2 2 3 2" xfId="44681" xr:uid="{00000000-0005-0000-0000-000000B90000}"/>
    <cellStyle name="Note 2 2 2 2 3 3" xfId="48587" xr:uid="{00000000-0005-0000-0000-000001B90000}"/>
    <cellStyle name="Note 2 2 2 2 3 4" xfId="36739" xr:uid="{00000000-0005-0000-0000-000002B90000}"/>
    <cellStyle name="Note 2 2 2 2 4" xfId="12672" xr:uid="{00000000-0005-0000-0000-000003B90000}"/>
    <cellStyle name="Note 2 2 2 2 4 2" xfId="42151" xr:uid="{00000000-0005-0000-0000-000004B90000}"/>
    <cellStyle name="Note 2 2 2 2 4 3" xfId="42694" xr:uid="{00000000-0005-0000-0000-000005B90000}"/>
    <cellStyle name="Note 2 2 2 2 4 4" xfId="30336" xr:uid="{00000000-0005-0000-0000-000006B90000}"/>
    <cellStyle name="Note 2 2 2 2 5" xfId="20676" xr:uid="{00000000-0005-0000-0000-000007B90000}"/>
    <cellStyle name="Note 2 2 2 2 5 2" xfId="46213" xr:uid="{00000000-0005-0000-0000-000008B90000}"/>
    <cellStyle name="Note 2 2 2 2 5 3" xfId="50119" xr:uid="{00000000-0005-0000-0000-000009B90000}"/>
    <cellStyle name="Note 2 2 2 2 5 4" xfId="38082" xr:uid="{00000000-0005-0000-0000-00000AB90000}"/>
    <cellStyle name="Note 2 2 2 2 6" xfId="21329" xr:uid="{00000000-0005-0000-0000-00000BB90000}"/>
    <cellStyle name="Note 2 2 2 2 6 2" xfId="46866" xr:uid="{00000000-0005-0000-0000-00000CB90000}"/>
    <cellStyle name="Note 2 2 2 2 6 3" xfId="50772" xr:uid="{00000000-0005-0000-0000-00000DB90000}"/>
    <cellStyle name="Note 2 2 2 2 7" xfId="40669" xr:uid="{00000000-0005-0000-0000-00000EB90000}"/>
    <cellStyle name="Note 2 2 2 2 8" xfId="40395" xr:uid="{00000000-0005-0000-0000-00000FB90000}"/>
    <cellStyle name="Note 2 2 2 2 9" xfId="53376" xr:uid="{00000000-0005-0000-0000-000010B90000}"/>
    <cellStyle name="Note 2 2 2 3" xfId="8795" xr:uid="{00000000-0005-0000-0000-000011B90000}"/>
    <cellStyle name="Note 2 2 2 3 2" xfId="16591" xr:uid="{00000000-0005-0000-0000-000012B90000}"/>
    <cellStyle name="Note 2 2 2 3 2 2" xfId="43432" xr:uid="{00000000-0005-0000-0000-000013B90000}"/>
    <cellStyle name="Note 2 2 2 3 2 3" xfId="43286" xr:uid="{00000000-0005-0000-0000-000014B90000}"/>
    <cellStyle name="Note 2 2 2 3 2 4" xfId="34226" xr:uid="{00000000-0005-0000-0000-000015B90000}"/>
    <cellStyle name="Note 2 2 2 3 3" xfId="19946" xr:uid="{00000000-0005-0000-0000-000016B90000}"/>
    <cellStyle name="Note 2 2 2 3 3 2" xfId="45483" xr:uid="{00000000-0005-0000-0000-000017B90000}"/>
    <cellStyle name="Note 2 2 2 3 3 3" xfId="49389" xr:uid="{00000000-0005-0000-0000-000018B90000}"/>
    <cellStyle name="Note 2 2 2 3 3 4" xfId="37454" xr:uid="{00000000-0005-0000-0000-000019B90000}"/>
    <cellStyle name="Note 2 2 2 3 4" xfId="12811" xr:uid="{00000000-0005-0000-0000-00001AB90000}"/>
    <cellStyle name="Note 2 2 2 3 4 2" xfId="42225" xr:uid="{00000000-0005-0000-0000-00001BB90000}"/>
    <cellStyle name="Note 2 2 2 3 4 3" xfId="43325" xr:uid="{00000000-0005-0000-0000-00001CB90000}"/>
    <cellStyle name="Note 2 2 2 3 4 4" xfId="30467" xr:uid="{00000000-0005-0000-0000-00001DB90000}"/>
    <cellStyle name="Note 2 2 2 3 5" xfId="11585" xr:uid="{00000000-0005-0000-0000-00001EB90000}"/>
    <cellStyle name="Note 2 2 2 3 5 2" xfId="41596" xr:uid="{00000000-0005-0000-0000-00001FB90000}"/>
    <cellStyle name="Note 2 2 2 3 5 3" xfId="42025" xr:uid="{00000000-0005-0000-0000-000020B90000}"/>
    <cellStyle name="Note 2 2 2 3 5 4" xfId="29294" xr:uid="{00000000-0005-0000-0000-000021B90000}"/>
    <cellStyle name="Note 2 2 2 3 6" xfId="20461" xr:uid="{00000000-0005-0000-0000-000022B90000}"/>
    <cellStyle name="Note 2 2 2 3 6 2" xfId="45998" xr:uid="{00000000-0005-0000-0000-000023B90000}"/>
    <cellStyle name="Note 2 2 2 3 6 3" xfId="49904" xr:uid="{00000000-0005-0000-0000-000024B90000}"/>
    <cellStyle name="Note 2 2 2 3 7" xfId="40294" xr:uid="{00000000-0005-0000-0000-000025B90000}"/>
    <cellStyle name="Note 2 2 2 3 8" xfId="39221" xr:uid="{00000000-0005-0000-0000-000026B90000}"/>
    <cellStyle name="Note 2 2 2 4" xfId="13270" xr:uid="{00000000-0005-0000-0000-000027B90000}"/>
    <cellStyle name="Note 2 2 2 4 2" xfId="42440" xr:uid="{00000000-0005-0000-0000-000028B90000}"/>
    <cellStyle name="Note 2 2 2 4 3" xfId="40325" xr:uid="{00000000-0005-0000-0000-000029B90000}"/>
    <cellStyle name="Note 2 2 2 4 4" xfId="30915" xr:uid="{00000000-0005-0000-0000-00002AB90000}"/>
    <cellStyle name="Note 2 2 2 5" xfId="19526" xr:uid="{00000000-0005-0000-0000-00002BB90000}"/>
    <cellStyle name="Note 2 2 2 5 2" xfId="45063" xr:uid="{00000000-0005-0000-0000-00002CB90000}"/>
    <cellStyle name="Note 2 2 2 5 3" xfId="48969" xr:uid="{00000000-0005-0000-0000-00002DB90000}"/>
    <cellStyle name="Note 2 2 2 5 4" xfId="37074" xr:uid="{00000000-0005-0000-0000-00002EB90000}"/>
    <cellStyle name="Note 2 2 2 6" xfId="53266" xr:uid="{00000000-0005-0000-0000-00002FB90000}"/>
    <cellStyle name="Note 2 2 3" xfId="7451" xr:uid="{00000000-0005-0000-0000-000030B90000}"/>
    <cellStyle name="Note 2 2 3 10" xfId="41708" xr:uid="{00000000-0005-0000-0000-000031B90000}"/>
    <cellStyle name="Note 2 2 3 11" xfId="53375" xr:uid="{00000000-0005-0000-0000-000032B90000}"/>
    <cellStyle name="Note 2 2 3 2" xfId="10724" xr:uid="{00000000-0005-0000-0000-000033B90000}"/>
    <cellStyle name="Note 2 2 3 2 2" xfId="18517" xr:uid="{00000000-0005-0000-0000-000034B90000}"/>
    <cellStyle name="Note 2 2 3 2 2 2" xfId="44064" xr:uid="{00000000-0005-0000-0000-000035B90000}"/>
    <cellStyle name="Note 2 2 3 2 2 3" xfId="47973" xr:uid="{00000000-0005-0000-0000-000036B90000}"/>
    <cellStyle name="Note 2 2 3 2 2 4" xfId="36154" xr:uid="{00000000-0005-0000-0000-000037B90000}"/>
    <cellStyle name="Note 2 2 3 2 3" xfId="19118" xr:uid="{00000000-0005-0000-0000-000038B90000}"/>
    <cellStyle name="Note 2 2 3 2 3 2" xfId="44655" xr:uid="{00000000-0005-0000-0000-000039B90000}"/>
    <cellStyle name="Note 2 2 3 2 3 3" xfId="48561" xr:uid="{00000000-0005-0000-0000-00003AB90000}"/>
    <cellStyle name="Note 2 2 3 2 3 4" xfId="36713" xr:uid="{00000000-0005-0000-0000-00003BB90000}"/>
    <cellStyle name="Note 2 2 3 2 4" xfId="19384" xr:uid="{00000000-0005-0000-0000-00003CB90000}"/>
    <cellStyle name="Note 2 2 3 2 4 2" xfId="44921" xr:uid="{00000000-0005-0000-0000-00003DB90000}"/>
    <cellStyle name="Note 2 2 3 2 4 3" xfId="48827" xr:uid="{00000000-0005-0000-0000-00003EB90000}"/>
    <cellStyle name="Note 2 2 3 2 4 4" xfId="36950" xr:uid="{00000000-0005-0000-0000-00003FB90000}"/>
    <cellStyle name="Note 2 2 3 2 5" xfId="20930" xr:uid="{00000000-0005-0000-0000-000040B90000}"/>
    <cellStyle name="Note 2 2 3 2 5 2" xfId="46467" xr:uid="{00000000-0005-0000-0000-000041B90000}"/>
    <cellStyle name="Note 2 2 3 2 5 3" xfId="50373" xr:uid="{00000000-0005-0000-0000-000042B90000}"/>
    <cellStyle name="Note 2 2 3 2 5 4" xfId="38336" xr:uid="{00000000-0005-0000-0000-000043B90000}"/>
    <cellStyle name="Note 2 2 3 2 6" xfId="21583" xr:uid="{00000000-0005-0000-0000-000044B90000}"/>
    <cellStyle name="Note 2 2 3 2 6 2" xfId="47120" xr:uid="{00000000-0005-0000-0000-000045B90000}"/>
    <cellStyle name="Note 2 2 3 2 6 3" xfId="51026" xr:uid="{00000000-0005-0000-0000-000046B90000}"/>
    <cellStyle name="Note 2 2 3 2 7" xfId="40923" xr:uid="{00000000-0005-0000-0000-000047B90000}"/>
    <cellStyle name="Note 2 2 3 2 8" xfId="40383" xr:uid="{00000000-0005-0000-0000-000048B90000}"/>
    <cellStyle name="Note 2 2 3 3" xfId="11019" xr:uid="{00000000-0005-0000-0000-000049B90000}"/>
    <cellStyle name="Note 2 2 3 3 2" xfId="18812" xr:uid="{00000000-0005-0000-0000-00004AB90000}"/>
    <cellStyle name="Note 2 2 3 3 2 2" xfId="44359" xr:uid="{00000000-0005-0000-0000-00004BB90000}"/>
    <cellStyle name="Note 2 2 3 3 2 3" xfId="48268" xr:uid="{00000000-0005-0000-0000-00004CB90000}"/>
    <cellStyle name="Note 2 2 3 3 2 4" xfId="36449" xr:uid="{00000000-0005-0000-0000-00004DB90000}"/>
    <cellStyle name="Note 2 2 3 3 3" xfId="20405" xr:uid="{00000000-0005-0000-0000-00004EB90000}"/>
    <cellStyle name="Note 2 2 3 3 3 2" xfId="45942" xr:uid="{00000000-0005-0000-0000-00004FB90000}"/>
    <cellStyle name="Note 2 2 3 3 3 3" xfId="49848" xr:uid="{00000000-0005-0000-0000-000050B90000}"/>
    <cellStyle name="Note 2 2 3 3 3 4" xfId="37859" xr:uid="{00000000-0005-0000-0000-000051B90000}"/>
    <cellStyle name="Note 2 2 3 3 4" xfId="20549" xr:uid="{00000000-0005-0000-0000-000052B90000}"/>
    <cellStyle name="Note 2 2 3 3 4 2" xfId="46086" xr:uid="{00000000-0005-0000-0000-000053B90000}"/>
    <cellStyle name="Note 2 2 3 3 4 3" xfId="49992" xr:uid="{00000000-0005-0000-0000-000054B90000}"/>
    <cellStyle name="Note 2 2 3 3 4 4" xfId="37976" xr:uid="{00000000-0005-0000-0000-000055B90000}"/>
    <cellStyle name="Note 2 2 3 3 5" xfId="21225" xr:uid="{00000000-0005-0000-0000-000056B90000}"/>
    <cellStyle name="Note 2 2 3 3 5 2" xfId="46762" xr:uid="{00000000-0005-0000-0000-000057B90000}"/>
    <cellStyle name="Note 2 2 3 3 5 3" xfId="50668" xr:uid="{00000000-0005-0000-0000-000058B90000}"/>
    <cellStyle name="Note 2 2 3 3 5 4" xfId="38631" xr:uid="{00000000-0005-0000-0000-000059B90000}"/>
    <cellStyle name="Note 2 2 3 3 6" xfId="21878" xr:uid="{00000000-0005-0000-0000-00005AB90000}"/>
    <cellStyle name="Note 2 2 3 3 6 2" xfId="47415" xr:uid="{00000000-0005-0000-0000-00005BB90000}"/>
    <cellStyle name="Note 2 2 3 3 6 3" xfId="51321" xr:uid="{00000000-0005-0000-0000-00005CB90000}"/>
    <cellStyle name="Note 2 2 3 3 7" xfId="41218" xr:uid="{00000000-0005-0000-0000-00005DB90000}"/>
    <cellStyle name="Note 2 2 3 3 8" xfId="39370" xr:uid="{00000000-0005-0000-0000-00005EB90000}"/>
    <cellStyle name="Note 2 2 3 4" xfId="15239" xr:uid="{00000000-0005-0000-0000-00005FB90000}"/>
    <cellStyle name="Note 2 2 3 4 2" xfId="43112" xr:uid="{00000000-0005-0000-0000-000060B90000}"/>
    <cellStyle name="Note 2 2 3 4 3" xfId="40149" xr:uid="{00000000-0005-0000-0000-000061B90000}"/>
    <cellStyle name="Note 2 2 3 4 4" xfId="32874" xr:uid="{00000000-0005-0000-0000-000062B90000}"/>
    <cellStyle name="Note 2 2 3 5" xfId="19819" xr:uid="{00000000-0005-0000-0000-000063B90000}"/>
    <cellStyle name="Note 2 2 3 5 2" xfId="45356" xr:uid="{00000000-0005-0000-0000-000064B90000}"/>
    <cellStyle name="Note 2 2 3 5 3" xfId="49262" xr:uid="{00000000-0005-0000-0000-000065B90000}"/>
    <cellStyle name="Note 2 2 3 5 4" xfId="37340" xr:uid="{00000000-0005-0000-0000-000066B90000}"/>
    <cellStyle name="Note 2 2 3 6" xfId="20079" xr:uid="{00000000-0005-0000-0000-000067B90000}"/>
    <cellStyle name="Note 2 2 3 6 2" xfId="45616" xr:uid="{00000000-0005-0000-0000-000068B90000}"/>
    <cellStyle name="Note 2 2 3 6 3" xfId="49522" xr:uid="{00000000-0005-0000-0000-000069B90000}"/>
    <cellStyle name="Note 2 2 3 6 4" xfId="37573" xr:uid="{00000000-0005-0000-0000-00006AB90000}"/>
    <cellStyle name="Note 2 2 3 7" xfId="11472" xr:uid="{00000000-0005-0000-0000-00006BB90000}"/>
    <cellStyle name="Note 2 2 3 7 2" xfId="41483" xr:uid="{00000000-0005-0000-0000-00006CB90000}"/>
    <cellStyle name="Note 2 2 3 7 3" xfId="40217" xr:uid="{00000000-0005-0000-0000-00006DB90000}"/>
    <cellStyle name="Note 2 2 3 7 4" xfId="29188" xr:uid="{00000000-0005-0000-0000-00006EB90000}"/>
    <cellStyle name="Note 2 2 3 8" xfId="19538" xr:uid="{00000000-0005-0000-0000-00006FB90000}"/>
    <cellStyle name="Note 2 2 3 8 2" xfId="45075" xr:uid="{00000000-0005-0000-0000-000070B90000}"/>
    <cellStyle name="Note 2 2 3 8 3" xfId="48981" xr:uid="{00000000-0005-0000-0000-000071B90000}"/>
    <cellStyle name="Note 2 2 3 9" xfId="39972" xr:uid="{00000000-0005-0000-0000-000072B90000}"/>
    <cellStyle name="Note 2 2 4" xfId="12081" xr:uid="{00000000-0005-0000-0000-000073B90000}"/>
    <cellStyle name="Note 2 2 4 2" xfId="41826" xr:uid="{00000000-0005-0000-0000-000074B90000}"/>
    <cellStyle name="Note 2 2 4 3" xfId="42000" xr:uid="{00000000-0005-0000-0000-000075B90000}"/>
    <cellStyle name="Note 2 2 4 4" xfId="29757" xr:uid="{00000000-0005-0000-0000-000076B90000}"/>
    <cellStyle name="Note 2 2 5" xfId="18977" xr:uid="{00000000-0005-0000-0000-000077B90000}"/>
    <cellStyle name="Note 2 2 5 2" xfId="44514" xr:uid="{00000000-0005-0000-0000-000078B90000}"/>
    <cellStyle name="Note 2 2 5 3" xfId="48420" xr:uid="{00000000-0005-0000-0000-000079B90000}"/>
    <cellStyle name="Note 2 2 5 4" xfId="36601" xr:uid="{00000000-0005-0000-0000-00007AB90000}"/>
    <cellStyle name="Note 2 2 6" xfId="52660" xr:uid="{00000000-0005-0000-0000-00007BB90000}"/>
    <cellStyle name="Note 2 2 7" xfId="53265" xr:uid="{00000000-0005-0000-0000-00007CB90000}"/>
    <cellStyle name="Note 2 3" xfId="3167" xr:uid="{00000000-0005-0000-0000-00007DB90000}"/>
    <cellStyle name="Note 2 3 2" xfId="5299" xr:uid="{00000000-0005-0000-0000-00007EB90000}"/>
    <cellStyle name="Note 2 3 2 2" xfId="10471" xr:uid="{00000000-0005-0000-0000-00007FB90000}"/>
    <cellStyle name="Note 2 3 2 2 2" xfId="18264" xr:uid="{00000000-0005-0000-0000-000080B90000}"/>
    <cellStyle name="Note 2 3 2 2 2 2" xfId="43811" xr:uid="{00000000-0005-0000-0000-000081B90000}"/>
    <cellStyle name="Note 2 3 2 2 2 3" xfId="47720" xr:uid="{00000000-0005-0000-0000-000082B90000}"/>
    <cellStyle name="Note 2 3 2 2 2 4" xfId="35901" xr:uid="{00000000-0005-0000-0000-000083B90000}"/>
    <cellStyle name="Note 2 3 2 2 3" xfId="19769" xr:uid="{00000000-0005-0000-0000-000084B90000}"/>
    <cellStyle name="Note 2 3 2 2 3 2" xfId="45306" xr:uid="{00000000-0005-0000-0000-000085B90000}"/>
    <cellStyle name="Note 2 3 2 2 3 3" xfId="49212" xr:uid="{00000000-0005-0000-0000-000086B90000}"/>
    <cellStyle name="Note 2 3 2 2 3 4" xfId="37296" xr:uid="{00000000-0005-0000-0000-000087B90000}"/>
    <cellStyle name="Note 2 3 2 2 4" xfId="19365" xr:uid="{00000000-0005-0000-0000-000088B90000}"/>
    <cellStyle name="Note 2 3 2 2 4 2" xfId="44902" xr:uid="{00000000-0005-0000-0000-000089B90000}"/>
    <cellStyle name="Note 2 3 2 2 4 3" xfId="48808" xr:uid="{00000000-0005-0000-0000-00008AB90000}"/>
    <cellStyle name="Note 2 3 2 2 4 4" xfId="36933" xr:uid="{00000000-0005-0000-0000-00008BB90000}"/>
    <cellStyle name="Note 2 3 2 2 5" xfId="20677" xr:uid="{00000000-0005-0000-0000-00008CB90000}"/>
    <cellStyle name="Note 2 3 2 2 5 2" xfId="46214" xr:uid="{00000000-0005-0000-0000-00008DB90000}"/>
    <cellStyle name="Note 2 3 2 2 5 3" xfId="50120" xr:uid="{00000000-0005-0000-0000-00008EB90000}"/>
    <cellStyle name="Note 2 3 2 2 5 4" xfId="38083" xr:uid="{00000000-0005-0000-0000-00008FB90000}"/>
    <cellStyle name="Note 2 3 2 2 6" xfId="21330" xr:uid="{00000000-0005-0000-0000-000090B90000}"/>
    <cellStyle name="Note 2 3 2 2 6 2" xfId="46867" xr:uid="{00000000-0005-0000-0000-000091B90000}"/>
    <cellStyle name="Note 2 3 2 2 6 3" xfId="50773" xr:uid="{00000000-0005-0000-0000-000092B90000}"/>
    <cellStyle name="Note 2 3 2 2 7" xfId="40670" xr:uid="{00000000-0005-0000-0000-000093B90000}"/>
    <cellStyle name="Note 2 3 2 2 8" xfId="39507" xr:uid="{00000000-0005-0000-0000-000094B90000}"/>
    <cellStyle name="Note 2 3 2 2 9" xfId="53378" xr:uid="{00000000-0005-0000-0000-000095B90000}"/>
    <cellStyle name="Note 2 3 2 3" xfId="8796" xr:uid="{00000000-0005-0000-0000-000096B90000}"/>
    <cellStyle name="Note 2 3 2 3 2" xfId="16592" xr:uid="{00000000-0005-0000-0000-000097B90000}"/>
    <cellStyle name="Note 2 3 2 3 2 2" xfId="43433" xr:uid="{00000000-0005-0000-0000-000098B90000}"/>
    <cellStyle name="Note 2 3 2 3 2 3" xfId="40145" xr:uid="{00000000-0005-0000-0000-000099B90000}"/>
    <cellStyle name="Note 2 3 2 3 2 4" xfId="34227" xr:uid="{00000000-0005-0000-0000-00009AB90000}"/>
    <cellStyle name="Note 2 3 2 3 3" xfId="19174" xr:uid="{00000000-0005-0000-0000-00009BB90000}"/>
    <cellStyle name="Note 2 3 2 3 3 2" xfId="44711" xr:uid="{00000000-0005-0000-0000-00009CB90000}"/>
    <cellStyle name="Note 2 3 2 3 3 3" xfId="48617" xr:uid="{00000000-0005-0000-0000-00009DB90000}"/>
    <cellStyle name="Note 2 3 2 3 3 4" xfId="36765" xr:uid="{00000000-0005-0000-0000-00009EB90000}"/>
    <cellStyle name="Note 2 3 2 3 4" xfId="11664" xr:uid="{00000000-0005-0000-0000-00009FB90000}"/>
    <cellStyle name="Note 2 3 2 3 4 2" xfId="41675" xr:uid="{00000000-0005-0000-0000-0000A0B90000}"/>
    <cellStyle name="Note 2 3 2 3 4 3" xfId="47509" xr:uid="{00000000-0005-0000-0000-0000A1B90000}"/>
    <cellStyle name="Note 2 3 2 3 4 4" xfId="29362" xr:uid="{00000000-0005-0000-0000-0000A2B90000}"/>
    <cellStyle name="Note 2 3 2 3 5" xfId="18980" xr:uid="{00000000-0005-0000-0000-0000A3B90000}"/>
    <cellStyle name="Note 2 3 2 3 5 2" xfId="44517" xr:uid="{00000000-0005-0000-0000-0000A4B90000}"/>
    <cellStyle name="Note 2 3 2 3 5 3" xfId="48423" xr:uid="{00000000-0005-0000-0000-0000A5B90000}"/>
    <cellStyle name="Note 2 3 2 3 5 4" xfId="36604" xr:uid="{00000000-0005-0000-0000-0000A6B90000}"/>
    <cellStyle name="Note 2 3 2 3 6" xfId="20105" xr:uid="{00000000-0005-0000-0000-0000A7B90000}"/>
    <cellStyle name="Note 2 3 2 3 6 2" xfId="45642" xr:uid="{00000000-0005-0000-0000-0000A8B90000}"/>
    <cellStyle name="Note 2 3 2 3 6 3" xfId="49548" xr:uid="{00000000-0005-0000-0000-0000A9B90000}"/>
    <cellStyle name="Note 2 3 2 3 7" xfId="40295" xr:uid="{00000000-0005-0000-0000-0000AAB90000}"/>
    <cellStyle name="Note 2 3 2 3 8" xfId="39220" xr:uid="{00000000-0005-0000-0000-0000ABB90000}"/>
    <cellStyle name="Note 2 3 2 4" xfId="13271" xr:uid="{00000000-0005-0000-0000-0000ACB90000}"/>
    <cellStyle name="Note 2 3 2 4 2" xfId="42441" xr:uid="{00000000-0005-0000-0000-0000ADB90000}"/>
    <cellStyle name="Note 2 3 2 4 3" xfId="39442" xr:uid="{00000000-0005-0000-0000-0000AEB90000}"/>
    <cellStyle name="Note 2 3 2 4 4" xfId="30916" xr:uid="{00000000-0005-0000-0000-0000AFB90000}"/>
    <cellStyle name="Note 2 3 2 5" xfId="11731" xr:uid="{00000000-0005-0000-0000-0000B0B90000}"/>
    <cellStyle name="Note 2 3 2 5 2" xfId="41717" xr:uid="{00000000-0005-0000-0000-0000B1B90000}"/>
    <cellStyle name="Note 2 3 2 5 3" xfId="43208" xr:uid="{00000000-0005-0000-0000-0000B2B90000}"/>
    <cellStyle name="Note 2 3 2 5 4" xfId="29418" xr:uid="{00000000-0005-0000-0000-0000B3B90000}"/>
    <cellStyle name="Note 2 3 2 6" xfId="53268" xr:uid="{00000000-0005-0000-0000-0000B4B90000}"/>
    <cellStyle name="Note 2 3 3" xfId="7452" xr:uid="{00000000-0005-0000-0000-0000B5B90000}"/>
    <cellStyle name="Note 2 3 3 10" xfId="43271" xr:uid="{00000000-0005-0000-0000-0000B6B90000}"/>
    <cellStyle name="Note 2 3 3 11" xfId="53377" xr:uid="{00000000-0005-0000-0000-0000B7B90000}"/>
    <cellStyle name="Note 2 3 3 2" xfId="10725" xr:uid="{00000000-0005-0000-0000-0000B8B90000}"/>
    <cellStyle name="Note 2 3 3 2 2" xfId="18518" xr:uid="{00000000-0005-0000-0000-0000B9B90000}"/>
    <cellStyle name="Note 2 3 3 2 2 2" xfId="44065" xr:uid="{00000000-0005-0000-0000-0000BAB90000}"/>
    <cellStyle name="Note 2 3 3 2 2 3" xfId="47974" xr:uid="{00000000-0005-0000-0000-0000BBB90000}"/>
    <cellStyle name="Note 2 3 3 2 2 4" xfId="36155" xr:uid="{00000000-0005-0000-0000-0000BCB90000}"/>
    <cellStyle name="Note 2 3 3 2 3" xfId="19734" xr:uid="{00000000-0005-0000-0000-0000BDB90000}"/>
    <cellStyle name="Note 2 3 3 2 3 2" xfId="45271" xr:uid="{00000000-0005-0000-0000-0000BEB90000}"/>
    <cellStyle name="Note 2 3 3 2 3 3" xfId="49177" xr:uid="{00000000-0005-0000-0000-0000BFB90000}"/>
    <cellStyle name="Note 2 3 3 2 3 4" xfId="37261" xr:uid="{00000000-0005-0000-0000-0000C0B90000}"/>
    <cellStyle name="Note 2 3 3 2 4" xfId="19971" xr:uid="{00000000-0005-0000-0000-0000C1B90000}"/>
    <cellStyle name="Note 2 3 3 2 4 2" xfId="45508" xr:uid="{00000000-0005-0000-0000-0000C2B90000}"/>
    <cellStyle name="Note 2 3 3 2 4 3" xfId="49414" xr:uid="{00000000-0005-0000-0000-0000C3B90000}"/>
    <cellStyle name="Note 2 3 3 2 4 4" xfId="37475" xr:uid="{00000000-0005-0000-0000-0000C4B90000}"/>
    <cellStyle name="Note 2 3 3 2 5" xfId="20931" xr:uid="{00000000-0005-0000-0000-0000C5B90000}"/>
    <cellStyle name="Note 2 3 3 2 5 2" xfId="46468" xr:uid="{00000000-0005-0000-0000-0000C6B90000}"/>
    <cellStyle name="Note 2 3 3 2 5 3" xfId="50374" xr:uid="{00000000-0005-0000-0000-0000C7B90000}"/>
    <cellStyle name="Note 2 3 3 2 5 4" xfId="38337" xr:uid="{00000000-0005-0000-0000-0000C8B90000}"/>
    <cellStyle name="Note 2 3 3 2 6" xfId="21584" xr:uid="{00000000-0005-0000-0000-0000C9B90000}"/>
    <cellStyle name="Note 2 3 3 2 6 2" xfId="47121" xr:uid="{00000000-0005-0000-0000-0000CAB90000}"/>
    <cellStyle name="Note 2 3 3 2 6 3" xfId="51027" xr:uid="{00000000-0005-0000-0000-0000CBB90000}"/>
    <cellStyle name="Note 2 3 3 2 7" xfId="40924" xr:uid="{00000000-0005-0000-0000-0000CCB90000}"/>
    <cellStyle name="Note 2 3 3 2 8" xfId="39495" xr:uid="{00000000-0005-0000-0000-0000CDB90000}"/>
    <cellStyle name="Note 2 3 3 3" xfId="11020" xr:uid="{00000000-0005-0000-0000-0000CEB90000}"/>
    <cellStyle name="Note 2 3 3 3 2" xfId="18813" xr:uid="{00000000-0005-0000-0000-0000CFB90000}"/>
    <cellStyle name="Note 2 3 3 3 2 2" xfId="44360" xr:uid="{00000000-0005-0000-0000-0000D0B90000}"/>
    <cellStyle name="Note 2 3 3 3 2 3" xfId="48269" xr:uid="{00000000-0005-0000-0000-0000D1B90000}"/>
    <cellStyle name="Note 2 3 3 3 2 4" xfId="36450" xr:uid="{00000000-0005-0000-0000-0000D2B90000}"/>
    <cellStyle name="Note 2 3 3 3 3" xfId="20406" xr:uid="{00000000-0005-0000-0000-0000D3B90000}"/>
    <cellStyle name="Note 2 3 3 3 3 2" xfId="45943" xr:uid="{00000000-0005-0000-0000-0000D4B90000}"/>
    <cellStyle name="Note 2 3 3 3 3 3" xfId="49849" xr:uid="{00000000-0005-0000-0000-0000D5B90000}"/>
    <cellStyle name="Note 2 3 3 3 3 4" xfId="37860" xr:uid="{00000000-0005-0000-0000-0000D6B90000}"/>
    <cellStyle name="Note 2 3 3 3 4" xfId="20550" xr:uid="{00000000-0005-0000-0000-0000D7B90000}"/>
    <cellStyle name="Note 2 3 3 3 4 2" xfId="46087" xr:uid="{00000000-0005-0000-0000-0000D8B90000}"/>
    <cellStyle name="Note 2 3 3 3 4 3" xfId="49993" xr:uid="{00000000-0005-0000-0000-0000D9B90000}"/>
    <cellStyle name="Note 2 3 3 3 4 4" xfId="37977" xr:uid="{00000000-0005-0000-0000-0000DAB90000}"/>
    <cellStyle name="Note 2 3 3 3 5" xfId="21226" xr:uid="{00000000-0005-0000-0000-0000DBB90000}"/>
    <cellStyle name="Note 2 3 3 3 5 2" xfId="46763" xr:uid="{00000000-0005-0000-0000-0000DCB90000}"/>
    <cellStyle name="Note 2 3 3 3 5 3" xfId="50669" xr:uid="{00000000-0005-0000-0000-0000DDB90000}"/>
    <cellStyle name="Note 2 3 3 3 5 4" xfId="38632" xr:uid="{00000000-0005-0000-0000-0000DEB90000}"/>
    <cellStyle name="Note 2 3 3 3 6" xfId="21879" xr:uid="{00000000-0005-0000-0000-0000DFB90000}"/>
    <cellStyle name="Note 2 3 3 3 6 2" xfId="47416" xr:uid="{00000000-0005-0000-0000-0000E0B90000}"/>
    <cellStyle name="Note 2 3 3 3 6 3" xfId="51322" xr:uid="{00000000-0005-0000-0000-0000E1B90000}"/>
    <cellStyle name="Note 2 3 3 3 7" xfId="41219" xr:uid="{00000000-0005-0000-0000-0000E2B90000}"/>
    <cellStyle name="Note 2 3 3 3 8" xfId="39181" xr:uid="{00000000-0005-0000-0000-0000E3B90000}"/>
    <cellStyle name="Note 2 3 3 4" xfId="15240" xr:uid="{00000000-0005-0000-0000-0000E4B90000}"/>
    <cellStyle name="Note 2 3 3 4 2" xfId="43113" xr:uid="{00000000-0005-0000-0000-0000E5B90000}"/>
    <cellStyle name="Note 2 3 3 4 3" xfId="39263" xr:uid="{00000000-0005-0000-0000-0000E6B90000}"/>
    <cellStyle name="Note 2 3 3 4 4" xfId="32875" xr:uid="{00000000-0005-0000-0000-0000E7B90000}"/>
    <cellStyle name="Note 2 3 3 5" xfId="11366" xr:uid="{00000000-0005-0000-0000-0000E8B90000}"/>
    <cellStyle name="Note 2 3 3 5 2" xfId="41402" xr:uid="{00000000-0005-0000-0000-0000E9B90000}"/>
    <cellStyle name="Note 2 3 3 5 3" xfId="39683" xr:uid="{00000000-0005-0000-0000-0000EAB90000}"/>
    <cellStyle name="Note 2 3 3 5 4" xfId="29089" xr:uid="{00000000-0005-0000-0000-0000EBB90000}"/>
    <cellStyle name="Note 2 3 3 6" xfId="18994" xr:uid="{00000000-0005-0000-0000-0000ECB90000}"/>
    <cellStyle name="Note 2 3 3 6 2" xfId="44531" xr:uid="{00000000-0005-0000-0000-0000EDB90000}"/>
    <cellStyle name="Note 2 3 3 6 3" xfId="48437" xr:uid="{00000000-0005-0000-0000-0000EEB90000}"/>
    <cellStyle name="Note 2 3 3 6 4" xfId="36616" xr:uid="{00000000-0005-0000-0000-0000EFB90000}"/>
    <cellStyle name="Note 2 3 3 7" xfId="20523" xr:uid="{00000000-0005-0000-0000-0000F0B90000}"/>
    <cellStyle name="Note 2 3 3 7 2" xfId="46060" xr:uid="{00000000-0005-0000-0000-0000F1B90000}"/>
    <cellStyle name="Note 2 3 3 7 3" xfId="49966" xr:uid="{00000000-0005-0000-0000-0000F2B90000}"/>
    <cellStyle name="Note 2 3 3 7 4" xfId="37956" xr:uid="{00000000-0005-0000-0000-0000F3B90000}"/>
    <cellStyle name="Note 2 3 3 8" xfId="19353" xr:uid="{00000000-0005-0000-0000-0000F4B90000}"/>
    <cellStyle name="Note 2 3 3 8 2" xfId="44890" xr:uid="{00000000-0005-0000-0000-0000F5B90000}"/>
    <cellStyle name="Note 2 3 3 8 3" xfId="48796" xr:uid="{00000000-0005-0000-0000-0000F6B90000}"/>
    <cellStyle name="Note 2 3 3 9" xfId="39973" xr:uid="{00000000-0005-0000-0000-0000F7B90000}"/>
    <cellStyle name="Note 2 3 4" xfId="12082" xr:uid="{00000000-0005-0000-0000-0000F8B90000}"/>
    <cellStyle name="Note 2 3 4 2" xfId="41827" xr:uid="{00000000-0005-0000-0000-0000F9B90000}"/>
    <cellStyle name="Note 2 3 4 3" xfId="43339" xr:uid="{00000000-0005-0000-0000-0000FAB90000}"/>
    <cellStyle name="Note 2 3 4 4" xfId="29758" xr:uid="{00000000-0005-0000-0000-0000FBB90000}"/>
    <cellStyle name="Note 2 3 5" xfId="11605" xr:uid="{00000000-0005-0000-0000-0000FCB90000}"/>
    <cellStyle name="Note 2 3 5 2" xfId="41616" xr:uid="{00000000-0005-0000-0000-0000FDB90000}"/>
    <cellStyle name="Note 2 3 5 3" xfId="39465" xr:uid="{00000000-0005-0000-0000-0000FEB90000}"/>
    <cellStyle name="Note 2 3 5 4" xfId="29309" xr:uid="{00000000-0005-0000-0000-0000FFB90000}"/>
    <cellStyle name="Note 2 3 6" xfId="52661" xr:uid="{00000000-0005-0000-0000-000000BA0000}"/>
    <cellStyle name="Note 2 3 7" xfId="53267" xr:uid="{00000000-0005-0000-0000-000001BA0000}"/>
    <cellStyle name="Note 2 4" xfId="3168" xr:uid="{00000000-0005-0000-0000-000002BA0000}"/>
    <cellStyle name="Note 2 4 2" xfId="5300" xr:uid="{00000000-0005-0000-0000-000003BA0000}"/>
    <cellStyle name="Note 2 4 2 2" xfId="10472" xr:uid="{00000000-0005-0000-0000-000004BA0000}"/>
    <cellStyle name="Note 2 4 2 2 2" xfId="18265" xr:uid="{00000000-0005-0000-0000-000005BA0000}"/>
    <cellStyle name="Note 2 4 2 2 2 2" xfId="43812" xr:uid="{00000000-0005-0000-0000-000006BA0000}"/>
    <cellStyle name="Note 2 4 2 2 2 3" xfId="47721" xr:uid="{00000000-0005-0000-0000-000007BA0000}"/>
    <cellStyle name="Note 2 4 2 2 2 4" xfId="35902" xr:uid="{00000000-0005-0000-0000-000008BA0000}"/>
    <cellStyle name="Note 2 4 2 2 3" xfId="11486" xr:uid="{00000000-0005-0000-0000-000009BA0000}"/>
    <cellStyle name="Note 2 4 2 2 3 2" xfId="41497" xr:uid="{00000000-0005-0000-0000-00000ABA0000}"/>
    <cellStyle name="Note 2 4 2 2 3 3" xfId="42584" xr:uid="{00000000-0005-0000-0000-00000BBA0000}"/>
    <cellStyle name="Note 2 4 2 2 3 4" xfId="29201" xr:uid="{00000000-0005-0000-0000-00000CBA0000}"/>
    <cellStyle name="Note 2 4 2 2 4" xfId="11680" xr:uid="{00000000-0005-0000-0000-00000DBA0000}"/>
    <cellStyle name="Note 2 4 2 2 4 2" xfId="41691" xr:uid="{00000000-0005-0000-0000-00000EBA0000}"/>
    <cellStyle name="Note 2 4 2 2 4 3" xfId="42019" xr:uid="{00000000-0005-0000-0000-00000FBA0000}"/>
    <cellStyle name="Note 2 4 2 2 4 4" xfId="29373" xr:uid="{00000000-0005-0000-0000-000010BA0000}"/>
    <cellStyle name="Note 2 4 2 2 5" xfId="20678" xr:uid="{00000000-0005-0000-0000-000011BA0000}"/>
    <cellStyle name="Note 2 4 2 2 5 2" xfId="46215" xr:uid="{00000000-0005-0000-0000-000012BA0000}"/>
    <cellStyle name="Note 2 4 2 2 5 3" xfId="50121" xr:uid="{00000000-0005-0000-0000-000013BA0000}"/>
    <cellStyle name="Note 2 4 2 2 5 4" xfId="38084" xr:uid="{00000000-0005-0000-0000-000014BA0000}"/>
    <cellStyle name="Note 2 4 2 2 6" xfId="21331" xr:uid="{00000000-0005-0000-0000-000015BA0000}"/>
    <cellStyle name="Note 2 4 2 2 6 2" xfId="46868" xr:uid="{00000000-0005-0000-0000-000016BA0000}"/>
    <cellStyle name="Note 2 4 2 2 6 3" xfId="50774" xr:uid="{00000000-0005-0000-0000-000017BA0000}"/>
    <cellStyle name="Note 2 4 2 2 7" xfId="40671" xr:uid="{00000000-0005-0000-0000-000018BA0000}"/>
    <cellStyle name="Note 2 4 2 2 8" xfId="42081" xr:uid="{00000000-0005-0000-0000-000019BA0000}"/>
    <cellStyle name="Note 2 4 2 2 9" xfId="53380" xr:uid="{00000000-0005-0000-0000-00001ABA0000}"/>
    <cellStyle name="Note 2 4 2 3" xfId="8797" xr:uid="{00000000-0005-0000-0000-00001BBA0000}"/>
    <cellStyle name="Note 2 4 2 3 2" xfId="16593" xr:uid="{00000000-0005-0000-0000-00001CBA0000}"/>
    <cellStyle name="Note 2 4 2 3 2 2" xfId="43434" xr:uid="{00000000-0005-0000-0000-00001DBA0000}"/>
    <cellStyle name="Note 2 4 2 3 2 3" xfId="39260" xr:uid="{00000000-0005-0000-0000-00001EBA0000}"/>
    <cellStyle name="Note 2 4 2 3 2 4" xfId="34228" xr:uid="{00000000-0005-0000-0000-00001FBA0000}"/>
    <cellStyle name="Note 2 4 2 3 3" xfId="19796" xr:uid="{00000000-0005-0000-0000-000020BA0000}"/>
    <cellStyle name="Note 2 4 2 3 3 2" xfId="45333" xr:uid="{00000000-0005-0000-0000-000021BA0000}"/>
    <cellStyle name="Note 2 4 2 3 3 3" xfId="49239" xr:uid="{00000000-0005-0000-0000-000022BA0000}"/>
    <cellStyle name="Note 2 4 2 3 3 4" xfId="37319" xr:uid="{00000000-0005-0000-0000-000023BA0000}"/>
    <cellStyle name="Note 2 4 2 3 4" xfId="19837" xr:uid="{00000000-0005-0000-0000-000024BA0000}"/>
    <cellStyle name="Note 2 4 2 3 4 2" xfId="45374" xr:uid="{00000000-0005-0000-0000-000025BA0000}"/>
    <cellStyle name="Note 2 4 2 3 4 3" xfId="49280" xr:uid="{00000000-0005-0000-0000-000026BA0000}"/>
    <cellStyle name="Note 2 4 2 3 4 4" xfId="37355" xr:uid="{00000000-0005-0000-0000-000027BA0000}"/>
    <cellStyle name="Note 2 4 2 3 5" xfId="12673" xr:uid="{00000000-0005-0000-0000-000028BA0000}"/>
    <cellStyle name="Note 2 4 2 3 5 2" xfId="42152" xr:uid="{00000000-0005-0000-0000-000029BA0000}"/>
    <cellStyle name="Note 2 4 2 3 5 3" xfId="43584" xr:uid="{00000000-0005-0000-0000-00002ABA0000}"/>
    <cellStyle name="Note 2 4 2 3 5 4" xfId="30337" xr:uid="{00000000-0005-0000-0000-00002BBA0000}"/>
    <cellStyle name="Note 2 4 2 3 6" xfId="19476" xr:uid="{00000000-0005-0000-0000-00002CBA0000}"/>
    <cellStyle name="Note 2 4 2 3 6 2" xfId="45013" xr:uid="{00000000-0005-0000-0000-00002DBA0000}"/>
    <cellStyle name="Note 2 4 2 3 6 3" xfId="48919" xr:uid="{00000000-0005-0000-0000-00002EBA0000}"/>
    <cellStyle name="Note 2 4 2 3 7" xfId="40296" xr:uid="{00000000-0005-0000-0000-00002FBA0000}"/>
    <cellStyle name="Note 2 4 2 3 8" xfId="39219" xr:uid="{00000000-0005-0000-0000-000030BA0000}"/>
    <cellStyle name="Note 2 4 2 4" xfId="13272" xr:uid="{00000000-0005-0000-0000-000031BA0000}"/>
    <cellStyle name="Note 2 4 2 4 2" xfId="42442" xr:uid="{00000000-0005-0000-0000-000032BA0000}"/>
    <cellStyle name="Note 2 4 2 4 3" xfId="41965" xr:uid="{00000000-0005-0000-0000-000033BA0000}"/>
    <cellStyle name="Note 2 4 2 4 4" xfId="30917" xr:uid="{00000000-0005-0000-0000-000034BA0000}"/>
    <cellStyle name="Note 2 4 2 5" xfId="12737" xr:uid="{00000000-0005-0000-0000-000035BA0000}"/>
    <cellStyle name="Note 2 4 2 5 2" xfId="42190" xr:uid="{00000000-0005-0000-0000-000036BA0000}"/>
    <cellStyle name="Note 2 4 2 5 3" xfId="41977" xr:uid="{00000000-0005-0000-0000-000037BA0000}"/>
    <cellStyle name="Note 2 4 2 5 4" xfId="30395" xr:uid="{00000000-0005-0000-0000-000038BA0000}"/>
    <cellStyle name="Note 2 4 2 6" xfId="53270" xr:uid="{00000000-0005-0000-0000-000039BA0000}"/>
    <cellStyle name="Note 2 4 3" xfId="7453" xr:uid="{00000000-0005-0000-0000-00003ABA0000}"/>
    <cellStyle name="Note 2 4 3 10" xfId="40130" xr:uid="{00000000-0005-0000-0000-00003BBA0000}"/>
    <cellStyle name="Note 2 4 3 11" xfId="53379" xr:uid="{00000000-0005-0000-0000-00003CBA0000}"/>
    <cellStyle name="Note 2 4 3 2" xfId="10726" xr:uid="{00000000-0005-0000-0000-00003DBA0000}"/>
    <cellStyle name="Note 2 4 3 2 2" xfId="18519" xr:uid="{00000000-0005-0000-0000-00003EBA0000}"/>
    <cellStyle name="Note 2 4 3 2 2 2" xfId="44066" xr:uid="{00000000-0005-0000-0000-00003FBA0000}"/>
    <cellStyle name="Note 2 4 3 2 2 3" xfId="47975" xr:uid="{00000000-0005-0000-0000-000040BA0000}"/>
    <cellStyle name="Note 2 4 3 2 2 4" xfId="36156" xr:uid="{00000000-0005-0000-0000-000041BA0000}"/>
    <cellStyle name="Note 2 4 3 2 3" xfId="12634" xr:uid="{00000000-0005-0000-0000-000042BA0000}"/>
    <cellStyle name="Note 2 4 3 2 3 2" xfId="42113" xr:uid="{00000000-0005-0000-0000-000043BA0000}"/>
    <cellStyle name="Note 2 4 3 2 3 3" xfId="40449" xr:uid="{00000000-0005-0000-0000-000044BA0000}"/>
    <cellStyle name="Note 2 4 3 2 3 4" xfId="30299" xr:uid="{00000000-0005-0000-0000-000045BA0000}"/>
    <cellStyle name="Note 2 4 3 2 4" xfId="19963" xr:uid="{00000000-0005-0000-0000-000046BA0000}"/>
    <cellStyle name="Note 2 4 3 2 4 2" xfId="45500" xr:uid="{00000000-0005-0000-0000-000047BA0000}"/>
    <cellStyle name="Note 2 4 3 2 4 3" xfId="49406" xr:uid="{00000000-0005-0000-0000-000048BA0000}"/>
    <cellStyle name="Note 2 4 3 2 4 4" xfId="37468" xr:uid="{00000000-0005-0000-0000-000049BA0000}"/>
    <cellStyle name="Note 2 4 3 2 5" xfId="20932" xr:uid="{00000000-0005-0000-0000-00004ABA0000}"/>
    <cellStyle name="Note 2 4 3 2 5 2" xfId="46469" xr:uid="{00000000-0005-0000-0000-00004BBA0000}"/>
    <cellStyle name="Note 2 4 3 2 5 3" xfId="50375" xr:uid="{00000000-0005-0000-0000-00004CBA0000}"/>
    <cellStyle name="Note 2 4 3 2 5 4" xfId="38338" xr:uid="{00000000-0005-0000-0000-00004DBA0000}"/>
    <cellStyle name="Note 2 4 3 2 6" xfId="21585" xr:uid="{00000000-0005-0000-0000-00004EBA0000}"/>
    <cellStyle name="Note 2 4 3 2 6 2" xfId="47122" xr:uid="{00000000-0005-0000-0000-00004FBA0000}"/>
    <cellStyle name="Note 2 4 3 2 6 3" xfId="51028" xr:uid="{00000000-0005-0000-0000-000050BA0000}"/>
    <cellStyle name="Note 2 4 3 2 7" xfId="40925" xr:uid="{00000000-0005-0000-0000-000051BA0000}"/>
    <cellStyle name="Note 2 4 3 2 8" xfId="42066" xr:uid="{00000000-0005-0000-0000-000052BA0000}"/>
    <cellStyle name="Note 2 4 3 3" xfId="11021" xr:uid="{00000000-0005-0000-0000-000053BA0000}"/>
    <cellStyle name="Note 2 4 3 3 2" xfId="18814" xr:uid="{00000000-0005-0000-0000-000054BA0000}"/>
    <cellStyle name="Note 2 4 3 3 2 2" xfId="44361" xr:uid="{00000000-0005-0000-0000-000055BA0000}"/>
    <cellStyle name="Note 2 4 3 3 2 3" xfId="48270" xr:uid="{00000000-0005-0000-0000-000056BA0000}"/>
    <cellStyle name="Note 2 4 3 3 2 4" xfId="36451" xr:uid="{00000000-0005-0000-0000-000057BA0000}"/>
    <cellStyle name="Note 2 4 3 3 3" xfId="20407" xr:uid="{00000000-0005-0000-0000-000058BA0000}"/>
    <cellStyle name="Note 2 4 3 3 3 2" xfId="45944" xr:uid="{00000000-0005-0000-0000-000059BA0000}"/>
    <cellStyle name="Note 2 4 3 3 3 3" xfId="49850" xr:uid="{00000000-0005-0000-0000-00005ABA0000}"/>
    <cellStyle name="Note 2 4 3 3 3 4" xfId="37861" xr:uid="{00000000-0005-0000-0000-00005BBA0000}"/>
    <cellStyle name="Note 2 4 3 3 4" xfId="20551" xr:uid="{00000000-0005-0000-0000-00005CBA0000}"/>
    <cellStyle name="Note 2 4 3 3 4 2" xfId="46088" xr:uid="{00000000-0005-0000-0000-00005DBA0000}"/>
    <cellStyle name="Note 2 4 3 3 4 3" xfId="49994" xr:uid="{00000000-0005-0000-0000-00005EBA0000}"/>
    <cellStyle name="Note 2 4 3 3 4 4" xfId="37978" xr:uid="{00000000-0005-0000-0000-00005FBA0000}"/>
    <cellStyle name="Note 2 4 3 3 5" xfId="21227" xr:uid="{00000000-0005-0000-0000-000060BA0000}"/>
    <cellStyle name="Note 2 4 3 3 5 2" xfId="46764" xr:uid="{00000000-0005-0000-0000-000061BA0000}"/>
    <cellStyle name="Note 2 4 3 3 5 3" xfId="50670" xr:uid="{00000000-0005-0000-0000-000062BA0000}"/>
    <cellStyle name="Note 2 4 3 3 5 4" xfId="38633" xr:uid="{00000000-0005-0000-0000-000063BA0000}"/>
    <cellStyle name="Note 2 4 3 3 6" xfId="21880" xr:uid="{00000000-0005-0000-0000-000064BA0000}"/>
    <cellStyle name="Note 2 4 3 3 6 2" xfId="47417" xr:uid="{00000000-0005-0000-0000-000065BA0000}"/>
    <cellStyle name="Note 2 4 3 3 6 3" xfId="51323" xr:uid="{00000000-0005-0000-0000-000066BA0000}"/>
    <cellStyle name="Note 2 4 3 3 7" xfId="41220" xr:uid="{00000000-0005-0000-0000-000067BA0000}"/>
    <cellStyle name="Note 2 4 3 3 8" xfId="42048" xr:uid="{00000000-0005-0000-0000-000068BA0000}"/>
    <cellStyle name="Note 2 4 3 4" xfId="15241" xr:uid="{00000000-0005-0000-0000-000069BA0000}"/>
    <cellStyle name="Note 2 4 3 4 2" xfId="43114" xr:uid="{00000000-0005-0000-0000-00006ABA0000}"/>
    <cellStyle name="Note 2 4 3 4 3" xfId="41938" xr:uid="{00000000-0005-0000-0000-00006BBA0000}"/>
    <cellStyle name="Note 2 4 3 4 4" xfId="32876" xr:uid="{00000000-0005-0000-0000-00006CBA0000}"/>
    <cellStyle name="Note 2 4 3 5" xfId="13246" xr:uid="{00000000-0005-0000-0000-00006DBA0000}"/>
    <cellStyle name="Note 2 4 3 5 2" xfId="42427" xr:uid="{00000000-0005-0000-0000-00006EBA0000}"/>
    <cellStyle name="Note 2 4 3 5 3" xfId="40436" xr:uid="{00000000-0005-0000-0000-00006FBA0000}"/>
    <cellStyle name="Note 2 4 3 5 4" xfId="30891" xr:uid="{00000000-0005-0000-0000-000070BA0000}"/>
    <cellStyle name="Note 2 4 3 6" xfId="19548" xr:uid="{00000000-0005-0000-0000-000071BA0000}"/>
    <cellStyle name="Note 2 4 3 6 2" xfId="45085" xr:uid="{00000000-0005-0000-0000-000072BA0000}"/>
    <cellStyle name="Note 2 4 3 6 3" xfId="48991" xr:uid="{00000000-0005-0000-0000-000073BA0000}"/>
    <cellStyle name="Note 2 4 3 6 4" xfId="37091" xr:uid="{00000000-0005-0000-0000-000074BA0000}"/>
    <cellStyle name="Note 2 4 3 7" xfId="11644" xr:uid="{00000000-0005-0000-0000-000075BA0000}"/>
    <cellStyle name="Note 2 4 3 7 2" xfId="41655" xr:uid="{00000000-0005-0000-0000-000076BA0000}"/>
    <cellStyle name="Note 2 4 3 7 3" xfId="41389" xr:uid="{00000000-0005-0000-0000-000077BA0000}"/>
    <cellStyle name="Note 2 4 3 7 4" xfId="29344" xr:uid="{00000000-0005-0000-0000-000078BA0000}"/>
    <cellStyle name="Note 2 4 3 8" xfId="19787" xr:uid="{00000000-0005-0000-0000-000079BA0000}"/>
    <cellStyle name="Note 2 4 3 8 2" xfId="45324" xr:uid="{00000000-0005-0000-0000-00007ABA0000}"/>
    <cellStyle name="Note 2 4 3 8 3" xfId="49230" xr:uid="{00000000-0005-0000-0000-00007BBA0000}"/>
    <cellStyle name="Note 2 4 3 9" xfId="39974" xr:uid="{00000000-0005-0000-0000-00007CBA0000}"/>
    <cellStyle name="Note 2 4 4" xfId="12083" xr:uid="{00000000-0005-0000-0000-00007DBA0000}"/>
    <cellStyle name="Note 2 4 4 2" xfId="41828" xr:uid="{00000000-0005-0000-0000-00007EBA0000}"/>
    <cellStyle name="Note 2 4 4 3" xfId="40200" xr:uid="{00000000-0005-0000-0000-00007FBA0000}"/>
    <cellStyle name="Note 2 4 4 4" xfId="29759" xr:uid="{00000000-0005-0000-0000-000080BA0000}"/>
    <cellStyle name="Note 2 4 5" xfId="19685" xr:uid="{00000000-0005-0000-0000-000081BA0000}"/>
    <cellStyle name="Note 2 4 5 2" xfId="45222" xr:uid="{00000000-0005-0000-0000-000082BA0000}"/>
    <cellStyle name="Note 2 4 5 3" xfId="49128" xr:uid="{00000000-0005-0000-0000-000083BA0000}"/>
    <cellStyle name="Note 2 4 5 4" xfId="37217" xr:uid="{00000000-0005-0000-0000-000084BA0000}"/>
    <cellStyle name="Note 2 4 6" xfId="52662" xr:uid="{00000000-0005-0000-0000-000085BA0000}"/>
    <cellStyle name="Note 2 4 7" xfId="53269" xr:uid="{00000000-0005-0000-0000-000086BA0000}"/>
    <cellStyle name="Note 2 5" xfId="3169" xr:uid="{00000000-0005-0000-0000-000087BA0000}"/>
    <cellStyle name="Note 2 5 2" xfId="5301" xr:uid="{00000000-0005-0000-0000-000088BA0000}"/>
    <cellStyle name="Note 2 5 2 2" xfId="10473" xr:uid="{00000000-0005-0000-0000-000089BA0000}"/>
    <cellStyle name="Note 2 5 2 2 2" xfId="18266" xr:uid="{00000000-0005-0000-0000-00008ABA0000}"/>
    <cellStyle name="Note 2 5 2 2 2 2" xfId="43813" xr:uid="{00000000-0005-0000-0000-00008BBA0000}"/>
    <cellStyle name="Note 2 5 2 2 2 3" xfId="47722" xr:uid="{00000000-0005-0000-0000-00008CBA0000}"/>
    <cellStyle name="Note 2 5 2 2 2 4" xfId="35903" xr:uid="{00000000-0005-0000-0000-00008DBA0000}"/>
    <cellStyle name="Note 2 5 2 2 3" xfId="13318" xr:uid="{00000000-0005-0000-0000-00008EBA0000}"/>
    <cellStyle name="Note 2 5 2 2 3 2" xfId="42488" xr:uid="{00000000-0005-0000-0000-00008FBA0000}"/>
    <cellStyle name="Note 2 5 2 2 3 3" xfId="40172" xr:uid="{00000000-0005-0000-0000-000090BA0000}"/>
    <cellStyle name="Note 2 5 2 2 3 4" xfId="30958" xr:uid="{00000000-0005-0000-0000-000091BA0000}"/>
    <cellStyle name="Note 2 5 2 2 4" xfId="20307" xr:uid="{00000000-0005-0000-0000-000092BA0000}"/>
    <cellStyle name="Note 2 5 2 2 4 2" xfId="45844" xr:uid="{00000000-0005-0000-0000-000093BA0000}"/>
    <cellStyle name="Note 2 5 2 2 4 3" xfId="49750" xr:uid="{00000000-0005-0000-0000-000094BA0000}"/>
    <cellStyle name="Note 2 5 2 2 4 4" xfId="37773" xr:uid="{00000000-0005-0000-0000-000095BA0000}"/>
    <cellStyle name="Note 2 5 2 2 5" xfId="20679" xr:uid="{00000000-0005-0000-0000-000096BA0000}"/>
    <cellStyle name="Note 2 5 2 2 5 2" xfId="46216" xr:uid="{00000000-0005-0000-0000-000097BA0000}"/>
    <cellStyle name="Note 2 5 2 2 5 3" xfId="50122" xr:uid="{00000000-0005-0000-0000-000098BA0000}"/>
    <cellStyle name="Note 2 5 2 2 5 4" xfId="38085" xr:uid="{00000000-0005-0000-0000-000099BA0000}"/>
    <cellStyle name="Note 2 5 2 2 6" xfId="21332" xr:uid="{00000000-0005-0000-0000-00009ABA0000}"/>
    <cellStyle name="Note 2 5 2 2 6 2" xfId="46869" xr:uid="{00000000-0005-0000-0000-00009BBA0000}"/>
    <cellStyle name="Note 2 5 2 2 6 3" xfId="50775" xr:uid="{00000000-0005-0000-0000-00009CBA0000}"/>
    <cellStyle name="Note 2 5 2 2 7" xfId="40672" xr:uid="{00000000-0005-0000-0000-00009DBA0000}"/>
    <cellStyle name="Note 2 5 2 2 8" xfId="43400" xr:uid="{00000000-0005-0000-0000-00009EBA0000}"/>
    <cellStyle name="Note 2 5 2 2 9" xfId="53382" xr:uid="{00000000-0005-0000-0000-00009FBA0000}"/>
    <cellStyle name="Note 2 5 2 3" xfId="8798" xr:uid="{00000000-0005-0000-0000-0000A0BA0000}"/>
    <cellStyle name="Note 2 5 2 3 2" xfId="16594" xr:uid="{00000000-0005-0000-0000-0000A1BA0000}"/>
    <cellStyle name="Note 2 5 2 3 2 2" xfId="43435" xr:uid="{00000000-0005-0000-0000-0000A2BA0000}"/>
    <cellStyle name="Note 2 5 2 3 2 3" xfId="41932" xr:uid="{00000000-0005-0000-0000-0000A3BA0000}"/>
    <cellStyle name="Note 2 5 2 3 2 4" xfId="34229" xr:uid="{00000000-0005-0000-0000-0000A4BA0000}"/>
    <cellStyle name="Note 2 5 2 3 3" xfId="11458" xr:uid="{00000000-0005-0000-0000-0000A5BA0000}"/>
    <cellStyle name="Note 2 5 2 3 3 2" xfId="41469" xr:uid="{00000000-0005-0000-0000-0000A6BA0000}"/>
    <cellStyle name="Note 2 5 2 3 3 3" xfId="42719" xr:uid="{00000000-0005-0000-0000-0000A7BA0000}"/>
    <cellStyle name="Note 2 5 2 3 3 4" xfId="29177" xr:uid="{00000000-0005-0000-0000-0000A8BA0000}"/>
    <cellStyle name="Note 2 5 2 3 4" xfId="18986" xr:uid="{00000000-0005-0000-0000-0000A9BA0000}"/>
    <cellStyle name="Note 2 5 2 3 4 2" xfId="44523" xr:uid="{00000000-0005-0000-0000-0000AABA0000}"/>
    <cellStyle name="Note 2 5 2 3 4 3" xfId="48429" xr:uid="{00000000-0005-0000-0000-0000ABBA0000}"/>
    <cellStyle name="Note 2 5 2 3 4 4" xfId="36610" xr:uid="{00000000-0005-0000-0000-0000ACBA0000}"/>
    <cellStyle name="Note 2 5 2 3 5" xfId="19955" xr:uid="{00000000-0005-0000-0000-0000ADBA0000}"/>
    <cellStyle name="Note 2 5 2 3 5 2" xfId="45492" xr:uid="{00000000-0005-0000-0000-0000AEBA0000}"/>
    <cellStyle name="Note 2 5 2 3 5 3" xfId="49398" xr:uid="{00000000-0005-0000-0000-0000AFBA0000}"/>
    <cellStyle name="Note 2 5 2 3 5 4" xfId="37460" xr:uid="{00000000-0005-0000-0000-0000B0BA0000}"/>
    <cellStyle name="Note 2 5 2 3 6" xfId="20488" xr:uid="{00000000-0005-0000-0000-0000B1BA0000}"/>
    <cellStyle name="Note 2 5 2 3 6 2" xfId="46025" xr:uid="{00000000-0005-0000-0000-0000B2BA0000}"/>
    <cellStyle name="Note 2 5 2 3 6 3" xfId="49931" xr:uid="{00000000-0005-0000-0000-0000B3BA0000}"/>
    <cellStyle name="Note 2 5 2 3 7" xfId="40297" xr:uid="{00000000-0005-0000-0000-0000B4BA0000}"/>
    <cellStyle name="Note 2 5 2 3 8" xfId="39218" xr:uid="{00000000-0005-0000-0000-0000B5BA0000}"/>
    <cellStyle name="Note 2 5 2 4" xfId="13273" xr:uid="{00000000-0005-0000-0000-0000B6BA0000}"/>
    <cellStyle name="Note 2 5 2 4 2" xfId="42443" xr:uid="{00000000-0005-0000-0000-0000B7BA0000}"/>
    <cellStyle name="Note 2 5 2 4 3" xfId="43315" xr:uid="{00000000-0005-0000-0000-0000B8BA0000}"/>
    <cellStyle name="Note 2 5 2 4 4" xfId="30918" xr:uid="{00000000-0005-0000-0000-0000B9BA0000}"/>
    <cellStyle name="Note 2 5 2 5" xfId="11732" xr:uid="{00000000-0005-0000-0000-0000BABA0000}"/>
    <cellStyle name="Note 2 5 2 5 2" xfId="41718" xr:uid="{00000000-0005-0000-0000-0000BBBA0000}"/>
    <cellStyle name="Note 2 5 2 5 3" xfId="40067" xr:uid="{00000000-0005-0000-0000-0000BCBA0000}"/>
    <cellStyle name="Note 2 5 2 5 4" xfId="29419" xr:uid="{00000000-0005-0000-0000-0000BDBA0000}"/>
    <cellStyle name="Note 2 5 2 6" xfId="53272" xr:uid="{00000000-0005-0000-0000-0000BEBA0000}"/>
    <cellStyle name="Note 2 5 3" xfId="7454" xr:uid="{00000000-0005-0000-0000-0000BFBA0000}"/>
    <cellStyle name="Note 2 5 3 10" xfId="43099" xr:uid="{00000000-0005-0000-0000-0000C0BA0000}"/>
    <cellStyle name="Note 2 5 3 11" xfId="53381" xr:uid="{00000000-0005-0000-0000-0000C1BA0000}"/>
    <cellStyle name="Note 2 5 3 2" xfId="10727" xr:uid="{00000000-0005-0000-0000-0000C2BA0000}"/>
    <cellStyle name="Note 2 5 3 2 2" xfId="18520" xr:uid="{00000000-0005-0000-0000-0000C3BA0000}"/>
    <cellStyle name="Note 2 5 3 2 2 2" xfId="44067" xr:uid="{00000000-0005-0000-0000-0000C4BA0000}"/>
    <cellStyle name="Note 2 5 3 2 2 3" xfId="47976" xr:uid="{00000000-0005-0000-0000-0000C5BA0000}"/>
    <cellStyle name="Note 2 5 3 2 2 4" xfId="36157" xr:uid="{00000000-0005-0000-0000-0000C6BA0000}"/>
    <cellStyle name="Note 2 5 3 2 3" xfId="19736" xr:uid="{00000000-0005-0000-0000-0000C7BA0000}"/>
    <cellStyle name="Note 2 5 3 2 3 2" xfId="45273" xr:uid="{00000000-0005-0000-0000-0000C8BA0000}"/>
    <cellStyle name="Note 2 5 3 2 3 3" xfId="49179" xr:uid="{00000000-0005-0000-0000-0000C9BA0000}"/>
    <cellStyle name="Note 2 5 3 2 3 4" xfId="37263" xr:uid="{00000000-0005-0000-0000-0000CABA0000}"/>
    <cellStyle name="Note 2 5 3 2 4" xfId="20100" xr:uid="{00000000-0005-0000-0000-0000CBBA0000}"/>
    <cellStyle name="Note 2 5 3 2 4 2" xfId="45637" xr:uid="{00000000-0005-0000-0000-0000CCBA0000}"/>
    <cellStyle name="Note 2 5 3 2 4 3" xfId="49543" xr:uid="{00000000-0005-0000-0000-0000CDBA0000}"/>
    <cellStyle name="Note 2 5 3 2 4 4" xfId="37589" xr:uid="{00000000-0005-0000-0000-0000CEBA0000}"/>
    <cellStyle name="Note 2 5 3 2 5" xfId="20933" xr:uid="{00000000-0005-0000-0000-0000CFBA0000}"/>
    <cellStyle name="Note 2 5 3 2 5 2" xfId="46470" xr:uid="{00000000-0005-0000-0000-0000D0BA0000}"/>
    <cellStyle name="Note 2 5 3 2 5 3" xfId="50376" xr:uid="{00000000-0005-0000-0000-0000D1BA0000}"/>
    <cellStyle name="Note 2 5 3 2 5 4" xfId="38339" xr:uid="{00000000-0005-0000-0000-0000D2BA0000}"/>
    <cellStyle name="Note 2 5 3 2 6" xfId="21586" xr:uid="{00000000-0005-0000-0000-0000D3BA0000}"/>
    <cellStyle name="Note 2 5 3 2 6 2" xfId="47123" xr:uid="{00000000-0005-0000-0000-0000D4BA0000}"/>
    <cellStyle name="Note 2 5 3 2 6 3" xfId="51029" xr:uid="{00000000-0005-0000-0000-0000D5BA0000}"/>
    <cellStyle name="Note 2 5 3 2 7" xfId="40926" xr:uid="{00000000-0005-0000-0000-0000D6BA0000}"/>
    <cellStyle name="Note 2 5 3 2 8" xfId="43385" xr:uid="{00000000-0005-0000-0000-0000D7BA0000}"/>
    <cellStyle name="Note 2 5 3 3" xfId="11022" xr:uid="{00000000-0005-0000-0000-0000D8BA0000}"/>
    <cellStyle name="Note 2 5 3 3 2" xfId="18815" xr:uid="{00000000-0005-0000-0000-0000D9BA0000}"/>
    <cellStyle name="Note 2 5 3 3 2 2" xfId="44362" xr:uid="{00000000-0005-0000-0000-0000DABA0000}"/>
    <cellStyle name="Note 2 5 3 3 2 3" xfId="48271" xr:uid="{00000000-0005-0000-0000-0000DBBA0000}"/>
    <cellStyle name="Note 2 5 3 3 2 4" xfId="36452" xr:uid="{00000000-0005-0000-0000-0000DCBA0000}"/>
    <cellStyle name="Note 2 5 3 3 3" xfId="20408" xr:uid="{00000000-0005-0000-0000-0000DDBA0000}"/>
    <cellStyle name="Note 2 5 3 3 3 2" xfId="45945" xr:uid="{00000000-0005-0000-0000-0000DEBA0000}"/>
    <cellStyle name="Note 2 5 3 3 3 3" xfId="49851" xr:uid="{00000000-0005-0000-0000-0000DFBA0000}"/>
    <cellStyle name="Note 2 5 3 3 3 4" xfId="37862" xr:uid="{00000000-0005-0000-0000-0000E0BA0000}"/>
    <cellStyle name="Note 2 5 3 3 4" xfId="20552" xr:uid="{00000000-0005-0000-0000-0000E1BA0000}"/>
    <cellStyle name="Note 2 5 3 3 4 2" xfId="46089" xr:uid="{00000000-0005-0000-0000-0000E2BA0000}"/>
    <cellStyle name="Note 2 5 3 3 4 3" xfId="49995" xr:uid="{00000000-0005-0000-0000-0000E3BA0000}"/>
    <cellStyle name="Note 2 5 3 3 4 4" xfId="37979" xr:uid="{00000000-0005-0000-0000-0000E4BA0000}"/>
    <cellStyle name="Note 2 5 3 3 5" xfId="21228" xr:uid="{00000000-0005-0000-0000-0000E5BA0000}"/>
    <cellStyle name="Note 2 5 3 3 5 2" xfId="46765" xr:uid="{00000000-0005-0000-0000-0000E6BA0000}"/>
    <cellStyle name="Note 2 5 3 3 5 3" xfId="50671" xr:uid="{00000000-0005-0000-0000-0000E7BA0000}"/>
    <cellStyle name="Note 2 5 3 3 5 4" xfId="38634" xr:uid="{00000000-0005-0000-0000-0000E8BA0000}"/>
    <cellStyle name="Note 2 5 3 3 6" xfId="21881" xr:uid="{00000000-0005-0000-0000-0000E9BA0000}"/>
    <cellStyle name="Note 2 5 3 3 6 2" xfId="47418" xr:uid="{00000000-0005-0000-0000-0000EABA0000}"/>
    <cellStyle name="Note 2 5 3 3 6 3" xfId="51324" xr:uid="{00000000-0005-0000-0000-0000EBBA0000}"/>
    <cellStyle name="Note 2 5 3 3 7" xfId="41221" xr:uid="{00000000-0005-0000-0000-0000ECBA0000}"/>
    <cellStyle name="Note 2 5 3 3 8" xfId="43367" xr:uid="{00000000-0005-0000-0000-0000EDBA0000}"/>
    <cellStyle name="Note 2 5 3 4" xfId="15242" xr:uid="{00000000-0005-0000-0000-0000EEBA0000}"/>
    <cellStyle name="Note 2 5 3 4 2" xfId="43115" xr:uid="{00000000-0005-0000-0000-0000EFBA0000}"/>
    <cellStyle name="Note 2 5 3 4 3" xfId="43292" xr:uid="{00000000-0005-0000-0000-0000F0BA0000}"/>
    <cellStyle name="Note 2 5 3 4 4" xfId="32877" xr:uid="{00000000-0005-0000-0000-0000F1BA0000}"/>
    <cellStyle name="Note 2 5 3 5" xfId="19662" xr:uid="{00000000-0005-0000-0000-0000F2BA0000}"/>
    <cellStyle name="Note 2 5 3 5 2" xfId="45199" xr:uid="{00000000-0005-0000-0000-0000F3BA0000}"/>
    <cellStyle name="Note 2 5 3 5 3" xfId="49105" xr:uid="{00000000-0005-0000-0000-0000F4BA0000}"/>
    <cellStyle name="Note 2 5 3 5 4" xfId="37196" xr:uid="{00000000-0005-0000-0000-0000F5BA0000}"/>
    <cellStyle name="Note 2 5 3 6" xfId="12141" xr:uid="{00000000-0005-0000-0000-0000F6BA0000}"/>
    <cellStyle name="Note 2 5 3 6 2" xfId="41886" xr:uid="{00000000-0005-0000-0000-0000F7BA0000}"/>
    <cellStyle name="Note 2 5 3 6 3" xfId="40453" xr:uid="{00000000-0005-0000-0000-0000F8BA0000}"/>
    <cellStyle name="Note 2 5 3 6 4" xfId="29813" xr:uid="{00000000-0005-0000-0000-0000F9BA0000}"/>
    <cellStyle name="Note 2 5 3 7" xfId="13915" xr:uid="{00000000-0005-0000-0000-0000FABA0000}"/>
    <cellStyle name="Note 2 5 3 7 2" xfId="42650" xr:uid="{00000000-0005-0000-0000-0000FBBA0000}"/>
    <cellStyle name="Note 2 5 3 7 3" xfId="47584" xr:uid="{00000000-0005-0000-0000-0000FCBA0000}"/>
    <cellStyle name="Note 2 5 3 7 4" xfId="31552" xr:uid="{00000000-0005-0000-0000-0000FDBA0000}"/>
    <cellStyle name="Note 2 5 3 8" xfId="19480" xr:uid="{00000000-0005-0000-0000-0000FEBA0000}"/>
    <cellStyle name="Note 2 5 3 8 2" xfId="45017" xr:uid="{00000000-0005-0000-0000-0000FFBA0000}"/>
    <cellStyle name="Note 2 5 3 8 3" xfId="48923" xr:uid="{00000000-0005-0000-0000-000000BB0000}"/>
    <cellStyle name="Note 2 5 3 9" xfId="39975" xr:uid="{00000000-0005-0000-0000-000001BB0000}"/>
    <cellStyle name="Note 2 5 4" xfId="12084" xr:uid="{00000000-0005-0000-0000-000002BB0000}"/>
    <cellStyle name="Note 2 5 4 2" xfId="41829" xr:uid="{00000000-0005-0000-0000-000003BB0000}"/>
    <cellStyle name="Note 2 5 4 3" xfId="39333" xr:uid="{00000000-0005-0000-0000-000004BB0000}"/>
    <cellStyle name="Note 2 5 4 4" xfId="29760" xr:uid="{00000000-0005-0000-0000-000005BB0000}"/>
    <cellStyle name="Note 2 5 5" xfId="20247" xr:uid="{00000000-0005-0000-0000-000006BB0000}"/>
    <cellStyle name="Note 2 5 5 2" xfId="45784" xr:uid="{00000000-0005-0000-0000-000007BB0000}"/>
    <cellStyle name="Note 2 5 5 3" xfId="49690" xr:uid="{00000000-0005-0000-0000-000008BB0000}"/>
    <cellStyle name="Note 2 5 5 4" xfId="37719" xr:uid="{00000000-0005-0000-0000-000009BB0000}"/>
    <cellStyle name="Note 2 5 6" xfId="52663" xr:uid="{00000000-0005-0000-0000-00000ABB0000}"/>
    <cellStyle name="Note 2 5 7" xfId="53271" xr:uid="{00000000-0005-0000-0000-00000BBB0000}"/>
    <cellStyle name="Note 2 6" xfId="5302" xr:uid="{00000000-0005-0000-0000-00000CBB0000}"/>
    <cellStyle name="Note 2 6 2" xfId="7455" xr:uid="{00000000-0005-0000-0000-00000DBB0000}"/>
    <cellStyle name="Note 2 6 2 10" xfId="43766" xr:uid="{00000000-0005-0000-0000-00000EBB0000}"/>
    <cellStyle name="Note 2 6 2 11" xfId="53383" xr:uid="{00000000-0005-0000-0000-00000FBB0000}"/>
    <cellStyle name="Note 2 6 2 2" xfId="10728" xr:uid="{00000000-0005-0000-0000-000010BB0000}"/>
    <cellStyle name="Note 2 6 2 2 2" xfId="18521" xr:uid="{00000000-0005-0000-0000-000011BB0000}"/>
    <cellStyle name="Note 2 6 2 2 2 2" xfId="44068" xr:uid="{00000000-0005-0000-0000-000012BB0000}"/>
    <cellStyle name="Note 2 6 2 2 2 3" xfId="47977" xr:uid="{00000000-0005-0000-0000-000013BB0000}"/>
    <cellStyle name="Note 2 6 2 2 2 4" xfId="36158" xr:uid="{00000000-0005-0000-0000-000014BB0000}"/>
    <cellStyle name="Note 2 6 2 2 3" xfId="20156" xr:uid="{00000000-0005-0000-0000-000015BB0000}"/>
    <cellStyle name="Note 2 6 2 2 3 2" xfId="45693" xr:uid="{00000000-0005-0000-0000-000016BB0000}"/>
    <cellStyle name="Note 2 6 2 2 3 3" xfId="49599" xr:uid="{00000000-0005-0000-0000-000017BB0000}"/>
    <cellStyle name="Note 2 6 2 2 3 4" xfId="37642" xr:uid="{00000000-0005-0000-0000-000018BB0000}"/>
    <cellStyle name="Note 2 6 2 2 4" xfId="15305" xr:uid="{00000000-0005-0000-0000-000019BB0000}"/>
    <cellStyle name="Note 2 6 2 2 4 2" xfId="43172" xr:uid="{00000000-0005-0000-0000-00001ABB0000}"/>
    <cellStyle name="Note 2 6 2 2 4 3" xfId="40520" xr:uid="{00000000-0005-0000-0000-00001BBB0000}"/>
    <cellStyle name="Note 2 6 2 2 4 4" xfId="32940" xr:uid="{00000000-0005-0000-0000-00001CBB0000}"/>
    <cellStyle name="Note 2 6 2 2 5" xfId="20934" xr:uid="{00000000-0005-0000-0000-00001DBB0000}"/>
    <cellStyle name="Note 2 6 2 2 5 2" xfId="46471" xr:uid="{00000000-0005-0000-0000-00001EBB0000}"/>
    <cellStyle name="Note 2 6 2 2 5 3" xfId="50377" xr:uid="{00000000-0005-0000-0000-00001FBB0000}"/>
    <cellStyle name="Note 2 6 2 2 5 4" xfId="38340" xr:uid="{00000000-0005-0000-0000-000020BB0000}"/>
    <cellStyle name="Note 2 6 2 2 6" xfId="21587" xr:uid="{00000000-0005-0000-0000-000021BB0000}"/>
    <cellStyle name="Note 2 6 2 2 6 2" xfId="47124" xr:uid="{00000000-0005-0000-0000-000022BB0000}"/>
    <cellStyle name="Note 2 6 2 2 6 3" xfId="51030" xr:uid="{00000000-0005-0000-0000-000023BB0000}"/>
    <cellStyle name="Note 2 6 2 2 7" xfId="40927" xr:uid="{00000000-0005-0000-0000-000024BB0000}"/>
    <cellStyle name="Note 2 6 2 2 8" xfId="40247" xr:uid="{00000000-0005-0000-0000-000025BB0000}"/>
    <cellStyle name="Note 2 6 2 3" xfId="11023" xr:uid="{00000000-0005-0000-0000-000026BB0000}"/>
    <cellStyle name="Note 2 6 2 3 2" xfId="18816" xr:uid="{00000000-0005-0000-0000-000027BB0000}"/>
    <cellStyle name="Note 2 6 2 3 2 2" xfId="44363" xr:uid="{00000000-0005-0000-0000-000028BB0000}"/>
    <cellStyle name="Note 2 6 2 3 2 3" xfId="48272" xr:uid="{00000000-0005-0000-0000-000029BB0000}"/>
    <cellStyle name="Note 2 6 2 3 2 4" xfId="36453" xr:uid="{00000000-0005-0000-0000-00002ABB0000}"/>
    <cellStyle name="Note 2 6 2 3 3" xfId="20409" xr:uid="{00000000-0005-0000-0000-00002BBB0000}"/>
    <cellStyle name="Note 2 6 2 3 3 2" xfId="45946" xr:uid="{00000000-0005-0000-0000-00002CBB0000}"/>
    <cellStyle name="Note 2 6 2 3 3 3" xfId="49852" xr:uid="{00000000-0005-0000-0000-00002DBB0000}"/>
    <cellStyle name="Note 2 6 2 3 3 4" xfId="37863" xr:uid="{00000000-0005-0000-0000-00002EBB0000}"/>
    <cellStyle name="Note 2 6 2 3 4" xfId="20553" xr:uid="{00000000-0005-0000-0000-00002FBB0000}"/>
    <cellStyle name="Note 2 6 2 3 4 2" xfId="46090" xr:uid="{00000000-0005-0000-0000-000030BB0000}"/>
    <cellStyle name="Note 2 6 2 3 4 3" xfId="49996" xr:uid="{00000000-0005-0000-0000-000031BB0000}"/>
    <cellStyle name="Note 2 6 2 3 4 4" xfId="37980" xr:uid="{00000000-0005-0000-0000-000032BB0000}"/>
    <cellStyle name="Note 2 6 2 3 5" xfId="21229" xr:uid="{00000000-0005-0000-0000-000033BB0000}"/>
    <cellStyle name="Note 2 6 2 3 5 2" xfId="46766" xr:uid="{00000000-0005-0000-0000-000034BB0000}"/>
    <cellStyle name="Note 2 6 2 3 5 3" xfId="50672" xr:uid="{00000000-0005-0000-0000-000035BB0000}"/>
    <cellStyle name="Note 2 6 2 3 5 4" xfId="38635" xr:uid="{00000000-0005-0000-0000-000036BB0000}"/>
    <cellStyle name="Note 2 6 2 3 6" xfId="21882" xr:uid="{00000000-0005-0000-0000-000037BB0000}"/>
    <cellStyle name="Note 2 6 2 3 6 2" xfId="47419" xr:uid="{00000000-0005-0000-0000-000038BB0000}"/>
    <cellStyle name="Note 2 6 2 3 6 3" xfId="51325" xr:uid="{00000000-0005-0000-0000-000039BB0000}"/>
    <cellStyle name="Note 2 6 2 3 7" xfId="41222" xr:uid="{00000000-0005-0000-0000-00003ABB0000}"/>
    <cellStyle name="Note 2 6 2 3 8" xfId="40229" xr:uid="{00000000-0005-0000-0000-00003BBB0000}"/>
    <cellStyle name="Note 2 6 2 4" xfId="15243" xr:uid="{00000000-0005-0000-0000-00003CBB0000}"/>
    <cellStyle name="Note 2 6 2 4 2" xfId="43116" xr:uid="{00000000-0005-0000-0000-00003DBB0000}"/>
    <cellStyle name="Note 2 6 2 4 3" xfId="40151" xr:uid="{00000000-0005-0000-0000-00003EBB0000}"/>
    <cellStyle name="Note 2 6 2 4 4" xfId="32878" xr:uid="{00000000-0005-0000-0000-00003FBB0000}"/>
    <cellStyle name="Note 2 6 2 5" xfId="20221" xr:uid="{00000000-0005-0000-0000-000040BB0000}"/>
    <cellStyle name="Note 2 6 2 5 2" xfId="45758" xr:uid="{00000000-0005-0000-0000-000041BB0000}"/>
    <cellStyle name="Note 2 6 2 5 3" xfId="49664" xr:uid="{00000000-0005-0000-0000-000042BB0000}"/>
    <cellStyle name="Note 2 6 2 5 4" xfId="37698" xr:uid="{00000000-0005-0000-0000-000043BB0000}"/>
    <cellStyle name="Note 2 6 2 6" xfId="20477" xr:uid="{00000000-0005-0000-0000-000044BB0000}"/>
    <cellStyle name="Note 2 6 2 6 2" xfId="46014" xr:uid="{00000000-0005-0000-0000-000045BB0000}"/>
    <cellStyle name="Note 2 6 2 6 3" xfId="49920" xr:uid="{00000000-0005-0000-0000-000046BB0000}"/>
    <cellStyle name="Note 2 6 2 6 4" xfId="37930" xr:uid="{00000000-0005-0000-0000-000047BB0000}"/>
    <cellStyle name="Note 2 6 2 7" xfId="13314" xr:uid="{00000000-0005-0000-0000-000048BB0000}"/>
    <cellStyle name="Note 2 6 2 7 2" xfId="42484" xr:uid="{00000000-0005-0000-0000-000049BB0000}"/>
    <cellStyle name="Note 2 6 2 7 3" xfId="40170" xr:uid="{00000000-0005-0000-0000-00004ABB0000}"/>
    <cellStyle name="Note 2 6 2 7 4" xfId="30954" xr:uid="{00000000-0005-0000-0000-00004BBB0000}"/>
    <cellStyle name="Note 2 6 2 8" xfId="20234" xr:uid="{00000000-0005-0000-0000-00004CBB0000}"/>
    <cellStyle name="Note 2 6 2 8 2" xfId="45771" xr:uid="{00000000-0005-0000-0000-00004DBB0000}"/>
    <cellStyle name="Note 2 6 2 8 3" xfId="49677" xr:uid="{00000000-0005-0000-0000-00004EBB0000}"/>
    <cellStyle name="Note 2 6 2 9" xfId="39976" xr:uid="{00000000-0005-0000-0000-00004FBB0000}"/>
    <cellStyle name="Note 2 6 3" xfId="13274" xr:uid="{00000000-0005-0000-0000-000050BB0000}"/>
    <cellStyle name="Note 2 6 3 2" xfId="42444" xr:uid="{00000000-0005-0000-0000-000051BB0000}"/>
    <cellStyle name="Note 2 6 3 3" xfId="40174" xr:uid="{00000000-0005-0000-0000-000052BB0000}"/>
    <cellStyle name="Note 2 6 3 4" xfId="30919" xr:uid="{00000000-0005-0000-0000-000053BB0000}"/>
    <cellStyle name="Note 2 6 4" xfId="20374" xr:uid="{00000000-0005-0000-0000-000054BB0000}"/>
    <cellStyle name="Note 2 6 4 2" xfId="45911" xr:uid="{00000000-0005-0000-0000-000055BB0000}"/>
    <cellStyle name="Note 2 6 4 3" xfId="49817" xr:uid="{00000000-0005-0000-0000-000056BB0000}"/>
    <cellStyle name="Note 2 6 4 4" xfId="37830" xr:uid="{00000000-0005-0000-0000-000057BB0000}"/>
    <cellStyle name="Note 2 6 5" xfId="53273" xr:uid="{00000000-0005-0000-0000-000058BB0000}"/>
    <cellStyle name="Note 2 7" xfId="5303" xr:uid="{00000000-0005-0000-0000-000059BB0000}"/>
    <cellStyle name="Note 2 7 2" xfId="10474" xr:uid="{00000000-0005-0000-0000-00005ABB0000}"/>
    <cellStyle name="Note 2 7 2 2" xfId="18267" xr:uid="{00000000-0005-0000-0000-00005BBB0000}"/>
    <cellStyle name="Note 2 7 2 2 2" xfId="43814" xr:uid="{00000000-0005-0000-0000-00005CBB0000}"/>
    <cellStyle name="Note 2 7 2 2 3" xfId="47723" xr:uid="{00000000-0005-0000-0000-00005DBB0000}"/>
    <cellStyle name="Note 2 7 2 2 4" xfId="35904" xr:uid="{00000000-0005-0000-0000-00005EBB0000}"/>
    <cellStyle name="Note 2 7 2 3" xfId="19623" xr:uid="{00000000-0005-0000-0000-00005FBB0000}"/>
    <cellStyle name="Note 2 7 2 3 2" xfId="45160" xr:uid="{00000000-0005-0000-0000-000060BB0000}"/>
    <cellStyle name="Note 2 7 2 3 3" xfId="49066" xr:uid="{00000000-0005-0000-0000-000061BB0000}"/>
    <cellStyle name="Note 2 7 2 3 4" xfId="37163" xr:uid="{00000000-0005-0000-0000-000062BB0000}"/>
    <cellStyle name="Note 2 7 2 4" xfId="20216" xr:uid="{00000000-0005-0000-0000-000063BB0000}"/>
    <cellStyle name="Note 2 7 2 4 2" xfId="45753" xr:uid="{00000000-0005-0000-0000-000064BB0000}"/>
    <cellStyle name="Note 2 7 2 4 3" xfId="49659" xr:uid="{00000000-0005-0000-0000-000065BB0000}"/>
    <cellStyle name="Note 2 7 2 4 4" xfId="37693" xr:uid="{00000000-0005-0000-0000-000066BB0000}"/>
    <cellStyle name="Note 2 7 2 5" xfId="20680" xr:uid="{00000000-0005-0000-0000-000067BB0000}"/>
    <cellStyle name="Note 2 7 2 5 2" xfId="46217" xr:uid="{00000000-0005-0000-0000-000068BB0000}"/>
    <cellStyle name="Note 2 7 2 5 3" xfId="50123" xr:uid="{00000000-0005-0000-0000-000069BB0000}"/>
    <cellStyle name="Note 2 7 2 5 4" xfId="38086" xr:uid="{00000000-0005-0000-0000-00006ABB0000}"/>
    <cellStyle name="Note 2 7 2 6" xfId="21333" xr:uid="{00000000-0005-0000-0000-00006BBB0000}"/>
    <cellStyle name="Note 2 7 2 6 2" xfId="46870" xr:uid="{00000000-0005-0000-0000-00006CBB0000}"/>
    <cellStyle name="Note 2 7 2 6 3" xfId="50776" xr:uid="{00000000-0005-0000-0000-00006DBB0000}"/>
    <cellStyle name="Note 2 7 2 7" xfId="40673" xr:uid="{00000000-0005-0000-0000-00006EBB0000}"/>
    <cellStyle name="Note 2 7 2 8" xfId="40262" xr:uid="{00000000-0005-0000-0000-00006FBB0000}"/>
    <cellStyle name="Note 2 7 3" xfId="8799" xr:uid="{00000000-0005-0000-0000-000070BB0000}"/>
    <cellStyle name="Note 2 7 3 2" xfId="16595" xr:uid="{00000000-0005-0000-0000-000071BB0000}"/>
    <cellStyle name="Note 2 7 3 2 2" xfId="43436" xr:uid="{00000000-0005-0000-0000-000072BB0000}"/>
    <cellStyle name="Note 2 7 3 2 3" xfId="43287" xr:uid="{00000000-0005-0000-0000-000073BB0000}"/>
    <cellStyle name="Note 2 7 3 2 4" xfId="34230" xr:uid="{00000000-0005-0000-0000-000074BB0000}"/>
    <cellStyle name="Note 2 7 3 3" xfId="19797" xr:uid="{00000000-0005-0000-0000-000075BB0000}"/>
    <cellStyle name="Note 2 7 3 3 2" xfId="45334" xr:uid="{00000000-0005-0000-0000-000076BB0000}"/>
    <cellStyle name="Note 2 7 3 3 3" xfId="49240" xr:uid="{00000000-0005-0000-0000-000077BB0000}"/>
    <cellStyle name="Note 2 7 3 3 4" xfId="37320" xr:uid="{00000000-0005-0000-0000-000078BB0000}"/>
    <cellStyle name="Note 2 7 3 4" xfId="11551" xr:uid="{00000000-0005-0000-0000-000079BB0000}"/>
    <cellStyle name="Note 2 7 3 4 2" xfId="41562" xr:uid="{00000000-0005-0000-0000-00007ABB0000}"/>
    <cellStyle name="Note 2 7 3 4 3" xfId="43347" xr:uid="{00000000-0005-0000-0000-00007BBB0000}"/>
    <cellStyle name="Note 2 7 3 4 4" xfId="29263" xr:uid="{00000000-0005-0000-0000-00007CBB0000}"/>
    <cellStyle name="Note 2 7 3 5" xfId="19833" xr:uid="{00000000-0005-0000-0000-00007DBB0000}"/>
    <cellStyle name="Note 2 7 3 5 2" xfId="45370" xr:uid="{00000000-0005-0000-0000-00007EBB0000}"/>
    <cellStyle name="Note 2 7 3 5 3" xfId="49276" xr:uid="{00000000-0005-0000-0000-00007FBB0000}"/>
    <cellStyle name="Note 2 7 3 5 4" xfId="37351" xr:uid="{00000000-0005-0000-0000-000080BB0000}"/>
    <cellStyle name="Note 2 7 3 6" xfId="19451" xr:uid="{00000000-0005-0000-0000-000081BB0000}"/>
    <cellStyle name="Note 2 7 3 6 2" xfId="44988" xr:uid="{00000000-0005-0000-0000-000082BB0000}"/>
    <cellStyle name="Note 2 7 3 6 3" xfId="48894" xr:uid="{00000000-0005-0000-0000-000083BB0000}"/>
    <cellStyle name="Note 2 7 3 7" xfId="40298" xr:uid="{00000000-0005-0000-0000-000084BB0000}"/>
    <cellStyle name="Note 2 7 3 8" xfId="39217" xr:uid="{00000000-0005-0000-0000-000085BB0000}"/>
    <cellStyle name="Note 2 7 4" xfId="13275" xr:uid="{00000000-0005-0000-0000-000086BB0000}"/>
    <cellStyle name="Note 2 7 4 2" xfId="42445" xr:uid="{00000000-0005-0000-0000-000087BB0000}"/>
    <cellStyle name="Note 2 7 4 3" xfId="39288" xr:uid="{00000000-0005-0000-0000-000088BB0000}"/>
    <cellStyle name="Note 2 7 4 4" xfId="30920" xr:uid="{00000000-0005-0000-0000-000089BB0000}"/>
    <cellStyle name="Note 2 7 5" xfId="20314" xr:uid="{00000000-0005-0000-0000-00008ABB0000}"/>
    <cellStyle name="Note 2 7 5 2" xfId="45851" xr:uid="{00000000-0005-0000-0000-00008BBB0000}"/>
    <cellStyle name="Note 2 7 5 3" xfId="49757" xr:uid="{00000000-0005-0000-0000-00008CBB0000}"/>
    <cellStyle name="Note 2 7 5 4" xfId="37779" xr:uid="{00000000-0005-0000-0000-00008DBB0000}"/>
    <cellStyle name="Note 2 7 6" xfId="53374" xr:uid="{00000000-0005-0000-0000-00008EBB0000}"/>
    <cellStyle name="Note 2 8" xfId="5297" xr:uid="{00000000-0005-0000-0000-00008FBB0000}"/>
    <cellStyle name="Note 2 8 2" xfId="10469" xr:uid="{00000000-0005-0000-0000-000090BB0000}"/>
    <cellStyle name="Note 2 8 2 2" xfId="18262" xr:uid="{00000000-0005-0000-0000-000091BB0000}"/>
    <cellStyle name="Note 2 8 2 2 2" xfId="43809" xr:uid="{00000000-0005-0000-0000-000092BB0000}"/>
    <cellStyle name="Note 2 8 2 2 3" xfId="47718" xr:uid="{00000000-0005-0000-0000-000093BB0000}"/>
    <cellStyle name="Note 2 8 2 2 4" xfId="35899" xr:uid="{00000000-0005-0000-0000-000094BB0000}"/>
    <cellStyle name="Note 2 8 2 3" xfId="19921" xr:uid="{00000000-0005-0000-0000-000095BB0000}"/>
    <cellStyle name="Note 2 8 2 3 2" xfId="45458" xr:uid="{00000000-0005-0000-0000-000096BB0000}"/>
    <cellStyle name="Note 2 8 2 3 3" xfId="49364" xr:uid="{00000000-0005-0000-0000-000097BB0000}"/>
    <cellStyle name="Note 2 8 2 3 4" xfId="37435" xr:uid="{00000000-0005-0000-0000-000098BB0000}"/>
    <cellStyle name="Note 2 8 2 4" xfId="20348" xr:uid="{00000000-0005-0000-0000-000099BB0000}"/>
    <cellStyle name="Note 2 8 2 4 2" xfId="45885" xr:uid="{00000000-0005-0000-0000-00009ABB0000}"/>
    <cellStyle name="Note 2 8 2 4 3" xfId="49791" xr:uid="{00000000-0005-0000-0000-00009BBB0000}"/>
    <cellStyle name="Note 2 8 2 4 4" xfId="37807" xr:uid="{00000000-0005-0000-0000-00009CBB0000}"/>
    <cellStyle name="Note 2 8 2 5" xfId="20675" xr:uid="{00000000-0005-0000-0000-00009DBB0000}"/>
    <cellStyle name="Note 2 8 2 5 2" xfId="46212" xr:uid="{00000000-0005-0000-0000-00009EBB0000}"/>
    <cellStyle name="Note 2 8 2 5 3" xfId="50118" xr:uid="{00000000-0005-0000-0000-00009FBB0000}"/>
    <cellStyle name="Note 2 8 2 5 4" xfId="38081" xr:uid="{00000000-0005-0000-0000-0000A0BB0000}"/>
    <cellStyle name="Note 2 8 2 6" xfId="21328" xr:uid="{00000000-0005-0000-0000-0000A1BB0000}"/>
    <cellStyle name="Note 2 8 2 6 2" xfId="46865" xr:uid="{00000000-0005-0000-0000-0000A2BB0000}"/>
    <cellStyle name="Note 2 8 2 6 3" xfId="50771" xr:uid="{00000000-0005-0000-0000-0000A3BB0000}"/>
    <cellStyle name="Note 2 8 2 7" xfId="40668" xr:uid="{00000000-0005-0000-0000-0000A4BB0000}"/>
    <cellStyle name="Note 2 8 2 8" xfId="43532" xr:uid="{00000000-0005-0000-0000-0000A5BB0000}"/>
    <cellStyle name="Note 2 8 3" xfId="8794" xr:uid="{00000000-0005-0000-0000-0000A6BB0000}"/>
    <cellStyle name="Note 2 8 3 2" xfId="16590" xr:uid="{00000000-0005-0000-0000-0000A7BB0000}"/>
    <cellStyle name="Note 2 8 3 2 2" xfId="43431" xr:uid="{00000000-0005-0000-0000-0000A8BB0000}"/>
    <cellStyle name="Note 2 8 3 2 3" xfId="41931" xr:uid="{00000000-0005-0000-0000-0000A9BB0000}"/>
    <cellStyle name="Note 2 8 3 2 4" xfId="34225" xr:uid="{00000000-0005-0000-0000-0000AABB0000}"/>
    <cellStyle name="Note 2 8 3 3" xfId="19340" xr:uid="{00000000-0005-0000-0000-0000ABBB0000}"/>
    <cellStyle name="Note 2 8 3 3 2" xfId="44877" xr:uid="{00000000-0005-0000-0000-0000ACBB0000}"/>
    <cellStyle name="Note 2 8 3 3 3" xfId="48783" xr:uid="{00000000-0005-0000-0000-0000ADBB0000}"/>
    <cellStyle name="Note 2 8 3 3 4" xfId="36912" xr:uid="{00000000-0005-0000-0000-0000AEBB0000}"/>
    <cellStyle name="Note 2 8 3 4" xfId="19047" xr:uid="{00000000-0005-0000-0000-0000AFBB0000}"/>
    <cellStyle name="Note 2 8 3 4 2" xfId="44584" xr:uid="{00000000-0005-0000-0000-0000B0BB0000}"/>
    <cellStyle name="Note 2 8 3 4 3" xfId="48490" xr:uid="{00000000-0005-0000-0000-0000B1BB0000}"/>
    <cellStyle name="Note 2 8 3 4 4" xfId="36650" xr:uid="{00000000-0005-0000-0000-0000B2BB0000}"/>
    <cellStyle name="Note 2 8 3 5" xfId="20227" xr:uid="{00000000-0005-0000-0000-0000B3BB0000}"/>
    <cellStyle name="Note 2 8 3 5 2" xfId="45764" xr:uid="{00000000-0005-0000-0000-0000B4BB0000}"/>
    <cellStyle name="Note 2 8 3 5 3" xfId="49670" xr:uid="{00000000-0005-0000-0000-0000B5BB0000}"/>
    <cellStyle name="Note 2 8 3 5 4" xfId="37702" xr:uid="{00000000-0005-0000-0000-0000B6BB0000}"/>
    <cellStyle name="Note 2 8 3 6" xfId="12033" xr:uid="{00000000-0005-0000-0000-0000B7BB0000}"/>
    <cellStyle name="Note 2 8 3 6 2" xfId="41790" xr:uid="{00000000-0005-0000-0000-0000B8BB0000}"/>
    <cellStyle name="Note 2 8 3 6 3" xfId="39144" xr:uid="{00000000-0005-0000-0000-0000B9BB0000}"/>
    <cellStyle name="Note 2 8 3 7" xfId="40293" xr:uid="{00000000-0005-0000-0000-0000BABB0000}"/>
    <cellStyle name="Note 2 8 3 8" xfId="39222" xr:uid="{00000000-0005-0000-0000-0000BBBB0000}"/>
    <cellStyle name="Note 2 8 4" xfId="13269" xr:uid="{00000000-0005-0000-0000-0000BCBB0000}"/>
    <cellStyle name="Note 2 8 4 2" xfId="42439" xr:uid="{00000000-0005-0000-0000-0000BDBB0000}"/>
    <cellStyle name="Note 2 8 4 3" xfId="43463" xr:uid="{00000000-0005-0000-0000-0000BEBB0000}"/>
    <cellStyle name="Note 2 8 4 4" xfId="30914" xr:uid="{00000000-0005-0000-0000-0000BFBB0000}"/>
    <cellStyle name="Note 2 8 5" xfId="20316" xr:uid="{00000000-0005-0000-0000-0000C0BB0000}"/>
    <cellStyle name="Note 2 8 5 2" xfId="45853" xr:uid="{00000000-0005-0000-0000-0000C1BB0000}"/>
    <cellStyle name="Note 2 8 5 3" xfId="49759" xr:uid="{00000000-0005-0000-0000-0000C2BB0000}"/>
    <cellStyle name="Note 2 8 5 4" xfId="37780" xr:uid="{00000000-0005-0000-0000-0000C3BB0000}"/>
    <cellStyle name="Note 2 9" xfId="7450" xr:uid="{00000000-0005-0000-0000-0000C4BB0000}"/>
    <cellStyle name="Note 2 9 10" xfId="47478" xr:uid="{00000000-0005-0000-0000-0000C5BB0000}"/>
    <cellStyle name="Note 2 9 2" xfId="10723" xr:uid="{00000000-0005-0000-0000-0000C6BB0000}"/>
    <cellStyle name="Note 2 9 2 2" xfId="18516" xr:uid="{00000000-0005-0000-0000-0000C7BB0000}"/>
    <cellStyle name="Note 2 9 2 2 2" xfId="44063" xr:uid="{00000000-0005-0000-0000-0000C8BB0000}"/>
    <cellStyle name="Note 2 9 2 2 3" xfId="47972" xr:uid="{00000000-0005-0000-0000-0000C9BB0000}"/>
    <cellStyle name="Note 2 9 2 2 4" xfId="36153" xr:uid="{00000000-0005-0000-0000-0000CABB0000}"/>
    <cellStyle name="Note 2 9 2 3" xfId="19895" xr:uid="{00000000-0005-0000-0000-0000CBBB0000}"/>
    <cellStyle name="Note 2 9 2 3 2" xfId="45432" xr:uid="{00000000-0005-0000-0000-0000CCBB0000}"/>
    <cellStyle name="Note 2 9 2 3 3" xfId="49338" xr:uid="{00000000-0005-0000-0000-0000CDBB0000}"/>
    <cellStyle name="Note 2 9 2 3 4" xfId="37409" xr:uid="{00000000-0005-0000-0000-0000CEBB0000}"/>
    <cellStyle name="Note 2 9 2 4" xfId="11423" xr:uid="{00000000-0005-0000-0000-0000CFBB0000}"/>
    <cellStyle name="Note 2 9 2 4 2" xfId="41448" xr:uid="{00000000-0005-0000-0000-0000D0BB0000}"/>
    <cellStyle name="Note 2 9 2 4 3" xfId="39177" xr:uid="{00000000-0005-0000-0000-0000D1BB0000}"/>
    <cellStyle name="Note 2 9 2 4 4" xfId="29145" xr:uid="{00000000-0005-0000-0000-0000D2BB0000}"/>
    <cellStyle name="Note 2 9 2 5" xfId="20929" xr:uid="{00000000-0005-0000-0000-0000D3BB0000}"/>
    <cellStyle name="Note 2 9 2 5 2" xfId="46466" xr:uid="{00000000-0005-0000-0000-0000D4BB0000}"/>
    <cellStyle name="Note 2 9 2 5 3" xfId="50372" xr:uid="{00000000-0005-0000-0000-0000D5BB0000}"/>
    <cellStyle name="Note 2 9 2 5 4" xfId="38335" xr:uid="{00000000-0005-0000-0000-0000D6BB0000}"/>
    <cellStyle name="Note 2 9 2 6" xfId="21582" xr:uid="{00000000-0005-0000-0000-0000D7BB0000}"/>
    <cellStyle name="Note 2 9 2 6 2" xfId="47119" xr:uid="{00000000-0005-0000-0000-0000D8BB0000}"/>
    <cellStyle name="Note 2 9 2 6 3" xfId="51025" xr:uid="{00000000-0005-0000-0000-0000D9BB0000}"/>
    <cellStyle name="Note 2 9 2 7" xfId="40922" xr:uid="{00000000-0005-0000-0000-0000DABB0000}"/>
    <cellStyle name="Note 2 9 2 8" xfId="43520" xr:uid="{00000000-0005-0000-0000-0000DBBB0000}"/>
    <cellStyle name="Note 2 9 3" xfId="11018" xr:uid="{00000000-0005-0000-0000-0000DCBB0000}"/>
    <cellStyle name="Note 2 9 3 2" xfId="18811" xr:uid="{00000000-0005-0000-0000-0000DDBB0000}"/>
    <cellStyle name="Note 2 9 3 2 2" xfId="44358" xr:uid="{00000000-0005-0000-0000-0000DEBB0000}"/>
    <cellStyle name="Note 2 9 3 2 3" xfId="48267" xr:uid="{00000000-0005-0000-0000-0000DFBB0000}"/>
    <cellStyle name="Note 2 9 3 2 4" xfId="36448" xr:uid="{00000000-0005-0000-0000-0000E0BB0000}"/>
    <cellStyle name="Note 2 9 3 3" xfId="20404" xr:uid="{00000000-0005-0000-0000-0000E1BB0000}"/>
    <cellStyle name="Note 2 9 3 3 2" xfId="45941" xr:uid="{00000000-0005-0000-0000-0000E2BB0000}"/>
    <cellStyle name="Note 2 9 3 3 3" xfId="49847" xr:uid="{00000000-0005-0000-0000-0000E3BB0000}"/>
    <cellStyle name="Note 2 9 3 3 4" xfId="37858" xr:uid="{00000000-0005-0000-0000-0000E4BB0000}"/>
    <cellStyle name="Note 2 9 3 4" xfId="20548" xr:uid="{00000000-0005-0000-0000-0000E5BB0000}"/>
    <cellStyle name="Note 2 9 3 4 2" xfId="46085" xr:uid="{00000000-0005-0000-0000-0000E6BB0000}"/>
    <cellStyle name="Note 2 9 3 4 3" xfId="49991" xr:uid="{00000000-0005-0000-0000-0000E7BB0000}"/>
    <cellStyle name="Note 2 9 3 4 4" xfId="37975" xr:uid="{00000000-0005-0000-0000-0000E8BB0000}"/>
    <cellStyle name="Note 2 9 3 5" xfId="21224" xr:uid="{00000000-0005-0000-0000-0000E9BB0000}"/>
    <cellStyle name="Note 2 9 3 5 2" xfId="46761" xr:uid="{00000000-0005-0000-0000-0000EABB0000}"/>
    <cellStyle name="Note 2 9 3 5 3" xfId="50667" xr:uid="{00000000-0005-0000-0000-0000EBBB0000}"/>
    <cellStyle name="Note 2 9 3 5 4" xfId="38630" xr:uid="{00000000-0005-0000-0000-0000ECBB0000}"/>
    <cellStyle name="Note 2 9 3 6" xfId="21877" xr:uid="{00000000-0005-0000-0000-0000EDBB0000}"/>
    <cellStyle name="Note 2 9 3 6 2" xfId="47414" xr:uid="{00000000-0005-0000-0000-0000EEBB0000}"/>
    <cellStyle name="Note 2 9 3 6 3" xfId="51320" xr:uid="{00000000-0005-0000-0000-0000EFBB0000}"/>
    <cellStyle name="Note 2 9 3 7" xfId="41217" xr:uid="{00000000-0005-0000-0000-0000F0BB0000}"/>
    <cellStyle name="Note 2 9 3 8" xfId="40230" xr:uid="{00000000-0005-0000-0000-0000F1BB0000}"/>
    <cellStyle name="Note 2 9 4" xfId="15238" xr:uid="{00000000-0005-0000-0000-0000F2BB0000}"/>
    <cellStyle name="Note 2 9 4 2" xfId="43111" xr:uid="{00000000-0005-0000-0000-0000F3BB0000}"/>
    <cellStyle name="Note 2 9 4 3" xfId="43290" xr:uid="{00000000-0005-0000-0000-0000F4BB0000}"/>
    <cellStyle name="Note 2 9 4 4" xfId="32873" xr:uid="{00000000-0005-0000-0000-0000F5BB0000}"/>
    <cellStyle name="Note 2 9 5" xfId="19195" xr:uid="{00000000-0005-0000-0000-0000F6BB0000}"/>
    <cellStyle name="Note 2 9 5 2" xfId="44732" xr:uid="{00000000-0005-0000-0000-0000F7BB0000}"/>
    <cellStyle name="Note 2 9 5 3" xfId="48638" xr:uid="{00000000-0005-0000-0000-0000F8BB0000}"/>
    <cellStyle name="Note 2 9 5 4" xfId="36782" xr:uid="{00000000-0005-0000-0000-0000F9BB0000}"/>
    <cellStyle name="Note 2 9 6" xfId="12670" xr:uid="{00000000-0005-0000-0000-0000FABB0000}"/>
    <cellStyle name="Note 2 9 6 2" xfId="42149" xr:uid="{00000000-0005-0000-0000-0000FBBB0000}"/>
    <cellStyle name="Note 2 9 6 3" xfId="40548" xr:uid="{00000000-0005-0000-0000-0000FCBB0000}"/>
    <cellStyle name="Note 2 9 6 4" xfId="30334" xr:uid="{00000000-0005-0000-0000-0000FDBB0000}"/>
    <cellStyle name="Note 2 9 7" xfId="12705" xr:uid="{00000000-0005-0000-0000-0000FEBB0000}"/>
    <cellStyle name="Note 2 9 7 2" xfId="42180" xr:uid="{00000000-0005-0000-0000-0000FFBB0000}"/>
    <cellStyle name="Note 2 9 7 3" xfId="40549" xr:uid="{00000000-0005-0000-0000-000000BC0000}"/>
    <cellStyle name="Note 2 9 7 4" xfId="30364" xr:uid="{00000000-0005-0000-0000-000001BC0000}"/>
    <cellStyle name="Note 2 9 8" xfId="19231" xr:uid="{00000000-0005-0000-0000-000002BC0000}"/>
    <cellStyle name="Note 2 9 8 2" xfId="44768" xr:uid="{00000000-0005-0000-0000-000003BC0000}"/>
    <cellStyle name="Note 2 9 8 3" xfId="48674" xr:uid="{00000000-0005-0000-0000-000004BC0000}"/>
    <cellStyle name="Note 2 9 9" xfId="39971" xr:uid="{00000000-0005-0000-0000-000005BC0000}"/>
    <cellStyle name="Note 2_BallGrid" xfId="3170" xr:uid="{00000000-0005-0000-0000-000006BC0000}"/>
    <cellStyle name="Note 20" xfId="51493" xr:uid="{00000000-0005-0000-0000-000007BC0000}"/>
    <cellStyle name="Note 21" xfId="51506" xr:uid="{00000000-0005-0000-0000-000008BC0000}"/>
    <cellStyle name="Note 3" xfId="134" xr:uid="{00000000-0005-0000-0000-000009BC0000}"/>
    <cellStyle name="Note 3 2" xfId="5304" xr:uid="{00000000-0005-0000-0000-00000ABC0000}"/>
    <cellStyle name="Note 3 2 2" xfId="10475" xr:uid="{00000000-0005-0000-0000-00000BBC0000}"/>
    <cellStyle name="Note 3 2 2 2" xfId="18268" xr:uid="{00000000-0005-0000-0000-00000CBC0000}"/>
    <cellStyle name="Note 3 2 2 2 2" xfId="43815" xr:uid="{00000000-0005-0000-0000-00000DBC0000}"/>
    <cellStyle name="Note 3 2 2 2 3" xfId="47724" xr:uid="{00000000-0005-0000-0000-00000EBC0000}"/>
    <cellStyle name="Note 3 2 2 2 4" xfId="35905" xr:uid="{00000000-0005-0000-0000-00000FBC0000}"/>
    <cellStyle name="Note 3 2 2 3" xfId="20179" xr:uid="{00000000-0005-0000-0000-000010BC0000}"/>
    <cellStyle name="Note 3 2 2 3 2" xfId="45716" xr:uid="{00000000-0005-0000-0000-000011BC0000}"/>
    <cellStyle name="Note 3 2 2 3 3" xfId="49622" xr:uid="{00000000-0005-0000-0000-000012BC0000}"/>
    <cellStyle name="Note 3 2 2 3 4" xfId="37665" xr:uid="{00000000-0005-0000-0000-000013BC0000}"/>
    <cellStyle name="Note 3 2 2 4" xfId="19094" xr:uid="{00000000-0005-0000-0000-000014BC0000}"/>
    <cellStyle name="Note 3 2 2 4 2" xfId="44631" xr:uid="{00000000-0005-0000-0000-000015BC0000}"/>
    <cellStyle name="Note 3 2 2 4 3" xfId="48537" xr:uid="{00000000-0005-0000-0000-000016BC0000}"/>
    <cellStyle name="Note 3 2 2 4 4" xfId="36690" xr:uid="{00000000-0005-0000-0000-000017BC0000}"/>
    <cellStyle name="Note 3 2 2 5" xfId="20681" xr:uid="{00000000-0005-0000-0000-000018BC0000}"/>
    <cellStyle name="Note 3 2 2 5 2" xfId="46218" xr:uid="{00000000-0005-0000-0000-000019BC0000}"/>
    <cellStyle name="Note 3 2 2 5 3" xfId="50124" xr:uid="{00000000-0005-0000-0000-00001ABC0000}"/>
    <cellStyle name="Note 3 2 2 5 4" xfId="38087" xr:uid="{00000000-0005-0000-0000-00001BBC0000}"/>
    <cellStyle name="Note 3 2 2 6" xfId="21334" xr:uid="{00000000-0005-0000-0000-00001CBC0000}"/>
    <cellStyle name="Note 3 2 2 6 2" xfId="46871" xr:uid="{00000000-0005-0000-0000-00001DBC0000}"/>
    <cellStyle name="Note 3 2 2 6 3" xfId="50777" xr:uid="{00000000-0005-0000-0000-00001EBC0000}"/>
    <cellStyle name="Note 3 2 2 7" xfId="40674" xr:uid="{00000000-0005-0000-0000-00001FBC0000}"/>
    <cellStyle name="Note 3 2 2 8" xfId="39402" xr:uid="{00000000-0005-0000-0000-000020BC0000}"/>
    <cellStyle name="Note 3 2 3" xfId="8800" xr:uid="{00000000-0005-0000-0000-000021BC0000}"/>
    <cellStyle name="Note 3 2 3 2" xfId="16596" xr:uid="{00000000-0005-0000-0000-000022BC0000}"/>
    <cellStyle name="Note 3 2 3 2 2" xfId="43437" xr:uid="{00000000-0005-0000-0000-000023BC0000}"/>
    <cellStyle name="Note 3 2 3 2 3" xfId="40146" xr:uid="{00000000-0005-0000-0000-000024BC0000}"/>
    <cellStyle name="Note 3 2 3 2 4" xfId="34231" xr:uid="{00000000-0005-0000-0000-000025BC0000}"/>
    <cellStyle name="Note 3 2 3 3" xfId="11457" xr:uid="{00000000-0005-0000-0000-000026BC0000}"/>
    <cellStyle name="Note 3 2 3 3 2" xfId="41468" xr:uid="{00000000-0005-0000-0000-000027BC0000}"/>
    <cellStyle name="Note 3 2 3 3 3" xfId="39682" xr:uid="{00000000-0005-0000-0000-000028BC0000}"/>
    <cellStyle name="Note 3 2 3 3 4" xfId="29176" xr:uid="{00000000-0005-0000-0000-000029BC0000}"/>
    <cellStyle name="Note 3 2 3 4" xfId="19853" xr:uid="{00000000-0005-0000-0000-00002ABC0000}"/>
    <cellStyle name="Note 3 2 3 4 2" xfId="45390" xr:uid="{00000000-0005-0000-0000-00002BBC0000}"/>
    <cellStyle name="Note 3 2 3 4 3" xfId="49296" xr:uid="{00000000-0005-0000-0000-00002CBC0000}"/>
    <cellStyle name="Note 3 2 3 4 4" xfId="37369" xr:uid="{00000000-0005-0000-0000-00002DBC0000}"/>
    <cellStyle name="Note 3 2 3 5" xfId="20486" xr:uid="{00000000-0005-0000-0000-00002EBC0000}"/>
    <cellStyle name="Note 3 2 3 5 2" xfId="46023" xr:uid="{00000000-0005-0000-0000-00002FBC0000}"/>
    <cellStyle name="Note 3 2 3 5 3" xfId="49929" xr:uid="{00000000-0005-0000-0000-000030BC0000}"/>
    <cellStyle name="Note 3 2 3 5 4" xfId="37936" xr:uid="{00000000-0005-0000-0000-000031BC0000}"/>
    <cellStyle name="Note 3 2 3 6" xfId="11986" xr:uid="{00000000-0005-0000-0000-000032BC0000}"/>
    <cellStyle name="Note 3 2 3 6 2" xfId="41777" xr:uid="{00000000-0005-0000-0000-000033BC0000}"/>
    <cellStyle name="Note 3 2 3 6 3" xfId="39146" xr:uid="{00000000-0005-0000-0000-000034BC0000}"/>
    <cellStyle name="Note 3 2 3 7" xfId="40299" xr:uid="{00000000-0005-0000-0000-000035BC0000}"/>
    <cellStyle name="Note 3 2 3 8" xfId="39216" xr:uid="{00000000-0005-0000-0000-000036BC0000}"/>
    <cellStyle name="Note 3 2 4" xfId="13276" xr:uid="{00000000-0005-0000-0000-000037BC0000}"/>
    <cellStyle name="Note 3 2 4 2" xfId="42446" xr:uid="{00000000-0005-0000-0000-000038BC0000}"/>
    <cellStyle name="Note 3 2 4 3" xfId="39072" xr:uid="{00000000-0005-0000-0000-000039BC0000}"/>
    <cellStyle name="Note 3 2 4 4" xfId="30921" xr:uid="{00000000-0005-0000-0000-00003ABC0000}"/>
    <cellStyle name="Note 3 2 5" xfId="19525" xr:uid="{00000000-0005-0000-0000-00003BBC0000}"/>
    <cellStyle name="Note 3 2 5 2" xfId="45062" xr:uid="{00000000-0005-0000-0000-00003CBC0000}"/>
    <cellStyle name="Note 3 2 5 3" xfId="48968" xr:uid="{00000000-0005-0000-0000-00003DBC0000}"/>
    <cellStyle name="Note 3 2 5 4" xfId="37073" xr:uid="{00000000-0005-0000-0000-00003EBC0000}"/>
    <cellStyle name="Note 3 2 6" xfId="22598" xr:uid="{00000000-0005-0000-0000-00003FBC0000}"/>
    <cellStyle name="Note 3 3" xfId="7456" xr:uid="{00000000-0005-0000-0000-000040BC0000}"/>
    <cellStyle name="Note 3 3 10" xfId="39977" xr:uid="{00000000-0005-0000-0000-000041BC0000}"/>
    <cellStyle name="Note 3 3 11" xfId="40625" xr:uid="{00000000-0005-0000-0000-000042BC0000}"/>
    <cellStyle name="Note 3 3 2" xfId="10729" xr:uid="{00000000-0005-0000-0000-000043BC0000}"/>
    <cellStyle name="Note 3 3 2 2" xfId="18522" xr:uid="{00000000-0005-0000-0000-000044BC0000}"/>
    <cellStyle name="Note 3 3 2 2 2" xfId="44069" xr:uid="{00000000-0005-0000-0000-000045BC0000}"/>
    <cellStyle name="Note 3 3 2 2 3" xfId="47978" xr:uid="{00000000-0005-0000-0000-000046BC0000}"/>
    <cellStyle name="Note 3 3 2 2 4" xfId="36159" xr:uid="{00000000-0005-0000-0000-000047BC0000}"/>
    <cellStyle name="Note 3 3 2 3" xfId="19415" xr:uid="{00000000-0005-0000-0000-000048BC0000}"/>
    <cellStyle name="Note 3 3 2 3 2" xfId="44952" xr:uid="{00000000-0005-0000-0000-000049BC0000}"/>
    <cellStyle name="Note 3 3 2 3 3" xfId="48858" xr:uid="{00000000-0005-0000-0000-00004ABC0000}"/>
    <cellStyle name="Note 3 3 2 3 4" xfId="36980" xr:uid="{00000000-0005-0000-0000-00004BBC0000}"/>
    <cellStyle name="Note 3 3 2 4" xfId="11638" xr:uid="{00000000-0005-0000-0000-00004CBC0000}"/>
    <cellStyle name="Note 3 3 2 4 2" xfId="41649" xr:uid="{00000000-0005-0000-0000-00004DBC0000}"/>
    <cellStyle name="Note 3 3 2 4 3" xfId="40207" xr:uid="{00000000-0005-0000-0000-00004EBC0000}"/>
    <cellStyle name="Note 3 3 2 4 4" xfId="29339" xr:uid="{00000000-0005-0000-0000-00004FBC0000}"/>
    <cellStyle name="Note 3 3 2 5" xfId="20935" xr:uid="{00000000-0005-0000-0000-000050BC0000}"/>
    <cellStyle name="Note 3 3 2 5 2" xfId="46472" xr:uid="{00000000-0005-0000-0000-000051BC0000}"/>
    <cellStyle name="Note 3 3 2 5 3" xfId="50378" xr:uid="{00000000-0005-0000-0000-000052BC0000}"/>
    <cellStyle name="Note 3 3 2 5 4" xfId="38341" xr:uid="{00000000-0005-0000-0000-000053BC0000}"/>
    <cellStyle name="Note 3 3 2 6" xfId="21588" xr:uid="{00000000-0005-0000-0000-000054BC0000}"/>
    <cellStyle name="Note 3 3 2 6 2" xfId="47125" xr:uid="{00000000-0005-0000-0000-000055BC0000}"/>
    <cellStyle name="Note 3 3 2 6 3" xfId="51031" xr:uid="{00000000-0005-0000-0000-000056BC0000}"/>
    <cellStyle name="Note 3 3 2 7" xfId="22600" xr:uid="{00000000-0005-0000-0000-000057BC0000}"/>
    <cellStyle name="Note 3 3 2 8" xfId="40928" xr:uid="{00000000-0005-0000-0000-000058BC0000}"/>
    <cellStyle name="Note 3 3 2 9" xfId="39387" xr:uid="{00000000-0005-0000-0000-000059BC0000}"/>
    <cellStyle name="Note 3 3 3" xfId="11024" xr:uid="{00000000-0005-0000-0000-00005ABC0000}"/>
    <cellStyle name="Note 3 3 3 2" xfId="18817" xr:uid="{00000000-0005-0000-0000-00005BBC0000}"/>
    <cellStyle name="Note 3 3 3 2 2" xfId="44364" xr:uid="{00000000-0005-0000-0000-00005CBC0000}"/>
    <cellStyle name="Note 3 3 3 2 3" xfId="48273" xr:uid="{00000000-0005-0000-0000-00005DBC0000}"/>
    <cellStyle name="Note 3 3 3 2 4" xfId="36454" xr:uid="{00000000-0005-0000-0000-00005EBC0000}"/>
    <cellStyle name="Note 3 3 3 3" xfId="20410" xr:uid="{00000000-0005-0000-0000-00005FBC0000}"/>
    <cellStyle name="Note 3 3 3 3 2" xfId="45947" xr:uid="{00000000-0005-0000-0000-000060BC0000}"/>
    <cellStyle name="Note 3 3 3 3 3" xfId="49853" xr:uid="{00000000-0005-0000-0000-000061BC0000}"/>
    <cellStyle name="Note 3 3 3 3 4" xfId="37864" xr:uid="{00000000-0005-0000-0000-000062BC0000}"/>
    <cellStyle name="Note 3 3 3 4" xfId="20554" xr:uid="{00000000-0005-0000-0000-000063BC0000}"/>
    <cellStyle name="Note 3 3 3 4 2" xfId="46091" xr:uid="{00000000-0005-0000-0000-000064BC0000}"/>
    <cellStyle name="Note 3 3 3 4 3" xfId="49997" xr:uid="{00000000-0005-0000-0000-000065BC0000}"/>
    <cellStyle name="Note 3 3 3 4 4" xfId="37981" xr:uid="{00000000-0005-0000-0000-000066BC0000}"/>
    <cellStyle name="Note 3 3 3 5" xfId="21230" xr:uid="{00000000-0005-0000-0000-000067BC0000}"/>
    <cellStyle name="Note 3 3 3 5 2" xfId="46767" xr:uid="{00000000-0005-0000-0000-000068BC0000}"/>
    <cellStyle name="Note 3 3 3 5 3" xfId="50673" xr:uid="{00000000-0005-0000-0000-000069BC0000}"/>
    <cellStyle name="Note 3 3 3 5 4" xfId="38636" xr:uid="{00000000-0005-0000-0000-00006ABC0000}"/>
    <cellStyle name="Note 3 3 3 6" xfId="21883" xr:uid="{00000000-0005-0000-0000-00006BBC0000}"/>
    <cellStyle name="Note 3 3 3 6 2" xfId="47420" xr:uid="{00000000-0005-0000-0000-00006CBC0000}"/>
    <cellStyle name="Note 3 3 3 6 3" xfId="51326" xr:uid="{00000000-0005-0000-0000-00006DBC0000}"/>
    <cellStyle name="Note 3 3 3 7" xfId="41223" xr:uid="{00000000-0005-0000-0000-00006EBC0000}"/>
    <cellStyle name="Note 3 3 3 8" xfId="39369" xr:uid="{00000000-0005-0000-0000-00006FBC0000}"/>
    <cellStyle name="Note 3 3 4" xfId="15244" xr:uid="{00000000-0005-0000-0000-000070BC0000}"/>
    <cellStyle name="Note 3 3 4 2" xfId="43117" xr:uid="{00000000-0005-0000-0000-000071BC0000}"/>
    <cellStyle name="Note 3 3 4 3" xfId="42777" xr:uid="{00000000-0005-0000-0000-000072BC0000}"/>
    <cellStyle name="Note 3 3 4 4" xfId="32879" xr:uid="{00000000-0005-0000-0000-000073BC0000}"/>
    <cellStyle name="Note 3 3 5" xfId="19489" xr:uid="{00000000-0005-0000-0000-000074BC0000}"/>
    <cellStyle name="Note 3 3 5 2" xfId="45026" xr:uid="{00000000-0005-0000-0000-000075BC0000}"/>
    <cellStyle name="Note 3 3 5 3" xfId="48932" xr:uid="{00000000-0005-0000-0000-000076BC0000}"/>
    <cellStyle name="Note 3 3 5 4" xfId="37045" xr:uid="{00000000-0005-0000-0000-000077BC0000}"/>
    <cellStyle name="Note 3 3 6" xfId="19497" xr:uid="{00000000-0005-0000-0000-000078BC0000}"/>
    <cellStyle name="Note 3 3 6 2" xfId="45034" xr:uid="{00000000-0005-0000-0000-000079BC0000}"/>
    <cellStyle name="Note 3 3 6 3" xfId="48940" xr:uid="{00000000-0005-0000-0000-00007ABC0000}"/>
    <cellStyle name="Note 3 3 6 4" xfId="37050" xr:uid="{00000000-0005-0000-0000-00007BBC0000}"/>
    <cellStyle name="Note 3 3 7" xfId="19447" xr:uid="{00000000-0005-0000-0000-00007CBC0000}"/>
    <cellStyle name="Note 3 3 7 2" xfId="44984" xr:uid="{00000000-0005-0000-0000-00007DBC0000}"/>
    <cellStyle name="Note 3 3 7 3" xfId="48890" xr:uid="{00000000-0005-0000-0000-00007EBC0000}"/>
    <cellStyle name="Note 3 3 7 4" xfId="37012" xr:uid="{00000000-0005-0000-0000-00007FBC0000}"/>
    <cellStyle name="Note 3 3 8" xfId="11120" xr:uid="{00000000-0005-0000-0000-000080BC0000}"/>
    <cellStyle name="Note 3 3 8 2" xfId="41281" xr:uid="{00000000-0005-0000-0000-000081BC0000}"/>
    <cellStyle name="Note 3 3 8 3" xfId="43614" xr:uid="{00000000-0005-0000-0000-000082BC0000}"/>
    <cellStyle name="Note 3 3 9" xfId="22599" xr:uid="{00000000-0005-0000-0000-000083BC0000}"/>
    <cellStyle name="Note 3 4" xfId="12085" xr:uid="{00000000-0005-0000-0000-000084BC0000}"/>
    <cellStyle name="Note 3 4 2" xfId="22602" xr:uid="{00000000-0005-0000-0000-000085BC0000}"/>
    <cellStyle name="Note 3 4 3" xfId="22601" xr:uid="{00000000-0005-0000-0000-000086BC0000}"/>
    <cellStyle name="Note 3 4 4" xfId="41830" xr:uid="{00000000-0005-0000-0000-000087BC0000}"/>
    <cellStyle name="Note 3 4 5" xfId="47501" xr:uid="{00000000-0005-0000-0000-000088BC0000}"/>
    <cellStyle name="Note 3 4 6" xfId="29761" xr:uid="{00000000-0005-0000-0000-000089BC0000}"/>
    <cellStyle name="Note 3 5" xfId="20116" xr:uid="{00000000-0005-0000-0000-00008ABC0000}"/>
    <cellStyle name="Note 3 5 2" xfId="22604" xr:uid="{00000000-0005-0000-0000-00008BBC0000}"/>
    <cellStyle name="Note 3 5 3" xfId="22603" xr:uid="{00000000-0005-0000-0000-00008CBC0000}"/>
    <cellStyle name="Note 3 5 4" xfId="45653" xr:uid="{00000000-0005-0000-0000-00008DBC0000}"/>
    <cellStyle name="Note 3 5 5" xfId="49559" xr:uid="{00000000-0005-0000-0000-00008EBC0000}"/>
    <cellStyle name="Note 3 5 6" xfId="37603" xr:uid="{00000000-0005-0000-0000-00008FBC0000}"/>
    <cellStyle name="Note 3 6" xfId="22605" xr:uid="{00000000-0005-0000-0000-000090BC0000}"/>
    <cellStyle name="Note 3 6 2" xfId="47555" xr:uid="{00000000-0005-0000-0000-000091BC0000}"/>
    <cellStyle name="Note 3 6 2 2" xfId="53275" xr:uid="{00000000-0005-0000-0000-000092BC0000}"/>
    <cellStyle name="Note 3 6 3" xfId="51404" xr:uid="{00000000-0005-0000-0000-000093BC0000}"/>
    <cellStyle name="Note 3 6 3 2" xfId="53384" xr:uid="{00000000-0005-0000-0000-000094BC0000}"/>
    <cellStyle name="Note 3 6 4" xfId="38896" xr:uid="{00000000-0005-0000-0000-000095BC0000}"/>
    <cellStyle name="Note 3 6 5" xfId="53274" xr:uid="{00000000-0005-0000-0000-000096BC0000}"/>
    <cellStyle name="Note 3 7" xfId="22606" xr:uid="{00000000-0005-0000-0000-000097BC0000}"/>
    <cellStyle name="Note 3 7 2" xfId="22607" xr:uid="{00000000-0005-0000-0000-000098BC0000}"/>
    <cellStyle name="Note 3 7 3" xfId="22608" xr:uid="{00000000-0005-0000-0000-000099BC0000}"/>
    <cellStyle name="Note 3 7 3 2" xfId="22609" xr:uid="{00000000-0005-0000-0000-00009ABC0000}"/>
    <cellStyle name="Note 3 8" xfId="52664" xr:uid="{00000000-0005-0000-0000-00009BBC0000}"/>
    <cellStyle name="Note 3 8 2" xfId="53276" xr:uid="{00000000-0005-0000-0000-00009CBC0000}"/>
    <cellStyle name="Note 3 9" xfId="52765" xr:uid="{00000000-0005-0000-0000-00009DBC0000}"/>
    <cellStyle name="Note 4" xfId="135" xr:uid="{00000000-0005-0000-0000-00009EBC0000}"/>
    <cellStyle name="Note 4 2" xfId="3172" xr:uid="{00000000-0005-0000-0000-00009FBC0000}"/>
    <cellStyle name="Note 4 3" xfId="3173" xr:uid="{00000000-0005-0000-0000-0000A0BC0000}"/>
    <cellStyle name="Note 4 3 2" xfId="5305" xr:uid="{00000000-0005-0000-0000-0000A1BC0000}"/>
    <cellStyle name="Note 4 3 2 2" xfId="10476" xr:uid="{00000000-0005-0000-0000-0000A2BC0000}"/>
    <cellStyle name="Note 4 3 2 2 2" xfId="18269" xr:uid="{00000000-0005-0000-0000-0000A3BC0000}"/>
    <cellStyle name="Note 4 3 2 2 2 2" xfId="43816" xr:uid="{00000000-0005-0000-0000-0000A4BC0000}"/>
    <cellStyle name="Note 4 3 2 2 2 3" xfId="47725" xr:uid="{00000000-0005-0000-0000-0000A5BC0000}"/>
    <cellStyle name="Note 4 3 2 2 2 4" xfId="35906" xr:uid="{00000000-0005-0000-0000-0000A6BC0000}"/>
    <cellStyle name="Note 4 3 2 2 3" xfId="19438" xr:uid="{00000000-0005-0000-0000-0000A7BC0000}"/>
    <cellStyle name="Note 4 3 2 2 3 2" xfId="44975" xr:uid="{00000000-0005-0000-0000-0000A8BC0000}"/>
    <cellStyle name="Note 4 3 2 2 3 3" xfId="48881" xr:uid="{00000000-0005-0000-0000-0000A9BC0000}"/>
    <cellStyle name="Note 4 3 2 2 3 4" xfId="37003" xr:uid="{00000000-0005-0000-0000-0000AABC0000}"/>
    <cellStyle name="Note 4 3 2 2 4" xfId="19572" xr:uid="{00000000-0005-0000-0000-0000ABBC0000}"/>
    <cellStyle name="Note 4 3 2 2 4 2" xfId="45109" xr:uid="{00000000-0005-0000-0000-0000ACBC0000}"/>
    <cellStyle name="Note 4 3 2 2 4 3" xfId="49015" xr:uid="{00000000-0005-0000-0000-0000ADBC0000}"/>
    <cellStyle name="Note 4 3 2 2 4 4" xfId="37113" xr:uid="{00000000-0005-0000-0000-0000AEBC0000}"/>
    <cellStyle name="Note 4 3 2 2 5" xfId="20682" xr:uid="{00000000-0005-0000-0000-0000AFBC0000}"/>
    <cellStyle name="Note 4 3 2 2 5 2" xfId="46219" xr:uid="{00000000-0005-0000-0000-0000B0BC0000}"/>
    <cellStyle name="Note 4 3 2 2 5 3" xfId="50125" xr:uid="{00000000-0005-0000-0000-0000B1BC0000}"/>
    <cellStyle name="Note 4 3 2 2 5 4" xfId="38088" xr:uid="{00000000-0005-0000-0000-0000B2BC0000}"/>
    <cellStyle name="Note 4 3 2 2 6" xfId="21335" xr:uid="{00000000-0005-0000-0000-0000B3BC0000}"/>
    <cellStyle name="Note 4 3 2 2 6 2" xfId="46872" xr:uid="{00000000-0005-0000-0000-0000B4BC0000}"/>
    <cellStyle name="Note 4 3 2 2 6 3" xfId="50778" xr:uid="{00000000-0005-0000-0000-0000B5BC0000}"/>
    <cellStyle name="Note 4 3 2 2 7" xfId="40675" xr:uid="{00000000-0005-0000-0000-0000B6BC0000}"/>
    <cellStyle name="Note 4 3 2 2 8" xfId="42082" xr:uid="{00000000-0005-0000-0000-0000B7BC0000}"/>
    <cellStyle name="Note 4 3 2 2 9" xfId="53387" xr:uid="{00000000-0005-0000-0000-0000B8BC0000}"/>
    <cellStyle name="Note 4 3 2 3" xfId="8801" xr:uid="{00000000-0005-0000-0000-0000B9BC0000}"/>
    <cellStyle name="Note 4 3 2 3 2" xfId="16597" xr:uid="{00000000-0005-0000-0000-0000BABC0000}"/>
    <cellStyle name="Note 4 3 2 3 2 2" xfId="43438" xr:uid="{00000000-0005-0000-0000-0000BBBC0000}"/>
    <cellStyle name="Note 4 3 2 3 2 3" xfId="42771" xr:uid="{00000000-0005-0000-0000-0000BCBC0000}"/>
    <cellStyle name="Note 4 3 2 3 2 4" xfId="34232" xr:uid="{00000000-0005-0000-0000-0000BDBC0000}"/>
    <cellStyle name="Note 4 3 2 3 3" xfId="13906" xr:uid="{00000000-0005-0000-0000-0000BEBC0000}"/>
    <cellStyle name="Note 4 3 2 3 3 2" xfId="42641" xr:uid="{00000000-0005-0000-0000-0000BFBC0000}"/>
    <cellStyle name="Note 4 3 2 3 3 3" xfId="43458" xr:uid="{00000000-0005-0000-0000-0000C0BC0000}"/>
    <cellStyle name="Note 4 3 2 3 3 4" xfId="31545" xr:uid="{00000000-0005-0000-0000-0000C1BC0000}"/>
    <cellStyle name="Note 4 3 2 3 4" xfId="19211" xr:uid="{00000000-0005-0000-0000-0000C2BC0000}"/>
    <cellStyle name="Note 4 3 2 3 4 2" xfId="44748" xr:uid="{00000000-0005-0000-0000-0000C3BC0000}"/>
    <cellStyle name="Note 4 3 2 3 4 3" xfId="48654" xr:uid="{00000000-0005-0000-0000-0000C4BC0000}"/>
    <cellStyle name="Note 4 3 2 3 4 4" xfId="36796" xr:uid="{00000000-0005-0000-0000-0000C5BC0000}"/>
    <cellStyle name="Note 4 3 2 3 5" xfId="11630" xr:uid="{00000000-0005-0000-0000-0000C6BC0000}"/>
    <cellStyle name="Note 4 3 2 3 5 2" xfId="41641" xr:uid="{00000000-0005-0000-0000-0000C7BC0000}"/>
    <cellStyle name="Note 4 3 2 3 5 3" xfId="39349" xr:uid="{00000000-0005-0000-0000-0000C8BC0000}"/>
    <cellStyle name="Note 4 3 2 3 5 4" xfId="29332" xr:uid="{00000000-0005-0000-0000-0000C9BC0000}"/>
    <cellStyle name="Note 4 3 2 3 6" xfId="12856" xr:uid="{00000000-0005-0000-0000-0000CABC0000}"/>
    <cellStyle name="Note 4 3 2 3 6 2" xfId="42239" xr:uid="{00000000-0005-0000-0000-0000CBBC0000}"/>
    <cellStyle name="Note 4 3 2 3 6 3" xfId="43198" xr:uid="{00000000-0005-0000-0000-0000CCBC0000}"/>
    <cellStyle name="Note 4 3 2 3 7" xfId="40300" xr:uid="{00000000-0005-0000-0000-0000CDBC0000}"/>
    <cellStyle name="Note 4 3 2 3 8" xfId="39215" xr:uid="{00000000-0005-0000-0000-0000CEBC0000}"/>
    <cellStyle name="Note 4 3 2 4" xfId="13277" xr:uid="{00000000-0005-0000-0000-0000CFBC0000}"/>
    <cellStyle name="Note 4 3 2 4 2" xfId="42447" xr:uid="{00000000-0005-0000-0000-0000D0BC0000}"/>
    <cellStyle name="Note 4 3 2 4 3" xfId="41303" xr:uid="{00000000-0005-0000-0000-0000D1BC0000}"/>
    <cellStyle name="Note 4 3 2 4 4" xfId="30922" xr:uid="{00000000-0005-0000-0000-0000D2BC0000}"/>
    <cellStyle name="Note 4 3 2 5" xfId="12738" xr:uid="{00000000-0005-0000-0000-0000D3BC0000}"/>
    <cellStyle name="Note 4 3 2 5 2" xfId="42191" xr:uid="{00000000-0005-0000-0000-0000D4BC0000}"/>
    <cellStyle name="Note 4 3 2 5 3" xfId="43330" xr:uid="{00000000-0005-0000-0000-0000D5BC0000}"/>
    <cellStyle name="Note 4 3 2 5 4" xfId="30396" xr:uid="{00000000-0005-0000-0000-0000D6BC0000}"/>
    <cellStyle name="Note 4 3 2 6" xfId="53278" xr:uid="{00000000-0005-0000-0000-0000D7BC0000}"/>
    <cellStyle name="Note 4 3 3" xfId="7457" xr:uid="{00000000-0005-0000-0000-0000D8BC0000}"/>
    <cellStyle name="Note 4 3 3 10" xfId="39959" xr:uid="{00000000-0005-0000-0000-0000D9BC0000}"/>
    <cellStyle name="Note 4 3 3 11" xfId="53386" xr:uid="{00000000-0005-0000-0000-0000DABC0000}"/>
    <cellStyle name="Note 4 3 3 2" xfId="10730" xr:uid="{00000000-0005-0000-0000-0000DBBC0000}"/>
    <cellStyle name="Note 4 3 3 2 2" xfId="18523" xr:uid="{00000000-0005-0000-0000-0000DCBC0000}"/>
    <cellStyle name="Note 4 3 3 2 2 2" xfId="44070" xr:uid="{00000000-0005-0000-0000-0000DDBC0000}"/>
    <cellStyle name="Note 4 3 3 2 2 3" xfId="47979" xr:uid="{00000000-0005-0000-0000-0000DEBC0000}"/>
    <cellStyle name="Note 4 3 3 2 2 4" xfId="36160" xr:uid="{00000000-0005-0000-0000-0000DFBC0000}"/>
    <cellStyle name="Note 4 3 3 2 3" xfId="20022" xr:uid="{00000000-0005-0000-0000-0000E0BC0000}"/>
    <cellStyle name="Note 4 3 3 2 3 2" xfId="45559" xr:uid="{00000000-0005-0000-0000-0000E1BC0000}"/>
    <cellStyle name="Note 4 3 3 2 3 3" xfId="49465" xr:uid="{00000000-0005-0000-0000-0000E2BC0000}"/>
    <cellStyle name="Note 4 3 3 2 3 4" xfId="37520" xr:uid="{00000000-0005-0000-0000-0000E3BC0000}"/>
    <cellStyle name="Note 4 3 3 2 4" xfId="12613" xr:uid="{00000000-0005-0000-0000-0000E4BC0000}"/>
    <cellStyle name="Note 4 3 3 2 4 2" xfId="42092" xr:uid="{00000000-0005-0000-0000-0000E5BC0000}"/>
    <cellStyle name="Note 4 3 3 2 4 3" xfId="43589" xr:uid="{00000000-0005-0000-0000-0000E6BC0000}"/>
    <cellStyle name="Note 4 3 3 2 4 4" xfId="30279" xr:uid="{00000000-0005-0000-0000-0000E7BC0000}"/>
    <cellStyle name="Note 4 3 3 2 5" xfId="20936" xr:uid="{00000000-0005-0000-0000-0000E8BC0000}"/>
    <cellStyle name="Note 4 3 3 2 5 2" xfId="46473" xr:uid="{00000000-0005-0000-0000-0000E9BC0000}"/>
    <cellStyle name="Note 4 3 3 2 5 3" xfId="50379" xr:uid="{00000000-0005-0000-0000-0000EABC0000}"/>
    <cellStyle name="Note 4 3 3 2 5 4" xfId="38342" xr:uid="{00000000-0005-0000-0000-0000EBBC0000}"/>
    <cellStyle name="Note 4 3 3 2 6" xfId="21589" xr:uid="{00000000-0005-0000-0000-0000ECBC0000}"/>
    <cellStyle name="Note 4 3 3 2 6 2" xfId="47126" xr:uid="{00000000-0005-0000-0000-0000EDBC0000}"/>
    <cellStyle name="Note 4 3 3 2 6 3" xfId="51032" xr:uid="{00000000-0005-0000-0000-0000EEBC0000}"/>
    <cellStyle name="Note 4 3 3 2 7" xfId="40929" xr:uid="{00000000-0005-0000-0000-0000EFBC0000}"/>
    <cellStyle name="Note 4 3 3 2 8" xfId="39193" xr:uid="{00000000-0005-0000-0000-0000F0BC0000}"/>
    <cellStyle name="Note 4 3 3 3" xfId="11025" xr:uid="{00000000-0005-0000-0000-0000F1BC0000}"/>
    <cellStyle name="Note 4 3 3 3 2" xfId="18818" xr:uid="{00000000-0005-0000-0000-0000F2BC0000}"/>
    <cellStyle name="Note 4 3 3 3 2 2" xfId="44365" xr:uid="{00000000-0005-0000-0000-0000F3BC0000}"/>
    <cellStyle name="Note 4 3 3 3 2 3" xfId="48274" xr:uid="{00000000-0005-0000-0000-0000F4BC0000}"/>
    <cellStyle name="Note 4 3 3 3 2 4" xfId="36455" xr:uid="{00000000-0005-0000-0000-0000F5BC0000}"/>
    <cellStyle name="Note 4 3 3 3 3" xfId="20411" xr:uid="{00000000-0005-0000-0000-0000F6BC0000}"/>
    <cellStyle name="Note 4 3 3 3 3 2" xfId="45948" xr:uid="{00000000-0005-0000-0000-0000F7BC0000}"/>
    <cellStyle name="Note 4 3 3 3 3 3" xfId="49854" xr:uid="{00000000-0005-0000-0000-0000F8BC0000}"/>
    <cellStyle name="Note 4 3 3 3 3 4" xfId="37865" xr:uid="{00000000-0005-0000-0000-0000F9BC0000}"/>
    <cellStyle name="Note 4 3 3 3 4" xfId="20555" xr:uid="{00000000-0005-0000-0000-0000FABC0000}"/>
    <cellStyle name="Note 4 3 3 3 4 2" xfId="46092" xr:uid="{00000000-0005-0000-0000-0000FBBC0000}"/>
    <cellStyle name="Note 4 3 3 3 4 3" xfId="49998" xr:uid="{00000000-0005-0000-0000-0000FCBC0000}"/>
    <cellStyle name="Note 4 3 3 3 4 4" xfId="37982" xr:uid="{00000000-0005-0000-0000-0000FDBC0000}"/>
    <cellStyle name="Note 4 3 3 3 5" xfId="21231" xr:uid="{00000000-0005-0000-0000-0000FEBC0000}"/>
    <cellStyle name="Note 4 3 3 3 5 2" xfId="46768" xr:uid="{00000000-0005-0000-0000-0000FFBC0000}"/>
    <cellStyle name="Note 4 3 3 3 5 3" xfId="50674" xr:uid="{00000000-0005-0000-0000-000000BD0000}"/>
    <cellStyle name="Note 4 3 3 3 5 4" xfId="38637" xr:uid="{00000000-0005-0000-0000-000001BD0000}"/>
    <cellStyle name="Note 4 3 3 3 6" xfId="21884" xr:uid="{00000000-0005-0000-0000-000002BD0000}"/>
    <cellStyle name="Note 4 3 3 3 6 2" xfId="47421" xr:uid="{00000000-0005-0000-0000-000003BD0000}"/>
    <cellStyle name="Note 4 3 3 3 6 3" xfId="51327" xr:uid="{00000000-0005-0000-0000-000004BD0000}"/>
    <cellStyle name="Note 4 3 3 3 7" xfId="41224" xr:uid="{00000000-0005-0000-0000-000005BD0000}"/>
    <cellStyle name="Note 4 3 3 3 8" xfId="42047" xr:uid="{00000000-0005-0000-0000-000006BD0000}"/>
    <cellStyle name="Note 4 3 3 4" xfId="15245" xr:uid="{00000000-0005-0000-0000-000007BD0000}"/>
    <cellStyle name="Note 4 3 3 4 2" xfId="43118" xr:uid="{00000000-0005-0000-0000-000008BD0000}"/>
    <cellStyle name="Note 4 3 3 4 3" xfId="43664" xr:uid="{00000000-0005-0000-0000-000009BD0000}"/>
    <cellStyle name="Note 4 3 3 4 4" xfId="32880" xr:uid="{00000000-0005-0000-0000-00000ABD0000}"/>
    <cellStyle name="Note 4 3 3 5" xfId="20090" xr:uid="{00000000-0005-0000-0000-00000BBD0000}"/>
    <cellStyle name="Note 4 3 3 5 2" xfId="45627" xr:uid="{00000000-0005-0000-0000-00000CBD0000}"/>
    <cellStyle name="Note 4 3 3 5 3" xfId="49533" xr:uid="{00000000-0005-0000-0000-00000DBD0000}"/>
    <cellStyle name="Note 4 3 3 5 4" xfId="37582" xr:uid="{00000000-0005-0000-0000-00000EBD0000}"/>
    <cellStyle name="Note 4 3 3 6" xfId="19155" xr:uid="{00000000-0005-0000-0000-00000FBD0000}"/>
    <cellStyle name="Note 4 3 3 6 2" xfId="44692" xr:uid="{00000000-0005-0000-0000-000010BD0000}"/>
    <cellStyle name="Note 4 3 3 6 3" xfId="48598" xr:uid="{00000000-0005-0000-0000-000011BD0000}"/>
    <cellStyle name="Note 4 3 3 6 4" xfId="36748" xr:uid="{00000000-0005-0000-0000-000012BD0000}"/>
    <cellStyle name="Note 4 3 3 7" xfId="11378" xr:uid="{00000000-0005-0000-0000-000013BD0000}"/>
    <cellStyle name="Note 4 3 3 7 2" xfId="41414" xr:uid="{00000000-0005-0000-0000-000014BD0000}"/>
    <cellStyle name="Note 4 3 3 7 3" xfId="39361" xr:uid="{00000000-0005-0000-0000-000015BD0000}"/>
    <cellStyle name="Note 4 3 3 7 4" xfId="29100" xr:uid="{00000000-0005-0000-0000-000016BD0000}"/>
    <cellStyle name="Note 4 3 3 8" xfId="13908" xr:uid="{00000000-0005-0000-0000-000017BD0000}"/>
    <cellStyle name="Note 4 3 3 8 2" xfId="42643" xr:uid="{00000000-0005-0000-0000-000018BD0000}"/>
    <cellStyle name="Note 4 3 3 8 3" xfId="39437" xr:uid="{00000000-0005-0000-0000-000019BD0000}"/>
    <cellStyle name="Note 4 3 3 9" xfId="39978" xr:uid="{00000000-0005-0000-0000-00001ABD0000}"/>
    <cellStyle name="Note 4 3 4" xfId="12088" xr:uid="{00000000-0005-0000-0000-00001BBD0000}"/>
    <cellStyle name="Note 4 3 4 2" xfId="41833" xr:uid="{00000000-0005-0000-0000-00001CBD0000}"/>
    <cellStyle name="Note 4 3 4 3" xfId="39330" xr:uid="{00000000-0005-0000-0000-00001DBD0000}"/>
    <cellStyle name="Note 4 3 4 4" xfId="29764" xr:uid="{00000000-0005-0000-0000-00001EBD0000}"/>
    <cellStyle name="Note 4 3 5" xfId="19215" xr:uid="{00000000-0005-0000-0000-00001FBD0000}"/>
    <cellStyle name="Note 4 3 5 2" xfId="44752" xr:uid="{00000000-0005-0000-0000-000020BD0000}"/>
    <cellStyle name="Note 4 3 5 3" xfId="48658" xr:uid="{00000000-0005-0000-0000-000021BD0000}"/>
    <cellStyle name="Note 4 3 5 4" xfId="36800" xr:uid="{00000000-0005-0000-0000-000022BD0000}"/>
    <cellStyle name="Note 4 3 6" xfId="52665" xr:uid="{00000000-0005-0000-0000-000023BD0000}"/>
    <cellStyle name="Note 4 3 7" xfId="53277" xr:uid="{00000000-0005-0000-0000-000024BD0000}"/>
    <cellStyle name="Note 4 4" xfId="3174" xr:uid="{00000000-0005-0000-0000-000025BD0000}"/>
    <cellStyle name="Note 4 5" xfId="3175" xr:uid="{00000000-0005-0000-0000-000026BD0000}"/>
    <cellStyle name="Note 4 5 2" xfId="53279" xr:uid="{00000000-0005-0000-0000-000027BD0000}"/>
    <cellStyle name="Note 4 6" xfId="5306" xr:uid="{00000000-0005-0000-0000-000028BD0000}"/>
    <cellStyle name="Note 4 6 2" xfId="53385" xr:uid="{00000000-0005-0000-0000-000029BD0000}"/>
    <cellStyle name="Note 4 7" xfId="5307" xr:uid="{00000000-0005-0000-0000-00002ABD0000}"/>
    <cellStyle name="Note 4 8" xfId="3171" xr:uid="{00000000-0005-0000-0000-00002BBD0000}"/>
    <cellStyle name="Note 4 9" xfId="52766" xr:uid="{00000000-0005-0000-0000-00002CBD0000}"/>
    <cellStyle name="Note 5" xfId="3176" xr:uid="{00000000-0005-0000-0000-00002DBD0000}"/>
    <cellStyle name="Note 5 2" xfId="3177" xr:uid="{00000000-0005-0000-0000-00002EBD0000}"/>
    <cellStyle name="Note 5 2 2" xfId="3178" xr:uid="{00000000-0005-0000-0000-00002FBD0000}"/>
    <cellStyle name="Note 5 2 2 2" xfId="53389" xr:uid="{00000000-0005-0000-0000-000030BD0000}"/>
    <cellStyle name="Note 5 2 3" xfId="53281" xr:uid="{00000000-0005-0000-0000-000031BD0000}"/>
    <cellStyle name="Note 5 3" xfId="3179" xr:uid="{00000000-0005-0000-0000-000032BD0000}"/>
    <cellStyle name="Note 5 3 2" xfId="53388" xr:uid="{00000000-0005-0000-0000-000033BD0000}"/>
    <cellStyle name="Note 5 4" xfId="3180" xr:uid="{00000000-0005-0000-0000-000034BD0000}"/>
    <cellStyle name="Note 5 5" xfId="3181" xr:uid="{00000000-0005-0000-0000-000035BD0000}"/>
    <cellStyle name="Note 5 5 2" xfId="3182" xr:uid="{00000000-0005-0000-0000-000036BD0000}"/>
    <cellStyle name="Note 5 5 3" xfId="3183" xr:uid="{00000000-0005-0000-0000-000037BD0000}"/>
    <cellStyle name="Note 5 5 3 2" xfId="3184" xr:uid="{00000000-0005-0000-0000-000038BD0000}"/>
    <cellStyle name="Note 5 5 4" xfId="3185" xr:uid="{00000000-0005-0000-0000-000039BD0000}"/>
    <cellStyle name="Note 5 5 4 2" xfId="3186" xr:uid="{00000000-0005-0000-0000-00003ABD0000}"/>
    <cellStyle name="Note 5 5 5" xfId="3187" xr:uid="{00000000-0005-0000-0000-00003BBD0000}"/>
    <cellStyle name="Note 5 5 5 2" xfId="3188" xr:uid="{00000000-0005-0000-0000-00003CBD0000}"/>
    <cellStyle name="Note 5 5 6" xfId="3189" xr:uid="{00000000-0005-0000-0000-00003DBD0000}"/>
    <cellStyle name="Note 5 6" xfId="3190" xr:uid="{00000000-0005-0000-0000-00003EBD0000}"/>
    <cellStyle name="Note 5 7" xfId="3191" xr:uid="{00000000-0005-0000-0000-00003FBD0000}"/>
    <cellStyle name="Note 5 8" xfId="22610" xr:uid="{00000000-0005-0000-0000-000040BD0000}"/>
    <cellStyle name="Note 5 8 2" xfId="47556" xr:uid="{00000000-0005-0000-0000-000041BD0000}"/>
    <cellStyle name="Note 5 8 3" xfId="51405" xr:uid="{00000000-0005-0000-0000-000042BD0000}"/>
    <cellStyle name="Note 5 8 4" xfId="38897" xr:uid="{00000000-0005-0000-0000-000043BD0000}"/>
    <cellStyle name="Note 5 9" xfId="53280" xr:uid="{00000000-0005-0000-0000-000044BD0000}"/>
    <cellStyle name="Note 6" xfId="3192" xr:uid="{00000000-0005-0000-0000-000045BD0000}"/>
    <cellStyle name="Note 6 2" xfId="3193" xr:uid="{00000000-0005-0000-0000-000046BD0000}"/>
    <cellStyle name="Note 6 2 2" xfId="3194" xr:uid="{00000000-0005-0000-0000-000047BD0000}"/>
    <cellStyle name="Note 6 2 2 2" xfId="53391" xr:uid="{00000000-0005-0000-0000-000048BD0000}"/>
    <cellStyle name="Note 6 2 3" xfId="53283" xr:uid="{00000000-0005-0000-0000-000049BD0000}"/>
    <cellStyle name="Note 6 3" xfId="3195" xr:uid="{00000000-0005-0000-0000-00004ABD0000}"/>
    <cellStyle name="Note 6 3 2" xfId="53390" xr:uid="{00000000-0005-0000-0000-00004BBD0000}"/>
    <cellStyle name="Note 6 4" xfId="3196" xr:uid="{00000000-0005-0000-0000-00004CBD0000}"/>
    <cellStyle name="Note 6 5" xfId="3197" xr:uid="{00000000-0005-0000-0000-00004DBD0000}"/>
    <cellStyle name="Note 6 5 2" xfId="3198" xr:uid="{00000000-0005-0000-0000-00004EBD0000}"/>
    <cellStyle name="Note 6 5 3" xfId="3199" xr:uid="{00000000-0005-0000-0000-00004FBD0000}"/>
    <cellStyle name="Note 6 5 3 2" xfId="3200" xr:uid="{00000000-0005-0000-0000-000050BD0000}"/>
    <cellStyle name="Note 6 5 4" xfId="3201" xr:uid="{00000000-0005-0000-0000-000051BD0000}"/>
    <cellStyle name="Note 6 5 4 2" xfId="3202" xr:uid="{00000000-0005-0000-0000-000052BD0000}"/>
    <cellStyle name="Note 6 5 5" xfId="3203" xr:uid="{00000000-0005-0000-0000-000053BD0000}"/>
    <cellStyle name="Note 6 5 5 2" xfId="3204" xr:uid="{00000000-0005-0000-0000-000054BD0000}"/>
    <cellStyle name="Note 6 5 6" xfId="3205" xr:uid="{00000000-0005-0000-0000-000055BD0000}"/>
    <cellStyle name="Note 6 6" xfId="3206" xr:uid="{00000000-0005-0000-0000-000056BD0000}"/>
    <cellStyle name="Note 6 7" xfId="3207" xr:uid="{00000000-0005-0000-0000-000057BD0000}"/>
    <cellStyle name="Note 6 8" xfId="22611" xr:uid="{00000000-0005-0000-0000-000058BD0000}"/>
    <cellStyle name="Note 6 8 2" xfId="47557" xr:uid="{00000000-0005-0000-0000-000059BD0000}"/>
    <cellStyle name="Note 6 8 3" xfId="51406" xr:uid="{00000000-0005-0000-0000-00005ABD0000}"/>
    <cellStyle name="Note 6 8 4" xfId="38898" xr:uid="{00000000-0005-0000-0000-00005BBD0000}"/>
    <cellStyle name="Note 6 9" xfId="53282" xr:uid="{00000000-0005-0000-0000-00005CBD0000}"/>
    <cellStyle name="Note 7" xfId="3208" xr:uid="{00000000-0005-0000-0000-00005DBD0000}"/>
    <cellStyle name="Note 7 2" xfId="3209" xr:uid="{00000000-0005-0000-0000-00005EBD0000}"/>
    <cellStyle name="Note 7 2 2" xfId="3210" xr:uid="{00000000-0005-0000-0000-00005FBD0000}"/>
    <cellStyle name="Note 7 3" xfId="3211" xr:uid="{00000000-0005-0000-0000-000060BD0000}"/>
    <cellStyle name="Note 7 4" xfId="3212" xr:uid="{00000000-0005-0000-0000-000061BD0000}"/>
    <cellStyle name="Note 7 5" xfId="3213" xr:uid="{00000000-0005-0000-0000-000062BD0000}"/>
    <cellStyle name="Note 7 6" xfId="3214" xr:uid="{00000000-0005-0000-0000-000063BD0000}"/>
    <cellStyle name="Note 8" xfId="3215" xr:uid="{00000000-0005-0000-0000-000064BD0000}"/>
    <cellStyle name="Note 8 10" xfId="3216" xr:uid="{00000000-0005-0000-0000-000065BD0000}"/>
    <cellStyle name="Note 8 11" xfId="5308" xr:uid="{00000000-0005-0000-0000-000066BD0000}"/>
    <cellStyle name="Note 8 2" xfId="3217" xr:uid="{00000000-0005-0000-0000-000067BD0000}"/>
    <cellStyle name="Note 8 2 2" xfId="3218" xr:uid="{00000000-0005-0000-0000-000068BD0000}"/>
    <cellStyle name="Note 8 3" xfId="3219" xr:uid="{00000000-0005-0000-0000-000069BD0000}"/>
    <cellStyle name="Note 8 3 2" xfId="3220" xr:uid="{00000000-0005-0000-0000-00006ABD0000}"/>
    <cellStyle name="Note 8 4" xfId="3221" xr:uid="{00000000-0005-0000-0000-00006BBD0000}"/>
    <cellStyle name="Note 8 5" xfId="3222" xr:uid="{00000000-0005-0000-0000-00006CBD0000}"/>
    <cellStyle name="Note 8 5 2" xfId="3223" xr:uid="{00000000-0005-0000-0000-00006DBD0000}"/>
    <cellStyle name="Note 8 6" xfId="3224" xr:uid="{00000000-0005-0000-0000-00006EBD0000}"/>
    <cellStyle name="Note 8 7" xfId="3225" xr:uid="{00000000-0005-0000-0000-00006FBD0000}"/>
    <cellStyle name="Note 8 8" xfId="3226" xr:uid="{00000000-0005-0000-0000-000070BD0000}"/>
    <cellStyle name="Note 8 9" xfId="3227" xr:uid="{00000000-0005-0000-0000-000071BD0000}"/>
    <cellStyle name="Note 9" xfId="3228" xr:uid="{00000000-0005-0000-0000-000072BD0000}"/>
    <cellStyle name="Note 9 10" xfId="3229" xr:uid="{00000000-0005-0000-0000-000073BD0000}"/>
    <cellStyle name="Note 9 11" xfId="5309" xr:uid="{00000000-0005-0000-0000-000074BD0000}"/>
    <cellStyle name="Note 9 2" xfId="3230" xr:uid="{00000000-0005-0000-0000-000075BD0000}"/>
    <cellStyle name="Note 9 2 2" xfId="3231" xr:uid="{00000000-0005-0000-0000-000076BD0000}"/>
    <cellStyle name="Note 9 3" xfId="3232" xr:uid="{00000000-0005-0000-0000-000077BD0000}"/>
    <cellStyle name="Note 9 3 2" xfId="3233" xr:uid="{00000000-0005-0000-0000-000078BD0000}"/>
    <cellStyle name="Note 9 4" xfId="3234" xr:uid="{00000000-0005-0000-0000-000079BD0000}"/>
    <cellStyle name="Note 9 5" xfId="3235" xr:uid="{00000000-0005-0000-0000-00007ABD0000}"/>
    <cellStyle name="Note 9 5 2" xfId="3236" xr:uid="{00000000-0005-0000-0000-00007BBD0000}"/>
    <cellStyle name="Note 9 6" xfId="3237" xr:uid="{00000000-0005-0000-0000-00007CBD0000}"/>
    <cellStyle name="Note 9 7" xfId="3238" xr:uid="{00000000-0005-0000-0000-00007DBD0000}"/>
    <cellStyle name="Note 9 8" xfId="3239" xr:uid="{00000000-0005-0000-0000-00007EBD0000}"/>
    <cellStyle name="Note 9 9" xfId="3240" xr:uid="{00000000-0005-0000-0000-00007FBD0000}"/>
    <cellStyle name="Output" xfId="155" builtinId="21" customBuiltin="1"/>
    <cellStyle name="Output 10" xfId="3241" xr:uid="{00000000-0005-0000-0000-000081BD0000}"/>
    <cellStyle name="Output 10 2" xfId="3242" xr:uid="{00000000-0005-0000-0000-000082BD0000}"/>
    <cellStyle name="Output 10 2 2" xfId="10455" xr:uid="{00000000-0005-0000-0000-000083BD0000}"/>
    <cellStyle name="Output 10 2 2 2" xfId="18248" xr:uid="{00000000-0005-0000-0000-000084BD0000}"/>
    <cellStyle name="Output 10 2 2 2 2" xfId="43795" xr:uid="{00000000-0005-0000-0000-000085BD0000}"/>
    <cellStyle name="Output 10 2 2 2 3" xfId="47704" xr:uid="{00000000-0005-0000-0000-000086BD0000}"/>
    <cellStyle name="Output 10 2 2 2 4" xfId="35885" xr:uid="{00000000-0005-0000-0000-000087BD0000}"/>
    <cellStyle name="Output 10 2 2 3" xfId="19441" xr:uid="{00000000-0005-0000-0000-000088BD0000}"/>
    <cellStyle name="Output 10 2 2 3 2" xfId="44978" xr:uid="{00000000-0005-0000-0000-000089BD0000}"/>
    <cellStyle name="Output 10 2 2 3 3" xfId="48884" xr:uid="{00000000-0005-0000-0000-00008ABD0000}"/>
    <cellStyle name="Output 10 2 2 3 4" xfId="37006" xr:uid="{00000000-0005-0000-0000-00008BBD0000}"/>
    <cellStyle name="Output 10 2 2 4" xfId="19205" xr:uid="{00000000-0005-0000-0000-00008CBD0000}"/>
    <cellStyle name="Output 10 2 2 4 2" xfId="44742" xr:uid="{00000000-0005-0000-0000-00008DBD0000}"/>
    <cellStyle name="Output 10 2 2 4 3" xfId="48648" xr:uid="{00000000-0005-0000-0000-00008EBD0000}"/>
    <cellStyle name="Output 10 2 2 4 4" xfId="36790" xr:uid="{00000000-0005-0000-0000-00008FBD0000}"/>
    <cellStyle name="Output 10 2 2 5" xfId="20661" xr:uid="{00000000-0005-0000-0000-000090BD0000}"/>
    <cellStyle name="Output 10 2 2 5 2" xfId="46198" xr:uid="{00000000-0005-0000-0000-000091BD0000}"/>
    <cellStyle name="Output 10 2 2 5 3" xfId="50104" xr:uid="{00000000-0005-0000-0000-000092BD0000}"/>
    <cellStyle name="Output 10 2 2 5 4" xfId="38067" xr:uid="{00000000-0005-0000-0000-000093BD0000}"/>
    <cellStyle name="Output 10 2 2 6" xfId="21314" xr:uid="{00000000-0005-0000-0000-000094BD0000}"/>
    <cellStyle name="Output 10 2 2 6 2" xfId="46851" xr:uid="{00000000-0005-0000-0000-000095BD0000}"/>
    <cellStyle name="Output 10 2 2 6 3" xfId="50757" xr:uid="{00000000-0005-0000-0000-000096BD0000}"/>
    <cellStyle name="Output 10 2 2 7" xfId="40654" xr:uid="{00000000-0005-0000-0000-000097BD0000}"/>
    <cellStyle name="Output 10 2 2 8" xfId="40264" xr:uid="{00000000-0005-0000-0000-000098BD0000}"/>
    <cellStyle name="Output 10 2 3" xfId="8072" xr:uid="{00000000-0005-0000-0000-000099BD0000}"/>
    <cellStyle name="Output 10 2 3 2" xfId="15869" xr:uid="{00000000-0005-0000-0000-00009ABD0000}"/>
    <cellStyle name="Output 10 2 3 2 2" xfId="43282" xr:uid="{00000000-0005-0000-0000-00009BBD0000}"/>
    <cellStyle name="Output 10 2 3 2 3" xfId="42664" xr:uid="{00000000-0005-0000-0000-00009CBD0000}"/>
    <cellStyle name="Output 10 2 3 2 4" xfId="33504" xr:uid="{00000000-0005-0000-0000-00009DBD0000}"/>
    <cellStyle name="Output 10 2 3 3" xfId="19953" xr:uid="{00000000-0005-0000-0000-00009EBD0000}"/>
    <cellStyle name="Output 10 2 3 3 2" xfId="45490" xr:uid="{00000000-0005-0000-0000-00009FBD0000}"/>
    <cellStyle name="Output 10 2 3 3 3" xfId="49396" xr:uid="{00000000-0005-0000-0000-0000A0BD0000}"/>
    <cellStyle name="Output 10 2 3 3 4" xfId="37458" xr:uid="{00000000-0005-0000-0000-0000A1BD0000}"/>
    <cellStyle name="Output 10 2 3 4" xfId="18945" xr:uid="{00000000-0005-0000-0000-0000A2BD0000}"/>
    <cellStyle name="Output 10 2 3 4 2" xfId="44482" xr:uid="{00000000-0005-0000-0000-0000A3BD0000}"/>
    <cellStyle name="Output 10 2 3 4 3" xfId="48388" xr:uid="{00000000-0005-0000-0000-0000A4BD0000}"/>
    <cellStyle name="Output 10 2 3 4 4" xfId="36572" xr:uid="{00000000-0005-0000-0000-0000A5BD0000}"/>
    <cellStyle name="Output 10 2 3 5" xfId="11848" xr:uid="{00000000-0005-0000-0000-0000A6BD0000}"/>
    <cellStyle name="Output 10 2 3 5 2" xfId="41766" xr:uid="{00000000-0005-0000-0000-0000A7BD0000}"/>
    <cellStyle name="Output 10 2 3 5 3" xfId="40348" xr:uid="{00000000-0005-0000-0000-0000A8BD0000}"/>
    <cellStyle name="Output 10 2 3 5 4" xfId="29532" xr:uid="{00000000-0005-0000-0000-0000A9BD0000}"/>
    <cellStyle name="Output 10 2 3 6" xfId="18885" xr:uid="{00000000-0005-0000-0000-0000AABD0000}"/>
    <cellStyle name="Output 10 2 3 6 2" xfId="44422" xr:uid="{00000000-0005-0000-0000-0000ABBD0000}"/>
    <cellStyle name="Output 10 2 3 6 3" xfId="48328" xr:uid="{00000000-0005-0000-0000-0000ACBD0000}"/>
    <cellStyle name="Output 10 2 3 7" xfId="40141" xr:uid="{00000000-0005-0000-0000-0000ADBD0000}"/>
    <cellStyle name="Output 10 2 3 8" xfId="47548" xr:uid="{00000000-0005-0000-0000-0000AEBD0000}"/>
    <cellStyle name="Output 10 2 4" xfId="12095" xr:uid="{00000000-0005-0000-0000-0000AFBD0000}"/>
    <cellStyle name="Output 10 2 4 2" xfId="41840" xr:uid="{00000000-0005-0000-0000-0000B0BD0000}"/>
    <cellStyle name="Output 10 2 4 3" xfId="39137" xr:uid="{00000000-0005-0000-0000-0000B1BD0000}"/>
    <cellStyle name="Output 10 2 4 4" xfId="29768" xr:uid="{00000000-0005-0000-0000-0000B2BD0000}"/>
    <cellStyle name="Output 10 2 5" xfId="20113" xr:uid="{00000000-0005-0000-0000-0000B3BD0000}"/>
    <cellStyle name="Output 10 2 5 2" xfId="45650" xr:uid="{00000000-0005-0000-0000-0000B4BD0000}"/>
    <cellStyle name="Output 10 2 5 3" xfId="49556" xr:uid="{00000000-0005-0000-0000-0000B5BD0000}"/>
    <cellStyle name="Output 10 2 5 4" xfId="37601" xr:uid="{00000000-0005-0000-0000-0000B6BD0000}"/>
    <cellStyle name="Output 10 3" xfId="3243" xr:uid="{00000000-0005-0000-0000-0000B7BD0000}"/>
    <cellStyle name="Output 10 4" xfId="7458" xr:uid="{00000000-0005-0000-0000-0000B8BD0000}"/>
    <cellStyle name="Output 10 4 10" xfId="42759" xr:uid="{00000000-0005-0000-0000-0000B9BD0000}"/>
    <cellStyle name="Output 10 4 2" xfId="10731" xr:uid="{00000000-0005-0000-0000-0000BABD0000}"/>
    <cellStyle name="Output 10 4 2 2" xfId="18524" xr:uid="{00000000-0005-0000-0000-0000BBBD0000}"/>
    <cellStyle name="Output 10 4 2 2 2" xfId="44071" xr:uid="{00000000-0005-0000-0000-0000BCBD0000}"/>
    <cellStyle name="Output 10 4 2 2 3" xfId="47980" xr:uid="{00000000-0005-0000-0000-0000BDBD0000}"/>
    <cellStyle name="Output 10 4 2 2 4" xfId="36161" xr:uid="{00000000-0005-0000-0000-0000BEBD0000}"/>
    <cellStyle name="Output 10 4 2 3" xfId="19288" xr:uid="{00000000-0005-0000-0000-0000BFBD0000}"/>
    <cellStyle name="Output 10 4 2 3 2" xfId="44825" xr:uid="{00000000-0005-0000-0000-0000C0BD0000}"/>
    <cellStyle name="Output 10 4 2 3 3" xfId="48731" xr:uid="{00000000-0005-0000-0000-0000C1BD0000}"/>
    <cellStyle name="Output 10 4 2 3 4" xfId="36866" xr:uid="{00000000-0005-0000-0000-0000C2BD0000}"/>
    <cellStyle name="Output 10 4 2 4" xfId="12667" xr:uid="{00000000-0005-0000-0000-0000C3BD0000}"/>
    <cellStyle name="Output 10 4 2 4 2" xfId="42146" xr:uid="{00000000-0005-0000-0000-0000C4BD0000}"/>
    <cellStyle name="Output 10 4 2 4 3" xfId="40059" xr:uid="{00000000-0005-0000-0000-0000C5BD0000}"/>
    <cellStyle name="Output 10 4 2 4 4" xfId="30331" xr:uid="{00000000-0005-0000-0000-0000C6BD0000}"/>
    <cellStyle name="Output 10 4 2 5" xfId="20937" xr:uid="{00000000-0005-0000-0000-0000C7BD0000}"/>
    <cellStyle name="Output 10 4 2 5 2" xfId="46474" xr:uid="{00000000-0005-0000-0000-0000C8BD0000}"/>
    <cellStyle name="Output 10 4 2 5 3" xfId="50380" xr:uid="{00000000-0005-0000-0000-0000C9BD0000}"/>
    <cellStyle name="Output 10 4 2 5 4" xfId="38343" xr:uid="{00000000-0005-0000-0000-0000CABD0000}"/>
    <cellStyle name="Output 10 4 2 6" xfId="21590" xr:uid="{00000000-0005-0000-0000-0000CBBD0000}"/>
    <cellStyle name="Output 10 4 2 6 2" xfId="47127" xr:uid="{00000000-0005-0000-0000-0000CCBD0000}"/>
    <cellStyle name="Output 10 4 2 6 3" xfId="51033" xr:uid="{00000000-0005-0000-0000-0000CDBD0000}"/>
    <cellStyle name="Output 10 4 2 7" xfId="40930" xr:uid="{00000000-0005-0000-0000-0000CEBD0000}"/>
    <cellStyle name="Output 10 4 2 8" xfId="41433" xr:uid="{00000000-0005-0000-0000-0000CFBD0000}"/>
    <cellStyle name="Output 10 4 3" xfId="11026" xr:uid="{00000000-0005-0000-0000-0000D0BD0000}"/>
    <cellStyle name="Output 10 4 3 2" xfId="18819" xr:uid="{00000000-0005-0000-0000-0000D1BD0000}"/>
    <cellStyle name="Output 10 4 3 2 2" xfId="44366" xr:uid="{00000000-0005-0000-0000-0000D2BD0000}"/>
    <cellStyle name="Output 10 4 3 2 3" xfId="48275" xr:uid="{00000000-0005-0000-0000-0000D3BD0000}"/>
    <cellStyle name="Output 10 4 3 2 4" xfId="36456" xr:uid="{00000000-0005-0000-0000-0000D4BD0000}"/>
    <cellStyle name="Output 10 4 3 3" xfId="20412" xr:uid="{00000000-0005-0000-0000-0000D5BD0000}"/>
    <cellStyle name="Output 10 4 3 3 2" xfId="45949" xr:uid="{00000000-0005-0000-0000-0000D6BD0000}"/>
    <cellStyle name="Output 10 4 3 3 3" xfId="49855" xr:uid="{00000000-0005-0000-0000-0000D7BD0000}"/>
    <cellStyle name="Output 10 4 3 3 4" xfId="37866" xr:uid="{00000000-0005-0000-0000-0000D8BD0000}"/>
    <cellStyle name="Output 10 4 3 4" xfId="20556" xr:uid="{00000000-0005-0000-0000-0000D9BD0000}"/>
    <cellStyle name="Output 10 4 3 4 2" xfId="46093" xr:uid="{00000000-0005-0000-0000-0000DABD0000}"/>
    <cellStyle name="Output 10 4 3 4 3" xfId="49999" xr:uid="{00000000-0005-0000-0000-0000DBBD0000}"/>
    <cellStyle name="Output 10 4 3 4 4" xfId="37983" xr:uid="{00000000-0005-0000-0000-0000DCBD0000}"/>
    <cellStyle name="Output 10 4 3 5" xfId="21232" xr:uid="{00000000-0005-0000-0000-0000DDBD0000}"/>
    <cellStyle name="Output 10 4 3 5 2" xfId="46769" xr:uid="{00000000-0005-0000-0000-0000DEBD0000}"/>
    <cellStyle name="Output 10 4 3 5 3" xfId="50675" xr:uid="{00000000-0005-0000-0000-0000DFBD0000}"/>
    <cellStyle name="Output 10 4 3 5 4" xfId="38638" xr:uid="{00000000-0005-0000-0000-0000E0BD0000}"/>
    <cellStyle name="Output 10 4 3 6" xfId="21885" xr:uid="{00000000-0005-0000-0000-0000E1BD0000}"/>
    <cellStyle name="Output 10 4 3 6 2" xfId="47422" xr:uid="{00000000-0005-0000-0000-0000E2BD0000}"/>
    <cellStyle name="Output 10 4 3 6 3" xfId="51328" xr:uid="{00000000-0005-0000-0000-0000E3BD0000}"/>
    <cellStyle name="Output 10 4 3 7" xfId="41225" xr:uid="{00000000-0005-0000-0000-0000E4BD0000}"/>
    <cellStyle name="Output 10 4 3 8" xfId="43366" xr:uid="{00000000-0005-0000-0000-0000E5BD0000}"/>
    <cellStyle name="Output 10 4 4" xfId="15246" xr:uid="{00000000-0005-0000-0000-0000E6BD0000}"/>
    <cellStyle name="Output 10 4 4 2" xfId="43119" xr:uid="{00000000-0005-0000-0000-0000E7BD0000}"/>
    <cellStyle name="Output 10 4 4 3" xfId="40523" xr:uid="{00000000-0005-0000-0000-0000E8BD0000}"/>
    <cellStyle name="Output 10 4 4 4" xfId="32881" xr:uid="{00000000-0005-0000-0000-0000E9BD0000}"/>
    <cellStyle name="Output 10 4 5" xfId="19352" xr:uid="{00000000-0005-0000-0000-0000EABD0000}"/>
    <cellStyle name="Output 10 4 5 2" xfId="44889" xr:uid="{00000000-0005-0000-0000-0000EBBD0000}"/>
    <cellStyle name="Output 10 4 5 3" xfId="48795" xr:uid="{00000000-0005-0000-0000-0000ECBD0000}"/>
    <cellStyle name="Output 10 4 5 4" xfId="36923" xr:uid="{00000000-0005-0000-0000-0000EDBD0000}"/>
    <cellStyle name="Output 10 4 6" xfId="12660" xr:uid="{00000000-0005-0000-0000-0000EEBD0000}"/>
    <cellStyle name="Output 10 4 6 2" xfId="42139" xr:uid="{00000000-0005-0000-0000-0000EFBD0000}"/>
    <cellStyle name="Output 10 4 6 3" xfId="41980" xr:uid="{00000000-0005-0000-0000-0000F0BD0000}"/>
    <cellStyle name="Output 10 4 6 4" xfId="30324" xr:uid="{00000000-0005-0000-0000-0000F1BD0000}"/>
    <cellStyle name="Output 10 4 7" xfId="11724" xr:uid="{00000000-0005-0000-0000-0000F2BD0000}"/>
    <cellStyle name="Output 10 4 7 2" xfId="41713" xr:uid="{00000000-0005-0000-0000-0000F3BD0000}"/>
    <cellStyle name="Output 10 4 7 3" xfId="47610" xr:uid="{00000000-0005-0000-0000-0000F4BD0000}"/>
    <cellStyle name="Output 10 4 7 4" xfId="29411" xr:uid="{00000000-0005-0000-0000-0000F5BD0000}"/>
    <cellStyle name="Output 10 4 8" xfId="19640" xr:uid="{00000000-0005-0000-0000-0000F6BD0000}"/>
    <cellStyle name="Output 10 4 8 2" xfId="45177" xr:uid="{00000000-0005-0000-0000-0000F7BD0000}"/>
    <cellStyle name="Output 10 4 8 3" xfId="49083" xr:uid="{00000000-0005-0000-0000-0000F8BD0000}"/>
    <cellStyle name="Output 10 4 9" xfId="39979" xr:uid="{00000000-0005-0000-0000-0000F9BD0000}"/>
    <cellStyle name="Output 10 5" xfId="22613" xr:uid="{00000000-0005-0000-0000-0000FABD0000}"/>
    <cellStyle name="Output 11" xfId="3244" xr:uid="{00000000-0005-0000-0000-0000FBBD0000}"/>
    <cellStyle name="Output 11 2" xfId="22614" xr:uid="{00000000-0005-0000-0000-0000FCBD0000}"/>
    <cellStyle name="Output 12" xfId="22615" xr:uid="{00000000-0005-0000-0000-0000FDBD0000}"/>
    <cellStyle name="Output 12 2" xfId="22616" xr:uid="{00000000-0005-0000-0000-0000FEBD0000}"/>
    <cellStyle name="Output 13" xfId="22617" xr:uid="{00000000-0005-0000-0000-0000FFBD0000}"/>
    <cellStyle name="Output 14" xfId="22618" xr:uid="{00000000-0005-0000-0000-000000BE0000}"/>
    <cellStyle name="Output 14 2" xfId="47559" xr:uid="{00000000-0005-0000-0000-000001BE0000}"/>
    <cellStyle name="Output 14 2 2" xfId="53285" xr:uid="{00000000-0005-0000-0000-000002BE0000}"/>
    <cellStyle name="Output 14 3" xfId="51408" xr:uid="{00000000-0005-0000-0000-000003BE0000}"/>
    <cellStyle name="Output 14 3 2" xfId="53392" xr:uid="{00000000-0005-0000-0000-000004BE0000}"/>
    <cellStyle name="Output 14 4" xfId="53284" xr:uid="{00000000-0005-0000-0000-000005BE0000}"/>
    <cellStyle name="Output 15" xfId="22674" xr:uid="{00000000-0005-0000-0000-000006BE0000}"/>
    <cellStyle name="Output 16" xfId="22612" xr:uid="{00000000-0005-0000-0000-000007BE0000}"/>
    <cellStyle name="Output 16 2" xfId="47558" xr:uid="{00000000-0005-0000-0000-000008BE0000}"/>
    <cellStyle name="Output 16 2 2" xfId="53287" xr:uid="{00000000-0005-0000-0000-000009BE0000}"/>
    <cellStyle name="Output 16 3" xfId="51407" xr:uid="{00000000-0005-0000-0000-00000ABE0000}"/>
    <cellStyle name="Output 16 3 2" xfId="53393" xr:uid="{00000000-0005-0000-0000-00000BBE0000}"/>
    <cellStyle name="Output 16 4" xfId="53286" xr:uid="{00000000-0005-0000-0000-00000CBE0000}"/>
    <cellStyle name="Output 2" xfId="136" xr:uid="{00000000-0005-0000-0000-00000DBE0000}"/>
    <cellStyle name="Output 2 10" xfId="3246" xr:uid="{00000000-0005-0000-0000-00000EBE0000}"/>
    <cellStyle name="Output 2 10 2" xfId="7460" xr:uid="{00000000-0005-0000-0000-00000FBE0000}"/>
    <cellStyle name="Output 2 10 2 10" xfId="40505" xr:uid="{00000000-0005-0000-0000-000010BE0000}"/>
    <cellStyle name="Output 2 10 2 11" xfId="53290" xr:uid="{00000000-0005-0000-0000-000011BE0000}"/>
    <cellStyle name="Output 2 10 2 2" xfId="10733" xr:uid="{00000000-0005-0000-0000-000012BE0000}"/>
    <cellStyle name="Output 2 10 2 2 2" xfId="18526" xr:uid="{00000000-0005-0000-0000-000013BE0000}"/>
    <cellStyle name="Output 2 10 2 2 2 2" xfId="44073" xr:uid="{00000000-0005-0000-0000-000014BE0000}"/>
    <cellStyle name="Output 2 10 2 2 2 3" xfId="47982" xr:uid="{00000000-0005-0000-0000-000015BE0000}"/>
    <cellStyle name="Output 2 10 2 2 2 4" xfId="36163" xr:uid="{00000000-0005-0000-0000-000016BE0000}"/>
    <cellStyle name="Output 2 10 2 2 3" xfId="19120" xr:uid="{00000000-0005-0000-0000-000017BE0000}"/>
    <cellStyle name="Output 2 10 2 2 3 2" xfId="44657" xr:uid="{00000000-0005-0000-0000-000018BE0000}"/>
    <cellStyle name="Output 2 10 2 2 3 3" xfId="48563" xr:uid="{00000000-0005-0000-0000-000019BE0000}"/>
    <cellStyle name="Output 2 10 2 2 3 4" xfId="36715" xr:uid="{00000000-0005-0000-0000-00001ABE0000}"/>
    <cellStyle name="Output 2 10 2 2 4" xfId="19559" xr:uid="{00000000-0005-0000-0000-00001BBE0000}"/>
    <cellStyle name="Output 2 10 2 2 4 2" xfId="45096" xr:uid="{00000000-0005-0000-0000-00001CBE0000}"/>
    <cellStyle name="Output 2 10 2 2 4 3" xfId="49002" xr:uid="{00000000-0005-0000-0000-00001DBE0000}"/>
    <cellStyle name="Output 2 10 2 2 4 4" xfId="37100" xr:uid="{00000000-0005-0000-0000-00001EBE0000}"/>
    <cellStyle name="Output 2 10 2 2 5" xfId="20939" xr:uid="{00000000-0005-0000-0000-00001FBE0000}"/>
    <cellStyle name="Output 2 10 2 2 5 2" xfId="46476" xr:uid="{00000000-0005-0000-0000-000020BE0000}"/>
    <cellStyle name="Output 2 10 2 2 5 3" xfId="50382" xr:uid="{00000000-0005-0000-0000-000021BE0000}"/>
    <cellStyle name="Output 2 10 2 2 5 4" xfId="38345" xr:uid="{00000000-0005-0000-0000-000022BE0000}"/>
    <cellStyle name="Output 2 10 2 2 6" xfId="21592" xr:uid="{00000000-0005-0000-0000-000023BE0000}"/>
    <cellStyle name="Output 2 10 2 2 6 2" xfId="47129" xr:uid="{00000000-0005-0000-0000-000024BE0000}"/>
    <cellStyle name="Output 2 10 2 2 6 3" xfId="51035" xr:uid="{00000000-0005-0000-0000-000025BE0000}"/>
    <cellStyle name="Output 2 10 2 2 7" xfId="40932" xr:uid="{00000000-0005-0000-0000-000026BE0000}"/>
    <cellStyle name="Output 2 10 2 2 8" xfId="40095" xr:uid="{00000000-0005-0000-0000-000027BE0000}"/>
    <cellStyle name="Output 2 10 2 2 9" xfId="53396" xr:uid="{00000000-0005-0000-0000-000028BE0000}"/>
    <cellStyle name="Output 2 10 2 3" xfId="11028" xr:uid="{00000000-0005-0000-0000-000029BE0000}"/>
    <cellStyle name="Output 2 10 2 3 2" xfId="18821" xr:uid="{00000000-0005-0000-0000-00002ABE0000}"/>
    <cellStyle name="Output 2 10 2 3 2 2" xfId="44368" xr:uid="{00000000-0005-0000-0000-00002BBE0000}"/>
    <cellStyle name="Output 2 10 2 3 2 3" xfId="48277" xr:uid="{00000000-0005-0000-0000-00002CBE0000}"/>
    <cellStyle name="Output 2 10 2 3 2 4" xfId="36458" xr:uid="{00000000-0005-0000-0000-00002DBE0000}"/>
    <cellStyle name="Output 2 10 2 3 3" xfId="20414" xr:uid="{00000000-0005-0000-0000-00002EBE0000}"/>
    <cellStyle name="Output 2 10 2 3 3 2" xfId="45951" xr:uid="{00000000-0005-0000-0000-00002FBE0000}"/>
    <cellStyle name="Output 2 10 2 3 3 3" xfId="49857" xr:uid="{00000000-0005-0000-0000-000030BE0000}"/>
    <cellStyle name="Output 2 10 2 3 3 4" xfId="37868" xr:uid="{00000000-0005-0000-0000-000031BE0000}"/>
    <cellStyle name="Output 2 10 2 3 4" xfId="20558" xr:uid="{00000000-0005-0000-0000-000032BE0000}"/>
    <cellStyle name="Output 2 10 2 3 4 2" xfId="46095" xr:uid="{00000000-0005-0000-0000-000033BE0000}"/>
    <cellStyle name="Output 2 10 2 3 4 3" xfId="50001" xr:uid="{00000000-0005-0000-0000-000034BE0000}"/>
    <cellStyle name="Output 2 10 2 3 4 4" xfId="37985" xr:uid="{00000000-0005-0000-0000-000035BE0000}"/>
    <cellStyle name="Output 2 10 2 3 5" xfId="21234" xr:uid="{00000000-0005-0000-0000-000036BE0000}"/>
    <cellStyle name="Output 2 10 2 3 5 2" xfId="46771" xr:uid="{00000000-0005-0000-0000-000037BE0000}"/>
    <cellStyle name="Output 2 10 2 3 5 3" xfId="50677" xr:uid="{00000000-0005-0000-0000-000038BE0000}"/>
    <cellStyle name="Output 2 10 2 3 5 4" xfId="38640" xr:uid="{00000000-0005-0000-0000-000039BE0000}"/>
    <cellStyle name="Output 2 10 2 3 6" xfId="21887" xr:uid="{00000000-0005-0000-0000-00003ABE0000}"/>
    <cellStyle name="Output 2 10 2 3 6 2" xfId="47424" xr:uid="{00000000-0005-0000-0000-00003BBE0000}"/>
    <cellStyle name="Output 2 10 2 3 6 3" xfId="51330" xr:uid="{00000000-0005-0000-0000-00003CBE0000}"/>
    <cellStyle name="Output 2 10 2 3 7" xfId="41227" xr:uid="{00000000-0005-0000-0000-00003DBE0000}"/>
    <cellStyle name="Output 2 10 2 3 8" xfId="39368" xr:uid="{00000000-0005-0000-0000-00003EBE0000}"/>
    <cellStyle name="Output 2 10 2 4" xfId="15248" xr:uid="{00000000-0005-0000-0000-00003FBE0000}"/>
    <cellStyle name="Output 2 10 2 4 2" xfId="43121" xr:uid="{00000000-0005-0000-0000-000040BE0000}"/>
    <cellStyle name="Output 2 10 2 4 3" xfId="42667" xr:uid="{00000000-0005-0000-0000-000041BE0000}"/>
    <cellStyle name="Output 2 10 2 4 4" xfId="32883" xr:uid="{00000000-0005-0000-0000-000042BE0000}"/>
    <cellStyle name="Output 2 10 2 5" xfId="19194" xr:uid="{00000000-0005-0000-0000-000043BE0000}"/>
    <cellStyle name="Output 2 10 2 5 2" xfId="44731" xr:uid="{00000000-0005-0000-0000-000044BE0000}"/>
    <cellStyle name="Output 2 10 2 5 3" xfId="48637" xr:uid="{00000000-0005-0000-0000-000045BE0000}"/>
    <cellStyle name="Output 2 10 2 5 4" xfId="36781" xr:uid="{00000000-0005-0000-0000-000046BE0000}"/>
    <cellStyle name="Output 2 10 2 6" xfId="12059" xr:uid="{00000000-0005-0000-0000-000047BE0000}"/>
    <cellStyle name="Output 2 10 2 6 2" xfId="41813" xr:uid="{00000000-0005-0000-0000-000048BE0000}"/>
    <cellStyle name="Output 2 10 2 6 3" xfId="40144" xr:uid="{00000000-0005-0000-0000-000049BE0000}"/>
    <cellStyle name="Output 2 10 2 6 4" xfId="29738" xr:uid="{00000000-0005-0000-0000-00004ABE0000}"/>
    <cellStyle name="Output 2 10 2 7" xfId="18896" xr:uid="{00000000-0005-0000-0000-00004BBE0000}"/>
    <cellStyle name="Output 2 10 2 7 2" xfId="44433" xr:uid="{00000000-0005-0000-0000-00004CBE0000}"/>
    <cellStyle name="Output 2 10 2 7 3" xfId="48339" xr:uid="{00000000-0005-0000-0000-00004DBE0000}"/>
    <cellStyle name="Output 2 10 2 7 4" xfId="36532" xr:uid="{00000000-0005-0000-0000-00004EBE0000}"/>
    <cellStyle name="Output 2 10 2 8" xfId="18921" xr:uid="{00000000-0005-0000-0000-00004FBE0000}"/>
    <cellStyle name="Output 2 10 2 8 2" xfId="44458" xr:uid="{00000000-0005-0000-0000-000050BE0000}"/>
    <cellStyle name="Output 2 10 2 8 3" xfId="48364" xr:uid="{00000000-0005-0000-0000-000051BE0000}"/>
    <cellStyle name="Output 2 10 2 9" xfId="39981" xr:uid="{00000000-0005-0000-0000-000052BE0000}"/>
    <cellStyle name="Output 2 10 3" xfId="12098" xr:uid="{00000000-0005-0000-0000-000053BE0000}"/>
    <cellStyle name="Output 2 10 3 2" xfId="41843" xr:uid="{00000000-0005-0000-0000-000054BE0000}"/>
    <cellStyle name="Output 2 10 3 3" xfId="39134" xr:uid="{00000000-0005-0000-0000-000055BE0000}"/>
    <cellStyle name="Output 2 10 3 4" xfId="29771" xr:uid="{00000000-0005-0000-0000-000056BE0000}"/>
    <cellStyle name="Output 2 10 3 5" xfId="53395" xr:uid="{00000000-0005-0000-0000-000057BE0000}"/>
    <cellStyle name="Output 2 10 4" xfId="19214" xr:uid="{00000000-0005-0000-0000-000058BE0000}"/>
    <cellStyle name="Output 2 10 4 2" xfId="44751" xr:uid="{00000000-0005-0000-0000-000059BE0000}"/>
    <cellStyle name="Output 2 10 4 3" xfId="48657" xr:uid="{00000000-0005-0000-0000-00005ABE0000}"/>
    <cellStyle name="Output 2 10 4 4" xfId="36799" xr:uid="{00000000-0005-0000-0000-00005BBE0000}"/>
    <cellStyle name="Output 2 10 5" xfId="53289" xr:uid="{00000000-0005-0000-0000-00005CBE0000}"/>
    <cellStyle name="Output 2 11" xfId="3247" xr:uid="{00000000-0005-0000-0000-00005DBE0000}"/>
    <cellStyle name="Output 2 11 2" xfId="7461" xr:uid="{00000000-0005-0000-0000-00005EBE0000}"/>
    <cellStyle name="Output 2 11 2 10" xfId="39615" xr:uid="{00000000-0005-0000-0000-00005FBE0000}"/>
    <cellStyle name="Output 2 11 2 11" xfId="53292" xr:uid="{00000000-0005-0000-0000-000060BE0000}"/>
    <cellStyle name="Output 2 11 2 2" xfId="10734" xr:uid="{00000000-0005-0000-0000-000061BE0000}"/>
    <cellStyle name="Output 2 11 2 2 2" xfId="18527" xr:uid="{00000000-0005-0000-0000-000062BE0000}"/>
    <cellStyle name="Output 2 11 2 2 2 2" xfId="44074" xr:uid="{00000000-0005-0000-0000-000063BE0000}"/>
    <cellStyle name="Output 2 11 2 2 2 3" xfId="47983" xr:uid="{00000000-0005-0000-0000-000064BE0000}"/>
    <cellStyle name="Output 2 11 2 2 2 4" xfId="36164" xr:uid="{00000000-0005-0000-0000-000065BE0000}"/>
    <cellStyle name="Output 2 11 2 2 3" xfId="12631" xr:uid="{00000000-0005-0000-0000-000066BE0000}"/>
    <cellStyle name="Output 2 11 2 2 3 2" xfId="42110" xr:uid="{00000000-0005-0000-0000-000067BE0000}"/>
    <cellStyle name="Output 2 11 2 2 3 3" xfId="39662" xr:uid="{00000000-0005-0000-0000-000068BE0000}"/>
    <cellStyle name="Output 2 11 2 2 3 4" xfId="30296" xr:uid="{00000000-0005-0000-0000-000069BE0000}"/>
    <cellStyle name="Output 2 11 2 2 4" xfId="19850" xr:uid="{00000000-0005-0000-0000-00006ABE0000}"/>
    <cellStyle name="Output 2 11 2 2 4 2" xfId="45387" xr:uid="{00000000-0005-0000-0000-00006BBE0000}"/>
    <cellStyle name="Output 2 11 2 2 4 3" xfId="49293" xr:uid="{00000000-0005-0000-0000-00006CBE0000}"/>
    <cellStyle name="Output 2 11 2 2 4 4" xfId="37366" xr:uid="{00000000-0005-0000-0000-00006DBE0000}"/>
    <cellStyle name="Output 2 11 2 2 5" xfId="20940" xr:uid="{00000000-0005-0000-0000-00006EBE0000}"/>
    <cellStyle name="Output 2 11 2 2 5 2" xfId="46477" xr:uid="{00000000-0005-0000-0000-00006FBE0000}"/>
    <cellStyle name="Output 2 11 2 2 5 3" xfId="50383" xr:uid="{00000000-0005-0000-0000-000070BE0000}"/>
    <cellStyle name="Output 2 11 2 2 5 4" xfId="38346" xr:uid="{00000000-0005-0000-0000-000071BE0000}"/>
    <cellStyle name="Output 2 11 2 2 6" xfId="21593" xr:uid="{00000000-0005-0000-0000-000072BE0000}"/>
    <cellStyle name="Output 2 11 2 2 6 2" xfId="47130" xr:uid="{00000000-0005-0000-0000-000073BE0000}"/>
    <cellStyle name="Output 2 11 2 2 6 3" xfId="51036" xr:uid="{00000000-0005-0000-0000-000074BE0000}"/>
    <cellStyle name="Output 2 11 2 2 7" xfId="40933" xr:uid="{00000000-0005-0000-0000-000075BE0000}"/>
    <cellStyle name="Output 2 11 2 2 8" xfId="42843" xr:uid="{00000000-0005-0000-0000-000076BE0000}"/>
    <cellStyle name="Output 2 11 2 2 9" xfId="53398" xr:uid="{00000000-0005-0000-0000-000077BE0000}"/>
    <cellStyle name="Output 2 11 2 3" xfId="11029" xr:uid="{00000000-0005-0000-0000-000078BE0000}"/>
    <cellStyle name="Output 2 11 2 3 2" xfId="18822" xr:uid="{00000000-0005-0000-0000-000079BE0000}"/>
    <cellStyle name="Output 2 11 2 3 2 2" xfId="44369" xr:uid="{00000000-0005-0000-0000-00007ABE0000}"/>
    <cellStyle name="Output 2 11 2 3 2 3" xfId="48278" xr:uid="{00000000-0005-0000-0000-00007BBE0000}"/>
    <cellStyle name="Output 2 11 2 3 2 4" xfId="36459" xr:uid="{00000000-0005-0000-0000-00007CBE0000}"/>
    <cellStyle name="Output 2 11 2 3 3" xfId="20415" xr:uid="{00000000-0005-0000-0000-00007DBE0000}"/>
    <cellStyle name="Output 2 11 2 3 3 2" xfId="45952" xr:uid="{00000000-0005-0000-0000-00007EBE0000}"/>
    <cellStyle name="Output 2 11 2 3 3 3" xfId="49858" xr:uid="{00000000-0005-0000-0000-00007FBE0000}"/>
    <cellStyle name="Output 2 11 2 3 3 4" xfId="37869" xr:uid="{00000000-0005-0000-0000-000080BE0000}"/>
    <cellStyle name="Output 2 11 2 3 4" xfId="20559" xr:uid="{00000000-0005-0000-0000-000081BE0000}"/>
    <cellStyle name="Output 2 11 2 3 4 2" xfId="46096" xr:uid="{00000000-0005-0000-0000-000082BE0000}"/>
    <cellStyle name="Output 2 11 2 3 4 3" xfId="50002" xr:uid="{00000000-0005-0000-0000-000083BE0000}"/>
    <cellStyle name="Output 2 11 2 3 4 4" xfId="37986" xr:uid="{00000000-0005-0000-0000-000084BE0000}"/>
    <cellStyle name="Output 2 11 2 3 5" xfId="21235" xr:uid="{00000000-0005-0000-0000-000085BE0000}"/>
    <cellStyle name="Output 2 11 2 3 5 2" xfId="46772" xr:uid="{00000000-0005-0000-0000-000086BE0000}"/>
    <cellStyle name="Output 2 11 2 3 5 3" xfId="50678" xr:uid="{00000000-0005-0000-0000-000087BE0000}"/>
    <cellStyle name="Output 2 11 2 3 5 4" xfId="38641" xr:uid="{00000000-0005-0000-0000-000088BE0000}"/>
    <cellStyle name="Output 2 11 2 3 6" xfId="21888" xr:uid="{00000000-0005-0000-0000-000089BE0000}"/>
    <cellStyle name="Output 2 11 2 3 6 2" xfId="47425" xr:uid="{00000000-0005-0000-0000-00008ABE0000}"/>
    <cellStyle name="Output 2 11 2 3 6 3" xfId="51331" xr:uid="{00000000-0005-0000-0000-00008BBE0000}"/>
    <cellStyle name="Output 2 11 2 3 7" xfId="41228" xr:uid="{00000000-0005-0000-0000-00008CBE0000}"/>
    <cellStyle name="Output 2 11 2 3 8" xfId="41422" xr:uid="{00000000-0005-0000-0000-00008DBE0000}"/>
    <cellStyle name="Output 2 11 2 4" xfId="15249" xr:uid="{00000000-0005-0000-0000-00008EBE0000}"/>
    <cellStyle name="Output 2 11 2 4 2" xfId="43122" xr:uid="{00000000-0005-0000-0000-00008FBE0000}"/>
    <cellStyle name="Output 2 11 2 4 3" xfId="43555" xr:uid="{00000000-0005-0000-0000-000090BE0000}"/>
    <cellStyle name="Output 2 11 2 4 4" xfId="32884" xr:uid="{00000000-0005-0000-0000-000091BE0000}"/>
    <cellStyle name="Output 2 11 2 5" xfId="19818" xr:uid="{00000000-0005-0000-0000-000092BE0000}"/>
    <cellStyle name="Output 2 11 2 5 2" xfId="45355" xr:uid="{00000000-0005-0000-0000-000093BE0000}"/>
    <cellStyle name="Output 2 11 2 5 3" xfId="49261" xr:uid="{00000000-0005-0000-0000-000094BE0000}"/>
    <cellStyle name="Output 2 11 2 5 4" xfId="37339" xr:uid="{00000000-0005-0000-0000-000095BE0000}"/>
    <cellStyle name="Output 2 11 2 6" xfId="20285" xr:uid="{00000000-0005-0000-0000-000096BE0000}"/>
    <cellStyle name="Output 2 11 2 6 2" xfId="45822" xr:uid="{00000000-0005-0000-0000-000097BE0000}"/>
    <cellStyle name="Output 2 11 2 6 3" xfId="49728" xr:uid="{00000000-0005-0000-0000-000098BE0000}"/>
    <cellStyle name="Output 2 11 2 6 4" xfId="37753" xr:uid="{00000000-0005-0000-0000-000099BE0000}"/>
    <cellStyle name="Output 2 11 2 7" xfId="19693" xr:uid="{00000000-0005-0000-0000-00009ABE0000}"/>
    <cellStyle name="Output 2 11 2 7 2" xfId="45230" xr:uid="{00000000-0005-0000-0000-00009BBE0000}"/>
    <cellStyle name="Output 2 11 2 7 3" xfId="49136" xr:uid="{00000000-0005-0000-0000-00009CBE0000}"/>
    <cellStyle name="Output 2 11 2 7 4" xfId="37224" xr:uid="{00000000-0005-0000-0000-00009DBE0000}"/>
    <cellStyle name="Output 2 11 2 8" xfId="19006" xr:uid="{00000000-0005-0000-0000-00009EBE0000}"/>
    <cellStyle name="Output 2 11 2 8 2" xfId="44543" xr:uid="{00000000-0005-0000-0000-00009FBE0000}"/>
    <cellStyle name="Output 2 11 2 8 3" xfId="48449" xr:uid="{00000000-0005-0000-0000-0000A0BE0000}"/>
    <cellStyle name="Output 2 11 2 9" xfId="39982" xr:uid="{00000000-0005-0000-0000-0000A1BE0000}"/>
    <cellStyle name="Output 2 11 3" xfId="12099" xr:uid="{00000000-0005-0000-0000-0000A2BE0000}"/>
    <cellStyle name="Output 2 11 3 2" xfId="41844" xr:uid="{00000000-0005-0000-0000-0000A3BE0000}"/>
    <cellStyle name="Output 2 11 3 3" xfId="39133" xr:uid="{00000000-0005-0000-0000-0000A4BE0000}"/>
    <cellStyle name="Output 2 11 3 4" xfId="29772" xr:uid="{00000000-0005-0000-0000-0000A5BE0000}"/>
    <cellStyle name="Output 2 11 3 5" xfId="53397" xr:uid="{00000000-0005-0000-0000-0000A6BE0000}"/>
    <cellStyle name="Output 2 11 4" xfId="19844" xr:uid="{00000000-0005-0000-0000-0000A7BE0000}"/>
    <cellStyle name="Output 2 11 4 2" xfId="45381" xr:uid="{00000000-0005-0000-0000-0000A8BE0000}"/>
    <cellStyle name="Output 2 11 4 3" xfId="49287" xr:uid="{00000000-0005-0000-0000-0000A9BE0000}"/>
    <cellStyle name="Output 2 11 4 4" xfId="37361" xr:uid="{00000000-0005-0000-0000-0000AABE0000}"/>
    <cellStyle name="Output 2 11 5" xfId="53291" xr:uid="{00000000-0005-0000-0000-0000ABBE0000}"/>
    <cellStyle name="Output 2 12" xfId="3248" xr:uid="{00000000-0005-0000-0000-0000ACBE0000}"/>
    <cellStyle name="Output 2 12 2" xfId="7462" xr:uid="{00000000-0005-0000-0000-0000ADBE0000}"/>
    <cellStyle name="Output 2 12 2 10" xfId="47551" xr:uid="{00000000-0005-0000-0000-0000AEBE0000}"/>
    <cellStyle name="Output 2 12 2 11" xfId="53294" xr:uid="{00000000-0005-0000-0000-0000AFBE0000}"/>
    <cellStyle name="Output 2 12 2 2" xfId="10735" xr:uid="{00000000-0005-0000-0000-0000B0BE0000}"/>
    <cellStyle name="Output 2 12 2 2 2" xfId="18528" xr:uid="{00000000-0005-0000-0000-0000B1BE0000}"/>
    <cellStyle name="Output 2 12 2 2 2 2" xfId="44075" xr:uid="{00000000-0005-0000-0000-0000B2BE0000}"/>
    <cellStyle name="Output 2 12 2 2 2 3" xfId="47984" xr:uid="{00000000-0005-0000-0000-0000B3BE0000}"/>
    <cellStyle name="Output 2 12 2 2 2 4" xfId="36165" xr:uid="{00000000-0005-0000-0000-0000B4BE0000}"/>
    <cellStyle name="Output 2 12 2 2 3" xfId="19602" xr:uid="{00000000-0005-0000-0000-0000B5BE0000}"/>
    <cellStyle name="Output 2 12 2 2 3 2" xfId="45139" xr:uid="{00000000-0005-0000-0000-0000B6BE0000}"/>
    <cellStyle name="Output 2 12 2 2 3 3" xfId="49045" xr:uid="{00000000-0005-0000-0000-0000B7BE0000}"/>
    <cellStyle name="Output 2 12 2 2 3 4" xfId="37142" xr:uid="{00000000-0005-0000-0000-0000B8BE0000}"/>
    <cellStyle name="Output 2 12 2 2 4" xfId="19162" xr:uid="{00000000-0005-0000-0000-0000B9BE0000}"/>
    <cellStyle name="Output 2 12 2 2 4 2" xfId="44699" xr:uid="{00000000-0005-0000-0000-0000BABE0000}"/>
    <cellStyle name="Output 2 12 2 2 4 3" xfId="48605" xr:uid="{00000000-0005-0000-0000-0000BBBE0000}"/>
    <cellStyle name="Output 2 12 2 2 4 4" xfId="36754" xr:uid="{00000000-0005-0000-0000-0000BCBE0000}"/>
    <cellStyle name="Output 2 12 2 2 5" xfId="20941" xr:uid="{00000000-0005-0000-0000-0000BDBE0000}"/>
    <cellStyle name="Output 2 12 2 2 5 2" xfId="46478" xr:uid="{00000000-0005-0000-0000-0000BEBE0000}"/>
    <cellStyle name="Output 2 12 2 2 5 3" xfId="50384" xr:uid="{00000000-0005-0000-0000-0000BFBE0000}"/>
    <cellStyle name="Output 2 12 2 2 5 4" xfId="38347" xr:uid="{00000000-0005-0000-0000-0000C0BE0000}"/>
    <cellStyle name="Output 2 12 2 2 6" xfId="21594" xr:uid="{00000000-0005-0000-0000-0000C1BE0000}"/>
    <cellStyle name="Output 2 12 2 2 6 2" xfId="47131" xr:uid="{00000000-0005-0000-0000-0000C2BE0000}"/>
    <cellStyle name="Output 2 12 2 2 6 3" xfId="51037" xr:uid="{00000000-0005-0000-0000-0000C3BE0000}"/>
    <cellStyle name="Output 2 12 2 2 7" xfId="40934" xr:uid="{00000000-0005-0000-0000-0000C4BE0000}"/>
    <cellStyle name="Output 2 12 2 2 8" xfId="43732" xr:uid="{00000000-0005-0000-0000-0000C5BE0000}"/>
    <cellStyle name="Output 2 12 2 2 9" xfId="53400" xr:uid="{00000000-0005-0000-0000-0000C6BE0000}"/>
    <cellStyle name="Output 2 12 2 3" xfId="11030" xr:uid="{00000000-0005-0000-0000-0000C7BE0000}"/>
    <cellStyle name="Output 2 12 2 3 2" xfId="18823" xr:uid="{00000000-0005-0000-0000-0000C8BE0000}"/>
    <cellStyle name="Output 2 12 2 3 2 2" xfId="44370" xr:uid="{00000000-0005-0000-0000-0000C9BE0000}"/>
    <cellStyle name="Output 2 12 2 3 2 3" xfId="48279" xr:uid="{00000000-0005-0000-0000-0000CABE0000}"/>
    <cellStyle name="Output 2 12 2 3 2 4" xfId="36460" xr:uid="{00000000-0005-0000-0000-0000CBBE0000}"/>
    <cellStyle name="Output 2 12 2 3 3" xfId="20416" xr:uid="{00000000-0005-0000-0000-0000CCBE0000}"/>
    <cellStyle name="Output 2 12 2 3 3 2" xfId="45953" xr:uid="{00000000-0005-0000-0000-0000CDBE0000}"/>
    <cellStyle name="Output 2 12 2 3 3 3" xfId="49859" xr:uid="{00000000-0005-0000-0000-0000CEBE0000}"/>
    <cellStyle name="Output 2 12 2 3 3 4" xfId="37870" xr:uid="{00000000-0005-0000-0000-0000CFBE0000}"/>
    <cellStyle name="Output 2 12 2 3 4" xfId="20560" xr:uid="{00000000-0005-0000-0000-0000D0BE0000}"/>
    <cellStyle name="Output 2 12 2 3 4 2" xfId="46097" xr:uid="{00000000-0005-0000-0000-0000D1BE0000}"/>
    <cellStyle name="Output 2 12 2 3 4 3" xfId="50003" xr:uid="{00000000-0005-0000-0000-0000D2BE0000}"/>
    <cellStyle name="Output 2 12 2 3 4 4" xfId="37987" xr:uid="{00000000-0005-0000-0000-0000D3BE0000}"/>
    <cellStyle name="Output 2 12 2 3 5" xfId="21236" xr:uid="{00000000-0005-0000-0000-0000D4BE0000}"/>
    <cellStyle name="Output 2 12 2 3 5 2" xfId="46773" xr:uid="{00000000-0005-0000-0000-0000D5BE0000}"/>
    <cellStyle name="Output 2 12 2 3 5 3" xfId="50679" xr:uid="{00000000-0005-0000-0000-0000D6BE0000}"/>
    <cellStyle name="Output 2 12 2 3 5 4" xfId="38642" xr:uid="{00000000-0005-0000-0000-0000D7BE0000}"/>
    <cellStyle name="Output 2 12 2 3 6" xfId="21889" xr:uid="{00000000-0005-0000-0000-0000D8BE0000}"/>
    <cellStyle name="Output 2 12 2 3 6 2" xfId="47426" xr:uid="{00000000-0005-0000-0000-0000D9BE0000}"/>
    <cellStyle name="Output 2 12 2 3 6 3" xfId="51332" xr:uid="{00000000-0005-0000-0000-0000DABE0000}"/>
    <cellStyle name="Output 2 12 2 3 7" xfId="41229" xr:uid="{00000000-0005-0000-0000-0000DBBE0000}"/>
    <cellStyle name="Output 2 12 2 3 8" xfId="43225" xr:uid="{00000000-0005-0000-0000-0000DCBE0000}"/>
    <cellStyle name="Output 2 12 2 4" xfId="15250" xr:uid="{00000000-0005-0000-0000-0000DDBE0000}"/>
    <cellStyle name="Output 2 12 2 4 2" xfId="43123" xr:uid="{00000000-0005-0000-0000-0000DEBE0000}"/>
    <cellStyle name="Output 2 12 2 4 3" xfId="40417" xr:uid="{00000000-0005-0000-0000-0000DFBE0000}"/>
    <cellStyle name="Output 2 12 2 4 4" xfId="32885" xr:uid="{00000000-0005-0000-0000-0000E0BE0000}"/>
    <cellStyle name="Output 2 12 2 5" xfId="11367" xr:uid="{00000000-0005-0000-0000-0000E1BE0000}"/>
    <cellStyle name="Output 2 12 2 5 2" xfId="41403" xr:uid="{00000000-0005-0000-0000-0000E2BE0000}"/>
    <cellStyle name="Output 2 12 2 5 3" xfId="42720" xr:uid="{00000000-0005-0000-0000-0000E3BE0000}"/>
    <cellStyle name="Output 2 12 2 5 4" xfId="29090" xr:uid="{00000000-0005-0000-0000-0000E4BE0000}"/>
    <cellStyle name="Output 2 12 2 6" xfId="18910" xr:uid="{00000000-0005-0000-0000-0000E5BE0000}"/>
    <cellStyle name="Output 2 12 2 6 2" xfId="44447" xr:uid="{00000000-0005-0000-0000-0000E6BE0000}"/>
    <cellStyle name="Output 2 12 2 6 3" xfId="48353" xr:uid="{00000000-0005-0000-0000-0000E7BE0000}"/>
    <cellStyle name="Output 2 12 2 6 4" xfId="36542" xr:uid="{00000000-0005-0000-0000-0000E8BE0000}"/>
    <cellStyle name="Output 2 12 2 7" xfId="19467" xr:uid="{00000000-0005-0000-0000-0000E9BE0000}"/>
    <cellStyle name="Output 2 12 2 7 2" xfId="45004" xr:uid="{00000000-0005-0000-0000-0000EABE0000}"/>
    <cellStyle name="Output 2 12 2 7 3" xfId="48910" xr:uid="{00000000-0005-0000-0000-0000EBBE0000}"/>
    <cellStyle name="Output 2 12 2 7 4" xfId="37025" xr:uid="{00000000-0005-0000-0000-0000ECBE0000}"/>
    <cellStyle name="Output 2 12 2 8" xfId="20342" xr:uid="{00000000-0005-0000-0000-0000EDBE0000}"/>
    <cellStyle name="Output 2 12 2 8 2" xfId="45879" xr:uid="{00000000-0005-0000-0000-0000EEBE0000}"/>
    <cellStyle name="Output 2 12 2 8 3" xfId="49785" xr:uid="{00000000-0005-0000-0000-0000EFBE0000}"/>
    <cellStyle name="Output 2 12 2 9" xfId="39983" xr:uid="{00000000-0005-0000-0000-0000F0BE0000}"/>
    <cellStyle name="Output 2 12 3" xfId="12100" xr:uid="{00000000-0005-0000-0000-0000F1BE0000}"/>
    <cellStyle name="Output 2 12 3 2" xfId="41845" xr:uid="{00000000-0005-0000-0000-0000F2BE0000}"/>
    <cellStyle name="Output 2 12 3 3" xfId="39132" xr:uid="{00000000-0005-0000-0000-0000F3BE0000}"/>
    <cellStyle name="Output 2 12 3 4" xfId="29773" xr:uid="{00000000-0005-0000-0000-0000F4BE0000}"/>
    <cellStyle name="Output 2 12 3 5" xfId="53399" xr:uid="{00000000-0005-0000-0000-0000F5BE0000}"/>
    <cellStyle name="Output 2 12 4" xfId="18975" xr:uid="{00000000-0005-0000-0000-0000F6BE0000}"/>
    <cellStyle name="Output 2 12 4 2" xfId="44512" xr:uid="{00000000-0005-0000-0000-0000F7BE0000}"/>
    <cellStyle name="Output 2 12 4 3" xfId="48418" xr:uid="{00000000-0005-0000-0000-0000F8BE0000}"/>
    <cellStyle name="Output 2 12 4 4" xfId="36600" xr:uid="{00000000-0005-0000-0000-0000F9BE0000}"/>
    <cellStyle name="Output 2 12 5" xfId="53293" xr:uid="{00000000-0005-0000-0000-0000FABE0000}"/>
    <cellStyle name="Output 2 13" xfId="3249" xr:uid="{00000000-0005-0000-0000-0000FBBE0000}"/>
    <cellStyle name="Output 2 13 2" xfId="7463" xr:uid="{00000000-0005-0000-0000-0000FCBE0000}"/>
    <cellStyle name="Output 2 13 2 10" xfId="42623" xr:uid="{00000000-0005-0000-0000-0000FDBE0000}"/>
    <cellStyle name="Output 2 13 2 11" xfId="53296" xr:uid="{00000000-0005-0000-0000-0000FEBE0000}"/>
    <cellStyle name="Output 2 13 2 2" xfId="10736" xr:uid="{00000000-0005-0000-0000-0000FFBE0000}"/>
    <cellStyle name="Output 2 13 2 2 2" xfId="18529" xr:uid="{00000000-0005-0000-0000-000000BF0000}"/>
    <cellStyle name="Output 2 13 2 2 2 2" xfId="44076" xr:uid="{00000000-0005-0000-0000-000001BF0000}"/>
    <cellStyle name="Output 2 13 2 2 2 3" xfId="47985" xr:uid="{00000000-0005-0000-0000-000002BF0000}"/>
    <cellStyle name="Output 2 13 2 2 2 4" xfId="36166" xr:uid="{00000000-0005-0000-0000-000003BF0000}"/>
    <cellStyle name="Output 2 13 2 2 3" xfId="20155" xr:uid="{00000000-0005-0000-0000-000004BF0000}"/>
    <cellStyle name="Output 2 13 2 2 3 2" xfId="45692" xr:uid="{00000000-0005-0000-0000-000005BF0000}"/>
    <cellStyle name="Output 2 13 2 2 3 3" xfId="49598" xr:uid="{00000000-0005-0000-0000-000006BF0000}"/>
    <cellStyle name="Output 2 13 2 2 3 4" xfId="37641" xr:uid="{00000000-0005-0000-0000-000007BF0000}"/>
    <cellStyle name="Output 2 13 2 2 4" xfId="19083" xr:uid="{00000000-0005-0000-0000-000008BF0000}"/>
    <cellStyle name="Output 2 13 2 2 4 2" xfId="44620" xr:uid="{00000000-0005-0000-0000-000009BF0000}"/>
    <cellStyle name="Output 2 13 2 2 4 3" xfId="48526" xr:uid="{00000000-0005-0000-0000-00000ABF0000}"/>
    <cellStyle name="Output 2 13 2 2 4 4" xfId="36679" xr:uid="{00000000-0005-0000-0000-00000BBF0000}"/>
    <cellStyle name="Output 2 13 2 2 5" xfId="20942" xr:uid="{00000000-0005-0000-0000-00000CBF0000}"/>
    <cellStyle name="Output 2 13 2 2 5 2" xfId="46479" xr:uid="{00000000-0005-0000-0000-00000DBF0000}"/>
    <cellStyle name="Output 2 13 2 2 5 3" xfId="50385" xr:uid="{00000000-0005-0000-0000-00000EBF0000}"/>
    <cellStyle name="Output 2 13 2 2 5 4" xfId="38348" xr:uid="{00000000-0005-0000-0000-00000FBF0000}"/>
    <cellStyle name="Output 2 13 2 2 6" xfId="21595" xr:uid="{00000000-0005-0000-0000-000010BF0000}"/>
    <cellStyle name="Output 2 13 2 2 6 2" xfId="47132" xr:uid="{00000000-0005-0000-0000-000011BF0000}"/>
    <cellStyle name="Output 2 13 2 2 6 3" xfId="51038" xr:uid="{00000000-0005-0000-0000-000012BF0000}"/>
    <cellStyle name="Output 2 13 2 2 7" xfId="40935" xr:uid="{00000000-0005-0000-0000-000013BF0000}"/>
    <cellStyle name="Output 2 13 2 2 8" xfId="40591" xr:uid="{00000000-0005-0000-0000-000014BF0000}"/>
    <cellStyle name="Output 2 13 2 2 9" xfId="53402" xr:uid="{00000000-0005-0000-0000-000015BF0000}"/>
    <cellStyle name="Output 2 13 2 3" xfId="11031" xr:uid="{00000000-0005-0000-0000-000016BF0000}"/>
    <cellStyle name="Output 2 13 2 3 2" xfId="18824" xr:uid="{00000000-0005-0000-0000-000017BF0000}"/>
    <cellStyle name="Output 2 13 2 3 2 2" xfId="44371" xr:uid="{00000000-0005-0000-0000-000018BF0000}"/>
    <cellStyle name="Output 2 13 2 3 2 3" xfId="48280" xr:uid="{00000000-0005-0000-0000-000019BF0000}"/>
    <cellStyle name="Output 2 13 2 3 2 4" xfId="36461" xr:uid="{00000000-0005-0000-0000-00001ABF0000}"/>
    <cellStyle name="Output 2 13 2 3 3" xfId="20417" xr:uid="{00000000-0005-0000-0000-00001BBF0000}"/>
    <cellStyle name="Output 2 13 2 3 3 2" xfId="45954" xr:uid="{00000000-0005-0000-0000-00001CBF0000}"/>
    <cellStyle name="Output 2 13 2 3 3 3" xfId="49860" xr:uid="{00000000-0005-0000-0000-00001DBF0000}"/>
    <cellStyle name="Output 2 13 2 3 3 4" xfId="37871" xr:uid="{00000000-0005-0000-0000-00001EBF0000}"/>
    <cellStyle name="Output 2 13 2 3 4" xfId="20561" xr:uid="{00000000-0005-0000-0000-00001FBF0000}"/>
    <cellStyle name="Output 2 13 2 3 4 2" xfId="46098" xr:uid="{00000000-0005-0000-0000-000020BF0000}"/>
    <cellStyle name="Output 2 13 2 3 4 3" xfId="50004" xr:uid="{00000000-0005-0000-0000-000021BF0000}"/>
    <cellStyle name="Output 2 13 2 3 4 4" xfId="37988" xr:uid="{00000000-0005-0000-0000-000022BF0000}"/>
    <cellStyle name="Output 2 13 2 3 5" xfId="21237" xr:uid="{00000000-0005-0000-0000-000023BF0000}"/>
    <cellStyle name="Output 2 13 2 3 5 2" xfId="46774" xr:uid="{00000000-0005-0000-0000-000024BF0000}"/>
    <cellStyle name="Output 2 13 2 3 5 3" xfId="50680" xr:uid="{00000000-0005-0000-0000-000025BF0000}"/>
    <cellStyle name="Output 2 13 2 3 5 4" xfId="38643" xr:uid="{00000000-0005-0000-0000-000026BF0000}"/>
    <cellStyle name="Output 2 13 2 3 6" xfId="21890" xr:uid="{00000000-0005-0000-0000-000027BF0000}"/>
    <cellStyle name="Output 2 13 2 3 6 2" xfId="47427" xr:uid="{00000000-0005-0000-0000-000028BF0000}"/>
    <cellStyle name="Output 2 13 2 3 6 3" xfId="51333" xr:uid="{00000000-0005-0000-0000-000029BF0000}"/>
    <cellStyle name="Output 2 13 2 3 7" xfId="41230" xr:uid="{00000000-0005-0000-0000-00002ABF0000}"/>
    <cellStyle name="Output 2 13 2 3 8" xfId="40084" xr:uid="{00000000-0005-0000-0000-00002BBF0000}"/>
    <cellStyle name="Output 2 13 2 4" xfId="15251" xr:uid="{00000000-0005-0000-0000-00002CBF0000}"/>
    <cellStyle name="Output 2 13 2 4 2" xfId="43124" xr:uid="{00000000-0005-0000-0000-00002DBF0000}"/>
    <cellStyle name="Output 2 13 2 4 3" xfId="39526" xr:uid="{00000000-0005-0000-0000-00002EBF0000}"/>
    <cellStyle name="Output 2 13 2 4 4" xfId="32886" xr:uid="{00000000-0005-0000-0000-00002FBF0000}"/>
    <cellStyle name="Output 2 13 2 5" xfId="12049" xr:uid="{00000000-0005-0000-0000-000030BF0000}"/>
    <cellStyle name="Output 2 13 2 5 2" xfId="41804" xr:uid="{00000000-0005-0000-0000-000031BF0000}"/>
    <cellStyle name="Output 2 13 2 5 3" xfId="39566" xr:uid="{00000000-0005-0000-0000-000032BF0000}"/>
    <cellStyle name="Output 2 13 2 5 4" xfId="29728" xr:uid="{00000000-0005-0000-0000-000033BF0000}"/>
    <cellStyle name="Output 2 13 2 6" xfId="20117" xr:uid="{00000000-0005-0000-0000-000034BF0000}"/>
    <cellStyle name="Output 2 13 2 6 2" xfId="45654" xr:uid="{00000000-0005-0000-0000-000035BF0000}"/>
    <cellStyle name="Output 2 13 2 6 3" xfId="49560" xr:uid="{00000000-0005-0000-0000-000036BF0000}"/>
    <cellStyle name="Output 2 13 2 6 4" xfId="37604" xr:uid="{00000000-0005-0000-0000-000037BF0000}"/>
    <cellStyle name="Output 2 13 2 7" xfId="20201" xr:uid="{00000000-0005-0000-0000-000038BF0000}"/>
    <cellStyle name="Output 2 13 2 7 2" xfId="45738" xr:uid="{00000000-0005-0000-0000-000039BF0000}"/>
    <cellStyle name="Output 2 13 2 7 3" xfId="49644" xr:uid="{00000000-0005-0000-0000-00003ABF0000}"/>
    <cellStyle name="Output 2 13 2 7 4" xfId="37683" xr:uid="{00000000-0005-0000-0000-00003BBF0000}"/>
    <cellStyle name="Output 2 13 2 8" xfId="11631" xr:uid="{00000000-0005-0000-0000-00003CBF0000}"/>
    <cellStyle name="Output 2 13 2 8 2" xfId="41642" xr:uid="{00000000-0005-0000-0000-00003DBF0000}"/>
    <cellStyle name="Output 2 13 2 8 3" xfId="39166" xr:uid="{00000000-0005-0000-0000-00003EBF0000}"/>
    <cellStyle name="Output 2 13 2 9" xfId="39984" xr:uid="{00000000-0005-0000-0000-00003FBF0000}"/>
    <cellStyle name="Output 2 13 3" xfId="12101" xr:uid="{00000000-0005-0000-0000-000040BF0000}"/>
    <cellStyle name="Output 2 13 3 2" xfId="41846" xr:uid="{00000000-0005-0000-0000-000041BF0000}"/>
    <cellStyle name="Output 2 13 3 3" xfId="39131" xr:uid="{00000000-0005-0000-0000-000042BF0000}"/>
    <cellStyle name="Output 2 13 3 4" xfId="29774" xr:uid="{00000000-0005-0000-0000-000043BF0000}"/>
    <cellStyle name="Output 2 13 3 5" xfId="53401" xr:uid="{00000000-0005-0000-0000-000044BF0000}"/>
    <cellStyle name="Output 2 13 4" xfId="11607" xr:uid="{00000000-0005-0000-0000-000045BF0000}"/>
    <cellStyle name="Output 2 13 4 2" xfId="41618" xr:uid="{00000000-0005-0000-0000-000046BF0000}"/>
    <cellStyle name="Output 2 13 4 3" xfId="43346" xr:uid="{00000000-0005-0000-0000-000047BF0000}"/>
    <cellStyle name="Output 2 13 4 4" xfId="29310" xr:uid="{00000000-0005-0000-0000-000048BF0000}"/>
    <cellStyle name="Output 2 13 5" xfId="53295" xr:uid="{00000000-0005-0000-0000-000049BF0000}"/>
    <cellStyle name="Output 2 14" xfId="3250" xr:uid="{00000000-0005-0000-0000-00004ABF0000}"/>
    <cellStyle name="Output 2 14 2" xfId="7464" xr:uid="{00000000-0005-0000-0000-00004BBF0000}"/>
    <cellStyle name="Output 2 14 2 10" xfId="43536" xr:uid="{00000000-0005-0000-0000-00004CBF0000}"/>
    <cellStyle name="Output 2 14 2 11" xfId="53403" xr:uid="{00000000-0005-0000-0000-00004DBF0000}"/>
    <cellStyle name="Output 2 14 2 2" xfId="10737" xr:uid="{00000000-0005-0000-0000-00004EBF0000}"/>
    <cellStyle name="Output 2 14 2 2 2" xfId="18530" xr:uid="{00000000-0005-0000-0000-00004FBF0000}"/>
    <cellStyle name="Output 2 14 2 2 2 2" xfId="44077" xr:uid="{00000000-0005-0000-0000-000050BF0000}"/>
    <cellStyle name="Output 2 14 2 2 2 3" xfId="47986" xr:uid="{00000000-0005-0000-0000-000051BF0000}"/>
    <cellStyle name="Output 2 14 2 2 2 4" xfId="36167" xr:uid="{00000000-0005-0000-0000-000052BF0000}"/>
    <cellStyle name="Output 2 14 2 2 3" xfId="19414" xr:uid="{00000000-0005-0000-0000-000053BF0000}"/>
    <cellStyle name="Output 2 14 2 2 3 2" xfId="44951" xr:uid="{00000000-0005-0000-0000-000054BF0000}"/>
    <cellStyle name="Output 2 14 2 2 3 3" xfId="48857" xr:uid="{00000000-0005-0000-0000-000055BF0000}"/>
    <cellStyle name="Output 2 14 2 2 3 4" xfId="36979" xr:uid="{00000000-0005-0000-0000-000056BF0000}"/>
    <cellStyle name="Output 2 14 2 2 4" xfId="11639" xr:uid="{00000000-0005-0000-0000-000057BF0000}"/>
    <cellStyle name="Output 2 14 2 2 4 2" xfId="41650" xr:uid="{00000000-0005-0000-0000-000058BF0000}"/>
    <cellStyle name="Output 2 14 2 2 4 3" xfId="39348" xr:uid="{00000000-0005-0000-0000-000059BF0000}"/>
    <cellStyle name="Output 2 14 2 2 4 4" xfId="29340" xr:uid="{00000000-0005-0000-0000-00005ABF0000}"/>
    <cellStyle name="Output 2 14 2 2 5" xfId="20943" xr:uid="{00000000-0005-0000-0000-00005BBF0000}"/>
    <cellStyle name="Output 2 14 2 2 5 2" xfId="46480" xr:uid="{00000000-0005-0000-0000-00005CBF0000}"/>
    <cellStyle name="Output 2 14 2 2 5 3" xfId="50386" xr:uid="{00000000-0005-0000-0000-00005DBF0000}"/>
    <cellStyle name="Output 2 14 2 2 5 4" xfId="38349" xr:uid="{00000000-0005-0000-0000-00005EBF0000}"/>
    <cellStyle name="Output 2 14 2 2 6" xfId="21596" xr:uid="{00000000-0005-0000-0000-00005FBF0000}"/>
    <cellStyle name="Output 2 14 2 2 6 2" xfId="47133" xr:uid="{00000000-0005-0000-0000-000060BF0000}"/>
    <cellStyle name="Output 2 14 2 2 6 3" xfId="51039" xr:uid="{00000000-0005-0000-0000-000061BF0000}"/>
    <cellStyle name="Output 2 14 2 2 7" xfId="40936" xr:uid="{00000000-0005-0000-0000-000062BF0000}"/>
    <cellStyle name="Output 2 14 2 2 8" xfId="39702" xr:uid="{00000000-0005-0000-0000-000063BF0000}"/>
    <cellStyle name="Output 2 14 2 3" xfId="11032" xr:uid="{00000000-0005-0000-0000-000064BF0000}"/>
    <cellStyle name="Output 2 14 2 3 2" xfId="18825" xr:uid="{00000000-0005-0000-0000-000065BF0000}"/>
    <cellStyle name="Output 2 14 2 3 2 2" xfId="44372" xr:uid="{00000000-0005-0000-0000-000066BF0000}"/>
    <cellStyle name="Output 2 14 2 3 2 3" xfId="48281" xr:uid="{00000000-0005-0000-0000-000067BF0000}"/>
    <cellStyle name="Output 2 14 2 3 2 4" xfId="36462" xr:uid="{00000000-0005-0000-0000-000068BF0000}"/>
    <cellStyle name="Output 2 14 2 3 3" xfId="20418" xr:uid="{00000000-0005-0000-0000-000069BF0000}"/>
    <cellStyle name="Output 2 14 2 3 3 2" xfId="45955" xr:uid="{00000000-0005-0000-0000-00006ABF0000}"/>
    <cellStyle name="Output 2 14 2 3 3 3" xfId="49861" xr:uid="{00000000-0005-0000-0000-00006BBF0000}"/>
    <cellStyle name="Output 2 14 2 3 3 4" xfId="37872" xr:uid="{00000000-0005-0000-0000-00006CBF0000}"/>
    <cellStyle name="Output 2 14 2 3 4" xfId="20562" xr:uid="{00000000-0005-0000-0000-00006DBF0000}"/>
    <cellStyle name="Output 2 14 2 3 4 2" xfId="46099" xr:uid="{00000000-0005-0000-0000-00006EBF0000}"/>
    <cellStyle name="Output 2 14 2 3 4 3" xfId="50005" xr:uid="{00000000-0005-0000-0000-00006FBF0000}"/>
    <cellStyle name="Output 2 14 2 3 4 4" xfId="37989" xr:uid="{00000000-0005-0000-0000-000070BF0000}"/>
    <cellStyle name="Output 2 14 2 3 5" xfId="21238" xr:uid="{00000000-0005-0000-0000-000071BF0000}"/>
    <cellStyle name="Output 2 14 2 3 5 2" xfId="46775" xr:uid="{00000000-0005-0000-0000-000072BF0000}"/>
    <cellStyle name="Output 2 14 2 3 5 3" xfId="50681" xr:uid="{00000000-0005-0000-0000-000073BF0000}"/>
    <cellStyle name="Output 2 14 2 3 5 4" xfId="38644" xr:uid="{00000000-0005-0000-0000-000074BF0000}"/>
    <cellStyle name="Output 2 14 2 3 6" xfId="21891" xr:uid="{00000000-0005-0000-0000-000075BF0000}"/>
    <cellStyle name="Output 2 14 2 3 6 2" xfId="47428" xr:uid="{00000000-0005-0000-0000-000076BF0000}"/>
    <cellStyle name="Output 2 14 2 3 6 3" xfId="51334" xr:uid="{00000000-0005-0000-0000-000077BF0000}"/>
    <cellStyle name="Output 2 14 2 3 7" xfId="41231" xr:uid="{00000000-0005-0000-0000-000078BF0000}"/>
    <cellStyle name="Output 2 14 2 3 8" xfId="42831" xr:uid="{00000000-0005-0000-0000-000079BF0000}"/>
    <cellStyle name="Output 2 14 2 4" xfId="15252" xr:uid="{00000000-0005-0000-0000-00007ABF0000}"/>
    <cellStyle name="Output 2 14 2 4 2" xfId="43125" xr:uid="{00000000-0005-0000-0000-00007BBF0000}"/>
    <cellStyle name="Output 2 14 2 4 3" xfId="42536" xr:uid="{00000000-0005-0000-0000-00007CBF0000}"/>
    <cellStyle name="Output 2 14 2 4 4" xfId="32887" xr:uid="{00000000-0005-0000-0000-00007DBF0000}"/>
    <cellStyle name="Output 2 14 2 5" xfId="19661" xr:uid="{00000000-0005-0000-0000-00007EBF0000}"/>
    <cellStyle name="Output 2 14 2 5 2" xfId="45198" xr:uid="{00000000-0005-0000-0000-00007FBF0000}"/>
    <cellStyle name="Output 2 14 2 5 3" xfId="49104" xr:uid="{00000000-0005-0000-0000-000080BF0000}"/>
    <cellStyle name="Output 2 14 2 5 4" xfId="37195" xr:uid="{00000000-0005-0000-0000-000081BF0000}"/>
    <cellStyle name="Output 2 14 2 6" xfId="12992" xr:uid="{00000000-0005-0000-0000-000082BF0000}"/>
    <cellStyle name="Output 2 14 2 6 2" xfId="42263" xr:uid="{00000000-0005-0000-0000-000083BF0000}"/>
    <cellStyle name="Output 2 14 2 6 3" xfId="40442" xr:uid="{00000000-0005-0000-0000-000084BF0000}"/>
    <cellStyle name="Output 2 14 2 6 4" xfId="30641" xr:uid="{00000000-0005-0000-0000-000085BF0000}"/>
    <cellStyle name="Output 2 14 2 7" xfId="20485" xr:uid="{00000000-0005-0000-0000-000086BF0000}"/>
    <cellStyle name="Output 2 14 2 7 2" xfId="46022" xr:uid="{00000000-0005-0000-0000-000087BF0000}"/>
    <cellStyle name="Output 2 14 2 7 3" xfId="49928" xr:uid="{00000000-0005-0000-0000-000088BF0000}"/>
    <cellStyle name="Output 2 14 2 7 4" xfId="37935" xr:uid="{00000000-0005-0000-0000-000089BF0000}"/>
    <cellStyle name="Output 2 14 2 8" xfId="19508" xr:uid="{00000000-0005-0000-0000-00008ABF0000}"/>
    <cellStyle name="Output 2 14 2 8 2" xfId="45045" xr:uid="{00000000-0005-0000-0000-00008BBF0000}"/>
    <cellStyle name="Output 2 14 2 8 3" xfId="48951" xr:uid="{00000000-0005-0000-0000-00008CBF0000}"/>
    <cellStyle name="Output 2 14 2 9" xfId="39985" xr:uid="{00000000-0005-0000-0000-00008DBF0000}"/>
    <cellStyle name="Output 2 14 3" xfId="12102" xr:uid="{00000000-0005-0000-0000-00008EBF0000}"/>
    <cellStyle name="Output 2 14 3 2" xfId="41847" xr:uid="{00000000-0005-0000-0000-00008FBF0000}"/>
    <cellStyle name="Output 2 14 3 3" xfId="39130" xr:uid="{00000000-0005-0000-0000-000090BF0000}"/>
    <cellStyle name="Output 2 14 3 4" xfId="29775" xr:uid="{00000000-0005-0000-0000-000091BF0000}"/>
    <cellStyle name="Output 2 14 4" xfId="19684" xr:uid="{00000000-0005-0000-0000-000092BF0000}"/>
    <cellStyle name="Output 2 14 4 2" xfId="45221" xr:uid="{00000000-0005-0000-0000-000093BF0000}"/>
    <cellStyle name="Output 2 14 4 3" xfId="49127" xr:uid="{00000000-0005-0000-0000-000094BF0000}"/>
    <cellStyle name="Output 2 14 4 4" xfId="37216" xr:uid="{00000000-0005-0000-0000-000095BF0000}"/>
    <cellStyle name="Output 2 14 5" xfId="53297" xr:uid="{00000000-0005-0000-0000-000096BF0000}"/>
    <cellStyle name="Output 2 15" xfId="5310" xr:uid="{00000000-0005-0000-0000-000097BF0000}"/>
    <cellStyle name="Output 2 15 2" xfId="7465" xr:uid="{00000000-0005-0000-0000-000098BF0000}"/>
    <cellStyle name="Output 2 15 2 10" xfId="40399" xr:uid="{00000000-0005-0000-0000-000099BF0000}"/>
    <cellStyle name="Output 2 15 2 2" xfId="10738" xr:uid="{00000000-0005-0000-0000-00009ABF0000}"/>
    <cellStyle name="Output 2 15 2 2 2" xfId="18531" xr:uid="{00000000-0005-0000-0000-00009BBF0000}"/>
    <cellStyle name="Output 2 15 2 2 2 2" xfId="44078" xr:uid="{00000000-0005-0000-0000-00009CBF0000}"/>
    <cellStyle name="Output 2 15 2 2 2 3" xfId="47987" xr:uid="{00000000-0005-0000-0000-00009DBF0000}"/>
    <cellStyle name="Output 2 15 2 2 2 4" xfId="36168" xr:uid="{00000000-0005-0000-0000-00009EBF0000}"/>
    <cellStyle name="Output 2 15 2 2 3" xfId="20021" xr:uid="{00000000-0005-0000-0000-00009FBF0000}"/>
    <cellStyle name="Output 2 15 2 2 3 2" xfId="45558" xr:uid="{00000000-0005-0000-0000-0000A0BF0000}"/>
    <cellStyle name="Output 2 15 2 2 3 3" xfId="49464" xr:uid="{00000000-0005-0000-0000-0000A1BF0000}"/>
    <cellStyle name="Output 2 15 2 2 3 4" xfId="37519" xr:uid="{00000000-0005-0000-0000-0000A2BF0000}"/>
    <cellStyle name="Output 2 15 2 2 4" xfId="12899" xr:uid="{00000000-0005-0000-0000-0000A3BF0000}"/>
    <cellStyle name="Output 2 15 2 2 4 2" xfId="42254" xr:uid="{00000000-0005-0000-0000-0000A4BF0000}"/>
    <cellStyle name="Output 2 15 2 2 4 3" xfId="40444" xr:uid="{00000000-0005-0000-0000-0000A5BF0000}"/>
    <cellStyle name="Output 2 15 2 2 4 4" xfId="30549" xr:uid="{00000000-0005-0000-0000-0000A6BF0000}"/>
    <cellStyle name="Output 2 15 2 2 5" xfId="20944" xr:uid="{00000000-0005-0000-0000-0000A7BF0000}"/>
    <cellStyle name="Output 2 15 2 2 5 2" xfId="46481" xr:uid="{00000000-0005-0000-0000-0000A8BF0000}"/>
    <cellStyle name="Output 2 15 2 2 5 3" xfId="50387" xr:uid="{00000000-0005-0000-0000-0000A9BF0000}"/>
    <cellStyle name="Output 2 15 2 2 5 4" xfId="38350" xr:uid="{00000000-0005-0000-0000-0000AABF0000}"/>
    <cellStyle name="Output 2 15 2 2 6" xfId="21597" xr:uid="{00000000-0005-0000-0000-0000ABBF0000}"/>
    <cellStyle name="Output 2 15 2 2 6 2" xfId="47134" xr:uid="{00000000-0005-0000-0000-0000ACBF0000}"/>
    <cellStyle name="Output 2 15 2 2 6 3" xfId="51040" xr:uid="{00000000-0005-0000-0000-0000ADBF0000}"/>
    <cellStyle name="Output 2 15 2 2 7" xfId="40937" xr:uid="{00000000-0005-0000-0000-0000AEBF0000}"/>
    <cellStyle name="Output 2 15 2 2 8" xfId="42739" xr:uid="{00000000-0005-0000-0000-0000AFBF0000}"/>
    <cellStyle name="Output 2 15 2 3" xfId="11033" xr:uid="{00000000-0005-0000-0000-0000B0BF0000}"/>
    <cellStyle name="Output 2 15 2 3 2" xfId="18826" xr:uid="{00000000-0005-0000-0000-0000B1BF0000}"/>
    <cellStyle name="Output 2 15 2 3 2 2" xfId="44373" xr:uid="{00000000-0005-0000-0000-0000B2BF0000}"/>
    <cellStyle name="Output 2 15 2 3 2 3" xfId="48282" xr:uid="{00000000-0005-0000-0000-0000B3BF0000}"/>
    <cellStyle name="Output 2 15 2 3 2 4" xfId="36463" xr:uid="{00000000-0005-0000-0000-0000B4BF0000}"/>
    <cellStyle name="Output 2 15 2 3 3" xfId="20419" xr:uid="{00000000-0005-0000-0000-0000B5BF0000}"/>
    <cellStyle name="Output 2 15 2 3 3 2" xfId="45956" xr:uid="{00000000-0005-0000-0000-0000B6BF0000}"/>
    <cellStyle name="Output 2 15 2 3 3 3" xfId="49862" xr:uid="{00000000-0005-0000-0000-0000B7BF0000}"/>
    <cellStyle name="Output 2 15 2 3 3 4" xfId="37873" xr:uid="{00000000-0005-0000-0000-0000B8BF0000}"/>
    <cellStyle name="Output 2 15 2 3 4" xfId="20563" xr:uid="{00000000-0005-0000-0000-0000B9BF0000}"/>
    <cellStyle name="Output 2 15 2 3 4 2" xfId="46100" xr:uid="{00000000-0005-0000-0000-0000BABF0000}"/>
    <cellStyle name="Output 2 15 2 3 4 3" xfId="50006" xr:uid="{00000000-0005-0000-0000-0000BBBF0000}"/>
    <cellStyle name="Output 2 15 2 3 4 4" xfId="37990" xr:uid="{00000000-0005-0000-0000-0000BCBF0000}"/>
    <cellStyle name="Output 2 15 2 3 5" xfId="21239" xr:uid="{00000000-0005-0000-0000-0000BDBF0000}"/>
    <cellStyle name="Output 2 15 2 3 5 2" xfId="46776" xr:uid="{00000000-0005-0000-0000-0000BEBF0000}"/>
    <cellStyle name="Output 2 15 2 3 5 3" xfId="50682" xr:uid="{00000000-0005-0000-0000-0000BFBF0000}"/>
    <cellStyle name="Output 2 15 2 3 5 4" xfId="38645" xr:uid="{00000000-0005-0000-0000-0000C0BF0000}"/>
    <cellStyle name="Output 2 15 2 3 6" xfId="21892" xr:uid="{00000000-0005-0000-0000-0000C1BF0000}"/>
    <cellStyle name="Output 2 15 2 3 6 2" xfId="47429" xr:uid="{00000000-0005-0000-0000-0000C2BF0000}"/>
    <cellStyle name="Output 2 15 2 3 6 3" xfId="51335" xr:uid="{00000000-0005-0000-0000-0000C3BF0000}"/>
    <cellStyle name="Output 2 15 2 3 7" xfId="41232" xr:uid="{00000000-0005-0000-0000-0000C4BF0000}"/>
    <cellStyle name="Output 2 15 2 3 8" xfId="43720" xr:uid="{00000000-0005-0000-0000-0000C5BF0000}"/>
    <cellStyle name="Output 2 15 2 4" xfId="15253" xr:uid="{00000000-0005-0000-0000-0000C6BF0000}"/>
    <cellStyle name="Output 2 15 2 4 2" xfId="43126" xr:uid="{00000000-0005-0000-0000-0000C7BF0000}"/>
    <cellStyle name="Output 2 15 2 4 3" xfId="43447" xr:uid="{00000000-0005-0000-0000-0000C8BF0000}"/>
    <cellStyle name="Output 2 15 2 4 4" xfId="32888" xr:uid="{00000000-0005-0000-0000-0000C9BF0000}"/>
    <cellStyle name="Output 2 15 2 5" xfId="20220" xr:uid="{00000000-0005-0000-0000-0000CABF0000}"/>
    <cellStyle name="Output 2 15 2 5 2" xfId="45757" xr:uid="{00000000-0005-0000-0000-0000CBBF0000}"/>
    <cellStyle name="Output 2 15 2 5 3" xfId="49663" xr:uid="{00000000-0005-0000-0000-0000CCBF0000}"/>
    <cellStyle name="Output 2 15 2 5 4" xfId="37697" xr:uid="{00000000-0005-0000-0000-0000CDBF0000}"/>
    <cellStyle name="Output 2 15 2 6" xfId="20476" xr:uid="{00000000-0005-0000-0000-0000CEBF0000}"/>
    <cellStyle name="Output 2 15 2 6 2" xfId="46013" xr:uid="{00000000-0005-0000-0000-0000CFBF0000}"/>
    <cellStyle name="Output 2 15 2 6 3" xfId="49919" xr:uid="{00000000-0005-0000-0000-0000D0BF0000}"/>
    <cellStyle name="Output 2 15 2 6 4" xfId="37929" xr:uid="{00000000-0005-0000-0000-0000D1BF0000}"/>
    <cellStyle name="Output 2 15 2 7" xfId="12031" xr:uid="{00000000-0005-0000-0000-0000D2BF0000}"/>
    <cellStyle name="Output 2 15 2 7 2" xfId="41788" xr:uid="{00000000-0005-0000-0000-0000D3BF0000}"/>
    <cellStyle name="Output 2 15 2 7 3" xfId="40201" xr:uid="{00000000-0005-0000-0000-0000D4BF0000}"/>
    <cellStyle name="Output 2 15 2 7 4" xfId="29711" xr:uid="{00000000-0005-0000-0000-0000D5BF0000}"/>
    <cellStyle name="Output 2 15 2 8" xfId="19784" xr:uid="{00000000-0005-0000-0000-0000D6BF0000}"/>
    <cellStyle name="Output 2 15 2 8 2" xfId="45321" xr:uid="{00000000-0005-0000-0000-0000D7BF0000}"/>
    <cellStyle name="Output 2 15 2 8 3" xfId="49227" xr:uid="{00000000-0005-0000-0000-0000D8BF0000}"/>
    <cellStyle name="Output 2 15 2 9" xfId="39986" xr:uid="{00000000-0005-0000-0000-0000D9BF0000}"/>
    <cellStyle name="Output 2 15 3" xfId="13278" xr:uid="{00000000-0005-0000-0000-0000DABF0000}"/>
    <cellStyle name="Output 2 15 3 2" xfId="42448" xr:uid="{00000000-0005-0000-0000-0000DBBF0000}"/>
    <cellStyle name="Output 2 15 3 3" xfId="43192" xr:uid="{00000000-0005-0000-0000-0000DCBF0000}"/>
    <cellStyle name="Output 2 15 3 4" xfId="30923" xr:uid="{00000000-0005-0000-0000-0000DDBF0000}"/>
    <cellStyle name="Output 2 15 4" xfId="20313" xr:uid="{00000000-0005-0000-0000-0000DEBF0000}"/>
    <cellStyle name="Output 2 15 4 2" xfId="45850" xr:uid="{00000000-0005-0000-0000-0000DFBF0000}"/>
    <cellStyle name="Output 2 15 4 3" xfId="49756" xr:uid="{00000000-0005-0000-0000-0000E0BF0000}"/>
    <cellStyle name="Output 2 15 4 4" xfId="37778" xr:uid="{00000000-0005-0000-0000-0000E1BF0000}"/>
    <cellStyle name="Output 2 15 5" xfId="53394" xr:uid="{00000000-0005-0000-0000-0000E2BF0000}"/>
    <cellStyle name="Output 2 16" xfId="5311" xr:uid="{00000000-0005-0000-0000-0000E3BF0000}"/>
    <cellStyle name="Output 2 16 2" xfId="7466" xr:uid="{00000000-0005-0000-0000-0000E4BF0000}"/>
    <cellStyle name="Output 2 16 2 10" xfId="39511" xr:uid="{00000000-0005-0000-0000-0000E5BF0000}"/>
    <cellStyle name="Output 2 16 2 2" xfId="10739" xr:uid="{00000000-0005-0000-0000-0000E6BF0000}"/>
    <cellStyle name="Output 2 16 2 2 2" xfId="18532" xr:uid="{00000000-0005-0000-0000-0000E7BF0000}"/>
    <cellStyle name="Output 2 16 2 2 2 2" xfId="44079" xr:uid="{00000000-0005-0000-0000-0000E8BF0000}"/>
    <cellStyle name="Output 2 16 2 2 2 3" xfId="47988" xr:uid="{00000000-0005-0000-0000-0000E9BF0000}"/>
    <cellStyle name="Output 2 16 2 2 2 4" xfId="36169" xr:uid="{00000000-0005-0000-0000-0000EABF0000}"/>
    <cellStyle name="Output 2 16 2 2 3" xfId="19287" xr:uid="{00000000-0005-0000-0000-0000EBBF0000}"/>
    <cellStyle name="Output 2 16 2 2 3 2" xfId="44824" xr:uid="{00000000-0005-0000-0000-0000ECBF0000}"/>
    <cellStyle name="Output 2 16 2 2 3 3" xfId="48730" xr:uid="{00000000-0005-0000-0000-0000EDBF0000}"/>
    <cellStyle name="Output 2 16 2 2 3 4" xfId="36865" xr:uid="{00000000-0005-0000-0000-0000EEBF0000}"/>
    <cellStyle name="Output 2 16 2 2 4" xfId="11576" xr:uid="{00000000-0005-0000-0000-0000EFBF0000}"/>
    <cellStyle name="Output 2 16 2 2 4 2" xfId="41587" xr:uid="{00000000-0005-0000-0000-0000F0BF0000}"/>
    <cellStyle name="Output 2 16 2 2 4 3" xfId="39677" xr:uid="{00000000-0005-0000-0000-0000F1BF0000}"/>
    <cellStyle name="Output 2 16 2 2 4 4" xfId="29287" xr:uid="{00000000-0005-0000-0000-0000F2BF0000}"/>
    <cellStyle name="Output 2 16 2 2 5" xfId="20945" xr:uid="{00000000-0005-0000-0000-0000F3BF0000}"/>
    <cellStyle name="Output 2 16 2 2 5 2" xfId="46482" xr:uid="{00000000-0005-0000-0000-0000F4BF0000}"/>
    <cellStyle name="Output 2 16 2 2 5 3" xfId="50388" xr:uid="{00000000-0005-0000-0000-0000F5BF0000}"/>
    <cellStyle name="Output 2 16 2 2 5 4" xfId="38351" xr:uid="{00000000-0005-0000-0000-0000F6BF0000}"/>
    <cellStyle name="Output 2 16 2 2 6" xfId="21598" xr:uid="{00000000-0005-0000-0000-0000F7BF0000}"/>
    <cellStyle name="Output 2 16 2 2 6 2" xfId="47135" xr:uid="{00000000-0005-0000-0000-0000F8BF0000}"/>
    <cellStyle name="Output 2 16 2 2 6 3" xfId="51041" xr:uid="{00000000-0005-0000-0000-0000F9BF0000}"/>
    <cellStyle name="Output 2 16 2 2 7" xfId="40938" xr:uid="{00000000-0005-0000-0000-0000FABF0000}"/>
    <cellStyle name="Output 2 16 2 2 8" xfId="43628" xr:uid="{00000000-0005-0000-0000-0000FBBF0000}"/>
    <cellStyle name="Output 2 16 2 3" xfId="11034" xr:uid="{00000000-0005-0000-0000-0000FCBF0000}"/>
    <cellStyle name="Output 2 16 2 3 2" xfId="18827" xr:uid="{00000000-0005-0000-0000-0000FDBF0000}"/>
    <cellStyle name="Output 2 16 2 3 2 2" xfId="44374" xr:uid="{00000000-0005-0000-0000-0000FEBF0000}"/>
    <cellStyle name="Output 2 16 2 3 2 3" xfId="48283" xr:uid="{00000000-0005-0000-0000-0000FFBF0000}"/>
    <cellStyle name="Output 2 16 2 3 2 4" xfId="36464" xr:uid="{00000000-0005-0000-0000-000000C00000}"/>
    <cellStyle name="Output 2 16 2 3 3" xfId="20420" xr:uid="{00000000-0005-0000-0000-000001C00000}"/>
    <cellStyle name="Output 2 16 2 3 3 2" xfId="45957" xr:uid="{00000000-0005-0000-0000-000002C00000}"/>
    <cellStyle name="Output 2 16 2 3 3 3" xfId="49863" xr:uid="{00000000-0005-0000-0000-000003C00000}"/>
    <cellStyle name="Output 2 16 2 3 3 4" xfId="37874" xr:uid="{00000000-0005-0000-0000-000004C00000}"/>
    <cellStyle name="Output 2 16 2 3 4" xfId="20564" xr:uid="{00000000-0005-0000-0000-000005C00000}"/>
    <cellStyle name="Output 2 16 2 3 4 2" xfId="46101" xr:uid="{00000000-0005-0000-0000-000006C00000}"/>
    <cellStyle name="Output 2 16 2 3 4 3" xfId="50007" xr:uid="{00000000-0005-0000-0000-000007C00000}"/>
    <cellStyle name="Output 2 16 2 3 4 4" xfId="37991" xr:uid="{00000000-0005-0000-0000-000008C00000}"/>
    <cellStyle name="Output 2 16 2 3 5" xfId="21240" xr:uid="{00000000-0005-0000-0000-000009C00000}"/>
    <cellStyle name="Output 2 16 2 3 5 2" xfId="46777" xr:uid="{00000000-0005-0000-0000-00000AC00000}"/>
    <cellStyle name="Output 2 16 2 3 5 3" xfId="50683" xr:uid="{00000000-0005-0000-0000-00000BC00000}"/>
    <cellStyle name="Output 2 16 2 3 5 4" xfId="38646" xr:uid="{00000000-0005-0000-0000-00000CC00000}"/>
    <cellStyle name="Output 2 16 2 3 6" xfId="21893" xr:uid="{00000000-0005-0000-0000-00000DC00000}"/>
    <cellStyle name="Output 2 16 2 3 6 2" xfId="47430" xr:uid="{00000000-0005-0000-0000-00000EC00000}"/>
    <cellStyle name="Output 2 16 2 3 6 3" xfId="51336" xr:uid="{00000000-0005-0000-0000-00000FC00000}"/>
    <cellStyle name="Output 2 16 2 3 7" xfId="41233" xr:uid="{00000000-0005-0000-0000-000010C00000}"/>
    <cellStyle name="Output 2 16 2 3 8" xfId="40579" xr:uid="{00000000-0005-0000-0000-000011C00000}"/>
    <cellStyle name="Output 2 16 2 4" xfId="15254" xr:uid="{00000000-0005-0000-0000-000012C00000}"/>
    <cellStyle name="Output 2 16 2 4 2" xfId="43127" xr:uid="{00000000-0005-0000-0000-000013C00000}"/>
    <cellStyle name="Output 2 16 2 4 3" xfId="40309" xr:uid="{00000000-0005-0000-0000-000014C00000}"/>
    <cellStyle name="Output 2 16 2 4 4" xfId="32889" xr:uid="{00000000-0005-0000-0000-000015C00000}"/>
    <cellStyle name="Output 2 16 2 5" xfId="19488" xr:uid="{00000000-0005-0000-0000-000016C00000}"/>
    <cellStyle name="Output 2 16 2 5 2" xfId="45025" xr:uid="{00000000-0005-0000-0000-000017C00000}"/>
    <cellStyle name="Output 2 16 2 5 3" xfId="48931" xr:uid="{00000000-0005-0000-0000-000018C00000}"/>
    <cellStyle name="Output 2 16 2 5 4" xfId="37044" xr:uid="{00000000-0005-0000-0000-000019C00000}"/>
    <cellStyle name="Output 2 16 2 6" xfId="13909" xr:uid="{00000000-0005-0000-0000-00001AC00000}"/>
    <cellStyle name="Output 2 16 2 6 2" xfId="42644" xr:uid="{00000000-0005-0000-0000-00001BC00000}"/>
    <cellStyle name="Output 2 16 2 6 3" xfId="41960" xr:uid="{00000000-0005-0000-0000-00001CC00000}"/>
    <cellStyle name="Output 2 16 2 6 4" xfId="31547" xr:uid="{00000000-0005-0000-0000-00001DC00000}"/>
    <cellStyle name="Output 2 16 2 7" xfId="20473" xr:uid="{00000000-0005-0000-0000-00001EC00000}"/>
    <cellStyle name="Output 2 16 2 7 2" xfId="46010" xr:uid="{00000000-0005-0000-0000-00001FC00000}"/>
    <cellStyle name="Output 2 16 2 7 3" xfId="49916" xr:uid="{00000000-0005-0000-0000-000020C00000}"/>
    <cellStyle name="Output 2 16 2 7 4" xfId="37926" xr:uid="{00000000-0005-0000-0000-000021C00000}"/>
    <cellStyle name="Output 2 16 2 8" xfId="19932" xr:uid="{00000000-0005-0000-0000-000022C00000}"/>
    <cellStyle name="Output 2 16 2 8 2" xfId="45469" xr:uid="{00000000-0005-0000-0000-000023C00000}"/>
    <cellStyle name="Output 2 16 2 8 3" xfId="49375" xr:uid="{00000000-0005-0000-0000-000024C00000}"/>
    <cellStyle name="Output 2 16 2 9" xfId="39987" xr:uid="{00000000-0005-0000-0000-000025C00000}"/>
    <cellStyle name="Output 2 16 3" xfId="13279" xr:uid="{00000000-0005-0000-0000-000026C00000}"/>
    <cellStyle name="Output 2 16 3 2" xfId="42449" xr:uid="{00000000-0005-0000-0000-000027C00000}"/>
    <cellStyle name="Output 2 16 3 3" xfId="40051" xr:uid="{00000000-0005-0000-0000-000028C00000}"/>
    <cellStyle name="Output 2 16 3 4" xfId="30924" xr:uid="{00000000-0005-0000-0000-000029C00000}"/>
    <cellStyle name="Output 2 16 4" xfId="19524" xr:uid="{00000000-0005-0000-0000-00002AC00000}"/>
    <cellStyle name="Output 2 16 4 2" xfId="45061" xr:uid="{00000000-0005-0000-0000-00002BC00000}"/>
    <cellStyle name="Output 2 16 4 3" xfId="48967" xr:uid="{00000000-0005-0000-0000-00002CC00000}"/>
    <cellStyle name="Output 2 16 4 4" xfId="37072" xr:uid="{00000000-0005-0000-0000-00002DC00000}"/>
    <cellStyle name="Output 2 17" xfId="5312" xr:uid="{00000000-0005-0000-0000-00002EC00000}"/>
    <cellStyle name="Output 2 17 2" xfId="10477" xr:uid="{00000000-0005-0000-0000-00002FC00000}"/>
    <cellStyle name="Output 2 17 2 2" xfId="18270" xr:uid="{00000000-0005-0000-0000-000030C00000}"/>
    <cellStyle name="Output 2 17 2 2 2" xfId="43817" xr:uid="{00000000-0005-0000-0000-000031C00000}"/>
    <cellStyle name="Output 2 17 2 2 3" xfId="47726" xr:uid="{00000000-0005-0000-0000-000032C00000}"/>
    <cellStyle name="Output 2 17 2 2 4" xfId="35907" xr:uid="{00000000-0005-0000-0000-000033C00000}"/>
    <cellStyle name="Output 2 17 2 3" xfId="20045" xr:uid="{00000000-0005-0000-0000-000034C00000}"/>
    <cellStyle name="Output 2 17 2 3 2" xfId="45582" xr:uid="{00000000-0005-0000-0000-000035C00000}"/>
    <cellStyle name="Output 2 17 2 3 3" xfId="49488" xr:uid="{00000000-0005-0000-0000-000036C00000}"/>
    <cellStyle name="Output 2 17 2 3 4" xfId="37543" xr:uid="{00000000-0005-0000-0000-000037C00000}"/>
    <cellStyle name="Output 2 17 2 4" xfId="19507" xr:uid="{00000000-0005-0000-0000-000038C00000}"/>
    <cellStyle name="Output 2 17 2 4 2" xfId="45044" xr:uid="{00000000-0005-0000-0000-000039C00000}"/>
    <cellStyle name="Output 2 17 2 4 3" xfId="48950" xr:uid="{00000000-0005-0000-0000-00003AC00000}"/>
    <cellStyle name="Output 2 17 2 4 4" xfId="37056" xr:uid="{00000000-0005-0000-0000-00003BC00000}"/>
    <cellStyle name="Output 2 17 2 5" xfId="20683" xr:uid="{00000000-0005-0000-0000-00003CC00000}"/>
    <cellStyle name="Output 2 17 2 5 2" xfId="46220" xr:uid="{00000000-0005-0000-0000-00003DC00000}"/>
    <cellStyle name="Output 2 17 2 5 3" xfId="50126" xr:uid="{00000000-0005-0000-0000-00003EC00000}"/>
    <cellStyle name="Output 2 17 2 5 4" xfId="38089" xr:uid="{00000000-0005-0000-0000-00003FC00000}"/>
    <cellStyle name="Output 2 17 2 6" xfId="21336" xr:uid="{00000000-0005-0000-0000-000040C00000}"/>
    <cellStyle name="Output 2 17 2 6 2" xfId="46873" xr:uid="{00000000-0005-0000-0000-000041C00000}"/>
    <cellStyle name="Output 2 17 2 6 3" xfId="50779" xr:uid="{00000000-0005-0000-0000-000042C00000}"/>
    <cellStyle name="Output 2 17 2 7" xfId="40676" xr:uid="{00000000-0005-0000-0000-000043C00000}"/>
    <cellStyle name="Output 2 17 2 8" xfId="43401" xr:uid="{00000000-0005-0000-0000-000044C00000}"/>
    <cellStyle name="Output 2 17 3" xfId="8802" xr:uid="{00000000-0005-0000-0000-000045C00000}"/>
    <cellStyle name="Output 2 17 3 2" xfId="16598" xr:uid="{00000000-0005-0000-0000-000046C00000}"/>
    <cellStyle name="Output 2 17 3 2 2" xfId="43439" xr:uid="{00000000-0005-0000-0000-000047C00000}"/>
    <cellStyle name="Output 2 17 3 2 3" xfId="43659" xr:uid="{00000000-0005-0000-0000-000048C00000}"/>
    <cellStyle name="Output 2 17 3 2 4" xfId="34233" xr:uid="{00000000-0005-0000-0000-000049C00000}"/>
    <cellStyle name="Output 2 17 3 3" xfId="19645" xr:uid="{00000000-0005-0000-0000-00004AC00000}"/>
    <cellStyle name="Output 2 17 3 3 2" xfId="45182" xr:uid="{00000000-0005-0000-0000-00004BC00000}"/>
    <cellStyle name="Output 2 17 3 3 3" xfId="49088" xr:uid="{00000000-0005-0000-0000-00004CC00000}"/>
    <cellStyle name="Output 2 17 3 3 4" xfId="37181" xr:uid="{00000000-0005-0000-0000-00004DC00000}"/>
    <cellStyle name="Output 2 17 3 4" xfId="11425" xr:uid="{00000000-0005-0000-0000-00004EC00000}"/>
    <cellStyle name="Output 2 17 3 4 2" xfId="41450" xr:uid="{00000000-0005-0000-0000-00004FC00000}"/>
    <cellStyle name="Output 2 17 3 4 3" xfId="39175" xr:uid="{00000000-0005-0000-0000-000050C00000}"/>
    <cellStyle name="Output 2 17 3 4 4" xfId="29147" xr:uid="{00000000-0005-0000-0000-000051C00000}"/>
    <cellStyle name="Output 2 17 3 5" xfId="19026" xr:uid="{00000000-0005-0000-0000-000052C00000}"/>
    <cellStyle name="Output 2 17 3 5 2" xfId="44563" xr:uid="{00000000-0005-0000-0000-000053C00000}"/>
    <cellStyle name="Output 2 17 3 5 3" xfId="48469" xr:uid="{00000000-0005-0000-0000-000054C00000}"/>
    <cellStyle name="Output 2 17 3 5 4" xfId="36634" xr:uid="{00000000-0005-0000-0000-000055C00000}"/>
    <cellStyle name="Output 2 17 3 6" xfId="20527" xr:uid="{00000000-0005-0000-0000-000056C00000}"/>
    <cellStyle name="Output 2 17 3 6 2" xfId="46064" xr:uid="{00000000-0005-0000-0000-000057C00000}"/>
    <cellStyle name="Output 2 17 3 6 3" xfId="49970" xr:uid="{00000000-0005-0000-0000-000058C00000}"/>
    <cellStyle name="Output 2 17 3 7" xfId="40301" xr:uid="{00000000-0005-0000-0000-000059C00000}"/>
    <cellStyle name="Output 2 17 3 8" xfId="39214" xr:uid="{00000000-0005-0000-0000-00005AC00000}"/>
    <cellStyle name="Output 2 17 4" xfId="13280" xr:uid="{00000000-0005-0000-0000-00005BC00000}"/>
    <cellStyle name="Output 2 17 4 2" xfId="42450" xr:uid="{00000000-0005-0000-0000-00005CC00000}"/>
    <cellStyle name="Output 2 17 4 3" xfId="42794" xr:uid="{00000000-0005-0000-0000-00005DC00000}"/>
    <cellStyle name="Output 2 17 4 4" xfId="30925" xr:uid="{00000000-0005-0000-0000-00005EC00000}"/>
    <cellStyle name="Output 2 17 5" xfId="12739" xr:uid="{00000000-0005-0000-0000-00005FC00000}"/>
    <cellStyle name="Output 2 17 5 2" xfId="42192" xr:uid="{00000000-0005-0000-0000-000060C00000}"/>
    <cellStyle name="Output 2 17 5 3" xfId="40188" xr:uid="{00000000-0005-0000-0000-000061C00000}"/>
    <cellStyle name="Output 2 17 5 4" xfId="30397" xr:uid="{00000000-0005-0000-0000-000062C00000}"/>
    <cellStyle name="Output 2 18" xfId="7459" xr:uid="{00000000-0005-0000-0000-000063C00000}"/>
    <cellStyle name="Output 2 18 10" xfId="43647" xr:uid="{00000000-0005-0000-0000-000064C00000}"/>
    <cellStyle name="Output 2 18 2" xfId="10732" xr:uid="{00000000-0005-0000-0000-000065C00000}"/>
    <cellStyle name="Output 2 18 2 2" xfId="18525" xr:uid="{00000000-0005-0000-0000-000066C00000}"/>
    <cellStyle name="Output 2 18 2 2 2" xfId="44072" xr:uid="{00000000-0005-0000-0000-000067C00000}"/>
    <cellStyle name="Output 2 18 2 2 3" xfId="47981" xr:uid="{00000000-0005-0000-0000-000068C00000}"/>
    <cellStyle name="Output 2 18 2 2 4" xfId="36162" xr:uid="{00000000-0005-0000-0000-000069C00000}"/>
    <cellStyle name="Output 2 18 2 3" xfId="19897" xr:uid="{00000000-0005-0000-0000-00006AC00000}"/>
    <cellStyle name="Output 2 18 2 3 2" xfId="45434" xr:uid="{00000000-0005-0000-0000-00006BC00000}"/>
    <cellStyle name="Output 2 18 2 3 3" xfId="49340" xr:uid="{00000000-0005-0000-0000-00006CC00000}"/>
    <cellStyle name="Output 2 18 2 3 4" xfId="37411" xr:uid="{00000000-0005-0000-0000-00006DC00000}"/>
    <cellStyle name="Output 2 18 2 4" xfId="12930" xr:uid="{00000000-0005-0000-0000-00006EC00000}"/>
    <cellStyle name="Output 2 18 2 4 2" xfId="42256" xr:uid="{00000000-0005-0000-0000-00006FC00000}"/>
    <cellStyle name="Output 2 18 2 4 3" xfId="40184" xr:uid="{00000000-0005-0000-0000-000070C00000}"/>
    <cellStyle name="Output 2 18 2 4 4" xfId="30580" xr:uid="{00000000-0005-0000-0000-000071C00000}"/>
    <cellStyle name="Output 2 18 2 5" xfId="20938" xr:uid="{00000000-0005-0000-0000-000072C00000}"/>
    <cellStyle name="Output 2 18 2 5 2" xfId="46475" xr:uid="{00000000-0005-0000-0000-000073C00000}"/>
    <cellStyle name="Output 2 18 2 5 3" xfId="50381" xr:uid="{00000000-0005-0000-0000-000074C00000}"/>
    <cellStyle name="Output 2 18 2 5 4" xfId="38344" xr:uid="{00000000-0005-0000-0000-000075C00000}"/>
    <cellStyle name="Output 2 18 2 6" xfId="21591" xr:uid="{00000000-0005-0000-0000-000076C00000}"/>
    <cellStyle name="Output 2 18 2 6 2" xfId="47128" xr:uid="{00000000-0005-0000-0000-000077C00000}"/>
    <cellStyle name="Output 2 18 2 6 3" xfId="51034" xr:uid="{00000000-0005-0000-0000-000078C00000}"/>
    <cellStyle name="Output 2 18 2 7" xfId="40931" xr:uid="{00000000-0005-0000-0000-000079C00000}"/>
    <cellStyle name="Output 2 18 2 8" xfId="43236" xr:uid="{00000000-0005-0000-0000-00007AC00000}"/>
    <cellStyle name="Output 2 18 3" xfId="11027" xr:uid="{00000000-0005-0000-0000-00007BC00000}"/>
    <cellStyle name="Output 2 18 3 2" xfId="18820" xr:uid="{00000000-0005-0000-0000-00007CC00000}"/>
    <cellStyle name="Output 2 18 3 2 2" xfId="44367" xr:uid="{00000000-0005-0000-0000-00007DC00000}"/>
    <cellStyle name="Output 2 18 3 2 3" xfId="48276" xr:uid="{00000000-0005-0000-0000-00007EC00000}"/>
    <cellStyle name="Output 2 18 3 2 4" xfId="36457" xr:uid="{00000000-0005-0000-0000-00007FC00000}"/>
    <cellStyle name="Output 2 18 3 3" xfId="20413" xr:uid="{00000000-0005-0000-0000-000080C00000}"/>
    <cellStyle name="Output 2 18 3 3 2" xfId="45950" xr:uid="{00000000-0005-0000-0000-000081C00000}"/>
    <cellStyle name="Output 2 18 3 3 3" xfId="49856" xr:uid="{00000000-0005-0000-0000-000082C00000}"/>
    <cellStyle name="Output 2 18 3 3 4" xfId="37867" xr:uid="{00000000-0005-0000-0000-000083C00000}"/>
    <cellStyle name="Output 2 18 3 4" xfId="20557" xr:uid="{00000000-0005-0000-0000-000084C00000}"/>
    <cellStyle name="Output 2 18 3 4 2" xfId="46094" xr:uid="{00000000-0005-0000-0000-000085C00000}"/>
    <cellStyle name="Output 2 18 3 4 3" xfId="50000" xr:uid="{00000000-0005-0000-0000-000086C00000}"/>
    <cellStyle name="Output 2 18 3 4 4" xfId="37984" xr:uid="{00000000-0005-0000-0000-000087C00000}"/>
    <cellStyle name="Output 2 18 3 5" xfId="21233" xr:uid="{00000000-0005-0000-0000-000088C00000}"/>
    <cellStyle name="Output 2 18 3 5 2" xfId="46770" xr:uid="{00000000-0005-0000-0000-000089C00000}"/>
    <cellStyle name="Output 2 18 3 5 3" xfId="50676" xr:uid="{00000000-0005-0000-0000-00008AC00000}"/>
    <cellStyle name="Output 2 18 3 5 4" xfId="38639" xr:uid="{00000000-0005-0000-0000-00008BC00000}"/>
    <cellStyle name="Output 2 18 3 6" xfId="21886" xr:uid="{00000000-0005-0000-0000-00008CC00000}"/>
    <cellStyle name="Output 2 18 3 6 2" xfId="47423" xr:uid="{00000000-0005-0000-0000-00008DC00000}"/>
    <cellStyle name="Output 2 18 3 6 3" xfId="51329" xr:uid="{00000000-0005-0000-0000-00008EC00000}"/>
    <cellStyle name="Output 2 18 3 7" xfId="41226" xr:uid="{00000000-0005-0000-0000-00008FC00000}"/>
    <cellStyle name="Output 2 18 3 8" xfId="40228" xr:uid="{00000000-0005-0000-0000-000090C00000}"/>
    <cellStyle name="Output 2 18 4" xfId="15247" xr:uid="{00000000-0005-0000-0000-000091C00000}"/>
    <cellStyle name="Output 2 18 4 2" xfId="43120" xr:uid="{00000000-0005-0000-0000-000092C00000}"/>
    <cellStyle name="Output 2 18 4 3" xfId="39631" xr:uid="{00000000-0005-0000-0000-000093C00000}"/>
    <cellStyle name="Output 2 18 4 4" xfId="32882" xr:uid="{00000000-0005-0000-0000-000094C00000}"/>
    <cellStyle name="Output 2 18 5" xfId="19961" xr:uid="{00000000-0005-0000-0000-000095C00000}"/>
    <cellStyle name="Output 2 18 5 2" xfId="45498" xr:uid="{00000000-0005-0000-0000-000096C00000}"/>
    <cellStyle name="Output 2 18 5 3" xfId="49404" xr:uid="{00000000-0005-0000-0000-000097C00000}"/>
    <cellStyle name="Output 2 18 5 4" xfId="37466" xr:uid="{00000000-0005-0000-0000-000098C00000}"/>
    <cellStyle name="Output 2 18 6" xfId="19347" xr:uid="{00000000-0005-0000-0000-000099C00000}"/>
    <cellStyle name="Output 2 18 6 2" xfId="44884" xr:uid="{00000000-0005-0000-0000-00009AC00000}"/>
    <cellStyle name="Output 2 18 6 3" xfId="48790" xr:uid="{00000000-0005-0000-0000-00009BC00000}"/>
    <cellStyle name="Output 2 18 6 4" xfId="36919" xr:uid="{00000000-0005-0000-0000-00009CC00000}"/>
    <cellStyle name="Output 2 18 7" xfId="19096" xr:uid="{00000000-0005-0000-0000-00009DC00000}"/>
    <cellStyle name="Output 2 18 7 2" xfId="44633" xr:uid="{00000000-0005-0000-0000-00009EC00000}"/>
    <cellStyle name="Output 2 18 7 3" xfId="48539" xr:uid="{00000000-0005-0000-0000-00009FC00000}"/>
    <cellStyle name="Output 2 18 7 4" xfId="36692" xr:uid="{00000000-0005-0000-0000-0000A0C00000}"/>
    <cellStyle name="Output 2 18 8" xfId="20214" xr:uid="{00000000-0005-0000-0000-0000A1C00000}"/>
    <cellStyle name="Output 2 18 8 2" xfId="45751" xr:uid="{00000000-0005-0000-0000-0000A2C00000}"/>
    <cellStyle name="Output 2 18 8 3" xfId="49657" xr:uid="{00000000-0005-0000-0000-0000A3C00000}"/>
    <cellStyle name="Output 2 18 9" xfId="39980" xr:uid="{00000000-0005-0000-0000-0000A4C00000}"/>
    <cellStyle name="Output 2 19" xfId="12097" xr:uid="{00000000-0005-0000-0000-0000A5C00000}"/>
    <cellStyle name="Output 2 19 2" xfId="41842" xr:uid="{00000000-0005-0000-0000-0000A6C00000}"/>
    <cellStyle name="Output 2 19 3" xfId="39135" xr:uid="{00000000-0005-0000-0000-0000A7C00000}"/>
    <cellStyle name="Output 2 19 4" xfId="29770" xr:uid="{00000000-0005-0000-0000-0000A8C00000}"/>
    <cellStyle name="Output 2 2" xfId="3251" xr:uid="{00000000-0005-0000-0000-0000A9C00000}"/>
    <cellStyle name="Output 2 2 2" xfId="3252" xr:uid="{00000000-0005-0000-0000-0000AAC00000}"/>
    <cellStyle name="Output 2 2 2 2" xfId="7468" xr:uid="{00000000-0005-0000-0000-0000ABC00000}"/>
    <cellStyle name="Output 2 2 2 2 10" xfId="42186" xr:uid="{00000000-0005-0000-0000-0000ACC00000}"/>
    <cellStyle name="Output 2 2 2 2 11" xfId="53300" xr:uid="{00000000-0005-0000-0000-0000ADC00000}"/>
    <cellStyle name="Output 2 2 2 2 2" xfId="10741" xr:uid="{00000000-0005-0000-0000-0000AEC00000}"/>
    <cellStyle name="Output 2 2 2 2 2 2" xfId="18534" xr:uid="{00000000-0005-0000-0000-0000AFC00000}"/>
    <cellStyle name="Output 2 2 2 2 2 2 2" xfId="44081" xr:uid="{00000000-0005-0000-0000-0000B0C00000}"/>
    <cellStyle name="Output 2 2 2 2 2 2 3" xfId="47990" xr:uid="{00000000-0005-0000-0000-0000B1C00000}"/>
    <cellStyle name="Output 2 2 2 2 2 2 4" xfId="36171" xr:uid="{00000000-0005-0000-0000-0000B2C00000}"/>
    <cellStyle name="Output 2 2 2 2 2 3" xfId="19119" xr:uid="{00000000-0005-0000-0000-0000B3C00000}"/>
    <cellStyle name="Output 2 2 2 2 2 3 2" xfId="44656" xr:uid="{00000000-0005-0000-0000-0000B4C00000}"/>
    <cellStyle name="Output 2 2 2 2 2 3 3" xfId="48562" xr:uid="{00000000-0005-0000-0000-0000B5C00000}"/>
    <cellStyle name="Output 2 2 2 2 2 3 4" xfId="36714" xr:uid="{00000000-0005-0000-0000-0000B6C00000}"/>
    <cellStyle name="Output 2 2 2 2 2 4" xfId="20126" xr:uid="{00000000-0005-0000-0000-0000B7C00000}"/>
    <cellStyle name="Output 2 2 2 2 2 4 2" xfId="45663" xr:uid="{00000000-0005-0000-0000-0000B8C00000}"/>
    <cellStyle name="Output 2 2 2 2 2 4 3" xfId="49569" xr:uid="{00000000-0005-0000-0000-0000B9C00000}"/>
    <cellStyle name="Output 2 2 2 2 2 4 4" xfId="37612" xr:uid="{00000000-0005-0000-0000-0000BAC00000}"/>
    <cellStyle name="Output 2 2 2 2 2 5" xfId="20947" xr:uid="{00000000-0005-0000-0000-0000BBC00000}"/>
    <cellStyle name="Output 2 2 2 2 2 5 2" xfId="46484" xr:uid="{00000000-0005-0000-0000-0000BCC00000}"/>
    <cellStyle name="Output 2 2 2 2 2 5 3" xfId="50390" xr:uid="{00000000-0005-0000-0000-0000BDC00000}"/>
    <cellStyle name="Output 2 2 2 2 2 5 4" xfId="38353" xr:uid="{00000000-0005-0000-0000-0000BEC00000}"/>
    <cellStyle name="Output 2 2 2 2 2 6" xfId="21600" xr:uid="{00000000-0005-0000-0000-0000BFC00000}"/>
    <cellStyle name="Output 2 2 2 2 2 6 2" xfId="47137" xr:uid="{00000000-0005-0000-0000-0000C0C00000}"/>
    <cellStyle name="Output 2 2 2 2 2 6 3" xfId="51043" xr:uid="{00000000-0005-0000-0000-0000C1C00000}"/>
    <cellStyle name="Output 2 2 2 2 2 7" xfId="40940" xr:uid="{00000000-0005-0000-0000-0000C2C00000}"/>
    <cellStyle name="Output 2 2 2 2 2 8" xfId="39596" xr:uid="{00000000-0005-0000-0000-0000C3C00000}"/>
    <cellStyle name="Output 2 2 2 2 2 9" xfId="53406" xr:uid="{00000000-0005-0000-0000-0000C4C00000}"/>
    <cellStyle name="Output 2 2 2 2 3" xfId="11036" xr:uid="{00000000-0005-0000-0000-0000C5C00000}"/>
    <cellStyle name="Output 2 2 2 2 3 2" xfId="18829" xr:uid="{00000000-0005-0000-0000-0000C6C00000}"/>
    <cellStyle name="Output 2 2 2 2 3 2 2" xfId="44376" xr:uid="{00000000-0005-0000-0000-0000C7C00000}"/>
    <cellStyle name="Output 2 2 2 2 3 2 3" xfId="48285" xr:uid="{00000000-0005-0000-0000-0000C8C00000}"/>
    <cellStyle name="Output 2 2 2 2 3 2 4" xfId="36466" xr:uid="{00000000-0005-0000-0000-0000C9C00000}"/>
    <cellStyle name="Output 2 2 2 2 3 3" xfId="20422" xr:uid="{00000000-0005-0000-0000-0000CAC00000}"/>
    <cellStyle name="Output 2 2 2 2 3 3 2" xfId="45959" xr:uid="{00000000-0005-0000-0000-0000CBC00000}"/>
    <cellStyle name="Output 2 2 2 2 3 3 3" xfId="49865" xr:uid="{00000000-0005-0000-0000-0000CCC00000}"/>
    <cellStyle name="Output 2 2 2 2 3 3 4" xfId="37876" xr:uid="{00000000-0005-0000-0000-0000CDC00000}"/>
    <cellStyle name="Output 2 2 2 2 3 4" xfId="20566" xr:uid="{00000000-0005-0000-0000-0000CEC00000}"/>
    <cellStyle name="Output 2 2 2 2 3 4 2" xfId="46103" xr:uid="{00000000-0005-0000-0000-0000CFC00000}"/>
    <cellStyle name="Output 2 2 2 2 3 4 3" xfId="50009" xr:uid="{00000000-0005-0000-0000-0000D0C00000}"/>
    <cellStyle name="Output 2 2 2 2 3 4 4" xfId="37993" xr:uid="{00000000-0005-0000-0000-0000D1C00000}"/>
    <cellStyle name="Output 2 2 2 2 3 5" xfId="21242" xr:uid="{00000000-0005-0000-0000-0000D2C00000}"/>
    <cellStyle name="Output 2 2 2 2 3 5 2" xfId="46779" xr:uid="{00000000-0005-0000-0000-0000D3C00000}"/>
    <cellStyle name="Output 2 2 2 2 3 5 3" xfId="50685" xr:uid="{00000000-0005-0000-0000-0000D4C00000}"/>
    <cellStyle name="Output 2 2 2 2 3 5 4" xfId="38648" xr:uid="{00000000-0005-0000-0000-0000D5C00000}"/>
    <cellStyle name="Output 2 2 2 2 3 6" xfId="21895" xr:uid="{00000000-0005-0000-0000-0000D6C00000}"/>
    <cellStyle name="Output 2 2 2 2 3 6 2" xfId="47432" xr:uid="{00000000-0005-0000-0000-0000D7C00000}"/>
    <cellStyle name="Output 2 2 2 2 3 6 3" xfId="51338" xr:uid="{00000000-0005-0000-0000-0000D8C00000}"/>
    <cellStyle name="Output 2 2 2 2 3 7" xfId="41235" xr:uid="{00000000-0005-0000-0000-0000D9C00000}"/>
    <cellStyle name="Output 2 2 2 2 3 8" xfId="42727" xr:uid="{00000000-0005-0000-0000-0000DAC00000}"/>
    <cellStyle name="Output 2 2 2 2 4" xfId="15256" xr:uid="{00000000-0005-0000-0000-0000DBC00000}"/>
    <cellStyle name="Output 2 2 2 2 4 2" xfId="43129" xr:uid="{00000000-0005-0000-0000-0000DCC00000}"/>
    <cellStyle name="Output 2 2 2 2 4 3" xfId="39265" xr:uid="{00000000-0005-0000-0000-0000DDC00000}"/>
    <cellStyle name="Output 2 2 2 2 4 4" xfId="32891" xr:uid="{00000000-0005-0000-0000-0000DEC00000}"/>
    <cellStyle name="Output 2 2 2 2 5" xfId="19351" xr:uid="{00000000-0005-0000-0000-0000DFC00000}"/>
    <cellStyle name="Output 2 2 2 2 5 2" xfId="44888" xr:uid="{00000000-0005-0000-0000-0000E0C00000}"/>
    <cellStyle name="Output 2 2 2 2 5 3" xfId="48794" xr:uid="{00000000-0005-0000-0000-0000E1C00000}"/>
    <cellStyle name="Output 2 2 2 2 5 4" xfId="36922" xr:uid="{00000000-0005-0000-0000-0000E2C00000}"/>
    <cellStyle name="Output 2 2 2 2 6" xfId="11565" xr:uid="{00000000-0005-0000-0000-0000E3C00000}"/>
    <cellStyle name="Output 2 2 2 2 6 2" xfId="41576" xr:uid="{00000000-0005-0000-0000-0000E4C00000}"/>
    <cellStyle name="Output 2 2 2 2 6 3" xfId="42581" xr:uid="{00000000-0005-0000-0000-0000E5C00000}"/>
    <cellStyle name="Output 2 2 2 2 6 4" xfId="29276" xr:uid="{00000000-0005-0000-0000-0000E6C00000}"/>
    <cellStyle name="Output 2 2 2 2 7" xfId="19968" xr:uid="{00000000-0005-0000-0000-0000E7C00000}"/>
    <cellStyle name="Output 2 2 2 2 7 2" xfId="45505" xr:uid="{00000000-0005-0000-0000-0000E8C00000}"/>
    <cellStyle name="Output 2 2 2 2 7 3" xfId="49411" xr:uid="{00000000-0005-0000-0000-0000E9C00000}"/>
    <cellStyle name="Output 2 2 2 2 7 4" xfId="37473" xr:uid="{00000000-0005-0000-0000-0000EAC00000}"/>
    <cellStyle name="Output 2 2 2 2 8" xfId="19695" xr:uid="{00000000-0005-0000-0000-0000EBC00000}"/>
    <cellStyle name="Output 2 2 2 2 8 2" xfId="45232" xr:uid="{00000000-0005-0000-0000-0000ECC00000}"/>
    <cellStyle name="Output 2 2 2 2 8 3" xfId="49138" xr:uid="{00000000-0005-0000-0000-0000EDC00000}"/>
    <cellStyle name="Output 2 2 2 2 9" xfId="39989" xr:uid="{00000000-0005-0000-0000-0000EEC00000}"/>
    <cellStyle name="Output 2 2 2 3" xfId="12104" xr:uid="{00000000-0005-0000-0000-0000EFC00000}"/>
    <cellStyle name="Output 2 2 2 3 2" xfId="41849" xr:uid="{00000000-0005-0000-0000-0000F0C00000}"/>
    <cellStyle name="Output 2 2 2 3 3" xfId="39128" xr:uid="{00000000-0005-0000-0000-0000F1C00000}"/>
    <cellStyle name="Output 2 2 2 3 4" xfId="29777" xr:uid="{00000000-0005-0000-0000-0000F2C00000}"/>
    <cellStyle name="Output 2 2 2 3 5" xfId="53405" xr:uid="{00000000-0005-0000-0000-0000F3C00000}"/>
    <cellStyle name="Output 2 2 2 4" xfId="19545" xr:uid="{00000000-0005-0000-0000-0000F4C00000}"/>
    <cellStyle name="Output 2 2 2 4 2" xfId="45082" xr:uid="{00000000-0005-0000-0000-0000F5C00000}"/>
    <cellStyle name="Output 2 2 2 4 3" xfId="48988" xr:uid="{00000000-0005-0000-0000-0000F6C00000}"/>
    <cellStyle name="Output 2 2 2 4 4" xfId="37089" xr:uid="{00000000-0005-0000-0000-0000F7C00000}"/>
    <cellStyle name="Output 2 2 2 5" xfId="53299" xr:uid="{00000000-0005-0000-0000-0000F8C00000}"/>
    <cellStyle name="Output 2 2 3" xfId="3253" xr:uid="{00000000-0005-0000-0000-0000F9C00000}"/>
    <cellStyle name="Output 2 2 3 2" xfId="7469" xr:uid="{00000000-0005-0000-0000-0000FAC00000}"/>
    <cellStyle name="Output 2 2 3 2 10" xfId="43420" xr:uid="{00000000-0005-0000-0000-0000FBC00000}"/>
    <cellStyle name="Output 2 2 3 2 11" xfId="53302" xr:uid="{00000000-0005-0000-0000-0000FCC00000}"/>
    <cellStyle name="Output 2 2 3 2 2" xfId="10742" xr:uid="{00000000-0005-0000-0000-0000FDC00000}"/>
    <cellStyle name="Output 2 2 3 2 2 2" xfId="18535" xr:uid="{00000000-0005-0000-0000-0000FEC00000}"/>
    <cellStyle name="Output 2 2 3 2 2 2 2" xfId="44082" xr:uid="{00000000-0005-0000-0000-0000FFC00000}"/>
    <cellStyle name="Output 2 2 3 2 2 2 3" xfId="47991" xr:uid="{00000000-0005-0000-0000-000000C10000}"/>
    <cellStyle name="Output 2 2 3 2 2 2 4" xfId="36172" xr:uid="{00000000-0005-0000-0000-000001C10000}"/>
    <cellStyle name="Output 2 2 3 2 2 3" xfId="19735" xr:uid="{00000000-0005-0000-0000-000002C10000}"/>
    <cellStyle name="Output 2 2 3 2 2 3 2" xfId="45272" xr:uid="{00000000-0005-0000-0000-000003C10000}"/>
    <cellStyle name="Output 2 2 3 2 2 3 3" xfId="49178" xr:uid="{00000000-0005-0000-0000-000004C10000}"/>
    <cellStyle name="Output 2 2 3 2 2 3 4" xfId="37262" xr:uid="{00000000-0005-0000-0000-000005C10000}"/>
    <cellStyle name="Output 2 2 3 2 2 4" xfId="11556" xr:uid="{00000000-0005-0000-0000-000006C10000}"/>
    <cellStyle name="Output 2 2 3 2 2 4 2" xfId="41567" xr:uid="{00000000-0005-0000-0000-000007C10000}"/>
    <cellStyle name="Output 2 2 3 2 2 4 3" xfId="40212" xr:uid="{00000000-0005-0000-0000-000008C10000}"/>
    <cellStyle name="Output 2 2 3 2 2 4 4" xfId="29268" xr:uid="{00000000-0005-0000-0000-000009C10000}"/>
    <cellStyle name="Output 2 2 3 2 2 5" xfId="20948" xr:uid="{00000000-0005-0000-0000-00000AC10000}"/>
    <cellStyle name="Output 2 2 3 2 2 5 2" xfId="46485" xr:uid="{00000000-0005-0000-0000-00000BC10000}"/>
    <cellStyle name="Output 2 2 3 2 2 5 3" xfId="50391" xr:uid="{00000000-0005-0000-0000-00000CC10000}"/>
    <cellStyle name="Output 2 2 3 2 2 5 4" xfId="38354" xr:uid="{00000000-0005-0000-0000-00000DC10000}"/>
    <cellStyle name="Output 2 2 3 2 2 6" xfId="21601" xr:uid="{00000000-0005-0000-0000-00000EC10000}"/>
    <cellStyle name="Output 2 2 3 2 2 6 2" xfId="47138" xr:uid="{00000000-0005-0000-0000-00000FC10000}"/>
    <cellStyle name="Output 2 2 3 2 2 6 3" xfId="51044" xr:uid="{00000000-0005-0000-0000-000010C10000}"/>
    <cellStyle name="Output 2 2 3 2 2 7" xfId="40941" xr:uid="{00000000-0005-0000-0000-000011C10000}"/>
    <cellStyle name="Output 2 2 3 2 2 8" xfId="42604" xr:uid="{00000000-0005-0000-0000-000012C10000}"/>
    <cellStyle name="Output 2 2 3 2 2 9" xfId="53408" xr:uid="{00000000-0005-0000-0000-000013C10000}"/>
    <cellStyle name="Output 2 2 3 2 3" xfId="11037" xr:uid="{00000000-0005-0000-0000-000014C10000}"/>
    <cellStyle name="Output 2 2 3 2 3 2" xfId="18830" xr:uid="{00000000-0005-0000-0000-000015C10000}"/>
    <cellStyle name="Output 2 2 3 2 3 2 2" xfId="44377" xr:uid="{00000000-0005-0000-0000-000016C10000}"/>
    <cellStyle name="Output 2 2 3 2 3 2 3" xfId="48286" xr:uid="{00000000-0005-0000-0000-000017C10000}"/>
    <cellStyle name="Output 2 2 3 2 3 2 4" xfId="36467" xr:uid="{00000000-0005-0000-0000-000018C10000}"/>
    <cellStyle name="Output 2 2 3 2 3 3" xfId="20423" xr:uid="{00000000-0005-0000-0000-000019C10000}"/>
    <cellStyle name="Output 2 2 3 2 3 3 2" xfId="45960" xr:uid="{00000000-0005-0000-0000-00001AC10000}"/>
    <cellStyle name="Output 2 2 3 2 3 3 3" xfId="49866" xr:uid="{00000000-0005-0000-0000-00001BC10000}"/>
    <cellStyle name="Output 2 2 3 2 3 3 4" xfId="37877" xr:uid="{00000000-0005-0000-0000-00001CC10000}"/>
    <cellStyle name="Output 2 2 3 2 3 4" xfId="20567" xr:uid="{00000000-0005-0000-0000-00001DC10000}"/>
    <cellStyle name="Output 2 2 3 2 3 4 2" xfId="46104" xr:uid="{00000000-0005-0000-0000-00001EC10000}"/>
    <cellStyle name="Output 2 2 3 2 3 4 3" xfId="50010" xr:uid="{00000000-0005-0000-0000-00001FC10000}"/>
    <cellStyle name="Output 2 2 3 2 3 4 4" xfId="37994" xr:uid="{00000000-0005-0000-0000-000020C10000}"/>
    <cellStyle name="Output 2 2 3 2 3 5" xfId="21243" xr:uid="{00000000-0005-0000-0000-000021C10000}"/>
    <cellStyle name="Output 2 2 3 2 3 5 2" xfId="46780" xr:uid="{00000000-0005-0000-0000-000022C10000}"/>
    <cellStyle name="Output 2 2 3 2 3 5 3" xfId="50686" xr:uid="{00000000-0005-0000-0000-000023C10000}"/>
    <cellStyle name="Output 2 2 3 2 3 5 4" xfId="38649" xr:uid="{00000000-0005-0000-0000-000024C10000}"/>
    <cellStyle name="Output 2 2 3 2 3 6" xfId="21896" xr:uid="{00000000-0005-0000-0000-000025C10000}"/>
    <cellStyle name="Output 2 2 3 2 3 6 2" xfId="47433" xr:uid="{00000000-0005-0000-0000-000026C10000}"/>
    <cellStyle name="Output 2 2 3 2 3 6 3" xfId="51339" xr:uid="{00000000-0005-0000-0000-000027C10000}"/>
    <cellStyle name="Output 2 2 3 2 3 7" xfId="41236" xr:uid="{00000000-0005-0000-0000-000028C10000}"/>
    <cellStyle name="Output 2 2 3 2 3 8" xfId="43616" xr:uid="{00000000-0005-0000-0000-000029C10000}"/>
    <cellStyle name="Output 2 2 3 2 4" xfId="15257" xr:uid="{00000000-0005-0000-0000-00002AC10000}"/>
    <cellStyle name="Output 2 2 3 2 4 2" xfId="43130" xr:uid="{00000000-0005-0000-0000-00002BC10000}"/>
    <cellStyle name="Output 2 2 3 2 4 3" xfId="41284" xr:uid="{00000000-0005-0000-0000-00002CC10000}"/>
    <cellStyle name="Output 2 2 3 2 4 4" xfId="32892" xr:uid="{00000000-0005-0000-0000-00002DC10000}"/>
    <cellStyle name="Output 2 2 3 2 5" xfId="19960" xr:uid="{00000000-0005-0000-0000-00002EC10000}"/>
    <cellStyle name="Output 2 2 3 2 5 2" xfId="45497" xr:uid="{00000000-0005-0000-0000-00002FC10000}"/>
    <cellStyle name="Output 2 2 3 2 5 3" xfId="49403" xr:uid="{00000000-0005-0000-0000-000030C10000}"/>
    <cellStyle name="Output 2 2 3 2 5 4" xfId="37465" xr:uid="{00000000-0005-0000-0000-000031C10000}"/>
    <cellStyle name="Output 2 2 3 2 6" xfId="20389" xr:uid="{00000000-0005-0000-0000-000032C10000}"/>
    <cellStyle name="Output 2 2 3 2 6 2" xfId="45926" xr:uid="{00000000-0005-0000-0000-000033C10000}"/>
    <cellStyle name="Output 2 2 3 2 6 3" xfId="49832" xr:uid="{00000000-0005-0000-0000-000034C10000}"/>
    <cellStyle name="Output 2 2 3 2 6 4" xfId="37843" xr:uid="{00000000-0005-0000-0000-000035C10000}"/>
    <cellStyle name="Output 2 2 3 2 7" xfId="19249" xr:uid="{00000000-0005-0000-0000-000036C10000}"/>
    <cellStyle name="Output 2 2 3 2 7 2" xfId="44786" xr:uid="{00000000-0005-0000-0000-000037C10000}"/>
    <cellStyle name="Output 2 2 3 2 7 3" xfId="48692" xr:uid="{00000000-0005-0000-0000-000038C10000}"/>
    <cellStyle name="Output 2 2 3 2 7 4" xfId="36827" xr:uid="{00000000-0005-0000-0000-000039C10000}"/>
    <cellStyle name="Output 2 2 3 2 8" xfId="12685" xr:uid="{00000000-0005-0000-0000-00003AC10000}"/>
    <cellStyle name="Output 2 2 3 2 8 2" xfId="42164" xr:uid="{00000000-0005-0000-0000-00003BC10000}"/>
    <cellStyle name="Output 2 2 3 2 8 3" xfId="43332" xr:uid="{00000000-0005-0000-0000-00003CC10000}"/>
    <cellStyle name="Output 2 2 3 2 9" xfId="39990" xr:uid="{00000000-0005-0000-0000-00003DC10000}"/>
    <cellStyle name="Output 2 2 3 3" xfId="12105" xr:uid="{00000000-0005-0000-0000-00003EC10000}"/>
    <cellStyle name="Output 2 2 3 3 2" xfId="41850" xr:uid="{00000000-0005-0000-0000-00003FC10000}"/>
    <cellStyle name="Output 2 2 3 3 3" xfId="39328" xr:uid="{00000000-0005-0000-0000-000040C10000}"/>
    <cellStyle name="Output 2 2 3 3 4" xfId="29778" xr:uid="{00000000-0005-0000-0000-000041C10000}"/>
    <cellStyle name="Output 2 2 3 3 5" xfId="53407" xr:uid="{00000000-0005-0000-0000-000042C10000}"/>
    <cellStyle name="Output 2 2 3 4" xfId="20112" xr:uid="{00000000-0005-0000-0000-000043C10000}"/>
    <cellStyle name="Output 2 2 3 4 2" xfId="45649" xr:uid="{00000000-0005-0000-0000-000044C10000}"/>
    <cellStyle name="Output 2 2 3 4 3" xfId="49555" xr:uid="{00000000-0005-0000-0000-000045C10000}"/>
    <cellStyle name="Output 2 2 3 4 4" xfId="37600" xr:uid="{00000000-0005-0000-0000-000046C10000}"/>
    <cellStyle name="Output 2 2 3 5" xfId="23022" xr:uid="{00000000-0005-0000-0000-000047C10000}"/>
    <cellStyle name="Output 2 2 3 5 2" xfId="47628" xr:uid="{00000000-0005-0000-0000-000048C10000}"/>
    <cellStyle name="Output 2 2 3 5 3" xfId="51439" xr:uid="{00000000-0005-0000-0000-000049C10000}"/>
    <cellStyle name="Output 2 2 3 6" xfId="53301" xr:uid="{00000000-0005-0000-0000-00004AC10000}"/>
    <cellStyle name="Output 2 2 4" xfId="5313" xr:uid="{00000000-0005-0000-0000-00004BC10000}"/>
    <cellStyle name="Output 2 2 4 2" xfId="7470" xr:uid="{00000000-0005-0000-0000-00004CC10000}"/>
    <cellStyle name="Output 2 2 4 2 10" xfId="40282" xr:uid="{00000000-0005-0000-0000-00004DC10000}"/>
    <cellStyle name="Output 2 2 4 2 11" xfId="53304" xr:uid="{00000000-0005-0000-0000-00004EC10000}"/>
    <cellStyle name="Output 2 2 4 2 2" xfId="10743" xr:uid="{00000000-0005-0000-0000-00004FC10000}"/>
    <cellStyle name="Output 2 2 4 2 2 2" xfId="18536" xr:uid="{00000000-0005-0000-0000-000050C10000}"/>
    <cellStyle name="Output 2 2 4 2 2 2 2" xfId="44083" xr:uid="{00000000-0005-0000-0000-000051C10000}"/>
    <cellStyle name="Output 2 2 4 2 2 2 3" xfId="47992" xr:uid="{00000000-0005-0000-0000-000052C10000}"/>
    <cellStyle name="Output 2 2 4 2 2 2 4" xfId="36173" xr:uid="{00000000-0005-0000-0000-000053C10000}"/>
    <cellStyle name="Output 2 2 4 2 2 3" xfId="12633" xr:uid="{00000000-0005-0000-0000-000054C10000}"/>
    <cellStyle name="Output 2 2 4 2 2 3 2" xfId="42112" xr:uid="{00000000-0005-0000-0000-000055C10000}"/>
    <cellStyle name="Output 2 2 4 2 2 3 3" xfId="43588" xr:uid="{00000000-0005-0000-0000-000056C10000}"/>
    <cellStyle name="Output 2 2 4 2 2 3 4" xfId="30298" xr:uid="{00000000-0005-0000-0000-000057C10000}"/>
    <cellStyle name="Output 2 2 4 2 2 4" xfId="18982" xr:uid="{00000000-0005-0000-0000-000058C10000}"/>
    <cellStyle name="Output 2 2 4 2 2 4 2" xfId="44519" xr:uid="{00000000-0005-0000-0000-000059C10000}"/>
    <cellStyle name="Output 2 2 4 2 2 4 3" xfId="48425" xr:uid="{00000000-0005-0000-0000-00005AC10000}"/>
    <cellStyle name="Output 2 2 4 2 2 4 4" xfId="36606" xr:uid="{00000000-0005-0000-0000-00005BC10000}"/>
    <cellStyle name="Output 2 2 4 2 2 5" xfId="20949" xr:uid="{00000000-0005-0000-0000-00005CC10000}"/>
    <cellStyle name="Output 2 2 4 2 2 5 2" xfId="46486" xr:uid="{00000000-0005-0000-0000-00005DC10000}"/>
    <cellStyle name="Output 2 2 4 2 2 5 3" xfId="50392" xr:uid="{00000000-0005-0000-0000-00005EC10000}"/>
    <cellStyle name="Output 2 2 4 2 2 5 4" xfId="38355" xr:uid="{00000000-0005-0000-0000-00005FC10000}"/>
    <cellStyle name="Output 2 2 4 2 2 6" xfId="21602" xr:uid="{00000000-0005-0000-0000-000060C10000}"/>
    <cellStyle name="Output 2 2 4 2 2 6 2" xfId="47139" xr:uid="{00000000-0005-0000-0000-000061C10000}"/>
    <cellStyle name="Output 2 2 4 2 2 6 3" xfId="51045" xr:uid="{00000000-0005-0000-0000-000062C10000}"/>
    <cellStyle name="Output 2 2 4 2 2 7" xfId="40942" xr:uid="{00000000-0005-0000-0000-000063C10000}"/>
    <cellStyle name="Output 2 2 4 2 2 8" xfId="43517" xr:uid="{00000000-0005-0000-0000-000064C10000}"/>
    <cellStyle name="Output 2 2 4 2 2 9" xfId="53410" xr:uid="{00000000-0005-0000-0000-000065C10000}"/>
    <cellStyle name="Output 2 2 4 2 3" xfId="11038" xr:uid="{00000000-0005-0000-0000-000066C10000}"/>
    <cellStyle name="Output 2 2 4 2 3 2" xfId="18831" xr:uid="{00000000-0005-0000-0000-000067C10000}"/>
    <cellStyle name="Output 2 2 4 2 3 2 2" xfId="44378" xr:uid="{00000000-0005-0000-0000-000068C10000}"/>
    <cellStyle name="Output 2 2 4 2 3 2 3" xfId="48287" xr:uid="{00000000-0005-0000-0000-000069C10000}"/>
    <cellStyle name="Output 2 2 4 2 3 2 4" xfId="36468" xr:uid="{00000000-0005-0000-0000-00006AC10000}"/>
    <cellStyle name="Output 2 2 4 2 3 3" xfId="20424" xr:uid="{00000000-0005-0000-0000-00006BC10000}"/>
    <cellStyle name="Output 2 2 4 2 3 3 2" xfId="45961" xr:uid="{00000000-0005-0000-0000-00006CC10000}"/>
    <cellStyle name="Output 2 2 4 2 3 3 3" xfId="49867" xr:uid="{00000000-0005-0000-0000-00006DC10000}"/>
    <cellStyle name="Output 2 2 4 2 3 3 4" xfId="37878" xr:uid="{00000000-0005-0000-0000-00006EC10000}"/>
    <cellStyle name="Output 2 2 4 2 3 4" xfId="20568" xr:uid="{00000000-0005-0000-0000-00006FC10000}"/>
    <cellStyle name="Output 2 2 4 2 3 4 2" xfId="46105" xr:uid="{00000000-0005-0000-0000-000070C10000}"/>
    <cellStyle name="Output 2 2 4 2 3 4 3" xfId="50011" xr:uid="{00000000-0005-0000-0000-000071C10000}"/>
    <cellStyle name="Output 2 2 4 2 3 4 4" xfId="37995" xr:uid="{00000000-0005-0000-0000-000072C10000}"/>
    <cellStyle name="Output 2 2 4 2 3 5" xfId="21244" xr:uid="{00000000-0005-0000-0000-000073C10000}"/>
    <cellStyle name="Output 2 2 4 2 3 5 2" xfId="46781" xr:uid="{00000000-0005-0000-0000-000074C10000}"/>
    <cellStyle name="Output 2 2 4 2 3 5 3" xfId="50687" xr:uid="{00000000-0005-0000-0000-000075C10000}"/>
    <cellStyle name="Output 2 2 4 2 3 5 4" xfId="38650" xr:uid="{00000000-0005-0000-0000-000076C10000}"/>
    <cellStyle name="Output 2 2 4 2 3 6" xfId="21897" xr:uid="{00000000-0005-0000-0000-000077C10000}"/>
    <cellStyle name="Output 2 2 4 2 3 6 2" xfId="47434" xr:uid="{00000000-0005-0000-0000-000078C10000}"/>
    <cellStyle name="Output 2 2 4 2 3 6 3" xfId="51340" xr:uid="{00000000-0005-0000-0000-000079C10000}"/>
    <cellStyle name="Output 2 2 4 2 3 7" xfId="41237" xr:uid="{00000000-0005-0000-0000-00007AC10000}"/>
    <cellStyle name="Output 2 2 4 2 3 8" xfId="40474" xr:uid="{00000000-0005-0000-0000-00007BC10000}"/>
    <cellStyle name="Output 2 2 4 2 4" xfId="15258" xr:uid="{00000000-0005-0000-0000-00007CC10000}"/>
    <cellStyle name="Output 2 2 4 2 4 2" xfId="43131" xr:uid="{00000000-0005-0000-0000-00007DC10000}"/>
    <cellStyle name="Output 2 2 4 2 4 3" xfId="43177" xr:uid="{00000000-0005-0000-0000-00007EC10000}"/>
    <cellStyle name="Output 2 2 4 2 4 4" xfId="32893" xr:uid="{00000000-0005-0000-0000-00007FC10000}"/>
    <cellStyle name="Output 2 2 4 2 5" xfId="19193" xr:uid="{00000000-0005-0000-0000-000080C10000}"/>
    <cellStyle name="Output 2 2 4 2 5 2" xfId="44730" xr:uid="{00000000-0005-0000-0000-000081C10000}"/>
    <cellStyle name="Output 2 2 4 2 5 3" xfId="48636" xr:uid="{00000000-0005-0000-0000-000082C10000}"/>
    <cellStyle name="Output 2 2 4 2 5 4" xfId="36780" xr:uid="{00000000-0005-0000-0000-000083C10000}"/>
    <cellStyle name="Output 2 2 4 2 6" xfId="12671" xr:uid="{00000000-0005-0000-0000-000084C10000}"/>
    <cellStyle name="Output 2 2 4 2 6 2" xfId="42150" xr:uid="{00000000-0005-0000-0000-000085C10000}"/>
    <cellStyle name="Output 2 2 4 2 6 3" xfId="39658" xr:uid="{00000000-0005-0000-0000-000086C10000}"/>
    <cellStyle name="Output 2 2 4 2 6 4" xfId="30335" xr:uid="{00000000-0005-0000-0000-000087C10000}"/>
    <cellStyle name="Output 2 2 4 2 7" xfId="11691" xr:uid="{00000000-0005-0000-0000-000088C10000}"/>
    <cellStyle name="Output 2 2 4 2 7 2" xfId="41698" xr:uid="{00000000-0005-0000-0000-000089C10000}"/>
    <cellStyle name="Output 2 2 4 2 7 3" xfId="40560" xr:uid="{00000000-0005-0000-0000-00008AC10000}"/>
    <cellStyle name="Output 2 2 4 2 7 4" xfId="29384" xr:uid="{00000000-0005-0000-0000-00008BC10000}"/>
    <cellStyle name="Output 2 2 4 2 8" xfId="11716" xr:uid="{00000000-0005-0000-0000-00008CC10000}"/>
    <cellStyle name="Output 2 2 4 2 8 2" xfId="41710" xr:uid="{00000000-0005-0000-0000-00008DC10000}"/>
    <cellStyle name="Output 2 2 4 2 8 3" xfId="43595" xr:uid="{00000000-0005-0000-0000-00008EC10000}"/>
    <cellStyle name="Output 2 2 4 2 9" xfId="39991" xr:uid="{00000000-0005-0000-0000-00008FC10000}"/>
    <cellStyle name="Output 2 2 4 3" xfId="13281" xr:uid="{00000000-0005-0000-0000-000090C10000}"/>
    <cellStyle name="Output 2 2 4 3 2" xfId="42451" xr:uid="{00000000-0005-0000-0000-000091C10000}"/>
    <cellStyle name="Output 2 2 4 3 3" xfId="43681" xr:uid="{00000000-0005-0000-0000-000092C10000}"/>
    <cellStyle name="Output 2 2 4 3 4" xfId="30926" xr:uid="{00000000-0005-0000-0000-000093C10000}"/>
    <cellStyle name="Output 2 2 4 3 5" xfId="53409" xr:uid="{00000000-0005-0000-0000-000094C10000}"/>
    <cellStyle name="Output 2 2 4 4" xfId="11733" xr:uid="{00000000-0005-0000-0000-000095C10000}"/>
    <cellStyle name="Output 2 2 4 4 2" xfId="41719" xr:uid="{00000000-0005-0000-0000-000096C10000}"/>
    <cellStyle name="Output 2 2 4 4 3" xfId="42813" xr:uid="{00000000-0005-0000-0000-000097C10000}"/>
    <cellStyle name="Output 2 2 4 4 4" xfId="29420" xr:uid="{00000000-0005-0000-0000-000098C10000}"/>
    <cellStyle name="Output 2 2 4 5" xfId="22619" xr:uid="{00000000-0005-0000-0000-000099C10000}"/>
    <cellStyle name="Output 2 2 4 5 2" xfId="47560" xr:uid="{00000000-0005-0000-0000-00009AC10000}"/>
    <cellStyle name="Output 2 2 4 5 3" xfId="51409" xr:uid="{00000000-0005-0000-0000-00009BC10000}"/>
    <cellStyle name="Output 2 2 4 6" xfId="53303" xr:uid="{00000000-0005-0000-0000-00009CC10000}"/>
    <cellStyle name="Output 2 2 5" xfId="5314" xr:uid="{00000000-0005-0000-0000-00009DC10000}"/>
    <cellStyle name="Output 2 2 5 2" xfId="10478" xr:uid="{00000000-0005-0000-0000-00009EC10000}"/>
    <cellStyle name="Output 2 2 5 2 2" xfId="18271" xr:uid="{00000000-0005-0000-0000-00009FC10000}"/>
    <cellStyle name="Output 2 2 5 2 2 2" xfId="43818" xr:uid="{00000000-0005-0000-0000-0000A0C10000}"/>
    <cellStyle name="Output 2 2 5 2 2 3" xfId="47727" xr:uid="{00000000-0005-0000-0000-0000A1C10000}"/>
    <cellStyle name="Output 2 2 5 2 2 4" xfId="35908" xr:uid="{00000000-0005-0000-0000-0000A2C10000}"/>
    <cellStyle name="Output 2 2 5 2 3" xfId="19311" xr:uid="{00000000-0005-0000-0000-0000A3C10000}"/>
    <cellStyle name="Output 2 2 5 2 3 2" xfId="44848" xr:uid="{00000000-0005-0000-0000-0000A4C10000}"/>
    <cellStyle name="Output 2 2 5 2 3 3" xfId="48754" xr:uid="{00000000-0005-0000-0000-0000A5C10000}"/>
    <cellStyle name="Output 2 2 5 2 3 4" xfId="36889" xr:uid="{00000000-0005-0000-0000-0000A6C10000}"/>
    <cellStyle name="Output 2 2 5 2 4" xfId="18930" xr:uid="{00000000-0005-0000-0000-0000A7C10000}"/>
    <cellStyle name="Output 2 2 5 2 4 2" xfId="44467" xr:uid="{00000000-0005-0000-0000-0000A8C10000}"/>
    <cellStyle name="Output 2 2 5 2 4 3" xfId="48373" xr:uid="{00000000-0005-0000-0000-0000A9C10000}"/>
    <cellStyle name="Output 2 2 5 2 4 4" xfId="36558" xr:uid="{00000000-0005-0000-0000-0000AAC10000}"/>
    <cellStyle name="Output 2 2 5 2 5" xfId="20684" xr:uid="{00000000-0005-0000-0000-0000ABC10000}"/>
    <cellStyle name="Output 2 2 5 2 5 2" xfId="46221" xr:uid="{00000000-0005-0000-0000-0000ACC10000}"/>
    <cellStyle name="Output 2 2 5 2 5 3" xfId="50127" xr:uid="{00000000-0005-0000-0000-0000ADC10000}"/>
    <cellStyle name="Output 2 2 5 2 5 4" xfId="38090" xr:uid="{00000000-0005-0000-0000-0000AEC10000}"/>
    <cellStyle name="Output 2 2 5 2 6" xfId="21337" xr:uid="{00000000-0005-0000-0000-0000AFC10000}"/>
    <cellStyle name="Output 2 2 5 2 6 2" xfId="46874" xr:uid="{00000000-0005-0000-0000-0000B0C10000}"/>
    <cellStyle name="Output 2 2 5 2 6 3" xfId="50780" xr:uid="{00000000-0005-0000-0000-0000B1C10000}"/>
    <cellStyle name="Output 2 2 5 2 7" xfId="40677" xr:uid="{00000000-0005-0000-0000-0000B2C10000}"/>
    <cellStyle name="Output 2 2 5 2 8" xfId="40263" xr:uid="{00000000-0005-0000-0000-0000B3C10000}"/>
    <cellStyle name="Output 2 2 5 2 9" xfId="53411" xr:uid="{00000000-0005-0000-0000-0000B4C10000}"/>
    <cellStyle name="Output 2 2 5 3" xfId="8803" xr:uid="{00000000-0005-0000-0000-0000B5C10000}"/>
    <cellStyle name="Output 2 2 5 3 2" xfId="16599" xr:uid="{00000000-0005-0000-0000-0000B6C10000}"/>
    <cellStyle name="Output 2 2 5 3 2 2" xfId="43440" xr:uid="{00000000-0005-0000-0000-0000B7C10000}"/>
    <cellStyle name="Output 2 2 5 3 2 3" xfId="40517" xr:uid="{00000000-0005-0000-0000-0000B8C10000}"/>
    <cellStyle name="Output 2 2 5 3 2 4" xfId="34234" xr:uid="{00000000-0005-0000-0000-0000B9C10000}"/>
    <cellStyle name="Output 2 2 5 3 3" xfId="20209" xr:uid="{00000000-0005-0000-0000-0000BAC10000}"/>
    <cellStyle name="Output 2 2 5 3 3 2" xfId="45746" xr:uid="{00000000-0005-0000-0000-0000BBC10000}"/>
    <cellStyle name="Output 2 2 5 3 3 3" xfId="49652" xr:uid="{00000000-0005-0000-0000-0000BCC10000}"/>
    <cellStyle name="Output 2 2 5 3 3 4" xfId="37688" xr:uid="{00000000-0005-0000-0000-0000BDC10000}"/>
    <cellStyle name="Output 2 2 5 3 4" xfId="20465" xr:uid="{00000000-0005-0000-0000-0000BEC10000}"/>
    <cellStyle name="Output 2 2 5 3 4 2" xfId="46002" xr:uid="{00000000-0005-0000-0000-0000BFC10000}"/>
    <cellStyle name="Output 2 2 5 3 4 3" xfId="49908" xr:uid="{00000000-0005-0000-0000-0000C0C10000}"/>
    <cellStyle name="Output 2 2 5 3 4 4" xfId="37918" xr:uid="{00000000-0005-0000-0000-0000C1C10000}"/>
    <cellStyle name="Output 2 2 5 3 5" xfId="20236" xr:uid="{00000000-0005-0000-0000-0000C2C10000}"/>
    <cellStyle name="Output 2 2 5 3 5 2" xfId="45773" xr:uid="{00000000-0005-0000-0000-0000C3C10000}"/>
    <cellStyle name="Output 2 2 5 3 5 3" xfId="49679" xr:uid="{00000000-0005-0000-0000-0000C4C10000}"/>
    <cellStyle name="Output 2 2 5 3 5 4" xfId="37709" xr:uid="{00000000-0005-0000-0000-0000C5C10000}"/>
    <cellStyle name="Output 2 2 5 3 6" xfId="20506" xr:uid="{00000000-0005-0000-0000-0000C6C10000}"/>
    <cellStyle name="Output 2 2 5 3 6 2" xfId="46043" xr:uid="{00000000-0005-0000-0000-0000C7C10000}"/>
    <cellStyle name="Output 2 2 5 3 6 3" xfId="49949" xr:uid="{00000000-0005-0000-0000-0000C8C10000}"/>
    <cellStyle name="Output 2 2 5 3 7" xfId="40302" xr:uid="{00000000-0005-0000-0000-0000C9C10000}"/>
    <cellStyle name="Output 2 2 5 3 8" xfId="39213" xr:uid="{00000000-0005-0000-0000-0000CAC10000}"/>
    <cellStyle name="Output 2 2 5 4" xfId="13282" xr:uid="{00000000-0005-0000-0000-0000CBC10000}"/>
    <cellStyle name="Output 2 2 5 4 2" xfId="42452" xr:uid="{00000000-0005-0000-0000-0000CCC10000}"/>
    <cellStyle name="Output 2 2 5 4 3" xfId="40540" xr:uid="{00000000-0005-0000-0000-0000CDC10000}"/>
    <cellStyle name="Output 2 2 5 4 4" xfId="30927" xr:uid="{00000000-0005-0000-0000-0000CEC10000}"/>
    <cellStyle name="Output 2 2 5 5" xfId="20372" xr:uid="{00000000-0005-0000-0000-0000CFC10000}"/>
    <cellStyle name="Output 2 2 5 5 2" xfId="45909" xr:uid="{00000000-0005-0000-0000-0000D0C10000}"/>
    <cellStyle name="Output 2 2 5 5 3" xfId="49815" xr:uid="{00000000-0005-0000-0000-0000D1C10000}"/>
    <cellStyle name="Output 2 2 5 5 4" xfId="37828" xr:uid="{00000000-0005-0000-0000-0000D2C10000}"/>
    <cellStyle name="Output 2 2 5 6" xfId="53305" xr:uid="{00000000-0005-0000-0000-0000D3C10000}"/>
    <cellStyle name="Output 2 2 6" xfId="7467" xr:uid="{00000000-0005-0000-0000-0000D4C10000}"/>
    <cellStyle name="Output 2 2 6 10" xfId="47626" xr:uid="{00000000-0005-0000-0000-0000D5C10000}"/>
    <cellStyle name="Output 2 2 6 11" xfId="53404" xr:uid="{00000000-0005-0000-0000-0000D6C10000}"/>
    <cellStyle name="Output 2 2 6 2" xfId="10740" xr:uid="{00000000-0005-0000-0000-0000D7C10000}"/>
    <cellStyle name="Output 2 2 6 2 2" xfId="18533" xr:uid="{00000000-0005-0000-0000-0000D8C10000}"/>
    <cellStyle name="Output 2 2 6 2 2 2" xfId="44080" xr:uid="{00000000-0005-0000-0000-0000D9C10000}"/>
    <cellStyle name="Output 2 2 6 2 2 3" xfId="47989" xr:uid="{00000000-0005-0000-0000-0000DAC10000}"/>
    <cellStyle name="Output 2 2 6 2 2 4" xfId="36170" xr:uid="{00000000-0005-0000-0000-0000DBC10000}"/>
    <cellStyle name="Output 2 2 6 2 3" xfId="19896" xr:uid="{00000000-0005-0000-0000-0000DCC10000}"/>
    <cellStyle name="Output 2 2 6 2 3 2" xfId="45433" xr:uid="{00000000-0005-0000-0000-0000DDC10000}"/>
    <cellStyle name="Output 2 2 6 2 3 3" xfId="49339" xr:uid="{00000000-0005-0000-0000-0000DEC10000}"/>
    <cellStyle name="Output 2 2 6 2 3 4" xfId="37410" xr:uid="{00000000-0005-0000-0000-0000DFC10000}"/>
    <cellStyle name="Output 2 2 6 2 4" xfId="11469" xr:uid="{00000000-0005-0000-0000-0000E0C10000}"/>
    <cellStyle name="Output 2 2 6 2 4 2" xfId="41480" xr:uid="{00000000-0005-0000-0000-0000E1C10000}"/>
    <cellStyle name="Output 2 2 6 2 4 3" xfId="39357" xr:uid="{00000000-0005-0000-0000-0000E2C10000}"/>
    <cellStyle name="Output 2 2 6 2 4 4" xfId="29186" xr:uid="{00000000-0005-0000-0000-0000E3C10000}"/>
    <cellStyle name="Output 2 2 6 2 5" xfId="20946" xr:uid="{00000000-0005-0000-0000-0000E4C10000}"/>
    <cellStyle name="Output 2 2 6 2 5 2" xfId="46483" xr:uid="{00000000-0005-0000-0000-0000E5C10000}"/>
    <cellStyle name="Output 2 2 6 2 5 3" xfId="50389" xr:uid="{00000000-0005-0000-0000-0000E6C10000}"/>
    <cellStyle name="Output 2 2 6 2 5 4" xfId="38352" xr:uid="{00000000-0005-0000-0000-0000E7C10000}"/>
    <cellStyle name="Output 2 2 6 2 6" xfId="21599" xr:uid="{00000000-0005-0000-0000-0000E8C10000}"/>
    <cellStyle name="Output 2 2 6 2 6 2" xfId="47136" xr:uid="{00000000-0005-0000-0000-0000E9C10000}"/>
    <cellStyle name="Output 2 2 6 2 6 3" xfId="51042" xr:uid="{00000000-0005-0000-0000-0000EAC10000}"/>
    <cellStyle name="Output 2 2 6 2 7" xfId="40939" xr:uid="{00000000-0005-0000-0000-0000EBC10000}"/>
    <cellStyle name="Output 2 2 6 2 8" xfId="40486" xr:uid="{00000000-0005-0000-0000-0000ECC10000}"/>
    <cellStyle name="Output 2 2 6 3" xfId="11035" xr:uid="{00000000-0005-0000-0000-0000EDC10000}"/>
    <cellStyle name="Output 2 2 6 3 2" xfId="18828" xr:uid="{00000000-0005-0000-0000-0000EEC10000}"/>
    <cellStyle name="Output 2 2 6 3 2 2" xfId="44375" xr:uid="{00000000-0005-0000-0000-0000EFC10000}"/>
    <cellStyle name="Output 2 2 6 3 2 3" xfId="48284" xr:uid="{00000000-0005-0000-0000-0000F0C10000}"/>
    <cellStyle name="Output 2 2 6 3 2 4" xfId="36465" xr:uid="{00000000-0005-0000-0000-0000F1C10000}"/>
    <cellStyle name="Output 2 2 6 3 3" xfId="20421" xr:uid="{00000000-0005-0000-0000-0000F2C10000}"/>
    <cellStyle name="Output 2 2 6 3 3 2" xfId="45958" xr:uid="{00000000-0005-0000-0000-0000F3C10000}"/>
    <cellStyle name="Output 2 2 6 3 3 3" xfId="49864" xr:uid="{00000000-0005-0000-0000-0000F4C10000}"/>
    <cellStyle name="Output 2 2 6 3 3 4" xfId="37875" xr:uid="{00000000-0005-0000-0000-0000F5C10000}"/>
    <cellStyle name="Output 2 2 6 3 4" xfId="20565" xr:uid="{00000000-0005-0000-0000-0000F6C10000}"/>
    <cellStyle name="Output 2 2 6 3 4 2" xfId="46102" xr:uid="{00000000-0005-0000-0000-0000F7C10000}"/>
    <cellStyle name="Output 2 2 6 3 4 3" xfId="50008" xr:uid="{00000000-0005-0000-0000-0000F8C10000}"/>
    <cellStyle name="Output 2 2 6 3 4 4" xfId="37992" xr:uid="{00000000-0005-0000-0000-0000F9C10000}"/>
    <cellStyle name="Output 2 2 6 3 5" xfId="21241" xr:uid="{00000000-0005-0000-0000-0000FAC10000}"/>
    <cellStyle name="Output 2 2 6 3 5 2" xfId="46778" xr:uid="{00000000-0005-0000-0000-0000FBC10000}"/>
    <cellStyle name="Output 2 2 6 3 5 3" xfId="50684" xr:uid="{00000000-0005-0000-0000-0000FCC10000}"/>
    <cellStyle name="Output 2 2 6 3 5 4" xfId="38647" xr:uid="{00000000-0005-0000-0000-0000FDC10000}"/>
    <cellStyle name="Output 2 2 6 3 6" xfId="21894" xr:uid="{00000000-0005-0000-0000-0000FEC10000}"/>
    <cellStyle name="Output 2 2 6 3 6 2" xfId="47431" xr:uid="{00000000-0005-0000-0000-0000FFC10000}"/>
    <cellStyle name="Output 2 2 6 3 6 3" xfId="51337" xr:uid="{00000000-0005-0000-0000-000000C20000}"/>
    <cellStyle name="Output 2 2 6 3 7" xfId="41234" xr:uid="{00000000-0005-0000-0000-000001C20000}"/>
    <cellStyle name="Output 2 2 6 3 8" xfId="39690" xr:uid="{00000000-0005-0000-0000-000002C20000}"/>
    <cellStyle name="Output 2 2 6 4" xfId="15255" xr:uid="{00000000-0005-0000-0000-000003C20000}"/>
    <cellStyle name="Output 2 2 6 4 2" xfId="43128" xr:uid="{00000000-0005-0000-0000-000004C20000}"/>
    <cellStyle name="Output 2 2 6 4 3" xfId="39426" xr:uid="{00000000-0005-0000-0000-000005C20000}"/>
    <cellStyle name="Output 2 2 6 4 4" xfId="32890" xr:uid="{00000000-0005-0000-0000-000006C20000}"/>
    <cellStyle name="Output 2 2 6 5" xfId="20089" xr:uid="{00000000-0005-0000-0000-000007C20000}"/>
    <cellStyle name="Output 2 2 6 5 2" xfId="45626" xr:uid="{00000000-0005-0000-0000-000008C20000}"/>
    <cellStyle name="Output 2 2 6 5 3" xfId="49532" xr:uid="{00000000-0005-0000-0000-000009C20000}"/>
    <cellStyle name="Output 2 2 6 5 4" xfId="37581" xr:uid="{00000000-0005-0000-0000-00000AC20000}"/>
    <cellStyle name="Output 2 2 6 6" xfId="19813" xr:uid="{00000000-0005-0000-0000-00000BC20000}"/>
    <cellStyle name="Output 2 2 6 6 2" xfId="45350" xr:uid="{00000000-0005-0000-0000-00000CC20000}"/>
    <cellStyle name="Output 2 2 6 6 3" xfId="49256" xr:uid="{00000000-0005-0000-0000-00000DC20000}"/>
    <cellStyle name="Output 2 2 6 6 4" xfId="37334" xr:uid="{00000000-0005-0000-0000-00000EC20000}"/>
    <cellStyle name="Output 2 2 6 7" xfId="11619" xr:uid="{00000000-0005-0000-0000-00000FC20000}"/>
    <cellStyle name="Output 2 2 6 7 2" xfId="41630" xr:uid="{00000000-0005-0000-0000-000010C20000}"/>
    <cellStyle name="Output 2 2 6 7 3" xfId="42711" xr:uid="{00000000-0005-0000-0000-000011C20000}"/>
    <cellStyle name="Output 2 2 6 7 4" xfId="29322" xr:uid="{00000000-0005-0000-0000-000012C20000}"/>
    <cellStyle name="Output 2 2 6 8" xfId="19976" xr:uid="{00000000-0005-0000-0000-000013C20000}"/>
    <cellStyle name="Output 2 2 6 8 2" xfId="45513" xr:uid="{00000000-0005-0000-0000-000014C20000}"/>
    <cellStyle name="Output 2 2 6 8 3" xfId="49419" xr:uid="{00000000-0005-0000-0000-000015C20000}"/>
    <cellStyle name="Output 2 2 6 9" xfId="39988" xr:uid="{00000000-0005-0000-0000-000016C20000}"/>
    <cellStyle name="Output 2 2 7" xfId="12103" xr:uid="{00000000-0005-0000-0000-000017C20000}"/>
    <cellStyle name="Output 2 2 7 2" xfId="41848" xr:uid="{00000000-0005-0000-0000-000018C20000}"/>
    <cellStyle name="Output 2 2 7 3" xfId="39129" xr:uid="{00000000-0005-0000-0000-000019C20000}"/>
    <cellStyle name="Output 2 2 7 4" xfId="29776" xr:uid="{00000000-0005-0000-0000-00001AC20000}"/>
    <cellStyle name="Output 2 2 8" xfId="20246" xr:uid="{00000000-0005-0000-0000-00001BC20000}"/>
    <cellStyle name="Output 2 2 8 2" xfId="45783" xr:uid="{00000000-0005-0000-0000-00001CC20000}"/>
    <cellStyle name="Output 2 2 8 3" xfId="49689" xr:uid="{00000000-0005-0000-0000-00001DC20000}"/>
    <cellStyle name="Output 2 2 8 4" xfId="37718" xr:uid="{00000000-0005-0000-0000-00001EC20000}"/>
    <cellStyle name="Output 2 2 9" xfId="53298" xr:uid="{00000000-0005-0000-0000-00001FC20000}"/>
    <cellStyle name="Output 2 2_Sheet1" xfId="3254" xr:uid="{00000000-0005-0000-0000-000020C20000}"/>
    <cellStyle name="Output 2 20" xfId="19979" xr:uid="{00000000-0005-0000-0000-000021C20000}"/>
    <cellStyle name="Output 2 20 2" xfId="45516" xr:uid="{00000000-0005-0000-0000-000022C20000}"/>
    <cellStyle name="Output 2 20 3" xfId="49422" xr:uid="{00000000-0005-0000-0000-000023C20000}"/>
    <cellStyle name="Output 2 20 4" xfId="37481" xr:uid="{00000000-0005-0000-0000-000024C20000}"/>
    <cellStyle name="Output 2 21" xfId="3245" xr:uid="{00000000-0005-0000-0000-000025C20000}"/>
    <cellStyle name="Output 2 22" xfId="52767" xr:uid="{00000000-0005-0000-0000-000026C20000}"/>
    <cellStyle name="Output 2 23" xfId="52775" xr:uid="{00000000-0005-0000-0000-000027C20000}"/>
    <cellStyle name="Output 2 24" xfId="52763" xr:uid="{00000000-0005-0000-0000-000028C20000}"/>
    <cellStyle name="Output 2 25" xfId="52739" xr:uid="{00000000-0005-0000-0000-000029C20000}"/>
    <cellStyle name="Output 2 26" xfId="52762" xr:uid="{00000000-0005-0000-0000-00002AC20000}"/>
    <cellStyle name="Output 2 27" xfId="52774" xr:uid="{00000000-0005-0000-0000-00002BC20000}"/>
    <cellStyle name="Output 2 28" xfId="52761" xr:uid="{00000000-0005-0000-0000-00002CC20000}"/>
    <cellStyle name="Output 2 29" xfId="52776" xr:uid="{00000000-0005-0000-0000-00002DC20000}"/>
    <cellStyle name="Output 2 3" xfId="3255" xr:uid="{00000000-0005-0000-0000-00002EC20000}"/>
    <cellStyle name="Output 2 3 2" xfId="7471" xr:uid="{00000000-0005-0000-0000-00002FC20000}"/>
    <cellStyle name="Output 2 3 2 10" xfId="39409" xr:uid="{00000000-0005-0000-0000-000030C20000}"/>
    <cellStyle name="Output 2 3 2 11" xfId="53307" xr:uid="{00000000-0005-0000-0000-000031C20000}"/>
    <cellStyle name="Output 2 3 2 2" xfId="10744" xr:uid="{00000000-0005-0000-0000-000032C20000}"/>
    <cellStyle name="Output 2 3 2 2 2" xfId="18537" xr:uid="{00000000-0005-0000-0000-000033C20000}"/>
    <cellStyle name="Output 2 3 2 2 2 2" xfId="44084" xr:uid="{00000000-0005-0000-0000-000034C20000}"/>
    <cellStyle name="Output 2 3 2 2 2 3" xfId="47993" xr:uid="{00000000-0005-0000-0000-000035C20000}"/>
    <cellStyle name="Output 2 3 2 2 2 4" xfId="36174" xr:uid="{00000000-0005-0000-0000-000036C20000}"/>
    <cellStyle name="Output 2 3 2 2 3" xfId="13331" xr:uid="{00000000-0005-0000-0000-000037C20000}"/>
    <cellStyle name="Output 2 3 2 2 3 2" xfId="42501" xr:uid="{00000000-0005-0000-0000-000038C20000}"/>
    <cellStyle name="Output 2 3 2 2 3 3" xfId="39286" xr:uid="{00000000-0005-0000-0000-000039C20000}"/>
    <cellStyle name="Output 2 3 2 2 3 4" xfId="30971" xr:uid="{00000000-0005-0000-0000-00003AC20000}"/>
    <cellStyle name="Output 2 3 2 2 4" xfId="18954" xr:uid="{00000000-0005-0000-0000-00003BC20000}"/>
    <cellStyle name="Output 2 3 2 2 4 2" xfId="44491" xr:uid="{00000000-0005-0000-0000-00003CC20000}"/>
    <cellStyle name="Output 2 3 2 2 4 3" xfId="48397" xr:uid="{00000000-0005-0000-0000-00003DC20000}"/>
    <cellStyle name="Output 2 3 2 2 4 4" xfId="36580" xr:uid="{00000000-0005-0000-0000-00003EC20000}"/>
    <cellStyle name="Output 2 3 2 2 5" xfId="20950" xr:uid="{00000000-0005-0000-0000-00003FC20000}"/>
    <cellStyle name="Output 2 3 2 2 5 2" xfId="46487" xr:uid="{00000000-0005-0000-0000-000040C20000}"/>
    <cellStyle name="Output 2 3 2 2 5 3" xfId="50393" xr:uid="{00000000-0005-0000-0000-000041C20000}"/>
    <cellStyle name="Output 2 3 2 2 5 4" xfId="38356" xr:uid="{00000000-0005-0000-0000-000042C20000}"/>
    <cellStyle name="Output 2 3 2 2 6" xfId="21603" xr:uid="{00000000-0005-0000-0000-000043C20000}"/>
    <cellStyle name="Output 2 3 2 2 6 2" xfId="47140" xr:uid="{00000000-0005-0000-0000-000044C20000}"/>
    <cellStyle name="Output 2 3 2 2 6 3" xfId="51046" xr:uid="{00000000-0005-0000-0000-000045C20000}"/>
    <cellStyle name="Output 2 3 2 2 7" xfId="40943" xr:uid="{00000000-0005-0000-0000-000046C20000}"/>
    <cellStyle name="Output 2 3 2 2 8" xfId="40380" xr:uid="{00000000-0005-0000-0000-000047C20000}"/>
    <cellStyle name="Output 2 3 2 2 9" xfId="53413" xr:uid="{00000000-0005-0000-0000-000048C20000}"/>
    <cellStyle name="Output 2 3 2 3" xfId="11039" xr:uid="{00000000-0005-0000-0000-000049C20000}"/>
    <cellStyle name="Output 2 3 2 3 2" xfId="18832" xr:uid="{00000000-0005-0000-0000-00004AC20000}"/>
    <cellStyle name="Output 2 3 2 3 2 2" xfId="44379" xr:uid="{00000000-0005-0000-0000-00004BC20000}"/>
    <cellStyle name="Output 2 3 2 3 2 3" xfId="48288" xr:uid="{00000000-0005-0000-0000-00004CC20000}"/>
    <cellStyle name="Output 2 3 2 3 2 4" xfId="36469" xr:uid="{00000000-0005-0000-0000-00004DC20000}"/>
    <cellStyle name="Output 2 3 2 3 3" xfId="20425" xr:uid="{00000000-0005-0000-0000-00004EC20000}"/>
    <cellStyle name="Output 2 3 2 3 3 2" xfId="45962" xr:uid="{00000000-0005-0000-0000-00004FC20000}"/>
    <cellStyle name="Output 2 3 2 3 3 3" xfId="49868" xr:uid="{00000000-0005-0000-0000-000050C20000}"/>
    <cellStyle name="Output 2 3 2 3 3 4" xfId="37879" xr:uid="{00000000-0005-0000-0000-000051C20000}"/>
    <cellStyle name="Output 2 3 2 3 4" xfId="20569" xr:uid="{00000000-0005-0000-0000-000052C20000}"/>
    <cellStyle name="Output 2 3 2 3 4 2" xfId="46106" xr:uid="{00000000-0005-0000-0000-000053C20000}"/>
    <cellStyle name="Output 2 3 2 3 4 3" xfId="50012" xr:uid="{00000000-0005-0000-0000-000054C20000}"/>
    <cellStyle name="Output 2 3 2 3 4 4" xfId="37996" xr:uid="{00000000-0005-0000-0000-000055C20000}"/>
    <cellStyle name="Output 2 3 2 3 5" xfId="21245" xr:uid="{00000000-0005-0000-0000-000056C20000}"/>
    <cellStyle name="Output 2 3 2 3 5 2" xfId="46782" xr:uid="{00000000-0005-0000-0000-000057C20000}"/>
    <cellStyle name="Output 2 3 2 3 5 3" xfId="50688" xr:uid="{00000000-0005-0000-0000-000058C20000}"/>
    <cellStyle name="Output 2 3 2 3 5 4" xfId="38651" xr:uid="{00000000-0005-0000-0000-000059C20000}"/>
    <cellStyle name="Output 2 3 2 3 6" xfId="21898" xr:uid="{00000000-0005-0000-0000-00005AC20000}"/>
    <cellStyle name="Output 2 3 2 3 6 2" xfId="47435" xr:uid="{00000000-0005-0000-0000-00005BC20000}"/>
    <cellStyle name="Output 2 3 2 3 6 3" xfId="51341" xr:uid="{00000000-0005-0000-0000-00005CC20000}"/>
    <cellStyle name="Output 2 3 2 3 7" xfId="41238" xr:uid="{00000000-0005-0000-0000-00005DC20000}"/>
    <cellStyle name="Output 2 3 2 3 8" xfId="39584" xr:uid="{00000000-0005-0000-0000-00005EC20000}"/>
    <cellStyle name="Output 2 3 2 4" xfId="15259" xr:uid="{00000000-0005-0000-0000-00005FC20000}"/>
    <cellStyle name="Output 2 3 2 4 2" xfId="43132" xr:uid="{00000000-0005-0000-0000-000060C20000}"/>
    <cellStyle name="Output 2 3 2 4 3" xfId="40036" xr:uid="{00000000-0005-0000-0000-000061C20000}"/>
    <cellStyle name="Output 2 3 2 4 4" xfId="32894" xr:uid="{00000000-0005-0000-0000-000062C20000}"/>
    <cellStyle name="Output 2 3 2 5" xfId="19817" xr:uid="{00000000-0005-0000-0000-000063C20000}"/>
    <cellStyle name="Output 2 3 2 5 2" xfId="45354" xr:uid="{00000000-0005-0000-0000-000064C20000}"/>
    <cellStyle name="Output 2 3 2 5 3" xfId="49260" xr:uid="{00000000-0005-0000-0000-000065C20000}"/>
    <cellStyle name="Output 2 3 2 5 4" xfId="37338" xr:uid="{00000000-0005-0000-0000-000066C20000}"/>
    <cellStyle name="Output 2 3 2 6" xfId="19337" xr:uid="{00000000-0005-0000-0000-000067C20000}"/>
    <cellStyle name="Output 2 3 2 6 2" xfId="44874" xr:uid="{00000000-0005-0000-0000-000068C20000}"/>
    <cellStyle name="Output 2 3 2 6 3" xfId="48780" xr:uid="{00000000-0005-0000-0000-000069C20000}"/>
    <cellStyle name="Output 2 3 2 6 4" xfId="36909" xr:uid="{00000000-0005-0000-0000-00006AC20000}"/>
    <cellStyle name="Output 2 3 2 7" xfId="19562" xr:uid="{00000000-0005-0000-0000-00006BC20000}"/>
    <cellStyle name="Output 2 3 2 7 2" xfId="45099" xr:uid="{00000000-0005-0000-0000-00006CC20000}"/>
    <cellStyle name="Output 2 3 2 7 3" xfId="49005" xr:uid="{00000000-0005-0000-0000-00006DC20000}"/>
    <cellStyle name="Output 2 3 2 7 4" xfId="37103" xr:uid="{00000000-0005-0000-0000-00006EC20000}"/>
    <cellStyle name="Output 2 3 2 8" xfId="20057" xr:uid="{00000000-0005-0000-0000-00006FC20000}"/>
    <cellStyle name="Output 2 3 2 8 2" xfId="45594" xr:uid="{00000000-0005-0000-0000-000070C20000}"/>
    <cellStyle name="Output 2 3 2 8 3" xfId="49500" xr:uid="{00000000-0005-0000-0000-000071C20000}"/>
    <cellStyle name="Output 2 3 2 9" xfId="39992" xr:uid="{00000000-0005-0000-0000-000072C20000}"/>
    <cellStyle name="Output 2 3 3" xfId="12106" xr:uid="{00000000-0005-0000-0000-000073C20000}"/>
    <cellStyle name="Output 2 3 3 2" xfId="41851" xr:uid="{00000000-0005-0000-0000-000074C20000}"/>
    <cellStyle name="Output 2 3 3 3" xfId="39327" xr:uid="{00000000-0005-0000-0000-000075C20000}"/>
    <cellStyle name="Output 2 3 3 4" xfId="29779" xr:uid="{00000000-0005-0000-0000-000076C20000}"/>
    <cellStyle name="Output 2 3 3 5" xfId="53412" xr:uid="{00000000-0005-0000-0000-000077C20000}"/>
    <cellStyle name="Output 2 3 4" xfId="19978" xr:uid="{00000000-0005-0000-0000-000078C20000}"/>
    <cellStyle name="Output 2 3 4 2" xfId="45515" xr:uid="{00000000-0005-0000-0000-000079C20000}"/>
    <cellStyle name="Output 2 3 4 3" xfId="49421" xr:uid="{00000000-0005-0000-0000-00007AC20000}"/>
    <cellStyle name="Output 2 3 4 4" xfId="37480" xr:uid="{00000000-0005-0000-0000-00007BC20000}"/>
    <cellStyle name="Output 2 3 5" xfId="53306" xr:uid="{00000000-0005-0000-0000-00007CC20000}"/>
    <cellStyle name="Output 2 30" xfId="52832" xr:uid="{00000000-0005-0000-0000-00007DC20000}"/>
    <cellStyle name="Output 2 31" xfId="52786" xr:uid="{00000000-0005-0000-0000-00007EC20000}"/>
    <cellStyle name="Output 2 32" xfId="52833" xr:uid="{00000000-0005-0000-0000-00007FC20000}"/>
    <cellStyle name="Output 2 33" xfId="52787" xr:uid="{00000000-0005-0000-0000-000080C20000}"/>
    <cellStyle name="Output 2 34" xfId="52830" xr:uid="{00000000-0005-0000-0000-000081C20000}"/>
    <cellStyle name="Output 2 35" xfId="52785" xr:uid="{00000000-0005-0000-0000-000082C20000}"/>
    <cellStyle name="Output 2 36" xfId="52827" xr:uid="{00000000-0005-0000-0000-000083C20000}"/>
    <cellStyle name="Output 2 37" xfId="52788" xr:uid="{00000000-0005-0000-0000-000084C20000}"/>
    <cellStyle name="Output 2 38" xfId="52828" xr:uid="{00000000-0005-0000-0000-000085C20000}"/>
    <cellStyle name="Output 2 39" xfId="52790" xr:uid="{00000000-0005-0000-0000-000086C20000}"/>
    <cellStyle name="Output 2 4" xfId="3256" xr:uid="{00000000-0005-0000-0000-000087C20000}"/>
    <cellStyle name="Output 2 4 2" xfId="7472" xr:uid="{00000000-0005-0000-0000-000088C20000}"/>
    <cellStyle name="Output 2 4 2 10" xfId="39238" xr:uid="{00000000-0005-0000-0000-000089C20000}"/>
    <cellStyle name="Output 2 4 2 11" xfId="53309" xr:uid="{00000000-0005-0000-0000-00008AC20000}"/>
    <cellStyle name="Output 2 4 2 2" xfId="10745" xr:uid="{00000000-0005-0000-0000-00008BC20000}"/>
    <cellStyle name="Output 2 4 2 2 2" xfId="18538" xr:uid="{00000000-0005-0000-0000-00008CC20000}"/>
    <cellStyle name="Output 2 4 2 2 2 2" xfId="44085" xr:uid="{00000000-0005-0000-0000-00008DC20000}"/>
    <cellStyle name="Output 2 4 2 2 2 3" xfId="47994" xr:uid="{00000000-0005-0000-0000-00008EC20000}"/>
    <cellStyle name="Output 2 4 2 2 2 4" xfId="36175" xr:uid="{00000000-0005-0000-0000-00008FC20000}"/>
    <cellStyle name="Output 2 4 2 2 3" xfId="12165" xr:uid="{00000000-0005-0000-0000-000090C20000}"/>
    <cellStyle name="Output 2 4 2 2 3 2" xfId="41910" xr:uid="{00000000-0005-0000-0000-000091C20000}"/>
    <cellStyle name="Output 2 4 2 2 3 3" xfId="42571" xr:uid="{00000000-0005-0000-0000-000092C20000}"/>
    <cellStyle name="Output 2 4 2 2 3 4" xfId="29837" xr:uid="{00000000-0005-0000-0000-000093C20000}"/>
    <cellStyle name="Output 2 4 2 2 4" xfId="20363" xr:uid="{00000000-0005-0000-0000-000094C20000}"/>
    <cellStyle name="Output 2 4 2 2 4 2" xfId="45900" xr:uid="{00000000-0005-0000-0000-000095C20000}"/>
    <cellStyle name="Output 2 4 2 2 4 3" xfId="49806" xr:uid="{00000000-0005-0000-0000-000096C20000}"/>
    <cellStyle name="Output 2 4 2 2 4 4" xfId="37819" xr:uid="{00000000-0005-0000-0000-000097C20000}"/>
    <cellStyle name="Output 2 4 2 2 5" xfId="20951" xr:uid="{00000000-0005-0000-0000-000098C20000}"/>
    <cellStyle name="Output 2 4 2 2 5 2" xfId="46488" xr:uid="{00000000-0005-0000-0000-000099C20000}"/>
    <cellStyle name="Output 2 4 2 2 5 3" xfId="50394" xr:uid="{00000000-0005-0000-0000-00009AC20000}"/>
    <cellStyle name="Output 2 4 2 2 5 4" xfId="38357" xr:uid="{00000000-0005-0000-0000-00009BC20000}"/>
    <cellStyle name="Output 2 4 2 2 6" xfId="21604" xr:uid="{00000000-0005-0000-0000-00009CC20000}"/>
    <cellStyle name="Output 2 4 2 2 6 2" xfId="47141" xr:uid="{00000000-0005-0000-0000-00009DC20000}"/>
    <cellStyle name="Output 2 4 2 2 6 3" xfId="51047" xr:uid="{00000000-0005-0000-0000-00009EC20000}"/>
    <cellStyle name="Output 2 4 2 2 7" xfId="40944" xr:uid="{00000000-0005-0000-0000-00009FC20000}"/>
    <cellStyle name="Output 2 4 2 2 8" xfId="39492" xr:uid="{00000000-0005-0000-0000-0000A0C20000}"/>
    <cellStyle name="Output 2 4 2 2 9" xfId="53415" xr:uid="{00000000-0005-0000-0000-0000A1C20000}"/>
    <cellStyle name="Output 2 4 2 3" xfId="11040" xr:uid="{00000000-0005-0000-0000-0000A2C20000}"/>
    <cellStyle name="Output 2 4 2 3 2" xfId="18833" xr:uid="{00000000-0005-0000-0000-0000A3C20000}"/>
    <cellStyle name="Output 2 4 2 3 2 2" xfId="44380" xr:uid="{00000000-0005-0000-0000-0000A4C20000}"/>
    <cellStyle name="Output 2 4 2 3 2 3" xfId="48289" xr:uid="{00000000-0005-0000-0000-0000A5C20000}"/>
    <cellStyle name="Output 2 4 2 3 2 4" xfId="36470" xr:uid="{00000000-0005-0000-0000-0000A6C20000}"/>
    <cellStyle name="Output 2 4 2 3 3" xfId="20426" xr:uid="{00000000-0005-0000-0000-0000A7C20000}"/>
    <cellStyle name="Output 2 4 2 3 3 2" xfId="45963" xr:uid="{00000000-0005-0000-0000-0000A8C20000}"/>
    <cellStyle name="Output 2 4 2 3 3 3" xfId="49869" xr:uid="{00000000-0005-0000-0000-0000A9C20000}"/>
    <cellStyle name="Output 2 4 2 3 3 4" xfId="37880" xr:uid="{00000000-0005-0000-0000-0000AAC20000}"/>
    <cellStyle name="Output 2 4 2 3 4" xfId="20570" xr:uid="{00000000-0005-0000-0000-0000ABC20000}"/>
    <cellStyle name="Output 2 4 2 3 4 2" xfId="46107" xr:uid="{00000000-0005-0000-0000-0000ACC20000}"/>
    <cellStyle name="Output 2 4 2 3 4 3" xfId="50013" xr:uid="{00000000-0005-0000-0000-0000ADC20000}"/>
    <cellStyle name="Output 2 4 2 3 4 4" xfId="37997" xr:uid="{00000000-0005-0000-0000-0000AEC20000}"/>
    <cellStyle name="Output 2 4 2 3 5" xfId="21246" xr:uid="{00000000-0005-0000-0000-0000AFC20000}"/>
    <cellStyle name="Output 2 4 2 3 5 2" xfId="46783" xr:uid="{00000000-0005-0000-0000-0000B0C20000}"/>
    <cellStyle name="Output 2 4 2 3 5 3" xfId="50689" xr:uid="{00000000-0005-0000-0000-0000B1C20000}"/>
    <cellStyle name="Output 2 4 2 3 5 4" xfId="38652" xr:uid="{00000000-0005-0000-0000-0000B2C20000}"/>
    <cellStyle name="Output 2 4 2 3 6" xfId="21899" xr:uid="{00000000-0005-0000-0000-0000B3C20000}"/>
    <cellStyle name="Output 2 4 2 3 6 2" xfId="47436" xr:uid="{00000000-0005-0000-0000-0000B4C20000}"/>
    <cellStyle name="Output 2 4 2 3 6 3" xfId="51342" xr:uid="{00000000-0005-0000-0000-0000B5C20000}"/>
    <cellStyle name="Output 2 4 2 3 7" xfId="41239" xr:uid="{00000000-0005-0000-0000-0000B6C20000}"/>
    <cellStyle name="Output 2 4 2 3 8" xfId="42592" xr:uid="{00000000-0005-0000-0000-0000B7C20000}"/>
    <cellStyle name="Output 2 4 2 4" xfId="15260" xr:uid="{00000000-0005-0000-0000-0000B8C20000}"/>
    <cellStyle name="Output 2 4 2 4 2" xfId="43133" xr:uid="{00000000-0005-0000-0000-0000B9C20000}"/>
    <cellStyle name="Output 2 4 2 4 3" xfId="42776" xr:uid="{00000000-0005-0000-0000-0000BAC20000}"/>
    <cellStyle name="Output 2 4 2 4 4" xfId="32895" xr:uid="{00000000-0005-0000-0000-0000BBC20000}"/>
    <cellStyle name="Output 2 4 2 5" xfId="11368" xr:uid="{00000000-0005-0000-0000-0000BCC20000}"/>
    <cellStyle name="Output 2 4 2 5 2" xfId="41404" xr:uid="{00000000-0005-0000-0000-0000BDC20000}"/>
    <cellStyle name="Output 2 4 2 5 3" xfId="43608" xr:uid="{00000000-0005-0000-0000-0000BEC20000}"/>
    <cellStyle name="Output 2 4 2 5 4" xfId="29091" xr:uid="{00000000-0005-0000-0000-0000BFC20000}"/>
    <cellStyle name="Output 2 4 2 6" xfId="12679" xr:uid="{00000000-0005-0000-0000-0000C0C20000}"/>
    <cellStyle name="Output 2 4 2 6 2" xfId="42158" xr:uid="{00000000-0005-0000-0000-0000C1C20000}"/>
    <cellStyle name="Output 2 4 2 6 3" xfId="39451" xr:uid="{00000000-0005-0000-0000-0000C2C20000}"/>
    <cellStyle name="Output 2 4 2 6 4" xfId="30341" xr:uid="{00000000-0005-0000-0000-0000C3C20000}"/>
    <cellStyle name="Output 2 4 2 7" xfId="20500" xr:uid="{00000000-0005-0000-0000-0000C4C20000}"/>
    <cellStyle name="Output 2 4 2 7 2" xfId="46037" xr:uid="{00000000-0005-0000-0000-0000C5C20000}"/>
    <cellStyle name="Output 2 4 2 7 3" xfId="49943" xr:uid="{00000000-0005-0000-0000-0000C6C20000}"/>
    <cellStyle name="Output 2 4 2 7 4" xfId="37944" xr:uid="{00000000-0005-0000-0000-0000C7C20000}"/>
    <cellStyle name="Output 2 4 2 8" xfId="19493" xr:uid="{00000000-0005-0000-0000-0000C8C20000}"/>
    <cellStyle name="Output 2 4 2 8 2" xfId="45030" xr:uid="{00000000-0005-0000-0000-0000C9C20000}"/>
    <cellStyle name="Output 2 4 2 8 3" xfId="48936" xr:uid="{00000000-0005-0000-0000-0000CAC20000}"/>
    <cellStyle name="Output 2 4 2 9" xfId="39993" xr:uid="{00000000-0005-0000-0000-0000CBC20000}"/>
    <cellStyle name="Output 2 4 3" xfId="12107" xr:uid="{00000000-0005-0000-0000-0000CCC20000}"/>
    <cellStyle name="Output 2 4 3 2" xfId="41852" xr:uid="{00000000-0005-0000-0000-0000CDC20000}"/>
    <cellStyle name="Output 2 4 3 3" xfId="39127" xr:uid="{00000000-0005-0000-0000-0000CEC20000}"/>
    <cellStyle name="Output 2 4 3 4" xfId="29780" xr:uid="{00000000-0005-0000-0000-0000CFC20000}"/>
    <cellStyle name="Output 2 4 3 5" xfId="53414" xr:uid="{00000000-0005-0000-0000-0000D0C20000}"/>
    <cellStyle name="Output 2 4 4" xfId="19213" xr:uid="{00000000-0005-0000-0000-0000D1C20000}"/>
    <cellStyle name="Output 2 4 4 2" xfId="44750" xr:uid="{00000000-0005-0000-0000-0000D2C20000}"/>
    <cellStyle name="Output 2 4 4 3" xfId="48656" xr:uid="{00000000-0005-0000-0000-0000D3C20000}"/>
    <cellStyle name="Output 2 4 4 4" xfId="36798" xr:uid="{00000000-0005-0000-0000-0000D4C20000}"/>
    <cellStyle name="Output 2 4 5" xfId="53308" xr:uid="{00000000-0005-0000-0000-0000D5C20000}"/>
    <cellStyle name="Output 2 40" xfId="52829" xr:uid="{00000000-0005-0000-0000-0000D6C20000}"/>
    <cellStyle name="Output 2 41" xfId="52791" xr:uid="{00000000-0005-0000-0000-0000D7C20000}"/>
    <cellStyle name="Output 2 42" xfId="52831" xr:uid="{00000000-0005-0000-0000-0000D8C20000}"/>
    <cellStyle name="Output 2 43" xfId="52835" xr:uid="{00000000-0005-0000-0000-0000D9C20000}"/>
    <cellStyle name="Output 2 44" xfId="52848" xr:uid="{00000000-0005-0000-0000-0000DAC20000}"/>
    <cellStyle name="Output 2 45" xfId="52845" xr:uid="{00000000-0005-0000-0000-0000DBC20000}"/>
    <cellStyle name="Output 2 46" xfId="52849" xr:uid="{00000000-0005-0000-0000-0000DCC20000}"/>
    <cellStyle name="Output 2 47" xfId="52890" xr:uid="{00000000-0005-0000-0000-0000DDC20000}"/>
    <cellStyle name="Output 2 48" xfId="52852" xr:uid="{00000000-0005-0000-0000-0000DEC20000}"/>
    <cellStyle name="Output 2 49" xfId="52889" xr:uid="{00000000-0005-0000-0000-0000DFC20000}"/>
    <cellStyle name="Output 2 5" xfId="3257" xr:uid="{00000000-0005-0000-0000-0000E0C20000}"/>
    <cellStyle name="Output 2 5 2" xfId="7473" xr:uid="{00000000-0005-0000-0000-0000E1C20000}"/>
    <cellStyle name="Output 2 5 2 10" xfId="47477" xr:uid="{00000000-0005-0000-0000-0000E2C20000}"/>
    <cellStyle name="Output 2 5 2 11" xfId="53311" xr:uid="{00000000-0005-0000-0000-0000E3C20000}"/>
    <cellStyle name="Output 2 5 2 2" xfId="10746" xr:uid="{00000000-0005-0000-0000-0000E4C20000}"/>
    <cellStyle name="Output 2 5 2 2 2" xfId="18539" xr:uid="{00000000-0005-0000-0000-0000E5C20000}"/>
    <cellStyle name="Output 2 5 2 2 2 2" xfId="44086" xr:uid="{00000000-0005-0000-0000-0000E6C20000}"/>
    <cellStyle name="Output 2 5 2 2 2 3" xfId="47995" xr:uid="{00000000-0005-0000-0000-0000E7C20000}"/>
    <cellStyle name="Output 2 5 2 2 2 4" xfId="36176" xr:uid="{00000000-0005-0000-0000-0000E8C20000}"/>
    <cellStyle name="Output 2 5 2 2 3" xfId="19600" xr:uid="{00000000-0005-0000-0000-0000E9C20000}"/>
    <cellStyle name="Output 2 5 2 2 3 2" xfId="45137" xr:uid="{00000000-0005-0000-0000-0000EAC20000}"/>
    <cellStyle name="Output 2 5 2 2 3 3" xfId="49043" xr:uid="{00000000-0005-0000-0000-0000EBC20000}"/>
    <cellStyle name="Output 2 5 2 2 3 4" xfId="37140" xr:uid="{00000000-0005-0000-0000-0000ECC20000}"/>
    <cellStyle name="Output 2 5 2 2 4" xfId="19320" xr:uid="{00000000-0005-0000-0000-0000EDC20000}"/>
    <cellStyle name="Output 2 5 2 2 4 2" xfId="44857" xr:uid="{00000000-0005-0000-0000-0000EEC20000}"/>
    <cellStyle name="Output 2 5 2 2 4 3" xfId="48763" xr:uid="{00000000-0005-0000-0000-0000EFC20000}"/>
    <cellStyle name="Output 2 5 2 2 4 4" xfId="36898" xr:uid="{00000000-0005-0000-0000-0000F0C20000}"/>
    <cellStyle name="Output 2 5 2 2 5" xfId="20952" xr:uid="{00000000-0005-0000-0000-0000F1C20000}"/>
    <cellStyle name="Output 2 5 2 2 5 2" xfId="46489" xr:uid="{00000000-0005-0000-0000-0000F2C20000}"/>
    <cellStyle name="Output 2 5 2 2 5 3" xfId="50395" xr:uid="{00000000-0005-0000-0000-0000F3C20000}"/>
    <cellStyle name="Output 2 5 2 2 5 4" xfId="38358" xr:uid="{00000000-0005-0000-0000-0000F4C20000}"/>
    <cellStyle name="Output 2 5 2 2 6" xfId="21605" xr:uid="{00000000-0005-0000-0000-0000F5C20000}"/>
    <cellStyle name="Output 2 5 2 2 6 2" xfId="47142" xr:uid="{00000000-0005-0000-0000-0000F6C20000}"/>
    <cellStyle name="Output 2 5 2 2 6 3" xfId="51048" xr:uid="{00000000-0005-0000-0000-0000F7C20000}"/>
    <cellStyle name="Output 2 5 2 2 7" xfId="40945" xr:uid="{00000000-0005-0000-0000-0000F8C20000}"/>
    <cellStyle name="Output 2 5 2 2 8" xfId="42063" xr:uid="{00000000-0005-0000-0000-0000F9C20000}"/>
    <cellStyle name="Output 2 5 2 2 9" xfId="53417" xr:uid="{00000000-0005-0000-0000-0000FAC20000}"/>
    <cellStyle name="Output 2 5 2 3" xfId="11041" xr:uid="{00000000-0005-0000-0000-0000FBC20000}"/>
    <cellStyle name="Output 2 5 2 3 2" xfId="18834" xr:uid="{00000000-0005-0000-0000-0000FCC20000}"/>
    <cellStyle name="Output 2 5 2 3 2 2" xfId="44381" xr:uid="{00000000-0005-0000-0000-0000FDC20000}"/>
    <cellStyle name="Output 2 5 2 3 2 3" xfId="48290" xr:uid="{00000000-0005-0000-0000-0000FEC20000}"/>
    <cellStyle name="Output 2 5 2 3 2 4" xfId="36471" xr:uid="{00000000-0005-0000-0000-0000FFC20000}"/>
    <cellStyle name="Output 2 5 2 3 3" xfId="20427" xr:uid="{00000000-0005-0000-0000-000000C30000}"/>
    <cellStyle name="Output 2 5 2 3 3 2" xfId="45964" xr:uid="{00000000-0005-0000-0000-000001C30000}"/>
    <cellStyle name="Output 2 5 2 3 3 3" xfId="49870" xr:uid="{00000000-0005-0000-0000-000002C30000}"/>
    <cellStyle name="Output 2 5 2 3 3 4" xfId="37881" xr:uid="{00000000-0005-0000-0000-000003C30000}"/>
    <cellStyle name="Output 2 5 2 3 4" xfId="20571" xr:uid="{00000000-0005-0000-0000-000004C30000}"/>
    <cellStyle name="Output 2 5 2 3 4 2" xfId="46108" xr:uid="{00000000-0005-0000-0000-000005C30000}"/>
    <cellStyle name="Output 2 5 2 3 4 3" xfId="50014" xr:uid="{00000000-0005-0000-0000-000006C30000}"/>
    <cellStyle name="Output 2 5 2 3 4 4" xfId="37998" xr:uid="{00000000-0005-0000-0000-000007C30000}"/>
    <cellStyle name="Output 2 5 2 3 5" xfId="21247" xr:uid="{00000000-0005-0000-0000-000008C30000}"/>
    <cellStyle name="Output 2 5 2 3 5 2" xfId="46784" xr:uid="{00000000-0005-0000-0000-000009C30000}"/>
    <cellStyle name="Output 2 5 2 3 5 3" xfId="50690" xr:uid="{00000000-0005-0000-0000-00000AC30000}"/>
    <cellStyle name="Output 2 5 2 3 5 4" xfId="38653" xr:uid="{00000000-0005-0000-0000-00000BC30000}"/>
    <cellStyle name="Output 2 5 2 3 6" xfId="21900" xr:uid="{00000000-0005-0000-0000-00000CC30000}"/>
    <cellStyle name="Output 2 5 2 3 6 2" xfId="47437" xr:uid="{00000000-0005-0000-0000-00000DC30000}"/>
    <cellStyle name="Output 2 5 2 3 6 3" xfId="51343" xr:uid="{00000000-0005-0000-0000-00000EC30000}"/>
    <cellStyle name="Output 2 5 2 3 7" xfId="41240" xr:uid="{00000000-0005-0000-0000-00000FC30000}"/>
    <cellStyle name="Output 2 5 2 3 8" xfId="43505" xr:uid="{00000000-0005-0000-0000-000010C30000}"/>
    <cellStyle name="Output 2 5 2 4" xfId="15261" xr:uid="{00000000-0005-0000-0000-000011C30000}"/>
    <cellStyle name="Output 2 5 2 4 2" xfId="43134" xr:uid="{00000000-0005-0000-0000-000012C30000}"/>
    <cellStyle name="Output 2 5 2 4 3" xfId="43663" xr:uid="{00000000-0005-0000-0000-000013C30000}"/>
    <cellStyle name="Output 2 5 2 4 4" xfId="32896" xr:uid="{00000000-0005-0000-0000-000014C30000}"/>
    <cellStyle name="Output 2 5 2 5" xfId="13248" xr:uid="{00000000-0005-0000-0000-000015C30000}"/>
    <cellStyle name="Output 2 5 2 5 2" xfId="42428" xr:uid="{00000000-0005-0000-0000-000016C30000}"/>
    <cellStyle name="Output 2 5 2 5 3" xfId="42553" xr:uid="{00000000-0005-0000-0000-000017C30000}"/>
    <cellStyle name="Output 2 5 2 5 4" xfId="30893" xr:uid="{00000000-0005-0000-0000-000018C30000}"/>
    <cellStyle name="Output 2 5 2 6" xfId="19375" xr:uid="{00000000-0005-0000-0000-000019C30000}"/>
    <cellStyle name="Output 2 5 2 6 2" xfId="44912" xr:uid="{00000000-0005-0000-0000-00001AC30000}"/>
    <cellStyle name="Output 2 5 2 6 3" xfId="48818" xr:uid="{00000000-0005-0000-0000-00001BC30000}"/>
    <cellStyle name="Output 2 5 2 6 4" xfId="36941" xr:uid="{00000000-0005-0000-0000-00001CC30000}"/>
    <cellStyle name="Output 2 5 2 7" xfId="20469" xr:uid="{00000000-0005-0000-0000-00001DC30000}"/>
    <cellStyle name="Output 2 5 2 7 2" xfId="46006" xr:uid="{00000000-0005-0000-0000-00001EC30000}"/>
    <cellStyle name="Output 2 5 2 7 3" xfId="49912" xr:uid="{00000000-0005-0000-0000-00001FC30000}"/>
    <cellStyle name="Output 2 5 2 7 4" xfId="37922" xr:uid="{00000000-0005-0000-0000-000020C30000}"/>
    <cellStyle name="Output 2 5 2 8" xfId="11470" xr:uid="{00000000-0005-0000-0000-000021C30000}"/>
    <cellStyle name="Output 2 5 2 8 2" xfId="41481" xr:uid="{00000000-0005-0000-0000-000022C30000}"/>
    <cellStyle name="Output 2 5 2 8 3" xfId="42031" xr:uid="{00000000-0005-0000-0000-000023C30000}"/>
    <cellStyle name="Output 2 5 2 9" xfId="39994" xr:uid="{00000000-0005-0000-0000-000024C30000}"/>
    <cellStyle name="Output 2 5 3" xfId="12108" xr:uid="{00000000-0005-0000-0000-000025C30000}"/>
    <cellStyle name="Output 2 5 3 2" xfId="41853" xr:uid="{00000000-0005-0000-0000-000026C30000}"/>
    <cellStyle name="Output 2 5 3 3" xfId="39126" xr:uid="{00000000-0005-0000-0000-000027C30000}"/>
    <cellStyle name="Output 2 5 3 4" xfId="29781" xr:uid="{00000000-0005-0000-0000-000028C30000}"/>
    <cellStyle name="Output 2 5 3 5" xfId="53416" xr:uid="{00000000-0005-0000-0000-000029C30000}"/>
    <cellStyle name="Output 2 5 4" xfId="19843" xr:uid="{00000000-0005-0000-0000-00002AC30000}"/>
    <cellStyle name="Output 2 5 4 2" xfId="45380" xr:uid="{00000000-0005-0000-0000-00002BC30000}"/>
    <cellStyle name="Output 2 5 4 3" xfId="49286" xr:uid="{00000000-0005-0000-0000-00002CC30000}"/>
    <cellStyle name="Output 2 5 4 4" xfId="37360" xr:uid="{00000000-0005-0000-0000-00002DC30000}"/>
    <cellStyle name="Output 2 5 5" xfId="53310" xr:uid="{00000000-0005-0000-0000-00002EC30000}"/>
    <cellStyle name="Output 2 50" xfId="52851" xr:uid="{00000000-0005-0000-0000-00002FC30000}"/>
    <cellStyle name="Output 2 51" xfId="52888" xr:uid="{00000000-0005-0000-0000-000030C30000}"/>
    <cellStyle name="Output 2 52" xfId="52853" xr:uid="{00000000-0005-0000-0000-000031C30000}"/>
    <cellStyle name="Output 2 53" xfId="52887" xr:uid="{00000000-0005-0000-0000-000032C30000}"/>
    <cellStyle name="Output 2 54" xfId="52854" xr:uid="{00000000-0005-0000-0000-000033C30000}"/>
    <cellStyle name="Output 2 55" xfId="52902" xr:uid="{00000000-0005-0000-0000-000034C30000}"/>
    <cellStyle name="Output 2 56" xfId="52898" xr:uid="{00000000-0005-0000-0000-000035C30000}"/>
    <cellStyle name="Output 2 57" xfId="52901" xr:uid="{00000000-0005-0000-0000-000036C30000}"/>
    <cellStyle name="Output 2 58" xfId="52899" xr:uid="{00000000-0005-0000-0000-000037C30000}"/>
    <cellStyle name="Output 2 59" xfId="52900" xr:uid="{00000000-0005-0000-0000-000038C30000}"/>
    <cellStyle name="Output 2 6" xfId="3258" xr:uid="{00000000-0005-0000-0000-000039C30000}"/>
    <cellStyle name="Output 2 6 2" xfId="7474" xr:uid="{00000000-0005-0000-0000-00003AC30000}"/>
    <cellStyle name="Output 2 6 2 10" xfId="41707" xr:uid="{00000000-0005-0000-0000-00003BC30000}"/>
    <cellStyle name="Output 2 6 2 11" xfId="53313" xr:uid="{00000000-0005-0000-0000-00003CC30000}"/>
    <cellStyle name="Output 2 6 2 2" xfId="10747" xr:uid="{00000000-0005-0000-0000-00003DC30000}"/>
    <cellStyle name="Output 2 6 2 2 2" xfId="18540" xr:uid="{00000000-0005-0000-0000-00003EC30000}"/>
    <cellStyle name="Output 2 6 2 2 2 2" xfId="44087" xr:uid="{00000000-0005-0000-0000-00003FC30000}"/>
    <cellStyle name="Output 2 6 2 2 2 3" xfId="47996" xr:uid="{00000000-0005-0000-0000-000040C30000}"/>
    <cellStyle name="Output 2 6 2 2 2 4" xfId="36177" xr:uid="{00000000-0005-0000-0000-000041C30000}"/>
    <cellStyle name="Output 2 6 2 2 3" xfId="20153" xr:uid="{00000000-0005-0000-0000-000042C30000}"/>
    <cellStyle name="Output 2 6 2 2 3 2" xfId="45690" xr:uid="{00000000-0005-0000-0000-000043C30000}"/>
    <cellStyle name="Output 2 6 2 2 3 3" xfId="49596" xr:uid="{00000000-0005-0000-0000-000044C30000}"/>
    <cellStyle name="Output 2 6 2 2 3 4" xfId="37639" xr:uid="{00000000-0005-0000-0000-000045C30000}"/>
    <cellStyle name="Output 2 6 2 2 4" xfId="19082" xr:uid="{00000000-0005-0000-0000-000046C30000}"/>
    <cellStyle name="Output 2 6 2 2 4 2" xfId="44619" xr:uid="{00000000-0005-0000-0000-000047C30000}"/>
    <cellStyle name="Output 2 6 2 2 4 3" xfId="48525" xr:uid="{00000000-0005-0000-0000-000048C30000}"/>
    <cellStyle name="Output 2 6 2 2 4 4" xfId="36678" xr:uid="{00000000-0005-0000-0000-000049C30000}"/>
    <cellStyle name="Output 2 6 2 2 5" xfId="20953" xr:uid="{00000000-0005-0000-0000-00004AC30000}"/>
    <cellStyle name="Output 2 6 2 2 5 2" xfId="46490" xr:uid="{00000000-0005-0000-0000-00004BC30000}"/>
    <cellStyle name="Output 2 6 2 2 5 3" xfId="50396" xr:uid="{00000000-0005-0000-0000-00004CC30000}"/>
    <cellStyle name="Output 2 6 2 2 5 4" xfId="38359" xr:uid="{00000000-0005-0000-0000-00004DC30000}"/>
    <cellStyle name="Output 2 6 2 2 6" xfId="21606" xr:uid="{00000000-0005-0000-0000-00004EC30000}"/>
    <cellStyle name="Output 2 6 2 2 6 2" xfId="47143" xr:uid="{00000000-0005-0000-0000-00004FC30000}"/>
    <cellStyle name="Output 2 6 2 2 6 3" xfId="51049" xr:uid="{00000000-0005-0000-0000-000050C30000}"/>
    <cellStyle name="Output 2 6 2 2 7" xfId="40946" xr:uid="{00000000-0005-0000-0000-000051C30000}"/>
    <cellStyle name="Output 2 6 2 2 8" xfId="43382" xr:uid="{00000000-0005-0000-0000-000052C30000}"/>
    <cellStyle name="Output 2 6 2 2 9" xfId="53419" xr:uid="{00000000-0005-0000-0000-000053C30000}"/>
    <cellStyle name="Output 2 6 2 3" xfId="11042" xr:uid="{00000000-0005-0000-0000-000054C30000}"/>
    <cellStyle name="Output 2 6 2 3 2" xfId="18835" xr:uid="{00000000-0005-0000-0000-000055C30000}"/>
    <cellStyle name="Output 2 6 2 3 2 2" xfId="44382" xr:uid="{00000000-0005-0000-0000-000056C30000}"/>
    <cellStyle name="Output 2 6 2 3 2 3" xfId="48291" xr:uid="{00000000-0005-0000-0000-000057C30000}"/>
    <cellStyle name="Output 2 6 2 3 2 4" xfId="36472" xr:uid="{00000000-0005-0000-0000-000058C30000}"/>
    <cellStyle name="Output 2 6 2 3 3" xfId="20428" xr:uid="{00000000-0005-0000-0000-000059C30000}"/>
    <cellStyle name="Output 2 6 2 3 3 2" xfId="45965" xr:uid="{00000000-0005-0000-0000-00005AC30000}"/>
    <cellStyle name="Output 2 6 2 3 3 3" xfId="49871" xr:uid="{00000000-0005-0000-0000-00005BC30000}"/>
    <cellStyle name="Output 2 6 2 3 3 4" xfId="37882" xr:uid="{00000000-0005-0000-0000-00005CC30000}"/>
    <cellStyle name="Output 2 6 2 3 4" xfId="20572" xr:uid="{00000000-0005-0000-0000-00005DC30000}"/>
    <cellStyle name="Output 2 6 2 3 4 2" xfId="46109" xr:uid="{00000000-0005-0000-0000-00005EC30000}"/>
    <cellStyle name="Output 2 6 2 3 4 3" xfId="50015" xr:uid="{00000000-0005-0000-0000-00005FC30000}"/>
    <cellStyle name="Output 2 6 2 3 4 4" xfId="37999" xr:uid="{00000000-0005-0000-0000-000060C30000}"/>
    <cellStyle name="Output 2 6 2 3 5" xfId="21248" xr:uid="{00000000-0005-0000-0000-000061C30000}"/>
    <cellStyle name="Output 2 6 2 3 5 2" xfId="46785" xr:uid="{00000000-0005-0000-0000-000062C30000}"/>
    <cellStyle name="Output 2 6 2 3 5 3" xfId="50691" xr:uid="{00000000-0005-0000-0000-000063C30000}"/>
    <cellStyle name="Output 2 6 2 3 5 4" xfId="38654" xr:uid="{00000000-0005-0000-0000-000064C30000}"/>
    <cellStyle name="Output 2 6 2 3 6" xfId="21901" xr:uid="{00000000-0005-0000-0000-000065C30000}"/>
    <cellStyle name="Output 2 6 2 3 6 2" xfId="47438" xr:uid="{00000000-0005-0000-0000-000066C30000}"/>
    <cellStyle name="Output 2 6 2 3 6 3" xfId="51344" xr:uid="{00000000-0005-0000-0000-000067C30000}"/>
    <cellStyle name="Output 2 6 2 3 7" xfId="41241" xr:uid="{00000000-0005-0000-0000-000068C30000}"/>
    <cellStyle name="Output 2 6 2 3 8" xfId="40368" xr:uid="{00000000-0005-0000-0000-000069C30000}"/>
    <cellStyle name="Output 2 6 2 4" xfId="15262" xr:uid="{00000000-0005-0000-0000-00006AC30000}"/>
    <cellStyle name="Output 2 6 2 4 2" xfId="43135" xr:uid="{00000000-0005-0000-0000-00006BC30000}"/>
    <cellStyle name="Output 2 6 2 4 3" xfId="40522" xr:uid="{00000000-0005-0000-0000-00006CC30000}"/>
    <cellStyle name="Output 2 6 2 4 4" xfId="32897" xr:uid="{00000000-0005-0000-0000-00006DC30000}"/>
    <cellStyle name="Output 2 6 2 5" xfId="19660" xr:uid="{00000000-0005-0000-0000-00006EC30000}"/>
    <cellStyle name="Output 2 6 2 5 2" xfId="45197" xr:uid="{00000000-0005-0000-0000-00006FC30000}"/>
    <cellStyle name="Output 2 6 2 5 3" xfId="49103" xr:uid="{00000000-0005-0000-0000-000070C30000}"/>
    <cellStyle name="Output 2 6 2 5 4" xfId="37194" xr:uid="{00000000-0005-0000-0000-000071C30000}"/>
    <cellStyle name="Output 2 6 2 6" xfId="19780" xr:uid="{00000000-0005-0000-0000-000072C30000}"/>
    <cellStyle name="Output 2 6 2 6 2" xfId="45317" xr:uid="{00000000-0005-0000-0000-000073C30000}"/>
    <cellStyle name="Output 2 6 2 6 3" xfId="49223" xr:uid="{00000000-0005-0000-0000-000074C30000}"/>
    <cellStyle name="Output 2 6 2 6 4" xfId="37306" xr:uid="{00000000-0005-0000-0000-000075C30000}"/>
    <cellStyle name="Output 2 6 2 7" xfId="19187" xr:uid="{00000000-0005-0000-0000-000076C30000}"/>
    <cellStyle name="Output 2 6 2 7 2" xfId="44724" xr:uid="{00000000-0005-0000-0000-000077C30000}"/>
    <cellStyle name="Output 2 6 2 7 3" xfId="48630" xr:uid="{00000000-0005-0000-0000-000078C30000}"/>
    <cellStyle name="Output 2 6 2 7 4" xfId="36774" xr:uid="{00000000-0005-0000-0000-000079C30000}"/>
    <cellStyle name="Output 2 6 2 8" xfId="19705" xr:uid="{00000000-0005-0000-0000-00007AC30000}"/>
    <cellStyle name="Output 2 6 2 8 2" xfId="45242" xr:uid="{00000000-0005-0000-0000-00007BC30000}"/>
    <cellStyle name="Output 2 6 2 8 3" xfId="49148" xr:uid="{00000000-0005-0000-0000-00007CC30000}"/>
    <cellStyle name="Output 2 6 2 9" xfId="39995" xr:uid="{00000000-0005-0000-0000-00007DC30000}"/>
    <cellStyle name="Output 2 6 3" xfId="12109" xr:uid="{00000000-0005-0000-0000-00007EC30000}"/>
    <cellStyle name="Output 2 6 3 2" xfId="41854" xr:uid="{00000000-0005-0000-0000-00007FC30000}"/>
    <cellStyle name="Output 2 6 3 3" xfId="39125" xr:uid="{00000000-0005-0000-0000-000080C30000}"/>
    <cellStyle name="Output 2 6 3 4" xfId="29782" xr:uid="{00000000-0005-0000-0000-000081C30000}"/>
    <cellStyle name="Output 2 6 3 5" xfId="53418" xr:uid="{00000000-0005-0000-0000-000082C30000}"/>
    <cellStyle name="Output 2 6 4" xfId="18974" xr:uid="{00000000-0005-0000-0000-000083C30000}"/>
    <cellStyle name="Output 2 6 4 2" xfId="44511" xr:uid="{00000000-0005-0000-0000-000084C30000}"/>
    <cellStyle name="Output 2 6 4 3" xfId="48417" xr:uid="{00000000-0005-0000-0000-000085C30000}"/>
    <cellStyle name="Output 2 6 4 4" xfId="36599" xr:uid="{00000000-0005-0000-0000-000086C30000}"/>
    <cellStyle name="Output 2 6 5" xfId="53312" xr:uid="{00000000-0005-0000-0000-000087C30000}"/>
    <cellStyle name="Output 2 60" xfId="52905" xr:uid="{00000000-0005-0000-0000-000088C30000}"/>
    <cellStyle name="Output 2 61" xfId="53288" xr:uid="{00000000-0005-0000-0000-000089C30000}"/>
    <cellStyle name="Output 2 7" xfId="3259" xr:uid="{00000000-0005-0000-0000-00008AC30000}"/>
    <cellStyle name="Output 2 7 2" xfId="7475" xr:uid="{00000000-0005-0000-0000-00008BC30000}"/>
    <cellStyle name="Output 2 7 2 10" xfId="43270" xr:uid="{00000000-0005-0000-0000-00008CC30000}"/>
    <cellStyle name="Output 2 7 2 11" xfId="53315" xr:uid="{00000000-0005-0000-0000-00008DC30000}"/>
    <cellStyle name="Output 2 7 2 2" xfId="10748" xr:uid="{00000000-0005-0000-0000-00008EC30000}"/>
    <cellStyle name="Output 2 7 2 2 2" xfId="18541" xr:uid="{00000000-0005-0000-0000-00008FC30000}"/>
    <cellStyle name="Output 2 7 2 2 2 2" xfId="44088" xr:uid="{00000000-0005-0000-0000-000090C30000}"/>
    <cellStyle name="Output 2 7 2 2 2 3" xfId="47997" xr:uid="{00000000-0005-0000-0000-000091C30000}"/>
    <cellStyle name="Output 2 7 2 2 2 4" xfId="36178" xr:uid="{00000000-0005-0000-0000-000092C30000}"/>
    <cellStyle name="Output 2 7 2 2 3" xfId="19412" xr:uid="{00000000-0005-0000-0000-000093C30000}"/>
    <cellStyle name="Output 2 7 2 2 3 2" xfId="44949" xr:uid="{00000000-0005-0000-0000-000094C30000}"/>
    <cellStyle name="Output 2 7 2 2 3 3" xfId="48855" xr:uid="{00000000-0005-0000-0000-000095C30000}"/>
    <cellStyle name="Output 2 7 2 2 3 4" xfId="36977" xr:uid="{00000000-0005-0000-0000-000096C30000}"/>
    <cellStyle name="Output 2 7 2 2 4" xfId="19567" xr:uid="{00000000-0005-0000-0000-000097C30000}"/>
    <cellStyle name="Output 2 7 2 2 4 2" xfId="45104" xr:uid="{00000000-0005-0000-0000-000098C30000}"/>
    <cellStyle name="Output 2 7 2 2 4 3" xfId="49010" xr:uid="{00000000-0005-0000-0000-000099C30000}"/>
    <cellStyle name="Output 2 7 2 2 4 4" xfId="37108" xr:uid="{00000000-0005-0000-0000-00009AC30000}"/>
    <cellStyle name="Output 2 7 2 2 5" xfId="20954" xr:uid="{00000000-0005-0000-0000-00009BC30000}"/>
    <cellStyle name="Output 2 7 2 2 5 2" xfId="46491" xr:uid="{00000000-0005-0000-0000-00009CC30000}"/>
    <cellStyle name="Output 2 7 2 2 5 3" xfId="50397" xr:uid="{00000000-0005-0000-0000-00009DC30000}"/>
    <cellStyle name="Output 2 7 2 2 5 4" xfId="38360" xr:uid="{00000000-0005-0000-0000-00009EC30000}"/>
    <cellStyle name="Output 2 7 2 2 6" xfId="21607" xr:uid="{00000000-0005-0000-0000-00009FC30000}"/>
    <cellStyle name="Output 2 7 2 2 6 2" xfId="47144" xr:uid="{00000000-0005-0000-0000-0000A0C30000}"/>
    <cellStyle name="Output 2 7 2 2 6 3" xfId="51050" xr:uid="{00000000-0005-0000-0000-0000A1C30000}"/>
    <cellStyle name="Output 2 7 2 2 7" xfId="40947" xr:uid="{00000000-0005-0000-0000-0000A2C30000}"/>
    <cellStyle name="Output 2 7 2 2 8" xfId="40244" xr:uid="{00000000-0005-0000-0000-0000A3C30000}"/>
    <cellStyle name="Output 2 7 2 2 9" xfId="53421" xr:uid="{00000000-0005-0000-0000-0000A4C30000}"/>
    <cellStyle name="Output 2 7 2 3" xfId="11043" xr:uid="{00000000-0005-0000-0000-0000A5C30000}"/>
    <cellStyle name="Output 2 7 2 3 2" xfId="18836" xr:uid="{00000000-0005-0000-0000-0000A6C30000}"/>
    <cellStyle name="Output 2 7 2 3 2 2" xfId="44383" xr:uid="{00000000-0005-0000-0000-0000A7C30000}"/>
    <cellStyle name="Output 2 7 2 3 2 3" xfId="48292" xr:uid="{00000000-0005-0000-0000-0000A8C30000}"/>
    <cellStyle name="Output 2 7 2 3 2 4" xfId="36473" xr:uid="{00000000-0005-0000-0000-0000A9C30000}"/>
    <cellStyle name="Output 2 7 2 3 3" xfId="20429" xr:uid="{00000000-0005-0000-0000-0000AAC30000}"/>
    <cellStyle name="Output 2 7 2 3 3 2" xfId="45966" xr:uid="{00000000-0005-0000-0000-0000ABC30000}"/>
    <cellStyle name="Output 2 7 2 3 3 3" xfId="49872" xr:uid="{00000000-0005-0000-0000-0000ACC30000}"/>
    <cellStyle name="Output 2 7 2 3 3 4" xfId="37883" xr:uid="{00000000-0005-0000-0000-0000ADC30000}"/>
    <cellStyle name="Output 2 7 2 3 4" xfId="20573" xr:uid="{00000000-0005-0000-0000-0000AEC30000}"/>
    <cellStyle name="Output 2 7 2 3 4 2" xfId="46110" xr:uid="{00000000-0005-0000-0000-0000AFC30000}"/>
    <cellStyle name="Output 2 7 2 3 4 3" xfId="50016" xr:uid="{00000000-0005-0000-0000-0000B0C30000}"/>
    <cellStyle name="Output 2 7 2 3 4 4" xfId="38000" xr:uid="{00000000-0005-0000-0000-0000B1C30000}"/>
    <cellStyle name="Output 2 7 2 3 5" xfId="21249" xr:uid="{00000000-0005-0000-0000-0000B2C30000}"/>
    <cellStyle name="Output 2 7 2 3 5 2" xfId="46786" xr:uid="{00000000-0005-0000-0000-0000B3C30000}"/>
    <cellStyle name="Output 2 7 2 3 5 3" xfId="50692" xr:uid="{00000000-0005-0000-0000-0000B4C30000}"/>
    <cellStyle name="Output 2 7 2 3 5 4" xfId="38655" xr:uid="{00000000-0005-0000-0000-0000B5C30000}"/>
    <cellStyle name="Output 2 7 2 3 6" xfId="21902" xr:uid="{00000000-0005-0000-0000-0000B6C30000}"/>
    <cellStyle name="Output 2 7 2 3 6 2" xfId="47439" xr:uid="{00000000-0005-0000-0000-0000B7C30000}"/>
    <cellStyle name="Output 2 7 2 3 6 3" xfId="51345" xr:uid="{00000000-0005-0000-0000-0000B8C30000}"/>
    <cellStyle name="Output 2 7 2 3 7" xfId="41242" xr:uid="{00000000-0005-0000-0000-0000B9C30000}"/>
    <cellStyle name="Output 2 7 2 3 8" xfId="39480" xr:uid="{00000000-0005-0000-0000-0000BAC30000}"/>
    <cellStyle name="Output 2 7 2 4" xfId="15263" xr:uid="{00000000-0005-0000-0000-0000BBC30000}"/>
    <cellStyle name="Output 2 7 2 4 2" xfId="43136" xr:uid="{00000000-0005-0000-0000-0000BCC30000}"/>
    <cellStyle name="Output 2 7 2 4 3" xfId="39630" xr:uid="{00000000-0005-0000-0000-0000BDC30000}"/>
    <cellStyle name="Output 2 7 2 4 4" xfId="32898" xr:uid="{00000000-0005-0000-0000-0000BEC30000}"/>
    <cellStyle name="Output 2 7 2 5" xfId="20219" xr:uid="{00000000-0005-0000-0000-0000BFC30000}"/>
    <cellStyle name="Output 2 7 2 5 2" xfId="45756" xr:uid="{00000000-0005-0000-0000-0000C0C30000}"/>
    <cellStyle name="Output 2 7 2 5 3" xfId="49662" xr:uid="{00000000-0005-0000-0000-0000C1C30000}"/>
    <cellStyle name="Output 2 7 2 5 4" xfId="37696" xr:uid="{00000000-0005-0000-0000-0000C2C30000}"/>
    <cellStyle name="Output 2 7 2 6" xfId="20475" xr:uid="{00000000-0005-0000-0000-0000C3C30000}"/>
    <cellStyle name="Output 2 7 2 6 2" xfId="46012" xr:uid="{00000000-0005-0000-0000-0000C4C30000}"/>
    <cellStyle name="Output 2 7 2 6 3" xfId="49918" xr:uid="{00000000-0005-0000-0000-0000C5C30000}"/>
    <cellStyle name="Output 2 7 2 6 4" xfId="37928" xr:uid="{00000000-0005-0000-0000-0000C6C30000}"/>
    <cellStyle name="Output 2 7 2 7" xfId="20283" xr:uid="{00000000-0005-0000-0000-0000C7C30000}"/>
    <cellStyle name="Output 2 7 2 7 2" xfId="45820" xr:uid="{00000000-0005-0000-0000-0000C8C30000}"/>
    <cellStyle name="Output 2 7 2 7 3" xfId="49726" xr:uid="{00000000-0005-0000-0000-0000C9C30000}"/>
    <cellStyle name="Output 2 7 2 7 4" xfId="37751" xr:uid="{00000000-0005-0000-0000-0000CAC30000}"/>
    <cellStyle name="Output 2 7 2 8" xfId="20197" xr:uid="{00000000-0005-0000-0000-0000CBC30000}"/>
    <cellStyle name="Output 2 7 2 8 2" xfId="45734" xr:uid="{00000000-0005-0000-0000-0000CCC30000}"/>
    <cellStyle name="Output 2 7 2 8 3" xfId="49640" xr:uid="{00000000-0005-0000-0000-0000CDC30000}"/>
    <cellStyle name="Output 2 7 2 9" xfId="39996" xr:uid="{00000000-0005-0000-0000-0000CEC30000}"/>
    <cellStyle name="Output 2 7 3" xfId="12110" xr:uid="{00000000-0005-0000-0000-0000CFC30000}"/>
    <cellStyle name="Output 2 7 3 2" xfId="41855" xr:uid="{00000000-0005-0000-0000-0000D0C30000}"/>
    <cellStyle name="Output 2 7 3 3" xfId="39326" xr:uid="{00000000-0005-0000-0000-0000D1C30000}"/>
    <cellStyle name="Output 2 7 3 4" xfId="29783" xr:uid="{00000000-0005-0000-0000-0000D2C30000}"/>
    <cellStyle name="Output 2 7 3 5" xfId="53420" xr:uid="{00000000-0005-0000-0000-0000D3C30000}"/>
    <cellStyle name="Output 2 7 4" xfId="11608" xr:uid="{00000000-0005-0000-0000-0000D4C30000}"/>
    <cellStyle name="Output 2 7 4 2" xfId="41619" xr:uid="{00000000-0005-0000-0000-0000D5C30000}"/>
    <cellStyle name="Output 2 7 4 3" xfId="40209" xr:uid="{00000000-0005-0000-0000-0000D6C30000}"/>
    <cellStyle name="Output 2 7 4 4" xfId="29311" xr:uid="{00000000-0005-0000-0000-0000D7C30000}"/>
    <cellStyle name="Output 2 7 5" xfId="53314" xr:uid="{00000000-0005-0000-0000-0000D8C30000}"/>
    <cellStyle name="Output 2 8" xfId="3260" xr:uid="{00000000-0005-0000-0000-0000D9C30000}"/>
    <cellStyle name="Output 2 8 2" xfId="7476" xr:uid="{00000000-0005-0000-0000-0000DAC30000}"/>
    <cellStyle name="Output 2 8 2 10" xfId="40129" xr:uid="{00000000-0005-0000-0000-0000DBC30000}"/>
    <cellStyle name="Output 2 8 2 11" xfId="53317" xr:uid="{00000000-0005-0000-0000-0000DCC30000}"/>
    <cellStyle name="Output 2 8 2 2" xfId="10749" xr:uid="{00000000-0005-0000-0000-0000DDC30000}"/>
    <cellStyle name="Output 2 8 2 2 2" xfId="18542" xr:uid="{00000000-0005-0000-0000-0000DEC30000}"/>
    <cellStyle name="Output 2 8 2 2 2 2" xfId="44089" xr:uid="{00000000-0005-0000-0000-0000DFC30000}"/>
    <cellStyle name="Output 2 8 2 2 2 3" xfId="47998" xr:uid="{00000000-0005-0000-0000-0000E0C30000}"/>
    <cellStyle name="Output 2 8 2 2 2 4" xfId="36179" xr:uid="{00000000-0005-0000-0000-0000E1C30000}"/>
    <cellStyle name="Output 2 8 2 2 3" xfId="20019" xr:uid="{00000000-0005-0000-0000-0000E2C30000}"/>
    <cellStyle name="Output 2 8 2 2 3 2" xfId="45556" xr:uid="{00000000-0005-0000-0000-0000E3C30000}"/>
    <cellStyle name="Output 2 8 2 2 3 3" xfId="49462" xr:uid="{00000000-0005-0000-0000-0000E4C30000}"/>
    <cellStyle name="Output 2 8 2 2 3 4" xfId="37517" xr:uid="{00000000-0005-0000-0000-0000E5C30000}"/>
    <cellStyle name="Output 2 8 2 2 4" xfId="12527" xr:uid="{00000000-0005-0000-0000-0000E6C30000}"/>
    <cellStyle name="Output 2 8 2 2 4 2" xfId="42035" xr:uid="{00000000-0005-0000-0000-0000E7C30000}"/>
    <cellStyle name="Output 2 8 2 2 4 3" xfId="39113" xr:uid="{00000000-0005-0000-0000-0000E8C30000}"/>
    <cellStyle name="Output 2 8 2 2 4 4" xfId="30195" xr:uid="{00000000-0005-0000-0000-0000E9C30000}"/>
    <cellStyle name="Output 2 8 2 2 5" xfId="20955" xr:uid="{00000000-0005-0000-0000-0000EAC30000}"/>
    <cellStyle name="Output 2 8 2 2 5 2" xfId="46492" xr:uid="{00000000-0005-0000-0000-0000EBC30000}"/>
    <cellStyle name="Output 2 8 2 2 5 3" xfId="50398" xr:uid="{00000000-0005-0000-0000-0000ECC30000}"/>
    <cellStyle name="Output 2 8 2 2 5 4" xfId="38361" xr:uid="{00000000-0005-0000-0000-0000EDC30000}"/>
    <cellStyle name="Output 2 8 2 2 6" xfId="21608" xr:uid="{00000000-0005-0000-0000-0000EEC30000}"/>
    <cellStyle name="Output 2 8 2 2 6 2" xfId="47145" xr:uid="{00000000-0005-0000-0000-0000EFC30000}"/>
    <cellStyle name="Output 2 8 2 2 6 3" xfId="51051" xr:uid="{00000000-0005-0000-0000-0000F0C30000}"/>
    <cellStyle name="Output 2 8 2 2 7" xfId="40948" xr:uid="{00000000-0005-0000-0000-0000F1C30000}"/>
    <cellStyle name="Output 2 8 2 2 8" xfId="39384" xr:uid="{00000000-0005-0000-0000-0000F2C30000}"/>
    <cellStyle name="Output 2 8 2 2 9" xfId="53423" xr:uid="{00000000-0005-0000-0000-0000F3C30000}"/>
    <cellStyle name="Output 2 8 2 3" xfId="11044" xr:uid="{00000000-0005-0000-0000-0000F4C30000}"/>
    <cellStyle name="Output 2 8 2 3 2" xfId="18837" xr:uid="{00000000-0005-0000-0000-0000F5C30000}"/>
    <cellStyle name="Output 2 8 2 3 2 2" xfId="44384" xr:uid="{00000000-0005-0000-0000-0000F6C30000}"/>
    <cellStyle name="Output 2 8 2 3 2 3" xfId="48293" xr:uid="{00000000-0005-0000-0000-0000F7C30000}"/>
    <cellStyle name="Output 2 8 2 3 2 4" xfId="36474" xr:uid="{00000000-0005-0000-0000-0000F8C30000}"/>
    <cellStyle name="Output 2 8 2 3 3" xfId="20430" xr:uid="{00000000-0005-0000-0000-0000F9C30000}"/>
    <cellStyle name="Output 2 8 2 3 3 2" xfId="45967" xr:uid="{00000000-0005-0000-0000-0000FAC30000}"/>
    <cellStyle name="Output 2 8 2 3 3 3" xfId="49873" xr:uid="{00000000-0005-0000-0000-0000FBC30000}"/>
    <cellStyle name="Output 2 8 2 3 3 4" xfId="37884" xr:uid="{00000000-0005-0000-0000-0000FCC30000}"/>
    <cellStyle name="Output 2 8 2 3 4" xfId="20574" xr:uid="{00000000-0005-0000-0000-0000FDC30000}"/>
    <cellStyle name="Output 2 8 2 3 4 2" xfId="46111" xr:uid="{00000000-0005-0000-0000-0000FEC30000}"/>
    <cellStyle name="Output 2 8 2 3 4 3" xfId="50017" xr:uid="{00000000-0005-0000-0000-0000FFC30000}"/>
    <cellStyle name="Output 2 8 2 3 4 4" xfId="38001" xr:uid="{00000000-0005-0000-0000-000000C40000}"/>
    <cellStyle name="Output 2 8 2 3 5" xfId="21250" xr:uid="{00000000-0005-0000-0000-000001C40000}"/>
    <cellStyle name="Output 2 8 2 3 5 2" xfId="46787" xr:uid="{00000000-0005-0000-0000-000002C40000}"/>
    <cellStyle name="Output 2 8 2 3 5 3" xfId="50693" xr:uid="{00000000-0005-0000-0000-000003C40000}"/>
    <cellStyle name="Output 2 8 2 3 5 4" xfId="38656" xr:uid="{00000000-0005-0000-0000-000004C40000}"/>
    <cellStyle name="Output 2 8 2 3 6" xfId="21903" xr:uid="{00000000-0005-0000-0000-000005C40000}"/>
    <cellStyle name="Output 2 8 2 3 6 2" xfId="47440" xr:uid="{00000000-0005-0000-0000-000006C40000}"/>
    <cellStyle name="Output 2 8 2 3 6 3" xfId="51346" xr:uid="{00000000-0005-0000-0000-000007C40000}"/>
    <cellStyle name="Output 2 8 2 3 7" xfId="41243" xr:uid="{00000000-0005-0000-0000-000008C40000}"/>
    <cellStyle name="Output 2 8 2 3 8" xfId="42045" xr:uid="{00000000-0005-0000-0000-000009C40000}"/>
    <cellStyle name="Output 2 8 2 4" xfId="15264" xr:uid="{00000000-0005-0000-0000-00000AC40000}"/>
    <cellStyle name="Output 2 8 2 4 2" xfId="43137" xr:uid="{00000000-0005-0000-0000-00000BC40000}"/>
    <cellStyle name="Output 2 8 2 4 3" xfId="42666" xr:uid="{00000000-0005-0000-0000-00000CC40000}"/>
    <cellStyle name="Output 2 8 2 4 4" xfId="32899" xr:uid="{00000000-0005-0000-0000-00000DC40000}"/>
    <cellStyle name="Output 2 8 2 5" xfId="19487" xr:uid="{00000000-0005-0000-0000-00000EC40000}"/>
    <cellStyle name="Output 2 8 2 5 2" xfId="45024" xr:uid="{00000000-0005-0000-0000-00000FC40000}"/>
    <cellStyle name="Output 2 8 2 5 3" xfId="48930" xr:uid="{00000000-0005-0000-0000-000010C40000}"/>
    <cellStyle name="Output 2 8 2 5 4" xfId="37043" xr:uid="{00000000-0005-0000-0000-000011C40000}"/>
    <cellStyle name="Output 2 8 2 6" xfId="11824" xr:uid="{00000000-0005-0000-0000-000012C40000}"/>
    <cellStyle name="Output 2 8 2 6 2" xfId="41762" xr:uid="{00000000-0005-0000-0000-000013C40000}"/>
    <cellStyle name="Output 2 8 2 6 3" xfId="41379" xr:uid="{00000000-0005-0000-0000-000014C40000}"/>
    <cellStyle name="Output 2 8 2 6 4" xfId="29509" xr:uid="{00000000-0005-0000-0000-000015C40000}"/>
    <cellStyle name="Output 2 8 2 7" xfId="11635" xr:uid="{00000000-0005-0000-0000-000016C40000}"/>
    <cellStyle name="Output 2 8 2 7 2" xfId="41646" xr:uid="{00000000-0005-0000-0000-000017C40000}"/>
    <cellStyle name="Output 2 8 2 7 3" xfId="40070" xr:uid="{00000000-0005-0000-0000-000018C40000}"/>
    <cellStyle name="Output 2 8 2 7 4" xfId="29336" xr:uid="{00000000-0005-0000-0000-000019C40000}"/>
    <cellStyle name="Output 2 8 2 8" xfId="20536" xr:uid="{00000000-0005-0000-0000-00001AC40000}"/>
    <cellStyle name="Output 2 8 2 8 2" xfId="46073" xr:uid="{00000000-0005-0000-0000-00001BC40000}"/>
    <cellStyle name="Output 2 8 2 8 3" xfId="49979" xr:uid="{00000000-0005-0000-0000-00001CC40000}"/>
    <cellStyle name="Output 2 8 2 9" xfId="39997" xr:uid="{00000000-0005-0000-0000-00001DC40000}"/>
    <cellStyle name="Output 2 8 3" xfId="12111" xr:uid="{00000000-0005-0000-0000-00001EC40000}"/>
    <cellStyle name="Output 2 8 3 2" xfId="41856" xr:uid="{00000000-0005-0000-0000-00001FC40000}"/>
    <cellStyle name="Output 2 8 3 3" xfId="39325" xr:uid="{00000000-0005-0000-0000-000020C40000}"/>
    <cellStyle name="Output 2 8 3 4" xfId="29784" xr:uid="{00000000-0005-0000-0000-000021C40000}"/>
    <cellStyle name="Output 2 8 3 5" xfId="53422" xr:uid="{00000000-0005-0000-0000-000022C40000}"/>
    <cellStyle name="Output 2 8 4" xfId="19683" xr:uid="{00000000-0005-0000-0000-000023C40000}"/>
    <cellStyle name="Output 2 8 4 2" xfId="45220" xr:uid="{00000000-0005-0000-0000-000024C40000}"/>
    <cellStyle name="Output 2 8 4 3" xfId="49126" xr:uid="{00000000-0005-0000-0000-000025C40000}"/>
    <cellStyle name="Output 2 8 4 4" xfId="37215" xr:uid="{00000000-0005-0000-0000-000026C40000}"/>
    <cellStyle name="Output 2 8 5" xfId="53316" xr:uid="{00000000-0005-0000-0000-000027C40000}"/>
    <cellStyle name="Output 2 9" xfId="3261" xr:uid="{00000000-0005-0000-0000-000028C40000}"/>
    <cellStyle name="Output 2 9 2" xfId="7477" xr:uid="{00000000-0005-0000-0000-000029C40000}"/>
    <cellStyle name="Output 2 9 2 10" xfId="43098" xr:uid="{00000000-0005-0000-0000-00002AC40000}"/>
    <cellStyle name="Output 2 9 2 11" xfId="53319" xr:uid="{00000000-0005-0000-0000-00002BC40000}"/>
    <cellStyle name="Output 2 9 2 2" xfId="10750" xr:uid="{00000000-0005-0000-0000-00002CC40000}"/>
    <cellStyle name="Output 2 9 2 2 2" xfId="18543" xr:uid="{00000000-0005-0000-0000-00002DC40000}"/>
    <cellStyle name="Output 2 9 2 2 2 2" xfId="44090" xr:uid="{00000000-0005-0000-0000-00002EC40000}"/>
    <cellStyle name="Output 2 9 2 2 2 3" xfId="47999" xr:uid="{00000000-0005-0000-0000-00002FC40000}"/>
    <cellStyle name="Output 2 9 2 2 2 4" xfId="36180" xr:uid="{00000000-0005-0000-0000-000030C40000}"/>
    <cellStyle name="Output 2 9 2 2 3" xfId="19285" xr:uid="{00000000-0005-0000-0000-000031C40000}"/>
    <cellStyle name="Output 2 9 2 2 3 2" xfId="44822" xr:uid="{00000000-0005-0000-0000-000032C40000}"/>
    <cellStyle name="Output 2 9 2 2 3 3" xfId="48728" xr:uid="{00000000-0005-0000-0000-000033C40000}"/>
    <cellStyle name="Output 2 9 2 2 3 4" xfId="36863" xr:uid="{00000000-0005-0000-0000-000034C40000}"/>
    <cellStyle name="Output 2 9 2 2 4" xfId="18925" xr:uid="{00000000-0005-0000-0000-000035C40000}"/>
    <cellStyle name="Output 2 9 2 2 4 2" xfId="44462" xr:uid="{00000000-0005-0000-0000-000036C40000}"/>
    <cellStyle name="Output 2 9 2 2 4 3" xfId="48368" xr:uid="{00000000-0005-0000-0000-000037C40000}"/>
    <cellStyle name="Output 2 9 2 2 4 4" xfId="36553" xr:uid="{00000000-0005-0000-0000-000038C40000}"/>
    <cellStyle name="Output 2 9 2 2 5" xfId="20956" xr:uid="{00000000-0005-0000-0000-000039C40000}"/>
    <cellStyle name="Output 2 9 2 2 5 2" xfId="46493" xr:uid="{00000000-0005-0000-0000-00003AC40000}"/>
    <cellStyle name="Output 2 9 2 2 5 3" xfId="50399" xr:uid="{00000000-0005-0000-0000-00003BC40000}"/>
    <cellStyle name="Output 2 9 2 2 5 4" xfId="38362" xr:uid="{00000000-0005-0000-0000-00003CC40000}"/>
    <cellStyle name="Output 2 9 2 2 6" xfId="21609" xr:uid="{00000000-0005-0000-0000-00003DC40000}"/>
    <cellStyle name="Output 2 9 2 2 6 2" xfId="47146" xr:uid="{00000000-0005-0000-0000-00003EC40000}"/>
    <cellStyle name="Output 2 9 2 2 6 3" xfId="51052" xr:uid="{00000000-0005-0000-0000-00003FC40000}"/>
    <cellStyle name="Output 2 9 2 2 7" xfId="40949" xr:uid="{00000000-0005-0000-0000-000040C40000}"/>
    <cellStyle name="Output 2 9 2 2 8" xfId="42065" xr:uid="{00000000-0005-0000-0000-000041C40000}"/>
    <cellStyle name="Output 2 9 2 2 9" xfId="53425" xr:uid="{00000000-0005-0000-0000-000042C40000}"/>
    <cellStyle name="Output 2 9 2 3" xfId="11045" xr:uid="{00000000-0005-0000-0000-000043C40000}"/>
    <cellStyle name="Output 2 9 2 3 2" xfId="18838" xr:uid="{00000000-0005-0000-0000-000044C40000}"/>
    <cellStyle name="Output 2 9 2 3 2 2" xfId="44385" xr:uid="{00000000-0005-0000-0000-000045C40000}"/>
    <cellStyle name="Output 2 9 2 3 2 3" xfId="48294" xr:uid="{00000000-0005-0000-0000-000046C40000}"/>
    <cellStyle name="Output 2 9 2 3 2 4" xfId="36475" xr:uid="{00000000-0005-0000-0000-000047C40000}"/>
    <cellStyle name="Output 2 9 2 3 3" xfId="20431" xr:uid="{00000000-0005-0000-0000-000048C40000}"/>
    <cellStyle name="Output 2 9 2 3 3 2" xfId="45968" xr:uid="{00000000-0005-0000-0000-000049C40000}"/>
    <cellStyle name="Output 2 9 2 3 3 3" xfId="49874" xr:uid="{00000000-0005-0000-0000-00004AC40000}"/>
    <cellStyle name="Output 2 9 2 3 3 4" xfId="37885" xr:uid="{00000000-0005-0000-0000-00004BC40000}"/>
    <cellStyle name="Output 2 9 2 3 4" xfId="20575" xr:uid="{00000000-0005-0000-0000-00004CC40000}"/>
    <cellStyle name="Output 2 9 2 3 4 2" xfId="46112" xr:uid="{00000000-0005-0000-0000-00004DC40000}"/>
    <cellStyle name="Output 2 9 2 3 4 3" xfId="50018" xr:uid="{00000000-0005-0000-0000-00004EC40000}"/>
    <cellStyle name="Output 2 9 2 3 4 4" xfId="38002" xr:uid="{00000000-0005-0000-0000-00004FC40000}"/>
    <cellStyle name="Output 2 9 2 3 5" xfId="21251" xr:uid="{00000000-0005-0000-0000-000050C40000}"/>
    <cellStyle name="Output 2 9 2 3 5 2" xfId="46788" xr:uid="{00000000-0005-0000-0000-000051C40000}"/>
    <cellStyle name="Output 2 9 2 3 5 3" xfId="50694" xr:uid="{00000000-0005-0000-0000-000052C40000}"/>
    <cellStyle name="Output 2 9 2 3 5 4" xfId="38657" xr:uid="{00000000-0005-0000-0000-000053C40000}"/>
    <cellStyle name="Output 2 9 2 3 6" xfId="21904" xr:uid="{00000000-0005-0000-0000-000054C40000}"/>
    <cellStyle name="Output 2 9 2 3 6 2" xfId="47441" xr:uid="{00000000-0005-0000-0000-000055C40000}"/>
    <cellStyle name="Output 2 9 2 3 6 3" xfId="51347" xr:uid="{00000000-0005-0000-0000-000056C40000}"/>
    <cellStyle name="Output 2 9 2 3 7" xfId="41244" xr:uid="{00000000-0005-0000-0000-000057C40000}"/>
    <cellStyle name="Output 2 9 2 3 8" xfId="43364" xr:uid="{00000000-0005-0000-0000-000058C40000}"/>
    <cellStyle name="Output 2 9 2 4" xfId="15265" xr:uid="{00000000-0005-0000-0000-000059C40000}"/>
    <cellStyle name="Output 2 9 2 4 2" xfId="43138" xr:uid="{00000000-0005-0000-0000-00005AC40000}"/>
    <cellStyle name="Output 2 9 2 4 3" xfId="43554" xr:uid="{00000000-0005-0000-0000-00005BC40000}"/>
    <cellStyle name="Output 2 9 2 4 4" xfId="32900" xr:uid="{00000000-0005-0000-0000-00005CC40000}"/>
    <cellStyle name="Output 2 9 2 5" xfId="20088" xr:uid="{00000000-0005-0000-0000-00005DC40000}"/>
    <cellStyle name="Output 2 9 2 5 2" xfId="45625" xr:uid="{00000000-0005-0000-0000-00005EC40000}"/>
    <cellStyle name="Output 2 9 2 5 3" xfId="49531" xr:uid="{00000000-0005-0000-0000-00005FC40000}"/>
    <cellStyle name="Output 2 9 2 5 4" xfId="37580" xr:uid="{00000000-0005-0000-0000-000060C40000}"/>
    <cellStyle name="Output 2 9 2 6" xfId="19078" xr:uid="{00000000-0005-0000-0000-000061C40000}"/>
    <cellStyle name="Output 2 9 2 6 2" xfId="44615" xr:uid="{00000000-0005-0000-0000-000062C40000}"/>
    <cellStyle name="Output 2 9 2 6 3" xfId="48521" xr:uid="{00000000-0005-0000-0000-000063C40000}"/>
    <cellStyle name="Output 2 9 2 6 4" xfId="36674" xr:uid="{00000000-0005-0000-0000-000064C40000}"/>
    <cellStyle name="Output 2 9 2 7" xfId="19218" xr:uid="{00000000-0005-0000-0000-000065C40000}"/>
    <cellStyle name="Output 2 9 2 7 2" xfId="44755" xr:uid="{00000000-0005-0000-0000-000066C40000}"/>
    <cellStyle name="Output 2 9 2 7 3" xfId="48661" xr:uid="{00000000-0005-0000-0000-000067C40000}"/>
    <cellStyle name="Output 2 9 2 7 4" xfId="36803" xr:uid="{00000000-0005-0000-0000-000068C40000}"/>
    <cellStyle name="Output 2 9 2 8" xfId="19549" xr:uid="{00000000-0005-0000-0000-000069C40000}"/>
    <cellStyle name="Output 2 9 2 8 2" xfId="45086" xr:uid="{00000000-0005-0000-0000-00006AC40000}"/>
    <cellStyle name="Output 2 9 2 8 3" xfId="48992" xr:uid="{00000000-0005-0000-0000-00006BC40000}"/>
    <cellStyle name="Output 2 9 2 9" xfId="39998" xr:uid="{00000000-0005-0000-0000-00006CC40000}"/>
    <cellStyle name="Output 2 9 3" xfId="12112" xr:uid="{00000000-0005-0000-0000-00006DC40000}"/>
    <cellStyle name="Output 2 9 3 2" xfId="41857" xr:uid="{00000000-0005-0000-0000-00006EC40000}"/>
    <cellStyle name="Output 2 9 3 3" xfId="39324" xr:uid="{00000000-0005-0000-0000-00006FC40000}"/>
    <cellStyle name="Output 2 9 3 4" xfId="29785" xr:uid="{00000000-0005-0000-0000-000070C40000}"/>
    <cellStyle name="Output 2 9 3 5" xfId="53424" xr:uid="{00000000-0005-0000-0000-000071C40000}"/>
    <cellStyle name="Output 2 9 4" xfId="20245" xr:uid="{00000000-0005-0000-0000-000072C40000}"/>
    <cellStyle name="Output 2 9 4 2" xfId="45782" xr:uid="{00000000-0005-0000-0000-000073C40000}"/>
    <cellStyle name="Output 2 9 4 3" xfId="49688" xr:uid="{00000000-0005-0000-0000-000074C40000}"/>
    <cellStyle name="Output 2 9 4 4" xfId="37717" xr:uid="{00000000-0005-0000-0000-000075C40000}"/>
    <cellStyle name="Output 2 9 5" xfId="53318" xr:uid="{00000000-0005-0000-0000-000076C40000}"/>
    <cellStyle name="Output 2_BallGrid" xfId="3262" xr:uid="{00000000-0005-0000-0000-000077C40000}"/>
    <cellStyle name="Output 3" xfId="137" xr:uid="{00000000-0005-0000-0000-000078C40000}"/>
    <cellStyle name="Output 3 10" xfId="7478" xr:uid="{00000000-0005-0000-0000-000079C40000}"/>
    <cellStyle name="Output 3 10 10" xfId="43765" xr:uid="{00000000-0005-0000-0000-00007AC40000}"/>
    <cellStyle name="Output 3 10 2" xfId="10751" xr:uid="{00000000-0005-0000-0000-00007BC40000}"/>
    <cellStyle name="Output 3 10 2 2" xfId="18544" xr:uid="{00000000-0005-0000-0000-00007CC40000}"/>
    <cellStyle name="Output 3 10 2 2 2" xfId="44091" xr:uid="{00000000-0005-0000-0000-00007DC40000}"/>
    <cellStyle name="Output 3 10 2 2 3" xfId="48000" xr:uid="{00000000-0005-0000-0000-00007EC40000}"/>
    <cellStyle name="Output 3 10 2 2 4" xfId="36181" xr:uid="{00000000-0005-0000-0000-00007FC40000}"/>
    <cellStyle name="Output 3 10 2 3" xfId="19894" xr:uid="{00000000-0005-0000-0000-000080C40000}"/>
    <cellStyle name="Output 3 10 2 3 2" xfId="45431" xr:uid="{00000000-0005-0000-0000-000081C40000}"/>
    <cellStyle name="Output 3 10 2 3 3" xfId="49337" xr:uid="{00000000-0005-0000-0000-000082C40000}"/>
    <cellStyle name="Output 3 10 2 3 4" xfId="37408" xr:uid="{00000000-0005-0000-0000-000083C40000}"/>
    <cellStyle name="Output 3 10 2 4" xfId="11547" xr:uid="{00000000-0005-0000-0000-000084C40000}"/>
    <cellStyle name="Output 3 10 2 4 2" xfId="41558" xr:uid="{00000000-0005-0000-0000-000085C40000}"/>
    <cellStyle name="Output 3 10 2 4 3" xfId="43493" xr:uid="{00000000-0005-0000-0000-000086C40000}"/>
    <cellStyle name="Output 3 10 2 4 4" xfId="29261" xr:uid="{00000000-0005-0000-0000-000087C40000}"/>
    <cellStyle name="Output 3 10 2 5" xfId="20957" xr:uid="{00000000-0005-0000-0000-000088C40000}"/>
    <cellStyle name="Output 3 10 2 5 2" xfId="46494" xr:uid="{00000000-0005-0000-0000-000089C40000}"/>
    <cellStyle name="Output 3 10 2 5 3" xfId="50400" xr:uid="{00000000-0005-0000-0000-00008AC40000}"/>
    <cellStyle name="Output 3 10 2 5 4" xfId="38363" xr:uid="{00000000-0005-0000-0000-00008BC40000}"/>
    <cellStyle name="Output 3 10 2 6" xfId="21610" xr:uid="{00000000-0005-0000-0000-00008CC40000}"/>
    <cellStyle name="Output 3 10 2 6 2" xfId="47147" xr:uid="{00000000-0005-0000-0000-00008DC40000}"/>
    <cellStyle name="Output 3 10 2 6 3" xfId="51053" xr:uid="{00000000-0005-0000-0000-00008EC40000}"/>
    <cellStyle name="Output 3 10 2 7" xfId="40950" xr:uid="{00000000-0005-0000-0000-00008FC40000}"/>
    <cellStyle name="Output 3 10 2 8" xfId="43384" xr:uid="{00000000-0005-0000-0000-000090C40000}"/>
    <cellStyle name="Output 3 10 3" xfId="11046" xr:uid="{00000000-0005-0000-0000-000091C40000}"/>
    <cellStyle name="Output 3 10 3 2" xfId="18839" xr:uid="{00000000-0005-0000-0000-000092C40000}"/>
    <cellStyle name="Output 3 10 3 2 2" xfId="44386" xr:uid="{00000000-0005-0000-0000-000093C40000}"/>
    <cellStyle name="Output 3 10 3 2 3" xfId="48295" xr:uid="{00000000-0005-0000-0000-000094C40000}"/>
    <cellStyle name="Output 3 10 3 2 4" xfId="36476" xr:uid="{00000000-0005-0000-0000-000095C40000}"/>
    <cellStyle name="Output 3 10 3 3" xfId="20432" xr:uid="{00000000-0005-0000-0000-000096C40000}"/>
    <cellStyle name="Output 3 10 3 3 2" xfId="45969" xr:uid="{00000000-0005-0000-0000-000097C40000}"/>
    <cellStyle name="Output 3 10 3 3 3" xfId="49875" xr:uid="{00000000-0005-0000-0000-000098C40000}"/>
    <cellStyle name="Output 3 10 3 3 4" xfId="37886" xr:uid="{00000000-0005-0000-0000-000099C40000}"/>
    <cellStyle name="Output 3 10 3 4" xfId="20576" xr:uid="{00000000-0005-0000-0000-00009AC40000}"/>
    <cellStyle name="Output 3 10 3 4 2" xfId="46113" xr:uid="{00000000-0005-0000-0000-00009BC40000}"/>
    <cellStyle name="Output 3 10 3 4 3" xfId="50019" xr:uid="{00000000-0005-0000-0000-00009CC40000}"/>
    <cellStyle name="Output 3 10 3 4 4" xfId="38003" xr:uid="{00000000-0005-0000-0000-00009DC40000}"/>
    <cellStyle name="Output 3 10 3 5" xfId="21252" xr:uid="{00000000-0005-0000-0000-00009EC40000}"/>
    <cellStyle name="Output 3 10 3 5 2" xfId="46789" xr:uid="{00000000-0005-0000-0000-00009FC40000}"/>
    <cellStyle name="Output 3 10 3 5 3" xfId="50695" xr:uid="{00000000-0005-0000-0000-0000A0C40000}"/>
    <cellStyle name="Output 3 10 3 5 4" xfId="38658" xr:uid="{00000000-0005-0000-0000-0000A1C40000}"/>
    <cellStyle name="Output 3 10 3 6" xfId="21905" xr:uid="{00000000-0005-0000-0000-0000A2C40000}"/>
    <cellStyle name="Output 3 10 3 6 2" xfId="47442" xr:uid="{00000000-0005-0000-0000-0000A3C40000}"/>
    <cellStyle name="Output 3 10 3 6 3" xfId="51348" xr:uid="{00000000-0005-0000-0000-0000A4C40000}"/>
    <cellStyle name="Output 3 10 3 7" xfId="41245" xr:uid="{00000000-0005-0000-0000-0000A5C40000}"/>
    <cellStyle name="Output 3 10 3 8" xfId="40226" xr:uid="{00000000-0005-0000-0000-0000A6C40000}"/>
    <cellStyle name="Output 3 10 4" xfId="15266" xr:uid="{00000000-0005-0000-0000-0000A7C40000}"/>
    <cellStyle name="Output 3 10 4 2" xfId="43139" xr:uid="{00000000-0005-0000-0000-0000A8C40000}"/>
    <cellStyle name="Output 3 10 4 3" xfId="40416" xr:uid="{00000000-0005-0000-0000-0000A9C40000}"/>
    <cellStyle name="Output 3 10 4 4" xfId="32901" xr:uid="{00000000-0005-0000-0000-0000AAC40000}"/>
    <cellStyle name="Output 3 10 5" xfId="19350" xr:uid="{00000000-0005-0000-0000-0000ABC40000}"/>
    <cellStyle name="Output 3 10 5 2" xfId="44887" xr:uid="{00000000-0005-0000-0000-0000ACC40000}"/>
    <cellStyle name="Output 3 10 5 3" xfId="48793" xr:uid="{00000000-0005-0000-0000-0000ADC40000}"/>
    <cellStyle name="Output 3 10 5 4" xfId="36921" xr:uid="{00000000-0005-0000-0000-0000AEC40000}"/>
    <cellStyle name="Output 3 10 6" xfId="11566" xr:uid="{00000000-0005-0000-0000-0000AFC40000}"/>
    <cellStyle name="Output 3 10 6 2" xfId="41577" xr:uid="{00000000-0005-0000-0000-0000B0C40000}"/>
    <cellStyle name="Output 3 10 6 3" xfId="43495" xr:uid="{00000000-0005-0000-0000-0000B1C40000}"/>
    <cellStyle name="Output 3 10 6 4" xfId="29277" xr:uid="{00000000-0005-0000-0000-0000B2C40000}"/>
    <cellStyle name="Output 3 10 7" xfId="12674" xr:uid="{00000000-0005-0000-0000-0000B3C40000}"/>
    <cellStyle name="Output 3 10 7 2" xfId="42153" xr:uid="{00000000-0005-0000-0000-0000B4C40000}"/>
    <cellStyle name="Output 3 10 7 3" xfId="40446" xr:uid="{00000000-0005-0000-0000-0000B5C40000}"/>
    <cellStyle name="Output 3 10 7 4" xfId="30338" xr:uid="{00000000-0005-0000-0000-0000B6C40000}"/>
    <cellStyle name="Output 3 10 8" xfId="20187" xr:uid="{00000000-0005-0000-0000-0000B7C40000}"/>
    <cellStyle name="Output 3 10 8 2" xfId="45724" xr:uid="{00000000-0005-0000-0000-0000B8C40000}"/>
    <cellStyle name="Output 3 10 8 3" xfId="49630" xr:uid="{00000000-0005-0000-0000-0000B9C40000}"/>
    <cellStyle name="Output 3 10 9" xfId="39999" xr:uid="{00000000-0005-0000-0000-0000BAC40000}"/>
    <cellStyle name="Output 3 11" xfId="12113" xr:uid="{00000000-0005-0000-0000-0000BBC40000}"/>
    <cellStyle name="Output 3 11 2" xfId="41858" xr:uid="{00000000-0005-0000-0000-0000BCC40000}"/>
    <cellStyle name="Output 3 11 3" xfId="39124" xr:uid="{00000000-0005-0000-0000-0000BDC40000}"/>
    <cellStyle name="Output 3 11 4" xfId="29786" xr:uid="{00000000-0005-0000-0000-0000BEC40000}"/>
    <cellStyle name="Output 3 12" xfId="20111" xr:uid="{00000000-0005-0000-0000-0000BFC40000}"/>
    <cellStyle name="Output 3 12 2" xfId="45648" xr:uid="{00000000-0005-0000-0000-0000C0C40000}"/>
    <cellStyle name="Output 3 12 3" xfId="49554" xr:uid="{00000000-0005-0000-0000-0000C1C40000}"/>
    <cellStyle name="Output 3 12 4" xfId="37599" xr:uid="{00000000-0005-0000-0000-0000C2C40000}"/>
    <cellStyle name="Output 3 13" xfId="3263" xr:uid="{00000000-0005-0000-0000-0000C3C40000}"/>
    <cellStyle name="Output 3 14" xfId="52768" xr:uid="{00000000-0005-0000-0000-0000C4C40000}"/>
    <cellStyle name="Output 3 2" xfId="3264" xr:uid="{00000000-0005-0000-0000-0000C5C40000}"/>
    <cellStyle name="Output 3 2 2" xfId="7479" xr:uid="{00000000-0005-0000-0000-0000C6C40000}"/>
    <cellStyle name="Output 3 2 2 10" xfId="40624" xr:uid="{00000000-0005-0000-0000-0000C7C40000}"/>
    <cellStyle name="Output 3 2 2 11" xfId="53321" xr:uid="{00000000-0005-0000-0000-0000C8C40000}"/>
    <cellStyle name="Output 3 2 2 2" xfId="10752" xr:uid="{00000000-0005-0000-0000-0000C9C40000}"/>
    <cellStyle name="Output 3 2 2 2 2" xfId="18545" xr:uid="{00000000-0005-0000-0000-0000CAC40000}"/>
    <cellStyle name="Output 3 2 2 2 2 2" xfId="44092" xr:uid="{00000000-0005-0000-0000-0000CBC40000}"/>
    <cellStyle name="Output 3 2 2 2 2 3" xfId="48001" xr:uid="{00000000-0005-0000-0000-0000CCC40000}"/>
    <cellStyle name="Output 3 2 2 2 2 4" xfId="36182" xr:uid="{00000000-0005-0000-0000-0000CDC40000}"/>
    <cellStyle name="Output 3 2 2 2 3" xfId="19117" xr:uid="{00000000-0005-0000-0000-0000CEC40000}"/>
    <cellStyle name="Output 3 2 2 2 3 2" xfId="44654" xr:uid="{00000000-0005-0000-0000-0000CFC40000}"/>
    <cellStyle name="Output 3 2 2 2 3 3" xfId="48560" xr:uid="{00000000-0005-0000-0000-0000D0C40000}"/>
    <cellStyle name="Output 3 2 2 2 3 4" xfId="36712" xr:uid="{00000000-0005-0000-0000-0000D1C40000}"/>
    <cellStyle name="Output 3 2 2 2 4" xfId="19991" xr:uid="{00000000-0005-0000-0000-0000D2C40000}"/>
    <cellStyle name="Output 3 2 2 2 4 2" xfId="45528" xr:uid="{00000000-0005-0000-0000-0000D3C40000}"/>
    <cellStyle name="Output 3 2 2 2 4 3" xfId="49434" xr:uid="{00000000-0005-0000-0000-0000D4C40000}"/>
    <cellStyle name="Output 3 2 2 2 4 4" xfId="37489" xr:uid="{00000000-0005-0000-0000-0000D5C40000}"/>
    <cellStyle name="Output 3 2 2 2 5" xfId="20958" xr:uid="{00000000-0005-0000-0000-0000D6C40000}"/>
    <cellStyle name="Output 3 2 2 2 5 2" xfId="46495" xr:uid="{00000000-0005-0000-0000-0000D7C40000}"/>
    <cellStyle name="Output 3 2 2 2 5 3" xfId="50401" xr:uid="{00000000-0005-0000-0000-0000D8C40000}"/>
    <cellStyle name="Output 3 2 2 2 5 4" xfId="38364" xr:uid="{00000000-0005-0000-0000-0000D9C40000}"/>
    <cellStyle name="Output 3 2 2 2 6" xfId="21611" xr:uid="{00000000-0005-0000-0000-0000DAC40000}"/>
    <cellStyle name="Output 3 2 2 2 6 2" xfId="47148" xr:uid="{00000000-0005-0000-0000-0000DBC40000}"/>
    <cellStyle name="Output 3 2 2 2 6 3" xfId="51054" xr:uid="{00000000-0005-0000-0000-0000DCC40000}"/>
    <cellStyle name="Output 3 2 2 2 7" xfId="40951" xr:uid="{00000000-0005-0000-0000-0000DDC40000}"/>
    <cellStyle name="Output 3 2 2 2 8" xfId="40246" xr:uid="{00000000-0005-0000-0000-0000DEC40000}"/>
    <cellStyle name="Output 3 2 2 2 9" xfId="53428" xr:uid="{00000000-0005-0000-0000-0000DFC40000}"/>
    <cellStyle name="Output 3 2 2 3" xfId="11047" xr:uid="{00000000-0005-0000-0000-0000E0C40000}"/>
    <cellStyle name="Output 3 2 2 3 2" xfId="18840" xr:uid="{00000000-0005-0000-0000-0000E1C40000}"/>
    <cellStyle name="Output 3 2 2 3 2 2" xfId="44387" xr:uid="{00000000-0005-0000-0000-0000E2C40000}"/>
    <cellStyle name="Output 3 2 2 3 2 3" xfId="48296" xr:uid="{00000000-0005-0000-0000-0000E3C40000}"/>
    <cellStyle name="Output 3 2 2 3 2 4" xfId="36477" xr:uid="{00000000-0005-0000-0000-0000E4C40000}"/>
    <cellStyle name="Output 3 2 2 3 3" xfId="20433" xr:uid="{00000000-0005-0000-0000-0000E5C40000}"/>
    <cellStyle name="Output 3 2 2 3 3 2" xfId="45970" xr:uid="{00000000-0005-0000-0000-0000E6C40000}"/>
    <cellStyle name="Output 3 2 2 3 3 3" xfId="49876" xr:uid="{00000000-0005-0000-0000-0000E7C40000}"/>
    <cellStyle name="Output 3 2 2 3 3 4" xfId="37887" xr:uid="{00000000-0005-0000-0000-0000E8C40000}"/>
    <cellStyle name="Output 3 2 2 3 4" xfId="20577" xr:uid="{00000000-0005-0000-0000-0000E9C40000}"/>
    <cellStyle name="Output 3 2 2 3 4 2" xfId="46114" xr:uid="{00000000-0005-0000-0000-0000EAC40000}"/>
    <cellStyle name="Output 3 2 2 3 4 3" xfId="50020" xr:uid="{00000000-0005-0000-0000-0000EBC40000}"/>
    <cellStyle name="Output 3 2 2 3 4 4" xfId="38004" xr:uid="{00000000-0005-0000-0000-0000ECC40000}"/>
    <cellStyle name="Output 3 2 2 3 5" xfId="21253" xr:uid="{00000000-0005-0000-0000-0000EDC40000}"/>
    <cellStyle name="Output 3 2 2 3 5 2" xfId="46790" xr:uid="{00000000-0005-0000-0000-0000EEC40000}"/>
    <cellStyle name="Output 3 2 2 3 5 3" xfId="50696" xr:uid="{00000000-0005-0000-0000-0000EFC40000}"/>
    <cellStyle name="Output 3 2 2 3 5 4" xfId="38659" xr:uid="{00000000-0005-0000-0000-0000F0C40000}"/>
    <cellStyle name="Output 3 2 2 3 6" xfId="21906" xr:uid="{00000000-0005-0000-0000-0000F1C40000}"/>
    <cellStyle name="Output 3 2 2 3 6 2" xfId="47443" xr:uid="{00000000-0005-0000-0000-0000F2C40000}"/>
    <cellStyle name="Output 3 2 2 3 6 3" xfId="51349" xr:uid="{00000000-0005-0000-0000-0000F3C40000}"/>
    <cellStyle name="Output 3 2 2 3 7" xfId="41246" xr:uid="{00000000-0005-0000-0000-0000F4C40000}"/>
    <cellStyle name="Output 3 2 2 3 8" xfId="39366" xr:uid="{00000000-0005-0000-0000-0000F5C40000}"/>
    <cellStyle name="Output 3 2 2 4" xfId="15267" xr:uid="{00000000-0005-0000-0000-0000F6C40000}"/>
    <cellStyle name="Output 3 2 2 4 2" xfId="43140" xr:uid="{00000000-0005-0000-0000-0000F7C40000}"/>
    <cellStyle name="Output 3 2 2 4 3" xfId="39525" xr:uid="{00000000-0005-0000-0000-0000F8C40000}"/>
    <cellStyle name="Output 3 2 2 4 4" xfId="32902" xr:uid="{00000000-0005-0000-0000-0000F9C40000}"/>
    <cellStyle name="Output 3 2 2 5" xfId="19959" xr:uid="{00000000-0005-0000-0000-0000FAC40000}"/>
    <cellStyle name="Output 3 2 2 5 2" xfId="45496" xr:uid="{00000000-0005-0000-0000-0000FBC40000}"/>
    <cellStyle name="Output 3 2 2 5 3" xfId="49402" xr:uid="{00000000-0005-0000-0000-0000FCC40000}"/>
    <cellStyle name="Output 3 2 2 5 4" xfId="37464" xr:uid="{00000000-0005-0000-0000-0000FDC40000}"/>
    <cellStyle name="Output 3 2 2 6" xfId="20332" xr:uid="{00000000-0005-0000-0000-0000FEC40000}"/>
    <cellStyle name="Output 3 2 2 6 2" xfId="45869" xr:uid="{00000000-0005-0000-0000-0000FFC40000}"/>
    <cellStyle name="Output 3 2 2 6 3" xfId="49775" xr:uid="{00000000-0005-0000-0000-000000C50000}"/>
    <cellStyle name="Output 3 2 2 6 4" xfId="37796" xr:uid="{00000000-0005-0000-0000-000001C50000}"/>
    <cellStyle name="Output 3 2 2 7" xfId="19776" xr:uid="{00000000-0005-0000-0000-000002C50000}"/>
    <cellStyle name="Output 3 2 2 7 2" xfId="45313" xr:uid="{00000000-0005-0000-0000-000003C50000}"/>
    <cellStyle name="Output 3 2 2 7 3" xfId="49219" xr:uid="{00000000-0005-0000-0000-000004C50000}"/>
    <cellStyle name="Output 3 2 2 7 4" xfId="37303" xr:uid="{00000000-0005-0000-0000-000005C50000}"/>
    <cellStyle name="Output 3 2 2 8" xfId="11600" xr:uid="{00000000-0005-0000-0000-000006C50000}"/>
    <cellStyle name="Output 3 2 2 8 2" xfId="41611" xr:uid="{00000000-0005-0000-0000-000007C50000}"/>
    <cellStyle name="Output 3 2 2 8 3" xfId="40460" xr:uid="{00000000-0005-0000-0000-000008C50000}"/>
    <cellStyle name="Output 3 2 2 9" xfId="40000" xr:uid="{00000000-0005-0000-0000-000009C50000}"/>
    <cellStyle name="Output 3 2 3" xfId="12114" xr:uid="{00000000-0005-0000-0000-00000AC50000}"/>
    <cellStyle name="Output 3 2 3 2" xfId="41859" xr:uid="{00000000-0005-0000-0000-00000BC50000}"/>
    <cellStyle name="Output 3 2 3 3" xfId="39123" xr:uid="{00000000-0005-0000-0000-00000CC50000}"/>
    <cellStyle name="Output 3 2 3 4" xfId="29787" xr:uid="{00000000-0005-0000-0000-00000DC50000}"/>
    <cellStyle name="Output 3 2 3 5" xfId="53427" xr:uid="{00000000-0005-0000-0000-00000EC50000}"/>
    <cellStyle name="Output 3 2 4" xfId="19371" xr:uid="{00000000-0005-0000-0000-00000FC50000}"/>
    <cellStyle name="Output 3 2 4 2" xfId="44908" xr:uid="{00000000-0005-0000-0000-000010C50000}"/>
    <cellStyle name="Output 3 2 4 3" xfId="48814" xr:uid="{00000000-0005-0000-0000-000011C50000}"/>
    <cellStyle name="Output 3 2 4 4" xfId="36939" xr:uid="{00000000-0005-0000-0000-000012C50000}"/>
    <cellStyle name="Output 3 2 5" xfId="53320" xr:uid="{00000000-0005-0000-0000-000013C50000}"/>
    <cellStyle name="Output 3 3" xfId="3265" xr:uid="{00000000-0005-0000-0000-000014C50000}"/>
    <cellStyle name="Output 3 3 2" xfId="7480" xr:uid="{00000000-0005-0000-0000-000015C50000}"/>
    <cellStyle name="Output 3 3 2 10" xfId="39958" xr:uid="{00000000-0005-0000-0000-000016C50000}"/>
    <cellStyle name="Output 3 3 2 11" xfId="53323" xr:uid="{00000000-0005-0000-0000-000017C50000}"/>
    <cellStyle name="Output 3 3 2 2" xfId="10753" xr:uid="{00000000-0005-0000-0000-000018C50000}"/>
    <cellStyle name="Output 3 3 2 2 2" xfId="18546" xr:uid="{00000000-0005-0000-0000-000019C50000}"/>
    <cellStyle name="Output 3 3 2 2 2 2" xfId="44093" xr:uid="{00000000-0005-0000-0000-00001AC50000}"/>
    <cellStyle name="Output 3 3 2 2 2 3" xfId="48002" xr:uid="{00000000-0005-0000-0000-00001BC50000}"/>
    <cellStyle name="Output 3 3 2 2 2 4" xfId="36183" xr:uid="{00000000-0005-0000-0000-00001CC50000}"/>
    <cellStyle name="Output 3 3 2 2 3" xfId="19733" xr:uid="{00000000-0005-0000-0000-00001DC50000}"/>
    <cellStyle name="Output 3 3 2 2 3 2" xfId="45270" xr:uid="{00000000-0005-0000-0000-00001EC50000}"/>
    <cellStyle name="Output 3 3 2 2 3 3" xfId="49176" xr:uid="{00000000-0005-0000-0000-00001FC50000}"/>
    <cellStyle name="Output 3 3 2 2 3 4" xfId="37260" xr:uid="{00000000-0005-0000-0000-000020C50000}"/>
    <cellStyle name="Output 3 3 2 2 4" xfId="20078" xr:uid="{00000000-0005-0000-0000-000021C50000}"/>
    <cellStyle name="Output 3 3 2 2 4 2" xfId="45615" xr:uid="{00000000-0005-0000-0000-000022C50000}"/>
    <cellStyle name="Output 3 3 2 2 4 3" xfId="49521" xr:uid="{00000000-0005-0000-0000-000023C50000}"/>
    <cellStyle name="Output 3 3 2 2 4 4" xfId="37572" xr:uid="{00000000-0005-0000-0000-000024C50000}"/>
    <cellStyle name="Output 3 3 2 2 5" xfId="20959" xr:uid="{00000000-0005-0000-0000-000025C50000}"/>
    <cellStyle name="Output 3 3 2 2 5 2" xfId="46496" xr:uid="{00000000-0005-0000-0000-000026C50000}"/>
    <cellStyle name="Output 3 3 2 2 5 3" xfId="50402" xr:uid="{00000000-0005-0000-0000-000027C50000}"/>
    <cellStyle name="Output 3 3 2 2 5 4" xfId="38365" xr:uid="{00000000-0005-0000-0000-000028C50000}"/>
    <cellStyle name="Output 3 3 2 2 6" xfId="21612" xr:uid="{00000000-0005-0000-0000-000029C50000}"/>
    <cellStyle name="Output 3 3 2 2 6 2" xfId="47149" xr:uid="{00000000-0005-0000-0000-00002AC50000}"/>
    <cellStyle name="Output 3 3 2 2 6 3" xfId="51055" xr:uid="{00000000-0005-0000-0000-00002BC50000}"/>
    <cellStyle name="Output 3 3 2 2 7" xfId="40952" xr:uid="{00000000-0005-0000-0000-00002CC50000}"/>
    <cellStyle name="Output 3 3 2 2 8" xfId="42845" xr:uid="{00000000-0005-0000-0000-00002DC50000}"/>
    <cellStyle name="Output 3 3 2 2 9" xfId="53430" xr:uid="{00000000-0005-0000-0000-00002EC50000}"/>
    <cellStyle name="Output 3 3 2 3" xfId="11048" xr:uid="{00000000-0005-0000-0000-00002FC50000}"/>
    <cellStyle name="Output 3 3 2 3 2" xfId="18841" xr:uid="{00000000-0005-0000-0000-000030C50000}"/>
    <cellStyle name="Output 3 3 2 3 2 2" xfId="44388" xr:uid="{00000000-0005-0000-0000-000031C50000}"/>
    <cellStyle name="Output 3 3 2 3 2 3" xfId="48297" xr:uid="{00000000-0005-0000-0000-000032C50000}"/>
    <cellStyle name="Output 3 3 2 3 2 4" xfId="36478" xr:uid="{00000000-0005-0000-0000-000033C50000}"/>
    <cellStyle name="Output 3 3 2 3 3" xfId="20434" xr:uid="{00000000-0005-0000-0000-000034C50000}"/>
    <cellStyle name="Output 3 3 2 3 3 2" xfId="45971" xr:uid="{00000000-0005-0000-0000-000035C50000}"/>
    <cellStyle name="Output 3 3 2 3 3 3" xfId="49877" xr:uid="{00000000-0005-0000-0000-000036C50000}"/>
    <cellStyle name="Output 3 3 2 3 3 4" xfId="37888" xr:uid="{00000000-0005-0000-0000-000037C50000}"/>
    <cellStyle name="Output 3 3 2 3 4" xfId="20578" xr:uid="{00000000-0005-0000-0000-000038C50000}"/>
    <cellStyle name="Output 3 3 2 3 4 2" xfId="46115" xr:uid="{00000000-0005-0000-0000-000039C50000}"/>
    <cellStyle name="Output 3 3 2 3 4 3" xfId="50021" xr:uid="{00000000-0005-0000-0000-00003AC50000}"/>
    <cellStyle name="Output 3 3 2 3 4 4" xfId="38005" xr:uid="{00000000-0005-0000-0000-00003BC50000}"/>
    <cellStyle name="Output 3 3 2 3 5" xfId="21254" xr:uid="{00000000-0005-0000-0000-00003CC50000}"/>
    <cellStyle name="Output 3 3 2 3 5 2" xfId="46791" xr:uid="{00000000-0005-0000-0000-00003DC50000}"/>
    <cellStyle name="Output 3 3 2 3 5 3" xfId="50697" xr:uid="{00000000-0005-0000-0000-00003EC50000}"/>
    <cellStyle name="Output 3 3 2 3 5 4" xfId="38660" xr:uid="{00000000-0005-0000-0000-00003FC50000}"/>
    <cellStyle name="Output 3 3 2 3 6" xfId="21907" xr:uid="{00000000-0005-0000-0000-000040C50000}"/>
    <cellStyle name="Output 3 3 2 3 6 2" xfId="47444" xr:uid="{00000000-0005-0000-0000-000041C50000}"/>
    <cellStyle name="Output 3 3 2 3 6 3" xfId="51350" xr:uid="{00000000-0005-0000-0000-000042C50000}"/>
    <cellStyle name="Output 3 3 2 3 7" xfId="41247" xr:uid="{00000000-0005-0000-0000-000043C50000}"/>
    <cellStyle name="Output 3 3 2 3 8" xfId="42046" xr:uid="{00000000-0005-0000-0000-000044C50000}"/>
    <cellStyle name="Output 3 3 2 4" xfId="15268" xr:uid="{00000000-0005-0000-0000-000045C50000}"/>
    <cellStyle name="Output 3 3 2 4 2" xfId="43141" xr:uid="{00000000-0005-0000-0000-000046C50000}"/>
    <cellStyle name="Output 3 3 2 4 3" xfId="42535" xr:uid="{00000000-0005-0000-0000-000047C50000}"/>
    <cellStyle name="Output 3 3 2 4 4" xfId="32903" xr:uid="{00000000-0005-0000-0000-000048C50000}"/>
    <cellStyle name="Output 3 3 2 5" xfId="19192" xr:uid="{00000000-0005-0000-0000-000049C50000}"/>
    <cellStyle name="Output 3 3 2 5 2" xfId="44729" xr:uid="{00000000-0005-0000-0000-00004AC50000}"/>
    <cellStyle name="Output 3 3 2 5 3" xfId="48635" xr:uid="{00000000-0005-0000-0000-00004BC50000}"/>
    <cellStyle name="Output 3 3 2 5 4" xfId="36779" xr:uid="{00000000-0005-0000-0000-00004CC50000}"/>
    <cellStyle name="Output 3 3 2 6" xfId="11584" xr:uid="{00000000-0005-0000-0000-00004DC50000}"/>
    <cellStyle name="Output 3 3 2 6 2" xfId="41595" xr:uid="{00000000-0005-0000-0000-00004EC50000}"/>
    <cellStyle name="Output 3 3 2 6 3" xfId="39467" xr:uid="{00000000-0005-0000-0000-00004FC50000}"/>
    <cellStyle name="Output 3 3 2 6 4" xfId="29293" xr:uid="{00000000-0005-0000-0000-000050C50000}"/>
    <cellStyle name="Output 3 3 2 7" xfId="11475" xr:uid="{00000000-0005-0000-0000-000051C50000}"/>
    <cellStyle name="Output 3 3 2 7 2" xfId="41486" xr:uid="{00000000-0005-0000-0000-000052C50000}"/>
    <cellStyle name="Output 3 3 2 7 3" xfId="41397" xr:uid="{00000000-0005-0000-0000-000053C50000}"/>
    <cellStyle name="Output 3 3 2 7 4" xfId="29191" xr:uid="{00000000-0005-0000-0000-000054C50000}"/>
    <cellStyle name="Output 3 3 2 8" xfId="13312" xr:uid="{00000000-0005-0000-0000-000055C50000}"/>
    <cellStyle name="Output 3 3 2 8 2" xfId="42482" xr:uid="{00000000-0005-0000-0000-000056C50000}"/>
    <cellStyle name="Output 3 3 2 8 3" xfId="41961" xr:uid="{00000000-0005-0000-0000-000057C50000}"/>
    <cellStyle name="Output 3 3 2 9" xfId="40001" xr:uid="{00000000-0005-0000-0000-000058C50000}"/>
    <cellStyle name="Output 3 3 3" xfId="12115" xr:uid="{00000000-0005-0000-0000-000059C50000}"/>
    <cellStyle name="Output 3 3 3 2" xfId="41860" xr:uid="{00000000-0005-0000-0000-00005AC50000}"/>
    <cellStyle name="Output 3 3 3 3" xfId="39122" xr:uid="{00000000-0005-0000-0000-00005BC50000}"/>
    <cellStyle name="Output 3 3 3 4" xfId="29788" xr:uid="{00000000-0005-0000-0000-00005CC50000}"/>
    <cellStyle name="Output 3 3 3 5" xfId="53429" xr:uid="{00000000-0005-0000-0000-00005DC50000}"/>
    <cellStyle name="Output 3 3 4" xfId="19977" xr:uid="{00000000-0005-0000-0000-00005EC50000}"/>
    <cellStyle name="Output 3 3 4 2" xfId="45514" xr:uid="{00000000-0005-0000-0000-00005FC50000}"/>
    <cellStyle name="Output 3 3 4 3" xfId="49420" xr:uid="{00000000-0005-0000-0000-000060C50000}"/>
    <cellStyle name="Output 3 3 4 4" xfId="37479" xr:uid="{00000000-0005-0000-0000-000061C50000}"/>
    <cellStyle name="Output 3 3 5" xfId="53322" xr:uid="{00000000-0005-0000-0000-000062C50000}"/>
    <cellStyle name="Output 3 4" xfId="3266" xr:uid="{00000000-0005-0000-0000-000063C50000}"/>
    <cellStyle name="Output 3 4 2" xfId="7481" xr:uid="{00000000-0005-0000-0000-000064C50000}"/>
    <cellStyle name="Output 3 4 2 10" xfId="42758" xr:uid="{00000000-0005-0000-0000-000065C50000}"/>
    <cellStyle name="Output 3 4 2 11" xfId="53325" xr:uid="{00000000-0005-0000-0000-000066C50000}"/>
    <cellStyle name="Output 3 4 2 2" xfId="10754" xr:uid="{00000000-0005-0000-0000-000067C50000}"/>
    <cellStyle name="Output 3 4 2 2 2" xfId="18547" xr:uid="{00000000-0005-0000-0000-000068C50000}"/>
    <cellStyle name="Output 3 4 2 2 2 2" xfId="44094" xr:uid="{00000000-0005-0000-0000-000069C50000}"/>
    <cellStyle name="Output 3 4 2 2 2 3" xfId="48003" xr:uid="{00000000-0005-0000-0000-00006AC50000}"/>
    <cellStyle name="Output 3 4 2 2 2 4" xfId="36184" xr:uid="{00000000-0005-0000-0000-00006BC50000}"/>
    <cellStyle name="Output 3 4 2 2 3" xfId="15303" xr:uid="{00000000-0005-0000-0000-00006CC50000}"/>
    <cellStyle name="Output 3 4 2 2 3 2" xfId="43171" xr:uid="{00000000-0005-0000-0000-00006DC50000}"/>
    <cellStyle name="Output 3 4 2 2 3 3" xfId="42774" xr:uid="{00000000-0005-0000-0000-00006EC50000}"/>
    <cellStyle name="Output 3 4 2 2 3 4" xfId="32938" xr:uid="{00000000-0005-0000-0000-00006FC50000}"/>
    <cellStyle name="Output 3 4 2 2 4" xfId="19356" xr:uid="{00000000-0005-0000-0000-000070C50000}"/>
    <cellStyle name="Output 3 4 2 2 4 2" xfId="44893" xr:uid="{00000000-0005-0000-0000-000071C50000}"/>
    <cellStyle name="Output 3 4 2 2 4 3" xfId="48799" xr:uid="{00000000-0005-0000-0000-000072C50000}"/>
    <cellStyle name="Output 3 4 2 2 4 4" xfId="36925" xr:uid="{00000000-0005-0000-0000-000073C50000}"/>
    <cellStyle name="Output 3 4 2 2 5" xfId="20960" xr:uid="{00000000-0005-0000-0000-000074C50000}"/>
    <cellStyle name="Output 3 4 2 2 5 2" xfId="46497" xr:uid="{00000000-0005-0000-0000-000075C50000}"/>
    <cellStyle name="Output 3 4 2 2 5 3" xfId="50403" xr:uid="{00000000-0005-0000-0000-000076C50000}"/>
    <cellStyle name="Output 3 4 2 2 5 4" xfId="38366" xr:uid="{00000000-0005-0000-0000-000077C50000}"/>
    <cellStyle name="Output 3 4 2 2 6" xfId="21613" xr:uid="{00000000-0005-0000-0000-000078C50000}"/>
    <cellStyle name="Output 3 4 2 2 6 2" xfId="47150" xr:uid="{00000000-0005-0000-0000-000079C50000}"/>
    <cellStyle name="Output 3 4 2 2 6 3" xfId="51056" xr:uid="{00000000-0005-0000-0000-00007AC50000}"/>
    <cellStyle name="Output 3 4 2 2 7" xfId="40953" xr:uid="{00000000-0005-0000-0000-00007BC50000}"/>
    <cellStyle name="Output 3 4 2 2 8" xfId="43734" xr:uid="{00000000-0005-0000-0000-00007CC50000}"/>
    <cellStyle name="Output 3 4 2 2 9" xfId="53432" xr:uid="{00000000-0005-0000-0000-00007DC50000}"/>
    <cellStyle name="Output 3 4 2 3" xfId="11049" xr:uid="{00000000-0005-0000-0000-00007EC50000}"/>
    <cellStyle name="Output 3 4 2 3 2" xfId="18842" xr:uid="{00000000-0005-0000-0000-00007FC50000}"/>
    <cellStyle name="Output 3 4 2 3 2 2" xfId="44389" xr:uid="{00000000-0005-0000-0000-000080C50000}"/>
    <cellStyle name="Output 3 4 2 3 2 3" xfId="48298" xr:uid="{00000000-0005-0000-0000-000081C50000}"/>
    <cellStyle name="Output 3 4 2 3 2 4" xfId="36479" xr:uid="{00000000-0005-0000-0000-000082C50000}"/>
    <cellStyle name="Output 3 4 2 3 3" xfId="20435" xr:uid="{00000000-0005-0000-0000-000083C50000}"/>
    <cellStyle name="Output 3 4 2 3 3 2" xfId="45972" xr:uid="{00000000-0005-0000-0000-000084C50000}"/>
    <cellStyle name="Output 3 4 2 3 3 3" xfId="49878" xr:uid="{00000000-0005-0000-0000-000085C50000}"/>
    <cellStyle name="Output 3 4 2 3 3 4" xfId="37889" xr:uid="{00000000-0005-0000-0000-000086C50000}"/>
    <cellStyle name="Output 3 4 2 3 4" xfId="20579" xr:uid="{00000000-0005-0000-0000-000087C50000}"/>
    <cellStyle name="Output 3 4 2 3 4 2" xfId="46116" xr:uid="{00000000-0005-0000-0000-000088C50000}"/>
    <cellStyle name="Output 3 4 2 3 4 3" xfId="50022" xr:uid="{00000000-0005-0000-0000-000089C50000}"/>
    <cellStyle name="Output 3 4 2 3 4 4" xfId="38006" xr:uid="{00000000-0005-0000-0000-00008AC50000}"/>
    <cellStyle name="Output 3 4 2 3 5" xfId="21255" xr:uid="{00000000-0005-0000-0000-00008BC50000}"/>
    <cellStyle name="Output 3 4 2 3 5 2" xfId="46792" xr:uid="{00000000-0005-0000-0000-00008CC50000}"/>
    <cellStyle name="Output 3 4 2 3 5 3" xfId="50698" xr:uid="{00000000-0005-0000-0000-00008DC50000}"/>
    <cellStyle name="Output 3 4 2 3 5 4" xfId="38661" xr:uid="{00000000-0005-0000-0000-00008EC50000}"/>
    <cellStyle name="Output 3 4 2 3 6" xfId="21908" xr:uid="{00000000-0005-0000-0000-00008FC50000}"/>
    <cellStyle name="Output 3 4 2 3 6 2" xfId="47445" xr:uid="{00000000-0005-0000-0000-000090C50000}"/>
    <cellStyle name="Output 3 4 2 3 6 3" xfId="51351" xr:uid="{00000000-0005-0000-0000-000091C50000}"/>
    <cellStyle name="Output 3 4 2 3 7" xfId="41248" xr:uid="{00000000-0005-0000-0000-000092C50000}"/>
    <cellStyle name="Output 3 4 2 3 8" xfId="43365" xr:uid="{00000000-0005-0000-0000-000093C50000}"/>
    <cellStyle name="Output 3 4 2 4" xfId="15269" xr:uid="{00000000-0005-0000-0000-000094C50000}"/>
    <cellStyle name="Output 3 4 2 4 2" xfId="43142" xr:uid="{00000000-0005-0000-0000-000095C50000}"/>
    <cellStyle name="Output 3 4 2 4 3" xfId="43446" xr:uid="{00000000-0005-0000-0000-000096C50000}"/>
    <cellStyle name="Output 3 4 2 4 4" xfId="32904" xr:uid="{00000000-0005-0000-0000-000097C50000}"/>
    <cellStyle name="Output 3 4 2 5" xfId="19816" xr:uid="{00000000-0005-0000-0000-000098C50000}"/>
    <cellStyle name="Output 3 4 2 5 2" xfId="45353" xr:uid="{00000000-0005-0000-0000-000099C50000}"/>
    <cellStyle name="Output 3 4 2 5 3" xfId="49259" xr:uid="{00000000-0005-0000-0000-00009AC50000}"/>
    <cellStyle name="Output 3 4 2 5 4" xfId="37337" xr:uid="{00000000-0005-0000-0000-00009BC50000}"/>
    <cellStyle name="Output 3 4 2 6" xfId="11809" xr:uid="{00000000-0005-0000-0000-00009CC50000}"/>
    <cellStyle name="Output 3 4 2 6 2" xfId="41757" xr:uid="{00000000-0005-0000-0000-00009DC50000}"/>
    <cellStyle name="Output 3 4 2 6 3" xfId="39670" xr:uid="{00000000-0005-0000-0000-00009EC50000}"/>
    <cellStyle name="Output 3 4 2 6 4" xfId="29495" xr:uid="{00000000-0005-0000-0000-00009FC50000}"/>
    <cellStyle name="Output 3 4 2 7" xfId="19808" xr:uid="{00000000-0005-0000-0000-0000A0C50000}"/>
    <cellStyle name="Output 3 4 2 7 2" xfId="45345" xr:uid="{00000000-0005-0000-0000-0000A1C50000}"/>
    <cellStyle name="Output 3 4 2 7 3" xfId="49251" xr:uid="{00000000-0005-0000-0000-0000A2C50000}"/>
    <cellStyle name="Output 3 4 2 7 4" xfId="37329" xr:uid="{00000000-0005-0000-0000-0000A3C50000}"/>
    <cellStyle name="Output 3 4 2 8" xfId="11466" xr:uid="{00000000-0005-0000-0000-0000A4C50000}"/>
    <cellStyle name="Output 3 4 2 8 2" xfId="41477" xr:uid="{00000000-0005-0000-0000-0000A5C50000}"/>
    <cellStyle name="Output 3 4 2 8 3" xfId="42030" xr:uid="{00000000-0005-0000-0000-0000A6C50000}"/>
    <cellStyle name="Output 3 4 2 9" xfId="40002" xr:uid="{00000000-0005-0000-0000-0000A7C50000}"/>
    <cellStyle name="Output 3 4 3" xfId="12116" xr:uid="{00000000-0005-0000-0000-0000A8C50000}"/>
    <cellStyle name="Output 3 4 3 2" xfId="41861" xr:uid="{00000000-0005-0000-0000-0000A9C50000}"/>
    <cellStyle name="Output 3 4 3 3" xfId="39121" xr:uid="{00000000-0005-0000-0000-0000AAC50000}"/>
    <cellStyle name="Output 3 4 3 4" xfId="29789" xr:uid="{00000000-0005-0000-0000-0000ABC50000}"/>
    <cellStyle name="Output 3 4 3 5" xfId="53431" xr:uid="{00000000-0005-0000-0000-0000ACC50000}"/>
    <cellStyle name="Output 3 4 4" xfId="19212" xr:uid="{00000000-0005-0000-0000-0000ADC50000}"/>
    <cellStyle name="Output 3 4 4 2" xfId="44749" xr:uid="{00000000-0005-0000-0000-0000AEC50000}"/>
    <cellStyle name="Output 3 4 4 3" xfId="48655" xr:uid="{00000000-0005-0000-0000-0000AFC50000}"/>
    <cellStyle name="Output 3 4 4 4" xfId="36797" xr:uid="{00000000-0005-0000-0000-0000B0C50000}"/>
    <cellStyle name="Output 3 4 5" xfId="53324" xr:uid="{00000000-0005-0000-0000-0000B1C50000}"/>
    <cellStyle name="Output 3 5" xfId="3267" xr:uid="{00000000-0005-0000-0000-0000B2C50000}"/>
    <cellStyle name="Output 3 5 2" xfId="7482" xr:uid="{00000000-0005-0000-0000-0000B3C50000}"/>
    <cellStyle name="Output 3 5 2 10" xfId="43646" xr:uid="{00000000-0005-0000-0000-0000B4C50000}"/>
    <cellStyle name="Output 3 5 2 11" xfId="53433" xr:uid="{00000000-0005-0000-0000-0000B5C50000}"/>
    <cellStyle name="Output 3 5 2 2" xfId="10755" xr:uid="{00000000-0005-0000-0000-0000B6C50000}"/>
    <cellStyle name="Output 3 5 2 2 2" xfId="18548" xr:uid="{00000000-0005-0000-0000-0000B7C50000}"/>
    <cellStyle name="Output 3 5 2 2 2 2" xfId="44095" xr:uid="{00000000-0005-0000-0000-0000B8C50000}"/>
    <cellStyle name="Output 3 5 2 2 2 3" xfId="48004" xr:uid="{00000000-0005-0000-0000-0000B9C50000}"/>
    <cellStyle name="Output 3 5 2 2 2 4" xfId="36185" xr:uid="{00000000-0005-0000-0000-0000BAC50000}"/>
    <cellStyle name="Output 3 5 2 2 3" xfId="13332" xr:uid="{00000000-0005-0000-0000-0000BBC50000}"/>
    <cellStyle name="Output 3 5 2 2 3 2" xfId="42502" xr:uid="{00000000-0005-0000-0000-0000BCC50000}"/>
    <cellStyle name="Output 3 5 2 2 3 3" xfId="41302" xr:uid="{00000000-0005-0000-0000-0000BDC50000}"/>
    <cellStyle name="Output 3 5 2 2 3 4" xfId="30972" xr:uid="{00000000-0005-0000-0000-0000BEC50000}"/>
    <cellStyle name="Output 3 5 2 2 4" xfId="20302" xr:uid="{00000000-0005-0000-0000-0000BFC50000}"/>
    <cellStyle name="Output 3 5 2 2 4 2" xfId="45839" xr:uid="{00000000-0005-0000-0000-0000C0C50000}"/>
    <cellStyle name="Output 3 5 2 2 4 3" xfId="49745" xr:uid="{00000000-0005-0000-0000-0000C1C50000}"/>
    <cellStyle name="Output 3 5 2 2 4 4" xfId="37768" xr:uid="{00000000-0005-0000-0000-0000C2C50000}"/>
    <cellStyle name="Output 3 5 2 2 5" xfId="20961" xr:uid="{00000000-0005-0000-0000-0000C3C50000}"/>
    <cellStyle name="Output 3 5 2 2 5 2" xfId="46498" xr:uid="{00000000-0005-0000-0000-0000C4C50000}"/>
    <cellStyle name="Output 3 5 2 2 5 3" xfId="50404" xr:uid="{00000000-0005-0000-0000-0000C5C50000}"/>
    <cellStyle name="Output 3 5 2 2 5 4" xfId="38367" xr:uid="{00000000-0005-0000-0000-0000C6C50000}"/>
    <cellStyle name="Output 3 5 2 2 6" xfId="21614" xr:uid="{00000000-0005-0000-0000-0000C7C50000}"/>
    <cellStyle name="Output 3 5 2 2 6 2" xfId="47151" xr:uid="{00000000-0005-0000-0000-0000C8C50000}"/>
    <cellStyle name="Output 3 5 2 2 6 3" xfId="51057" xr:uid="{00000000-0005-0000-0000-0000C9C50000}"/>
    <cellStyle name="Output 3 5 2 2 7" xfId="40954" xr:uid="{00000000-0005-0000-0000-0000CAC50000}"/>
    <cellStyle name="Output 3 5 2 2 8" xfId="40593" xr:uid="{00000000-0005-0000-0000-0000CBC50000}"/>
    <cellStyle name="Output 3 5 2 3" xfId="11050" xr:uid="{00000000-0005-0000-0000-0000CCC50000}"/>
    <cellStyle name="Output 3 5 2 3 2" xfId="18843" xr:uid="{00000000-0005-0000-0000-0000CDC50000}"/>
    <cellStyle name="Output 3 5 2 3 2 2" xfId="44390" xr:uid="{00000000-0005-0000-0000-0000CEC50000}"/>
    <cellStyle name="Output 3 5 2 3 2 3" xfId="48299" xr:uid="{00000000-0005-0000-0000-0000CFC50000}"/>
    <cellStyle name="Output 3 5 2 3 2 4" xfId="36480" xr:uid="{00000000-0005-0000-0000-0000D0C50000}"/>
    <cellStyle name="Output 3 5 2 3 3" xfId="20436" xr:uid="{00000000-0005-0000-0000-0000D1C50000}"/>
    <cellStyle name="Output 3 5 2 3 3 2" xfId="45973" xr:uid="{00000000-0005-0000-0000-0000D2C50000}"/>
    <cellStyle name="Output 3 5 2 3 3 3" xfId="49879" xr:uid="{00000000-0005-0000-0000-0000D3C50000}"/>
    <cellStyle name="Output 3 5 2 3 3 4" xfId="37890" xr:uid="{00000000-0005-0000-0000-0000D4C50000}"/>
    <cellStyle name="Output 3 5 2 3 4" xfId="20580" xr:uid="{00000000-0005-0000-0000-0000D5C50000}"/>
    <cellStyle name="Output 3 5 2 3 4 2" xfId="46117" xr:uid="{00000000-0005-0000-0000-0000D6C50000}"/>
    <cellStyle name="Output 3 5 2 3 4 3" xfId="50023" xr:uid="{00000000-0005-0000-0000-0000D7C50000}"/>
    <cellStyle name="Output 3 5 2 3 4 4" xfId="38007" xr:uid="{00000000-0005-0000-0000-0000D8C50000}"/>
    <cellStyle name="Output 3 5 2 3 5" xfId="21256" xr:uid="{00000000-0005-0000-0000-0000D9C50000}"/>
    <cellStyle name="Output 3 5 2 3 5 2" xfId="46793" xr:uid="{00000000-0005-0000-0000-0000DAC50000}"/>
    <cellStyle name="Output 3 5 2 3 5 3" xfId="50699" xr:uid="{00000000-0005-0000-0000-0000DBC50000}"/>
    <cellStyle name="Output 3 5 2 3 5 4" xfId="38662" xr:uid="{00000000-0005-0000-0000-0000DCC50000}"/>
    <cellStyle name="Output 3 5 2 3 6" xfId="21909" xr:uid="{00000000-0005-0000-0000-0000DDC50000}"/>
    <cellStyle name="Output 3 5 2 3 6 2" xfId="47446" xr:uid="{00000000-0005-0000-0000-0000DEC50000}"/>
    <cellStyle name="Output 3 5 2 3 6 3" xfId="51352" xr:uid="{00000000-0005-0000-0000-0000DFC50000}"/>
    <cellStyle name="Output 3 5 2 3 7" xfId="41249" xr:uid="{00000000-0005-0000-0000-0000E0C50000}"/>
    <cellStyle name="Output 3 5 2 3 8" xfId="40227" xr:uid="{00000000-0005-0000-0000-0000E1C50000}"/>
    <cellStyle name="Output 3 5 2 4" xfId="15270" xr:uid="{00000000-0005-0000-0000-0000E2C50000}"/>
    <cellStyle name="Output 3 5 2 4 2" xfId="43143" xr:uid="{00000000-0005-0000-0000-0000E3C50000}"/>
    <cellStyle name="Output 3 5 2 4 3" xfId="40308" xr:uid="{00000000-0005-0000-0000-0000E4C50000}"/>
    <cellStyle name="Output 3 5 2 4 4" xfId="32905" xr:uid="{00000000-0005-0000-0000-0000E5C50000}"/>
    <cellStyle name="Output 3 5 2 5" xfId="11369" xr:uid="{00000000-0005-0000-0000-0000E6C50000}"/>
    <cellStyle name="Output 3 5 2 5 2" xfId="41405" xr:uid="{00000000-0005-0000-0000-0000E7C50000}"/>
    <cellStyle name="Output 3 5 2 5 3" xfId="40468" xr:uid="{00000000-0005-0000-0000-0000E8C50000}"/>
    <cellStyle name="Output 3 5 2 5 4" xfId="29092" xr:uid="{00000000-0005-0000-0000-0000E9C50000}"/>
    <cellStyle name="Output 3 5 2 6" xfId="18909" xr:uid="{00000000-0005-0000-0000-0000EAC50000}"/>
    <cellStyle name="Output 3 5 2 6 2" xfId="44446" xr:uid="{00000000-0005-0000-0000-0000EBC50000}"/>
    <cellStyle name="Output 3 5 2 6 3" xfId="48352" xr:uid="{00000000-0005-0000-0000-0000ECC50000}"/>
    <cellStyle name="Output 3 5 2 6 4" xfId="36541" xr:uid="{00000000-0005-0000-0000-0000EDC50000}"/>
    <cellStyle name="Output 3 5 2 7" xfId="19041" xr:uid="{00000000-0005-0000-0000-0000EEC50000}"/>
    <cellStyle name="Output 3 5 2 7 2" xfId="44578" xr:uid="{00000000-0005-0000-0000-0000EFC50000}"/>
    <cellStyle name="Output 3 5 2 7 3" xfId="48484" xr:uid="{00000000-0005-0000-0000-0000F0C50000}"/>
    <cellStyle name="Output 3 5 2 7 4" xfId="36645" xr:uid="{00000000-0005-0000-0000-0000F1C50000}"/>
    <cellStyle name="Output 3 5 2 8" xfId="19373" xr:uid="{00000000-0005-0000-0000-0000F2C50000}"/>
    <cellStyle name="Output 3 5 2 8 2" xfId="44910" xr:uid="{00000000-0005-0000-0000-0000F3C50000}"/>
    <cellStyle name="Output 3 5 2 8 3" xfId="48816" xr:uid="{00000000-0005-0000-0000-0000F4C50000}"/>
    <cellStyle name="Output 3 5 2 9" xfId="40003" xr:uid="{00000000-0005-0000-0000-0000F5C50000}"/>
    <cellStyle name="Output 3 5 3" xfId="12117" xr:uid="{00000000-0005-0000-0000-0000F6C50000}"/>
    <cellStyle name="Output 3 5 3 2" xfId="41862" xr:uid="{00000000-0005-0000-0000-0000F7C50000}"/>
    <cellStyle name="Output 3 5 3 3" xfId="39120" xr:uid="{00000000-0005-0000-0000-0000F8C50000}"/>
    <cellStyle name="Output 3 5 3 4" xfId="29790" xr:uid="{00000000-0005-0000-0000-0000F9C50000}"/>
    <cellStyle name="Output 3 5 4" xfId="19842" xr:uid="{00000000-0005-0000-0000-0000FAC50000}"/>
    <cellStyle name="Output 3 5 4 2" xfId="45379" xr:uid="{00000000-0005-0000-0000-0000FBC50000}"/>
    <cellStyle name="Output 3 5 4 3" xfId="49285" xr:uid="{00000000-0005-0000-0000-0000FCC50000}"/>
    <cellStyle name="Output 3 5 4 4" xfId="37359" xr:uid="{00000000-0005-0000-0000-0000FDC50000}"/>
    <cellStyle name="Output 3 5 5" xfId="53326" xr:uid="{00000000-0005-0000-0000-0000FEC50000}"/>
    <cellStyle name="Output 3 6" xfId="3268" xr:uid="{00000000-0005-0000-0000-0000FFC50000}"/>
    <cellStyle name="Output 3 6 2" xfId="7483" xr:uid="{00000000-0005-0000-0000-000000C60000}"/>
    <cellStyle name="Output 3 6 2 10" xfId="40504" xr:uid="{00000000-0005-0000-0000-000001C60000}"/>
    <cellStyle name="Output 3 6 2 11" xfId="53434" xr:uid="{00000000-0005-0000-0000-000002C60000}"/>
    <cellStyle name="Output 3 6 2 2" xfId="10756" xr:uid="{00000000-0005-0000-0000-000003C60000}"/>
    <cellStyle name="Output 3 6 2 2 2" xfId="18549" xr:uid="{00000000-0005-0000-0000-000004C60000}"/>
    <cellStyle name="Output 3 6 2 2 2 2" xfId="44096" xr:uid="{00000000-0005-0000-0000-000005C60000}"/>
    <cellStyle name="Output 3 6 2 2 2 3" xfId="48005" xr:uid="{00000000-0005-0000-0000-000006C60000}"/>
    <cellStyle name="Output 3 6 2 2 2 4" xfId="36186" xr:uid="{00000000-0005-0000-0000-000007C60000}"/>
    <cellStyle name="Output 3 6 2 2 3" xfId="19599" xr:uid="{00000000-0005-0000-0000-000008C60000}"/>
    <cellStyle name="Output 3 6 2 2 3 2" xfId="45136" xr:uid="{00000000-0005-0000-0000-000009C60000}"/>
    <cellStyle name="Output 3 6 2 2 3 3" xfId="49042" xr:uid="{00000000-0005-0000-0000-00000AC60000}"/>
    <cellStyle name="Output 3 6 2 2 3 4" xfId="37139" xr:uid="{00000000-0005-0000-0000-00000BC60000}"/>
    <cellStyle name="Output 3 6 2 2 4" xfId="20085" xr:uid="{00000000-0005-0000-0000-00000CC60000}"/>
    <cellStyle name="Output 3 6 2 2 4 2" xfId="45622" xr:uid="{00000000-0005-0000-0000-00000DC60000}"/>
    <cellStyle name="Output 3 6 2 2 4 3" xfId="49528" xr:uid="{00000000-0005-0000-0000-00000EC60000}"/>
    <cellStyle name="Output 3 6 2 2 4 4" xfId="37578" xr:uid="{00000000-0005-0000-0000-00000FC60000}"/>
    <cellStyle name="Output 3 6 2 2 5" xfId="20962" xr:uid="{00000000-0005-0000-0000-000010C60000}"/>
    <cellStyle name="Output 3 6 2 2 5 2" xfId="46499" xr:uid="{00000000-0005-0000-0000-000011C60000}"/>
    <cellStyle name="Output 3 6 2 2 5 3" xfId="50405" xr:uid="{00000000-0005-0000-0000-000012C60000}"/>
    <cellStyle name="Output 3 6 2 2 5 4" xfId="38368" xr:uid="{00000000-0005-0000-0000-000013C60000}"/>
    <cellStyle name="Output 3 6 2 2 6" xfId="21615" xr:uid="{00000000-0005-0000-0000-000014C60000}"/>
    <cellStyle name="Output 3 6 2 2 6 2" xfId="47152" xr:uid="{00000000-0005-0000-0000-000015C60000}"/>
    <cellStyle name="Output 3 6 2 2 6 3" xfId="51058" xr:uid="{00000000-0005-0000-0000-000016C60000}"/>
    <cellStyle name="Output 3 6 2 2 7" xfId="40955" xr:uid="{00000000-0005-0000-0000-000017C60000}"/>
    <cellStyle name="Output 3 6 2 2 8" xfId="39704" xr:uid="{00000000-0005-0000-0000-000018C60000}"/>
    <cellStyle name="Output 3 6 2 3" xfId="11051" xr:uid="{00000000-0005-0000-0000-000019C60000}"/>
    <cellStyle name="Output 3 6 2 3 2" xfId="18844" xr:uid="{00000000-0005-0000-0000-00001AC60000}"/>
    <cellStyle name="Output 3 6 2 3 2 2" xfId="44391" xr:uid="{00000000-0005-0000-0000-00001BC60000}"/>
    <cellStyle name="Output 3 6 2 3 2 3" xfId="48300" xr:uid="{00000000-0005-0000-0000-00001CC60000}"/>
    <cellStyle name="Output 3 6 2 3 2 4" xfId="36481" xr:uid="{00000000-0005-0000-0000-00001DC60000}"/>
    <cellStyle name="Output 3 6 2 3 3" xfId="20437" xr:uid="{00000000-0005-0000-0000-00001EC60000}"/>
    <cellStyle name="Output 3 6 2 3 3 2" xfId="45974" xr:uid="{00000000-0005-0000-0000-00001FC60000}"/>
    <cellStyle name="Output 3 6 2 3 3 3" xfId="49880" xr:uid="{00000000-0005-0000-0000-000020C60000}"/>
    <cellStyle name="Output 3 6 2 3 3 4" xfId="37891" xr:uid="{00000000-0005-0000-0000-000021C60000}"/>
    <cellStyle name="Output 3 6 2 3 4" xfId="20581" xr:uid="{00000000-0005-0000-0000-000022C60000}"/>
    <cellStyle name="Output 3 6 2 3 4 2" xfId="46118" xr:uid="{00000000-0005-0000-0000-000023C60000}"/>
    <cellStyle name="Output 3 6 2 3 4 3" xfId="50024" xr:uid="{00000000-0005-0000-0000-000024C60000}"/>
    <cellStyle name="Output 3 6 2 3 4 4" xfId="38008" xr:uid="{00000000-0005-0000-0000-000025C60000}"/>
    <cellStyle name="Output 3 6 2 3 5" xfId="21257" xr:uid="{00000000-0005-0000-0000-000026C60000}"/>
    <cellStyle name="Output 3 6 2 3 5 2" xfId="46794" xr:uid="{00000000-0005-0000-0000-000027C60000}"/>
    <cellStyle name="Output 3 6 2 3 5 3" xfId="50700" xr:uid="{00000000-0005-0000-0000-000028C60000}"/>
    <cellStyle name="Output 3 6 2 3 5 4" xfId="38663" xr:uid="{00000000-0005-0000-0000-000029C60000}"/>
    <cellStyle name="Output 3 6 2 3 6" xfId="21910" xr:uid="{00000000-0005-0000-0000-00002AC60000}"/>
    <cellStyle name="Output 3 6 2 3 6 2" xfId="47447" xr:uid="{00000000-0005-0000-0000-00002BC60000}"/>
    <cellStyle name="Output 3 6 2 3 6 3" xfId="51353" xr:uid="{00000000-0005-0000-0000-00002CC60000}"/>
    <cellStyle name="Output 3 6 2 3 7" xfId="41250" xr:uid="{00000000-0005-0000-0000-00002DC60000}"/>
    <cellStyle name="Output 3 6 2 3 8" xfId="39367" xr:uid="{00000000-0005-0000-0000-00002EC60000}"/>
    <cellStyle name="Output 3 6 2 4" xfId="15271" xr:uid="{00000000-0005-0000-0000-00002FC60000}"/>
    <cellStyle name="Output 3 6 2 4 2" xfId="43144" xr:uid="{00000000-0005-0000-0000-000030C60000}"/>
    <cellStyle name="Output 3 6 2 4 3" xfId="39425" xr:uid="{00000000-0005-0000-0000-000031C60000}"/>
    <cellStyle name="Output 3 6 2 4 4" xfId="32906" xr:uid="{00000000-0005-0000-0000-000032C60000}"/>
    <cellStyle name="Output 3 6 2 5" xfId="12050" xr:uid="{00000000-0005-0000-0000-000033C60000}"/>
    <cellStyle name="Output 3 6 2 5 2" xfId="41805" xr:uid="{00000000-0005-0000-0000-000034C60000}"/>
    <cellStyle name="Output 3 6 2 5 3" xfId="47502" xr:uid="{00000000-0005-0000-0000-000035C60000}"/>
    <cellStyle name="Output 3 6 2 5 4" xfId="29729" xr:uid="{00000000-0005-0000-0000-000036C60000}"/>
    <cellStyle name="Output 3 6 2 6" xfId="19981" xr:uid="{00000000-0005-0000-0000-000037C60000}"/>
    <cellStyle name="Output 3 6 2 6 2" xfId="45518" xr:uid="{00000000-0005-0000-0000-000038C60000}"/>
    <cellStyle name="Output 3 6 2 6 3" xfId="49424" xr:uid="{00000000-0005-0000-0000-000039C60000}"/>
    <cellStyle name="Output 3 6 2 6 4" xfId="37482" xr:uid="{00000000-0005-0000-0000-00003AC60000}"/>
    <cellStyle name="Output 3 6 2 7" xfId="19633" xr:uid="{00000000-0005-0000-0000-00003BC60000}"/>
    <cellStyle name="Output 3 6 2 7 2" xfId="45170" xr:uid="{00000000-0005-0000-0000-00003CC60000}"/>
    <cellStyle name="Output 3 6 2 7 3" xfId="49076" xr:uid="{00000000-0005-0000-0000-00003DC60000}"/>
    <cellStyle name="Output 3 6 2 7 4" xfId="37171" xr:uid="{00000000-0005-0000-0000-00003EC60000}"/>
    <cellStyle name="Output 3 6 2 8" xfId="20480" xr:uid="{00000000-0005-0000-0000-00003FC60000}"/>
    <cellStyle name="Output 3 6 2 8 2" xfId="46017" xr:uid="{00000000-0005-0000-0000-000040C60000}"/>
    <cellStyle name="Output 3 6 2 8 3" xfId="49923" xr:uid="{00000000-0005-0000-0000-000041C60000}"/>
    <cellStyle name="Output 3 6 2 9" xfId="40004" xr:uid="{00000000-0005-0000-0000-000042C60000}"/>
    <cellStyle name="Output 3 6 3" xfId="12118" xr:uid="{00000000-0005-0000-0000-000043C60000}"/>
    <cellStyle name="Output 3 6 3 2" xfId="41863" xr:uid="{00000000-0005-0000-0000-000044C60000}"/>
    <cellStyle name="Output 3 6 3 3" xfId="39119" xr:uid="{00000000-0005-0000-0000-000045C60000}"/>
    <cellStyle name="Output 3 6 3 4" xfId="29791" xr:uid="{00000000-0005-0000-0000-000046C60000}"/>
    <cellStyle name="Output 3 6 4" xfId="18973" xr:uid="{00000000-0005-0000-0000-000047C60000}"/>
    <cellStyle name="Output 3 6 4 2" xfId="44510" xr:uid="{00000000-0005-0000-0000-000048C60000}"/>
    <cellStyle name="Output 3 6 4 3" xfId="48416" xr:uid="{00000000-0005-0000-0000-000049C60000}"/>
    <cellStyle name="Output 3 6 4 4" xfId="36598" xr:uid="{00000000-0005-0000-0000-00004AC60000}"/>
    <cellStyle name="Output 3 6 5" xfId="53327" xr:uid="{00000000-0005-0000-0000-00004BC60000}"/>
    <cellStyle name="Output 3 7" xfId="5315" xr:uid="{00000000-0005-0000-0000-00004CC60000}"/>
    <cellStyle name="Output 3 7 2" xfId="7484" xr:uid="{00000000-0005-0000-0000-00004DC60000}"/>
    <cellStyle name="Output 3 7 2 10" xfId="39614" xr:uid="{00000000-0005-0000-0000-00004EC60000}"/>
    <cellStyle name="Output 3 7 2 2" xfId="10757" xr:uid="{00000000-0005-0000-0000-00004FC60000}"/>
    <cellStyle name="Output 3 7 2 2 2" xfId="18550" xr:uid="{00000000-0005-0000-0000-000050C60000}"/>
    <cellStyle name="Output 3 7 2 2 2 2" xfId="44097" xr:uid="{00000000-0005-0000-0000-000051C60000}"/>
    <cellStyle name="Output 3 7 2 2 2 3" xfId="48006" xr:uid="{00000000-0005-0000-0000-000052C60000}"/>
    <cellStyle name="Output 3 7 2 2 2 4" xfId="36187" xr:uid="{00000000-0005-0000-0000-000053C60000}"/>
    <cellStyle name="Output 3 7 2 2 3" xfId="20152" xr:uid="{00000000-0005-0000-0000-000054C60000}"/>
    <cellStyle name="Output 3 7 2 2 3 2" xfId="45689" xr:uid="{00000000-0005-0000-0000-000055C60000}"/>
    <cellStyle name="Output 3 7 2 2 3 3" xfId="49595" xr:uid="{00000000-0005-0000-0000-000056C60000}"/>
    <cellStyle name="Output 3 7 2 2 3 4" xfId="37638" xr:uid="{00000000-0005-0000-0000-000057C60000}"/>
    <cellStyle name="Output 3 7 2 2 4" xfId="12692" xr:uid="{00000000-0005-0000-0000-000058C60000}"/>
    <cellStyle name="Output 3 7 2 2 4 2" xfId="42171" xr:uid="{00000000-0005-0000-0000-000059C60000}"/>
    <cellStyle name="Output 3 7 2 2 4 3" xfId="43586" xr:uid="{00000000-0005-0000-0000-00005AC60000}"/>
    <cellStyle name="Output 3 7 2 2 4 4" xfId="30353" xr:uid="{00000000-0005-0000-0000-00005BC60000}"/>
    <cellStyle name="Output 3 7 2 2 5" xfId="20963" xr:uid="{00000000-0005-0000-0000-00005CC60000}"/>
    <cellStyle name="Output 3 7 2 2 5 2" xfId="46500" xr:uid="{00000000-0005-0000-0000-00005DC60000}"/>
    <cellStyle name="Output 3 7 2 2 5 3" xfId="50406" xr:uid="{00000000-0005-0000-0000-00005EC60000}"/>
    <cellStyle name="Output 3 7 2 2 5 4" xfId="38369" xr:uid="{00000000-0005-0000-0000-00005FC60000}"/>
    <cellStyle name="Output 3 7 2 2 6" xfId="21616" xr:uid="{00000000-0005-0000-0000-000060C60000}"/>
    <cellStyle name="Output 3 7 2 2 6 2" xfId="47153" xr:uid="{00000000-0005-0000-0000-000061C60000}"/>
    <cellStyle name="Output 3 7 2 2 6 3" xfId="51059" xr:uid="{00000000-0005-0000-0000-000062C60000}"/>
    <cellStyle name="Output 3 7 2 2 7" xfId="40956" xr:uid="{00000000-0005-0000-0000-000063C60000}"/>
    <cellStyle name="Output 3 7 2 2 8" xfId="42741" xr:uid="{00000000-0005-0000-0000-000064C60000}"/>
    <cellStyle name="Output 3 7 2 3" xfId="11052" xr:uid="{00000000-0005-0000-0000-000065C60000}"/>
    <cellStyle name="Output 3 7 2 3 2" xfId="18845" xr:uid="{00000000-0005-0000-0000-000066C60000}"/>
    <cellStyle name="Output 3 7 2 3 2 2" xfId="44392" xr:uid="{00000000-0005-0000-0000-000067C60000}"/>
    <cellStyle name="Output 3 7 2 3 2 3" xfId="48301" xr:uid="{00000000-0005-0000-0000-000068C60000}"/>
    <cellStyle name="Output 3 7 2 3 2 4" xfId="36482" xr:uid="{00000000-0005-0000-0000-000069C60000}"/>
    <cellStyle name="Output 3 7 2 3 3" xfId="20438" xr:uid="{00000000-0005-0000-0000-00006AC60000}"/>
    <cellStyle name="Output 3 7 2 3 3 2" xfId="45975" xr:uid="{00000000-0005-0000-0000-00006BC60000}"/>
    <cellStyle name="Output 3 7 2 3 3 3" xfId="49881" xr:uid="{00000000-0005-0000-0000-00006CC60000}"/>
    <cellStyle name="Output 3 7 2 3 3 4" xfId="37892" xr:uid="{00000000-0005-0000-0000-00006DC60000}"/>
    <cellStyle name="Output 3 7 2 3 4" xfId="20582" xr:uid="{00000000-0005-0000-0000-00006EC60000}"/>
    <cellStyle name="Output 3 7 2 3 4 2" xfId="46119" xr:uid="{00000000-0005-0000-0000-00006FC60000}"/>
    <cellStyle name="Output 3 7 2 3 4 3" xfId="50025" xr:uid="{00000000-0005-0000-0000-000070C60000}"/>
    <cellStyle name="Output 3 7 2 3 4 4" xfId="38009" xr:uid="{00000000-0005-0000-0000-000071C60000}"/>
    <cellStyle name="Output 3 7 2 3 5" xfId="21258" xr:uid="{00000000-0005-0000-0000-000072C60000}"/>
    <cellStyle name="Output 3 7 2 3 5 2" xfId="46795" xr:uid="{00000000-0005-0000-0000-000073C60000}"/>
    <cellStyle name="Output 3 7 2 3 5 3" xfId="50701" xr:uid="{00000000-0005-0000-0000-000074C60000}"/>
    <cellStyle name="Output 3 7 2 3 5 4" xfId="38664" xr:uid="{00000000-0005-0000-0000-000075C60000}"/>
    <cellStyle name="Output 3 7 2 3 6" xfId="21911" xr:uid="{00000000-0005-0000-0000-000076C60000}"/>
    <cellStyle name="Output 3 7 2 3 6 2" xfId="47448" xr:uid="{00000000-0005-0000-0000-000077C60000}"/>
    <cellStyle name="Output 3 7 2 3 6 3" xfId="51354" xr:uid="{00000000-0005-0000-0000-000078C60000}"/>
    <cellStyle name="Output 3 7 2 3 7" xfId="41251" xr:uid="{00000000-0005-0000-0000-000079C60000}"/>
    <cellStyle name="Output 3 7 2 3 8" xfId="39180" xr:uid="{00000000-0005-0000-0000-00007AC60000}"/>
    <cellStyle name="Output 3 7 2 4" xfId="15272" xr:uid="{00000000-0005-0000-0000-00007BC60000}"/>
    <cellStyle name="Output 3 7 2 4 2" xfId="43145" xr:uid="{00000000-0005-0000-0000-00007CC60000}"/>
    <cellStyle name="Output 3 7 2 4 3" xfId="41937" xr:uid="{00000000-0005-0000-0000-00007DC60000}"/>
    <cellStyle name="Output 3 7 2 4 4" xfId="32907" xr:uid="{00000000-0005-0000-0000-00007EC60000}"/>
    <cellStyle name="Output 3 7 2 5" xfId="19659" xr:uid="{00000000-0005-0000-0000-00007FC60000}"/>
    <cellStyle name="Output 3 7 2 5 2" xfId="45196" xr:uid="{00000000-0005-0000-0000-000080C60000}"/>
    <cellStyle name="Output 3 7 2 5 3" xfId="49102" xr:uid="{00000000-0005-0000-0000-000081C60000}"/>
    <cellStyle name="Output 3 7 2 5 4" xfId="37193" xr:uid="{00000000-0005-0000-0000-000082C60000}"/>
    <cellStyle name="Output 3 7 2 6" xfId="19657" xr:uid="{00000000-0005-0000-0000-000083C60000}"/>
    <cellStyle name="Output 3 7 2 6 2" xfId="45194" xr:uid="{00000000-0005-0000-0000-000084C60000}"/>
    <cellStyle name="Output 3 7 2 6 3" xfId="49100" xr:uid="{00000000-0005-0000-0000-000085C60000}"/>
    <cellStyle name="Output 3 7 2 6 4" xfId="37191" xr:uid="{00000000-0005-0000-0000-000086C60000}"/>
    <cellStyle name="Output 3 7 2 7" xfId="20274" xr:uid="{00000000-0005-0000-0000-000087C60000}"/>
    <cellStyle name="Output 3 7 2 7 2" xfId="45811" xr:uid="{00000000-0005-0000-0000-000088C60000}"/>
    <cellStyle name="Output 3 7 2 7 3" xfId="49717" xr:uid="{00000000-0005-0000-0000-000089C60000}"/>
    <cellStyle name="Output 3 7 2 7 4" xfId="37742" xr:uid="{00000000-0005-0000-0000-00008AC60000}"/>
    <cellStyle name="Output 3 7 2 8" xfId="20508" xr:uid="{00000000-0005-0000-0000-00008BC60000}"/>
    <cellStyle name="Output 3 7 2 8 2" xfId="46045" xr:uid="{00000000-0005-0000-0000-00008CC60000}"/>
    <cellStyle name="Output 3 7 2 8 3" xfId="49951" xr:uid="{00000000-0005-0000-0000-00008DC60000}"/>
    <cellStyle name="Output 3 7 2 9" xfId="40005" xr:uid="{00000000-0005-0000-0000-00008EC60000}"/>
    <cellStyle name="Output 3 7 3" xfId="13283" xr:uid="{00000000-0005-0000-0000-00008FC60000}"/>
    <cellStyle name="Output 3 7 3 2" xfId="42453" xr:uid="{00000000-0005-0000-0000-000090C60000}"/>
    <cellStyle name="Output 3 7 3 3" xfId="39649" xr:uid="{00000000-0005-0000-0000-000091C60000}"/>
    <cellStyle name="Output 3 7 3 4" xfId="30928" xr:uid="{00000000-0005-0000-0000-000092C60000}"/>
    <cellStyle name="Output 3 7 4" xfId="20312" xr:uid="{00000000-0005-0000-0000-000093C60000}"/>
    <cellStyle name="Output 3 7 4 2" xfId="45849" xr:uid="{00000000-0005-0000-0000-000094C60000}"/>
    <cellStyle name="Output 3 7 4 3" xfId="49755" xr:uid="{00000000-0005-0000-0000-000095C60000}"/>
    <cellStyle name="Output 3 7 4 4" xfId="37777" xr:uid="{00000000-0005-0000-0000-000096C60000}"/>
    <cellStyle name="Output 3 7 5" xfId="53426" xr:uid="{00000000-0005-0000-0000-000097C60000}"/>
    <cellStyle name="Output 3 8" xfId="5316" xr:uid="{00000000-0005-0000-0000-000098C60000}"/>
    <cellStyle name="Output 3 8 2" xfId="7485" xr:uid="{00000000-0005-0000-0000-000099C60000}"/>
    <cellStyle name="Output 3 8 2 10" xfId="47550" xr:uid="{00000000-0005-0000-0000-00009AC60000}"/>
    <cellStyle name="Output 3 8 2 2" xfId="10758" xr:uid="{00000000-0005-0000-0000-00009BC60000}"/>
    <cellStyle name="Output 3 8 2 2 2" xfId="18551" xr:uid="{00000000-0005-0000-0000-00009CC60000}"/>
    <cellStyle name="Output 3 8 2 2 2 2" xfId="44098" xr:uid="{00000000-0005-0000-0000-00009DC60000}"/>
    <cellStyle name="Output 3 8 2 2 2 3" xfId="48007" xr:uid="{00000000-0005-0000-0000-00009EC60000}"/>
    <cellStyle name="Output 3 8 2 2 2 4" xfId="36188" xr:uid="{00000000-0005-0000-0000-00009FC60000}"/>
    <cellStyle name="Output 3 8 2 2 3" xfId="19411" xr:uid="{00000000-0005-0000-0000-0000A0C60000}"/>
    <cellStyle name="Output 3 8 2 2 3 2" xfId="44948" xr:uid="{00000000-0005-0000-0000-0000A1C60000}"/>
    <cellStyle name="Output 3 8 2 2 3 3" xfId="48854" xr:uid="{00000000-0005-0000-0000-0000A2C60000}"/>
    <cellStyle name="Output 3 8 2 2 3 4" xfId="36976" xr:uid="{00000000-0005-0000-0000-0000A3C60000}"/>
    <cellStyle name="Output 3 8 2 2 4" xfId="11642" xr:uid="{00000000-0005-0000-0000-0000A4C60000}"/>
    <cellStyle name="Output 3 8 2 2 4 2" xfId="41653" xr:uid="{00000000-0005-0000-0000-0000A5C60000}"/>
    <cellStyle name="Output 3 8 2 2 4 3" xfId="40029" xr:uid="{00000000-0005-0000-0000-0000A6C60000}"/>
    <cellStyle name="Output 3 8 2 2 4 4" xfId="29343" xr:uid="{00000000-0005-0000-0000-0000A7C60000}"/>
    <cellStyle name="Output 3 8 2 2 5" xfId="20964" xr:uid="{00000000-0005-0000-0000-0000A8C60000}"/>
    <cellStyle name="Output 3 8 2 2 5 2" xfId="46501" xr:uid="{00000000-0005-0000-0000-0000A9C60000}"/>
    <cellStyle name="Output 3 8 2 2 5 3" xfId="50407" xr:uid="{00000000-0005-0000-0000-0000AAC60000}"/>
    <cellStyle name="Output 3 8 2 2 5 4" xfId="38370" xr:uid="{00000000-0005-0000-0000-0000ABC60000}"/>
    <cellStyle name="Output 3 8 2 2 6" xfId="21617" xr:uid="{00000000-0005-0000-0000-0000ACC60000}"/>
    <cellStyle name="Output 3 8 2 2 6 2" xfId="47154" xr:uid="{00000000-0005-0000-0000-0000ADC60000}"/>
    <cellStyle name="Output 3 8 2 2 6 3" xfId="51060" xr:uid="{00000000-0005-0000-0000-0000AEC60000}"/>
    <cellStyle name="Output 3 8 2 2 7" xfId="40957" xr:uid="{00000000-0005-0000-0000-0000AFC60000}"/>
    <cellStyle name="Output 3 8 2 2 8" xfId="43630" xr:uid="{00000000-0005-0000-0000-0000B0C60000}"/>
    <cellStyle name="Output 3 8 2 3" xfId="11053" xr:uid="{00000000-0005-0000-0000-0000B1C60000}"/>
    <cellStyle name="Output 3 8 2 3 2" xfId="18846" xr:uid="{00000000-0005-0000-0000-0000B2C60000}"/>
    <cellStyle name="Output 3 8 2 3 2 2" xfId="44393" xr:uid="{00000000-0005-0000-0000-0000B3C60000}"/>
    <cellStyle name="Output 3 8 2 3 2 3" xfId="48302" xr:uid="{00000000-0005-0000-0000-0000B4C60000}"/>
    <cellStyle name="Output 3 8 2 3 2 4" xfId="36483" xr:uid="{00000000-0005-0000-0000-0000B5C60000}"/>
    <cellStyle name="Output 3 8 2 3 3" xfId="20439" xr:uid="{00000000-0005-0000-0000-0000B6C60000}"/>
    <cellStyle name="Output 3 8 2 3 3 2" xfId="45976" xr:uid="{00000000-0005-0000-0000-0000B7C60000}"/>
    <cellStyle name="Output 3 8 2 3 3 3" xfId="49882" xr:uid="{00000000-0005-0000-0000-0000B8C60000}"/>
    <cellStyle name="Output 3 8 2 3 3 4" xfId="37893" xr:uid="{00000000-0005-0000-0000-0000B9C60000}"/>
    <cellStyle name="Output 3 8 2 3 4" xfId="20583" xr:uid="{00000000-0005-0000-0000-0000BAC60000}"/>
    <cellStyle name="Output 3 8 2 3 4 2" xfId="46120" xr:uid="{00000000-0005-0000-0000-0000BBC60000}"/>
    <cellStyle name="Output 3 8 2 3 4 3" xfId="50026" xr:uid="{00000000-0005-0000-0000-0000BCC60000}"/>
    <cellStyle name="Output 3 8 2 3 4 4" xfId="38010" xr:uid="{00000000-0005-0000-0000-0000BDC60000}"/>
    <cellStyle name="Output 3 8 2 3 5" xfId="21259" xr:uid="{00000000-0005-0000-0000-0000BEC60000}"/>
    <cellStyle name="Output 3 8 2 3 5 2" xfId="46796" xr:uid="{00000000-0005-0000-0000-0000BFC60000}"/>
    <cellStyle name="Output 3 8 2 3 5 3" xfId="50702" xr:uid="{00000000-0005-0000-0000-0000C0C60000}"/>
    <cellStyle name="Output 3 8 2 3 5 4" xfId="38665" xr:uid="{00000000-0005-0000-0000-0000C1C60000}"/>
    <cellStyle name="Output 3 8 2 3 6" xfId="21912" xr:uid="{00000000-0005-0000-0000-0000C2C60000}"/>
    <cellStyle name="Output 3 8 2 3 6 2" xfId="47449" xr:uid="{00000000-0005-0000-0000-0000C3C60000}"/>
    <cellStyle name="Output 3 8 2 3 6 3" xfId="51355" xr:uid="{00000000-0005-0000-0000-0000C4C60000}"/>
    <cellStyle name="Output 3 8 2 3 7" xfId="41252" xr:uid="{00000000-0005-0000-0000-0000C5C60000}"/>
    <cellStyle name="Output 3 8 2 3 8" xfId="41421" xr:uid="{00000000-0005-0000-0000-0000C6C60000}"/>
    <cellStyle name="Output 3 8 2 4" xfId="15273" xr:uid="{00000000-0005-0000-0000-0000C7C60000}"/>
    <cellStyle name="Output 3 8 2 4 2" xfId="43146" xr:uid="{00000000-0005-0000-0000-0000C8C60000}"/>
    <cellStyle name="Output 3 8 2 4 3" xfId="43291" xr:uid="{00000000-0005-0000-0000-0000C9C60000}"/>
    <cellStyle name="Output 3 8 2 4 4" xfId="32908" xr:uid="{00000000-0005-0000-0000-0000CAC60000}"/>
    <cellStyle name="Output 3 8 2 5" xfId="20218" xr:uid="{00000000-0005-0000-0000-0000CBC60000}"/>
    <cellStyle name="Output 3 8 2 5 2" xfId="45755" xr:uid="{00000000-0005-0000-0000-0000CCC60000}"/>
    <cellStyle name="Output 3 8 2 5 3" xfId="49661" xr:uid="{00000000-0005-0000-0000-0000CDC60000}"/>
    <cellStyle name="Output 3 8 2 5 4" xfId="37695" xr:uid="{00000000-0005-0000-0000-0000CEC60000}"/>
    <cellStyle name="Output 3 8 2 6" xfId="20474" xr:uid="{00000000-0005-0000-0000-0000CFC60000}"/>
    <cellStyle name="Output 3 8 2 6 2" xfId="46011" xr:uid="{00000000-0005-0000-0000-0000D0C60000}"/>
    <cellStyle name="Output 3 8 2 6 3" xfId="49917" xr:uid="{00000000-0005-0000-0000-0000D1C60000}"/>
    <cellStyle name="Output 3 8 2 6 4" xfId="37927" xr:uid="{00000000-0005-0000-0000-0000D2C60000}"/>
    <cellStyle name="Output 3 8 2 7" xfId="19022" xr:uid="{00000000-0005-0000-0000-0000D3C60000}"/>
    <cellStyle name="Output 3 8 2 7 2" xfId="44559" xr:uid="{00000000-0005-0000-0000-0000D4C60000}"/>
    <cellStyle name="Output 3 8 2 7 3" xfId="48465" xr:uid="{00000000-0005-0000-0000-0000D5C60000}"/>
    <cellStyle name="Output 3 8 2 7 4" xfId="36630" xr:uid="{00000000-0005-0000-0000-0000D6C60000}"/>
    <cellStyle name="Output 3 8 2 8" xfId="12501" xr:uid="{00000000-0005-0000-0000-0000D7C60000}"/>
    <cellStyle name="Output 3 8 2 8 2" xfId="42014" xr:uid="{00000000-0005-0000-0000-0000D8C60000}"/>
    <cellStyle name="Output 3 8 2 8 3" xfId="40452" xr:uid="{00000000-0005-0000-0000-0000D9C60000}"/>
    <cellStyle name="Output 3 8 2 9" xfId="40006" xr:uid="{00000000-0005-0000-0000-0000DAC60000}"/>
    <cellStyle name="Output 3 8 3" xfId="13284" xr:uid="{00000000-0005-0000-0000-0000DBC60000}"/>
    <cellStyle name="Output 3 8 3 2" xfId="42454" xr:uid="{00000000-0005-0000-0000-0000DCC60000}"/>
    <cellStyle name="Output 3 8 3 3" xfId="42685" xr:uid="{00000000-0005-0000-0000-0000DDC60000}"/>
    <cellStyle name="Output 3 8 3 4" xfId="30929" xr:uid="{00000000-0005-0000-0000-0000DEC60000}"/>
    <cellStyle name="Output 3 8 4" xfId="19523" xr:uid="{00000000-0005-0000-0000-0000DFC60000}"/>
    <cellStyle name="Output 3 8 4 2" xfId="45060" xr:uid="{00000000-0005-0000-0000-0000E0C60000}"/>
    <cellStyle name="Output 3 8 4 3" xfId="48966" xr:uid="{00000000-0005-0000-0000-0000E1C60000}"/>
    <cellStyle name="Output 3 8 4 4" xfId="37071" xr:uid="{00000000-0005-0000-0000-0000E2C60000}"/>
    <cellStyle name="Output 3 9" xfId="5317" xr:uid="{00000000-0005-0000-0000-0000E3C60000}"/>
    <cellStyle name="Output 3 9 2" xfId="10479" xr:uid="{00000000-0005-0000-0000-0000E4C60000}"/>
    <cellStyle name="Output 3 9 2 2" xfId="18272" xr:uid="{00000000-0005-0000-0000-0000E5C60000}"/>
    <cellStyle name="Output 3 9 2 2 2" xfId="43819" xr:uid="{00000000-0005-0000-0000-0000E6C60000}"/>
    <cellStyle name="Output 3 9 2 2 3" xfId="47728" xr:uid="{00000000-0005-0000-0000-0000E7C60000}"/>
    <cellStyle name="Output 3 9 2 2 4" xfId="35909" xr:uid="{00000000-0005-0000-0000-0000E8C60000}"/>
    <cellStyle name="Output 3 9 2 3" xfId="19920" xr:uid="{00000000-0005-0000-0000-0000E9C60000}"/>
    <cellStyle name="Output 3 9 2 3 2" xfId="45457" xr:uid="{00000000-0005-0000-0000-0000EAC60000}"/>
    <cellStyle name="Output 3 9 2 3 3" xfId="49363" xr:uid="{00000000-0005-0000-0000-0000EBC60000}"/>
    <cellStyle name="Output 3 9 2 3 4" xfId="37434" xr:uid="{00000000-0005-0000-0000-0000ECC60000}"/>
    <cellStyle name="Output 3 9 2 4" xfId="11460" xr:uid="{00000000-0005-0000-0000-0000EDC60000}"/>
    <cellStyle name="Output 3 9 2 4 2" xfId="41471" xr:uid="{00000000-0005-0000-0000-0000EEC60000}"/>
    <cellStyle name="Output 3 9 2 4 3" xfId="40467" xr:uid="{00000000-0005-0000-0000-0000EFC60000}"/>
    <cellStyle name="Output 3 9 2 4 4" xfId="29179" xr:uid="{00000000-0005-0000-0000-0000F0C60000}"/>
    <cellStyle name="Output 3 9 2 5" xfId="20685" xr:uid="{00000000-0005-0000-0000-0000F1C60000}"/>
    <cellStyle name="Output 3 9 2 5 2" xfId="46222" xr:uid="{00000000-0005-0000-0000-0000F2C60000}"/>
    <cellStyle name="Output 3 9 2 5 3" xfId="50128" xr:uid="{00000000-0005-0000-0000-0000F3C60000}"/>
    <cellStyle name="Output 3 9 2 5 4" xfId="38091" xr:uid="{00000000-0005-0000-0000-0000F4C60000}"/>
    <cellStyle name="Output 3 9 2 6" xfId="21338" xr:uid="{00000000-0005-0000-0000-0000F5C60000}"/>
    <cellStyle name="Output 3 9 2 6 2" xfId="46875" xr:uid="{00000000-0005-0000-0000-0000F6C60000}"/>
    <cellStyle name="Output 3 9 2 6 3" xfId="50781" xr:uid="{00000000-0005-0000-0000-0000F7C60000}"/>
    <cellStyle name="Output 3 9 2 7" xfId="40678" xr:uid="{00000000-0005-0000-0000-0000F8C60000}"/>
    <cellStyle name="Output 3 9 2 8" xfId="39403" xr:uid="{00000000-0005-0000-0000-0000F9C60000}"/>
    <cellStyle name="Output 3 9 3" xfId="8804" xr:uid="{00000000-0005-0000-0000-0000FAC60000}"/>
    <cellStyle name="Output 3 9 3 2" xfId="16600" xr:uid="{00000000-0005-0000-0000-0000FBC60000}"/>
    <cellStyle name="Output 3 9 3 2 2" xfId="43441" xr:uid="{00000000-0005-0000-0000-0000FCC60000}"/>
    <cellStyle name="Output 3 9 3 2 3" xfId="39627" xr:uid="{00000000-0005-0000-0000-0000FDC60000}"/>
    <cellStyle name="Output 3 9 3 2 4" xfId="34235" xr:uid="{00000000-0005-0000-0000-0000FEC60000}"/>
    <cellStyle name="Output 3 9 3 3" xfId="19472" xr:uid="{00000000-0005-0000-0000-0000FFC60000}"/>
    <cellStyle name="Output 3 9 3 3 2" xfId="45009" xr:uid="{00000000-0005-0000-0000-000000C70000}"/>
    <cellStyle name="Output 3 9 3 3 3" xfId="48915" xr:uid="{00000000-0005-0000-0000-000001C70000}"/>
    <cellStyle name="Output 3 9 3 3 4" xfId="37030" xr:uid="{00000000-0005-0000-0000-000002C70000}"/>
    <cellStyle name="Output 3 9 3 4" xfId="19362" xr:uid="{00000000-0005-0000-0000-000003C70000}"/>
    <cellStyle name="Output 3 9 3 4 2" xfId="44899" xr:uid="{00000000-0005-0000-0000-000004C70000}"/>
    <cellStyle name="Output 3 9 3 4 3" xfId="48805" xr:uid="{00000000-0005-0000-0000-000005C70000}"/>
    <cellStyle name="Output 3 9 3 4 4" xfId="36930" xr:uid="{00000000-0005-0000-0000-000006C70000}"/>
    <cellStyle name="Output 3 9 3 5" xfId="19025" xr:uid="{00000000-0005-0000-0000-000007C70000}"/>
    <cellStyle name="Output 3 9 3 5 2" xfId="44562" xr:uid="{00000000-0005-0000-0000-000008C70000}"/>
    <cellStyle name="Output 3 9 3 5 3" xfId="48468" xr:uid="{00000000-0005-0000-0000-000009C70000}"/>
    <cellStyle name="Output 3 9 3 5 4" xfId="36633" xr:uid="{00000000-0005-0000-0000-00000AC70000}"/>
    <cellStyle name="Output 3 9 3 6" xfId="19539" xr:uid="{00000000-0005-0000-0000-00000BC70000}"/>
    <cellStyle name="Output 3 9 3 6 2" xfId="45076" xr:uid="{00000000-0005-0000-0000-00000CC70000}"/>
    <cellStyle name="Output 3 9 3 6 3" xfId="48982" xr:uid="{00000000-0005-0000-0000-00000DC70000}"/>
    <cellStyle name="Output 3 9 3 7" xfId="40303" xr:uid="{00000000-0005-0000-0000-00000EC70000}"/>
    <cellStyle name="Output 3 9 3 8" xfId="39212" xr:uid="{00000000-0005-0000-0000-00000FC70000}"/>
    <cellStyle name="Output 3 9 4" xfId="13285" xr:uid="{00000000-0005-0000-0000-000010C70000}"/>
    <cellStyle name="Output 3 9 4 2" xfId="42455" xr:uid="{00000000-0005-0000-0000-000011C70000}"/>
    <cellStyle name="Output 3 9 4 3" xfId="43573" xr:uid="{00000000-0005-0000-0000-000012C70000}"/>
    <cellStyle name="Output 3 9 4 4" xfId="30930" xr:uid="{00000000-0005-0000-0000-000013C70000}"/>
    <cellStyle name="Output 3 9 5" xfId="11737" xr:uid="{00000000-0005-0000-0000-000014C70000}"/>
    <cellStyle name="Output 3 9 5 2" xfId="41723" xr:uid="{00000000-0005-0000-0000-000015C70000}"/>
    <cellStyle name="Output 3 9 5 3" xfId="42706" xr:uid="{00000000-0005-0000-0000-000016C70000}"/>
    <cellStyle name="Output 3 9 5 4" xfId="29424" xr:uid="{00000000-0005-0000-0000-000017C70000}"/>
    <cellStyle name="Output 3_BallGrid" xfId="3269" xr:uid="{00000000-0005-0000-0000-000018C70000}"/>
    <cellStyle name="Output 4" xfId="138" xr:uid="{00000000-0005-0000-0000-000019C70000}"/>
    <cellStyle name="Output 4 10" xfId="12119" xr:uid="{00000000-0005-0000-0000-00001AC70000}"/>
    <cellStyle name="Output 4 10 2" xfId="41864" xr:uid="{00000000-0005-0000-0000-00001BC70000}"/>
    <cellStyle name="Output 4 10 3" xfId="47471" xr:uid="{00000000-0005-0000-0000-00001CC70000}"/>
    <cellStyle name="Output 4 10 4" xfId="29792" xr:uid="{00000000-0005-0000-0000-00001DC70000}"/>
    <cellStyle name="Output 4 11" xfId="19682" xr:uid="{00000000-0005-0000-0000-00001EC70000}"/>
    <cellStyle name="Output 4 11 2" xfId="45219" xr:uid="{00000000-0005-0000-0000-00001FC70000}"/>
    <cellStyle name="Output 4 11 3" xfId="49125" xr:uid="{00000000-0005-0000-0000-000020C70000}"/>
    <cellStyle name="Output 4 11 4" xfId="37214" xr:uid="{00000000-0005-0000-0000-000021C70000}"/>
    <cellStyle name="Output 4 12" xfId="3270" xr:uid="{00000000-0005-0000-0000-000022C70000}"/>
    <cellStyle name="Output 4 13" xfId="52769" xr:uid="{00000000-0005-0000-0000-000023C70000}"/>
    <cellStyle name="Output 4 2" xfId="3271" xr:uid="{00000000-0005-0000-0000-000024C70000}"/>
    <cellStyle name="Output 4 2 2" xfId="7487" xr:uid="{00000000-0005-0000-0000-000025C70000}"/>
    <cellStyle name="Output 4 2 2 10" xfId="43535" xr:uid="{00000000-0005-0000-0000-000026C70000}"/>
    <cellStyle name="Output 4 2 2 11" xfId="53329" xr:uid="{00000000-0005-0000-0000-000027C70000}"/>
    <cellStyle name="Output 4 2 2 2" xfId="10760" xr:uid="{00000000-0005-0000-0000-000028C70000}"/>
    <cellStyle name="Output 4 2 2 2 2" xfId="18553" xr:uid="{00000000-0005-0000-0000-000029C70000}"/>
    <cellStyle name="Output 4 2 2 2 2 2" xfId="44100" xr:uid="{00000000-0005-0000-0000-00002AC70000}"/>
    <cellStyle name="Output 4 2 2 2 2 3" xfId="48009" xr:uid="{00000000-0005-0000-0000-00002BC70000}"/>
    <cellStyle name="Output 4 2 2 2 2 4" xfId="36190" xr:uid="{00000000-0005-0000-0000-00002CC70000}"/>
    <cellStyle name="Output 4 2 2 2 3" xfId="19284" xr:uid="{00000000-0005-0000-0000-00002DC70000}"/>
    <cellStyle name="Output 4 2 2 2 3 2" xfId="44821" xr:uid="{00000000-0005-0000-0000-00002EC70000}"/>
    <cellStyle name="Output 4 2 2 2 3 3" xfId="48727" xr:uid="{00000000-0005-0000-0000-00002FC70000}"/>
    <cellStyle name="Output 4 2 2 2 3 4" xfId="36862" xr:uid="{00000000-0005-0000-0000-000030C70000}"/>
    <cellStyle name="Output 4 2 2 2 4" xfId="11656" xr:uid="{00000000-0005-0000-0000-000031C70000}"/>
    <cellStyle name="Output 4 2 2 2 4 2" xfId="41667" xr:uid="{00000000-0005-0000-0000-000032C70000}"/>
    <cellStyle name="Output 4 2 2 2 4 3" xfId="43490" xr:uid="{00000000-0005-0000-0000-000033C70000}"/>
    <cellStyle name="Output 4 2 2 2 4 4" xfId="29355" xr:uid="{00000000-0005-0000-0000-000034C70000}"/>
    <cellStyle name="Output 4 2 2 2 5" xfId="20966" xr:uid="{00000000-0005-0000-0000-000035C70000}"/>
    <cellStyle name="Output 4 2 2 2 5 2" xfId="46503" xr:uid="{00000000-0005-0000-0000-000036C70000}"/>
    <cellStyle name="Output 4 2 2 2 5 3" xfId="50409" xr:uid="{00000000-0005-0000-0000-000037C70000}"/>
    <cellStyle name="Output 4 2 2 2 5 4" xfId="38372" xr:uid="{00000000-0005-0000-0000-000038C70000}"/>
    <cellStyle name="Output 4 2 2 2 6" xfId="21619" xr:uid="{00000000-0005-0000-0000-000039C70000}"/>
    <cellStyle name="Output 4 2 2 2 6 2" xfId="47156" xr:uid="{00000000-0005-0000-0000-00003AC70000}"/>
    <cellStyle name="Output 4 2 2 2 6 3" xfId="51062" xr:uid="{00000000-0005-0000-0000-00003BC70000}"/>
    <cellStyle name="Output 4 2 2 2 7" xfId="40959" xr:uid="{00000000-0005-0000-0000-00003CC70000}"/>
    <cellStyle name="Output 4 2 2 2 8" xfId="39598" xr:uid="{00000000-0005-0000-0000-00003DC70000}"/>
    <cellStyle name="Output 4 2 2 2 9" xfId="53437" xr:uid="{00000000-0005-0000-0000-00003EC70000}"/>
    <cellStyle name="Output 4 2 2 3" xfId="11055" xr:uid="{00000000-0005-0000-0000-00003FC70000}"/>
    <cellStyle name="Output 4 2 2 3 2" xfId="18848" xr:uid="{00000000-0005-0000-0000-000040C70000}"/>
    <cellStyle name="Output 4 2 2 3 2 2" xfId="44395" xr:uid="{00000000-0005-0000-0000-000041C70000}"/>
    <cellStyle name="Output 4 2 2 3 2 3" xfId="48304" xr:uid="{00000000-0005-0000-0000-000042C70000}"/>
    <cellStyle name="Output 4 2 2 3 2 4" xfId="36485" xr:uid="{00000000-0005-0000-0000-000043C70000}"/>
    <cellStyle name="Output 4 2 2 3 3" xfId="20441" xr:uid="{00000000-0005-0000-0000-000044C70000}"/>
    <cellStyle name="Output 4 2 2 3 3 2" xfId="45978" xr:uid="{00000000-0005-0000-0000-000045C70000}"/>
    <cellStyle name="Output 4 2 2 3 3 3" xfId="49884" xr:uid="{00000000-0005-0000-0000-000046C70000}"/>
    <cellStyle name="Output 4 2 2 3 3 4" xfId="37895" xr:uid="{00000000-0005-0000-0000-000047C70000}"/>
    <cellStyle name="Output 4 2 2 3 4" xfId="20585" xr:uid="{00000000-0005-0000-0000-000048C70000}"/>
    <cellStyle name="Output 4 2 2 3 4 2" xfId="46122" xr:uid="{00000000-0005-0000-0000-000049C70000}"/>
    <cellStyle name="Output 4 2 2 3 4 3" xfId="50028" xr:uid="{00000000-0005-0000-0000-00004AC70000}"/>
    <cellStyle name="Output 4 2 2 3 4 4" xfId="38012" xr:uid="{00000000-0005-0000-0000-00004BC70000}"/>
    <cellStyle name="Output 4 2 2 3 5" xfId="21261" xr:uid="{00000000-0005-0000-0000-00004CC70000}"/>
    <cellStyle name="Output 4 2 2 3 5 2" xfId="46798" xr:uid="{00000000-0005-0000-0000-00004DC70000}"/>
    <cellStyle name="Output 4 2 2 3 5 3" xfId="50704" xr:uid="{00000000-0005-0000-0000-00004EC70000}"/>
    <cellStyle name="Output 4 2 2 3 5 4" xfId="38667" xr:uid="{00000000-0005-0000-0000-00004FC70000}"/>
    <cellStyle name="Output 4 2 2 3 6" xfId="21914" xr:uid="{00000000-0005-0000-0000-000050C70000}"/>
    <cellStyle name="Output 4 2 2 3 6 2" xfId="47451" xr:uid="{00000000-0005-0000-0000-000051C70000}"/>
    <cellStyle name="Output 4 2 2 3 6 3" xfId="51357" xr:uid="{00000000-0005-0000-0000-000052C70000}"/>
    <cellStyle name="Output 4 2 2 3 7" xfId="41254" xr:uid="{00000000-0005-0000-0000-000053C70000}"/>
    <cellStyle name="Output 4 2 2 3 8" xfId="40083" xr:uid="{00000000-0005-0000-0000-000054C70000}"/>
    <cellStyle name="Output 4 2 2 4" xfId="15275" xr:uid="{00000000-0005-0000-0000-000055C70000}"/>
    <cellStyle name="Output 4 2 2 4 2" xfId="43148" xr:uid="{00000000-0005-0000-0000-000056C70000}"/>
    <cellStyle name="Output 4 2 2 4 3" xfId="39264" xr:uid="{00000000-0005-0000-0000-000057C70000}"/>
    <cellStyle name="Output 4 2 2 4 4" xfId="32910" xr:uid="{00000000-0005-0000-0000-000058C70000}"/>
    <cellStyle name="Output 4 2 2 5" xfId="20087" xr:uid="{00000000-0005-0000-0000-000059C70000}"/>
    <cellStyle name="Output 4 2 2 5 2" xfId="45624" xr:uid="{00000000-0005-0000-0000-00005AC70000}"/>
    <cellStyle name="Output 4 2 2 5 3" xfId="49530" xr:uid="{00000000-0005-0000-0000-00005BC70000}"/>
    <cellStyle name="Output 4 2 2 5 4" xfId="37579" xr:uid="{00000000-0005-0000-0000-00005CC70000}"/>
    <cellStyle name="Output 4 2 2 6" xfId="11625" xr:uid="{00000000-0005-0000-0000-00005DC70000}"/>
    <cellStyle name="Output 4 2 2 6 2" xfId="41636" xr:uid="{00000000-0005-0000-0000-00005EC70000}"/>
    <cellStyle name="Output 4 2 2 6 3" xfId="40352" xr:uid="{00000000-0005-0000-0000-00005FC70000}"/>
    <cellStyle name="Output 4 2 2 6 4" xfId="29328" xr:uid="{00000000-0005-0000-0000-000060C70000}"/>
    <cellStyle name="Output 4 2 2 7" xfId="19023" xr:uid="{00000000-0005-0000-0000-000061C70000}"/>
    <cellStyle name="Output 4 2 2 7 2" xfId="44560" xr:uid="{00000000-0005-0000-0000-000062C70000}"/>
    <cellStyle name="Output 4 2 2 7 3" xfId="48466" xr:uid="{00000000-0005-0000-0000-000063C70000}"/>
    <cellStyle name="Output 4 2 2 7 4" xfId="36631" xr:uid="{00000000-0005-0000-0000-000064C70000}"/>
    <cellStyle name="Output 4 2 2 8" xfId="19841" xr:uid="{00000000-0005-0000-0000-000065C70000}"/>
    <cellStyle name="Output 4 2 2 8 2" xfId="45378" xr:uid="{00000000-0005-0000-0000-000066C70000}"/>
    <cellStyle name="Output 4 2 2 8 3" xfId="49284" xr:uid="{00000000-0005-0000-0000-000067C70000}"/>
    <cellStyle name="Output 4 2 2 9" xfId="40008" xr:uid="{00000000-0005-0000-0000-000068C70000}"/>
    <cellStyle name="Output 4 2 3" xfId="12120" xr:uid="{00000000-0005-0000-0000-000069C70000}"/>
    <cellStyle name="Output 4 2 3 2" xfId="41865" xr:uid="{00000000-0005-0000-0000-00006AC70000}"/>
    <cellStyle name="Output 4 2 3 3" xfId="47494" xr:uid="{00000000-0005-0000-0000-00006BC70000}"/>
    <cellStyle name="Output 4 2 3 4" xfId="29793" xr:uid="{00000000-0005-0000-0000-00006CC70000}"/>
    <cellStyle name="Output 4 2 3 5" xfId="53436" xr:uid="{00000000-0005-0000-0000-00006DC70000}"/>
    <cellStyle name="Output 4 2 4" xfId="20244" xr:uid="{00000000-0005-0000-0000-00006EC70000}"/>
    <cellStyle name="Output 4 2 4 2" xfId="45781" xr:uid="{00000000-0005-0000-0000-00006FC70000}"/>
    <cellStyle name="Output 4 2 4 3" xfId="49687" xr:uid="{00000000-0005-0000-0000-000070C70000}"/>
    <cellStyle name="Output 4 2 4 4" xfId="37716" xr:uid="{00000000-0005-0000-0000-000071C70000}"/>
    <cellStyle name="Output 4 2 5" xfId="23023" xr:uid="{00000000-0005-0000-0000-000072C70000}"/>
    <cellStyle name="Output 4 2 5 2" xfId="47629" xr:uid="{00000000-0005-0000-0000-000073C70000}"/>
    <cellStyle name="Output 4 2 5 3" xfId="51440" xr:uid="{00000000-0005-0000-0000-000074C70000}"/>
    <cellStyle name="Output 4 2 6" xfId="53328" xr:uid="{00000000-0005-0000-0000-000075C70000}"/>
    <cellStyle name="Output 4 3" xfId="3272" xr:uid="{00000000-0005-0000-0000-000076C70000}"/>
    <cellStyle name="Output 4 3 2" xfId="7488" xr:uid="{00000000-0005-0000-0000-000077C70000}"/>
    <cellStyle name="Output 4 3 2 10" xfId="40398" xr:uid="{00000000-0005-0000-0000-000078C70000}"/>
    <cellStyle name="Output 4 3 2 11" xfId="53331" xr:uid="{00000000-0005-0000-0000-000079C70000}"/>
    <cellStyle name="Output 4 3 2 2" xfId="10761" xr:uid="{00000000-0005-0000-0000-00007AC70000}"/>
    <cellStyle name="Output 4 3 2 2 2" xfId="18554" xr:uid="{00000000-0005-0000-0000-00007BC70000}"/>
    <cellStyle name="Output 4 3 2 2 2 2" xfId="44101" xr:uid="{00000000-0005-0000-0000-00007CC70000}"/>
    <cellStyle name="Output 4 3 2 2 2 3" xfId="48010" xr:uid="{00000000-0005-0000-0000-00007DC70000}"/>
    <cellStyle name="Output 4 3 2 2 2 4" xfId="36191" xr:uid="{00000000-0005-0000-0000-00007EC70000}"/>
    <cellStyle name="Output 4 3 2 2 3" xfId="19893" xr:uid="{00000000-0005-0000-0000-00007FC70000}"/>
    <cellStyle name="Output 4 3 2 2 3 2" xfId="45430" xr:uid="{00000000-0005-0000-0000-000080C70000}"/>
    <cellStyle name="Output 4 3 2 2 3 3" xfId="49336" xr:uid="{00000000-0005-0000-0000-000081C70000}"/>
    <cellStyle name="Output 4 3 2 2 3 4" xfId="37407" xr:uid="{00000000-0005-0000-0000-000082C70000}"/>
    <cellStyle name="Output 4 3 2 2 4" xfId="12695" xr:uid="{00000000-0005-0000-0000-000083C70000}"/>
    <cellStyle name="Output 4 3 2 2 4 2" xfId="42174" xr:uid="{00000000-0005-0000-0000-000084C70000}"/>
    <cellStyle name="Output 4 3 2 2 4 3" xfId="42563" xr:uid="{00000000-0005-0000-0000-000085C70000}"/>
    <cellStyle name="Output 4 3 2 2 4 4" xfId="30356" xr:uid="{00000000-0005-0000-0000-000086C70000}"/>
    <cellStyle name="Output 4 3 2 2 5" xfId="20967" xr:uid="{00000000-0005-0000-0000-000087C70000}"/>
    <cellStyle name="Output 4 3 2 2 5 2" xfId="46504" xr:uid="{00000000-0005-0000-0000-000088C70000}"/>
    <cellStyle name="Output 4 3 2 2 5 3" xfId="50410" xr:uid="{00000000-0005-0000-0000-000089C70000}"/>
    <cellStyle name="Output 4 3 2 2 5 4" xfId="38373" xr:uid="{00000000-0005-0000-0000-00008AC70000}"/>
    <cellStyle name="Output 4 3 2 2 6" xfId="21620" xr:uid="{00000000-0005-0000-0000-00008BC70000}"/>
    <cellStyle name="Output 4 3 2 2 6 2" xfId="47157" xr:uid="{00000000-0005-0000-0000-00008CC70000}"/>
    <cellStyle name="Output 4 3 2 2 6 3" xfId="51063" xr:uid="{00000000-0005-0000-0000-00008DC70000}"/>
    <cellStyle name="Output 4 3 2 2 7" xfId="40960" xr:uid="{00000000-0005-0000-0000-00008EC70000}"/>
    <cellStyle name="Output 4 3 2 2 8" xfId="42606" xr:uid="{00000000-0005-0000-0000-00008FC70000}"/>
    <cellStyle name="Output 4 3 2 2 9" xfId="53439" xr:uid="{00000000-0005-0000-0000-000090C70000}"/>
    <cellStyle name="Output 4 3 2 3" xfId="11056" xr:uid="{00000000-0005-0000-0000-000091C70000}"/>
    <cellStyle name="Output 4 3 2 3 2" xfId="18849" xr:uid="{00000000-0005-0000-0000-000092C70000}"/>
    <cellStyle name="Output 4 3 2 3 2 2" xfId="44396" xr:uid="{00000000-0005-0000-0000-000093C70000}"/>
    <cellStyle name="Output 4 3 2 3 2 3" xfId="48305" xr:uid="{00000000-0005-0000-0000-000094C70000}"/>
    <cellStyle name="Output 4 3 2 3 2 4" xfId="36486" xr:uid="{00000000-0005-0000-0000-000095C70000}"/>
    <cellStyle name="Output 4 3 2 3 3" xfId="20442" xr:uid="{00000000-0005-0000-0000-000096C70000}"/>
    <cellStyle name="Output 4 3 2 3 3 2" xfId="45979" xr:uid="{00000000-0005-0000-0000-000097C70000}"/>
    <cellStyle name="Output 4 3 2 3 3 3" xfId="49885" xr:uid="{00000000-0005-0000-0000-000098C70000}"/>
    <cellStyle name="Output 4 3 2 3 3 4" xfId="37896" xr:uid="{00000000-0005-0000-0000-000099C70000}"/>
    <cellStyle name="Output 4 3 2 3 4" xfId="20586" xr:uid="{00000000-0005-0000-0000-00009AC70000}"/>
    <cellStyle name="Output 4 3 2 3 4 2" xfId="46123" xr:uid="{00000000-0005-0000-0000-00009BC70000}"/>
    <cellStyle name="Output 4 3 2 3 4 3" xfId="50029" xr:uid="{00000000-0005-0000-0000-00009CC70000}"/>
    <cellStyle name="Output 4 3 2 3 4 4" xfId="38013" xr:uid="{00000000-0005-0000-0000-00009DC70000}"/>
    <cellStyle name="Output 4 3 2 3 5" xfId="21262" xr:uid="{00000000-0005-0000-0000-00009EC70000}"/>
    <cellStyle name="Output 4 3 2 3 5 2" xfId="46799" xr:uid="{00000000-0005-0000-0000-00009FC70000}"/>
    <cellStyle name="Output 4 3 2 3 5 3" xfId="50705" xr:uid="{00000000-0005-0000-0000-0000A0C70000}"/>
    <cellStyle name="Output 4 3 2 3 5 4" xfId="38668" xr:uid="{00000000-0005-0000-0000-0000A1C70000}"/>
    <cellStyle name="Output 4 3 2 3 6" xfId="21915" xr:uid="{00000000-0005-0000-0000-0000A2C70000}"/>
    <cellStyle name="Output 4 3 2 3 6 2" xfId="47452" xr:uid="{00000000-0005-0000-0000-0000A3C70000}"/>
    <cellStyle name="Output 4 3 2 3 6 3" xfId="51358" xr:uid="{00000000-0005-0000-0000-0000A4C70000}"/>
    <cellStyle name="Output 4 3 2 3 7" xfId="41255" xr:uid="{00000000-0005-0000-0000-0000A5C70000}"/>
    <cellStyle name="Output 4 3 2 3 8" xfId="42830" xr:uid="{00000000-0005-0000-0000-0000A6C70000}"/>
    <cellStyle name="Output 4 3 2 4" xfId="15276" xr:uid="{00000000-0005-0000-0000-0000A7C70000}"/>
    <cellStyle name="Output 4 3 2 4 2" xfId="43149" xr:uid="{00000000-0005-0000-0000-0000A8C70000}"/>
    <cellStyle name="Output 4 3 2 4 3" xfId="39056" xr:uid="{00000000-0005-0000-0000-0000A9C70000}"/>
    <cellStyle name="Output 4 3 2 4 4" xfId="32911" xr:uid="{00000000-0005-0000-0000-0000AAC70000}"/>
    <cellStyle name="Output 4 3 2 5" xfId="19349" xr:uid="{00000000-0005-0000-0000-0000ABC70000}"/>
    <cellStyle name="Output 4 3 2 5 2" xfId="44886" xr:uid="{00000000-0005-0000-0000-0000ACC70000}"/>
    <cellStyle name="Output 4 3 2 5 3" xfId="48792" xr:uid="{00000000-0005-0000-0000-0000ADC70000}"/>
    <cellStyle name="Output 4 3 2 5 4" xfId="36920" xr:uid="{00000000-0005-0000-0000-0000AEC70000}"/>
    <cellStyle name="Output 4 3 2 6" xfId="11567" xr:uid="{00000000-0005-0000-0000-0000AFC70000}"/>
    <cellStyle name="Output 4 3 2 6 2" xfId="41578" xr:uid="{00000000-0005-0000-0000-0000B0C70000}"/>
    <cellStyle name="Output 4 3 2 6 3" xfId="40356" xr:uid="{00000000-0005-0000-0000-0000B1C70000}"/>
    <cellStyle name="Output 4 3 2 6 4" xfId="29278" xr:uid="{00000000-0005-0000-0000-0000B2C70000}"/>
    <cellStyle name="Output 4 3 2 7" xfId="12502" xr:uid="{00000000-0005-0000-0000-0000B3C70000}"/>
    <cellStyle name="Output 4 3 2 7 2" xfId="42015" xr:uid="{00000000-0005-0000-0000-0000B4C70000}"/>
    <cellStyle name="Output 4 3 2 7 3" xfId="39562" xr:uid="{00000000-0005-0000-0000-0000B5C70000}"/>
    <cellStyle name="Output 4 3 2 7 4" xfId="30171" xr:uid="{00000000-0005-0000-0000-0000B6C70000}"/>
    <cellStyle name="Output 4 3 2 8" xfId="18907" xr:uid="{00000000-0005-0000-0000-0000B7C70000}"/>
    <cellStyle name="Output 4 3 2 8 2" xfId="44444" xr:uid="{00000000-0005-0000-0000-0000B8C70000}"/>
    <cellStyle name="Output 4 3 2 8 3" xfId="48350" xr:uid="{00000000-0005-0000-0000-0000B9C70000}"/>
    <cellStyle name="Output 4 3 2 9" xfId="40009" xr:uid="{00000000-0005-0000-0000-0000BAC70000}"/>
    <cellStyle name="Output 4 3 3" xfId="12121" xr:uid="{00000000-0005-0000-0000-0000BBC70000}"/>
    <cellStyle name="Output 4 3 3 2" xfId="41866" xr:uid="{00000000-0005-0000-0000-0000BCC70000}"/>
    <cellStyle name="Output 4 3 3 3" xfId="47581" xr:uid="{00000000-0005-0000-0000-0000BDC70000}"/>
    <cellStyle name="Output 4 3 3 4" xfId="29794" xr:uid="{00000000-0005-0000-0000-0000BEC70000}"/>
    <cellStyle name="Output 4 3 3 5" xfId="53438" xr:uid="{00000000-0005-0000-0000-0000BFC70000}"/>
    <cellStyle name="Output 4 3 4" xfId="19544" xr:uid="{00000000-0005-0000-0000-0000C0C70000}"/>
    <cellStyle name="Output 4 3 4 2" xfId="45081" xr:uid="{00000000-0005-0000-0000-0000C1C70000}"/>
    <cellStyle name="Output 4 3 4 3" xfId="48987" xr:uid="{00000000-0005-0000-0000-0000C2C70000}"/>
    <cellStyle name="Output 4 3 4 4" xfId="37088" xr:uid="{00000000-0005-0000-0000-0000C3C70000}"/>
    <cellStyle name="Output 4 3 5" xfId="22620" xr:uid="{00000000-0005-0000-0000-0000C4C70000}"/>
    <cellStyle name="Output 4 3 5 2" xfId="47561" xr:uid="{00000000-0005-0000-0000-0000C5C70000}"/>
    <cellStyle name="Output 4 3 5 3" xfId="51410" xr:uid="{00000000-0005-0000-0000-0000C6C70000}"/>
    <cellStyle name="Output 4 3 6" xfId="53330" xr:uid="{00000000-0005-0000-0000-0000C7C70000}"/>
    <cellStyle name="Output 4 4" xfId="3273" xr:uid="{00000000-0005-0000-0000-0000C8C70000}"/>
    <cellStyle name="Output 4 4 2" xfId="7489" xr:uid="{00000000-0005-0000-0000-0000C9C70000}"/>
    <cellStyle name="Output 4 4 2 10" xfId="39510" xr:uid="{00000000-0005-0000-0000-0000CAC70000}"/>
    <cellStyle name="Output 4 4 2 11" xfId="53440" xr:uid="{00000000-0005-0000-0000-0000CBC70000}"/>
    <cellStyle name="Output 4 4 2 2" xfId="10762" xr:uid="{00000000-0005-0000-0000-0000CCC70000}"/>
    <cellStyle name="Output 4 4 2 2 2" xfId="18555" xr:uid="{00000000-0005-0000-0000-0000CDC70000}"/>
    <cellStyle name="Output 4 4 2 2 2 2" xfId="44102" xr:uid="{00000000-0005-0000-0000-0000CEC70000}"/>
    <cellStyle name="Output 4 4 2 2 2 3" xfId="48011" xr:uid="{00000000-0005-0000-0000-0000CFC70000}"/>
    <cellStyle name="Output 4 4 2 2 2 4" xfId="36192" xr:uid="{00000000-0005-0000-0000-0000D0C70000}"/>
    <cellStyle name="Output 4 4 2 2 3" xfId="19116" xr:uid="{00000000-0005-0000-0000-0000D1C70000}"/>
    <cellStyle name="Output 4 4 2 2 3 2" xfId="44653" xr:uid="{00000000-0005-0000-0000-0000D2C70000}"/>
    <cellStyle name="Output 4 4 2 2 3 3" xfId="48559" xr:uid="{00000000-0005-0000-0000-0000D3C70000}"/>
    <cellStyle name="Output 4 4 2 2 3 4" xfId="36711" xr:uid="{00000000-0005-0000-0000-0000D4C70000}"/>
    <cellStyle name="Output 4 4 2 2 4" xfId="11669" xr:uid="{00000000-0005-0000-0000-0000D5C70000}"/>
    <cellStyle name="Output 4 4 2 2 4 2" xfId="41680" xr:uid="{00000000-0005-0000-0000-0000D6C70000}"/>
    <cellStyle name="Output 4 4 2 2 4 3" xfId="43703" xr:uid="{00000000-0005-0000-0000-0000D7C70000}"/>
    <cellStyle name="Output 4 4 2 2 4 4" xfId="29365" xr:uid="{00000000-0005-0000-0000-0000D8C70000}"/>
    <cellStyle name="Output 4 4 2 2 5" xfId="20968" xr:uid="{00000000-0005-0000-0000-0000D9C70000}"/>
    <cellStyle name="Output 4 4 2 2 5 2" xfId="46505" xr:uid="{00000000-0005-0000-0000-0000DAC70000}"/>
    <cellStyle name="Output 4 4 2 2 5 3" xfId="50411" xr:uid="{00000000-0005-0000-0000-0000DBC70000}"/>
    <cellStyle name="Output 4 4 2 2 5 4" xfId="38374" xr:uid="{00000000-0005-0000-0000-0000DCC70000}"/>
    <cellStyle name="Output 4 4 2 2 6" xfId="21621" xr:uid="{00000000-0005-0000-0000-0000DDC70000}"/>
    <cellStyle name="Output 4 4 2 2 6 2" xfId="47158" xr:uid="{00000000-0005-0000-0000-0000DEC70000}"/>
    <cellStyle name="Output 4 4 2 2 6 3" xfId="51064" xr:uid="{00000000-0005-0000-0000-0000DFC70000}"/>
    <cellStyle name="Output 4 4 2 2 7" xfId="40961" xr:uid="{00000000-0005-0000-0000-0000E0C70000}"/>
    <cellStyle name="Output 4 4 2 2 8" xfId="43519" xr:uid="{00000000-0005-0000-0000-0000E1C70000}"/>
    <cellStyle name="Output 4 4 2 3" xfId="11057" xr:uid="{00000000-0005-0000-0000-0000E2C70000}"/>
    <cellStyle name="Output 4 4 2 3 2" xfId="18850" xr:uid="{00000000-0005-0000-0000-0000E3C70000}"/>
    <cellStyle name="Output 4 4 2 3 2 2" xfId="44397" xr:uid="{00000000-0005-0000-0000-0000E4C70000}"/>
    <cellStyle name="Output 4 4 2 3 2 3" xfId="48306" xr:uid="{00000000-0005-0000-0000-0000E5C70000}"/>
    <cellStyle name="Output 4 4 2 3 2 4" xfId="36487" xr:uid="{00000000-0005-0000-0000-0000E6C70000}"/>
    <cellStyle name="Output 4 4 2 3 3" xfId="20443" xr:uid="{00000000-0005-0000-0000-0000E7C70000}"/>
    <cellStyle name="Output 4 4 2 3 3 2" xfId="45980" xr:uid="{00000000-0005-0000-0000-0000E8C70000}"/>
    <cellStyle name="Output 4 4 2 3 3 3" xfId="49886" xr:uid="{00000000-0005-0000-0000-0000E9C70000}"/>
    <cellStyle name="Output 4 4 2 3 3 4" xfId="37897" xr:uid="{00000000-0005-0000-0000-0000EAC70000}"/>
    <cellStyle name="Output 4 4 2 3 4" xfId="20587" xr:uid="{00000000-0005-0000-0000-0000EBC70000}"/>
    <cellStyle name="Output 4 4 2 3 4 2" xfId="46124" xr:uid="{00000000-0005-0000-0000-0000ECC70000}"/>
    <cellStyle name="Output 4 4 2 3 4 3" xfId="50030" xr:uid="{00000000-0005-0000-0000-0000EDC70000}"/>
    <cellStyle name="Output 4 4 2 3 4 4" xfId="38014" xr:uid="{00000000-0005-0000-0000-0000EEC70000}"/>
    <cellStyle name="Output 4 4 2 3 5" xfId="21263" xr:uid="{00000000-0005-0000-0000-0000EFC70000}"/>
    <cellStyle name="Output 4 4 2 3 5 2" xfId="46800" xr:uid="{00000000-0005-0000-0000-0000F0C70000}"/>
    <cellStyle name="Output 4 4 2 3 5 3" xfId="50706" xr:uid="{00000000-0005-0000-0000-0000F1C70000}"/>
    <cellStyle name="Output 4 4 2 3 5 4" xfId="38669" xr:uid="{00000000-0005-0000-0000-0000F2C70000}"/>
    <cellStyle name="Output 4 4 2 3 6" xfId="21916" xr:uid="{00000000-0005-0000-0000-0000F3C70000}"/>
    <cellStyle name="Output 4 4 2 3 6 2" xfId="47453" xr:uid="{00000000-0005-0000-0000-0000F4C70000}"/>
    <cellStyle name="Output 4 4 2 3 6 3" xfId="51359" xr:uid="{00000000-0005-0000-0000-0000F5C70000}"/>
    <cellStyle name="Output 4 4 2 3 7" xfId="41256" xr:uid="{00000000-0005-0000-0000-0000F6C70000}"/>
    <cellStyle name="Output 4 4 2 3 8" xfId="43719" xr:uid="{00000000-0005-0000-0000-0000F7C70000}"/>
    <cellStyle name="Output 4 4 2 4" xfId="15277" xr:uid="{00000000-0005-0000-0000-0000F8C70000}"/>
    <cellStyle name="Output 4 4 2 4 2" xfId="43150" xr:uid="{00000000-0005-0000-0000-0000F9C70000}"/>
    <cellStyle name="Output 4 4 2 4 3" xfId="47480" xr:uid="{00000000-0005-0000-0000-0000FAC70000}"/>
    <cellStyle name="Output 4 4 2 4 4" xfId="32912" xr:uid="{00000000-0005-0000-0000-0000FBC70000}"/>
    <cellStyle name="Output 4 4 2 5" xfId="19958" xr:uid="{00000000-0005-0000-0000-0000FCC70000}"/>
    <cellStyle name="Output 4 4 2 5 2" xfId="45495" xr:uid="{00000000-0005-0000-0000-0000FDC70000}"/>
    <cellStyle name="Output 4 4 2 5 3" xfId="49401" xr:uid="{00000000-0005-0000-0000-0000FEC70000}"/>
    <cellStyle name="Output 4 4 2 5 4" xfId="37463" xr:uid="{00000000-0005-0000-0000-0000FFC70000}"/>
    <cellStyle name="Output 4 4 2 6" xfId="19366" xr:uid="{00000000-0005-0000-0000-000000C80000}"/>
    <cellStyle name="Output 4 4 2 6 2" xfId="44903" xr:uid="{00000000-0005-0000-0000-000001C80000}"/>
    <cellStyle name="Output 4 4 2 6 3" xfId="48809" xr:uid="{00000000-0005-0000-0000-000002C80000}"/>
    <cellStyle name="Output 4 4 2 6 4" xfId="36934" xr:uid="{00000000-0005-0000-0000-000003C80000}"/>
    <cellStyle name="Output 4 4 2 7" xfId="20063" xr:uid="{00000000-0005-0000-0000-000004C80000}"/>
    <cellStyle name="Output 4 4 2 7 2" xfId="45600" xr:uid="{00000000-0005-0000-0000-000005C80000}"/>
    <cellStyle name="Output 4 4 2 7 3" xfId="49506" xr:uid="{00000000-0005-0000-0000-000006C80000}"/>
    <cellStyle name="Output 4 4 2 7 4" xfId="37558" xr:uid="{00000000-0005-0000-0000-000007C80000}"/>
    <cellStyle name="Output 4 4 2 8" xfId="19354" xr:uid="{00000000-0005-0000-0000-000008C80000}"/>
    <cellStyle name="Output 4 4 2 8 2" xfId="44891" xr:uid="{00000000-0005-0000-0000-000009C80000}"/>
    <cellStyle name="Output 4 4 2 8 3" xfId="48797" xr:uid="{00000000-0005-0000-0000-00000AC80000}"/>
    <cellStyle name="Output 4 4 2 9" xfId="40010" xr:uid="{00000000-0005-0000-0000-00000BC80000}"/>
    <cellStyle name="Output 4 4 3" xfId="12122" xr:uid="{00000000-0005-0000-0000-00000CC80000}"/>
    <cellStyle name="Output 4 4 3 2" xfId="41867" xr:uid="{00000000-0005-0000-0000-00000DC80000}"/>
    <cellStyle name="Output 4 4 3 3" xfId="47500" xr:uid="{00000000-0005-0000-0000-00000EC80000}"/>
    <cellStyle name="Output 4 4 3 4" xfId="29795" xr:uid="{00000000-0005-0000-0000-00000FC80000}"/>
    <cellStyle name="Output 4 4 4" xfId="20110" xr:uid="{00000000-0005-0000-0000-000010C80000}"/>
    <cellStyle name="Output 4 4 4 2" xfId="45647" xr:uid="{00000000-0005-0000-0000-000011C80000}"/>
    <cellStyle name="Output 4 4 4 3" xfId="49553" xr:uid="{00000000-0005-0000-0000-000012C80000}"/>
    <cellStyle name="Output 4 4 4 4" xfId="37598" xr:uid="{00000000-0005-0000-0000-000013C80000}"/>
    <cellStyle name="Output 4 4 5" xfId="53332" xr:uid="{00000000-0005-0000-0000-000014C80000}"/>
    <cellStyle name="Output 4 5" xfId="3274" xr:uid="{00000000-0005-0000-0000-000015C80000}"/>
    <cellStyle name="Output 4 5 2" xfId="7490" xr:uid="{00000000-0005-0000-0000-000016C80000}"/>
    <cellStyle name="Output 4 5 2 10" xfId="47625" xr:uid="{00000000-0005-0000-0000-000017C80000}"/>
    <cellStyle name="Output 4 5 2 11" xfId="53441" xr:uid="{00000000-0005-0000-0000-000018C80000}"/>
    <cellStyle name="Output 4 5 2 2" xfId="10763" xr:uid="{00000000-0005-0000-0000-000019C80000}"/>
    <cellStyle name="Output 4 5 2 2 2" xfId="18556" xr:uid="{00000000-0005-0000-0000-00001AC80000}"/>
    <cellStyle name="Output 4 5 2 2 2 2" xfId="44103" xr:uid="{00000000-0005-0000-0000-00001BC80000}"/>
    <cellStyle name="Output 4 5 2 2 2 3" xfId="48012" xr:uid="{00000000-0005-0000-0000-00001CC80000}"/>
    <cellStyle name="Output 4 5 2 2 2 4" xfId="36193" xr:uid="{00000000-0005-0000-0000-00001DC80000}"/>
    <cellStyle name="Output 4 5 2 2 3" xfId="19732" xr:uid="{00000000-0005-0000-0000-00001EC80000}"/>
    <cellStyle name="Output 4 5 2 2 3 2" xfId="45269" xr:uid="{00000000-0005-0000-0000-00001FC80000}"/>
    <cellStyle name="Output 4 5 2 2 3 3" xfId="49175" xr:uid="{00000000-0005-0000-0000-000020C80000}"/>
    <cellStyle name="Output 4 5 2 2 3 4" xfId="37259" xr:uid="{00000000-0005-0000-0000-000021C80000}"/>
    <cellStyle name="Output 4 5 2 2 4" xfId="19364" xr:uid="{00000000-0005-0000-0000-000022C80000}"/>
    <cellStyle name="Output 4 5 2 2 4 2" xfId="44901" xr:uid="{00000000-0005-0000-0000-000023C80000}"/>
    <cellStyle name="Output 4 5 2 2 4 3" xfId="48807" xr:uid="{00000000-0005-0000-0000-000024C80000}"/>
    <cellStyle name="Output 4 5 2 2 4 4" xfId="36932" xr:uid="{00000000-0005-0000-0000-000025C80000}"/>
    <cellStyle name="Output 4 5 2 2 5" xfId="20969" xr:uid="{00000000-0005-0000-0000-000026C80000}"/>
    <cellStyle name="Output 4 5 2 2 5 2" xfId="46506" xr:uid="{00000000-0005-0000-0000-000027C80000}"/>
    <cellStyle name="Output 4 5 2 2 5 3" xfId="50412" xr:uid="{00000000-0005-0000-0000-000028C80000}"/>
    <cellStyle name="Output 4 5 2 2 5 4" xfId="38375" xr:uid="{00000000-0005-0000-0000-000029C80000}"/>
    <cellStyle name="Output 4 5 2 2 6" xfId="21622" xr:uid="{00000000-0005-0000-0000-00002AC80000}"/>
    <cellStyle name="Output 4 5 2 2 6 2" xfId="47159" xr:uid="{00000000-0005-0000-0000-00002BC80000}"/>
    <cellStyle name="Output 4 5 2 2 6 3" xfId="51065" xr:uid="{00000000-0005-0000-0000-00002CC80000}"/>
    <cellStyle name="Output 4 5 2 2 7" xfId="40962" xr:uid="{00000000-0005-0000-0000-00002DC80000}"/>
    <cellStyle name="Output 4 5 2 2 8" xfId="40382" xr:uid="{00000000-0005-0000-0000-00002EC80000}"/>
    <cellStyle name="Output 4 5 2 3" xfId="11058" xr:uid="{00000000-0005-0000-0000-00002FC80000}"/>
    <cellStyle name="Output 4 5 2 3 2" xfId="18851" xr:uid="{00000000-0005-0000-0000-000030C80000}"/>
    <cellStyle name="Output 4 5 2 3 2 2" xfId="44398" xr:uid="{00000000-0005-0000-0000-000031C80000}"/>
    <cellStyle name="Output 4 5 2 3 2 3" xfId="48307" xr:uid="{00000000-0005-0000-0000-000032C80000}"/>
    <cellStyle name="Output 4 5 2 3 2 4" xfId="36488" xr:uid="{00000000-0005-0000-0000-000033C80000}"/>
    <cellStyle name="Output 4 5 2 3 3" xfId="20444" xr:uid="{00000000-0005-0000-0000-000034C80000}"/>
    <cellStyle name="Output 4 5 2 3 3 2" xfId="45981" xr:uid="{00000000-0005-0000-0000-000035C80000}"/>
    <cellStyle name="Output 4 5 2 3 3 3" xfId="49887" xr:uid="{00000000-0005-0000-0000-000036C80000}"/>
    <cellStyle name="Output 4 5 2 3 3 4" xfId="37898" xr:uid="{00000000-0005-0000-0000-000037C80000}"/>
    <cellStyle name="Output 4 5 2 3 4" xfId="20588" xr:uid="{00000000-0005-0000-0000-000038C80000}"/>
    <cellStyle name="Output 4 5 2 3 4 2" xfId="46125" xr:uid="{00000000-0005-0000-0000-000039C80000}"/>
    <cellStyle name="Output 4 5 2 3 4 3" xfId="50031" xr:uid="{00000000-0005-0000-0000-00003AC80000}"/>
    <cellStyle name="Output 4 5 2 3 4 4" xfId="38015" xr:uid="{00000000-0005-0000-0000-00003BC80000}"/>
    <cellStyle name="Output 4 5 2 3 5" xfId="21264" xr:uid="{00000000-0005-0000-0000-00003CC80000}"/>
    <cellStyle name="Output 4 5 2 3 5 2" xfId="46801" xr:uid="{00000000-0005-0000-0000-00003DC80000}"/>
    <cellStyle name="Output 4 5 2 3 5 3" xfId="50707" xr:uid="{00000000-0005-0000-0000-00003EC80000}"/>
    <cellStyle name="Output 4 5 2 3 5 4" xfId="38670" xr:uid="{00000000-0005-0000-0000-00003FC80000}"/>
    <cellStyle name="Output 4 5 2 3 6" xfId="21917" xr:uid="{00000000-0005-0000-0000-000040C80000}"/>
    <cellStyle name="Output 4 5 2 3 6 2" xfId="47454" xr:uid="{00000000-0005-0000-0000-000041C80000}"/>
    <cellStyle name="Output 4 5 2 3 6 3" xfId="51360" xr:uid="{00000000-0005-0000-0000-000042C80000}"/>
    <cellStyle name="Output 4 5 2 3 7" xfId="41257" xr:uid="{00000000-0005-0000-0000-000043C80000}"/>
    <cellStyle name="Output 4 5 2 3 8" xfId="40578" xr:uid="{00000000-0005-0000-0000-000044C80000}"/>
    <cellStyle name="Output 4 5 2 4" xfId="15278" xr:uid="{00000000-0005-0000-0000-000045C80000}"/>
    <cellStyle name="Output 4 5 2 4 2" xfId="43151" xr:uid="{00000000-0005-0000-0000-000046C80000}"/>
    <cellStyle name="Output 4 5 2 4 3" xfId="39055" xr:uid="{00000000-0005-0000-0000-000047C80000}"/>
    <cellStyle name="Output 4 5 2 4 4" xfId="32913" xr:uid="{00000000-0005-0000-0000-000048C80000}"/>
    <cellStyle name="Output 4 5 2 5" xfId="19191" xr:uid="{00000000-0005-0000-0000-000049C80000}"/>
    <cellStyle name="Output 4 5 2 5 2" xfId="44728" xr:uid="{00000000-0005-0000-0000-00004AC80000}"/>
    <cellStyle name="Output 4 5 2 5 3" xfId="48634" xr:uid="{00000000-0005-0000-0000-00004BC80000}"/>
    <cellStyle name="Output 4 5 2 5 4" xfId="36778" xr:uid="{00000000-0005-0000-0000-00004CC80000}"/>
    <cellStyle name="Output 4 5 2 6" xfId="18923" xr:uid="{00000000-0005-0000-0000-00004DC80000}"/>
    <cellStyle name="Output 4 5 2 6 2" xfId="44460" xr:uid="{00000000-0005-0000-0000-00004EC80000}"/>
    <cellStyle name="Output 4 5 2 6 3" xfId="48366" xr:uid="{00000000-0005-0000-0000-00004FC80000}"/>
    <cellStyle name="Output 4 5 2 6 4" xfId="36551" xr:uid="{00000000-0005-0000-0000-000050C80000}"/>
    <cellStyle name="Output 4 5 2 7" xfId="12615" xr:uid="{00000000-0005-0000-0000-000051C80000}"/>
    <cellStyle name="Output 4 5 2 7 2" xfId="42094" xr:uid="{00000000-0005-0000-0000-000052C80000}"/>
    <cellStyle name="Output 4 5 2 7 3" xfId="39559" xr:uid="{00000000-0005-0000-0000-000053C80000}"/>
    <cellStyle name="Output 4 5 2 7 4" xfId="30281" xr:uid="{00000000-0005-0000-0000-000054C80000}"/>
    <cellStyle name="Output 4 5 2 8" xfId="19503" xr:uid="{00000000-0005-0000-0000-000055C80000}"/>
    <cellStyle name="Output 4 5 2 8 2" xfId="45040" xr:uid="{00000000-0005-0000-0000-000056C80000}"/>
    <cellStyle name="Output 4 5 2 8 3" xfId="48946" xr:uid="{00000000-0005-0000-0000-000057C80000}"/>
    <cellStyle name="Output 4 5 2 9" xfId="40011" xr:uid="{00000000-0005-0000-0000-000058C80000}"/>
    <cellStyle name="Output 4 5 3" xfId="12123" xr:uid="{00000000-0005-0000-0000-000059C80000}"/>
    <cellStyle name="Output 4 5 3 2" xfId="41868" xr:uid="{00000000-0005-0000-0000-00005AC80000}"/>
    <cellStyle name="Output 4 5 3 3" xfId="47499" xr:uid="{00000000-0005-0000-0000-00005BC80000}"/>
    <cellStyle name="Output 4 5 3 4" xfId="29796" xr:uid="{00000000-0005-0000-0000-00005CC80000}"/>
    <cellStyle name="Output 4 5 4" xfId="19370" xr:uid="{00000000-0005-0000-0000-00005DC80000}"/>
    <cellStyle name="Output 4 5 4 2" xfId="44907" xr:uid="{00000000-0005-0000-0000-00005EC80000}"/>
    <cellStyle name="Output 4 5 4 3" xfId="48813" xr:uid="{00000000-0005-0000-0000-00005FC80000}"/>
    <cellStyle name="Output 4 5 4 4" xfId="36938" xr:uid="{00000000-0005-0000-0000-000060C80000}"/>
    <cellStyle name="Output 4 5 5" xfId="53333" xr:uid="{00000000-0005-0000-0000-000061C80000}"/>
    <cellStyle name="Output 4 6" xfId="5318" xr:uid="{00000000-0005-0000-0000-000062C80000}"/>
    <cellStyle name="Output 4 6 2" xfId="7491" xr:uid="{00000000-0005-0000-0000-000063C80000}"/>
    <cellStyle name="Output 4 6 2 10" xfId="42185" xr:uid="{00000000-0005-0000-0000-000064C80000}"/>
    <cellStyle name="Output 4 6 2 2" xfId="10764" xr:uid="{00000000-0005-0000-0000-000065C80000}"/>
    <cellStyle name="Output 4 6 2 2 2" xfId="18557" xr:uid="{00000000-0005-0000-0000-000066C80000}"/>
    <cellStyle name="Output 4 6 2 2 2 2" xfId="44104" xr:uid="{00000000-0005-0000-0000-000067C80000}"/>
    <cellStyle name="Output 4 6 2 2 2 3" xfId="48013" xr:uid="{00000000-0005-0000-0000-000068C80000}"/>
    <cellStyle name="Output 4 6 2 2 2 4" xfId="36194" xr:uid="{00000000-0005-0000-0000-000069C80000}"/>
    <cellStyle name="Output 4 6 2 2 3" xfId="11507" xr:uid="{00000000-0005-0000-0000-00006AC80000}"/>
    <cellStyle name="Output 4 6 2 2 3 2" xfId="41518" xr:uid="{00000000-0005-0000-0000-00006BC80000}"/>
    <cellStyle name="Output 4 6 2 2 3 3" xfId="43497" xr:uid="{00000000-0005-0000-0000-00006CC80000}"/>
    <cellStyle name="Output 4 6 2 2 3 4" xfId="29222" xr:uid="{00000000-0005-0000-0000-00006DC80000}"/>
    <cellStyle name="Output 4 6 2 2 4" xfId="12683" xr:uid="{00000000-0005-0000-0000-00006EC80000}"/>
    <cellStyle name="Output 4 6 2 2 4 2" xfId="42162" xr:uid="{00000000-0005-0000-0000-00006FC80000}"/>
    <cellStyle name="Output 4 6 2 2 4 3" xfId="39312" xr:uid="{00000000-0005-0000-0000-000070C80000}"/>
    <cellStyle name="Output 4 6 2 2 4 4" xfId="30345" xr:uid="{00000000-0005-0000-0000-000071C80000}"/>
    <cellStyle name="Output 4 6 2 2 5" xfId="20970" xr:uid="{00000000-0005-0000-0000-000072C80000}"/>
    <cellStyle name="Output 4 6 2 2 5 2" xfId="46507" xr:uid="{00000000-0005-0000-0000-000073C80000}"/>
    <cellStyle name="Output 4 6 2 2 5 3" xfId="50413" xr:uid="{00000000-0005-0000-0000-000074C80000}"/>
    <cellStyle name="Output 4 6 2 2 5 4" xfId="38376" xr:uid="{00000000-0005-0000-0000-000075C80000}"/>
    <cellStyle name="Output 4 6 2 2 6" xfId="21623" xr:uid="{00000000-0005-0000-0000-000076C80000}"/>
    <cellStyle name="Output 4 6 2 2 6 2" xfId="47160" xr:uid="{00000000-0005-0000-0000-000077C80000}"/>
    <cellStyle name="Output 4 6 2 2 6 3" xfId="51066" xr:uid="{00000000-0005-0000-0000-000078C80000}"/>
    <cellStyle name="Output 4 6 2 2 7" xfId="40963" xr:uid="{00000000-0005-0000-0000-000079C80000}"/>
    <cellStyle name="Output 4 6 2 2 8" xfId="39494" xr:uid="{00000000-0005-0000-0000-00007AC80000}"/>
    <cellStyle name="Output 4 6 2 3" xfId="11059" xr:uid="{00000000-0005-0000-0000-00007BC80000}"/>
    <cellStyle name="Output 4 6 2 3 2" xfId="18852" xr:uid="{00000000-0005-0000-0000-00007CC80000}"/>
    <cellStyle name="Output 4 6 2 3 2 2" xfId="44399" xr:uid="{00000000-0005-0000-0000-00007DC80000}"/>
    <cellStyle name="Output 4 6 2 3 2 3" xfId="48308" xr:uid="{00000000-0005-0000-0000-00007EC80000}"/>
    <cellStyle name="Output 4 6 2 3 2 4" xfId="36489" xr:uid="{00000000-0005-0000-0000-00007FC80000}"/>
    <cellStyle name="Output 4 6 2 3 3" xfId="20445" xr:uid="{00000000-0005-0000-0000-000080C80000}"/>
    <cellStyle name="Output 4 6 2 3 3 2" xfId="45982" xr:uid="{00000000-0005-0000-0000-000081C80000}"/>
    <cellStyle name="Output 4 6 2 3 3 3" xfId="49888" xr:uid="{00000000-0005-0000-0000-000082C80000}"/>
    <cellStyle name="Output 4 6 2 3 3 4" xfId="37899" xr:uid="{00000000-0005-0000-0000-000083C80000}"/>
    <cellStyle name="Output 4 6 2 3 4" xfId="20589" xr:uid="{00000000-0005-0000-0000-000084C80000}"/>
    <cellStyle name="Output 4 6 2 3 4 2" xfId="46126" xr:uid="{00000000-0005-0000-0000-000085C80000}"/>
    <cellStyle name="Output 4 6 2 3 4 3" xfId="50032" xr:uid="{00000000-0005-0000-0000-000086C80000}"/>
    <cellStyle name="Output 4 6 2 3 4 4" xfId="38016" xr:uid="{00000000-0005-0000-0000-000087C80000}"/>
    <cellStyle name="Output 4 6 2 3 5" xfId="21265" xr:uid="{00000000-0005-0000-0000-000088C80000}"/>
    <cellStyle name="Output 4 6 2 3 5 2" xfId="46802" xr:uid="{00000000-0005-0000-0000-000089C80000}"/>
    <cellStyle name="Output 4 6 2 3 5 3" xfId="50708" xr:uid="{00000000-0005-0000-0000-00008AC80000}"/>
    <cellStyle name="Output 4 6 2 3 5 4" xfId="38671" xr:uid="{00000000-0005-0000-0000-00008BC80000}"/>
    <cellStyle name="Output 4 6 2 3 6" xfId="21918" xr:uid="{00000000-0005-0000-0000-00008CC80000}"/>
    <cellStyle name="Output 4 6 2 3 6 2" xfId="47455" xr:uid="{00000000-0005-0000-0000-00008DC80000}"/>
    <cellStyle name="Output 4 6 2 3 6 3" xfId="51361" xr:uid="{00000000-0005-0000-0000-00008EC80000}"/>
    <cellStyle name="Output 4 6 2 3 7" xfId="41258" xr:uid="{00000000-0005-0000-0000-00008FC80000}"/>
    <cellStyle name="Output 4 6 2 3 8" xfId="39689" xr:uid="{00000000-0005-0000-0000-000090C80000}"/>
    <cellStyle name="Output 4 6 2 4" xfId="15279" xr:uid="{00000000-0005-0000-0000-000091C80000}"/>
    <cellStyle name="Output 4 6 2 4 2" xfId="43152" xr:uid="{00000000-0005-0000-0000-000092C80000}"/>
    <cellStyle name="Output 4 6 2 4 3" xfId="47606" xr:uid="{00000000-0005-0000-0000-000093C80000}"/>
    <cellStyle name="Output 4 6 2 4 4" xfId="32914" xr:uid="{00000000-0005-0000-0000-000094C80000}"/>
    <cellStyle name="Output 4 6 2 5" xfId="19814" xr:uid="{00000000-0005-0000-0000-000095C80000}"/>
    <cellStyle name="Output 4 6 2 5 2" xfId="45351" xr:uid="{00000000-0005-0000-0000-000096C80000}"/>
    <cellStyle name="Output 4 6 2 5 3" xfId="49257" xr:uid="{00000000-0005-0000-0000-000097C80000}"/>
    <cellStyle name="Output 4 6 2 5 4" xfId="37335" xr:uid="{00000000-0005-0000-0000-000098C80000}"/>
    <cellStyle name="Output 4 6 2 6" xfId="12944" xr:uid="{00000000-0005-0000-0000-000099C80000}"/>
    <cellStyle name="Output 4 6 2 6 2" xfId="42260" xr:uid="{00000000-0005-0000-0000-00009AC80000}"/>
    <cellStyle name="Output 4 6 2 6 3" xfId="39549" xr:uid="{00000000-0005-0000-0000-00009BC80000}"/>
    <cellStyle name="Output 4 6 2 6 4" xfId="30593" xr:uid="{00000000-0005-0000-0000-00009CC80000}"/>
    <cellStyle name="Output 4 6 2 7" xfId="19871" xr:uid="{00000000-0005-0000-0000-00009DC80000}"/>
    <cellStyle name="Output 4 6 2 7 2" xfId="45408" xr:uid="{00000000-0005-0000-0000-00009EC80000}"/>
    <cellStyle name="Output 4 6 2 7 3" xfId="49314" xr:uid="{00000000-0005-0000-0000-00009FC80000}"/>
    <cellStyle name="Output 4 6 2 7 4" xfId="37385" xr:uid="{00000000-0005-0000-0000-0000A0C80000}"/>
    <cellStyle name="Output 4 6 2 8" xfId="20489" xr:uid="{00000000-0005-0000-0000-0000A1C80000}"/>
    <cellStyle name="Output 4 6 2 8 2" xfId="46026" xr:uid="{00000000-0005-0000-0000-0000A2C80000}"/>
    <cellStyle name="Output 4 6 2 8 3" xfId="49932" xr:uid="{00000000-0005-0000-0000-0000A3C80000}"/>
    <cellStyle name="Output 4 6 2 9" xfId="40012" xr:uid="{00000000-0005-0000-0000-0000A4C80000}"/>
    <cellStyle name="Output 4 6 3" xfId="13286" xr:uid="{00000000-0005-0000-0000-0000A5C80000}"/>
    <cellStyle name="Output 4 6 3 2" xfId="42456" xr:uid="{00000000-0005-0000-0000-0000A6C80000}"/>
    <cellStyle name="Output 4 6 3 3" xfId="40434" xr:uid="{00000000-0005-0000-0000-0000A7C80000}"/>
    <cellStyle name="Output 4 6 3 4" xfId="30931" xr:uid="{00000000-0005-0000-0000-0000A8C80000}"/>
    <cellStyle name="Output 4 6 4" xfId="20371" xr:uid="{00000000-0005-0000-0000-0000A9C80000}"/>
    <cellStyle name="Output 4 6 4 2" xfId="45908" xr:uid="{00000000-0005-0000-0000-0000AAC80000}"/>
    <cellStyle name="Output 4 6 4 3" xfId="49814" xr:uid="{00000000-0005-0000-0000-0000ABC80000}"/>
    <cellStyle name="Output 4 6 4 4" xfId="37827" xr:uid="{00000000-0005-0000-0000-0000ACC80000}"/>
    <cellStyle name="Output 4 6 5" xfId="53435" xr:uid="{00000000-0005-0000-0000-0000ADC80000}"/>
    <cellStyle name="Output 4 7" xfId="5319" xr:uid="{00000000-0005-0000-0000-0000AEC80000}"/>
    <cellStyle name="Output 4 7 2" xfId="7492" xr:uid="{00000000-0005-0000-0000-0000AFC80000}"/>
    <cellStyle name="Output 4 7 2 10" xfId="43419" xr:uid="{00000000-0005-0000-0000-0000B0C80000}"/>
    <cellStyle name="Output 4 7 2 2" xfId="10765" xr:uid="{00000000-0005-0000-0000-0000B1C80000}"/>
    <cellStyle name="Output 4 7 2 2 2" xfId="18558" xr:uid="{00000000-0005-0000-0000-0000B2C80000}"/>
    <cellStyle name="Output 4 7 2 2 2 2" xfId="44105" xr:uid="{00000000-0005-0000-0000-0000B3C80000}"/>
    <cellStyle name="Output 4 7 2 2 2 3" xfId="48014" xr:uid="{00000000-0005-0000-0000-0000B4C80000}"/>
    <cellStyle name="Output 4 7 2 2 2 4" xfId="36195" xr:uid="{00000000-0005-0000-0000-0000B5C80000}"/>
    <cellStyle name="Output 4 7 2 2 3" xfId="13333" xr:uid="{00000000-0005-0000-0000-0000B6C80000}"/>
    <cellStyle name="Output 4 7 2 2 3 2" xfId="42503" xr:uid="{00000000-0005-0000-0000-0000B7C80000}"/>
    <cellStyle name="Output 4 7 2 2 3 3" xfId="43191" xr:uid="{00000000-0005-0000-0000-0000B8C80000}"/>
    <cellStyle name="Output 4 7 2 2 3 4" xfId="30973" xr:uid="{00000000-0005-0000-0000-0000B9C80000}"/>
    <cellStyle name="Output 4 7 2 2 4" xfId="12805" xr:uid="{00000000-0005-0000-0000-0000BAC80000}"/>
    <cellStyle name="Output 4 7 2 2 4 2" xfId="42220" xr:uid="{00000000-0005-0000-0000-0000BBC80000}"/>
    <cellStyle name="Output 4 7 2 2 4 3" xfId="39552" xr:uid="{00000000-0005-0000-0000-0000BCC80000}"/>
    <cellStyle name="Output 4 7 2 2 4 4" xfId="30462" xr:uid="{00000000-0005-0000-0000-0000BDC80000}"/>
    <cellStyle name="Output 4 7 2 2 5" xfId="20971" xr:uid="{00000000-0005-0000-0000-0000BEC80000}"/>
    <cellStyle name="Output 4 7 2 2 5 2" xfId="46508" xr:uid="{00000000-0005-0000-0000-0000BFC80000}"/>
    <cellStyle name="Output 4 7 2 2 5 3" xfId="50414" xr:uid="{00000000-0005-0000-0000-0000C0C80000}"/>
    <cellStyle name="Output 4 7 2 2 5 4" xfId="38377" xr:uid="{00000000-0005-0000-0000-0000C1C80000}"/>
    <cellStyle name="Output 4 7 2 2 6" xfId="21624" xr:uid="{00000000-0005-0000-0000-0000C2C80000}"/>
    <cellStyle name="Output 4 7 2 2 6 2" xfId="47161" xr:uid="{00000000-0005-0000-0000-0000C3C80000}"/>
    <cellStyle name="Output 4 7 2 2 6 3" xfId="51067" xr:uid="{00000000-0005-0000-0000-0000C4C80000}"/>
    <cellStyle name="Output 4 7 2 2 7" xfId="40964" xr:uid="{00000000-0005-0000-0000-0000C5C80000}"/>
    <cellStyle name="Output 4 7 2 2 8" xfId="39386" xr:uid="{00000000-0005-0000-0000-0000C6C80000}"/>
    <cellStyle name="Output 4 7 2 3" xfId="11060" xr:uid="{00000000-0005-0000-0000-0000C7C80000}"/>
    <cellStyle name="Output 4 7 2 3 2" xfId="18853" xr:uid="{00000000-0005-0000-0000-0000C8C80000}"/>
    <cellStyle name="Output 4 7 2 3 2 2" xfId="44400" xr:uid="{00000000-0005-0000-0000-0000C9C80000}"/>
    <cellStyle name="Output 4 7 2 3 2 3" xfId="48309" xr:uid="{00000000-0005-0000-0000-0000CAC80000}"/>
    <cellStyle name="Output 4 7 2 3 2 4" xfId="36490" xr:uid="{00000000-0005-0000-0000-0000CBC80000}"/>
    <cellStyle name="Output 4 7 2 3 3" xfId="20446" xr:uid="{00000000-0005-0000-0000-0000CCC80000}"/>
    <cellStyle name="Output 4 7 2 3 3 2" xfId="45983" xr:uid="{00000000-0005-0000-0000-0000CDC80000}"/>
    <cellStyle name="Output 4 7 2 3 3 3" xfId="49889" xr:uid="{00000000-0005-0000-0000-0000CEC80000}"/>
    <cellStyle name="Output 4 7 2 3 3 4" xfId="37900" xr:uid="{00000000-0005-0000-0000-0000CFC80000}"/>
    <cellStyle name="Output 4 7 2 3 4" xfId="20590" xr:uid="{00000000-0005-0000-0000-0000D0C80000}"/>
    <cellStyle name="Output 4 7 2 3 4 2" xfId="46127" xr:uid="{00000000-0005-0000-0000-0000D1C80000}"/>
    <cellStyle name="Output 4 7 2 3 4 3" xfId="50033" xr:uid="{00000000-0005-0000-0000-0000D2C80000}"/>
    <cellStyle name="Output 4 7 2 3 4 4" xfId="38017" xr:uid="{00000000-0005-0000-0000-0000D3C80000}"/>
    <cellStyle name="Output 4 7 2 3 5" xfId="21266" xr:uid="{00000000-0005-0000-0000-0000D4C80000}"/>
    <cellStyle name="Output 4 7 2 3 5 2" xfId="46803" xr:uid="{00000000-0005-0000-0000-0000D5C80000}"/>
    <cellStyle name="Output 4 7 2 3 5 3" xfId="50709" xr:uid="{00000000-0005-0000-0000-0000D6C80000}"/>
    <cellStyle name="Output 4 7 2 3 5 4" xfId="38672" xr:uid="{00000000-0005-0000-0000-0000D7C80000}"/>
    <cellStyle name="Output 4 7 2 3 6" xfId="21919" xr:uid="{00000000-0005-0000-0000-0000D8C80000}"/>
    <cellStyle name="Output 4 7 2 3 6 2" xfId="47456" xr:uid="{00000000-0005-0000-0000-0000D9C80000}"/>
    <cellStyle name="Output 4 7 2 3 6 3" xfId="51362" xr:uid="{00000000-0005-0000-0000-0000DAC80000}"/>
    <cellStyle name="Output 4 7 2 3 7" xfId="41259" xr:uid="{00000000-0005-0000-0000-0000DBC80000}"/>
    <cellStyle name="Output 4 7 2 3 8" xfId="42726" xr:uid="{00000000-0005-0000-0000-0000DCC80000}"/>
    <cellStyle name="Output 4 7 2 4" xfId="15280" xr:uid="{00000000-0005-0000-0000-0000DDC80000}"/>
    <cellStyle name="Output 4 7 2 4 2" xfId="43153" xr:uid="{00000000-0005-0000-0000-0000DEC80000}"/>
    <cellStyle name="Output 4 7 2 4 3" xfId="41283" xr:uid="{00000000-0005-0000-0000-0000DFC80000}"/>
    <cellStyle name="Output 4 7 2 4 4" xfId="32915" xr:uid="{00000000-0005-0000-0000-0000E0C80000}"/>
    <cellStyle name="Output 4 7 2 5" xfId="11372" xr:uid="{00000000-0005-0000-0000-0000E1C80000}"/>
    <cellStyle name="Output 4 7 2 5 2" xfId="41408" xr:uid="{00000000-0005-0000-0000-0000E2C80000}"/>
    <cellStyle name="Output 4 7 2 5 3" xfId="43500" xr:uid="{00000000-0005-0000-0000-0000E3C80000}"/>
    <cellStyle name="Output 4 7 2 5 4" xfId="29095" xr:uid="{00000000-0005-0000-0000-0000E4C80000}"/>
    <cellStyle name="Output 4 7 2 6" xfId="19858" xr:uid="{00000000-0005-0000-0000-0000E5C80000}"/>
    <cellStyle name="Output 4 7 2 6 2" xfId="45395" xr:uid="{00000000-0005-0000-0000-0000E6C80000}"/>
    <cellStyle name="Output 4 7 2 6 3" xfId="49301" xr:uid="{00000000-0005-0000-0000-0000E7C80000}"/>
    <cellStyle name="Output 4 7 2 6 4" xfId="37373" xr:uid="{00000000-0005-0000-0000-0000E8C80000}"/>
    <cellStyle name="Output 4 7 2 7" xfId="11589" xr:uid="{00000000-0005-0000-0000-0000E9C80000}"/>
    <cellStyle name="Output 4 7 2 7 2" xfId="41600" xr:uid="{00000000-0005-0000-0000-0000EAC80000}"/>
    <cellStyle name="Output 4 7 2 7 3" xfId="39169" xr:uid="{00000000-0005-0000-0000-0000EBC80000}"/>
    <cellStyle name="Output 4 7 2 7 4" xfId="29297" xr:uid="{00000000-0005-0000-0000-0000ECC80000}"/>
    <cellStyle name="Output 4 7 2 8" xfId="20525" xr:uid="{00000000-0005-0000-0000-0000EDC80000}"/>
    <cellStyle name="Output 4 7 2 8 2" xfId="46062" xr:uid="{00000000-0005-0000-0000-0000EEC80000}"/>
    <cellStyle name="Output 4 7 2 8 3" xfId="49968" xr:uid="{00000000-0005-0000-0000-0000EFC80000}"/>
    <cellStyle name="Output 4 7 2 9" xfId="40013" xr:uid="{00000000-0005-0000-0000-0000F0C80000}"/>
    <cellStyle name="Output 4 7 3" xfId="13287" xr:uid="{00000000-0005-0000-0000-0000F1C80000}"/>
    <cellStyle name="Output 4 7 3 2" xfId="42457" xr:uid="{00000000-0005-0000-0000-0000F2C80000}"/>
    <cellStyle name="Output 4 7 3 3" xfId="39542" xr:uid="{00000000-0005-0000-0000-0000F3C80000}"/>
    <cellStyle name="Output 4 7 3 4" xfId="30932" xr:uid="{00000000-0005-0000-0000-0000F4C80000}"/>
    <cellStyle name="Output 4 7 4" xfId="20311" xr:uid="{00000000-0005-0000-0000-0000F5C80000}"/>
    <cellStyle name="Output 4 7 4 2" xfId="45848" xr:uid="{00000000-0005-0000-0000-0000F6C80000}"/>
    <cellStyle name="Output 4 7 4 3" xfId="49754" xr:uid="{00000000-0005-0000-0000-0000F7C80000}"/>
    <cellStyle name="Output 4 7 4 4" xfId="37776" xr:uid="{00000000-0005-0000-0000-0000F8C80000}"/>
    <cellStyle name="Output 4 8" xfId="5320" xr:uid="{00000000-0005-0000-0000-0000F9C80000}"/>
    <cellStyle name="Output 4 8 2" xfId="10480" xr:uid="{00000000-0005-0000-0000-0000FAC80000}"/>
    <cellStyle name="Output 4 8 2 2" xfId="18273" xr:uid="{00000000-0005-0000-0000-0000FBC80000}"/>
    <cellStyle name="Output 4 8 2 2 2" xfId="43820" xr:uid="{00000000-0005-0000-0000-0000FCC80000}"/>
    <cellStyle name="Output 4 8 2 2 3" xfId="47729" xr:uid="{00000000-0005-0000-0000-0000FDC80000}"/>
    <cellStyle name="Output 4 8 2 2 4" xfId="35910" xr:uid="{00000000-0005-0000-0000-0000FEC80000}"/>
    <cellStyle name="Output 4 8 2 3" xfId="19143" xr:uid="{00000000-0005-0000-0000-0000FFC80000}"/>
    <cellStyle name="Output 4 8 2 3 2" xfId="44680" xr:uid="{00000000-0005-0000-0000-000000C90000}"/>
    <cellStyle name="Output 4 8 2 3 3" xfId="48586" xr:uid="{00000000-0005-0000-0000-000001C90000}"/>
    <cellStyle name="Output 4 8 2 3 4" xfId="36738" xr:uid="{00000000-0005-0000-0000-000002C90000}"/>
    <cellStyle name="Output 4 8 2 4" xfId="19869" xr:uid="{00000000-0005-0000-0000-000003C90000}"/>
    <cellStyle name="Output 4 8 2 4 2" xfId="45406" xr:uid="{00000000-0005-0000-0000-000004C90000}"/>
    <cellStyle name="Output 4 8 2 4 3" xfId="49312" xr:uid="{00000000-0005-0000-0000-000005C90000}"/>
    <cellStyle name="Output 4 8 2 4 4" xfId="37383" xr:uid="{00000000-0005-0000-0000-000006C90000}"/>
    <cellStyle name="Output 4 8 2 5" xfId="20686" xr:uid="{00000000-0005-0000-0000-000007C90000}"/>
    <cellStyle name="Output 4 8 2 5 2" xfId="46223" xr:uid="{00000000-0005-0000-0000-000008C90000}"/>
    <cellStyle name="Output 4 8 2 5 3" xfId="50129" xr:uid="{00000000-0005-0000-0000-000009C90000}"/>
    <cellStyle name="Output 4 8 2 5 4" xfId="38092" xr:uid="{00000000-0005-0000-0000-00000AC90000}"/>
    <cellStyle name="Output 4 8 2 6" xfId="21339" xr:uid="{00000000-0005-0000-0000-00000BC90000}"/>
    <cellStyle name="Output 4 8 2 6 2" xfId="46876" xr:uid="{00000000-0005-0000-0000-00000CC90000}"/>
    <cellStyle name="Output 4 8 2 6 3" xfId="50782" xr:uid="{00000000-0005-0000-0000-00000DC90000}"/>
    <cellStyle name="Output 4 8 2 7" xfId="40679" xr:uid="{00000000-0005-0000-0000-00000EC90000}"/>
    <cellStyle name="Output 4 8 2 8" xfId="39204" xr:uid="{00000000-0005-0000-0000-00000FC90000}"/>
    <cellStyle name="Output 4 8 3" xfId="8805" xr:uid="{00000000-0005-0000-0000-000010C90000}"/>
    <cellStyle name="Output 4 8 3 2" xfId="16601" xr:uid="{00000000-0005-0000-0000-000011C90000}"/>
    <cellStyle name="Output 4 8 3 2 2" xfId="43442" xr:uid="{00000000-0005-0000-0000-000012C90000}"/>
    <cellStyle name="Output 4 8 3 2 3" xfId="42662" xr:uid="{00000000-0005-0000-0000-000013C90000}"/>
    <cellStyle name="Output 4 8 3 2 4" xfId="34236" xr:uid="{00000000-0005-0000-0000-000014C90000}"/>
    <cellStyle name="Output 4 8 3 3" xfId="20073" xr:uid="{00000000-0005-0000-0000-000015C90000}"/>
    <cellStyle name="Output 4 8 3 3 2" xfId="45610" xr:uid="{00000000-0005-0000-0000-000016C90000}"/>
    <cellStyle name="Output 4 8 3 3 3" xfId="49516" xr:uid="{00000000-0005-0000-0000-000017C90000}"/>
    <cellStyle name="Output 4 8 3 3 4" xfId="37567" xr:uid="{00000000-0005-0000-0000-000018C90000}"/>
    <cellStyle name="Output 4 8 3 4" xfId="19470" xr:uid="{00000000-0005-0000-0000-000019C90000}"/>
    <cellStyle name="Output 4 8 3 4 2" xfId="45007" xr:uid="{00000000-0005-0000-0000-00001AC90000}"/>
    <cellStyle name="Output 4 8 3 4 3" xfId="48913" xr:uid="{00000000-0005-0000-0000-00001BC90000}"/>
    <cellStyle name="Output 4 8 3 4 4" xfId="37028" xr:uid="{00000000-0005-0000-0000-00001CC90000}"/>
    <cellStyle name="Output 4 8 3 5" xfId="19653" xr:uid="{00000000-0005-0000-0000-00001DC90000}"/>
    <cellStyle name="Output 4 8 3 5 2" xfId="45190" xr:uid="{00000000-0005-0000-0000-00001EC90000}"/>
    <cellStyle name="Output 4 8 3 5 3" xfId="49096" xr:uid="{00000000-0005-0000-0000-00001FC90000}"/>
    <cellStyle name="Output 4 8 3 5 4" xfId="37187" xr:uid="{00000000-0005-0000-0000-000020C90000}"/>
    <cellStyle name="Output 4 8 3 6" xfId="19527" xr:uid="{00000000-0005-0000-0000-000021C90000}"/>
    <cellStyle name="Output 4 8 3 6 2" xfId="45064" xr:uid="{00000000-0005-0000-0000-000022C90000}"/>
    <cellStyle name="Output 4 8 3 6 3" xfId="48970" xr:uid="{00000000-0005-0000-0000-000023C90000}"/>
    <cellStyle name="Output 4 8 3 7" xfId="40304" xr:uid="{00000000-0005-0000-0000-000024C90000}"/>
    <cellStyle name="Output 4 8 3 8" xfId="39211" xr:uid="{00000000-0005-0000-0000-000025C90000}"/>
    <cellStyle name="Output 4 8 4" xfId="13288" xr:uid="{00000000-0005-0000-0000-000026C90000}"/>
    <cellStyle name="Output 4 8 4 2" xfId="42458" xr:uid="{00000000-0005-0000-0000-000027C90000}"/>
    <cellStyle name="Output 4 8 4 3" xfId="42551" xr:uid="{00000000-0005-0000-0000-000028C90000}"/>
    <cellStyle name="Output 4 8 4 4" xfId="30933" xr:uid="{00000000-0005-0000-0000-000029C90000}"/>
    <cellStyle name="Output 4 8 5" xfId="19522" xr:uid="{00000000-0005-0000-0000-00002AC90000}"/>
    <cellStyle name="Output 4 8 5 2" xfId="45059" xr:uid="{00000000-0005-0000-0000-00002BC90000}"/>
    <cellStyle name="Output 4 8 5 3" xfId="48965" xr:uid="{00000000-0005-0000-0000-00002CC90000}"/>
    <cellStyle name="Output 4 8 5 4" xfId="37070" xr:uid="{00000000-0005-0000-0000-00002DC90000}"/>
    <cellStyle name="Output 4 9" xfId="7486" xr:uid="{00000000-0005-0000-0000-00002EC90000}"/>
    <cellStyle name="Output 4 9 10" xfId="42622" xr:uid="{00000000-0005-0000-0000-00002FC90000}"/>
    <cellStyle name="Output 4 9 2" xfId="10759" xr:uid="{00000000-0005-0000-0000-000030C90000}"/>
    <cellStyle name="Output 4 9 2 2" xfId="18552" xr:uid="{00000000-0005-0000-0000-000031C90000}"/>
    <cellStyle name="Output 4 9 2 2 2" xfId="44099" xr:uid="{00000000-0005-0000-0000-000032C90000}"/>
    <cellStyle name="Output 4 9 2 2 3" xfId="48008" xr:uid="{00000000-0005-0000-0000-000033C90000}"/>
    <cellStyle name="Output 4 9 2 2 4" xfId="36189" xr:uid="{00000000-0005-0000-0000-000034C90000}"/>
    <cellStyle name="Output 4 9 2 3" xfId="20018" xr:uid="{00000000-0005-0000-0000-000035C90000}"/>
    <cellStyle name="Output 4 9 2 3 2" xfId="45555" xr:uid="{00000000-0005-0000-0000-000036C90000}"/>
    <cellStyle name="Output 4 9 2 3 3" xfId="49461" xr:uid="{00000000-0005-0000-0000-000037C90000}"/>
    <cellStyle name="Output 4 9 2 3 4" xfId="37516" xr:uid="{00000000-0005-0000-0000-000038C90000}"/>
    <cellStyle name="Output 4 9 2 4" xfId="19264" xr:uid="{00000000-0005-0000-0000-000039C90000}"/>
    <cellStyle name="Output 4 9 2 4 2" xfId="44801" xr:uid="{00000000-0005-0000-0000-00003AC90000}"/>
    <cellStyle name="Output 4 9 2 4 3" xfId="48707" xr:uid="{00000000-0005-0000-0000-00003BC90000}"/>
    <cellStyle name="Output 4 9 2 4 4" xfId="36842" xr:uid="{00000000-0005-0000-0000-00003CC90000}"/>
    <cellStyle name="Output 4 9 2 5" xfId="20965" xr:uid="{00000000-0005-0000-0000-00003DC90000}"/>
    <cellStyle name="Output 4 9 2 5 2" xfId="46502" xr:uid="{00000000-0005-0000-0000-00003EC90000}"/>
    <cellStyle name="Output 4 9 2 5 3" xfId="50408" xr:uid="{00000000-0005-0000-0000-00003FC90000}"/>
    <cellStyle name="Output 4 9 2 5 4" xfId="38371" xr:uid="{00000000-0005-0000-0000-000040C90000}"/>
    <cellStyle name="Output 4 9 2 6" xfId="21618" xr:uid="{00000000-0005-0000-0000-000041C90000}"/>
    <cellStyle name="Output 4 9 2 6 2" xfId="47155" xr:uid="{00000000-0005-0000-0000-000042C90000}"/>
    <cellStyle name="Output 4 9 2 6 3" xfId="51061" xr:uid="{00000000-0005-0000-0000-000043C90000}"/>
    <cellStyle name="Output 4 9 2 7" xfId="40958" xr:uid="{00000000-0005-0000-0000-000044C90000}"/>
    <cellStyle name="Output 4 9 2 8" xfId="40488" xr:uid="{00000000-0005-0000-0000-000045C90000}"/>
    <cellStyle name="Output 4 9 3" xfId="11054" xr:uid="{00000000-0005-0000-0000-000046C90000}"/>
    <cellStyle name="Output 4 9 3 2" xfId="18847" xr:uid="{00000000-0005-0000-0000-000047C90000}"/>
    <cellStyle name="Output 4 9 3 2 2" xfId="44394" xr:uid="{00000000-0005-0000-0000-000048C90000}"/>
    <cellStyle name="Output 4 9 3 2 3" xfId="48303" xr:uid="{00000000-0005-0000-0000-000049C90000}"/>
    <cellStyle name="Output 4 9 3 2 4" xfId="36484" xr:uid="{00000000-0005-0000-0000-00004AC90000}"/>
    <cellStyle name="Output 4 9 3 3" xfId="20440" xr:uid="{00000000-0005-0000-0000-00004BC90000}"/>
    <cellStyle name="Output 4 9 3 3 2" xfId="45977" xr:uid="{00000000-0005-0000-0000-00004CC90000}"/>
    <cellStyle name="Output 4 9 3 3 3" xfId="49883" xr:uid="{00000000-0005-0000-0000-00004DC90000}"/>
    <cellStyle name="Output 4 9 3 3 4" xfId="37894" xr:uid="{00000000-0005-0000-0000-00004EC90000}"/>
    <cellStyle name="Output 4 9 3 4" xfId="20584" xr:uid="{00000000-0005-0000-0000-00004FC90000}"/>
    <cellStyle name="Output 4 9 3 4 2" xfId="46121" xr:uid="{00000000-0005-0000-0000-000050C90000}"/>
    <cellStyle name="Output 4 9 3 4 3" xfId="50027" xr:uid="{00000000-0005-0000-0000-000051C90000}"/>
    <cellStyle name="Output 4 9 3 4 4" xfId="38011" xr:uid="{00000000-0005-0000-0000-000052C90000}"/>
    <cellStyle name="Output 4 9 3 5" xfId="21260" xr:uid="{00000000-0005-0000-0000-000053C90000}"/>
    <cellStyle name="Output 4 9 3 5 2" xfId="46797" xr:uid="{00000000-0005-0000-0000-000054C90000}"/>
    <cellStyle name="Output 4 9 3 5 3" xfId="50703" xr:uid="{00000000-0005-0000-0000-000055C90000}"/>
    <cellStyle name="Output 4 9 3 5 4" xfId="38666" xr:uid="{00000000-0005-0000-0000-000056C90000}"/>
    <cellStyle name="Output 4 9 3 6" xfId="21913" xr:uid="{00000000-0005-0000-0000-000057C90000}"/>
    <cellStyle name="Output 4 9 3 6 2" xfId="47450" xr:uid="{00000000-0005-0000-0000-000058C90000}"/>
    <cellStyle name="Output 4 9 3 6 3" xfId="51356" xr:uid="{00000000-0005-0000-0000-000059C90000}"/>
    <cellStyle name="Output 4 9 3 7" xfId="41253" xr:uid="{00000000-0005-0000-0000-00005AC90000}"/>
    <cellStyle name="Output 4 9 3 8" xfId="43224" xr:uid="{00000000-0005-0000-0000-00005BC90000}"/>
    <cellStyle name="Output 4 9 4" xfId="15274" xr:uid="{00000000-0005-0000-0000-00005CC90000}"/>
    <cellStyle name="Output 4 9 4 2" xfId="43147" xr:uid="{00000000-0005-0000-0000-00005DC90000}"/>
    <cellStyle name="Output 4 9 4 3" xfId="40150" xr:uid="{00000000-0005-0000-0000-00005EC90000}"/>
    <cellStyle name="Output 4 9 4 4" xfId="32909" xr:uid="{00000000-0005-0000-0000-00005FC90000}"/>
    <cellStyle name="Output 4 9 5" xfId="19486" xr:uid="{00000000-0005-0000-0000-000060C90000}"/>
    <cellStyle name="Output 4 9 5 2" xfId="45023" xr:uid="{00000000-0005-0000-0000-000061C90000}"/>
    <cellStyle name="Output 4 9 5 3" xfId="48929" xr:uid="{00000000-0005-0000-0000-000062C90000}"/>
    <cellStyle name="Output 4 9 5 4" xfId="37042" xr:uid="{00000000-0005-0000-0000-000063C90000}"/>
    <cellStyle name="Output 4 9 6" xfId="19160" xr:uid="{00000000-0005-0000-0000-000064C90000}"/>
    <cellStyle name="Output 4 9 6 2" xfId="44697" xr:uid="{00000000-0005-0000-0000-000065C90000}"/>
    <cellStyle name="Output 4 9 6 3" xfId="48603" xr:uid="{00000000-0005-0000-0000-000066C90000}"/>
    <cellStyle name="Output 4 9 6 4" xfId="36752" xr:uid="{00000000-0005-0000-0000-000067C90000}"/>
    <cellStyle name="Output 4 9 7" xfId="19233" xr:uid="{00000000-0005-0000-0000-000068C90000}"/>
    <cellStyle name="Output 4 9 7 2" xfId="44770" xr:uid="{00000000-0005-0000-0000-000069C90000}"/>
    <cellStyle name="Output 4 9 7 3" xfId="48676" xr:uid="{00000000-0005-0000-0000-00006AC90000}"/>
    <cellStyle name="Output 4 9 7 4" xfId="36815" xr:uid="{00000000-0005-0000-0000-00006BC90000}"/>
    <cellStyle name="Output 4 9 8" xfId="11672" xr:uid="{00000000-0005-0000-0000-00006CC90000}"/>
    <cellStyle name="Output 4 9 8 2" xfId="41683" xr:uid="{00000000-0005-0000-0000-00006DC90000}"/>
    <cellStyle name="Output 4 9 8 3" xfId="42709" xr:uid="{00000000-0005-0000-0000-00006EC90000}"/>
    <cellStyle name="Output 4 9 9" xfId="40007" xr:uid="{00000000-0005-0000-0000-00006FC90000}"/>
    <cellStyle name="Output 5" xfId="3275" xr:uid="{00000000-0005-0000-0000-000070C90000}"/>
    <cellStyle name="Output 5 2" xfId="5321" xr:uid="{00000000-0005-0000-0000-000071C90000}"/>
    <cellStyle name="Output 5 3" xfId="5322" xr:uid="{00000000-0005-0000-0000-000072C90000}"/>
    <cellStyle name="Output 5 3 2" xfId="10481" xr:uid="{00000000-0005-0000-0000-000073C90000}"/>
    <cellStyle name="Output 5 3 2 2" xfId="18274" xr:uid="{00000000-0005-0000-0000-000074C90000}"/>
    <cellStyle name="Output 5 3 2 2 2" xfId="43821" xr:uid="{00000000-0005-0000-0000-000075C90000}"/>
    <cellStyle name="Output 5 3 2 2 3" xfId="47730" xr:uid="{00000000-0005-0000-0000-000076C90000}"/>
    <cellStyle name="Output 5 3 2 2 4" xfId="35911" xr:uid="{00000000-0005-0000-0000-000077C90000}"/>
    <cellStyle name="Output 5 3 2 2 5" xfId="53443" xr:uid="{00000000-0005-0000-0000-000078C90000}"/>
    <cellStyle name="Output 5 3 2 3" xfId="19768" xr:uid="{00000000-0005-0000-0000-000079C90000}"/>
    <cellStyle name="Output 5 3 2 3 2" xfId="45305" xr:uid="{00000000-0005-0000-0000-00007AC90000}"/>
    <cellStyle name="Output 5 3 2 3 3" xfId="49211" xr:uid="{00000000-0005-0000-0000-00007BC90000}"/>
    <cellStyle name="Output 5 3 2 3 4" xfId="37295" xr:uid="{00000000-0005-0000-0000-00007CC90000}"/>
    <cellStyle name="Output 5 3 2 4" xfId="19972" xr:uid="{00000000-0005-0000-0000-00007DC90000}"/>
    <cellStyle name="Output 5 3 2 4 2" xfId="45509" xr:uid="{00000000-0005-0000-0000-00007EC90000}"/>
    <cellStyle name="Output 5 3 2 4 3" xfId="49415" xr:uid="{00000000-0005-0000-0000-00007FC90000}"/>
    <cellStyle name="Output 5 3 2 4 4" xfId="37476" xr:uid="{00000000-0005-0000-0000-000080C90000}"/>
    <cellStyle name="Output 5 3 2 5" xfId="20687" xr:uid="{00000000-0005-0000-0000-000081C90000}"/>
    <cellStyle name="Output 5 3 2 5 2" xfId="46224" xr:uid="{00000000-0005-0000-0000-000082C90000}"/>
    <cellStyle name="Output 5 3 2 5 3" xfId="50130" xr:uid="{00000000-0005-0000-0000-000083C90000}"/>
    <cellStyle name="Output 5 3 2 5 4" xfId="38093" xr:uid="{00000000-0005-0000-0000-000084C90000}"/>
    <cellStyle name="Output 5 3 2 6" xfId="21340" xr:uid="{00000000-0005-0000-0000-000085C90000}"/>
    <cellStyle name="Output 5 3 2 6 2" xfId="46877" xr:uid="{00000000-0005-0000-0000-000086C90000}"/>
    <cellStyle name="Output 5 3 2 6 3" xfId="50783" xr:uid="{00000000-0005-0000-0000-000087C90000}"/>
    <cellStyle name="Output 5 3 2 7" xfId="40680" xr:uid="{00000000-0005-0000-0000-000088C90000}"/>
    <cellStyle name="Output 5 3 2 8" xfId="41445" xr:uid="{00000000-0005-0000-0000-000089C90000}"/>
    <cellStyle name="Output 5 3 2 9" xfId="53336" xr:uid="{00000000-0005-0000-0000-00008AC90000}"/>
    <cellStyle name="Output 5 3 3" xfId="8806" xr:uid="{00000000-0005-0000-0000-00008BC90000}"/>
    <cellStyle name="Output 5 3 3 2" xfId="16602" xr:uid="{00000000-0005-0000-0000-00008CC90000}"/>
    <cellStyle name="Output 5 3 3 2 2" xfId="43443" xr:uid="{00000000-0005-0000-0000-00008DC90000}"/>
    <cellStyle name="Output 5 3 3 2 3" xfId="43551" xr:uid="{00000000-0005-0000-0000-00008EC90000}"/>
    <cellStyle name="Output 5 3 3 2 4" xfId="34237" xr:uid="{00000000-0005-0000-0000-00008FC90000}"/>
    <cellStyle name="Output 5 3 3 3" xfId="19339" xr:uid="{00000000-0005-0000-0000-000090C90000}"/>
    <cellStyle name="Output 5 3 3 3 2" xfId="44876" xr:uid="{00000000-0005-0000-0000-000091C90000}"/>
    <cellStyle name="Output 5 3 3 3 3" xfId="48782" xr:uid="{00000000-0005-0000-0000-000092C90000}"/>
    <cellStyle name="Output 5 3 3 3 4" xfId="36911" xr:uid="{00000000-0005-0000-0000-000093C90000}"/>
    <cellStyle name="Output 5 3 3 4" xfId="11646" xr:uid="{00000000-0005-0000-0000-000094C90000}"/>
    <cellStyle name="Output 5 3 3 4 2" xfId="41657" xr:uid="{00000000-0005-0000-0000-000095C90000}"/>
    <cellStyle name="Output 5 3 3 4 3" xfId="40069" xr:uid="{00000000-0005-0000-0000-000096C90000}"/>
    <cellStyle name="Output 5 3 3 4 4" xfId="29346" xr:uid="{00000000-0005-0000-0000-000097C90000}"/>
    <cellStyle name="Output 5 3 3 5" xfId="20186" xr:uid="{00000000-0005-0000-0000-000098C90000}"/>
    <cellStyle name="Output 5 3 3 5 2" xfId="45723" xr:uid="{00000000-0005-0000-0000-000099C90000}"/>
    <cellStyle name="Output 5 3 3 5 3" xfId="49629" xr:uid="{00000000-0005-0000-0000-00009AC90000}"/>
    <cellStyle name="Output 5 3 3 5 4" xfId="37671" xr:uid="{00000000-0005-0000-0000-00009BC90000}"/>
    <cellStyle name="Output 5 3 3 6" xfId="19239" xr:uid="{00000000-0005-0000-0000-00009CC90000}"/>
    <cellStyle name="Output 5 3 3 6 2" xfId="44776" xr:uid="{00000000-0005-0000-0000-00009DC90000}"/>
    <cellStyle name="Output 5 3 3 6 3" xfId="48682" xr:uid="{00000000-0005-0000-0000-00009EC90000}"/>
    <cellStyle name="Output 5 3 3 7" xfId="40305" xr:uid="{00000000-0005-0000-0000-00009FC90000}"/>
    <cellStyle name="Output 5 3 3 8" xfId="39210" xr:uid="{00000000-0005-0000-0000-0000A0C90000}"/>
    <cellStyle name="Output 5 3 3 9" xfId="53442" xr:uid="{00000000-0005-0000-0000-0000A1C90000}"/>
    <cellStyle name="Output 5 3 4" xfId="13289" xr:uid="{00000000-0005-0000-0000-0000A2C90000}"/>
    <cellStyle name="Output 5 3 4 2" xfId="42459" xr:uid="{00000000-0005-0000-0000-0000A3C90000}"/>
    <cellStyle name="Output 5 3 4 3" xfId="43462" xr:uid="{00000000-0005-0000-0000-0000A4C90000}"/>
    <cellStyle name="Output 5 3 4 4" xfId="30934" xr:uid="{00000000-0005-0000-0000-0000A5C90000}"/>
    <cellStyle name="Output 5 3 5" xfId="20370" xr:uid="{00000000-0005-0000-0000-0000A6C90000}"/>
    <cellStyle name="Output 5 3 5 2" xfId="45907" xr:uid="{00000000-0005-0000-0000-0000A7C90000}"/>
    <cellStyle name="Output 5 3 5 3" xfId="49813" xr:uid="{00000000-0005-0000-0000-0000A8C90000}"/>
    <cellStyle name="Output 5 3 5 4" xfId="37826" xr:uid="{00000000-0005-0000-0000-0000A9C90000}"/>
    <cellStyle name="Output 5 3 6" xfId="22621" xr:uid="{00000000-0005-0000-0000-0000AAC90000}"/>
    <cellStyle name="Output 5 3 6 2" xfId="47562" xr:uid="{00000000-0005-0000-0000-0000ABC90000}"/>
    <cellStyle name="Output 5 3 6 3" xfId="51411" xr:uid="{00000000-0005-0000-0000-0000ACC90000}"/>
    <cellStyle name="Output 5 3 7" xfId="53335" xr:uid="{00000000-0005-0000-0000-0000ADC90000}"/>
    <cellStyle name="Output 5 4" xfId="53337" xr:uid="{00000000-0005-0000-0000-0000AEC90000}"/>
    <cellStyle name="Output 5 5" xfId="53338" xr:uid="{00000000-0005-0000-0000-0000AFC90000}"/>
    <cellStyle name="Output 5 5 2" xfId="53444" xr:uid="{00000000-0005-0000-0000-0000B0C90000}"/>
    <cellStyle name="Output 5 6" xfId="53334" xr:uid="{00000000-0005-0000-0000-0000B1C90000}"/>
    <cellStyle name="Output 6" xfId="3276" xr:uid="{00000000-0005-0000-0000-0000B2C90000}"/>
    <cellStyle name="Output 6 2" xfId="23024" xr:uid="{00000000-0005-0000-0000-0000B3C90000}"/>
    <cellStyle name="Output 6 3" xfId="22622" xr:uid="{00000000-0005-0000-0000-0000B4C90000}"/>
    <cellStyle name="Output 6 3 2" xfId="47563" xr:uid="{00000000-0005-0000-0000-0000B5C90000}"/>
    <cellStyle name="Output 6 3 2 2" xfId="53341" xr:uid="{00000000-0005-0000-0000-0000B6C90000}"/>
    <cellStyle name="Output 6 3 3" xfId="51412" xr:uid="{00000000-0005-0000-0000-0000B7C90000}"/>
    <cellStyle name="Output 6 3 3 2" xfId="53445" xr:uid="{00000000-0005-0000-0000-0000B8C90000}"/>
    <cellStyle name="Output 6 3 4" xfId="53340" xr:uid="{00000000-0005-0000-0000-0000B9C90000}"/>
    <cellStyle name="Output 6 4" xfId="53342" xr:uid="{00000000-0005-0000-0000-0000BAC90000}"/>
    <cellStyle name="Output 6 5" xfId="53343" xr:uid="{00000000-0005-0000-0000-0000BBC90000}"/>
    <cellStyle name="Output 6 5 2" xfId="53446" xr:uid="{00000000-0005-0000-0000-0000BCC90000}"/>
    <cellStyle name="Output 6 6" xfId="53339" xr:uid="{00000000-0005-0000-0000-0000BDC90000}"/>
    <cellStyle name="Output 7" xfId="3277" xr:uid="{00000000-0005-0000-0000-0000BEC90000}"/>
    <cellStyle name="Output 7 2" xfId="22623" xr:uid="{00000000-0005-0000-0000-0000BFC90000}"/>
    <cellStyle name="Output 8" xfId="3278" xr:uid="{00000000-0005-0000-0000-0000C0C90000}"/>
    <cellStyle name="Output 8 2" xfId="22625" xr:uid="{00000000-0005-0000-0000-0000C1C90000}"/>
    <cellStyle name="Output 8 3" xfId="22624" xr:uid="{00000000-0005-0000-0000-0000C2C90000}"/>
    <cellStyle name="Output 9" xfId="3279" xr:uid="{00000000-0005-0000-0000-0000C3C90000}"/>
    <cellStyle name="Output 9 2" xfId="22626" xr:uid="{00000000-0005-0000-0000-0000C4C90000}"/>
    <cellStyle name="Percent [2]" xfId="3280" xr:uid="{00000000-0005-0000-0000-0000C5C90000}"/>
    <cellStyle name="Percent [2] 10" xfId="3281" xr:uid="{00000000-0005-0000-0000-0000C6C90000}"/>
    <cellStyle name="Percent [2] 10 2" xfId="3282" xr:uid="{00000000-0005-0000-0000-0000C7C90000}"/>
    <cellStyle name="Percent [2] 10 2 2" xfId="5325" xr:uid="{00000000-0005-0000-0000-0000C8C90000}"/>
    <cellStyle name="Percent [2] 10 2 3" xfId="6045" xr:uid="{00000000-0005-0000-0000-0000C9C90000}"/>
    <cellStyle name="Percent [2] 10 2 4" xfId="52667" xr:uid="{00000000-0005-0000-0000-0000CAC90000}"/>
    <cellStyle name="Percent [2] 10 3" xfId="3283" xr:uid="{00000000-0005-0000-0000-0000CBC90000}"/>
    <cellStyle name="Percent [2] 10 3 2" xfId="3284" xr:uid="{00000000-0005-0000-0000-0000CCC90000}"/>
    <cellStyle name="Percent [2] 10 3 2 2" xfId="5327" xr:uid="{00000000-0005-0000-0000-0000CDC90000}"/>
    <cellStyle name="Percent [2] 10 3 2 3" xfId="6047" xr:uid="{00000000-0005-0000-0000-0000CEC90000}"/>
    <cellStyle name="Percent [2] 10 3 2 4" xfId="52669" xr:uid="{00000000-0005-0000-0000-0000CFC90000}"/>
    <cellStyle name="Percent [2] 10 3 3" xfId="5326" xr:uid="{00000000-0005-0000-0000-0000D0C90000}"/>
    <cellStyle name="Percent [2] 10 3 4" xfId="6046" xr:uid="{00000000-0005-0000-0000-0000D1C90000}"/>
    <cellStyle name="Percent [2] 10 3 5" xfId="52668" xr:uid="{00000000-0005-0000-0000-0000D2C90000}"/>
    <cellStyle name="Percent [2] 10 4" xfId="3285" xr:uid="{00000000-0005-0000-0000-0000D3C90000}"/>
    <cellStyle name="Percent [2] 10 4 2" xfId="3286" xr:uid="{00000000-0005-0000-0000-0000D4C90000}"/>
    <cellStyle name="Percent [2] 10 4 2 2" xfId="5329" xr:uid="{00000000-0005-0000-0000-0000D5C90000}"/>
    <cellStyle name="Percent [2] 10 4 2 3" xfId="6049" xr:uid="{00000000-0005-0000-0000-0000D6C90000}"/>
    <cellStyle name="Percent [2] 10 4 2 4" xfId="52671" xr:uid="{00000000-0005-0000-0000-0000D7C90000}"/>
    <cellStyle name="Percent [2] 10 4 3" xfId="3287" xr:uid="{00000000-0005-0000-0000-0000D8C90000}"/>
    <cellStyle name="Percent [2] 10 4 3 2" xfId="3288" xr:uid="{00000000-0005-0000-0000-0000D9C90000}"/>
    <cellStyle name="Percent [2] 10 4 3 2 2" xfId="5331" xr:uid="{00000000-0005-0000-0000-0000DAC90000}"/>
    <cellStyle name="Percent [2] 10 4 3 2 3" xfId="6051" xr:uid="{00000000-0005-0000-0000-0000DBC90000}"/>
    <cellStyle name="Percent [2] 10 4 3 2 4" xfId="52673" xr:uid="{00000000-0005-0000-0000-0000DCC90000}"/>
    <cellStyle name="Percent [2] 10 4 3 3" xfId="3289" xr:uid="{00000000-0005-0000-0000-0000DDC90000}"/>
    <cellStyle name="Percent [2] 10 4 3 3 2" xfId="3290" xr:uid="{00000000-0005-0000-0000-0000DEC90000}"/>
    <cellStyle name="Percent [2] 10 4 3 3 2 2" xfId="5333" xr:uid="{00000000-0005-0000-0000-0000DFC90000}"/>
    <cellStyle name="Percent [2] 10 4 3 3 2 3" xfId="6053" xr:uid="{00000000-0005-0000-0000-0000E0C90000}"/>
    <cellStyle name="Percent [2] 10 4 3 3 2 4" xfId="52675" xr:uid="{00000000-0005-0000-0000-0000E1C90000}"/>
    <cellStyle name="Percent [2] 10 4 3 3 3" xfId="5332" xr:uid="{00000000-0005-0000-0000-0000E2C90000}"/>
    <cellStyle name="Percent [2] 10 4 3 3 4" xfId="6052" xr:uid="{00000000-0005-0000-0000-0000E3C90000}"/>
    <cellStyle name="Percent [2] 10 4 3 3 5" xfId="52674" xr:uid="{00000000-0005-0000-0000-0000E4C90000}"/>
    <cellStyle name="Percent [2] 10 4 3 4" xfId="5334" xr:uid="{00000000-0005-0000-0000-0000E5C90000}"/>
    <cellStyle name="Percent [2] 10 4 3 4 2" xfId="6054" xr:uid="{00000000-0005-0000-0000-0000E6C90000}"/>
    <cellStyle name="Percent [2] 10 4 3 5" xfId="5330" xr:uid="{00000000-0005-0000-0000-0000E7C90000}"/>
    <cellStyle name="Percent [2] 10 4 3 6" xfId="6050" xr:uid="{00000000-0005-0000-0000-0000E8C90000}"/>
    <cellStyle name="Percent [2] 10 4 3 7" xfId="52672" xr:uid="{00000000-0005-0000-0000-0000E9C90000}"/>
    <cellStyle name="Percent [2] 10 4 4" xfId="5328" xr:uid="{00000000-0005-0000-0000-0000EAC90000}"/>
    <cellStyle name="Percent [2] 10 4 5" xfId="6048" xr:uid="{00000000-0005-0000-0000-0000EBC90000}"/>
    <cellStyle name="Percent [2] 10 4 6" xfId="52670" xr:uid="{00000000-0005-0000-0000-0000ECC90000}"/>
    <cellStyle name="Percent [2] 10 5" xfId="5324" xr:uid="{00000000-0005-0000-0000-0000EDC90000}"/>
    <cellStyle name="Percent [2] 10 6" xfId="6044" xr:uid="{00000000-0005-0000-0000-0000EEC90000}"/>
    <cellStyle name="Percent [2] 10 7" xfId="52666" xr:uid="{00000000-0005-0000-0000-0000EFC90000}"/>
    <cellStyle name="Percent [2] 11" xfId="3291" xr:uid="{00000000-0005-0000-0000-0000F0C90000}"/>
    <cellStyle name="Percent [2] 11 2" xfId="3292" xr:uid="{00000000-0005-0000-0000-0000F1C90000}"/>
    <cellStyle name="Percent [2] 11 2 2" xfId="5336" xr:uid="{00000000-0005-0000-0000-0000F2C90000}"/>
    <cellStyle name="Percent [2] 11 2 3" xfId="6056" xr:uid="{00000000-0005-0000-0000-0000F3C90000}"/>
    <cellStyle name="Percent [2] 11 2 4" xfId="52677" xr:uid="{00000000-0005-0000-0000-0000F4C90000}"/>
    <cellStyle name="Percent [2] 11 3" xfId="5335" xr:uid="{00000000-0005-0000-0000-0000F5C90000}"/>
    <cellStyle name="Percent [2] 11 4" xfId="6055" xr:uid="{00000000-0005-0000-0000-0000F6C90000}"/>
    <cellStyle name="Percent [2] 11 5" xfId="52676" xr:uid="{00000000-0005-0000-0000-0000F7C90000}"/>
    <cellStyle name="Percent [2] 12" xfId="3293" xr:uid="{00000000-0005-0000-0000-0000F8C90000}"/>
    <cellStyle name="Percent [2] 12 2" xfId="3294" xr:uid="{00000000-0005-0000-0000-0000F9C90000}"/>
    <cellStyle name="Percent [2] 12 2 2" xfId="5338" xr:uid="{00000000-0005-0000-0000-0000FAC90000}"/>
    <cellStyle name="Percent [2] 12 2 3" xfId="6058" xr:uid="{00000000-0005-0000-0000-0000FBC90000}"/>
    <cellStyle name="Percent [2] 12 2 4" xfId="52679" xr:uid="{00000000-0005-0000-0000-0000FCC90000}"/>
    <cellStyle name="Percent [2] 12 3" xfId="3295" xr:uid="{00000000-0005-0000-0000-0000FDC90000}"/>
    <cellStyle name="Percent [2] 12 3 2" xfId="3296" xr:uid="{00000000-0005-0000-0000-0000FEC90000}"/>
    <cellStyle name="Percent [2] 12 3 2 2" xfId="5340" xr:uid="{00000000-0005-0000-0000-0000FFC90000}"/>
    <cellStyle name="Percent [2] 12 3 2 3" xfId="6060" xr:uid="{00000000-0005-0000-0000-000000CA0000}"/>
    <cellStyle name="Percent [2] 12 3 2 4" xfId="52681" xr:uid="{00000000-0005-0000-0000-000001CA0000}"/>
    <cellStyle name="Percent [2] 12 3 3" xfId="3297" xr:uid="{00000000-0005-0000-0000-000002CA0000}"/>
    <cellStyle name="Percent [2] 12 3 3 2" xfId="3298" xr:uid="{00000000-0005-0000-0000-000003CA0000}"/>
    <cellStyle name="Percent [2] 12 3 3 2 2" xfId="5342" xr:uid="{00000000-0005-0000-0000-000004CA0000}"/>
    <cellStyle name="Percent [2] 12 3 3 2 3" xfId="6062" xr:uid="{00000000-0005-0000-0000-000005CA0000}"/>
    <cellStyle name="Percent [2] 12 3 3 2 4" xfId="52683" xr:uid="{00000000-0005-0000-0000-000006CA0000}"/>
    <cellStyle name="Percent [2] 12 3 3 3" xfId="5341" xr:uid="{00000000-0005-0000-0000-000007CA0000}"/>
    <cellStyle name="Percent [2] 12 3 3 4" xfId="6061" xr:uid="{00000000-0005-0000-0000-000008CA0000}"/>
    <cellStyle name="Percent [2] 12 3 3 5" xfId="52682" xr:uid="{00000000-0005-0000-0000-000009CA0000}"/>
    <cellStyle name="Percent [2] 12 3 4" xfId="5343" xr:uid="{00000000-0005-0000-0000-00000ACA0000}"/>
    <cellStyle name="Percent [2] 12 3 4 2" xfId="6063" xr:uid="{00000000-0005-0000-0000-00000BCA0000}"/>
    <cellStyle name="Percent [2] 12 3 5" xfId="5339" xr:uid="{00000000-0005-0000-0000-00000CCA0000}"/>
    <cellStyle name="Percent [2] 12 3 6" xfId="6059" xr:uid="{00000000-0005-0000-0000-00000DCA0000}"/>
    <cellStyle name="Percent [2] 12 3 7" xfId="52680" xr:uid="{00000000-0005-0000-0000-00000ECA0000}"/>
    <cellStyle name="Percent [2] 12 4" xfId="5337" xr:uid="{00000000-0005-0000-0000-00000FCA0000}"/>
    <cellStyle name="Percent [2] 12 5" xfId="6057" xr:uid="{00000000-0005-0000-0000-000010CA0000}"/>
    <cellStyle name="Percent [2] 12 6" xfId="52678" xr:uid="{00000000-0005-0000-0000-000011CA0000}"/>
    <cellStyle name="Percent [2] 13" xfId="3299" xr:uid="{00000000-0005-0000-0000-000012CA0000}"/>
    <cellStyle name="Percent [2] 13 2" xfId="3300" xr:uid="{00000000-0005-0000-0000-000013CA0000}"/>
    <cellStyle name="Percent [2] 13 2 2" xfId="5345" xr:uid="{00000000-0005-0000-0000-000014CA0000}"/>
    <cellStyle name="Percent [2] 13 2 3" xfId="6065" xr:uid="{00000000-0005-0000-0000-000015CA0000}"/>
    <cellStyle name="Percent [2] 13 2 4" xfId="52685" xr:uid="{00000000-0005-0000-0000-000016CA0000}"/>
    <cellStyle name="Percent [2] 13 3" xfId="3301" xr:uid="{00000000-0005-0000-0000-000017CA0000}"/>
    <cellStyle name="Percent [2] 13 3 2" xfId="3302" xr:uid="{00000000-0005-0000-0000-000018CA0000}"/>
    <cellStyle name="Percent [2] 13 3 2 2" xfId="5347" xr:uid="{00000000-0005-0000-0000-000019CA0000}"/>
    <cellStyle name="Percent [2] 13 3 2 3" xfId="6067" xr:uid="{00000000-0005-0000-0000-00001ACA0000}"/>
    <cellStyle name="Percent [2] 13 3 2 4" xfId="52687" xr:uid="{00000000-0005-0000-0000-00001BCA0000}"/>
    <cellStyle name="Percent [2] 13 3 3" xfId="5346" xr:uid="{00000000-0005-0000-0000-00001CCA0000}"/>
    <cellStyle name="Percent [2] 13 3 4" xfId="6066" xr:uid="{00000000-0005-0000-0000-00001DCA0000}"/>
    <cellStyle name="Percent [2] 13 3 5" xfId="52686" xr:uid="{00000000-0005-0000-0000-00001ECA0000}"/>
    <cellStyle name="Percent [2] 13 4" xfId="5348" xr:uid="{00000000-0005-0000-0000-00001FCA0000}"/>
    <cellStyle name="Percent [2] 13 4 2" xfId="6068" xr:uid="{00000000-0005-0000-0000-000020CA0000}"/>
    <cellStyle name="Percent [2] 13 5" xfId="5344" xr:uid="{00000000-0005-0000-0000-000021CA0000}"/>
    <cellStyle name="Percent [2] 13 6" xfId="6064" xr:uid="{00000000-0005-0000-0000-000022CA0000}"/>
    <cellStyle name="Percent [2] 13 7" xfId="52684" xr:uid="{00000000-0005-0000-0000-000023CA0000}"/>
    <cellStyle name="Percent [2] 14" xfId="3303" xr:uid="{00000000-0005-0000-0000-000024CA0000}"/>
    <cellStyle name="Percent [2] 14 2" xfId="3304" xr:uid="{00000000-0005-0000-0000-000025CA0000}"/>
    <cellStyle name="Percent [2] 14 2 2" xfId="5350" xr:uid="{00000000-0005-0000-0000-000026CA0000}"/>
    <cellStyle name="Percent [2] 14 2 3" xfId="6070" xr:uid="{00000000-0005-0000-0000-000027CA0000}"/>
    <cellStyle name="Percent [2] 14 2 4" xfId="52689" xr:uid="{00000000-0005-0000-0000-000028CA0000}"/>
    <cellStyle name="Percent [2] 14 3" xfId="3305" xr:uid="{00000000-0005-0000-0000-000029CA0000}"/>
    <cellStyle name="Percent [2] 14 3 2" xfId="5352" xr:uid="{00000000-0005-0000-0000-00002ACA0000}"/>
    <cellStyle name="Percent [2] 14 3 2 2" xfId="6072" xr:uid="{00000000-0005-0000-0000-00002BCA0000}"/>
    <cellStyle name="Percent [2] 14 3 3" xfId="5351" xr:uid="{00000000-0005-0000-0000-00002CCA0000}"/>
    <cellStyle name="Percent [2] 14 3 4" xfId="6071" xr:uid="{00000000-0005-0000-0000-00002DCA0000}"/>
    <cellStyle name="Percent [2] 14 3 5" xfId="52690" xr:uid="{00000000-0005-0000-0000-00002ECA0000}"/>
    <cellStyle name="Percent [2] 14 4" xfId="3306" xr:uid="{00000000-0005-0000-0000-00002FCA0000}"/>
    <cellStyle name="Percent [2] 14 4 2" xfId="5349" xr:uid="{00000000-0005-0000-0000-000030CA0000}"/>
    <cellStyle name="Percent [2] 14 5" xfId="6069" xr:uid="{00000000-0005-0000-0000-000031CA0000}"/>
    <cellStyle name="Percent [2] 14 6" xfId="52688" xr:uid="{00000000-0005-0000-0000-000032CA0000}"/>
    <cellStyle name="Percent [2] 15" xfId="3307" xr:uid="{00000000-0005-0000-0000-000033CA0000}"/>
    <cellStyle name="Percent [2] 15 2" xfId="3308" xr:uid="{00000000-0005-0000-0000-000034CA0000}"/>
    <cellStyle name="Percent [2] 15 2 2" xfId="5353" xr:uid="{00000000-0005-0000-0000-000035CA0000}"/>
    <cellStyle name="Percent [2] 15 3" xfId="6073" xr:uid="{00000000-0005-0000-0000-000036CA0000}"/>
    <cellStyle name="Percent [2] 15 4" xfId="52691" xr:uid="{00000000-0005-0000-0000-000037CA0000}"/>
    <cellStyle name="Percent [2] 16" xfId="3309" xr:uid="{00000000-0005-0000-0000-000038CA0000}"/>
    <cellStyle name="Percent [2] 16 2" xfId="3310" xr:uid="{00000000-0005-0000-0000-000039CA0000}"/>
    <cellStyle name="Percent [2] 16 2 2" xfId="6074" xr:uid="{00000000-0005-0000-0000-00003ACA0000}"/>
    <cellStyle name="Percent [2] 16 2 3" xfId="5355" xr:uid="{00000000-0005-0000-0000-00003BCA0000}"/>
    <cellStyle name="Percent [2] 16 2 4" xfId="52693" xr:uid="{00000000-0005-0000-0000-00003CCA0000}"/>
    <cellStyle name="Percent [2] 16 3" xfId="3311" xr:uid="{00000000-0005-0000-0000-00003DCA0000}"/>
    <cellStyle name="Percent [2] 16 3 2" xfId="3312" xr:uid="{00000000-0005-0000-0000-00003ECA0000}"/>
    <cellStyle name="Percent [2] 16 3 3" xfId="3313" xr:uid="{00000000-0005-0000-0000-00003FCA0000}"/>
    <cellStyle name="Percent [2] 16 3 4" xfId="3314" xr:uid="{00000000-0005-0000-0000-000040CA0000}"/>
    <cellStyle name="Percent [2] 16 4" xfId="5354" xr:uid="{00000000-0005-0000-0000-000041CA0000}"/>
    <cellStyle name="Percent [2] 16 5" xfId="52692" xr:uid="{00000000-0005-0000-0000-000042CA0000}"/>
    <cellStyle name="Percent [2] 17" xfId="3315" xr:uid="{00000000-0005-0000-0000-000043CA0000}"/>
    <cellStyle name="Percent [2] 17 2" xfId="3316" xr:uid="{00000000-0005-0000-0000-000044CA0000}"/>
    <cellStyle name="Percent [2] 17 3" xfId="3317" xr:uid="{00000000-0005-0000-0000-000045CA0000}"/>
    <cellStyle name="Percent [2] 17 4" xfId="5323" xr:uid="{00000000-0005-0000-0000-000046CA0000}"/>
    <cellStyle name="Percent [2] 18" xfId="3318" xr:uid="{00000000-0005-0000-0000-000047CA0000}"/>
    <cellStyle name="Percent [2] 19" xfId="3319" xr:uid="{00000000-0005-0000-0000-000048CA0000}"/>
    <cellStyle name="Percent [2] 2" xfId="3320" xr:uid="{00000000-0005-0000-0000-000049CA0000}"/>
    <cellStyle name="Percent [2] 2 2" xfId="5356" xr:uid="{00000000-0005-0000-0000-00004ACA0000}"/>
    <cellStyle name="Percent [2] 2 3" xfId="6075" xr:uid="{00000000-0005-0000-0000-00004BCA0000}"/>
    <cellStyle name="Percent [2] 2 4" xfId="52694" xr:uid="{00000000-0005-0000-0000-00004CCA0000}"/>
    <cellStyle name="Percent [2] 20" xfId="3321" xr:uid="{00000000-0005-0000-0000-00004DCA0000}"/>
    <cellStyle name="Percent [2] 21" xfId="53344" xr:uid="{00000000-0005-0000-0000-00004ECA0000}"/>
    <cellStyle name="Percent [2] 3" xfId="3322" xr:uid="{00000000-0005-0000-0000-00004FCA0000}"/>
    <cellStyle name="Percent [2] 3 2" xfId="5357" xr:uid="{00000000-0005-0000-0000-000050CA0000}"/>
    <cellStyle name="Percent [2] 3 3" xfId="6076" xr:uid="{00000000-0005-0000-0000-000051CA0000}"/>
    <cellStyle name="Percent [2] 3 4" xfId="52695" xr:uid="{00000000-0005-0000-0000-000052CA0000}"/>
    <cellStyle name="Percent [2] 4" xfId="3323" xr:uid="{00000000-0005-0000-0000-000053CA0000}"/>
    <cellStyle name="Percent [2] 4 2" xfId="5358" xr:uid="{00000000-0005-0000-0000-000054CA0000}"/>
    <cellStyle name="Percent [2] 4 3" xfId="6077" xr:uid="{00000000-0005-0000-0000-000055CA0000}"/>
    <cellStyle name="Percent [2] 4 4" xfId="52696" xr:uid="{00000000-0005-0000-0000-000056CA0000}"/>
    <cellStyle name="Percent [2] 5" xfId="3324" xr:uid="{00000000-0005-0000-0000-000057CA0000}"/>
    <cellStyle name="Percent [2] 5 10" xfId="3325" xr:uid="{00000000-0005-0000-0000-000058CA0000}"/>
    <cellStyle name="Percent [2] 5 10 2" xfId="3326" xr:uid="{00000000-0005-0000-0000-000059CA0000}"/>
    <cellStyle name="Percent [2] 5 10 2 2" xfId="5361" xr:uid="{00000000-0005-0000-0000-00005ACA0000}"/>
    <cellStyle name="Percent [2] 5 10 2 3" xfId="6079" xr:uid="{00000000-0005-0000-0000-00005BCA0000}"/>
    <cellStyle name="Percent [2] 5 10 2 4" xfId="52698" xr:uid="{00000000-0005-0000-0000-00005CCA0000}"/>
    <cellStyle name="Percent [2] 5 10 3" xfId="3327" xr:uid="{00000000-0005-0000-0000-00005DCA0000}"/>
    <cellStyle name="Percent [2] 5 10 3 2" xfId="5363" xr:uid="{00000000-0005-0000-0000-00005ECA0000}"/>
    <cellStyle name="Percent [2] 5 10 3 2 2" xfId="6081" xr:uid="{00000000-0005-0000-0000-00005FCA0000}"/>
    <cellStyle name="Percent [2] 5 10 3 3" xfId="5362" xr:uid="{00000000-0005-0000-0000-000060CA0000}"/>
    <cellStyle name="Percent [2] 5 10 3 4" xfId="6080" xr:uid="{00000000-0005-0000-0000-000061CA0000}"/>
    <cellStyle name="Percent [2] 5 10 3 5" xfId="52699" xr:uid="{00000000-0005-0000-0000-000062CA0000}"/>
    <cellStyle name="Percent [2] 5 10 4" xfId="3328" xr:uid="{00000000-0005-0000-0000-000063CA0000}"/>
    <cellStyle name="Percent [2] 5 10 4 2" xfId="5360" xr:uid="{00000000-0005-0000-0000-000064CA0000}"/>
    <cellStyle name="Percent [2] 5 10 5" xfId="6078" xr:uid="{00000000-0005-0000-0000-000065CA0000}"/>
    <cellStyle name="Percent [2] 5 10 6" xfId="52697" xr:uid="{00000000-0005-0000-0000-000066CA0000}"/>
    <cellStyle name="Percent [2] 5 11" xfId="3329" xr:uid="{00000000-0005-0000-0000-000067CA0000}"/>
    <cellStyle name="Percent [2] 5 11 2" xfId="3330" xr:uid="{00000000-0005-0000-0000-000068CA0000}"/>
    <cellStyle name="Percent [2] 5 11 2 2" xfId="5364" xr:uid="{00000000-0005-0000-0000-000069CA0000}"/>
    <cellStyle name="Percent [2] 5 11 3" xfId="6082" xr:uid="{00000000-0005-0000-0000-00006ACA0000}"/>
    <cellStyle name="Percent [2] 5 11 4" xfId="52700" xr:uid="{00000000-0005-0000-0000-00006BCA0000}"/>
    <cellStyle name="Percent [2] 5 12" xfId="3331" xr:uid="{00000000-0005-0000-0000-00006CCA0000}"/>
    <cellStyle name="Percent [2] 5 12 2" xfId="3332" xr:uid="{00000000-0005-0000-0000-00006DCA0000}"/>
    <cellStyle name="Percent [2] 5 12 2 2" xfId="6083" xr:uid="{00000000-0005-0000-0000-00006ECA0000}"/>
    <cellStyle name="Percent [2] 5 12 2 3" xfId="5366" xr:uid="{00000000-0005-0000-0000-00006FCA0000}"/>
    <cellStyle name="Percent [2] 5 12 2 4" xfId="52702" xr:uid="{00000000-0005-0000-0000-000070CA0000}"/>
    <cellStyle name="Percent [2] 5 12 3" xfId="3333" xr:uid="{00000000-0005-0000-0000-000071CA0000}"/>
    <cellStyle name="Percent [2] 5 12 3 2" xfId="3334" xr:uid="{00000000-0005-0000-0000-000072CA0000}"/>
    <cellStyle name="Percent [2] 5 12 3 3" xfId="3335" xr:uid="{00000000-0005-0000-0000-000073CA0000}"/>
    <cellStyle name="Percent [2] 5 12 3 4" xfId="3336" xr:uid="{00000000-0005-0000-0000-000074CA0000}"/>
    <cellStyle name="Percent [2] 5 12 4" xfId="5365" xr:uid="{00000000-0005-0000-0000-000075CA0000}"/>
    <cellStyle name="Percent [2] 5 12 5" xfId="52701" xr:uid="{00000000-0005-0000-0000-000076CA0000}"/>
    <cellStyle name="Percent [2] 5 13" xfId="3337" xr:uid="{00000000-0005-0000-0000-000077CA0000}"/>
    <cellStyle name="Percent [2] 5 13 2" xfId="3338" xr:uid="{00000000-0005-0000-0000-000078CA0000}"/>
    <cellStyle name="Percent [2] 5 13 3" xfId="3339" xr:uid="{00000000-0005-0000-0000-000079CA0000}"/>
    <cellStyle name="Percent [2] 5 13 4" xfId="5359" xr:uid="{00000000-0005-0000-0000-00007ACA0000}"/>
    <cellStyle name="Percent [2] 5 14" xfId="3340" xr:uid="{00000000-0005-0000-0000-00007BCA0000}"/>
    <cellStyle name="Percent [2] 5 15" xfId="3341" xr:uid="{00000000-0005-0000-0000-00007CCA0000}"/>
    <cellStyle name="Percent [2] 5 16" xfId="3342" xr:uid="{00000000-0005-0000-0000-00007DCA0000}"/>
    <cellStyle name="Percent [2] 5 17" xfId="53345" xr:uid="{00000000-0005-0000-0000-00007ECA0000}"/>
    <cellStyle name="Percent [2] 5 2" xfId="3343" xr:uid="{00000000-0005-0000-0000-00007FCA0000}"/>
    <cellStyle name="Percent [2] 5 2 2" xfId="3344" xr:uid="{00000000-0005-0000-0000-000080CA0000}"/>
    <cellStyle name="Percent [2] 5 2 2 2" xfId="5368" xr:uid="{00000000-0005-0000-0000-000081CA0000}"/>
    <cellStyle name="Percent [2] 5 2 2 3" xfId="6085" xr:uid="{00000000-0005-0000-0000-000082CA0000}"/>
    <cellStyle name="Percent [2] 5 2 2 4" xfId="52704" xr:uid="{00000000-0005-0000-0000-000083CA0000}"/>
    <cellStyle name="Percent [2] 5 2 3" xfId="5367" xr:uid="{00000000-0005-0000-0000-000084CA0000}"/>
    <cellStyle name="Percent [2] 5 2 4" xfId="6084" xr:uid="{00000000-0005-0000-0000-000085CA0000}"/>
    <cellStyle name="Percent [2] 5 2 5" xfId="52703" xr:uid="{00000000-0005-0000-0000-000086CA0000}"/>
    <cellStyle name="Percent [2] 5 3" xfId="3345" xr:uid="{00000000-0005-0000-0000-000087CA0000}"/>
    <cellStyle name="Percent [2] 5 3 2" xfId="5369" xr:uid="{00000000-0005-0000-0000-000088CA0000}"/>
    <cellStyle name="Percent [2] 5 3 3" xfId="6086" xr:uid="{00000000-0005-0000-0000-000089CA0000}"/>
    <cellStyle name="Percent [2] 5 3 4" xfId="52705" xr:uid="{00000000-0005-0000-0000-00008ACA0000}"/>
    <cellStyle name="Percent [2] 5 4" xfId="3346" xr:uid="{00000000-0005-0000-0000-00008BCA0000}"/>
    <cellStyle name="Percent [2] 5 4 2" xfId="3347" xr:uid="{00000000-0005-0000-0000-00008CCA0000}"/>
    <cellStyle name="Percent [2] 5 4 2 2" xfId="5371" xr:uid="{00000000-0005-0000-0000-00008DCA0000}"/>
    <cellStyle name="Percent [2] 5 4 2 3" xfId="6088" xr:uid="{00000000-0005-0000-0000-00008ECA0000}"/>
    <cellStyle name="Percent [2] 5 4 2 4" xfId="52707" xr:uid="{00000000-0005-0000-0000-00008FCA0000}"/>
    <cellStyle name="Percent [2] 5 4 3" xfId="5370" xr:uid="{00000000-0005-0000-0000-000090CA0000}"/>
    <cellStyle name="Percent [2] 5 4 4" xfId="6087" xr:uid="{00000000-0005-0000-0000-000091CA0000}"/>
    <cellStyle name="Percent [2] 5 4 5" xfId="52706" xr:uid="{00000000-0005-0000-0000-000092CA0000}"/>
    <cellStyle name="Percent [2] 5 5" xfId="3348" xr:uid="{00000000-0005-0000-0000-000093CA0000}"/>
    <cellStyle name="Percent [2] 5 5 2" xfId="3349" xr:uid="{00000000-0005-0000-0000-000094CA0000}"/>
    <cellStyle name="Percent [2] 5 5 2 2" xfId="5373" xr:uid="{00000000-0005-0000-0000-000095CA0000}"/>
    <cellStyle name="Percent [2] 5 5 2 3" xfId="6090" xr:uid="{00000000-0005-0000-0000-000096CA0000}"/>
    <cellStyle name="Percent [2] 5 5 2 4" xfId="52709" xr:uid="{00000000-0005-0000-0000-000097CA0000}"/>
    <cellStyle name="Percent [2] 5 5 3" xfId="3350" xr:uid="{00000000-0005-0000-0000-000098CA0000}"/>
    <cellStyle name="Percent [2] 5 5 3 2" xfId="5374" xr:uid="{00000000-0005-0000-0000-000099CA0000}"/>
    <cellStyle name="Percent [2] 5 5 3 3" xfId="6091" xr:uid="{00000000-0005-0000-0000-00009ACA0000}"/>
    <cellStyle name="Percent [2] 5 5 3 4" xfId="52710" xr:uid="{00000000-0005-0000-0000-00009BCA0000}"/>
    <cellStyle name="Percent [2] 5 5 4" xfId="3351" xr:uid="{00000000-0005-0000-0000-00009CCA0000}"/>
    <cellStyle name="Percent [2] 5 5 4 2" xfId="3352" xr:uid="{00000000-0005-0000-0000-00009DCA0000}"/>
    <cellStyle name="Percent [2] 5 5 4 2 2" xfId="5376" xr:uid="{00000000-0005-0000-0000-00009ECA0000}"/>
    <cellStyle name="Percent [2] 5 5 4 2 3" xfId="6093" xr:uid="{00000000-0005-0000-0000-00009FCA0000}"/>
    <cellStyle name="Percent [2] 5 5 4 2 4" xfId="52712" xr:uid="{00000000-0005-0000-0000-0000A0CA0000}"/>
    <cellStyle name="Percent [2] 5 5 4 3" xfId="5375" xr:uid="{00000000-0005-0000-0000-0000A1CA0000}"/>
    <cellStyle name="Percent [2] 5 5 4 4" xfId="6092" xr:uid="{00000000-0005-0000-0000-0000A2CA0000}"/>
    <cellStyle name="Percent [2] 5 5 4 5" xfId="52711" xr:uid="{00000000-0005-0000-0000-0000A3CA0000}"/>
    <cellStyle name="Percent [2] 5 5 5" xfId="3353" xr:uid="{00000000-0005-0000-0000-0000A4CA0000}"/>
    <cellStyle name="Percent [2] 5 5 5 2" xfId="3354" xr:uid="{00000000-0005-0000-0000-0000A5CA0000}"/>
    <cellStyle name="Percent [2] 5 5 5 2 2" xfId="5378" xr:uid="{00000000-0005-0000-0000-0000A6CA0000}"/>
    <cellStyle name="Percent [2] 5 5 5 2 3" xfId="6095" xr:uid="{00000000-0005-0000-0000-0000A7CA0000}"/>
    <cellStyle name="Percent [2] 5 5 5 2 4" xfId="52714" xr:uid="{00000000-0005-0000-0000-0000A8CA0000}"/>
    <cellStyle name="Percent [2] 5 5 5 3" xfId="3355" xr:uid="{00000000-0005-0000-0000-0000A9CA0000}"/>
    <cellStyle name="Percent [2] 5 5 5 3 2" xfId="3356" xr:uid="{00000000-0005-0000-0000-0000AACA0000}"/>
    <cellStyle name="Percent [2] 5 5 5 3 2 2" xfId="5380" xr:uid="{00000000-0005-0000-0000-0000ABCA0000}"/>
    <cellStyle name="Percent [2] 5 5 5 3 2 3" xfId="6097" xr:uid="{00000000-0005-0000-0000-0000ACCA0000}"/>
    <cellStyle name="Percent [2] 5 5 5 3 2 4" xfId="52716" xr:uid="{00000000-0005-0000-0000-0000ADCA0000}"/>
    <cellStyle name="Percent [2] 5 5 5 3 3" xfId="3357" xr:uid="{00000000-0005-0000-0000-0000AECA0000}"/>
    <cellStyle name="Percent [2] 5 5 5 3 3 2" xfId="3358" xr:uid="{00000000-0005-0000-0000-0000AFCA0000}"/>
    <cellStyle name="Percent [2] 5 5 5 3 3 2 2" xfId="5382" xr:uid="{00000000-0005-0000-0000-0000B0CA0000}"/>
    <cellStyle name="Percent [2] 5 5 5 3 3 2 3" xfId="6099" xr:uid="{00000000-0005-0000-0000-0000B1CA0000}"/>
    <cellStyle name="Percent [2] 5 5 5 3 3 2 4" xfId="52718" xr:uid="{00000000-0005-0000-0000-0000B2CA0000}"/>
    <cellStyle name="Percent [2] 5 5 5 3 3 3" xfId="5381" xr:uid="{00000000-0005-0000-0000-0000B3CA0000}"/>
    <cellStyle name="Percent [2] 5 5 5 3 3 4" xfId="6098" xr:uid="{00000000-0005-0000-0000-0000B4CA0000}"/>
    <cellStyle name="Percent [2] 5 5 5 3 3 5" xfId="52717" xr:uid="{00000000-0005-0000-0000-0000B5CA0000}"/>
    <cellStyle name="Percent [2] 5 5 5 3 4" xfId="5383" xr:uid="{00000000-0005-0000-0000-0000B6CA0000}"/>
    <cellStyle name="Percent [2] 5 5 5 3 4 2" xfId="6100" xr:uid="{00000000-0005-0000-0000-0000B7CA0000}"/>
    <cellStyle name="Percent [2] 5 5 5 3 5" xfId="5379" xr:uid="{00000000-0005-0000-0000-0000B8CA0000}"/>
    <cellStyle name="Percent [2] 5 5 5 3 6" xfId="6096" xr:uid="{00000000-0005-0000-0000-0000B9CA0000}"/>
    <cellStyle name="Percent [2] 5 5 5 3 7" xfId="52715" xr:uid="{00000000-0005-0000-0000-0000BACA0000}"/>
    <cellStyle name="Percent [2] 5 5 5 4" xfId="5377" xr:uid="{00000000-0005-0000-0000-0000BBCA0000}"/>
    <cellStyle name="Percent [2] 5 5 5 5" xfId="6094" xr:uid="{00000000-0005-0000-0000-0000BCCA0000}"/>
    <cellStyle name="Percent [2] 5 5 5 6" xfId="52713" xr:uid="{00000000-0005-0000-0000-0000BDCA0000}"/>
    <cellStyle name="Percent [2] 5 5 6" xfId="5372" xr:uid="{00000000-0005-0000-0000-0000BECA0000}"/>
    <cellStyle name="Percent [2] 5 5 7" xfId="6089" xr:uid="{00000000-0005-0000-0000-0000BFCA0000}"/>
    <cellStyle name="Percent [2] 5 5 8" xfId="52708" xr:uid="{00000000-0005-0000-0000-0000C0CA0000}"/>
    <cellStyle name="Percent [2] 5 6" xfId="3359" xr:uid="{00000000-0005-0000-0000-0000C1CA0000}"/>
    <cellStyle name="Percent [2] 5 6 2" xfId="5384" xr:uid="{00000000-0005-0000-0000-0000C2CA0000}"/>
    <cellStyle name="Percent [2] 5 6 3" xfId="6101" xr:uid="{00000000-0005-0000-0000-0000C3CA0000}"/>
    <cellStyle name="Percent [2] 5 6 4" xfId="52719" xr:uid="{00000000-0005-0000-0000-0000C4CA0000}"/>
    <cellStyle name="Percent [2] 5 7" xfId="3360" xr:uid="{00000000-0005-0000-0000-0000C5CA0000}"/>
    <cellStyle name="Percent [2] 5 7 2" xfId="3361" xr:uid="{00000000-0005-0000-0000-0000C6CA0000}"/>
    <cellStyle name="Percent [2] 5 7 2 2" xfId="5386" xr:uid="{00000000-0005-0000-0000-0000C7CA0000}"/>
    <cellStyle name="Percent [2] 5 7 2 3" xfId="6103" xr:uid="{00000000-0005-0000-0000-0000C8CA0000}"/>
    <cellStyle name="Percent [2] 5 7 2 4" xfId="52721" xr:uid="{00000000-0005-0000-0000-0000C9CA0000}"/>
    <cellStyle name="Percent [2] 5 7 3" xfId="5385" xr:uid="{00000000-0005-0000-0000-0000CACA0000}"/>
    <cellStyle name="Percent [2] 5 7 4" xfId="6102" xr:uid="{00000000-0005-0000-0000-0000CBCA0000}"/>
    <cellStyle name="Percent [2] 5 7 5" xfId="52720" xr:uid="{00000000-0005-0000-0000-0000CCCA0000}"/>
    <cellStyle name="Percent [2] 5 8" xfId="3362" xr:uid="{00000000-0005-0000-0000-0000CDCA0000}"/>
    <cellStyle name="Percent [2] 5 8 2" xfId="3363" xr:uid="{00000000-0005-0000-0000-0000CECA0000}"/>
    <cellStyle name="Percent [2] 5 8 2 2" xfId="5388" xr:uid="{00000000-0005-0000-0000-0000CFCA0000}"/>
    <cellStyle name="Percent [2] 5 8 2 3" xfId="6105" xr:uid="{00000000-0005-0000-0000-0000D0CA0000}"/>
    <cellStyle name="Percent [2] 5 8 2 4" xfId="52723" xr:uid="{00000000-0005-0000-0000-0000D1CA0000}"/>
    <cellStyle name="Percent [2] 5 8 3" xfId="3364" xr:uid="{00000000-0005-0000-0000-0000D2CA0000}"/>
    <cellStyle name="Percent [2] 5 8 3 2" xfId="3365" xr:uid="{00000000-0005-0000-0000-0000D3CA0000}"/>
    <cellStyle name="Percent [2] 5 8 3 2 2" xfId="5390" xr:uid="{00000000-0005-0000-0000-0000D4CA0000}"/>
    <cellStyle name="Percent [2] 5 8 3 2 3" xfId="6107" xr:uid="{00000000-0005-0000-0000-0000D5CA0000}"/>
    <cellStyle name="Percent [2] 5 8 3 2 4" xfId="52725" xr:uid="{00000000-0005-0000-0000-0000D6CA0000}"/>
    <cellStyle name="Percent [2] 5 8 3 3" xfId="3366" xr:uid="{00000000-0005-0000-0000-0000D7CA0000}"/>
    <cellStyle name="Percent [2] 5 8 3 3 2" xfId="3367" xr:uid="{00000000-0005-0000-0000-0000D8CA0000}"/>
    <cellStyle name="Percent [2] 5 8 3 3 2 2" xfId="5392" xr:uid="{00000000-0005-0000-0000-0000D9CA0000}"/>
    <cellStyle name="Percent [2] 5 8 3 3 2 3" xfId="6109" xr:uid="{00000000-0005-0000-0000-0000DACA0000}"/>
    <cellStyle name="Percent [2] 5 8 3 3 2 4" xfId="52727" xr:uid="{00000000-0005-0000-0000-0000DBCA0000}"/>
    <cellStyle name="Percent [2] 5 8 3 3 3" xfId="5391" xr:uid="{00000000-0005-0000-0000-0000DCCA0000}"/>
    <cellStyle name="Percent [2] 5 8 3 3 4" xfId="6108" xr:uid="{00000000-0005-0000-0000-0000DDCA0000}"/>
    <cellStyle name="Percent [2] 5 8 3 3 5" xfId="52726" xr:uid="{00000000-0005-0000-0000-0000DECA0000}"/>
    <cellStyle name="Percent [2] 5 8 3 4" xfId="5393" xr:uid="{00000000-0005-0000-0000-0000DFCA0000}"/>
    <cellStyle name="Percent [2] 5 8 3 4 2" xfId="6110" xr:uid="{00000000-0005-0000-0000-0000E0CA0000}"/>
    <cellStyle name="Percent [2] 5 8 3 5" xfId="5389" xr:uid="{00000000-0005-0000-0000-0000E1CA0000}"/>
    <cellStyle name="Percent [2] 5 8 3 6" xfId="6106" xr:uid="{00000000-0005-0000-0000-0000E2CA0000}"/>
    <cellStyle name="Percent [2] 5 8 3 7" xfId="52724" xr:uid="{00000000-0005-0000-0000-0000E3CA0000}"/>
    <cellStyle name="Percent [2] 5 8 4" xfId="5387" xr:uid="{00000000-0005-0000-0000-0000E4CA0000}"/>
    <cellStyle name="Percent [2] 5 8 5" xfId="6104" xr:uid="{00000000-0005-0000-0000-0000E5CA0000}"/>
    <cellStyle name="Percent [2] 5 8 6" xfId="52722" xr:uid="{00000000-0005-0000-0000-0000E6CA0000}"/>
    <cellStyle name="Percent [2] 5 9" xfId="3368" xr:uid="{00000000-0005-0000-0000-0000E7CA0000}"/>
    <cellStyle name="Percent [2] 5 9 2" xfId="3369" xr:uid="{00000000-0005-0000-0000-0000E8CA0000}"/>
    <cellStyle name="Percent [2] 5 9 2 2" xfId="5395" xr:uid="{00000000-0005-0000-0000-0000E9CA0000}"/>
    <cellStyle name="Percent [2] 5 9 2 3" xfId="6112" xr:uid="{00000000-0005-0000-0000-0000EACA0000}"/>
    <cellStyle name="Percent [2] 5 9 2 4" xfId="52729" xr:uid="{00000000-0005-0000-0000-0000EBCA0000}"/>
    <cellStyle name="Percent [2] 5 9 3" xfId="3370" xr:uid="{00000000-0005-0000-0000-0000ECCA0000}"/>
    <cellStyle name="Percent [2] 5 9 3 2" xfId="3371" xr:uid="{00000000-0005-0000-0000-0000EDCA0000}"/>
    <cellStyle name="Percent [2] 5 9 3 2 2" xfId="5397" xr:uid="{00000000-0005-0000-0000-0000EECA0000}"/>
    <cellStyle name="Percent [2] 5 9 3 2 3" xfId="6114" xr:uid="{00000000-0005-0000-0000-0000EFCA0000}"/>
    <cellStyle name="Percent [2] 5 9 3 2 4" xfId="52731" xr:uid="{00000000-0005-0000-0000-0000F0CA0000}"/>
    <cellStyle name="Percent [2] 5 9 3 3" xfId="5396" xr:uid="{00000000-0005-0000-0000-0000F1CA0000}"/>
    <cellStyle name="Percent [2] 5 9 3 4" xfId="6113" xr:uid="{00000000-0005-0000-0000-0000F2CA0000}"/>
    <cellStyle name="Percent [2] 5 9 3 5" xfId="52730" xr:uid="{00000000-0005-0000-0000-0000F3CA0000}"/>
    <cellStyle name="Percent [2] 5 9 4" xfId="5398" xr:uid="{00000000-0005-0000-0000-0000F4CA0000}"/>
    <cellStyle name="Percent [2] 5 9 4 2" xfId="6115" xr:uid="{00000000-0005-0000-0000-0000F5CA0000}"/>
    <cellStyle name="Percent [2] 5 9 5" xfId="5394" xr:uid="{00000000-0005-0000-0000-0000F6CA0000}"/>
    <cellStyle name="Percent [2] 5 9 6" xfId="6111" xr:uid="{00000000-0005-0000-0000-0000F7CA0000}"/>
    <cellStyle name="Percent [2] 5 9 7" xfId="52728" xr:uid="{00000000-0005-0000-0000-0000F8CA0000}"/>
    <cellStyle name="Percent [2] 6" xfId="3372" xr:uid="{00000000-0005-0000-0000-0000F9CA0000}"/>
    <cellStyle name="Percent [2] 6 2" xfId="5399" xr:uid="{00000000-0005-0000-0000-0000FACA0000}"/>
    <cellStyle name="Percent [2] 6 3" xfId="6116" xr:uid="{00000000-0005-0000-0000-0000FBCA0000}"/>
    <cellStyle name="Percent [2] 6 4" xfId="52732" xr:uid="{00000000-0005-0000-0000-0000FCCA0000}"/>
    <cellStyle name="Percent [2] 7" xfId="3373" xr:uid="{00000000-0005-0000-0000-0000FDCA0000}"/>
    <cellStyle name="Percent [2] 7 2" xfId="3374" xr:uid="{00000000-0005-0000-0000-0000FECA0000}"/>
    <cellStyle name="Percent [2] 7 2 2" xfId="5401" xr:uid="{00000000-0005-0000-0000-0000FFCA0000}"/>
    <cellStyle name="Percent [2] 7 2 3" xfId="6118" xr:uid="{00000000-0005-0000-0000-000000CB0000}"/>
    <cellStyle name="Percent [2] 7 2 4" xfId="52734" xr:uid="{00000000-0005-0000-0000-000001CB0000}"/>
    <cellStyle name="Percent [2] 7 3" xfId="5400" xr:uid="{00000000-0005-0000-0000-000002CB0000}"/>
    <cellStyle name="Percent [2] 7 4" xfId="6117" xr:uid="{00000000-0005-0000-0000-000003CB0000}"/>
    <cellStyle name="Percent [2] 7 5" xfId="52733" xr:uid="{00000000-0005-0000-0000-000004CB0000}"/>
    <cellStyle name="Percent [2] 8" xfId="3375" xr:uid="{00000000-0005-0000-0000-000005CB0000}"/>
    <cellStyle name="Percent [2] 8 2" xfId="3376" xr:uid="{00000000-0005-0000-0000-000006CB0000}"/>
    <cellStyle name="Percent [2] 8 2 2" xfId="5403" xr:uid="{00000000-0005-0000-0000-000007CB0000}"/>
    <cellStyle name="Percent [2] 8 2 3" xfId="6120" xr:uid="{00000000-0005-0000-0000-000008CB0000}"/>
    <cellStyle name="Percent [2] 8 2 4" xfId="52736" xr:uid="{00000000-0005-0000-0000-000009CB0000}"/>
    <cellStyle name="Percent [2] 8 3" xfId="5402" xr:uid="{00000000-0005-0000-0000-00000ACB0000}"/>
    <cellStyle name="Percent [2] 8 4" xfId="6119" xr:uid="{00000000-0005-0000-0000-00000BCB0000}"/>
    <cellStyle name="Percent [2] 8 5" xfId="52735" xr:uid="{00000000-0005-0000-0000-00000CCB0000}"/>
    <cellStyle name="Percent [2] 9" xfId="3377" xr:uid="{00000000-0005-0000-0000-00000DCB0000}"/>
    <cellStyle name="Percent [2] 9 2" xfId="3378" xr:uid="{00000000-0005-0000-0000-00000ECB0000}"/>
    <cellStyle name="Percent [2] 9 2 2" xfId="5405" xr:uid="{00000000-0005-0000-0000-00000FCB0000}"/>
    <cellStyle name="Percent [2] 9 2 3" xfId="6122" xr:uid="{00000000-0005-0000-0000-000010CB0000}"/>
    <cellStyle name="Percent [2] 9 2 4" xfId="52738" xr:uid="{00000000-0005-0000-0000-000011CB0000}"/>
    <cellStyle name="Percent [2] 9 3" xfId="5404" xr:uid="{00000000-0005-0000-0000-000012CB0000}"/>
    <cellStyle name="Percent [2] 9 4" xfId="6121" xr:uid="{00000000-0005-0000-0000-000013CB0000}"/>
    <cellStyle name="Percent [2] 9 5" xfId="52737" xr:uid="{00000000-0005-0000-0000-000014CB0000}"/>
    <cellStyle name="Title" xfId="149" builtinId="15" customBuiltin="1"/>
    <cellStyle name="Title 10" xfId="3380" xr:uid="{00000000-0005-0000-0000-000016CB0000}"/>
    <cellStyle name="Title 10 2" xfId="5407" xr:uid="{00000000-0005-0000-0000-000017CB0000}"/>
    <cellStyle name="Title 10 2 2" xfId="22629" xr:uid="{00000000-0005-0000-0000-000018CB0000}"/>
    <cellStyle name="Title 10 3" xfId="22628" xr:uid="{00000000-0005-0000-0000-000019CB0000}"/>
    <cellStyle name="Title 11" xfId="3381" xr:uid="{00000000-0005-0000-0000-00001ACB0000}"/>
    <cellStyle name="Title 11 2" xfId="5408" xr:uid="{00000000-0005-0000-0000-00001BCB0000}"/>
    <cellStyle name="Title 11 2 2" xfId="22631" xr:uid="{00000000-0005-0000-0000-00001CCB0000}"/>
    <cellStyle name="Title 11 3" xfId="22630" xr:uid="{00000000-0005-0000-0000-00001DCB0000}"/>
    <cellStyle name="Title 12" xfId="3382" xr:uid="{00000000-0005-0000-0000-00001ECB0000}"/>
    <cellStyle name="Title 12 2" xfId="5409" xr:uid="{00000000-0005-0000-0000-00001FCB0000}"/>
    <cellStyle name="Title 12 2 2" xfId="22634" xr:uid="{00000000-0005-0000-0000-000020CB0000}"/>
    <cellStyle name="Title 12 2 2 2" xfId="22635" xr:uid="{00000000-0005-0000-0000-000021CB0000}"/>
    <cellStyle name="Title 12 2 3" xfId="22636" xr:uid="{00000000-0005-0000-0000-000022CB0000}"/>
    <cellStyle name="Title 12 2 4" xfId="22633" xr:uid="{00000000-0005-0000-0000-000023CB0000}"/>
    <cellStyle name="Title 12 3" xfId="22637" xr:uid="{00000000-0005-0000-0000-000024CB0000}"/>
    <cellStyle name="Title 12 4" xfId="22632" xr:uid="{00000000-0005-0000-0000-000025CB0000}"/>
    <cellStyle name="Title 13" xfId="3383" xr:uid="{00000000-0005-0000-0000-000026CB0000}"/>
    <cellStyle name="Title 13 2" xfId="5410" xr:uid="{00000000-0005-0000-0000-000027CB0000}"/>
    <cellStyle name="Title 13 3" xfId="22638" xr:uid="{00000000-0005-0000-0000-000028CB0000}"/>
    <cellStyle name="Title 14" xfId="3384" xr:uid="{00000000-0005-0000-0000-000029CB0000}"/>
    <cellStyle name="Title 14 2" xfId="22639" xr:uid="{00000000-0005-0000-0000-00002ACB0000}"/>
    <cellStyle name="Title 14 3" xfId="5411" xr:uid="{00000000-0005-0000-0000-00002BCB0000}"/>
    <cellStyle name="Title 15" xfId="3385" xr:uid="{00000000-0005-0000-0000-00002CCB0000}"/>
    <cellStyle name="Title 15 2" xfId="22668" xr:uid="{00000000-0005-0000-0000-00002DCB0000}"/>
    <cellStyle name="Title 15 3" xfId="5412" xr:uid="{00000000-0005-0000-0000-00002ECB0000}"/>
    <cellStyle name="Title 16" xfId="3386" xr:uid="{00000000-0005-0000-0000-00002FCB0000}"/>
    <cellStyle name="Title 16 2" xfId="22627" xr:uid="{00000000-0005-0000-0000-000030CB0000}"/>
    <cellStyle name="Title 16 3" xfId="5406" xr:uid="{00000000-0005-0000-0000-000031CB0000}"/>
    <cellStyle name="Title 17" xfId="3387" xr:uid="{00000000-0005-0000-0000-000032CB0000}"/>
    <cellStyle name="Title 18" xfId="3388" xr:uid="{00000000-0005-0000-0000-000033CB0000}"/>
    <cellStyle name="Title 19" xfId="3379" xr:uid="{00000000-0005-0000-0000-000034CB0000}"/>
    <cellStyle name="Title 2" xfId="139" xr:uid="{00000000-0005-0000-0000-000035CB0000}"/>
    <cellStyle name="Title 2 10" xfId="5413" xr:uid="{00000000-0005-0000-0000-000036CB0000}"/>
    <cellStyle name="Title 2 11" xfId="3389" xr:uid="{00000000-0005-0000-0000-000037CB0000}"/>
    <cellStyle name="Title 2 2" xfId="3390" xr:uid="{00000000-0005-0000-0000-000038CB0000}"/>
    <cellStyle name="Title 2 2 2" xfId="5414" xr:uid="{00000000-0005-0000-0000-000039CB0000}"/>
    <cellStyle name="Title 2 3" xfId="3391" xr:uid="{00000000-0005-0000-0000-00003ACB0000}"/>
    <cellStyle name="Title 2 3 2" xfId="5415" xr:uid="{00000000-0005-0000-0000-00003BCB0000}"/>
    <cellStyle name="Title 2 4" xfId="3392" xr:uid="{00000000-0005-0000-0000-00003CCB0000}"/>
    <cellStyle name="Title 2 4 2" xfId="5416" xr:uid="{00000000-0005-0000-0000-00003DCB0000}"/>
    <cellStyle name="Title 2 5" xfId="3393" xr:uid="{00000000-0005-0000-0000-00003ECB0000}"/>
    <cellStyle name="Title 2 5 2" xfId="5417" xr:uid="{00000000-0005-0000-0000-00003FCB0000}"/>
    <cellStyle name="Title 2 6" xfId="3394" xr:uid="{00000000-0005-0000-0000-000040CB0000}"/>
    <cellStyle name="Title 2 6 2" xfId="5418" xr:uid="{00000000-0005-0000-0000-000041CB0000}"/>
    <cellStyle name="Title 2 7" xfId="5419" xr:uid="{00000000-0005-0000-0000-000042CB0000}"/>
    <cellStyle name="Title 2 7 2" xfId="6123" xr:uid="{00000000-0005-0000-0000-000043CB0000}"/>
    <cellStyle name="Title 2 8" xfId="5420" xr:uid="{00000000-0005-0000-0000-000044CB0000}"/>
    <cellStyle name="Title 2 8 2" xfId="6124" xr:uid="{00000000-0005-0000-0000-000045CB0000}"/>
    <cellStyle name="Title 2 9" xfId="5421" xr:uid="{00000000-0005-0000-0000-000046CB0000}"/>
    <cellStyle name="Title 2_BallGrid" xfId="3395" xr:uid="{00000000-0005-0000-0000-000047CB0000}"/>
    <cellStyle name="Title 3" xfId="140" xr:uid="{00000000-0005-0000-0000-000048CB0000}"/>
    <cellStyle name="Title 3 2" xfId="3396" xr:uid="{00000000-0005-0000-0000-000049CB0000}"/>
    <cellStyle name="Title 3 2 2" xfId="5423" xr:uid="{00000000-0005-0000-0000-00004ACB0000}"/>
    <cellStyle name="Title 3 3" xfId="3397" xr:uid="{00000000-0005-0000-0000-00004BCB0000}"/>
    <cellStyle name="Title 3 3 2" xfId="5424" xr:uid="{00000000-0005-0000-0000-00004CCB0000}"/>
    <cellStyle name="Title 3 4" xfId="5425" xr:uid="{00000000-0005-0000-0000-00004DCB0000}"/>
    <cellStyle name="Title 3 4 2" xfId="6125" xr:uid="{00000000-0005-0000-0000-00004ECB0000}"/>
    <cellStyle name="Title 3 5" xfId="5422" xr:uid="{00000000-0005-0000-0000-00004FCB0000}"/>
    <cellStyle name="Title 4" xfId="141" xr:uid="{00000000-0005-0000-0000-000050CB0000}"/>
    <cellStyle name="Title 4 10" xfId="3398" xr:uid="{00000000-0005-0000-0000-000051CB0000}"/>
    <cellStyle name="Title 4 2" xfId="3399" xr:uid="{00000000-0005-0000-0000-000052CB0000}"/>
    <cellStyle name="Title 4 2 2" xfId="5427" xr:uid="{00000000-0005-0000-0000-000053CB0000}"/>
    <cellStyle name="Title 4 2 3" xfId="23025" xr:uid="{00000000-0005-0000-0000-000054CB0000}"/>
    <cellStyle name="Title 4 3" xfId="3400" xr:uid="{00000000-0005-0000-0000-000055CB0000}"/>
    <cellStyle name="Title 4 3 2" xfId="5428" xr:uid="{00000000-0005-0000-0000-000056CB0000}"/>
    <cellStyle name="Title 4 3 3" xfId="22640" xr:uid="{00000000-0005-0000-0000-000057CB0000}"/>
    <cellStyle name="Title 4 4" xfId="3401" xr:uid="{00000000-0005-0000-0000-000058CB0000}"/>
    <cellStyle name="Title 4 4 2" xfId="5429" xr:uid="{00000000-0005-0000-0000-000059CB0000}"/>
    <cellStyle name="Title 4 5" xfId="3402" xr:uid="{00000000-0005-0000-0000-00005ACB0000}"/>
    <cellStyle name="Title 4 5 2" xfId="5430" xr:uid="{00000000-0005-0000-0000-00005BCB0000}"/>
    <cellStyle name="Title 4 6" xfId="5431" xr:uid="{00000000-0005-0000-0000-00005CCB0000}"/>
    <cellStyle name="Title 4 6 2" xfId="6126" xr:uid="{00000000-0005-0000-0000-00005DCB0000}"/>
    <cellStyle name="Title 4 7" xfId="5432" xr:uid="{00000000-0005-0000-0000-00005ECB0000}"/>
    <cellStyle name="Title 4 7 2" xfId="6127" xr:uid="{00000000-0005-0000-0000-00005FCB0000}"/>
    <cellStyle name="Title 4 8" xfId="5433" xr:uid="{00000000-0005-0000-0000-000060CB0000}"/>
    <cellStyle name="Title 4 9" xfId="5426" xr:uid="{00000000-0005-0000-0000-000061CB0000}"/>
    <cellStyle name="Title 5" xfId="3403" xr:uid="{00000000-0005-0000-0000-000062CB0000}"/>
    <cellStyle name="Title 5 2" xfId="5435" xr:uid="{00000000-0005-0000-0000-000063CB0000}"/>
    <cellStyle name="Title 5 3" xfId="5436" xr:uid="{00000000-0005-0000-0000-000064CB0000}"/>
    <cellStyle name="Title 5 4" xfId="5434" xr:uid="{00000000-0005-0000-0000-000065CB0000}"/>
    <cellStyle name="Title 5 5" xfId="22006" xr:uid="{00000000-0005-0000-0000-000066CB0000}"/>
    <cellStyle name="Title 6" xfId="3404" xr:uid="{00000000-0005-0000-0000-000067CB0000}"/>
    <cellStyle name="Title 6 2" xfId="3405" xr:uid="{00000000-0005-0000-0000-000068CB0000}"/>
    <cellStyle name="Title 6 2 2" xfId="5438" xr:uid="{00000000-0005-0000-0000-000069CB0000}"/>
    <cellStyle name="Title 6 3" xfId="5437" xr:uid="{00000000-0005-0000-0000-00006ACB0000}"/>
    <cellStyle name="Title 7" xfId="3406" xr:uid="{00000000-0005-0000-0000-00006BCB0000}"/>
    <cellStyle name="Title 7 2" xfId="5439" xr:uid="{00000000-0005-0000-0000-00006CCB0000}"/>
    <cellStyle name="Title 7 2 2" xfId="22642" xr:uid="{00000000-0005-0000-0000-00006DCB0000}"/>
    <cellStyle name="Title 7 3" xfId="23026" xr:uid="{00000000-0005-0000-0000-00006ECB0000}"/>
    <cellStyle name="Title 7 4" xfId="22641" xr:uid="{00000000-0005-0000-0000-00006FCB0000}"/>
    <cellStyle name="Title 7 5" xfId="22008" xr:uid="{00000000-0005-0000-0000-000070CB0000}"/>
    <cellStyle name="Title 8" xfId="3407" xr:uid="{00000000-0005-0000-0000-000071CB0000}"/>
    <cellStyle name="Title 8 2" xfId="3408" xr:uid="{00000000-0005-0000-0000-000072CB0000}"/>
    <cellStyle name="Title 8 2 2" xfId="5441" xr:uid="{00000000-0005-0000-0000-000073CB0000}"/>
    <cellStyle name="Title 8 2 2 2" xfId="22645" xr:uid="{00000000-0005-0000-0000-000074CB0000}"/>
    <cellStyle name="Title 8 2 3" xfId="22644" xr:uid="{00000000-0005-0000-0000-000075CB0000}"/>
    <cellStyle name="Title 8 3" xfId="3409" xr:uid="{00000000-0005-0000-0000-000076CB0000}"/>
    <cellStyle name="Title 8 3 2" xfId="5442" xr:uid="{00000000-0005-0000-0000-000077CB0000}"/>
    <cellStyle name="Title 8 4" xfId="5440" xr:uid="{00000000-0005-0000-0000-000078CB0000}"/>
    <cellStyle name="Title 8 5" xfId="22643" xr:uid="{00000000-0005-0000-0000-000079CB0000}"/>
    <cellStyle name="Title 9" xfId="3410" xr:uid="{00000000-0005-0000-0000-00007ACB0000}"/>
    <cellStyle name="Title 9 2" xfId="3411" xr:uid="{00000000-0005-0000-0000-00007BCB0000}"/>
    <cellStyle name="Title 9 2 2" xfId="5444" xr:uid="{00000000-0005-0000-0000-00007CCB0000}"/>
    <cellStyle name="Title 9 2 3" xfId="22647" xr:uid="{00000000-0005-0000-0000-00007DCB0000}"/>
    <cellStyle name="Title 9 3" xfId="5443" xr:uid="{00000000-0005-0000-0000-00007ECB0000}"/>
    <cellStyle name="Title 9 3 2" xfId="22792" xr:uid="{00000000-0005-0000-0000-00007FCB0000}"/>
    <cellStyle name="Title 9 3 2 2" xfId="53447" xr:uid="{00000000-0005-0000-0000-000080CB0000}"/>
    <cellStyle name="Title 9 3 3" xfId="53346" xr:uid="{00000000-0005-0000-0000-000081CB0000}"/>
    <cellStyle name="Title 9 4" xfId="22646" xr:uid="{00000000-0005-0000-0000-000082CB0000}"/>
    <cellStyle name="Total" xfId="162" builtinId="25" customBuiltin="1"/>
    <cellStyle name="Total 10" xfId="22649" xr:uid="{00000000-0005-0000-0000-000084CB0000}"/>
    <cellStyle name="Total 10 2" xfId="47565" xr:uid="{00000000-0005-0000-0000-000085CB0000}"/>
    <cellStyle name="Total 10 2 2" xfId="53448" xr:uid="{00000000-0005-0000-0000-000086CB0000}"/>
    <cellStyle name="Total 10 3" xfId="51414" xr:uid="{00000000-0005-0000-0000-000087CB0000}"/>
    <cellStyle name="Total 11" xfId="22650" xr:uid="{00000000-0005-0000-0000-000088CB0000}"/>
    <cellStyle name="Total 11 2" xfId="47566" xr:uid="{00000000-0005-0000-0000-000089CB0000}"/>
    <cellStyle name="Total 11 2 2" xfId="53449" xr:uid="{00000000-0005-0000-0000-00008ACB0000}"/>
    <cellStyle name="Total 11 3" xfId="51415" xr:uid="{00000000-0005-0000-0000-00008BCB0000}"/>
    <cellStyle name="Total 12" xfId="22651" xr:uid="{00000000-0005-0000-0000-00008CCB0000}"/>
    <cellStyle name="Total 12 2" xfId="22652" xr:uid="{00000000-0005-0000-0000-00008DCB0000}"/>
    <cellStyle name="Total 12 2 2" xfId="47568" xr:uid="{00000000-0005-0000-0000-00008ECB0000}"/>
    <cellStyle name="Total 12 2 2 2" xfId="53450" xr:uid="{00000000-0005-0000-0000-00008FCB0000}"/>
    <cellStyle name="Total 12 2 3" xfId="51417" xr:uid="{00000000-0005-0000-0000-000090CB0000}"/>
    <cellStyle name="Total 12 3" xfId="47567" xr:uid="{00000000-0005-0000-0000-000091CB0000}"/>
    <cellStyle name="Total 12 3 2" xfId="53451" xr:uid="{00000000-0005-0000-0000-000092CB0000}"/>
    <cellStyle name="Total 12 4" xfId="51416" xr:uid="{00000000-0005-0000-0000-000093CB0000}"/>
    <cellStyle name="Total 13" xfId="22653" xr:uid="{00000000-0005-0000-0000-000094CB0000}"/>
    <cellStyle name="Total 13 2" xfId="47569" xr:uid="{00000000-0005-0000-0000-000095CB0000}"/>
    <cellStyle name="Total 13 2 2" xfId="53452" xr:uid="{00000000-0005-0000-0000-000096CB0000}"/>
    <cellStyle name="Total 13 3" xfId="51418" xr:uid="{00000000-0005-0000-0000-000097CB0000}"/>
    <cellStyle name="Total 14" xfId="22654" xr:uid="{00000000-0005-0000-0000-000098CB0000}"/>
    <cellStyle name="Total 14 2" xfId="47570" xr:uid="{00000000-0005-0000-0000-000099CB0000}"/>
    <cellStyle name="Total 14 2 2" xfId="53348" xr:uid="{00000000-0005-0000-0000-00009ACB0000}"/>
    <cellStyle name="Total 14 3" xfId="51419" xr:uid="{00000000-0005-0000-0000-00009BCB0000}"/>
    <cellStyle name="Total 14 3 2" xfId="53453" xr:uid="{00000000-0005-0000-0000-00009CCB0000}"/>
    <cellStyle name="Total 14 4" xfId="53347" xr:uid="{00000000-0005-0000-0000-00009DCB0000}"/>
    <cellStyle name="Total 15" xfId="22677" xr:uid="{00000000-0005-0000-0000-00009ECB0000}"/>
    <cellStyle name="Total 16" xfId="22648" xr:uid="{00000000-0005-0000-0000-00009FCB0000}"/>
    <cellStyle name="Total 16 2" xfId="47564" xr:uid="{00000000-0005-0000-0000-0000A0CB0000}"/>
    <cellStyle name="Total 16 2 2" xfId="53350" xr:uid="{00000000-0005-0000-0000-0000A1CB0000}"/>
    <cellStyle name="Total 16 3" xfId="51413" xr:uid="{00000000-0005-0000-0000-0000A2CB0000}"/>
    <cellStyle name="Total 16 3 2" xfId="53454" xr:uid="{00000000-0005-0000-0000-0000A3CB0000}"/>
    <cellStyle name="Total 16 4" xfId="53349" xr:uid="{00000000-0005-0000-0000-0000A4CB0000}"/>
    <cellStyle name="Total 2" xfId="142" xr:uid="{00000000-0005-0000-0000-0000A5CB0000}"/>
    <cellStyle name="Total 2 10" xfId="52770" xr:uid="{00000000-0005-0000-0000-0000A6CB0000}"/>
    <cellStyle name="Total 2 2" xfId="3412" xr:uid="{00000000-0005-0000-0000-0000A7CB0000}"/>
    <cellStyle name="Total 2 2 2" xfId="3413" xr:uid="{00000000-0005-0000-0000-0000A8CB0000}"/>
    <cellStyle name="Total 2 2 2 2" xfId="5448" xr:uid="{00000000-0005-0000-0000-0000A9CB0000}"/>
    <cellStyle name="Total 2 2 2 2 2" xfId="53353" xr:uid="{00000000-0005-0000-0000-0000AACB0000}"/>
    <cellStyle name="Total 2 2 2 3" xfId="7495" xr:uid="{00000000-0005-0000-0000-0000ABCB0000}"/>
    <cellStyle name="Total 2 2 2 3 10" xfId="39237" xr:uid="{00000000-0005-0000-0000-0000ACCB0000}"/>
    <cellStyle name="Total 2 2 2 3 11" xfId="53457" xr:uid="{00000000-0005-0000-0000-0000ADCB0000}"/>
    <cellStyle name="Total 2 2 2 3 2" xfId="10768" xr:uid="{00000000-0005-0000-0000-0000AECB0000}"/>
    <cellStyle name="Total 2 2 2 3 2 2" xfId="18561" xr:uid="{00000000-0005-0000-0000-0000AFCB0000}"/>
    <cellStyle name="Total 2 2 2 3 2 2 2" xfId="44108" xr:uid="{00000000-0005-0000-0000-0000B0CB0000}"/>
    <cellStyle name="Total 2 2 2 3 2 2 3" xfId="48017" xr:uid="{00000000-0005-0000-0000-0000B1CB0000}"/>
    <cellStyle name="Total 2 2 2 3 2 2 4" xfId="36198" xr:uid="{00000000-0005-0000-0000-0000B2CB0000}"/>
    <cellStyle name="Total 2 2 2 3 2 3" xfId="12635" xr:uid="{00000000-0005-0000-0000-0000B3CB0000}"/>
    <cellStyle name="Total 2 2 2 3 2 3 2" xfId="42114" xr:uid="{00000000-0005-0000-0000-0000B4CB0000}"/>
    <cellStyle name="Total 2 2 2 3 2 3 3" xfId="39558" xr:uid="{00000000-0005-0000-0000-0000B5CB0000}"/>
    <cellStyle name="Total 2 2 2 3 2 3 4" xfId="30300" xr:uid="{00000000-0005-0000-0000-0000B6CB0000}"/>
    <cellStyle name="Total 2 2 2 3 2 4" xfId="19824" xr:uid="{00000000-0005-0000-0000-0000B7CB0000}"/>
    <cellStyle name="Total 2 2 2 3 2 4 2" xfId="45361" xr:uid="{00000000-0005-0000-0000-0000B8CB0000}"/>
    <cellStyle name="Total 2 2 2 3 2 4 3" xfId="49267" xr:uid="{00000000-0005-0000-0000-0000B9CB0000}"/>
    <cellStyle name="Total 2 2 2 3 2 4 4" xfId="37342" xr:uid="{00000000-0005-0000-0000-0000BACB0000}"/>
    <cellStyle name="Total 2 2 2 3 2 5" xfId="20974" xr:uid="{00000000-0005-0000-0000-0000BBCB0000}"/>
    <cellStyle name="Total 2 2 2 3 2 5 2" xfId="46511" xr:uid="{00000000-0005-0000-0000-0000BCCB0000}"/>
    <cellStyle name="Total 2 2 2 3 2 5 3" xfId="50417" xr:uid="{00000000-0005-0000-0000-0000BDCB0000}"/>
    <cellStyle name="Total 2 2 2 3 2 5 4" xfId="38380" xr:uid="{00000000-0005-0000-0000-0000BECB0000}"/>
    <cellStyle name="Total 2 2 2 3 2 6" xfId="21627" xr:uid="{00000000-0005-0000-0000-0000BFCB0000}"/>
    <cellStyle name="Total 2 2 2 3 2 6 2" xfId="47164" xr:uid="{00000000-0005-0000-0000-0000C0CB0000}"/>
    <cellStyle name="Total 2 2 2 3 2 6 3" xfId="51070" xr:uid="{00000000-0005-0000-0000-0000C1CB0000}"/>
    <cellStyle name="Total 2 2 2 3 2 7" xfId="40967" xr:uid="{00000000-0005-0000-0000-0000C2CB0000}"/>
    <cellStyle name="Total 2 2 2 3 2 8" xfId="40096" xr:uid="{00000000-0005-0000-0000-0000C3CB0000}"/>
    <cellStyle name="Total 2 2 2 3 3" xfId="11063" xr:uid="{00000000-0005-0000-0000-0000C4CB0000}"/>
    <cellStyle name="Total 2 2 2 3 3 2" xfId="18856" xr:uid="{00000000-0005-0000-0000-0000C5CB0000}"/>
    <cellStyle name="Total 2 2 2 3 3 2 2" xfId="44403" xr:uid="{00000000-0005-0000-0000-0000C6CB0000}"/>
    <cellStyle name="Total 2 2 2 3 3 2 3" xfId="48312" xr:uid="{00000000-0005-0000-0000-0000C7CB0000}"/>
    <cellStyle name="Total 2 2 2 3 3 2 4" xfId="36493" xr:uid="{00000000-0005-0000-0000-0000C8CB0000}"/>
    <cellStyle name="Total 2 2 2 3 3 3" xfId="20449" xr:uid="{00000000-0005-0000-0000-0000C9CB0000}"/>
    <cellStyle name="Total 2 2 2 3 3 3 2" xfId="45986" xr:uid="{00000000-0005-0000-0000-0000CACB0000}"/>
    <cellStyle name="Total 2 2 2 3 3 3 3" xfId="49892" xr:uid="{00000000-0005-0000-0000-0000CBCB0000}"/>
    <cellStyle name="Total 2 2 2 3 3 3 4" xfId="37903" xr:uid="{00000000-0005-0000-0000-0000CCCB0000}"/>
    <cellStyle name="Total 2 2 2 3 3 4" xfId="20593" xr:uid="{00000000-0005-0000-0000-0000CDCB0000}"/>
    <cellStyle name="Total 2 2 2 3 3 4 2" xfId="46130" xr:uid="{00000000-0005-0000-0000-0000CECB0000}"/>
    <cellStyle name="Total 2 2 2 3 3 4 3" xfId="50036" xr:uid="{00000000-0005-0000-0000-0000CFCB0000}"/>
    <cellStyle name="Total 2 2 2 3 3 4 4" xfId="38020" xr:uid="{00000000-0005-0000-0000-0000D0CB0000}"/>
    <cellStyle name="Total 2 2 2 3 3 5" xfId="21269" xr:uid="{00000000-0005-0000-0000-0000D1CB0000}"/>
    <cellStyle name="Total 2 2 2 3 3 5 2" xfId="46806" xr:uid="{00000000-0005-0000-0000-0000D2CB0000}"/>
    <cellStyle name="Total 2 2 2 3 3 5 3" xfId="50712" xr:uid="{00000000-0005-0000-0000-0000D3CB0000}"/>
    <cellStyle name="Total 2 2 2 3 3 5 4" xfId="38675" xr:uid="{00000000-0005-0000-0000-0000D4CB0000}"/>
    <cellStyle name="Total 2 2 2 3 3 6" xfId="21922" xr:uid="{00000000-0005-0000-0000-0000D5CB0000}"/>
    <cellStyle name="Total 2 2 2 3 3 6 2" xfId="47459" xr:uid="{00000000-0005-0000-0000-0000D6CB0000}"/>
    <cellStyle name="Total 2 2 2 3 3 6 3" xfId="51365" xr:uid="{00000000-0005-0000-0000-0000D7CB0000}"/>
    <cellStyle name="Total 2 2 2 3 3 7" xfId="41262" xr:uid="{00000000-0005-0000-0000-0000D8CB0000}"/>
    <cellStyle name="Total 2 2 2 3 3 8" xfId="39583" xr:uid="{00000000-0005-0000-0000-0000D9CB0000}"/>
    <cellStyle name="Total 2 2 2 3 4" xfId="15283" xr:uid="{00000000-0005-0000-0000-0000DACB0000}"/>
    <cellStyle name="Total 2 2 2 3 4 2" xfId="43156" xr:uid="{00000000-0005-0000-0000-0000DBCB0000}"/>
    <cellStyle name="Total 2 2 2 3 4 3" xfId="42775" xr:uid="{00000000-0005-0000-0000-0000DCCB0000}"/>
    <cellStyle name="Total 2 2 2 3 4 4" xfId="32918" xr:uid="{00000000-0005-0000-0000-0000DDCB0000}"/>
    <cellStyle name="Total 2 2 2 3 5" xfId="11371" xr:uid="{00000000-0005-0000-0000-0000DECB0000}"/>
    <cellStyle name="Total 2 2 2 3 5 2" xfId="41407" xr:uid="{00000000-0005-0000-0000-0000DFCB0000}"/>
    <cellStyle name="Total 2 2 2 3 5 3" xfId="42586" xr:uid="{00000000-0005-0000-0000-0000E0CB0000}"/>
    <cellStyle name="Total 2 2 2 3 5 4" xfId="29094" xr:uid="{00000000-0005-0000-0000-0000E1CB0000}"/>
    <cellStyle name="Total 2 2 2 3 6" xfId="18992" xr:uid="{00000000-0005-0000-0000-0000E2CB0000}"/>
    <cellStyle name="Total 2 2 2 3 6 2" xfId="44529" xr:uid="{00000000-0005-0000-0000-0000E3CB0000}"/>
    <cellStyle name="Total 2 2 2 3 6 3" xfId="48435" xr:uid="{00000000-0005-0000-0000-0000E4CB0000}"/>
    <cellStyle name="Total 2 2 2 3 6 4" xfId="36614" xr:uid="{00000000-0005-0000-0000-0000E5CB0000}"/>
    <cellStyle name="Total 2 2 2 3 7" xfId="11579" xr:uid="{00000000-0005-0000-0000-0000E6CB0000}"/>
    <cellStyle name="Total 2 2 2 3 7 2" xfId="41590" xr:uid="{00000000-0005-0000-0000-0000E7CB0000}"/>
    <cellStyle name="Total 2 2 2 3 7 3" xfId="40462" xr:uid="{00000000-0005-0000-0000-0000E8CB0000}"/>
    <cellStyle name="Total 2 2 2 3 7 4" xfId="29290" xr:uid="{00000000-0005-0000-0000-0000E9CB0000}"/>
    <cellStyle name="Total 2 2 2 3 8" xfId="13202" xr:uid="{00000000-0005-0000-0000-0000EACB0000}"/>
    <cellStyle name="Total 2 2 2 3 8 2" xfId="42423" xr:uid="{00000000-0005-0000-0000-0000EBCB0000}"/>
    <cellStyle name="Total 2 2 2 3 8 3" xfId="40176" xr:uid="{00000000-0005-0000-0000-0000ECCB0000}"/>
    <cellStyle name="Total 2 2 2 3 9" xfId="40016" xr:uid="{00000000-0005-0000-0000-0000EDCB0000}"/>
    <cellStyle name="Total 2 2 2 4" xfId="12147" xr:uid="{00000000-0005-0000-0000-0000EECB0000}"/>
    <cellStyle name="Total 2 2 2 4 2" xfId="41892" xr:uid="{00000000-0005-0000-0000-0000EFCB0000}"/>
    <cellStyle name="Total 2 2 2 4 3" xfId="40344" xr:uid="{00000000-0005-0000-0000-0000F0CB0000}"/>
    <cellStyle name="Total 2 2 2 4 4" xfId="29819" xr:uid="{00000000-0005-0000-0000-0000F1CB0000}"/>
    <cellStyle name="Total 2 2 2 5" xfId="19681" xr:uid="{00000000-0005-0000-0000-0000F2CB0000}"/>
    <cellStyle name="Total 2 2 2 5 2" xfId="45218" xr:uid="{00000000-0005-0000-0000-0000F3CB0000}"/>
    <cellStyle name="Total 2 2 2 5 3" xfId="49124" xr:uid="{00000000-0005-0000-0000-0000F4CB0000}"/>
    <cellStyle name="Total 2 2 2 5 4" xfId="37213" xr:uid="{00000000-0005-0000-0000-0000F5CB0000}"/>
    <cellStyle name="Total 2 2 2 6" xfId="53352" xr:uid="{00000000-0005-0000-0000-0000F6CB0000}"/>
    <cellStyle name="Total 2 2 3" xfId="5447" xr:uid="{00000000-0005-0000-0000-0000F7CB0000}"/>
    <cellStyle name="Total 2 2 3 2" xfId="53354" xr:uid="{00000000-0005-0000-0000-0000F8CB0000}"/>
    <cellStyle name="Total 2 2 4" xfId="7494" xr:uid="{00000000-0005-0000-0000-0000F9CB0000}"/>
    <cellStyle name="Total 2 2 4 10" xfId="39408" xr:uid="{00000000-0005-0000-0000-0000FACB0000}"/>
    <cellStyle name="Total 2 2 4 11" xfId="53456" xr:uid="{00000000-0005-0000-0000-0000FBCB0000}"/>
    <cellStyle name="Total 2 2 4 2" xfId="10767" xr:uid="{00000000-0005-0000-0000-0000FCCB0000}"/>
    <cellStyle name="Total 2 2 4 2 2" xfId="18560" xr:uid="{00000000-0005-0000-0000-0000FDCB0000}"/>
    <cellStyle name="Total 2 2 4 2 2 2" xfId="44107" xr:uid="{00000000-0005-0000-0000-0000FECB0000}"/>
    <cellStyle name="Total 2 2 4 2 2 3" xfId="48016" xr:uid="{00000000-0005-0000-0000-0000FFCB0000}"/>
    <cellStyle name="Total 2 2 4 2 2 4" xfId="36197" xr:uid="{00000000-0005-0000-0000-000000CC0000}"/>
    <cellStyle name="Total 2 2 4 2 3" xfId="19731" xr:uid="{00000000-0005-0000-0000-000001CC0000}"/>
    <cellStyle name="Total 2 2 4 2 3 2" xfId="45268" xr:uid="{00000000-0005-0000-0000-000002CC0000}"/>
    <cellStyle name="Total 2 2 4 2 3 3" xfId="49174" xr:uid="{00000000-0005-0000-0000-000003CC0000}"/>
    <cellStyle name="Total 2 2 4 2 3 4" xfId="37258" xr:uid="{00000000-0005-0000-0000-000004CC0000}"/>
    <cellStyle name="Total 2 2 4 2 4" xfId="19475" xr:uid="{00000000-0005-0000-0000-000005CC0000}"/>
    <cellStyle name="Total 2 2 4 2 4 2" xfId="45012" xr:uid="{00000000-0005-0000-0000-000006CC0000}"/>
    <cellStyle name="Total 2 2 4 2 4 3" xfId="48918" xr:uid="{00000000-0005-0000-0000-000007CC0000}"/>
    <cellStyle name="Total 2 2 4 2 4 4" xfId="37033" xr:uid="{00000000-0005-0000-0000-000008CC0000}"/>
    <cellStyle name="Total 2 2 4 2 5" xfId="20973" xr:uid="{00000000-0005-0000-0000-000009CC0000}"/>
    <cellStyle name="Total 2 2 4 2 5 2" xfId="46510" xr:uid="{00000000-0005-0000-0000-00000ACC0000}"/>
    <cellStyle name="Total 2 2 4 2 5 3" xfId="50416" xr:uid="{00000000-0005-0000-0000-00000BCC0000}"/>
    <cellStyle name="Total 2 2 4 2 5 4" xfId="38379" xr:uid="{00000000-0005-0000-0000-00000CCC0000}"/>
    <cellStyle name="Total 2 2 4 2 6" xfId="21626" xr:uid="{00000000-0005-0000-0000-00000DCC0000}"/>
    <cellStyle name="Total 2 2 4 2 6 2" xfId="47163" xr:uid="{00000000-0005-0000-0000-00000ECC0000}"/>
    <cellStyle name="Total 2 2 4 2 6 3" xfId="51069" xr:uid="{00000000-0005-0000-0000-00000FCC0000}"/>
    <cellStyle name="Total 2 2 4 2 7" xfId="40966" xr:uid="{00000000-0005-0000-0000-000010CC0000}"/>
    <cellStyle name="Total 2 2 4 2 8" xfId="43237" xr:uid="{00000000-0005-0000-0000-000011CC0000}"/>
    <cellStyle name="Total 2 2 4 3" xfId="11062" xr:uid="{00000000-0005-0000-0000-000012CC0000}"/>
    <cellStyle name="Total 2 2 4 3 2" xfId="18855" xr:uid="{00000000-0005-0000-0000-000013CC0000}"/>
    <cellStyle name="Total 2 2 4 3 2 2" xfId="44402" xr:uid="{00000000-0005-0000-0000-000014CC0000}"/>
    <cellStyle name="Total 2 2 4 3 2 3" xfId="48311" xr:uid="{00000000-0005-0000-0000-000015CC0000}"/>
    <cellStyle name="Total 2 2 4 3 2 4" xfId="36492" xr:uid="{00000000-0005-0000-0000-000016CC0000}"/>
    <cellStyle name="Total 2 2 4 3 3" xfId="20448" xr:uid="{00000000-0005-0000-0000-000017CC0000}"/>
    <cellStyle name="Total 2 2 4 3 3 2" xfId="45985" xr:uid="{00000000-0005-0000-0000-000018CC0000}"/>
    <cellStyle name="Total 2 2 4 3 3 3" xfId="49891" xr:uid="{00000000-0005-0000-0000-000019CC0000}"/>
    <cellStyle name="Total 2 2 4 3 3 4" xfId="37902" xr:uid="{00000000-0005-0000-0000-00001ACC0000}"/>
    <cellStyle name="Total 2 2 4 3 4" xfId="20592" xr:uid="{00000000-0005-0000-0000-00001BCC0000}"/>
    <cellStyle name="Total 2 2 4 3 4 2" xfId="46129" xr:uid="{00000000-0005-0000-0000-00001CCC0000}"/>
    <cellStyle name="Total 2 2 4 3 4 3" xfId="50035" xr:uid="{00000000-0005-0000-0000-00001DCC0000}"/>
    <cellStyle name="Total 2 2 4 3 4 4" xfId="38019" xr:uid="{00000000-0005-0000-0000-00001ECC0000}"/>
    <cellStyle name="Total 2 2 4 3 5" xfId="21268" xr:uid="{00000000-0005-0000-0000-00001FCC0000}"/>
    <cellStyle name="Total 2 2 4 3 5 2" xfId="46805" xr:uid="{00000000-0005-0000-0000-000020CC0000}"/>
    <cellStyle name="Total 2 2 4 3 5 3" xfId="50711" xr:uid="{00000000-0005-0000-0000-000021CC0000}"/>
    <cellStyle name="Total 2 2 4 3 5 4" xfId="38674" xr:uid="{00000000-0005-0000-0000-000022CC0000}"/>
    <cellStyle name="Total 2 2 4 3 6" xfId="21921" xr:uid="{00000000-0005-0000-0000-000023CC0000}"/>
    <cellStyle name="Total 2 2 4 3 6 2" xfId="47458" xr:uid="{00000000-0005-0000-0000-000024CC0000}"/>
    <cellStyle name="Total 2 2 4 3 6 3" xfId="51364" xr:uid="{00000000-0005-0000-0000-000025CC0000}"/>
    <cellStyle name="Total 2 2 4 3 7" xfId="41261" xr:uid="{00000000-0005-0000-0000-000026CC0000}"/>
    <cellStyle name="Total 2 2 4 3 8" xfId="40473" xr:uid="{00000000-0005-0000-0000-000027CC0000}"/>
    <cellStyle name="Total 2 2 4 4" xfId="15282" xr:uid="{00000000-0005-0000-0000-000028CC0000}"/>
    <cellStyle name="Total 2 2 4 4 2" xfId="43155" xr:uid="{00000000-0005-0000-0000-000029CC0000}"/>
    <cellStyle name="Total 2 2 4 4 3" xfId="40035" xr:uid="{00000000-0005-0000-0000-00002ACC0000}"/>
    <cellStyle name="Total 2 2 4 4 4" xfId="32917" xr:uid="{00000000-0005-0000-0000-00002BCC0000}"/>
    <cellStyle name="Total 2 2 4 5" xfId="19815" xr:uid="{00000000-0005-0000-0000-00002CCC0000}"/>
    <cellStyle name="Total 2 2 4 5 2" xfId="45352" xr:uid="{00000000-0005-0000-0000-00002DCC0000}"/>
    <cellStyle name="Total 2 2 4 5 3" xfId="49258" xr:uid="{00000000-0005-0000-0000-00002ECC0000}"/>
    <cellStyle name="Total 2 2 4 5 4" xfId="37336" xr:uid="{00000000-0005-0000-0000-00002FCC0000}"/>
    <cellStyle name="Total 2 2 4 6" xfId="19164" xr:uid="{00000000-0005-0000-0000-000030CC0000}"/>
    <cellStyle name="Total 2 2 4 6 2" xfId="44701" xr:uid="{00000000-0005-0000-0000-000031CC0000}"/>
    <cellStyle name="Total 2 2 4 6 3" xfId="48607" xr:uid="{00000000-0005-0000-0000-000032CC0000}"/>
    <cellStyle name="Total 2 2 4 6 4" xfId="36756" xr:uid="{00000000-0005-0000-0000-000033CC0000}"/>
    <cellStyle name="Total 2 2 4 7" xfId="12675" xr:uid="{00000000-0005-0000-0000-000034CC0000}"/>
    <cellStyle name="Total 2 2 4 7 2" xfId="42154" xr:uid="{00000000-0005-0000-0000-000035CC0000}"/>
    <cellStyle name="Total 2 2 4 7 3" xfId="39555" xr:uid="{00000000-0005-0000-0000-000036CC0000}"/>
    <cellStyle name="Total 2 2 4 7 4" xfId="30339" xr:uid="{00000000-0005-0000-0000-000037CC0000}"/>
    <cellStyle name="Total 2 2 4 8" xfId="20478" xr:uid="{00000000-0005-0000-0000-000038CC0000}"/>
    <cellStyle name="Total 2 2 4 8 2" xfId="46015" xr:uid="{00000000-0005-0000-0000-000039CC0000}"/>
    <cellStyle name="Total 2 2 4 8 3" xfId="49921" xr:uid="{00000000-0005-0000-0000-00003ACC0000}"/>
    <cellStyle name="Total 2 2 4 9" xfId="40015" xr:uid="{00000000-0005-0000-0000-00003BCC0000}"/>
    <cellStyle name="Total 2 2 5" xfId="12146" xr:uid="{00000000-0005-0000-0000-00003CCC0000}"/>
    <cellStyle name="Total 2 2 5 2" xfId="41891" xr:uid="{00000000-0005-0000-0000-00003DCC0000}"/>
    <cellStyle name="Total 2 2 5 3" xfId="43484" xr:uid="{00000000-0005-0000-0000-00003ECC0000}"/>
    <cellStyle name="Total 2 2 5 4" xfId="29818" xr:uid="{00000000-0005-0000-0000-00003FCC0000}"/>
    <cellStyle name="Total 2 2 6" xfId="11609" xr:uid="{00000000-0005-0000-0000-000040CC0000}"/>
    <cellStyle name="Total 2 2 6 2" xfId="41620" xr:uid="{00000000-0005-0000-0000-000041CC0000}"/>
    <cellStyle name="Total 2 2 6 3" xfId="39350" xr:uid="{00000000-0005-0000-0000-000042CC0000}"/>
    <cellStyle name="Total 2 2 6 4" xfId="29312" xr:uid="{00000000-0005-0000-0000-000043CC0000}"/>
    <cellStyle name="Total 2 2 7" xfId="53351" xr:uid="{00000000-0005-0000-0000-000044CC0000}"/>
    <cellStyle name="Total 2 2_Sheet1" xfId="3414" xr:uid="{00000000-0005-0000-0000-000045CC0000}"/>
    <cellStyle name="Total 2 3" xfId="3415" xr:uid="{00000000-0005-0000-0000-000046CC0000}"/>
    <cellStyle name="Total 2 3 2" xfId="5449" xr:uid="{00000000-0005-0000-0000-000047CC0000}"/>
    <cellStyle name="Total 2 3 2 2" xfId="53356" xr:uid="{00000000-0005-0000-0000-000048CC0000}"/>
    <cellStyle name="Total 2 3 3" xfId="7496" xr:uid="{00000000-0005-0000-0000-000049CC0000}"/>
    <cellStyle name="Total 2 3 3 10" xfId="47476" xr:uid="{00000000-0005-0000-0000-00004ACC0000}"/>
    <cellStyle name="Total 2 3 3 11" xfId="53458" xr:uid="{00000000-0005-0000-0000-00004BCC0000}"/>
    <cellStyle name="Total 2 3 3 2" xfId="10769" xr:uid="{00000000-0005-0000-0000-00004CCC0000}"/>
    <cellStyle name="Total 2 3 3 2 2" xfId="18562" xr:uid="{00000000-0005-0000-0000-00004DCC0000}"/>
    <cellStyle name="Total 2 3 3 2 2 2" xfId="44109" xr:uid="{00000000-0005-0000-0000-00004ECC0000}"/>
    <cellStyle name="Total 2 3 3 2 2 3" xfId="48018" xr:uid="{00000000-0005-0000-0000-00004FCC0000}"/>
    <cellStyle name="Total 2 3 3 2 2 4" xfId="36199" xr:uid="{00000000-0005-0000-0000-000050CC0000}"/>
    <cellStyle name="Total 2 3 3 2 3" xfId="19598" xr:uid="{00000000-0005-0000-0000-000051CC0000}"/>
    <cellStyle name="Total 2 3 3 2 3 2" xfId="45135" xr:uid="{00000000-0005-0000-0000-000052CC0000}"/>
    <cellStyle name="Total 2 3 3 2 3 3" xfId="49041" xr:uid="{00000000-0005-0000-0000-000053CC0000}"/>
    <cellStyle name="Total 2 3 3 2 3 4" xfId="37138" xr:uid="{00000000-0005-0000-0000-000054CC0000}"/>
    <cellStyle name="Total 2 3 3 2 4" xfId="20463" xr:uid="{00000000-0005-0000-0000-000055CC0000}"/>
    <cellStyle name="Total 2 3 3 2 4 2" xfId="46000" xr:uid="{00000000-0005-0000-0000-000056CC0000}"/>
    <cellStyle name="Total 2 3 3 2 4 3" xfId="49906" xr:uid="{00000000-0005-0000-0000-000057CC0000}"/>
    <cellStyle name="Total 2 3 3 2 4 4" xfId="37916" xr:uid="{00000000-0005-0000-0000-000058CC0000}"/>
    <cellStyle name="Total 2 3 3 2 5" xfId="20975" xr:uid="{00000000-0005-0000-0000-000059CC0000}"/>
    <cellStyle name="Total 2 3 3 2 5 2" xfId="46512" xr:uid="{00000000-0005-0000-0000-00005ACC0000}"/>
    <cellStyle name="Total 2 3 3 2 5 3" xfId="50418" xr:uid="{00000000-0005-0000-0000-00005BCC0000}"/>
    <cellStyle name="Total 2 3 3 2 5 4" xfId="38381" xr:uid="{00000000-0005-0000-0000-00005CCC0000}"/>
    <cellStyle name="Total 2 3 3 2 6" xfId="21628" xr:uid="{00000000-0005-0000-0000-00005DCC0000}"/>
    <cellStyle name="Total 2 3 3 2 6 2" xfId="47165" xr:uid="{00000000-0005-0000-0000-00005ECC0000}"/>
    <cellStyle name="Total 2 3 3 2 6 3" xfId="51071" xr:uid="{00000000-0005-0000-0000-00005FCC0000}"/>
    <cellStyle name="Total 2 3 3 2 7" xfId="40968" xr:uid="{00000000-0005-0000-0000-000060CC0000}"/>
    <cellStyle name="Total 2 3 3 2 8" xfId="42844" xr:uid="{00000000-0005-0000-0000-000061CC0000}"/>
    <cellStyle name="Total 2 3 3 3" xfId="11064" xr:uid="{00000000-0005-0000-0000-000062CC0000}"/>
    <cellStyle name="Total 2 3 3 3 2" xfId="18857" xr:uid="{00000000-0005-0000-0000-000063CC0000}"/>
    <cellStyle name="Total 2 3 3 3 2 2" xfId="44404" xr:uid="{00000000-0005-0000-0000-000064CC0000}"/>
    <cellStyle name="Total 2 3 3 3 2 3" xfId="48313" xr:uid="{00000000-0005-0000-0000-000065CC0000}"/>
    <cellStyle name="Total 2 3 3 3 2 4" xfId="36494" xr:uid="{00000000-0005-0000-0000-000066CC0000}"/>
    <cellStyle name="Total 2 3 3 3 3" xfId="20450" xr:uid="{00000000-0005-0000-0000-000067CC0000}"/>
    <cellStyle name="Total 2 3 3 3 3 2" xfId="45987" xr:uid="{00000000-0005-0000-0000-000068CC0000}"/>
    <cellStyle name="Total 2 3 3 3 3 3" xfId="49893" xr:uid="{00000000-0005-0000-0000-000069CC0000}"/>
    <cellStyle name="Total 2 3 3 3 3 4" xfId="37904" xr:uid="{00000000-0005-0000-0000-00006ACC0000}"/>
    <cellStyle name="Total 2 3 3 3 4" xfId="20594" xr:uid="{00000000-0005-0000-0000-00006BCC0000}"/>
    <cellStyle name="Total 2 3 3 3 4 2" xfId="46131" xr:uid="{00000000-0005-0000-0000-00006CCC0000}"/>
    <cellStyle name="Total 2 3 3 3 4 3" xfId="50037" xr:uid="{00000000-0005-0000-0000-00006DCC0000}"/>
    <cellStyle name="Total 2 3 3 3 4 4" xfId="38021" xr:uid="{00000000-0005-0000-0000-00006ECC0000}"/>
    <cellStyle name="Total 2 3 3 3 5" xfId="21270" xr:uid="{00000000-0005-0000-0000-00006FCC0000}"/>
    <cellStyle name="Total 2 3 3 3 5 2" xfId="46807" xr:uid="{00000000-0005-0000-0000-000070CC0000}"/>
    <cellStyle name="Total 2 3 3 3 5 3" xfId="50713" xr:uid="{00000000-0005-0000-0000-000071CC0000}"/>
    <cellStyle name="Total 2 3 3 3 5 4" xfId="38676" xr:uid="{00000000-0005-0000-0000-000072CC0000}"/>
    <cellStyle name="Total 2 3 3 3 6" xfId="21923" xr:uid="{00000000-0005-0000-0000-000073CC0000}"/>
    <cellStyle name="Total 2 3 3 3 6 2" xfId="47460" xr:uid="{00000000-0005-0000-0000-000074CC0000}"/>
    <cellStyle name="Total 2 3 3 3 6 3" xfId="51366" xr:uid="{00000000-0005-0000-0000-000075CC0000}"/>
    <cellStyle name="Total 2 3 3 3 7" xfId="41263" xr:uid="{00000000-0005-0000-0000-000076CC0000}"/>
    <cellStyle name="Total 2 3 3 3 8" xfId="42591" xr:uid="{00000000-0005-0000-0000-000077CC0000}"/>
    <cellStyle name="Total 2 3 3 4" xfId="15284" xr:uid="{00000000-0005-0000-0000-000078CC0000}"/>
    <cellStyle name="Total 2 3 3 4 2" xfId="43157" xr:uid="{00000000-0005-0000-0000-000079CC0000}"/>
    <cellStyle name="Total 2 3 3 4 3" xfId="43662" xr:uid="{00000000-0005-0000-0000-00007ACC0000}"/>
    <cellStyle name="Total 2 3 3 4 4" xfId="32919" xr:uid="{00000000-0005-0000-0000-00007BCC0000}"/>
    <cellStyle name="Total 2 3 3 5" xfId="13249" xr:uid="{00000000-0005-0000-0000-00007CCC0000}"/>
    <cellStyle name="Total 2 3 3 5 2" xfId="42429" xr:uid="{00000000-0005-0000-0000-00007DCC0000}"/>
    <cellStyle name="Total 2 3 3 5 3" xfId="43464" xr:uid="{00000000-0005-0000-0000-00007ECC0000}"/>
    <cellStyle name="Total 2 3 3 5 4" xfId="30894" xr:uid="{00000000-0005-0000-0000-00007FCC0000}"/>
    <cellStyle name="Total 2 3 3 6" xfId="19216" xr:uid="{00000000-0005-0000-0000-000080CC0000}"/>
    <cellStyle name="Total 2 3 3 6 2" xfId="44753" xr:uid="{00000000-0005-0000-0000-000081CC0000}"/>
    <cellStyle name="Total 2 3 3 6 3" xfId="48659" xr:uid="{00000000-0005-0000-0000-000082CC0000}"/>
    <cellStyle name="Total 2 3 3 6 4" xfId="36801" xr:uid="{00000000-0005-0000-0000-000083CC0000}"/>
    <cellStyle name="Total 2 3 3 7" xfId="12676" xr:uid="{00000000-0005-0000-0000-000084CC0000}"/>
    <cellStyle name="Total 2 3 3 7 2" xfId="42155" xr:uid="{00000000-0005-0000-0000-000085CC0000}"/>
    <cellStyle name="Total 2 3 3 7 3" xfId="42562" xr:uid="{00000000-0005-0000-0000-000086CC0000}"/>
    <cellStyle name="Total 2 3 3 7 4" xfId="30340" xr:uid="{00000000-0005-0000-0000-000087CC0000}"/>
    <cellStyle name="Total 2 3 3 8" xfId="11673" xr:uid="{00000000-0005-0000-0000-000088CC0000}"/>
    <cellStyle name="Total 2 3 3 8 2" xfId="41684" xr:uid="{00000000-0005-0000-0000-000089CC0000}"/>
    <cellStyle name="Total 2 3 3 8 3" xfId="43597" xr:uid="{00000000-0005-0000-0000-00008ACC0000}"/>
    <cellStyle name="Total 2 3 3 9" xfId="40017" xr:uid="{00000000-0005-0000-0000-00008BCC0000}"/>
    <cellStyle name="Total 2 3 4" xfId="12148" xr:uid="{00000000-0005-0000-0000-00008CCC0000}"/>
    <cellStyle name="Total 2 3 4 2" xfId="41893" xr:uid="{00000000-0005-0000-0000-00008DCC0000}"/>
    <cellStyle name="Total 2 3 4 3" xfId="39457" xr:uid="{00000000-0005-0000-0000-00008ECC0000}"/>
    <cellStyle name="Total 2 3 4 4" xfId="29820" xr:uid="{00000000-0005-0000-0000-00008FCC0000}"/>
    <cellStyle name="Total 2 3 5" xfId="19543" xr:uid="{00000000-0005-0000-0000-000090CC0000}"/>
    <cellStyle name="Total 2 3 5 2" xfId="45080" xr:uid="{00000000-0005-0000-0000-000091CC0000}"/>
    <cellStyle name="Total 2 3 5 3" xfId="48986" xr:uid="{00000000-0005-0000-0000-000092CC0000}"/>
    <cellStyle name="Total 2 3 5 4" xfId="37087" xr:uid="{00000000-0005-0000-0000-000093CC0000}"/>
    <cellStyle name="Total 2 3 6" xfId="53355" xr:uid="{00000000-0005-0000-0000-000094CC0000}"/>
    <cellStyle name="Total 2 4" xfId="3416" xr:uid="{00000000-0005-0000-0000-000095CC0000}"/>
    <cellStyle name="Total 2 4 2" xfId="5450" xr:uid="{00000000-0005-0000-0000-000096CC0000}"/>
    <cellStyle name="Total 2 4 2 2" xfId="53358" xr:uid="{00000000-0005-0000-0000-000097CC0000}"/>
    <cellStyle name="Total 2 4 3" xfId="7497" xr:uid="{00000000-0005-0000-0000-000098CC0000}"/>
    <cellStyle name="Total 2 4 3 10" xfId="41706" xr:uid="{00000000-0005-0000-0000-000099CC0000}"/>
    <cellStyle name="Total 2 4 3 11" xfId="53459" xr:uid="{00000000-0005-0000-0000-00009ACC0000}"/>
    <cellStyle name="Total 2 4 3 2" xfId="10770" xr:uid="{00000000-0005-0000-0000-00009BCC0000}"/>
    <cellStyle name="Total 2 4 3 2 2" xfId="18563" xr:uid="{00000000-0005-0000-0000-00009CCC0000}"/>
    <cellStyle name="Total 2 4 3 2 2 2" xfId="44110" xr:uid="{00000000-0005-0000-0000-00009DCC0000}"/>
    <cellStyle name="Total 2 4 3 2 2 3" xfId="48019" xr:uid="{00000000-0005-0000-0000-00009ECC0000}"/>
    <cellStyle name="Total 2 4 3 2 2 4" xfId="36200" xr:uid="{00000000-0005-0000-0000-00009FCC0000}"/>
    <cellStyle name="Total 2 4 3 2 3" xfId="20151" xr:uid="{00000000-0005-0000-0000-0000A0CC0000}"/>
    <cellStyle name="Total 2 4 3 2 3 2" xfId="45688" xr:uid="{00000000-0005-0000-0000-0000A1CC0000}"/>
    <cellStyle name="Total 2 4 3 2 3 3" xfId="49594" xr:uid="{00000000-0005-0000-0000-0000A2CC0000}"/>
    <cellStyle name="Total 2 4 3 2 3 4" xfId="37637" xr:uid="{00000000-0005-0000-0000-0000A3CC0000}"/>
    <cellStyle name="Total 2 4 3 2 4" xfId="12693" xr:uid="{00000000-0005-0000-0000-0000A4CC0000}"/>
    <cellStyle name="Total 2 4 3 2 4 2" xfId="42172" xr:uid="{00000000-0005-0000-0000-0000A5CC0000}"/>
    <cellStyle name="Total 2 4 3 2 4 3" xfId="40447" xr:uid="{00000000-0005-0000-0000-0000A6CC0000}"/>
    <cellStyle name="Total 2 4 3 2 4 4" xfId="30354" xr:uid="{00000000-0005-0000-0000-0000A7CC0000}"/>
    <cellStyle name="Total 2 4 3 2 5" xfId="20976" xr:uid="{00000000-0005-0000-0000-0000A8CC0000}"/>
    <cellStyle name="Total 2 4 3 2 5 2" xfId="46513" xr:uid="{00000000-0005-0000-0000-0000A9CC0000}"/>
    <cellStyle name="Total 2 4 3 2 5 3" xfId="50419" xr:uid="{00000000-0005-0000-0000-0000AACC0000}"/>
    <cellStyle name="Total 2 4 3 2 5 4" xfId="38382" xr:uid="{00000000-0005-0000-0000-0000ABCC0000}"/>
    <cellStyle name="Total 2 4 3 2 6" xfId="21629" xr:uid="{00000000-0005-0000-0000-0000ACCC0000}"/>
    <cellStyle name="Total 2 4 3 2 6 2" xfId="47166" xr:uid="{00000000-0005-0000-0000-0000ADCC0000}"/>
    <cellStyle name="Total 2 4 3 2 6 3" xfId="51072" xr:uid="{00000000-0005-0000-0000-0000AECC0000}"/>
    <cellStyle name="Total 2 4 3 2 7" xfId="40969" xr:uid="{00000000-0005-0000-0000-0000AFCC0000}"/>
    <cellStyle name="Total 2 4 3 2 8" xfId="43733" xr:uid="{00000000-0005-0000-0000-0000B0CC0000}"/>
    <cellStyle name="Total 2 4 3 3" xfId="11065" xr:uid="{00000000-0005-0000-0000-0000B1CC0000}"/>
    <cellStyle name="Total 2 4 3 3 2" xfId="18858" xr:uid="{00000000-0005-0000-0000-0000B2CC0000}"/>
    <cellStyle name="Total 2 4 3 3 2 2" xfId="44405" xr:uid="{00000000-0005-0000-0000-0000B3CC0000}"/>
    <cellStyle name="Total 2 4 3 3 2 3" xfId="48314" xr:uid="{00000000-0005-0000-0000-0000B4CC0000}"/>
    <cellStyle name="Total 2 4 3 3 2 4" xfId="36495" xr:uid="{00000000-0005-0000-0000-0000B5CC0000}"/>
    <cellStyle name="Total 2 4 3 3 3" xfId="20451" xr:uid="{00000000-0005-0000-0000-0000B6CC0000}"/>
    <cellStyle name="Total 2 4 3 3 3 2" xfId="45988" xr:uid="{00000000-0005-0000-0000-0000B7CC0000}"/>
    <cellStyle name="Total 2 4 3 3 3 3" xfId="49894" xr:uid="{00000000-0005-0000-0000-0000B8CC0000}"/>
    <cellStyle name="Total 2 4 3 3 3 4" xfId="37905" xr:uid="{00000000-0005-0000-0000-0000B9CC0000}"/>
    <cellStyle name="Total 2 4 3 3 4" xfId="20595" xr:uid="{00000000-0005-0000-0000-0000BACC0000}"/>
    <cellStyle name="Total 2 4 3 3 4 2" xfId="46132" xr:uid="{00000000-0005-0000-0000-0000BBCC0000}"/>
    <cellStyle name="Total 2 4 3 3 4 3" xfId="50038" xr:uid="{00000000-0005-0000-0000-0000BCCC0000}"/>
    <cellStyle name="Total 2 4 3 3 4 4" xfId="38022" xr:uid="{00000000-0005-0000-0000-0000BDCC0000}"/>
    <cellStyle name="Total 2 4 3 3 5" xfId="21271" xr:uid="{00000000-0005-0000-0000-0000BECC0000}"/>
    <cellStyle name="Total 2 4 3 3 5 2" xfId="46808" xr:uid="{00000000-0005-0000-0000-0000BFCC0000}"/>
    <cellStyle name="Total 2 4 3 3 5 3" xfId="50714" xr:uid="{00000000-0005-0000-0000-0000C0CC0000}"/>
    <cellStyle name="Total 2 4 3 3 5 4" xfId="38677" xr:uid="{00000000-0005-0000-0000-0000C1CC0000}"/>
    <cellStyle name="Total 2 4 3 3 6" xfId="21924" xr:uid="{00000000-0005-0000-0000-0000C2CC0000}"/>
    <cellStyle name="Total 2 4 3 3 6 2" xfId="47461" xr:uid="{00000000-0005-0000-0000-0000C3CC0000}"/>
    <cellStyle name="Total 2 4 3 3 6 3" xfId="51367" xr:uid="{00000000-0005-0000-0000-0000C4CC0000}"/>
    <cellStyle name="Total 2 4 3 3 7" xfId="41264" xr:uid="{00000000-0005-0000-0000-0000C5CC0000}"/>
    <cellStyle name="Total 2 4 3 3 8" xfId="43504" xr:uid="{00000000-0005-0000-0000-0000C6CC0000}"/>
    <cellStyle name="Total 2 4 3 4" xfId="15285" xr:uid="{00000000-0005-0000-0000-0000C7CC0000}"/>
    <cellStyle name="Total 2 4 3 4 2" xfId="43158" xr:uid="{00000000-0005-0000-0000-0000C8CC0000}"/>
    <cellStyle name="Total 2 4 3 4 3" xfId="40521" xr:uid="{00000000-0005-0000-0000-0000C9CC0000}"/>
    <cellStyle name="Total 2 4 3 4 4" xfId="32920" xr:uid="{00000000-0005-0000-0000-0000CACC0000}"/>
    <cellStyle name="Total 2 4 3 5" xfId="11373" xr:uid="{00000000-0005-0000-0000-0000CBCC0000}"/>
    <cellStyle name="Total 2 4 3 5 2" xfId="41409" xr:uid="{00000000-0005-0000-0000-0000CCCC0000}"/>
    <cellStyle name="Total 2 4 3 5 3" xfId="40361" xr:uid="{00000000-0005-0000-0000-0000CDCC0000}"/>
    <cellStyle name="Total 2 4 3 5 4" xfId="29096" xr:uid="{00000000-0005-0000-0000-0000CECC0000}"/>
    <cellStyle name="Total 2 4 3 6" xfId="18993" xr:uid="{00000000-0005-0000-0000-0000CFCC0000}"/>
    <cellStyle name="Total 2 4 3 6 2" xfId="44530" xr:uid="{00000000-0005-0000-0000-0000D0CC0000}"/>
    <cellStyle name="Total 2 4 3 6 3" xfId="48436" xr:uid="{00000000-0005-0000-0000-0000D1CC0000}"/>
    <cellStyle name="Total 2 4 3 6 4" xfId="36615" xr:uid="{00000000-0005-0000-0000-0000D2CC0000}"/>
    <cellStyle name="Total 2 4 3 7" xfId="11580" xr:uid="{00000000-0005-0000-0000-0000D3CC0000}"/>
    <cellStyle name="Total 2 4 3 7 2" xfId="41591" xr:uid="{00000000-0005-0000-0000-0000D4CC0000}"/>
    <cellStyle name="Total 2 4 3 7 3" xfId="39573" xr:uid="{00000000-0005-0000-0000-0000D5CC0000}"/>
    <cellStyle name="Total 2 4 3 7 4" xfId="29291" xr:uid="{00000000-0005-0000-0000-0000D6CC0000}"/>
    <cellStyle name="Total 2 4 3 8" xfId="12706" xr:uid="{00000000-0005-0000-0000-0000D7CC0000}"/>
    <cellStyle name="Total 2 4 3 8 2" xfId="42181" xr:uid="{00000000-0005-0000-0000-0000D8CC0000}"/>
    <cellStyle name="Total 2 4 3 8 3" xfId="39659" xr:uid="{00000000-0005-0000-0000-0000D9CC0000}"/>
    <cellStyle name="Total 2 4 3 9" xfId="40018" xr:uid="{00000000-0005-0000-0000-0000DACC0000}"/>
    <cellStyle name="Total 2 4 4" xfId="12149" xr:uid="{00000000-0005-0000-0000-0000DBCC0000}"/>
    <cellStyle name="Total 2 4 4 2" xfId="41894" xr:uid="{00000000-0005-0000-0000-0000DCCC0000}"/>
    <cellStyle name="Total 2 4 4 3" xfId="47491" xr:uid="{00000000-0005-0000-0000-0000DDCC0000}"/>
    <cellStyle name="Total 2 4 4 4" xfId="29821" xr:uid="{00000000-0005-0000-0000-0000DECC0000}"/>
    <cellStyle name="Total 2 4 5" xfId="20107" xr:uid="{00000000-0005-0000-0000-0000DFCC0000}"/>
    <cellStyle name="Total 2 4 5 2" xfId="45644" xr:uid="{00000000-0005-0000-0000-0000E0CC0000}"/>
    <cellStyle name="Total 2 4 5 3" xfId="49550" xr:uid="{00000000-0005-0000-0000-0000E1CC0000}"/>
    <cellStyle name="Total 2 4 5 4" xfId="37595" xr:uid="{00000000-0005-0000-0000-0000E2CC0000}"/>
    <cellStyle name="Total 2 4 6" xfId="53357" xr:uid="{00000000-0005-0000-0000-0000E3CC0000}"/>
    <cellStyle name="Total 2 5" xfId="5451" xr:uid="{00000000-0005-0000-0000-0000E4CC0000}"/>
    <cellStyle name="Total 2 5 2" xfId="6128" xr:uid="{00000000-0005-0000-0000-0000E5CC0000}"/>
    <cellStyle name="Total 2 5 2 2" xfId="10482" xr:uid="{00000000-0005-0000-0000-0000E6CC0000}"/>
    <cellStyle name="Total 2 5 2 2 2" xfId="18275" xr:uid="{00000000-0005-0000-0000-0000E7CC0000}"/>
    <cellStyle name="Total 2 5 2 2 2 2" xfId="43822" xr:uid="{00000000-0005-0000-0000-0000E8CC0000}"/>
    <cellStyle name="Total 2 5 2 2 2 3" xfId="47731" xr:uid="{00000000-0005-0000-0000-0000E9CC0000}"/>
    <cellStyle name="Total 2 5 2 2 2 4" xfId="35912" xr:uid="{00000000-0005-0000-0000-0000EACC0000}"/>
    <cellStyle name="Total 2 5 2 2 3" xfId="12620" xr:uid="{00000000-0005-0000-0000-0000EBCC0000}"/>
    <cellStyle name="Total 2 5 2 2 3 2" xfId="42099" xr:uid="{00000000-0005-0000-0000-0000ECCC0000}"/>
    <cellStyle name="Total 2 5 2 2 3 3" xfId="41982" xr:uid="{00000000-0005-0000-0000-0000EDCC0000}"/>
    <cellStyle name="Total 2 5 2 2 3 4" xfId="30285" xr:uid="{00000000-0005-0000-0000-0000EECC0000}"/>
    <cellStyle name="Total 2 5 2 2 4" xfId="12698" xr:uid="{00000000-0005-0000-0000-0000EFCC0000}"/>
    <cellStyle name="Total 2 5 2 2 4 2" xfId="42177" xr:uid="{00000000-0005-0000-0000-0000F0CC0000}"/>
    <cellStyle name="Total 2 5 2 2 4 3" xfId="39452" xr:uid="{00000000-0005-0000-0000-0000F1CC0000}"/>
    <cellStyle name="Total 2 5 2 2 4 4" xfId="30358" xr:uid="{00000000-0005-0000-0000-0000F2CC0000}"/>
    <cellStyle name="Total 2 5 2 2 5" xfId="20688" xr:uid="{00000000-0005-0000-0000-0000F3CC0000}"/>
    <cellStyle name="Total 2 5 2 2 5 2" xfId="46225" xr:uid="{00000000-0005-0000-0000-0000F4CC0000}"/>
    <cellStyle name="Total 2 5 2 2 5 3" xfId="50131" xr:uid="{00000000-0005-0000-0000-0000F5CC0000}"/>
    <cellStyle name="Total 2 5 2 2 5 4" xfId="38094" xr:uid="{00000000-0005-0000-0000-0000F6CC0000}"/>
    <cellStyle name="Total 2 5 2 2 6" xfId="21341" xr:uid="{00000000-0005-0000-0000-0000F7CC0000}"/>
    <cellStyle name="Total 2 5 2 2 6 2" xfId="46878" xr:uid="{00000000-0005-0000-0000-0000F8CC0000}"/>
    <cellStyle name="Total 2 5 2 2 6 3" xfId="50784" xr:uid="{00000000-0005-0000-0000-0000F9CC0000}"/>
    <cellStyle name="Total 2 5 2 2 7" xfId="40681" xr:uid="{00000000-0005-0000-0000-0000FACC0000}"/>
    <cellStyle name="Total 2 5 2 2 8" xfId="43248" xr:uid="{00000000-0005-0000-0000-0000FBCC0000}"/>
    <cellStyle name="Total 2 5 2 3" xfId="9344" xr:uid="{00000000-0005-0000-0000-0000FCCC0000}"/>
    <cellStyle name="Total 2 5 2 3 2" xfId="17139" xr:uid="{00000000-0005-0000-0000-0000FDCC0000}"/>
    <cellStyle name="Total 2 5 2 3 2 2" xfId="43548" xr:uid="{00000000-0005-0000-0000-0000FECC0000}"/>
    <cellStyle name="Total 2 5 2 3 2 3" xfId="47668" xr:uid="{00000000-0005-0000-0000-0000FFCC0000}"/>
    <cellStyle name="Total 2 5 2 3 2 4" xfId="34775" xr:uid="{00000000-0005-0000-0000-000000CD0000}"/>
    <cellStyle name="Total 2 5 2 3 3" xfId="19789" xr:uid="{00000000-0005-0000-0000-000001CD0000}"/>
    <cellStyle name="Total 2 5 2 3 3 2" xfId="45326" xr:uid="{00000000-0005-0000-0000-000002CD0000}"/>
    <cellStyle name="Total 2 5 2 3 3 3" xfId="49232" xr:uid="{00000000-0005-0000-0000-000003CD0000}"/>
    <cellStyle name="Total 2 5 2 3 3 4" xfId="37313" xr:uid="{00000000-0005-0000-0000-000004CD0000}"/>
    <cellStyle name="Total 2 5 2 3 4" xfId="12073" xr:uid="{00000000-0005-0000-0000-000005CD0000}"/>
    <cellStyle name="Total 2 5 2 3 4 2" xfId="41821" xr:uid="{00000000-0005-0000-0000-000006CD0000}"/>
    <cellStyle name="Total 2 5 2 3 4 3" xfId="43487" xr:uid="{00000000-0005-0000-0000-000007CD0000}"/>
    <cellStyle name="Total 2 5 2 3 4 4" xfId="29751" xr:uid="{00000000-0005-0000-0000-000008CD0000}"/>
    <cellStyle name="Total 2 5 2 3 5" xfId="19374" xr:uid="{00000000-0005-0000-0000-000009CD0000}"/>
    <cellStyle name="Total 2 5 2 3 5 2" xfId="44911" xr:uid="{00000000-0005-0000-0000-00000ACD0000}"/>
    <cellStyle name="Total 2 5 2 3 5 3" xfId="48817" xr:uid="{00000000-0005-0000-0000-00000BCD0000}"/>
    <cellStyle name="Total 2 5 2 3 5 4" xfId="36940" xr:uid="{00000000-0005-0000-0000-00000CCD0000}"/>
    <cellStyle name="Total 2 5 2 3 6" xfId="20381" xr:uid="{00000000-0005-0000-0000-00000DCD0000}"/>
    <cellStyle name="Total 2 5 2 3 6 2" xfId="45918" xr:uid="{00000000-0005-0000-0000-00000ECD0000}"/>
    <cellStyle name="Total 2 5 2 3 6 3" xfId="49824" xr:uid="{00000000-0005-0000-0000-00000FCD0000}"/>
    <cellStyle name="Total 2 5 2 3 7" xfId="40411" xr:uid="{00000000-0005-0000-0000-000010CD0000}"/>
    <cellStyle name="Total 2 5 2 3 8" xfId="39209" xr:uid="{00000000-0005-0000-0000-000011CD0000}"/>
    <cellStyle name="Total 2 5 2 4" xfId="13918" xr:uid="{00000000-0005-0000-0000-000012CD0000}"/>
    <cellStyle name="Total 2 5 2 4 2" xfId="42653" xr:uid="{00000000-0005-0000-0000-000013CD0000}"/>
    <cellStyle name="Total 2 5 2 4 3" xfId="40047" xr:uid="{00000000-0005-0000-0000-000014CD0000}"/>
    <cellStyle name="Total 2 5 2 4 4" xfId="31554" xr:uid="{00000000-0005-0000-0000-000015CD0000}"/>
    <cellStyle name="Total 2 5 2 5" xfId="11796" xr:uid="{00000000-0005-0000-0000-000016CD0000}"/>
    <cellStyle name="Total 2 5 2 5 2" xfId="41746" xr:uid="{00000000-0005-0000-0000-000017CD0000}"/>
    <cellStyle name="Total 2 5 2 5 3" xfId="39153" xr:uid="{00000000-0005-0000-0000-000018CD0000}"/>
    <cellStyle name="Total 2 5 2 5 4" xfId="29482" xr:uid="{00000000-0005-0000-0000-000019CD0000}"/>
    <cellStyle name="Total 2 5 2 6" xfId="53460" xr:uid="{00000000-0005-0000-0000-00001ACD0000}"/>
    <cellStyle name="Total 2 5 3" xfId="7498" xr:uid="{00000000-0005-0000-0000-00001BCD0000}"/>
    <cellStyle name="Total 2 5 3 10" xfId="43269" xr:uid="{00000000-0005-0000-0000-00001CCD0000}"/>
    <cellStyle name="Total 2 5 3 2" xfId="10771" xr:uid="{00000000-0005-0000-0000-00001DCD0000}"/>
    <cellStyle name="Total 2 5 3 2 2" xfId="18564" xr:uid="{00000000-0005-0000-0000-00001ECD0000}"/>
    <cellStyle name="Total 2 5 3 2 2 2" xfId="44111" xr:uid="{00000000-0005-0000-0000-00001FCD0000}"/>
    <cellStyle name="Total 2 5 3 2 2 3" xfId="48020" xr:uid="{00000000-0005-0000-0000-000020CD0000}"/>
    <cellStyle name="Total 2 5 3 2 2 4" xfId="36201" xr:uid="{00000000-0005-0000-0000-000021CD0000}"/>
    <cellStyle name="Total 2 5 3 2 3" xfId="19410" xr:uid="{00000000-0005-0000-0000-000022CD0000}"/>
    <cellStyle name="Total 2 5 3 2 3 2" xfId="44947" xr:uid="{00000000-0005-0000-0000-000023CD0000}"/>
    <cellStyle name="Total 2 5 3 2 3 3" xfId="48853" xr:uid="{00000000-0005-0000-0000-000024CD0000}"/>
    <cellStyle name="Total 2 5 3 2 3 4" xfId="36975" xr:uid="{00000000-0005-0000-0000-000025CD0000}"/>
    <cellStyle name="Total 2 5 3 2 4" xfId="12127" xr:uid="{00000000-0005-0000-0000-000026CD0000}"/>
    <cellStyle name="Total 2 5 3 2 4 2" xfId="41872" xr:uid="{00000000-0005-0000-0000-000027CD0000}"/>
    <cellStyle name="Total 2 5 3 2 4 3" xfId="47496" xr:uid="{00000000-0005-0000-0000-000028CD0000}"/>
    <cellStyle name="Total 2 5 3 2 4 4" xfId="29800" xr:uid="{00000000-0005-0000-0000-000029CD0000}"/>
    <cellStyle name="Total 2 5 3 2 5" xfId="20977" xr:uid="{00000000-0005-0000-0000-00002ACD0000}"/>
    <cellStyle name="Total 2 5 3 2 5 2" xfId="46514" xr:uid="{00000000-0005-0000-0000-00002BCD0000}"/>
    <cellStyle name="Total 2 5 3 2 5 3" xfId="50420" xr:uid="{00000000-0005-0000-0000-00002CCD0000}"/>
    <cellStyle name="Total 2 5 3 2 5 4" xfId="38383" xr:uid="{00000000-0005-0000-0000-00002DCD0000}"/>
    <cellStyle name="Total 2 5 3 2 6" xfId="21630" xr:uid="{00000000-0005-0000-0000-00002ECD0000}"/>
    <cellStyle name="Total 2 5 3 2 6 2" xfId="47167" xr:uid="{00000000-0005-0000-0000-00002FCD0000}"/>
    <cellStyle name="Total 2 5 3 2 6 3" xfId="51073" xr:uid="{00000000-0005-0000-0000-000030CD0000}"/>
    <cellStyle name="Total 2 5 3 2 7" xfId="40970" xr:uid="{00000000-0005-0000-0000-000031CD0000}"/>
    <cellStyle name="Total 2 5 3 2 8" xfId="40592" xr:uid="{00000000-0005-0000-0000-000032CD0000}"/>
    <cellStyle name="Total 2 5 3 3" xfId="11066" xr:uid="{00000000-0005-0000-0000-000033CD0000}"/>
    <cellStyle name="Total 2 5 3 3 2" xfId="18859" xr:uid="{00000000-0005-0000-0000-000034CD0000}"/>
    <cellStyle name="Total 2 5 3 3 2 2" xfId="44406" xr:uid="{00000000-0005-0000-0000-000035CD0000}"/>
    <cellStyle name="Total 2 5 3 3 2 3" xfId="48315" xr:uid="{00000000-0005-0000-0000-000036CD0000}"/>
    <cellStyle name="Total 2 5 3 3 2 4" xfId="36496" xr:uid="{00000000-0005-0000-0000-000037CD0000}"/>
    <cellStyle name="Total 2 5 3 3 3" xfId="20452" xr:uid="{00000000-0005-0000-0000-000038CD0000}"/>
    <cellStyle name="Total 2 5 3 3 3 2" xfId="45989" xr:uid="{00000000-0005-0000-0000-000039CD0000}"/>
    <cellStyle name="Total 2 5 3 3 3 3" xfId="49895" xr:uid="{00000000-0005-0000-0000-00003ACD0000}"/>
    <cellStyle name="Total 2 5 3 3 3 4" xfId="37906" xr:uid="{00000000-0005-0000-0000-00003BCD0000}"/>
    <cellStyle name="Total 2 5 3 3 4" xfId="20596" xr:uid="{00000000-0005-0000-0000-00003CCD0000}"/>
    <cellStyle name="Total 2 5 3 3 4 2" xfId="46133" xr:uid="{00000000-0005-0000-0000-00003DCD0000}"/>
    <cellStyle name="Total 2 5 3 3 4 3" xfId="50039" xr:uid="{00000000-0005-0000-0000-00003ECD0000}"/>
    <cellStyle name="Total 2 5 3 3 4 4" xfId="38023" xr:uid="{00000000-0005-0000-0000-00003FCD0000}"/>
    <cellStyle name="Total 2 5 3 3 5" xfId="21272" xr:uid="{00000000-0005-0000-0000-000040CD0000}"/>
    <cellStyle name="Total 2 5 3 3 5 2" xfId="46809" xr:uid="{00000000-0005-0000-0000-000041CD0000}"/>
    <cellStyle name="Total 2 5 3 3 5 3" xfId="50715" xr:uid="{00000000-0005-0000-0000-000042CD0000}"/>
    <cellStyle name="Total 2 5 3 3 5 4" xfId="38678" xr:uid="{00000000-0005-0000-0000-000043CD0000}"/>
    <cellStyle name="Total 2 5 3 3 6" xfId="21925" xr:uid="{00000000-0005-0000-0000-000044CD0000}"/>
    <cellStyle name="Total 2 5 3 3 6 2" xfId="47462" xr:uid="{00000000-0005-0000-0000-000045CD0000}"/>
    <cellStyle name="Total 2 5 3 3 6 3" xfId="51368" xr:uid="{00000000-0005-0000-0000-000046CD0000}"/>
    <cellStyle name="Total 2 5 3 3 7" xfId="41265" xr:uid="{00000000-0005-0000-0000-000047CD0000}"/>
    <cellStyle name="Total 2 5 3 3 8" xfId="40367" xr:uid="{00000000-0005-0000-0000-000048CD0000}"/>
    <cellStyle name="Total 2 5 3 4" xfId="15286" xr:uid="{00000000-0005-0000-0000-000049CD0000}"/>
    <cellStyle name="Total 2 5 3 4 2" xfId="43159" xr:uid="{00000000-0005-0000-0000-00004ACD0000}"/>
    <cellStyle name="Total 2 5 3 4 3" xfId="39629" xr:uid="{00000000-0005-0000-0000-00004BCD0000}"/>
    <cellStyle name="Total 2 5 3 4 4" xfId="32921" xr:uid="{00000000-0005-0000-0000-00004CCD0000}"/>
    <cellStyle name="Total 2 5 3 5" xfId="11374" xr:uid="{00000000-0005-0000-0000-00004DCD0000}"/>
    <cellStyle name="Total 2 5 3 5 2" xfId="41410" xr:uid="{00000000-0005-0000-0000-00004ECD0000}"/>
    <cellStyle name="Total 2 5 3 5 3" xfId="39473" xr:uid="{00000000-0005-0000-0000-00004FCD0000}"/>
    <cellStyle name="Total 2 5 3 5 4" xfId="29097" xr:uid="{00000000-0005-0000-0000-000050CD0000}"/>
    <cellStyle name="Total 2 5 3 6" xfId="12680" xr:uid="{00000000-0005-0000-0000-000051CD0000}"/>
    <cellStyle name="Total 2 5 3 6 2" xfId="42159" xr:uid="{00000000-0005-0000-0000-000052CD0000}"/>
    <cellStyle name="Total 2 5 3 6 3" xfId="41978" xr:uid="{00000000-0005-0000-0000-000053CD0000}"/>
    <cellStyle name="Total 2 5 3 6 4" xfId="30342" xr:uid="{00000000-0005-0000-0000-000054CD0000}"/>
    <cellStyle name="Total 2 5 3 7" xfId="19021" xr:uid="{00000000-0005-0000-0000-000055CD0000}"/>
    <cellStyle name="Total 2 5 3 7 2" xfId="44558" xr:uid="{00000000-0005-0000-0000-000056CD0000}"/>
    <cellStyle name="Total 2 5 3 7 3" xfId="48464" xr:uid="{00000000-0005-0000-0000-000057CD0000}"/>
    <cellStyle name="Total 2 5 3 7 4" xfId="36629" xr:uid="{00000000-0005-0000-0000-000058CD0000}"/>
    <cellStyle name="Total 2 5 3 8" xfId="20507" xr:uid="{00000000-0005-0000-0000-000059CD0000}"/>
    <cellStyle name="Total 2 5 3 8 2" xfId="46044" xr:uid="{00000000-0005-0000-0000-00005ACD0000}"/>
    <cellStyle name="Total 2 5 3 8 3" xfId="49950" xr:uid="{00000000-0005-0000-0000-00005BCD0000}"/>
    <cellStyle name="Total 2 5 3 9" xfId="40019" xr:uid="{00000000-0005-0000-0000-00005CCD0000}"/>
    <cellStyle name="Total 2 5 4" xfId="53359" xr:uid="{00000000-0005-0000-0000-00005DCD0000}"/>
    <cellStyle name="Total 2 6" xfId="5446" xr:uid="{00000000-0005-0000-0000-00005ECD0000}"/>
    <cellStyle name="Total 2 6 2" xfId="53455" xr:uid="{00000000-0005-0000-0000-00005FCD0000}"/>
    <cellStyle name="Total 2 7" xfId="7493" xr:uid="{00000000-0005-0000-0000-000060CD0000}"/>
    <cellStyle name="Total 2 7 10" xfId="40281" xr:uid="{00000000-0005-0000-0000-000061CD0000}"/>
    <cellStyle name="Total 2 7 2" xfId="10766" xr:uid="{00000000-0005-0000-0000-000062CD0000}"/>
    <cellStyle name="Total 2 7 2 2" xfId="18559" xr:uid="{00000000-0005-0000-0000-000063CD0000}"/>
    <cellStyle name="Total 2 7 2 2 2" xfId="44106" xr:uid="{00000000-0005-0000-0000-000064CD0000}"/>
    <cellStyle name="Total 2 7 2 2 3" xfId="48015" xr:uid="{00000000-0005-0000-0000-000065CD0000}"/>
    <cellStyle name="Total 2 7 2 2 4" xfId="36196" xr:uid="{00000000-0005-0000-0000-000066CD0000}"/>
    <cellStyle name="Total 2 7 2 3" xfId="11508" xr:uid="{00000000-0005-0000-0000-000067CD0000}"/>
    <cellStyle name="Total 2 7 2 3 2" xfId="41519" xr:uid="{00000000-0005-0000-0000-000068CD0000}"/>
    <cellStyle name="Total 2 7 2 3 3" xfId="40358" xr:uid="{00000000-0005-0000-0000-000069CD0000}"/>
    <cellStyle name="Total 2 7 2 3 4" xfId="29223" xr:uid="{00000000-0005-0000-0000-00006ACD0000}"/>
    <cellStyle name="Total 2 7 2 4" xfId="19689" xr:uid="{00000000-0005-0000-0000-00006BCD0000}"/>
    <cellStyle name="Total 2 7 2 4 2" xfId="45226" xr:uid="{00000000-0005-0000-0000-00006CCD0000}"/>
    <cellStyle name="Total 2 7 2 4 3" xfId="49132" xr:uid="{00000000-0005-0000-0000-00006DCD0000}"/>
    <cellStyle name="Total 2 7 2 4 4" xfId="37220" xr:uid="{00000000-0005-0000-0000-00006ECD0000}"/>
    <cellStyle name="Total 2 7 2 5" xfId="20972" xr:uid="{00000000-0005-0000-0000-00006FCD0000}"/>
    <cellStyle name="Total 2 7 2 5 2" xfId="46509" xr:uid="{00000000-0005-0000-0000-000070CD0000}"/>
    <cellStyle name="Total 2 7 2 5 3" xfId="50415" xr:uid="{00000000-0005-0000-0000-000071CD0000}"/>
    <cellStyle name="Total 2 7 2 5 4" xfId="38378" xr:uid="{00000000-0005-0000-0000-000072CD0000}"/>
    <cellStyle name="Total 2 7 2 6" xfId="21625" xr:uid="{00000000-0005-0000-0000-000073CD0000}"/>
    <cellStyle name="Total 2 7 2 6 2" xfId="47162" xr:uid="{00000000-0005-0000-0000-000074CD0000}"/>
    <cellStyle name="Total 2 7 2 6 3" xfId="51068" xr:uid="{00000000-0005-0000-0000-000075CD0000}"/>
    <cellStyle name="Total 2 7 2 7" xfId="40965" xr:uid="{00000000-0005-0000-0000-000076CD0000}"/>
    <cellStyle name="Total 2 7 2 8" xfId="41434" xr:uid="{00000000-0005-0000-0000-000077CD0000}"/>
    <cellStyle name="Total 2 7 3" xfId="11061" xr:uid="{00000000-0005-0000-0000-000078CD0000}"/>
    <cellStyle name="Total 2 7 3 2" xfId="18854" xr:uid="{00000000-0005-0000-0000-000079CD0000}"/>
    <cellStyle name="Total 2 7 3 2 2" xfId="44401" xr:uid="{00000000-0005-0000-0000-00007ACD0000}"/>
    <cellStyle name="Total 2 7 3 2 3" xfId="48310" xr:uid="{00000000-0005-0000-0000-00007BCD0000}"/>
    <cellStyle name="Total 2 7 3 2 4" xfId="36491" xr:uid="{00000000-0005-0000-0000-00007CCD0000}"/>
    <cellStyle name="Total 2 7 3 3" xfId="20447" xr:uid="{00000000-0005-0000-0000-00007DCD0000}"/>
    <cellStyle name="Total 2 7 3 3 2" xfId="45984" xr:uid="{00000000-0005-0000-0000-00007ECD0000}"/>
    <cellStyle name="Total 2 7 3 3 3" xfId="49890" xr:uid="{00000000-0005-0000-0000-00007FCD0000}"/>
    <cellStyle name="Total 2 7 3 3 4" xfId="37901" xr:uid="{00000000-0005-0000-0000-000080CD0000}"/>
    <cellStyle name="Total 2 7 3 4" xfId="20591" xr:uid="{00000000-0005-0000-0000-000081CD0000}"/>
    <cellStyle name="Total 2 7 3 4 2" xfId="46128" xr:uid="{00000000-0005-0000-0000-000082CD0000}"/>
    <cellStyle name="Total 2 7 3 4 3" xfId="50034" xr:uid="{00000000-0005-0000-0000-000083CD0000}"/>
    <cellStyle name="Total 2 7 3 4 4" xfId="38018" xr:uid="{00000000-0005-0000-0000-000084CD0000}"/>
    <cellStyle name="Total 2 7 3 5" xfId="21267" xr:uid="{00000000-0005-0000-0000-000085CD0000}"/>
    <cellStyle name="Total 2 7 3 5 2" xfId="46804" xr:uid="{00000000-0005-0000-0000-000086CD0000}"/>
    <cellStyle name="Total 2 7 3 5 3" xfId="50710" xr:uid="{00000000-0005-0000-0000-000087CD0000}"/>
    <cellStyle name="Total 2 7 3 5 4" xfId="38673" xr:uid="{00000000-0005-0000-0000-000088CD0000}"/>
    <cellStyle name="Total 2 7 3 6" xfId="21920" xr:uid="{00000000-0005-0000-0000-000089CD0000}"/>
    <cellStyle name="Total 2 7 3 6 2" xfId="47457" xr:uid="{00000000-0005-0000-0000-00008ACD0000}"/>
    <cellStyle name="Total 2 7 3 6 3" xfId="51363" xr:uid="{00000000-0005-0000-0000-00008BCD0000}"/>
    <cellStyle name="Total 2 7 3 7" xfId="41260" xr:uid="{00000000-0005-0000-0000-00008CCD0000}"/>
    <cellStyle name="Total 2 7 3 8" xfId="43615" xr:uid="{00000000-0005-0000-0000-00008DCD0000}"/>
    <cellStyle name="Total 2 7 4" xfId="15281" xr:uid="{00000000-0005-0000-0000-00008ECD0000}"/>
    <cellStyle name="Total 2 7 4 2" xfId="43154" xr:uid="{00000000-0005-0000-0000-00008FCD0000}"/>
    <cellStyle name="Total 2 7 4 3" xfId="43176" xr:uid="{00000000-0005-0000-0000-000090CD0000}"/>
    <cellStyle name="Total 2 7 4 4" xfId="32916" xr:uid="{00000000-0005-0000-0000-000091CD0000}"/>
    <cellStyle name="Total 2 7 5" xfId="11370" xr:uid="{00000000-0005-0000-0000-000092CD0000}"/>
    <cellStyle name="Total 2 7 5 2" xfId="41406" xr:uid="{00000000-0005-0000-0000-000093CD0000}"/>
    <cellStyle name="Total 2 7 5 3" xfId="39579" xr:uid="{00000000-0005-0000-0000-000094CD0000}"/>
    <cellStyle name="Total 2 7 5 4" xfId="29093" xr:uid="{00000000-0005-0000-0000-000095CD0000}"/>
    <cellStyle name="Total 2 7 6" xfId="19698" xr:uid="{00000000-0005-0000-0000-000096CD0000}"/>
    <cellStyle name="Total 2 7 6 2" xfId="45235" xr:uid="{00000000-0005-0000-0000-000097CD0000}"/>
    <cellStyle name="Total 2 7 6 3" xfId="49141" xr:uid="{00000000-0005-0000-0000-000098CD0000}"/>
    <cellStyle name="Total 2 7 6 4" xfId="37227" xr:uid="{00000000-0005-0000-0000-000099CD0000}"/>
    <cellStyle name="Total 2 7 7" xfId="19996" xr:uid="{00000000-0005-0000-0000-00009ACD0000}"/>
    <cellStyle name="Total 2 7 7 2" xfId="45533" xr:uid="{00000000-0005-0000-0000-00009BCD0000}"/>
    <cellStyle name="Total 2 7 7 3" xfId="49439" xr:uid="{00000000-0005-0000-0000-00009CCD0000}"/>
    <cellStyle name="Total 2 7 7 4" xfId="37494" xr:uid="{00000000-0005-0000-0000-00009DCD0000}"/>
    <cellStyle name="Total 2 7 8" xfId="19556" xr:uid="{00000000-0005-0000-0000-00009ECD0000}"/>
    <cellStyle name="Total 2 7 8 2" xfId="45093" xr:uid="{00000000-0005-0000-0000-00009FCD0000}"/>
    <cellStyle name="Total 2 7 8 3" xfId="48999" xr:uid="{00000000-0005-0000-0000-0000A0CD0000}"/>
    <cellStyle name="Total 2 7 9" xfId="40014" xr:uid="{00000000-0005-0000-0000-0000A1CD0000}"/>
    <cellStyle name="Total 2 8" xfId="12145" xr:uid="{00000000-0005-0000-0000-0000A2CD0000}"/>
    <cellStyle name="Total 2 8 2" xfId="41890" xr:uid="{00000000-0005-0000-0000-0000A3CD0000}"/>
    <cellStyle name="Total 2 8 3" xfId="47585" xr:uid="{00000000-0005-0000-0000-0000A4CD0000}"/>
    <cellStyle name="Total 2 8 4" xfId="29817" xr:uid="{00000000-0005-0000-0000-0000A5CD0000}"/>
    <cellStyle name="Total 2 9" xfId="18969" xr:uid="{00000000-0005-0000-0000-0000A6CD0000}"/>
    <cellStyle name="Total 2 9 2" xfId="44506" xr:uid="{00000000-0005-0000-0000-0000A7CD0000}"/>
    <cellStyle name="Total 2 9 3" xfId="48412" xr:uid="{00000000-0005-0000-0000-0000A8CD0000}"/>
    <cellStyle name="Total 2 9 4" xfId="36595" xr:uid="{00000000-0005-0000-0000-0000A9CD0000}"/>
    <cellStyle name="Total 2_Sheet1" xfId="3417" xr:uid="{00000000-0005-0000-0000-0000AACD0000}"/>
    <cellStyle name="Total 3" xfId="143" xr:uid="{00000000-0005-0000-0000-0000ABCD0000}"/>
    <cellStyle name="Total 3 2" xfId="3418" xr:uid="{00000000-0005-0000-0000-0000ACCD0000}"/>
    <cellStyle name="Total 3 2 2" xfId="5453" xr:uid="{00000000-0005-0000-0000-0000ADCD0000}"/>
    <cellStyle name="Total 3 2 2 2" xfId="53462" xr:uid="{00000000-0005-0000-0000-0000AECD0000}"/>
    <cellStyle name="Total 3 2 3" xfId="7500" xr:uid="{00000000-0005-0000-0000-0000AFCD0000}"/>
    <cellStyle name="Total 3 2 3 10" xfId="43097" xr:uid="{00000000-0005-0000-0000-0000B0CD0000}"/>
    <cellStyle name="Total 3 2 3 2" xfId="10773" xr:uid="{00000000-0005-0000-0000-0000B1CD0000}"/>
    <cellStyle name="Total 3 2 3 2 2" xfId="18566" xr:uid="{00000000-0005-0000-0000-0000B2CD0000}"/>
    <cellStyle name="Total 3 2 3 2 2 2" xfId="44113" xr:uid="{00000000-0005-0000-0000-0000B3CD0000}"/>
    <cellStyle name="Total 3 2 3 2 2 3" xfId="48022" xr:uid="{00000000-0005-0000-0000-0000B4CD0000}"/>
    <cellStyle name="Total 3 2 3 2 2 4" xfId="36203" xr:uid="{00000000-0005-0000-0000-0000B5CD0000}"/>
    <cellStyle name="Total 3 2 3 2 3" xfId="19283" xr:uid="{00000000-0005-0000-0000-0000B6CD0000}"/>
    <cellStyle name="Total 3 2 3 2 3 2" xfId="44820" xr:uid="{00000000-0005-0000-0000-0000B7CD0000}"/>
    <cellStyle name="Total 3 2 3 2 3 3" xfId="48726" xr:uid="{00000000-0005-0000-0000-0000B8CD0000}"/>
    <cellStyle name="Total 3 2 3 2 3 4" xfId="36861" xr:uid="{00000000-0005-0000-0000-0000B9CD0000}"/>
    <cellStyle name="Total 3 2 3 2 4" xfId="11657" xr:uid="{00000000-0005-0000-0000-0000BACD0000}"/>
    <cellStyle name="Total 3 2 3 2 4 2" xfId="41668" xr:uid="{00000000-0005-0000-0000-0000BBCD0000}"/>
    <cellStyle name="Total 3 2 3 2 4 3" xfId="40351" xr:uid="{00000000-0005-0000-0000-0000BCCD0000}"/>
    <cellStyle name="Total 3 2 3 2 4 4" xfId="29356" xr:uid="{00000000-0005-0000-0000-0000BDCD0000}"/>
    <cellStyle name="Total 3 2 3 2 5" xfId="20979" xr:uid="{00000000-0005-0000-0000-0000BECD0000}"/>
    <cellStyle name="Total 3 2 3 2 5 2" xfId="46516" xr:uid="{00000000-0005-0000-0000-0000BFCD0000}"/>
    <cellStyle name="Total 3 2 3 2 5 3" xfId="50422" xr:uid="{00000000-0005-0000-0000-0000C0CD0000}"/>
    <cellStyle name="Total 3 2 3 2 5 4" xfId="38385" xr:uid="{00000000-0005-0000-0000-0000C1CD0000}"/>
    <cellStyle name="Total 3 2 3 2 6" xfId="21632" xr:uid="{00000000-0005-0000-0000-0000C2CD0000}"/>
    <cellStyle name="Total 3 2 3 2 6 2" xfId="47169" xr:uid="{00000000-0005-0000-0000-0000C3CD0000}"/>
    <cellStyle name="Total 3 2 3 2 6 3" xfId="51075" xr:uid="{00000000-0005-0000-0000-0000C4CD0000}"/>
    <cellStyle name="Total 3 2 3 2 7" xfId="40972" xr:uid="{00000000-0005-0000-0000-0000C5CD0000}"/>
    <cellStyle name="Total 3 2 3 2 8" xfId="42740" xr:uid="{00000000-0005-0000-0000-0000C6CD0000}"/>
    <cellStyle name="Total 3 2 3 3" xfId="11068" xr:uid="{00000000-0005-0000-0000-0000C7CD0000}"/>
    <cellStyle name="Total 3 2 3 3 2" xfId="18861" xr:uid="{00000000-0005-0000-0000-0000C8CD0000}"/>
    <cellStyle name="Total 3 2 3 3 2 2" xfId="44408" xr:uid="{00000000-0005-0000-0000-0000C9CD0000}"/>
    <cellStyle name="Total 3 2 3 3 2 3" xfId="48317" xr:uid="{00000000-0005-0000-0000-0000CACD0000}"/>
    <cellStyle name="Total 3 2 3 3 2 4" xfId="36498" xr:uid="{00000000-0005-0000-0000-0000CBCD0000}"/>
    <cellStyle name="Total 3 2 3 3 3" xfId="20454" xr:uid="{00000000-0005-0000-0000-0000CCCD0000}"/>
    <cellStyle name="Total 3 2 3 3 3 2" xfId="45991" xr:uid="{00000000-0005-0000-0000-0000CDCD0000}"/>
    <cellStyle name="Total 3 2 3 3 3 3" xfId="49897" xr:uid="{00000000-0005-0000-0000-0000CECD0000}"/>
    <cellStyle name="Total 3 2 3 3 3 4" xfId="37908" xr:uid="{00000000-0005-0000-0000-0000CFCD0000}"/>
    <cellStyle name="Total 3 2 3 3 4" xfId="20598" xr:uid="{00000000-0005-0000-0000-0000D0CD0000}"/>
    <cellStyle name="Total 3 2 3 3 4 2" xfId="46135" xr:uid="{00000000-0005-0000-0000-0000D1CD0000}"/>
    <cellStyle name="Total 3 2 3 3 4 3" xfId="50041" xr:uid="{00000000-0005-0000-0000-0000D2CD0000}"/>
    <cellStyle name="Total 3 2 3 3 4 4" xfId="38025" xr:uid="{00000000-0005-0000-0000-0000D3CD0000}"/>
    <cellStyle name="Total 3 2 3 3 5" xfId="21274" xr:uid="{00000000-0005-0000-0000-0000D4CD0000}"/>
    <cellStyle name="Total 3 2 3 3 5 2" xfId="46811" xr:uid="{00000000-0005-0000-0000-0000D5CD0000}"/>
    <cellStyle name="Total 3 2 3 3 5 3" xfId="50717" xr:uid="{00000000-0005-0000-0000-0000D6CD0000}"/>
    <cellStyle name="Total 3 2 3 3 5 4" xfId="38680" xr:uid="{00000000-0005-0000-0000-0000D7CD0000}"/>
    <cellStyle name="Total 3 2 3 3 6" xfId="21927" xr:uid="{00000000-0005-0000-0000-0000D8CD0000}"/>
    <cellStyle name="Total 3 2 3 3 6 2" xfId="47464" xr:uid="{00000000-0005-0000-0000-0000D9CD0000}"/>
    <cellStyle name="Total 3 2 3 3 6 3" xfId="51370" xr:uid="{00000000-0005-0000-0000-0000DACD0000}"/>
    <cellStyle name="Total 3 2 3 3 7" xfId="41267" xr:uid="{00000000-0005-0000-0000-0000DBCD0000}"/>
    <cellStyle name="Total 3 2 3 3 8" xfId="42044" xr:uid="{00000000-0005-0000-0000-0000DCCD0000}"/>
    <cellStyle name="Total 3 2 3 4" xfId="15288" xr:uid="{00000000-0005-0000-0000-0000DDCD0000}"/>
    <cellStyle name="Total 3 2 3 4 2" xfId="43161" xr:uid="{00000000-0005-0000-0000-0000DECD0000}"/>
    <cellStyle name="Total 3 2 3 4 3" xfId="43553" xr:uid="{00000000-0005-0000-0000-0000DFCD0000}"/>
    <cellStyle name="Total 3 2 3 4 4" xfId="32923" xr:uid="{00000000-0005-0000-0000-0000E0CD0000}"/>
    <cellStyle name="Total 3 2 3 5" xfId="12051" xr:uid="{00000000-0005-0000-0000-0000E1CD0000}"/>
    <cellStyle name="Total 3 2 3 5 2" xfId="41806" xr:uid="{00000000-0005-0000-0000-0000E2CD0000}"/>
    <cellStyle name="Total 3 2 3 5 3" xfId="42572" xr:uid="{00000000-0005-0000-0000-0000E3CD0000}"/>
    <cellStyle name="Total 3 2 3 5 4" xfId="29730" xr:uid="{00000000-0005-0000-0000-0000E4CD0000}"/>
    <cellStyle name="Total 3 2 3 6" xfId="20317" xr:uid="{00000000-0005-0000-0000-0000E5CD0000}"/>
    <cellStyle name="Total 3 2 3 6 2" xfId="45854" xr:uid="{00000000-0005-0000-0000-0000E6CD0000}"/>
    <cellStyle name="Total 3 2 3 6 3" xfId="49760" xr:uid="{00000000-0005-0000-0000-0000E7CD0000}"/>
    <cellStyle name="Total 3 2 3 6 4" xfId="37781" xr:uid="{00000000-0005-0000-0000-0000E8CD0000}"/>
    <cellStyle name="Total 3 2 3 7" xfId="13911" xr:uid="{00000000-0005-0000-0000-0000E9CD0000}"/>
    <cellStyle name="Total 3 2 3 7 2" xfId="42646" xr:uid="{00000000-0005-0000-0000-0000EACD0000}"/>
    <cellStyle name="Total 3 2 3 7 3" xfId="40169" xr:uid="{00000000-0005-0000-0000-0000EBCD0000}"/>
    <cellStyle name="Total 3 2 3 7 4" xfId="31549" xr:uid="{00000000-0005-0000-0000-0000ECCD0000}"/>
    <cellStyle name="Total 3 2 3 8" xfId="13201" xr:uid="{00000000-0005-0000-0000-0000EDCD0000}"/>
    <cellStyle name="Total 3 2 3 8 2" xfId="42422" xr:uid="{00000000-0005-0000-0000-0000EECD0000}"/>
    <cellStyle name="Total 3 2 3 8 3" xfId="43316" xr:uid="{00000000-0005-0000-0000-0000EFCD0000}"/>
    <cellStyle name="Total 3 2 3 9" xfId="40021" xr:uid="{00000000-0005-0000-0000-0000F0CD0000}"/>
    <cellStyle name="Total 3 2 4" xfId="12151" xr:uid="{00000000-0005-0000-0000-0000F1CD0000}"/>
    <cellStyle name="Total 3 2 4 2" xfId="41896" xr:uid="{00000000-0005-0000-0000-0000F2CD0000}"/>
    <cellStyle name="Total 3 2 4 3" xfId="43283" xr:uid="{00000000-0005-0000-0000-0000F3CD0000}"/>
    <cellStyle name="Total 3 2 4 4" xfId="29823" xr:uid="{00000000-0005-0000-0000-0000F4CD0000}"/>
    <cellStyle name="Total 3 2 5" xfId="19210" xr:uid="{00000000-0005-0000-0000-0000F5CD0000}"/>
    <cellStyle name="Total 3 2 5 2" xfId="44747" xr:uid="{00000000-0005-0000-0000-0000F6CD0000}"/>
    <cellStyle name="Total 3 2 5 3" xfId="48653" xr:uid="{00000000-0005-0000-0000-0000F7CD0000}"/>
    <cellStyle name="Total 3 2 5 4" xfId="36795" xr:uid="{00000000-0005-0000-0000-0000F8CD0000}"/>
    <cellStyle name="Total 3 2 6" xfId="53360" xr:uid="{00000000-0005-0000-0000-0000F9CD0000}"/>
    <cellStyle name="Total 3 3" xfId="3419" xr:uid="{00000000-0005-0000-0000-0000FACD0000}"/>
    <cellStyle name="Total 3 3 2" xfId="5454" xr:uid="{00000000-0005-0000-0000-0000FBCD0000}"/>
    <cellStyle name="Total 3 3 3" xfId="7501" xr:uid="{00000000-0005-0000-0000-0000FCCD0000}"/>
    <cellStyle name="Total 3 3 3 10" xfId="43764" xr:uid="{00000000-0005-0000-0000-0000FDCD0000}"/>
    <cellStyle name="Total 3 3 3 2" xfId="10774" xr:uid="{00000000-0005-0000-0000-0000FECD0000}"/>
    <cellStyle name="Total 3 3 3 2 2" xfId="18567" xr:uid="{00000000-0005-0000-0000-0000FFCD0000}"/>
    <cellStyle name="Total 3 3 3 2 2 2" xfId="44114" xr:uid="{00000000-0005-0000-0000-000000CE0000}"/>
    <cellStyle name="Total 3 3 3 2 2 3" xfId="48023" xr:uid="{00000000-0005-0000-0000-000001CE0000}"/>
    <cellStyle name="Total 3 3 3 2 2 4" xfId="36204" xr:uid="{00000000-0005-0000-0000-000002CE0000}"/>
    <cellStyle name="Total 3 3 3 2 3" xfId="19892" xr:uid="{00000000-0005-0000-0000-000003CE0000}"/>
    <cellStyle name="Total 3 3 3 2 3 2" xfId="45429" xr:uid="{00000000-0005-0000-0000-000004CE0000}"/>
    <cellStyle name="Total 3 3 3 2 3 3" xfId="49335" xr:uid="{00000000-0005-0000-0000-000005CE0000}"/>
    <cellStyle name="Total 3 3 3 2 3 4" xfId="37406" xr:uid="{00000000-0005-0000-0000-000006CE0000}"/>
    <cellStyle name="Total 3 3 3 2 4" xfId="19651" xr:uid="{00000000-0005-0000-0000-000007CE0000}"/>
    <cellStyle name="Total 3 3 3 2 4 2" xfId="45188" xr:uid="{00000000-0005-0000-0000-000008CE0000}"/>
    <cellStyle name="Total 3 3 3 2 4 3" xfId="49094" xr:uid="{00000000-0005-0000-0000-000009CE0000}"/>
    <cellStyle name="Total 3 3 3 2 4 4" xfId="37186" xr:uid="{00000000-0005-0000-0000-00000ACE0000}"/>
    <cellStyle name="Total 3 3 3 2 5" xfId="20980" xr:uid="{00000000-0005-0000-0000-00000BCE0000}"/>
    <cellStyle name="Total 3 3 3 2 5 2" xfId="46517" xr:uid="{00000000-0005-0000-0000-00000CCE0000}"/>
    <cellStyle name="Total 3 3 3 2 5 3" xfId="50423" xr:uid="{00000000-0005-0000-0000-00000DCE0000}"/>
    <cellStyle name="Total 3 3 3 2 5 4" xfId="38386" xr:uid="{00000000-0005-0000-0000-00000ECE0000}"/>
    <cellStyle name="Total 3 3 3 2 6" xfId="21633" xr:uid="{00000000-0005-0000-0000-00000FCE0000}"/>
    <cellStyle name="Total 3 3 3 2 6 2" xfId="47170" xr:uid="{00000000-0005-0000-0000-000010CE0000}"/>
    <cellStyle name="Total 3 3 3 2 6 3" xfId="51076" xr:uid="{00000000-0005-0000-0000-000011CE0000}"/>
    <cellStyle name="Total 3 3 3 2 7" xfId="40973" xr:uid="{00000000-0005-0000-0000-000012CE0000}"/>
    <cellStyle name="Total 3 3 3 2 8" xfId="43629" xr:uid="{00000000-0005-0000-0000-000013CE0000}"/>
    <cellStyle name="Total 3 3 3 3" xfId="11069" xr:uid="{00000000-0005-0000-0000-000014CE0000}"/>
    <cellStyle name="Total 3 3 3 3 2" xfId="18862" xr:uid="{00000000-0005-0000-0000-000015CE0000}"/>
    <cellStyle name="Total 3 3 3 3 2 2" xfId="44409" xr:uid="{00000000-0005-0000-0000-000016CE0000}"/>
    <cellStyle name="Total 3 3 3 3 2 3" xfId="48318" xr:uid="{00000000-0005-0000-0000-000017CE0000}"/>
    <cellStyle name="Total 3 3 3 3 2 4" xfId="36499" xr:uid="{00000000-0005-0000-0000-000018CE0000}"/>
    <cellStyle name="Total 3 3 3 3 3" xfId="20455" xr:uid="{00000000-0005-0000-0000-000019CE0000}"/>
    <cellStyle name="Total 3 3 3 3 3 2" xfId="45992" xr:uid="{00000000-0005-0000-0000-00001ACE0000}"/>
    <cellStyle name="Total 3 3 3 3 3 3" xfId="49898" xr:uid="{00000000-0005-0000-0000-00001BCE0000}"/>
    <cellStyle name="Total 3 3 3 3 3 4" xfId="37909" xr:uid="{00000000-0005-0000-0000-00001CCE0000}"/>
    <cellStyle name="Total 3 3 3 3 4" xfId="20599" xr:uid="{00000000-0005-0000-0000-00001DCE0000}"/>
    <cellStyle name="Total 3 3 3 3 4 2" xfId="46136" xr:uid="{00000000-0005-0000-0000-00001ECE0000}"/>
    <cellStyle name="Total 3 3 3 3 4 3" xfId="50042" xr:uid="{00000000-0005-0000-0000-00001FCE0000}"/>
    <cellStyle name="Total 3 3 3 3 4 4" xfId="38026" xr:uid="{00000000-0005-0000-0000-000020CE0000}"/>
    <cellStyle name="Total 3 3 3 3 5" xfId="21275" xr:uid="{00000000-0005-0000-0000-000021CE0000}"/>
    <cellStyle name="Total 3 3 3 3 5 2" xfId="46812" xr:uid="{00000000-0005-0000-0000-000022CE0000}"/>
    <cellStyle name="Total 3 3 3 3 5 3" xfId="50718" xr:uid="{00000000-0005-0000-0000-000023CE0000}"/>
    <cellStyle name="Total 3 3 3 3 5 4" xfId="38681" xr:uid="{00000000-0005-0000-0000-000024CE0000}"/>
    <cellStyle name="Total 3 3 3 3 6" xfId="21928" xr:uid="{00000000-0005-0000-0000-000025CE0000}"/>
    <cellStyle name="Total 3 3 3 3 6 2" xfId="47465" xr:uid="{00000000-0005-0000-0000-000026CE0000}"/>
    <cellStyle name="Total 3 3 3 3 6 3" xfId="51371" xr:uid="{00000000-0005-0000-0000-000027CE0000}"/>
    <cellStyle name="Total 3 3 3 3 7" xfId="41268" xr:uid="{00000000-0005-0000-0000-000028CE0000}"/>
    <cellStyle name="Total 3 3 3 3 8" xfId="43363" xr:uid="{00000000-0005-0000-0000-000029CE0000}"/>
    <cellStyle name="Total 3 3 3 4" xfId="15289" xr:uid="{00000000-0005-0000-0000-00002ACE0000}"/>
    <cellStyle name="Total 3 3 3 4 2" xfId="43162" xr:uid="{00000000-0005-0000-0000-00002BCE0000}"/>
    <cellStyle name="Total 3 3 3 4 3" xfId="40415" xr:uid="{00000000-0005-0000-0000-00002CCE0000}"/>
    <cellStyle name="Total 3 3 3 4 4" xfId="32924" xr:uid="{00000000-0005-0000-0000-00002DCE0000}"/>
    <cellStyle name="Total 3 3 3 5" xfId="12052" xr:uid="{00000000-0005-0000-0000-00002ECE0000}"/>
    <cellStyle name="Total 3 3 3 5 2" xfId="41807" xr:uid="{00000000-0005-0000-0000-00002FCE0000}"/>
    <cellStyle name="Total 3 3 3 5 3" xfId="47586" xr:uid="{00000000-0005-0000-0000-000030CE0000}"/>
    <cellStyle name="Total 3 3 3 5 4" xfId="29731" xr:uid="{00000000-0005-0000-0000-000031CE0000}"/>
    <cellStyle name="Total 3 3 3 6" xfId="19798" xr:uid="{00000000-0005-0000-0000-000032CE0000}"/>
    <cellStyle name="Total 3 3 3 6 2" xfId="45335" xr:uid="{00000000-0005-0000-0000-000033CE0000}"/>
    <cellStyle name="Total 3 3 3 6 3" xfId="49241" xr:uid="{00000000-0005-0000-0000-000034CE0000}"/>
    <cellStyle name="Total 3 3 3 6 4" xfId="37321" xr:uid="{00000000-0005-0000-0000-000035CE0000}"/>
    <cellStyle name="Total 3 3 3 7" xfId="20279" xr:uid="{00000000-0005-0000-0000-000036CE0000}"/>
    <cellStyle name="Total 3 3 3 7 2" xfId="45816" xr:uid="{00000000-0005-0000-0000-000037CE0000}"/>
    <cellStyle name="Total 3 3 3 7 3" xfId="49722" xr:uid="{00000000-0005-0000-0000-000038CE0000}"/>
    <cellStyle name="Total 3 3 3 7 4" xfId="37747" xr:uid="{00000000-0005-0000-0000-000039CE0000}"/>
    <cellStyle name="Total 3 3 3 8" xfId="19049" xr:uid="{00000000-0005-0000-0000-00003ACE0000}"/>
    <cellStyle name="Total 3 3 3 8 2" xfId="44586" xr:uid="{00000000-0005-0000-0000-00003BCE0000}"/>
    <cellStyle name="Total 3 3 3 8 3" xfId="48492" xr:uid="{00000000-0005-0000-0000-00003CCE0000}"/>
    <cellStyle name="Total 3 3 3 9" xfId="40022" xr:uid="{00000000-0005-0000-0000-00003DCE0000}"/>
    <cellStyle name="Total 3 3 4" xfId="12152" xr:uid="{00000000-0005-0000-0000-00003ECE0000}"/>
    <cellStyle name="Total 3 3 4 2" xfId="41897" xr:uid="{00000000-0005-0000-0000-00003FCE0000}"/>
    <cellStyle name="Total 3 3 4 3" xfId="40142" xr:uid="{00000000-0005-0000-0000-000040CE0000}"/>
    <cellStyle name="Total 3 3 4 4" xfId="29824" xr:uid="{00000000-0005-0000-0000-000041CE0000}"/>
    <cellStyle name="Total 3 3 5" xfId="19840" xr:uid="{00000000-0005-0000-0000-000042CE0000}"/>
    <cellStyle name="Total 3 3 5 2" xfId="45377" xr:uid="{00000000-0005-0000-0000-000043CE0000}"/>
    <cellStyle name="Total 3 3 5 3" xfId="49283" xr:uid="{00000000-0005-0000-0000-000044CE0000}"/>
    <cellStyle name="Total 3 3 5 4" xfId="37358" xr:uid="{00000000-0005-0000-0000-000045CE0000}"/>
    <cellStyle name="Total 3 3 6" xfId="53461" xr:uid="{00000000-0005-0000-0000-000046CE0000}"/>
    <cellStyle name="Total 3 4" xfId="5455" xr:uid="{00000000-0005-0000-0000-000047CE0000}"/>
    <cellStyle name="Total 3 4 2" xfId="6129" xr:uid="{00000000-0005-0000-0000-000048CE0000}"/>
    <cellStyle name="Total 3 4 2 2" xfId="10483" xr:uid="{00000000-0005-0000-0000-000049CE0000}"/>
    <cellStyle name="Total 3 4 2 2 2" xfId="18276" xr:uid="{00000000-0005-0000-0000-00004ACE0000}"/>
    <cellStyle name="Total 3 4 2 2 2 2" xfId="43823" xr:uid="{00000000-0005-0000-0000-00004BCE0000}"/>
    <cellStyle name="Total 3 4 2 2 2 3" xfId="47732" xr:uid="{00000000-0005-0000-0000-00004CCE0000}"/>
    <cellStyle name="Total 3 4 2 2 2 4" xfId="35913" xr:uid="{00000000-0005-0000-0000-00004DCE0000}"/>
    <cellStyle name="Total 3 4 2 2 3" xfId="13315" xr:uid="{00000000-0005-0000-0000-00004ECE0000}"/>
    <cellStyle name="Total 3 4 2 2 3 2" xfId="42485" xr:uid="{00000000-0005-0000-0000-00004FCE0000}"/>
    <cellStyle name="Total 3 4 2 2 3 3" xfId="39284" xr:uid="{00000000-0005-0000-0000-000050CE0000}"/>
    <cellStyle name="Total 3 4 2 2 3 4" xfId="30955" xr:uid="{00000000-0005-0000-0000-000051CE0000}"/>
    <cellStyle name="Total 3 4 2 2 4" xfId="18967" xr:uid="{00000000-0005-0000-0000-000052CE0000}"/>
    <cellStyle name="Total 3 4 2 2 4 2" xfId="44504" xr:uid="{00000000-0005-0000-0000-000053CE0000}"/>
    <cellStyle name="Total 3 4 2 2 4 3" xfId="48410" xr:uid="{00000000-0005-0000-0000-000054CE0000}"/>
    <cellStyle name="Total 3 4 2 2 4 4" xfId="36593" xr:uid="{00000000-0005-0000-0000-000055CE0000}"/>
    <cellStyle name="Total 3 4 2 2 5" xfId="20689" xr:uid="{00000000-0005-0000-0000-000056CE0000}"/>
    <cellStyle name="Total 3 4 2 2 5 2" xfId="46226" xr:uid="{00000000-0005-0000-0000-000057CE0000}"/>
    <cellStyle name="Total 3 4 2 2 5 3" xfId="50132" xr:uid="{00000000-0005-0000-0000-000058CE0000}"/>
    <cellStyle name="Total 3 4 2 2 5 4" xfId="38095" xr:uid="{00000000-0005-0000-0000-000059CE0000}"/>
    <cellStyle name="Total 3 4 2 2 6" xfId="21342" xr:uid="{00000000-0005-0000-0000-00005ACE0000}"/>
    <cellStyle name="Total 3 4 2 2 6 2" xfId="46879" xr:uid="{00000000-0005-0000-0000-00005BCE0000}"/>
    <cellStyle name="Total 3 4 2 2 6 3" xfId="50785" xr:uid="{00000000-0005-0000-0000-00005CCE0000}"/>
    <cellStyle name="Total 3 4 2 2 7" xfId="40682" xr:uid="{00000000-0005-0000-0000-00005DCE0000}"/>
    <cellStyle name="Total 3 4 2 2 8" xfId="40107" xr:uid="{00000000-0005-0000-0000-00005ECE0000}"/>
    <cellStyle name="Total 3 4 2 3" xfId="9345" xr:uid="{00000000-0005-0000-0000-00005FCE0000}"/>
    <cellStyle name="Total 3 4 2 3 2" xfId="17140" xr:uid="{00000000-0005-0000-0000-000060CE0000}"/>
    <cellStyle name="Total 3 4 2 3 2 2" xfId="43549" xr:uid="{00000000-0005-0000-0000-000061CE0000}"/>
    <cellStyle name="Total 3 4 2 3 2 3" xfId="47669" xr:uid="{00000000-0005-0000-0000-000062CE0000}"/>
    <cellStyle name="Total 3 4 2 3 2 4" xfId="34776" xr:uid="{00000000-0005-0000-0000-000063CE0000}"/>
    <cellStyle name="Total 3 4 2 3 3" xfId="20202" xr:uid="{00000000-0005-0000-0000-000064CE0000}"/>
    <cellStyle name="Total 3 4 2 3 3 2" xfId="45739" xr:uid="{00000000-0005-0000-0000-000065CE0000}"/>
    <cellStyle name="Total 3 4 2 3 3 3" xfId="49645" xr:uid="{00000000-0005-0000-0000-000066CE0000}"/>
    <cellStyle name="Total 3 4 2 3 3 4" xfId="37684" xr:uid="{00000000-0005-0000-0000-000067CE0000}"/>
    <cellStyle name="Total 3 4 2 3 4" xfId="19479" xr:uid="{00000000-0005-0000-0000-000068CE0000}"/>
    <cellStyle name="Total 3 4 2 3 4 2" xfId="45016" xr:uid="{00000000-0005-0000-0000-000069CE0000}"/>
    <cellStyle name="Total 3 4 2 3 4 3" xfId="48922" xr:uid="{00000000-0005-0000-0000-00006ACE0000}"/>
    <cellStyle name="Total 3 4 2 3 4 4" xfId="37036" xr:uid="{00000000-0005-0000-0000-00006BCE0000}"/>
    <cellStyle name="Total 3 4 2 3 5" xfId="19500" xr:uid="{00000000-0005-0000-0000-00006CCE0000}"/>
    <cellStyle name="Total 3 4 2 3 5 2" xfId="45037" xr:uid="{00000000-0005-0000-0000-00006DCE0000}"/>
    <cellStyle name="Total 3 4 2 3 5 3" xfId="48943" xr:uid="{00000000-0005-0000-0000-00006ECE0000}"/>
    <cellStyle name="Total 3 4 2 3 5 4" xfId="37051" xr:uid="{00000000-0005-0000-0000-00006FCE0000}"/>
    <cellStyle name="Total 3 4 2 3 6" xfId="18914" xr:uid="{00000000-0005-0000-0000-000070CE0000}"/>
    <cellStyle name="Total 3 4 2 3 6 2" xfId="44451" xr:uid="{00000000-0005-0000-0000-000071CE0000}"/>
    <cellStyle name="Total 3 4 2 3 6 3" xfId="48357" xr:uid="{00000000-0005-0000-0000-000072CE0000}"/>
    <cellStyle name="Total 3 4 2 3 7" xfId="40412" xr:uid="{00000000-0005-0000-0000-000073CE0000}"/>
    <cellStyle name="Total 3 4 2 3 8" xfId="39208" xr:uid="{00000000-0005-0000-0000-000074CE0000}"/>
    <cellStyle name="Total 3 4 2 4" xfId="13919" xr:uid="{00000000-0005-0000-0000-000075CE0000}"/>
    <cellStyle name="Total 3 4 2 4 2" xfId="42654" xr:uid="{00000000-0005-0000-0000-000076CE0000}"/>
    <cellStyle name="Total 3 4 2 4 3" xfId="42789" xr:uid="{00000000-0005-0000-0000-000077CE0000}"/>
    <cellStyle name="Total 3 4 2 4 4" xfId="31555" xr:uid="{00000000-0005-0000-0000-000078CE0000}"/>
    <cellStyle name="Total 3 4 2 5" xfId="12803" xr:uid="{00000000-0005-0000-0000-000079CE0000}"/>
    <cellStyle name="Total 3 4 2 5 2" xfId="42218" xr:uid="{00000000-0005-0000-0000-00007ACE0000}"/>
    <cellStyle name="Total 3 4 2 5 3" xfId="43583" xr:uid="{00000000-0005-0000-0000-00007BCE0000}"/>
    <cellStyle name="Total 3 4 2 5 4" xfId="30460" xr:uid="{00000000-0005-0000-0000-00007CCE0000}"/>
    <cellStyle name="Total 3 4 3" xfId="7502" xr:uid="{00000000-0005-0000-0000-00007DCE0000}"/>
    <cellStyle name="Total 3 4 3 10" xfId="40623" xr:uid="{00000000-0005-0000-0000-00007ECE0000}"/>
    <cellStyle name="Total 3 4 3 2" xfId="10775" xr:uid="{00000000-0005-0000-0000-00007FCE0000}"/>
    <cellStyle name="Total 3 4 3 2 2" xfId="18568" xr:uid="{00000000-0005-0000-0000-000080CE0000}"/>
    <cellStyle name="Total 3 4 3 2 2 2" xfId="44115" xr:uid="{00000000-0005-0000-0000-000081CE0000}"/>
    <cellStyle name="Total 3 4 3 2 2 3" xfId="48024" xr:uid="{00000000-0005-0000-0000-000082CE0000}"/>
    <cellStyle name="Total 3 4 3 2 2 4" xfId="36205" xr:uid="{00000000-0005-0000-0000-000083CE0000}"/>
    <cellStyle name="Total 3 4 3 2 3" xfId="19115" xr:uid="{00000000-0005-0000-0000-000084CE0000}"/>
    <cellStyle name="Total 3 4 3 2 3 2" xfId="44652" xr:uid="{00000000-0005-0000-0000-000085CE0000}"/>
    <cellStyle name="Total 3 4 3 2 3 3" xfId="48558" xr:uid="{00000000-0005-0000-0000-000086CE0000}"/>
    <cellStyle name="Total 3 4 3 2 3 4" xfId="36710" xr:uid="{00000000-0005-0000-0000-000087CE0000}"/>
    <cellStyle name="Total 3 4 3 2 4" xfId="18917" xr:uid="{00000000-0005-0000-0000-000088CE0000}"/>
    <cellStyle name="Total 3 4 3 2 4 2" xfId="44454" xr:uid="{00000000-0005-0000-0000-000089CE0000}"/>
    <cellStyle name="Total 3 4 3 2 4 3" xfId="48360" xr:uid="{00000000-0005-0000-0000-00008ACE0000}"/>
    <cellStyle name="Total 3 4 3 2 4 4" xfId="36547" xr:uid="{00000000-0005-0000-0000-00008BCE0000}"/>
    <cellStyle name="Total 3 4 3 2 5" xfId="20981" xr:uid="{00000000-0005-0000-0000-00008CCE0000}"/>
    <cellStyle name="Total 3 4 3 2 5 2" xfId="46518" xr:uid="{00000000-0005-0000-0000-00008DCE0000}"/>
    <cellStyle name="Total 3 4 3 2 5 3" xfId="50424" xr:uid="{00000000-0005-0000-0000-00008ECE0000}"/>
    <cellStyle name="Total 3 4 3 2 5 4" xfId="38387" xr:uid="{00000000-0005-0000-0000-00008FCE0000}"/>
    <cellStyle name="Total 3 4 3 2 6" xfId="21634" xr:uid="{00000000-0005-0000-0000-000090CE0000}"/>
    <cellStyle name="Total 3 4 3 2 6 2" xfId="47171" xr:uid="{00000000-0005-0000-0000-000091CE0000}"/>
    <cellStyle name="Total 3 4 3 2 6 3" xfId="51077" xr:uid="{00000000-0005-0000-0000-000092CE0000}"/>
    <cellStyle name="Total 3 4 3 2 7" xfId="40974" xr:uid="{00000000-0005-0000-0000-000093CE0000}"/>
    <cellStyle name="Total 3 4 3 2 8" xfId="40487" xr:uid="{00000000-0005-0000-0000-000094CE0000}"/>
    <cellStyle name="Total 3 4 3 3" xfId="11070" xr:uid="{00000000-0005-0000-0000-000095CE0000}"/>
    <cellStyle name="Total 3 4 3 3 2" xfId="18863" xr:uid="{00000000-0005-0000-0000-000096CE0000}"/>
    <cellStyle name="Total 3 4 3 3 2 2" xfId="44410" xr:uid="{00000000-0005-0000-0000-000097CE0000}"/>
    <cellStyle name="Total 3 4 3 3 2 3" xfId="48319" xr:uid="{00000000-0005-0000-0000-000098CE0000}"/>
    <cellStyle name="Total 3 4 3 3 2 4" xfId="36500" xr:uid="{00000000-0005-0000-0000-000099CE0000}"/>
    <cellStyle name="Total 3 4 3 3 3" xfId="20456" xr:uid="{00000000-0005-0000-0000-00009ACE0000}"/>
    <cellStyle name="Total 3 4 3 3 3 2" xfId="45993" xr:uid="{00000000-0005-0000-0000-00009BCE0000}"/>
    <cellStyle name="Total 3 4 3 3 3 3" xfId="49899" xr:uid="{00000000-0005-0000-0000-00009CCE0000}"/>
    <cellStyle name="Total 3 4 3 3 3 4" xfId="37910" xr:uid="{00000000-0005-0000-0000-00009DCE0000}"/>
    <cellStyle name="Total 3 4 3 3 4" xfId="20600" xr:uid="{00000000-0005-0000-0000-00009ECE0000}"/>
    <cellStyle name="Total 3 4 3 3 4 2" xfId="46137" xr:uid="{00000000-0005-0000-0000-00009FCE0000}"/>
    <cellStyle name="Total 3 4 3 3 4 3" xfId="50043" xr:uid="{00000000-0005-0000-0000-0000A0CE0000}"/>
    <cellStyle name="Total 3 4 3 3 4 4" xfId="38027" xr:uid="{00000000-0005-0000-0000-0000A1CE0000}"/>
    <cellStyle name="Total 3 4 3 3 5" xfId="21276" xr:uid="{00000000-0005-0000-0000-0000A2CE0000}"/>
    <cellStyle name="Total 3 4 3 3 5 2" xfId="46813" xr:uid="{00000000-0005-0000-0000-0000A3CE0000}"/>
    <cellStyle name="Total 3 4 3 3 5 3" xfId="50719" xr:uid="{00000000-0005-0000-0000-0000A4CE0000}"/>
    <cellStyle name="Total 3 4 3 3 5 4" xfId="38682" xr:uid="{00000000-0005-0000-0000-0000A5CE0000}"/>
    <cellStyle name="Total 3 4 3 3 6" xfId="21929" xr:uid="{00000000-0005-0000-0000-0000A6CE0000}"/>
    <cellStyle name="Total 3 4 3 3 6 2" xfId="47466" xr:uid="{00000000-0005-0000-0000-0000A7CE0000}"/>
    <cellStyle name="Total 3 4 3 3 6 3" xfId="51372" xr:uid="{00000000-0005-0000-0000-0000A8CE0000}"/>
    <cellStyle name="Total 3 4 3 3 7" xfId="41269" xr:uid="{00000000-0005-0000-0000-0000A9CE0000}"/>
    <cellStyle name="Total 3 4 3 3 8" xfId="40225" xr:uid="{00000000-0005-0000-0000-0000AACE0000}"/>
    <cellStyle name="Total 3 4 3 4" xfId="15290" xr:uid="{00000000-0005-0000-0000-0000ABCE0000}"/>
    <cellStyle name="Total 3 4 3 4 2" xfId="43163" xr:uid="{00000000-0005-0000-0000-0000ACCE0000}"/>
    <cellStyle name="Total 3 4 3 4 3" xfId="39524" xr:uid="{00000000-0005-0000-0000-0000ADCE0000}"/>
    <cellStyle name="Total 3 4 3 4 4" xfId="32925" xr:uid="{00000000-0005-0000-0000-0000AECE0000}"/>
    <cellStyle name="Total 3 4 3 5" xfId="12053" xr:uid="{00000000-0005-0000-0000-0000AFCE0000}"/>
    <cellStyle name="Total 3 4 3 5 2" xfId="41808" xr:uid="{00000000-0005-0000-0000-0000B0CE0000}"/>
    <cellStyle name="Total 3 4 3 5 3" xfId="43486" xr:uid="{00000000-0005-0000-0000-0000B1CE0000}"/>
    <cellStyle name="Total 3 4 3 5 4" xfId="29732" xr:uid="{00000000-0005-0000-0000-0000B2CE0000}"/>
    <cellStyle name="Total 3 4 3 6" xfId="19664" xr:uid="{00000000-0005-0000-0000-0000B3CE0000}"/>
    <cellStyle name="Total 3 4 3 6 2" xfId="45201" xr:uid="{00000000-0005-0000-0000-0000B4CE0000}"/>
    <cellStyle name="Total 3 4 3 6 3" xfId="49107" xr:uid="{00000000-0005-0000-0000-0000B5CE0000}"/>
    <cellStyle name="Total 3 4 3 6 4" xfId="37198" xr:uid="{00000000-0005-0000-0000-0000B6CE0000}"/>
    <cellStyle name="Total 3 4 3 7" xfId="19024" xr:uid="{00000000-0005-0000-0000-0000B7CE0000}"/>
    <cellStyle name="Total 3 4 3 7 2" xfId="44561" xr:uid="{00000000-0005-0000-0000-0000B8CE0000}"/>
    <cellStyle name="Total 3 4 3 7 3" xfId="48467" xr:uid="{00000000-0005-0000-0000-0000B9CE0000}"/>
    <cellStyle name="Total 3 4 3 7 4" xfId="36632" xr:uid="{00000000-0005-0000-0000-0000BACE0000}"/>
    <cellStyle name="Total 3 4 3 8" xfId="18898" xr:uid="{00000000-0005-0000-0000-0000BBCE0000}"/>
    <cellStyle name="Total 3 4 3 8 2" xfId="44435" xr:uid="{00000000-0005-0000-0000-0000BCCE0000}"/>
    <cellStyle name="Total 3 4 3 8 3" xfId="48341" xr:uid="{00000000-0005-0000-0000-0000BDCE0000}"/>
    <cellStyle name="Total 3 4 3 9" xfId="40023" xr:uid="{00000000-0005-0000-0000-0000BECE0000}"/>
    <cellStyle name="Total 3 5" xfId="5452" xr:uid="{00000000-0005-0000-0000-0000BFCE0000}"/>
    <cellStyle name="Total 3 6" xfId="7499" xr:uid="{00000000-0005-0000-0000-0000C0CE0000}"/>
    <cellStyle name="Total 3 6 10" xfId="40128" xr:uid="{00000000-0005-0000-0000-0000C1CE0000}"/>
    <cellStyle name="Total 3 6 2" xfId="10772" xr:uid="{00000000-0005-0000-0000-0000C2CE0000}"/>
    <cellStyle name="Total 3 6 2 2" xfId="18565" xr:uid="{00000000-0005-0000-0000-0000C3CE0000}"/>
    <cellStyle name="Total 3 6 2 2 2" xfId="44112" xr:uid="{00000000-0005-0000-0000-0000C4CE0000}"/>
    <cellStyle name="Total 3 6 2 2 3" xfId="48021" xr:uid="{00000000-0005-0000-0000-0000C5CE0000}"/>
    <cellStyle name="Total 3 6 2 2 4" xfId="36202" xr:uid="{00000000-0005-0000-0000-0000C6CE0000}"/>
    <cellStyle name="Total 3 6 2 3" xfId="20017" xr:uid="{00000000-0005-0000-0000-0000C7CE0000}"/>
    <cellStyle name="Total 3 6 2 3 2" xfId="45554" xr:uid="{00000000-0005-0000-0000-0000C8CE0000}"/>
    <cellStyle name="Total 3 6 2 3 3" xfId="49460" xr:uid="{00000000-0005-0000-0000-0000C9CE0000}"/>
    <cellStyle name="Total 3 6 2 3 4" xfId="37515" xr:uid="{00000000-0005-0000-0000-0000CACE0000}"/>
    <cellStyle name="Total 3 6 2 4" xfId="11628" xr:uid="{00000000-0005-0000-0000-0000CBCE0000}"/>
    <cellStyle name="Total 3 6 2 4 2" xfId="41639" xr:uid="{00000000-0005-0000-0000-0000CCCE0000}"/>
    <cellStyle name="Total 3 6 2 4 3" xfId="43345" xr:uid="{00000000-0005-0000-0000-0000CDCE0000}"/>
    <cellStyle name="Total 3 6 2 4 4" xfId="29331" xr:uid="{00000000-0005-0000-0000-0000CECE0000}"/>
    <cellStyle name="Total 3 6 2 5" xfId="20978" xr:uid="{00000000-0005-0000-0000-0000CFCE0000}"/>
    <cellStyle name="Total 3 6 2 5 2" xfId="46515" xr:uid="{00000000-0005-0000-0000-0000D0CE0000}"/>
    <cellStyle name="Total 3 6 2 5 3" xfId="50421" xr:uid="{00000000-0005-0000-0000-0000D1CE0000}"/>
    <cellStyle name="Total 3 6 2 5 4" xfId="38384" xr:uid="{00000000-0005-0000-0000-0000D2CE0000}"/>
    <cellStyle name="Total 3 6 2 6" xfId="21631" xr:uid="{00000000-0005-0000-0000-0000D3CE0000}"/>
    <cellStyle name="Total 3 6 2 6 2" xfId="47168" xr:uid="{00000000-0005-0000-0000-0000D4CE0000}"/>
    <cellStyle name="Total 3 6 2 6 3" xfId="51074" xr:uid="{00000000-0005-0000-0000-0000D5CE0000}"/>
    <cellStyle name="Total 3 6 2 7" xfId="40971" xr:uid="{00000000-0005-0000-0000-0000D6CE0000}"/>
    <cellStyle name="Total 3 6 2 8" xfId="39703" xr:uid="{00000000-0005-0000-0000-0000D7CE0000}"/>
    <cellStyle name="Total 3 6 3" xfId="11067" xr:uid="{00000000-0005-0000-0000-0000D8CE0000}"/>
    <cellStyle name="Total 3 6 3 2" xfId="18860" xr:uid="{00000000-0005-0000-0000-0000D9CE0000}"/>
    <cellStyle name="Total 3 6 3 2 2" xfId="44407" xr:uid="{00000000-0005-0000-0000-0000DACE0000}"/>
    <cellStyle name="Total 3 6 3 2 3" xfId="48316" xr:uid="{00000000-0005-0000-0000-0000DBCE0000}"/>
    <cellStyle name="Total 3 6 3 2 4" xfId="36497" xr:uid="{00000000-0005-0000-0000-0000DCCE0000}"/>
    <cellStyle name="Total 3 6 3 3" xfId="20453" xr:uid="{00000000-0005-0000-0000-0000DDCE0000}"/>
    <cellStyle name="Total 3 6 3 3 2" xfId="45990" xr:uid="{00000000-0005-0000-0000-0000DECE0000}"/>
    <cellStyle name="Total 3 6 3 3 3" xfId="49896" xr:uid="{00000000-0005-0000-0000-0000DFCE0000}"/>
    <cellStyle name="Total 3 6 3 3 4" xfId="37907" xr:uid="{00000000-0005-0000-0000-0000E0CE0000}"/>
    <cellStyle name="Total 3 6 3 4" xfId="20597" xr:uid="{00000000-0005-0000-0000-0000E1CE0000}"/>
    <cellStyle name="Total 3 6 3 4 2" xfId="46134" xr:uid="{00000000-0005-0000-0000-0000E2CE0000}"/>
    <cellStyle name="Total 3 6 3 4 3" xfId="50040" xr:uid="{00000000-0005-0000-0000-0000E3CE0000}"/>
    <cellStyle name="Total 3 6 3 4 4" xfId="38024" xr:uid="{00000000-0005-0000-0000-0000E4CE0000}"/>
    <cellStyle name="Total 3 6 3 5" xfId="21273" xr:uid="{00000000-0005-0000-0000-0000E5CE0000}"/>
    <cellStyle name="Total 3 6 3 5 2" xfId="46810" xr:uid="{00000000-0005-0000-0000-0000E6CE0000}"/>
    <cellStyle name="Total 3 6 3 5 3" xfId="50716" xr:uid="{00000000-0005-0000-0000-0000E7CE0000}"/>
    <cellStyle name="Total 3 6 3 5 4" xfId="38679" xr:uid="{00000000-0005-0000-0000-0000E8CE0000}"/>
    <cellStyle name="Total 3 6 3 6" xfId="21926" xr:uid="{00000000-0005-0000-0000-0000E9CE0000}"/>
    <cellStyle name="Total 3 6 3 6 2" xfId="47463" xr:uid="{00000000-0005-0000-0000-0000EACE0000}"/>
    <cellStyle name="Total 3 6 3 6 3" xfId="51369" xr:uid="{00000000-0005-0000-0000-0000EBCE0000}"/>
    <cellStyle name="Total 3 6 3 7" xfId="41266" xr:uid="{00000000-0005-0000-0000-0000ECCE0000}"/>
    <cellStyle name="Total 3 6 3 8" xfId="39479" xr:uid="{00000000-0005-0000-0000-0000EDCE0000}"/>
    <cellStyle name="Total 3 6 4" xfId="15287" xr:uid="{00000000-0005-0000-0000-0000EECE0000}"/>
    <cellStyle name="Total 3 6 4 2" xfId="43160" xr:uid="{00000000-0005-0000-0000-0000EFCE0000}"/>
    <cellStyle name="Total 3 6 4 3" xfId="42665" xr:uid="{00000000-0005-0000-0000-0000F0CE0000}"/>
    <cellStyle name="Total 3 6 4 4" xfId="32922" xr:uid="{00000000-0005-0000-0000-0000F1CE0000}"/>
    <cellStyle name="Total 3 6 5" xfId="11375" xr:uid="{00000000-0005-0000-0000-0000F2CE0000}"/>
    <cellStyle name="Total 3 6 5 2" xfId="41411" xr:uid="{00000000-0005-0000-0000-0000F3CE0000}"/>
    <cellStyle name="Total 3 6 5 3" xfId="42036" xr:uid="{00000000-0005-0000-0000-0000F4CE0000}"/>
    <cellStyle name="Total 3 6 5 4" xfId="29098" xr:uid="{00000000-0005-0000-0000-0000F5CE0000}"/>
    <cellStyle name="Total 3 6 6" xfId="19697" xr:uid="{00000000-0005-0000-0000-0000F6CE0000}"/>
    <cellStyle name="Total 3 6 6 2" xfId="45234" xr:uid="{00000000-0005-0000-0000-0000F7CE0000}"/>
    <cellStyle name="Total 3 6 6 3" xfId="49140" xr:uid="{00000000-0005-0000-0000-0000F8CE0000}"/>
    <cellStyle name="Total 3 6 6 4" xfId="37226" xr:uid="{00000000-0005-0000-0000-0000F9CE0000}"/>
    <cellStyle name="Total 3 6 7" xfId="11581" xr:uid="{00000000-0005-0000-0000-0000FACE0000}"/>
    <cellStyle name="Total 3 6 7 2" xfId="41592" xr:uid="{00000000-0005-0000-0000-0000FBCE0000}"/>
    <cellStyle name="Total 3 6 7 3" xfId="42580" xr:uid="{00000000-0005-0000-0000-0000FCCE0000}"/>
    <cellStyle name="Total 3 6 7 4" xfId="29292" xr:uid="{00000000-0005-0000-0000-0000FDCE0000}"/>
    <cellStyle name="Total 3 6 8" xfId="20092" xr:uid="{00000000-0005-0000-0000-0000FECE0000}"/>
    <cellStyle name="Total 3 6 8 2" xfId="45629" xr:uid="{00000000-0005-0000-0000-0000FFCE0000}"/>
    <cellStyle name="Total 3 6 8 3" xfId="49535" xr:uid="{00000000-0005-0000-0000-000000CF0000}"/>
    <cellStyle name="Total 3 6 9" xfId="40020" xr:uid="{00000000-0005-0000-0000-000001CF0000}"/>
    <cellStyle name="Total 3 7" xfId="12150" xr:uid="{00000000-0005-0000-0000-000002CF0000}"/>
    <cellStyle name="Total 3 7 2" xfId="41895" xr:uid="{00000000-0005-0000-0000-000003CF0000}"/>
    <cellStyle name="Total 3 7 3" xfId="41927" xr:uid="{00000000-0005-0000-0000-000004CF0000}"/>
    <cellStyle name="Total 3 7 4" xfId="29822" xr:uid="{00000000-0005-0000-0000-000005CF0000}"/>
    <cellStyle name="Total 3 8" xfId="19974" xr:uid="{00000000-0005-0000-0000-000006CF0000}"/>
    <cellStyle name="Total 3 8 2" xfId="45511" xr:uid="{00000000-0005-0000-0000-000007CF0000}"/>
    <cellStyle name="Total 3 8 3" xfId="49417" xr:uid="{00000000-0005-0000-0000-000008CF0000}"/>
    <cellStyle name="Total 3 8 4" xfId="37478" xr:uid="{00000000-0005-0000-0000-000009CF0000}"/>
    <cellStyle name="Total 3 9" xfId="52771" xr:uid="{00000000-0005-0000-0000-00000ACF0000}"/>
    <cellStyle name="Total 4" xfId="144" xr:uid="{00000000-0005-0000-0000-00000BCF0000}"/>
    <cellStyle name="Total 4 10" xfId="52772" xr:uid="{00000000-0005-0000-0000-00000CCF0000}"/>
    <cellStyle name="Total 4 2" xfId="3420" xr:uid="{00000000-0005-0000-0000-00000DCF0000}"/>
    <cellStyle name="Total 4 2 2" xfId="5457" xr:uid="{00000000-0005-0000-0000-00000ECF0000}"/>
    <cellStyle name="Total 4 2 2 2" xfId="53464" xr:uid="{00000000-0005-0000-0000-00000FCF0000}"/>
    <cellStyle name="Total 4 2 3" xfId="7504" xr:uid="{00000000-0005-0000-0000-000010CF0000}"/>
    <cellStyle name="Total 4 2 3 10" xfId="42757" xr:uid="{00000000-0005-0000-0000-000011CF0000}"/>
    <cellStyle name="Total 4 2 3 2" xfId="10777" xr:uid="{00000000-0005-0000-0000-000012CF0000}"/>
    <cellStyle name="Total 4 2 3 2 2" xfId="18570" xr:uid="{00000000-0005-0000-0000-000013CF0000}"/>
    <cellStyle name="Total 4 2 3 2 2 2" xfId="44117" xr:uid="{00000000-0005-0000-0000-000014CF0000}"/>
    <cellStyle name="Total 4 2 3 2 2 3" xfId="48026" xr:uid="{00000000-0005-0000-0000-000015CF0000}"/>
    <cellStyle name="Total 4 2 3 2 2 4" xfId="36207" xr:uid="{00000000-0005-0000-0000-000016CF0000}"/>
    <cellStyle name="Total 4 2 3 2 3" xfId="11510" xr:uid="{00000000-0005-0000-0000-000017CF0000}"/>
    <cellStyle name="Total 4 2 3 2 3 2" xfId="41521" xr:uid="{00000000-0005-0000-0000-000018CF0000}"/>
    <cellStyle name="Total 4 2 3 2 3 3" xfId="42028" xr:uid="{00000000-0005-0000-0000-000019CF0000}"/>
    <cellStyle name="Total 4 2 3 2 3 4" xfId="29225" xr:uid="{00000000-0005-0000-0000-00001ACF0000}"/>
    <cellStyle name="Total 4 2 3 2 4" xfId="19551" xr:uid="{00000000-0005-0000-0000-00001BCF0000}"/>
    <cellStyle name="Total 4 2 3 2 4 2" xfId="45088" xr:uid="{00000000-0005-0000-0000-00001CCF0000}"/>
    <cellStyle name="Total 4 2 3 2 4 3" xfId="48994" xr:uid="{00000000-0005-0000-0000-00001DCF0000}"/>
    <cellStyle name="Total 4 2 3 2 4 4" xfId="37093" xr:uid="{00000000-0005-0000-0000-00001ECF0000}"/>
    <cellStyle name="Total 4 2 3 2 5" xfId="20983" xr:uid="{00000000-0005-0000-0000-00001FCF0000}"/>
    <cellStyle name="Total 4 2 3 2 5 2" xfId="46520" xr:uid="{00000000-0005-0000-0000-000020CF0000}"/>
    <cellStyle name="Total 4 2 3 2 5 3" xfId="50426" xr:uid="{00000000-0005-0000-0000-000021CF0000}"/>
    <cellStyle name="Total 4 2 3 2 5 4" xfId="38389" xr:uid="{00000000-0005-0000-0000-000022CF0000}"/>
    <cellStyle name="Total 4 2 3 2 6" xfId="21636" xr:uid="{00000000-0005-0000-0000-000023CF0000}"/>
    <cellStyle name="Total 4 2 3 2 6 2" xfId="47173" xr:uid="{00000000-0005-0000-0000-000024CF0000}"/>
    <cellStyle name="Total 4 2 3 2 6 3" xfId="51079" xr:uid="{00000000-0005-0000-0000-000025CF0000}"/>
    <cellStyle name="Total 4 2 3 2 7" xfId="40976" xr:uid="{00000000-0005-0000-0000-000026CF0000}"/>
    <cellStyle name="Total 4 2 3 2 8" xfId="42605" xr:uid="{00000000-0005-0000-0000-000027CF0000}"/>
    <cellStyle name="Total 4 2 3 3" xfId="11072" xr:uid="{00000000-0005-0000-0000-000028CF0000}"/>
    <cellStyle name="Total 4 2 3 3 2" xfId="18865" xr:uid="{00000000-0005-0000-0000-000029CF0000}"/>
    <cellStyle name="Total 4 2 3 3 2 2" xfId="44412" xr:uid="{00000000-0005-0000-0000-00002ACF0000}"/>
    <cellStyle name="Total 4 2 3 3 2 3" xfId="48321" xr:uid="{00000000-0005-0000-0000-00002BCF0000}"/>
    <cellStyle name="Total 4 2 3 3 2 4" xfId="36502" xr:uid="{00000000-0005-0000-0000-00002CCF0000}"/>
    <cellStyle name="Total 4 2 3 3 3" xfId="20458" xr:uid="{00000000-0005-0000-0000-00002DCF0000}"/>
    <cellStyle name="Total 4 2 3 3 3 2" xfId="45995" xr:uid="{00000000-0005-0000-0000-00002ECF0000}"/>
    <cellStyle name="Total 4 2 3 3 3 3" xfId="49901" xr:uid="{00000000-0005-0000-0000-00002FCF0000}"/>
    <cellStyle name="Total 4 2 3 3 3 4" xfId="37912" xr:uid="{00000000-0005-0000-0000-000030CF0000}"/>
    <cellStyle name="Total 4 2 3 3 4" xfId="20602" xr:uid="{00000000-0005-0000-0000-000031CF0000}"/>
    <cellStyle name="Total 4 2 3 3 4 2" xfId="46139" xr:uid="{00000000-0005-0000-0000-000032CF0000}"/>
    <cellStyle name="Total 4 2 3 3 4 3" xfId="50045" xr:uid="{00000000-0005-0000-0000-000033CF0000}"/>
    <cellStyle name="Total 4 2 3 3 4 4" xfId="38029" xr:uid="{00000000-0005-0000-0000-000034CF0000}"/>
    <cellStyle name="Total 4 2 3 3 5" xfId="21278" xr:uid="{00000000-0005-0000-0000-000035CF0000}"/>
    <cellStyle name="Total 4 2 3 3 5 2" xfId="46815" xr:uid="{00000000-0005-0000-0000-000036CF0000}"/>
    <cellStyle name="Total 4 2 3 3 5 3" xfId="50721" xr:uid="{00000000-0005-0000-0000-000037CF0000}"/>
    <cellStyle name="Total 4 2 3 3 5 4" xfId="38684" xr:uid="{00000000-0005-0000-0000-000038CF0000}"/>
    <cellStyle name="Total 4 2 3 3 6" xfId="21931" xr:uid="{00000000-0005-0000-0000-000039CF0000}"/>
    <cellStyle name="Total 4 2 3 3 6 2" xfId="47468" xr:uid="{00000000-0005-0000-0000-00003ACF0000}"/>
    <cellStyle name="Total 4 2 3 3 6 3" xfId="51374" xr:uid="{00000000-0005-0000-0000-00003BCF0000}"/>
    <cellStyle name="Total 4 2 3 3 7" xfId="41271" xr:uid="{00000000-0005-0000-0000-00003CCF0000}"/>
    <cellStyle name="Total 4 2 3 3 8" xfId="39179" xr:uid="{00000000-0005-0000-0000-00003DCF0000}"/>
    <cellStyle name="Total 4 2 3 4" xfId="15292" xr:uid="{00000000-0005-0000-0000-00003ECF0000}"/>
    <cellStyle name="Total 4 2 3 4 2" xfId="43165" xr:uid="{00000000-0005-0000-0000-00003FCF0000}"/>
    <cellStyle name="Total 4 2 3 4 3" xfId="43445" xr:uid="{00000000-0005-0000-0000-000040CF0000}"/>
    <cellStyle name="Total 4 2 3 4 4" xfId="32927" xr:uid="{00000000-0005-0000-0000-000041CF0000}"/>
    <cellStyle name="Total 4 2 3 5" xfId="13250" xr:uid="{00000000-0005-0000-0000-000042CF0000}"/>
    <cellStyle name="Total 4 2 3 5 2" xfId="42430" xr:uid="{00000000-0005-0000-0000-000043CF0000}"/>
    <cellStyle name="Total 4 2 3 5 3" xfId="40326" xr:uid="{00000000-0005-0000-0000-000044CF0000}"/>
    <cellStyle name="Total 4 2 3 5 4" xfId="30895" xr:uid="{00000000-0005-0000-0000-000045CF0000}"/>
    <cellStyle name="Total 4 2 3 6" xfId="11854" xr:uid="{00000000-0005-0000-0000-000046CF0000}"/>
    <cellStyle name="Total 4 2 3 6 2" xfId="41772" xr:uid="{00000000-0005-0000-0000-000047CF0000}"/>
    <cellStyle name="Total 4 2 3 6 3" xfId="39337" xr:uid="{00000000-0005-0000-0000-000048CF0000}"/>
    <cellStyle name="Total 4 2 3 6 4" xfId="29538" xr:uid="{00000000-0005-0000-0000-000049CF0000}"/>
    <cellStyle name="Total 4 2 3 7" xfId="11588" xr:uid="{00000000-0005-0000-0000-00004ACF0000}"/>
    <cellStyle name="Total 4 2 3 7 2" xfId="41599" xr:uid="{00000000-0005-0000-0000-00004BCF0000}"/>
    <cellStyle name="Total 4 2 3 7 3" xfId="39352" xr:uid="{00000000-0005-0000-0000-00004CCF0000}"/>
    <cellStyle name="Total 4 2 3 7 4" xfId="29296" xr:uid="{00000000-0005-0000-0000-00004DCF0000}"/>
    <cellStyle name="Total 4 2 3 8" xfId="19676" xr:uid="{00000000-0005-0000-0000-00004ECF0000}"/>
    <cellStyle name="Total 4 2 3 8 2" xfId="45213" xr:uid="{00000000-0005-0000-0000-00004FCF0000}"/>
    <cellStyle name="Total 4 2 3 8 3" xfId="49119" xr:uid="{00000000-0005-0000-0000-000050CF0000}"/>
    <cellStyle name="Total 4 2 3 9" xfId="40025" xr:uid="{00000000-0005-0000-0000-000051CF0000}"/>
    <cellStyle name="Total 4 2 4" xfId="12154" xr:uid="{00000000-0005-0000-0000-000052CF0000}"/>
    <cellStyle name="Total 4 2 4 2" xfId="41899" xr:uid="{00000000-0005-0000-0000-000053CF0000}"/>
    <cellStyle name="Total 4 2 4 3" xfId="41330" xr:uid="{00000000-0005-0000-0000-000054CF0000}"/>
    <cellStyle name="Total 4 2 4 4" xfId="29826" xr:uid="{00000000-0005-0000-0000-000055CF0000}"/>
    <cellStyle name="Total 4 2 5" xfId="11610" xr:uid="{00000000-0005-0000-0000-000056CF0000}"/>
    <cellStyle name="Total 4 2 5 2" xfId="41621" xr:uid="{00000000-0005-0000-0000-000057CF0000}"/>
    <cellStyle name="Total 4 2 5 3" xfId="39167" xr:uid="{00000000-0005-0000-0000-000058CF0000}"/>
    <cellStyle name="Total 4 2 5 4" xfId="29313" xr:uid="{00000000-0005-0000-0000-000059CF0000}"/>
    <cellStyle name="Total 4 2 6" xfId="53361" xr:uid="{00000000-0005-0000-0000-00005ACF0000}"/>
    <cellStyle name="Total 4 3" xfId="3421" xr:uid="{00000000-0005-0000-0000-00005BCF0000}"/>
    <cellStyle name="Total 4 3 2" xfId="5458" xr:uid="{00000000-0005-0000-0000-00005CCF0000}"/>
    <cellStyle name="Total 4 3 3" xfId="7505" xr:uid="{00000000-0005-0000-0000-00005DCF0000}"/>
    <cellStyle name="Total 4 3 3 10" xfId="43645" xr:uid="{00000000-0005-0000-0000-00005ECF0000}"/>
    <cellStyle name="Total 4 3 3 2" xfId="10778" xr:uid="{00000000-0005-0000-0000-00005FCF0000}"/>
    <cellStyle name="Total 4 3 3 2 2" xfId="18571" xr:uid="{00000000-0005-0000-0000-000060CF0000}"/>
    <cellStyle name="Total 4 3 3 2 2 2" xfId="44118" xr:uid="{00000000-0005-0000-0000-000061CF0000}"/>
    <cellStyle name="Total 4 3 3 2 2 3" xfId="48027" xr:uid="{00000000-0005-0000-0000-000062CF0000}"/>
    <cellStyle name="Total 4 3 3 2 2 4" xfId="36208" xr:uid="{00000000-0005-0000-0000-000063CF0000}"/>
    <cellStyle name="Total 4 3 3 2 3" xfId="19730" xr:uid="{00000000-0005-0000-0000-000064CF0000}"/>
    <cellStyle name="Total 4 3 3 2 3 2" xfId="45267" xr:uid="{00000000-0005-0000-0000-000065CF0000}"/>
    <cellStyle name="Total 4 3 3 2 3 3" xfId="49173" xr:uid="{00000000-0005-0000-0000-000066CF0000}"/>
    <cellStyle name="Total 4 3 3 2 3 4" xfId="37257" xr:uid="{00000000-0005-0000-0000-000067CF0000}"/>
    <cellStyle name="Total 4 3 3 2 4" xfId="20344" xr:uid="{00000000-0005-0000-0000-000068CF0000}"/>
    <cellStyle name="Total 4 3 3 2 4 2" xfId="45881" xr:uid="{00000000-0005-0000-0000-000069CF0000}"/>
    <cellStyle name="Total 4 3 3 2 4 3" xfId="49787" xr:uid="{00000000-0005-0000-0000-00006ACF0000}"/>
    <cellStyle name="Total 4 3 3 2 4 4" xfId="37804" xr:uid="{00000000-0005-0000-0000-00006BCF0000}"/>
    <cellStyle name="Total 4 3 3 2 5" xfId="20984" xr:uid="{00000000-0005-0000-0000-00006CCF0000}"/>
    <cellStyle name="Total 4 3 3 2 5 2" xfId="46521" xr:uid="{00000000-0005-0000-0000-00006DCF0000}"/>
    <cellStyle name="Total 4 3 3 2 5 3" xfId="50427" xr:uid="{00000000-0005-0000-0000-00006ECF0000}"/>
    <cellStyle name="Total 4 3 3 2 5 4" xfId="38390" xr:uid="{00000000-0005-0000-0000-00006FCF0000}"/>
    <cellStyle name="Total 4 3 3 2 6" xfId="21637" xr:uid="{00000000-0005-0000-0000-000070CF0000}"/>
    <cellStyle name="Total 4 3 3 2 6 2" xfId="47174" xr:uid="{00000000-0005-0000-0000-000071CF0000}"/>
    <cellStyle name="Total 4 3 3 2 6 3" xfId="51080" xr:uid="{00000000-0005-0000-0000-000072CF0000}"/>
    <cellStyle name="Total 4 3 3 2 7" xfId="40977" xr:uid="{00000000-0005-0000-0000-000073CF0000}"/>
    <cellStyle name="Total 4 3 3 2 8" xfId="43518" xr:uid="{00000000-0005-0000-0000-000074CF0000}"/>
    <cellStyle name="Total 4 3 3 3" xfId="11073" xr:uid="{00000000-0005-0000-0000-000075CF0000}"/>
    <cellStyle name="Total 4 3 3 3 2" xfId="18866" xr:uid="{00000000-0005-0000-0000-000076CF0000}"/>
    <cellStyle name="Total 4 3 3 3 2 2" xfId="44413" xr:uid="{00000000-0005-0000-0000-000077CF0000}"/>
    <cellStyle name="Total 4 3 3 3 2 3" xfId="48322" xr:uid="{00000000-0005-0000-0000-000078CF0000}"/>
    <cellStyle name="Total 4 3 3 3 2 4" xfId="36503" xr:uid="{00000000-0005-0000-0000-000079CF0000}"/>
    <cellStyle name="Total 4 3 3 3 3" xfId="20459" xr:uid="{00000000-0005-0000-0000-00007ACF0000}"/>
    <cellStyle name="Total 4 3 3 3 3 2" xfId="45996" xr:uid="{00000000-0005-0000-0000-00007BCF0000}"/>
    <cellStyle name="Total 4 3 3 3 3 3" xfId="49902" xr:uid="{00000000-0005-0000-0000-00007CCF0000}"/>
    <cellStyle name="Total 4 3 3 3 3 4" xfId="37913" xr:uid="{00000000-0005-0000-0000-00007DCF0000}"/>
    <cellStyle name="Total 4 3 3 3 4" xfId="20603" xr:uid="{00000000-0005-0000-0000-00007ECF0000}"/>
    <cellStyle name="Total 4 3 3 3 4 2" xfId="46140" xr:uid="{00000000-0005-0000-0000-00007FCF0000}"/>
    <cellStyle name="Total 4 3 3 3 4 3" xfId="50046" xr:uid="{00000000-0005-0000-0000-000080CF0000}"/>
    <cellStyle name="Total 4 3 3 3 4 4" xfId="38030" xr:uid="{00000000-0005-0000-0000-000081CF0000}"/>
    <cellStyle name="Total 4 3 3 3 5" xfId="21279" xr:uid="{00000000-0005-0000-0000-000082CF0000}"/>
    <cellStyle name="Total 4 3 3 3 5 2" xfId="46816" xr:uid="{00000000-0005-0000-0000-000083CF0000}"/>
    <cellStyle name="Total 4 3 3 3 5 3" xfId="50722" xr:uid="{00000000-0005-0000-0000-000084CF0000}"/>
    <cellStyle name="Total 4 3 3 3 5 4" xfId="38685" xr:uid="{00000000-0005-0000-0000-000085CF0000}"/>
    <cellStyle name="Total 4 3 3 3 6" xfId="21932" xr:uid="{00000000-0005-0000-0000-000086CF0000}"/>
    <cellStyle name="Total 4 3 3 3 6 2" xfId="47469" xr:uid="{00000000-0005-0000-0000-000087CF0000}"/>
    <cellStyle name="Total 4 3 3 3 6 3" xfId="51375" xr:uid="{00000000-0005-0000-0000-000088CF0000}"/>
    <cellStyle name="Total 4 3 3 3 7" xfId="41272" xr:uid="{00000000-0005-0000-0000-000089CF0000}"/>
    <cellStyle name="Total 4 3 3 3 8" xfId="41420" xr:uid="{00000000-0005-0000-0000-00008ACF0000}"/>
    <cellStyle name="Total 4 3 3 4" xfId="15293" xr:uid="{00000000-0005-0000-0000-00008BCF0000}"/>
    <cellStyle name="Total 4 3 3 4 2" xfId="43166" xr:uid="{00000000-0005-0000-0000-00008CCF0000}"/>
    <cellStyle name="Total 4 3 3 4 3" xfId="40307" xr:uid="{00000000-0005-0000-0000-00008DCF0000}"/>
    <cellStyle name="Total 4 3 3 4 4" xfId="32928" xr:uid="{00000000-0005-0000-0000-00008ECF0000}"/>
    <cellStyle name="Total 4 3 3 5" xfId="12054" xr:uid="{00000000-0005-0000-0000-00008FCF0000}"/>
    <cellStyle name="Total 4 3 3 5 2" xfId="41809" xr:uid="{00000000-0005-0000-0000-000090CF0000}"/>
    <cellStyle name="Total 4 3 3 5 3" xfId="40346" xr:uid="{00000000-0005-0000-0000-000091CF0000}"/>
    <cellStyle name="Total 4 3 3 5 4" xfId="29733" xr:uid="{00000000-0005-0000-0000-000092CF0000}"/>
    <cellStyle name="Total 4 3 3 6" xfId="19456" xr:uid="{00000000-0005-0000-0000-000093CF0000}"/>
    <cellStyle name="Total 4 3 3 6 2" xfId="44993" xr:uid="{00000000-0005-0000-0000-000094CF0000}"/>
    <cellStyle name="Total 4 3 3 6 3" xfId="48899" xr:uid="{00000000-0005-0000-0000-000095CF0000}"/>
    <cellStyle name="Total 4 3 3 6 4" xfId="37016" xr:uid="{00000000-0005-0000-0000-000096CF0000}"/>
    <cellStyle name="Total 4 3 3 7" xfId="19389" xr:uid="{00000000-0005-0000-0000-000097CF0000}"/>
    <cellStyle name="Total 4 3 3 7 2" xfId="44926" xr:uid="{00000000-0005-0000-0000-000098CF0000}"/>
    <cellStyle name="Total 4 3 3 7 3" xfId="48832" xr:uid="{00000000-0005-0000-0000-000099CF0000}"/>
    <cellStyle name="Total 4 3 3 7 4" xfId="36954" xr:uid="{00000000-0005-0000-0000-00009ACF0000}"/>
    <cellStyle name="Total 4 3 3 8" xfId="20337" xr:uid="{00000000-0005-0000-0000-00009BCF0000}"/>
    <cellStyle name="Total 4 3 3 8 2" xfId="45874" xr:uid="{00000000-0005-0000-0000-00009CCF0000}"/>
    <cellStyle name="Total 4 3 3 8 3" xfId="49780" xr:uid="{00000000-0005-0000-0000-00009DCF0000}"/>
    <cellStyle name="Total 4 3 3 9" xfId="40026" xr:uid="{00000000-0005-0000-0000-00009ECF0000}"/>
    <cellStyle name="Total 4 3 4" xfId="12155" xr:uid="{00000000-0005-0000-0000-00009FCF0000}"/>
    <cellStyle name="Total 4 3 4 2" xfId="41900" xr:uid="{00000000-0005-0000-0000-0000A0CF0000}"/>
    <cellStyle name="Total 4 3 4 3" xfId="43203" xr:uid="{00000000-0005-0000-0000-0000A1CF0000}"/>
    <cellStyle name="Total 4 3 4 4" xfId="29827" xr:uid="{00000000-0005-0000-0000-0000A2CF0000}"/>
    <cellStyle name="Total 4 3 5" xfId="12687" xr:uid="{00000000-0005-0000-0000-0000A3CF0000}"/>
    <cellStyle name="Total 4 3 5 2" xfId="42166" xr:uid="{00000000-0005-0000-0000-0000A4CF0000}"/>
    <cellStyle name="Total 4 3 5 3" xfId="42803" xr:uid="{00000000-0005-0000-0000-0000A5CF0000}"/>
    <cellStyle name="Total 4 3 5 4" xfId="30348" xr:uid="{00000000-0005-0000-0000-0000A6CF0000}"/>
    <cellStyle name="Total 4 3 6" xfId="53463" xr:uid="{00000000-0005-0000-0000-0000A7CF0000}"/>
    <cellStyle name="Total 4 4" xfId="5459" xr:uid="{00000000-0005-0000-0000-0000A8CF0000}"/>
    <cellStyle name="Total 4 4 2" xfId="6130" xr:uid="{00000000-0005-0000-0000-0000A9CF0000}"/>
    <cellStyle name="Total 4 4 2 2" xfId="10484" xr:uid="{00000000-0005-0000-0000-0000AACF0000}"/>
    <cellStyle name="Total 4 4 2 2 2" xfId="18277" xr:uid="{00000000-0005-0000-0000-0000ABCF0000}"/>
    <cellStyle name="Total 4 4 2 2 2 2" xfId="43824" xr:uid="{00000000-0005-0000-0000-0000ACCF0000}"/>
    <cellStyle name="Total 4 4 2 2 2 3" xfId="47733" xr:uid="{00000000-0005-0000-0000-0000ADCF0000}"/>
    <cellStyle name="Total 4 4 2 2 2 4" xfId="35914" xr:uid="{00000000-0005-0000-0000-0000AECF0000}"/>
    <cellStyle name="Total 4 4 2 2 3" xfId="19767" xr:uid="{00000000-0005-0000-0000-0000AFCF0000}"/>
    <cellStyle name="Total 4 4 2 2 3 2" xfId="45304" xr:uid="{00000000-0005-0000-0000-0000B0CF0000}"/>
    <cellStyle name="Total 4 4 2 2 3 3" xfId="49210" xr:uid="{00000000-0005-0000-0000-0000B1CF0000}"/>
    <cellStyle name="Total 4 4 2 2 3 4" xfId="37294" xr:uid="{00000000-0005-0000-0000-0000B2CF0000}"/>
    <cellStyle name="Total 4 4 2 2 4" xfId="12649" xr:uid="{00000000-0005-0000-0000-0000B3CF0000}"/>
    <cellStyle name="Total 4 4 2 2 4 2" xfId="42128" xr:uid="{00000000-0005-0000-0000-0000B4CF0000}"/>
    <cellStyle name="Total 4 4 2 2 4 3" xfId="43692" xr:uid="{00000000-0005-0000-0000-0000B5CF0000}"/>
    <cellStyle name="Total 4 4 2 2 4 4" xfId="30314" xr:uid="{00000000-0005-0000-0000-0000B6CF0000}"/>
    <cellStyle name="Total 4 4 2 2 5" xfId="20690" xr:uid="{00000000-0005-0000-0000-0000B7CF0000}"/>
    <cellStyle name="Total 4 4 2 2 5 2" xfId="46227" xr:uid="{00000000-0005-0000-0000-0000B8CF0000}"/>
    <cellStyle name="Total 4 4 2 2 5 3" xfId="50133" xr:uid="{00000000-0005-0000-0000-0000B9CF0000}"/>
    <cellStyle name="Total 4 4 2 2 5 4" xfId="38096" xr:uid="{00000000-0005-0000-0000-0000BACF0000}"/>
    <cellStyle name="Total 4 4 2 2 6" xfId="21343" xr:uid="{00000000-0005-0000-0000-0000BBCF0000}"/>
    <cellStyle name="Total 4 4 2 2 6 2" xfId="46880" xr:uid="{00000000-0005-0000-0000-0000BCCF0000}"/>
    <cellStyle name="Total 4 4 2 2 6 3" xfId="50786" xr:uid="{00000000-0005-0000-0000-0000BDCF0000}"/>
    <cellStyle name="Total 4 4 2 2 7" xfId="40683" xr:uid="{00000000-0005-0000-0000-0000BECF0000}"/>
    <cellStyle name="Total 4 4 2 2 8" xfId="42857" xr:uid="{00000000-0005-0000-0000-0000BFCF0000}"/>
    <cellStyle name="Total 4 4 2 3" xfId="9346" xr:uid="{00000000-0005-0000-0000-0000C0CF0000}"/>
    <cellStyle name="Total 4 4 2 3 2" xfId="17141" xr:uid="{00000000-0005-0000-0000-0000C1CF0000}"/>
    <cellStyle name="Total 4 4 2 3 2 2" xfId="43550" xr:uid="{00000000-0005-0000-0000-0000C2CF0000}"/>
    <cellStyle name="Total 4 4 2 3 2 3" xfId="47670" xr:uid="{00000000-0005-0000-0000-0000C3CF0000}"/>
    <cellStyle name="Total 4 4 2 3 2 4" xfId="34777" xr:uid="{00000000-0005-0000-0000-0000C4CF0000}"/>
    <cellStyle name="Total 4 4 2 3 3" xfId="19463" xr:uid="{00000000-0005-0000-0000-0000C5CF0000}"/>
    <cellStyle name="Total 4 4 2 3 3 2" xfId="45000" xr:uid="{00000000-0005-0000-0000-0000C6CF0000}"/>
    <cellStyle name="Total 4 4 2 3 3 3" xfId="48906" xr:uid="{00000000-0005-0000-0000-0000C7CF0000}"/>
    <cellStyle name="Total 4 4 2 3 3 4" xfId="37021" xr:uid="{00000000-0005-0000-0000-0000C8CF0000}"/>
    <cellStyle name="Total 4 4 2 3 4" xfId="12096" xr:uid="{00000000-0005-0000-0000-0000C9CF0000}"/>
    <cellStyle name="Total 4 4 2 3 4 2" xfId="41841" xr:uid="{00000000-0005-0000-0000-0000CACF0000}"/>
    <cellStyle name="Total 4 4 2 3 4 3" xfId="39136" xr:uid="{00000000-0005-0000-0000-0000CBCF0000}"/>
    <cellStyle name="Total 4 4 2 3 4 4" xfId="29769" xr:uid="{00000000-0005-0000-0000-0000CCCF0000}"/>
    <cellStyle name="Total 4 4 2 3 5" xfId="20514" xr:uid="{00000000-0005-0000-0000-0000CDCF0000}"/>
    <cellStyle name="Total 4 4 2 3 5 2" xfId="46051" xr:uid="{00000000-0005-0000-0000-0000CECF0000}"/>
    <cellStyle name="Total 4 4 2 3 5 3" xfId="49957" xr:uid="{00000000-0005-0000-0000-0000CFCF0000}"/>
    <cellStyle name="Total 4 4 2 3 5 4" xfId="37950" xr:uid="{00000000-0005-0000-0000-0000D0CF0000}"/>
    <cellStyle name="Total 4 4 2 3 6" xfId="11561" xr:uid="{00000000-0005-0000-0000-0000D1CF0000}"/>
    <cellStyle name="Total 4 4 2 3 6 2" xfId="41572" xr:uid="{00000000-0005-0000-0000-0000D2CF0000}"/>
    <cellStyle name="Total 4 4 2 3 6 3" xfId="42715" xr:uid="{00000000-0005-0000-0000-0000D3CF0000}"/>
    <cellStyle name="Total 4 4 2 3 7" xfId="40413" xr:uid="{00000000-0005-0000-0000-0000D4CF0000}"/>
    <cellStyle name="Total 4 4 2 3 8" xfId="39207" xr:uid="{00000000-0005-0000-0000-0000D5CF0000}"/>
    <cellStyle name="Total 4 4 2 4" xfId="13920" xr:uid="{00000000-0005-0000-0000-0000D6CF0000}"/>
    <cellStyle name="Total 4 4 2 4 2" xfId="42655" xr:uid="{00000000-0005-0000-0000-0000D7CF0000}"/>
    <cellStyle name="Total 4 4 2 4 3" xfId="43676" xr:uid="{00000000-0005-0000-0000-0000D8CF0000}"/>
    <cellStyle name="Total 4 4 2 4 4" xfId="31556" xr:uid="{00000000-0005-0000-0000-0000D9CF0000}"/>
    <cellStyle name="Total 4 4 2 5" xfId="11797" xr:uid="{00000000-0005-0000-0000-0000DACF0000}"/>
    <cellStyle name="Total 4 4 2 5 2" xfId="41747" xr:uid="{00000000-0005-0000-0000-0000DBCF0000}"/>
    <cellStyle name="Total 4 4 2 5 3" xfId="39152" xr:uid="{00000000-0005-0000-0000-0000DCCF0000}"/>
    <cellStyle name="Total 4 4 2 5 4" xfId="29483" xr:uid="{00000000-0005-0000-0000-0000DDCF0000}"/>
    <cellStyle name="Total 4 4 3" xfId="7506" xr:uid="{00000000-0005-0000-0000-0000DECF0000}"/>
    <cellStyle name="Total 4 4 3 10" xfId="40503" xr:uid="{00000000-0005-0000-0000-0000DFCF0000}"/>
    <cellStyle name="Total 4 4 3 2" xfId="10779" xr:uid="{00000000-0005-0000-0000-0000E0CF0000}"/>
    <cellStyle name="Total 4 4 3 2 2" xfId="18572" xr:uid="{00000000-0005-0000-0000-0000E1CF0000}"/>
    <cellStyle name="Total 4 4 3 2 2 2" xfId="44119" xr:uid="{00000000-0005-0000-0000-0000E2CF0000}"/>
    <cellStyle name="Total 4 4 3 2 2 3" xfId="48028" xr:uid="{00000000-0005-0000-0000-0000E3CF0000}"/>
    <cellStyle name="Total 4 4 3 2 2 4" xfId="36209" xr:uid="{00000000-0005-0000-0000-0000E4CF0000}"/>
    <cellStyle name="Total 4 4 3 2 3" xfId="11509" xr:uid="{00000000-0005-0000-0000-0000E5CF0000}"/>
    <cellStyle name="Total 4 4 3 2 3 2" xfId="41520" xr:uid="{00000000-0005-0000-0000-0000E6CF0000}"/>
    <cellStyle name="Total 4 4 3 2 3 3" xfId="39470" xr:uid="{00000000-0005-0000-0000-0000E7CF0000}"/>
    <cellStyle name="Total 4 4 3 2 3 4" xfId="29224" xr:uid="{00000000-0005-0000-0000-0000E8CF0000}"/>
    <cellStyle name="Total 4 4 3 2 4" xfId="20251" xr:uid="{00000000-0005-0000-0000-0000E9CF0000}"/>
    <cellStyle name="Total 4 4 3 2 4 2" xfId="45788" xr:uid="{00000000-0005-0000-0000-0000EACF0000}"/>
    <cellStyle name="Total 4 4 3 2 4 3" xfId="49694" xr:uid="{00000000-0005-0000-0000-0000EBCF0000}"/>
    <cellStyle name="Total 4 4 3 2 4 4" xfId="37722" xr:uid="{00000000-0005-0000-0000-0000ECCF0000}"/>
    <cellStyle name="Total 4 4 3 2 5" xfId="20985" xr:uid="{00000000-0005-0000-0000-0000EDCF0000}"/>
    <cellStyle name="Total 4 4 3 2 5 2" xfId="46522" xr:uid="{00000000-0005-0000-0000-0000EECF0000}"/>
    <cellStyle name="Total 4 4 3 2 5 3" xfId="50428" xr:uid="{00000000-0005-0000-0000-0000EFCF0000}"/>
    <cellStyle name="Total 4 4 3 2 5 4" xfId="38391" xr:uid="{00000000-0005-0000-0000-0000F0CF0000}"/>
    <cellStyle name="Total 4 4 3 2 6" xfId="21638" xr:uid="{00000000-0005-0000-0000-0000F1CF0000}"/>
    <cellStyle name="Total 4 4 3 2 6 2" xfId="47175" xr:uid="{00000000-0005-0000-0000-0000F2CF0000}"/>
    <cellStyle name="Total 4 4 3 2 6 3" xfId="51081" xr:uid="{00000000-0005-0000-0000-0000F3CF0000}"/>
    <cellStyle name="Total 4 4 3 2 7" xfId="40978" xr:uid="{00000000-0005-0000-0000-0000F4CF0000}"/>
    <cellStyle name="Total 4 4 3 2 8" xfId="40381" xr:uid="{00000000-0005-0000-0000-0000F5CF0000}"/>
    <cellStyle name="Total 4 4 3 3" xfId="11074" xr:uid="{00000000-0005-0000-0000-0000F6CF0000}"/>
    <cellStyle name="Total 4 4 3 3 2" xfId="18867" xr:uid="{00000000-0005-0000-0000-0000F7CF0000}"/>
    <cellStyle name="Total 4 4 3 3 2 2" xfId="44414" xr:uid="{00000000-0005-0000-0000-0000F8CF0000}"/>
    <cellStyle name="Total 4 4 3 3 2 3" xfId="48323" xr:uid="{00000000-0005-0000-0000-0000F9CF0000}"/>
    <cellStyle name="Total 4 4 3 3 2 4" xfId="36504" xr:uid="{00000000-0005-0000-0000-0000FACF0000}"/>
    <cellStyle name="Total 4 4 3 3 3" xfId="20460" xr:uid="{00000000-0005-0000-0000-0000FBCF0000}"/>
    <cellStyle name="Total 4 4 3 3 3 2" xfId="45997" xr:uid="{00000000-0005-0000-0000-0000FCCF0000}"/>
    <cellStyle name="Total 4 4 3 3 3 3" xfId="49903" xr:uid="{00000000-0005-0000-0000-0000FDCF0000}"/>
    <cellStyle name="Total 4 4 3 3 3 4" xfId="37914" xr:uid="{00000000-0005-0000-0000-0000FECF0000}"/>
    <cellStyle name="Total 4 4 3 3 4" xfId="20604" xr:uid="{00000000-0005-0000-0000-0000FFCF0000}"/>
    <cellStyle name="Total 4 4 3 3 4 2" xfId="46141" xr:uid="{00000000-0005-0000-0000-000000D00000}"/>
    <cellStyle name="Total 4 4 3 3 4 3" xfId="50047" xr:uid="{00000000-0005-0000-0000-000001D00000}"/>
    <cellStyle name="Total 4 4 3 3 4 4" xfId="38031" xr:uid="{00000000-0005-0000-0000-000002D00000}"/>
    <cellStyle name="Total 4 4 3 3 5" xfId="21280" xr:uid="{00000000-0005-0000-0000-000003D00000}"/>
    <cellStyle name="Total 4 4 3 3 5 2" xfId="46817" xr:uid="{00000000-0005-0000-0000-000004D00000}"/>
    <cellStyle name="Total 4 4 3 3 5 3" xfId="50723" xr:uid="{00000000-0005-0000-0000-000005D00000}"/>
    <cellStyle name="Total 4 4 3 3 5 4" xfId="38686" xr:uid="{00000000-0005-0000-0000-000006D00000}"/>
    <cellStyle name="Total 4 4 3 3 6" xfId="21933" xr:uid="{00000000-0005-0000-0000-000007D00000}"/>
    <cellStyle name="Total 4 4 3 3 6 2" xfId="47470" xr:uid="{00000000-0005-0000-0000-000008D00000}"/>
    <cellStyle name="Total 4 4 3 3 6 3" xfId="51376" xr:uid="{00000000-0005-0000-0000-000009D00000}"/>
    <cellStyle name="Total 4 4 3 3 7" xfId="41273" xr:uid="{00000000-0005-0000-0000-00000AD00000}"/>
    <cellStyle name="Total 4 4 3 3 8" xfId="43223" xr:uid="{00000000-0005-0000-0000-00000BD00000}"/>
    <cellStyle name="Total 4 4 3 4" xfId="15294" xr:uid="{00000000-0005-0000-0000-00000CD00000}"/>
    <cellStyle name="Total 4 4 3 4 2" xfId="43167" xr:uid="{00000000-0005-0000-0000-00000DD00000}"/>
    <cellStyle name="Total 4 4 3 4 3" xfId="39424" xr:uid="{00000000-0005-0000-0000-00000ED00000}"/>
    <cellStyle name="Total 4 4 3 4 4" xfId="32929" xr:uid="{00000000-0005-0000-0000-00000FD00000}"/>
    <cellStyle name="Total 4 4 3 5" xfId="11376" xr:uid="{00000000-0005-0000-0000-000010D00000}"/>
    <cellStyle name="Total 4 4 3 5 2" xfId="41412" xr:uid="{00000000-0005-0000-0000-000011D00000}"/>
    <cellStyle name="Total 4 4 3 5 3" xfId="43357" xr:uid="{00000000-0005-0000-0000-000012D00000}"/>
    <cellStyle name="Total 4 4 3 5 4" xfId="29099" xr:uid="{00000000-0005-0000-0000-000013D00000}"/>
    <cellStyle name="Total 4 4 3 6" xfId="18991" xr:uid="{00000000-0005-0000-0000-000014D00000}"/>
    <cellStyle name="Total 4 4 3 6 2" xfId="44528" xr:uid="{00000000-0005-0000-0000-000015D00000}"/>
    <cellStyle name="Total 4 4 3 6 3" xfId="48434" xr:uid="{00000000-0005-0000-0000-000016D00000}"/>
    <cellStyle name="Total 4 4 3 6 4" xfId="36613" xr:uid="{00000000-0005-0000-0000-000017D00000}"/>
    <cellStyle name="Total 4 4 3 7" xfId="12488" xr:uid="{00000000-0005-0000-0000-000018D00000}"/>
    <cellStyle name="Total 4 4 3 7 2" xfId="42008" xr:uid="{00000000-0005-0000-0000-000019D00000}"/>
    <cellStyle name="Total 4 4 3 7 3" xfId="41983" xr:uid="{00000000-0005-0000-0000-00001AD00000}"/>
    <cellStyle name="Total 4 4 3 7 4" xfId="30159" xr:uid="{00000000-0005-0000-0000-00001BD00000}"/>
    <cellStyle name="Total 4 4 3 8" xfId="19326" xr:uid="{00000000-0005-0000-0000-00001CD00000}"/>
    <cellStyle name="Total 4 4 3 8 2" xfId="44863" xr:uid="{00000000-0005-0000-0000-00001DD00000}"/>
    <cellStyle name="Total 4 4 3 8 3" xfId="48769" xr:uid="{00000000-0005-0000-0000-00001ED00000}"/>
    <cellStyle name="Total 4 4 3 9" xfId="40027" xr:uid="{00000000-0005-0000-0000-00001FD00000}"/>
    <cellStyle name="Total 4 5" xfId="5460" xr:uid="{00000000-0005-0000-0000-000020D00000}"/>
    <cellStyle name="Total 4 6" xfId="5456" xr:uid="{00000000-0005-0000-0000-000021D00000}"/>
    <cellStyle name="Total 4 7" xfId="7503" xr:uid="{00000000-0005-0000-0000-000022D00000}"/>
    <cellStyle name="Total 4 7 10" xfId="39957" xr:uid="{00000000-0005-0000-0000-000023D00000}"/>
    <cellStyle name="Total 4 7 2" xfId="10776" xr:uid="{00000000-0005-0000-0000-000024D00000}"/>
    <cellStyle name="Total 4 7 2 2" xfId="18569" xr:uid="{00000000-0005-0000-0000-000025D00000}"/>
    <cellStyle name="Total 4 7 2 2 2" xfId="44116" xr:uid="{00000000-0005-0000-0000-000026D00000}"/>
    <cellStyle name="Total 4 7 2 2 3" xfId="48025" xr:uid="{00000000-0005-0000-0000-000027D00000}"/>
    <cellStyle name="Total 4 7 2 2 4" xfId="36206" xr:uid="{00000000-0005-0000-0000-000028D00000}"/>
    <cellStyle name="Total 4 7 2 3" xfId="19729" xr:uid="{00000000-0005-0000-0000-000029D00000}"/>
    <cellStyle name="Total 4 7 2 3 2" xfId="45266" xr:uid="{00000000-0005-0000-0000-00002AD00000}"/>
    <cellStyle name="Total 4 7 2 3 3" xfId="49172" xr:uid="{00000000-0005-0000-0000-00002BD00000}"/>
    <cellStyle name="Total 4 7 2 3 4" xfId="37256" xr:uid="{00000000-0005-0000-0000-00002CD00000}"/>
    <cellStyle name="Total 4 7 2 4" xfId="20206" xr:uid="{00000000-0005-0000-0000-00002DD00000}"/>
    <cellStyle name="Total 4 7 2 4 2" xfId="45743" xr:uid="{00000000-0005-0000-0000-00002ED00000}"/>
    <cellStyle name="Total 4 7 2 4 3" xfId="49649" xr:uid="{00000000-0005-0000-0000-00002FD00000}"/>
    <cellStyle name="Total 4 7 2 4 4" xfId="37687" xr:uid="{00000000-0005-0000-0000-000030D00000}"/>
    <cellStyle name="Total 4 7 2 5" xfId="20982" xr:uid="{00000000-0005-0000-0000-000031D00000}"/>
    <cellStyle name="Total 4 7 2 5 2" xfId="46519" xr:uid="{00000000-0005-0000-0000-000032D00000}"/>
    <cellStyle name="Total 4 7 2 5 3" xfId="50425" xr:uid="{00000000-0005-0000-0000-000033D00000}"/>
    <cellStyle name="Total 4 7 2 5 4" xfId="38388" xr:uid="{00000000-0005-0000-0000-000034D00000}"/>
    <cellStyle name="Total 4 7 2 6" xfId="21635" xr:uid="{00000000-0005-0000-0000-000035D00000}"/>
    <cellStyle name="Total 4 7 2 6 2" xfId="47172" xr:uid="{00000000-0005-0000-0000-000036D00000}"/>
    <cellStyle name="Total 4 7 2 6 3" xfId="51078" xr:uid="{00000000-0005-0000-0000-000037D00000}"/>
    <cellStyle name="Total 4 7 2 7" xfId="40975" xr:uid="{00000000-0005-0000-0000-000038D00000}"/>
    <cellStyle name="Total 4 7 2 8" xfId="39597" xr:uid="{00000000-0005-0000-0000-000039D00000}"/>
    <cellStyle name="Total 4 7 3" xfId="11071" xr:uid="{00000000-0005-0000-0000-00003AD00000}"/>
    <cellStyle name="Total 4 7 3 2" xfId="18864" xr:uid="{00000000-0005-0000-0000-00003BD00000}"/>
    <cellStyle name="Total 4 7 3 2 2" xfId="44411" xr:uid="{00000000-0005-0000-0000-00003CD00000}"/>
    <cellStyle name="Total 4 7 3 2 3" xfId="48320" xr:uid="{00000000-0005-0000-0000-00003DD00000}"/>
    <cellStyle name="Total 4 7 3 2 4" xfId="36501" xr:uid="{00000000-0005-0000-0000-00003ED00000}"/>
    <cellStyle name="Total 4 7 3 3" xfId="20457" xr:uid="{00000000-0005-0000-0000-00003FD00000}"/>
    <cellStyle name="Total 4 7 3 3 2" xfId="45994" xr:uid="{00000000-0005-0000-0000-000040D00000}"/>
    <cellStyle name="Total 4 7 3 3 3" xfId="49900" xr:uid="{00000000-0005-0000-0000-000041D00000}"/>
    <cellStyle name="Total 4 7 3 3 4" xfId="37911" xr:uid="{00000000-0005-0000-0000-000042D00000}"/>
    <cellStyle name="Total 4 7 3 4" xfId="20601" xr:uid="{00000000-0005-0000-0000-000043D00000}"/>
    <cellStyle name="Total 4 7 3 4 2" xfId="46138" xr:uid="{00000000-0005-0000-0000-000044D00000}"/>
    <cellStyle name="Total 4 7 3 4 3" xfId="50044" xr:uid="{00000000-0005-0000-0000-000045D00000}"/>
    <cellStyle name="Total 4 7 3 4 4" xfId="38028" xr:uid="{00000000-0005-0000-0000-000046D00000}"/>
    <cellStyle name="Total 4 7 3 5" xfId="21277" xr:uid="{00000000-0005-0000-0000-000047D00000}"/>
    <cellStyle name="Total 4 7 3 5 2" xfId="46814" xr:uid="{00000000-0005-0000-0000-000048D00000}"/>
    <cellStyle name="Total 4 7 3 5 3" xfId="50720" xr:uid="{00000000-0005-0000-0000-000049D00000}"/>
    <cellStyle name="Total 4 7 3 5 4" xfId="38683" xr:uid="{00000000-0005-0000-0000-00004AD00000}"/>
    <cellStyle name="Total 4 7 3 6" xfId="21930" xr:uid="{00000000-0005-0000-0000-00004BD00000}"/>
    <cellStyle name="Total 4 7 3 6 2" xfId="47467" xr:uid="{00000000-0005-0000-0000-00004CD00000}"/>
    <cellStyle name="Total 4 7 3 6 3" xfId="51373" xr:uid="{00000000-0005-0000-0000-00004DD00000}"/>
    <cellStyle name="Total 4 7 3 7" xfId="41270" xr:uid="{00000000-0005-0000-0000-00004ED00000}"/>
    <cellStyle name="Total 4 7 3 8" xfId="39365" xr:uid="{00000000-0005-0000-0000-00004FD00000}"/>
    <cellStyle name="Total 4 7 4" xfId="15291" xr:uid="{00000000-0005-0000-0000-000050D00000}"/>
    <cellStyle name="Total 4 7 4 2" xfId="43164" xr:uid="{00000000-0005-0000-0000-000051D00000}"/>
    <cellStyle name="Total 4 7 4 3" xfId="42534" xr:uid="{00000000-0005-0000-0000-000052D00000}"/>
    <cellStyle name="Total 4 7 4 4" xfId="32926" xr:uid="{00000000-0005-0000-0000-000053D00000}"/>
    <cellStyle name="Total 4 7 5" xfId="13251" xr:uid="{00000000-0005-0000-0000-000054D00000}"/>
    <cellStyle name="Total 4 7 5 2" xfId="42431" xr:uid="{00000000-0005-0000-0000-000055D00000}"/>
    <cellStyle name="Total 4 7 5 3" xfId="39443" xr:uid="{00000000-0005-0000-0000-000056D00000}"/>
    <cellStyle name="Total 4 7 5 4" xfId="30896" xr:uid="{00000000-0005-0000-0000-000057D00000}"/>
    <cellStyle name="Total 4 7 6" xfId="20067" xr:uid="{00000000-0005-0000-0000-000058D00000}"/>
    <cellStyle name="Total 4 7 6 2" xfId="45604" xr:uid="{00000000-0005-0000-0000-000059D00000}"/>
    <cellStyle name="Total 4 7 6 3" xfId="49510" xr:uid="{00000000-0005-0000-0000-00005AD00000}"/>
    <cellStyle name="Total 4 7 6 4" xfId="37561" xr:uid="{00000000-0005-0000-0000-00005BD00000}"/>
    <cellStyle name="Total 4 7 7" xfId="20131" xr:uid="{00000000-0005-0000-0000-00005CD00000}"/>
    <cellStyle name="Total 4 7 7 2" xfId="45668" xr:uid="{00000000-0005-0000-0000-00005DD00000}"/>
    <cellStyle name="Total 4 7 7 3" xfId="49574" xr:uid="{00000000-0005-0000-0000-00005ED00000}"/>
    <cellStyle name="Total 4 7 7 4" xfId="37617" xr:uid="{00000000-0005-0000-0000-00005FD00000}"/>
    <cellStyle name="Total 4 7 8" xfId="19348" xr:uid="{00000000-0005-0000-0000-000060D00000}"/>
    <cellStyle name="Total 4 7 8 2" xfId="44885" xr:uid="{00000000-0005-0000-0000-000061D00000}"/>
    <cellStyle name="Total 4 7 8 3" xfId="48791" xr:uid="{00000000-0005-0000-0000-000062D00000}"/>
    <cellStyle name="Total 4 7 9" xfId="40024" xr:uid="{00000000-0005-0000-0000-000063D00000}"/>
    <cellStyle name="Total 4 8" xfId="12153" xr:uid="{00000000-0005-0000-0000-000064D00000}"/>
    <cellStyle name="Total 4 8 2" xfId="41898" xr:uid="{00000000-0005-0000-0000-000065D00000}"/>
    <cellStyle name="Total 4 8 3" xfId="39258" xr:uid="{00000000-0005-0000-0000-000066D00000}"/>
    <cellStyle name="Total 4 8 4" xfId="29825" xr:uid="{00000000-0005-0000-0000-000067D00000}"/>
    <cellStyle name="Total 4 9" xfId="18968" xr:uid="{00000000-0005-0000-0000-000068D00000}"/>
    <cellStyle name="Total 4 9 2" xfId="44505" xr:uid="{00000000-0005-0000-0000-000069D00000}"/>
    <cellStyle name="Total 4 9 3" xfId="48411" xr:uid="{00000000-0005-0000-0000-00006AD00000}"/>
    <cellStyle name="Total 4 9 4" xfId="36594" xr:uid="{00000000-0005-0000-0000-00006BD00000}"/>
    <cellStyle name="Total 5" xfId="3422" xr:uid="{00000000-0005-0000-0000-00006CD00000}"/>
    <cellStyle name="Total 5 2" xfId="5462" xr:uid="{00000000-0005-0000-0000-00006DD00000}"/>
    <cellStyle name="Total 5 2 2" xfId="53363" xr:uid="{00000000-0005-0000-0000-00006ED00000}"/>
    <cellStyle name="Total 5 3" xfId="5463" xr:uid="{00000000-0005-0000-0000-00006FD00000}"/>
    <cellStyle name="Total 5 3 2" xfId="53465" xr:uid="{00000000-0005-0000-0000-000070D00000}"/>
    <cellStyle name="Total 5 4" xfId="5461" xr:uid="{00000000-0005-0000-0000-000071D00000}"/>
    <cellStyle name="Total 5 5" xfId="22655" xr:uid="{00000000-0005-0000-0000-000072D00000}"/>
    <cellStyle name="Total 5 5 2" xfId="47571" xr:uid="{00000000-0005-0000-0000-000073D00000}"/>
    <cellStyle name="Total 5 5 3" xfId="51420" xr:uid="{00000000-0005-0000-0000-000074D00000}"/>
    <cellStyle name="Total 5 6" xfId="53362" xr:uid="{00000000-0005-0000-0000-000075D00000}"/>
    <cellStyle name="Total 6" xfId="5445" xr:uid="{00000000-0005-0000-0000-000076D00000}"/>
    <cellStyle name="Total 6 2" xfId="22656" xr:uid="{00000000-0005-0000-0000-000077D00000}"/>
    <cellStyle name="Total 6 2 2" xfId="47572" xr:uid="{00000000-0005-0000-0000-000078D00000}"/>
    <cellStyle name="Total 6 2 2 2" xfId="53466" xr:uid="{00000000-0005-0000-0000-000079D00000}"/>
    <cellStyle name="Total 6 2 3" xfId="51421" xr:uid="{00000000-0005-0000-0000-00007AD00000}"/>
    <cellStyle name="Total 6 2 4" xfId="53365" xr:uid="{00000000-0005-0000-0000-00007BD00000}"/>
    <cellStyle name="Total 6 3" xfId="53364" xr:uid="{00000000-0005-0000-0000-00007CD00000}"/>
    <cellStyle name="Total 7" xfId="22657" xr:uid="{00000000-0005-0000-0000-00007DD00000}"/>
    <cellStyle name="Total 7 2" xfId="47573" xr:uid="{00000000-0005-0000-0000-00007ED00000}"/>
    <cellStyle name="Total 7 2 2" xfId="53467" xr:uid="{00000000-0005-0000-0000-00007FD00000}"/>
    <cellStyle name="Total 7 3" xfId="51422" xr:uid="{00000000-0005-0000-0000-000080D00000}"/>
    <cellStyle name="Total 8" xfId="22658" xr:uid="{00000000-0005-0000-0000-000081D00000}"/>
    <cellStyle name="Total 8 2" xfId="22659" xr:uid="{00000000-0005-0000-0000-000082D00000}"/>
    <cellStyle name="Total 8 2 2" xfId="47575" xr:uid="{00000000-0005-0000-0000-000083D00000}"/>
    <cellStyle name="Total 8 2 2 2" xfId="53468" xr:uid="{00000000-0005-0000-0000-000084D00000}"/>
    <cellStyle name="Total 8 2 3" xfId="51424" xr:uid="{00000000-0005-0000-0000-000085D00000}"/>
    <cellStyle name="Total 8 3" xfId="47574" xr:uid="{00000000-0005-0000-0000-000086D00000}"/>
    <cellStyle name="Total 8 3 2" xfId="53469" xr:uid="{00000000-0005-0000-0000-000087D00000}"/>
    <cellStyle name="Total 8 4" xfId="51423" xr:uid="{00000000-0005-0000-0000-000088D00000}"/>
    <cellStyle name="Total 9" xfId="22660" xr:uid="{00000000-0005-0000-0000-000089D00000}"/>
    <cellStyle name="Total 9 2" xfId="47576" xr:uid="{00000000-0005-0000-0000-00008AD00000}"/>
    <cellStyle name="Total 9 2 2" xfId="53470" xr:uid="{00000000-0005-0000-0000-00008BD00000}"/>
    <cellStyle name="Total 9 3" xfId="51425" xr:uid="{00000000-0005-0000-0000-00008CD00000}"/>
    <cellStyle name="Warning Text" xfId="159" builtinId="11" customBuiltin="1"/>
    <cellStyle name="Warning Text 2" xfId="145" xr:uid="{00000000-0005-0000-0000-00008ED00000}"/>
    <cellStyle name="Warning Text 2 10" xfId="3424" xr:uid="{00000000-0005-0000-0000-00008FD00000}"/>
    <cellStyle name="Warning Text 2 10 2" xfId="5466" xr:uid="{00000000-0005-0000-0000-000090D00000}"/>
    <cellStyle name="Warning Text 2 11" xfId="3425" xr:uid="{00000000-0005-0000-0000-000091D00000}"/>
    <cellStyle name="Warning Text 2 11 2" xfId="5467" xr:uid="{00000000-0005-0000-0000-000092D00000}"/>
    <cellStyle name="Warning Text 2 12" xfId="3426" xr:uid="{00000000-0005-0000-0000-000093D00000}"/>
    <cellStyle name="Warning Text 2 12 2" xfId="5468" xr:uid="{00000000-0005-0000-0000-000094D00000}"/>
    <cellStyle name="Warning Text 2 13" xfId="3427" xr:uid="{00000000-0005-0000-0000-000095D00000}"/>
    <cellStyle name="Warning Text 2 13 2" xfId="5469" xr:uid="{00000000-0005-0000-0000-000096D00000}"/>
    <cellStyle name="Warning Text 2 14" xfId="3428" xr:uid="{00000000-0005-0000-0000-000097D00000}"/>
    <cellStyle name="Warning Text 2 14 2" xfId="5470" xr:uid="{00000000-0005-0000-0000-000098D00000}"/>
    <cellStyle name="Warning Text 2 15" xfId="5471" xr:uid="{00000000-0005-0000-0000-000099D00000}"/>
    <cellStyle name="Warning Text 2 15 2" xfId="6131" xr:uid="{00000000-0005-0000-0000-00009AD00000}"/>
    <cellStyle name="Warning Text 2 16" xfId="5472" xr:uid="{00000000-0005-0000-0000-00009BD00000}"/>
    <cellStyle name="Warning Text 2 16 2" xfId="6132" xr:uid="{00000000-0005-0000-0000-00009CD00000}"/>
    <cellStyle name="Warning Text 2 17" xfId="5473" xr:uid="{00000000-0005-0000-0000-00009DD00000}"/>
    <cellStyle name="Warning Text 2 18" xfId="5465" xr:uid="{00000000-0005-0000-0000-00009ED00000}"/>
    <cellStyle name="Warning Text 2 19" xfId="3423" xr:uid="{00000000-0005-0000-0000-00009FD00000}"/>
    <cellStyle name="Warning Text 2 2" xfId="3429" xr:uid="{00000000-0005-0000-0000-0000A0D00000}"/>
    <cellStyle name="Warning Text 2 2 2" xfId="3430" xr:uid="{00000000-0005-0000-0000-0000A1D00000}"/>
    <cellStyle name="Warning Text 2 2 2 2" xfId="5475" xr:uid="{00000000-0005-0000-0000-0000A2D00000}"/>
    <cellStyle name="Warning Text 2 2 3" xfId="3431" xr:uid="{00000000-0005-0000-0000-0000A3D00000}"/>
    <cellStyle name="Warning Text 2 2 3 2" xfId="5476" xr:uid="{00000000-0005-0000-0000-0000A4D00000}"/>
    <cellStyle name="Warning Text 2 2 4" xfId="5477" xr:uid="{00000000-0005-0000-0000-0000A5D00000}"/>
    <cellStyle name="Warning Text 2 2 4 2" xfId="6133" xr:uid="{00000000-0005-0000-0000-0000A6D00000}"/>
    <cellStyle name="Warning Text 2 2 5" xfId="5478" xr:uid="{00000000-0005-0000-0000-0000A7D00000}"/>
    <cellStyle name="Warning Text 2 2 6" xfId="5474" xr:uid="{00000000-0005-0000-0000-0000A8D00000}"/>
    <cellStyle name="Warning Text 2 2_Sheet1" xfId="3432" xr:uid="{00000000-0005-0000-0000-0000A9D00000}"/>
    <cellStyle name="Warning Text 2 3" xfId="3433" xr:uid="{00000000-0005-0000-0000-0000AAD00000}"/>
    <cellStyle name="Warning Text 2 3 2" xfId="5479" xr:uid="{00000000-0005-0000-0000-0000ABD00000}"/>
    <cellStyle name="Warning Text 2 4" xfId="3434" xr:uid="{00000000-0005-0000-0000-0000ACD00000}"/>
    <cellStyle name="Warning Text 2 4 2" xfId="5480" xr:uid="{00000000-0005-0000-0000-0000ADD00000}"/>
    <cellStyle name="Warning Text 2 5" xfId="3435" xr:uid="{00000000-0005-0000-0000-0000AED00000}"/>
    <cellStyle name="Warning Text 2 5 2" xfId="5481" xr:uid="{00000000-0005-0000-0000-0000AFD00000}"/>
    <cellStyle name="Warning Text 2 6" xfId="3436" xr:uid="{00000000-0005-0000-0000-0000B0D00000}"/>
    <cellStyle name="Warning Text 2 6 2" xfId="5482" xr:uid="{00000000-0005-0000-0000-0000B1D00000}"/>
    <cellStyle name="Warning Text 2 7" xfId="3437" xr:uid="{00000000-0005-0000-0000-0000B2D00000}"/>
    <cellStyle name="Warning Text 2 7 2" xfId="5483" xr:uid="{00000000-0005-0000-0000-0000B3D00000}"/>
    <cellStyle name="Warning Text 2 8" xfId="3438" xr:uid="{00000000-0005-0000-0000-0000B4D00000}"/>
    <cellStyle name="Warning Text 2 8 2" xfId="5484" xr:uid="{00000000-0005-0000-0000-0000B5D00000}"/>
    <cellStyle name="Warning Text 2 9" xfId="3439" xr:uid="{00000000-0005-0000-0000-0000B6D00000}"/>
    <cellStyle name="Warning Text 2 9 2" xfId="5485" xr:uid="{00000000-0005-0000-0000-0000B7D00000}"/>
    <cellStyle name="Warning Text 2_BallGrid" xfId="3440" xr:uid="{00000000-0005-0000-0000-0000B8D00000}"/>
    <cellStyle name="Warning Text 3" xfId="146" xr:uid="{00000000-0005-0000-0000-0000B9D00000}"/>
    <cellStyle name="Warning Text 3 2" xfId="3441" xr:uid="{00000000-0005-0000-0000-0000BAD00000}"/>
    <cellStyle name="Warning Text 3 2 2" xfId="5487" xr:uid="{00000000-0005-0000-0000-0000BBD00000}"/>
    <cellStyle name="Warning Text 3 3" xfId="3442" xr:uid="{00000000-0005-0000-0000-0000BCD00000}"/>
    <cellStyle name="Warning Text 3 3 2" xfId="5488" xr:uid="{00000000-0005-0000-0000-0000BDD00000}"/>
    <cellStyle name="Warning Text 3 4" xfId="5489" xr:uid="{00000000-0005-0000-0000-0000BED00000}"/>
    <cellStyle name="Warning Text 3 4 2" xfId="6134" xr:uid="{00000000-0005-0000-0000-0000BFD00000}"/>
    <cellStyle name="Warning Text 3 5" xfId="5486" xr:uid="{00000000-0005-0000-0000-0000C0D00000}"/>
    <cellStyle name="Warning Text 4" xfId="147" xr:uid="{00000000-0005-0000-0000-0000C1D00000}"/>
    <cellStyle name="Warning Text 4 2" xfId="3443" xr:uid="{00000000-0005-0000-0000-0000C2D00000}"/>
    <cellStyle name="Warning Text 4 2 2" xfId="5492" xr:uid="{00000000-0005-0000-0000-0000C3D00000}"/>
    <cellStyle name="Warning Text 4 2 3" xfId="5493" xr:uid="{00000000-0005-0000-0000-0000C4D00000}"/>
    <cellStyle name="Warning Text 4 2 4" xfId="5491" xr:uid="{00000000-0005-0000-0000-0000C5D00000}"/>
    <cellStyle name="Warning Text 4 3" xfId="3444" xr:uid="{00000000-0005-0000-0000-0000C6D00000}"/>
    <cellStyle name="Warning Text 4 3 2" xfId="5495" xr:uid="{00000000-0005-0000-0000-0000C7D00000}"/>
    <cellStyle name="Warning Text 4 3 3" xfId="5496" xr:uid="{00000000-0005-0000-0000-0000C8D00000}"/>
    <cellStyle name="Warning Text 4 3 4" xfId="5494" xr:uid="{00000000-0005-0000-0000-0000C9D00000}"/>
    <cellStyle name="Warning Text 4 4" xfId="5497" xr:uid="{00000000-0005-0000-0000-0000CAD00000}"/>
    <cellStyle name="Warning Text 4 4 2" xfId="5498" xr:uid="{00000000-0005-0000-0000-0000CBD00000}"/>
    <cellStyle name="Warning Text 4 4 3" xfId="6135" xr:uid="{00000000-0005-0000-0000-0000CCD00000}"/>
    <cellStyle name="Warning Text 4 5" xfId="5499" xr:uid="{00000000-0005-0000-0000-0000CDD00000}"/>
    <cellStyle name="Warning Text 4 6" xfId="5500" xr:uid="{00000000-0005-0000-0000-0000CED00000}"/>
    <cellStyle name="Warning Text 4 7" xfId="5501" xr:uid="{00000000-0005-0000-0000-0000CFD00000}"/>
    <cellStyle name="Warning Text 4 8" xfId="5490" xr:uid="{00000000-0005-0000-0000-0000D0D00000}"/>
    <cellStyle name="Warning Text 5" xfId="3445" xr:uid="{00000000-0005-0000-0000-0000D1D00000}"/>
    <cellStyle name="Warning Text 5 2" xfId="5503" xr:uid="{00000000-0005-0000-0000-0000D2D00000}"/>
    <cellStyle name="Warning Text 5 3" xfId="5504" xr:uid="{00000000-0005-0000-0000-0000D3D00000}"/>
    <cellStyle name="Warning Text 5 4" xfId="5505" xr:uid="{00000000-0005-0000-0000-0000D4D00000}"/>
    <cellStyle name="Warning Text 5 5" xfId="5506" xr:uid="{00000000-0005-0000-0000-0000D5D00000}"/>
    <cellStyle name="Warning Text 5 6" xfId="5502" xr:uid="{00000000-0005-0000-0000-0000D6D00000}"/>
    <cellStyle name="Warning Text 5 7" xfId="22663" xr:uid="{00000000-0005-0000-0000-0000D7D00000}"/>
    <cellStyle name="Warning Text 6" xfId="5464" xr:uid="{00000000-0005-0000-0000-0000D8D00000}"/>
    <cellStyle name="Warning Text 6 2" xfId="22664" xr:uid="{00000000-0005-0000-0000-0000D9D00000}"/>
    <cellStyle name="Warning Text 7" xfId="22665" xr:uid="{00000000-0005-0000-0000-0000DAD00000}"/>
    <cellStyle name="Warning Text 8" xfId="22666" xr:uid="{00000000-0005-0000-0000-0000DBD00000}"/>
    <cellStyle name="Warning Text 9" xfId="22661" xr:uid="{00000000-0005-0000-0000-0000DCD00000}"/>
    <cellStyle name="一般_MCP73_79_ballout_31x31_0922" xfId="3446" xr:uid="{00000000-0005-0000-0000-0000DDD00000}"/>
    <cellStyle name="標準_NOR+SDRAM-PoP_Pin要求仕様_20070117" xfId="22007" xr:uid="{00000000-0005-0000-0000-0000DED00000}"/>
  </cellStyles>
  <dxfs count="1864">
    <dxf>
      <fill>
        <patternFill>
          <bgColor theme="5" tint="0.59996337778862885"/>
        </patternFill>
      </fill>
    </dxf>
    <dxf>
      <fill>
        <patternFill>
          <bgColor theme="5" tint="0.59996337778862885"/>
        </patternFill>
      </fill>
    </dxf>
    <dxf>
      <font>
        <b val="0"/>
        <i/>
        <strike val="0"/>
        <color theme="4" tint="0.39994506668294322"/>
      </font>
    </dxf>
    <dxf>
      <font>
        <b val="0"/>
        <i/>
        <strike val="0"/>
        <color theme="4" tint="0.39994506668294322"/>
      </font>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ill>
        <patternFill>
          <bgColor theme="6" tint="-0.24994659260841701"/>
        </patternFill>
      </fill>
    </dxf>
    <dxf>
      <fill>
        <patternFill>
          <bgColor theme="6" tint="-0.24994659260841701"/>
        </patternFill>
      </fill>
    </dxf>
    <dxf>
      <font>
        <color rgb="FF9C0006"/>
      </font>
      <fill>
        <patternFill>
          <bgColor rgb="FFFFC7CE"/>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b val="0"/>
        <i/>
        <color theme="4" tint="0.39994506668294322"/>
      </font>
    </dxf>
    <dxf>
      <font>
        <b val="0"/>
        <i/>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b val="0"/>
        <i/>
        <color theme="4" tint="0.39994506668294322"/>
      </font>
    </dxf>
    <dxf>
      <font>
        <color rgb="FF9C6500"/>
      </font>
      <fill>
        <patternFill>
          <bgColor rgb="FFFFFF00"/>
        </patternFill>
      </fill>
    </dxf>
    <dxf>
      <font>
        <b val="0"/>
        <i/>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6500"/>
      </font>
      <fill>
        <patternFill>
          <bgColor rgb="FFFFFF00"/>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6500"/>
      </font>
      <fill>
        <patternFill>
          <bgColor rgb="FFFFFF00"/>
        </patternFill>
      </fill>
    </dxf>
    <dxf>
      <font>
        <color rgb="FF9C0006"/>
      </font>
      <fill>
        <patternFill>
          <bgColor rgb="FFFFC7CE"/>
        </patternFill>
      </fill>
    </dxf>
    <dxf>
      <font>
        <b val="0"/>
        <i/>
        <color theme="4" tint="0.39994506668294322"/>
      </font>
    </dxf>
    <dxf>
      <font>
        <color rgb="FF9C6500"/>
      </font>
      <fill>
        <patternFill>
          <bgColor rgb="FFFFFF00"/>
        </patternFill>
      </fill>
    </dxf>
    <dxf>
      <font>
        <color rgb="FF9C0006"/>
      </font>
      <fill>
        <patternFill>
          <bgColor rgb="FFFFC7CE"/>
        </patternFill>
      </fill>
    </dxf>
    <dxf>
      <font>
        <b val="0"/>
        <i/>
        <color theme="4" tint="0.39994506668294322"/>
      </font>
    </dxf>
    <dxf>
      <font>
        <color rgb="FF9C6500"/>
      </font>
      <fill>
        <patternFill>
          <bgColor rgb="FFFFFF00"/>
        </patternFill>
      </fill>
    </dxf>
    <dxf>
      <font>
        <color rgb="FF9C0006"/>
      </font>
      <fill>
        <patternFill>
          <bgColor rgb="FFFFC7CE"/>
        </patternFill>
      </fill>
    </dxf>
    <dxf>
      <font>
        <b val="0"/>
        <i/>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color theme="4" tint="0.39994506668294322"/>
      </font>
    </dxf>
    <dxf>
      <font>
        <b val="0"/>
        <i/>
        <color theme="4" tint="0.39994506668294322"/>
      </font>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b val="0"/>
        <i/>
        <strike val="0"/>
        <color theme="4" tint="0.39994506668294322"/>
      </font>
    </dxf>
    <dxf>
      <font>
        <b val="0"/>
        <i/>
        <strike val="0"/>
        <color theme="4" tint="0.39994506668294322"/>
      </font>
    </dxf>
    <dxf>
      <font>
        <b val="0"/>
        <i/>
        <color theme="4" tint="0.39994506668294322"/>
      </font>
    </dxf>
    <dxf>
      <font>
        <color rgb="FF9C6500"/>
      </font>
      <fill>
        <patternFill>
          <bgColor rgb="FFFFFF00"/>
        </patternFill>
      </fill>
    </dxf>
    <dxf>
      <font>
        <b val="0"/>
        <i/>
        <color theme="4" tint="0.39994506668294322"/>
      </font>
    </dxf>
    <dxf>
      <font>
        <color rgb="FF9C6500"/>
      </font>
      <fill>
        <patternFill>
          <bgColor rgb="FFFFFF00"/>
        </patternFill>
      </fill>
    </dxf>
    <dxf>
      <font>
        <b val="0"/>
        <i/>
        <color theme="4" tint="0.39994506668294322"/>
      </font>
    </dxf>
    <dxf>
      <font>
        <color rgb="FF9C6500"/>
      </font>
      <fill>
        <patternFill>
          <bgColor rgb="FFFFFF00"/>
        </patternFill>
      </fill>
    </dxf>
    <dxf>
      <font>
        <b val="0"/>
        <i/>
        <color theme="4" tint="0.39994506668294322"/>
      </font>
    </dxf>
    <dxf>
      <font>
        <color rgb="FF9C6500"/>
      </font>
      <fill>
        <patternFill>
          <bgColor rgb="FFFFFF00"/>
        </patternFill>
      </fill>
    </dxf>
    <dxf>
      <font>
        <b val="0"/>
        <i/>
        <color theme="4" tint="0.39994506668294322"/>
      </font>
    </dxf>
    <dxf>
      <font>
        <color rgb="FF9C6500"/>
      </font>
      <fill>
        <patternFill>
          <bgColor rgb="FFFFFF00"/>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6500"/>
      </font>
      <fill>
        <patternFill>
          <bgColor rgb="FFFFFF00"/>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6500"/>
      </font>
      <fill>
        <patternFill>
          <bgColor rgb="FFFFFF00"/>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6500"/>
      </font>
      <fill>
        <patternFill>
          <bgColor rgb="FFFFFF00"/>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color rgb="FF9C0006"/>
      </font>
      <fill>
        <patternFill>
          <bgColor rgb="FFFFC7CE"/>
        </patternFill>
      </fill>
    </dxf>
    <dxf>
      <font>
        <b val="0"/>
        <i/>
        <strike val="0"/>
        <color theme="4" tint="0.39994506668294322"/>
      </font>
    </dxf>
  </dxfs>
  <tableStyles count="0" defaultTableStyle="TableStyleMedium9" defaultPivotStyle="PivotStyleLight16"/>
  <colors>
    <mruColors>
      <color rgb="FFFFCC99"/>
      <color rgb="FF66FFFF"/>
      <color rgb="FFFFC7CE"/>
      <color rgb="FF9C000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714375</xdr:colOff>
      <xdr:row>7</xdr:row>
      <xdr:rowOff>142875</xdr:rowOff>
    </xdr:to>
    <xdr:pic>
      <xdr:nvPicPr>
        <xdr:cNvPr id="2" name="Picture 3">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srcRect/>
        <a:stretch>
          <a:fillRect/>
        </a:stretch>
      </xdr:blipFill>
      <xdr:spPr bwMode="auto">
        <a:xfrm>
          <a:off x="0" y="0"/>
          <a:ext cx="1905000" cy="1476375"/>
        </a:xfrm>
        <a:prstGeom prst="rect">
          <a:avLst/>
        </a:prstGeom>
        <a:noFill/>
        <a:ln w="9525">
          <a:no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47</xdr:col>
          <xdr:colOff>123825</xdr:colOff>
          <xdr:row>1</xdr:row>
          <xdr:rowOff>123825</xdr:rowOff>
        </xdr:from>
        <xdr:to>
          <xdr:col>50</xdr:col>
          <xdr:colOff>247650</xdr:colOff>
          <xdr:row>4</xdr:row>
          <xdr:rowOff>190500</xdr:rowOff>
        </xdr:to>
        <xdr:sp macro="" textlink="">
          <xdr:nvSpPr>
            <xdr:cNvPr id="461825" name="Button 1" descr="Generate C Code" hidden="1">
              <a:extLst>
                <a:ext uri="{63B3BB69-23CF-44E3-9099-C40C66FF867C}">
                  <a14:compatExt spid="_x0000_s461825"/>
                </a:ext>
                <a:ext uri="{FF2B5EF4-FFF2-40B4-BE49-F238E27FC236}">
                  <a16:creationId xmlns:a16="http://schemas.microsoft.com/office/drawing/2014/main" id="{00000000-0008-0000-0100-0000010C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Generate DT File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4"/>
  <dimension ref="B10:H32"/>
  <sheetViews>
    <sheetView workbookViewId="0">
      <selection activeCell="E18" sqref="E18"/>
    </sheetView>
  </sheetViews>
  <sheetFormatPr defaultColWidth="17.85546875" defaultRowHeight="15"/>
  <cols>
    <col min="1" max="2" width="17.85546875" customWidth="1"/>
    <col min="3" max="3" width="14.28515625" style="161" customWidth="1"/>
    <col min="4" max="4" width="51" style="152" customWidth="1"/>
    <col min="5" max="5" width="33.28515625" style="152" customWidth="1"/>
    <col min="6" max="7" width="17.85546875" style="152"/>
    <col min="8" max="8" width="41.140625" style="152" customWidth="1"/>
  </cols>
  <sheetData>
    <row r="10" spans="2:8" ht="15.75">
      <c r="B10">
        <f>MAX(D12:D19)</f>
        <v>1.06</v>
      </c>
      <c r="C10" s="150" t="s">
        <v>271</v>
      </c>
      <c r="D10" s="151"/>
      <c r="E10" s="151"/>
    </row>
    <row r="11" spans="2:8">
      <c r="C11" s="153" t="s">
        <v>272</v>
      </c>
      <c r="D11" s="154" t="s">
        <v>72</v>
      </c>
      <c r="E11" s="155" t="s">
        <v>73</v>
      </c>
    </row>
    <row r="12" spans="2:8">
      <c r="C12" s="156">
        <v>43796</v>
      </c>
      <c r="D12" s="276">
        <v>1</v>
      </c>
      <c r="E12" s="157" t="s">
        <v>5687</v>
      </c>
    </row>
    <row r="13" spans="2:8" ht="15" customHeight="1">
      <c r="C13" s="158">
        <v>43802</v>
      </c>
      <c r="D13" s="272">
        <v>1.01</v>
      </c>
      <c r="E13" s="324" t="s">
        <v>5688</v>
      </c>
      <c r="F13" s="324"/>
      <c r="G13" s="324"/>
      <c r="H13" s="324"/>
    </row>
    <row r="14" spans="2:8" ht="15" customHeight="1">
      <c r="C14" s="159">
        <v>43844</v>
      </c>
      <c r="D14" s="273">
        <v>1.02</v>
      </c>
      <c r="E14" s="325" t="s">
        <v>5697</v>
      </c>
      <c r="F14" s="325"/>
      <c r="G14" s="325"/>
      <c r="H14" s="325"/>
    </row>
    <row r="15" spans="2:8" ht="15" customHeight="1">
      <c r="C15" s="159">
        <v>43859</v>
      </c>
      <c r="D15" s="273">
        <v>1.03</v>
      </c>
      <c r="E15" s="325" t="s">
        <v>5698</v>
      </c>
      <c r="F15" s="325"/>
      <c r="G15" s="325"/>
      <c r="H15" s="325"/>
    </row>
    <row r="16" spans="2:8" ht="15" customHeight="1">
      <c r="C16" s="159">
        <v>43871</v>
      </c>
      <c r="D16" s="273">
        <v>1.04</v>
      </c>
      <c r="E16" s="325" t="s">
        <v>5699</v>
      </c>
      <c r="F16" s="326"/>
      <c r="G16" s="326"/>
      <c r="H16" s="326"/>
    </row>
    <row r="17" spans="3:8" ht="15" customHeight="1">
      <c r="C17" s="159">
        <v>43902</v>
      </c>
      <c r="D17" s="273">
        <v>1.05</v>
      </c>
      <c r="E17" s="325" t="s">
        <v>5700</v>
      </c>
      <c r="F17" s="327"/>
      <c r="G17" s="327"/>
      <c r="H17" s="327"/>
    </row>
    <row r="18" spans="3:8">
      <c r="C18" s="160">
        <v>43924</v>
      </c>
      <c r="D18" s="274">
        <v>1.06</v>
      </c>
      <c r="E18" t="s">
        <v>5701</v>
      </c>
    </row>
    <row r="19" spans="3:8">
      <c r="D19" s="275"/>
    </row>
    <row r="20" spans="3:8" ht="15.75" thickBot="1"/>
    <row r="21" spans="3:8" ht="24" thickBot="1">
      <c r="C21" s="328" t="s">
        <v>55</v>
      </c>
      <c r="D21" s="329"/>
      <c r="E21" s="330"/>
    </row>
    <row r="23" spans="3:8" ht="63.75" customHeight="1">
      <c r="C23" s="331" t="s">
        <v>5683</v>
      </c>
      <c r="D23" s="331"/>
      <c r="E23" s="331"/>
    </row>
    <row r="24" spans="3:8" ht="17.25" customHeight="1">
      <c r="C24" s="332" t="s">
        <v>57</v>
      </c>
      <c r="D24" s="332"/>
      <c r="E24" s="332"/>
    </row>
    <row r="25" spans="3:8" ht="45.75" customHeight="1">
      <c r="C25" s="332" t="s">
        <v>56</v>
      </c>
      <c r="D25" s="332"/>
      <c r="E25" s="332"/>
    </row>
    <row r="26" spans="3:8">
      <c r="D26" s="152" t="s">
        <v>52</v>
      </c>
    </row>
    <row r="27" spans="3:8">
      <c r="D27" s="152" t="s">
        <v>53</v>
      </c>
    </row>
    <row r="28" spans="3:8">
      <c r="D28" s="152" t="s">
        <v>54</v>
      </c>
    </row>
    <row r="29" spans="3:8" ht="45.75" customHeight="1">
      <c r="C29" s="331"/>
      <c r="D29" s="331"/>
      <c r="E29" s="331"/>
    </row>
    <row r="30" spans="3:8" ht="75" customHeight="1">
      <c r="C30" s="331"/>
      <c r="D30" s="331"/>
      <c r="E30" s="331"/>
    </row>
    <row r="31" spans="3:8" ht="15.75">
      <c r="C31" s="162" t="s">
        <v>273</v>
      </c>
      <c r="D31" s="151"/>
      <c r="E31" s="151"/>
    </row>
    <row r="32" spans="3:8" ht="170.25" customHeight="1">
      <c r="C32" s="323" t="s">
        <v>274</v>
      </c>
      <c r="D32" s="323"/>
      <c r="E32" s="323"/>
    </row>
  </sheetData>
  <mergeCells count="12">
    <mergeCell ref="C32:E32"/>
    <mergeCell ref="E13:H13"/>
    <mergeCell ref="E14:H14"/>
    <mergeCell ref="E15:H15"/>
    <mergeCell ref="E16:H16"/>
    <mergeCell ref="E17:H17"/>
    <mergeCell ref="C21:E21"/>
    <mergeCell ref="C23:E23"/>
    <mergeCell ref="C24:E24"/>
    <mergeCell ref="C25:E25"/>
    <mergeCell ref="C29:E29"/>
    <mergeCell ref="C30:E30"/>
  </mergeCell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2D5591-F3BB-4692-959A-0BC564B78D4E}">
  <sheetPr codeName="Sheet20"/>
  <dimension ref="A1:BE1169"/>
  <sheetViews>
    <sheetView tabSelected="1" zoomScale="80" zoomScaleNormal="80" workbookViewId="0">
      <pane xSplit="3" ySplit="8" topLeftCell="D129" activePane="bottomRight" state="frozen"/>
      <selection activeCell="AT134" sqref="AT134"/>
      <selection pane="topRight" activeCell="AT134" sqref="AT134"/>
      <selection pane="bottomLeft" activeCell="AT134" sqref="AT134"/>
      <selection pane="bottomRight" activeCell="F165" sqref="F165"/>
    </sheetView>
  </sheetViews>
  <sheetFormatPr defaultColWidth="9.140625" defaultRowHeight="11.25"/>
  <cols>
    <col min="1" max="1" width="23.140625" style="130" customWidth="1"/>
    <col min="2" max="2" width="10.5703125" style="26" customWidth="1"/>
    <col min="3" max="3" width="19.42578125" style="26" customWidth="1"/>
    <col min="4" max="4" width="12.140625" style="26" hidden="1" customWidth="1"/>
    <col min="5" max="5" width="3" style="26" hidden="1" customWidth="1"/>
    <col min="6" max="6" width="23.28515625" style="26" hidden="1" customWidth="1"/>
    <col min="7" max="7" width="12.7109375" style="122" customWidth="1"/>
    <col min="8" max="8" width="20.140625" style="122" customWidth="1"/>
    <col min="9" max="9" width="21.28515625" style="122" customWidth="1"/>
    <col min="10" max="10" width="16.28515625" style="122" customWidth="1"/>
    <col min="11" max="11" width="15" style="122" customWidth="1"/>
    <col min="12" max="12" width="5.42578125" style="26" hidden="1" customWidth="1"/>
    <col min="13" max="13" width="5.7109375" style="26" hidden="1" customWidth="1"/>
    <col min="14" max="14" width="5.5703125" style="26" hidden="1" customWidth="1"/>
    <col min="15" max="15" width="6.42578125" style="26" hidden="1" customWidth="1"/>
    <col min="16" max="16" width="5.5703125" style="26" hidden="1" customWidth="1"/>
    <col min="17" max="22" width="17.7109375" style="26" hidden="1" customWidth="1"/>
    <col min="23" max="23" width="14.7109375" style="26" hidden="1" customWidth="1"/>
    <col min="24" max="24" width="6.28515625" style="130" customWidth="1"/>
    <col min="25" max="25" width="10" style="130" customWidth="1"/>
    <col min="26" max="26" width="12.140625" style="121" hidden="1" customWidth="1"/>
    <col min="27" max="27" width="40.7109375" style="121" hidden="1" customWidth="1"/>
    <col min="28" max="28" width="11" style="121" customWidth="1"/>
    <col min="29" max="29" width="5.42578125" style="121" customWidth="1"/>
    <col min="30" max="30" width="10.85546875" style="121" hidden="1" customWidth="1"/>
    <col min="31" max="31" width="8.85546875" style="121" hidden="1" customWidth="1"/>
    <col min="32" max="32" width="13.5703125" style="121" hidden="1" customWidth="1"/>
    <col min="33" max="33" width="10" style="121" hidden="1" customWidth="1"/>
    <col min="34" max="34" width="9.28515625" style="121" hidden="1" customWidth="1"/>
    <col min="35" max="35" width="7.85546875" style="121" hidden="1" customWidth="1"/>
    <col min="36" max="42" width="12.28515625" style="121" hidden="1" customWidth="1"/>
    <col min="43" max="43" width="31" style="26" customWidth="1"/>
    <col min="44" max="44" width="16.140625" style="26" customWidth="1"/>
    <col min="45" max="45" width="8.42578125" style="172" customWidth="1"/>
    <col min="46" max="46" width="6.7109375" style="172" customWidth="1"/>
    <col min="47" max="47" width="8.42578125" style="172" hidden="1" customWidth="1"/>
    <col min="48" max="48" width="8.42578125" style="172" customWidth="1"/>
    <col min="49" max="49" width="11.28515625" style="172" customWidth="1"/>
    <col min="50" max="50" width="8.85546875" style="172" customWidth="1"/>
    <col min="51" max="52" width="9.85546875" style="172" customWidth="1"/>
    <col min="53" max="53" width="10" style="172" customWidth="1"/>
    <col min="54" max="54" width="8.42578125" style="172" hidden="1" customWidth="1"/>
    <col min="55" max="55" width="10" style="134" customWidth="1"/>
    <col min="56" max="56" width="22.7109375" style="172" customWidth="1"/>
    <col min="57" max="57" width="57.5703125" style="130" customWidth="1"/>
    <col min="58" max="16384" width="9.140625" style="26"/>
  </cols>
  <sheetData>
    <row r="1" spans="1:57" s="30" customFormat="1" ht="18.75" customHeight="1">
      <c r="A1" s="255"/>
      <c r="B1" s="255"/>
      <c r="C1" s="29"/>
      <c r="D1" s="340"/>
      <c r="E1" s="340"/>
      <c r="F1" s="340"/>
      <c r="G1" s="340"/>
      <c r="H1" s="340"/>
      <c r="I1" s="340"/>
      <c r="J1" s="340"/>
      <c r="K1" s="340"/>
      <c r="L1" s="305"/>
      <c r="M1" s="305"/>
      <c r="N1" s="305"/>
      <c r="O1" s="305"/>
      <c r="P1" s="305"/>
      <c r="Q1" s="305"/>
      <c r="R1" s="305"/>
      <c r="S1" s="305"/>
      <c r="T1" s="305"/>
      <c r="U1" s="305"/>
      <c r="V1" s="305"/>
      <c r="X1" s="124"/>
      <c r="Y1" s="124"/>
      <c r="Z1" s="32"/>
      <c r="AA1" s="32"/>
      <c r="AB1" s="32"/>
      <c r="AC1" s="32"/>
      <c r="AD1" s="32"/>
      <c r="AE1" s="32"/>
      <c r="AF1" s="32"/>
      <c r="AG1" s="32"/>
      <c r="AH1" s="32"/>
      <c r="AI1" s="32"/>
      <c r="AJ1" s="32"/>
      <c r="AK1" s="32"/>
      <c r="AL1" s="32"/>
      <c r="AM1" s="32"/>
      <c r="AN1" s="32"/>
      <c r="AO1" s="32"/>
      <c r="AP1" s="32"/>
      <c r="AS1" s="31" t="s">
        <v>330</v>
      </c>
      <c r="AT1" s="31"/>
      <c r="AU1" s="31"/>
      <c r="AV1" s="31"/>
      <c r="AW1" s="31"/>
      <c r="AX1" s="31"/>
      <c r="AY1" s="31"/>
      <c r="AZ1" s="31"/>
      <c r="BA1" s="31"/>
      <c r="BB1" s="31"/>
      <c r="BC1" s="23"/>
      <c r="BD1" s="31"/>
      <c r="BE1" s="144" t="s">
        <v>80</v>
      </c>
    </row>
    <row r="2" spans="1:57" s="30" customFormat="1" ht="15" customHeight="1">
      <c r="A2" s="255"/>
      <c r="B2" s="255"/>
      <c r="C2" s="29"/>
      <c r="D2" s="340" t="s">
        <v>331</v>
      </c>
      <c r="E2" s="340"/>
      <c r="F2" s="340"/>
      <c r="G2" s="340"/>
      <c r="H2" s="340"/>
      <c r="I2" s="340"/>
      <c r="J2" s="340"/>
      <c r="K2" s="340"/>
      <c r="L2" s="340"/>
      <c r="M2" s="305"/>
      <c r="N2" s="305"/>
      <c r="O2" s="305"/>
      <c r="P2" s="305"/>
      <c r="Q2" s="305"/>
      <c r="R2" s="305"/>
      <c r="S2" s="305"/>
      <c r="T2" s="305"/>
      <c r="U2" s="305"/>
      <c r="V2" s="305"/>
      <c r="X2" s="124"/>
      <c r="Y2" s="124"/>
      <c r="Z2" s="32"/>
      <c r="AA2" s="32"/>
      <c r="AB2" s="32"/>
      <c r="AC2" s="32"/>
      <c r="AD2" s="32"/>
      <c r="AE2" s="32"/>
      <c r="AF2" s="32"/>
      <c r="AG2" s="32"/>
      <c r="AH2" s="32"/>
      <c r="AI2" s="32"/>
      <c r="AJ2" s="32"/>
      <c r="AK2" s="32"/>
      <c r="AL2" s="32"/>
      <c r="AM2" s="32"/>
      <c r="AN2" s="32"/>
      <c r="AO2" s="32"/>
      <c r="AP2" s="32"/>
      <c r="AS2" s="173" t="s">
        <v>332</v>
      </c>
      <c r="AT2" s="31"/>
      <c r="AU2" s="31"/>
      <c r="AV2" s="31"/>
      <c r="AW2" s="31"/>
      <c r="AX2" s="31"/>
      <c r="AY2" s="31"/>
      <c r="AZ2" s="31"/>
      <c r="BA2" s="31"/>
      <c r="BB2" s="31"/>
      <c r="BC2" s="23"/>
      <c r="BD2" s="31"/>
      <c r="BE2" s="145" t="s">
        <v>81</v>
      </c>
    </row>
    <row r="3" spans="1:57" s="30" customFormat="1" ht="15" customHeight="1">
      <c r="A3" s="255" t="s">
        <v>2214</v>
      </c>
      <c r="B3" s="258">
        <f>'Customer-Readme'!B10</f>
        <v>1.06</v>
      </c>
      <c r="C3" s="257"/>
      <c r="D3" s="257"/>
      <c r="E3" s="257"/>
      <c r="F3" s="257"/>
      <c r="G3" s="257"/>
      <c r="H3" s="257"/>
      <c r="I3" s="257"/>
      <c r="J3" s="255"/>
      <c r="K3" s="29"/>
      <c r="L3" s="305"/>
      <c r="M3" s="305"/>
      <c r="N3" s="305"/>
      <c r="O3" s="305"/>
      <c r="P3" s="305"/>
      <c r="Q3" s="305"/>
      <c r="R3" s="305"/>
      <c r="S3" s="305"/>
      <c r="T3" s="305"/>
      <c r="U3" s="305"/>
      <c r="X3" s="124"/>
      <c r="Y3" s="124"/>
      <c r="Z3" s="32"/>
      <c r="AA3" s="32"/>
      <c r="AB3" s="32"/>
      <c r="AC3" s="32"/>
      <c r="AD3" s="32"/>
      <c r="AE3" s="32"/>
      <c r="AF3" s="32"/>
      <c r="AG3" s="32"/>
      <c r="AH3" s="32"/>
      <c r="AI3" s="32"/>
      <c r="AJ3" s="32"/>
      <c r="AK3" s="32"/>
      <c r="AL3" s="32"/>
      <c r="AM3" s="32"/>
      <c r="AN3" s="32"/>
      <c r="AO3" s="32"/>
      <c r="AP3" s="32"/>
      <c r="AS3" s="174" t="s">
        <v>333</v>
      </c>
      <c r="AT3" s="31"/>
      <c r="AU3" s="31"/>
      <c r="AV3" s="31"/>
      <c r="AW3" s="31"/>
      <c r="AX3" s="31"/>
      <c r="AY3" s="31"/>
      <c r="AZ3" s="31"/>
      <c r="BA3" s="31"/>
      <c r="BB3" s="31"/>
      <c r="BC3" s="23"/>
      <c r="BD3" s="31"/>
      <c r="BE3" s="146" t="s">
        <v>82</v>
      </c>
    </row>
    <row r="4" spans="1:57" s="30" customFormat="1" ht="15" customHeight="1">
      <c r="A4" s="256"/>
      <c r="B4" s="256"/>
      <c r="C4" s="29"/>
      <c r="D4" s="340"/>
      <c r="E4" s="340"/>
      <c r="F4" s="340"/>
      <c r="G4" s="340"/>
      <c r="H4" s="340"/>
      <c r="I4" s="340"/>
      <c r="J4" s="340"/>
      <c r="K4" s="340"/>
      <c r="L4" s="305"/>
      <c r="M4" s="305"/>
      <c r="N4" s="305"/>
      <c r="O4" s="305"/>
      <c r="P4" s="305"/>
      <c r="Q4" s="305"/>
      <c r="R4" s="305"/>
      <c r="S4" s="305"/>
      <c r="T4" s="305"/>
      <c r="U4" s="305"/>
      <c r="V4" s="305"/>
      <c r="X4" s="124"/>
      <c r="Y4" s="124"/>
      <c r="Z4" s="32"/>
      <c r="AA4" s="32"/>
      <c r="AB4" s="32"/>
      <c r="AC4" s="32"/>
      <c r="AD4" s="32"/>
      <c r="AE4" s="32"/>
      <c r="AF4" s="32"/>
      <c r="AG4" s="32"/>
      <c r="AH4" s="32"/>
      <c r="AI4" s="32"/>
      <c r="AJ4" s="32"/>
      <c r="AK4" s="32"/>
      <c r="AL4" s="32"/>
      <c r="AM4" s="32"/>
      <c r="AN4" s="32"/>
      <c r="AO4" s="32"/>
      <c r="AP4" s="32"/>
      <c r="AS4" s="31"/>
      <c r="AT4" s="31"/>
      <c r="AU4" s="31"/>
      <c r="AV4" s="31"/>
      <c r="AW4" s="31"/>
      <c r="AX4" s="31"/>
      <c r="AY4" s="31"/>
      <c r="AZ4" s="31"/>
      <c r="BA4" s="31"/>
      <c r="BB4" s="31"/>
      <c r="BC4" s="23"/>
      <c r="BD4" s="31"/>
      <c r="BE4" s="147" t="s">
        <v>83</v>
      </c>
    </row>
    <row r="5" spans="1:57" s="30" customFormat="1" ht="15" customHeight="1">
      <c r="A5" s="245"/>
      <c r="B5" s="245"/>
      <c r="C5" s="29"/>
      <c r="D5" s="340"/>
      <c r="E5" s="340"/>
      <c r="F5" s="340"/>
      <c r="G5" s="340"/>
      <c r="H5" s="340"/>
      <c r="I5" s="340"/>
      <c r="J5" s="340"/>
      <c r="K5" s="340"/>
      <c r="L5" s="305"/>
      <c r="M5" s="305"/>
      <c r="N5" s="305"/>
      <c r="O5" s="305"/>
      <c r="P5" s="305"/>
      <c r="Q5" s="305"/>
      <c r="R5" s="305"/>
      <c r="S5" s="305"/>
      <c r="T5" s="305"/>
      <c r="U5" s="305"/>
      <c r="V5" s="305"/>
      <c r="X5" s="124"/>
      <c r="Y5" s="124"/>
      <c r="Z5" s="32"/>
      <c r="AA5" s="32"/>
      <c r="AB5" s="32"/>
      <c r="AC5" s="32"/>
      <c r="AD5" s="32"/>
      <c r="AE5" s="32"/>
      <c r="AF5" s="32"/>
      <c r="AG5" s="32"/>
      <c r="AH5" s="32"/>
      <c r="AI5" s="32"/>
      <c r="AJ5" s="32"/>
      <c r="AK5" s="32"/>
      <c r="AL5" s="32"/>
      <c r="AM5" s="32"/>
      <c r="AN5" s="32"/>
      <c r="AO5" s="32"/>
      <c r="AP5" s="32"/>
      <c r="AS5" s="31"/>
      <c r="AT5" s="31"/>
      <c r="AU5" s="31"/>
      <c r="AV5" s="31"/>
      <c r="AW5" s="31"/>
      <c r="AX5" s="31"/>
      <c r="AY5" s="31"/>
      <c r="AZ5" s="31"/>
      <c r="BA5" s="31"/>
      <c r="BB5" s="31"/>
      <c r="BC5" s="23"/>
      <c r="BD5" s="31"/>
      <c r="BE5" s="262" t="s">
        <v>2218</v>
      </c>
    </row>
    <row r="6" spans="1:57" s="30" customFormat="1" ht="15" customHeight="1">
      <c r="A6" s="341" t="s">
        <v>5684</v>
      </c>
      <c r="B6" s="341"/>
      <c r="C6" s="33"/>
      <c r="D6" s="342" t="s">
        <v>84</v>
      </c>
      <c r="E6" s="342"/>
      <c r="F6" s="34"/>
      <c r="G6" s="343" t="s">
        <v>85</v>
      </c>
      <c r="H6" s="344"/>
      <c r="I6" s="344"/>
      <c r="J6" s="344"/>
      <c r="K6" s="345"/>
      <c r="L6" s="346" t="s">
        <v>86</v>
      </c>
      <c r="M6" s="342"/>
      <c r="N6" s="342"/>
      <c r="O6" s="342"/>
      <c r="P6" s="347"/>
      <c r="Q6" s="346" t="s">
        <v>87</v>
      </c>
      <c r="R6" s="342"/>
      <c r="S6" s="342"/>
      <c r="T6" s="342"/>
      <c r="U6" s="342"/>
      <c r="V6" s="306"/>
      <c r="W6" s="346" t="s">
        <v>0</v>
      </c>
      <c r="X6" s="342"/>
      <c r="Y6" s="347"/>
      <c r="Z6" s="350" t="s">
        <v>896</v>
      </c>
      <c r="AA6" s="351"/>
      <c r="AB6" s="352"/>
      <c r="AC6" s="35" t="s">
        <v>71</v>
      </c>
      <c r="AD6" s="353" t="s">
        <v>88</v>
      </c>
      <c r="AE6" s="354"/>
      <c r="AF6" s="354"/>
      <c r="AG6" s="354"/>
      <c r="AH6" s="354"/>
      <c r="AI6" s="355"/>
      <c r="AJ6" s="353" t="s">
        <v>89</v>
      </c>
      <c r="AK6" s="354"/>
      <c r="AL6" s="354"/>
      <c r="AM6" s="354"/>
      <c r="AN6" s="354"/>
      <c r="AO6" s="354"/>
      <c r="AP6" s="355"/>
      <c r="AQ6" s="361" t="s">
        <v>90</v>
      </c>
      <c r="AR6" s="362"/>
      <c r="AS6" s="362"/>
      <c r="AT6" s="362"/>
      <c r="AU6" s="362"/>
      <c r="AV6" s="362"/>
      <c r="AW6" s="362"/>
      <c r="AX6" s="362"/>
      <c r="AY6" s="362"/>
      <c r="AZ6" s="362"/>
      <c r="BA6" s="362"/>
      <c r="BB6" s="362"/>
      <c r="BC6" s="135"/>
      <c r="BD6" s="36"/>
      <c r="BE6" s="356" t="s">
        <v>5685</v>
      </c>
    </row>
    <row r="7" spans="1:57" s="28" customFormat="1" ht="51">
      <c r="A7" s="341"/>
      <c r="B7" s="341"/>
      <c r="C7" s="37" t="s">
        <v>1</v>
      </c>
      <c r="D7" s="38" t="s">
        <v>562</v>
      </c>
      <c r="E7" s="38"/>
      <c r="F7" s="38" t="s">
        <v>91</v>
      </c>
      <c r="G7" s="39" t="s">
        <v>81</v>
      </c>
      <c r="H7" s="40" t="s">
        <v>92</v>
      </c>
      <c r="I7" s="40" t="s">
        <v>2</v>
      </c>
      <c r="J7" s="40" t="s">
        <v>3</v>
      </c>
      <c r="K7" s="41" t="s">
        <v>4</v>
      </c>
      <c r="L7" s="38" t="s">
        <v>81</v>
      </c>
      <c r="M7" s="38" t="s">
        <v>92</v>
      </c>
      <c r="N7" s="38" t="s">
        <v>2</v>
      </c>
      <c r="O7" s="38" t="s">
        <v>3</v>
      </c>
      <c r="P7" s="42" t="s">
        <v>4</v>
      </c>
      <c r="Q7" s="38" t="s">
        <v>93</v>
      </c>
      <c r="R7" s="38" t="s">
        <v>94</v>
      </c>
      <c r="S7" s="38" t="s">
        <v>95</v>
      </c>
      <c r="T7" s="38" t="s">
        <v>96</v>
      </c>
      <c r="U7" s="38" t="s">
        <v>97</v>
      </c>
      <c r="V7" s="38" t="s">
        <v>879</v>
      </c>
      <c r="W7" s="37" t="s">
        <v>98</v>
      </c>
      <c r="X7" s="124" t="s">
        <v>58</v>
      </c>
      <c r="Y7" s="124" t="s">
        <v>329</v>
      </c>
      <c r="Z7" s="215" t="s">
        <v>894</v>
      </c>
      <c r="AA7" s="216" t="s">
        <v>77</v>
      </c>
      <c r="AB7" s="217" t="s">
        <v>897</v>
      </c>
      <c r="AC7" s="214" t="s">
        <v>6</v>
      </c>
      <c r="AD7" s="44" t="s">
        <v>99</v>
      </c>
      <c r="AE7" s="45" t="s">
        <v>100</v>
      </c>
      <c r="AF7" s="46" t="s">
        <v>5</v>
      </c>
      <c r="AG7" s="46" t="s">
        <v>101</v>
      </c>
      <c r="AH7" s="46" t="s">
        <v>102</v>
      </c>
      <c r="AI7" s="47" t="s">
        <v>103</v>
      </c>
      <c r="AJ7" s="45" t="s">
        <v>554</v>
      </c>
      <c r="AK7" s="45" t="s">
        <v>555</v>
      </c>
      <c r="AL7" s="45" t="s">
        <v>104</v>
      </c>
      <c r="AM7" s="45" t="s">
        <v>556</v>
      </c>
      <c r="AN7" s="45" t="s">
        <v>557</v>
      </c>
      <c r="AO7" s="45" t="s">
        <v>558</v>
      </c>
      <c r="AP7" s="45" t="s">
        <v>553</v>
      </c>
      <c r="AQ7" s="48" t="s">
        <v>105</v>
      </c>
      <c r="AR7" s="49" t="s">
        <v>106</v>
      </c>
      <c r="AS7" s="43" t="s">
        <v>78</v>
      </c>
      <c r="AT7" s="43" t="s">
        <v>107</v>
      </c>
      <c r="AU7" s="43" t="s">
        <v>108</v>
      </c>
      <c r="AV7" s="43" t="s">
        <v>2221</v>
      </c>
      <c r="AW7" s="43" t="s">
        <v>511</v>
      </c>
      <c r="AX7" s="43" t="s">
        <v>898</v>
      </c>
      <c r="AY7" s="43" t="s">
        <v>899</v>
      </c>
      <c r="AZ7" s="43" t="s">
        <v>269</v>
      </c>
      <c r="BA7" s="43" t="s">
        <v>270</v>
      </c>
      <c r="BB7" s="132" t="s">
        <v>109</v>
      </c>
      <c r="BC7" s="136" t="s">
        <v>267</v>
      </c>
      <c r="BD7" s="50" t="s">
        <v>110</v>
      </c>
      <c r="BE7" s="357"/>
    </row>
    <row r="8" spans="1:57" s="28" customFormat="1" ht="15.75">
      <c r="A8" s="246" t="s">
        <v>2462</v>
      </c>
      <c r="B8" s="246" t="s">
        <v>2463</v>
      </c>
      <c r="C8" s="85" t="s">
        <v>111</v>
      </c>
      <c r="D8" s="86"/>
      <c r="E8" s="86"/>
      <c r="F8" s="86"/>
      <c r="G8" s="87"/>
      <c r="H8" s="87"/>
      <c r="I8" s="87"/>
      <c r="J8" s="87"/>
      <c r="K8" s="87"/>
      <c r="L8" s="86"/>
      <c r="M8" s="86"/>
      <c r="N8" s="86"/>
      <c r="O8" s="86"/>
      <c r="P8" s="86"/>
      <c r="Q8" s="86"/>
      <c r="R8" s="86"/>
      <c r="S8" s="86"/>
      <c r="T8" s="86"/>
      <c r="U8" s="86"/>
      <c r="V8" s="86"/>
      <c r="W8" s="86"/>
      <c r="X8" s="129"/>
      <c r="Y8" s="129"/>
      <c r="Z8" s="88"/>
      <c r="AA8" s="88"/>
      <c r="AB8" s="88"/>
      <c r="AC8" s="88"/>
      <c r="AD8" s="88"/>
      <c r="AE8" s="88"/>
      <c r="AF8" s="88"/>
      <c r="AG8" s="88"/>
      <c r="AH8" s="88"/>
      <c r="AI8" s="88"/>
      <c r="AJ8" s="88"/>
      <c r="AK8" s="88"/>
      <c r="AL8" s="88"/>
      <c r="AM8" s="88"/>
      <c r="AN8" s="88"/>
      <c r="AO8" s="88"/>
      <c r="AP8" s="88"/>
      <c r="AQ8" s="89"/>
      <c r="AR8" s="89"/>
      <c r="AS8" s="90"/>
      <c r="AT8" s="90"/>
      <c r="AU8" s="90"/>
      <c r="AV8" s="90"/>
      <c r="AW8" s="90"/>
      <c r="AX8" s="90"/>
      <c r="AY8" s="90"/>
      <c r="AZ8" s="90"/>
      <c r="BA8" s="90"/>
      <c r="BB8" s="90"/>
      <c r="BC8" s="101"/>
      <c r="BD8" s="90"/>
      <c r="BE8" s="201"/>
    </row>
    <row r="9" spans="1:57" s="56" customFormat="1" ht="18" customHeight="1">
      <c r="A9" s="348"/>
      <c r="B9" s="358"/>
      <c r="C9" s="304" t="s">
        <v>61</v>
      </c>
      <c r="D9" s="51"/>
      <c r="E9" s="51"/>
      <c r="F9" s="51"/>
      <c r="G9" s="52"/>
      <c r="H9" s="52"/>
      <c r="I9" s="52"/>
      <c r="J9" s="52"/>
      <c r="K9" s="52"/>
      <c r="L9" s="51"/>
      <c r="M9" s="51"/>
      <c r="N9" s="51"/>
      <c r="O9" s="51"/>
      <c r="P9" s="51"/>
      <c r="Q9" s="51"/>
      <c r="R9" s="51"/>
      <c r="S9" s="51"/>
      <c r="T9" s="51"/>
      <c r="U9" s="51"/>
      <c r="V9" s="51"/>
      <c r="W9" s="51"/>
      <c r="X9" s="125"/>
      <c r="Y9" s="125"/>
      <c r="Z9" s="53"/>
      <c r="AA9" s="53"/>
      <c r="AB9" s="53"/>
      <c r="AC9" s="53"/>
      <c r="AD9" s="53"/>
      <c r="AE9" s="53"/>
      <c r="AF9" s="53"/>
      <c r="AG9" s="53"/>
      <c r="AH9" s="53"/>
      <c r="AI9" s="53"/>
      <c r="AJ9" s="53" t="b">
        <v>0</v>
      </c>
      <c r="AK9" s="53"/>
      <c r="AL9" s="53"/>
      <c r="AM9" s="53"/>
      <c r="AN9" s="53"/>
      <c r="AO9" s="53"/>
      <c r="AP9" s="53"/>
      <c r="AQ9" s="54"/>
      <c r="AR9" s="54"/>
      <c r="AS9" s="55"/>
      <c r="AT9" s="55"/>
      <c r="AU9" s="55"/>
      <c r="AV9" s="55"/>
      <c r="AW9" s="55"/>
      <c r="AX9" s="55"/>
      <c r="AY9" s="55"/>
      <c r="AZ9" s="55"/>
      <c r="BA9" s="55"/>
      <c r="BB9" s="55"/>
      <c r="BC9" s="175" t="s">
        <v>59</v>
      </c>
      <c r="BD9" s="185"/>
      <c r="BE9" s="187" t="s">
        <v>61</v>
      </c>
    </row>
    <row r="10" spans="1:57" ht="12.95" hidden="1" customHeight="1">
      <c r="A10" s="248" t="e">
        <v>#N/A</v>
      </c>
      <c r="B10" s="252" t="e">
        <v>#N/A</v>
      </c>
      <c r="C10" s="309" t="s">
        <v>10</v>
      </c>
      <c r="D10" s="239" t="s">
        <v>2509</v>
      </c>
      <c r="E10" s="58"/>
      <c r="F10" s="59" t="s">
        <v>540</v>
      </c>
      <c r="G10" s="191" t="s">
        <v>2510</v>
      </c>
      <c r="H10" s="192" t="s">
        <v>907</v>
      </c>
      <c r="I10" s="61" t="s">
        <v>2511</v>
      </c>
      <c r="J10" s="61" t="s">
        <v>2511</v>
      </c>
      <c r="K10" s="62" t="s">
        <v>2511</v>
      </c>
      <c r="L10" s="60" t="s">
        <v>2389</v>
      </c>
      <c r="M10" s="61" t="s">
        <v>2389</v>
      </c>
      <c r="N10" s="61" t="s">
        <v>2511</v>
      </c>
      <c r="O10" s="61" t="s">
        <v>2511</v>
      </c>
      <c r="P10" s="62" t="s">
        <v>2511</v>
      </c>
      <c r="Q10" s="58" t="s">
        <v>119</v>
      </c>
      <c r="R10" s="58" t="s">
        <v>126</v>
      </c>
      <c r="S10" s="58" t="s">
        <v>112</v>
      </c>
      <c r="T10" s="58" t="s">
        <v>113</v>
      </c>
      <c r="U10" s="63" t="s">
        <v>126</v>
      </c>
      <c r="V10" s="137" t="s">
        <v>2512</v>
      </c>
      <c r="W10" s="57" t="s">
        <v>2513</v>
      </c>
      <c r="X10" s="126" t="s">
        <v>2511</v>
      </c>
      <c r="Y10" s="126" t="s">
        <v>2511</v>
      </c>
      <c r="Z10" s="57" t="s">
        <v>2514</v>
      </c>
      <c r="AA10" s="57" t="s">
        <v>2515</v>
      </c>
      <c r="AB10" s="57" t="s">
        <v>2393</v>
      </c>
      <c r="AC10" s="57" t="s">
        <v>2516</v>
      </c>
      <c r="AD10" s="65" t="str">
        <f t="shared" ref="AD10:AD26" si="0">IF(OR($AQ10="",$AQ10=$F10),$U10,IF($AQ10=$G10,SUBSTITUTE(SUBSTITUTE($AQ10,"GPIO3_","GPIO_"),".0",""),IF($AQ10=$H10,$Q10,IF($AQ10=$I10,$R10,IF($AQ10=$J10,$S10,IF($AQ10=$K10,$T10,"INVALID"))))))</f>
        <v>RSVD1</v>
      </c>
      <c r="AE10" s="70"/>
      <c r="AF10" s="67" t="str">
        <f t="shared" ref="AF10:AF26" si="1">IF(AND(OR($AS10="Int PU",$AS10="Int PD"),OR(AND($AZ10&lt;&gt;"",$AZ10&lt;&gt;"0"),AND($BA10&lt;&gt;"",$BA10&lt;&gt;"0"))),"INVALID",IF(OR($AQ10=$F10,$AS10="Int PD"),"PULL_DOWN",IF(OR($AS10="Int PU",AND($AE10="YES",OR($AZ10="",$AZ10="0"),OR($BA10="",$BA10="0"),OR($AR10="Input",$AR10="Bidirectional"))),"PULL_UP","NORMAL")))</f>
        <v>PULL_DOWN</v>
      </c>
      <c r="AG10" s="67" t="str">
        <f>IF($AV10="slave", "TRISTATE", IF($AR10="Input", "TRISTATE", IF($AS10="Z","TRISTATE",IF($AQ10=$F10,"TRISTATE","NORMAL"))))</f>
        <v>TRISTATE</v>
      </c>
      <c r="AH10" s="67" t="str">
        <f>IF(OR((AND($AQ10=$G10,$AR10="INPUT")),(AND($AQ10=$H10,$AV10="Slave")),$AR10="Bidirectional"),"ENABLE","DISABLE")</f>
        <v>DISABLE</v>
      </c>
      <c r="AI10" s="71" t="str">
        <f t="shared" ref="AI10:AI26" si="2">IF($AQ10&lt;&gt;$G10,"N/A",IF($AS10="Drive 1", "1", IF($AS10="Drive 0", "0", "")))</f>
        <v>N/A</v>
      </c>
      <c r="AJ10" s="189" t="b">
        <v>1</v>
      </c>
      <c r="AK10" s="189" t="b">
        <v>1</v>
      </c>
      <c r="AL10" s="189" t="b">
        <v>1</v>
      </c>
      <c r="AM10" s="189" t="b">
        <v>1</v>
      </c>
      <c r="AN10" s="189" t="b">
        <v>1</v>
      </c>
      <c r="AO10" s="189" t="b">
        <v>1</v>
      </c>
      <c r="AP10" s="69" t="str">
        <f t="shared" ref="AP10:AP26" si="3">IF(AND($AJ10:$AO10), "VALID", "INVALID")</f>
        <v>VALID</v>
      </c>
      <c r="AQ10" s="166" t="s">
        <v>540</v>
      </c>
      <c r="AR10" s="194" t="s">
        <v>79</v>
      </c>
      <c r="AS10" s="193"/>
      <c r="AT10" s="72"/>
      <c r="AU10" s="72"/>
      <c r="AV10" s="193" t="s">
        <v>900</v>
      </c>
      <c r="AW10" s="72"/>
      <c r="AX10" s="193" t="s">
        <v>136</v>
      </c>
      <c r="AY10" s="72"/>
      <c r="AZ10" s="193"/>
      <c r="BA10" s="193"/>
      <c r="BB10" s="8"/>
      <c r="BC10" s="140"/>
      <c r="BD10" s="147" t="s">
        <v>83</v>
      </c>
      <c r="BE10" s="147" t="s">
        <v>83</v>
      </c>
    </row>
    <row r="11" spans="1:57" ht="12.95" hidden="1" customHeight="1">
      <c r="A11" s="248" t="e">
        <v>#N/A</v>
      </c>
      <c r="B11" s="252" t="e">
        <v>#N/A</v>
      </c>
      <c r="C11" s="309" t="s">
        <v>8</v>
      </c>
      <c r="D11" s="239" t="s">
        <v>2517</v>
      </c>
      <c r="E11" s="58"/>
      <c r="F11" s="59" t="s">
        <v>116</v>
      </c>
      <c r="G11" s="191" t="s">
        <v>2518</v>
      </c>
      <c r="H11" s="192" t="s">
        <v>908</v>
      </c>
      <c r="I11" s="61" t="s">
        <v>2511</v>
      </c>
      <c r="J11" s="61" t="s">
        <v>2511</v>
      </c>
      <c r="K11" s="62" t="s">
        <v>2511</v>
      </c>
      <c r="L11" s="60" t="s">
        <v>2389</v>
      </c>
      <c r="M11" s="61" t="s">
        <v>2519</v>
      </c>
      <c r="N11" s="61" t="s">
        <v>2511</v>
      </c>
      <c r="O11" s="61" t="s">
        <v>2511</v>
      </c>
      <c r="P11" s="62" t="s">
        <v>2511</v>
      </c>
      <c r="Q11" s="58" t="s">
        <v>119</v>
      </c>
      <c r="R11" s="58" t="s">
        <v>126</v>
      </c>
      <c r="S11" s="58" t="s">
        <v>112</v>
      </c>
      <c r="T11" s="58" t="s">
        <v>113</v>
      </c>
      <c r="U11" s="63" t="s">
        <v>126</v>
      </c>
      <c r="V11" s="138" t="s">
        <v>2520</v>
      </c>
      <c r="W11" s="57" t="s">
        <v>2513</v>
      </c>
      <c r="X11" s="126" t="s">
        <v>2511</v>
      </c>
      <c r="Y11" s="126" t="s">
        <v>2511</v>
      </c>
      <c r="Z11" s="57" t="s">
        <v>2514</v>
      </c>
      <c r="AA11" s="57" t="s">
        <v>2515</v>
      </c>
      <c r="AB11" s="57" t="s">
        <v>2393</v>
      </c>
      <c r="AC11" s="57" t="s">
        <v>2516</v>
      </c>
      <c r="AD11" s="65" t="str">
        <f t="shared" si="0"/>
        <v>RSVD1</v>
      </c>
      <c r="AE11" s="70"/>
      <c r="AF11" s="67" t="str">
        <f t="shared" si="1"/>
        <v>PULL_DOWN</v>
      </c>
      <c r="AG11" s="67" t="str">
        <f t="shared" ref="AG11:AG83" si="4">IF($AR11="Input", "TRISTATE", IF($AS11="Z","TRISTATE",IF($AQ11=$F11,"TRISTATE","NORMAL")))</f>
        <v>TRISTATE</v>
      </c>
      <c r="AH11" s="67" t="str">
        <f>IF(OR($AQ11=$F11,$AR11="Output"),"DISABLE","ENABLE")</f>
        <v>DISABLE</v>
      </c>
      <c r="AI11" s="71" t="str">
        <f t="shared" si="2"/>
        <v>N/A</v>
      </c>
      <c r="AJ11" s="189" t="b">
        <v>1</v>
      </c>
      <c r="AK11" s="189" t="b">
        <v>1</v>
      </c>
      <c r="AL11" s="189" t="b">
        <v>1</v>
      </c>
      <c r="AM11" s="189" t="b">
        <v>1</v>
      </c>
      <c r="AN11" s="189" t="b">
        <v>1</v>
      </c>
      <c r="AO11" s="189" t="b">
        <v>1</v>
      </c>
      <c r="AP11" s="69" t="str">
        <f t="shared" si="3"/>
        <v>VALID</v>
      </c>
      <c r="AQ11" s="166" t="s">
        <v>116</v>
      </c>
      <c r="AR11" s="194" t="s">
        <v>79</v>
      </c>
      <c r="AS11" s="193"/>
      <c r="AT11" s="72"/>
      <c r="AU11" s="72"/>
      <c r="AV11" s="193" t="s">
        <v>900</v>
      </c>
      <c r="AW11" s="72"/>
      <c r="AX11" s="193" t="s">
        <v>136</v>
      </c>
      <c r="AY11" s="72"/>
      <c r="AZ11" s="193"/>
      <c r="BA11" s="193"/>
      <c r="BB11" s="8"/>
      <c r="BC11" s="140"/>
      <c r="BD11" s="147" t="s">
        <v>83</v>
      </c>
      <c r="BE11" s="147" t="s">
        <v>83</v>
      </c>
    </row>
    <row r="12" spans="1:57" ht="12.95" hidden="1" customHeight="1">
      <c r="A12" s="248" t="e">
        <v>#N/A</v>
      </c>
      <c r="B12" s="252" t="e">
        <v>#N/A</v>
      </c>
      <c r="C12" s="309" t="s">
        <v>7</v>
      </c>
      <c r="D12" s="239" t="s">
        <v>2521</v>
      </c>
      <c r="E12" s="58"/>
      <c r="F12" s="59" t="s">
        <v>115</v>
      </c>
      <c r="G12" s="191" t="s">
        <v>2522</v>
      </c>
      <c r="H12" s="192" t="s">
        <v>909</v>
      </c>
      <c r="I12" s="61" t="s">
        <v>2511</v>
      </c>
      <c r="J12" s="61" t="s">
        <v>2511</v>
      </c>
      <c r="K12" s="62" t="s">
        <v>2511</v>
      </c>
      <c r="L12" s="60" t="s">
        <v>2389</v>
      </c>
      <c r="M12" s="61" t="s">
        <v>2523</v>
      </c>
      <c r="N12" s="61" t="s">
        <v>2511</v>
      </c>
      <c r="O12" s="61" t="s">
        <v>2511</v>
      </c>
      <c r="P12" s="62" t="s">
        <v>2511</v>
      </c>
      <c r="Q12" s="58" t="s">
        <v>119</v>
      </c>
      <c r="R12" s="58" t="s">
        <v>126</v>
      </c>
      <c r="S12" s="58" t="s">
        <v>112</v>
      </c>
      <c r="T12" s="58" t="s">
        <v>113</v>
      </c>
      <c r="U12" s="63" t="s">
        <v>126</v>
      </c>
      <c r="V12" s="138" t="s">
        <v>2524</v>
      </c>
      <c r="W12" s="57" t="s">
        <v>2513</v>
      </c>
      <c r="X12" s="126" t="s">
        <v>2511</v>
      </c>
      <c r="Y12" s="126" t="s">
        <v>2511</v>
      </c>
      <c r="Z12" s="57" t="s">
        <v>2514</v>
      </c>
      <c r="AA12" s="57" t="s">
        <v>2515</v>
      </c>
      <c r="AB12" s="57" t="s">
        <v>2393</v>
      </c>
      <c r="AC12" s="57" t="s">
        <v>2516</v>
      </c>
      <c r="AD12" s="65" t="str">
        <f t="shared" si="0"/>
        <v>RSVD1</v>
      </c>
      <c r="AE12" s="70"/>
      <c r="AF12" s="67" t="str">
        <f t="shared" si="1"/>
        <v>PULL_DOWN</v>
      </c>
      <c r="AG12" s="67" t="str">
        <f t="shared" si="4"/>
        <v>TRISTATE</v>
      </c>
      <c r="AH12" s="67" t="str">
        <f>IF(OR($AQ12=$F12,$AR12="Output"),"DISABLE","ENABLE")</f>
        <v>DISABLE</v>
      </c>
      <c r="AI12" s="71" t="str">
        <f t="shared" si="2"/>
        <v>N/A</v>
      </c>
      <c r="AJ12" s="189" t="b">
        <v>1</v>
      </c>
      <c r="AK12" s="189" t="b">
        <v>1</v>
      </c>
      <c r="AL12" s="189" t="b">
        <v>1</v>
      </c>
      <c r="AM12" s="189" t="b">
        <v>1</v>
      </c>
      <c r="AN12" s="189" t="b">
        <v>1</v>
      </c>
      <c r="AO12" s="189" t="b">
        <v>1</v>
      </c>
      <c r="AP12" s="69" t="str">
        <f t="shared" si="3"/>
        <v>VALID</v>
      </c>
      <c r="AQ12" s="166" t="s">
        <v>115</v>
      </c>
      <c r="AR12" s="194" t="s">
        <v>79</v>
      </c>
      <c r="AS12" s="193"/>
      <c r="AT12" s="72"/>
      <c r="AU12" s="72"/>
      <c r="AV12" s="193" t="s">
        <v>900</v>
      </c>
      <c r="AW12" s="72"/>
      <c r="AX12" s="193" t="s">
        <v>136</v>
      </c>
      <c r="AY12" s="72"/>
      <c r="AZ12" s="193"/>
      <c r="BA12" s="193"/>
      <c r="BB12" s="8"/>
      <c r="BC12" s="140"/>
      <c r="BD12" s="147" t="s">
        <v>83</v>
      </c>
      <c r="BE12" s="147" t="s">
        <v>83</v>
      </c>
    </row>
    <row r="13" spans="1:57" ht="12.95" hidden="1" customHeight="1">
      <c r="A13" s="248" t="e">
        <v>#N/A</v>
      </c>
      <c r="B13" s="252" t="e">
        <v>#N/A</v>
      </c>
      <c r="C13" s="309" t="s">
        <v>9</v>
      </c>
      <c r="D13" s="239" t="s">
        <v>2526</v>
      </c>
      <c r="E13" s="58"/>
      <c r="F13" s="59" t="s">
        <v>118</v>
      </c>
      <c r="G13" s="191" t="s">
        <v>2527</v>
      </c>
      <c r="H13" s="192" t="s">
        <v>910</v>
      </c>
      <c r="I13" s="61" t="s">
        <v>2511</v>
      </c>
      <c r="J13" s="61" t="s">
        <v>2511</v>
      </c>
      <c r="K13" s="62" t="s">
        <v>2511</v>
      </c>
      <c r="L13" s="60" t="s">
        <v>2389</v>
      </c>
      <c r="M13" s="61" t="s">
        <v>2389</v>
      </c>
      <c r="N13" s="61" t="s">
        <v>2511</v>
      </c>
      <c r="O13" s="61" t="s">
        <v>2511</v>
      </c>
      <c r="P13" s="62" t="s">
        <v>2511</v>
      </c>
      <c r="Q13" s="58" t="s">
        <v>119</v>
      </c>
      <c r="R13" s="58" t="s">
        <v>126</v>
      </c>
      <c r="S13" s="58" t="s">
        <v>112</v>
      </c>
      <c r="T13" s="58" t="s">
        <v>113</v>
      </c>
      <c r="U13" s="63" t="s">
        <v>126</v>
      </c>
      <c r="V13" s="138" t="s">
        <v>2528</v>
      </c>
      <c r="W13" s="57" t="s">
        <v>2513</v>
      </c>
      <c r="X13" s="126" t="s">
        <v>2511</v>
      </c>
      <c r="Y13" s="126" t="s">
        <v>2511</v>
      </c>
      <c r="Z13" s="57" t="s">
        <v>2514</v>
      </c>
      <c r="AA13" s="57" t="s">
        <v>2529</v>
      </c>
      <c r="AB13" s="57" t="s">
        <v>2393</v>
      </c>
      <c r="AC13" s="57" t="s">
        <v>2516</v>
      </c>
      <c r="AD13" s="65" t="str">
        <f t="shared" si="0"/>
        <v>RSVD1</v>
      </c>
      <c r="AE13" s="70"/>
      <c r="AF13" s="67" t="str">
        <f t="shared" si="1"/>
        <v>PULL_DOWN</v>
      </c>
      <c r="AG13" s="67" t="str">
        <f>IF($AV13="slave", "TRISTATE", IF($AR13="Input", "TRISTATE", IF($AS13="Z","TRISTATE",IF($AQ13=$F13,"TRISTATE","NORMAL"))))</f>
        <v>TRISTATE</v>
      </c>
      <c r="AH13" s="67" t="str">
        <f>IF(OR((AND($AQ13=$G13,$AR13="INPUT")),(AND($AQ13=$H13,$AV13="Slave")),$AR13="Bidirectional"),"ENABLE","DISABLE")</f>
        <v>DISABLE</v>
      </c>
      <c r="AI13" s="71" t="str">
        <f t="shared" si="2"/>
        <v>N/A</v>
      </c>
      <c r="AJ13" s="189" t="b">
        <v>1</v>
      </c>
      <c r="AK13" s="189" t="b">
        <v>1</v>
      </c>
      <c r="AL13" s="189" t="b">
        <v>1</v>
      </c>
      <c r="AM13" s="189" t="b">
        <v>1</v>
      </c>
      <c r="AN13" s="189" t="b">
        <v>1</v>
      </c>
      <c r="AO13" s="189" t="b">
        <v>1</v>
      </c>
      <c r="AP13" s="69" t="str">
        <f t="shared" si="3"/>
        <v>VALID</v>
      </c>
      <c r="AQ13" s="166" t="s">
        <v>118</v>
      </c>
      <c r="AR13" s="194" t="s">
        <v>79</v>
      </c>
      <c r="AS13" s="193"/>
      <c r="AT13" s="72"/>
      <c r="AU13" s="72"/>
      <c r="AV13" s="193" t="s">
        <v>900</v>
      </c>
      <c r="AW13" s="72"/>
      <c r="AX13" s="193" t="s">
        <v>136</v>
      </c>
      <c r="AY13" s="72"/>
      <c r="AZ13" s="193"/>
      <c r="BA13" s="193"/>
      <c r="BB13" s="8"/>
      <c r="BC13" s="140"/>
      <c r="BD13" s="147" t="s">
        <v>83</v>
      </c>
      <c r="BE13" s="147" t="s">
        <v>83</v>
      </c>
    </row>
    <row r="14" spans="1:57" ht="12.95" customHeight="1">
      <c r="A14" s="320" t="s">
        <v>2987</v>
      </c>
      <c r="B14" s="310">
        <v>211</v>
      </c>
      <c r="C14" s="239" t="s">
        <v>260</v>
      </c>
      <c r="D14" s="239" t="s">
        <v>2531</v>
      </c>
      <c r="E14" s="58"/>
      <c r="F14" s="59" t="s">
        <v>559</v>
      </c>
      <c r="G14" s="191" t="s">
        <v>2532</v>
      </c>
      <c r="H14" s="192" t="s">
        <v>260</v>
      </c>
      <c r="I14" s="61" t="s">
        <v>2511</v>
      </c>
      <c r="J14" s="61" t="s">
        <v>2511</v>
      </c>
      <c r="K14" s="62" t="s">
        <v>2511</v>
      </c>
      <c r="L14" s="60" t="s">
        <v>2389</v>
      </c>
      <c r="M14" s="61" t="s">
        <v>2388</v>
      </c>
      <c r="N14" s="61" t="s">
        <v>2511</v>
      </c>
      <c r="O14" s="61" t="s">
        <v>2511</v>
      </c>
      <c r="P14" s="62" t="s">
        <v>2511</v>
      </c>
      <c r="Q14" s="58" t="s">
        <v>541</v>
      </c>
      <c r="R14" s="58" t="s">
        <v>126</v>
      </c>
      <c r="S14" s="58" t="s">
        <v>112</v>
      </c>
      <c r="T14" s="58" t="s">
        <v>113</v>
      </c>
      <c r="U14" s="63" t="s">
        <v>126</v>
      </c>
      <c r="V14" s="138" t="s">
        <v>2533</v>
      </c>
      <c r="W14" s="57" t="s">
        <v>2513</v>
      </c>
      <c r="X14" s="126" t="s">
        <v>2511</v>
      </c>
      <c r="Y14" s="126" t="s">
        <v>2511</v>
      </c>
      <c r="Z14" s="57" t="s">
        <v>2514</v>
      </c>
      <c r="AA14" s="57" t="s">
        <v>2529</v>
      </c>
      <c r="AB14" s="57" t="s">
        <v>2393</v>
      </c>
      <c r="AC14" s="57" t="s">
        <v>2516</v>
      </c>
      <c r="AD14" s="65" t="str">
        <f t="shared" si="0"/>
        <v>GPIO_PS4</v>
      </c>
      <c r="AE14" s="70"/>
      <c r="AF14" s="67" t="str">
        <f t="shared" si="1"/>
        <v>PULL_UP</v>
      </c>
      <c r="AG14" s="67" t="str">
        <f t="shared" si="4"/>
        <v>TRISTATE</v>
      </c>
      <c r="AH14" s="67" t="str">
        <f>IF(OR($AQ14=$F14,$AR14="Output"),"DISABLE","ENABLE")</f>
        <v>ENABLE</v>
      </c>
      <c r="AI14" s="71" t="str">
        <f t="shared" si="2"/>
        <v/>
      </c>
      <c r="AJ14" s="189" t="b">
        <v>1</v>
      </c>
      <c r="AK14" s="189" t="b">
        <v>1</v>
      </c>
      <c r="AL14" s="189" t="b">
        <v>1</v>
      </c>
      <c r="AM14" s="189" t="b">
        <v>1</v>
      </c>
      <c r="AN14" s="189" t="b">
        <v>1</v>
      </c>
      <c r="AO14" s="189" t="b">
        <v>1</v>
      </c>
      <c r="AP14" s="69" t="str">
        <f t="shared" si="3"/>
        <v>VALID</v>
      </c>
      <c r="AQ14" s="166" t="s">
        <v>2532</v>
      </c>
      <c r="AR14" s="194" t="s">
        <v>862</v>
      </c>
      <c r="AS14" s="193" t="s">
        <v>873</v>
      </c>
      <c r="AT14" s="72"/>
      <c r="AU14" s="72"/>
      <c r="AV14" s="72"/>
      <c r="AW14" s="72"/>
      <c r="AX14" s="193" t="s">
        <v>136</v>
      </c>
      <c r="AY14" s="72"/>
      <c r="AZ14" s="193"/>
      <c r="BA14" s="193"/>
      <c r="BB14" s="8"/>
      <c r="BC14" s="140"/>
      <c r="BD14" s="11" t="s">
        <v>5552</v>
      </c>
      <c r="BE14" s="308" t="s">
        <v>5522</v>
      </c>
    </row>
    <row r="15" spans="1:57" ht="12.95" hidden="1" customHeight="1">
      <c r="A15" s="248" t="e">
        <v>#N/A</v>
      </c>
      <c r="B15" s="252" t="e">
        <v>#N/A</v>
      </c>
      <c r="C15" s="263" t="s">
        <v>960</v>
      </c>
      <c r="D15" s="239" t="s">
        <v>2535</v>
      </c>
      <c r="E15" s="58"/>
      <c r="F15" s="59" t="s">
        <v>1743</v>
      </c>
      <c r="G15" s="191" t="s">
        <v>2154</v>
      </c>
      <c r="H15" s="192" t="s">
        <v>2511</v>
      </c>
      <c r="I15" s="61" t="s">
        <v>2511</v>
      </c>
      <c r="J15" s="61" t="s">
        <v>2511</v>
      </c>
      <c r="K15" s="62" t="s">
        <v>2511</v>
      </c>
      <c r="L15" s="60" t="s">
        <v>2389</v>
      </c>
      <c r="M15" s="61" t="s">
        <v>2511</v>
      </c>
      <c r="N15" s="61" t="s">
        <v>2511</v>
      </c>
      <c r="O15" s="61" t="s">
        <v>2511</v>
      </c>
      <c r="P15" s="62" t="s">
        <v>2511</v>
      </c>
      <c r="Q15" s="58" t="s">
        <v>552</v>
      </c>
      <c r="R15" s="58" t="s">
        <v>126</v>
      </c>
      <c r="S15" s="58" t="s">
        <v>112</v>
      </c>
      <c r="T15" s="58" t="s">
        <v>113</v>
      </c>
      <c r="U15" s="63" t="s">
        <v>552</v>
      </c>
      <c r="V15" s="138" t="s">
        <v>2536</v>
      </c>
      <c r="W15" s="57" t="s">
        <v>2513</v>
      </c>
      <c r="X15" s="126" t="s">
        <v>2537</v>
      </c>
      <c r="Y15" s="126" t="s">
        <v>2511</v>
      </c>
      <c r="Z15" s="57" t="s">
        <v>2514</v>
      </c>
      <c r="AA15" s="57" t="s">
        <v>2538</v>
      </c>
      <c r="AB15" s="57" t="s">
        <v>2393</v>
      </c>
      <c r="AC15" s="57" t="s">
        <v>2516</v>
      </c>
      <c r="AD15" s="65" t="str">
        <f t="shared" si="0"/>
        <v>RSVD0</v>
      </c>
      <c r="AE15" s="70"/>
      <c r="AF15" s="67" t="str">
        <f t="shared" si="1"/>
        <v>PULL_DOWN</v>
      </c>
      <c r="AG15" s="67" t="str">
        <f t="shared" si="4"/>
        <v>TRISTATE</v>
      </c>
      <c r="AH15" s="67" t="str">
        <f>IF(OR($AQ15=$F15,$AR15="Output"),"DISABLE","ENABLE")</f>
        <v>DISABLE</v>
      </c>
      <c r="AI15" s="71" t="str">
        <f t="shared" si="2"/>
        <v>N/A</v>
      </c>
      <c r="AJ15" s="189" t="b">
        <v>1</v>
      </c>
      <c r="AK15" s="189" t="b">
        <v>1</v>
      </c>
      <c r="AL15" s="189" t="b">
        <v>1</v>
      </c>
      <c r="AM15" s="189" t="b">
        <v>1</v>
      </c>
      <c r="AN15" s="189" t="b">
        <v>1</v>
      </c>
      <c r="AO15" s="189" t="b">
        <v>1</v>
      </c>
      <c r="AP15" s="69" t="str">
        <f t="shared" si="3"/>
        <v>VALID</v>
      </c>
      <c r="AQ15" s="166" t="s">
        <v>1743</v>
      </c>
      <c r="AR15" s="194" t="s">
        <v>79</v>
      </c>
      <c r="AS15" s="193"/>
      <c r="AT15" s="193" t="s">
        <v>117</v>
      </c>
      <c r="AU15" s="72"/>
      <c r="AV15" s="72"/>
      <c r="AW15" s="72"/>
      <c r="AX15" s="193" t="s">
        <v>136</v>
      </c>
      <c r="AY15" s="72"/>
      <c r="AZ15" s="193"/>
      <c r="BA15" s="193"/>
      <c r="BB15" s="8"/>
      <c r="BC15" s="140"/>
      <c r="BD15" s="147" t="s">
        <v>83</v>
      </c>
      <c r="BE15" s="147" t="s">
        <v>83</v>
      </c>
    </row>
    <row r="16" spans="1:57" ht="12.95" hidden="1" customHeight="1">
      <c r="A16" s="248" t="e">
        <v>#N/A</v>
      </c>
      <c r="B16" s="252" t="e">
        <v>#N/A</v>
      </c>
      <c r="C16" s="263" t="s">
        <v>961</v>
      </c>
      <c r="D16" s="239" t="s">
        <v>2539</v>
      </c>
      <c r="E16" s="58"/>
      <c r="F16" s="59" t="s">
        <v>1744</v>
      </c>
      <c r="G16" s="191" t="s">
        <v>2390</v>
      </c>
      <c r="H16" s="192" t="s">
        <v>2511</v>
      </c>
      <c r="I16" s="61" t="s">
        <v>2155</v>
      </c>
      <c r="J16" s="61" t="s">
        <v>2511</v>
      </c>
      <c r="K16" s="62" t="s">
        <v>2511</v>
      </c>
      <c r="L16" s="60" t="s">
        <v>2389</v>
      </c>
      <c r="M16" s="61" t="s">
        <v>2511</v>
      </c>
      <c r="N16" s="61" t="s">
        <v>2523</v>
      </c>
      <c r="O16" s="61" t="s">
        <v>2511</v>
      </c>
      <c r="P16" s="62" t="s">
        <v>2511</v>
      </c>
      <c r="Q16" s="58" t="s">
        <v>552</v>
      </c>
      <c r="R16" s="58" t="s">
        <v>67</v>
      </c>
      <c r="S16" s="58" t="s">
        <v>112</v>
      </c>
      <c r="T16" s="58" t="s">
        <v>113</v>
      </c>
      <c r="U16" s="63" t="s">
        <v>552</v>
      </c>
      <c r="V16" s="138" t="s">
        <v>2540</v>
      </c>
      <c r="W16" s="57" t="s">
        <v>2513</v>
      </c>
      <c r="X16" s="126" t="s">
        <v>2541</v>
      </c>
      <c r="Y16" s="126" t="s">
        <v>2511</v>
      </c>
      <c r="Z16" s="57" t="s">
        <v>2514</v>
      </c>
      <c r="AA16" s="57" t="s">
        <v>2538</v>
      </c>
      <c r="AB16" s="57" t="s">
        <v>2393</v>
      </c>
      <c r="AC16" s="57" t="s">
        <v>2516</v>
      </c>
      <c r="AD16" s="65" t="str">
        <f t="shared" si="0"/>
        <v>RSVD0</v>
      </c>
      <c r="AE16" s="70"/>
      <c r="AF16" s="67" t="str">
        <f t="shared" si="1"/>
        <v>PULL_DOWN</v>
      </c>
      <c r="AG16" s="67" t="str">
        <f t="shared" si="4"/>
        <v>TRISTATE</v>
      </c>
      <c r="AH16" s="67" t="str">
        <f>IF(OR($AQ16=$F16,$AR16="Output"),"DISABLE","ENABLE")</f>
        <v>DISABLE</v>
      </c>
      <c r="AI16" s="71" t="str">
        <f t="shared" si="2"/>
        <v>N/A</v>
      </c>
      <c r="AJ16" s="189" t="b">
        <v>1</v>
      </c>
      <c r="AK16" s="189" t="b">
        <v>1</v>
      </c>
      <c r="AL16" s="189" t="b">
        <v>1</v>
      </c>
      <c r="AM16" s="189" t="b">
        <v>1</v>
      </c>
      <c r="AN16" s="189" t="b">
        <v>1</v>
      </c>
      <c r="AO16" s="189" t="b">
        <v>1</v>
      </c>
      <c r="AP16" s="69" t="str">
        <f t="shared" si="3"/>
        <v>VALID</v>
      </c>
      <c r="AQ16" s="166" t="s">
        <v>1744</v>
      </c>
      <c r="AR16" s="194" t="s">
        <v>79</v>
      </c>
      <c r="AS16" s="193"/>
      <c r="AT16" s="193" t="s">
        <v>117</v>
      </c>
      <c r="AU16" s="72"/>
      <c r="AV16" s="72"/>
      <c r="AW16" s="72"/>
      <c r="AX16" s="193" t="s">
        <v>136</v>
      </c>
      <c r="AY16" s="72"/>
      <c r="AZ16" s="193"/>
      <c r="BA16" s="193"/>
      <c r="BB16" s="8"/>
      <c r="BC16" s="140"/>
      <c r="BD16" s="147" t="s">
        <v>83</v>
      </c>
      <c r="BE16" s="147" t="s">
        <v>83</v>
      </c>
    </row>
    <row r="17" spans="1:57" ht="12.95" hidden="1" customHeight="1">
      <c r="A17" s="248" t="e">
        <v>#N/A</v>
      </c>
      <c r="B17" s="252" t="e">
        <v>#N/A</v>
      </c>
      <c r="C17" s="263" t="s">
        <v>962</v>
      </c>
      <c r="D17" s="239" t="s">
        <v>2542</v>
      </c>
      <c r="E17" s="58"/>
      <c r="F17" s="59" t="s">
        <v>1745</v>
      </c>
      <c r="G17" s="191" t="s">
        <v>2237</v>
      </c>
      <c r="H17" s="192" t="s">
        <v>2511</v>
      </c>
      <c r="I17" s="61"/>
      <c r="J17" s="61" t="s">
        <v>2511</v>
      </c>
      <c r="K17" s="62" t="s">
        <v>2511</v>
      </c>
      <c r="L17" s="60" t="s">
        <v>2389</v>
      </c>
      <c r="M17" s="61" t="s">
        <v>2511</v>
      </c>
      <c r="N17" s="61" t="s">
        <v>2523</v>
      </c>
      <c r="O17" s="61" t="s">
        <v>2511</v>
      </c>
      <c r="P17" s="62" t="s">
        <v>2511</v>
      </c>
      <c r="Q17" s="58" t="s">
        <v>552</v>
      </c>
      <c r="R17" s="58" t="s">
        <v>552</v>
      </c>
      <c r="S17" s="58" t="s">
        <v>112</v>
      </c>
      <c r="T17" s="58" t="s">
        <v>113</v>
      </c>
      <c r="U17" s="63" t="s">
        <v>552</v>
      </c>
      <c r="V17" s="138" t="s">
        <v>2543</v>
      </c>
      <c r="W17" s="57" t="s">
        <v>2513</v>
      </c>
      <c r="X17" s="126" t="s">
        <v>2511</v>
      </c>
      <c r="Y17" s="126" t="s">
        <v>2511</v>
      </c>
      <c r="Z17" s="57" t="s">
        <v>2514</v>
      </c>
      <c r="AA17" s="138" t="s">
        <v>2529</v>
      </c>
      <c r="AB17" s="57" t="s">
        <v>2393</v>
      </c>
      <c r="AC17" s="57" t="s">
        <v>2516</v>
      </c>
      <c r="AD17" s="65" t="str">
        <f t="shared" si="0"/>
        <v>GPIO_PS7</v>
      </c>
      <c r="AE17" s="70"/>
      <c r="AF17" s="67" t="str">
        <f t="shared" si="1"/>
        <v>PULL_UP</v>
      </c>
      <c r="AG17" s="67" t="str">
        <f t="shared" si="4"/>
        <v>TRISTATE</v>
      </c>
      <c r="AH17" s="67" t="str">
        <f>IF(OR($AQ17=$F17,$AR17="Output"),"DISABLE","ENABLE")</f>
        <v>ENABLE</v>
      </c>
      <c r="AI17" s="71" t="str">
        <f t="shared" si="2"/>
        <v/>
      </c>
      <c r="AJ17" s="189" t="b">
        <v>1</v>
      </c>
      <c r="AK17" s="189" t="b">
        <v>1</v>
      </c>
      <c r="AL17" s="189" t="b">
        <v>1</v>
      </c>
      <c r="AM17" s="189" t="b">
        <v>1</v>
      </c>
      <c r="AN17" s="189" t="b">
        <v>1</v>
      </c>
      <c r="AO17" s="189" t="b">
        <v>1</v>
      </c>
      <c r="AP17" s="69" t="str">
        <f t="shared" si="3"/>
        <v>VALID</v>
      </c>
      <c r="AQ17" s="166" t="s">
        <v>2237</v>
      </c>
      <c r="AR17" s="194" t="s">
        <v>862</v>
      </c>
      <c r="AS17" s="193" t="s">
        <v>873</v>
      </c>
      <c r="AT17" s="72"/>
      <c r="AU17" s="72"/>
      <c r="AV17" s="72"/>
      <c r="AW17" s="72"/>
      <c r="AX17" s="193" t="s">
        <v>136</v>
      </c>
      <c r="AY17" s="72"/>
      <c r="AZ17" s="193"/>
      <c r="BA17" s="193"/>
      <c r="BB17" s="8"/>
      <c r="BC17" s="140"/>
      <c r="BD17" s="11" t="s">
        <v>5553</v>
      </c>
      <c r="BE17" s="236" t="s">
        <v>2238</v>
      </c>
    </row>
    <row r="18" spans="1:57" ht="12.95" hidden="1" customHeight="1">
      <c r="A18" s="248" t="e">
        <v>#N/A</v>
      </c>
      <c r="B18" s="252" t="e">
        <v>#N/A</v>
      </c>
      <c r="C18" s="263" t="s">
        <v>963</v>
      </c>
      <c r="D18" s="239" t="s">
        <v>2545</v>
      </c>
      <c r="E18" s="58"/>
      <c r="F18" s="59" t="s">
        <v>1746</v>
      </c>
      <c r="G18" s="191" t="s">
        <v>2382</v>
      </c>
      <c r="H18" s="192" t="s">
        <v>2511</v>
      </c>
      <c r="I18" s="61"/>
      <c r="J18" s="61" t="s">
        <v>2511</v>
      </c>
      <c r="K18" s="62" t="s">
        <v>2511</v>
      </c>
      <c r="L18" s="60" t="s">
        <v>2389</v>
      </c>
      <c r="M18" s="61" t="s">
        <v>2511</v>
      </c>
      <c r="N18" s="61" t="s">
        <v>2388</v>
      </c>
      <c r="O18" s="61" t="s">
        <v>2511</v>
      </c>
      <c r="P18" s="62" t="s">
        <v>2511</v>
      </c>
      <c r="Q18" s="58" t="s">
        <v>552</v>
      </c>
      <c r="R18" s="58" t="s">
        <v>552</v>
      </c>
      <c r="S18" s="58" t="s">
        <v>112</v>
      </c>
      <c r="T18" s="58" t="s">
        <v>113</v>
      </c>
      <c r="U18" s="63" t="s">
        <v>552</v>
      </c>
      <c r="V18" s="138" t="s">
        <v>2546</v>
      </c>
      <c r="W18" s="57" t="s">
        <v>2513</v>
      </c>
      <c r="X18" s="126" t="s">
        <v>2547</v>
      </c>
      <c r="Y18" s="126" t="s">
        <v>2511</v>
      </c>
      <c r="Z18" s="57" t="s">
        <v>2514</v>
      </c>
      <c r="AA18" s="57" t="s">
        <v>2538</v>
      </c>
      <c r="AB18" s="57" t="s">
        <v>2393</v>
      </c>
      <c r="AC18" s="57" t="s">
        <v>2548</v>
      </c>
      <c r="AD18" s="65" t="str">
        <f t="shared" si="0"/>
        <v>RSVD0</v>
      </c>
      <c r="AE18" s="70"/>
      <c r="AF18" s="67" t="str">
        <f t="shared" si="1"/>
        <v>PULL_DOWN</v>
      </c>
      <c r="AG18" s="67" t="str">
        <f t="shared" si="4"/>
        <v>TRISTATE</v>
      </c>
      <c r="AH18" s="67" t="str">
        <f>IF(OR($AQ18=$F18,$AR18="Output"),"DISABLE","ENABLE")</f>
        <v>DISABLE</v>
      </c>
      <c r="AI18" s="71" t="str">
        <f t="shared" si="2"/>
        <v>N/A</v>
      </c>
      <c r="AJ18" s="189" t="b">
        <v>1</v>
      </c>
      <c r="AK18" s="189" t="b">
        <v>1</v>
      </c>
      <c r="AL18" s="189" t="b">
        <v>1</v>
      </c>
      <c r="AM18" s="189" t="b">
        <v>1</v>
      </c>
      <c r="AN18" s="189" t="b">
        <v>1</v>
      </c>
      <c r="AO18" s="189" t="b">
        <v>1</v>
      </c>
      <c r="AP18" s="69" t="str">
        <f t="shared" si="3"/>
        <v>VALID</v>
      </c>
      <c r="AQ18" s="166" t="s">
        <v>1746</v>
      </c>
      <c r="AR18" s="194" t="s">
        <v>79</v>
      </c>
      <c r="AS18" s="193"/>
      <c r="AT18" s="193" t="s">
        <v>117</v>
      </c>
      <c r="AU18" s="72"/>
      <c r="AV18" s="72"/>
      <c r="AW18" s="72"/>
      <c r="AX18" s="193" t="s">
        <v>136</v>
      </c>
      <c r="AY18" s="72"/>
      <c r="AZ18" s="193"/>
      <c r="BA18" s="193"/>
      <c r="BB18" s="8"/>
      <c r="BC18" s="140"/>
      <c r="BD18" s="147" t="s">
        <v>83</v>
      </c>
      <c r="BE18" s="147" t="s">
        <v>83</v>
      </c>
    </row>
    <row r="19" spans="1:57" ht="12.95" customHeight="1">
      <c r="A19" s="250" t="s">
        <v>907</v>
      </c>
      <c r="B19" s="253">
        <v>226</v>
      </c>
      <c r="C19" s="285" t="s">
        <v>964</v>
      </c>
      <c r="D19" s="239" t="s">
        <v>2549</v>
      </c>
      <c r="E19" s="58"/>
      <c r="F19" s="59" t="s">
        <v>1747</v>
      </c>
      <c r="G19" s="191" t="s">
        <v>2550</v>
      </c>
      <c r="H19" s="192" t="s">
        <v>865</v>
      </c>
      <c r="I19" s="61" t="s">
        <v>2428</v>
      </c>
      <c r="J19" s="61" t="s">
        <v>2511</v>
      </c>
      <c r="K19" s="62" t="s">
        <v>2511</v>
      </c>
      <c r="L19" s="60" t="s">
        <v>2389</v>
      </c>
      <c r="M19" s="61" t="s">
        <v>2389</v>
      </c>
      <c r="N19" s="61" t="s">
        <v>2523</v>
      </c>
      <c r="O19" s="61" t="s">
        <v>2511</v>
      </c>
      <c r="P19" s="62" t="s">
        <v>2511</v>
      </c>
      <c r="Q19" s="58" t="s">
        <v>176</v>
      </c>
      <c r="R19" s="58" t="s">
        <v>542</v>
      </c>
      <c r="S19" s="58" t="s">
        <v>112</v>
      </c>
      <c r="T19" s="58" t="s">
        <v>113</v>
      </c>
      <c r="U19" s="63" t="s">
        <v>112</v>
      </c>
      <c r="V19" s="138" t="s">
        <v>2551</v>
      </c>
      <c r="W19" s="57" t="s">
        <v>2513</v>
      </c>
      <c r="X19" s="126" t="s">
        <v>2511</v>
      </c>
      <c r="Y19" s="126" t="s">
        <v>2511</v>
      </c>
      <c r="Z19" s="57" t="s">
        <v>2514</v>
      </c>
      <c r="AA19" s="57" t="s">
        <v>2515</v>
      </c>
      <c r="AB19" s="57" t="s">
        <v>2393</v>
      </c>
      <c r="AC19" s="57" t="s">
        <v>2516</v>
      </c>
      <c r="AD19" s="65" t="str">
        <f t="shared" si="0"/>
        <v>I2S3</v>
      </c>
      <c r="AE19" s="70"/>
      <c r="AF19" s="67" t="str">
        <f t="shared" si="1"/>
        <v>NORMAL</v>
      </c>
      <c r="AG19" s="67" t="str">
        <f>IF($AV19="slave", "TRISTATE", IF($AR19="Input", "TRISTATE", IF($AS19="Z","TRISTATE",IF($AQ19=$F19,"TRISTATE","NORMAL"))))</f>
        <v>NORMAL</v>
      </c>
      <c r="AH19" s="67" t="str">
        <f>IF(OR((AND($AQ19=$G19,$AR19="INPUT")),(AND($AQ19=$H19,$AV19="Slave")),$AR19="Bidirectional"),"ENABLE","DISABLE")</f>
        <v>ENABLE</v>
      </c>
      <c r="AI19" s="71" t="str">
        <f t="shared" si="2"/>
        <v>N/A</v>
      </c>
      <c r="AJ19" s="189" t="b">
        <v>1</v>
      </c>
      <c r="AK19" s="189" t="b">
        <v>1</v>
      </c>
      <c r="AL19" s="189" t="b">
        <v>1</v>
      </c>
      <c r="AM19" s="189" t="b">
        <v>1</v>
      </c>
      <c r="AN19" s="189" t="b">
        <v>1</v>
      </c>
      <c r="AO19" s="189" t="b">
        <v>1</v>
      </c>
      <c r="AP19" s="69" t="str">
        <f t="shared" si="3"/>
        <v>VALID</v>
      </c>
      <c r="AQ19" s="166" t="s">
        <v>865</v>
      </c>
      <c r="AR19" s="194" t="s">
        <v>860</v>
      </c>
      <c r="AS19" s="193"/>
      <c r="AT19" s="72"/>
      <c r="AU19" s="72"/>
      <c r="AV19" s="193" t="s">
        <v>2222</v>
      </c>
      <c r="AW19" s="72"/>
      <c r="AX19" s="193" t="s">
        <v>136</v>
      </c>
      <c r="AY19" s="72"/>
      <c r="AZ19" s="193"/>
      <c r="BA19" s="193"/>
      <c r="BB19" s="8"/>
      <c r="BC19" s="140"/>
      <c r="BD19" s="11" t="s">
        <v>865</v>
      </c>
      <c r="BE19" s="336" t="s">
        <v>5523</v>
      </c>
    </row>
    <row r="20" spans="1:57" ht="12.95" customHeight="1">
      <c r="A20" s="250" t="s">
        <v>5421</v>
      </c>
      <c r="B20" s="253">
        <v>220</v>
      </c>
      <c r="C20" s="285" t="s">
        <v>965</v>
      </c>
      <c r="D20" s="239" t="s">
        <v>2552</v>
      </c>
      <c r="E20" s="58"/>
      <c r="F20" s="59" t="s">
        <v>1748</v>
      </c>
      <c r="G20" s="191" t="s">
        <v>2553</v>
      </c>
      <c r="H20" s="192" t="s">
        <v>866</v>
      </c>
      <c r="I20" s="61" t="s">
        <v>2429</v>
      </c>
      <c r="J20" s="61" t="s">
        <v>2511</v>
      </c>
      <c r="K20" s="62" t="s">
        <v>2511</v>
      </c>
      <c r="L20" s="60" t="s">
        <v>2389</v>
      </c>
      <c r="M20" s="61" t="s">
        <v>2519</v>
      </c>
      <c r="N20" s="61" t="s">
        <v>2388</v>
      </c>
      <c r="O20" s="61" t="s">
        <v>2511</v>
      </c>
      <c r="P20" s="62" t="s">
        <v>2511</v>
      </c>
      <c r="Q20" s="58" t="s">
        <v>176</v>
      </c>
      <c r="R20" s="58" t="s">
        <v>542</v>
      </c>
      <c r="S20" s="58" t="s">
        <v>112</v>
      </c>
      <c r="T20" s="58" t="s">
        <v>113</v>
      </c>
      <c r="U20" s="63" t="s">
        <v>112</v>
      </c>
      <c r="V20" s="138" t="s">
        <v>2554</v>
      </c>
      <c r="W20" s="57" t="s">
        <v>2513</v>
      </c>
      <c r="X20" s="126" t="s">
        <v>2511</v>
      </c>
      <c r="Y20" s="126" t="s">
        <v>2511</v>
      </c>
      <c r="Z20" s="57" t="s">
        <v>2514</v>
      </c>
      <c r="AA20" s="57" t="s">
        <v>2515</v>
      </c>
      <c r="AB20" s="57" t="s">
        <v>2393</v>
      </c>
      <c r="AC20" s="57" t="s">
        <v>2516</v>
      </c>
      <c r="AD20" s="65" t="str">
        <f t="shared" si="0"/>
        <v>I2S3</v>
      </c>
      <c r="AE20" s="70"/>
      <c r="AF20" s="67" t="str">
        <f t="shared" si="1"/>
        <v>NORMAL</v>
      </c>
      <c r="AG20" s="67" t="str">
        <f t="shared" si="4"/>
        <v>NORMAL</v>
      </c>
      <c r="AH20" s="67" t="str">
        <f>IF(OR($AQ20=$F20,$AR20="Output"),"DISABLE","ENABLE")</f>
        <v>DISABLE</v>
      </c>
      <c r="AI20" s="71" t="str">
        <f t="shared" si="2"/>
        <v>N/A</v>
      </c>
      <c r="AJ20" s="189" t="b">
        <v>1</v>
      </c>
      <c r="AK20" s="189" t="b">
        <v>1</v>
      </c>
      <c r="AL20" s="189" t="b">
        <v>1</v>
      </c>
      <c r="AM20" s="189" t="b">
        <v>1</v>
      </c>
      <c r="AN20" s="189" t="b">
        <v>1</v>
      </c>
      <c r="AO20" s="189" t="b">
        <v>1</v>
      </c>
      <c r="AP20" s="69" t="str">
        <f t="shared" si="3"/>
        <v>VALID</v>
      </c>
      <c r="AQ20" s="166" t="s">
        <v>866</v>
      </c>
      <c r="AR20" s="194" t="s">
        <v>861</v>
      </c>
      <c r="AS20" s="193"/>
      <c r="AT20" s="72"/>
      <c r="AU20" s="72"/>
      <c r="AV20" s="193" t="s">
        <v>2222</v>
      </c>
      <c r="AW20" s="72"/>
      <c r="AX20" s="193" t="s">
        <v>136</v>
      </c>
      <c r="AY20" s="72"/>
      <c r="AZ20" s="193"/>
      <c r="BA20" s="193"/>
      <c r="BB20" s="8"/>
      <c r="BC20" s="140"/>
      <c r="BD20" s="11" t="s">
        <v>5554</v>
      </c>
      <c r="BE20" s="337"/>
    </row>
    <row r="21" spans="1:57" ht="12.95" customHeight="1">
      <c r="A21" s="250" t="s">
        <v>5422</v>
      </c>
      <c r="B21" s="251">
        <v>222</v>
      </c>
      <c r="C21" s="239" t="s">
        <v>966</v>
      </c>
      <c r="D21" s="239" t="s">
        <v>2556</v>
      </c>
      <c r="E21" s="58"/>
      <c r="F21" s="59" t="s">
        <v>1749</v>
      </c>
      <c r="G21" s="191" t="s">
        <v>2471</v>
      </c>
      <c r="H21" s="192" t="s">
        <v>2391</v>
      </c>
      <c r="I21" s="61" t="s">
        <v>2430</v>
      </c>
      <c r="J21" s="61" t="s">
        <v>2511</v>
      </c>
      <c r="K21" s="62" t="s">
        <v>2511</v>
      </c>
      <c r="L21" s="60" t="s">
        <v>2389</v>
      </c>
      <c r="M21" s="61" t="s">
        <v>2523</v>
      </c>
      <c r="N21" s="61" t="s">
        <v>2523</v>
      </c>
      <c r="O21" s="61" t="s">
        <v>2511</v>
      </c>
      <c r="P21" s="62" t="s">
        <v>2511</v>
      </c>
      <c r="Q21" s="58" t="s">
        <v>176</v>
      </c>
      <c r="R21" s="58" t="s">
        <v>543</v>
      </c>
      <c r="S21" s="58" t="s">
        <v>112</v>
      </c>
      <c r="T21" s="58" t="s">
        <v>113</v>
      </c>
      <c r="U21" s="63" t="s">
        <v>112</v>
      </c>
      <c r="V21" s="138" t="s">
        <v>2557</v>
      </c>
      <c r="W21" s="57" t="s">
        <v>2513</v>
      </c>
      <c r="X21" s="126" t="s">
        <v>2511</v>
      </c>
      <c r="Y21" s="126" t="s">
        <v>2511</v>
      </c>
      <c r="Z21" s="57" t="s">
        <v>2514</v>
      </c>
      <c r="AA21" s="57" t="s">
        <v>2515</v>
      </c>
      <c r="AB21" s="57" t="s">
        <v>2393</v>
      </c>
      <c r="AC21" s="57" t="s">
        <v>2516</v>
      </c>
      <c r="AD21" s="65" t="str">
        <f t="shared" si="0"/>
        <v>I2S3</v>
      </c>
      <c r="AE21" s="70"/>
      <c r="AF21" s="67" t="str">
        <f t="shared" si="1"/>
        <v>NORMAL</v>
      </c>
      <c r="AG21" s="67" t="str">
        <f t="shared" si="4"/>
        <v>TRISTATE</v>
      </c>
      <c r="AH21" s="67" t="str">
        <f>IF(OR($AQ21=$F21,$AR21="Output"),"DISABLE","ENABLE")</f>
        <v>ENABLE</v>
      </c>
      <c r="AI21" s="71" t="str">
        <f t="shared" si="2"/>
        <v>N/A</v>
      </c>
      <c r="AJ21" s="189" t="b">
        <v>1</v>
      </c>
      <c r="AK21" s="189" t="b">
        <v>1</v>
      </c>
      <c r="AL21" s="189" t="b">
        <v>1</v>
      </c>
      <c r="AM21" s="189" t="b">
        <v>1</v>
      </c>
      <c r="AN21" s="189" t="b">
        <v>1</v>
      </c>
      <c r="AO21" s="189" t="b">
        <v>1</v>
      </c>
      <c r="AP21" s="69" t="str">
        <f t="shared" si="3"/>
        <v>VALID</v>
      </c>
      <c r="AQ21" s="166" t="s">
        <v>2391</v>
      </c>
      <c r="AR21" s="194" t="s">
        <v>862</v>
      </c>
      <c r="AS21" s="193"/>
      <c r="AT21" s="72"/>
      <c r="AU21" s="72"/>
      <c r="AV21" s="193" t="s">
        <v>2222</v>
      </c>
      <c r="AW21" s="72"/>
      <c r="AX21" s="193" t="s">
        <v>136</v>
      </c>
      <c r="AY21" s="72"/>
      <c r="AZ21" s="193"/>
      <c r="BA21" s="193"/>
      <c r="BB21" s="8"/>
      <c r="BC21" s="140"/>
      <c r="BD21" s="11" t="s">
        <v>5555</v>
      </c>
      <c r="BE21" s="337"/>
    </row>
    <row r="22" spans="1:57" ht="12.95" customHeight="1">
      <c r="A22" s="250" t="s">
        <v>2466</v>
      </c>
      <c r="B22" s="251">
        <v>224</v>
      </c>
      <c r="C22" s="239" t="s">
        <v>967</v>
      </c>
      <c r="D22" s="239" t="s">
        <v>2559</v>
      </c>
      <c r="E22" s="58"/>
      <c r="F22" s="59" t="s">
        <v>1750</v>
      </c>
      <c r="G22" s="191" t="s">
        <v>2472</v>
      </c>
      <c r="H22" s="192" t="s">
        <v>864</v>
      </c>
      <c r="I22" s="61" t="s">
        <v>2431</v>
      </c>
      <c r="J22" s="61" t="s">
        <v>2511</v>
      </c>
      <c r="K22" s="62" t="s">
        <v>2511</v>
      </c>
      <c r="L22" s="60" t="s">
        <v>2389</v>
      </c>
      <c r="M22" s="61" t="s">
        <v>2389</v>
      </c>
      <c r="N22" s="61" t="s">
        <v>2388</v>
      </c>
      <c r="O22" s="61" t="s">
        <v>2511</v>
      </c>
      <c r="P22" s="62" t="s">
        <v>2511</v>
      </c>
      <c r="Q22" s="58" t="s">
        <v>176</v>
      </c>
      <c r="R22" s="58" t="s">
        <v>543</v>
      </c>
      <c r="S22" s="58" t="s">
        <v>112</v>
      </c>
      <c r="T22" s="58" t="s">
        <v>113</v>
      </c>
      <c r="U22" s="63" t="s">
        <v>112</v>
      </c>
      <c r="V22" s="138" t="s">
        <v>2560</v>
      </c>
      <c r="W22" s="57" t="s">
        <v>2513</v>
      </c>
      <c r="X22" s="126" t="s">
        <v>2511</v>
      </c>
      <c r="Y22" s="126" t="s">
        <v>2511</v>
      </c>
      <c r="Z22" s="57" t="s">
        <v>2514</v>
      </c>
      <c r="AA22" s="57" t="s">
        <v>2515</v>
      </c>
      <c r="AB22" s="57" t="s">
        <v>2393</v>
      </c>
      <c r="AC22" s="57" t="s">
        <v>2516</v>
      </c>
      <c r="AD22" s="65" t="str">
        <f t="shared" si="0"/>
        <v>I2S3</v>
      </c>
      <c r="AE22" s="70"/>
      <c r="AF22" s="67" t="str">
        <f t="shared" si="1"/>
        <v>NORMAL</v>
      </c>
      <c r="AG22" s="67" t="str">
        <f>IF($AV22="slave", "TRISTATE", IF($AR22="Input", "TRISTATE", IF($AS22="Z","TRISTATE",IF($AQ22=$F22,"TRISTATE","NORMAL"))))</f>
        <v>NORMAL</v>
      </c>
      <c r="AH22" s="67" t="str">
        <f>IF(OR((AND($AQ22=$G22,$AR22="INPUT")),(AND($AQ22=$H22,$AV22="Slave")),$AR22="Bidirectional"),"ENABLE","DISABLE")</f>
        <v>ENABLE</v>
      </c>
      <c r="AI22" s="71" t="str">
        <f t="shared" si="2"/>
        <v>N/A</v>
      </c>
      <c r="AJ22" s="189" t="b">
        <v>1</v>
      </c>
      <c r="AK22" s="189" t="b">
        <v>1</v>
      </c>
      <c r="AL22" s="189" t="b">
        <v>1</v>
      </c>
      <c r="AM22" s="189" t="b">
        <v>1</v>
      </c>
      <c r="AN22" s="189" t="b">
        <v>1</v>
      </c>
      <c r="AO22" s="189" t="b">
        <v>1</v>
      </c>
      <c r="AP22" s="69" t="str">
        <f t="shared" si="3"/>
        <v>VALID</v>
      </c>
      <c r="AQ22" s="166" t="s">
        <v>864</v>
      </c>
      <c r="AR22" s="194" t="s">
        <v>860</v>
      </c>
      <c r="AS22" s="193"/>
      <c r="AT22" s="72"/>
      <c r="AU22" s="72"/>
      <c r="AV22" s="193" t="s">
        <v>2222</v>
      </c>
      <c r="AW22" s="72"/>
      <c r="AX22" s="193" t="s">
        <v>136</v>
      </c>
      <c r="AY22" s="72"/>
      <c r="AZ22" s="193"/>
      <c r="BA22" s="193"/>
      <c r="BB22" s="8"/>
      <c r="BC22" s="140"/>
      <c r="BD22" s="11" t="s">
        <v>2467</v>
      </c>
      <c r="BE22" s="338"/>
    </row>
    <row r="23" spans="1:57" ht="12.95" customHeight="1">
      <c r="A23" s="320" t="s">
        <v>5417</v>
      </c>
      <c r="B23" s="251">
        <v>199</v>
      </c>
      <c r="C23" s="239" t="s">
        <v>968</v>
      </c>
      <c r="D23" s="239" t="s">
        <v>2562</v>
      </c>
      <c r="E23" s="58"/>
      <c r="F23" s="59" t="s">
        <v>1751</v>
      </c>
      <c r="G23" s="191" t="s">
        <v>2235</v>
      </c>
      <c r="H23" s="192" t="s">
        <v>2432</v>
      </c>
      <c r="I23" s="61" t="s">
        <v>2563</v>
      </c>
      <c r="J23" s="61" t="s">
        <v>2511</v>
      </c>
      <c r="K23" s="62" t="s">
        <v>2511</v>
      </c>
      <c r="L23" s="60" t="s">
        <v>2389</v>
      </c>
      <c r="M23" s="61" t="s">
        <v>2389</v>
      </c>
      <c r="N23" s="61" t="s">
        <v>2388</v>
      </c>
      <c r="O23" s="61" t="s">
        <v>2511</v>
      </c>
      <c r="P23" s="62" t="s">
        <v>2511</v>
      </c>
      <c r="Q23" s="58" t="s">
        <v>845</v>
      </c>
      <c r="R23" s="58" t="s">
        <v>833</v>
      </c>
      <c r="S23" s="58" t="s">
        <v>112</v>
      </c>
      <c r="T23" s="58" t="s">
        <v>113</v>
      </c>
      <c r="U23" s="63" t="s">
        <v>112</v>
      </c>
      <c r="V23" s="205" t="s">
        <v>2564</v>
      </c>
      <c r="W23" s="57" t="s">
        <v>2513</v>
      </c>
      <c r="X23" s="126" t="s">
        <v>2511</v>
      </c>
      <c r="Y23" s="126" t="s">
        <v>2511</v>
      </c>
      <c r="Z23" s="57" t="s">
        <v>2514</v>
      </c>
      <c r="AA23" s="57" t="s">
        <v>2529</v>
      </c>
      <c r="AB23" s="57" t="s">
        <v>2393</v>
      </c>
      <c r="AC23" s="57" t="s">
        <v>2516</v>
      </c>
      <c r="AD23" s="65" t="str">
        <f t="shared" si="0"/>
        <v>GPIO_PT5</v>
      </c>
      <c r="AE23" s="70"/>
      <c r="AF23" s="67" t="str">
        <f t="shared" si="1"/>
        <v>PULL_DOWN</v>
      </c>
      <c r="AG23" s="67" t="str">
        <f>IF($AV23="slave", "TRISTATE", IF($AR23="Input", "TRISTATE", IF($AS23="Z","TRISTATE",IF($AQ23=$F23,"TRISTATE","NORMAL"))))</f>
        <v>TRISTATE</v>
      </c>
      <c r="AH23" s="67" t="str">
        <f>IF(OR((AND($AQ23=$G23,$AR23="INPUT")),(AND($AQ23=$H23,$AV23="Slave")),$AR23="Bidirectional"),"ENABLE","DISABLE")</f>
        <v>ENABLE</v>
      </c>
      <c r="AI23" s="71" t="str">
        <f t="shared" si="2"/>
        <v/>
      </c>
      <c r="AJ23" s="189" t="b">
        <v>1</v>
      </c>
      <c r="AK23" s="189" t="b">
        <v>1</v>
      </c>
      <c r="AL23" s="189" t="b">
        <v>1</v>
      </c>
      <c r="AM23" s="189" t="b">
        <v>1</v>
      </c>
      <c r="AN23" s="189" t="b">
        <v>1</v>
      </c>
      <c r="AO23" s="189" t="b">
        <v>1</v>
      </c>
      <c r="AP23" s="69" t="str">
        <f t="shared" si="3"/>
        <v>VALID</v>
      </c>
      <c r="AQ23" s="166" t="s">
        <v>2235</v>
      </c>
      <c r="AR23" s="194" t="s">
        <v>862</v>
      </c>
      <c r="AS23" s="193" t="s">
        <v>875</v>
      </c>
      <c r="AT23" s="72"/>
      <c r="AU23" s="72"/>
      <c r="AV23" s="193" t="s">
        <v>900</v>
      </c>
      <c r="AW23" s="72"/>
      <c r="AX23" s="193" t="s">
        <v>136</v>
      </c>
      <c r="AY23" s="72"/>
      <c r="AZ23" s="193"/>
      <c r="BA23" s="193"/>
      <c r="BB23" s="8"/>
      <c r="BC23" s="140"/>
      <c r="BD23" s="11" t="s">
        <v>5556</v>
      </c>
      <c r="BE23" s="333" t="s">
        <v>5524</v>
      </c>
    </row>
    <row r="24" spans="1:57" ht="12.95" customHeight="1">
      <c r="A24" s="320" t="s">
        <v>5419</v>
      </c>
      <c r="B24" s="251">
        <v>193</v>
      </c>
      <c r="C24" s="239" t="s">
        <v>969</v>
      </c>
      <c r="D24" s="239" t="s">
        <v>2566</v>
      </c>
      <c r="E24" s="58"/>
      <c r="F24" s="59" t="s">
        <v>1752</v>
      </c>
      <c r="G24" s="191" t="s">
        <v>2236</v>
      </c>
      <c r="H24" s="192" t="s">
        <v>2464</v>
      </c>
      <c r="I24" s="61" t="s">
        <v>2567</v>
      </c>
      <c r="J24" s="61" t="s">
        <v>2511</v>
      </c>
      <c r="K24" s="62" t="s">
        <v>2511</v>
      </c>
      <c r="L24" s="60" t="s">
        <v>2389</v>
      </c>
      <c r="M24" s="61" t="s">
        <v>2519</v>
      </c>
      <c r="N24" s="61" t="s">
        <v>2388</v>
      </c>
      <c r="O24" s="61" t="s">
        <v>2511</v>
      </c>
      <c r="P24" s="62" t="s">
        <v>2511</v>
      </c>
      <c r="Q24" s="58" t="s">
        <v>845</v>
      </c>
      <c r="R24" s="58" t="s">
        <v>833</v>
      </c>
      <c r="S24" s="58" t="s">
        <v>112</v>
      </c>
      <c r="T24" s="58" t="s">
        <v>113</v>
      </c>
      <c r="U24" s="63" t="s">
        <v>112</v>
      </c>
      <c r="V24" s="138" t="s">
        <v>2568</v>
      </c>
      <c r="W24" s="57" t="s">
        <v>2513</v>
      </c>
      <c r="X24" s="126" t="s">
        <v>2511</v>
      </c>
      <c r="Y24" s="126" t="s">
        <v>2511</v>
      </c>
      <c r="Z24" s="57" t="s">
        <v>2514</v>
      </c>
      <c r="AA24" s="57" t="s">
        <v>2529</v>
      </c>
      <c r="AB24" s="57" t="s">
        <v>2393</v>
      </c>
      <c r="AC24" s="57" t="s">
        <v>2516</v>
      </c>
      <c r="AD24" s="65" t="str">
        <f t="shared" si="0"/>
        <v>GPIO_PT6</v>
      </c>
      <c r="AE24" s="70"/>
      <c r="AF24" s="67" t="str">
        <f t="shared" si="1"/>
        <v>PULL_DOWN</v>
      </c>
      <c r="AG24" s="67" t="str">
        <f t="shared" si="4"/>
        <v>TRISTATE</v>
      </c>
      <c r="AH24" s="67" t="str">
        <f>IF(OR($AQ24=$F24,$AR24="Output"),"DISABLE","ENABLE")</f>
        <v>ENABLE</v>
      </c>
      <c r="AI24" s="71" t="str">
        <f t="shared" si="2"/>
        <v/>
      </c>
      <c r="AJ24" s="189" t="b">
        <v>1</v>
      </c>
      <c r="AK24" s="189" t="b">
        <v>1</v>
      </c>
      <c r="AL24" s="189" t="b">
        <v>1</v>
      </c>
      <c r="AM24" s="189" t="b">
        <v>1</v>
      </c>
      <c r="AN24" s="189" t="b">
        <v>1</v>
      </c>
      <c r="AO24" s="189" t="b">
        <v>1</v>
      </c>
      <c r="AP24" s="69" t="str">
        <f t="shared" si="3"/>
        <v>VALID</v>
      </c>
      <c r="AQ24" s="166" t="s">
        <v>2236</v>
      </c>
      <c r="AR24" s="194" t="s">
        <v>862</v>
      </c>
      <c r="AS24" s="193" t="s">
        <v>875</v>
      </c>
      <c r="AT24" s="72"/>
      <c r="AU24" s="72"/>
      <c r="AV24" s="193" t="s">
        <v>900</v>
      </c>
      <c r="AW24" s="72"/>
      <c r="AX24" s="193" t="s">
        <v>136</v>
      </c>
      <c r="AY24" s="72"/>
      <c r="AZ24" s="193"/>
      <c r="BA24" s="193"/>
      <c r="BB24" s="8"/>
      <c r="BC24" s="140"/>
      <c r="BD24" s="11" t="s">
        <v>5557</v>
      </c>
      <c r="BE24" s="334"/>
    </row>
    <row r="25" spans="1:57" ht="12.95" customHeight="1">
      <c r="A25" s="320" t="s">
        <v>5420</v>
      </c>
      <c r="B25" s="253">
        <v>195</v>
      </c>
      <c r="C25" s="285" t="s">
        <v>970</v>
      </c>
      <c r="D25" s="239" t="s">
        <v>2569</v>
      </c>
      <c r="E25" s="58"/>
      <c r="F25" s="59" t="s">
        <v>1753</v>
      </c>
      <c r="G25" s="191" t="s">
        <v>2384</v>
      </c>
      <c r="H25" s="192" t="s">
        <v>2433</v>
      </c>
      <c r="I25" s="61" t="s">
        <v>2570</v>
      </c>
      <c r="J25" s="61" t="s">
        <v>2571</v>
      </c>
      <c r="K25" s="62" t="s">
        <v>2511</v>
      </c>
      <c r="L25" s="60" t="s">
        <v>2389</v>
      </c>
      <c r="M25" s="61" t="s">
        <v>2523</v>
      </c>
      <c r="N25" s="61" t="s">
        <v>2523</v>
      </c>
      <c r="O25" s="61" t="s">
        <v>2388</v>
      </c>
      <c r="P25" s="62" t="s">
        <v>2511</v>
      </c>
      <c r="Q25" s="58" t="s">
        <v>845</v>
      </c>
      <c r="R25" s="58" t="s">
        <v>832</v>
      </c>
      <c r="S25" s="58" t="s">
        <v>831</v>
      </c>
      <c r="T25" s="58" t="s">
        <v>113</v>
      </c>
      <c r="U25" s="63" t="s">
        <v>113</v>
      </c>
      <c r="V25" s="138" t="s">
        <v>2572</v>
      </c>
      <c r="W25" s="57" t="s">
        <v>2513</v>
      </c>
      <c r="X25" s="126" t="s">
        <v>2511</v>
      </c>
      <c r="Y25" s="126" t="s">
        <v>2511</v>
      </c>
      <c r="Z25" s="57" t="s">
        <v>2514</v>
      </c>
      <c r="AA25" s="57" t="s">
        <v>2529</v>
      </c>
      <c r="AB25" s="57" t="s">
        <v>2393</v>
      </c>
      <c r="AC25" s="57" t="s">
        <v>2516</v>
      </c>
      <c r="AD25" s="65" t="str">
        <f t="shared" si="0"/>
        <v>GPIO_PT7</v>
      </c>
      <c r="AE25" s="70"/>
      <c r="AF25" s="67" t="str">
        <f t="shared" si="1"/>
        <v>PULL_DOWN</v>
      </c>
      <c r="AG25" s="67" t="str">
        <f t="shared" si="4"/>
        <v>TRISTATE</v>
      </c>
      <c r="AH25" s="67" t="str">
        <f>IF(OR($AQ25=$F25,$AR25="Output"),"DISABLE","ENABLE")</f>
        <v>ENABLE</v>
      </c>
      <c r="AI25" s="71" t="str">
        <f t="shared" si="2"/>
        <v/>
      </c>
      <c r="AJ25" s="189" t="b">
        <v>1</v>
      </c>
      <c r="AK25" s="189" t="b">
        <v>1</v>
      </c>
      <c r="AL25" s="189" t="b">
        <v>1</v>
      </c>
      <c r="AM25" s="189" t="b">
        <v>1</v>
      </c>
      <c r="AN25" s="189" t="b">
        <v>1</v>
      </c>
      <c r="AO25" s="189" t="b">
        <v>1</v>
      </c>
      <c r="AP25" s="69" t="str">
        <f t="shared" si="3"/>
        <v>VALID</v>
      </c>
      <c r="AQ25" s="166" t="s">
        <v>2384</v>
      </c>
      <c r="AR25" s="194" t="s">
        <v>862</v>
      </c>
      <c r="AS25" s="193" t="s">
        <v>875</v>
      </c>
      <c r="AT25" s="72"/>
      <c r="AU25" s="72"/>
      <c r="AV25" s="193" t="s">
        <v>900</v>
      </c>
      <c r="AW25" s="72"/>
      <c r="AX25" s="193" t="s">
        <v>136</v>
      </c>
      <c r="AY25" s="72"/>
      <c r="AZ25" s="193"/>
      <c r="BA25" s="193"/>
      <c r="BB25" s="8"/>
      <c r="BC25" s="140"/>
      <c r="BD25" s="11" t="s">
        <v>5558</v>
      </c>
      <c r="BE25" s="334"/>
    </row>
    <row r="26" spans="1:57" ht="12.95" customHeight="1">
      <c r="A26" s="320" t="s">
        <v>5418</v>
      </c>
      <c r="B26" s="253">
        <v>197</v>
      </c>
      <c r="C26" s="285" t="s">
        <v>971</v>
      </c>
      <c r="D26" s="239" t="s">
        <v>2573</v>
      </c>
      <c r="E26" s="58"/>
      <c r="F26" s="59" t="s">
        <v>1754</v>
      </c>
      <c r="G26" s="191" t="s">
        <v>2385</v>
      </c>
      <c r="H26" s="192" t="s">
        <v>2465</v>
      </c>
      <c r="I26" s="61" t="s">
        <v>2574</v>
      </c>
      <c r="J26" s="61" t="s">
        <v>2575</v>
      </c>
      <c r="K26" s="62" t="s">
        <v>2511</v>
      </c>
      <c r="L26" s="60" t="s">
        <v>2389</v>
      </c>
      <c r="M26" s="61" t="s">
        <v>2389</v>
      </c>
      <c r="N26" s="61" t="s">
        <v>2388</v>
      </c>
      <c r="O26" s="61" t="s">
        <v>2388</v>
      </c>
      <c r="P26" s="62" t="s">
        <v>2511</v>
      </c>
      <c r="Q26" s="58" t="s">
        <v>845</v>
      </c>
      <c r="R26" s="58" t="s">
        <v>832</v>
      </c>
      <c r="S26" s="58" t="s">
        <v>831</v>
      </c>
      <c r="T26" s="58" t="s">
        <v>113</v>
      </c>
      <c r="U26" s="63" t="s">
        <v>113</v>
      </c>
      <c r="V26" s="138" t="s">
        <v>2576</v>
      </c>
      <c r="W26" s="57" t="s">
        <v>2513</v>
      </c>
      <c r="X26" s="126" t="s">
        <v>2511</v>
      </c>
      <c r="Y26" s="126" t="s">
        <v>2511</v>
      </c>
      <c r="Z26" s="57" t="s">
        <v>2514</v>
      </c>
      <c r="AA26" s="57" t="s">
        <v>2529</v>
      </c>
      <c r="AB26" s="57" t="s">
        <v>2393</v>
      </c>
      <c r="AC26" s="57" t="s">
        <v>2516</v>
      </c>
      <c r="AD26" s="65" t="str">
        <f t="shared" si="0"/>
        <v>GPIO_PU0</v>
      </c>
      <c r="AE26" s="70"/>
      <c r="AF26" s="67" t="str">
        <f t="shared" si="1"/>
        <v>PULL_DOWN</v>
      </c>
      <c r="AG26" s="67" t="str">
        <f>IF($AV26="slave", "TRISTATE", IF($AR26="Input", "TRISTATE", IF($AS26="Z","TRISTATE",IF($AQ26=$F26,"TRISTATE","NORMAL"))))</f>
        <v>TRISTATE</v>
      </c>
      <c r="AH26" s="67" t="str">
        <f>IF(OR((AND($AQ26=$G26,$AR26="INPUT")),(AND($AQ26=$H26,$AV26="Slave")),$AR26="Bidirectional"),"ENABLE","DISABLE")</f>
        <v>ENABLE</v>
      </c>
      <c r="AI26" s="71" t="str">
        <f t="shared" si="2"/>
        <v/>
      </c>
      <c r="AJ26" s="189" t="b">
        <v>1</v>
      </c>
      <c r="AK26" s="189" t="b">
        <v>1</v>
      </c>
      <c r="AL26" s="189" t="b">
        <v>1</v>
      </c>
      <c r="AM26" s="189" t="b">
        <v>1</v>
      </c>
      <c r="AN26" s="189" t="b">
        <v>1</v>
      </c>
      <c r="AO26" s="189" t="b">
        <v>1</v>
      </c>
      <c r="AP26" s="69" t="str">
        <f t="shared" si="3"/>
        <v>VALID</v>
      </c>
      <c r="AQ26" s="166" t="s">
        <v>2385</v>
      </c>
      <c r="AR26" s="194" t="s">
        <v>862</v>
      </c>
      <c r="AS26" s="193" t="s">
        <v>875</v>
      </c>
      <c r="AT26" s="72"/>
      <c r="AU26" s="72"/>
      <c r="AV26" s="193" t="s">
        <v>900</v>
      </c>
      <c r="AW26" s="72"/>
      <c r="AX26" s="193" t="s">
        <v>136</v>
      </c>
      <c r="AY26" s="72"/>
      <c r="AZ26" s="193"/>
      <c r="BA26" s="193"/>
      <c r="BB26" s="8"/>
      <c r="BC26" s="140"/>
      <c r="BD26" s="11" t="s">
        <v>5559</v>
      </c>
      <c r="BE26" s="335"/>
    </row>
    <row r="27" spans="1:57" s="56" customFormat="1" ht="18" hidden="1" customHeight="1">
      <c r="A27" s="359"/>
      <c r="B27" s="360"/>
      <c r="C27" s="303" t="s">
        <v>858</v>
      </c>
      <c r="D27" s="264"/>
      <c r="E27" s="51"/>
      <c r="F27" s="51"/>
      <c r="G27" s="52"/>
      <c r="H27" s="52"/>
      <c r="I27" s="52"/>
      <c r="J27" s="52"/>
      <c r="K27" s="52"/>
      <c r="L27" s="51"/>
      <c r="M27" s="51"/>
      <c r="N27" s="51"/>
      <c r="O27" s="51"/>
      <c r="P27" s="51"/>
      <c r="Q27" s="51"/>
      <c r="R27" s="51"/>
      <c r="S27" s="51"/>
      <c r="T27" s="51"/>
      <c r="U27" s="51"/>
      <c r="V27" s="51"/>
      <c r="W27" s="51"/>
      <c r="X27" s="125"/>
      <c r="Y27" s="125"/>
      <c r="Z27" s="53"/>
      <c r="AA27" s="53"/>
      <c r="AB27" s="53"/>
      <c r="AC27" s="53"/>
      <c r="AD27" s="53"/>
      <c r="AE27" s="53"/>
      <c r="AF27" s="53"/>
      <c r="AG27" s="53"/>
      <c r="AH27" s="53"/>
      <c r="AI27" s="53"/>
      <c r="AJ27" s="53" t="b">
        <v>0</v>
      </c>
      <c r="AK27" s="53"/>
      <c r="AL27" s="53"/>
      <c r="AM27" s="53"/>
      <c r="AN27" s="53"/>
      <c r="AO27" s="53"/>
      <c r="AP27" s="53"/>
      <c r="AQ27" s="54"/>
      <c r="AR27" s="54"/>
      <c r="AS27" s="55"/>
      <c r="AT27" s="55"/>
      <c r="AU27" s="55"/>
      <c r="AV27" s="55"/>
      <c r="AW27" s="55"/>
      <c r="AX27" s="55"/>
      <c r="AY27" s="55"/>
      <c r="AZ27" s="55"/>
      <c r="BA27" s="55"/>
      <c r="BB27" s="55"/>
      <c r="BC27" s="175" t="s">
        <v>829</v>
      </c>
      <c r="BD27" s="55"/>
      <c r="BE27" s="197" t="s">
        <v>858</v>
      </c>
    </row>
    <row r="28" spans="1:57" ht="12.95" hidden="1" customHeight="1">
      <c r="A28" s="248" t="e">
        <v>#N/A</v>
      </c>
      <c r="B28" s="252" t="e">
        <v>#N/A</v>
      </c>
      <c r="C28" s="263" t="s">
        <v>22</v>
      </c>
      <c r="D28" s="239" t="s">
        <v>2578</v>
      </c>
      <c r="E28" s="58"/>
      <c r="F28" s="59" t="s">
        <v>144</v>
      </c>
      <c r="G28" s="191" t="s">
        <v>2579</v>
      </c>
      <c r="H28" s="192" t="s">
        <v>22</v>
      </c>
      <c r="I28" s="61" t="s">
        <v>2511</v>
      </c>
      <c r="J28" s="61"/>
      <c r="K28" s="62" t="s">
        <v>2511</v>
      </c>
      <c r="L28" s="60" t="s">
        <v>2389</v>
      </c>
      <c r="M28" s="61" t="s">
        <v>2388</v>
      </c>
      <c r="N28" s="61" t="s">
        <v>2511</v>
      </c>
      <c r="O28" s="61" t="s">
        <v>2388</v>
      </c>
      <c r="P28" s="62" t="s">
        <v>2511</v>
      </c>
      <c r="Q28" s="58" t="s">
        <v>67</v>
      </c>
      <c r="R28" s="58" t="s">
        <v>126</v>
      </c>
      <c r="S28" s="58" t="s">
        <v>1852</v>
      </c>
      <c r="T28" s="58" t="s">
        <v>113</v>
      </c>
      <c r="U28" s="106" t="s">
        <v>126</v>
      </c>
      <c r="V28" s="137" t="s">
        <v>2580</v>
      </c>
      <c r="W28" s="57" t="s">
        <v>2581</v>
      </c>
      <c r="X28" s="126" t="s">
        <v>2511</v>
      </c>
      <c r="Y28" s="126" t="s">
        <v>2511</v>
      </c>
      <c r="Z28" s="57" t="s">
        <v>2582</v>
      </c>
      <c r="AA28" s="57" t="s">
        <v>2583</v>
      </c>
      <c r="AB28" s="57" t="s">
        <v>2584</v>
      </c>
      <c r="AC28" s="57" t="s">
        <v>2516</v>
      </c>
      <c r="AD28" s="65" t="str">
        <f t="shared" ref="AD28:AD55" si="5">IF(OR($AQ28="",$AQ28=$F28),$U28,IF($AQ28=$G28,SUBSTITUTE(SUBSTITUTE($AQ28,"GPIO3_","GPIO_"),".0",""),IF($AQ28=$H28,$Q28,IF($AQ28=$I28,$R28,IF($AQ28=$J28,$S28,IF($AQ28=$K28,$T28,"INVALID"))))))</f>
        <v>SDMMC1</v>
      </c>
      <c r="AE28" s="66"/>
      <c r="AF28" s="67" t="str">
        <f t="shared" ref="AF28:AF55" si="6">IF(AND(OR($AS28="Int PU",$AS28="Int PD"),OR(AND($AZ28&lt;&gt;"",$AZ28&lt;&gt;"0"),AND($BA28&lt;&gt;"",$BA28&lt;&gt;"0"))),"INVALID",IF(OR($AQ28=$F28,$AS28="Int PD"),"PULL_DOWN",IF(OR($AS28="Int PU",AND($AE28="YES",OR($AZ28="",$AZ28="0"),OR($BA28="",$BA28="0"),OR($AR28="Input",$AR28="Bidirectional"))),"PULL_UP","NORMAL")))</f>
        <v>NORMAL</v>
      </c>
      <c r="AG28" s="67" t="str">
        <f t="shared" si="4"/>
        <v>NORMAL</v>
      </c>
      <c r="AH28" s="67" t="str">
        <f>IF($AQ28=$H28,"ENABLE",IF(OR($AQ28=$F28,$AR28="Output"),"DISABLE","ENABLE"))</f>
        <v>ENABLE</v>
      </c>
      <c r="AI28" s="68" t="str">
        <f>IF($AQ28&lt;&gt;$G28,"N/A",IF($AS28="Drive 1", "1", IF($AS28="Drive 0", "0", "")))</f>
        <v>N/A</v>
      </c>
      <c r="AJ28" s="189" t="b">
        <v>1</v>
      </c>
      <c r="AK28" s="189" t="b">
        <v>1</v>
      </c>
      <c r="AL28" s="189" t="b">
        <v>1</v>
      </c>
      <c r="AM28" s="189" t="b">
        <v>1</v>
      </c>
      <c r="AN28" s="189" t="b">
        <v>1</v>
      </c>
      <c r="AO28" s="189" t="b">
        <v>1</v>
      </c>
      <c r="AP28" s="69" t="str">
        <f t="shared" ref="AP28:AP33" si="7">IF(AND($AJ28:$AO28), "VALID", "INVALID")</f>
        <v>VALID</v>
      </c>
      <c r="AQ28" s="165" t="s">
        <v>22</v>
      </c>
      <c r="AR28" s="2" t="s">
        <v>861</v>
      </c>
      <c r="AS28" s="193"/>
      <c r="AT28" s="3"/>
      <c r="AU28" s="3"/>
      <c r="AV28" s="3"/>
      <c r="AW28" s="3"/>
      <c r="AX28" s="3"/>
      <c r="AY28" s="193" t="s">
        <v>872</v>
      </c>
      <c r="AZ28" s="4"/>
      <c r="BA28" s="4"/>
      <c r="BB28" s="13"/>
      <c r="BC28" s="139"/>
      <c r="BD28" s="17" t="s">
        <v>2577</v>
      </c>
      <c r="BE28" s="336" t="s">
        <v>5686</v>
      </c>
    </row>
    <row r="29" spans="1:57" ht="12.95" hidden="1" customHeight="1">
      <c r="A29" s="248" t="e">
        <v>#N/A</v>
      </c>
      <c r="B29" s="252" t="e">
        <v>#N/A</v>
      </c>
      <c r="C29" s="263" t="s">
        <v>23</v>
      </c>
      <c r="D29" s="239" t="s">
        <v>2587</v>
      </c>
      <c r="E29" s="58"/>
      <c r="F29" s="59" t="s">
        <v>145</v>
      </c>
      <c r="G29" s="191" t="s">
        <v>2588</v>
      </c>
      <c r="H29" s="192" t="s">
        <v>23</v>
      </c>
      <c r="I29" s="61" t="s">
        <v>2511</v>
      </c>
      <c r="J29" s="61"/>
      <c r="K29" s="62" t="s">
        <v>2511</v>
      </c>
      <c r="L29" s="60" t="s">
        <v>2389</v>
      </c>
      <c r="M29" s="61" t="s">
        <v>2389</v>
      </c>
      <c r="N29" s="61" t="s">
        <v>2511</v>
      </c>
      <c r="O29" s="61" t="s">
        <v>2388</v>
      </c>
      <c r="P29" s="62" t="s">
        <v>2511</v>
      </c>
      <c r="Q29" s="58" t="s">
        <v>67</v>
      </c>
      <c r="R29" s="58" t="s">
        <v>126</v>
      </c>
      <c r="S29" s="58" t="s">
        <v>1852</v>
      </c>
      <c r="T29" s="58" t="s">
        <v>113</v>
      </c>
      <c r="U29" s="63" t="s">
        <v>126</v>
      </c>
      <c r="V29" s="138" t="s">
        <v>2589</v>
      </c>
      <c r="W29" s="57" t="s">
        <v>2581</v>
      </c>
      <c r="X29" s="126" t="s">
        <v>2511</v>
      </c>
      <c r="Y29" s="126" t="s">
        <v>2511</v>
      </c>
      <c r="Z29" s="57" t="s">
        <v>2582</v>
      </c>
      <c r="AA29" s="57" t="s">
        <v>2583</v>
      </c>
      <c r="AB29" s="57" t="s">
        <v>2584</v>
      </c>
      <c r="AC29" s="57" t="s">
        <v>2516</v>
      </c>
      <c r="AD29" s="65" t="str">
        <f t="shared" si="5"/>
        <v>SDMMC1</v>
      </c>
      <c r="AE29" s="70"/>
      <c r="AF29" s="67" t="str">
        <f t="shared" si="6"/>
        <v>PULL_UP</v>
      </c>
      <c r="AG29" s="67" t="str">
        <f t="shared" si="4"/>
        <v>NORMAL</v>
      </c>
      <c r="AH29" s="67" t="str">
        <f t="shared" ref="AH29:AH55" si="8">IF(OR($AQ29=$F29,$AR29="Output"),"DISABLE","ENABLE")</f>
        <v>ENABLE</v>
      </c>
      <c r="AI29" s="71" t="str">
        <f t="shared" ref="AI29:AI110" si="9">IF($AQ29&lt;&gt;$G29,"N/A",IF($AS29="Drive 1", "1", IF($AS29="Drive 0", "0", "")))</f>
        <v>N/A</v>
      </c>
      <c r="AJ29" s="189" t="b">
        <v>1</v>
      </c>
      <c r="AK29" s="189" t="b">
        <v>1</v>
      </c>
      <c r="AL29" s="189" t="b">
        <v>1</v>
      </c>
      <c r="AM29" s="189" t="b">
        <v>1</v>
      </c>
      <c r="AN29" s="189" t="b">
        <v>1</v>
      </c>
      <c r="AO29" s="189" t="b">
        <v>1</v>
      </c>
      <c r="AP29" s="69" t="str">
        <f t="shared" si="7"/>
        <v>VALID</v>
      </c>
      <c r="AQ29" s="166" t="s">
        <v>23</v>
      </c>
      <c r="AR29" s="194" t="s">
        <v>860</v>
      </c>
      <c r="AS29" s="193" t="s">
        <v>873</v>
      </c>
      <c r="AT29" s="72"/>
      <c r="AU29" s="72"/>
      <c r="AV29" s="72"/>
      <c r="AW29" s="72"/>
      <c r="AX29" s="72"/>
      <c r="AY29" s="72"/>
      <c r="AZ29" s="193"/>
      <c r="BA29" s="193"/>
      <c r="BB29" s="8"/>
      <c r="BC29" s="140"/>
      <c r="BD29" s="11" t="s">
        <v>2585</v>
      </c>
      <c r="BE29" s="337"/>
    </row>
    <row r="30" spans="1:57" ht="12.95" hidden="1" customHeight="1">
      <c r="A30" s="248" t="e">
        <v>#N/A</v>
      </c>
      <c r="B30" s="252" t="e">
        <v>#N/A</v>
      </c>
      <c r="C30" s="263" t="s">
        <v>24</v>
      </c>
      <c r="D30" s="239" t="s">
        <v>2591</v>
      </c>
      <c r="E30" s="58"/>
      <c r="F30" s="59" t="s">
        <v>146</v>
      </c>
      <c r="G30" s="191" t="s">
        <v>2592</v>
      </c>
      <c r="H30" s="192" t="s">
        <v>24</v>
      </c>
      <c r="I30" s="61" t="s">
        <v>2511</v>
      </c>
      <c r="J30" s="61"/>
      <c r="K30" s="62" t="s">
        <v>2511</v>
      </c>
      <c r="L30" s="60" t="s">
        <v>2389</v>
      </c>
      <c r="M30" s="61" t="s">
        <v>2389</v>
      </c>
      <c r="N30" s="61" t="s">
        <v>2511</v>
      </c>
      <c r="O30" s="61" t="s">
        <v>2388</v>
      </c>
      <c r="P30" s="62" t="s">
        <v>2511</v>
      </c>
      <c r="Q30" s="58" t="s">
        <v>67</v>
      </c>
      <c r="R30" s="58" t="s">
        <v>126</v>
      </c>
      <c r="S30" s="58" t="s">
        <v>1852</v>
      </c>
      <c r="T30" s="58" t="s">
        <v>113</v>
      </c>
      <c r="U30" s="63" t="s">
        <v>126</v>
      </c>
      <c r="V30" s="138" t="s">
        <v>2593</v>
      </c>
      <c r="W30" s="57" t="s">
        <v>2581</v>
      </c>
      <c r="X30" s="126" t="s">
        <v>2511</v>
      </c>
      <c r="Y30" s="126" t="s">
        <v>2511</v>
      </c>
      <c r="Z30" s="57" t="s">
        <v>2582</v>
      </c>
      <c r="AA30" s="57" t="s">
        <v>2583</v>
      </c>
      <c r="AB30" s="57" t="s">
        <v>2584</v>
      </c>
      <c r="AC30" s="57" t="s">
        <v>2516</v>
      </c>
      <c r="AD30" s="65" t="str">
        <f t="shared" si="5"/>
        <v>SDMMC1</v>
      </c>
      <c r="AE30" s="70"/>
      <c r="AF30" s="67" t="str">
        <f t="shared" si="6"/>
        <v>PULL_UP</v>
      </c>
      <c r="AG30" s="67" t="str">
        <f t="shared" si="4"/>
        <v>NORMAL</v>
      </c>
      <c r="AH30" s="67" t="str">
        <f t="shared" si="8"/>
        <v>ENABLE</v>
      </c>
      <c r="AI30" s="71" t="str">
        <f t="shared" si="9"/>
        <v>N/A</v>
      </c>
      <c r="AJ30" s="189" t="b">
        <v>1</v>
      </c>
      <c r="AK30" s="189" t="b">
        <v>1</v>
      </c>
      <c r="AL30" s="189" t="b">
        <v>1</v>
      </c>
      <c r="AM30" s="189" t="b">
        <v>1</v>
      </c>
      <c r="AN30" s="189" t="b">
        <v>1</v>
      </c>
      <c r="AO30" s="189" t="b">
        <v>1</v>
      </c>
      <c r="AP30" s="69" t="str">
        <f t="shared" si="7"/>
        <v>VALID</v>
      </c>
      <c r="AQ30" s="166" t="s">
        <v>24</v>
      </c>
      <c r="AR30" s="194" t="s">
        <v>860</v>
      </c>
      <c r="AS30" s="193" t="s">
        <v>873</v>
      </c>
      <c r="AT30" s="72"/>
      <c r="AU30" s="72"/>
      <c r="AV30" s="72"/>
      <c r="AW30" s="72"/>
      <c r="AX30" s="72"/>
      <c r="AY30" s="72"/>
      <c r="AZ30" s="193"/>
      <c r="BA30" s="193"/>
      <c r="BB30" s="8"/>
      <c r="BC30" s="140"/>
      <c r="BD30" s="11" t="s">
        <v>2590</v>
      </c>
      <c r="BE30" s="337"/>
    </row>
    <row r="31" spans="1:57" ht="12.95" hidden="1" customHeight="1">
      <c r="A31" s="248" t="e">
        <v>#N/A</v>
      </c>
      <c r="B31" s="252" t="e">
        <v>#N/A</v>
      </c>
      <c r="C31" s="263" t="s">
        <v>25</v>
      </c>
      <c r="D31" s="239" t="s">
        <v>2596</v>
      </c>
      <c r="E31" s="58"/>
      <c r="F31" s="59" t="s">
        <v>147</v>
      </c>
      <c r="G31" s="191" t="s">
        <v>2597</v>
      </c>
      <c r="H31" s="192" t="s">
        <v>25</v>
      </c>
      <c r="I31" s="61" t="s">
        <v>2511</v>
      </c>
      <c r="J31" s="61"/>
      <c r="K31" s="62" t="s">
        <v>2511</v>
      </c>
      <c r="L31" s="60" t="s">
        <v>2389</v>
      </c>
      <c r="M31" s="61" t="s">
        <v>2389</v>
      </c>
      <c r="N31" s="61" t="s">
        <v>2511</v>
      </c>
      <c r="O31" s="61" t="s">
        <v>2388</v>
      </c>
      <c r="P31" s="62" t="s">
        <v>2511</v>
      </c>
      <c r="Q31" s="58" t="s">
        <v>67</v>
      </c>
      <c r="R31" s="58" t="s">
        <v>126</v>
      </c>
      <c r="S31" s="58" t="s">
        <v>1852</v>
      </c>
      <c r="T31" s="58" t="s">
        <v>113</v>
      </c>
      <c r="U31" s="63" t="s">
        <v>126</v>
      </c>
      <c r="V31" s="138" t="s">
        <v>2598</v>
      </c>
      <c r="W31" s="57" t="s">
        <v>2581</v>
      </c>
      <c r="X31" s="126" t="s">
        <v>2599</v>
      </c>
      <c r="Y31" s="126" t="s">
        <v>2511</v>
      </c>
      <c r="Z31" s="57" t="s">
        <v>2582</v>
      </c>
      <c r="AA31" s="57" t="s">
        <v>2583</v>
      </c>
      <c r="AB31" s="57" t="s">
        <v>2584</v>
      </c>
      <c r="AC31" s="57" t="s">
        <v>2516</v>
      </c>
      <c r="AD31" s="65" t="str">
        <f t="shared" si="5"/>
        <v>SDMMC1</v>
      </c>
      <c r="AE31" s="70"/>
      <c r="AF31" s="67" t="str">
        <f t="shared" si="6"/>
        <v>PULL_UP</v>
      </c>
      <c r="AG31" s="67" t="str">
        <f t="shared" si="4"/>
        <v>NORMAL</v>
      </c>
      <c r="AH31" s="67" t="str">
        <f t="shared" si="8"/>
        <v>ENABLE</v>
      </c>
      <c r="AI31" s="71" t="str">
        <f t="shared" si="9"/>
        <v>N/A</v>
      </c>
      <c r="AJ31" s="189" t="b">
        <v>1</v>
      </c>
      <c r="AK31" s="189" t="b">
        <v>1</v>
      </c>
      <c r="AL31" s="189" t="b">
        <v>1</v>
      </c>
      <c r="AM31" s="189" t="b">
        <v>1</v>
      </c>
      <c r="AN31" s="189" t="b">
        <v>1</v>
      </c>
      <c r="AO31" s="189" t="b">
        <v>1</v>
      </c>
      <c r="AP31" s="69" t="str">
        <f t="shared" si="7"/>
        <v>VALID</v>
      </c>
      <c r="AQ31" s="166" t="s">
        <v>25</v>
      </c>
      <c r="AR31" s="194" t="s">
        <v>860</v>
      </c>
      <c r="AS31" s="193" t="s">
        <v>873</v>
      </c>
      <c r="AT31" s="193" t="s">
        <v>117</v>
      </c>
      <c r="AU31" s="5"/>
      <c r="AV31" s="5"/>
      <c r="AW31" s="72"/>
      <c r="AX31" s="72"/>
      <c r="AY31" s="72"/>
      <c r="AZ31" s="193"/>
      <c r="BA31" s="193"/>
      <c r="BB31" s="8"/>
      <c r="BC31" s="140"/>
      <c r="BD31" s="11" t="s">
        <v>2594</v>
      </c>
      <c r="BE31" s="337"/>
    </row>
    <row r="32" spans="1:57" ht="12.95" hidden="1" customHeight="1">
      <c r="A32" s="248" t="e">
        <v>#N/A</v>
      </c>
      <c r="B32" s="252" t="e">
        <v>#N/A</v>
      </c>
      <c r="C32" s="263" t="s">
        <v>26</v>
      </c>
      <c r="D32" s="239" t="s">
        <v>2601</v>
      </c>
      <c r="E32" s="58"/>
      <c r="F32" s="59" t="s">
        <v>148</v>
      </c>
      <c r="G32" s="191" t="s">
        <v>2602</v>
      </c>
      <c r="H32" s="192" t="s">
        <v>26</v>
      </c>
      <c r="I32" s="61" t="s">
        <v>2511</v>
      </c>
      <c r="J32" s="61"/>
      <c r="K32" s="62" t="s">
        <v>2511</v>
      </c>
      <c r="L32" s="60" t="s">
        <v>2389</v>
      </c>
      <c r="M32" s="61" t="s">
        <v>2389</v>
      </c>
      <c r="N32" s="61" t="s">
        <v>2511</v>
      </c>
      <c r="O32" s="61" t="s">
        <v>2388</v>
      </c>
      <c r="P32" s="62" t="s">
        <v>2511</v>
      </c>
      <c r="Q32" s="58" t="s">
        <v>67</v>
      </c>
      <c r="R32" s="58" t="s">
        <v>126</v>
      </c>
      <c r="S32" s="58" t="s">
        <v>1852</v>
      </c>
      <c r="T32" s="58" t="s">
        <v>113</v>
      </c>
      <c r="U32" s="63" t="s">
        <v>126</v>
      </c>
      <c r="V32" s="138" t="s">
        <v>2603</v>
      </c>
      <c r="W32" s="57" t="s">
        <v>2581</v>
      </c>
      <c r="X32" s="126" t="s">
        <v>2511</v>
      </c>
      <c r="Y32" s="126" t="s">
        <v>2511</v>
      </c>
      <c r="Z32" s="57" t="s">
        <v>2582</v>
      </c>
      <c r="AA32" s="57" t="s">
        <v>2583</v>
      </c>
      <c r="AB32" s="57" t="s">
        <v>2584</v>
      </c>
      <c r="AC32" s="57" t="s">
        <v>2516</v>
      </c>
      <c r="AD32" s="65" t="str">
        <f t="shared" si="5"/>
        <v>SDMMC1</v>
      </c>
      <c r="AE32" s="70"/>
      <c r="AF32" s="67" t="str">
        <f t="shared" si="6"/>
        <v>PULL_UP</v>
      </c>
      <c r="AG32" s="67" t="str">
        <f t="shared" si="4"/>
        <v>NORMAL</v>
      </c>
      <c r="AH32" s="67" t="str">
        <f t="shared" si="8"/>
        <v>ENABLE</v>
      </c>
      <c r="AI32" s="71" t="str">
        <f t="shared" si="9"/>
        <v>N/A</v>
      </c>
      <c r="AJ32" s="189" t="b">
        <v>1</v>
      </c>
      <c r="AK32" s="189" t="b">
        <v>1</v>
      </c>
      <c r="AL32" s="189" t="b">
        <v>1</v>
      </c>
      <c r="AM32" s="189" t="b">
        <v>1</v>
      </c>
      <c r="AN32" s="189" t="b">
        <v>1</v>
      </c>
      <c r="AO32" s="189" t="b">
        <v>1</v>
      </c>
      <c r="AP32" s="69" t="str">
        <f t="shared" si="7"/>
        <v>VALID</v>
      </c>
      <c r="AQ32" s="166" t="s">
        <v>26</v>
      </c>
      <c r="AR32" s="194" t="s">
        <v>860</v>
      </c>
      <c r="AS32" s="193" t="s">
        <v>873</v>
      </c>
      <c r="AT32" s="72"/>
      <c r="AU32" s="72"/>
      <c r="AV32" s="72"/>
      <c r="AW32" s="72"/>
      <c r="AX32" s="72"/>
      <c r="AY32" s="72"/>
      <c r="AZ32" s="193"/>
      <c r="BA32" s="193"/>
      <c r="BB32" s="8"/>
      <c r="BC32" s="140"/>
      <c r="BD32" s="11" t="s">
        <v>2600</v>
      </c>
      <c r="BE32" s="337"/>
    </row>
    <row r="33" spans="1:57" ht="12.95" hidden="1" customHeight="1">
      <c r="A33" s="248" t="e">
        <v>#N/A</v>
      </c>
      <c r="B33" s="252" t="e">
        <v>#N/A</v>
      </c>
      <c r="C33" s="263" t="s">
        <v>27</v>
      </c>
      <c r="D33" s="239" t="s">
        <v>2605</v>
      </c>
      <c r="E33" s="58"/>
      <c r="F33" s="59" t="s">
        <v>149</v>
      </c>
      <c r="G33" s="191" t="s">
        <v>2606</v>
      </c>
      <c r="H33" s="192" t="s">
        <v>27</v>
      </c>
      <c r="I33" s="61" t="s">
        <v>2511</v>
      </c>
      <c r="J33" s="61"/>
      <c r="K33" s="62" t="s">
        <v>2511</v>
      </c>
      <c r="L33" s="60" t="s">
        <v>2389</v>
      </c>
      <c r="M33" s="61" t="s">
        <v>2389</v>
      </c>
      <c r="N33" s="61" t="s">
        <v>2511</v>
      </c>
      <c r="O33" s="61" t="s">
        <v>2388</v>
      </c>
      <c r="P33" s="62" t="s">
        <v>2511</v>
      </c>
      <c r="Q33" s="58" t="s">
        <v>67</v>
      </c>
      <c r="R33" s="58" t="s">
        <v>126</v>
      </c>
      <c r="S33" s="58" t="s">
        <v>1852</v>
      </c>
      <c r="T33" s="58" t="s">
        <v>113</v>
      </c>
      <c r="U33" s="63" t="s">
        <v>126</v>
      </c>
      <c r="V33" s="138" t="s">
        <v>2607</v>
      </c>
      <c r="W33" s="57" t="s">
        <v>2581</v>
      </c>
      <c r="X33" s="126" t="s">
        <v>2511</v>
      </c>
      <c r="Y33" s="126" t="s">
        <v>2511</v>
      </c>
      <c r="Z33" s="57" t="s">
        <v>2582</v>
      </c>
      <c r="AA33" s="57" t="s">
        <v>2583</v>
      </c>
      <c r="AB33" s="57" t="s">
        <v>2584</v>
      </c>
      <c r="AC33" s="57" t="s">
        <v>2516</v>
      </c>
      <c r="AD33" s="65" t="str">
        <f t="shared" si="5"/>
        <v>SDMMC1</v>
      </c>
      <c r="AE33" s="70"/>
      <c r="AF33" s="67" t="str">
        <f t="shared" si="6"/>
        <v>PULL_UP</v>
      </c>
      <c r="AG33" s="67" t="str">
        <f t="shared" si="4"/>
        <v>NORMAL</v>
      </c>
      <c r="AH33" s="67" t="str">
        <f t="shared" si="8"/>
        <v>ENABLE</v>
      </c>
      <c r="AI33" s="71" t="str">
        <f t="shared" si="9"/>
        <v>N/A</v>
      </c>
      <c r="AJ33" s="189" t="b">
        <v>1</v>
      </c>
      <c r="AK33" s="189" t="b">
        <v>1</v>
      </c>
      <c r="AL33" s="189" t="b">
        <v>1</v>
      </c>
      <c r="AM33" s="189" t="b">
        <v>1</v>
      </c>
      <c r="AN33" s="189" t="b">
        <v>1</v>
      </c>
      <c r="AO33" s="189" t="b">
        <v>1</v>
      </c>
      <c r="AP33" s="69" t="str">
        <f t="shared" si="7"/>
        <v>VALID</v>
      </c>
      <c r="AQ33" s="166" t="s">
        <v>27</v>
      </c>
      <c r="AR33" s="194" t="s">
        <v>860</v>
      </c>
      <c r="AS33" s="193" t="s">
        <v>873</v>
      </c>
      <c r="AT33" s="72"/>
      <c r="AU33" s="72"/>
      <c r="AV33" s="72"/>
      <c r="AW33" s="72"/>
      <c r="AX33" s="72"/>
      <c r="AY33" s="72"/>
      <c r="AZ33" s="193"/>
      <c r="BA33" s="193"/>
      <c r="BB33" s="8"/>
      <c r="BC33" s="140"/>
      <c r="BD33" s="11" t="s">
        <v>2604</v>
      </c>
      <c r="BE33" s="338"/>
    </row>
    <row r="34" spans="1:57" s="56" customFormat="1" ht="18" customHeight="1">
      <c r="A34" s="348"/>
      <c r="B34" s="349"/>
      <c r="C34" s="303" t="s">
        <v>859</v>
      </c>
      <c r="D34" s="264"/>
      <c r="E34" s="51"/>
      <c r="F34" s="51"/>
      <c r="G34" s="52"/>
      <c r="H34" s="52"/>
      <c r="I34" s="52"/>
      <c r="J34" s="52"/>
      <c r="K34" s="52"/>
      <c r="L34" s="51"/>
      <c r="M34" s="51"/>
      <c r="N34" s="51"/>
      <c r="O34" s="51"/>
      <c r="P34" s="51"/>
      <c r="Q34" s="51"/>
      <c r="R34" s="51"/>
      <c r="S34" s="51"/>
      <c r="T34" s="51"/>
      <c r="U34" s="51"/>
      <c r="V34" s="51"/>
      <c r="W34" s="51"/>
      <c r="X34" s="125"/>
      <c r="Y34" s="125"/>
      <c r="Z34" s="53"/>
      <c r="AA34" s="53"/>
      <c r="AB34" s="53"/>
      <c r="AC34" s="53"/>
      <c r="AD34" s="53"/>
      <c r="AE34" s="53"/>
      <c r="AF34" s="53"/>
      <c r="AG34" s="53"/>
      <c r="AH34" s="53"/>
      <c r="AI34" s="53"/>
      <c r="AJ34" s="53" t="b">
        <v>0</v>
      </c>
      <c r="AK34" s="53"/>
      <c r="AL34" s="53"/>
      <c r="AM34" s="53"/>
      <c r="AN34" s="53"/>
      <c r="AO34" s="53"/>
      <c r="AP34" s="53"/>
      <c r="AQ34" s="54"/>
      <c r="AR34" s="54"/>
      <c r="AS34" s="55"/>
      <c r="AT34" s="55"/>
      <c r="AU34" s="55"/>
      <c r="AV34" s="55"/>
      <c r="AW34" s="55"/>
      <c r="AX34" s="55"/>
      <c r="AY34" s="55"/>
      <c r="AZ34" s="55"/>
      <c r="BA34" s="55"/>
      <c r="BB34" s="55"/>
      <c r="BC34" s="175" t="s">
        <v>829</v>
      </c>
      <c r="BD34" s="185"/>
      <c r="BE34" s="207" t="s">
        <v>859</v>
      </c>
    </row>
    <row r="35" spans="1:57" ht="12.95" customHeight="1">
      <c r="A35" s="250" t="s">
        <v>5485</v>
      </c>
      <c r="B35" s="253">
        <v>229</v>
      </c>
      <c r="C35" s="250" t="s">
        <v>28</v>
      </c>
      <c r="D35" s="239" t="s">
        <v>2608</v>
      </c>
      <c r="E35" s="58"/>
      <c r="F35" s="59" t="s">
        <v>150</v>
      </c>
      <c r="G35" s="191" t="s">
        <v>2434</v>
      </c>
      <c r="H35" s="192" t="s">
        <v>28</v>
      </c>
      <c r="I35" s="61" t="s">
        <v>2511</v>
      </c>
      <c r="J35" s="61" t="s">
        <v>2511</v>
      </c>
      <c r="K35" s="62" t="s">
        <v>2511</v>
      </c>
      <c r="L35" s="60" t="s">
        <v>2389</v>
      </c>
      <c r="M35" s="61" t="s">
        <v>2388</v>
      </c>
      <c r="N35" s="61" t="s">
        <v>2511</v>
      </c>
      <c r="O35" s="61" t="s">
        <v>2511</v>
      </c>
      <c r="P35" s="62" t="s">
        <v>2511</v>
      </c>
      <c r="Q35" s="58" t="s">
        <v>66</v>
      </c>
      <c r="R35" s="58" t="s">
        <v>126</v>
      </c>
      <c r="S35" s="58" t="s">
        <v>112</v>
      </c>
      <c r="T35" s="58" t="s">
        <v>113</v>
      </c>
      <c r="U35" s="63" t="s">
        <v>126</v>
      </c>
      <c r="V35" s="137" t="s">
        <v>2609</v>
      </c>
      <c r="W35" s="57" t="s">
        <v>2610</v>
      </c>
      <c r="X35" s="126" t="s">
        <v>2511</v>
      </c>
      <c r="Y35" s="126" t="s">
        <v>2511</v>
      </c>
      <c r="Z35" s="57" t="s">
        <v>2582</v>
      </c>
      <c r="AA35" s="57" t="s">
        <v>2583</v>
      </c>
      <c r="AB35" s="57" t="s">
        <v>2584</v>
      </c>
      <c r="AC35" s="57" t="s">
        <v>2516</v>
      </c>
      <c r="AD35" s="65" t="str">
        <f t="shared" si="5"/>
        <v>SDMMC3</v>
      </c>
      <c r="AE35" s="70"/>
      <c r="AF35" s="67" t="str">
        <f t="shared" si="6"/>
        <v>NORMAL</v>
      </c>
      <c r="AG35" s="67" t="str">
        <f t="shared" si="4"/>
        <v>NORMAL</v>
      </c>
      <c r="AH35" s="67" t="str">
        <f>IF($AQ35=$H35,"ENABLE",IF(OR($AQ35=$F35,$AR35="Output"),"DISABLE","ENABLE"))</f>
        <v>ENABLE</v>
      </c>
      <c r="AI35" s="71" t="str">
        <f t="shared" si="9"/>
        <v>N/A</v>
      </c>
      <c r="AJ35" s="189" t="b">
        <v>1</v>
      </c>
      <c r="AK35" s="189" t="b">
        <v>1</v>
      </c>
      <c r="AL35" s="189" t="b">
        <v>1</v>
      </c>
      <c r="AM35" s="189" t="b">
        <v>1</v>
      </c>
      <c r="AN35" s="189" t="b">
        <v>1</v>
      </c>
      <c r="AO35" s="189" t="b">
        <v>1</v>
      </c>
      <c r="AP35" s="69" t="str">
        <f t="shared" ref="AP35:AP40" si="10">IF(AND($AJ35:$AO35), "VALID", "INVALID")</f>
        <v>VALID</v>
      </c>
      <c r="AQ35" s="166" t="s">
        <v>28</v>
      </c>
      <c r="AR35" s="194" t="s">
        <v>861</v>
      </c>
      <c r="AS35" s="193"/>
      <c r="AT35" s="72"/>
      <c r="AU35" s="72"/>
      <c r="AV35" s="72"/>
      <c r="AW35" s="72"/>
      <c r="AX35" s="72"/>
      <c r="AY35" s="193" t="s">
        <v>872</v>
      </c>
      <c r="AZ35" s="193"/>
      <c r="BA35" s="193"/>
      <c r="BB35" s="8"/>
      <c r="BC35" s="140"/>
      <c r="BD35" s="11" t="s">
        <v>5485</v>
      </c>
      <c r="BE35" s="336" t="s">
        <v>5525</v>
      </c>
    </row>
    <row r="36" spans="1:57" ht="12.95" customHeight="1">
      <c r="A36" s="250" t="s">
        <v>5486</v>
      </c>
      <c r="B36" s="253">
        <v>227</v>
      </c>
      <c r="C36" s="250" t="s">
        <v>29</v>
      </c>
      <c r="D36" s="239" t="s">
        <v>2611</v>
      </c>
      <c r="E36" s="58"/>
      <c r="F36" s="59" t="s">
        <v>151</v>
      </c>
      <c r="G36" s="191" t="s">
        <v>2483</v>
      </c>
      <c r="H36" s="192" t="s">
        <v>29</v>
      </c>
      <c r="I36" s="61" t="s">
        <v>2511</v>
      </c>
      <c r="J36" s="61" t="s">
        <v>2511</v>
      </c>
      <c r="K36" s="62" t="s">
        <v>2511</v>
      </c>
      <c r="L36" s="60" t="s">
        <v>2389</v>
      </c>
      <c r="M36" s="61" t="s">
        <v>2389</v>
      </c>
      <c r="N36" s="61" t="s">
        <v>2511</v>
      </c>
      <c r="O36" s="61" t="s">
        <v>2511</v>
      </c>
      <c r="P36" s="62" t="s">
        <v>2511</v>
      </c>
      <c r="Q36" s="58" t="s">
        <v>66</v>
      </c>
      <c r="R36" s="58" t="s">
        <v>126</v>
      </c>
      <c r="S36" s="58" t="s">
        <v>112</v>
      </c>
      <c r="T36" s="58" t="s">
        <v>113</v>
      </c>
      <c r="U36" s="63" t="s">
        <v>126</v>
      </c>
      <c r="V36" s="138" t="s">
        <v>2612</v>
      </c>
      <c r="W36" s="57" t="s">
        <v>2610</v>
      </c>
      <c r="X36" s="126" t="s">
        <v>2511</v>
      </c>
      <c r="Y36" s="126" t="s">
        <v>2511</v>
      </c>
      <c r="Z36" s="57" t="s">
        <v>2582</v>
      </c>
      <c r="AA36" s="57" t="s">
        <v>2583</v>
      </c>
      <c r="AB36" s="57" t="s">
        <v>2584</v>
      </c>
      <c r="AC36" s="57" t="s">
        <v>2516</v>
      </c>
      <c r="AD36" s="65" t="str">
        <f t="shared" si="5"/>
        <v>SDMMC3</v>
      </c>
      <c r="AE36" s="70"/>
      <c r="AF36" s="67" t="str">
        <f t="shared" si="6"/>
        <v>PULL_UP</v>
      </c>
      <c r="AG36" s="67" t="str">
        <f t="shared" si="4"/>
        <v>NORMAL</v>
      </c>
      <c r="AH36" s="67" t="str">
        <f t="shared" si="8"/>
        <v>ENABLE</v>
      </c>
      <c r="AI36" s="71" t="str">
        <f t="shared" si="9"/>
        <v>N/A</v>
      </c>
      <c r="AJ36" s="189" t="b">
        <v>1</v>
      </c>
      <c r="AK36" s="189" t="b">
        <v>1</v>
      </c>
      <c r="AL36" s="189" t="b">
        <v>1</v>
      </c>
      <c r="AM36" s="189" t="b">
        <v>1</v>
      </c>
      <c r="AN36" s="189" t="b">
        <v>1</v>
      </c>
      <c r="AO36" s="189" t="b">
        <v>1</v>
      </c>
      <c r="AP36" s="69" t="str">
        <f t="shared" si="10"/>
        <v>VALID</v>
      </c>
      <c r="AQ36" s="166" t="s">
        <v>29</v>
      </c>
      <c r="AR36" s="194" t="s">
        <v>860</v>
      </c>
      <c r="AS36" s="193" t="s">
        <v>873</v>
      </c>
      <c r="AT36" s="72"/>
      <c r="AU36" s="72"/>
      <c r="AV36" s="72"/>
      <c r="AW36" s="72"/>
      <c r="AX36" s="72"/>
      <c r="AY36" s="72"/>
      <c r="AZ36" s="193"/>
      <c r="BA36" s="193"/>
      <c r="BB36" s="8"/>
      <c r="BC36" s="140"/>
      <c r="BD36" s="11" t="s">
        <v>5486</v>
      </c>
      <c r="BE36" s="337" t="s">
        <v>83</v>
      </c>
    </row>
    <row r="37" spans="1:57" ht="12.95" customHeight="1">
      <c r="A37" s="250" t="s">
        <v>5487</v>
      </c>
      <c r="B37" s="253">
        <v>219</v>
      </c>
      <c r="C37" s="250" t="s">
        <v>30</v>
      </c>
      <c r="D37" s="239" t="s">
        <v>2613</v>
      </c>
      <c r="E37" s="58"/>
      <c r="F37" s="59" t="s">
        <v>152</v>
      </c>
      <c r="G37" s="191" t="s">
        <v>2614</v>
      </c>
      <c r="H37" s="192" t="s">
        <v>30</v>
      </c>
      <c r="I37" s="61" t="s">
        <v>2511</v>
      </c>
      <c r="J37" s="61" t="s">
        <v>2511</v>
      </c>
      <c r="K37" s="62" t="s">
        <v>2511</v>
      </c>
      <c r="L37" s="60" t="s">
        <v>2389</v>
      </c>
      <c r="M37" s="61" t="s">
        <v>2389</v>
      </c>
      <c r="N37" s="61" t="s">
        <v>2511</v>
      </c>
      <c r="O37" s="61" t="s">
        <v>2511</v>
      </c>
      <c r="P37" s="62" t="s">
        <v>2511</v>
      </c>
      <c r="Q37" s="58" t="s">
        <v>66</v>
      </c>
      <c r="R37" s="58" t="s">
        <v>126</v>
      </c>
      <c r="S37" s="58" t="s">
        <v>112</v>
      </c>
      <c r="T37" s="58" t="s">
        <v>113</v>
      </c>
      <c r="U37" s="63" t="s">
        <v>126</v>
      </c>
      <c r="V37" s="138" t="s">
        <v>2615</v>
      </c>
      <c r="W37" s="57" t="s">
        <v>2610</v>
      </c>
      <c r="X37" s="126" t="s">
        <v>2511</v>
      </c>
      <c r="Y37" s="126" t="s">
        <v>2511</v>
      </c>
      <c r="Z37" s="57" t="s">
        <v>2582</v>
      </c>
      <c r="AA37" s="57" t="s">
        <v>2583</v>
      </c>
      <c r="AB37" s="57" t="s">
        <v>2584</v>
      </c>
      <c r="AC37" s="57" t="s">
        <v>2516</v>
      </c>
      <c r="AD37" s="65" t="str">
        <f t="shared" si="5"/>
        <v>SDMMC3</v>
      </c>
      <c r="AE37" s="70"/>
      <c r="AF37" s="67" t="str">
        <f t="shared" si="6"/>
        <v>PULL_UP</v>
      </c>
      <c r="AG37" s="67" t="str">
        <f t="shared" si="4"/>
        <v>NORMAL</v>
      </c>
      <c r="AH37" s="67" t="str">
        <f t="shared" si="8"/>
        <v>ENABLE</v>
      </c>
      <c r="AI37" s="71" t="str">
        <f t="shared" si="9"/>
        <v>N/A</v>
      </c>
      <c r="AJ37" s="189" t="b">
        <v>1</v>
      </c>
      <c r="AK37" s="189" t="b">
        <v>1</v>
      </c>
      <c r="AL37" s="189" t="b">
        <v>1</v>
      </c>
      <c r="AM37" s="189" t="b">
        <v>1</v>
      </c>
      <c r="AN37" s="189" t="b">
        <v>1</v>
      </c>
      <c r="AO37" s="189" t="b">
        <v>1</v>
      </c>
      <c r="AP37" s="69" t="str">
        <f t="shared" si="10"/>
        <v>VALID</v>
      </c>
      <c r="AQ37" s="166" t="s">
        <v>30</v>
      </c>
      <c r="AR37" s="194" t="s">
        <v>860</v>
      </c>
      <c r="AS37" s="193" t="s">
        <v>873</v>
      </c>
      <c r="AT37" s="72"/>
      <c r="AU37" s="72"/>
      <c r="AV37" s="72"/>
      <c r="AW37" s="72"/>
      <c r="AX37" s="72"/>
      <c r="AY37" s="72"/>
      <c r="AZ37" s="193"/>
      <c r="BA37" s="193"/>
      <c r="BB37" s="8"/>
      <c r="BC37" s="140"/>
      <c r="BD37" s="11" t="s">
        <v>5487</v>
      </c>
      <c r="BE37" s="337" t="s">
        <v>83</v>
      </c>
    </row>
    <row r="38" spans="1:57" ht="12.95" customHeight="1">
      <c r="A38" s="250" t="s">
        <v>5488</v>
      </c>
      <c r="B38" s="253">
        <v>221</v>
      </c>
      <c r="C38" s="250" t="s">
        <v>31</v>
      </c>
      <c r="D38" s="239" t="s">
        <v>2616</v>
      </c>
      <c r="E38" s="58"/>
      <c r="F38" s="59" t="s">
        <v>153</v>
      </c>
      <c r="G38" s="191" t="s">
        <v>2617</v>
      </c>
      <c r="H38" s="192" t="s">
        <v>31</v>
      </c>
      <c r="I38" s="61" t="s">
        <v>2511</v>
      </c>
      <c r="J38" s="61" t="s">
        <v>2511</v>
      </c>
      <c r="K38" s="62" t="s">
        <v>2511</v>
      </c>
      <c r="L38" s="60" t="s">
        <v>2389</v>
      </c>
      <c r="M38" s="61" t="s">
        <v>2389</v>
      </c>
      <c r="N38" s="61" t="s">
        <v>2511</v>
      </c>
      <c r="O38" s="61" t="s">
        <v>2511</v>
      </c>
      <c r="P38" s="62" t="s">
        <v>2511</v>
      </c>
      <c r="Q38" s="58" t="s">
        <v>66</v>
      </c>
      <c r="R38" s="58" t="s">
        <v>126</v>
      </c>
      <c r="S38" s="58" t="s">
        <v>112</v>
      </c>
      <c r="T38" s="58" t="s">
        <v>113</v>
      </c>
      <c r="U38" s="63" t="s">
        <v>126</v>
      </c>
      <c r="V38" s="138" t="s">
        <v>2618</v>
      </c>
      <c r="W38" s="57" t="s">
        <v>2610</v>
      </c>
      <c r="X38" s="126" t="s">
        <v>2619</v>
      </c>
      <c r="Y38" s="126" t="s">
        <v>2511</v>
      </c>
      <c r="Z38" s="57" t="s">
        <v>2582</v>
      </c>
      <c r="AA38" s="57" t="s">
        <v>2583</v>
      </c>
      <c r="AB38" s="57" t="s">
        <v>2584</v>
      </c>
      <c r="AC38" s="57" t="s">
        <v>2516</v>
      </c>
      <c r="AD38" s="65" t="str">
        <f t="shared" si="5"/>
        <v>SDMMC3</v>
      </c>
      <c r="AE38" s="70"/>
      <c r="AF38" s="67" t="str">
        <f t="shared" si="6"/>
        <v>PULL_UP</v>
      </c>
      <c r="AG38" s="67" t="str">
        <f t="shared" si="4"/>
        <v>NORMAL</v>
      </c>
      <c r="AH38" s="67" t="str">
        <f t="shared" si="8"/>
        <v>ENABLE</v>
      </c>
      <c r="AI38" s="71" t="str">
        <f t="shared" si="9"/>
        <v>N/A</v>
      </c>
      <c r="AJ38" s="189" t="b">
        <v>1</v>
      </c>
      <c r="AK38" s="189" t="b">
        <v>1</v>
      </c>
      <c r="AL38" s="189" t="b">
        <v>1</v>
      </c>
      <c r="AM38" s="189" t="b">
        <v>1</v>
      </c>
      <c r="AN38" s="189" t="b">
        <v>1</v>
      </c>
      <c r="AO38" s="189" t="b">
        <v>1</v>
      </c>
      <c r="AP38" s="69" t="str">
        <f t="shared" si="10"/>
        <v>VALID</v>
      </c>
      <c r="AQ38" s="166" t="s">
        <v>31</v>
      </c>
      <c r="AR38" s="194" t="s">
        <v>860</v>
      </c>
      <c r="AS38" s="193" t="s">
        <v>873</v>
      </c>
      <c r="AT38" s="193" t="s">
        <v>117</v>
      </c>
      <c r="AU38" s="72"/>
      <c r="AV38" s="72"/>
      <c r="AW38" s="72"/>
      <c r="AX38" s="72"/>
      <c r="AY38" s="72"/>
      <c r="AZ38" s="193"/>
      <c r="BA38" s="193"/>
      <c r="BB38" s="8"/>
      <c r="BC38" s="140"/>
      <c r="BD38" s="11" t="s">
        <v>5488</v>
      </c>
      <c r="BE38" s="337" t="s">
        <v>83</v>
      </c>
    </row>
    <row r="39" spans="1:57" ht="12.95" customHeight="1">
      <c r="A39" s="250" t="s">
        <v>5489</v>
      </c>
      <c r="B39" s="253">
        <v>223</v>
      </c>
      <c r="C39" s="250" t="s">
        <v>32</v>
      </c>
      <c r="D39" s="239" t="s">
        <v>2620</v>
      </c>
      <c r="E39" s="58"/>
      <c r="F39" s="59" t="s">
        <v>154</v>
      </c>
      <c r="G39" s="191" t="s">
        <v>2435</v>
      </c>
      <c r="H39" s="192" t="s">
        <v>32</v>
      </c>
      <c r="I39" s="61" t="s">
        <v>2511</v>
      </c>
      <c r="J39" s="61" t="s">
        <v>2511</v>
      </c>
      <c r="K39" s="62" t="s">
        <v>2511</v>
      </c>
      <c r="L39" s="60" t="s">
        <v>2389</v>
      </c>
      <c r="M39" s="61" t="s">
        <v>2389</v>
      </c>
      <c r="N39" s="61" t="s">
        <v>2511</v>
      </c>
      <c r="O39" s="61" t="s">
        <v>2511</v>
      </c>
      <c r="P39" s="62" t="s">
        <v>2511</v>
      </c>
      <c r="Q39" s="58" t="s">
        <v>66</v>
      </c>
      <c r="R39" s="58" t="s">
        <v>126</v>
      </c>
      <c r="S39" s="58" t="s">
        <v>112</v>
      </c>
      <c r="T39" s="58" t="s">
        <v>113</v>
      </c>
      <c r="U39" s="63" t="s">
        <v>126</v>
      </c>
      <c r="V39" s="138" t="s">
        <v>2621</v>
      </c>
      <c r="W39" s="57" t="s">
        <v>2610</v>
      </c>
      <c r="X39" s="126" t="s">
        <v>2511</v>
      </c>
      <c r="Y39" s="126" t="s">
        <v>2511</v>
      </c>
      <c r="Z39" s="57" t="s">
        <v>2582</v>
      </c>
      <c r="AA39" s="57" t="s">
        <v>2583</v>
      </c>
      <c r="AB39" s="57" t="s">
        <v>2584</v>
      </c>
      <c r="AC39" s="57" t="s">
        <v>2516</v>
      </c>
      <c r="AD39" s="65" t="str">
        <f t="shared" si="5"/>
        <v>SDMMC3</v>
      </c>
      <c r="AE39" s="70"/>
      <c r="AF39" s="67" t="str">
        <f t="shared" si="6"/>
        <v>PULL_UP</v>
      </c>
      <c r="AG39" s="67" t="str">
        <f t="shared" si="4"/>
        <v>NORMAL</v>
      </c>
      <c r="AH39" s="67" t="str">
        <f t="shared" si="8"/>
        <v>ENABLE</v>
      </c>
      <c r="AI39" s="71" t="str">
        <f t="shared" si="9"/>
        <v>N/A</v>
      </c>
      <c r="AJ39" s="189" t="b">
        <v>1</v>
      </c>
      <c r="AK39" s="189" t="b">
        <v>1</v>
      </c>
      <c r="AL39" s="189" t="b">
        <v>1</v>
      </c>
      <c r="AM39" s="189" t="b">
        <v>1</v>
      </c>
      <c r="AN39" s="189" t="b">
        <v>1</v>
      </c>
      <c r="AO39" s="189" t="b">
        <v>1</v>
      </c>
      <c r="AP39" s="69" t="str">
        <f t="shared" si="10"/>
        <v>VALID</v>
      </c>
      <c r="AQ39" s="166" t="s">
        <v>32</v>
      </c>
      <c r="AR39" s="194" t="s">
        <v>860</v>
      </c>
      <c r="AS39" s="193" t="s">
        <v>873</v>
      </c>
      <c r="AT39" s="72"/>
      <c r="AU39" s="72"/>
      <c r="AV39" s="72"/>
      <c r="AW39" s="72"/>
      <c r="AX39" s="72"/>
      <c r="AY39" s="72"/>
      <c r="AZ39" s="193"/>
      <c r="BA39" s="193"/>
      <c r="BB39" s="8"/>
      <c r="BC39" s="140"/>
      <c r="BD39" s="11" t="s">
        <v>5489</v>
      </c>
      <c r="BE39" s="337" t="s">
        <v>83</v>
      </c>
    </row>
    <row r="40" spans="1:57" ht="12.75" customHeight="1">
      <c r="A40" s="250" t="s">
        <v>5490</v>
      </c>
      <c r="B40" s="253">
        <v>225</v>
      </c>
      <c r="C40" s="250" t="s">
        <v>33</v>
      </c>
      <c r="D40" s="239" t="s">
        <v>2622</v>
      </c>
      <c r="E40" s="58"/>
      <c r="F40" s="59" t="s">
        <v>155</v>
      </c>
      <c r="G40" s="191" t="s">
        <v>2436</v>
      </c>
      <c r="H40" s="192" t="s">
        <v>33</v>
      </c>
      <c r="I40" s="61" t="s">
        <v>2511</v>
      </c>
      <c r="J40" s="61" t="s">
        <v>2511</v>
      </c>
      <c r="K40" s="62" t="s">
        <v>2511</v>
      </c>
      <c r="L40" s="60" t="s">
        <v>2389</v>
      </c>
      <c r="M40" s="61" t="s">
        <v>2389</v>
      </c>
      <c r="N40" s="61" t="s">
        <v>2511</v>
      </c>
      <c r="O40" s="61" t="s">
        <v>2511</v>
      </c>
      <c r="P40" s="62" t="s">
        <v>2511</v>
      </c>
      <c r="Q40" s="58" t="s">
        <v>66</v>
      </c>
      <c r="R40" s="58" t="s">
        <v>126</v>
      </c>
      <c r="S40" s="58" t="s">
        <v>112</v>
      </c>
      <c r="T40" s="58" t="s">
        <v>113</v>
      </c>
      <c r="U40" s="63" t="s">
        <v>126</v>
      </c>
      <c r="V40" s="138" t="s">
        <v>2623</v>
      </c>
      <c r="W40" s="57" t="s">
        <v>2610</v>
      </c>
      <c r="X40" s="126" t="s">
        <v>2511</v>
      </c>
      <c r="Y40" s="126" t="s">
        <v>2511</v>
      </c>
      <c r="Z40" s="57" t="s">
        <v>2582</v>
      </c>
      <c r="AA40" s="57" t="s">
        <v>2583</v>
      </c>
      <c r="AB40" s="57" t="s">
        <v>2584</v>
      </c>
      <c r="AC40" s="57" t="s">
        <v>2516</v>
      </c>
      <c r="AD40" s="65" t="str">
        <f t="shared" si="5"/>
        <v>SDMMC3</v>
      </c>
      <c r="AE40" s="70"/>
      <c r="AF40" s="67" t="str">
        <f t="shared" si="6"/>
        <v>PULL_UP</v>
      </c>
      <c r="AG40" s="67" t="str">
        <f t="shared" si="4"/>
        <v>NORMAL</v>
      </c>
      <c r="AH40" s="67" t="str">
        <f t="shared" si="8"/>
        <v>ENABLE</v>
      </c>
      <c r="AI40" s="71" t="str">
        <f t="shared" si="9"/>
        <v>N/A</v>
      </c>
      <c r="AJ40" s="189" t="b">
        <v>1</v>
      </c>
      <c r="AK40" s="189" t="b">
        <v>1</v>
      </c>
      <c r="AL40" s="189" t="b">
        <v>1</v>
      </c>
      <c r="AM40" s="189" t="b">
        <v>1</v>
      </c>
      <c r="AN40" s="189" t="b">
        <v>1</v>
      </c>
      <c r="AO40" s="189" t="b">
        <v>1</v>
      </c>
      <c r="AP40" s="69" t="str">
        <f t="shared" si="10"/>
        <v>VALID</v>
      </c>
      <c r="AQ40" s="166" t="s">
        <v>33</v>
      </c>
      <c r="AR40" s="194" t="s">
        <v>860</v>
      </c>
      <c r="AS40" s="193" t="s">
        <v>873</v>
      </c>
      <c r="AT40" s="72"/>
      <c r="AU40" s="72"/>
      <c r="AV40" s="72"/>
      <c r="AW40" s="72"/>
      <c r="AX40" s="72"/>
      <c r="AY40" s="72"/>
      <c r="AZ40" s="193"/>
      <c r="BA40" s="193"/>
      <c r="BB40" s="8"/>
      <c r="BC40" s="140"/>
      <c r="BD40" s="11" t="s">
        <v>5490</v>
      </c>
      <c r="BE40" s="338" t="s">
        <v>83</v>
      </c>
    </row>
    <row r="41" spans="1:57" s="56" customFormat="1" ht="18" hidden="1" customHeight="1">
      <c r="A41" s="348"/>
      <c r="B41" s="349"/>
      <c r="C41" s="264" t="s">
        <v>840</v>
      </c>
      <c r="D41" s="264"/>
      <c r="E41" s="51"/>
      <c r="F41" s="51"/>
      <c r="G41" s="52"/>
      <c r="H41" s="52"/>
      <c r="I41" s="52"/>
      <c r="J41" s="52"/>
      <c r="K41" s="52"/>
      <c r="L41" s="51"/>
      <c r="M41" s="51"/>
      <c r="N41" s="51"/>
      <c r="O41" s="51"/>
      <c r="P41" s="51"/>
      <c r="Q41" s="51"/>
      <c r="R41" s="51"/>
      <c r="S41" s="51"/>
      <c r="T41" s="51"/>
      <c r="U41" s="51"/>
      <c r="V41" s="51"/>
      <c r="W41" s="51"/>
      <c r="X41" s="125"/>
      <c r="Y41" s="125"/>
      <c r="Z41" s="53"/>
      <c r="AA41" s="53"/>
      <c r="AB41" s="53"/>
      <c r="AC41" s="53"/>
      <c r="AD41" s="53"/>
      <c r="AE41" s="53"/>
      <c r="AF41" s="53"/>
      <c r="AG41" s="53"/>
      <c r="AH41" s="53"/>
      <c r="AI41" s="53"/>
      <c r="AJ41" s="53" t="b">
        <v>0</v>
      </c>
      <c r="AK41" s="53"/>
      <c r="AL41" s="53"/>
      <c r="AM41" s="53"/>
      <c r="AN41" s="53"/>
      <c r="AO41" s="53"/>
      <c r="AP41" s="53"/>
      <c r="AQ41" s="54"/>
      <c r="AR41" s="54"/>
      <c r="AS41" s="55"/>
      <c r="AT41" s="55"/>
      <c r="AU41" s="55"/>
      <c r="AV41" s="55"/>
      <c r="AW41" s="55"/>
      <c r="AX41" s="55"/>
      <c r="AY41" s="55"/>
      <c r="AZ41" s="55"/>
      <c r="BA41" s="55"/>
      <c r="BB41" s="55"/>
      <c r="BC41" s="175" t="s">
        <v>59</v>
      </c>
      <c r="BD41" s="185"/>
      <c r="BE41" s="207" t="s">
        <v>840</v>
      </c>
    </row>
    <row r="42" spans="1:57" ht="12.95" hidden="1" customHeight="1">
      <c r="A42" s="248" t="e">
        <v>#N/A</v>
      </c>
      <c r="B42" s="252" t="e">
        <v>#N/A</v>
      </c>
      <c r="C42" s="248" t="s">
        <v>709</v>
      </c>
      <c r="D42" s="239" t="s">
        <v>2625</v>
      </c>
      <c r="E42" s="58"/>
      <c r="F42" s="59" t="s">
        <v>777</v>
      </c>
      <c r="G42" s="191" t="s">
        <v>2437</v>
      </c>
      <c r="H42" s="192" t="s">
        <v>709</v>
      </c>
      <c r="I42" s="61" t="s">
        <v>2511</v>
      </c>
      <c r="J42" s="61" t="s">
        <v>2511</v>
      </c>
      <c r="K42" s="62" t="s">
        <v>2511</v>
      </c>
      <c r="L42" s="60" t="s">
        <v>2389</v>
      </c>
      <c r="M42" s="61" t="s">
        <v>2388</v>
      </c>
      <c r="N42" s="61" t="s">
        <v>2511</v>
      </c>
      <c r="O42" s="61" t="s">
        <v>2511</v>
      </c>
      <c r="P42" s="62" t="s">
        <v>2511</v>
      </c>
      <c r="Q42" s="58" t="s">
        <v>840</v>
      </c>
      <c r="R42" s="58" t="s">
        <v>126</v>
      </c>
      <c r="S42" s="58" t="s">
        <v>112</v>
      </c>
      <c r="T42" s="58" t="s">
        <v>113</v>
      </c>
      <c r="U42" s="63" t="s">
        <v>126</v>
      </c>
      <c r="V42" s="137" t="s">
        <v>2626</v>
      </c>
      <c r="W42" s="57" t="s">
        <v>2627</v>
      </c>
      <c r="X42" s="126" t="s">
        <v>2511</v>
      </c>
      <c r="Y42" s="126" t="s">
        <v>2511</v>
      </c>
      <c r="Z42" s="57" t="s">
        <v>2628</v>
      </c>
      <c r="AA42" s="57" t="s">
        <v>2629</v>
      </c>
      <c r="AB42" s="57" t="s">
        <v>2630</v>
      </c>
      <c r="AC42" s="57" t="s">
        <v>2631</v>
      </c>
      <c r="AD42" s="65" t="str">
        <f t="shared" si="5"/>
        <v>EQOS</v>
      </c>
      <c r="AE42" s="70"/>
      <c r="AF42" s="67" t="str">
        <f t="shared" si="6"/>
        <v>NORMAL</v>
      </c>
      <c r="AG42" s="67" t="str">
        <f t="shared" si="4"/>
        <v>NORMAL</v>
      </c>
      <c r="AH42" s="67" t="str">
        <f t="shared" si="8"/>
        <v>DISABLE</v>
      </c>
      <c r="AI42" s="71" t="str">
        <f t="shared" si="9"/>
        <v>N/A</v>
      </c>
      <c r="AJ42" s="189" t="b">
        <v>1</v>
      </c>
      <c r="AK42" s="189" t="b">
        <v>1</v>
      </c>
      <c r="AL42" s="189" t="b">
        <v>1</v>
      </c>
      <c r="AM42" s="189" t="b">
        <v>1</v>
      </c>
      <c r="AN42" s="189" t="b">
        <v>1</v>
      </c>
      <c r="AO42" s="189" t="b">
        <v>1</v>
      </c>
      <c r="AP42" s="69" t="str">
        <f t="shared" ref="AP42:AP55" si="11">IF(AND($AJ42:$AO42), "VALID", "INVALID")</f>
        <v>VALID</v>
      </c>
      <c r="AQ42" s="166" t="s">
        <v>709</v>
      </c>
      <c r="AR42" s="194" t="s">
        <v>861</v>
      </c>
      <c r="AS42" s="193"/>
      <c r="AT42" s="72"/>
      <c r="AU42" s="5"/>
      <c r="AV42" s="5"/>
      <c r="AW42" s="72"/>
      <c r="AX42" s="72"/>
      <c r="AY42" s="72"/>
      <c r="AZ42" s="193"/>
      <c r="BA42" s="193"/>
      <c r="BB42" s="8"/>
      <c r="BC42" s="140"/>
      <c r="BD42" s="11" t="s">
        <v>2624</v>
      </c>
      <c r="BE42" s="336" t="s">
        <v>5534</v>
      </c>
    </row>
    <row r="43" spans="1:57" ht="12.95" hidden="1" customHeight="1">
      <c r="A43" s="248" t="e">
        <v>#N/A</v>
      </c>
      <c r="B43" s="252" t="e">
        <v>#N/A</v>
      </c>
      <c r="C43" s="248" t="s">
        <v>710</v>
      </c>
      <c r="D43" s="239" t="s">
        <v>2634</v>
      </c>
      <c r="E43" s="58"/>
      <c r="F43" s="59" t="s">
        <v>778</v>
      </c>
      <c r="G43" s="191" t="s">
        <v>2438</v>
      </c>
      <c r="H43" s="192" t="s">
        <v>710</v>
      </c>
      <c r="I43" s="61" t="s">
        <v>2511</v>
      </c>
      <c r="J43" s="61" t="s">
        <v>2511</v>
      </c>
      <c r="K43" s="62" t="s">
        <v>2511</v>
      </c>
      <c r="L43" s="60" t="s">
        <v>2389</v>
      </c>
      <c r="M43" s="61" t="s">
        <v>2388</v>
      </c>
      <c r="N43" s="61" t="s">
        <v>2511</v>
      </c>
      <c r="O43" s="61" t="s">
        <v>2511</v>
      </c>
      <c r="P43" s="62" t="s">
        <v>2511</v>
      </c>
      <c r="Q43" s="58" t="s">
        <v>840</v>
      </c>
      <c r="R43" s="58" t="s">
        <v>126</v>
      </c>
      <c r="S43" s="58" t="s">
        <v>112</v>
      </c>
      <c r="T43" s="58" t="s">
        <v>113</v>
      </c>
      <c r="U43" s="63" t="s">
        <v>126</v>
      </c>
      <c r="V43" s="138" t="s">
        <v>2635</v>
      </c>
      <c r="W43" s="57" t="s">
        <v>2627</v>
      </c>
      <c r="X43" s="126" t="s">
        <v>2511</v>
      </c>
      <c r="Y43" s="126" t="s">
        <v>2511</v>
      </c>
      <c r="Z43" s="57" t="s">
        <v>2628</v>
      </c>
      <c r="AA43" s="57" t="s">
        <v>2629</v>
      </c>
      <c r="AB43" s="57" t="s">
        <v>2630</v>
      </c>
      <c r="AC43" s="57" t="s">
        <v>2631</v>
      </c>
      <c r="AD43" s="65" t="str">
        <f t="shared" si="5"/>
        <v>EQOS</v>
      </c>
      <c r="AE43" s="70"/>
      <c r="AF43" s="67" t="str">
        <f t="shared" si="6"/>
        <v>NORMAL</v>
      </c>
      <c r="AG43" s="67" t="str">
        <f t="shared" si="4"/>
        <v>NORMAL</v>
      </c>
      <c r="AH43" s="67" t="str">
        <f t="shared" si="8"/>
        <v>DISABLE</v>
      </c>
      <c r="AI43" s="71" t="str">
        <f t="shared" si="9"/>
        <v>N/A</v>
      </c>
      <c r="AJ43" s="189" t="b">
        <v>1</v>
      </c>
      <c r="AK43" s="189" t="b">
        <v>1</v>
      </c>
      <c r="AL43" s="189" t="b">
        <v>1</v>
      </c>
      <c r="AM43" s="189" t="b">
        <v>1</v>
      </c>
      <c r="AN43" s="189" t="b">
        <v>1</v>
      </c>
      <c r="AO43" s="189" t="b">
        <v>1</v>
      </c>
      <c r="AP43" s="69" t="str">
        <f t="shared" si="11"/>
        <v>VALID</v>
      </c>
      <c r="AQ43" s="166" t="s">
        <v>710</v>
      </c>
      <c r="AR43" s="194" t="s">
        <v>861</v>
      </c>
      <c r="AS43" s="193"/>
      <c r="AT43" s="72"/>
      <c r="AU43" s="5"/>
      <c r="AV43" s="5"/>
      <c r="AW43" s="72"/>
      <c r="AX43" s="72"/>
      <c r="AY43" s="72"/>
      <c r="AZ43" s="193"/>
      <c r="BA43" s="193"/>
      <c r="BB43" s="8"/>
      <c r="BC43" s="140"/>
      <c r="BD43" s="11" t="s">
        <v>2632</v>
      </c>
      <c r="BE43" s="337"/>
    </row>
    <row r="44" spans="1:57" ht="12.95" hidden="1" customHeight="1">
      <c r="A44" s="248" t="e">
        <v>#N/A</v>
      </c>
      <c r="B44" s="252" t="e">
        <v>#N/A</v>
      </c>
      <c r="C44" s="248" t="s">
        <v>711</v>
      </c>
      <c r="D44" s="239" t="s">
        <v>2638</v>
      </c>
      <c r="E44" s="58"/>
      <c r="F44" s="59" t="s">
        <v>779</v>
      </c>
      <c r="G44" s="191" t="s">
        <v>2439</v>
      </c>
      <c r="H44" s="192" t="s">
        <v>711</v>
      </c>
      <c r="I44" s="61" t="s">
        <v>2511</v>
      </c>
      <c r="J44" s="61" t="s">
        <v>2511</v>
      </c>
      <c r="K44" s="62" t="s">
        <v>2511</v>
      </c>
      <c r="L44" s="60" t="s">
        <v>2389</v>
      </c>
      <c r="M44" s="61" t="s">
        <v>2388</v>
      </c>
      <c r="N44" s="61" t="s">
        <v>2511</v>
      </c>
      <c r="O44" s="61" t="s">
        <v>2511</v>
      </c>
      <c r="P44" s="62" t="s">
        <v>2511</v>
      </c>
      <c r="Q44" s="58" t="s">
        <v>840</v>
      </c>
      <c r="R44" s="58" t="s">
        <v>126</v>
      </c>
      <c r="S44" s="58" t="s">
        <v>112</v>
      </c>
      <c r="T44" s="58" t="s">
        <v>113</v>
      </c>
      <c r="U44" s="63" t="s">
        <v>126</v>
      </c>
      <c r="V44" s="138" t="s">
        <v>2639</v>
      </c>
      <c r="W44" s="57" t="s">
        <v>2627</v>
      </c>
      <c r="X44" s="126" t="s">
        <v>2511</v>
      </c>
      <c r="Y44" s="126" t="s">
        <v>2511</v>
      </c>
      <c r="Z44" s="57" t="s">
        <v>2628</v>
      </c>
      <c r="AA44" s="57" t="s">
        <v>2629</v>
      </c>
      <c r="AB44" s="57" t="s">
        <v>2630</v>
      </c>
      <c r="AC44" s="57" t="s">
        <v>2631</v>
      </c>
      <c r="AD44" s="65" t="str">
        <f t="shared" si="5"/>
        <v>EQOS</v>
      </c>
      <c r="AE44" s="70"/>
      <c r="AF44" s="67" t="str">
        <f t="shared" si="6"/>
        <v>NORMAL</v>
      </c>
      <c r="AG44" s="67" t="str">
        <f t="shared" si="4"/>
        <v>NORMAL</v>
      </c>
      <c r="AH44" s="67" t="str">
        <f t="shared" si="8"/>
        <v>DISABLE</v>
      </c>
      <c r="AI44" s="71" t="str">
        <f t="shared" si="9"/>
        <v>N/A</v>
      </c>
      <c r="AJ44" s="189" t="b">
        <v>1</v>
      </c>
      <c r="AK44" s="189" t="b">
        <v>1</v>
      </c>
      <c r="AL44" s="189" t="b">
        <v>1</v>
      </c>
      <c r="AM44" s="189" t="b">
        <v>1</v>
      </c>
      <c r="AN44" s="189" t="b">
        <v>1</v>
      </c>
      <c r="AO44" s="189" t="b">
        <v>1</v>
      </c>
      <c r="AP44" s="69" t="str">
        <f t="shared" si="11"/>
        <v>VALID</v>
      </c>
      <c r="AQ44" s="166" t="s">
        <v>711</v>
      </c>
      <c r="AR44" s="194" t="s">
        <v>861</v>
      </c>
      <c r="AS44" s="193"/>
      <c r="AT44" s="72"/>
      <c r="AU44" s="72"/>
      <c r="AV44" s="72"/>
      <c r="AW44" s="72"/>
      <c r="AX44" s="72"/>
      <c r="AY44" s="72"/>
      <c r="AZ44" s="193"/>
      <c r="BA44" s="193"/>
      <c r="BB44" s="8"/>
      <c r="BC44" s="140"/>
      <c r="BD44" s="11" t="s">
        <v>2636</v>
      </c>
      <c r="BE44" s="337"/>
    </row>
    <row r="45" spans="1:57" ht="14.25" hidden="1" customHeight="1">
      <c r="A45" s="248" t="e">
        <v>#N/A</v>
      </c>
      <c r="B45" s="252" t="e">
        <v>#N/A</v>
      </c>
      <c r="C45" s="248" t="s">
        <v>712</v>
      </c>
      <c r="D45" s="239" t="s">
        <v>2642</v>
      </c>
      <c r="E45" s="58"/>
      <c r="F45" s="59" t="s">
        <v>780</v>
      </c>
      <c r="G45" s="191" t="s">
        <v>2440</v>
      </c>
      <c r="H45" s="192" t="s">
        <v>712</v>
      </c>
      <c r="I45" s="61" t="s">
        <v>2511</v>
      </c>
      <c r="J45" s="61" t="s">
        <v>2511</v>
      </c>
      <c r="K45" s="62" t="s">
        <v>2511</v>
      </c>
      <c r="L45" s="60" t="s">
        <v>2389</v>
      </c>
      <c r="M45" s="61" t="s">
        <v>2388</v>
      </c>
      <c r="N45" s="61" t="s">
        <v>2511</v>
      </c>
      <c r="O45" s="61" t="s">
        <v>2511</v>
      </c>
      <c r="P45" s="62" t="s">
        <v>2511</v>
      </c>
      <c r="Q45" s="58" t="s">
        <v>840</v>
      </c>
      <c r="R45" s="58" t="s">
        <v>126</v>
      </c>
      <c r="S45" s="58" t="s">
        <v>112</v>
      </c>
      <c r="T45" s="58" t="s">
        <v>113</v>
      </c>
      <c r="U45" s="63" t="s">
        <v>126</v>
      </c>
      <c r="V45" s="138" t="s">
        <v>2643</v>
      </c>
      <c r="W45" s="57" t="s">
        <v>2627</v>
      </c>
      <c r="X45" s="126" t="s">
        <v>2511</v>
      </c>
      <c r="Y45" s="126" t="s">
        <v>2511</v>
      </c>
      <c r="Z45" s="57" t="s">
        <v>2628</v>
      </c>
      <c r="AA45" s="57" t="s">
        <v>2629</v>
      </c>
      <c r="AB45" s="57" t="s">
        <v>2630</v>
      </c>
      <c r="AC45" s="57" t="s">
        <v>2631</v>
      </c>
      <c r="AD45" s="65" t="str">
        <f t="shared" si="5"/>
        <v>EQOS</v>
      </c>
      <c r="AE45" s="70"/>
      <c r="AF45" s="67" t="str">
        <f t="shared" si="6"/>
        <v>NORMAL</v>
      </c>
      <c r="AG45" s="67" t="str">
        <f t="shared" si="4"/>
        <v>NORMAL</v>
      </c>
      <c r="AH45" s="67" t="str">
        <f t="shared" si="8"/>
        <v>DISABLE</v>
      </c>
      <c r="AI45" s="71" t="str">
        <f t="shared" si="9"/>
        <v>N/A</v>
      </c>
      <c r="AJ45" s="189" t="b">
        <v>1</v>
      </c>
      <c r="AK45" s="189" t="b">
        <v>1</v>
      </c>
      <c r="AL45" s="189" t="b">
        <v>1</v>
      </c>
      <c r="AM45" s="189" t="b">
        <v>1</v>
      </c>
      <c r="AN45" s="189" t="b">
        <v>1</v>
      </c>
      <c r="AO45" s="189" t="b">
        <v>1</v>
      </c>
      <c r="AP45" s="69" t="str">
        <f t="shared" si="11"/>
        <v>VALID</v>
      </c>
      <c r="AQ45" s="166" t="s">
        <v>712</v>
      </c>
      <c r="AR45" s="194" t="s">
        <v>861</v>
      </c>
      <c r="AS45" s="193"/>
      <c r="AT45" s="72"/>
      <c r="AU45" s="72"/>
      <c r="AV45" s="72"/>
      <c r="AW45" s="72"/>
      <c r="AX45" s="72"/>
      <c r="AY45" s="72"/>
      <c r="AZ45" s="193"/>
      <c r="BA45" s="193"/>
      <c r="BB45" s="8"/>
      <c r="BC45" s="140"/>
      <c r="BD45" s="11" t="s">
        <v>2640</v>
      </c>
      <c r="BE45" s="337"/>
    </row>
    <row r="46" spans="1:57" ht="12.95" hidden="1" customHeight="1">
      <c r="A46" s="248" t="e">
        <v>#N/A</v>
      </c>
      <c r="B46" s="252" t="e">
        <v>#N/A</v>
      </c>
      <c r="C46" s="248" t="s">
        <v>713</v>
      </c>
      <c r="D46" s="239" t="s">
        <v>2646</v>
      </c>
      <c r="E46" s="58"/>
      <c r="F46" s="59" t="s">
        <v>781</v>
      </c>
      <c r="G46" s="191" t="s">
        <v>2441</v>
      </c>
      <c r="H46" s="192" t="s">
        <v>713</v>
      </c>
      <c r="I46" s="61" t="s">
        <v>2511</v>
      </c>
      <c r="J46" s="61" t="s">
        <v>2511</v>
      </c>
      <c r="K46" s="62" t="s">
        <v>2511</v>
      </c>
      <c r="L46" s="60" t="s">
        <v>2389</v>
      </c>
      <c r="M46" s="61" t="s">
        <v>2388</v>
      </c>
      <c r="N46" s="61" t="s">
        <v>2511</v>
      </c>
      <c r="O46" s="61" t="s">
        <v>2511</v>
      </c>
      <c r="P46" s="62" t="s">
        <v>2511</v>
      </c>
      <c r="Q46" s="58" t="s">
        <v>840</v>
      </c>
      <c r="R46" s="58" t="s">
        <v>126</v>
      </c>
      <c r="S46" s="58" t="s">
        <v>112</v>
      </c>
      <c r="T46" s="58" t="s">
        <v>113</v>
      </c>
      <c r="U46" s="63" t="s">
        <v>126</v>
      </c>
      <c r="V46" s="138" t="s">
        <v>2647</v>
      </c>
      <c r="W46" s="57" t="s">
        <v>2627</v>
      </c>
      <c r="X46" s="126" t="s">
        <v>2511</v>
      </c>
      <c r="Y46" s="126" t="s">
        <v>2511</v>
      </c>
      <c r="Z46" s="57" t="s">
        <v>2628</v>
      </c>
      <c r="AA46" s="57" t="s">
        <v>2629</v>
      </c>
      <c r="AB46" s="57" t="s">
        <v>2630</v>
      </c>
      <c r="AC46" s="57" t="s">
        <v>2631</v>
      </c>
      <c r="AD46" s="65" t="str">
        <f t="shared" si="5"/>
        <v>EQOS</v>
      </c>
      <c r="AE46" s="70"/>
      <c r="AF46" s="67" t="str">
        <f t="shared" si="6"/>
        <v>NORMAL</v>
      </c>
      <c r="AG46" s="67" t="str">
        <f t="shared" si="4"/>
        <v>NORMAL</v>
      </c>
      <c r="AH46" s="67" t="str">
        <f t="shared" si="8"/>
        <v>DISABLE</v>
      </c>
      <c r="AI46" s="71" t="str">
        <f t="shared" si="9"/>
        <v>N/A</v>
      </c>
      <c r="AJ46" s="189" t="b">
        <v>1</v>
      </c>
      <c r="AK46" s="189" t="b">
        <v>1</v>
      </c>
      <c r="AL46" s="189" t="b">
        <v>1</v>
      </c>
      <c r="AM46" s="189" t="b">
        <v>1</v>
      </c>
      <c r="AN46" s="189" t="b">
        <v>1</v>
      </c>
      <c r="AO46" s="189" t="b">
        <v>1</v>
      </c>
      <c r="AP46" s="69" t="str">
        <f t="shared" si="11"/>
        <v>VALID</v>
      </c>
      <c r="AQ46" s="166" t="s">
        <v>713</v>
      </c>
      <c r="AR46" s="194" t="s">
        <v>861</v>
      </c>
      <c r="AS46" s="193"/>
      <c r="AT46" s="72"/>
      <c r="AU46" s="72"/>
      <c r="AV46" s="72"/>
      <c r="AW46" s="72"/>
      <c r="AX46" s="72"/>
      <c r="AY46" s="72"/>
      <c r="AZ46" s="193"/>
      <c r="BA46" s="193"/>
      <c r="BB46" s="8"/>
      <c r="BC46" s="140"/>
      <c r="BD46" s="11" t="s">
        <v>2644</v>
      </c>
      <c r="BE46" s="337"/>
    </row>
    <row r="47" spans="1:57" ht="12.95" hidden="1" customHeight="1">
      <c r="A47" s="248" t="e">
        <v>#N/A</v>
      </c>
      <c r="B47" s="252" t="e">
        <v>#N/A</v>
      </c>
      <c r="C47" s="248" t="s">
        <v>714</v>
      </c>
      <c r="D47" s="239" t="s">
        <v>2649</v>
      </c>
      <c r="E47" s="58"/>
      <c r="F47" s="59" t="s">
        <v>782</v>
      </c>
      <c r="G47" s="191" t="s">
        <v>2442</v>
      </c>
      <c r="H47" s="192" t="s">
        <v>714</v>
      </c>
      <c r="I47" s="61" t="s">
        <v>2511</v>
      </c>
      <c r="J47" s="61" t="s">
        <v>2511</v>
      </c>
      <c r="K47" s="62" t="s">
        <v>2511</v>
      </c>
      <c r="L47" s="60" t="s">
        <v>2389</v>
      </c>
      <c r="M47" s="61" t="s">
        <v>2388</v>
      </c>
      <c r="N47" s="61" t="s">
        <v>2511</v>
      </c>
      <c r="O47" s="61" t="s">
        <v>2511</v>
      </c>
      <c r="P47" s="62" t="s">
        <v>2511</v>
      </c>
      <c r="Q47" s="58" t="s">
        <v>840</v>
      </c>
      <c r="R47" s="58" t="s">
        <v>126</v>
      </c>
      <c r="S47" s="58" t="s">
        <v>112</v>
      </c>
      <c r="T47" s="58" t="s">
        <v>113</v>
      </c>
      <c r="U47" s="63" t="s">
        <v>126</v>
      </c>
      <c r="V47" s="138" t="s">
        <v>2650</v>
      </c>
      <c r="W47" s="57" t="s">
        <v>2627</v>
      </c>
      <c r="X47" s="126" t="s">
        <v>2511</v>
      </c>
      <c r="Y47" s="126" t="s">
        <v>2511</v>
      </c>
      <c r="Z47" s="57" t="s">
        <v>2628</v>
      </c>
      <c r="AA47" s="57" t="s">
        <v>2629</v>
      </c>
      <c r="AB47" s="57" t="s">
        <v>2630</v>
      </c>
      <c r="AC47" s="57" t="s">
        <v>2631</v>
      </c>
      <c r="AD47" s="65" t="str">
        <f t="shared" si="5"/>
        <v>EQOS</v>
      </c>
      <c r="AE47" s="70"/>
      <c r="AF47" s="67" t="str">
        <f t="shared" si="6"/>
        <v>NORMAL</v>
      </c>
      <c r="AG47" s="67" t="str">
        <f t="shared" si="4"/>
        <v>NORMAL</v>
      </c>
      <c r="AH47" s="67" t="str">
        <f t="shared" si="8"/>
        <v>DISABLE</v>
      </c>
      <c r="AI47" s="71" t="str">
        <f t="shared" si="9"/>
        <v>N/A</v>
      </c>
      <c r="AJ47" s="189" t="b">
        <v>1</v>
      </c>
      <c r="AK47" s="189" t="b">
        <v>1</v>
      </c>
      <c r="AL47" s="189" t="b">
        <v>1</v>
      </c>
      <c r="AM47" s="189" t="b">
        <v>1</v>
      </c>
      <c r="AN47" s="189" t="b">
        <v>1</v>
      </c>
      <c r="AO47" s="189" t="b">
        <v>1</v>
      </c>
      <c r="AP47" s="69" t="str">
        <f t="shared" si="11"/>
        <v>VALID</v>
      </c>
      <c r="AQ47" s="169" t="s">
        <v>714</v>
      </c>
      <c r="AR47" s="170" t="s">
        <v>861</v>
      </c>
      <c r="AS47" s="9"/>
      <c r="AT47" s="72"/>
      <c r="AU47" s="10"/>
      <c r="AV47" s="10"/>
      <c r="AW47" s="10"/>
      <c r="AX47" s="10"/>
      <c r="AY47" s="10"/>
      <c r="AZ47" s="9"/>
      <c r="BA47" s="9"/>
      <c r="BB47" s="14"/>
      <c r="BC47" s="141"/>
      <c r="BD47" s="12" t="s">
        <v>2648</v>
      </c>
      <c r="BE47" s="337"/>
    </row>
    <row r="48" spans="1:57" ht="12.95" hidden="1" customHeight="1">
      <c r="A48" s="248" t="e">
        <v>#N/A</v>
      </c>
      <c r="B48" s="252" t="e">
        <v>#N/A</v>
      </c>
      <c r="C48" s="248" t="s">
        <v>715</v>
      </c>
      <c r="D48" s="239" t="s">
        <v>2653</v>
      </c>
      <c r="E48" s="58"/>
      <c r="F48" s="59" t="s">
        <v>783</v>
      </c>
      <c r="G48" s="191" t="s">
        <v>2443</v>
      </c>
      <c r="H48" s="192" t="s">
        <v>715</v>
      </c>
      <c r="I48" s="61" t="s">
        <v>2511</v>
      </c>
      <c r="J48" s="61" t="s">
        <v>2511</v>
      </c>
      <c r="K48" s="62" t="s">
        <v>2511</v>
      </c>
      <c r="L48" s="60" t="s">
        <v>2389</v>
      </c>
      <c r="M48" s="61" t="s">
        <v>2523</v>
      </c>
      <c r="N48" s="61" t="s">
        <v>2511</v>
      </c>
      <c r="O48" s="61" t="s">
        <v>2511</v>
      </c>
      <c r="P48" s="62" t="s">
        <v>2511</v>
      </c>
      <c r="Q48" s="58" t="s">
        <v>840</v>
      </c>
      <c r="R48" s="58" t="s">
        <v>126</v>
      </c>
      <c r="S48" s="58" t="s">
        <v>112</v>
      </c>
      <c r="T48" s="58" t="s">
        <v>113</v>
      </c>
      <c r="U48" s="63" t="s">
        <v>126</v>
      </c>
      <c r="V48" s="138" t="s">
        <v>2654</v>
      </c>
      <c r="W48" s="57" t="s">
        <v>2627</v>
      </c>
      <c r="X48" s="126" t="s">
        <v>2511</v>
      </c>
      <c r="Y48" s="126" t="s">
        <v>2511</v>
      </c>
      <c r="Z48" s="57" t="s">
        <v>2628</v>
      </c>
      <c r="AA48" s="57" t="s">
        <v>2629</v>
      </c>
      <c r="AB48" s="57" t="s">
        <v>2630</v>
      </c>
      <c r="AC48" s="57" t="s">
        <v>2631</v>
      </c>
      <c r="AD48" s="65" t="str">
        <f t="shared" si="5"/>
        <v>EQOS</v>
      </c>
      <c r="AE48" s="70"/>
      <c r="AF48" s="67" t="str">
        <f t="shared" si="6"/>
        <v>NORMAL</v>
      </c>
      <c r="AG48" s="67" t="str">
        <f t="shared" si="4"/>
        <v>TRISTATE</v>
      </c>
      <c r="AH48" s="67" t="str">
        <f t="shared" si="8"/>
        <v>ENABLE</v>
      </c>
      <c r="AI48" s="71" t="str">
        <f t="shared" si="9"/>
        <v>N/A</v>
      </c>
      <c r="AJ48" s="189" t="b">
        <v>1</v>
      </c>
      <c r="AK48" s="189" t="b">
        <v>1</v>
      </c>
      <c r="AL48" s="189" t="b">
        <v>1</v>
      </c>
      <c r="AM48" s="189" t="b">
        <v>1</v>
      </c>
      <c r="AN48" s="189" t="b">
        <v>1</v>
      </c>
      <c r="AO48" s="189" t="b">
        <v>1</v>
      </c>
      <c r="AP48" s="69" t="str">
        <f t="shared" si="11"/>
        <v>VALID</v>
      </c>
      <c r="AQ48" s="176" t="s">
        <v>715</v>
      </c>
      <c r="AR48" s="194" t="s">
        <v>862</v>
      </c>
      <c r="AS48" s="193"/>
      <c r="AT48" s="72"/>
      <c r="AU48" s="72"/>
      <c r="AV48" s="72"/>
      <c r="AW48" s="72"/>
      <c r="AX48" s="72"/>
      <c r="AY48" s="72"/>
      <c r="AZ48" s="193"/>
      <c r="BA48" s="193"/>
      <c r="BB48" s="15" t="s">
        <v>114</v>
      </c>
      <c r="BC48" s="142"/>
      <c r="BD48" s="18" t="s">
        <v>2651</v>
      </c>
      <c r="BE48" s="337"/>
    </row>
    <row r="49" spans="1:57" ht="12.95" hidden="1" customHeight="1">
      <c r="A49" s="248" t="e">
        <v>#N/A</v>
      </c>
      <c r="B49" s="252" t="e">
        <v>#N/A</v>
      </c>
      <c r="C49" s="248" t="s">
        <v>716</v>
      </c>
      <c r="D49" s="239" t="s">
        <v>2656</v>
      </c>
      <c r="E49" s="58"/>
      <c r="F49" s="59" t="s">
        <v>784</v>
      </c>
      <c r="G49" s="191" t="s">
        <v>2444</v>
      </c>
      <c r="H49" s="192" t="s">
        <v>716</v>
      </c>
      <c r="I49" s="61" t="s">
        <v>2511</v>
      </c>
      <c r="J49" s="61" t="s">
        <v>2511</v>
      </c>
      <c r="K49" s="62" t="s">
        <v>2511</v>
      </c>
      <c r="L49" s="60" t="s">
        <v>2389</v>
      </c>
      <c r="M49" s="61" t="s">
        <v>2523</v>
      </c>
      <c r="N49" s="61" t="s">
        <v>2511</v>
      </c>
      <c r="O49" s="61" t="s">
        <v>2511</v>
      </c>
      <c r="P49" s="62" t="s">
        <v>2511</v>
      </c>
      <c r="Q49" s="58" t="s">
        <v>840</v>
      </c>
      <c r="R49" s="58" t="s">
        <v>126</v>
      </c>
      <c r="S49" s="58" t="s">
        <v>112</v>
      </c>
      <c r="T49" s="58" t="s">
        <v>113</v>
      </c>
      <c r="U49" s="63" t="s">
        <v>126</v>
      </c>
      <c r="V49" s="205" t="s">
        <v>2657</v>
      </c>
      <c r="W49" s="57" t="s">
        <v>2627</v>
      </c>
      <c r="X49" s="126" t="s">
        <v>2511</v>
      </c>
      <c r="Y49" s="126" t="s">
        <v>2511</v>
      </c>
      <c r="Z49" s="57" t="s">
        <v>2628</v>
      </c>
      <c r="AA49" s="57" t="s">
        <v>2629</v>
      </c>
      <c r="AB49" s="57" t="s">
        <v>2630</v>
      </c>
      <c r="AC49" s="57" t="s">
        <v>2631</v>
      </c>
      <c r="AD49" s="65" t="str">
        <f t="shared" si="5"/>
        <v>EQOS</v>
      </c>
      <c r="AE49" s="70"/>
      <c r="AF49" s="67" t="str">
        <f t="shared" si="6"/>
        <v>NORMAL</v>
      </c>
      <c r="AG49" s="67" t="str">
        <f t="shared" si="4"/>
        <v>TRISTATE</v>
      </c>
      <c r="AH49" s="67" t="str">
        <f t="shared" si="8"/>
        <v>ENABLE</v>
      </c>
      <c r="AI49" s="71" t="str">
        <f t="shared" si="9"/>
        <v>N/A</v>
      </c>
      <c r="AJ49" s="189" t="b">
        <v>1</v>
      </c>
      <c r="AK49" s="189" t="b">
        <v>1</v>
      </c>
      <c r="AL49" s="189" t="b">
        <v>1</v>
      </c>
      <c r="AM49" s="189" t="b">
        <v>1</v>
      </c>
      <c r="AN49" s="189" t="b">
        <v>1</v>
      </c>
      <c r="AO49" s="189" t="b">
        <v>1</v>
      </c>
      <c r="AP49" s="69" t="str">
        <f t="shared" si="11"/>
        <v>VALID</v>
      </c>
      <c r="AQ49" s="166" t="s">
        <v>716</v>
      </c>
      <c r="AR49" s="194" t="s">
        <v>862</v>
      </c>
      <c r="AS49" s="193"/>
      <c r="AT49" s="72"/>
      <c r="AU49" s="72"/>
      <c r="AV49" s="72"/>
      <c r="AW49" s="72"/>
      <c r="AX49" s="72"/>
      <c r="AY49" s="72"/>
      <c r="AZ49" s="193"/>
      <c r="BA49" s="193"/>
      <c r="BB49" s="8"/>
      <c r="BC49" s="140"/>
      <c r="BD49" s="11" t="s">
        <v>2655</v>
      </c>
      <c r="BE49" s="337"/>
    </row>
    <row r="50" spans="1:57" ht="12.95" hidden="1" customHeight="1">
      <c r="A50" s="248" t="e">
        <v>#N/A</v>
      </c>
      <c r="B50" s="252" t="e">
        <v>#N/A</v>
      </c>
      <c r="C50" s="248" t="s">
        <v>717</v>
      </c>
      <c r="D50" s="239" t="s">
        <v>2660</v>
      </c>
      <c r="E50" s="58"/>
      <c r="F50" s="59" t="s">
        <v>785</v>
      </c>
      <c r="G50" s="191" t="s">
        <v>2445</v>
      </c>
      <c r="H50" s="192" t="s">
        <v>717</v>
      </c>
      <c r="I50" s="61" t="s">
        <v>2511</v>
      </c>
      <c r="J50" s="61" t="s">
        <v>2511</v>
      </c>
      <c r="K50" s="62" t="s">
        <v>2511</v>
      </c>
      <c r="L50" s="60" t="s">
        <v>2389</v>
      </c>
      <c r="M50" s="61" t="s">
        <v>2523</v>
      </c>
      <c r="N50" s="61" t="s">
        <v>2511</v>
      </c>
      <c r="O50" s="61" t="s">
        <v>2511</v>
      </c>
      <c r="P50" s="62" t="s">
        <v>2511</v>
      </c>
      <c r="Q50" s="58" t="s">
        <v>840</v>
      </c>
      <c r="R50" s="58" t="s">
        <v>126</v>
      </c>
      <c r="S50" s="58" t="s">
        <v>112</v>
      </c>
      <c r="T50" s="58" t="s">
        <v>113</v>
      </c>
      <c r="U50" s="63" t="s">
        <v>126</v>
      </c>
      <c r="V50" s="137" t="s">
        <v>2661</v>
      </c>
      <c r="W50" s="57" t="s">
        <v>2627</v>
      </c>
      <c r="X50" s="126" t="s">
        <v>2511</v>
      </c>
      <c r="Y50" s="126" t="s">
        <v>2511</v>
      </c>
      <c r="Z50" s="57" t="s">
        <v>2628</v>
      </c>
      <c r="AA50" s="57" t="s">
        <v>2629</v>
      </c>
      <c r="AB50" s="57" t="s">
        <v>2630</v>
      </c>
      <c r="AC50" s="57" t="s">
        <v>2631</v>
      </c>
      <c r="AD50" s="65" t="str">
        <f t="shared" si="5"/>
        <v>EQOS</v>
      </c>
      <c r="AE50" s="70"/>
      <c r="AF50" s="67" t="str">
        <f t="shared" si="6"/>
        <v>NORMAL</v>
      </c>
      <c r="AG50" s="67" t="str">
        <f t="shared" si="4"/>
        <v>TRISTATE</v>
      </c>
      <c r="AH50" s="67" t="str">
        <f t="shared" si="8"/>
        <v>ENABLE</v>
      </c>
      <c r="AI50" s="71" t="str">
        <f t="shared" si="9"/>
        <v>N/A</v>
      </c>
      <c r="AJ50" s="189" t="b">
        <v>1</v>
      </c>
      <c r="AK50" s="189" t="b">
        <v>1</v>
      </c>
      <c r="AL50" s="189" t="b">
        <v>1</v>
      </c>
      <c r="AM50" s="189" t="b">
        <v>1</v>
      </c>
      <c r="AN50" s="189" t="b">
        <v>1</v>
      </c>
      <c r="AO50" s="189" t="b">
        <v>1</v>
      </c>
      <c r="AP50" s="69" t="str">
        <f t="shared" si="11"/>
        <v>VALID</v>
      </c>
      <c r="AQ50" s="166" t="s">
        <v>717</v>
      </c>
      <c r="AR50" s="194" t="s">
        <v>862</v>
      </c>
      <c r="AS50" s="193"/>
      <c r="AT50" s="72"/>
      <c r="AU50" s="5"/>
      <c r="AV50" s="5"/>
      <c r="AW50" s="72"/>
      <c r="AX50" s="72"/>
      <c r="AY50" s="72"/>
      <c r="AZ50" s="193"/>
      <c r="BA50" s="193"/>
      <c r="BB50" s="8"/>
      <c r="BC50" s="140"/>
      <c r="BD50" s="11" t="s">
        <v>2658</v>
      </c>
      <c r="BE50" s="337"/>
    </row>
    <row r="51" spans="1:57" ht="12.95" hidden="1" customHeight="1">
      <c r="A51" s="248" t="e">
        <v>#N/A</v>
      </c>
      <c r="B51" s="252" t="e">
        <v>#N/A</v>
      </c>
      <c r="C51" s="248" t="s">
        <v>718</v>
      </c>
      <c r="D51" s="239" t="s">
        <v>2663</v>
      </c>
      <c r="E51" s="58"/>
      <c r="F51" s="59" t="s">
        <v>786</v>
      </c>
      <c r="G51" s="191" t="s">
        <v>2446</v>
      </c>
      <c r="H51" s="192" t="s">
        <v>718</v>
      </c>
      <c r="I51" s="61" t="s">
        <v>2511</v>
      </c>
      <c r="J51" s="61" t="s">
        <v>2511</v>
      </c>
      <c r="K51" s="62" t="s">
        <v>2511</v>
      </c>
      <c r="L51" s="60" t="s">
        <v>2389</v>
      </c>
      <c r="M51" s="61" t="s">
        <v>2523</v>
      </c>
      <c r="N51" s="61" t="s">
        <v>2511</v>
      </c>
      <c r="O51" s="61" t="s">
        <v>2511</v>
      </c>
      <c r="P51" s="62" t="s">
        <v>2511</v>
      </c>
      <c r="Q51" s="58" t="s">
        <v>840</v>
      </c>
      <c r="R51" s="58" t="s">
        <v>126</v>
      </c>
      <c r="S51" s="58" t="s">
        <v>112</v>
      </c>
      <c r="T51" s="58" t="s">
        <v>113</v>
      </c>
      <c r="U51" s="63" t="s">
        <v>126</v>
      </c>
      <c r="V51" s="138" t="s">
        <v>2664</v>
      </c>
      <c r="W51" s="57" t="s">
        <v>2627</v>
      </c>
      <c r="X51" s="126" t="s">
        <v>2511</v>
      </c>
      <c r="Y51" s="126" t="s">
        <v>2511</v>
      </c>
      <c r="Z51" s="57" t="s">
        <v>2628</v>
      </c>
      <c r="AA51" s="57" t="s">
        <v>2629</v>
      </c>
      <c r="AB51" s="57" t="s">
        <v>2630</v>
      </c>
      <c r="AC51" s="57" t="s">
        <v>2631</v>
      </c>
      <c r="AD51" s="65" t="str">
        <f t="shared" si="5"/>
        <v>EQOS</v>
      </c>
      <c r="AE51" s="70"/>
      <c r="AF51" s="67" t="str">
        <f t="shared" si="6"/>
        <v>NORMAL</v>
      </c>
      <c r="AG51" s="67" t="str">
        <f t="shared" si="4"/>
        <v>TRISTATE</v>
      </c>
      <c r="AH51" s="67" t="str">
        <f t="shared" si="8"/>
        <v>ENABLE</v>
      </c>
      <c r="AI51" s="71" t="str">
        <f t="shared" si="9"/>
        <v>N/A</v>
      </c>
      <c r="AJ51" s="189" t="b">
        <v>1</v>
      </c>
      <c r="AK51" s="189" t="b">
        <v>1</v>
      </c>
      <c r="AL51" s="189" t="b">
        <v>1</v>
      </c>
      <c r="AM51" s="189" t="b">
        <v>1</v>
      </c>
      <c r="AN51" s="189" t="b">
        <v>1</v>
      </c>
      <c r="AO51" s="189" t="b">
        <v>1</v>
      </c>
      <c r="AP51" s="69" t="str">
        <f t="shared" si="11"/>
        <v>VALID</v>
      </c>
      <c r="AQ51" s="166" t="s">
        <v>718</v>
      </c>
      <c r="AR51" s="194" t="s">
        <v>862</v>
      </c>
      <c r="AS51" s="193"/>
      <c r="AT51" s="72"/>
      <c r="AU51" s="5"/>
      <c r="AV51" s="5"/>
      <c r="AW51" s="72"/>
      <c r="AX51" s="72"/>
      <c r="AY51" s="72"/>
      <c r="AZ51" s="193"/>
      <c r="BA51" s="193"/>
      <c r="BB51" s="8"/>
      <c r="BC51" s="140"/>
      <c r="BD51" s="11" t="s">
        <v>2662</v>
      </c>
      <c r="BE51" s="337"/>
    </row>
    <row r="52" spans="1:57" ht="12.95" hidden="1" customHeight="1">
      <c r="A52" s="248" t="e">
        <v>#N/A</v>
      </c>
      <c r="B52" s="252" t="e">
        <v>#N/A</v>
      </c>
      <c r="C52" s="248" t="s">
        <v>719</v>
      </c>
      <c r="D52" s="239" t="s">
        <v>2666</v>
      </c>
      <c r="E52" s="58"/>
      <c r="F52" s="59" t="s">
        <v>787</v>
      </c>
      <c r="G52" s="191" t="s">
        <v>2447</v>
      </c>
      <c r="H52" s="192" t="s">
        <v>719</v>
      </c>
      <c r="I52" s="61" t="s">
        <v>2511</v>
      </c>
      <c r="J52" s="61" t="s">
        <v>2511</v>
      </c>
      <c r="K52" s="62" t="s">
        <v>2511</v>
      </c>
      <c r="L52" s="60" t="s">
        <v>2389</v>
      </c>
      <c r="M52" s="61" t="s">
        <v>2523</v>
      </c>
      <c r="N52" s="61" t="s">
        <v>2511</v>
      </c>
      <c r="O52" s="61" t="s">
        <v>2511</v>
      </c>
      <c r="P52" s="62" t="s">
        <v>2511</v>
      </c>
      <c r="Q52" s="58" t="s">
        <v>840</v>
      </c>
      <c r="R52" s="58" t="s">
        <v>126</v>
      </c>
      <c r="S52" s="58" t="s">
        <v>112</v>
      </c>
      <c r="T52" s="58" t="s">
        <v>113</v>
      </c>
      <c r="U52" s="63" t="s">
        <v>126</v>
      </c>
      <c r="V52" s="138" t="s">
        <v>2667</v>
      </c>
      <c r="W52" s="57" t="s">
        <v>2627</v>
      </c>
      <c r="X52" s="126" t="s">
        <v>2668</v>
      </c>
      <c r="Y52" s="126" t="s">
        <v>2511</v>
      </c>
      <c r="Z52" s="57" t="s">
        <v>2628</v>
      </c>
      <c r="AA52" s="57" t="s">
        <v>2629</v>
      </c>
      <c r="AB52" s="57" t="s">
        <v>2630</v>
      </c>
      <c r="AC52" s="57" t="s">
        <v>2631</v>
      </c>
      <c r="AD52" s="65" t="str">
        <f t="shared" si="5"/>
        <v>EQOS</v>
      </c>
      <c r="AE52" s="70"/>
      <c r="AF52" s="67" t="str">
        <f t="shared" si="6"/>
        <v>NORMAL</v>
      </c>
      <c r="AG52" s="67" t="str">
        <f t="shared" si="4"/>
        <v>TRISTATE</v>
      </c>
      <c r="AH52" s="67" t="str">
        <f t="shared" si="8"/>
        <v>ENABLE</v>
      </c>
      <c r="AI52" s="71" t="str">
        <f t="shared" si="9"/>
        <v>N/A</v>
      </c>
      <c r="AJ52" s="189" t="b">
        <v>1</v>
      </c>
      <c r="AK52" s="189" t="b">
        <v>1</v>
      </c>
      <c r="AL52" s="189" t="b">
        <v>1</v>
      </c>
      <c r="AM52" s="189" t="b">
        <v>1</v>
      </c>
      <c r="AN52" s="189" t="b">
        <v>1</v>
      </c>
      <c r="AO52" s="189" t="b">
        <v>1</v>
      </c>
      <c r="AP52" s="69" t="str">
        <f t="shared" si="11"/>
        <v>VALID</v>
      </c>
      <c r="AQ52" s="166" t="s">
        <v>719</v>
      </c>
      <c r="AR52" s="194" t="s">
        <v>862</v>
      </c>
      <c r="AS52" s="193"/>
      <c r="AT52" s="193" t="s">
        <v>117</v>
      </c>
      <c r="AU52" s="72"/>
      <c r="AV52" s="72"/>
      <c r="AW52" s="72"/>
      <c r="AX52" s="72"/>
      <c r="AY52" s="72"/>
      <c r="AZ52" s="193"/>
      <c r="BA52" s="193"/>
      <c r="BB52" s="8"/>
      <c r="BC52" s="140"/>
      <c r="BD52" s="11" t="s">
        <v>2665</v>
      </c>
      <c r="BE52" s="337"/>
    </row>
    <row r="53" spans="1:57" ht="14.25" hidden="1" customHeight="1">
      <c r="A53" s="248" t="e">
        <v>#N/A</v>
      </c>
      <c r="B53" s="252" t="e">
        <v>#N/A</v>
      </c>
      <c r="C53" s="248" t="s">
        <v>720</v>
      </c>
      <c r="D53" s="239" t="s">
        <v>2671</v>
      </c>
      <c r="E53" s="58"/>
      <c r="F53" s="59" t="s">
        <v>788</v>
      </c>
      <c r="G53" s="191" t="s">
        <v>2448</v>
      </c>
      <c r="H53" s="192" t="s">
        <v>720</v>
      </c>
      <c r="I53" s="61" t="s">
        <v>2511</v>
      </c>
      <c r="J53" s="61" t="s">
        <v>2511</v>
      </c>
      <c r="K53" s="62" t="s">
        <v>2511</v>
      </c>
      <c r="L53" s="60" t="s">
        <v>2389</v>
      </c>
      <c r="M53" s="61" t="s">
        <v>2523</v>
      </c>
      <c r="N53" s="61" t="s">
        <v>2511</v>
      </c>
      <c r="O53" s="61" t="s">
        <v>2511</v>
      </c>
      <c r="P53" s="62" t="s">
        <v>2511</v>
      </c>
      <c r="Q53" s="58" t="s">
        <v>840</v>
      </c>
      <c r="R53" s="58" t="s">
        <v>126</v>
      </c>
      <c r="S53" s="58" t="s">
        <v>112</v>
      </c>
      <c r="T53" s="58" t="s">
        <v>113</v>
      </c>
      <c r="U53" s="63" t="s">
        <v>126</v>
      </c>
      <c r="V53" s="138" t="s">
        <v>2672</v>
      </c>
      <c r="W53" s="57" t="s">
        <v>2627</v>
      </c>
      <c r="X53" s="126" t="s">
        <v>2511</v>
      </c>
      <c r="Y53" s="126" t="s">
        <v>2511</v>
      </c>
      <c r="Z53" s="57" t="s">
        <v>2628</v>
      </c>
      <c r="AA53" s="57" t="s">
        <v>2629</v>
      </c>
      <c r="AB53" s="57" t="s">
        <v>2630</v>
      </c>
      <c r="AC53" s="57" t="s">
        <v>2631</v>
      </c>
      <c r="AD53" s="65" t="str">
        <f t="shared" si="5"/>
        <v>EQOS</v>
      </c>
      <c r="AE53" s="70"/>
      <c r="AF53" s="67" t="str">
        <f t="shared" si="6"/>
        <v>NORMAL</v>
      </c>
      <c r="AG53" s="67" t="str">
        <f t="shared" si="4"/>
        <v>TRISTATE</v>
      </c>
      <c r="AH53" s="67" t="str">
        <f t="shared" si="8"/>
        <v>ENABLE</v>
      </c>
      <c r="AI53" s="71" t="str">
        <f t="shared" si="9"/>
        <v>N/A</v>
      </c>
      <c r="AJ53" s="189" t="b">
        <v>1</v>
      </c>
      <c r="AK53" s="189" t="b">
        <v>1</v>
      </c>
      <c r="AL53" s="189" t="b">
        <v>1</v>
      </c>
      <c r="AM53" s="189" t="b">
        <v>1</v>
      </c>
      <c r="AN53" s="189" t="b">
        <v>1</v>
      </c>
      <c r="AO53" s="189" t="b">
        <v>1</v>
      </c>
      <c r="AP53" s="69" t="str">
        <f t="shared" si="11"/>
        <v>VALID</v>
      </c>
      <c r="AQ53" s="166" t="s">
        <v>720</v>
      </c>
      <c r="AR53" s="194" t="s">
        <v>862</v>
      </c>
      <c r="AS53" s="193"/>
      <c r="AT53" s="72"/>
      <c r="AU53" s="72"/>
      <c r="AV53" s="72"/>
      <c r="AW53" s="72"/>
      <c r="AX53" s="72"/>
      <c r="AY53" s="72"/>
      <c r="AZ53" s="193"/>
      <c r="BA53" s="193"/>
      <c r="BB53" s="8"/>
      <c r="BC53" s="140"/>
      <c r="BD53" s="11" t="s">
        <v>2669</v>
      </c>
      <c r="BE53" s="337"/>
    </row>
    <row r="54" spans="1:57" ht="12.95" hidden="1" customHeight="1">
      <c r="A54" s="248" t="e">
        <v>#N/A</v>
      </c>
      <c r="B54" s="252" t="e">
        <v>#N/A</v>
      </c>
      <c r="C54" s="248" t="s">
        <v>972</v>
      </c>
      <c r="D54" s="239" t="s">
        <v>2674</v>
      </c>
      <c r="E54" s="58"/>
      <c r="F54" s="59" t="s">
        <v>1755</v>
      </c>
      <c r="G54" s="191" t="s">
        <v>2449</v>
      </c>
      <c r="H54" s="192" t="s">
        <v>972</v>
      </c>
      <c r="I54" s="61" t="s">
        <v>2511</v>
      </c>
      <c r="J54" s="61" t="s">
        <v>2511</v>
      </c>
      <c r="K54" s="62" t="s">
        <v>2511</v>
      </c>
      <c r="L54" s="60" t="s">
        <v>2389</v>
      </c>
      <c r="M54" s="61" t="s">
        <v>2389</v>
      </c>
      <c r="N54" s="61" t="s">
        <v>2511</v>
      </c>
      <c r="O54" s="61" t="s">
        <v>2511</v>
      </c>
      <c r="P54" s="62" t="s">
        <v>2511</v>
      </c>
      <c r="Q54" s="58" t="s">
        <v>840</v>
      </c>
      <c r="R54" s="58" t="s">
        <v>126</v>
      </c>
      <c r="S54" s="58" t="s">
        <v>112</v>
      </c>
      <c r="T54" s="58" t="s">
        <v>113</v>
      </c>
      <c r="U54" s="63" t="s">
        <v>126</v>
      </c>
      <c r="V54" s="138" t="s">
        <v>2675</v>
      </c>
      <c r="W54" s="57" t="s">
        <v>2627</v>
      </c>
      <c r="X54" s="126" t="s">
        <v>2676</v>
      </c>
      <c r="Y54" s="126" t="s">
        <v>2511</v>
      </c>
      <c r="Z54" s="57" t="s">
        <v>2628</v>
      </c>
      <c r="AA54" s="57" t="s">
        <v>2629</v>
      </c>
      <c r="AB54" s="57" t="s">
        <v>2630</v>
      </c>
      <c r="AC54" s="57" t="s">
        <v>2548</v>
      </c>
      <c r="AD54" s="65" t="str">
        <f t="shared" si="5"/>
        <v>EQOS</v>
      </c>
      <c r="AE54" s="70"/>
      <c r="AF54" s="67" t="str">
        <f t="shared" si="6"/>
        <v>NORMAL</v>
      </c>
      <c r="AG54" s="67" t="str">
        <f t="shared" si="4"/>
        <v>NORMAL</v>
      </c>
      <c r="AH54" s="67" t="str">
        <f t="shared" si="8"/>
        <v>ENABLE</v>
      </c>
      <c r="AI54" s="71" t="str">
        <f t="shared" si="9"/>
        <v>N/A</v>
      </c>
      <c r="AJ54" s="189" t="b">
        <v>1</v>
      </c>
      <c r="AK54" s="189" t="b">
        <v>1</v>
      </c>
      <c r="AL54" s="189" t="b">
        <v>1</v>
      </c>
      <c r="AM54" s="189" t="b">
        <v>1</v>
      </c>
      <c r="AN54" s="189" t="b">
        <v>1</v>
      </c>
      <c r="AO54" s="189" t="b">
        <v>1</v>
      </c>
      <c r="AP54" s="69" t="str">
        <f t="shared" si="11"/>
        <v>VALID</v>
      </c>
      <c r="AQ54" s="166" t="s">
        <v>972</v>
      </c>
      <c r="AR54" s="194" t="s">
        <v>860</v>
      </c>
      <c r="AS54" s="193"/>
      <c r="AT54" s="193" t="s">
        <v>117</v>
      </c>
      <c r="AU54" s="72"/>
      <c r="AV54" s="72"/>
      <c r="AW54" s="72"/>
      <c r="AX54" s="72"/>
      <c r="AY54" s="72"/>
      <c r="AZ54" s="193" t="s">
        <v>5560</v>
      </c>
      <c r="BA54" s="193"/>
      <c r="BB54" s="8"/>
      <c r="BC54" s="140"/>
      <c r="BD54" s="11" t="s">
        <v>2673</v>
      </c>
      <c r="BE54" s="337"/>
    </row>
    <row r="55" spans="1:57" ht="12.95" hidden="1" customHeight="1">
      <c r="A55" s="248" t="e">
        <v>#N/A</v>
      </c>
      <c r="B55" s="252" t="e">
        <v>#N/A</v>
      </c>
      <c r="C55" s="248" t="s">
        <v>973</v>
      </c>
      <c r="D55" s="239" t="s">
        <v>2678</v>
      </c>
      <c r="E55" s="58"/>
      <c r="F55" s="59" t="s">
        <v>1756</v>
      </c>
      <c r="G55" s="191" t="s">
        <v>2450</v>
      </c>
      <c r="H55" s="192" t="s">
        <v>973</v>
      </c>
      <c r="I55" s="61" t="s">
        <v>2511</v>
      </c>
      <c r="J55" s="61" t="s">
        <v>2511</v>
      </c>
      <c r="K55" s="62" t="s">
        <v>2511</v>
      </c>
      <c r="L55" s="60" t="s">
        <v>2389</v>
      </c>
      <c r="M55" s="61" t="s">
        <v>2388</v>
      </c>
      <c r="N55" s="61" t="s">
        <v>2511</v>
      </c>
      <c r="O55" s="61" t="s">
        <v>2511</v>
      </c>
      <c r="P55" s="62" t="s">
        <v>2511</v>
      </c>
      <c r="Q55" s="58" t="s">
        <v>840</v>
      </c>
      <c r="R55" s="58" t="s">
        <v>126</v>
      </c>
      <c r="S55" s="58" t="s">
        <v>112</v>
      </c>
      <c r="T55" s="58" t="s">
        <v>113</v>
      </c>
      <c r="U55" s="63" t="s">
        <v>126</v>
      </c>
      <c r="V55" s="138" t="s">
        <v>2679</v>
      </c>
      <c r="W55" s="57" t="s">
        <v>2627</v>
      </c>
      <c r="X55" s="126" t="s">
        <v>2511</v>
      </c>
      <c r="Y55" s="126" t="s">
        <v>2511</v>
      </c>
      <c r="Z55" s="57" t="s">
        <v>2628</v>
      </c>
      <c r="AA55" s="57" t="s">
        <v>2629</v>
      </c>
      <c r="AB55" s="57" t="s">
        <v>2630</v>
      </c>
      <c r="AC55" s="57" t="s">
        <v>2631</v>
      </c>
      <c r="AD55" s="65" t="str">
        <f t="shared" si="5"/>
        <v>EQOS</v>
      </c>
      <c r="AE55" s="70"/>
      <c r="AF55" s="67" t="str">
        <f t="shared" si="6"/>
        <v>NORMAL</v>
      </c>
      <c r="AG55" s="67" t="str">
        <f t="shared" si="4"/>
        <v>NORMAL</v>
      </c>
      <c r="AH55" s="67" t="str">
        <f t="shared" si="8"/>
        <v>DISABLE</v>
      </c>
      <c r="AI55" s="71" t="str">
        <f t="shared" si="9"/>
        <v>N/A</v>
      </c>
      <c r="AJ55" s="189" t="b">
        <v>1</v>
      </c>
      <c r="AK55" s="189" t="b">
        <v>1</v>
      </c>
      <c r="AL55" s="189" t="b">
        <v>1</v>
      </c>
      <c r="AM55" s="189" t="b">
        <v>1</v>
      </c>
      <c r="AN55" s="189" t="b">
        <v>1</v>
      </c>
      <c r="AO55" s="189" t="b">
        <v>1</v>
      </c>
      <c r="AP55" s="69" t="str">
        <f t="shared" si="11"/>
        <v>VALID</v>
      </c>
      <c r="AQ55" s="169" t="s">
        <v>973</v>
      </c>
      <c r="AR55" s="170" t="s">
        <v>861</v>
      </c>
      <c r="AS55" s="9"/>
      <c r="AT55" s="10"/>
      <c r="AU55" s="10"/>
      <c r="AV55" s="10"/>
      <c r="AW55" s="10"/>
      <c r="AX55" s="10"/>
      <c r="AY55" s="10"/>
      <c r="AZ55" s="9"/>
      <c r="BA55" s="9"/>
      <c r="BB55" s="14"/>
      <c r="BC55" s="141"/>
      <c r="BD55" s="12" t="s">
        <v>2677</v>
      </c>
      <c r="BE55" s="338"/>
    </row>
    <row r="56" spans="1:57" s="56" customFormat="1" ht="18" hidden="1" customHeight="1">
      <c r="A56" s="348"/>
      <c r="B56" s="349"/>
      <c r="C56" s="264" t="s">
        <v>551</v>
      </c>
      <c r="D56" s="264"/>
      <c r="E56" s="51"/>
      <c r="F56" s="51"/>
      <c r="G56" s="52"/>
      <c r="H56" s="52"/>
      <c r="I56" s="52"/>
      <c r="J56" s="52"/>
      <c r="K56" s="52"/>
      <c r="L56" s="51"/>
      <c r="M56" s="51"/>
      <c r="N56" s="51"/>
      <c r="O56" s="51"/>
      <c r="P56" s="51"/>
      <c r="Q56" s="51"/>
      <c r="R56" s="51"/>
      <c r="S56" s="51"/>
      <c r="T56" s="51"/>
      <c r="U56" s="51"/>
      <c r="V56" s="51"/>
      <c r="W56" s="51"/>
      <c r="X56" s="125"/>
      <c r="Y56" s="125"/>
      <c r="Z56" s="53"/>
      <c r="AA56" s="53"/>
      <c r="AB56" s="53"/>
      <c r="AC56" s="53"/>
      <c r="AD56" s="53"/>
      <c r="AE56" s="53"/>
      <c r="AF56" s="53"/>
      <c r="AG56" s="53"/>
      <c r="AH56" s="53"/>
      <c r="AI56" s="53"/>
      <c r="AJ56" s="53" t="b">
        <v>0</v>
      </c>
      <c r="AK56" s="53"/>
      <c r="AL56" s="53"/>
      <c r="AM56" s="53"/>
      <c r="AN56" s="53"/>
      <c r="AO56" s="53"/>
      <c r="AP56" s="53"/>
      <c r="AQ56" s="54"/>
      <c r="AR56" s="54"/>
      <c r="AS56" s="55"/>
      <c r="AT56" s="55"/>
      <c r="AU56" s="55"/>
      <c r="AV56" s="55"/>
      <c r="AW56" s="55"/>
      <c r="AX56" s="55"/>
      <c r="AY56" s="55"/>
      <c r="AZ56" s="55"/>
      <c r="BA56" s="55"/>
      <c r="BB56" s="55"/>
      <c r="BC56" s="175" t="s">
        <v>59</v>
      </c>
      <c r="BD56" s="185"/>
      <c r="BE56" s="207" t="s">
        <v>551</v>
      </c>
    </row>
    <row r="57" spans="1:57" ht="12.95" hidden="1" customHeight="1">
      <c r="A57" s="248" t="e">
        <v>#N/A</v>
      </c>
      <c r="B57" s="252" t="e">
        <v>#N/A</v>
      </c>
      <c r="C57" s="263" t="s">
        <v>974</v>
      </c>
      <c r="D57" s="239" t="s">
        <v>2680</v>
      </c>
      <c r="E57" s="58"/>
      <c r="F57" s="59" t="s">
        <v>1757</v>
      </c>
      <c r="G57" s="191" t="s">
        <v>2681</v>
      </c>
      <c r="H57" s="192" t="s">
        <v>974</v>
      </c>
      <c r="I57" s="61" t="s">
        <v>2511</v>
      </c>
      <c r="J57" s="61" t="s">
        <v>2511</v>
      </c>
      <c r="K57" s="62" t="s">
        <v>2511</v>
      </c>
      <c r="L57" s="60" t="s">
        <v>2389</v>
      </c>
      <c r="M57" s="61" t="s">
        <v>2389</v>
      </c>
      <c r="N57" s="61" t="s">
        <v>2511</v>
      </c>
      <c r="O57" s="61" t="s">
        <v>2511</v>
      </c>
      <c r="P57" s="62" t="s">
        <v>2511</v>
      </c>
      <c r="Q57" s="58" t="s">
        <v>2426</v>
      </c>
      <c r="R57" s="58" t="s">
        <v>126</v>
      </c>
      <c r="S57" s="58" t="s">
        <v>112</v>
      </c>
      <c r="T57" s="58" t="s">
        <v>113</v>
      </c>
      <c r="U57" s="63" t="s">
        <v>126</v>
      </c>
      <c r="V57" s="137" t="s">
        <v>2682</v>
      </c>
      <c r="W57" s="57" t="s">
        <v>2683</v>
      </c>
      <c r="X57" s="126" t="s">
        <v>2511</v>
      </c>
      <c r="Y57" s="126" t="s">
        <v>2511</v>
      </c>
      <c r="Z57" s="57" t="s">
        <v>2628</v>
      </c>
      <c r="AA57" s="57" t="s">
        <v>2629</v>
      </c>
      <c r="AB57" s="57" t="s">
        <v>2630</v>
      </c>
      <c r="AC57" s="57" t="s">
        <v>2516</v>
      </c>
      <c r="AD57" s="65" t="str">
        <f t="shared" ref="AD57:AD80" si="12">IF(OR($AQ57="",$AQ57=$F57),$U57,IF($AQ57=$G57,SUBSTITUTE(SUBSTITUTE($AQ57,"GPIO3_","GPIO_"),".0",""),IF($AQ57=$H57,$Q57,IF($AQ57=$I57,$R57,IF($AQ57=$J57,$S57,IF($AQ57=$K57,$T57,"INVALID"))))))</f>
        <v>QSPI0</v>
      </c>
      <c r="AE57" s="70"/>
      <c r="AF57" s="67" t="str">
        <f t="shared" ref="AF57:AF80" si="13">IF(AND(OR($AS57="Int PU",$AS57="Int PD"),OR(AND($AZ57&lt;&gt;"",$AZ57&lt;&gt;"0"),AND($BA57&lt;&gt;"",$BA57&lt;&gt;"0"))),"INVALID",IF(OR($AQ57=$F57,$AS57="Int PD"),"PULL_DOWN",IF(OR($AS57="Int PU",AND($AE57="YES",OR($AZ57="",$AZ57="0"),OR($BA57="",$BA57="0"),OR($AR57="Input",$AR57="Bidirectional"))),"PULL_UP","NORMAL")))</f>
        <v>NORMAL</v>
      </c>
      <c r="AG57" s="67" t="str">
        <f t="shared" si="4"/>
        <v>NORMAL</v>
      </c>
      <c r="AH57" s="67" t="str">
        <f t="shared" ref="AH57:AH80" si="14">IF(OR($AQ57=$F57,$AR57="Output"),"DISABLE","ENABLE")</f>
        <v>ENABLE</v>
      </c>
      <c r="AI57" s="71" t="str">
        <f t="shared" si="9"/>
        <v>N/A</v>
      </c>
      <c r="AJ57" s="189" t="b">
        <v>1</v>
      </c>
      <c r="AK57" s="189" t="b">
        <v>1</v>
      </c>
      <c r="AL57" s="189" t="b">
        <v>1</v>
      </c>
      <c r="AM57" s="189" t="b">
        <v>1</v>
      </c>
      <c r="AN57" s="189" t="b">
        <v>1</v>
      </c>
      <c r="AO57" s="189" t="b">
        <v>1</v>
      </c>
      <c r="AP57" s="69" t="str">
        <f t="shared" ref="AP57:AP68" si="15">IF(AND($AJ57:$AO57), "VALID", "INVALID")</f>
        <v>VALID</v>
      </c>
      <c r="AQ57" s="167" t="s">
        <v>974</v>
      </c>
      <c r="AR57" s="194" t="s">
        <v>860</v>
      </c>
      <c r="AS57" s="193"/>
      <c r="AT57" s="72"/>
      <c r="AU57" s="5"/>
      <c r="AV57" s="5"/>
      <c r="AW57" s="72"/>
      <c r="AX57" s="72"/>
      <c r="AY57" s="193" t="s">
        <v>872</v>
      </c>
      <c r="AZ57" s="193"/>
      <c r="BA57" s="193"/>
      <c r="BB57" s="8"/>
      <c r="BC57" s="140"/>
      <c r="BD57" s="11" t="s">
        <v>5527</v>
      </c>
      <c r="BE57" s="333" t="s">
        <v>5526</v>
      </c>
    </row>
    <row r="58" spans="1:57" ht="12.95" hidden="1" customHeight="1">
      <c r="A58" s="248" t="e">
        <v>#N/A</v>
      </c>
      <c r="B58" s="252" t="e">
        <v>#N/A</v>
      </c>
      <c r="C58" s="263" t="s">
        <v>975</v>
      </c>
      <c r="D58" s="239" t="s">
        <v>2684</v>
      </c>
      <c r="E58" s="58"/>
      <c r="F58" s="59" t="s">
        <v>1758</v>
      </c>
      <c r="G58" s="191" t="s">
        <v>2685</v>
      </c>
      <c r="H58" s="192" t="s">
        <v>975</v>
      </c>
      <c r="I58" s="61" t="s">
        <v>2511</v>
      </c>
      <c r="J58" s="61" t="s">
        <v>2511</v>
      </c>
      <c r="K58" s="62" t="s">
        <v>2511</v>
      </c>
      <c r="L58" s="60" t="s">
        <v>2389</v>
      </c>
      <c r="M58" s="61" t="s">
        <v>2388</v>
      </c>
      <c r="N58" s="61" t="s">
        <v>2511</v>
      </c>
      <c r="O58" s="61" t="s">
        <v>2511</v>
      </c>
      <c r="P58" s="62" t="s">
        <v>2511</v>
      </c>
      <c r="Q58" s="58" t="s">
        <v>2426</v>
      </c>
      <c r="R58" s="58" t="s">
        <v>126</v>
      </c>
      <c r="S58" s="58" t="s">
        <v>112</v>
      </c>
      <c r="T58" s="58" t="s">
        <v>113</v>
      </c>
      <c r="U58" s="63" t="s">
        <v>126</v>
      </c>
      <c r="V58" s="138" t="s">
        <v>2686</v>
      </c>
      <c r="W58" s="57" t="s">
        <v>2683</v>
      </c>
      <c r="X58" s="126" t="s">
        <v>2687</v>
      </c>
      <c r="Y58" s="126" t="s">
        <v>2511</v>
      </c>
      <c r="Z58" s="57" t="s">
        <v>2628</v>
      </c>
      <c r="AA58" s="57" t="s">
        <v>2629</v>
      </c>
      <c r="AB58" s="57" t="s">
        <v>2630</v>
      </c>
      <c r="AC58" s="57" t="s">
        <v>2548</v>
      </c>
      <c r="AD58" s="65" t="str">
        <f t="shared" si="12"/>
        <v>QSPI0</v>
      </c>
      <c r="AE58" s="70"/>
      <c r="AF58" s="67" t="str">
        <f t="shared" si="13"/>
        <v>NORMAL</v>
      </c>
      <c r="AG58" s="67" t="str">
        <f t="shared" si="4"/>
        <v>NORMAL</v>
      </c>
      <c r="AH58" s="67" t="str">
        <f t="shared" si="14"/>
        <v>DISABLE</v>
      </c>
      <c r="AI58" s="71" t="str">
        <f t="shared" si="9"/>
        <v>N/A</v>
      </c>
      <c r="AJ58" s="189" t="b">
        <v>1</v>
      </c>
      <c r="AK58" s="189" t="b">
        <v>1</v>
      </c>
      <c r="AL58" s="189" t="b">
        <v>1</v>
      </c>
      <c r="AM58" s="189" t="b">
        <v>1</v>
      </c>
      <c r="AN58" s="189" t="b">
        <v>1</v>
      </c>
      <c r="AO58" s="189" t="b">
        <v>1</v>
      </c>
      <c r="AP58" s="69" t="str">
        <f t="shared" si="15"/>
        <v>VALID</v>
      </c>
      <c r="AQ58" s="167" t="s">
        <v>975</v>
      </c>
      <c r="AR58" s="194" t="s">
        <v>861</v>
      </c>
      <c r="AS58" s="193"/>
      <c r="AT58" s="193" t="s">
        <v>117</v>
      </c>
      <c r="AU58" s="5"/>
      <c r="AV58" s="5"/>
      <c r="AW58" s="72"/>
      <c r="AX58" s="72"/>
      <c r="AY58" s="72"/>
      <c r="AZ58" s="193"/>
      <c r="BA58" s="193"/>
      <c r="BB58" s="8"/>
      <c r="BC58" s="140"/>
      <c r="BD58" s="11" t="s">
        <v>5528</v>
      </c>
      <c r="BE58" s="334"/>
    </row>
    <row r="59" spans="1:57" ht="12.95" hidden="1" customHeight="1">
      <c r="A59" s="248" t="e">
        <v>#N/A</v>
      </c>
      <c r="B59" s="252" t="e">
        <v>#N/A</v>
      </c>
      <c r="C59" s="263" t="s">
        <v>976</v>
      </c>
      <c r="D59" s="239" t="s">
        <v>2688</v>
      </c>
      <c r="E59" s="58"/>
      <c r="F59" s="59" t="s">
        <v>1759</v>
      </c>
      <c r="G59" s="191" t="s">
        <v>2689</v>
      </c>
      <c r="H59" s="192" t="s">
        <v>976</v>
      </c>
      <c r="I59" s="61" t="s">
        <v>2511</v>
      </c>
      <c r="J59" s="61" t="s">
        <v>2511</v>
      </c>
      <c r="K59" s="62" t="s">
        <v>2511</v>
      </c>
      <c r="L59" s="60" t="s">
        <v>2389</v>
      </c>
      <c r="M59" s="61" t="s">
        <v>2389</v>
      </c>
      <c r="N59" s="61" t="s">
        <v>2511</v>
      </c>
      <c r="O59" s="61" t="s">
        <v>2511</v>
      </c>
      <c r="P59" s="62" t="s">
        <v>2511</v>
      </c>
      <c r="Q59" s="58" t="s">
        <v>2426</v>
      </c>
      <c r="R59" s="58" t="s">
        <v>126</v>
      </c>
      <c r="S59" s="58" t="s">
        <v>112</v>
      </c>
      <c r="T59" s="58" t="s">
        <v>113</v>
      </c>
      <c r="U59" s="63" t="s">
        <v>126</v>
      </c>
      <c r="V59" s="138" t="s">
        <v>2690</v>
      </c>
      <c r="W59" s="57" t="s">
        <v>2683</v>
      </c>
      <c r="X59" s="126" t="s">
        <v>2511</v>
      </c>
      <c r="Y59" s="126" t="s">
        <v>2511</v>
      </c>
      <c r="Z59" s="57" t="s">
        <v>2628</v>
      </c>
      <c r="AA59" s="57" t="s">
        <v>2629</v>
      </c>
      <c r="AB59" s="57" t="s">
        <v>2630</v>
      </c>
      <c r="AC59" s="57" t="s">
        <v>2548</v>
      </c>
      <c r="AD59" s="65" t="str">
        <f t="shared" si="12"/>
        <v>QSPI0</v>
      </c>
      <c r="AE59" s="70"/>
      <c r="AF59" s="67" t="str">
        <f t="shared" si="13"/>
        <v>NORMAL</v>
      </c>
      <c r="AG59" s="67" t="str">
        <f t="shared" si="4"/>
        <v>NORMAL</v>
      </c>
      <c r="AH59" s="67" t="str">
        <f t="shared" si="14"/>
        <v>ENABLE</v>
      </c>
      <c r="AI59" s="71" t="str">
        <f t="shared" si="9"/>
        <v>N/A</v>
      </c>
      <c r="AJ59" s="189" t="b">
        <v>1</v>
      </c>
      <c r="AK59" s="189" t="b">
        <v>1</v>
      </c>
      <c r="AL59" s="189" t="b">
        <v>1</v>
      </c>
      <c r="AM59" s="189" t="b">
        <v>1</v>
      </c>
      <c r="AN59" s="189" t="b">
        <v>1</v>
      </c>
      <c r="AO59" s="189" t="b">
        <v>1</v>
      </c>
      <c r="AP59" s="69" t="str">
        <f t="shared" si="15"/>
        <v>VALID</v>
      </c>
      <c r="AQ59" s="167" t="s">
        <v>976</v>
      </c>
      <c r="AR59" s="194" t="s">
        <v>860</v>
      </c>
      <c r="AS59" s="193"/>
      <c r="AT59" s="72"/>
      <c r="AU59" s="72"/>
      <c r="AV59" s="72"/>
      <c r="AW59" s="72"/>
      <c r="AX59" s="72"/>
      <c r="AY59" s="72"/>
      <c r="AZ59" s="193"/>
      <c r="BA59" s="193"/>
      <c r="BB59" s="8"/>
      <c r="BC59" s="140"/>
      <c r="BD59" s="11" t="s">
        <v>5529</v>
      </c>
      <c r="BE59" s="334"/>
    </row>
    <row r="60" spans="1:57" ht="12.95" hidden="1" customHeight="1">
      <c r="A60" s="248" t="e">
        <v>#N/A</v>
      </c>
      <c r="B60" s="252" t="e">
        <v>#N/A</v>
      </c>
      <c r="C60" s="263" t="s">
        <v>977</v>
      </c>
      <c r="D60" s="239" t="s">
        <v>2691</v>
      </c>
      <c r="E60" s="58"/>
      <c r="F60" s="59" t="s">
        <v>1760</v>
      </c>
      <c r="G60" s="191" t="s">
        <v>2692</v>
      </c>
      <c r="H60" s="192" t="s">
        <v>977</v>
      </c>
      <c r="I60" s="61" t="s">
        <v>2511</v>
      </c>
      <c r="J60" s="61" t="s">
        <v>2511</v>
      </c>
      <c r="K60" s="62" t="s">
        <v>2511</v>
      </c>
      <c r="L60" s="60" t="s">
        <v>2389</v>
      </c>
      <c r="M60" s="61" t="s">
        <v>2389</v>
      </c>
      <c r="N60" s="61" t="s">
        <v>2511</v>
      </c>
      <c r="O60" s="61" t="s">
        <v>2511</v>
      </c>
      <c r="P60" s="62" t="s">
        <v>2511</v>
      </c>
      <c r="Q60" s="58" t="s">
        <v>2426</v>
      </c>
      <c r="R60" s="58" t="s">
        <v>126</v>
      </c>
      <c r="S60" s="58" t="s">
        <v>112</v>
      </c>
      <c r="T60" s="58" t="s">
        <v>113</v>
      </c>
      <c r="U60" s="63" t="s">
        <v>126</v>
      </c>
      <c r="V60" s="138" t="s">
        <v>2693</v>
      </c>
      <c r="W60" s="57" t="s">
        <v>2683</v>
      </c>
      <c r="X60" s="126" t="s">
        <v>2511</v>
      </c>
      <c r="Y60" s="126" t="s">
        <v>2511</v>
      </c>
      <c r="Z60" s="57" t="s">
        <v>2628</v>
      </c>
      <c r="AA60" s="57" t="s">
        <v>2629</v>
      </c>
      <c r="AB60" s="57" t="s">
        <v>2630</v>
      </c>
      <c r="AC60" s="57" t="s">
        <v>2548</v>
      </c>
      <c r="AD60" s="65" t="str">
        <f t="shared" si="12"/>
        <v>QSPI0</v>
      </c>
      <c r="AE60" s="70"/>
      <c r="AF60" s="67" t="str">
        <f t="shared" si="13"/>
        <v>NORMAL</v>
      </c>
      <c r="AG60" s="67" t="str">
        <f t="shared" si="4"/>
        <v>NORMAL</v>
      </c>
      <c r="AH60" s="67" t="str">
        <f t="shared" si="14"/>
        <v>ENABLE</v>
      </c>
      <c r="AI60" s="71" t="str">
        <f t="shared" si="9"/>
        <v>N/A</v>
      </c>
      <c r="AJ60" s="189" t="b">
        <v>1</v>
      </c>
      <c r="AK60" s="189" t="b">
        <v>1</v>
      </c>
      <c r="AL60" s="189" t="b">
        <v>1</v>
      </c>
      <c r="AM60" s="189" t="b">
        <v>1</v>
      </c>
      <c r="AN60" s="189" t="b">
        <v>1</v>
      </c>
      <c r="AO60" s="189" t="b">
        <v>1</v>
      </c>
      <c r="AP60" s="69" t="str">
        <f t="shared" si="15"/>
        <v>VALID</v>
      </c>
      <c r="AQ60" s="167" t="s">
        <v>977</v>
      </c>
      <c r="AR60" s="194" t="s">
        <v>860</v>
      </c>
      <c r="AS60" s="193"/>
      <c r="AT60" s="72"/>
      <c r="AU60" s="72"/>
      <c r="AV60" s="72"/>
      <c r="AW60" s="72"/>
      <c r="AX60" s="72"/>
      <c r="AY60" s="72"/>
      <c r="AZ60" s="193"/>
      <c r="BA60" s="193"/>
      <c r="BB60" s="8"/>
      <c r="BC60" s="140"/>
      <c r="BD60" s="11" t="s">
        <v>5530</v>
      </c>
      <c r="BE60" s="334"/>
    </row>
    <row r="61" spans="1:57" ht="12.95" hidden="1" customHeight="1">
      <c r="A61" s="248" t="e">
        <v>#N/A</v>
      </c>
      <c r="B61" s="252" t="e">
        <v>#N/A</v>
      </c>
      <c r="C61" s="263" t="s">
        <v>978</v>
      </c>
      <c r="D61" s="239" t="s">
        <v>2694</v>
      </c>
      <c r="E61" s="58"/>
      <c r="F61" s="59" t="s">
        <v>1761</v>
      </c>
      <c r="G61" s="191" t="s">
        <v>2695</v>
      </c>
      <c r="H61" s="192" t="s">
        <v>2156</v>
      </c>
      <c r="I61" s="61" t="s">
        <v>2511</v>
      </c>
      <c r="J61" s="61" t="s">
        <v>2511</v>
      </c>
      <c r="K61" s="62" t="s">
        <v>2511</v>
      </c>
      <c r="L61" s="60" t="s">
        <v>2389</v>
      </c>
      <c r="M61" s="61" t="s">
        <v>114</v>
      </c>
      <c r="N61" s="61" t="s">
        <v>2511</v>
      </c>
      <c r="O61" s="61" t="s">
        <v>2511</v>
      </c>
      <c r="P61" s="62" t="s">
        <v>2511</v>
      </c>
      <c r="Q61" s="58" t="s">
        <v>2426</v>
      </c>
      <c r="R61" s="58" t="s">
        <v>126</v>
      </c>
      <c r="S61" s="58" t="s">
        <v>112</v>
      </c>
      <c r="T61" s="58" t="s">
        <v>113</v>
      </c>
      <c r="U61" s="63" t="s">
        <v>126</v>
      </c>
      <c r="V61" s="138" t="s">
        <v>2696</v>
      </c>
      <c r="W61" s="57" t="s">
        <v>2683</v>
      </c>
      <c r="X61" s="126" t="s">
        <v>2511</v>
      </c>
      <c r="Y61" s="126" t="s">
        <v>2511</v>
      </c>
      <c r="Z61" s="57" t="s">
        <v>2628</v>
      </c>
      <c r="AA61" s="57" t="s">
        <v>2629</v>
      </c>
      <c r="AB61" s="57" t="s">
        <v>2630</v>
      </c>
      <c r="AC61" s="57" t="s">
        <v>2548</v>
      </c>
      <c r="AD61" s="65" t="str">
        <f t="shared" si="12"/>
        <v>QSPI0</v>
      </c>
      <c r="AE61" s="70"/>
      <c r="AF61" s="67" t="str">
        <f t="shared" si="13"/>
        <v>NORMAL</v>
      </c>
      <c r="AG61" s="67" t="str">
        <f t="shared" si="4"/>
        <v>NORMAL</v>
      </c>
      <c r="AH61" s="67" t="str">
        <f t="shared" si="14"/>
        <v>ENABLE</v>
      </c>
      <c r="AI61" s="71" t="str">
        <f t="shared" si="9"/>
        <v>N/A</v>
      </c>
      <c r="AJ61" s="189" t="b">
        <v>1</v>
      </c>
      <c r="AK61" s="189" t="b">
        <v>1</v>
      </c>
      <c r="AL61" s="189" t="b">
        <v>1</v>
      </c>
      <c r="AM61" s="189" t="b">
        <v>1</v>
      </c>
      <c r="AN61" s="189" t="b">
        <v>1</v>
      </c>
      <c r="AO61" s="189" t="b">
        <v>1</v>
      </c>
      <c r="AP61" s="69" t="str">
        <f t="shared" si="15"/>
        <v>VALID</v>
      </c>
      <c r="AQ61" s="167" t="s">
        <v>2156</v>
      </c>
      <c r="AR61" s="194" t="s">
        <v>860</v>
      </c>
      <c r="AS61" s="193"/>
      <c r="AT61" s="72"/>
      <c r="AU61" s="72"/>
      <c r="AV61" s="72"/>
      <c r="AW61" s="72"/>
      <c r="AX61" s="72"/>
      <c r="AY61" s="72"/>
      <c r="AZ61" s="193"/>
      <c r="BA61" s="193"/>
      <c r="BB61" s="8"/>
      <c r="BC61" s="140"/>
      <c r="BD61" s="11" t="s">
        <v>5531</v>
      </c>
      <c r="BE61" s="334"/>
    </row>
    <row r="62" spans="1:57" ht="12.95" hidden="1" customHeight="1">
      <c r="A62" s="248" t="e">
        <v>#N/A</v>
      </c>
      <c r="B62" s="252" t="e">
        <v>#N/A</v>
      </c>
      <c r="C62" s="263" t="s">
        <v>979</v>
      </c>
      <c r="D62" s="239" t="s">
        <v>2697</v>
      </c>
      <c r="E62" s="58"/>
      <c r="F62" s="59" t="s">
        <v>1762</v>
      </c>
      <c r="G62" s="191" t="s">
        <v>2698</v>
      </c>
      <c r="H62" s="192" t="s">
        <v>979</v>
      </c>
      <c r="I62" s="61" t="s">
        <v>2511</v>
      </c>
      <c r="J62" s="61" t="s">
        <v>2511</v>
      </c>
      <c r="K62" s="62" t="s">
        <v>2511</v>
      </c>
      <c r="L62" s="60" t="s">
        <v>2389</v>
      </c>
      <c r="M62" s="61" t="s">
        <v>2389</v>
      </c>
      <c r="N62" s="61" t="s">
        <v>2511</v>
      </c>
      <c r="O62" s="61" t="s">
        <v>2511</v>
      </c>
      <c r="P62" s="62" t="s">
        <v>2511</v>
      </c>
      <c r="Q62" s="58" t="s">
        <v>2426</v>
      </c>
      <c r="R62" s="58" t="s">
        <v>126</v>
      </c>
      <c r="S62" s="58" t="s">
        <v>112</v>
      </c>
      <c r="T62" s="58" t="s">
        <v>113</v>
      </c>
      <c r="U62" s="63" t="s">
        <v>126</v>
      </c>
      <c r="V62" s="138" t="s">
        <v>2699</v>
      </c>
      <c r="W62" s="57" t="s">
        <v>2683</v>
      </c>
      <c r="X62" s="126" t="s">
        <v>2700</v>
      </c>
      <c r="Y62" s="126" t="s">
        <v>2511</v>
      </c>
      <c r="Z62" s="57" t="s">
        <v>2628</v>
      </c>
      <c r="AA62" s="57" t="s">
        <v>2629</v>
      </c>
      <c r="AB62" s="57" t="s">
        <v>2630</v>
      </c>
      <c r="AC62" s="57" t="s">
        <v>2548</v>
      </c>
      <c r="AD62" s="65" t="str">
        <f t="shared" si="12"/>
        <v>QSPI0</v>
      </c>
      <c r="AE62" s="70"/>
      <c r="AF62" s="67" t="str">
        <f t="shared" si="13"/>
        <v>NORMAL</v>
      </c>
      <c r="AG62" s="67" t="str">
        <f t="shared" si="4"/>
        <v>NORMAL</v>
      </c>
      <c r="AH62" s="67" t="str">
        <f t="shared" si="14"/>
        <v>ENABLE</v>
      </c>
      <c r="AI62" s="71" t="str">
        <f t="shared" si="9"/>
        <v>N/A</v>
      </c>
      <c r="AJ62" s="189" t="b">
        <v>1</v>
      </c>
      <c r="AK62" s="189" t="b">
        <v>1</v>
      </c>
      <c r="AL62" s="189" t="b">
        <v>1</v>
      </c>
      <c r="AM62" s="189" t="b">
        <v>1</v>
      </c>
      <c r="AN62" s="189" t="b">
        <v>1</v>
      </c>
      <c r="AO62" s="189" t="b">
        <v>1</v>
      </c>
      <c r="AP62" s="69" t="str">
        <f t="shared" si="15"/>
        <v>VALID</v>
      </c>
      <c r="AQ62" s="167" t="s">
        <v>979</v>
      </c>
      <c r="AR62" s="194" t="s">
        <v>860</v>
      </c>
      <c r="AS62" s="193"/>
      <c r="AT62" s="193" t="s">
        <v>117</v>
      </c>
      <c r="AU62" s="72"/>
      <c r="AV62" s="72"/>
      <c r="AW62" s="72"/>
      <c r="AX62" s="72"/>
      <c r="AY62" s="72"/>
      <c r="AZ62" s="193"/>
      <c r="BA62" s="193"/>
      <c r="BB62" s="8"/>
      <c r="BC62" s="140"/>
      <c r="BD62" s="11" t="s">
        <v>5532</v>
      </c>
      <c r="BE62" s="335"/>
    </row>
    <row r="63" spans="1:57" ht="12.95" hidden="1" customHeight="1">
      <c r="A63" s="248" t="e">
        <v>#N/A</v>
      </c>
      <c r="B63" s="252" t="e">
        <v>#N/A</v>
      </c>
      <c r="C63" s="263" t="s">
        <v>980</v>
      </c>
      <c r="D63" s="239" t="s">
        <v>2701</v>
      </c>
      <c r="E63" s="58"/>
      <c r="F63" s="59" t="s">
        <v>1763</v>
      </c>
      <c r="G63" s="191" t="s">
        <v>2702</v>
      </c>
      <c r="H63" s="192" t="s">
        <v>980</v>
      </c>
      <c r="I63" s="61" t="s">
        <v>2511</v>
      </c>
      <c r="J63" s="61" t="s">
        <v>2511</v>
      </c>
      <c r="K63" s="62" t="s">
        <v>2511</v>
      </c>
      <c r="L63" s="60" t="s">
        <v>2389</v>
      </c>
      <c r="M63" s="61" t="s">
        <v>2389</v>
      </c>
      <c r="N63" s="61" t="s">
        <v>2511</v>
      </c>
      <c r="O63" s="61" t="s">
        <v>2511</v>
      </c>
      <c r="P63" s="62" t="s">
        <v>2511</v>
      </c>
      <c r="Q63" s="58" t="s">
        <v>2427</v>
      </c>
      <c r="R63" s="58" t="s">
        <v>126</v>
      </c>
      <c r="S63" s="58" t="s">
        <v>112</v>
      </c>
      <c r="T63" s="58" t="s">
        <v>113</v>
      </c>
      <c r="U63" s="63" t="s">
        <v>126</v>
      </c>
      <c r="V63" s="138" t="s">
        <v>2703</v>
      </c>
      <c r="W63" s="57" t="s">
        <v>2683</v>
      </c>
      <c r="X63" s="126" t="s">
        <v>2511</v>
      </c>
      <c r="Y63" s="126" t="s">
        <v>2511</v>
      </c>
      <c r="Z63" s="57" t="s">
        <v>2628</v>
      </c>
      <c r="AA63" s="57" t="s">
        <v>2629</v>
      </c>
      <c r="AB63" s="57" t="s">
        <v>2630</v>
      </c>
      <c r="AC63" s="57" t="s">
        <v>2516</v>
      </c>
      <c r="AD63" s="65" t="str">
        <f t="shared" si="12"/>
        <v>RSVD1</v>
      </c>
      <c r="AE63" s="70"/>
      <c r="AF63" s="67" t="str">
        <f t="shared" si="13"/>
        <v>PULL_DOWN</v>
      </c>
      <c r="AG63" s="67" t="str">
        <f t="shared" si="4"/>
        <v>TRISTATE</v>
      </c>
      <c r="AH63" s="67" t="str">
        <f t="shared" si="14"/>
        <v>DISABLE</v>
      </c>
      <c r="AI63" s="71" t="str">
        <f t="shared" si="9"/>
        <v>N/A</v>
      </c>
      <c r="AJ63" s="189" t="b">
        <v>1</v>
      </c>
      <c r="AK63" s="189" t="b">
        <v>1</v>
      </c>
      <c r="AL63" s="189" t="b">
        <v>1</v>
      </c>
      <c r="AM63" s="189" t="b">
        <v>1</v>
      </c>
      <c r="AN63" s="189" t="b">
        <v>1</v>
      </c>
      <c r="AO63" s="189" t="b">
        <v>1</v>
      </c>
      <c r="AP63" s="69" t="str">
        <f t="shared" si="15"/>
        <v>VALID</v>
      </c>
      <c r="AQ63" s="167" t="s">
        <v>1763</v>
      </c>
      <c r="AR63" s="194" t="s">
        <v>79</v>
      </c>
      <c r="AS63" s="193"/>
      <c r="AT63" s="72"/>
      <c r="AU63" s="5"/>
      <c r="AV63" s="5"/>
      <c r="AW63" s="72"/>
      <c r="AX63" s="72"/>
      <c r="AY63" s="193" t="s">
        <v>872</v>
      </c>
      <c r="AZ63" s="193"/>
      <c r="BA63" s="193"/>
      <c r="BB63" s="8"/>
      <c r="BC63" s="140"/>
      <c r="BD63" s="147" t="s">
        <v>83</v>
      </c>
      <c r="BE63" s="147" t="s">
        <v>83</v>
      </c>
    </row>
    <row r="64" spans="1:57" ht="12.95" hidden="1" customHeight="1">
      <c r="A64" s="248" t="e">
        <v>#N/A</v>
      </c>
      <c r="B64" s="252" t="e">
        <v>#N/A</v>
      </c>
      <c r="C64" s="263" t="s">
        <v>981</v>
      </c>
      <c r="D64" s="239" t="s">
        <v>2704</v>
      </c>
      <c r="E64" s="58"/>
      <c r="F64" s="59" t="s">
        <v>1765</v>
      </c>
      <c r="G64" s="191" t="s">
        <v>2705</v>
      </c>
      <c r="H64" s="192" t="s">
        <v>981</v>
      </c>
      <c r="I64" s="61" t="s">
        <v>2511</v>
      </c>
      <c r="J64" s="61" t="s">
        <v>2511</v>
      </c>
      <c r="K64" s="62" t="s">
        <v>2511</v>
      </c>
      <c r="L64" s="60" t="s">
        <v>2389</v>
      </c>
      <c r="M64" s="61" t="s">
        <v>2388</v>
      </c>
      <c r="N64" s="61" t="s">
        <v>2511</v>
      </c>
      <c r="O64" s="61" t="s">
        <v>2511</v>
      </c>
      <c r="P64" s="62" t="s">
        <v>2511</v>
      </c>
      <c r="Q64" s="58" t="s">
        <v>2427</v>
      </c>
      <c r="R64" s="58" t="s">
        <v>126</v>
      </c>
      <c r="S64" s="58" t="s">
        <v>112</v>
      </c>
      <c r="T64" s="58" t="s">
        <v>113</v>
      </c>
      <c r="U64" s="63" t="s">
        <v>126</v>
      </c>
      <c r="V64" s="138" t="s">
        <v>2706</v>
      </c>
      <c r="W64" s="57" t="s">
        <v>2683</v>
      </c>
      <c r="X64" s="126" t="s">
        <v>2707</v>
      </c>
      <c r="Y64" s="126" t="s">
        <v>2511</v>
      </c>
      <c r="Z64" s="57" t="s">
        <v>2628</v>
      </c>
      <c r="AA64" s="57" t="s">
        <v>2629</v>
      </c>
      <c r="AB64" s="57" t="s">
        <v>2630</v>
      </c>
      <c r="AC64" s="57" t="s">
        <v>2548</v>
      </c>
      <c r="AD64" s="65" t="str">
        <f t="shared" si="12"/>
        <v>RSVD1</v>
      </c>
      <c r="AE64" s="70"/>
      <c r="AF64" s="67" t="str">
        <f t="shared" si="13"/>
        <v>PULL_DOWN</v>
      </c>
      <c r="AG64" s="67" t="str">
        <f t="shared" si="4"/>
        <v>TRISTATE</v>
      </c>
      <c r="AH64" s="67" t="str">
        <f t="shared" si="14"/>
        <v>DISABLE</v>
      </c>
      <c r="AI64" s="71" t="str">
        <f t="shared" si="9"/>
        <v>N/A</v>
      </c>
      <c r="AJ64" s="189" t="b">
        <v>1</v>
      </c>
      <c r="AK64" s="189" t="b">
        <v>1</v>
      </c>
      <c r="AL64" s="189" t="b">
        <v>1</v>
      </c>
      <c r="AM64" s="189" t="b">
        <v>1</v>
      </c>
      <c r="AN64" s="189" t="b">
        <v>1</v>
      </c>
      <c r="AO64" s="189" t="b">
        <v>1</v>
      </c>
      <c r="AP64" s="69" t="str">
        <f t="shared" si="15"/>
        <v>VALID</v>
      </c>
      <c r="AQ64" s="167" t="s">
        <v>1765</v>
      </c>
      <c r="AR64" s="194" t="s">
        <v>79</v>
      </c>
      <c r="AS64" s="193"/>
      <c r="AT64" s="193" t="s">
        <v>117</v>
      </c>
      <c r="AU64" s="5"/>
      <c r="AV64" s="5"/>
      <c r="AW64" s="72"/>
      <c r="AX64" s="72"/>
      <c r="AY64" s="72"/>
      <c r="AZ64" s="193"/>
      <c r="BA64" s="193"/>
      <c r="BB64" s="8"/>
      <c r="BC64" s="140"/>
      <c r="BD64" s="147" t="s">
        <v>83</v>
      </c>
      <c r="BE64" s="147" t="s">
        <v>83</v>
      </c>
    </row>
    <row r="65" spans="1:57" ht="12.95" hidden="1" customHeight="1">
      <c r="A65" s="248" t="e">
        <v>#N/A</v>
      </c>
      <c r="B65" s="252" t="e">
        <v>#N/A</v>
      </c>
      <c r="C65" s="263" t="s">
        <v>982</v>
      </c>
      <c r="D65" s="239" t="s">
        <v>2708</v>
      </c>
      <c r="E65" s="58"/>
      <c r="F65" s="59" t="s">
        <v>1764</v>
      </c>
      <c r="G65" s="191" t="s">
        <v>2709</v>
      </c>
      <c r="H65" s="192" t="s">
        <v>982</v>
      </c>
      <c r="I65" s="61" t="s">
        <v>2511</v>
      </c>
      <c r="J65" s="61" t="s">
        <v>2511</v>
      </c>
      <c r="K65" s="62" t="s">
        <v>2511</v>
      </c>
      <c r="L65" s="60" t="s">
        <v>2389</v>
      </c>
      <c r="M65" s="61" t="s">
        <v>2389</v>
      </c>
      <c r="N65" s="61" t="s">
        <v>2511</v>
      </c>
      <c r="O65" s="61" t="s">
        <v>2511</v>
      </c>
      <c r="P65" s="62" t="s">
        <v>2511</v>
      </c>
      <c r="Q65" s="58" t="s">
        <v>2427</v>
      </c>
      <c r="R65" s="58" t="s">
        <v>126</v>
      </c>
      <c r="S65" s="58" t="s">
        <v>112</v>
      </c>
      <c r="T65" s="58" t="s">
        <v>113</v>
      </c>
      <c r="U65" s="63" t="s">
        <v>126</v>
      </c>
      <c r="V65" s="138" t="s">
        <v>2710</v>
      </c>
      <c r="W65" s="57" t="s">
        <v>2683</v>
      </c>
      <c r="X65" s="126" t="s">
        <v>2511</v>
      </c>
      <c r="Y65" s="126" t="s">
        <v>2511</v>
      </c>
      <c r="Z65" s="57" t="s">
        <v>2628</v>
      </c>
      <c r="AA65" s="57" t="s">
        <v>2629</v>
      </c>
      <c r="AB65" s="57" t="s">
        <v>2630</v>
      </c>
      <c r="AC65" s="57" t="s">
        <v>2548</v>
      </c>
      <c r="AD65" s="65" t="str">
        <f t="shared" si="12"/>
        <v>RSVD1</v>
      </c>
      <c r="AE65" s="70"/>
      <c r="AF65" s="67" t="str">
        <f t="shared" si="13"/>
        <v>PULL_DOWN</v>
      </c>
      <c r="AG65" s="67" t="str">
        <f t="shared" si="4"/>
        <v>TRISTATE</v>
      </c>
      <c r="AH65" s="67" t="str">
        <f t="shared" si="14"/>
        <v>DISABLE</v>
      </c>
      <c r="AI65" s="71" t="str">
        <f t="shared" si="9"/>
        <v>N/A</v>
      </c>
      <c r="AJ65" s="189" t="b">
        <v>1</v>
      </c>
      <c r="AK65" s="189" t="b">
        <v>1</v>
      </c>
      <c r="AL65" s="189" t="b">
        <v>1</v>
      </c>
      <c r="AM65" s="189" t="b">
        <v>1</v>
      </c>
      <c r="AN65" s="189" t="b">
        <v>1</v>
      </c>
      <c r="AO65" s="189" t="b">
        <v>1</v>
      </c>
      <c r="AP65" s="69" t="str">
        <f t="shared" si="15"/>
        <v>VALID</v>
      </c>
      <c r="AQ65" s="167" t="s">
        <v>1764</v>
      </c>
      <c r="AR65" s="194" t="s">
        <v>79</v>
      </c>
      <c r="AS65" s="193"/>
      <c r="AT65" s="72"/>
      <c r="AU65" s="72"/>
      <c r="AV65" s="72"/>
      <c r="AW65" s="72"/>
      <c r="AX65" s="72"/>
      <c r="AY65" s="72"/>
      <c r="AZ65" s="193"/>
      <c r="BA65" s="193"/>
      <c r="BB65" s="8"/>
      <c r="BC65" s="140"/>
      <c r="BD65" s="147" t="s">
        <v>83</v>
      </c>
      <c r="BE65" s="147" t="s">
        <v>83</v>
      </c>
    </row>
    <row r="66" spans="1:57" ht="12.95" hidden="1" customHeight="1">
      <c r="A66" s="248" t="e">
        <v>#N/A</v>
      </c>
      <c r="B66" s="252" t="e">
        <v>#N/A</v>
      </c>
      <c r="C66" s="263" t="s">
        <v>983</v>
      </c>
      <c r="D66" s="239" t="s">
        <v>2711</v>
      </c>
      <c r="E66" s="58"/>
      <c r="F66" s="59" t="s">
        <v>1766</v>
      </c>
      <c r="G66" s="191" t="s">
        <v>2712</v>
      </c>
      <c r="H66" s="192" t="s">
        <v>983</v>
      </c>
      <c r="I66" s="61" t="s">
        <v>2511</v>
      </c>
      <c r="J66" s="61" t="s">
        <v>2511</v>
      </c>
      <c r="K66" s="62" t="s">
        <v>2511</v>
      </c>
      <c r="L66" s="60" t="s">
        <v>2389</v>
      </c>
      <c r="M66" s="61" t="s">
        <v>2389</v>
      </c>
      <c r="N66" s="61" t="s">
        <v>2511</v>
      </c>
      <c r="O66" s="61" t="s">
        <v>2511</v>
      </c>
      <c r="P66" s="62" t="s">
        <v>2511</v>
      </c>
      <c r="Q66" s="58" t="s">
        <v>2427</v>
      </c>
      <c r="R66" s="58" t="s">
        <v>126</v>
      </c>
      <c r="S66" s="58" t="s">
        <v>112</v>
      </c>
      <c r="T66" s="58" t="s">
        <v>113</v>
      </c>
      <c r="U66" s="63" t="s">
        <v>126</v>
      </c>
      <c r="V66" s="138" t="s">
        <v>2713</v>
      </c>
      <c r="W66" s="57" t="s">
        <v>2683</v>
      </c>
      <c r="X66" s="126" t="s">
        <v>2511</v>
      </c>
      <c r="Y66" s="126" t="s">
        <v>2511</v>
      </c>
      <c r="Z66" s="57" t="s">
        <v>2628</v>
      </c>
      <c r="AA66" s="57" t="s">
        <v>2629</v>
      </c>
      <c r="AB66" s="57" t="s">
        <v>2630</v>
      </c>
      <c r="AC66" s="57" t="s">
        <v>2548</v>
      </c>
      <c r="AD66" s="65" t="str">
        <f t="shared" si="12"/>
        <v>RSVD1</v>
      </c>
      <c r="AE66" s="70"/>
      <c r="AF66" s="67" t="str">
        <f t="shared" si="13"/>
        <v>PULL_DOWN</v>
      </c>
      <c r="AG66" s="67" t="str">
        <f t="shared" si="4"/>
        <v>TRISTATE</v>
      </c>
      <c r="AH66" s="67" t="str">
        <f t="shared" si="14"/>
        <v>DISABLE</v>
      </c>
      <c r="AI66" s="71" t="str">
        <f t="shared" si="9"/>
        <v>N/A</v>
      </c>
      <c r="AJ66" s="189" t="b">
        <v>1</v>
      </c>
      <c r="AK66" s="189" t="b">
        <v>1</v>
      </c>
      <c r="AL66" s="189" t="b">
        <v>1</v>
      </c>
      <c r="AM66" s="189" t="b">
        <v>1</v>
      </c>
      <c r="AN66" s="189" t="b">
        <v>1</v>
      </c>
      <c r="AO66" s="189" t="b">
        <v>1</v>
      </c>
      <c r="AP66" s="69" t="str">
        <f t="shared" si="15"/>
        <v>VALID</v>
      </c>
      <c r="AQ66" s="167" t="s">
        <v>1766</v>
      </c>
      <c r="AR66" s="194" t="s">
        <v>79</v>
      </c>
      <c r="AS66" s="193"/>
      <c r="AT66" s="72"/>
      <c r="AU66" s="72"/>
      <c r="AV66" s="72"/>
      <c r="AW66" s="72"/>
      <c r="AX66" s="72"/>
      <c r="AY66" s="72"/>
      <c r="AZ66" s="193"/>
      <c r="BA66" s="193"/>
      <c r="BB66" s="8"/>
      <c r="BC66" s="140"/>
      <c r="BD66" s="147" t="s">
        <v>83</v>
      </c>
      <c r="BE66" s="147" t="s">
        <v>83</v>
      </c>
    </row>
    <row r="67" spans="1:57" ht="12.95" hidden="1" customHeight="1">
      <c r="A67" s="248" t="e">
        <v>#N/A</v>
      </c>
      <c r="B67" s="252" t="e">
        <v>#N/A</v>
      </c>
      <c r="C67" s="263" t="s">
        <v>984</v>
      </c>
      <c r="D67" s="239" t="s">
        <v>2714</v>
      </c>
      <c r="E67" s="58"/>
      <c r="F67" s="59" t="s">
        <v>1767</v>
      </c>
      <c r="G67" s="191" t="s">
        <v>2715</v>
      </c>
      <c r="H67" s="192" t="s">
        <v>2157</v>
      </c>
      <c r="I67" s="61" t="s">
        <v>2511</v>
      </c>
      <c r="J67" s="61" t="s">
        <v>2511</v>
      </c>
      <c r="K67" s="62" t="s">
        <v>2511</v>
      </c>
      <c r="L67" s="60" t="s">
        <v>2389</v>
      </c>
      <c r="M67" s="61" t="s">
        <v>114</v>
      </c>
      <c r="N67" s="61" t="s">
        <v>2511</v>
      </c>
      <c r="O67" s="61" t="s">
        <v>2511</v>
      </c>
      <c r="P67" s="62" t="s">
        <v>2511</v>
      </c>
      <c r="Q67" s="58" t="s">
        <v>2427</v>
      </c>
      <c r="R67" s="58" t="s">
        <v>126</v>
      </c>
      <c r="S67" s="58" t="s">
        <v>112</v>
      </c>
      <c r="T67" s="58" t="s">
        <v>113</v>
      </c>
      <c r="U67" s="63" t="s">
        <v>126</v>
      </c>
      <c r="V67" s="205" t="s">
        <v>2716</v>
      </c>
      <c r="W67" s="57" t="s">
        <v>2683</v>
      </c>
      <c r="X67" s="126" t="s">
        <v>2511</v>
      </c>
      <c r="Y67" s="126" t="s">
        <v>2511</v>
      </c>
      <c r="Z67" s="57" t="s">
        <v>2628</v>
      </c>
      <c r="AA67" s="57" t="s">
        <v>2629</v>
      </c>
      <c r="AB67" s="57" t="s">
        <v>2630</v>
      </c>
      <c r="AC67" s="57" t="s">
        <v>2548</v>
      </c>
      <c r="AD67" s="65" t="str">
        <f t="shared" si="12"/>
        <v>RSVD1</v>
      </c>
      <c r="AE67" s="70"/>
      <c r="AF67" s="67" t="str">
        <f t="shared" si="13"/>
        <v>PULL_DOWN</v>
      </c>
      <c r="AG67" s="67" t="str">
        <f t="shared" si="4"/>
        <v>TRISTATE</v>
      </c>
      <c r="AH67" s="67" t="str">
        <f t="shared" si="14"/>
        <v>DISABLE</v>
      </c>
      <c r="AI67" s="71" t="str">
        <f t="shared" si="9"/>
        <v>N/A</v>
      </c>
      <c r="AJ67" s="189" t="b">
        <v>1</v>
      </c>
      <c r="AK67" s="189" t="b">
        <v>1</v>
      </c>
      <c r="AL67" s="189" t="b">
        <v>1</v>
      </c>
      <c r="AM67" s="189" t="b">
        <v>1</v>
      </c>
      <c r="AN67" s="189" t="b">
        <v>1</v>
      </c>
      <c r="AO67" s="189" t="b">
        <v>1</v>
      </c>
      <c r="AP67" s="69" t="str">
        <f t="shared" si="15"/>
        <v>VALID</v>
      </c>
      <c r="AQ67" s="167" t="s">
        <v>1767</v>
      </c>
      <c r="AR67" s="194" t="s">
        <v>79</v>
      </c>
      <c r="AS67" s="193"/>
      <c r="AT67" s="72"/>
      <c r="AU67" s="72"/>
      <c r="AV67" s="72"/>
      <c r="AW67" s="72"/>
      <c r="AX67" s="72"/>
      <c r="AY67" s="72"/>
      <c r="AZ67" s="193"/>
      <c r="BA67" s="193"/>
      <c r="BB67" s="8"/>
      <c r="BC67" s="140"/>
      <c r="BD67" s="147" t="s">
        <v>83</v>
      </c>
      <c r="BE67" s="147" t="s">
        <v>83</v>
      </c>
    </row>
    <row r="68" spans="1:57" ht="12.95" hidden="1" customHeight="1">
      <c r="A68" s="248" t="e">
        <v>#N/A</v>
      </c>
      <c r="B68" s="252" t="e">
        <v>#N/A</v>
      </c>
      <c r="C68" s="263" t="s">
        <v>985</v>
      </c>
      <c r="D68" s="239" t="s">
        <v>2717</v>
      </c>
      <c r="E68" s="58"/>
      <c r="F68" s="59" t="s">
        <v>1768</v>
      </c>
      <c r="G68" s="191" t="s">
        <v>2718</v>
      </c>
      <c r="H68" s="192" t="s">
        <v>985</v>
      </c>
      <c r="I68" s="61" t="s">
        <v>2511</v>
      </c>
      <c r="J68" s="61" t="s">
        <v>2511</v>
      </c>
      <c r="K68" s="62" t="s">
        <v>2511</v>
      </c>
      <c r="L68" s="60" t="s">
        <v>2389</v>
      </c>
      <c r="M68" s="61" t="s">
        <v>2389</v>
      </c>
      <c r="N68" s="61" t="s">
        <v>2511</v>
      </c>
      <c r="O68" s="61" t="s">
        <v>2511</v>
      </c>
      <c r="P68" s="62" t="s">
        <v>2511</v>
      </c>
      <c r="Q68" s="58" t="s">
        <v>2427</v>
      </c>
      <c r="R68" s="58" t="s">
        <v>126</v>
      </c>
      <c r="S68" s="58" t="s">
        <v>112</v>
      </c>
      <c r="T68" s="58" t="s">
        <v>113</v>
      </c>
      <c r="U68" s="63" t="s">
        <v>126</v>
      </c>
      <c r="V68" s="137" t="s">
        <v>2719</v>
      </c>
      <c r="W68" s="57" t="s">
        <v>2683</v>
      </c>
      <c r="X68" s="126" t="s">
        <v>2720</v>
      </c>
      <c r="Y68" s="126" t="s">
        <v>2511</v>
      </c>
      <c r="Z68" s="57" t="s">
        <v>2628</v>
      </c>
      <c r="AA68" s="57" t="s">
        <v>2629</v>
      </c>
      <c r="AB68" s="57" t="s">
        <v>2630</v>
      </c>
      <c r="AC68" s="57" t="s">
        <v>2548</v>
      </c>
      <c r="AD68" s="65" t="str">
        <f t="shared" si="12"/>
        <v>RSVD1</v>
      </c>
      <c r="AE68" s="70"/>
      <c r="AF68" s="67" t="str">
        <f t="shared" si="13"/>
        <v>PULL_DOWN</v>
      </c>
      <c r="AG68" s="67" t="str">
        <f t="shared" si="4"/>
        <v>TRISTATE</v>
      </c>
      <c r="AH68" s="67" t="str">
        <f t="shared" si="14"/>
        <v>DISABLE</v>
      </c>
      <c r="AI68" s="71" t="str">
        <f t="shared" si="9"/>
        <v>N/A</v>
      </c>
      <c r="AJ68" s="189" t="b">
        <v>1</v>
      </c>
      <c r="AK68" s="189" t="b">
        <v>1</v>
      </c>
      <c r="AL68" s="189" t="b">
        <v>1</v>
      </c>
      <c r="AM68" s="189" t="b">
        <v>1</v>
      </c>
      <c r="AN68" s="189" t="b">
        <v>1</v>
      </c>
      <c r="AO68" s="189" t="b">
        <v>1</v>
      </c>
      <c r="AP68" s="69" t="str">
        <f t="shared" si="15"/>
        <v>VALID</v>
      </c>
      <c r="AQ68" s="167" t="s">
        <v>1768</v>
      </c>
      <c r="AR68" s="194" t="s">
        <v>79</v>
      </c>
      <c r="AS68" s="193"/>
      <c r="AT68" s="193" t="s">
        <v>117</v>
      </c>
      <c r="AU68" s="5"/>
      <c r="AV68" s="5"/>
      <c r="AW68" s="72"/>
      <c r="AX68" s="72"/>
      <c r="AY68" s="72"/>
      <c r="AZ68" s="193"/>
      <c r="BA68" s="193"/>
      <c r="BB68" s="8"/>
      <c r="BC68" s="140"/>
      <c r="BD68" s="147" t="s">
        <v>83</v>
      </c>
      <c r="BE68" s="147" t="s">
        <v>83</v>
      </c>
    </row>
    <row r="69" spans="1:57" s="56" customFormat="1" ht="18" hidden="1" customHeight="1">
      <c r="A69" s="348"/>
      <c r="B69" s="349"/>
      <c r="C69" s="264" t="s">
        <v>65</v>
      </c>
      <c r="D69" s="264"/>
      <c r="E69" s="51"/>
      <c r="F69" s="51"/>
      <c r="G69" s="52"/>
      <c r="H69" s="52"/>
      <c r="I69" s="52"/>
      <c r="J69" s="52"/>
      <c r="K69" s="52"/>
      <c r="L69" s="51"/>
      <c r="M69" s="51"/>
      <c r="N69" s="51"/>
      <c r="O69" s="51"/>
      <c r="P69" s="51"/>
      <c r="Q69" s="51"/>
      <c r="R69" s="51"/>
      <c r="S69" s="51"/>
      <c r="T69" s="51"/>
      <c r="U69" s="51"/>
      <c r="V69" s="51"/>
      <c r="W69" s="51"/>
      <c r="X69" s="125"/>
      <c r="Y69" s="125"/>
      <c r="Z69" s="53"/>
      <c r="AA69" s="53"/>
      <c r="AB69" s="53"/>
      <c r="AC69" s="53"/>
      <c r="AD69" s="53"/>
      <c r="AE69" s="53"/>
      <c r="AF69" s="53"/>
      <c r="AG69" s="53"/>
      <c r="AH69" s="53"/>
      <c r="AI69" s="53"/>
      <c r="AJ69" s="53"/>
      <c r="AK69" s="53"/>
      <c r="AL69" s="53"/>
      <c r="AM69" s="53"/>
      <c r="AN69" s="53"/>
      <c r="AO69" s="53"/>
      <c r="AP69" s="53"/>
      <c r="AQ69" s="54"/>
      <c r="AR69" s="54"/>
      <c r="AS69" s="55"/>
      <c r="AT69" s="55"/>
      <c r="AU69" s="55"/>
      <c r="AV69" s="55"/>
      <c r="AW69" s="55"/>
      <c r="AX69" s="55"/>
      <c r="AY69" s="55"/>
      <c r="AZ69" s="55"/>
      <c r="BA69" s="55"/>
      <c r="BB69" s="55"/>
      <c r="BC69" s="175" t="s">
        <v>59</v>
      </c>
      <c r="BD69" s="185"/>
      <c r="BE69" s="207" t="s">
        <v>65</v>
      </c>
    </row>
    <row r="70" spans="1:57" ht="12.95" hidden="1" customHeight="1">
      <c r="A70" s="248" t="e">
        <v>#N/A</v>
      </c>
      <c r="B70" s="252" t="e">
        <v>#N/A</v>
      </c>
      <c r="C70" s="263" t="s">
        <v>76</v>
      </c>
      <c r="D70" s="239" t="s">
        <v>2721</v>
      </c>
      <c r="E70" s="58"/>
      <c r="F70" s="59" t="s">
        <v>156</v>
      </c>
      <c r="G70" s="191" t="s">
        <v>2511</v>
      </c>
      <c r="H70" s="192" t="s">
        <v>76</v>
      </c>
      <c r="I70" s="61" t="s">
        <v>2511</v>
      </c>
      <c r="J70" s="61" t="s">
        <v>2511</v>
      </c>
      <c r="K70" s="62" t="s">
        <v>2511</v>
      </c>
      <c r="L70" s="60" t="s">
        <v>2511</v>
      </c>
      <c r="M70" s="61" t="s">
        <v>2388</v>
      </c>
      <c r="N70" s="61" t="s">
        <v>2511</v>
      </c>
      <c r="O70" s="61" t="s">
        <v>2511</v>
      </c>
      <c r="P70" s="62" t="s">
        <v>2511</v>
      </c>
      <c r="Q70" s="58" t="s">
        <v>65</v>
      </c>
      <c r="R70" s="58" t="s">
        <v>126</v>
      </c>
      <c r="S70" s="58" t="s">
        <v>112</v>
      </c>
      <c r="T70" s="58" t="s">
        <v>113</v>
      </c>
      <c r="U70" s="63" t="s">
        <v>126</v>
      </c>
      <c r="V70" s="137" t="s">
        <v>2722</v>
      </c>
      <c r="W70" s="57" t="s">
        <v>2723</v>
      </c>
      <c r="X70" s="126" t="s">
        <v>2511</v>
      </c>
      <c r="Y70" s="126" t="s">
        <v>2511</v>
      </c>
      <c r="Z70" s="57" t="s">
        <v>2724</v>
      </c>
      <c r="AA70" s="57" t="s">
        <v>2725</v>
      </c>
      <c r="AB70" s="57" t="s">
        <v>2726</v>
      </c>
      <c r="AC70" s="57">
        <v>0</v>
      </c>
      <c r="AD70" s="65" t="str">
        <f t="shared" si="12"/>
        <v>SDMMC4</v>
      </c>
      <c r="AE70" s="70"/>
      <c r="AF70" s="67" t="str">
        <f t="shared" si="13"/>
        <v>NORMAL</v>
      </c>
      <c r="AG70" s="67" t="str">
        <f t="shared" si="4"/>
        <v>NORMAL</v>
      </c>
      <c r="AH70" s="67" t="str">
        <f>IF($AQ70=$H70,"ENABLE",IF(OR($AQ70=$F70,$AR70="Output"),"DISABLE","ENABLE"))</f>
        <v>ENABLE</v>
      </c>
      <c r="AI70" s="71" t="str">
        <f t="shared" si="9"/>
        <v>N/A</v>
      </c>
      <c r="AJ70" s="189" t="b">
        <v>1</v>
      </c>
      <c r="AK70" s="189" t="b">
        <v>1</v>
      </c>
      <c r="AL70" s="189" t="b">
        <v>1</v>
      </c>
      <c r="AM70" s="189" t="b">
        <v>1</v>
      </c>
      <c r="AN70" s="189" t="b">
        <v>1</v>
      </c>
      <c r="AO70" s="189" t="b">
        <v>1</v>
      </c>
      <c r="AP70" s="69" t="str">
        <f t="shared" ref="AP70:AP102" si="16">IF(AND($AJ70:$AO70), "VALID", "INVALID")</f>
        <v>VALID</v>
      </c>
      <c r="AQ70" s="167" t="s">
        <v>76</v>
      </c>
      <c r="AR70" s="194" t="s">
        <v>861</v>
      </c>
      <c r="AS70" s="193" t="s">
        <v>874</v>
      </c>
      <c r="AT70" s="72"/>
      <c r="AU70" s="72"/>
      <c r="AV70" s="72"/>
      <c r="AW70" s="72"/>
      <c r="AX70" s="72"/>
      <c r="AY70" s="193" t="s">
        <v>872</v>
      </c>
      <c r="AZ70" s="193"/>
      <c r="BA70" s="193"/>
      <c r="BB70" s="8"/>
      <c r="BC70" s="140"/>
      <c r="BD70" s="11" t="s">
        <v>76</v>
      </c>
      <c r="BE70" s="336" t="s">
        <v>5533</v>
      </c>
    </row>
    <row r="71" spans="1:57" ht="12.95" hidden="1" customHeight="1">
      <c r="A71" s="248" t="e">
        <v>#N/A</v>
      </c>
      <c r="B71" s="252" t="e">
        <v>#N/A</v>
      </c>
      <c r="C71" s="263" t="s">
        <v>34</v>
      </c>
      <c r="D71" s="239" t="s">
        <v>2727</v>
      </c>
      <c r="E71" s="58"/>
      <c r="F71" s="59" t="s">
        <v>157</v>
      </c>
      <c r="G71" s="191" t="s">
        <v>2511</v>
      </c>
      <c r="H71" s="192" t="s">
        <v>34</v>
      </c>
      <c r="I71" s="61" t="s">
        <v>2511</v>
      </c>
      <c r="J71" s="61" t="s">
        <v>2511</v>
      </c>
      <c r="K71" s="62" t="s">
        <v>2511</v>
      </c>
      <c r="L71" s="60" t="s">
        <v>2511</v>
      </c>
      <c r="M71" s="61" t="s">
        <v>2389</v>
      </c>
      <c r="N71" s="61" t="s">
        <v>2511</v>
      </c>
      <c r="O71" s="61" t="s">
        <v>2511</v>
      </c>
      <c r="P71" s="62" t="s">
        <v>2511</v>
      </c>
      <c r="Q71" s="58" t="s">
        <v>65</v>
      </c>
      <c r="R71" s="58" t="s">
        <v>126</v>
      </c>
      <c r="S71" s="58" t="s">
        <v>112</v>
      </c>
      <c r="T71" s="58" t="s">
        <v>113</v>
      </c>
      <c r="U71" s="63" t="s">
        <v>126</v>
      </c>
      <c r="V71" s="138" t="s">
        <v>2728</v>
      </c>
      <c r="W71" s="57" t="s">
        <v>2723</v>
      </c>
      <c r="X71" s="126" t="s">
        <v>2511</v>
      </c>
      <c r="Y71" s="126" t="s">
        <v>2511</v>
      </c>
      <c r="Z71" s="57" t="s">
        <v>2724</v>
      </c>
      <c r="AA71" s="57" t="s">
        <v>2725</v>
      </c>
      <c r="AB71" s="57" t="s">
        <v>2726</v>
      </c>
      <c r="AC71" s="57" t="s">
        <v>2548</v>
      </c>
      <c r="AD71" s="65" t="str">
        <f t="shared" si="12"/>
        <v>SDMMC4</v>
      </c>
      <c r="AE71" s="70"/>
      <c r="AF71" s="67" t="str">
        <f t="shared" si="13"/>
        <v>NORMAL</v>
      </c>
      <c r="AG71" s="67" t="str">
        <f t="shared" si="4"/>
        <v>NORMAL</v>
      </c>
      <c r="AH71" s="67" t="str">
        <f t="shared" si="14"/>
        <v>ENABLE</v>
      </c>
      <c r="AI71" s="71" t="str">
        <f t="shared" si="9"/>
        <v>N/A</v>
      </c>
      <c r="AJ71" s="189" t="b">
        <v>1</v>
      </c>
      <c r="AK71" s="189" t="b">
        <v>1</v>
      </c>
      <c r="AL71" s="189" t="b">
        <v>1</v>
      </c>
      <c r="AM71" s="189" t="b">
        <v>1</v>
      </c>
      <c r="AN71" s="189" t="b">
        <v>1</v>
      </c>
      <c r="AO71" s="189" t="b">
        <v>1</v>
      </c>
      <c r="AP71" s="69" t="str">
        <f t="shared" si="16"/>
        <v>VALID</v>
      </c>
      <c r="AQ71" s="167" t="s">
        <v>34</v>
      </c>
      <c r="AR71" s="194" t="s">
        <v>860</v>
      </c>
      <c r="AS71" s="193"/>
      <c r="AT71" s="72"/>
      <c r="AU71" s="72"/>
      <c r="AV71" s="72"/>
      <c r="AW71" s="72"/>
      <c r="AX71" s="72"/>
      <c r="AY71" s="72"/>
      <c r="AZ71" s="193"/>
      <c r="BA71" s="193"/>
      <c r="BB71" s="8"/>
      <c r="BC71" s="140"/>
      <c r="BD71" s="11" t="s">
        <v>34</v>
      </c>
      <c r="BE71" s="337" t="s">
        <v>83</v>
      </c>
    </row>
    <row r="72" spans="1:57" ht="12.95" hidden="1" customHeight="1">
      <c r="A72" s="248" t="e">
        <v>#N/A</v>
      </c>
      <c r="B72" s="252" t="e">
        <v>#N/A</v>
      </c>
      <c r="C72" s="263" t="s">
        <v>35</v>
      </c>
      <c r="D72" s="239" t="s">
        <v>2729</v>
      </c>
      <c r="E72" s="58"/>
      <c r="F72" s="59" t="s">
        <v>158</v>
      </c>
      <c r="G72" s="191" t="s">
        <v>2511</v>
      </c>
      <c r="H72" s="192" t="s">
        <v>35</v>
      </c>
      <c r="I72" s="61" t="s">
        <v>2511</v>
      </c>
      <c r="J72" s="61" t="s">
        <v>2511</v>
      </c>
      <c r="K72" s="62" t="s">
        <v>2511</v>
      </c>
      <c r="L72" s="60" t="s">
        <v>2511</v>
      </c>
      <c r="M72" s="61" t="s">
        <v>2389</v>
      </c>
      <c r="N72" s="61" t="s">
        <v>2511</v>
      </c>
      <c r="O72" s="61" t="s">
        <v>2511</v>
      </c>
      <c r="P72" s="62" t="s">
        <v>2511</v>
      </c>
      <c r="Q72" s="58" t="s">
        <v>65</v>
      </c>
      <c r="R72" s="58" t="s">
        <v>126</v>
      </c>
      <c r="S72" s="58" t="s">
        <v>112</v>
      </c>
      <c r="T72" s="58" t="s">
        <v>113</v>
      </c>
      <c r="U72" s="63" t="s">
        <v>126</v>
      </c>
      <c r="V72" s="138" t="s">
        <v>2730</v>
      </c>
      <c r="W72" s="57" t="s">
        <v>2723</v>
      </c>
      <c r="X72" s="126" t="s">
        <v>2511</v>
      </c>
      <c r="Y72" s="126" t="s">
        <v>2511</v>
      </c>
      <c r="Z72" s="57" t="s">
        <v>2724</v>
      </c>
      <c r="AA72" s="57" t="s">
        <v>2725</v>
      </c>
      <c r="AB72" s="57" t="s">
        <v>2726</v>
      </c>
      <c r="AC72" s="57" t="s">
        <v>2548</v>
      </c>
      <c r="AD72" s="65" t="str">
        <f t="shared" si="12"/>
        <v>SDMMC4</v>
      </c>
      <c r="AE72" s="70"/>
      <c r="AF72" s="67" t="str">
        <f t="shared" si="13"/>
        <v>PULL_UP</v>
      </c>
      <c r="AG72" s="67" t="str">
        <f t="shared" si="4"/>
        <v>NORMAL</v>
      </c>
      <c r="AH72" s="67" t="str">
        <f t="shared" si="14"/>
        <v>ENABLE</v>
      </c>
      <c r="AI72" s="71" t="str">
        <f t="shared" si="9"/>
        <v>N/A</v>
      </c>
      <c r="AJ72" s="189" t="b">
        <v>1</v>
      </c>
      <c r="AK72" s="189" t="b">
        <v>1</v>
      </c>
      <c r="AL72" s="189" t="b">
        <v>1</v>
      </c>
      <c r="AM72" s="189" t="b">
        <v>1</v>
      </c>
      <c r="AN72" s="189" t="b">
        <v>1</v>
      </c>
      <c r="AO72" s="189" t="b">
        <v>1</v>
      </c>
      <c r="AP72" s="69" t="str">
        <f t="shared" si="16"/>
        <v>VALID</v>
      </c>
      <c r="AQ72" s="167" t="s">
        <v>35</v>
      </c>
      <c r="AR72" s="194" t="s">
        <v>860</v>
      </c>
      <c r="AS72" s="193" t="s">
        <v>873</v>
      </c>
      <c r="AT72" s="72"/>
      <c r="AU72" s="72"/>
      <c r="AV72" s="72"/>
      <c r="AW72" s="72"/>
      <c r="AX72" s="72"/>
      <c r="AY72" s="72"/>
      <c r="AZ72" s="193"/>
      <c r="BA72" s="193"/>
      <c r="BB72" s="8"/>
      <c r="BC72" s="140"/>
      <c r="BD72" s="11" t="s">
        <v>35</v>
      </c>
      <c r="BE72" s="337" t="s">
        <v>83</v>
      </c>
    </row>
    <row r="73" spans="1:57" ht="12.95" hidden="1" customHeight="1">
      <c r="A73" s="248" t="e">
        <v>#N/A</v>
      </c>
      <c r="B73" s="252" t="e">
        <v>#N/A</v>
      </c>
      <c r="C73" s="263" t="s">
        <v>36</v>
      </c>
      <c r="D73" s="239" t="s">
        <v>2731</v>
      </c>
      <c r="E73" s="58"/>
      <c r="F73" s="59" t="s">
        <v>159</v>
      </c>
      <c r="G73" s="191" t="s">
        <v>2511</v>
      </c>
      <c r="H73" s="192" t="s">
        <v>36</v>
      </c>
      <c r="I73" s="61" t="s">
        <v>2511</v>
      </c>
      <c r="J73" s="61" t="s">
        <v>2511</v>
      </c>
      <c r="K73" s="62" t="s">
        <v>2511</v>
      </c>
      <c r="L73" s="60" t="s">
        <v>2511</v>
      </c>
      <c r="M73" s="61" t="s">
        <v>2389</v>
      </c>
      <c r="N73" s="61" t="s">
        <v>2511</v>
      </c>
      <c r="O73" s="61" t="s">
        <v>2511</v>
      </c>
      <c r="P73" s="62" t="s">
        <v>2511</v>
      </c>
      <c r="Q73" s="58" t="s">
        <v>65</v>
      </c>
      <c r="R73" s="58" t="s">
        <v>126</v>
      </c>
      <c r="S73" s="58" t="s">
        <v>112</v>
      </c>
      <c r="T73" s="58" t="s">
        <v>113</v>
      </c>
      <c r="U73" s="63" t="s">
        <v>126</v>
      </c>
      <c r="V73" s="138" t="s">
        <v>2732</v>
      </c>
      <c r="W73" s="57" t="s">
        <v>2723</v>
      </c>
      <c r="X73" s="126" t="s">
        <v>2733</v>
      </c>
      <c r="Y73" s="126" t="s">
        <v>2511</v>
      </c>
      <c r="Z73" s="57" t="s">
        <v>2724</v>
      </c>
      <c r="AA73" s="57" t="s">
        <v>2725</v>
      </c>
      <c r="AB73" s="57" t="s">
        <v>2726</v>
      </c>
      <c r="AC73" s="57" t="s">
        <v>2548</v>
      </c>
      <c r="AD73" s="65" t="str">
        <f t="shared" si="12"/>
        <v>SDMMC4</v>
      </c>
      <c r="AE73" s="70"/>
      <c r="AF73" s="67" t="str">
        <f t="shared" si="13"/>
        <v>PULL_UP</v>
      </c>
      <c r="AG73" s="67" t="str">
        <f t="shared" si="4"/>
        <v>NORMAL</v>
      </c>
      <c r="AH73" s="67" t="str">
        <f t="shared" si="14"/>
        <v>ENABLE</v>
      </c>
      <c r="AI73" s="71" t="str">
        <f t="shared" si="9"/>
        <v>N/A</v>
      </c>
      <c r="AJ73" s="189" t="b">
        <v>1</v>
      </c>
      <c r="AK73" s="189" t="b">
        <v>1</v>
      </c>
      <c r="AL73" s="189" t="b">
        <v>1</v>
      </c>
      <c r="AM73" s="189" t="b">
        <v>1</v>
      </c>
      <c r="AN73" s="189" t="b">
        <v>1</v>
      </c>
      <c r="AO73" s="189" t="b">
        <v>1</v>
      </c>
      <c r="AP73" s="69" t="str">
        <f t="shared" si="16"/>
        <v>VALID</v>
      </c>
      <c r="AQ73" s="177" t="s">
        <v>36</v>
      </c>
      <c r="AR73" s="170" t="s">
        <v>860</v>
      </c>
      <c r="AS73" s="9" t="s">
        <v>873</v>
      </c>
      <c r="AT73" s="193" t="s">
        <v>117</v>
      </c>
      <c r="AU73" s="10"/>
      <c r="AV73" s="10"/>
      <c r="AW73" s="72"/>
      <c r="AX73" s="72"/>
      <c r="AY73" s="72"/>
      <c r="AZ73" s="9"/>
      <c r="BA73" s="9"/>
      <c r="BB73" s="14"/>
      <c r="BC73" s="141"/>
      <c r="BD73" s="12" t="s">
        <v>36</v>
      </c>
      <c r="BE73" s="337" t="s">
        <v>83</v>
      </c>
    </row>
    <row r="74" spans="1:57" ht="12.95" hidden="1" customHeight="1">
      <c r="A74" s="248" t="e">
        <v>#N/A</v>
      </c>
      <c r="B74" s="252" t="e">
        <v>#N/A</v>
      </c>
      <c r="C74" s="263" t="s">
        <v>37</v>
      </c>
      <c r="D74" s="239" t="s">
        <v>2734</v>
      </c>
      <c r="E74" s="58"/>
      <c r="F74" s="59" t="s">
        <v>160</v>
      </c>
      <c r="G74" s="191" t="s">
        <v>2511</v>
      </c>
      <c r="H74" s="192" t="s">
        <v>37</v>
      </c>
      <c r="I74" s="61" t="s">
        <v>2511</v>
      </c>
      <c r="J74" s="61" t="s">
        <v>2511</v>
      </c>
      <c r="K74" s="62" t="s">
        <v>2511</v>
      </c>
      <c r="L74" s="60" t="s">
        <v>2511</v>
      </c>
      <c r="M74" s="61" t="s">
        <v>2389</v>
      </c>
      <c r="N74" s="61" t="s">
        <v>2511</v>
      </c>
      <c r="O74" s="61" t="s">
        <v>2511</v>
      </c>
      <c r="P74" s="62" t="s">
        <v>2511</v>
      </c>
      <c r="Q74" s="58" t="s">
        <v>65</v>
      </c>
      <c r="R74" s="58" t="s">
        <v>126</v>
      </c>
      <c r="S74" s="58" t="s">
        <v>112</v>
      </c>
      <c r="T74" s="58" t="s">
        <v>113</v>
      </c>
      <c r="U74" s="63" t="s">
        <v>126</v>
      </c>
      <c r="V74" s="138" t="s">
        <v>2735</v>
      </c>
      <c r="W74" s="57" t="s">
        <v>2723</v>
      </c>
      <c r="X74" s="126" t="s">
        <v>2511</v>
      </c>
      <c r="Y74" s="126" t="s">
        <v>2511</v>
      </c>
      <c r="Z74" s="57" t="s">
        <v>2724</v>
      </c>
      <c r="AA74" s="57" t="s">
        <v>2725</v>
      </c>
      <c r="AB74" s="57" t="s">
        <v>2726</v>
      </c>
      <c r="AC74" s="57" t="s">
        <v>2548</v>
      </c>
      <c r="AD74" s="65" t="str">
        <f>IF(OR($AQ74="",$AQ74=$F74),$U74,IF($AQ74=$G74,SUBSTITUTE(SUBSTITUTE($AQ74,"GPIO3_","GPIO_"),".0",""),IF($AQ74=$H74,$Q74,IF($AQ74=$I74,$R74,IF($AQ74=$J74,$S74,IF($AQ74=$K74,$T74,"INVALID"))))))</f>
        <v>SDMMC4</v>
      </c>
      <c r="AE74" s="70"/>
      <c r="AF74" s="67" t="str">
        <f t="shared" si="13"/>
        <v>PULL_UP</v>
      </c>
      <c r="AG74" s="67" t="str">
        <f t="shared" si="4"/>
        <v>NORMAL</v>
      </c>
      <c r="AH74" s="67" t="str">
        <f t="shared" si="14"/>
        <v>ENABLE</v>
      </c>
      <c r="AI74" s="71" t="str">
        <f t="shared" si="9"/>
        <v>N/A</v>
      </c>
      <c r="AJ74" s="189" t="b">
        <v>1</v>
      </c>
      <c r="AK74" s="189" t="b">
        <v>1</v>
      </c>
      <c r="AL74" s="189" t="b">
        <v>1</v>
      </c>
      <c r="AM74" s="189" t="b">
        <v>1</v>
      </c>
      <c r="AN74" s="189" t="b">
        <v>1</v>
      </c>
      <c r="AO74" s="189" t="b">
        <v>1</v>
      </c>
      <c r="AP74" s="69" t="str">
        <f t="shared" si="16"/>
        <v>VALID</v>
      </c>
      <c r="AQ74" s="176" t="s">
        <v>37</v>
      </c>
      <c r="AR74" s="194" t="s">
        <v>860</v>
      </c>
      <c r="AS74" s="193" t="s">
        <v>873</v>
      </c>
      <c r="AT74" s="72"/>
      <c r="AU74" s="10"/>
      <c r="AV74" s="10"/>
      <c r="AW74" s="72"/>
      <c r="AX74" s="72"/>
      <c r="AY74" s="72"/>
      <c r="AZ74" s="193"/>
      <c r="BA74" s="193"/>
      <c r="BB74" s="15" t="s">
        <v>114</v>
      </c>
      <c r="BC74" s="142"/>
      <c r="BD74" s="18" t="s">
        <v>37</v>
      </c>
      <c r="BE74" s="337" t="s">
        <v>83</v>
      </c>
    </row>
    <row r="75" spans="1:57" ht="12.95" hidden="1" customHeight="1">
      <c r="A75" s="248" t="e">
        <v>#N/A</v>
      </c>
      <c r="B75" s="252" t="e">
        <v>#N/A</v>
      </c>
      <c r="C75" s="263" t="s">
        <v>38</v>
      </c>
      <c r="D75" s="239" t="s">
        <v>2736</v>
      </c>
      <c r="E75" s="58"/>
      <c r="F75" s="59" t="s">
        <v>161</v>
      </c>
      <c r="G75" s="191" t="s">
        <v>2511</v>
      </c>
      <c r="H75" s="192" t="s">
        <v>38</v>
      </c>
      <c r="I75" s="61" t="s">
        <v>2511</v>
      </c>
      <c r="J75" s="61" t="s">
        <v>2511</v>
      </c>
      <c r="K75" s="62" t="s">
        <v>2511</v>
      </c>
      <c r="L75" s="60" t="s">
        <v>2511</v>
      </c>
      <c r="M75" s="61" t="s">
        <v>2389</v>
      </c>
      <c r="N75" s="61" t="s">
        <v>2511</v>
      </c>
      <c r="O75" s="61" t="s">
        <v>2511</v>
      </c>
      <c r="P75" s="62" t="s">
        <v>2511</v>
      </c>
      <c r="Q75" s="58" t="s">
        <v>65</v>
      </c>
      <c r="R75" s="58" t="s">
        <v>126</v>
      </c>
      <c r="S75" s="58" t="s">
        <v>112</v>
      </c>
      <c r="T75" s="58" t="s">
        <v>113</v>
      </c>
      <c r="U75" s="63" t="s">
        <v>126</v>
      </c>
      <c r="V75" s="138" t="s">
        <v>2737</v>
      </c>
      <c r="W75" s="57" t="s">
        <v>2723</v>
      </c>
      <c r="X75" s="126" t="s">
        <v>2511</v>
      </c>
      <c r="Y75" s="126" t="s">
        <v>2511</v>
      </c>
      <c r="Z75" s="57" t="s">
        <v>2724</v>
      </c>
      <c r="AA75" s="57" t="s">
        <v>2725</v>
      </c>
      <c r="AB75" s="57" t="s">
        <v>2726</v>
      </c>
      <c r="AC75" s="57" t="s">
        <v>2548</v>
      </c>
      <c r="AD75" s="65" t="str">
        <f>IF(OR($AQ75="",$AQ75=$F75),$U75,IF($AQ75=$G75,SUBSTITUTE(SUBSTITUTE($AQ75,"GPIO3_","GPIO_"),".0",""),IF($AQ75=$H75,$Q75,IF($AQ75=$I75,$R75,IF($AQ75=$J75,$S75,IF($AQ75=$K75,$T75,"INVALID"))))))</f>
        <v>SDMMC4</v>
      </c>
      <c r="AE75" s="70"/>
      <c r="AF75" s="67" t="str">
        <f t="shared" si="13"/>
        <v>PULL_UP</v>
      </c>
      <c r="AG75" s="67" t="str">
        <f t="shared" si="4"/>
        <v>NORMAL</v>
      </c>
      <c r="AH75" s="67" t="str">
        <f t="shared" si="14"/>
        <v>ENABLE</v>
      </c>
      <c r="AI75" s="71" t="str">
        <f t="shared" si="9"/>
        <v>N/A</v>
      </c>
      <c r="AJ75" s="189" t="b">
        <v>1</v>
      </c>
      <c r="AK75" s="189" t="b">
        <v>1</v>
      </c>
      <c r="AL75" s="189" t="b">
        <v>1</v>
      </c>
      <c r="AM75" s="189" t="b">
        <v>1</v>
      </c>
      <c r="AN75" s="189" t="b">
        <v>1</v>
      </c>
      <c r="AO75" s="189" t="b">
        <v>1</v>
      </c>
      <c r="AP75" s="69" t="str">
        <f t="shared" si="16"/>
        <v>VALID</v>
      </c>
      <c r="AQ75" s="166" t="s">
        <v>38</v>
      </c>
      <c r="AR75" s="194" t="s">
        <v>860</v>
      </c>
      <c r="AS75" s="193" t="s">
        <v>873</v>
      </c>
      <c r="AT75" s="72"/>
      <c r="AU75" s="10"/>
      <c r="AV75" s="10"/>
      <c r="AW75" s="72"/>
      <c r="AX75" s="72"/>
      <c r="AY75" s="72"/>
      <c r="AZ75" s="193"/>
      <c r="BA75" s="193"/>
      <c r="BB75" s="8"/>
      <c r="BC75" s="140"/>
      <c r="BD75" s="11" t="s">
        <v>38</v>
      </c>
      <c r="BE75" s="337" t="s">
        <v>83</v>
      </c>
    </row>
    <row r="76" spans="1:57" ht="12.95" hidden="1" customHeight="1">
      <c r="A76" s="248" t="e">
        <v>#N/A</v>
      </c>
      <c r="B76" s="252" t="e">
        <v>#N/A</v>
      </c>
      <c r="C76" s="263" t="s">
        <v>39</v>
      </c>
      <c r="D76" s="239" t="s">
        <v>2738</v>
      </c>
      <c r="E76" s="58"/>
      <c r="F76" s="59" t="s">
        <v>162</v>
      </c>
      <c r="G76" s="191" t="s">
        <v>2511</v>
      </c>
      <c r="H76" s="192" t="s">
        <v>39</v>
      </c>
      <c r="I76" s="61" t="s">
        <v>2511</v>
      </c>
      <c r="J76" s="61" t="s">
        <v>2511</v>
      </c>
      <c r="K76" s="62" t="s">
        <v>2511</v>
      </c>
      <c r="L76" s="60" t="s">
        <v>2511</v>
      </c>
      <c r="M76" s="61" t="s">
        <v>2389</v>
      </c>
      <c r="N76" s="61" t="s">
        <v>2511</v>
      </c>
      <c r="O76" s="61" t="s">
        <v>2511</v>
      </c>
      <c r="P76" s="62" t="s">
        <v>2511</v>
      </c>
      <c r="Q76" s="58" t="s">
        <v>65</v>
      </c>
      <c r="R76" s="58" t="s">
        <v>126</v>
      </c>
      <c r="S76" s="58" t="s">
        <v>112</v>
      </c>
      <c r="T76" s="58" t="s">
        <v>113</v>
      </c>
      <c r="U76" s="63" t="s">
        <v>126</v>
      </c>
      <c r="V76" s="205" t="s">
        <v>2739</v>
      </c>
      <c r="W76" s="57" t="s">
        <v>2723</v>
      </c>
      <c r="X76" s="126" t="s">
        <v>2511</v>
      </c>
      <c r="Y76" s="126" t="s">
        <v>2511</v>
      </c>
      <c r="Z76" s="57" t="s">
        <v>2724</v>
      </c>
      <c r="AA76" s="57" t="s">
        <v>2725</v>
      </c>
      <c r="AB76" s="57" t="s">
        <v>2726</v>
      </c>
      <c r="AC76" s="57" t="s">
        <v>2548</v>
      </c>
      <c r="AD76" s="65" t="str">
        <f>IF(OR($AQ76="",$AQ76=$F76),$U76,IF($AQ76=$G76,SUBSTITUTE(SUBSTITUTE($AQ76,"GPIO3_","GPIO_"),".0",""),IF($AQ76=$H76,$Q76,IF($AQ76=$I76,$R76,IF($AQ76=$J76,$S76,IF($AQ76=$K76,$T76,"INVALID"))))))</f>
        <v>SDMMC4</v>
      </c>
      <c r="AE76" s="70"/>
      <c r="AF76" s="67" t="str">
        <f t="shared" si="13"/>
        <v>PULL_UP</v>
      </c>
      <c r="AG76" s="67" t="str">
        <f t="shared" si="4"/>
        <v>NORMAL</v>
      </c>
      <c r="AH76" s="67" t="str">
        <f t="shared" si="14"/>
        <v>ENABLE</v>
      </c>
      <c r="AI76" s="71" t="str">
        <f t="shared" si="9"/>
        <v>N/A</v>
      </c>
      <c r="AJ76" s="189" t="b">
        <v>1</v>
      </c>
      <c r="AK76" s="189" t="b">
        <v>1</v>
      </c>
      <c r="AL76" s="189" t="b">
        <v>1</v>
      </c>
      <c r="AM76" s="189" t="b">
        <v>1</v>
      </c>
      <c r="AN76" s="189" t="b">
        <v>1</v>
      </c>
      <c r="AO76" s="189" t="b">
        <v>1</v>
      </c>
      <c r="AP76" s="69" t="str">
        <f t="shared" si="16"/>
        <v>VALID</v>
      </c>
      <c r="AQ76" s="166" t="s">
        <v>39</v>
      </c>
      <c r="AR76" s="194" t="s">
        <v>860</v>
      </c>
      <c r="AS76" s="193" t="s">
        <v>873</v>
      </c>
      <c r="AT76" s="72"/>
      <c r="AU76" s="72"/>
      <c r="AV76" s="72"/>
      <c r="AW76" s="72"/>
      <c r="AX76" s="72"/>
      <c r="AY76" s="72"/>
      <c r="AZ76" s="193"/>
      <c r="BA76" s="193"/>
      <c r="BB76" s="8"/>
      <c r="BC76" s="140"/>
      <c r="BD76" s="11" t="s">
        <v>39</v>
      </c>
      <c r="BE76" s="337" t="s">
        <v>83</v>
      </c>
    </row>
    <row r="77" spans="1:57" ht="12.95" hidden="1" customHeight="1">
      <c r="A77" s="248" t="e">
        <v>#N/A</v>
      </c>
      <c r="B77" s="252" t="e">
        <v>#N/A</v>
      </c>
      <c r="C77" s="263" t="s">
        <v>40</v>
      </c>
      <c r="D77" s="239" t="s">
        <v>2740</v>
      </c>
      <c r="E77" s="58"/>
      <c r="F77" s="59" t="s">
        <v>163</v>
      </c>
      <c r="G77" s="191" t="s">
        <v>2511</v>
      </c>
      <c r="H77" s="192" t="s">
        <v>40</v>
      </c>
      <c r="I77" s="61" t="s">
        <v>2511</v>
      </c>
      <c r="J77" s="61" t="s">
        <v>2511</v>
      </c>
      <c r="K77" s="62" t="s">
        <v>2511</v>
      </c>
      <c r="L77" s="60" t="s">
        <v>2511</v>
      </c>
      <c r="M77" s="61" t="s">
        <v>2389</v>
      </c>
      <c r="N77" s="61" t="s">
        <v>2511</v>
      </c>
      <c r="O77" s="61" t="s">
        <v>2511</v>
      </c>
      <c r="P77" s="62" t="s">
        <v>2511</v>
      </c>
      <c r="Q77" s="58" t="s">
        <v>65</v>
      </c>
      <c r="R77" s="58" t="s">
        <v>126</v>
      </c>
      <c r="S77" s="58" t="s">
        <v>112</v>
      </c>
      <c r="T77" s="58" t="s">
        <v>113</v>
      </c>
      <c r="U77" s="63" t="s">
        <v>126</v>
      </c>
      <c r="V77" s="137" t="s">
        <v>2741</v>
      </c>
      <c r="W77" s="57" t="s">
        <v>2723</v>
      </c>
      <c r="X77" s="126" t="s">
        <v>2511</v>
      </c>
      <c r="Y77" s="126" t="s">
        <v>2511</v>
      </c>
      <c r="Z77" s="57" t="s">
        <v>2724</v>
      </c>
      <c r="AA77" s="57" t="s">
        <v>2725</v>
      </c>
      <c r="AB77" s="57" t="s">
        <v>2726</v>
      </c>
      <c r="AC77" s="57" t="s">
        <v>2548</v>
      </c>
      <c r="AD77" s="65" t="str">
        <f t="shared" si="12"/>
        <v>SDMMC4</v>
      </c>
      <c r="AE77" s="70"/>
      <c r="AF77" s="67" t="str">
        <f t="shared" si="13"/>
        <v>PULL_UP</v>
      </c>
      <c r="AG77" s="67" t="str">
        <f t="shared" si="4"/>
        <v>NORMAL</v>
      </c>
      <c r="AH77" s="67" t="str">
        <f t="shared" si="14"/>
        <v>ENABLE</v>
      </c>
      <c r="AI77" s="71" t="str">
        <f t="shared" si="9"/>
        <v>N/A</v>
      </c>
      <c r="AJ77" s="189" t="b">
        <v>1</v>
      </c>
      <c r="AK77" s="189" t="b">
        <v>1</v>
      </c>
      <c r="AL77" s="189" t="b">
        <v>1</v>
      </c>
      <c r="AM77" s="189" t="b">
        <v>1</v>
      </c>
      <c r="AN77" s="189" t="b">
        <v>1</v>
      </c>
      <c r="AO77" s="189" t="b">
        <v>1</v>
      </c>
      <c r="AP77" s="69" t="str">
        <f t="shared" si="16"/>
        <v>VALID</v>
      </c>
      <c r="AQ77" s="167" t="s">
        <v>40</v>
      </c>
      <c r="AR77" s="194" t="s">
        <v>860</v>
      </c>
      <c r="AS77" s="193" t="s">
        <v>873</v>
      </c>
      <c r="AT77" s="72"/>
      <c r="AU77" s="72"/>
      <c r="AV77" s="72"/>
      <c r="AW77" s="72"/>
      <c r="AX77" s="72"/>
      <c r="AY77" s="72"/>
      <c r="AZ77" s="193"/>
      <c r="BA77" s="193"/>
      <c r="BB77" s="8"/>
      <c r="BC77" s="140"/>
      <c r="BD77" s="11" t="s">
        <v>40</v>
      </c>
      <c r="BE77" s="337" t="s">
        <v>83</v>
      </c>
    </row>
    <row r="78" spans="1:57" ht="12.95" hidden="1" customHeight="1">
      <c r="A78" s="248" t="e">
        <v>#N/A</v>
      </c>
      <c r="B78" s="252" t="e">
        <v>#N/A</v>
      </c>
      <c r="C78" s="263" t="s">
        <v>41</v>
      </c>
      <c r="D78" s="239" t="s">
        <v>2742</v>
      </c>
      <c r="E78" s="58"/>
      <c r="F78" s="59" t="s">
        <v>164</v>
      </c>
      <c r="G78" s="191" t="s">
        <v>2511</v>
      </c>
      <c r="H78" s="192" t="s">
        <v>41</v>
      </c>
      <c r="I78" s="61" t="s">
        <v>2511</v>
      </c>
      <c r="J78" s="61" t="s">
        <v>2511</v>
      </c>
      <c r="K78" s="62" t="s">
        <v>2511</v>
      </c>
      <c r="L78" s="60" t="s">
        <v>2511</v>
      </c>
      <c r="M78" s="61" t="s">
        <v>2389</v>
      </c>
      <c r="N78" s="61" t="s">
        <v>2511</v>
      </c>
      <c r="O78" s="61" t="s">
        <v>2511</v>
      </c>
      <c r="P78" s="62" t="s">
        <v>2511</v>
      </c>
      <c r="Q78" s="58" t="s">
        <v>65</v>
      </c>
      <c r="R78" s="58" t="s">
        <v>126</v>
      </c>
      <c r="S78" s="58" t="s">
        <v>112</v>
      </c>
      <c r="T78" s="58" t="s">
        <v>113</v>
      </c>
      <c r="U78" s="63" t="s">
        <v>126</v>
      </c>
      <c r="V78" s="138" t="s">
        <v>2743</v>
      </c>
      <c r="W78" s="57" t="s">
        <v>2723</v>
      </c>
      <c r="X78" s="126" t="s">
        <v>2511</v>
      </c>
      <c r="Y78" s="126" t="s">
        <v>2511</v>
      </c>
      <c r="Z78" s="57" t="s">
        <v>2724</v>
      </c>
      <c r="AA78" s="57" t="s">
        <v>2725</v>
      </c>
      <c r="AB78" s="57" t="s">
        <v>2726</v>
      </c>
      <c r="AC78" s="57" t="s">
        <v>2548</v>
      </c>
      <c r="AD78" s="65" t="str">
        <f t="shared" si="12"/>
        <v>SDMMC4</v>
      </c>
      <c r="AE78" s="70"/>
      <c r="AF78" s="67" t="str">
        <f t="shared" si="13"/>
        <v>PULL_UP</v>
      </c>
      <c r="AG78" s="67" t="str">
        <f t="shared" si="4"/>
        <v>NORMAL</v>
      </c>
      <c r="AH78" s="67" t="str">
        <f t="shared" si="14"/>
        <v>ENABLE</v>
      </c>
      <c r="AI78" s="71" t="str">
        <f t="shared" si="9"/>
        <v>N/A</v>
      </c>
      <c r="AJ78" s="189" t="b">
        <v>1</v>
      </c>
      <c r="AK78" s="189" t="b">
        <v>1</v>
      </c>
      <c r="AL78" s="189" t="b">
        <v>1</v>
      </c>
      <c r="AM78" s="189" t="b">
        <v>1</v>
      </c>
      <c r="AN78" s="189" t="b">
        <v>1</v>
      </c>
      <c r="AO78" s="189" t="b">
        <v>1</v>
      </c>
      <c r="AP78" s="69" t="str">
        <f t="shared" si="16"/>
        <v>VALID</v>
      </c>
      <c r="AQ78" s="167" t="s">
        <v>41</v>
      </c>
      <c r="AR78" s="194" t="s">
        <v>860</v>
      </c>
      <c r="AS78" s="193" t="s">
        <v>873</v>
      </c>
      <c r="AT78" s="72"/>
      <c r="AU78" s="72"/>
      <c r="AV78" s="72"/>
      <c r="AW78" s="72"/>
      <c r="AX78" s="72"/>
      <c r="AY78" s="72"/>
      <c r="AZ78" s="193"/>
      <c r="BA78" s="193"/>
      <c r="BB78" s="8"/>
      <c r="BC78" s="140"/>
      <c r="BD78" s="11" t="s">
        <v>41</v>
      </c>
      <c r="BE78" s="337" t="s">
        <v>83</v>
      </c>
    </row>
    <row r="79" spans="1:57" ht="12.95" hidden="1" customHeight="1">
      <c r="A79" s="248" t="e">
        <v>#N/A</v>
      </c>
      <c r="B79" s="252" t="e">
        <v>#N/A</v>
      </c>
      <c r="C79" s="263" t="s">
        <v>42</v>
      </c>
      <c r="D79" s="239" t="s">
        <v>2744</v>
      </c>
      <c r="E79" s="58"/>
      <c r="F79" s="59" t="s">
        <v>165</v>
      </c>
      <c r="G79" s="191" t="s">
        <v>2511</v>
      </c>
      <c r="H79" s="192" t="s">
        <v>42</v>
      </c>
      <c r="I79" s="61" t="s">
        <v>2511</v>
      </c>
      <c r="J79" s="61" t="s">
        <v>2511</v>
      </c>
      <c r="K79" s="62" t="s">
        <v>2511</v>
      </c>
      <c r="L79" s="60" t="s">
        <v>2511</v>
      </c>
      <c r="M79" s="61" t="s">
        <v>2389</v>
      </c>
      <c r="N79" s="61" t="s">
        <v>2511</v>
      </c>
      <c r="O79" s="61" t="s">
        <v>2511</v>
      </c>
      <c r="P79" s="62" t="s">
        <v>2511</v>
      </c>
      <c r="Q79" s="58" t="s">
        <v>65</v>
      </c>
      <c r="R79" s="58" t="s">
        <v>126</v>
      </c>
      <c r="S79" s="58" t="s">
        <v>112</v>
      </c>
      <c r="T79" s="58" t="s">
        <v>113</v>
      </c>
      <c r="U79" s="63" t="s">
        <v>126</v>
      </c>
      <c r="V79" s="138" t="s">
        <v>2745</v>
      </c>
      <c r="W79" s="57" t="s">
        <v>2723</v>
      </c>
      <c r="X79" s="126" t="s">
        <v>2511</v>
      </c>
      <c r="Y79" s="126" t="s">
        <v>2511</v>
      </c>
      <c r="Z79" s="57" t="s">
        <v>2724</v>
      </c>
      <c r="AA79" s="57" t="s">
        <v>2725</v>
      </c>
      <c r="AB79" s="57" t="s">
        <v>2726</v>
      </c>
      <c r="AC79" s="57" t="s">
        <v>2548</v>
      </c>
      <c r="AD79" s="65" t="str">
        <f t="shared" si="12"/>
        <v>SDMMC4</v>
      </c>
      <c r="AE79" s="70"/>
      <c r="AF79" s="67" t="str">
        <f t="shared" si="13"/>
        <v>PULL_UP</v>
      </c>
      <c r="AG79" s="67" t="str">
        <f t="shared" si="4"/>
        <v>NORMAL</v>
      </c>
      <c r="AH79" s="67" t="str">
        <f t="shared" si="14"/>
        <v>ENABLE</v>
      </c>
      <c r="AI79" s="71" t="str">
        <f t="shared" si="9"/>
        <v>N/A</v>
      </c>
      <c r="AJ79" s="189" t="b">
        <v>1</v>
      </c>
      <c r="AK79" s="189" t="b">
        <v>1</v>
      </c>
      <c r="AL79" s="189" t="b">
        <v>1</v>
      </c>
      <c r="AM79" s="189" t="b">
        <v>1</v>
      </c>
      <c r="AN79" s="189" t="b">
        <v>1</v>
      </c>
      <c r="AO79" s="189" t="b">
        <v>1</v>
      </c>
      <c r="AP79" s="69" t="str">
        <f t="shared" si="16"/>
        <v>VALID</v>
      </c>
      <c r="AQ79" s="167" t="s">
        <v>42</v>
      </c>
      <c r="AR79" s="194" t="s">
        <v>860</v>
      </c>
      <c r="AS79" s="193" t="s">
        <v>873</v>
      </c>
      <c r="AT79" s="72"/>
      <c r="AU79" s="72"/>
      <c r="AV79" s="72"/>
      <c r="AW79" s="72"/>
      <c r="AX79" s="72"/>
      <c r="AY79" s="72"/>
      <c r="AZ79" s="193"/>
      <c r="BA79" s="193"/>
      <c r="BB79" s="8"/>
      <c r="BC79" s="140"/>
      <c r="BD79" s="11" t="s">
        <v>42</v>
      </c>
      <c r="BE79" s="337" t="s">
        <v>83</v>
      </c>
    </row>
    <row r="80" spans="1:57" ht="12.95" hidden="1" customHeight="1">
      <c r="A80" s="248" t="e">
        <v>#N/A</v>
      </c>
      <c r="B80" s="252" t="e">
        <v>#N/A</v>
      </c>
      <c r="C80" s="263" t="s">
        <v>275</v>
      </c>
      <c r="D80" s="239" t="s">
        <v>2746</v>
      </c>
      <c r="E80" s="58"/>
      <c r="F80" s="59" t="s">
        <v>488</v>
      </c>
      <c r="G80" s="191" t="s">
        <v>2511</v>
      </c>
      <c r="H80" s="192" t="s">
        <v>275</v>
      </c>
      <c r="I80" s="61" t="s">
        <v>2511</v>
      </c>
      <c r="J80" s="61" t="s">
        <v>2511</v>
      </c>
      <c r="K80" s="62" t="s">
        <v>2511</v>
      </c>
      <c r="L80" s="60" t="s">
        <v>2511</v>
      </c>
      <c r="M80" s="61" t="s">
        <v>2389</v>
      </c>
      <c r="N80" s="61" t="s">
        <v>2511</v>
      </c>
      <c r="O80" s="61" t="s">
        <v>2511</v>
      </c>
      <c r="P80" s="62" t="s">
        <v>2511</v>
      </c>
      <c r="Q80" s="58" t="s">
        <v>65</v>
      </c>
      <c r="R80" s="58" t="s">
        <v>126</v>
      </c>
      <c r="S80" s="58" t="s">
        <v>112</v>
      </c>
      <c r="T80" s="58" t="s">
        <v>113</v>
      </c>
      <c r="U80" s="63" t="s">
        <v>126</v>
      </c>
      <c r="V80" s="138" t="s">
        <v>2747</v>
      </c>
      <c r="W80" s="57" t="s">
        <v>2723</v>
      </c>
      <c r="X80" s="126" t="s">
        <v>2511</v>
      </c>
      <c r="Y80" s="126" t="s">
        <v>2511</v>
      </c>
      <c r="Z80" s="57" t="s">
        <v>2724</v>
      </c>
      <c r="AA80" s="57" t="s">
        <v>2725</v>
      </c>
      <c r="AB80" s="57" t="s">
        <v>2726</v>
      </c>
      <c r="AC80" s="57" t="s">
        <v>2516</v>
      </c>
      <c r="AD80" s="65" t="str">
        <f t="shared" si="12"/>
        <v>SDMMC4</v>
      </c>
      <c r="AE80" s="70"/>
      <c r="AF80" s="67" t="str">
        <f t="shared" si="13"/>
        <v>NORMAL</v>
      </c>
      <c r="AG80" s="67" t="str">
        <f t="shared" si="4"/>
        <v>TRISTATE</v>
      </c>
      <c r="AH80" s="67" t="str">
        <f t="shared" si="14"/>
        <v>ENABLE</v>
      </c>
      <c r="AI80" s="71" t="str">
        <f t="shared" si="9"/>
        <v>N/A</v>
      </c>
      <c r="AJ80" s="189" t="b">
        <v>1</v>
      </c>
      <c r="AK80" s="189" t="b">
        <v>1</v>
      </c>
      <c r="AL80" s="189" t="b">
        <v>1</v>
      </c>
      <c r="AM80" s="189" t="b">
        <v>1</v>
      </c>
      <c r="AN80" s="189" t="b">
        <v>1</v>
      </c>
      <c r="AO80" s="189" t="b">
        <v>1</v>
      </c>
      <c r="AP80" s="69" t="str">
        <f t="shared" si="16"/>
        <v>VALID</v>
      </c>
      <c r="AQ80" s="177" t="s">
        <v>275</v>
      </c>
      <c r="AR80" s="170" t="s">
        <v>900</v>
      </c>
      <c r="AS80" s="9" t="s">
        <v>895</v>
      </c>
      <c r="AT80" s="10"/>
      <c r="AU80" s="10"/>
      <c r="AV80" s="10"/>
      <c r="AW80" s="72"/>
      <c r="AX80" s="72"/>
      <c r="AY80" s="72"/>
      <c r="AZ80" s="9"/>
      <c r="BA80" s="9"/>
      <c r="BB80" s="14"/>
      <c r="BC80" s="141"/>
      <c r="BD80" s="12" t="s">
        <v>275</v>
      </c>
      <c r="BE80" s="337" t="s">
        <v>83</v>
      </c>
    </row>
    <row r="81" spans="1:57" s="56" customFormat="1" ht="18" customHeight="1">
      <c r="A81" s="348"/>
      <c r="B81" s="349"/>
      <c r="C81" s="264" t="s">
        <v>721</v>
      </c>
      <c r="D81" s="264"/>
      <c r="E81" s="51"/>
      <c r="F81" s="51"/>
      <c r="G81" s="52"/>
      <c r="H81" s="52"/>
      <c r="I81" s="52"/>
      <c r="J81" s="52"/>
      <c r="K81" s="52"/>
      <c r="L81" s="51"/>
      <c r="M81" s="51"/>
      <c r="N81" s="51"/>
      <c r="O81" s="51"/>
      <c r="P81" s="51"/>
      <c r="Q81" s="51"/>
      <c r="R81" s="51"/>
      <c r="S81" s="51"/>
      <c r="T81" s="51"/>
      <c r="U81" s="51"/>
      <c r="V81" s="51"/>
      <c r="W81" s="51"/>
      <c r="X81" s="125"/>
      <c r="Y81" s="125"/>
      <c r="Z81" s="53"/>
      <c r="AA81" s="53"/>
      <c r="AB81" s="53"/>
      <c r="AC81" s="53"/>
      <c r="AD81" s="53"/>
      <c r="AE81" s="53"/>
      <c r="AF81" s="53"/>
      <c r="AG81" s="53"/>
      <c r="AH81" s="53"/>
      <c r="AI81" s="53"/>
      <c r="AJ81" s="53"/>
      <c r="AK81" s="53"/>
      <c r="AL81" s="53"/>
      <c r="AM81" s="53"/>
      <c r="AN81" s="53"/>
      <c r="AO81" s="53"/>
      <c r="AP81" s="53"/>
      <c r="AQ81" s="54"/>
      <c r="AR81" s="54"/>
      <c r="AS81" s="55"/>
      <c r="AT81" s="55"/>
      <c r="AU81" s="55"/>
      <c r="AV81" s="55"/>
      <c r="AW81" s="55"/>
      <c r="AX81" s="55"/>
      <c r="AY81" s="55"/>
      <c r="AZ81" s="55"/>
      <c r="BA81" s="55"/>
      <c r="BB81" s="55"/>
      <c r="BC81" s="175" t="s">
        <v>59</v>
      </c>
      <c r="BD81" s="185"/>
      <c r="BE81" s="187" t="s">
        <v>721</v>
      </c>
    </row>
    <row r="82" spans="1:57" ht="12.95" customHeight="1">
      <c r="A82" s="247" t="s">
        <v>5494</v>
      </c>
      <c r="B82" s="251">
        <v>214</v>
      </c>
      <c r="C82" s="239" t="s">
        <v>986</v>
      </c>
      <c r="D82" s="239" t="s">
        <v>2748</v>
      </c>
      <c r="E82" s="58"/>
      <c r="F82" s="59" t="s">
        <v>1769</v>
      </c>
      <c r="G82" s="191" t="s">
        <v>2158</v>
      </c>
      <c r="H82" s="192" t="s">
        <v>2511</v>
      </c>
      <c r="I82" s="61" t="s">
        <v>2511</v>
      </c>
      <c r="J82" s="61" t="s">
        <v>2511</v>
      </c>
      <c r="K82" s="62" t="s">
        <v>2511</v>
      </c>
      <c r="L82" s="60" t="s">
        <v>2389</v>
      </c>
      <c r="M82" s="61" t="s">
        <v>2511</v>
      </c>
      <c r="N82" s="61" t="s">
        <v>2511</v>
      </c>
      <c r="O82" s="61" t="s">
        <v>2511</v>
      </c>
      <c r="P82" s="62" t="s">
        <v>2511</v>
      </c>
      <c r="Q82" s="218" t="s">
        <v>552</v>
      </c>
      <c r="R82" s="218" t="s">
        <v>126</v>
      </c>
      <c r="S82" s="218" t="s">
        <v>112</v>
      </c>
      <c r="T82" s="218" t="s">
        <v>113</v>
      </c>
      <c r="U82" s="218" t="s">
        <v>552</v>
      </c>
      <c r="V82" s="137" t="s">
        <v>2749</v>
      </c>
      <c r="W82" s="57" t="s">
        <v>2750</v>
      </c>
      <c r="X82" s="126" t="s">
        <v>2751</v>
      </c>
      <c r="Y82" s="219" t="s">
        <v>2752</v>
      </c>
      <c r="Z82" s="57" t="s">
        <v>2514</v>
      </c>
      <c r="AA82" s="57" t="s">
        <v>2753</v>
      </c>
      <c r="AB82" s="57" t="s">
        <v>2393</v>
      </c>
      <c r="AC82" s="57" t="s">
        <v>2548</v>
      </c>
      <c r="AD82" s="65" t="str">
        <f t="shared" ref="AD82:AD102" si="17">IF(OR($AQ82="",$AQ82=$F82),$U82,IF($AQ82=$G82,SUBSTITUTE(SUBSTITUTE($AQ82,"GPIO3_","GPIO_"),".0",""),IF($AQ82=$H82,$Q82,IF($AQ82=$I82,$R82,IF($AQ82=$J82,$S82,IF($AQ82=$K82,$T82,"INVALID"))))))</f>
        <v>GPIO_PG0</v>
      </c>
      <c r="AE82" s="70"/>
      <c r="AF82" s="67" t="str">
        <f t="shared" ref="AF82:AF102" si="18">IF(AND(OR($AS82="Int PU",$AS82="Int PD"),OR(AND($AZ82&lt;&gt;"",$AZ82&lt;&gt;"0"),AND($BA82&lt;&gt;"",$BA82&lt;&gt;"0"))),"INVALID",IF(OR($AQ82=$F82,$AS82="Int PD"),"PULL_DOWN",IF(OR($AS82="Int PU",AND($AE82="YES",OR($AZ82="",$AZ82="0"),OR($BA82="",$BA82="0"),OR($AR82="Input",$AR82="Bidirectional"))),"PULL_UP","NORMAL")))</f>
        <v>PULL_UP</v>
      </c>
      <c r="AG82" s="67" t="str">
        <f t="shared" si="4"/>
        <v>TRISTATE</v>
      </c>
      <c r="AH82" s="67" t="str">
        <f t="shared" ref="AH82:AH102" si="19">IF(OR($AQ82=$F82,$AR82="Output"),"DISABLE","ENABLE")</f>
        <v>ENABLE</v>
      </c>
      <c r="AI82" s="71" t="str">
        <f t="shared" si="9"/>
        <v/>
      </c>
      <c r="AJ82" s="189" t="b">
        <v>1</v>
      </c>
      <c r="AK82" s="189" t="b">
        <v>1</v>
      </c>
      <c r="AL82" s="189" t="b">
        <v>1</v>
      </c>
      <c r="AM82" s="189" t="b">
        <v>1</v>
      </c>
      <c r="AN82" s="189" t="b">
        <v>1</v>
      </c>
      <c r="AO82" s="189" t="b">
        <v>1</v>
      </c>
      <c r="AP82" s="69" t="str">
        <f t="shared" si="16"/>
        <v>VALID</v>
      </c>
      <c r="AQ82" s="177" t="s">
        <v>2158</v>
      </c>
      <c r="AR82" s="194" t="s">
        <v>862</v>
      </c>
      <c r="AS82" s="193" t="s">
        <v>873</v>
      </c>
      <c r="AT82" s="193" t="s">
        <v>117</v>
      </c>
      <c r="AU82" s="72"/>
      <c r="AV82" s="72"/>
      <c r="AW82" s="72"/>
      <c r="AX82" s="193" t="s">
        <v>136</v>
      </c>
      <c r="AY82" s="72"/>
      <c r="AZ82" s="193"/>
      <c r="BA82" s="193"/>
      <c r="BB82" s="8"/>
      <c r="BC82" s="140"/>
      <c r="BD82" s="11" t="s">
        <v>2233</v>
      </c>
      <c r="BE82" s="311" t="s">
        <v>5536</v>
      </c>
    </row>
    <row r="83" spans="1:57" ht="12.95" hidden="1" customHeight="1">
      <c r="A83" s="248" t="e">
        <v>#N/A</v>
      </c>
      <c r="B83" s="252" t="e">
        <v>#N/A</v>
      </c>
      <c r="C83" s="263" t="s">
        <v>987</v>
      </c>
      <c r="D83" s="239" t="s">
        <v>2754</v>
      </c>
      <c r="E83" s="58"/>
      <c r="F83" s="59" t="s">
        <v>1770</v>
      </c>
      <c r="G83" s="191" t="s">
        <v>2159</v>
      </c>
      <c r="H83" s="192" t="s">
        <v>2511</v>
      </c>
      <c r="I83" s="61" t="s">
        <v>2511</v>
      </c>
      <c r="J83" s="61" t="s">
        <v>2511</v>
      </c>
      <c r="K83" s="62" t="s">
        <v>2511</v>
      </c>
      <c r="L83" s="60" t="s">
        <v>2389</v>
      </c>
      <c r="M83" s="61" t="s">
        <v>2511</v>
      </c>
      <c r="N83" s="61" t="s">
        <v>2511</v>
      </c>
      <c r="O83" s="61" t="s">
        <v>2511</v>
      </c>
      <c r="P83" s="62" t="s">
        <v>2511</v>
      </c>
      <c r="Q83" s="218" t="s">
        <v>552</v>
      </c>
      <c r="R83" s="218" t="s">
        <v>126</v>
      </c>
      <c r="S83" s="218" t="s">
        <v>112</v>
      </c>
      <c r="T83" s="218" t="s">
        <v>113</v>
      </c>
      <c r="U83" s="218" t="s">
        <v>552</v>
      </c>
      <c r="V83" s="138" t="s">
        <v>2755</v>
      </c>
      <c r="W83" s="57" t="s">
        <v>2750</v>
      </c>
      <c r="X83" s="126" t="s">
        <v>2756</v>
      </c>
      <c r="Y83" s="219" t="s">
        <v>2757</v>
      </c>
      <c r="Z83" s="57" t="s">
        <v>2514</v>
      </c>
      <c r="AA83" s="57" t="s">
        <v>2753</v>
      </c>
      <c r="AB83" s="57" t="s">
        <v>2393</v>
      </c>
      <c r="AC83" s="57" t="s">
        <v>2548</v>
      </c>
      <c r="AD83" s="65" t="str">
        <f t="shared" si="17"/>
        <v>RSVD0</v>
      </c>
      <c r="AE83" s="70"/>
      <c r="AF83" s="67" t="str">
        <f t="shared" si="18"/>
        <v>PULL_DOWN</v>
      </c>
      <c r="AG83" s="67" t="str">
        <f t="shared" si="4"/>
        <v>TRISTATE</v>
      </c>
      <c r="AH83" s="67" t="str">
        <f t="shared" si="19"/>
        <v>DISABLE</v>
      </c>
      <c r="AI83" s="71" t="str">
        <f t="shared" si="9"/>
        <v>N/A</v>
      </c>
      <c r="AJ83" s="189" t="b">
        <v>1</v>
      </c>
      <c r="AK83" s="189" t="b">
        <v>1</v>
      </c>
      <c r="AL83" s="189" t="b">
        <v>1</v>
      </c>
      <c r="AM83" s="189" t="b">
        <v>1</v>
      </c>
      <c r="AN83" s="189" t="b">
        <v>1</v>
      </c>
      <c r="AO83" s="189" t="b">
        <v>1</v>
      </c>
      <c r="AP83" s="69" t="str">
        <f t="shared" si="16"/>
        <v>VALID</v>
      </c>
      <c r="AQ83" s="176" t="s">
        <v>1770</v>
      </c>
      <c r="AR83" s="194" t="s">
        <v>79</v>
      </c>
      <c r="AS83" s="193"/>
      <c r="AT83" s="193" t="s">
        <v>117</v>
      </c>
      <c r="AU83" s="72"/>
      <c r="AV83" s="72"/>
      <c r="AW83" s="72"/>
      <c r="AX83" s="193" t="s">
        <v>136</v>
      </c>
      <c r="AY83" s="72"/>
      <c r="AZ83" s="193"/>
      <c r="BA83" s="193"/>
      <c r="BB83" s="8"/>
      <c r="BC83" s="140"/>
      <c r="BD83" s="147" t="s">
        <v>83</v>
      </c>
      <c r="BE83" s="147" t="s">
        <v>83</v>
      </c>
    </row>
    <row r="84" spans="1:57" ht="12.95" hidden="1" customHeight="1">
      <c r="A84" s="248" t="e">
        <v>#N/A</v>
      </c>
      <c r="B84" s="252" t="e">
        <v>#N/A</v>
      </c>
      <c r="C84" s="263" t="s">
        <v>988</v>
      </c>
      <c r="D84" s="239" t="s">
        <v>2758</v>
      </c>
      <c r="E84" s="58"/>
      <c r="F84" s="59" t="s">
        <v>1771</v>
      </c>
      <c r="G84" s="191" t="s">
        <v>2160</v>
      </c>
      <c r="H84" s="192" t="s">
        <v>2511</v>
      </c>
      <c r="I84" s="61" t="s">
        <v>2511</v>
      </c>
      <c r="J84" s="61" t="s">
        <v>2511</v>
      </c>
      <c r="K84" s="62" t="s">
        <v>2511</v>
      </c>
      <c r="L84" s="60" t="s">
        <v>2389</v>
      </c>
      <c r="M84" s="61" t="s">
        <v>2511</v>
      </c>
      <c r="N84" s="61" t="s">
        <v>2511</v>
      </c>
      <c r="O84" s="61" t="s">
        <v>2511</v>
      </c>
      <c r="P84" s="62" t="s">
        <v>2511</v>
      </c>
      <c r="Q84" s="218" t="s">
        <v>552</v>
      </c>
      <c r="R84" s="218" t="s">
        <v>126</v>
      </c>
      <c r="S84" s="218" t="s">
        <v>112</v>
      </c>
      <c r="T84" s="218" t="s">
        <v>113</v>
      </c>
      <c r="U84" s="218" t="s">
        <v>552</v>
      </c>
      <c r="V84" s="138" t="s">
        <v>2759</v>
      </c>
      <c r="W84" s="57" t="s">
        <v>2750</v>
      </c>
      <c r="X84" s="126" t="s">
        <v>2760</v>
      </c>
      <c r="Y84" s="219" t="s">
        <v>2511</v>
      </c>
      <c r="Z84" s="57" t="s">
        <v>2514</v>
      </c>
      <c r="AA84" s="57" t="s">
        <v>2753</v>
      </c>
      <c r="AB84" s="57" t="s">
        <v>2393</v>
      </c>
      <c r="AC84" s="57" t="s">
        <v>2516</v>
      </c>
      <c r="AD84" s="65" t="str">
        <f t="shared" si="17"/>
        <v>GPIO_PG2</v>
      </c>
      <c r="AE84" s="70"/>
      <c r="AF84" s="67" t="str">
        <f t="shared" si="18"/>
        <v>NORMAL</v>
      </c>
      <c r="AG84" s="67" t="str">
        <f t="shared" ref="AG84:AG110" si="20">IF($AR84="Input", "TRISTATE", IF($AS84="Z","TRISTATE",IF($AQ84=$F84,"TRISTATE","NORMAL")))</f>
        <v>NORMAL</v>
      </c>
      <c r="AH84" s="67" t="str">
        <f t="shared" si="19"/>
        <v>DISABLE</v>
      </c>
      <c r="AI84" s="71" t="str">
        <f t="shared" si="9"/>
        <v>0</v>
      </c>
      <c r="AJ84" s="189" t="b">
        <v>1</v>
      </c>
      <c r="AK84" s="189" t="b">
        <v>1</v>
      </c>
      <c r="AL84" s="189" t="b">
        <v>1</v>
      </c>
      <c r="AM84" s="189" t="b">
        <v>1</v>
      </c>
      <c r="AN84" s="189" t="b">
        <v>1</v>
      </c>
      <c r="AO84" s="189" t="b">
        <v>1</v>
      </c>
      <c r="AP84" s="69" t="str">
        <f t="shared" si="16"/>
        <v>VALID</v>
      </c>
      <c r="AQ84" s="166" t="s">
        <v>2160</v>
      </c>
      <c r="AR84" s="194" t="s">
        <v>861</v>
      </c>
      <c r="AS84" s="193" t="s">
        <v>874</v>
      </c>
      <c r="AT84" s="193" t="s">
        <v>117</v>
      </c>
      <c r="AU84" s="72"/>
      <c r="AV84" s="72"/>
      <c r="AW84" s="72"/>
      <c r="AX84" s="193" t="s">
        <v>136</v>
      </c>
      <c r="AY84" s="72"/>
      <c r="AZ84" s="193"/>
      <c r="BA84" s="193"/>
      <c r="BB84" s="8"/>
      <c r="BC84" s="140"/>
      <c r="BD84" s="11" t="s">
        <v>2476</v>
      </c>
      <c r="BE84" s="311" t="s">
        <v>5535</v>
      </c>
    </row>
    <row r="85" spans="1:57" ht="12.95" hidden="1" customHeight="1">
      <c r="A85" s="248" t="e">
        <v>#N/A</v>
      </c>
      <c r="B85" s="252" t="e">
        <v>#N/A</v>
      </c>
      <c r="C85" s="263" t="s">
        <v>989</v>
      </c>
      <c r="D85" s="239" t="s">
        <v>2763</v>
      </c>
      <c r="E85" s="58"/>
      <c r="F85" s="59" t="s">
        <v>1772</v>
      </c>
      <c r="G85" s="191" t="s">
        <v>2161</v>
      </c>
      <c r="H85" s="192" t="s">
        <v>2511</v>
      </c>
      <c r="I85" s="61" t="s">
        <v>2511</v>
      </c>
      <c r="J85" s="61" t="s">
        <v>2511</v>
      </c>
      <c r="K85" s="62" t="s">
        <v>2511</v>
      </c>
      <c r="L85" s="60" t="s">
        <v>2389</v>
      </c>
      <c r="M85" s="61" t="s">
        <v>2511</v>
      </c>
      <c r="N85" s="61" t="s">
        <v>2511</v>
      </c>
      <c r="O85" s="61" t="s">
        <v>2511</v>
      </c>
      <c r="P85" s="62" t="s">
        <v>2511</v>
      </c>
      <c r="Q85" s="218" t="s">
        <v>552</v>
      </c>
      <c r="R85" s="218" t="s">
        <v>126</v>
      </c>
      <c r="S85" s="218" t="s">
        <v>112</v>
      </c>
      <c r="T85" s="218" t="s">
        <v>113</v>
      </c>
      <c r="U85" s="218" t="s">
        <v>552</v>
      </c>
      <c r="V85" s="138" t="s">
        <v>2764</v>
      </c>
      <c r="W85" s="57" t="s">
        <v>2750</v>
      </c>
      <c r="X85" s="126" t="s">
        <v>2765</v>
      </c>
      <c r="Y85" s="219" t="s">
        <v>2766</v>
      </c>
      <c r="Z85" s="57" t="s">
        <v>2514</v>
      </c>
      <c r="AA85" s="57" t="s">
        <v>2753</v>
      </c>
      <c r="AB85" s="57" t="s">
        <v>2393</v>
      </c>
      <c r="AC85" s="57" t="s">
        <v>2548</v>
      </c>
      <c r="AD85" s="65" t="str">
        <f t="shared" si="17"/>
        <v>RSVD0</v>
      </c>
      <c r="AE85" s="70"/>
      <c r="AF85" s="67" t="str">
        <f t="shared" si="18"/>
        <v>PULL_DOWN</v>
      </c>
      <c r="AG85" s="67" t="str">
        <f t="shared" si="20"/>
        <v>TRISTATE</v>
      </c>
      <c r="AH85" s="67" t="str">
        <f t="shared" si="19"/>
        <v>DISABLE</v>
      </c>
      <c r="AI85" s="71" t="str">
        <f t="shared" si="9"/>
        <v>N/A</v>
      </c>
      <c r="AJ85" s="189" t="b">
        <v>1</v>
      </c>
      <c r="AK85" s="189" t="b">
        <v>1</v>
      </c>
      <c r="AL85" s="189" t="b">
        <v>1</v>
      </c>
      <c r="AM85" s="189" t="b">
        <v>1</v>
      </c>
      <c r="AN85" s="189" t="b">
        <v>1</v>
      </c>
      <c r="AO85" s="189" t="b">
        <v>1</v>
      </c>
      <c r="AP85" s="69" t="str">
        <f t="shared" si="16"/>
        <v>VALID</v>
      </c>
      <c r="AQ85" s="166" t="s">
        <v>1772</v>
      </c>
      <c r="AR85" s="194" t="s">
        <v>79</v>
      </c>
      <c r="AS85" s="193"/>
      <c r="AT85" s="193" t="s">
        <v>117</v>
      </c>
      <c r="AU85" s="72"/>
      <c r="AV85" s="72"/>
      <c r="AW85" s="72"/>
      <c r="AX85" s="193" t="s">
        <v>136</v>
      </c>
      <c r="AY85" s="72"/>
      <c r="AZ85" s="193"/>
      <c r="BA85" s="193"/>
      <c r="BB85" s="8"/>
      <c r="BC85" s="140"/>
      <c r="BD85" s="147" t="s">
        <v>83</v>
      </c>
      <c r="BE85" s="147" t="s">
        <v>83</v>
      </c>
    </row>
    <row r="86" spans="1:57" ht="12.95" hidden="1" customHeight="1">
      <c r="A86" s="248" t="e">
        <v>#N/A</v>
      </c>
      <c r="B86" s="252" t="e">
        <v>#N/A</v>
      </c>
      <c r="C86" s="263" t="s">
        <v>990</v>
      </c>
      <c r="D86" s="239" t="s">
        <v>2768</v>
      </c>
      <c r="E86" s="58"/>
      <c r="F86" s="59" t="s">
        <v>1773</v>
      </c>
      <c r="G86" s="191" t="s">
        <v>2162</v>
      </c>
      <c r="H86" s="192" t="s">
        <v>2511</v>
      </c>
      <c r="I86" s="61"/>
      <c r="J86" s="61" t="s">
        <v>2511</v>
      </c>
      <c r="K86" s="62" t="s">
        <v>2511</v>
      </c>
      <c r="L86" s="60" t="s">
        <v>2389</v>
      </c>
      <c r="M86" s="61" t="s">
        <v>2511</v>
      </c>
      <c r="N86" s="61" t="s">
        <v>2388</v>
      </c>
      <c r="O86" s="61" t="s">
        <v>2511</v>
      </c>
      <c r="P86" s="62" t="s">
        <v>2511</v>
      </c>
      <c r="Q86" s="218" t="s">
        <v>552</v>
      </c>
      <c r="R86" s="218" t="s">
        <v>548</v>
      </c>
      <c r="S86" s="218" t="s">
        <v>112</v>
      </c>
      <c r="T86" s="218" t="s">
        <v>113</v>
      </c>
      <c r="U86" s="218" t="s">
        <v>552</v>
      </c>
      <c r="V86" s="138" t="s">
        <v>2769</v>
      </c>
      <c r="W86" s="57" t="s">
        <v>2750</v>
      </c>
      <c r="X86" s="126" t="s">
        <v>2770</v>
      </c>
      <c r="Y86" s="219" t="s">
        <v>2511</v>
      </c>
      <c r="Z86" s="57" t="s">
        <v>2514</v>
      </c>
      <c r="AA86" s="57" t="s">
        <v>2753</v>
      </c>
      <c r="AB86" s="57" t="s">
        <v>2393</v>
      </c>
      <c r="AC86" s="57" t="s">
        <v>2516</v>
      </c>
      <c r="AD86" s="65" t="str">
        <f t="shared" si="17"/>
        <v>GPIO_PG4</v>
      </c>
      <c r="AE86" s="70"/>
      <c r="AF86" s="67" t="str">
        <f t="shared" si="18"/>
        <v>NORMAL</v>
      </c>
      <c r="AG86" s="67" t="str">
        <f t="shared" si="20"/>
        <v>TRISTATE</v>
      </c>
      <c r="AH86" s="67" t="str">
        <f t="shared" si="19"/>
        <v>ENABLE</v>
      </c>
      <c r="AI86" s="71" t="str">
        <f t="shared" si="9"/>
        <v/>
      </c>
      <c r="AJ86" s="189" t="b">
        <v>1</v>
      </c>
      <c r="AK86" s="189" t="b">
        <v>1</v>
      </c>
      <c r="AL86" s="189" t="b">
        <v>1</v>
      </c>
      <c r="AM86" s="189" t="b">
        <v>1</v>
      </c>
      <c r="AN86" s="189" t="b">
        <v>1</v>
      </c>
      <c r="AO86" s="189" t="b">
        <v>1</v>
      </c>
      <c r="AP86" s="69" t="str">
        <f t="shared" si="16"/>
        <v>VALID</v>
      </c>
      <c r="AQ86" s="166" t="s">
        <v>2162</v>
      </c>
      <c r="AR86" s="194" t="s">
        <v>862</v>
      </c>
      <c r="AS86" s="193"/>
      <c r="AT86" s="193" t="s">
        <v>117</v>
      </c>
      <c r="AU86" s="72"/>
      <c r="AV86" s="72"/>
      <c r="AW86" s="72"/>
      <c r="AX86" s="193" t="s">
        <v>136</v>
      </c>
      <c r="AY86" s="72"/>
      <c r="AZ86" s="193" t="s">
        <v>2461</v>
      </c>
      <c r="BA86" s="193"/>
      <c r="BB86" s="8"/>
      <c r="BC86" s="140"/>
      <c r="BD86" s="11" t="s">
        <v>5561</v>
      </c>
      <c r="BE86" s="311" t="s">
        <v>5537</v>
      </c>
    </row>
    <row r="87" spans="1:57" ht="12.95" hidden="1" customHeight="1">
      <c r="A87" s="248" t="e">
        <v>#N/A</v>
      </c>
      <c r="B87" s="252" t="e">
        <v>#N/A</v>
      </c>
      <c r="C87" s="263" t="s">
        <v>991</v>
      </c>
      <c r="D87" s="239" t="s">
        <v>2771</v>
      </c>
      <c r="E87" s="58"/>
      <c r="F87" s="59" t="s">
        <v>1774</v>
      </c>
      <c r="G87" s="191" t="s">
        <v>2163</v>
      </c>
      <c r="H87" s="192" t="s">
        <v>2511</v>
      </c>
      <c r="I87" s="61" t="s">
        <v>2511</v>
      </c>
      <c r="J87" s="61" t="s">
        <v>2511</v>
      </c>
      <c r="K87" s="62" t="s">
        <v>2511</v>
      </c>
      <c r="L87" s="60" t="s">
        <v>2389</v>
      </c>
      <c r="M87" s="61" t="s">
        <v>2511</v>
      </c>
      <c r="N87" s="61" t="s">
        <v>2511</v>
      </c>
      <c r="O87" s="61" t="s">
        <v>2511</v>
      </c>
      <c r="P87" s="62" t="s">
        <v>2511</v>
      </c>
      <c r="Q87" s="218" t="s">
        <v>552</v>
      </c>
      <c r="R87" s="218" t="s">
        <v>126</v>
      </c>
      <c r="S87" s="218" t="s">
        <v>112</v>
      </c>
      <c r="T87" s="218" t="s">
        <v>113</v>
      </c>
      <c r="U87" s="218" t="s">
        <v>552</v>
      </c>
      <c r="V87" s="205" t="s">
        <v>2772</v>
      </c>
      <c r="W87" s="57" t="s">
        <v>2750</v>
      </c>
      <c r="X87" s="126" t="s">
        <v>2511</v>
      </c>
      <c r="Y87" s="219" t="s">
        <v>2511</v>
      </c>
      <c r="Z87" s="57" t="s">
        <v>2514</v>
      </c>
      <c r="AA87" s="57" t="s">
        <v>2515</v>
      </c>
      <c r="AB87" s="57" t="s">
        <v>2393</v>
      </c>
      <c r="AC87" s="57" t="s">
        <v>2516</v>
      </c>
      <c r="AD87" s="65" t="str">
        <f t="shared" si="17"/>
        <v>RSVD0</v>
      </c>
      <c r="AE87" s="70"/>
      <c r="AF87" s="67" t="str">
        <f t="shared" si="18"/>
        <v>PULL_DOWN</v>
      </c>
      <c r="AG87" s="67" t="str">
        <f t="shared" si="20"/>
        <v>TRISTATE</v>
      </c>
      <c r="AH87" s="67" t="str">
        <f t="shared" si="19"/>
        <v>DISABLE</v>
      </c>
      <c r="AI87" s="71" t="str">
        <f t="shared" si="9"/>
        <v>N/A</v>
      </c>
      <c r="AJ87" s="189" t="b">
        <v>1</v>
      </c>
      <c r="AK87" s="189" t="b">
        <v>1</v>
      </c>
      <c r="AL87" s="189" t="b">
        <v>1</v>
      </c>
      <c r="AM87" s="189" t="b">
        <v>1</v>
      </c>
      <c r="AN87" s="189" t="b">
        <v>1</v>
      </c>
      <c r="AO87" s="189" t="b">
        <v>1</v>
      </c>
      <c r="AP87" s="69" t="str">
        <f t="shared" si="16"/>
        <v>VALID</v>
      </c>
      <c r="AQ87" s="166" t="s">
        <v>1774</v>
      </c>
      <c r="AR87" s="194" t="s">
        <v>79</v>
      </c>
      <c r="AS87" s="193"/>
      <c r="AT87" s="72"/>
      <c r="AU87" s="72"/>
      <c r="AV87" s="72"/>
      <c r="AW87" s="72"/>
      <c r="AX87" s="193" t="s">
        <v>136</v>
      </c>
      <c r="AY87" s="72"/>
      <c r="AZ87" s="193"/>
      <c r="BA87" s="193"/>
      <c r="BB87" s="8"/>
      <c r="BC87" s="140"/>
      <c r="BD87" s="147" t="s">
        <v>83</v>
      </c>
      <c r="BE87" s="147" t="s">
        <v>83</v>
      </c>
    </row>
    <row r="88" spans="1:57" ht="12.95" hidden="1" customHeight="1">
      <c r="A88" s="248" t="e">
        <v>#N/A</v>
      </c>
      <c r="B88" s="252" t="e">
        <v>#N/A</v>
      </c>
      <c r="C88" s="263" t="s">
        <v>992</v>
      </c>
      <c r="D88" s="239" t="s">
        <v>2773</v>
      </c>
      <c r="E88" s="58"/>
      <c r="F88" s="59" t="s">
        <v>1775</v>
      </c>
      <c r="G88" s="191" t="s">
        <v>2774</v>
      </c>
      <c r="H88" s="192" t="s">
        <v>742</v>
      </c>
      <c r="I88" s="61" t="s">
        <v>2511</v>
      </c>
      <c r="J88" s="61" t="s">
        <v>2511</v>
      </c>
      <c r="K88" s="62" t="s">
        <v>2511</v>
      </c>
      <c r="L88" s="60" t="s">
        <v>2389</v>
      </c>
      <c r="M88" s="61" t="s">
        <v>2388</v>
      </c>
      <c r="N88" s="61" t="s">
        <v>2511</v>
      </c>
      <c r="O88" s="61" t="s">
        <v>2511</v>
      </c>
      <c r="P88" s="62" t="s">
        <v>2511</v>
      </c>
      <c r="Q88" s="218" t="s">
        <v>2425</v>
      </c>
      <c r="R88" s="218" t="s">
        <v>126</v>
      </c>
      <c r="S88" s="218" t="s">
        <v>112</v>
      </c>
      <c r="T88" s="218" t="s">
        <v>113</v>
      </c>
      <c r="U88" s="218" t="s">
        <v>126</v>
      </c>
      <c r="V88" s="137" t="s">
        <v>2775</v>
      </c>
      <c r="W88" s="57" t="s">
        <v>2750</v>
      </c>
      <c r="X88" s="126" t="s">
        <v>2511</v>
      </c>
      <c r="Y88" s="219" t="s">
        <v>2511</v>
      </c>
      <c r="Z88" s="57" t="s">
        <v>2514</v>
      </c>
      <c r="AA88" s="57" t="s">
        <v>2515</v>
      </c>
      <c r="AB88" s="57" t="s">
        <v>2393</v>
      </c>
      <c r="AC88" s="57" t="s">
        <v>2631</v>
      </c>
      <c r="AD88" s="65" t="str">
        <f t="shared" si="17"/>
        <v>GP</v>
      </c>
      <c r="AE88" s="70"/>
      <c r="AF88" s="67" t="str">
        <f t="shared" si="18"/>
        <v>NORMAL</v>
      </c>
      <c r="AG88" s="67" t="str">
        <f t="shared" si="20"/>
        <v>TRISTATE</v>
      </c>
      <c r="AH88" s="67" t="str">
        <f t="shared" si="19"/>
        <v>DISABLE</v>
      </c>
      <c r="AI88" s="71" t="str">
        <f t="shared" si="9"/>
        <v>N/A</v>
      </c>
      <c r="AJ88" s="189" t="b">
        <v>1</v>
      </c>
      <c r="AK88" s="189" t="b">
        <v>1</v>
      </c>
      <c r="AL88" s="189" t="b">
        <v>1</v>
      </c>
      <c r="AM88" s="189" t="b">
        <v>1</v>
      </c>
      <c r="AN88" s="189" t="b">
        <v>1</v>
      </c>
      <c r="AO88" s="189" t="b">
        <v>1</v>
      </c>
      <c r="AP88" s="69" t="str">
        <f t="shared" si="16"/>
        <v>VALID</v>
      </c>
      <c r="AQ88" s="177" t="s">
        <v>742</v>
      </c>
      <c r="AR88" s="194" t="s">
        <v>861</v>
      </c>
      <c r="AS88" s="193" t="s">
        <v>895</v>
      </c>
      <c r="AT88" s="72"/>
      <c r="AU88" s="72"/>
      <c r="AV88" s="72"/>
      <c r="AW88" s="72"/>
      <c r="AX88" s="193" t="s">
        <v>136</v>
      </c>
      <c r="AY88" s="72"/>
      <c r="AZ88" s="193"/>
      <c r="BA88" s="193"/>
      <c r="BB88" s="8"/>
      <c r="BC88" s="140"/>
      <c r="BD88" s="11" t="s">
        <v>5562</v>
      </c>
      <c r="BE88" s="312" t="s">
        <v>5538</v>
      </c>
    </row>
    <row r="89" spans="1:57" ht="12.95" hidden="1" customHeight="1">
      <c r="A89" s="248" t="e">
        <v>#N/A</v>
      </c>
      <c r="B89" s="252" t="e">
        <v>#N/A</v>
      </c>
      <c r="C89" s="263" t="s">
        <v>993</v>
      </c>
      <c r="D89" s="239" t="s">
        <v>2777</v>
      </c>
      <c r="E89" s="58"/>
      <c r="F89" s="59" t="s">
        <v>1776</v>
      </c>
      <c r="G89" s="191" t="s">
        <v>2392</v>
      </c>
      <c r="H89" s="192" t="s">
        <v>2511</v>
      </c>
      <c r="I89" s="61" t="s">
        <v>957</v>
      </c>
      <c r="J89" s="61" t="s">
        <v>2511</v>
      </c>
      <c r="K89" s="62" t="s">
        <v>2511</v>
      </c>
      <c r="L89" s="60" t="s">
        <v>2389</v>
      </c>
      <c r="M89" s="61" t="s">
        <v>2511</v>
      </c>
      <c r="N89" s="61" t="s">
        <v>2523</v>
      </c>
      <c r="O89" s="61" t="s">
        <v>2511</v>
      </c>
      <c r="P89" s="62" t="s">
        <v>2511</v>
      </c>
      <c r="Q89" s="218" t="s">
        <v>552</v>
      </c>
      <c r="R89" s="218" t="s">
        <v>67</v>
      </c>
      <c r="S89" s="218" t="s">
        <v>112</v>
      </c>
      <c r="T89" s="218" t="s">
        <v>113</v>
      </c>
      <c r="U89" s="218" t="s">
        <v>552</v>
      </c>
      <c r="V89" s="138" t="s">
        <v>2778</v>
      </c>
      <c r="W89" s="57" t="s">
        <v>2750</v>
      </c>
      <c r="X89" s="126" t="s">
        <v>2779</v>
      </c>
      <c r="Y89" s="219" t="s">
        <v>2511</v>
      </c>
      <c r="Z89" s="57" t="s">
        <v>2514</v>
      </c>
      <c r="AA89" s="57" t="s">
        <v>2753</v>
      </c>
      <c r="AB89" s="57" t="s">
        <v>2393</v>
      </c>
      <c r="AC89" s="57" t="s">
        <v>2516</v>
      </c>
      <c r="AD89" s="65" t="str">
        <f t="shared" si="17"/>
        <v>GPIO_PG7</v>
      </c>
      <c r="AE89" s="70"/>
      <c r="AF89" s="67" t="str">
        <f t="shared" si="18"/>
        <v>PULL_UP</v>
      </c>
      <c r="AG89" s="67" t="str">
        <f t="shared" si="20"/>
        <v>TRISTATE</v>
      </c>
      <c r="AH89" s="67" t="str">
        <f t="shared" si="19"/>
        <v>ENABLE</v>
      </c>
      <c r="AI89" s="71" t="str">
        <f t="shared" si="9"/>
        <v/>
      </c>
      <c r="AJ89" s="189" t="b">
        <v>1</v>
      </c>
      <c r="AK89" s="189" t="b">
        <v>1</v>
      </c>
      <c r="AL89" s="189" t="b">
        <v>1</v>
      </c>
      <c r="AM89" s="189" t="b">
        <v>1</v>
      </c>
      <c r="AN89" s="189" t="b">
        <v>1</v>
      </c>
      <c r="AO89" s="189" t="b">
        <v>1</v>
      </c>
      <c r="AP89" s="69" t="str">
        <f t="shared" si="16"/>
        <v>VALID</v>
      </c>
      <c r="AQ89" s="176" t="s">
        <v>2392</v>
      </c>
      <c r="AR89" s="194" t="s">
        <v>862</v>
      </c>
      <c r="AS89" s="193" t="s">
        <v>873</v>
      </c>
      <c r="AT89" s="193" t="s">
        <v>863</v>
      </c>
      <c r="AU89" s="72"/>
      <c r="AV89" s="72"/>
      <c r="AW89" s="72"/>
      <c r="AX89" s="193" t="s">
        <v>136</v>
      </c>
      <c r="AY89" s="72"/>
      <c r="AZ89" s="193"/>
      <c r="BA89" s="193"/>
      <c r="BB89" s="8"/>
      <c r="BC89" s="140"/>
      <c r="BD89" s="11" t="s">
        <v>5563</v>
      </c>
      <c r="BE89" s="312" t="s">
        <v>5539</v>
      </c>
    </row>
    <row r="90" spans="1:57" ht="12.95" hidden="1" customHeight="1">
      <c r="A90" s="248" t="e">
        <v>#N/A</v>
      </c>
      <c r="B90" s="252" t="e">
        <v>#N/A</v>
      </c>
      <c r="C90" s="263" t="s">
        <v>994</v>
      </c>
      <c r="D90" s="239" t="s">
        <v>2781</v>
      </c>
      <c r="E90" s="58"/>
      <c r="F90" s="59" t="s">
        <v>1777</v>
      </c>
      <c r="G90" s="191" t="s">
        <v>2497</v>
      </c>
      <c r="H90" s="192" t="s">
        <v>2511</v>
      </c>
      <c r="I90" s="61" t="s">
        <v>2164</v>
      </c>
      <c r="J90" s="61" t="s">
        <v>2511</v>
      </c>
      <c r="K90" s="62" t="s">
        <v>2511</v>
      </c>
      <c r="L90" s="60" t="s">
        <v>2389</v>
      </c>
      <c r="M90" s="61" t="s">
        <v>2511</v>
      </c>
      <c r="N90" s="61" t="s">
        <v>2388</v>
      </c>
      <c r="O90" s="61" t="s">
        <v>2511</v>
      </c>
      <c r="P90" s="62" t="s">
        <v>2511</v>
      </c>
      <c r="Q90" s="218" t="s">
        <v>552</v>
      </c>
      <c r="R90" s="218" t="s">
        <v>2425</v>
      </c>
      <c r="S90" s="218" t="s">
        <v>112</v>
      </c>
      <c r="T90" s="218" t="s">
        <v>113</v>
      </c>
      <c r="U90" s="218" t="s">
        <v>552</v>
      </c>
      <c r="V90" s="138" t="s">
        <v>2782</v>
      </c>
      <c r="W90" s="57" t="s">
        <v>2750</v>
      </c>
      <c r="X90" s="126" t="s">
        <v>2511</v>
      </c>
      <c r="Y90" s="219" t="s">
        <v>2511</v>
      </c>
      <c r="Z90" s="57" t="s">
        <v>2514</v>
      </c>
      <c r="AA90" s="57" t="s">
        <v>2515</v>
      </c>
      <c r="AB90" s="57" t="s">
        <v>2393</v>
      </c>
      <c r="AC90" s="57" t="s">
        <v>2631</v>
      </c>
      <c r="AD90" s="65" t="str">
        <f t="shared" si="17"/>
        <v>RSVD0</v>
      </c>
      <c r="AE90" s="70"/>
      <c r="AF90" s="67" t="str">
        <f t="shared" si="18"/>
        <v>PULL_DOWN</v>
      </c>
      <c r="AG90" s="67" t="str">
        <f t="shared" si="20"/>
        <v>TRISTATE</v>
      </c>
      <c r="AH90" s="67" t="str">
        <f t="shared" si="19"/>
        <v>DISABLE</v>
      </c>
      <c r="AI90" s="71" t="str">
        <f t="shared" si="9"/>
        <v>N/A</v>
      </c>
      <c r="AJ90" s="189" t="b">
        <v>1</v>
      </c>
      <c r="AK90" s="189" t="b">
        <v>1</v>
      </c>
      <c r="AL90" s="189" t="b">
        <v>1</v>
      </c>
      <c r="AM90" s="189" t="b">
        <v>1</v>
      </c>
      <c r="AN90" s="189" t="b">
        <v>1</v>
      </c>
      <c r="AO90" s="189" t="b">
        <v>1</v>
      </c>
      <c r="AP90" s="69" t="str">
        <f t="shared" si="16"/>
        <v>VALID</v>
      </c>
      <c r="AQ90" s="166" t="s">
        <v>1777</v>
      </c>
      <c r="AR90" s="194" t="s">
        <v>79</v>
      </c>
      <c r="AS90" s="193"/>
      <c r="AT90" s="72"/>
      <c r="AU90" s="72"/>
      <c r="AV90" s="72"/>
      <c r="AW90" s="72"/>
      <c r="AX90" s="193" t="s">
        <v>136</v>
      </c>
      <c r="AY90" s="72"/>
      <c r="AZ90" s="193"/>
      <c r="BA90" s="193"/>
      <c r="BB90" s="8"/>
      <c r="BC90" s="140"/>
      <c r="BD90" s="147" t="s">
        <v>83</v>
      </c>
      <c r="BE90" s="147" t="s">
        <v>83</v>
      </c>
    </row>
    <row r="91" spans="1:57" ht="12.95" customHeight="1">
      <c r="A91" s="250" t="s">
        <v>2558</v>
      </c>
      <c r="B91" s="253">
        <v>230</v>
      </c>
      <c r="C91" s="285" t="s">
        <v>995</v>
      </c>
      <c r="D91" s="239" t="s">
        <v>2783</v>
      </c>
      <c r="E91" s="58"/>
      <c r="F91" s="59" t="s">
        <v>1778</v>
      </c>
      <c r="G91" s="191" t="s">
        <v>2784</v>
      </c>
      <c r="H91" s="192" t="s">
        <v>2511</v>
      </c>
      <c r="I91" s="61" t="s">
        <v>741</v>
      </c>
      <c r="J91" s="61" t="s">
        <v>2511</v>
      </c>
      <c r="K91" s="62" t="s">
        <v>2511</v>
      </c>
      <c r="L91" s="60" t="s">
        <v>2389</v>
      </c>
      <c r="M91" s="61" t="s">
        <v>2511</v>
      </c>
      <c r="N91" s="61" t="s">
        <v>2388</v>
      </c>
      <c r="O91" s="61" t="s">
        <v>2511</v>
      </c>
      <c r="P91" s="62" t="s">
        <v>2511</v>
      </c>
      <c r="Q91" s="218" t="s">
        <v>552</v>
      </c>
      <c r="R91" s="218" t="s">
        <v>2425</v>
      </c>
      <c r="S91" s="218" t="s">
        <v>112</v>
      </c>
      <c r="T91" s="218" t="s">
        <v>113</v>
      </c>
      <c r="U91" s="218" t="s">
        <v>552</v>
      </c>
      <c r="V91" s="138" t="s">
        <v>2785</v>
      </c>
      <c r="W91" s="57" t="s">
        <v>2750</v>
      </c>
      <c r="X91" s="126" t="s">
        <v>2786</v>
      </c>
      <c r="Y91" s="219" t="s">
        <v>2511</v>
      </c>
      <c r="Z91" s="57" t="s">
        <v>2514</v>
      </c>
      <c r="AA91" s="57" t="s">
        <v>2753</v>
      </c>
      <c r="AB91" s="57" t="s">
        <v>2393</v>
      </c>
      <c r="AC91" s="57" t="s">
        <v>2631</v>
      </c>
      <c r="AD91" s="65" t="str">
        <f t="shared" si="17"/>
        <v>GP</v>
      </c>
      <c r="AE91" s="70"/>
      <c r="AF91" s="67" t="str">
        <f t="shared" si="18"/>
        <v>NORMAL</v>
      </c>
      <c r="AG91" s="67" t="str">
        <f t="shared" si="20"/>
        <v>NORMAL</v>
      </c>
      <c r="AH91" s="67" t="str">
        <f t="shared" si="19"/>
        <v>DISABLE</v>
      </c>
      <c r="AI91" s="71" t="str">
        <f t="shared" si="9"/>
        <v>N/A</v>
      </c>
      <c r="AJ91" s="189" t="b">
        <v>1</v>
      </c>
      <c r="AK91" s="189" t="b">
        <v>1</v>
      </c>
      <c r="AL91" s="189" t="b">
        <v>1</v>
      </c>
      <c r="AM91" s="189" t="b">
        <v>1</v>
      </c>
      <c r="AN91" s="189" t="b">
        <v>1</v>
      </c>
      <c r="AO91" s="189" t="b">
        <v>1</v>
      </c>
      <c r="AP91" s="69" t="str">
        <f t="shared" si="16"/>
        <v>VALID</v>
      </c>
      <c r="AQ91" s="166" t="s">
        <v>741</v>
      </c>
      <c r="AR91" s="194" t="s">
        <v>861</v>
      </c>
      <c r="AS91" s="193"/>
      <c r="AT91" s="193" t="s">
        <v>117</v>
      </c>
      <c r="AU91" s="72"/>
      <c r="AV91" s="72"/>
      <c r="AW91" s="72"/>
      <c r="AX91" s="193" t="s">
        <v>136</v>
      </c>
      <c r="AY91" s="72"/>
      <c r="AZ91" s="193"/>
      <c r="BA91" s="193"/>
      <c r="BB91" s="8"/>
      <c r="BC91" s="140"/>
      <c r="BD91" s="11" t="s">
        <v>5564</v>
      </c>
      <c r="BE91" s="312" t="s">
        <v>5540</v>
      </c>
    </row>
    <row r="92" spans="1:57" ht="12.95" hidden="1" customHeight="1">
      <c r="A92" s="248" t="e">
        <v>#N/A</v>
      </c>
      <c r="B92" s="252" t="e">
        <v>#N/A</v>
      </c>
      <c r="C92" s="263" t="s">
        <v>996</v>
      </c>
      <c r="D92" s="239" t="s">
        <v>2787</v>
      </c>
      <c r="E92" s="58"/>
      <c r="F92" s="59" t="s">
        <v>1779</v>
      </c>
      <c r="G92" s="191" t="s">
        <v>2165</v>
      </c>
      <c r="H92" s="192" t="s">
        <v>2511</v>
      </c>
      <c r="I92" s="61" t="s">
        <v>2511</v>
      </c>
      <c r="J92" s="61" t="s">
        <v>2511</v>
      </c>
      <c r="K92" s="62" t="s">
        <v>2511</v>
      </c>
      <c r="L92" s="60" t="s">
        <v>2389</v>
      </c>
      <c r="M92" s="61" t="s">
        <v>2511</v>
      </c>
      <c r="N92" s="61" t="s">
        <v>2511</v>
      </c>
      <c r="O92" s="61" t="s">
        <v>2511</v>
      </c>
      <c r="P92" s="62" t="s">
        <v>2511</v>
      </c>
      <c r="Q92" s="218" t="s">
        <v>552</v>
      </c>
      <c r="R92" s="218" t="s">
        <v>126</v>
      </c>
      <c r="S92" s="218" t="s">
        <v>112</v>
      </c>
      <c r="T92" s="218" t="s">
        <v>113</v>
      </c>
      <c r="U92" s="218" t="s">
        <v>552</v>
      </c>
      <c r="V92" s="137" t="s">
        <v>2788</v>
      </c>
      <c r="W92" s="57" t="s">
        <v>2750</v>
      </c>
      <c r="X92" s="126" t="s">
        <v>2511</v>
      </c>
      <c r="Y92" s="219" t="s">
        <v>2511</v>
      </c>
      <c r="Z92" s="57" t="s">
        <v>2514</v>
      </c>
      <c r="AA92" s="57" t="s">
        <v>2753</v>
      </c>
      <c r="AB92" s="57" t="s">
        <v>2393</v>
      </c>
      <c r="AC92" s="57" t="s">
        <v>2516</v>
      </c>
      <c r="AD92" s="65" t="str">
        <f t="shared" si="17"/>
        <v>RSVD0</v>
      </c>
      <c r="AE92" s="70"/>
      <c r="AF92" s="67" t="str">
        <f t="shared" si="18"/>
        <v>PULL_DOWN</v>
      </c>
      <c r="AG92" s="67" t="str">
        <f t="shared" si="20"/>
        <v>TRISTATE</v>
      </c>
      <c r="AH92" s="67" t="str">
        <f t="shared" si="19"/>
        <v>DISABLE</v>
      </c>
      <c r="AI92" s="71" t="str">
        <f t="shared" si="9"/>
        <v>N/A</v>
      </c>
      <c r="AJ92" s="189" t="b">
        <v>1</v>
      </c>
      <c r="AK92" s="189" t="b">
        <v>1</v>
      </c>
      <c r="AL92" s="189" t="b">
        <v>1</v>
      </c>
      <c r="AM92" s="189" t="b">
        <v>1</v>
      </c>
      <c r="AN92" s="189" t="b">
        <v>1</v>
      </c>
      <c r="AO92" s="189" t="b">
        <v>1</v>
      </c>
      <c r="AP92" s="69" t="str">
        <f t="shared" si="16"/>
        <v>VALID</v>
      </c>
      <c r="AQ92" s="177" t="s">
        <v>1779</v>
      </c>
      <c r="AR92" s="194" t="s">
        <v>79</v>
      </c>
      <c r="AS92" s="193"/>
      <c r="AT92" s="72"/>
      <c r="AU92" s="72"/>
      <c r="AV92" s="72"/>
      <c r="AW92" s="72"/>
      <c r="AX92" s="193" t="s">
        <v>136</v>
      </c>
      <c r="AY92" s="72"/>
      <c r="AZ92" s="193"/>
      <c r="BA92" s="193"/>
      <c r="BB92" s="8"/>
      <c r="BC92" s="140"/>
      <c r="BD92" s="147" t="s">
        <v>83</v>
      </c>
      <c r="BE92" s="147" t="s">
        <v>83</v>
      </c>
    </row>
    <row r="93" spans="1:57" ht="12.95" hidden="1" customHeight="1">
      <c r="A93" s="248" t="e">
        <v>#N/A</v>
      </c>
      <c r="B93" s="252" t="e">
        <v>#N/A</v>
      </c>
      <c r="C93" s="263" t="s">
        <v>276</v>
      </c>
      <c r="D93" s="239" t="s">
        <v>2789</v>
      </c>
      <c r="E93" s="58"/>
      <c r="F93" s="59" t="s">
        <v>505</v>
      </c>
      <c r="G93" s="191" t="s">
        <v>2239</v>
      </c>
      <c r="H93" s="192"/>
      <c r="I93" s="61" t="s">
        <v>2511</v>
      </c>
      <c r="J93" s="61" t="s">
        <v>2511</v>
      </c>
      <c r="K93" s="62" t="s">
        <v>2511</v>
      </c>
      <c r="L93" s="60" t="s">
        <v>2389</v>
      </c>
      <c r="M93" s="61" t="s">
        <v>2388</v>
      </c>
      <c r="N93" s="61" t="s">
        <v>2511</v>
      </c>
      <c r="O93" s="61" t="s">
        <v>2511</v>
      </c>
      <c r="P93" s="62" t="s">
        <v>2511</v>
      </c>
      <c r="Q93" s="218" t="s">
        <v>130</v>
      </c>
      <c r="R93" s="218" t="s">
        <v>126</v>
      </c>
      <c r="S93" s="218" t="s">
        <v>112</v>
      </c>
      <c r="T93" s="218" t="s">
        <v>113</v>
      </c>
      <c r="U93" s="218" t="s">
        <v>126</v>
      </c>
      <c r="V93" s="138" t="s">
        <v>2790</v>
      </c>
      <c r="W93" s="57" t="s">
        <v>2750</v>
      </c>
      <c r="X93" s="126" t="s">
        <v>2511</v>
      </c>
      <c r="Y93" s="219" t="s">
        <v>2791</v>
      </c>
      <c r="Z93" s="57" t="s">
        <v>2514</v>
      </c>
      <c r="AA93" s="57" t="s">
        <v>2515</v>
      </c>
      <c r="AB93" s="57" t="s">
        <v>2393</v>
      </c>
      <c r="AC93" s="57" t="s">
        <v>2516</v>
      </c>
      <c r="AD93" s="65" t="str">
        <f t="shared" si="17"/>
        <v>GPIO_PH3</v>
      </c>
      <c r="AE93" s="70"/>
      <c r="AF93" s="67" t="str">
        <f t="shared" si="18"/>
        <v>NORMAL</v>
      </c>
      <c r="AG93" s="67" t="str">
        <f t="shared" si="20"/>
        <v>TRISTATE</v>
      </c>
      <c r="AH93" s="67" t="str">
        <f t="shared" si="19"/>
        <v>ENABLE</v>
      </c>
      <c r="AI93" s="71" t="str">
        <f t="shared" si="9"/>
        <v/>
      </c>
      <c r="AJ93" s="189" t="b">
        <v>1</v>
      </c>
      <c r="AK93" s="189" t="b">
        <v>1</v>
      </c>
      <c r="AL93" s="189" t="b">
        <v>1</v>
      </c>
      <c r="AM93" s="189" t="b">
        <v>1</v>
      </c>
      <c r="AN93" s="189" t="b">
        <v>1</v>
      </c>
      <c r="AO93" s="189" t="b">
        <v>1</v>
      </c>
      <c r="AP93" s="69" t="str">
        <f t="shared" si="16"/>
        <v>VALID</v>
      </c>
      <c r="AQ93" s="176" t="s">
        <v>2239</v>
      </c>
      <c r="AR93" s="194" t="s">
        <v>862</v>
      </c>
      <c r="AS93" s="193"/>
      <c r="AT93" s="72"/>
      <c r="AU93" s="72"/>
      <c r="AV93" s="72"/>
      <c r="AW93" s="72"/>
      <c r="AX93" s="193" t="s">
        <v>136</v>
      </c>
      <c r="AY93" s="72"/>
      <c r="AZ93" s="193"/>
      <c r="BA93" s="193"/>
      <c r="BB93" s="8"/>
      <c r="BC93" s="140"/>
      <c r="BD93" s="11" t="s">
        <v>5565</v>
      </c>
      <c r="BE93" s="311" t="s">
        <v>5541</v>
      </c>
    </row>
    <row r="94" spans="1:57" ht="12.95" hidden="1" customHeight="1">
      <c r="A94" s="282"/>
      <c r="B94" s="283"/>
      <c r="C94" s="284" t="s">
        <v>277</v>
      </c>
      <c r="D94" s="239" t="s">
        <v>2793</v>
      </c>
      <c r="E94" s="58"/>
      <c r="F94" s="59" t="s">
        <v>506</v>
      </c>
      <c r="G94" s="191"/>
      <c r="H94" s="192"/>
      <c r="I94" s="61" t="s">
        <v>2511</v>
      </c>
      <c r="J94" s="61" t="s">
        <v>2511</v>
      </c>
      <c r="K94" s="62" t="s">
        <v>2511</v>
      </c>
      <c r="L94" s="60" t="s">
        <v>2389</v>
      </c>
      <c r="M94" s="61" t="s">
        <v>2523</v>
      </c>
      <c r="N94" s="61" t="s">
        <v>2511</v>
      </c>
      <c r="O94" s="61" t="s">
        <v>2511</v>
      </c>
      <c r="P94" s="62" t="s">
        <v>2511</v>
      </c>
      <c r="Q94" s="218" t="s">
        <v>130</v>
      </c>
      <c r="R94" s="218" t="s">
        <v>126</v>
      </c>
      <c r="S94" s="218" t="s">
        <v>112</v>
      </c>
      <c r="T94" s="218" t="s">
        <v>113</v>
      </c>
      <c r="U94" s="218" t="s">
        <v>126</v>
      </c>
      <c r="V94" s="138" t="s">
        <v>2794</v>
      </c>
      <c r="W94" s="57" t="s">
        <v>2750</v>
      </c>
      <c r="X94" s="126" t="s">
        <v>2511</v>
      </c>
      <c r="Y94" s="219" t="s">
        <v>2511</v>
      </c>
      <c r="Z94" s="57" t="s">
        <v>2514</v>
      </c>
      <c r="AA94" s="57" t="s">
        <v>2515</v>
      </c>
      <c r="AB94" s="57" t="s">
        <v>2393</v>
      </c>
      <c r="AC94" s="57" t="s">
        <v>2516</v>
      </c>
      <c r="AD94" s="65" t="str">
        <f t="shared" si="17"/>
        <v>RSVD1</v>
      </c>
      <c r="AE94" s="70"/>
      <c r="AF94" s="67" t="str">
        <f t="shared" si="18"/>
        <v>PULL_DOWN</v>
      </c>
      <c r="AG94" s="67" t="str">
        <f t="shared" si="20"/>
        <v>TRISTATE</v>
      </c>
      <c r="AH94" s="67" t="str">
        <f t="shared" si="19"/>
        <v>DISABLE</v>
      </c>
      <c r="AI94" s="71" t="str">
        <f t="shared" si="9"/>
        <v>N/A</v>
      </c>
      <c r="AJ94" s="189" t="b">
        <v>1</v>
      </c>
      <c r="AK94" s="189" t="b">
        <v>1</v>
      </c>
      <c r="AL94" s="189" t="b">
        <v>1</v>
      </c>
      <c r="AM94" s="189" t="b">
        <v>1</v>
      </c>
      <c r="AN94" s="189" t="b">
        <v>1</v>
      </c>
      <c r="AO94" s="189" t="b">
        <v>1</v>
      </c>
      <c r="AP94" s="69" t="str">
        <f t="shared" si="16"/>
        <v>VALID</v>
      </c>
      <c r="AQ94" s="166" t="s">
        <v>506</v>
      </c>
      <c r="AR94" s="194" t="s">
        <v>79</v>
      </c>
      <c r="AS94" s="193"/>
      <c r="AT94" s="72"/>
      <c r="AU94" s="72"/>
      <c r="AV94" s="72"/>
      <c r="AW94" s="72"/>
      <c r="AX94" s="193" t="s">
        <v>136</v>
      </c>
      <c r="AY94" s="72"/>
      <c r="AZ94" s="193"/>
      <c r="BA94" s="193"/>
      <c r="BB94" s="8"/>
      <c r="BC94" s="140"/>
      <c r="BD94" s="147" t="s">
        <v>83</v>
      </c>
      <c r="BE94" s="147" t="s">
        <v>83</v>
      </c>
    </row>
    <row r="95" spans="1:57" ht="12.95" hidden="1" customHeight="1">
      <c r="A95" s="248" t="e">
        <v>#N/A</v>
      </c>
      <c r="B95" s="252" t="e">
        <v>#N/A</v>
      </c>
      <c r="C95" s="263" t="s">
        <v>265</v>
      </c>
      <c r="D95" s="239" t="s">
        <v>2795</v>
      </c>
      <c r="E95" s="58"/>
      <c r="F95" s="59" t="s">
        <v>507</v>
      </c>
      <c r="G95" s="191" t="s">
        <v>2240</v>
      </c>
      <c r="H95" s="192"/>
      <c r="I95" s="61" t="s">
        <v>2511</v>
      </c>
      <c r="J95" s="61" t="s">
        <v>2511</v>
      </c>
      <c r="K95" s="62" t="s">
        <v>2511</v>
      </c>
      <c r="L95" s="60" t="s">
        <v>2389</v>
      </c>
      <c r="M95" s="61" t="s">
        <v>2388</v>
      </c>
      <c r="N95" s="61" t="s">
        <v>2511</v>
      </c>
      <c r="O95" s="61" t="s">
        <v>2511</v>
      </c>
      <c r="P95" s="62" t="s">
        <v>2511</v>
      </c>
      <c r="Q95" s="218" t="s">
        <v>130</v>
      </c>
      <c r="R95" s="218" t="s">
        <v>126</v>
      </c>
      <c r="S95" s="218" t="s">
        <v>112</v>
      </c>
      <c r="T95" s="218" t="s">
        <v>113</v>
      </c>
      <c r="U95" s="218" t="s">
        <v>126</v>
      </c>
      <c r="V95" s="138" t="s">
        <v>2796</v>
      </c>
      <c r="W95" s="57" t="s">
        <v>2750</v>
      </c>
      <c r="X95" s="126" t="s">
        <v>2511</v>
      </c>
      <c r="Y95" s="219" t="s">
        <v>2797</v>
      </c>
      <c r="Z95" s="57" t="s">
        <v>2514</v>
      </c>
      <c r="AA95" s="57" t="s">
        <v>2515</v>
      </c>
      <c r="AB95" s="57" t="s">
        <v>2393</v>
      </c>
      <c r="AC95" s="57" t="s">
        <v>2516</v>
      </c>
      <c r="AD95" s="65" t="str">
        <f t="shared" si="17"/>
        <v>GPIO_PH5</v>
      </c>
      <c r="AE95" s="70"/>
      <c r="AF95" s="67" t="str">
        <f t="shared" si="18"/>
        <v>NORMAL</v>
      </c>
      <c r="AG95" s="67" t="str">
        <f t="shared" si="20"/>
        <v>TRISTATE</v>
      </c>
      <c r="AH95" s="67" t="str">
        <f t="shared" si="19"/>
        <v>ENABLE</v>
      </c>
      <c r="AI95" s="71" t="str">
        <f t="shared" si="9"/>
        <v/>
      </c>
      <c r="AJ95" s="189" t="b">
        <v>1</v>
      </c>
      <c r="AK95" s="189" t="b">
        <v>1</v>
      </c>
      <c r="AL95" s="189" t="b">
        <v>1</v>
      </c>
      <c r="AM95" s="189" t="b">
        <v>1</v>
      </c>
      <c r="AN95" s="189" t="b">
        <v>1</v>
      </c>
      <c r="AO95" s="189" t="b">
        <v>1</v>
      </c>
      <c r="AP95" s="69" t="str">
        <f t="shared" si="16"/>
        <v>VALID</v>
      </c>
      <c r="AQ95" s="166" t="s">
        <v>2240</v>
      </c>
      <c r="AR95" s="194" t="s">
        <v>862</v>
      </c>
      <c r="AS95" s="193"/>
      <c r="AT95" s="72"/>
      <c r="AU95" s="72"/>
      <c r="AV95" s="72"/>
      <c r="AW95" s="72"/>
      <c r="AX95" s="193" t="s">
        <v>136</v>
      </c>
      <c r="AY95" s="72"/>
      <c r="AZ95" s="193"/>
      <c r="BA95" s="193"/>
      <c r="BB95" s="8"/>
      <c r="BC95" s="140"/>
      <c r="BD95" s="11" t="s">
        <v>5566</v>
      </c>
      <c r="BE95" s="311" t="s">
        <v>5542</v>
      </c>
    </row>
    <row r="96" spans="1:57" ht="12.95" hidden="1" customHeight="1">
      <c r="A96" s="248" t="e">
        <v>#N/A</v>
      </c>
      <c r="B96" s="252" t="e">
        <v>#N/A</v>
      </c>
      <c r="C96" s="263" t="s">
        <v>264</v>
      </c>
      <c r="D96" s="239" t="s">
        <v>2799</v>
      </c>
      <c r="E96" s="58"/>
      <c r="F96" s="59" t="s">
        <v>508</v>
      </c>
      <c r="G96" s="191" t="s">
        <v>933</v>
      </c>
      <c r="H96" s="192"/>
      <c r="I96" s="61" t="s">
        <v>2511</v>
      </c>
      <c r="J96" s="61" t="s">
        <v>2511</v>
      </c>
      <c r="K96" s="62" t="s">
        <v>2511</v>
      </c>
      <c r="L96" s="60" t="s">
        <v>2389</v>
      </c>
      <c r="M96" s="61" t="s">
        <v>2523</v>
      </c>
      <c r="N96" s="61" t="s">
        <v>2511</v>
      </c>
      <c r="O96" s="61" t="s">
        <v>2511</v>
      </c>
      <c r="P96" s="62" t="s">
        <v>2511</v>
      </c>
      <c r="Q96" s="218" t="s">
        <v>130</v>
      </c>
      <c r="R96" s="218" t="s">
        <v>126</v>
      </c>
      <c r="S96" s="218" t="s">
        <v>112</v>
      </c>
      <c r="T96" s="218" t="s">
        <v>113</v>
      </c>
      <c r="U96" s="218" t="s">
        <v>126</v>
      </c>
      <c r="V96" s="138" t="s">
        <v>2800</v>
      </c>
      <c r="W96" s="57" t="s">
        <v>2750</v>
      </c>
      <c r="X96" s="126" t="s">
        <v>2801</v>
      </c>
      <c r="Y96" s="219" t="s">
        <v>2511</v>
      </c>
      <c r="Z96" s="57" t="s">
        <v>2514</v>
      </c>
      <c r="AA96" s="57" t="s">
        <v>2753</v>
      </c>
      <c r="AB96" s="57" t="s">
        <v>2393</v>
      </c>
      <c r="AC96" s="57" t="s">
        <v>2548</v>
      </c>
      <c r="AD96" s="65" t="str">
        <f t="shared" si="17"/>
        <v>RSVD1</v>
      </c>
      <c r="AE96" s="70"/>
      <c r="AF96" s="67" t="str">
        <f t="shared" si="18"/>
        <v>PULL_DOWN</v>
      </c>
      <c r="AG96" s="67" t="str">
        <f t="shared" si="20"/>
        <v>TRISTATE</v>
      </c>
      <c r="AH96" s="67" t="str">
        <f t="shared" si="19"/>
        <v>DISABLE</v>
      </c>
      <c r="AI96" s="71" t="str">
        <f t="shared" si="9"/>
        <v>N/A</v>
      </c>
      <c r="AJ96" s="189" t="b">
        <v>1</v>
      </c>
      <c r="AK96" s="189" t="b">
        <v>1</v>
      </c>
      <c r="AL96" s="189" t="b">
        <v>1</v>
      </c>
      <c r="AM96" s="189" t="b">
        <v>1</v>
      </c>
      <c r="AN96" s="189" t="b">
        <v>1</v>
      </c>
      <c r="AO96" s="189" t="b">
        <v>1</v>
      </c>
      <c r="AP96" s="69" t="str">
        <f t="shared" si="16"/>
        <v>VALID</v>
      </c>
      <c r="AQ96" s="166" t="s">
        <v>508</v>
      </c>
      <c r="AR96" s="194" t="s">
        <v>79</v>
      </c>
      <c r="AS96" s="193"/>
      <c r="AT96" s="193" t="s">
        <v>117</v>
      </c>
      <c r="AU96" s="72"/>
      <c r="AV96" s="72"/>
      <c r="AW96" s="72"/>
      <c r="AX96" s="193" t="s">
        <v>136</v>
      </c>
      <c r="AY96" s="72"/>
      <c r="AZ96" s="193"/>
      <c r="BA96" s="193"/>
      <c r="BB96" s="8"/>
      <c r="BC96" s="140"/>
      <c r="BD96" s="147" t="s">
        <v>83</v>
      </c>
      <c r="BE96" s="147" t="s">
        <v>83</v>
      </c>
    </row>
    <row r="97" spans="1:57" ht="12.95" hidden="1" customHeight="1">
      <c r="A97" s="248" t="e">
        <v>#N/A</v>
      </c>
      <c r="B97" s="252" t="e">
        <v>#N/A</v>
      </c>
      <c r="C97" s="263" t="s">
        <v>14</v>
      </c>
      <c r="D97" s="239" t="s">
        <v>2803</v>
      </c>
      <c r="E97" s="58"/>
      <c r="F97" s="59" t="s">
        <v>123</v>
      </c>
      <c r="G97" s="191" t="s">
        <v>2492</v>
      </c>
      <c r="H97" s="192" t="s">
        <v>901</v>
      </c>
      <c r="I97" s="61" t="s">
        <v>2511</v>
      </c>
      <c r="J97" s="61" t="s">
        <v>2511</v>
      </c>
      <c r="K97" s="62" t="s">
        <v>2511</v>
      </c>
      <c r="L97" s="60" t="s">
        <v>2389</v>
      </c>
      <c r="M97" s="61" t="s">
        <v>2389</v>
      </c>
      <c r="N97" s="61" t="s">
        <v>2511</v>
      </c>
      <c r="O97" s="61" t="s">
        <v>2511</v>
      </c>
      <c r="P97" s="62" t="s">
        <v>2511</v>
      </c>
      <c r="Q97" s="218" t="s">
        <v>128</v>
      </c>
      <c r="R97" s="218" t="s">
        <v>126</v>
      </c>
      <c r="S97" s="218" t="s">
        <v>112</v>
      </c>
      <c r="T97" s="218" t="s">
        <v>113</v>
      </c>
      <c r="U97" s="218" t="s">
        <v>126</v>
      </c>
      <c r="V97" s="205" t="s">
        <v>2804</v>
      </c>
      <c r="W97" s="57" t="s">
        <v>2750</v>
      </c>
      <c r="X97" s="126" t="s">
        <v>2511</v>
      </c>
      <c r="Y97" s="219" t="s">
        <v>2511</v>
      </c>
      <c r="Z97" s="57" t="s">
        <v>2514</v>
      </c>
      <c r="AA97" s="57" t="s">
        <v>2515</v>
      </c>
      <c r="AB97" s="57" t="s">
        <v>2393</v>
      </c>
      <c r="AC97" s="57" t="s">
        <v>2516</v>
      </c>
      <c r="AD97" s="65" t="str">
        <f t="shared" si="17"/>
        <v>RSVD1</v>
      </c>
      <c r="AE97" s="70"/>
      <c r="AF97" s="67" t="str">
        <f t="shared" si="18"/>
        <v>PULL_DOWN</v>
      </c>
      <c r="AG97" s="67" t="str">
        <f>IF($AV97="slave", "TRISTATE", IF($AR97="Input", "TRISTATE", IF($AS97="Z","TRISTATE",IF($AQ97=$F97,"TRISTATE","NORMAL"))))</f>
        <v>TRISTATE</v>
      </c>
      <c r="AH97" s="67" t="str">
        <f>IF(OR((AND($AQ97=$G97,$AR97="INPUT")),(AND($AQ97=$H97,$AV97="Slave")),$AR97="Bidirectional"),"ENABLE","DISABLE")</f>
        <v>DISABLE</v>
      </c>
      <c r="AI97" s="71" t="str">
        <f t="shared" si="9"/>
        <v>N/A</v>
      </c>
      <c r="AJ97" s="189" t="b">
        <v>1</v>
      </c>
      <c r="AK97" s="189" t="b">
        <v>1</v>
      </c>
      <c r="AL97" s="189" t="b">
        <v>1</v>
      </c>
      <c r="AM97" s="189" t="b">
        <v>1</v>
      </c>
      <c r="AN97" s="189" t="b">
        <v>1</v>
      </c>
      <c r="AO97" s="189" t="b">
        <v>1</v>
      </c>
      <c r="AP97" s="69" t="str">
        <f t="shared" si="16"/>
        <v>VALID</v>
      </c>
      <c r="AQ97" s="166" t="s">
        <v>123</v>
      </c>
      <c r="AR97" s="194" t="s">
        <v>79</v>
      </c>
      <c r="AS97" s="193"/>
      <c r="AT97" s="72"/>
      <c r="AU97" s="72"/>
      <c r="AV97" s="193" t="s">
        <v>900</v>
      </c>
      <c r="AW97" s="72"/>
      <c r="AX97" s="193" t="s">
        <v>136</v>
      </c>
      <c r="AY97" s="72"/>
      <c r="AZ97" s="193"/>
      <c r="BA97" s="193"/>
      <c r="BB97" s="8"/>
      <c r="BC97" s="140"/>
      <c r="BD97" s="147" t="s">
        <v>83</v>
      </c>
      <c r="BE97" s="147" t="s">
        <v>83</v>
      </c>
    </row>
    <row r="98" spans="1:57" ht="12.95" hidden="1" customHeight="1">
      <c r="A98" s="248" t="e">
        <v>#N/A</v>
      </c>
      <c r="B98" s="252" t="e">
        <v>#N/A</v>
      </c>
      <c r="C98" s="263" t="s">
        <v>12</v>
      </c>
      <c r="D98" s="239" t="s">
        <v>2806</v>
      </c>
      <c r="E98" s="58"/>
      <c r="F98" s="59" t="s">
        <v>121</v>
      </c>
      <c r="G98" s="191" t="s">
        <v>2493</v>
      </c>
      <c r="H98" s="192" t="s">
        <v>902</v>
      </c>
      <c r="I98" s="61" t="s">
        <v>2511</v>
      </c>
      <c r="J98" s="61" t="s">
        <v>2511</v>
      </c>
      <c r="K98" s="62" t="s">
        <v>2511</v>
      </c>
      <c r="L98" s="60" t="s">
        <v>2389</v>
      </c>
      <c r="M98" s="61" t="s">
        <v>2519</v>
      </c>
      <c r="N98" s="61" t="s">
        <v>2511</v>
      </c>
      <c r="O98" s="61" t="s">
        <v>2511</v>
      </c>
      <c r="P98" s="62" t="s">
        <v>2511</v>
      </c>
      <c r="Q98" s="218" t="s">
        <v>128</v>
      </c>
      <c r="R98" s="218" t="s">
        <v>126</v>
      </c>
      <c r="S98" s="218" t="s">
        <v>112</v>
      </c>
      <c r="T98" s="218" t="s">
        <v>113</v>
      </c>
      <c r="U98" s="218" t="s">
        <v>126</v>
      </c>
      <c r="V98" s="137" t="s">
        <v>2807</v>
      </c>
      <c r="W98" s="57" t="s">
        <v>2750</v>
      </c>
      <c r="X98" s="126" t="s">
        <v>2511</v>
      </c>
      <c r="Y98" s="219" t="s">
        <v>2511</v>
      </c>
      <c r="Z98" s="57" t="s">
        <v>2514</v>
      </c>
      <c r="AA98" s="57" t="s">
        <v>2515</v>
      </c>
      <c r="AB98" s="57" t="s">
        <v>2393</v>
      </c>
      <c r="AC98" s="57" t="s">
        <v>2516</v>
      </c>
      <c r="AD98" s="65" t="str">
        <f t="shared" si="17"/>
        <v>RSVD1</v>
      </c>
      <c r="AE98" s="70"/>
      <c r="AF98" s="67" t="str">
        <f t="shared" si="18"/>
        <v>PULL_DOWN</v>
      </c>
      <c r="AG98" s="67" t="str">
        <f t="shared" si="20"/>
        <v>TRISTATE</v>
      </c>
      <c r="AH98" s="67" t="str">
        <f>IF(OR($AQ98=$F98,$AR98="Output"),"DISABLE","ENABLE")</f>
        <v>DISABLE</v>
      </c>
      <c r="AI98" s="71" t="str">
        <f t="shared" si="9"/>
        <v>N/A</v>
      </c>
      <c r="AJ98" s="189" t="b">
        <v>1</v>
      </c>
      <c r="AK98" s="189" t="b">
        <v>1</v>
      </c>
      <c r="AL98" s="189" t="b">
        <v>1</v>
      </c>
      <c r="AM98" s="189" t="b">
        <v>1</v>
      </c>
      <c r="AN98" s="189" t="b">
        <v>1</v>
      </c>
      <c r="AO98" s="189" t="b">
        <v>1</v>
      </c>
      <c r="AP98" s="69" t="str">
        <f t="shared" si="16"/>
        <v>VALID</v>
      </c>
      <c r="AQ98" s="177" t="s">
        <v>121</v>
      </c>
      <c r="AR98" s="194" t="s">
        <v>79</v>
      </c>
      <c r="AS98" s="193"/>
      <c r="AT98" s="72"/>
      <c r="AU98" s="72"/>
      <c r="AV98" s="193" t="s">
        <v>900</v>
      </c>
      <c r="AW98" s="72"/>
      <c r="AX98" s="193" t="s">
        <v>136</v>
      </c>
      <c r="AY98" s="72"/>
      <c r="AZ98" s="193"/>
      <c r="BA98" s="193"/>
      <c r="BB98" s="8"/>
      <c r="BC98" s="140"/>
      <c r="BD98" s="147" t="s">
        <v>83</v>
      </c>
      <c r="BE98" s="147" t="s">
        <v>83</v>
      </c>
    </row>
    <row r="99" spans="1:57" ht="12.95" hidden="1" customHeight="1">
      <c r="A99" s="248" t="e">
        <v>#N/A</v>
      </c>
      <c r="B99" s="252" t="e">
        <v>#N/A</v>
      </c>
      <c r="C99" s="263" t="s">
        <v>11</v>
      </c>
      <c r="D99" s="239" t="s">
        <v>2809</v>
      </c>
      <c r="E99" s="58"/>
      <c r="F99" s="59" t="s">
        <v>120</v>
      </c>
      <c r="G99" s="191" t="s">
        <v>2494</v>
      </c>
      <c r="H99" s="192" t="s">
        <v>903</v>
      </c>
      <c r="I99" s="61" t="s">
        <v>2511</v>
      </c>
      <c r="J99" s="61" t="s">
        <v>2511</v>
      </c>
      <c r="K99" s="62" t="s">
        <v>2511</v>
      </c>
      <c r="L99" s="60" t="s">
        <v>2389</v>
      </c>
      <c r="M99" s="61" t="s">
        <v>2523</v>
      </c>
      <c r="N99" s="61" t="s">
        <v>2511</v>
      </c>
      <c r="O99" s="61" t="s">
        <v>2511</v>
      </c>
      <c r="P99" s="62" t="s">
        <v>2511</v>
      </c>
      <c r="Q99" s="218" t="s">
        <v>128</v>
      </c>
      <c r="R99" s="218" t="s">
        <v>126</v>
      </c>
      <c r="S99" s="218" t="s">
        <v>112</v>
      </c>
      <c r="T99" s="218" t="s">
        <v>113</v>
      </c>
      <c r="U99" s="218" t="s">
        <v>126</v>
      </c>
      <c r="V99" s="138" t="s">
        <v>2810</v>
      </c>
      <c r="W99" s="57" t="s">
        <v>2750</v>
      </c>
      <c r="X99" s="126" t="s">
        <v>2511</v>
      </c>
      <c r="Y99" s="219" t="s">
        <v>2511</v>
      </c>
      <c r="Z99" s="57" t="s">
        <v>2514</v>
      </c>
      <c r="AA99" s="57" t="s">
        <v>2515</v>
      </c>
      <c r="AB99" s="57" t="s">
        <v>2393</v>
      </c>
      <c r="AC99" s="57" t="s">
        <v>2516</v>
      </c>
      <c r="AD99" s="65" t="str">
        <f t="shared" si="17"/>
        <v>RSVD1</v>
      </c>
      <c r="AE99" s="70"/>
      <c r="AF99" s="67" t="str">
        <f t="shared" si="18"/>
        <v>PULL_DOWN</v>
      </c>
      <c r="AG99" s="67" t="str">
        <f t="shared" si="20"/>
        <v>TRISTATE</v>
      </c>
      <c r="AH99" s="67" t="str">
        <f>IF(OR($AQ99=$F99,$AR99="Output"),"DISABLE","ENABLE")</f>
        <v>DISABLE</v>
      </c>
      <c r="AI99" s="71" t="str">
        <f t="shared" si="9"/>
        <v>N/A</v>
      </c>
      <c r="AJ99" s="189" t="b">
        <v>1</v>
      </c>
      <c r="AK99" s="189" t="b">
        <v>1</v>
      </c>
      <c r="AL99" s="189" t="b">
        <v>1</v>
      </c>
      <c r="AM99" s="189" t="b">
        <v>1</v>
      </c>
      <c r="AN99" s="189" t="b">
        <v>1</v>
      </c>
      <c r="AO99" s="189" t="b">
        <v>1</v>
      </c>
      <c r="AP99" s="69" t="str">
        <f t="shared" si="16"/>
        <v>VALID</v>
      </c>
      <c r="AQ99" s="166" t="s">
        <v>120</v>
      </c>
      <c r="AR99" s="194" t="s">
        <v>79</v>
      </c>
      <c r="AS99" s="193"/>
      <c r="AT99" s="72"/>
      <c r="AU99" s="72"/>
      <c r="AV99" s="193" t="s">
        <v>900</v>
      </c>
      <c r="AW99" s="72"/>
      <c r="AX99" s="193" t="s">
        <v>136</v>
      </c>
      <c r="AY99" s="72"/>
      <c r="AZ99" s="193"/>
      <c r="BA99" s="193"/>
      <c r="BB99" s="8"/>
      <c r="BC99" s="140"/>
      <c r="BD99" s="147" t="s">
        <v>83</v>
      </c>
      <c r="BE99" s="147" t="s">
        <v>83</v>
      </c>
    </row>
    <row r="100" spans="1:57" ht="12.95" hidden="1" customHeight="1">
      <c r="A100" s="248" t="e">
        <v>#N/A</v>
      </c>
      <c r="B100" s="252" t="e">
        <v>#N/A</v>
      </c>
      <c r="C100" s="263" t="s">
        <v>13</v>
      </c>
      <c r="D100" s="239" t="s">
        <v>2812</v>
      </c>
      <c r="E100" s="58"/>
      <c r="F100" s="59" t="s">
        <v>122</v>
      </c>
      <c r="G100" s="191" t="s">
        <v>2502</v>
      </c>
      <c r="H100" s="192" t="s">
        <v>904</v>
      </c>
      <c r="I100" s="61" t="s">
        <v>2511</v>
      </c>
      <c r="J100" s="61" t="s">
        <v>2511</v>
      </c>
      <c r="K100" s="62" t="s">
        <v>2511</v>
      </c>
      <c r="L100" s="60" t="s">
        <v>2389</v>
      </c>
      <c r="M100" s="61" t="s">
        <v>2389</v>
      </c>
      <c r="N100" s="61" t="s">
        <v>2511</v>
      </c>
      <c r="O100" s="61" t="s">
        <v>2511</v>
      </c>
      <c r="P100" s="62" t="s">
        <v>2511</v>
      </c>
      <c r="Q100" s="218" t="s">
        <v>128</v>
      </c>
      <c r="R100" s="218" t="s">
        <v>126</v>
      </c>
      <c r="S100" s="218" t="s">
        <v>112</v>
      </c>
      <c r="T100" s="218" t="s">
        <v>113</v>
      </c>
      <c r="U100" s="218" t="s">
        <v>126</v>
      </c>
      <c r="V100" s="138" t="s">
        <v>2813</v>
      </c>
      <c r="W100" s="57" t="s">
        <v>2750</v>
      </c>
      <c r="X100" s="126" t="s">
        <v>2511</v>
      </c>
      <c r="Y100" s="219" t="s">
        <v>2511</v>
      </c>
      <c r="Z100" s="57" t="s">
        <v>2514</v>
      </c>
      <c r="AA100" s="57" t="s">
        <v>2515</v>
      </c>
      <c r="AB100" s="57" t="s">
        <v>2393</v>
      </c>
      <c r="AC100" s="57" t="s">
        <v>2516</v>
      </c>
      <c r="AD100" s="65" t="str">
        <f t="shared" si="17"/>
        <v>RSVD1</v>
      </c>
      <c r="AE100" s="70"/>
      <c r="AF100" s="67" t="str">
        <f t="shared" si="18"/>
        <v>PULL_DOWN</v>
      </c>
      <c r="AG100" s="67" t="str">
        <f>IF($AV100="slave", "TRISTATE", IF($AR100="Input", "TRISTATE", IF($AS100="Z","TRISTATE",IF($AQ100=$F100,"TRISTATE","NORMAL"))))</f>
        <v>TRISTATE</v>
      </c>
      <c r="AH100" s="67" t="str">
        <f>IF(OR((AND($AQ100=$G100,$AR100="INPUT")),(AND($AQ100=$H100,$AV100="Slave")),$AR100="Bidirectional"),"ENABLE","DISABLE")</f>
        <v>DISABLE</v>
      </c>
      <c r="AI100" s="71" t="str">
        <f t="shared" si="9"/>
        <v>N/A</v>
      </c>
      <c r="AJ100" s="189" t="b">
        <v>1</v>
      </c>
      <c r="AK100" s="189" t="b">
        <v>1</v>
      </c>
      <c r="AL100" s="189" t="b">
        <v>1</v>
      </c>
      <c r="AM100" s="189" t="b">
        <v>1</v>
      </c>
      <c r="AN100" s="189" t="b">
        <v>1</v>
      </c>
      <c r="AO100" s="189" t="b">
        <v>1</v>
      </c>
      <c r="AP100" s="69" t="str">
        <f t="shared" si="16"/>
        <v>VALID</v>
      </c>
      <c r="AQ100" s="166" t="s">
        <v>122</v>
      </c>
      <c r="AR100" s="194" t="s">
        <v>79</v>
      </c>
      <c r="AS100" s="193"/>
      <c r="AT100" s="72"/>
      <c r="AU100" s="72"/>
      <c r="AV100" s="193" t="s">
        <v>900</v>
      </c>
      <c r="AW100" s="72"/>
      <c r="AX100" s="193" t="s">
        <v>136</v>
      </c>
      <c r="AY100" s="72"/>
      <c r="AZ100" s="193"/>
      <c r="BA100" s="193"/>
      <c r="BB100" s="8"/>
      <c r="BC100" s="140"/>
      <c r="BD100" s="147" t="s">
        <v>83</v>
      </c>
      <c r="BE100" s="147" t="s">
        <v>83</v>
      </c>
    </row>
    <row r="101" spans="1:57" ht="12.95" customHeight="1">
      <c r="A101" s="247" t="s">
        <v>5455</v>
      </c>
      <c r="B101" s="251">
        <v>232</v>
      </c>
      <c r="C101" s="239" t="s">
        <v>50</v>
      </c>
      <c r="D101" s="239" t="s">
        <v>2814</v>
      </c>
      <c r="E101" s="58"/>
      <c r="F101" s="59" t="s">
        <v>181</v>
      </c>
      <c r="G101" s="191" t="s">
        <v>2815</v>
      </c>
      <c r="H101" s="192" t="s">
        <v>905</v>
      </c>
      <c r="I101" s="61" t="s">
        <v>2511</v>
      </c>
      <c r="J101" s="61" t="s">
        <v>2511</v>
      </c>
      <c r="K101" s="62" t="s">
        <v>2511</v>
      </c>
      <c r="L101" s="60" t="s">
        <v>2389</v>
      </c>
      <c r="M101" s="61" t="s">
        <v>2389</v>
      </c>
      <c r="N101" s="61" t="s">
        <v>2511</v>
      </c>
      <c r="O101" s="61" t="s">
        <v>2511</v>
      </c>
      <c r="P101" s="62" t="s">
        <v>2511</v>
      </c>
      <c r="Q101" s="218" t="s">
        <v>127</v>
      </c>
      <c r="R101" s="218" t="s">
        <v>126</v>
      </c>
      <c r="S101" s="218" t="s">
        <v>112</v>
      </c>
      <c r="T101" s="218" t="s">
        <v>113</v>
      </c>
      <c r="U101" s="218" t="s">
        <v>126</v>
      </c>
      <c r="V101" s="138" t="s">
        <v>2816</v>
      </c>
      <c r="W101" s="57" t="s">
        <v>2750</v>
      </c>
      <c r="X101" s="126" t="s">
        <v>2511</v>
      </c>
      <c r="Y101" s="219" t="s">
        <v>2511</v>
      </c>
      <c r="Z101" s="57" t="s">
        <v>2817</v>
      </c>
      <c r="AA101" s="57" t="s">
        <v>2818</v>
      </c>
      <c r="AB101" s="57" t="s">
        <v>2393</v>
      </c>
      <c r="AC101" s="57" t="s">
        <v>2631</v>
      </c>
      <c r="AD101" s="65" t="str">
        <f t="shared" si="17"/>
        <v>I2C1</v>
      </c>
      <c r="AE101" s="70"/>
      <c r="AF101" s="67" t="str">
        <f t="shared" si="18"/>
        <v>NORMAL</v>
      </c>
      <c r="AG101" s="67" t="str">
        <f t="shared" si="20"/>
        <v>NORMAL</v>
      </c>
      <c r="AH101" s="67" t="str">
        <f t="shared" si="19"/>
        <v>ENABLE</v>
      </c>
      <c r="AI101" s="71" t="str">
        <f t="shared" si="9"/>
        <v>N/A</v>
      </c>
      <c r="AJ101" s="189" t="b">
        <v>1</v>
      </c>
      <c r="AK101" s="189" t="b">
        <v>1</v>
      </c>
      <c r="AL101" s="189" t="b">
        <v>1</v>
      </c>
      <c r="AM101" s="189" t="b">
        <v>1</v>
      </c>
      <c r="AN101" s="189" t="b">
        <v>1</v>
      </c>
      <c r="AO101" s="189" t="b">
        <v>1</v>
      </c>
      <c r="AP101" s="69" t="str">
        <f t="shared" si="16"/>
        <v>VALID</v>
      </c>
      <c r="AQ101" s="166" t="s">
        <v>905</v>
      </c>
      <c r="AR101" s="194" t="s">
        <v>860</v>
      </c>
      <c r="AS101" s="193"/>
      <c r="AT101" s="72"/>
      <c r="AU101" s="72"/>
      <c r="AV101" s="72"/>
      <c r="AW101" s="193" t="s">
        <v>136</v>
      </c>
      <c r="AX101" s="193" t="s">
        <v>872</v>
      </c>
      <c r="AY101" s="72"/>
      <c r="AZ101" s="193" t="s">
        <v>5544</v>
      </c>
      <c r="BA101" s="193"/>
      <c r="BB101" s="8"/>
      <c r="BC101" s="140"/>
      <c r="BD101" s="11" t="s">
        <v>5455</v>
      </c>
      <c r="BE101" s="339" t="s">
        <v>5543</v>
      </c>
    </row>
    <row r="102" spans="1:57" ht="12.95" customHeight="1">
      <c r="A102" s="247" t="s">
        <v>5456</v>
      </c>
      <c r="B102" s="251">
        <v>234</v>
      </c>
      <c r="C102" s="239" t="s">
        <v>51</v>
      </c>
      <c r="D102" s="239" t="s">
        <v>2819</v>
      </c>
      <c r="E102" s="58"/>
      <c r="F102" s="59" t="s">
        <v>182</v>
      </c>
      <c r="G102" s="191" t="s">
        <v>2820</v>
      </c>
      <c r="H102" s="192" t="s">
        <v>906</v>
      </c>
      <c r="I102" s="61" t="s">
        <v>2511</v>
      </c>
      <c r="J102" s="61" t="s">
        <v>2511</v>
      </c>
      <c r="K102" s="62" t="s">
        <v>2511</v>
      </c>
      <c r="L102" s="60" t="s">
        <v>2389</v>
      </c>
      <c r="M102" s="61" t="s">
        <v>2389</v>
      </c>
      <c r="N102" s="61" t="s">
        <v>2511</v>
      </c>
      <c r="O102" s="61" t="s">
        <v>2511</v>
      </c>
      <c r="P102" s="62" t="s">
        <v>2511</v>
      </c>
      <c r="Q102" s="218" t="s">
        <v>127</v>
      </c>
      <c r="R102" s="218" t="s">
        <v>126</v>
      </c>
      <c r="S102" s="218" t="s">
        <v>112</v>
      </c>
      <c r="T102" s="218" t="s">
        <v>113</v>
      </c>
      <c r="U102" s="218" t="s">
        <v>126</v>
      </c>
      <c r="V102" s="205" t="s">
        <v>2821</v>
      </c>
      <c r="W102" s="57" t="s">
        <v>2750</v>
      </c>
      <c r="X102" s="126" t="s">
        <v>2822</v>
      </c>
      <c r="Y102" s="219" t="s">
        <v>2511</v>
      </c>
      <c r="Z102" s="57" t="s">
        <v>2817</v>
      </c>
      <c r="AA102" s="57" t="s">
        <v>2818</v>
      </c>
      <c r="AB102" s="57" t="s">
        <v>2393</v>
      </c>
      <c r="AC102" s="57" t="s">
        <v>2631</v>
      </c>
      <c r="AD102" s="65" t="str">
        <f t="shared" si="17"/>
        <v>I2C1</v>
      </c>
      <c r="AE102" s="70"/>
      <c r="AF102" s="67" t="str">
        <f t="shared" si="18"/>
        <v>NORMAL</v>
      </c>
      <c r="AG102" s="67" t="str">
        <f t="shared" si="20"/>
        <v>NORMAL</v>
      </c>
      <c r="AH102" s="67" t="str">
        <f t="shared" si="19"/>
        <v>ENABLE</v>
      </c>
      <c r="AI102" s="71" t="str">
        <f t="shared" si="9"/>
        <v>N/A</v>
      </c>
      <c r="AJ102" s="189" t="b">
        <v>1</v>
      </c>
      <c r="AK102" s="189" t="b">
        <v>1</v>
      </c>
      <c r="AL102" s="189" t="b">
        <v>1</v>
      </c>
      <c r="AM102" s="189" t="b">
        <v>1</v>
      </c>
      <c r="AN102" s="189" t="b">
        <v>1</v>
      </c>
      <c r="AO102" s="189" t="b">
        <v>1</v>
      </c>
      <c r="AP102" s="69" t="str">
        <f t="shared" si="16"/>
        <v>VALID</v>
      </c>
      <c r="AQ102" s="166" t="s">
        <v>906</v>
      </c>
      <c r="AR102" s="194" t="s">
        <v>860</v>
      </c>
      <c r="AS102" s="193"/>
      <c r="AT102" s="193" t="s">
        <v>117</v>
      </c>
      <c r="AU102" s="72"/>
      <c r="AV102" s="72"/>
      <c r="AW102" s="193" t="s">
        <v>136</v>
      </c>
      <c r="AX102" s="193" t="s">
        <v>872</v>
      </c>
      <c r="AY102" s="72"/>
      <c r="AZ102" s="193" t="s">
        <v>5544</v>
      </c>
      <c r="BA102" s="193"/>
      <c r="BB102" s="8"/>
      <c r="BC102" s="140"/>
      <c r="BD102" s="11" t="s">
        <v>5456</v>
      </c>
      <c r="BE102" s="339"/>
    </row>
    <row r="103" spans="1:57" s="56" customFormat="1" ht="18" hidden="1" customHeight="1">
      <c r="A103" s="365"/>
      <c r="B103" s="366"/>
      <c r="C103" s="265" t="s">
        <v>282</v>
      </c>
      <c r="D103" s="266"/>
      <c r="E103" s="73"/>
      <c r="F103" s="73" t="s">
        <v>2823</v>
      </c>
      <c r="G103" s="74"/>
      <c r="H103" s="74"/>
      <c r="I103" s="74"/>
      <c r="J103" s="74"/>
      <c r="K103" s="74"/>
      <c r="L103" s="73"/>
      <c r="M103" s="73"/>
      <c r="N103" s="73"/>
      <c r="O103" s="73"/>
      <c r="P103" s="73"/>
      <c r="Q103" s="73"/>
      <c r="R103" s="73"/>
      <c r="S103" s="73"/>
      <c r="T103" s="73"/>
      <c r="U103" s="73"/>
      <c r="V103" s="73"/>
      <c r="W103" s="73"/>
      <c r="X103" s="127"/>
      <c r="Y103" s="127"/>
      <c r="Z103" s="75"/>
      <c r="AA103" s="75"/>
      <c r="AB103" s="75"/>
      <c r="AC103" s="75"/>
      <c r="AD103" s="75"/>
      <c r="AE103" s="75"/>
      <c r="AF103" s="75"/>
      <c r="AG103" s="75"/>
      <c r="AH103" s="75"/>
      <c r="AI103" s="75"/>
      <c r="AJ103" s="53"/>
      <c r="AK103" s="53"/>
      <c r="AL103" s="53"/>
      <c r="AM103" s="53"/>
      <c r="AN103" s="53"/>
      <c r="AO103" s="53"/>
      <c r="AP103" s="53"/>
      <c r="AQ103" s="54"/>
      <c r="AR103" s="76"/>
      <c r="AS103" s="77"/>
      <c r="AT103" s="77"/>
      <c r="AU103" s="77"/>
      <c r="AV103" s="77"/>
      <c r="AW103" s="77"/>
      <c r="AX103" s="77"/>
      <c r="AY103" s="77"/>
      <c r="AZ103" s="77"/>
      <c r="BA103" s="77"/>
      <c r="BB103" s="77"/>
      <c r="BC103" s="175" t="s">
        <v>59</v>
      </c>
      <c r="BD103" s="77"/>
      <c r="BE103" s="230" t="s">
        <v>282</v>
      </c>
    </row>
    <row r="104" spans="1:57" ht="12.95" hidden="1" customHeight="1">
      <c r="A104" s="248" t="e">
        <v>#N/A</v>
      </c>
      <c r="B104" s="252" t="e">
        <v>#N/A</v>
      </c>
      <c r="C104" s="263" t="s">
        <v>997</v>
      </c>
      <c r="D104" s="239" t="s">
        <v>2825</v>
      </c>
      <c r="E104" s="58"/>
      <c r="F104" s="59" t="s">
        <v>1813</v>
      </c>
      <c r="G104" s="191" t="s">
        <v>2511</v>
      </c>
      <c r="H104" s="192" t="s">
        <v>997</v>
      </c>
      <c r="I104" s="61" t="s">
        <v>2511</v>
      </c>
      <c r="J104" s="61" t="s">
        <v>2511</v>
      </c>
      <c r="K104" s="62" t="s">
        <v>2511</v>
      </c>
      <c r="L104" s="60" t="s">
        <v>2511</v>
      </c>
      <c r="M104" s="61" t="s">
        <v>2523</v>
      </c>
      <c r="N104" s="61" t="s">
        <v>2511</v>
      </c>
      <c r="O104" s="61" t="s">
        <v>2511</v>
      </c>
      <c r="P104" s="62" t="s">
        <v>2511</v>
      </c>
      <c r="Q104" s="243"/>
      <c r="R104" s="243"/>
      <c r="S104" s="243"/>
      <c r="T104" s="243"/>
      <c r="U104" s="244"/>
      <c r="V104" s="138" t="s">
        <v>2826</v>
      </c>
      <c r="W104" s="57" t="s">
        <v>2824</v>
      </c>
      <c r="X104" s="126" t="s">
        <v>2827</v>
      </c>
      <c r="Y104" s="126" t="s">
        <v>2511</v>
      </c>
      <c r="Z104" s="57" t="s">
        <v>2828</v>
      </c>
      <c r="AA104" s="57" t="s">
        <v>2829</v>
      </c>
      <c r="AB104" s="57" t="s">
        <v>900</v>
      </c>
      <c r="AC104" s="57" t="s">
        <v>2631</v>
      </c>
      <c r="AD104" s="65"/>
      <c r="AE104" s="70"/>
      <c r="AF104" s="67" t="str">
        <f t="shared" ref="AF104:AF110" si="21">IF(AND(OR($AS104="Int PU",$AS104="Int PD"),OR(AND($AZ104&lt;&gt;"",$AZ104&lt;&gt;"0"),AND($BA104&lt;&gt;"",$BA104&lt;&gt;"0"))),"INVALID",IF(OR($AQ104=$F104,$AS104="Int PD"),"PULL_DOWN",IF(OR($AS104="Int PU",AND($AE104="YES",OR($AZ104="",$AZ104="0"),OR($BA104="",$BA104="0"),OR($AR104="Input",$AR104="Bidirectional"))),"PULL_UP","NORMAL")))</f>
        <v>NORMAL</v>
      </c>
      <c r="AG104" s="67" t="str">
        <f t="shared" si="20"/>
        <v>TRISTATE</v>
      </c>
      <c r="AH104" s="67" t="str">
        <f t="shared" ref="AH104:AH110" si="22">IF(OR($AQ104=$F104,$AR104="Output"),"DISABLE","ENABLE")</f>
        <v>ENABLE</v>
      </c>
      <c r="AI104" s="71" t="str">
        <f t="shared" si="9"/>
        <v>N/A</v>
      </c>
      <c r="AJ104" s="189" t="b">
        <v>1</v>
      </c>
      <c r="AK104" s="189" t="b">
        <v>1</v>
      </c>
      <c r="AL104" s="189" t="b">
        <v>1</v>
      </c>
      <c r="AM104" s="189" t="b">
        <v>1</v>
      </c>
      <c r="AN104" s="189" t="b">
        <v>1</v>
      </c>
      <c r="AO104" s="189" t="b">
        <v>1</v>
      </c>
      <c r="AP104" s="69" t="str">
        <f t="shared" ref="AP104:AP110" si="23">IF(AND($AJ104:$AO104), "VALID", "INVALID")</f>
        <v>VALID</v>
      </c>
      <c r="AQ104" s="166" t="s">
        <v>997</v>
      </c>
      <c r="AR104" s="194" t="s">
        <v>862</v>
      </c>
      <c r="AS104" s="193"/>
      <c r="AT104" s="193" t="s">
        <v>117</v>
      </c>
      <c r="AU104" s="72"/>
      <c r="AV104" s="72"/>
      <c r="AW104" s="72"/>
      <c r="AX104" s="72"/>
      <c r="AY104" s="72"/>
      <c r="AZ104" s="193"/>
      <c r="BA104" s="193" t="s">
        <v>2489</v>
      </c>
      <c r="BB104" s="8"/>
      <c r="BC104" s="140"/>
      <c r="BD104" s="11" t="s">
        <v>997</v>
      </c>
      <c r="BE104" s="242" t="s">
        <v>2219</v>
      </c>
    </row>
    <row r="105" spans="1:57" ht="12.95" hidden="1" customHeight="1">
      <c r="A105" s="248" t="e">
        <v>#N/A</v>
      </c>
      <c r="B105" s="252" t="e">
        <v>#N/A</v>
      </c>
      <c r="C105" s="263" t="s">
        <v>998</v>
      </c>
      <c r="D105" s="239" t="s">
        <v>2830</v>
      </c>
      <c r="E105" s="58"/>
      <c r="F105" s="59" t="s">
        <v>1814</v>
      </c>
      <c r="G105" s="191" t="s">
        <v>2511</v>
      </c>
      <c r="H105" s="192" t="s">
        <v>168</v>
      </c>
      <c r="I105" s="61" t="s">
        <v>2511</v>
      </c>
      <c r="J105" s="61" t="s">
        <v>2511</v>
      </c>
      <c r="K105" s="62" t="s">
        <v>2511</v>
      </c>
      <c r="L105" s="60" t="s">
        <v>2511</v>
      </c>
      <c r="M105" s="61" t="s">
        <v>2523</v>
      </c>
      <c r="N105" s="61" t="s">
        <v>2511</v>
      </c>
      <c r="O105" s="61" t="s">
        <v>2511</v>
      </c>
      <c r="P105" s="62" t="s">
        <v>2511</v>
      </c>
      <c r="Q105" s="243"/>
      <c r="R105" s="243"/>
      <c r="S105" s="243"/>
      <c r="T105" s="243"/>
      <c r="U105" s="244"/>
      <c r="V105" s="138" t="s">
        <v>2831</v>
      </c>
      <c r="W105" s="57" t="s">
        <v>2824</v>
      </c>
      <c r="X105" s="126" t="s">
        <v>2511</v>
      </c>
      <c r="Y105" s="126" t="s">
        <v>2511</v>
      </c>
      <c r="Z105" s="57" t="s">
        <v>2828</v>
      </c>
      <c r="AA105" s="57" t="s">
        <v>2829</v>
      </c>
      <c r="AB105" s="57" t="s">
        <v>900</v>
      </c>
      <c r="AC105" s="57" t="s">
        <v>2516</v>
      </c>
      <c r="AD105" s="65"/>
      <c r="AE105" s="70"/>
      <c r="AF105" s="67" t="str">
        <f t="shared" si="21"/>
        <v>NORMAL</v>
      </c>
      <c r="AG105" s="67" t="str">
        <f t="shared" si="20"/>
        <v>TRISTATE</v>
      </c>
      <c r="AH105" s="67" t="str">
        <f t="shared" si="22"/>
        <v>ENABLE</v>
      </c>
      <c r="AI105" s="71" t="str">
        <f t="shared" si="9"/>
        <v>N/A</v>
      </c>
      <c r="AJ105" s="189" t="b">
        <v>1</v>
      </c>
      <c r="AK105" s="189" t="b">
        <v>1</v>
      </c>
      <c r="AL105" s="189" t="b">
        <v>1</v>
      </c>
      <c r="AM105" s="189" t="b">
        <v>1</v>
      </c>
      <c r="AN105" s="189" t="b">
        <v>1</v>
      </c>
      <c r="AO105" s="189" t="b">
        <v>1</v>
      </c>
      <c r="AP105" s="69" t="str">
        <f t="shared" si="23"/>
        <v>VALID</v>
      </c>
      <c r="AQ105" s="166" t="s">
        <v>168</v>
      </c>
      <c r="AR105" s="194" t="s">
        <v>862</v>
      </c>
      <c r="AS105" s="193"/>
      <c r="AT105" s="72"/>
      <c r="AU105" s="72"/>
      <c r="AV105" s="72"/>
      <c r="AW105" s="72"/>
      <c r="AX105" s="72"/>
      <c r="AY105" s="72"/>
      <c r="AZ105" s="193"/>
      <c r="BA105" s="193" t="s">
        <v>2489</v>
      </c>
      <c r="BB105" s="8"/>
      <c r="BC105" s="140"/>
      <c r="BD105" s="11" t="s">
        <v>168</v>
      </c>
      <c r="BE105" s="242" t="s">
        <v>876</v>
      </c>
    </row>
    <row r="106" spans="1:57" ht="12.95" hidden="1" customHeight="1">
      <c r="A106" s="248" t="e">
        <v>#N/A</v>
      </c>
      <c r="B106" s="252" t="e">
        <v>#N/A</v>
      </c>
      <c r="C106" s="263" t="s">
        <v>169</v>
      </c>
      <c r="D106" s="239" t="s">
        <v>2832</v>
      </c>
      <c r="E106" s="58"/>
      <c r="F106" s="59" t="s">
        <v>499</v>
      </c>
      <c r="G106" s="191" t="s">
        <v>2511</v>
      </c>
      <c r="H106" s="192" t="s">
        <v>169</v>
      </c>
      <c r="I106" s="61" t="s">
        <v>2511</v>
      </c>
      <c r="J106" s="61" t="s">
        <v>2511</v>
      </c>
      <c r="K106" s="62" t="s">
        <v>2511</v>
      </c>
      <c r="L106" s="60" t="s">
        <v>2511</v>
      </c>
      <c r="M106" s="61" t="s">
        <v>2388</v>
      </c>
      <c r="N106" s="61" t="s">
        <v>2511</v>
      </c>
      <c r="O106" s="61" t="s">
        <v>2511</v>
      </c>
      <c r="P106" s="62" t="s">
        <v>2511</v>
      </c>
      <c r="Q106" s="243"/>
      <c r="R106" s="243"/>
      <c r="S106" s="243"/>
      <c r="T106" s="243"/>
      <c r="U106" s="244"/>
      <c r="V106" s="138" t="s">
        <v>2833</v>
      </c>
      <c r="W106" s="57" t="s">
        <v>2824</v>
      </c>
      <c r="X106" s="126" t="s">
        <v>2511</v>
      </c>
      <c r="Y106" s="126" t="s">
        <v>2511</v>
      </c>
      <c r="Z106" s="57" t="s">
        <v>2514</v>
      </c>
      <c r="AA106" s="57" t="s">
        <v>2834</v>
      </c>
      <c r="AB106" s="57" t="s">
        <v>2393</v>
      </c>
      <c r="AC106" s="57" t="s">
        <v>2631</v>
      </c>
      <c r="AD106" s="65"/>
      <c r="AE106" s="70"/>
      <c r="AF106" s="67" t="str">
        <f t="shared" si="21"/>
        <v>NORMAL</v>
      </c>
      <c r="AG106" s="67" t="str">
        <f t="shared" si="20"/>
        <v>NORMAL</v>
      </c>
      <c r="AH106" s="67" t="str">
        <f t="shared" si="22"/>
        <v>DISABLE</v>
      </c>
      <c r="AI106" s="71" t="str">
        <f t="shared" si="9"/>
        <v>N/A</v>
      </c>
      <c r="AJ106" s="189" t="b">
        <v>1</v>
      </c>
      <c r="AK106" s="189" t="b">
        <v>1</v>
      </c>
      <c r="AL106" s="189" t="b">
        <v>1</v>
      </c>
      <c r="AM106" s="189" t="b">
        <v>1</v>
      </c>
      <c r="AN106" s="189" t="b">
        <v>1</v>
      </c>
      <c r="AO106" s="189" t="b">
        <v>1</v>
      </c>
      <c r="AP106" s="69" t="str">
        <f t="shared" si="23"/>
        <v>VALID</v>
      </c>
      <c r="AQ106" s="166" t="s">
        <v>169</v>
      </c>
      <c r="AR106" s="194" t="s">
        <v>861</v>
      </c>
      <c r="AS106" s="193"/>
      <c r="AT106" s="72"/>
      <c r="AU106" s="72"/>
      <c r="AV106" s="72"/>
      <c r="AW106" s="72"/>
      <c r="AX106" s="72"/>
      <c r="AY106" s="72"/>
      <c r="AZ106" s="193"/>
      <c r="BA106" s="193"/>
      <c r="BB106" s="8"/>
      <c r="BC106" s="140"/>
      <c r="BD106" s="11" t="s">
        <v>169</v>
      </c>
      <c r="BE106" s="242" t="s">
        <v>876</v>
      </c>
    </row>
    <row r="107" spans="1:57" ht="12.95" hidden="1" customHeight="1">
      <c r="A107" s="248" t="e">
        <v>#N/A</v>
      </c>
      <c r="B107" s="252" t="e">
        <v>#N/A</v>
      </c>
      <c r="C107" s="263" t="s">
        <v>170</v>
      </c>
      <c r="D107" s="239" t="s">
        <v>2835</v>
      </c>
      <c r="E107" s="58"/>
      <c r="F107" s="59" t="s">
        <v>500</v>
      </c>
      <c r="G107" s="191" t="s">
        <v>2511</v>
      </c>
      <c r="H107" s="192" t="s">
        <v>170</v>
      </c>
      <c r="I107" s="61" t="s">
        <v>2511</v>
      </c>
      <c r="J107" s="61" t="s">
        <v>2511</v>
      </c>
      <c r="K107" s="62" t="s">
        <v>2511</v>
      </c>
      <c r="L107" s="60" t="s">
        <v>2511</v>
      </c>
      <c r="M107" s="61" t="s">
        <v>2523</v>
      </c>
      <c r="N107" s="61" t="s">
        <v>2511</v>
      </c>
      <c r="O107" s="61" t="s">
        <v>2511</v>
      </c>
      <c r="P107" s="62" t="s">
        <v>2511</v>
      </c>
      <c r="Q107" s="243"/>
      <c r="R107" s="243"/>
      <c r="S107" s="243"/>
      <c r="T107" s="243"/>
      <c r="U107" s="244"/>
      <c r="V107" s="138" t="s">
        <v>2836</v>
      </c>
      <c r="W107" s="57" t="s">
        <v>2824</v>
      </c>
      <c r="X107" s="126" t="s">
        <v>2511</v>
      </c>
      <c r="Y107" s="126" t="s">
        <v>2511</v>
      </c>
      <c r="Z107" s="57" t="s">
        <v>2828</v>
      </c>
      <c r="AA107" s="57" t="s">
        <v>2829</v>
      </c>
      <c r="AB107" s="57" t="s">
        <v>900</v>
      </c>
      <c r="AC107" s="57" t="s">
        <v>2548</v>
      </c>
      <c r="AD107" s="65"/>
      <c r="AE107" s="70"/>
      <c r="AF107" s="67" t="str">
        <f t="shared" si="21"/>
        <v>PULL_UP</v>
      </c>
      <c r="AG107" s="67" t="str">
        <f t="shared" si="20"/>
        <v>TRISTATE</v>
      </c>
      <c r="AH107" s="67" t="str">
        <f t="shared" si="22"/>
        <v>ENABLE</v>
      </c>
      <c r="AI107" s="71" t="str">
        <f t="shared" si="9"/>
        <v>N/A</v>
      </c>
      <c r="AJ107" s="189" t="b">
        <v>1</v>
      </c>
      <c r="AK107" s="189" t="b">
        <v>1</v>
      </c>
      <c r="AL107" s="189" t="b">
        <v>1</v>
      </c>
      <c r="AM107" s="189" t="b">
        <v>1</v>
      </c>
      <c r="AN107" s="189" t="b">
        <v>1</v>
      </c>
      <c r="AO107" s="189" t="b">
        <v>1</v>
      </c>
      <c r="AP107" s="69" t="str">
        <f t="shared" si="23"/>
        <v>VALID</v>
      </c>
      <c r="AQ107" s="166" t="s">
        <v>170</v>
      </c>
      <c r="AR107" s="194" t="s">
        <v>862</v>
      </c>
      <c r="AS107" s="193" t="s">
        <v>873</v>
      </c>
      <c r="AT107" s="72"/>
      <c r="AU107" s="72"/>
      <c r="AV107" s="72"/>
      <c r="AW107" s="72"/>
      <c r="AX107" s="72"/>
      <c r="AY107" s="72"/>
      <c r="AZ107" s="193"/>
      <c r="BA107" s="193"/>
      <c r="BB107" s="8"/>
      <c r="BC107" s="140"/>
      <c r="BD107" s="11" t="s">
        <v>170</v>
      </c>
      <c r="BE107" s="242" t="s">
        <v>876</v>
      </c>
    </row>
    <row r="108" spans="1:57" ht="12.95" hidden="1" customHeight="1">
      <c r="A108" s="248" t="e">
        <v>#N/A</v>
      </c>
      <c r="B108" s="252" t="e">
        <v>#N/A</v>
      </c>
      <c r="C108" s="263" t="s">
        <v>171</v>
      </c>
      <c r="D108" s="239" t="s">
        <v>2837</v>
      </c>
      <c r="E108" s="58"/>
      <c r="F108" s="59" t="s">
        <v>501</v>
      </c>
      <c r="G108" s="191" t="s">
        <v>2511</v>
      </c>
      <c r="H108" s="192" t="s">
        <v>171</v>
      </c>
      <c r="I108" s="61" t="s">
        <v>2511</v>
      </c>
      <c r="J108" s="61" t="s">
        <v>2511</v>
      </c>
      <c r="K108" s="62" t="s">
        <v>2511</v>
      </c>
      <c r="L108" s="60" t="s">
        <v>2511</v>
      </c>
      <c r="M108" s="61" t="s">
        <v>2523</v>
      </c>
      <c r="N108" s="61" t="s">
        <v>2511</v>
      </c>
      <c r="O108" s="61" t="s">
        <v>2511</v>
      </c>
      <c r="P108" s="62" t="s">
        <v>2511</v>
      </c>
      <c r="Q108" s="243"/>
      <c r="R108" s="243"/>
      <c r="S108" s="243"/>
      <c r="T108" s="243"/>
      <c r="U108" s="244"/>
      <c r="V108" s="205" t="s">
        <v>2838</v>
      </c>
      <c r="W108" s="57" t="s">
        <v>2824</v>
      </c>
      <c r="X108" s="126" t="s">
        <v>2511</v>
      </c>
      <c r="Y108" s="126" t="s">
        <v>2511</v>
      </c>
      <c r="Z108" s="57" t="s">
        <v>2828</v>
      </c>
      <c r="AA108" s="57" t="s">
        <v>2829</v>
      </c>
      <c r="AB108" s="57" t="s">
        <v>900</v>
      </c>
      <c r="AC108" s="57" t="s">
        <v>2631</v>
      </c>
      <c r="AD108" s="65"/>
      <c r="AE108" s="70"/>
      <c r="AF108" s="67" t="str">
        <f t="shared" si="21"/>
        <v>NORMAL</v>
      </c>
      <c r="AG108" s="67" t="str">
        <f t="shared" si="20"/>
        <v>TRISTATE</v>
      </c>
      <c r="AH108" s="67" t="str">
        <f t="shared" si="22"/>
        <v>ENABLE</v>
      </c>
      <c r="AI108" s="71" t="str">
        <f t="shared" si="9"/>
        <v>N/A</v>
      </c>
      <c r="AJ108" s="189" t="b">
        <v>1</v>
      </c>
      <c r="AK108" s="189" t="b">
        <v>1</v>
      </c>
      <c r="AL108" s="189" t="b">
        <v>1</v>
      </c>
      <c r="AM108" s="189" t="b">
        <v>1</v>
      </c>
      <c r="AN108" s="189" t="b">
        <v>1</v>
      </c>
      <c r="AO108" s="189" t="b">
        <v>1</v>
      </c>
      <c r="AP108" s="69" t="str">
        <f t="shared" si="23"/>
        <v>VALID</v>
      </c>
      <c r="AQ108" s="164" t="s">
        <v>171</v>
      </c>
      <c r="AR108" s="194" t="s">
        <v>862</v>
      </c>
      <c r="AS108" s="193"/>
      <c r="AT108" s="140"/>
      <c r="AU108" s="140"/>
      <c r="AV108" s="140"/>
      <c r="AW108" s="140"/>
      <c r="AX108" s="140"/>
      <c r="AY108" s="140"/>
      <c r="AZ108" s="193"/>
      <c r="BA108" s="193" t="s">
        <v>2489</v>
      </c>
      <c r="BB108" s="143"/>
      <c r="BC108" s="140"/>
      <c r="BD108" s="11" t="s">
        <v>171</v>
      </c>
      <c r="BE108" s="242" t="s">
        <v>876</v>
      </c>
    </row>
    <row r="109" spans="1:57" ht="12.95" hidden="1" customHeight="1">
      <c r="A109" s="248" t="e">
        <v>#N/A</v>
      </c>
      <c r="B109" s="252" t="e">
        <v>#N/A</v>
      </c>
      <c r="C109" s="263" t="s">
        <v>172</v>
      </c>
      <c r="D109" s="239" t="s">
        <v>2839</v>
      </c>
      <c r="E109" s="58"/>
      <c r="F109" s="59" t="s">
        <v>502</v>
      </c>
      <c r="G109" s="191" t="s">
        <v>2511</v>
      </c>
      <c r="H109" s="192" t="s">
        <v>172</v>
      </c>
      <c r="I109" s="61" t="s">
        <v>2511</v>
      </c>
      <c r="J109" s="61" t="s">
        <v>2511</v>
      </c>
      <c r="K109" s="62" t="s">
        <v>2511</v>
      </c>
      <c r="L109" s="60" t="s">
        <v>2511</v>
      </c>
      <c r="M109" s="61" t="s">
        <v>2523</v>
      </c>
      <c r="N109" s="61" t="s">
        <v>2511</v>
      </c>
      <c r="O109" s="61" t="s">
        <v>2511</v>
      </c>
      <c r="P109" s="62" t="s">
        <v>2511</v>
      </c>
      <c r="Q109" s="243"/>
      <c r="R109" s="243"/>
      <c r="S109" s="243"/>
      <c r="T109" s="243"/>
      <c r="U109" s="244"/>
      <c r="V109" s="137" t="s">
        <v>2840</v>
      </c>
      <c r="W109" s="57" t="s">
        <v>2824</v>
      </c>
      <c r="X109" s="126" t="s">
        <v>2511</v>
      </c>
      <c r="Y109" s="126" t="s">
        <v>2511</v>
      </c>
      <c r="Z109" s="57" t="s">
        <v>2828</v>
      </c>
      <c r="AA109" s="57" t="s">
        <v>2829</v>
      </c>
      <c r="AB109" s="57" t="s">
        <v>900</v>
      </c>
      <c r="AC109" s="57" t="s">
        <v>2548</v>
      </c>
      <c r="AD109" s="65"/>
      <c r="AE109" s="70"/>
      <c r="AF109" s="67" t="str">
        <f t="shared" si="21"/>
        <v>PULL_UP</v>
      </c>
      <c r="AG109" s="67" t="str">
        <f t="shared" si="20"/>
        <v>TRISTATE</v>
      </c>
      <c r="AH109" s="67" t="str">
        <f t="shared" si="22"/>
        <v>ENABLE</v>
      </c>
      <c r="AI109" s="71" t="str">
        <f t="shared" si="9"/>
        <v>N/A</v>
      </c>
      <c r="AJ109" s="189" t="b">
        <v>1</v>
      </c>
      <c r="AK109" s="189" t="b">
        <v>1</v>
      </c>
      <c r="AL109" s="189" t="b">
        <v>1</v>
      </c>
      <c r="AM109" s="189" t="b">
        <v>1</v>
      </c>
      <c r="AN109" s="189" t="b">
        <v>1</v>
      </c>
      <c r="AO109" s="189" t="b">
        <v>1</v>
      </c>
      <c r="AP109" s="69" t="str">
        <f t="shared" si="23"/>
        <v>VALID</v>
      </c>
      <c r="AQ109" s="166" t="s">
        <v>172</v>
      </c>
      <c r="AR109" s="194" t="s">
        <v>862</v>
      </c>
      <c r="AS109" s="193" t="s">
        <v>873</v>
      </c>
      <c r="AT109" s="72"/>
      <c r="AU109" s="72"/>
      <c r="AV109" s="72"/>
      <c r="AW109" s="72"/>
      <c r="AX109" s="72"/>
      <c r="AY109" s="72"/>
      <c r="AZ109" s="193"/>
      <c r="BA109" s="193"/>
      <c r="BB109" s="8"/>
      <c r="BC109" s="140"/>
      <c r="BD109" s="11" t="s">
        <v>172</v>
      </c>
      <c r="BE109" s="242" t="s">
        <v>876</v>
      </c>
    </row>
    <row r="110" spans="1:57" ht="12.95" hidden="1" customHeight="1">
      <c r="A110" s="248" t="e">
        <v>#N/A</v>
      </c>
      <c r="B110" s="252" t="e">
        <v>#N/A</v>
      </c>
      <c r="C110" s="263" t="s">
        <v>743</v>
      </c>
      <c r="D110" s="239" t="s">
        <v>2841</v>
      </c>
      <c r="E110" s="58"/>
      <c r="F110" s="59" t="s">
        <v>800</v>
      </c>
      <c r="G110" s="191" t="s">
        <v>2511</v>
      </c>
      <c r="H110" s="192" t="s">
        <v>743</v>
      </c>
      <c r="I110" s="61" t="s">
        <v>2511</v>
      </c>
      <c r="J110" s="61" t="s">
        <v>2511</v>
      </c>
      <c r="K110" s="62" t="s">
        <v>2511</v>
      </c>
      <c r="L110" s="60" t="s">
        <v>2511</v>
      </c>
      <c r="M110" s="61" t="s">
        <v>2523</v>
      </c>
      <c r="N110" s="61" t="s">
        <v>2511</v>
      </c>
      <c r="O110" s="61" t="s">
        <v>2511</v>
      </c>
      <c r="P110" s="62" t="s">
        <v>2511</v>
      </c>
      <c r="Q110" s="243"/>
      <c r="R110" s="243"/>
      <c r="S110" s="243"/>
      <c r="T110" s="243"/>
      <c r="U110" s="244"/>
      <c r="V110" s="138" t="s">
        <v>2842</v>
      </c>
      <c r="W110" s="57" t="s">
        <v>2824</v>
      </c>
      <c r="X110" s="126" t="s">
        <v>2511</v>
      </c>
      <c r="Y110" s="126" t="s">
        <v>2511</v>
      </c>
      <c r="Z110" s="57" t="s">
        <v>2828</v>
      </c>
      <c r="AA110" s="57" t="s">
        <v>2829</v>
      </c>
      <c r="AB110" s="57" t="s">
        <v>900</v>
      </c>
      <c r="AC110" s="57" t="s">
        <v>2631</v>
      </c>
      <c r="AD110" s="65"/>
      <c r="AE110" s="70"/>
      <c r="AF110" s="67" t="str">
        <f t="shared" si="21"/>
        <v>NORMAL</v>
      </c>
      <c r="AG110" s="67" t="str">
        <f t="shared" si="20"/>
        <v>TRISTATE</v>
      </c>
      <c r="AH110" s="67" t="str">
        <f t="shared" si="22"/>
        <v>ENABLE</v>
      </c>
      <c r="AI110" s="71" t="str">
        <f t="shared" si="9"/>
        <v>N/A</v>
      </c>
      <c r="AJ110" s="189" t="b">
        <v>1</v>
      </c>
      <c r="AK110" s="189" t="b">
        <v>1</v>
      </c>
      <c r="AL110" s="189" t="b">
        <v>1</v>
      </c>
      <c r="AM110" s="189" t="b">
        <v>1</v>
      </c>
      <c r="AN110" s="189" t="b">
        <v>1</v>
      </c>
      <c r="AO110" s="189" t="b">
        <v>1</v>
      </c>
      <c r="AP110" s="69" t="str">
        <f t="shared" si="23"/>
        <v>VALID</v>
      </c>
      <c r="AQ110" s="166" t="s">
        <v>743</v>
      </c>
      <c r="AR110" s="194" t="s">
        <v>862</v>
      </c>
      <c r="AS110" s="193"/>
      <c r="AT110" s="72"/>
      <c r="AU110" s="72"/>
      <c r="AV110" s="72"/>
      <c r="AW110" s="72"/>
      <c r="AX110" s="72"/>
      <c r="AY110" s="72"/>
      <c r="AZ110" s="193"/>
      <c r="BA110" s="193" t="s">
        <v>2489</v>
      </c>
      <c r="BB110" s="8"/>
      <c r="BC110" s="140"/>
      <c r="BD110" s="11" t="s">
        <v>743</v>
      </c>
      <c r="BE110" s="242" t="s">
        <v>2220</v>
      </c>
    </row>
    <row r="111" spans="1:57" s="56" customFormat="1" ht="18" hidden="1" customHeight="1">
      <c r="A111" s="365"/>
      <c r="B111" s="366"/>
      <c r="C111" s="265" t="s">
        <v>63</v>
      </c>
      <c r="D111" s="266"/>
      <c r="E111" s="73"/>
      <c r="F111" s="73" t="s">
        <v>2843</v>
      </c>
      <c r="G111" s="74"/>
      <c r="H111" s="74"/>
      <c r="I111" s="74"/>
      <c r="J111" s="74"/>
      <c r="K111" s="74"/>
      <c r="L111" s="73"/>
      <c r="M111" s="73"/>
      <c r="N111" s="73"/>
      <c r="O111" s="73"/>
      <c r="P111" s="73"/>
      <c r="Q111" s="200"/>
      <c r="R111" s="200"/>
      <c r="S111" s="200"/>
      <c r="T111" s="200"/>
      <c r="U111" s="200"/>
      <c r="V111" s="200"/>
      <c r="W111" s="73"/>
      <c r="X111" s="127"/>
      <c r="Y111" s="127"/>
      <c r="Z111" s="75"/>
      <c r="AA111" s="75"/>
      <c r="AB111" s="75"/>
      <c r="AC111" s="75"/>
      <c r="AD111" s="75"/>
      <c r="AE111" s="75"/>
      <c r="AF111" s="75"/>
      <c r="AG111" s="75"/>
      <c r="AH111" s="75"/>
      <c r="AI111" s="75"/>
      <c r="AJ111" s="53"/>
      <c r="AK111" s="53"/>
      <c r="AL111" s="53"/>
      <c r="AM111" s="53"/>
      <c r="AN111" s="53"/>
      <c r="AO111" s="53"/>
      <c r="AP111" s="53"/>
      <c r="AQ111" s="54"/>
      <c r="AR111" s="76"/>
      <c r="AS111" s="77"/>
      <c r="AT111" s="77"/>
      <c r="AU111" s="77"/>
      <c r="AV111" s="77"/>
      <c r="AW111" s="77"/>
      <c r="AX111" s="77"/>
      <c r="AY111" s="77"/>
      <c r="AZ111" s="77"/>
      <c r="BA111" s="77"/>
      <c r="BB111" s="77"/>
      <c r="BC111" s="175" t="s">
        <v>59</v>
      </c>
      <c r="BD111" s="77"/>
      <c r="BE111" s="259" t="s">
        <v>63</v>
      </c>
    </row>
    <row r="112" spans="1:57" ht="12.95" hidden="1" customHeight="1">
      <c r="A112" s="248" t="e">
        <v>#N/A</v>
      </c>
      <c r="B112" s="252" t="e">
        <v>#N/A</v>
      </c>
      <c r="C112" s="263" t="s">
        <v>740</v>
      </c>
      <c r="D112" s="239" t="s">
        <v>2844</v>
      </c>
      <c r="E112" s="58"/>
      <c r="F112" s="59" t="s">
        <v>799</v>
      </c>
      <c r="G112" s="191" t="s">
        <v>2166</v>
      </c>
      <c r="H112" s="192" t="s">
        <v>2511</v>
      </c>
      <c r="I112" s="61" t="s">
        <v>2511</v>
      </c>
      <c r="J112" s="61" t="s">
        <v>2511</v>
      </c>
      <c r="K112" s="62" t="s">
        <v>2511</v>
      </c>
      <c r="L112" s="60" t="s">
        <v>2389</v>
      </c>
      <c r="M112" s="61" t="s">
        <v>2511</v>
      </c>
      <c r="N112" s="61" t="s">
        <v>2511</v>
      </c>
      <c r="O112" s="61" t="s">
        <v>2511</v>
      </c>
      <c r="P112" s="62" t="s">
        <v>2511</v>
      </c>
      <c r="Q112" s="63" t="s">
        <v>552</v>
      </c>
      <c r="R112" s="63" t="s">
        <v>126</v>
      </c>
      <c r="S112" s="63" t="s">
        <v>112</v>
      </c>
      <c r="T112" s="63" t="s">
        <v>113</v>
      </c>
      <c r="U112" s="64" t="s">
        <v>552</v>
      </c>
      <c r="V112" s="63" t="s">
        <v>2845</v>
      </c>
      <c r="W112" s="57" t="s">
        <v>2846</v>
      </c>
      <c r="X112" s="126" t="s">
        <v>2511</v>
      </c>
      <c r="Y112" s="126" t="s">
        <v>2511</v>
      </c>
      <c r="Z112" s="57" t="s">
        <v>2514</v>
      </c>
      <c r="AA112" s="57" t="s">
        <v>2515</v>
      </c>
      <c r="AB112" s="57" t="s">
        <v>2393</v>
      </c>
      <c r="AC112" s="57">
        <v>0</v>
      </c>
      <c r="AD112" s="65" t="str">
        <f t="shared" ref="AD112:AD135" si="24">IF(OR($AQ112="",$AQ112=$F112),$U112,IF($AQ112=$G112,SUBSTITUTE(SUBSTITUTE($AQ112,"GPIO3_","GPIO_"),".0",""),IF($AQ112=$H112,$Q112,IF($AQ112=$I112,$R112,IF($AQ112=$J112,$S112,IF($AQ112=$K112,$T112,"INVALID"))))))</f>
        <v>GPIO_PX0</v>
      </c>
      <c r="AE112" s="70"/>
      <c r="AF112" s="67" t="str">
        <f t="shared" ref="AF112:AF135" si="25">IF(AND(OR($AS112="Int PU",$AS112="Int PD"),OR(AND($AZ112&lt;&gt;"",$AZ112&lt;&gt;"0"),AND($BA112&lt;&gt;"",$BA112&lt;&gt;"0"))),"INVALID",IF(OR($AQ112=$F112,$AS112="Int PD"),"PULL_DOWN",IF(OR($AS112="Int PU",AND($AE112="YES",OR($AZ112="",$AZ112="0"),OR($BA112="",$BA112="0"),OR($AR112="Input",$AR112="Bidirectional"))),"PULL_UP","NORMAL")))</f>
        <v>NORMAL</v>
      </c>
      <c r="AG112" s="67" t="str">
        <f t="shared" ref="AG112:AG135" si="26">IF($AR112="Input", "TRISTATE", IF($AS112="Z","TRISTATE",IF($AQ112=$F112,"TRISTATE","NORMAL")))</f>
        <v>NORMAL</v>
      </c>
      <c r="AH112" s="67" t="str">
        <f t="shared" ref="AH112:AH135" si="27">IF(OR($AQ112=$F112,$AR112="Output"),"DISABLE","ENABLE")</f>
        <v>DISABLE</v>
      </c>
      <c r="AI112" s="71" t="str">
        <f t="shared" ref="AI112:AI135" si="28">IF($AQ112&lt;&gt;$G112,"N/A",IF($AS112="Drive 1", "1", IF($AS112="Drive 0", "0", "")))</f>
        <v>0</v>
      </c>
      <c r="AJ112" s="189" t="b">
        <v>1</v>
      </c>
      <c r="AK112" s="189" t="b">
        <v>1</v>
      </c>
      <c r="AL112" s="189" t="b">
        <v>1</v>
      </c>
      <c r="AM112" s="189" t="b">
        <v>1</v>
      </c>
      <c r="AN112" s="189" t="b">
        <v>1</v>
      </c>
      <c r="AO112" s="189" t="b">
        <v>1</v>
      </c>
      <c r="AP112" s="69" t="str">
        <f t="shared" ref="AP112:AP135" si="29">IF(AND($AJ112:$AO112), "VALID", "INVALID")</f>
        <v>VALID</v>
      </c>
      <c r="AQ112" s="168" t="s">
        <v>2166</v>
      </c>
      <c r="AR112" s="2" t="s">
        <v>861</v>
      </c>
      <c r="AS112" s="4" t="s">
        <v>874</v>
      </c>
      <c r="AT112" s="3"/>
      <c r="AU112" s="184"/>
      <c r="AV112" s="184"/>
      <c r="AW112" s="3"/>
      <c r="AX112" s="188" t="s">
        <v>136</v>
      </c>
      <c r="AY112" s="22"/>
      <c r="AZ112" s="4"/>
      <c r="BA112" s="4"/>
      <c r="BB112" s="13" t="s">
        <v>114</v>
      </c>
      <c r="BC112" s="139"/>
      <c r="BD112" s="17" t="s">
        <v>740</v>
      </c>
      <c r="BE112" s="311" t="s">
        <v>5545</v>
      </c>
    </row>
    <row r="113" spans="1:57" ht="12.95" hidden="1" customHeight="1">
      <c r="A113" s="248" t="e">
        <v>#N/A</v>
      </c>
      <c r="B113" s="252" t="e">
        <v>#N/A</v>
      </c>
      <c r="C113" s="263" t="s">
        <v>999</v>
      </c>
      <c r="D113" s="239" t="s">
        <v>2847</v>
      </c>
      <c r="E113" s="58"/>
      <c r="F113" s="59" t="s">
        <v>1815</v>
      </c>
      <c r="G113" s="191" t="s">
        <v>2167</v>
      </c>
      <c r="H113" s="192" t="s">
        <v>2511</v>
      </c>
      <c r="I113" s="61" t="s">
        <v>2511</v>
      </c>
      <c r="J113" s="61" t="s">
        <v>2511</v>
      </c>
      <c r="K113" s="62" t="s">
        <v>2511</v>
      </c>
      <c r="L113" s="60" t="s">
        <v>2389</v>
      </c>
      <c r="M113" s="61" t="s">
        <v>2511</v>
      </c>
      <c r="N113" s="61" t="s">
        <v>2511</v>
      </c>
      <c r="O113" s="61" t="s">
        <v>2511</v>
      </c>
      <c r="P113" s="62" t="s">
        <v>2511</v>
      </c>
      <c r="Q113" s="57" t="s">
        <v>552</v>
      </c>
      <c r="R113" s="63" t="s">
        <v>126</v>
      </c>
      <c r="S113" s="63" t="s">
        <v>112</v>
      </c>
      <c r="T113" s="63" t="s">
        <v>113</v>
      </c>
      <c r="U113" s="64" t="s">
        <v>552</v>
      </c>
      <c r="V113" s="63" t="s">
        <v>2848</v>
      </c>
      <c r="W113" s="57" t="s">
        <v>2846</v>
      </c>
      <c r="X113" s="126" t="s">
        <v>2511</v>
      </c>
      <c r="Y113" s="126" t="s">
        <v>2511</v>
      </c>
      <c r="Z113" s="57" t="s">
        <v>2514</v>
      </c>
      <c r="AA113" s="57" t="s">
        <v>2515</v>
      </c>
      <c r="AB113" s="57" t="s">
        <v>2393</v>
      </c>
      <c r="AC113" s="57">
        <v>0</v>
      </c>
      <c r="AD113" s="65" t="str">
        <f t="shared" si="24"/>
        <v>RSVD0</v>
      </c>
      <c r="AE113" s="70"/>
      <c r="AF113" s="67" t="str">
        <f t="shared" si="25"/>
        <v>PULL_DOWN</v>
      </c>
      <c r="AG113" s="67" t="str">
        <f t="shared" si="26"/>
        <v>TRISTATE</v>
      </c>
      <c r="AH113" s="67" t="str">
        <f t="shared" si="27"/>
        <v>DISABLE</v>
      </c>
      <c r="AI113" s="71" t="str">
        <f t="shared" si="28"/>
        <v>N/A</v>
      </c>
      <c r="AJ113" s="189" t="b">
        <v>1</v>
      </c>
      <c r="AK113" s="189" t="b">
        <v>1</v>
      </c>
      <c r="AL113" s="189" t="b">
        <v>1</v>
      </c>
      <c r="AM113" s="189" t="b">
        <v>1</v>
      </c>
      <c r="AN113" s="189" t="b">
        <v>1</v>
      </c>
      <c r="AO113" s="189" t="b">
        <v>1</v>
      </c>
      <c r="AP113" s="69" t="str">
        <f t="shared" si="29"/>
        <v>VALID</v>
      </c>
      <c r="AQ113" s="178" t="s">
        <v>1815</v>
      </c>
      <c r="AR113" s="179" t="s">
        <v>79</v>
      </c>
      <c r="AS113" s="180"/>
      <c r="AT113" s="22"/>
      <c r="AU113" s="181"/>
      <c r="AV113" s="181"/>
      <c r="AW113" s="22"/>
      <c r="AX113" s="188" t="s">
        <v>136</v>
      </c>
      <c r="AY113" s="22"/>
      <c r="AZ113" s="180"/>
      <c r="BA113" s="180"/>
      <c r="BB113" s="182" t="s">
        <v>114</v>
      </c>
      <c r="BC113" s="183"/>
      <c r="BD113" s="147" t="s">
        <v>83</v>
      </c>
      <c r="BE113" s="147" t="s">
        <v>83</v>
      </c>
    </row>
    <row r="114" spans="1:57" ht="12.95" hidden="1" customHeight="1">
      <c r="A114" s="248" t="e">
        <v>#N/A</v>
      </c>
      <c r="B114" s="252" t="e">
        <v>#N/A</v>
      </c>
      <c r="C114" s="263" t="s">
        <v>958</v>
      </c>
      <c r="D114" s="239" t="s">
        <v>2849</v>
      </c>
      <c r="E114" s="58"/>
      <c r="F114" s="59" t="s">
        <v>1816</v>
      </c>
      <c r="G114" s="191" t="s">
        <v>2850</v>
      </c>
      <c r="H114" s="192" t="s">
        <v>958</v>
      </c>
      <c r="I114" s="61" t="s">
        <v>2511</v>
      </c>
      <c r="J114" s="61" t="s">
        <v>2511</v>
      </c>
      <c r="K114" s="62" t="s">
        <v>2511</v>
      </c>
      <c r="L114" s="60" t="s">
        <v>2389</v>
      </c>
      <c r="M114" s="61" t="s">
        <v>2388</v>
      </c>
      <c r="N114" s="61" t="s">
        <v>2511</v>
      </c>
      <c r="O114" s="61" t="s">
        <v>2511</v>
      </c>
      <c r="P114" s="62" t="s">
        <v>2511</v>
      </c>
      <c r="Q114" s="57" t="s">
        <v>2425</v>
      </c>
      <c r="R114" s="63" t="s">
        <v>126</v>
      </c>
      <c r="S114" s="63" t="s">
        <v>112</v>
      </c>
      <c r="T114" s="63" t="s">
        <v>113</v>
      </c>
      <c r="U114" s="64" t="s">
        <v>126</v>
      </c>
      <c r="V114" s="63" t="s">
        <v>2851</v>
      </c>
      <c r="W114" s="57" t="s">
        <v>2846</v>
      </c>
      <c r="X114" s="126" t="s">
        <v>2511</v>
      </c>
      <c r="Y114" s="126" t="s">
        <v>2511</v>
      </c>
      <c r="Z114" s="57" t="s">
        <v>2514</v>
      </c>
      <c r="AA114" s="57" t="s">
        <v>2515</v>
      </c>
      <c r="AB114" s="57" t="s">
        <v>2393</v>
      </c>
      <c r="AC114" s="57" t="s">
        <v>2631</v>
      </c>
      <c r="AD114" s="65" t="str">
        <f t="shared" si="24"/>
        <v>GP</v>
      </c>
      <c r="AE114" s="70"/>
      <c r="AF114" s="67" t="str">
        <f t="shared" si="25"/>
        <v>NORMAL</v>
      </c>
      <c r="AG114" s="67" t="str">
        <f t="shared" si="26"/>
        <v>TRISTATE</v>
      </c>
      <c r="AH114" s="67" t="str">
        <f t="shared" si="27"/>
        <v>DISABLE</v>
      </c>
      <c r="AI114" s="71" t="str">
        <f t="shared" si="28"/>
        <v>N/A</v>
      </c>
      <c r="AJ114" s="189" t="b">
        <v>1</v>
      </c>
      <c r="AK114" s="189" t="b">
        <v>1</v>
      </c>
      <c r="AL114" s="189" t="b">
        <v>1</v>
      </c>
      <c r="AM114" s="189" t="b">
        <v>1</v>
      </c>
      <c r="AN114" s="189" t="b">
        <v>1</v>
      </c>
      <c r="AO114" s="189" t="b">
        <v>1</v>
      </c>
      <c r="AP114" s="69" t="str">
        <f t="shared" si="29"/>
        <v>VALID</v>
      </c>
      <c r="AQ114" s="166" t="s">
        <v>958</v>
      </c>
      <c r="AR114" s="194" t="s">
        <v>861</v>
      </c>
      <c r="AS114" s="193" t="s">
        <v>895</v>
      </c>
      <c r="AT114" s="72"/>
      <c r="AU114" s="140"/>
      <c r="AV114" s="140"/>
      <c r="AW114" s="72"/>
      <c r="AX114" s="188" t="s">
        <v>136</v>
      </c>
      <c r="AY114" s="72"/>
      <c r="AZ114" s="193"/>
      <c r="BA114" s="193"/>
      <c r="BB114" s="8"/>
      <c r="BC114" s="140"/>
      <c r="BD114" s="11" t="s">
        <v>5567</v>
      </c>
      <c r="BE114" s="311" t="s">
        <v>5546</v>
      </c>
    </row>
    <row r="115" spans="1:57" ht="12.95" hidden="1" customHeight="1">
      <c r="A115" s="248" t="e">
        <v>#N/A</v>
      </c>
      <c r="B115" s="252" t="e">
        <v>#N/A</v>
      </c>
      <c r="C115" s="263" t="s">
        <v>1000</v>
      </c>
      <c r="D115" s="239" t="s">
        <v>2852</v>
      </c>
      <c r="E115" s="58"/>
      <c r="F115" s="59" t="s">
        <v>1817</v>
      </c>
      <c r="G115" s="191" t="s">
        <v>2853</v>
      </c>
      <c r="H115" s="192" t="s">
        <v>1000</v>
      </c>
      <c r="I115" s="61" t="s">
        <v>2511</v>
      </c>
      <c r="J115" s="61" t="s">
        <v>2511</v>
      </c>
      <c r="K115" s="62" t="s">
        <v>2511</v>
      </c>
      <c r="L115" s="60" t="s">
        <v>2389</v>
      </c>
      <c r="M115" s="61" t="s">
        <v>2388</v>
      </c>
      <c r="N115" s="61" t="s">
        <v>2511</v>
      </c>
      <c r="O115" s="61" t="s">
        <v>2511</v>
      </c>
      <c r="P115" s="62" t="s">
        <v>2511</v>
      </c>
      <c r="Q115" s="57" t="s">
        <v>2425</v>
      </c>
      <c r="R115" s="63" t="s">
        <v>126</v>
      </c>
      <c r="S115" s="63" t="s">
        <v>112</v>
      </c>
      <c r="T115" s="63" t="s">
        <v>113</v>
      </c>
      <c r="U115" s="64" t="s">
        <v>126</v>
      </c>
      <c r="V115" s="63" t="s">
        <v>2854</v>
      </c>
      <c r="W115" s="57" t="s">
        <v>2846</v>
      </c>
      <c r="X115" s="126" t="s">
        <v>2511</v>
      </c>
      <c r="Y115" s="126" t="s">
        <v>2511</v>
      </c>
      <c r="Z115" s="57" t="s">
        <v>2514</v>
      </c>
      <c r="AA115" s="57" t="s">
        <v>2515</v>
      </c>
      <c r="AB115" s="57" t="s">
        <v>2393</v>
      </c>
      <c r="AC115" s="57" t="s">
        <v>2631</v>
      </c>
      <c r="AD115" s="65" t="str">
        <f t="shared" si="24"/>
        <v>RSVD1</v>
      </c>
      <c r="AE115" s="70"/>
      <c r="AF115" s="67" t="str">
        <f t="shared" si="25"/>
        <v>PULL_DOWN</v>
      </c>
      <c r="AG115" s="67" t="str">
        <f t="shared" si="26"/>
        <v>TRISTATE</v>
      </c>
      <c r="AH115" s="67" t="str">
        <f t="shared" si="27"/>
        <v>DISABLE</v>
      </c>
      <c r="AI115" s="71" t="str">
        <f t="shared" si="28"/>
        <v>N/A</v>
      </c>
      <c r="AJ115" s="189" t="b">
        <v>1</v>
      </c>
      <c r="AK115" s="189" t="b">
        <v>1</v>
      </c>
      <c r="AL115" s="189" t="b">
        <v>1</v>
      </c>
      <c r="AM115" s="189" t="b">
        <v>1</v>
      </c>
      <c r="AN115" s="189" t="b">
        <v>1</v>
      </c>
      <c r="AO115" s="189" t="b">
        <v>1</v>
      </c>
      <c r="AP115" s="69" t="str">
        <f t="shared" si="29"/>
        <v>VALID</v>
      </c>
      <c r="AQ115" s="166" t="s">
        <v>1817</v>
      </c>
      <c r="AR115" s="194" t="s">
        <v>79</v>
      </c>
      <c r="AS115" s="193"/>
      <c r="AT115" s="72"/>
      <c r="AU115" s="140"/>
      <c r="AV115" s="140"/>
      <c r="AW115" s="72"/>
      <c r="AX115" s="188" t="s">
        <v>136</v>
      </c>
      <c r="AY115" s="72"/>
      <c r="AZ115" s="193"/>
      <c r="BA115" s="193"/>
      <c r="BB115" s="8"/>
      <c r="BC115" s="140"/>
      <c r="BD115" s="147" t="s">
        <v>83</v>
      </c>
      <c r="BE115" s="147" t="s">
        <v>83</v>
      </c>
    </row>
    <row r="116" spans="1:57" ht="12.95" customHeight="1">
      <c r="A116" s="247" t="s">
        <v>5496</v>
      </c>
      <c r="B116" s="251">
        <v>99</v>
      </c>
      <c r="C116" s="239" t="s">
        <v>278</v>
      </c>
      <c r="D116" s="239" t="s">
        <v>2855</v>
      </c>
      <c r="E116" s="58"/>
      <c r="F116" s="59" t="s">
        <v>492</v>
      </c>
      <c r="G116" s="191" t="s">
        <v>2856</v>
      </c>
      <c r="H116" s="192" t="s">
        <v>926</v>
      </c>
      <c r="I116" s="61" t="s">
        <v>2511</v>
      </c>
      <c r="J116" s="61" t="s">
        <v>2511</v>
      </c>
      <c r="K116" s="62" t="s">
        <v>2511</v>
      </c>
      <c r="L116" s="60" t="s">
        <v>2389</v>
      </c>
      <c r="M116" s="61" t="s">
        <v>2388</v>
      </c>
      <c r="N116" s="61" t="s">
        <v>2511</v>
      </c>
      <c r="O116" s="61" t="s">
        <v>2511</v>
      </c>
      <c r="P116" s="62" t="s">
        <v>2511</v>
      </c>
      <c r="Q116" s="57" t="s">
        <v>183</v>
      </c>
      <c r="R116" s="63" t="s">
        <v>126</v>
      </c>
      <c r="S116" s="63" t="s">
        <v>112</v>
      </c>
      <c r="T116" s="63" t="s">
        <v>113</v>
      </c>
      <c r="U116" s="64" t="s">
        <v>126</v>
      </c>
      <c r="V116" s="63" t="s">
        <v>2857</v>
      </c>
      <c r="W116" s="57" t="s">
        <v>2846</v>
      </c>
      <c r="X116" s="126" t="s">
        <v>2511</v>
      </c>
      <c r="Y116" s="126" t="s">
        <v>2858</v>
      </c>
      <c r="Z116" s="57" t="s">
        <v>2817</v>
      </c>
      <c r="AA116" s="57" t="s">
        <v>2859</v>
      </c>
      <c r="AB116" s="57" t="s">
        <v>2393</v>
      </c>
      <c r="AC116" s="57" t="s">
        <v>2516</v>
      </c>
      <c r="AD116" s="65" t="str">
        <f t="shared" si="24"/>
        <v>UARTB</v>
      </c>
      <c r="AE116" s="70"/>
      <c r="AF116" s="67" t="str">
        <f t="shared" si="25"/>
        <v>NORMAL</v>
      </c>
      <c r="AG116" s="67" t="str">
        <f t="shared" si="26"/>
        <v>NORMAL</v>
      </c>
      <c r="AH116" s="67" t="str">
        <f t="shared" si="27"/>
        <v>DISABLE</v>
      </c>
      <c r="AI116" s="71" t="str">
        <f t="shared" si="28"/>
        <v>N/A</v>
      </c>
      <c r="AJ116" s="189" t="b">
        <v>1</v>
      </c>
      <c r="AK116" s="189" t="b">
        <v>1</v>
      </c>
      <c r="AL116" s="189" t="b">
        <v>1</v>
      </c>
      <c r="AM116" s="189" t="b">
        <v>1</v>
      </c>
      <c r="AN116" s="189" t="b">
        <v>1</v>
      </c>
      <c r="AO116" s="189" t="b">
        <v>1</v>
      </c>
      <c r="AP116" s="69" t="str">
        <f t="shared" si="29"/>
        <v>VALID</v>
      </c>
      <c r="AQ116" s="166" t="s">
        <v>926</v>
      </c>
      <c r="AR116" s="194" t="s">
        <v>861</v>
      </c>
      <c r="AS116" s="193"/>
      <c r="AT116" s="72"/>
      <c r="AU116" s="140"/>
      <c r="AV116" s="140"/>
      <c r="AW116" s="188" t="s">
        <v>136</v>
      </c>
      <c r="AX116" s="188" t="s">
        <v>136</v>
      </c>
      <c r="AY116" s="72"/>
      <c r="AZ116" s="193"/>
      <c r="BA116" s="193"/>
      <c r="BB116" s="8"/>
      <c r="BC116" s="140"/>
      <c r="BD116" s="11" t="s">
        <v>5568</v>
      </c>
      <c r="BE116" s="333" t="s">
        <v>5547</v>
      </c>
    </row>
    <row r="117" spans="1:57" ht="12.95" customHeight="1">
      <c r="A117" s="247" t="s">
        <v>5497</v>
      </c>
      <c r="B117" s="251">
        <v>101</v>
      </c>
      <c r="C117" s="239" t="s">
        <v>279</v>
      </c>
      <c r="D117" s="239" t="s">
        <v>2860</v>
      </c>
      <c r="E117" s="58"/>
      <c r="F117" s="59" t="s">
        <v>560</v>
      </c>
      <c r="G117" s="191" t="s">
        <v>2861</v>
      </c>
      <c r="H117" s="192" t="s">
        <v>927</v>
      </c>
      <c r="I117" s="61" t="s">
        <v>2511</v>
      </c>
      <c r="J117" s="61" t="s">
        <v>2511</v>
      </c>
      <c r="K117" s="62" t="s">
        <v>2511</v>
      </c>
      <c r="L117" s="60" t="s">
        <v>2389</v>
      </c>
      <c r="M117" s="61" t="s">
        <v>2523</v>
      </c>
      <c r="N117" s="61" t="s">
        <v>2511</v>
      </c>
      <c r="O117" s="61" t="s">
        <v>2511</v>
      </c>
      <c r="P117" s="62" t="s">
        <v>2511</v>
      </c>
      <c r="Q117" s="57" t="s">
        <v>183</v>
      </c>
      <c r="R117" s="63" t="s">
        <v>126</v>
      </c>
      <c r="S117" s="63" t="s">
        <v>112</v>
      </c>
      <c r="T117" s="63" t="s">
        <v>113</v>
      </c>
      <c r="U117" s="64" t="s">
        <v>126</v>
      </c>
      <c r="V117" s="63" t="s">
        <v>2862</v>
      </c>
      <c r="W117" s="57" t="s">
        <v>2846</v>
      </c>
      <c r="X117" s="126" t="s">
        <v>2511</v>
      </c>
      <c r="Y117" s="126" t="s">
        <v>2511</v>
      </c>
      <c r="Z117" s="57" t="s">
        <v>2817</v>
      </c>
      <c r="AA117" s="57" t="s">
        <v>2859</v>
      </c>
      <c r="AB117" s="57" t="s">
        <v>2393</v>
      </c>
      <c r="AC117" s="57" t="s">
        <v>2516</v>
      </c>
      <c r="AD117" s="65" t="str">
        <f t="shared" si="24"/>
        <v>UARTB</v>
      </c>
      <c r="AE117" s="70"/>
      <c r="AF117" s="67" t="str">
        <f t="shared" si="25"/>
        <v>NORMAL</v>
      </c>
      <c r="AG117" s="67" t="str">
        <f t="shared" si="26"/>
        <v>TRISTATE</v>
      </c>
      <c r="AH117" s="67" t="str">
        <f t="shared" si="27"/>
        <v>ENABLE</v>
      </c>
      <c r="AI117" s="71" t="str">
        <f t="shared" si="28"/>
        <v>N/A</v>
      </c>
      <c r="AJ117" s="189" t="b">
        <v>1</v>
      </c>
      <c r="AK117" s="189" t="b">
        <v>1</v>
      </c>
      <c r="AL117" s="189" t="b">
        <v>1</v>
      </c>
      <c r="AM117" s="189" t="b">
        <v>1</v>
      </c>
      <c r="AN117" s="189" t="b">
        <v>1</v>
      </c>
      <c r="AO117" s="189" t="b">
        <v>1</v>
      </c>
      <c r="AP117" s="69" t="str">
        <f t="shared" si="29"/>
        <v>VALID</v>
      </c>
      <c r="AQ117" s="166" t="s">
        <v>927</v>
      </c>
      <c r="AR117" s="194" t="s">
        <v>862</v>
      </c>
      <c r="AS117" s="193"/>
      <c r="AT117" s="72"/>
      <c r="AU117" s="140"/>
      <c r="AV117" s="140"/>
      <c r="AW117" s="188" t="s">
        <v>136</v>
      </c>
      <c r="AX117" s="188" t="s">
        <v>136</v>
      </c>
      <c r="AY117" s="72"/>
      <c r="AZ117" s="193"/>
      <c r="BA117" s="193"/>
      <c r="BB117" s="8"/>
      <c r="BC117" s="140"/>
      <c r="BD117" s="11" t="s">
        <v>5569</v>
      </c>
      <c r="BE117" s="334"/>
    </row>
    <row r="118" spans="1:57" ht="12.95" customHeight="1">
      <c r="A118" s="247" t="s">
        <v>5498</v>
      </c>
      <c r="B118" s="251">
        <v>103</v>
      </c>
      <c r="C118" s="239" t="s">
        <v>263</v>
      </c>
      <c r="D118" s="239" t="s">
        <v>2863</v>
      </c>
      <c r="E118" s="58"/>
      <c r="F118" s="59" t="s">
        <v>493</v>
      </c>
      <c r="G118" s="191" t="s">
        <v>2864</v>
      </c>
      <c r="H118" s="192" t="s">
        <v>2168</v>
      </c>
      <c r="I118" s="61" t="s">
        <v>2511</v>
      </c>
      <c r="J118" s="61" t="s">
        <v>2511</v>
      </c>
      <c r="K118" s="62" t="s">
        <v>2511</v>
      </c>
      <c r="L118" s="60" t="s">
        <v>2389</v>
      </c>
      <c r="M118" s="61" t="s">
        <v>2388</v>
      </c>
      <c r="N118" s="61" t="s">
        <v>2511</v>
      </c>
      <c r="O118" s="61" t="s">
        <v>2511</v>
      </c>
      <c r="P118" s="62" t="s">
        <v>2511</v>
      </c>
      <c r="Q118" s="57" t="s">
        <v>183</v>
      </c>
      <c r="R118" s="63" t="s">
        <v>126</v>
      </c>
      <c r="S118" s="63" t="s">
        <v>112</v>
      </c>
      <c r="T118" s="63" t="s">
        <v>113</v>
      </c>
      <c r="U118" s="64" t="s">
        <v>126</v>
      </c>
      <c r="V118" s="63" t="s">
        <v>2865</v>
      </c>
      <c r="W118" s="57" t="s">
        <v>2846</v>
      </c>
      <c r="X118" s="126" t="s">
        <v>2511</v>
      </c>
      <c r="Y118" s="126" t="s">
        <v>2866</v>
      </c>
      <c r="Z118" s="57" t="s">
        <v>2514</v>
      </c>
      <c r="AA118" s="57" t="s">
        <v>2515</v>
      </c>
      <c r="AB118" s="57" t="s">
        <v>2393</v>
      </c>
      <c r="AC118" s="57" t="s">
        <v>2516</v>
      </c>
      <c r="AD118" s="65" t="str">
        <f t="shared" si="24"/>
        <v>UARTB</v>
      </c>
      <c r="AE118" s="70"/>
      <c r="AF118" s="67" t="str">
        <f t="shared" si="25"/>
        <v>PULL_UP</v>
      </c>
      <c r="AG118" s="67" t="str">
        <f t="shared" si="26"/>
        <v>NORMAL</v>
      </c>
      <c r="AH118" s="67" t="str">
        <f t="shared" si="27"/>
        <v>DISABLE</v>
      </c>
      <c r="AI118" s="71" t="str">
        <f t="shared" si="28"/>
        <v>N/A</v>
      </c>
      <c r="AJ118" s="189" t="b">
        <v>1</v>
      </c>
      <c r="AK118" s="189" t="b">
        <v>1</v>
      </c>
      <c r="AL118" s="189" t="b">
        <v>1</v>
      </c>
      <c r="AM118" s="189" t="b">
        <v>1</v>
      </c>
      <c r="AN118" s="189" t="b">
        <v>1</v>
      </c>
      <c r="AO118" s="189" t="b">
        <v>1</v>
      </c>
      <c r="AP118" s="69" t="str">
        <f t="shared" si="29"/>
        <v>VALID</v>
      </c>
      <c r="AQ118" s="166" t="s">
        <v>2168</v>
      </c>
      <c r="AR118" s="194" t="s">
        <v>861</v>
      </c>
      <c r="AS118" s="193" t="s">
        <v>873</v>
      </c>
      <c r="AT118" s="72"/>
      <c r="AU118" s="140"/>
      <c r="AV118" s="140"/>
      <c r="AW118" s="72"/>
      <c r="AX118" s="188" t="s">
        <v>136</v>
      </c>
      <c r="AY118" s="72"/>
      <c r="AZ118" s="193"/>
      <c r="BA118" s="193"/>
      <c r="BB118" s="8"/>
      <c r="BC118" s="140"/>
      <c r="BD118" s="11" t="s">
        <v>5498</v>
      </c>
      <c r="BE118" s="334"/>
    </row>
    <row r="119" spans="1:57" ht="12.95" customHeight="1">
      <c r="A119" s="247" t="s">
        <v>5499</v>
      </c>
      <c r="B119" s="251">
        <v>105</v>
      </c>
      <c r="C119" s="239" t="s">
        <v>262</v>
      </c>
      <c r="D119" s="239" t="s">
        <v>2867</v>
      </c>
      <c r="E119" s="58"/>
      <c r="F119" s="59" t="s">
        <v>494</v>
      </c>
      <c r="G119" s="191" t="s">
        <v>2868</v>
      </c>
      <c r="H119" s="192" t="s">
        <v>2169</v>
      </c>
      <c r="I119" s="61" t="s">
        <v>2511</v>
      </c>
      <c r="J119" s="61" t="s">
        <v>2511</v>
      </c>
      <c r="K119" s="62" t="s">
        <v>2511</v>
      </c>
      <c r="L119" s="60" t="s">
        <v>2389</v>
      </c>
      <c r="M119" s="61" t="s">
        <v>2523</v>
      </c>
      <c r="N119" s="61" t="s">
        <v>2511</v>
      </c>
      <c r="O119" s="61" t="s">
        <v>2511</v>
      </c>
      <c r="P119" s="62" t="s">
        <v>2511</v>
      </c>
      <c r="Q119" s="57" t="s">
        <v>183</v>
      </c>
      <c r="R119" s="63" t="s">
        <v>126</v>
      </c>
      <c r="S119" s="63" t="s">
        <v>112</v>
      </c>
      <c r="T119" s="63" t="s">
        <v>113</v>
      </c>
      <c r="U119" s="64" t="s">
        <v>126</v>
      </c>
      <c r="V119" s="63" t="s">
        <v>2869</v>
      </c>
      <c r="W119" s="57" t="s">
        <v>2846</v>
      </c>
      <c r="X119" s="126" t="s">
        <v>2870</v>
      </c>
      <c r="Y119" s="126" t="s">
        <v>2511</v>
      </c>
      <c r="Z119" s="57" t="s">
        <v>2514</v>
      </c>
      <c r="AA119" s="57" t="s">
        <v>2753</v>
      </c>
      <c r="AB119" s="57" t="s">
        <v>2393</v>
      </c>
      <c r="AC119" s="57" t="s">
        <v>2548</v>
      </c>
      <c r="AD119" s="65" t="str">
        <f t="shared" si="24"/>
        <v>UARTB</v>
      </c>
      <c r="AE119" s="70"/>
      <c r="AF119" s="67" t="str">
        <f t="shared" si="25"/>
        <v>PULL_UP</v>
      </c>
      <c r="AG119" s="67" t="str">
        <f t="shared" si="26"/>
        <v>TRISTATE</v>
      </c>
      <c r="AH119" s="67" t="str">
        <f t="shared" si="27"/>
        <v>ENABLE</v>
      </c>
      <c r="AI119" s="71" t="str">
        <f t="shared" si="28"/>
        <v>N/A</v>
      </c>
      <c r="AJ119" s="189" t="b">
        <v>1</v>
      </c>
      <c r="AK119" s="189" t="b">
        <v>1</v>
      </c>
      <c r="AL119" s="189" t="b">
        <v>1</v>
      </c>
      <c r="AM119" s="189" t="b">
        <v>1</v>
      </c>
      <c r="AN119" s="189" t="b">
        <v>1</v>
      </c>
      <c r="AO119" s="189" t="b">
        <v>1</v>
      </c>
      <c r="AP119" s="69" t="str">
        <f t="shared" si="29"/>
        <v>VALID</v>
      </c>
      <c r="AQ119" s="166" t="s">
        <v>2169</v>
      </c>
      <c r="AR119" s="194" t="s">
        <v>862</v>
      </c>
      <c r="AS119" s="193" t="s">
        <v>873</v>
      </c>
      <c r="AT119" s="193" t="s">
        <v>117</v>
      </c>
      <c r="AU119" s="140"/>
      <c r="AV119" s="140"/>
      <c r="AW119" s="72"/>
      <c r="AX119" s="188" t="s">
        <v>136</v>
      </c>
      <c r="AY119" s="72"/>
      <c r="AZ119" s="193"/>
      <c r="BA119" s="193"/>
      <c r="BB119" s="8"/>
      <c r="BC119" s="140"/>
      <c r="BD119" s="11" t="s">
        <v>5499</v>
      </c>
      <c r="BE119" s="335"/>
    </row>
    <row r="120" spans="1:57" ht="12.95" customHeight="1">
      <c r="A120" s="320" t="s">
        <v>934</v>
      </c>
      <c r="B120" s="251">
        <v>106</v>
      </c>
      <c r="C120" s="239" t="s">
        <v>928</v>
      </c>
      <c r="D120" s="239" t="s">
        <v>2871</v>
      </c>
      <c r="E120" s="58"/>
      <c r="F120" s="59" t="s">
        <v>1818</v>
      </c>
      <c r="G120" s="191" t="s">
        <v>2503</v>
      </c>
      <c r="H120" s="192" t="s">
        <v>928</v>
      </c>
      <c r="I120" s="61" t="s">
        <v>2511</v>
      </c>
      <c r="J120" s="61" t="s">
        <v>2511</v>
      </c>
      <c r="K120" s="62" t="s">
        <v>2511</v>
      </c>
      <c r="L120" s="60" t="s">
        <v>2389</v>
      </c>
      <c r="M120" s="61" t="s">
        <v>2389</v>
      </c>
      <c r="N120" s="61" t="s">
        <v>2511</v>
      </c>
      <c r="O120" s="61" t="s">
        <v>2511</v>
      </c>
      <c r="P120" s="62" t="s">
        <v>2511</v>
      </c>
      <c r="Q120" s="57" t="s">
        <v>131</v>
      </c>
      <c r="R120" s="63" t="s">
        <v>126</v>
      </c>
      <c r="S120" s="63" t="s">
        <v>112</v>
      </c>
      <c r="T120" s="63" t="s">
        <v>113</v>
      </c>
      <c r="U120" s="64" t="s">
        <v>126</v>
      </c>
      <c r="V120" s="63" t="s">
        <v>2872</v>
      </c>
      <c r="W120" s="57" t="s">
        <v>2846</v>
      </c>
      <c r="X120" s="126" t="s">
        <v>2873</v>
      </c>
      <c r="Y120" s="126" t="s">
        <v>2511</v>
      </c>
      <c r="Z120" s="57" t="s">
        <v>2817</v>
      </c>
      <c r="AA120" s="57" t="s">
        <v>2818</v>
      </c>
      <c r="AB120" s="57" t="s">
        <v>2393</v>
      </c>
      <c r="AC120" s="57" t="s">
        <v>2516</v>
      </c>
      <c r="AD120" s="65" t="str">
        <f t="shared" si="24"/>
        <v>GPIO_PY0</v>
      </c>
      <c r="AE120" s="70"/>
      <c r="AF120" s="67" t="str">
        <f t="shared" si="25"/>
        <v>PULL_DOWN</v>
      </c>
      <c r="AG120" s="67" t="str">
        <f t="shared" si="26"/>
        <v>TRISTATE</v>
      </c>
      <c r="AH120" s="67" t="str">
        <f t="shared" si="27"/>
        <v>ENABLE</v>
      </c>
      <c r="AI120" s="71" t="str">
        <f t="shared" si="28"/>
        <v/>
      </c>
      <c r="AJ120" s="189" t="b">
        <v>1</v>
      </c>
      <c r="AK120" s="189" t="b">
        <v>1</v>
      </c>
      <c r="AL120" s="189" t="b">
        <v>1</v>
      </c>
      <c r="AM120" s="189" t="b">
        <v>1</v>
      </c>
      <c r="AN120" s="189" t="b">
        <v>1</v>
      </c>
      <c r="AO120" s="189" t="b">
        <v>1</v>
      </c>
      <c r="AP120" s="69" t="str">
        <f t="shared" si="29"/>
        <v>VALID</v>
      </c>
      <c r="AQ120" s="166" t="s">
        <v>2503</v>
      </c>
      <c r="AR120" s="194" t="s">
        <v>862</v>
      </c>
      <c r="AS120" s="193" t="s">
        <v>875</v>
      </c>
      <c r="AT120" s="193" t="s">
        <v>117</v>
      </c>
      <c r="AU120" s="140"/>
      <c r="AV120" s="193" t="s">
        <v>900</v>
      </c>
      <c r="AW120" s="188" t="s">
        <v>136</v>
      </c>
      <c r="AX120" s="188" t="s">
        <v>136</v>
      </c>
      <c r="AY120" s="72"/>
      <c r="AZ120" s="193"/>
      <c r="BA120" s="193"/>
      <c r="BB120" s="8"/>
      <c r="BC120" s="140"/>
      <c r="BD120" s="11" t="s">
        <v>934</v>
      </c>
      <c r="BE120" s="333" t="s">
        <v>5548</v>
      </c>
    </row>
    <row r="121" spans="1:57" ht="12.95" customHeight="1">
      <c r="A121" s="320" t="s">
        <v>1004</v>
      </c>
      <c r="B121" s="251">
        <v>108</v>
      </c>
      <c r="C121" s="239" t="s">
        <v>1001</v>
      </c>
      <c r="D121" s="239" t="s">
        <v>2874</v>
      </c>
      <c r="E121" s="58"/>
      <c r="F121" s="59" t="s">
        <v>1819</v>
      </c>
      <c r="G121" s="191" t="s">
        <v>2473</v>
      </c>
      <c r="H121" s="192" t="s">
        <v>929</v>
      </c>
      <c r="I121" s="61" t="s">
        <v>2511</v>
      </c>
      <c r="J121" s="61" t="s">
        <v>2511</v>
      </c>
      <c r="K121" s="62" t="s">
        <v>2511</v>
      </c>
      <c r="L121" s="60" t="s">
        <v>2389</v>
      </c>
      <c r="M121" s="61" t="s">
        <v>2389</v>
      </c>
      <c r="N121" s="61" t="s">
        <v>2511</v>
      </c>
      <c r="O121" s="61" t="s">
        <v>2511</v>
      </c>
      <c r="P121" s="62" t="s">
        <v>2511</v>
      </c>
      <c r="Q121" s="57" t="s">
        <v>131</v>
      </c>
      <c r="R121" s="63" t="s">
        <v>126</v>
      </c>
      <c r="S121" s="63" t="s">
        <v>112</v>
      </c>
      <c r="T121" s="63" t="s">
        <v>113</v>
      </c>
      <c r="U121" s="64" t="s">
        <v>126</v>
      </c>
      <c r="V121" s="63" t="s">
        <v>2875</v>
      </c>
      <c r="W121" s="57" t="s">
        <v>2846</v>
      </c>
      <c r="X121" s="126" t="s">
        <v>2511</v>
      </c>
      <c r="Y121" s="126" t="s">
        <v>2511</v>
      </c>
      <c r="Z121" s="57" t="s">
        <v>2817</v>
      </c>
      <c r="AA121" s="57" t="s">
        <v>2859</v>
      </c>
      <c r="AB121" s="57" t="s">
        <v>2393</v>
      </c>
      <c r="AC121" s="57" t="s">
        <v>2516</v>
      </c>
      <c r="AD121" s="65" t="str">
        <f t="shared" si="24"/>
        <v>SPI3</v>
      </c>
      <c r="AE121" s="70"/>
      <c r="AF121" s="67" t="str">
        <f t="shared" si="25"/>
        <v>PULL_DOWN</v>
      </c>
      <c r="AG121" s="67" t="str">
        <f t="shared" si="26"/>
        <v>TRISTATE</v>
      </c>
      <c r="AH121" s="67" t="str">
        <f t="shared" si="27"/>
        <v>ENABLE</v>
      </c>
      <c r="AI121" s="71" t="str">
        <f t="shared" si="28"/>
        <v>N/A</v>
      </c>
      <c r="AJ121" s="189" t="b">
        <v>1</v>
      </c>
      <c r="AK121" s="189" t="b">
        <v>1</v>
      </c>
      <c r="AL121" s="189" t="b">
        <v>1</v>
      </c>
      <c r="AM121" s="189" t="b">
        <v>1</v>
      </c>
      <c r="AN121" s="189" t="b">
        <v>1</v>
      </c>
      <c r="AO121" s="189" t="b">
        <v>1</v>
      </c>
      <c r="AP121" s="69" t="str">
        <f t="shared" si="29"/>
        <v>VALID</v>
      </c>
      <c r="AQ121" s="166" t="s">
        <v>929</v>
      </c>
      <c r="AR121" s="194" t="s">
        <v>862</v>
      </c>
      <c r="AS121" s="193" t="s">
        <v>875</v>
      </c>
      <c r="AT121" s="72"/>
      <c r="AU121" s="140"/>
      <c r="AV121" s="193" t="s">
        <v>900</v>
      </c>
      <c r="AW121" s="188" t="s">
        <v>136</v>
      </c>
      <c r="AX121" s="188" t="s">
        <v>136</v>
      </c>
      <c r="AY121" s="72"/>
      <c r="AZ121" s="193"/>
      <c r="BA121" s="193"/>
      <c r="BB121" s="8"/>
      <c r="BC121" s="140"/>
      <c r="BD121" s="11" t="s">
        <v>1004</v>
      </c>
      <c r="BE121" s="334"/>
    </row>
    <row r="122" spans="1:57" ht="12.95" customHeight="1">
      <c r="A122" s="320" t="s">
        <v>1005</v>
      </c>
      <c r="B122" s="251">
        <v>104</v>
      </c>
      <c r="C122" s="239" t="s">
        <v>1002</v>
      </c>
      <c r="D122" s="239" t="s">
        <v>2876</v>
      </c>
      <c r="E122" s="58"/>
      <c r="F122" s="59" t="s">
        <v>1820</v>
      </c>
      <c r="G122" s="191" t="s">
        <v>2474</v>
      </c>
      <c r="H122" s="192" t="s">
        <v>931</v>
      </c>
      <c r="I122" s="61" t="s">
        <v>2511</v>
      </c>
      <c r="J122" s="61" t="s">
        <v>2511</v>
      </c>
      <c r="K122" s="62" t="s">
        <v>2511</v>
      </c>
      <c r="L122" s="60" t="s">
        <v>2389</v>
      </c>
      <c r="M122" s="61" t="s">
        <v>2389</v>
      </c>
      <c r="N122" s="61" t="s">
        <v>2511</v>
      </c>
      <c r="O122" s="61" t="s">
        <v>2511</v>
      </c>
      <c r="P122" s="62" t="s">
        <v>2511</v>
      </c>
      <c r="Q122" s="57" t="s">
        <v>131</v>
      </c>
      <c r="R122" s="63" t="s">
        <v>126</v>
      </c>
      <c r="S122" s="63" t="s">
        <v>112</v>
      </c>
      <c r="T122" s="63" t="s">
        <v>113</v>
      </c>
      <c r="U122" s="64" t="s">
        <v>126</v>
      </c>
      <c r="V122" s="63" t="s">
        <v>2877</v>
      </c>
      <c r="W122" s="57" t="s">
        <v>2846</v>
      </c>
      <c r="X122" s="126" t="s">
        <v>2511</v>
      </c>
      <c r="Y122" s="126" t="s">
        <v>2511</v>
      </c>
      <c r="Z122" s="57" t="s">
        <v>2817</v>
      </c>
      <c r="AA122" s="57" t="s">
        <v>2859</v>
      </c>
      <c r="AB122" s="57" t="s">
        <v>2393</v>
      </c>
      <c r="AC122" s="57" t="s">
        <v>2516</v>
      </c>
      <c r="AD122" s="65" t="str">
        <f t="shared" si="24"/>
        <v>SPI3</v>
      </c>
      <c r="AE122" s="70"/>
      <c r="AF122" s="67" t="str">
        <f t="shared" si="25"/>
        <v>PULL_DOWN</v>
      </c>
      <c r="AG122" s="67" t="str">
        <f t="shared" si="26"/>
        <v>NORMAL</v>
      </c>
      <c r="AH122" s="67" t="str">
        <f t="shared" si="27"/>
        <v>DISABLE</v>
      </c>
      <c r="AI122" s="71" t="str">
        <f t="shared" si="28"/>
        <v>N/A</v>
      </c>
      <c r="AJ122" s="189" t="b">
        <v>1</v>
      </c>
      <c r="AK122" s="189" t="b">
        <v>1</v>
      </c>
      <c r="AL122" s="189" t="b">
        <v>1</v>
      </c>
      <c r="AM122" s="189" t="b">
        <v>1</v>
      </c>
      <c r="AN122" s="189" t="b">
        <v>1</v>
      </c>
      <c r="AO122" s="189" t="b">
        <v>1</v>
      </c>
      <c r="AP122" s="69" t="str">
        <f t="shared" si="29"/>
        <v>VALID</v>
      </c>
      <c r="AQ122" s="169" t="s">
        <v>931</v>
      </c>
      <c r="AR122" s="170" t="s">
        <v>861</v>
      </c>
      <c r="AS122" s="9" t="s">
        <v>875</v>
      </c>
      <c r="AT122" s="72"/>
      <c r="AU122" s="140"/>
      <c r="AV122" s="193" t="s">
        <v>900</v>
      </c>
      <c r="AW122" s="188" t="s">
        <v>136</v>
      </c>
      <c r="AX122" s="188" t="s">
        <v>136</v>
      </c>
      <c r="AY122" s="72"/>
      <c r="AZ122" s="9"/>
      <c r="BA122" s="9"/>
      <c r="BB122" s="14"/>
      <c r="BC122" s="141"/>
      <c r="BD122" s="12" t="s">
        <v>1005</v>
      </c>
      <c r="BE122" s="334"/>
    </row>
    <row r="123" spans="1:57" ht="12.95" customHeight="1">
      <c r="A123" s="320" t="s">
        <v>5677</v>
      </c>
      <c r="B123" s="251">
        <v>110</v>
      </c>
      <c r="C123" s="239" t="s">
        <v>930</v>
      </c>
      <c r="D123" s="239" t="s">
        <v>2878</v>
      </c>
      <c r="E123" s="58"/>
      <c r="F123" s="59" t="s">
        <v>1821</v>
      </c>
      <c r="G123" s="191" t="s">
        <v>2504</v>
      </c>
      <c r="H123" s="192" t="s">
        <v>930</v>
      </c>
      <c r="I123" s="61" t="s">
        <v>2511</v>
      </c>
      <c r="J123" s="61" t="s">
        <v>2511</v>
      </c>
      <c r="K123" s="62" t="s">
        <v>2511</v>
      </c>
      <c r="L123" s="60" t="s">
        <v>2389</v>
      </c>
      <c r="M123" s="61" t="s">
        <v>2389</v>
      </c>
      <c r="N123" s="61" t="s">
        <v>2511</v>
      </c>
      <c r="O123" s="61" t="s">
        <v>2511</v>
      </c>
      <c r="P123" s="62" t="s">
        <v>2511</v>
      </c>
      <c r="Q123" s="57" t="s">
        <v>131</v>
      </c>
      <c r="R123" s="63" t="s">
        <v>126</v>
      </c>
      <c r="S123" s="63" t="s">
        <v>112</v>
      </c>
      <c r="T123" s="63" t="s">
        <v>113</v>
      </c>
      <c r="U123" s="64" t="s">
        <v>126</v>
      </c>
      <c r="V123" s="63" t="s">
        <v>2879</v>
      </c>
      <c r="W123" s="57" t="s">
        <v>2846</v>
      </c>
      <c r="X123" s="126" t="s">
        <v>2880</v>
      </c>
      <c r="Y123" s="126" t="s">
        <v>2511</v>
      </c>
      <c r="Z123" s="57" t="s">
        <v>2817</v>
      </c>
      <c r="AA123" s="57" t="s">
        <v>2818</v>
      </c>
      <c r="AB123" s="57" t="s">
        <v>2393</v>
      </c>
      <c r="AC123" s="57" t="s">
        <v>2631</v>
      </c>
      <c r="AD123" s="65" t="str">
        <f t="shared" si="24"/>
        <v>SPI3</v>
      </c>
      <c r="AE123" s="70"/>
      <c r="AF123" s="67" t="str">
        <f t="shared" si="25"/>
        <v>PULL_DOWN</v>
      </c>
      <c r="AG123" s="67" t="str">
        <f t="shared" si="26"/>
        <v>NORMAL</v>
      </c>
      <c r="AH123" s="67" t="str">
        <f t="shared" si="27"/>
        <v>DISABLE</v>
      </c>
      <c r="AI123" s="71" t="str">
        <f t="shared" si="28"/>
        <v>N/A</v>
      </c>
      <c r="AJ123" s="189" t="b">
        <v>1</v>
      </c>
      <c r="AK123" s="189" t="b">
        <v>1</v>
      </c>
      <c r="AL123" s="189" t="b">
        <v>1</v>
      </c>
      <c r="AM123" s="189" t="b">
        <v>1</v>
      </c>
      <c r="AN123" s="189" t="b">
        <v>1</v>
      </c>
      <c r="AO123" s="189" t="b">
        <v>1</v>
      </c>
      <c r="AP123" s="69" t="str">
        <f t="shared" si="29"/>
        <v>VALID</v>
      </c>
      <c r="AQ123" s="169" t="s">
        <v>930</v>
      </c>
      <c r="AR123" s="170" t="s">
        <v>861</v>
      </c>
      <c r="AS123" s="9" t="s">
        <v>875</v>
      </c>
      <c r="AT123" s="193" t="s">
        <v>117</v>
      </c>
      <c r="AU123" s="140"/>
      <c r="AV123" s="193" t="s">
        <v>900</v>
      </c>
      <c r="AW123" s="188" t="s">
        <v>136</v>
      </c>
      <c r="AX123" s="188" t="s">
        <v>136</v>
      </c>
      <c r="AY123" s="72"/>
      <c r="AZ123" s="9"/>
      <c r="BA123" s="9"/>
      <c r="BB123" s="14"/>
      <c r="BC123" s="141"/>
      <c r="BD123" s="12" t="s">
        <v>937</v>
      </c>
      <c r="BE123" s="334"/>
    </row>
    <row r="124" spans="1:57" ht="12.95" customHeight="1">
      <c r="A124" s="320" t="s">
        <v>5678</v>
      </c>
      <c r="B124" s="251">
        <v>112</v>
      </c>
      <c r="C124" s="239" t="s">
        <v>1003</v>
      </c>
      <c r="D124" s="239" t="s">
        <v>2881</v>
      </c>
      <c r="E124" s="58"/>
      <c r="F124" s="59" t="s">
        <v>1822</v>
      </c>
      <c r="G124" s="191" t="s">
        <v>2505</v>
      </c>
      <c r="H124" s="192" t="s">
        <v>1003</v>
      </c>
      <c r="I124" s="61" t="s">
        <v>2511</v>
      </c>
      <c r="J124" s="61" t="s">
        <v>2511</v>
      </c>
      <c r="K124" s="62" t="s">
        <v>2511</v>
      </c>
      <c r="L124" s="60" t="s">
        <v>2389</v>
      </c>
      <c r="M124" s="61" t="s">
        <v>2389</v>
      </c>
      <c r="N124" s="61" t="s">
        <v>2511</v>
      </c>
      <c r="O124" s="61" t="s">
        <v>2511</v>
      </c>
      <c r="P124" s="62" t="s">
        <v>2511</v>
      </c>
      <c r="Q124" s="57" t="s">
        <v>131</v>
      </c>
      <c r="R124" s="63" t="s">
        <v>126</v>
      </c>
      <c r="S124" s="63" t="s">
        <v>112</v>
      </c>
      <c r="T124" s="63" t="s">
        <v>113</v>
      </c>
      <c r="U124" s="64" t="s">
        <v>126</v>
      </c>
      <c r="V124" s="63" t="s">
        <v>2882</v>
      </c>
      <c r="W124" s="57" t="s">
        <v>2846</v>
      </c>
      <c r="X124" s="126" t="s">
        <v>2883</v>
      </c>
      <c r="Y124" s="126" t="s">
        <v>2511</v>
      </c>
      <c r="Z124" s="57" t="s">
        <v>2817</v>
      </c>
      <c r="AA124" s="57" t="s">
        <v>2818</v>
      </c>
      <c r="AB124" s="57" t="s">
        <v>2393</v>
      </c>
      <c r="AC124" s="57" t="s">
        <v>2631</v>
      </c>
      <c r="AD124" s="65" t="str">
        <f t="shared" si="24"/>
        <v>SPI3</v>
      </c>
      <c r="AE124" s="70"/>
      <c r="AF124" s="67" t="str">
        <f t="shared" si="25"/>
        <v>PULL_DOWN</v>
      </c>
      <c r="AG124" s="67" t="str">
        <f t="shared" si="26"/>
        <v>NORMAL</v>
      </c>
      <c r="AH124" s="67" t="str">
        <f t="shared" si="27"/>
        <v>DISABLE</v>
      </c>
      <c r="AI124" s="71" t="str">
        <f t="shared" si="28"/>
        <v>N/A</v>
      </c>
      <c r="AJ124" s="189" t="b">
        <v>1</v>
      </c>
      <c r="AK124" s="189" t="b">
        <v>1</v>
      </c>
      <c r="AL124" s="189" t="b">
        <v>1</v>
      </c>
      <c r="AM124" s="189" t="b">
        <v>1</v>
      </c>
      <c r="AN124" s="189" t="b">
        <v>1</v>
      </c>
      <c r="AO124" s="189" t="b">
        <v>1</v>
      </c>
      <c r="AP124" s="69" t="str">
        <f t="shared" si="29"/>
        <v>VALID</v>
      </c>
      <c r="AQ124" s="169" t="s">
        <v>1003</v>
      </c>
      <c r="AR124" s="170" t="s">
        <v>861</v>
      </c>
      <c r="AS124" s="9" t="s">
        <v>875</v>
      </c>
      <c r="AT124" s="9" t="s">
        <v>117</v>
      </c>
      <c r="AU124" s="141"/>
      <c r="AV124" s="193" t="s">
        <v>900</v>
      </c>
      <c r="AW124" s="188" t="s">
        <v>136</v>
      </c>
      <c r="AX124" s="188" t="s">
        <v>136</v>
      </c>
      <c r="AY124" s="10"/>
      <c r="AZ124" s="9"/>
      <c r="BA124" s="9"/>
      <c r="BB124" s="14"/>
      <c r="BC124" s="141"/>
      <c r="BD124" s="12" t="s">
        <v>932</v>
      </c>
      <c r="BE124" s="335"/>
    </row>
    <row r="125" spans="1:57" ht="12.95" hidden="1" customHeight="1">
      <c r="A125" s="248" t="e">
        <v>#N/A</v>
      </c>
      <c r="B125" s="252" t="e">
        <v>#N/A</v>
      </c>
      <c r="C125" s="263" t="s">
        <v>736</v>
      </c>
      <c r="D125" s="239" t="s">
        <v>2884</v>
      </c>
      <c r="E125" s="58"/>
      <c r="F125" s="59" t="s">
        <v>795</v>
      </c>
      <c r="G125" s="191" t="s">
        <v>2394</v>
      </c>
      <c r="H125" s="192" t="s">
        <v>2170</v>
      </c>
      <c r="I125" s="61" t="s">
        <v>2511</v>
      </c>
      <c r="J125" s="61" t="s">
        <v>2511</v>
      </c>
      <c r="K125" s="62" t="s">
        <v>2511</v>
      </c>
      <c r="L125" s="60" t="s">
        <v>2389</v>
      </c>
      <c r="M125" s="61" t="s">
        <v>2388</v>
      </c>
      <c r="N125" s="61" t="s">
        <v>2511</v>
      </c>
      <c r="O125" s="61" t="s">
        <v>2511</v>
      </c>
      <c r="P125" s="62" t="s">
        <v>2511</v>
      </c>
      <c r="Q125" s="57" t="s">
        <v>843</v>
      </c>
      <c r="R125" s="63" t="s">
        <v>126</v>
      </c>
      <c r="S125" s="63" t="s">
        <v>112</v>
      </c>
      <c r="T125" s="63" t="s">
        <v>113</v>
      </c>
      <c r="U125" s="64" t="s">
        <v>126</v>
      </c>
      <c r="V125" s="63" t="s">
        <v>2885</v>
      </c>
      <c r="W125" s="57" t="s">
        <v>2846</v>
      </c>
      <c r="X125" s="126" t="s">
        <v>2511</v>
      </c>
      <c r="Y125" s="126" t="s">
        <v>2886</v>
      </c>
      <c r="Z125" s="57" t="s">
        <v>2514</v>
      </c>
      <c r="AA125" s="57" t="s">
        <v>2515</v>
      </c>
      <c r="AB125" s="57" t="s">
        <v>2393</v>
      </c>
      <c r="AC125" s="57" t="s">
        <v>2516</v>
      </c>
      <c r="AD125" s="65" t="str">
        <f t="shared" si="24"/>
        <v>GPIO_PY5</v>
      </c>
      <c r="AE125" s="70"/>
      <c r="AF125" s="67" t="str">
        <f t="shared" si="25"/>
        <v>NORMAL</v>
      </c>
      <c r="AG125" s="67" t="str">
        <f t="shared" si="26"/>
        <v>TRISTATE</v>
      </c>
      <c r="AH125" s="67" t="str">
        <f t="shared" si="27"/>
        <v>ENABLE</v>
      </c>
      <c r="AI125" s="71" t="str">
        <f t="shared" si="28"/>
        <v/>
      </c>
      <c r="AJ125" s="189" t="b">
        <v>1</v>
      </c>
      <c r="AK125" s="189" t="b">
        <v>1</v>
      </c>
      <c r="AL125" s="189" t="b">
        <v>1</v>
      </c>
      <c r="AM125" s="189" t="b">
        <v>1</v>
      </c>
      <c r="AN125" s="189" t="b">
        <v>1</v>
      </c>
      <c r="AO125" s="189" t="b">
        <v>1</v>
      </c>
      <c r="AP125" s="65" t="str">
        <f t="shared" si="29"/>
        <v>VALID</v>
      </c>
      <c r="AQ125" s="221" t="s">
        <v>2394</v>
      </c>
      <c r="AR125" s="194" t="s">
        <v>862</v>
      </c>
      <c r="AS125" s="193"/>
      <c r="AT125" s="72"/>
      <c r="AU125" s="140"/>
      <c r="AV125" s="140"/>
      <c r="AW125" s="72"/>
      <c r="AX125" s="188" t="s">
        <v>136</v>
      </c>
      <c r="AY125" s="72"/>
      <c r="AZ125" s="193"/>
      <c r="BA125" s="193"/>
      <c r="BB125" s="193"/>
      <c r="BC125" s="140"/>
      <c r="BD125" s="8" t="s">
        <v>736</v>
      </c>
      <c r="BE125" s="312" t="s">
        <v>5549</v>
      </c>
    </row>
    <row r="126" spans="1:57" ht="12.95" hidden="1" customHeight="1">
      <c r="A126" s="248" t="e">
        <v>#N/A</v>
      </c>
      <c r="B126" s="252" t="e">
        <v>#N/A</v>
      </c>
      <c r="C126" s="263" t="s">
        <v>737</v>
      </c>
      <c r="D126" s="239" t="s">
        <v>2887</v>
      </c>
      <c r="E126" s="58"/>
      <c r="F126" s="59" t="s">
        <v>796</v>
      </c>
      <c r="G126" s="191" t="s">
        <v>2888</v>
      </c>
      <c r="H126" s="192" t="s">
        <v>2171</v>
      </c>
      <c r="I126" s="61" t="s">
        <v>2511</v>
      </c>
      <c r="J126" s="61" t="s">
        <v>2511</v>
      </c>
      <c r="K126" s="62" t="s">
        <v>2511</v>
      </c>
      <c r="L126" s="60" t="s">
        <v>2389</v>
      </c>
      <c r="M126" s="61" t="s">
        <v>2523</v>
      </c>
      <c r="N126" s="61" t="s">
        <v>2511</v>
      </c>
      <c r="O126" s="61" t="s">
        <v>2511</v>
      </c>
      <c r="P126" s="62" t="s">
        <v>2511</v>
      </c>
      <c r="Q126" s="57" t="s">
        <v>843</v>
      </c>
      <c r="R126" s="63" t="s">
        <v>126</v>
      </c>
      <c r="S126" s="63" t="s">
        <v>112</v>
      </c>
      <c r="T126" s="63" t="s">
        <v>113</v>
      </c>
      <c r="U126" s="64" t="s">
        <v>126</v>
      </c>
      <c r="V126" s="63" t="s">
        <v>2889</v>
      </c>
      <c r="W126" s="57" t="s">
        <v>2846</v>
      </c>
      <c r="X126" s="126" t="s">
        <v>2511</v>
      </c>
      <c r="Y126" s="126" t="s">
        <v>2511</v>
      </c>
      <c r="Z126" s="57" t="s">
        <v>2514</v>
      </c>
      <c r="AA126" s="57" t="s">
        <v>2515</v>
      </c>
      <c r="AB126" s="57" t="s">
        <v>2393</v>
      </c>
      <c r="AC126" s="57" t="s">
        <v>2516</v>
      </c>
      <c r="AD126" s="65" t="str">
        <f t="shared" si="24"/>
        <v>RSVD1</v>
      </c>
      <c r="AE126" s="70"/>
      <c r="AF126" s="67" t="str">
        <f t="shared" si="25"/>
        <v>PULL_DOWN</v>
      </c>
      <c r="AG126" s="67" t="str">
        <f t="shared" si="26"/>
        <v>TRISTATE</v>
      </c>
      <c r="AH126" s="67" t="str">
        <f t="shared" si="27"/>
        <v>DISABLE</v>
      </c>
      <c r="AI126" s="71" t="str">
        <f t="shared" si="28"/>
        <v>N/A</v>
      </c>
      <c r="AJ126" s="189" t="b">
        <v>1</v>
      </c>
      <c r="AK126" s="189" t="b">
        <v>1</v>
      </c>
      <c r="AL126" s="189" t="b">
        <v>1</v>
      </c>
      <c r="AM126" s="189" t="b">
        <v>1</v>
      </c>
      <c r="AN126" s="189" t="b">
        <v>1</v>
      </c>
      <c r="AO126" s="189" t="b">
        <v>1</v>
      </c>
      <c r="AP126" s="69" t="str">
        <f t="shared" si="29"/>
        <v>VALID</v>
      </c>
      <c r="AQ126" s="220" t="s">
        <v>796</v>
      </c>
      <c r="AR126" s="179" t="s">
        <v>79</v>
      </c>
      <c r="AS126" s="180"/>
      <c r="AT126" s="22"/>
      <c r="AU126" s="181"/>
      <c r="AV126" s="181"/>
      <c r="AW126" s="22"/>
      <c r="AX126" s="188" t="s">
        <v>136</v>
      </c>
      <c r="AY126" s="22"/>
      <c r="AZ126" s="180"/>
      <c r="BA126" s="180"/>
      <c r="BB126" s="182" t="s">
        <v>114</v>
      </c>
      <c r="BC126" s="183"/>
      <c r="BD126" s="147" t="s">
        <v>83</v>
      </c>
      <c r="BE126" s="147" t="s">
        <v>83</v>
      </c>
    </row>
    <row r="127" spans="1:57" ht="12.95" hidden="1" customHeight="1">
      <c r="A127" s="248" t="e">
        <v>#N/A</v>
      </c>
      <c r="B127" s="252" t="e">
        <v>#N/A</v>
      </c>
      <c r="C127" s="263" t="s">
        <v>738</v>
      </c>
      <c r="D127" s="239" t="s">
        <v>2890</v>
      </c>
      <c r="E127" s="58"/>
      <c r="F127" s="59" t="s">
        <v>797</v>
      </c>
      <c r="G127" s="191" t="s">
        <v>2395</v>
      </c>
      <c r="H127" s="192" t="s">
        <v>2172</v>
      </c>
      <c r="I127" s="61" t="s">
        <v>2511</v>
      </c>
      <c r="J127" s="61" t="s">
        <v>2511</v>
      </c>
      <c r="K127" s="62" t="s">
        <v>2511</v>
      </c>
      <c r="L127" s="60" t="s">
        <v>2389</v>
      </c>
      <c r="M127" s="61" t="s">
        <v>2388</v>
      </c>
      <c r="N127" s="61" t="s">
        <v>2511</v>
      </c>
      <c r="O127" s="61" t="s">
        <v>2511</v>
      </c>
      <c r="P127" s="62" t="s">
        <v>2511</v>
      </c>
      <c r="Q127" s="57" t="s">
        <v>843</v>
      </c>
      <c r="R127" s="63" t="s">
        <v>126</v>
      </c>
      <c r="S127" s="63" t="s">
        <v>112</v>
      </c>
      <c r="T127" s="63" t="s">
        <v>113</v>
      </c>
      <c r="U127" s="64" t="s">
        <v>126</v>
      </c>
      <c r="V127" s="63" t="s">
        <v>2891</v>
      </c>
      <c r="W127" s="57" t="s">
        <v>2846</v>
      </c>
      <c r="X127" s="126" t="s">
        <v>2511</v>
      </c>
      <c r="Y127" s="126" t="s">
        <v>2892</v>
      </c>
      <c r="Z127" s="57" t="s">
        <v>2514</v>
      </c>
      <c r="AA127" s="57" t="s">
        <v>2515</v>
      </c>
      <c r="AB127" s="57" t="s">
        <v>2393</v>
      </c>
      <c r="AC127" s="57" t="s">
        <v>2516</v>
      </c>
      <c r="AD127" s="65" t="str">
        <f t="shared" si="24"/>
        <v>GPIO_PY7</v>
      </c>
      <c r="AE127" s="70"/>
      <c r="AF127" s="67" t="str">
        <f t="shared" si="25"/>
        <v>NORMAL</v>
      </c>
      <c r="AG127" s="67" t="str">
        <f t="shared" si="26"/>
        <v>TRISTATE</v>
      </c>
      <c r="AH127" s="67" t="str">
        <f t="shared" si="27"/>
        <v>ENABLE</v>
      </c>
      <c r="AI127" s="71" t="str">
        <f t="shared" si="28"/>
        <v/>
      </c>
      <c r="AJ127" s="189" t="b">
        <v>1</v>
      </c>
      <c r="AK127" s="189" t="b">
        <v>1</v>
      </c>
      <c r="AL127" s="189" t="b">
        <v>1</v>
      </c>
      <c r="AM127" s="189" t="b">
        <v>1</v>
      </c>
      <c r="AN127" s="189" t="b">
        <v>1</v>
      </c>
      <c r="AO127" s="189" t="b">
        <v>1</v>
      </c>
      <c r="AP127" s="69" t="str">
        <f t="shared" si="29"/>
        <v>VALID</v>
      </c>
      <c r="AQ127" s="178" t="s">
        <v>2395</v>
      </c>
      <c r="AR127" s="179" t="s">
        <v>862</v>
      </c>
      <c r="AS127" s="180"/>
      <c r="AT127" s="22"/>
      <c r="AU127" s="181"/>
      <c r="AV127" s="181"/>
      <c r="AW127" s="22"/>
      <c r="AX127" s="188" t="s">
        <v>136</v>
      </c>
      <c r="AY127" s="22"/>
      <c r="AZ127" s="180"/>
      <c r="BA127" s="180"/>
      <c r="BB127" s="182" t="s">
        <v>114</v>
      </c>
      <c r="BC127" s="183"/>
      <c r="BD127" s="313" t="s">
        <v>5570</v>
      </c>
      <c r="BE127" s="312" t="s">
        <v>5550</v>
      </c>
    </row>
    <row r="128" spans="1:57" ht="12.95" hidden="1" customHeight="1">
      <c r="A128" s="248" t="e">
        <v>#N/A</v>
      </c>
      <c r="B128" s="252" t="e">
        <v>#N/A</v>
      </c>
      <c r="C128" s="263" t="s">
        <v>739</v>
      </c>
      <c r="D128" s="239" t="s">
        <v>2893</v>
      </c>
      <c r="E128" s="58"/>
      <c r="F128" s="59" t="s">
        <v>798</v>
      </c>
      <c r="G128" s="191" t="s">
        <v>2894</v>
      </c>
      <c r="H128" s="192" t="s">
        <v>2173</v>
      </c>
      <c r="I128" s="61" t="s">
        <v>2511</v>
      </c>
      <c r="J128" s="61" t="s">
        <v>2511</v>
      </c>
      <c r="K128" s="62" t="s">
        <v>2511</v>
      </c>
      <c r="L128" s="60" t="s">
        <v>2389</v>
      </c>
      <c r="M128" s="61" t="s">
        <v>2523</v>
      </c>
      <c r="N128" s="61" t="s">
        <v>2511</v>
      </c>
      <c r="O128" s="61" t="s">
        <v>2511</v>
      </c>
      <c r="P128" s="62" t="s">
        <v>2511</v>
      </c>
      <c r="Q128" s="57" t="s">
        <v>843</v>
      </c>
      <c r="R128" s="63" t="s">
        <v>126</v>
      </c>
      <c r="S128" s="63" t="s">
        <v>112</v>
      </c>
      <c r="T128" s="63" t="s">
        <v>113</v>
      </c>
      <c r="U128" s="64" t="s">
        <v>126</v>
      </c>
      <c r="V128" s="63" t="s">
        <v>2895</v>
      </c>
      <c r="W128" s="57" t="s">
        <v>2846</v>
      </c>
      <c r="X128" s="126" t="s">
        <v>2896</v>
      </c>
      <c r="Y128" s="126" t="s">
        <v>2511</v>
      </c>
      <c r="Z128" s="57" t="s">
        <v>2514</v>
      </c>
      <c r="AA128" s="57" t="s">
        <v>2753</v>
      </c>
      <c r="AB128" s="57" t="s">
        <v>2393</v>
      </c>
      <c r="AC128" s="57" t="s">
        <v>2548</v>
      </c>
      <c r="AD128" s="65" t="str">
        <f t="shared" si="24"/>
        <v>RSVD1</v>
      </c>
      <c r="AE128" s="70"/>
      <c r="AF128" s="67" t="str">
        <f t="shared" si="25"/>
        <v>PULL_DOWN</v>
      </c>
      <c r="AG128" s="67" t="str">
        <f t="shared" si="26"/>
        <v>TRISTATE</v>
      </c>
      <c r="AH128" s="67" t="str">
        <f t="shared" si="27"/>
        <v>DISABLE</v>
      </c>
      <c r="AI128" s="71" t="str">
        <f t="shared" si="28"/>
        <v>N/A</v>
      </c>
      <c r="AJ128" s="189" t="b">
        <v>1</v>
      </c>
      <c r="AK128" s="189" t="b">
        <v>1</v>
      </c>
      <c r="AL128" s="189" t="b">
        <v>1</v>
      </c>
      <c r="AM128" s="189" t="b">
        <v>1</v>
      </c>
      <c r="AN128" s="189" t="b">
        <v>1</v>
      </c>
      <c r="AO128" s="189" t="b">
        <v>1</v>
      </c>
      <c r="AP128" s="69" t="str">
        <f t="shared" si="29"/>
        <v>VALID</v>
      </c>
      <c r="AQ128" s="166" t="s">
        <v>798</v>
      </c>
      <c r="AR128" s="194" t="s">
        <v>79</v>
      </c>
      <c r="AS128" s="193"/>
      <c r="AT128" s="193" t="s">
        <v>117</v>
      </c>
      <c r="AU128" s="140"/>
      <c r="AV128" s="141"/>
      <c r="AW128" s="10"/>
      <c r="AX128" s="188" t="s">
        <v>136</v>
      </c>
      <c r="AY128" s="72"/>
      <c r="AZ128" s="193"/>
      <c r="BA128" s="193"/>
      <c r="BB128" s="8"/>
      <c r="BC128" s="140"/>
      <c r="BD128" s="147" t="s">
        <v>83</v>
      </c>
      <c r="BE128" s="147" t="s">
        <v>83</v>
      </c>
    </row>
    <row r="129" spans="1:57" ht="12.95" customHeight="1">
      <c r="A129" s="250" t="s">
        <v>5450</v>
      </c>
      <c r="B129" s="251">
        <v>87</v>
      </c>
      <c r="C129" s="239" t="s">
        <v>69</v>
      </c>
      <c r="D129" s="239" t="s">
        <v>2897</v>
      </c>
      <c r="E129" s="58"/>
      <c r="F129" s="59" t="s">
        <v>186</v>
      </c>
      <c r="G129" s="191" t="s">
        <v>2477</v>
      </c>
      <c r="H129" s="192" t="s">
        <v>69</v>
      </c>
      <c r="I129" s="61" t="s">
        <v>2511</v>
      </c>
      <c r="J129" s="61" t="s">
        <v>2511</v>
      </c>
      <c r="K129" s="62" t="s">
        <v>2511</v>
      </c>
      <c r="L129" s="60" t="s">
        <v>2389</v>
      </c>
      <c r="M129" s="61" t="s">
        <v>2389</v>
      </c>
      <c r="N129" s="61" t="s">
        <v>2511</v>
      </c>
      <c r="O129" s="61" t="s">
        <v>2511</v>
      </c>
      <c r="P129" s="62" t="s">
        <v>2511</v>
      </c>
      <c r="Q129" s="57" t="s">
        <v>129</v>
      </c>
      <c r="R129" s="63" t="s">
        <v>126</v>
      </c>
      <c r="S129" s="63" t="s">
        <v>112</v>
      </c>
      <c r="T129" s="63" t="s">
        <v>113</v>
      </c>
      <c r="U129" s="64" t="s">
        <v>126</v>
      </c>
      <c r="V129" s="63" t="s">
        <v>2898</v>
      </c>
      <c r="W129" s="57" t="s">
        <v>2846</v>
      </c>
      <c r="X129" s="126" t="s">
        <v>2899</v>
      </c>
      <c r="Y129" s="126" t="s">
        <v>2511</v>
      </c>
      <c r="Z129" s="57" t="s">
        <v>2817</v>
      </c>
      <c r="AA129" s="57" t="s">
        <v>2818</v>
      </c>
      <c r="AB129" s="57" t="s">
        <v>2393</v>
      </c>
      <c r="AC129" s="57">
        <v>0</v>
      </c>
      <c r="AD129" s="65" t="str">
        <f t="shared" si="24"/>
        <v>GPIO_PZ1</v>
      </c>
      <c r="AE129" s="70"/>
      <c r="AF129" s="67" t="str">
        <f t="shared" si="25"/>
        <v>PULL_UP</v>
      </c>
      <c r="AG129" s="67" t="str">
        <f t="shared" si="26"/>
        <v>NORMAL</v>
      </c>
      <c r="AH129" s="67" t="str">
        <f t="shared" si="27"/>
        <v>ENABLE</v>
      </c>
      <c r="AI129" s="71" t="str">
        <f t="shared" si="28"/>
        <v/>
      </c>
      <c r="AJ129" s="189" t="b">
        <v>1</v>
      </c>
      <c r="AK129" s="189" t="b">
        <v>1</v>
      </c>
      <c r="AL129" s="189" t="b">
        <v>1</v>
      </c>
      <c r="AM129" s="189" t="b">
        <v>1</v>
      </c>
      <c r="AN129" s="189" t="b">
        <v>1</v>
      </c>
      <c r="AO129" s="189" t="b">
        <v>1</v>
      </c>
      <c r="AP129" s="69" t="str">
        <f t="shared" si="29"/>
        <v>VALID</v>
      </c>
      <c r="AQ129" s="166" t="s">
        <v>2477</v>
      </c>
      <c r="AR129" s="194" t="s">
        <v>860</v>
      </c>
      <c r="AS129" s="193" t="s">
        <v>873</v>
      </c>
      <c r="AT129" s="193" t="s">
        <v>863</v>
      </c>
      <c r="AU129" s="143"/>
      <c r="AV129" s="143"/>
      <c r="AW129" s="188" t="s">
        <v>136</v>
      </c>
      <c r="AX129" s="188" t="s">
        <v>136</v>
      </c>
      <c r="AY129" s="72"/>
      <c r="AZ129" s="193"/>
      <c r="BA129" s="193"/>
      <c r="BB129" s="8"/>
      <c r="BC129" s="140"/>
      <c r="BD129" s="11" t="s">
        <v>5571</v>
      </c>
      <c r="BE129" s="311" t="s">
        <v>5551</v>
      </c>
    </row>
    <row r="130" spans="1:57" ht="12.75" hidden="1" customHeight="1">
      <c r="A130" s="248" t="e">
        <v>#N/A</v>
      </c>
      <c r="B130" s="252" t="e">
        <v>#N/A</v>
      </c>
      <c r="C130" s="263" t="s">
        <v>70</v>
      </c>
      <c r="D130" s="239" t="s">
        <v>2900</v>
      </c>
      <c r="E130" s="58"/>
      <c r="F130" s="59" t="s">
        <v>187</v>
      </c>
      <c r="G130" s="191" t="s">
        <v>2478</v>
      </c>
      <c r="H130" s="192" t="s">
        <v>70</v>
      </c>
      <c r="I130" s="61" t="s">
        <v>2511</v>
      </c>
      <c r="J130" s="61" t="s">
        <v>2511</v>
      </c>
      <c r="K130" s="62" t="s">
        <v>2511</v>
      </c>
      <c r="L130" s="60" t="s">
        <v>2389</v>
      </c>
      <c r="M130" s="61" t="s">
        <v>2389</v>
      </c>
      <c r="N130" s="61" t="s">
        <v>2511</v>
      </c>
      <c r="O130" s="61" t="s">
        <v>2511</v>
      </c>
      <c r="P130" s="62" t="s">
        <v>2511</v>
      </c>
      <c r="Q130" s="57" t="s">
        <v>129</v>
      </c>
      <c r="R130" s="63" t="s">
        <v>126</v>
      </c>
      <c r="S130" s="63" t="s">
        <v>112</v>
      </c>
      <c r="T130" s="63" t="s">
        <v>113</v>
      </c>
      <c r="U130" s="64" t="s">
        <v>126</v>
      </c>
      <c r="V130" s="63" t="s">
        <v>2901</v>
      </c>
      <c r="W130" s="57" t="s">
        <v>2846</v>
      </c>
      <c r="X130" s="126" t="s">
        <v>2902</v>
      </c>
      <c r="Y130" s="126" t="s">
        <v>2511</v>
      </c>
      <c r="Z130" s="57" t="s">
        <v>2817</v>
      </c>
      <c r="AA130" s="57" t="s">
        <v>2818</v>
      </c>
      <c r="AB130" s="57" t="s">
        <v>2393</v>
      </c>
      <c r="AC130" s="57">
        <v>0</v>
      </c>
      <c r="AD130" s="65" t="str">
        <f t="shared" si="24"/>
        <v>RSVD1</v>
      </c>
      <c r="AE130" s="70"/>
      <c r="AF130" s="67" t="str">
        <f t="shared" si="25"/>
        <v>PULL_DOWN</v>
      </c>
      <c r="AG130" s="67" t="str">
        <f t="shared" si="26"/>
        <v>TRISTATE</v>
      </c>
      <c r="AH130" s="67" t="str">
        <f t="shared" si="27"/>
        <v>DISABLE</v>
      </c>
      <c r="AI130" s="71" t="str">
        <f t="shared" si="28"/>
        <v>N/A</v>
      </c>
      <c r="AJ130" s="189" t="b">
        <v>1</v>
      </c>
      <c r="AK130" s="189" t="b">
        <v>1</v>
      </c>
      <c r="AL130" s="189" t="b">
        <v>1</v>
      </c>
      <c r="AM130" s="189" t="b">
        <v>1</v>
      </c>
      <c r="AN130" s="189" t="b">
        <v>1</v>
      </c>
      <c r="AO130" s="189" t="b">
        <v>1</v>
      </c>
      <c r="AP130" s="69" t="str">
        <f t="shared" si="29"/>
        <v>VALID</v>
      </c>
      <c r="AQ130" s="166" t="s">
        <v>187</v>
      </c>
      <c r="AR130" s="194" t="s">
        <v>79</v>
      </c>
      <c r="AS130" s="193"/>
      <c r="AT130" s="193" t="s">
        <v>117</v>
      </c>
      <c r="AU130" s="140"/>
      <c r="AV130" s="140"/>
      <c r="AW130" s="188" t="s">
        <v>136</v>
      </c>
      <c r="AX130" s="188" t="s">
        <v>136</v>
      </c>
      <c r="AY130" s="72"/>
      <c r="AZ130" s="193"/>
      <c r="BA130" s="193"/>
      <c r="BB130" s="8"/>
      <c r="BC130" s="140"/>
      <c r="BD130" s="147" t="s">
        <v>83</v>
      </c>
      <c r="BE130" s="147" t="s">
        <v>83</v>
      </c>
    </row>
    <row r="131" spans="1:57" ht="12.95" customHeight="1">
      <c r="A131" s="320" t="s">
        <v>5572</v>
      </c>
      <c r="B131" s="251">
        <v>91</v>
      </c>
      <c r="C131" s="239" t="s">
        <v>934</v>
      </c>
      <c r="D131" s="239" t="s">
        <v>2903</v>
      </c>
      <c r="E131" s="58"/>
      <c r="F131" s="59" t="s">
        <v>1823</v>
      </c>
      <c r="G131" s="191" t="s">
        <v>2500</v>
      </c>
      <c r="H131" s="192" t="s">
        <v>934</v>
      </c>
      <c r="I131" s="61" t="s">
        <v>2511</v>
      </c>
      <c r="J131" s="61" t="s">
        <v>2511</v>
      </c>
      <c r="K131" s="62" t="s">
        <v>2511</v>
      </c>
      <c r="L131" s="60" t="s">
        <v>2389</v>
      </c>
      <c r="M131" s="61" t="s">
        <v>2389</v>
      </c>
      <c r="N131" s="61" t="s">
        <v>2511</v>
      </c>
      <c r="O131" s="61" t="s">
        <v>2511</v>
      </c>
      <c r="P131" s="62" t="s">
        <v>2511</v>
      </c>
      <c r="Q131" s="57" t="s">
        <v>124</v>
      </c>
      <c r="R131" s="63" t="s">
        <v>126</v>
      </c>
      <c r="S131" s="63" t="s">
        <v>112</v>
      </c>
      <c r="T131" s="63" t="s">
        <v>113</v>
      </c>
      <c r="U131" s="64" t="s">
        <v>126</v>
      </c>
      <c r="V131" s="63" t="s">
        <v>2904</v>
      </c>
      <c r="W131" s="57" t="s">
        <v>2846</v>
      </c>
      <c r="X131" s="126" t="s">
        <v>2511</v>
      </c>
      <c r="Y131" s="126" t="s">
        <v>2511</v>
      </c>
      <c r="Z131" s="57" t="s">
        <v>2514</v>
      </c>
      <c r="AA131" s="57" t="s">
        <v>2515</v>
      </c>
      <c r="AB131" s="57" t="s">
        <v>2393</v>
      </c>
      <c r="AC131" s="57" t="s">
        <v>2516</v>
      </c>
      <c r="AD131" s="65" t="str">
        <f t="shared" si="24"/>
        <v>GPIO_PZ3</v>
      </c>
      <c r="AE131" s="70"/>
      <c r="AF131" s="67" t="str">
        <f t="shared" si="25"/>
        <v>PULL_DOWN</v>
      </c>
      <c r="AG131" s="67" t="str">
        <f t="shared" si="26"/>
        <v>TRISTATE</v>
      </c>
      <c r="AH131" s="67" t="str">
        <f t="shared" si="27"/>
        <v>ENABLE</v>
      </c>
      <c r="AI131" s="71" t="str">
        <f t="shared" si="28"/>
        <v/>
      </c>
      <c r="AJ131" s="189" t="b">
        <v>1</v>
      </c>
      <c r="AK131" s="189" t="b">
        <v>1</v>
      </c>
      <c r="AL131" s="189" t="b">
        <v>1</v>
      </c>
      <c r="AM131" s="189" t="b">
        <v>1</v>
      </c>
      <c r="AN131" s="189" t="b">
        <v>1</v>
      </c>
      <c r="AO131" s="189" t="b">
        <v>1</v>
      </c>
      <c r="AP131" s="69" t="str">
        <f t="shared" si="29"/>
        <v>VALID</v>
      </c>
      <c r="AQ131" s="166" t="s">
        <v>2500</v>
      </c>
      <c r="AR131" s="194" t="s">
        <v>862</v>
      </c>
      <c r="AS131" s="193" t="s">
        <v>875</v>
      </c>
      <c r="AT131" s="72"/>
      <c r="AU131" s="140"/>
      <c r="AV131" s="193" t="s">
        <v>900</v>
      </c>
      <c r="AW131" s="72"/>
      <c r="AX131" s="188" t="s">
        <v>136</v>
      </c>
      <c r="AY131" s="72"/>
      <c r="AZ131" s="193"/>
      <c r="BA131" s="193"/>
      <c r="BB131" s="8"/>
      <c r="BC131" s="140"/>
      <c r="BD131" s="11" t="s">
        <v>5572</v>
      </c>
      <c r="BE131" s="333" t="s">
        <v>5548</v>
      </c>
    </row>
    <row r="132" spans="1:57" ht="12.95" customHeight="1">
      <c r="A132" s="320" t="s">
        <v>5491</v>
      </c>
      <c r="B132" s="251">
        <v>93</v>
      </c>
      <c r="C132" s="239" t="s">
        <v>1004</v>
      </c>
      <c r="D132" s="239" t="s">
        <v>2905</v>
      </c>
      <c r="E132" s="58"/>
      <c r="F132" s="59" t="s">
        <v>1824</v>
      </c>
      <c r="G132" s="191" t="s">
        <v>2499</v>
      </c>
      <c r="H132" s="192" t="s">
        <v>935</v>
      </c>
      <c r="I132" s="61" t="s">
        <v>2511</v>
      </c>
      <c r="J132" s="61" t="s">
        <v>2511</v>
      </c>
      <c r="K132" s="62" t="s">
        <v>2511</v>
      </c>
      <c r="L132" s="60" t="s">
        <v>2389</v>
      </c>
      <c r="M132" s="61" t="s">
        <v>2389</v>
      </c>
      <c r="N132" s="61" t="s">
        <v>2511</v>
      </c>
      <c r="O132" s="61" t="s">
        <v>2511</v>
      </c>
      <c r="P132" s="62" t="s">
        <v>2511</v>
      </c>
      <c r="Q132" s="57" t="s">
        <v>124</v>
      </c>
      <c r="R132" s="63" t="s">
        <v>126</v>
      </c>
      <c r="S132" s="63" t="s">
        <v>112</v>
      </c>
      <c r="T132" s="63" t="s">
        <v>113</v>
      </c>
      <c r="U132" s="64" t="s">
        <v>126</v>
      </c>
      <c r="V132" s="63" t="s">
        <v>2906</v>
      </c>
      <c r="W132" s="57" t="s">
        <v>2846</v>
      </c>
      <c r="X132" s="126" t="s">
        <v>2511</v>
      </c>
      <c r="Y132" s="126" t="s">
        <v>2511</v>
      </c>
      <c r="Z132" s="57" t="s">
        <v>2514</v>
      </c>
      <c r="AA132" s="57" t="s">
        <v>2515</v>
      </c>
      <c r="AB132" s="57" t="s">
        <v>2393</v>
      </c>
      <c r="AC132" s="57" t="s">
        <v>2548</v>
      </c>
      <c r="AD132" s="65" t="str">
        <f t="shared" si="24"/>
        <v>SPI1</v>
      </c>
      <c r="AE132" s="70"/>
      <c r="AF132" s="67" t="str">
        <f t="shared" si="25"/>
        <v>PULL_DOWN</v>
      </c>
      <c r="AG132" s="67" t="str">
        <f t="shared" si="26"/>
        <v>TRISTATE</v>
      </c>
      <c r="AH132" s="67" t="str">
        <f t="shared" si="27"/>
        <v>ENABLE</v>
      </c>
      <c r="AI132" s="71" t="str">
        <f t="shared" si="28"/>
        <v>N/A</v>
      </c>
      <c r="AJ132" s="189" t="b">
        <v>1</v>
      </c>
      <c r="AK132" s="189" t="b">
        <v>1</v>
      </c>
      <c r="AL132" s="189" t="b">
        <v>1</v>
      </c>
      <c r="AM132" s="189" t="b">
        <v>1</v>
      </c>
      <c r="AN132" s="189" t="b">
        <v>1</v>
      </c>
      <c r="AO132" s="189" t="b">
        <v>1</v>
      </c>
      <c r="AP132" s="69" t="str">
        <f t="shared" si="29"/>
        <v>VALID</v>
      </c>
      <c r="AQ132" s="166" t="s">
        <v>935</v>
      </c>
      <c r="AR132" s="194" t="s">
        <v>862</v>
      </c>
      <c r="AS132" s="193" t="s">
        <v>875</v>
      </c>
      <c r="AT132" s="72"/>
      <c r="AU132" s="140"/>
      <c r="AV132" s="193" t="s">
        <v>900</v>
      </c>
      <c r="AW132" s="72"/>
      <c r="AX132" s="188" t="s">
        <v>136</v>
      </c>
      <c r="AY132" s="72"/>
      <c r="AZ132" s="193"/>
      <c r="BA132" s="193"/>
      <c r="BB132" s="8"/>
      <c r="BC132" s="140"/>
      <c r="BD132" s="11" t="s">
        <v>5491</v>
      </c>
      <c r="BE132" s="334"/>
    </row>
    <row r="133" spans="1:57" ht="12.95" customHeight="1">
      <c r="A133" s="320" t="s">
        <v>5492</v>
      </c>
      <c r="B133" s="251">
        <v>89</v>
      </c>
      <c r="C133" s="239" t="s">
        <v>1005</v>
      </c>
      <c r="D133" s="239" t="s">
        <v>2907</v>
      </c>
      <c r="E133" s="58"/>
      <c r="F133" s="59" t="s">
        <v>1825</v>
      </c>
      <c r="G133" s="191" t="s">
        <v>2498</v>
      </c>
      <c r="H133" s="192" t="s">
        <v>936</v>
      </c>
      <c r="I133" s="61" t="s">
        <v>2511</v>
      </c>
      <c r="J133" s="61" t="s">
        <v>2511</v>
      </c>
      <c r="K133" s="62" t="s">
        <v>2511</v>
      </c>
      <c r="L133" s="60" t="s">
        <v>2389</v>
      </c>
      <c r="M133" s="61" t="s">
        <v>2389</v>
      </c>
      <c r="N133" s="61" t="s">
        <v>2511</v>
      </c>
      <c r="O133" s="61" t="s">
        <v>2511</v>
      </c>
      <c r="P133" s="62" t="s">
        <v>2511</v>
      </c>
      <c r="Q133" s="57" t="s">
        <v>124</v>
      </c>
      <c r="R133" s="63" t="s">
        <v>126</v>
      </c>
      <c r="S133" s="63" t="s">
        <v>112</v>
      </c>
      <c r="T133" s="63" t="s">
        <v>113</v>
      </c>
      <c r="U133" s="64" t="s">
        <v>126</v>
      </c>
      <c r="V133" s="63" t="s">
        <v>2908</v>
      </c>
      <c r="W133" s="57" t="s">
        <v>2846</v>
      </c>
      <c r="X133" s="126" t="s">
        <v>2511</v>
      </c>
      <c r="Y133" s="126" t="s">
        <v>2511</v>
      </c>
      <c r="Z133" s="57" t="s">
        <v>2514</v>
      </c>
      <c r="AA133" s="57" t="s">
        <v>2515</v>
      </c>
      <c r="AB133" s="57" t="s">
        <v>2393</v>
      </c>
      <c r="AC133" s="57" t="s">
        <v>2548</v>
      </c>
      <c r="AD133" s="65" t="str">
        <f t="shared" si="24"/>
        <v>SPI1</v>
      </c>
      <c r="AE133" s="70"/>
      <c r="AF133" s="67" t="str">
        <f t="shared" si="25"/>
        <v>PULL_DOWN</v>
      </c>
      <c r="AG133" s="67" t="str">
        <f t="shared" si="26"/>
        <v>NORMAL</v>
      </c>
      <c r="AH133" s="67" t="str">
        <f t="shared" si="27"/>
        <v>DISABLE</v>
      </c>
      <c r="AI133" s="71" t="str">
        <f t="shared" si="28"/>
        <v>N/A</v>
      </c>
      <c r="AJ133" s="189" t="b">
        <v>1</v>
      </c>
      <c r="AK133" s="189" t="b">
        <v>1</v>
      </c>
      <c r="AL133" s="189" t="b">
        <v>1</v>
      </c>
      <c r="AM133" s="189" t="b">
        <v>1</v>
      </c>
      <c r="AN133" s="189" t="b">
        <v>1</v>
      </c>
      <c r="AO133" s="189" t="b">
        <v>1</v>
      </c>
      <c r="AP133" s="69" t="str">
        <f t="shared" si="29"/>
        <v>VALID</v>
      </c>
      <c r="AQ133" s="166" t="s">
        <v>936</v>
      </c>
      <c r="AR133" s="194" t="s">
        <v>861</v>
      </c>
      <c r="AS133" s="193" t="s">
        <v>875</v>
      </c>
      <c r="AT133" s="72"/>
      <c r="AU133" s="140"/>
      <c r="AV133" s="193" t="s">
        <v>900</v>
      </c>
      <c r="AW133" s="72"/>
      <c r="AX133" s="188" t="s">
        <v>136</v>
      </c>
      <c r="AY133" s="72"/>
      <c r="AZ133" s="193"/>
      <c r="BA133" s="193"/>
      <c r="BB133" s="8"/>
      <c r="BC133" s="140"/>
      <c r="BD133" s="11" t="s">
        <v>5492</v>
      </c>
      <c r="BE133" s="334"/>
    </row>
    <row r="134" spans="1:57" ht="12.95" customHeight="1">
      <c r="A134" s="320" t="s">
        <v>5679</v>
      </c>
      <c r="B134" s="251">
        <v>95</v>
      </c>
      <c r="C134" s="239" t="s">
        <v>937</v>
      </c>
      <c r="D134" s="239" t="s">
        <v>2909</v>
      </c>
      <c r="E134" s="58"/>
      <c r="F134" s="59" t="s">
        <v>1826</v>
      </c>
      <c r="G134" s="191" t="s">
        <v>2501</v>
      </c>
      <c r="H134" s="192" t="s">
        <v>937</v>
      </c>
      <c r="I134" s="61" t="s">
        <v>2511</v>
      </c>
      <c r="J134" s="61" t="s">
        <v>2511</v>
      </c>
      <c r="K134" s="62" t="s">
        <v>2511</v>
      </c>
      <c r="L134" s="60" t="s">
        <v>2389</v>
      </c>
      <c r="M134" s="61" t="s">
        <v>2389</v>
      </c>
      <c r="N134" s="61" t="s">
        <v>2511</v>
      </c>
      <c r="O134" s="61" t="s">
        <v>2511</v>
      </c>
      <c r="P134" s="62" t="s">
        <v>2511</v>
      </c>
      <c r="Q134" s="57" t="s">
        <v>124</v>
      </c>
      <c r="R134" s="63" t="s">
        <v>126</v>
      </c>
      <c r="S134" s="63" t="s">
        <v>112</v>
      </c>
      <c r="T134" s="63" t="s">
        <v>113</v>
      </c>
      <c r="U134" s="64" t="s">
        <v>126</v>
      </c>
      <c r="V134" s="63" t="s">
        <v>2910</v>
      </c>
      <c r="W134" s="57" t="s">
        <v>2846</v>
      </c>
      <c r="X134" s="126" t="s">
        <v>2911</v>
      </c>
      <c r="Y134" s="126" t="s">
        <v>2511</v>
      </c>
      <c r="Z134" s="57" t="s">
        <v>2514</v>
      </c>
      <c r="AA134" s="57" t="s">
        <v>2753</v>
      </c>
      <c r="AB134" s="57" t="s">
        <v>2393</v>
      </c>
      <c r="AC134" s="57" t="s">
        <v>2548</v>
      </c>
      <c r="AD134" s="65" t="str">
        <f t="shared" si="24"/>
        <v>SPI1</v>
      </c>
      <c r="AE134" s="70"/>
      <c r="AF134" s="67" t="str">
        <f t="shared" si="25"/>
        <v>PULL_DOWN</v>
      </c>
      <c r="AG134" s="67" t="str">
        <f t="shared" si="26"/>
        <v>NORMAL</v>
      </c>
      <c r="AH134" s="67" t="str">
        <f t="shared" si="27"/>
        <v>DISABLE</v>
      </c>
      <c r="AI134" s="71" t="str">
        <f t="shared" si="28"/>
        <v>N/A</v>
      </c>
      <c r="AJ134" s="189" t="b">
        <v>1</v>
      </c>
      <c r="AK134" s="189" t="b">
        <v>1</v>
      </c>
      <c r="AL134" s="189" t="b">
        <v>1</v>
      </c>
      <c r="AM134" s="189" t="b">
        <v>1</v>
      </c>
      <c r="AN134" s="189" t="b">
        <v>1</v>
      </c>
      <c r="AO134" s="189" t="b">
        <v>1</v>
      </c>
      <c r="AP134" s="69" t="str">
        <f t="shared" si="29"/>
        <v>VALID</v>
      </c>
      <c r="AQ134" s="166" t="s">
        <v>937</v>
      </c>
      <c r="AR134" s="194" t="s">
        <v>861</v>
      </c>
      <c r="AS134" s="193" t="s">
        <v>875</v>
      </c>
      <c r="AT134" s="193" t="s">
        <v>117</v>
      </c>
      <c r="AU134" s="140"/>
      <c r="AV134" s="193" t="s">
        <v>900</v>
      </c>
      <c r="AW134" s="72"/>
      <c r="AX134" s="188" t="s">
        <v>136</v>
      </c>
      <c r="AY134" s="72"/>
      <c r="AZ134" s="193"/>
      <c r="BA134" s="193"/>
      <c r="BB134" s="8"/>
      <c r="BC134" s="140"/>
      <c r="BD134" s="11" t="s">
        <v>5573</v>
      </c>
      <c r="BE134" s="334"/>
    </row>
    <row r="135" spans="1:57" ht="12.95" customHeight="1">
      <c r="A135" s="320" t="s">
        <v>5680</v>
      </c>
      <c r="B135" s="251">
        <v>97</v>
      </c>
      <c r="C135" s="239" t="s">
        <v>932</v>
      </c>
      <c r="D135" s="239" t="s">
        <v>2912</v>
      </c>
      <c r="E135" s="58"/>
      <c r="F135" s="59" t="s">
        <v>1827</v>
      </c>
      <c r="G135" s="191" t="s">
        <v>2451</v>
      </c>
      <c r="H135" s="192" t="s">
        <v>932</v>
      </c>
      <c r="I135" s="61" t="s">
        <v>2511</v>
      </c>
      <c r="J135" s="61" t="s">
        <v>2511</v>
      </c>
      <c r="K135" s="62" t="s">
        <v>2511</v>
      </c>
      <c r="L135" s="60" t="s">
        <v>2389</v>
      </c>
      <c r="M135" s="61" t="s">
        <v>2389</v>
      </c>
      <c r="N135" s="61" t="s">
        <v>2511</v>
      </c>
      <c r="O135" s="61" t="s">
        <v>2511</v>
      </c>
      <c r="P135" s="62" t="s">
        <v>2511</v>
      </c>
      <c r="Q135" s="57" t="s">
        <v>124</v>
      </c>
      <c r="R135" s="63" t="s">
        <v>126</v>
      </c>
      <c r="S135" s="63" t="s">
        <v>112</v>
      </c>
      <c r="T135" s="63" t="s">
        <v>113</v>
      </c>
      <c r="U135" s="64" t="s">
        <v>126</v>
      </c>
      <c r="V135" s="63" t="s">
        <v>2913</v>
      </c>
      <c r="W135" s="57" t="s">
        <v>2846</v>
      </c>
      <c r="X135" s="126" t="s">
        <v>2914</v>
      </c>
      <c r="Y135" s="126" t="s">
        <v>2511</v>
      </c>
      <c r="Z135" s="57" t="s">
        <v>2514</v>
      </c>
      <c r="AA135" s="57" t="s">
        <v>2753</v>
      </c>
      <c r="AB135" s="57" t="s">
        <v>2393</v>
      </c>
      <c r="AC135" s="57" t="s">
        <v>2548</v>
      </c>
      <c r="AD135" s="65" t="str">
        <f t="shared" si="24"/>
        <v>SPI1</v>
      </c>
      <c r="AE135" s="70"/>
      <c r="AF135" s="67" t="str">
        <f t="shared" si="25"/>
        <v>PULL_DOWN</v>
      </c>
      <c r="AG135" s="67" t="str">
        <f t="shared" si="26"/>
        <v>NORMAL</v>
      </c>
      <c r="AH135" s="67" t="str">
        <f t="shared" si="27"/>
        <v>DISABLE</v>
      </c>
      <c r="AI135" s="71" t="str">
        <f t="shared" si="28"/>
        <v>N/A</v>
      </c>
      <c r="AJ135" s="189" t="b">
        <v>1</v>
      </c>
      <c r="AK135" s="189" t="b">
        <v>1</v>
      </c>
      <c r="AL135" s="189" t="b">
        <v>1</v>
      </c>
      <c r="AM135" s="189" t="b">
        <v>1</v>
      </c>
      <c r="AN135" s="189" t="b">
        <v>1</v>
      </c>
      <c r="AO135" s="189" t="b">
        <v>1</v>
      </c>
      <c r="AP135" s="69" t="str">
        <f t="shared" si="29"/>
        <v>VALID</v>
      </c>
      <c r="AQ135" s="166" t="s">
        <v>932</v>
      </c>
      <c r="AR135" s="194" t="s">
        <v>861</v>
      </c>
      <c r="AS135" s="193" t="s">
        <v>875</v>
      </c>
      <c r="AT135" s="193" t="s">
        <v>117</v>
      </c>
      <c r="AU135" s="140"/>
      <c r="AV135" s="193" t="s">
        <v>900</v>
      </c>
      <c r="AW135" s="72"/>
      <c r="AX135" s="188" t="s">
        <v>136</v>
      </c>
      <c r="AY135" s="72"/>
      <c r="AZ135" s="193"/>
      <c r="BA135" s="193"/>
      <c r="BB135" s="8"/>
      <c r="BC135" s="140"/>
      <c r="BD135" s="11" t="s">
        <v>5574</v>
      </c>
      <c r="BE135" s="335"/>
    </row>
    <row r="136" spans="1:57" s="56" customFormat="1" ht="18" customHeight="1">
      <c r="A136" s="365"/>
      <c r="B136" s="366"/>
      <c r="C136" s="265" t="s">
        <v>64</v>
      </c>
      <c r="D136" s="266"/>
      <c r="E136" s="73"/>
      <c r="F136" s="73"/>
      <c r="G136" s="74"/>
      <c r="H136" s="74"/>
      <c r="I136" s="74"/>
      <c r="J136" s="74"/>
      <c r="K136" s="74"/>
      <c r="L136" s="73"/>
      <c r="M136" s="73"/>
      <c r="N136" s="73"/>
      <c r="O136" s="73"/>
      <c r="P136" s="73"/>
      <c r="Q136" s="73"/>
      <c r="R136" s="73"/>
      <c r="S136" s="73"/>
      <c r="T136" s="73"/>
      <c r="U136" s="73"/>
      <c r="V136" s="73"/>
      <c r="W136" s="73"/>
      <c r="X136" s="127"/>
      <c r="Y136" s="127"/>
      <c r="Z136" s="75"/>
      <c r="AA136" s="75"/>
      <c r="AB136" s="75"/>
      <c r="AC136" s="75"/>
      <c r="AD136" s="75"/>
      <c r="AE136" s="75"/>
      <c r="AF136" s="75"/>
      <c r="AG136" s="75"/>
      <c r="AH136" s="75"/>
      <c r="AI136" s="75"/>
      <c r="AJ136" s="53"/>
      <c r="AK136" s="53"/>
      <c r="AL136" s="53"/>
      <c r="AM136" s="53"/>
      <c r="AN136" s="53"/>
      <c r="AO136" s="53"/>
      <c r="AP136" s="53"/>
      <c r="AQ136" s="54"/>
      <c r="AR136" s="76"/>
      <c r="AS136" s="77"/>
      <c r="AT136" s="77"/>
      <c r="AU136" s="77"/>
      <c r="AV136" s="77"/>
      <c r="AW136" s="77"/>
      <c r="AX136" s="77"/>
      <c r="AY136" s="77"/>
      <c r="AZ136" s="77"/>
      <c r="BA136" s="77"/>
      <c r="BB136" s="77"/>
      <c r="BC136" s="175" t="s">
        <v>59</v>
      </c>
      <c r="BD136" s="77"/>
      <c r="BE136" s="230" t="s">
        <v>64</v>
      </c>
    </row>
    <row r="137" spans="1:57" ht="12.95" customHeight="1">
      <c r="A137" s="247" t="s">
        <v>5493</v>
      </c>
      <c r="B137" s="251">
        <v>239</v>
      </c>
      <c r="C137" s="239" t="s">
        <v>173</v>
      </c>
      <c r="D137" s="239" t="s">
        <v>2915</v>
      </c>
      <c r="E137" s="58"/>
      <c r="F137" s="59" t="s">
        <v>490</v>
      </c>
      <c r="G137" s="191" t="s">
        <v>2511</v>
      </c>
      <c r="H137" s="192" t="s">
        <v>923</v>
      </c>
      <c r="I137" s="61" t="s">
        <v>2511</v>
      </c>
      <c r="J137" s="61" t="s">
        <v>2511</v>
      </c>
      <c r="K137" s="62" t="s">
        <v>2511</v>
      </c>
      <c r="L137" s="60" t="s">
        <v>2511</v>
      </c>
      <c r="M137" s="61" t="s">
        <v>2523</v>
      </c>
      <c r="N137" s="61" t="s">
        <v>2511</v>
      </c>
      <c r="O137" s="61" t="s">
        <v>2511</v>
      </c>
      <c r="P137" s="62" t="s">
        <v>2511</v>
      </c>
      <c r="Q137" s="224"/>
      <c r="R137" s="224"/>
      <c r="S137" s="224"/>
      <c r="T137" s="224"/>
      <c r="U137" s="225"/>
      <c r="V137" s="137" t="s">
        <v>2916</v>
      </c>
      <c r="W137" s="57" t="s">
        <v>2917</v>
      </c>
      <c r="X137" s="126" t="s">
        <v>2511</v>
      </c>
      <c r="Y137" s="126" t="s">
        <v>2511</v>
      </c>
      <c r="Z137" s="57" t="s">
        <v>2828</v>
      </c>
      <c r="AA137" s="57" t="s">
        <v>2829</v>
      </c>
      <c r="AB137" s="57" t="s">
        <v>900</v>
      </c>
      <c r="AC137" s="57" t="s">
        <v>2631</v>
      </c>
      <c r="AD137" s="70"/>
      <c r="AE137" s="70"/>
      <c r="AF137" s="67" t="str">
        <f t="shared" ref="AF137:AF150" si="30">IF(AND(OR($AS137="Int PU",$AS137="Int PD"),OR(AND($AZ137&lt;&gt;"",$AZ137&lt;&gt;"0"),AND($BA137&lt;&gt;"",$BA137&lt;&gt;"0"))),"INVALID",IF(OR($AQ137=$F137,$AS137="Int PD"),"PULL_DOWN",IF(OR($AS137="Int PU",AND($AE137="YES",OR($AZ137="",$AZ137="0"),OR($BA137="",$BA137="0"),OR($AR137="Input",$AR137="Bidirectional"))),"PULL_UP","NORMAL")))</f>
        <v>PULL_UP</v>
      </c>
      <c r="AG137" s="67" t="str">
        <f t="shared" ref="AG137:AG150" si="31">IF($AR137="Input", "TRISTATE", IF($AS137="Z","TRISTATE",IF($AQ137=$F137,"TRISTATE","NORMAL")))</f>
        <v>TRISTATE</v>
      </c>
      <c r="AH137" s="67" t="str">
        <f>IF(OR($AQ137=$F137,$AR137="Output"),"DISABLE","ENABLE")</f>
        <v>ENABLE</v>
      </c>
      <c r="AI137" s="71" t="str">
        <f t="shared" ref="AI137:AI150" si="32">IF($AQ137&lt;&gt;$G137,"N/A",IF($AS137="Drive 1", "1", IF($AS137="Drive 0", "0", "")))</f>
        <v>N/A</v>
      </c>
      <c r="AJ137" s="189" t="b">
        <v>1</v>
      </c>
      <c r="AK137" s="189" t="b">
        <v>1</v>
      </c>
      <c r="AL137" s="189" t="b">
        <v>1</v>
      </c>
      <c r="AM137" s="189" t="b">
        <v>1</v>
      </c>
      <c r="AN137" s="189" t="b">
        <v>1</v>
      </c>
      <c r="AO137" s="189" t="b">
        <v>1</v>
      </c>
      <c r="AP137" s="69" t="str">
        <f t="shared" ref="AP137:AP150" si="33">IF(AND($AJ137:$AO137), "VALID", "INVALID")</f>
        <v>VALID</v>
      </c>
      <c r="AQ137" s="165" t="s">
        <v>923</v>
      </c>
      <c r="AR137" s="2" t="s">
        <v>862</v>
      </c>
      <c r="AS137" s="193" t="s">
        <v>873</v>
      </c>
      <c r="AT137" s="3"/>
      <c r="AU137" s="3"/>
      <c r="AV137" s="3"/>
      <c r="AW137" s="3"/>
      <c r="AX137" s="22"/>
      <c r="AY137" s="22"/>
      <c r="AZ137" s="4"/>
      <c r="BA137" s="4"/>
      <c r="BB137" s="13" t="s">
        <v>114</v>
      </c>
      <c r="BC137" s="139"/>
      <c r="BD137" s="17" t="s">
        <v>5575</v>
      </c>
      <c r="BE137" s="312" t="s">
        <v>5576</v>
      </c>
    </row>
    <row r="138" spans="1:57" ht="12.95" hidden="1" customHeight="1">
      <c r="A138" s="248" t="e">
        <v>#N/A</v>
      </c>
      <c r="B138" s="252" t="e">
        <v>#N/A</v>
      </c>
      <c r="C138" s="263" t="s">
        <v>1006</v>
      </c>
      <c r="D138" s="239" t="s">
        <v>2918</v>
      </c>
      <c r="E138" s="58"/>
      <c r="F138" s="59" t="s">
        <v>1828</v>
      </c>
      <c r="G138" s="191" t="s">
        <v>2511</v>
      </c>
      <c r="H138" s="192" t="s">
        <v>2396</v>
      </c>
      <c r="I138" s="61" t="s">
        <v>2511</v>
      </c>
      <c r="J138" s="61" t="s">
        <v>2511</v>
      </c>
      <c r="K138" s="62"/>
      <c r="L138" s="60" t="s">
        <v>2511</v>
      </c>
      <c r="M138" s="61" t="s">
        <v>2519</v>
      </c>
      <c r="N138" s="61" t="s">
        <v>2511</v>
      </c>
      <c r="O138" s="61" t="s">
        <v>2511</v>
      </c>
      <c r="P138" s="62"/>
      <c r="Q138" s="224" t="s">
        <v>5415</v>
      </c>
      <c r="R138" s="224" t="s">
        <v>126</v>
      </c>
      <c r="S138" s="224" t="s">
        <v>112</v>
      </c>
      <c r="T138" s="224" t="s">
        <v>113</v>
      </c>
      <c r="U138" s="224" t="s">
        <v>126</v>
      </c>
      <c r="V138" s="138" t="s">
        <v>2919</v>
      </c>
      <c r="W138" s="57" t="s">
        <v>2917</v>
      </c>
      <c r="X138" s="126" t="s">
        <v>2511</v>
      </c>
      <c r="Y138" s="126" t="s">
        <v>2511</v>
      </c>
      <c r="Z138" s="57" t="s">
        <v>2817</v>
      </c>
      <c r="AA138" s="57" t="s">
        <v>2920</v>
      </c>
      <c r="AB138" s="57" t="s">
        <v>2393</v>
      </c>
      <c r="AC138" s="57" t="s">
        <v>2631</v>
      </c>
      <c r="AD138" s="65" t="str">
        <f t="shared" ref="AD138:AD148" si="34">IF(OR($AQ138="",$AQ138=$F138),$U138,IF($AQ138=$G138,SUBSTITUTE(SUBSTITUTE($AQ138,"GPIO3_","GPIO_"),".0",""),IF($AQ138=$H138,$Q138,IF($AQ138=$I138,$R138,IF($AQ138=$J138,$S138,IF($AQ138=$K138,$T138,"INVALID"))))))</f>
        <v>SHUTDOWN</v>
      </c>
      <c r="AE138" s="70"/>
      <c r="AF138" s="67" t="str">
        <f t="shared" si="30"/>
        <v>NORMAL</v>
      </c>
      <c r="AG138" s="67" t="str">
        <f t="shared" si="31"/>
        <v>NORMAL</v>
      </c>
      <c r="AH138" s="67" t="str">
        <f>IF(OR($AQ138=$F138,$AR138="Output"),"DISABLE","ENABLE")</f>
        <v>DISABLE</v>
      </c>
      <c r="AI138" s="71" t="str">
        <f t="shared" si="32"/>
        <v>N/A</v>
      </c>
      <c r="AJ138" s="189" t="b">
        <v>1</v>
      </c>
      <c r="AK138" s="189" t="b">
        <v>1</v>
      </c>
      <c r="AL138" s="189" t="b">
        <v>1</v>
      </c>
      <c r="AM138" s="189" t="b">
        <v>1</v>
      </c>
      <c r="AN138" s="189" t="b">
        <v>1</v>
      </c>
      <c r="AO138" s="189" t="b">
        <v>1</v>
      </c>
      <c r="AP138" s="69" t="str">
        <f t="shared" si="33"/>
        <v>VALID</v>
      </c>
      <c r="AQ138" s="166" t="s">
        <v>2396</v>
      </c>
      <c r="AR138" s="194" t="s">
        <v>861</v>
      </c>
      <c r="AS138" s="193"/>
      <c r="AT138" s="72"/>
      <c r="AU138" s="72"/>
      <c r="AV138" s="72"/>
      <c r="AW138" s="188" t="s">
        <v>136</v>
      </c>
      <c r="AX138" s="188" t="s">
        <v>136</v>
      </c>
      <c r="AY138" s="72"/>
      <c r="AZ138" s="193"/>
      <c r="BA138" s="193"/>
      <c r="BB138" s="8"/>
      <c r="BC138" s="140"/>
      <c r="BD138" s="11" t="s">
        <v>5577</v>
      </c>
      <c r="BE138" s="312" t="s">
        <v>5578</v>
      </c>
    </row>
    <row r="139" spans="1:57" ht="12.95" hidden="1" customHeight="1">
      <c r="A139" s="248" t="e">
        <v>#N/A</v>
      </c>
      <c r="B139" s="252" t="e">
        <v>#N/A</v>
      </c>
      <c r="C139" s="263" t="s">
        <v>725</v>
      </c>
      <c r="D139" s="239" t="s">
        <v>2921</v>
      </c>
      <c r="E139" s="58"/>
      <c r="F139" s="59" t="s">
        <v>790</v>
      </c>
      <c r="G139" s="191" t="s">
        <v>2174</v>
      </c>
      <c r="H139" s="192"/>
      <c r="I139" s="61" t="s">
        <v>2511</v>
      </c>
      <c r="J139" s="61" t="s">
        <v>2511</v>
      </c>
      <c r="K139" s="62" t="s">
        <v>2511</v>
      </c>
      <c r="L139" s="60" t="s">
        <v>2389</v>
      </c>
      <c r="M139" s="61" t="s">
        <v>2389</v>
      </c>
      <c r="N139" s="61" t="s">
        <v>2511</v>
      </c>
      <c r="O139" s="61" t="s">
        <v>2511</v>
      </c>
      <c r="P139" s="62" t="s">
        <v>2511</v>
      </c>
      <c r="Q139" s="58" t="s">
        <v>841</v>
      </c>
      <c r="R139" s="58" t="s">
        <v>126</v>
      </c>
      <c r="S139" s="58" t="s">
        <v>112</v>
      </c>
      <c r="T139" s="58" t="s">
        <v>113</v>
      </c>
      <c r="U139" s="63" t="s">
        <v>126</v>
      </c>
      <c r="V139" s="138" t="s">
        <v>2922</v>
      </c>
      <c r="W139" s="57" t="s">
        <v>2917</v>
      </c>
      <c r="X139" s="126" t="s">
        <v>2923</v>
      </c>
      <c r="Y139" s="126" t="s">
        <v>2511</v>
      </c>
      <c r="Z139" s="57" t="s">
        <v>2817</v>
      </c>
      <c r="AA139" s="57" t="s">
        <v>2920</v>
      </c>
      <c r="AB139" s="57" t="s">
        <v>2393</v>
      </c>
      <c r="AC139" s="57" t="s">
        <v>2631</v>
      </c>
      <c r="AD139" s="65" t="str">
        <f t="shared" si="34"/>
        <v>GPIO_PEE0</v>
      </c>
      <c r="AE139" s="70"/>
      <c r="AF139" s="67" t="str">
        <f t="shared" si="30"/>
        <v>NORMAL</v>
      </c>
      <c r="AG139" s="67" t="str">
        <f t="shared" si="31"/>
        <v>TRISTATE</v>
      </c>
      <c r="AH139" s="67" t="str">
        <f t="shared" ref="AH139:AH150" si="35">IF(OR($AQ139=$F139,$AR139="Output"),"DISABLE","ENABLE")</f>
        <v>ENABLE</v>
      </c>
      <c r="AI139" s="71" t="str">
        <f t="shared" si="32"/>
        <v/>
      </c>
      <c r="AJ139" s="189" t="b">
        <v>1</v>
      </c>
      <c r="AK139" s="189" t="b">
        <v>1</v>
      </c>
      <c r="AL139" s="189" t="b">
        <v>1</v>
      </c>
      <c r="AM139" s="189" t="b">
        <v>1</v>
      </c>
      <c r="AN139" s="189" t="b">
        <v>1</v>
      </c>
      <c r="AO139" s="189" t="b">
        <v>1</v>
      </c>
      <c r="AP139" s="69" t="str">
        <f t="shared" si="33"/>
        <v>VALID</v>
      </c>
      <c r="AQ139" s="166" t="s">
        <v>2174</v>
      </c>
      <c r="AR139" s="194" t="s">
        <v>862</v>
      </c>
      <c r="AS139" s="193"/>
      <c r="AT139" s="193" t="s">
        <v>863</v>
      </c>
      <c r="AU139" s="72"/>
      <c r="AV139" s="72"/>
      <c r="AW139" s="188" t="s">
        <v>136</v>
      </c>
      <c r="AX139" s="188" t="s">
        <v>136</v>
      </c>
      <c r="AY139" s="72"/>
      <c r="AZ139" s="193" t="s">
        <v>2489</v>
      </c>
      <c r="BA139" s="193"/>
      <c r="BB139" s="8"/>
      <c r="BC139" s="140"/>
      <c r="BD139" s="11" t="s">
        <v>5579</v>
      </c>
      <c r="BE139" s="145" t="s">
        <v>81</v>
      </c>
    </row>
    <row r="140" spans="1:57" ht="12.95" hidden="1" customHeight="1">
      <c r="A140" s="248" t="e">
        <v>#N/A</v>
      </c>
      <c r="B140" s="252" t="e">
        <v>#N/A</v>
      </c>
      <c r="C140" s="263" t="s">
        <v>726</v>
      </c>
      <c r="D140" s="239" t="s">
        <v>2924</v>
      </c>
      <c r="E140" s="58"/>
      <c r="F140" s="59" t="s">
        <v>791</v>
      </c>
      <c r="G140" s="191" t="s">
        <v>2175</v>
      </c>
      <c r="H140" s="192" t="s">
        <v>2925</v>
      </c>
      <c r="I140" s="61" t="s">
        <v>2511</v>
      </c>
      <c r="J140" s="61" t="s">
        <v>2511</v>
      </c>
      <c r="K140" s="62" t="s">
        <v>2511</v>
      </c>
      <c r="L140" s="60" t="s">
        <v>2389</v>
      </c>
      <c r="M140" s="61" t="s">
        <v>2523</v>
      </c>
      <c r="N140" s="61" t="s">
        <v>2511</v>
      </c>
      <c r="O140" s="61" t="s">
        <v>2511</v>
      </c>
      <c r="P140" s="62" t="s">
        <v>2511</v>
      </c>
      <c r="Q140" s="58" t="s">
        <v>143</v>
      </c>
      <c r="R140" s="58" t="s">
        <v>126</v>
      </c>
      <c r="S140" s="58" t="s">
        <v>112</v>
      </c>
      <c r="T140" s="58" t="s">
        <v>113</v>
      </c>
      <c r="U140" s="63" t="s">
        <v>126</v>
      </c>
      <c r="V140" s="138" t="s">
        <v>2926</v>
      </c>
      <c r="W140" s="57" t="s">
        <v>2917</v>
      </c>
      <c r="X140" s="126" t="s">
        <v>2927</v>
      </c>
      <c r="Y140" s="126" t="s">
        <v>2511</v>
      </c>
      <c r="Z140" s="57" t="s">
        <v>2514</v>
      </c>
      <c r="AA140" s="57" t="s">
        <v>2834</v>
      </c>
      <c r="AB140" s="57" t="s">
        <v>2393</v>
      </c>
      <c r="AC140" s="57" t="s">
        <v>2516</v>
      </c>
      <c r="AD140" s="65" t="str">
        <f t="shared" si="34"/>
        <v>SOC</v>
      </c>
      <c r="AE140" s="70"/>
      <c r="AF140" s="67" t="str">
        <f t="shared" si="30"/>
        <v>PULL_UP</v>
      </c>
      <c r="AG140" s="67" t="str">
        <f t="shared" si="31"/>
        <v>TRISTATE</v>
      </c>
      <c r="AH140" s="67" t="str">
        <f t="shared" si="35"/>
        <v>ENABLE</v>
      </c>
      <c r="AI140" s="71" t="str">
        <f t="shared" si="32"/>
        <v>N/A</v>
      </c>
      <c r="AJ140" s="189" t="b">
        <v>1</v>
      </c>
      <c r="AK140" s="189" t="b">
        <v>1</v>
      </c>
      <c r="AL140" s="189" t="b">
        <v>1</v>
      </c>
      <c r="AM140" s="189" t="b">
        <v>1</v>
      </c>
      <c r="AN140" s="189" t="b">
        <v>1</v>
      </c>
      <c r="AO140" s="189" t="b">
        <v>1</v>
      </c>
      <c r="AP140" s="69" t="str">
        <f t="shared" si="33"/>
        <v>VALID</v>
      </c>
      <c r="AQ140" s="166" t="s">
        <v>2925</v>
      </c>
      <c r="AR140" s="194" t="s">
        <v>862</v>
      </c>
      <c r="AS140" s="193" t="s">
        <v>873</v>
      </c>
      <c r="AT140" s="193" t="s">
        <v>117</v>
      </c>
      <c r="AU140" s="72"/>
      <c r="AV140" s="72"/>
      <c r="AW140" s="72"/>
      <c r="AX140" s="188" t="s">
        <v>136</v>
      </c>
      <c r="AY140" s="72"/>
      <c r="AZ140" s="193"/>
      <c r="BA140" s="193"/>
      <c r="BB140" s="8"/>
      <c r="BC140" s="140"/>
      <c r="BD140" s="11" t="s">
        <v>5580</v>
      </c>
      <c r="BE140" s="312" t="s">
        <v>5581</v>
      </c>
    </row>
    <row r="141" spans="1:57" ht="12.95" hidden="1" customHeight="1">
      <c r="A141" s="248" t="e">
        <v>#N/A</v>
      </c>
      <c r="B141" s="252" t="e">
        <v>#N/A</v>
      </c>
      <c r="C141" s="263" t="s">
        <v>44</v>
      </c>
      <c r="D141" s="239" t="s">
        <v>2928</v>
      </c>
      <c r="E141" s="58"/>
      <c r="F141" s="59" t="s">
        <v>166</v>
      </c>
      <c r="G141" s="191" t="s">
        <v>2929</v>
      </c>
      <c r="H141" s="192" t="s">
        <v>924</v>
      </c>
      <c r="I141" s="61" t="s">
        <v>2511</v>
      </c>
      <c r="J141" s="61" t="s">
        <v>2511</v>
      </c>
      <c r="K141" s="62" t="s">
        <v>2511</v>
      </c>
      <c r="L141" s="60" t="s">
        <v>2389</v>
      </c>
      <c r="M141" s="61" t="s">
        <v>2389</v>
      </c>
      <c r="N141" s="61" t="s">
        <v>2511</v>
      </c>
      <c r="O141" s="61" t="s">
        <v>2511</v>
      </c>
      <c r="P141" s="62" t="s">
        <v>2511</v>
      </c>
      <c r="Q141" s="58" t="s">
        <v>842</v>
      </c>
      <c r="R141" s="58" t="s">
        <v>126</v>
      </c>
      <c r="S141" s="58" t="s">
        <v>112</v>
      </c>
      <c r="T141" s="58" t="s">
        <v>113</v>
      </c>
      <c r="U141" s="63" t="s">
        <v>126</v>
      </c>
      <c r="V141" s="138" t="s">
        <v>2930</v>
      </c>
      <c r="W141" s="57" t="s">
        <v>2917</v>
      </c>
      <c r="X141" s="126" t="s">
        <v>2511</v>
      </c>
      <c r="Y141" s="126" t="s">
        <v>2511</v>
      </c>
      <c r="Z141" s="57" t="s">
        <v>2817</v>
      </c>
      <c r="AA141" s="57" t="s">
        <v>2920</v>
      </c>
      <c r="AB141" s="57" t="s">
        <v>2393</v>
      </c>
      <c r="AC141" s="57" t="s">
        <v>2631</v>
      </c>
      <c r="AD141" s="65" t="str">
        <f t="shared" si="34"/>
        <v>I2C5</v>
      </c>
      <c r="AE141" s="70"/>
      <c r="AF141" s="67" t="str">
        <f t="shared" si="30"/>
        <v>NORMAL</v>
      </c>
      <c r="AG141" s="67" t="str">
        <f t="shared" si="31"/>
        <v>NORMAL</v>
      </c>
      <c r="AH141" s="67" t="str">
        <f t="shared" si="35"/>
        <v>ENABLE</v>
      </c>
      <c r="AI141" s="71" t="str">
        <f t="shared" si="32"/>
        <v>N/A</v>
      </c>
      <c r="AJ141" s="189" t="b">
        <v>1</v>
      </c>
      <c r="AK141" s="189" t="b">
        <v>1</v>
      </c>
      <c r="AL141" s="189" t="b">
        <v>1</v>
      </c>
      <c r="AM141" s="189" t="b">
        <v>1</v>
      </c>
      <c r="AN141" s="189" t="b">
        <v>1</v>
      </c>
      <c r="AO141" s="189" t="b">
        <v>1</v>
      </c>
      <c r="AP141" s="69" t="str">
        <f t="shared" si="33"/>
        <v>VALID</v>
      </c>
      <c r="AQ141" s="169" t="s">
        <v>924</v>
      </c>
      <c r="AR141" s="170" t="s">
        <v>860</v>
      </c>
      <c r="AS141" s="9"/>
      <c r="AT141" s="10"/>
      <c r="AU141" s="10"/>
      <c r="AV141" s="10"/>
      <c r="AW141" s="188" t="s">
        <v>136</v>
      </c>
      <c r="AX141" s="188" t="s">
        <v>136</v>
      </c>
      <c r="AY141" s="10"/>
      <c r="AZ141" s="9" t="s">
        <v>5544</v>
      </c>
      <c r="BA141" s="9"/>
      <c r="BB141" s="14"/>
      <c r="BC141" s="141"/>
      <c r="BD141" s="12" t="s">
        <v>44</v>
      </c>
      <c r="BE141" s="333" t="s">
        <v>5582</v>
      </c>
    </row>
    <row r="142" spans="1:57" ht="12.95" hidden="1" customHeight="1">
      <c r="A142" s="248" t="e">
        <v>#N/A</v>
      </c>
      <c r="B142" s="252" t="e">
        <v>#N/A</v>
      </c>
      <c r="C142" s="263" t="s">
        <v>45</v>
      </c>
      <c r="D142" s="239" t="s">
        <v>2931</v>
      </c>
      <c r="E142" s="58"/>
      <c r="F142" s="59" t="s">
        <v>167</v>
      </c>
      <c r="G142" s="191" t="s">
        <v>2932</v>
      </c>
      <c r="H142" s="192" t="s">
        <v>925</v>
      </c>
      <c r="I142" s="61" t="s">
        <v>2511</v>
      </c>
      <c r="J142" s="61" t="s">
        <v>2511</v>
      </c>
      <c r="K142" s="62" t="s">
        <v>2511</v>
      </c>
      <c r="L142" s="60" t="s">
        <v>2389</v>
      </c>
      <c r="M142" s="61" t="s">
        <v>2389</v>
      </c>
      <c r="N142" s="61" t="s">
        <v>2511</v>
      </c>
      <c r="O142" s="61" t="s">
        <v>2511</v>
      </c>
      <c r="P142" s="62" t="s">
        <v>2511</v>
      </c>
      <c r="Q142" s="58" t="s">
        <v>842</v>
      </c>
      <c r="R142" s="58" t="s">
        <v>126</v>
      </c>
      <c r="S142" s="58" t="s">
        <v>112</v>
      </c>
      <c r="T142" s="58" t="s">
        <v>113</v>
      </c>
      <c r="U142" s="63" t="s">
        <v>126</v>
      </c>
      <c r="V142" s="138" t="s">
        <v>2933</v>
      </c>
      <c r="W142" s="57" t="s">
        <v>2917</v>
      </c>
      <c r="X142" s="126" t="s">
        <v>2934</v>
      </c>
      <c r="Y142" s="126" t="s">
        <v>2511</v>
      </c>
      <c r="Z142" s="57" t="s">
        <v>2817</v>
      </c>
      <c r="AA142" s="57" t="s">
        <v>2920</v>
      </c>
      <c r="AB142" s="57" t="s">
        <v>2393</v>
      </c>
      <c r="AC142" s="57" t="s">
        <v>2631</v>
      </c>
      <c r="AD142" s="65" t="str">
        <f t="shared" si="34"/>
        <v>I2C5</v>
      </c>
      <c r="AE142" s="70"/>
      <c r="AF142" s="67" t="str">
        <f t="shared" si="30"/>
        <v>NORMAL</v>
      </c>
      <c r="AG142" s="67" t="str">
        <f t="shared" si="31"/>
        <v>NORMAL</v>
      </c>
      <c r="AH142" s="67" t="str">
        <f t="shared" si="35"/>
        <v>ENABLE</v>
      </c>
      <c r="AI142" s="71" t="str">
        <f t="shared" si="32"/>
        <v>N/A</v>
      </c>
      <c r="AJ142" s="189" t="b">
        <v>1</v>
      </c>
      <c r="AK142" s="189" t="b">
        <v>1</v>
      </c>
      <c r="AL142" s="189" t="b">
        <v>1</v>
      </c>
      <c r="AM142" s="189" t="b">
        <v>1</v>
      </c>
      <c r="AN142" s="189" t="b">
        <v>1</v>
      </c>
      <c r="AO142" s="189" t="b">
        <v>1</v>
      </c>
      <c r="AP142" s="65" t="str">
        <f t="shared" si="33"/>
        <v>VALID</v>
      </c>
      <c r="AQ142" s="221" t="s">
        <v>925</v>
      </c>
      <c r="AR142" s="194" t="s">
        <v>860</v>
      </c>
      <c r="AS142" s="193"/>
      <c r="AT142" s="193" t="s">
        <v>117</v>
      </c>
      <c r="AU142" s="72"/>
      <c r="AV142" s="72"/>
      <c r="AW142" s="188" t="s">
        <v>136</v>
      </c>
      <c r="AX142" s="188" t="s">
        <v>136</v>
      </c>
      <c r="AY142" s="72"/>
      <c r="AZ142" s="193" t="s">
        <v>5544</v>
      </c>
      <c r="BA142" s="193"/>
      <c r="BB142" s="193"/>
      <c r="BC142" s="140"/>
      <c r="BD142" s="8" t="s">
        <v>44</v>
      </c>
      <c r="BE142" s="335"/>
    </row>
    <row r="143" spans="1:57" ht="12.95" hidden="1" customHeight="1">
      <c r="A143" s="248" t="e">
        <v>#N/A</v>
      </c>
      <c r="B143" s="252" t="e">
        <v>#N/A</v>
      </c>
      <c r="C143" s="263" t="s">
        <v>724</v>
      </c>
      <c r="D143" s="239" t="s">
        <v>2935</v>
      </c>
      <c r="E143" s="58"/>
      <c r="F143" s="59" t="s">
        <v>794</v>
      </c>
      <c r="G143" s="191" t="s">
        <v>2511</v>
      </c>
      <c r="H143" s="192" t="s">
        <v>877</v>
      </c>
      <c r="I143" s="61" t="s">
        <v>2511</v>
      </c>
      <c r="J143" s="61" t="s">
        <v>2511</v>
      </c>
      <c r="K143" s="62" t="s">
        <v>2511</v>
      </c>
      <c r="L143" s="60" t="s">
        <v>2511</v>
      </c>
      <c r="M143" s="61" t="s">
        <v>2523</v>
      </c>
      <c r="N143" s="61" t="s">
        <v>2511</v>
      </c>
      <c r="O143" s="61" t="s">
        <v>2511</v>
      </c>
      <c r="P143" s="62" t="s">
        <v>2511</v>
      </c>
      <c r="Q143" s="224"/>
      <c r="R143" s="224"/>
      <c r="S143" s="224"/>
      <c r="T143" s="224"/>
      <c r="U143" s="225"/>
      <c r="V143" s="137" t="s">
        <v>2936</v>
      </c>
      <c r="W143" s="57" t="s">
        <v>2917</v>
      </c>
      <c r="X143" s="126" t="s">
        <v>2937</v>
      </c>
      <c r="Y143" s="126" t="s">
        <v>2511</v>
      </c>
      <c r="Z143" s="57" t="s">
        <v>2514</v>
      </c>
      <c r="AA143" s="57" t="s">
        <v>2834</v>
      </c>
      <c r="AB143" s="57" t="s">
        <v>2393</v>
      </c>
      <c r="AC143" s="57" t="s">
        <v>2631</v>
      </c>
      <c r="AD143" s="70"/>
      <c r="AE143" s="70"/>
      <c r="AF143" s="67" t="str">
        <f t="shared" si="30"/>
        <v>PULL_UP</v>
      </c>
      <c r="AG143" s="67" t="str">
        <f t="shared" si="31"/>
        <v>TRISTATE</v>
      </c>
      <c r="AH143" s="67" t="str">
        <f t="shared" si="35"/>
        <v>ENABLE</v>
      </c>
      <c r="AI143" s="71" t="str">
        <f t="shared" si="32"/>
        <v>N/A</v>
      </c>
      <c r="AJ143" s="189" t="b">
        <v>1</v>
      </c>
      <c r="AK143" s="189" t="b">
        <v>1</v>
      </c>
      <c r="AL143" s="189" t="b">
        <v>1</v>
      </c>
      <c r="AM143" s="189" t="b">
        <v>1</v>
      </c>
      <c r="AN143" s="189" t="b">
        <v>1</v>
      </c>
      <c r="AO143" s="189" t="b">
        <v>1</v>
      </c>
      <c r="AP143" s="69" t="str">
        <f t="shared" si="33"/>
        <v>VALID</v>
      </c>
      <c r="AQ143" s="178" t="s">
        <v>877</v>
      </c>
      <c r="AR143" s="179" t="s">
        <v>862</v>
      </c>
      <c r="AS143" s="180" t="s">
        <v>873</v>
      </c>
      <c r="AT143" s="193" t="s">
        <v>863</v>
      </c>
      <c r="AU143" s="22"/>
      <c r="AV143" s="22"/>
      <c r="AW143" s="22"/>
      <c r="AX143" s="188" t="s">
        <v>136</v>
      </c>
      <c r="AY143" s="22"/>
      <c r="AZ143" s="180"/>
      <c r="BA143" s="180"/>
      <c r="BB143" s="182" t="s">
        <v>114</v>
      </c>
      <c r="BC143" s="183"/>
      <c r="BD143" s="313" t="s">
        <v>5583</v>
      </c>
      <c r="BE143" s="312" t="s">
        <v>5584</v>
      </c>
    </row>
    <row r="144" spans="1:57" ht="12.95" customHeight="1">
      <c r="A144" s="250" t="s">
        <v>5681</v>
      </c>
      <c r="B144" s="253">
        <v>178</v>
      </c>
      <c r="C144" s="285" t="s">
        <v>266</v>
      </c>
      <c r="D144" s="239" t="s">
        <v>2938</v>
      </c>
      <c r="E144" s="58"/>
      <c r="F144" s="59" t="s">
        <v>793</v>
      </c>
      <c r="G144" s="191" t="s">
        <v>2511</v>
      </c>
      <c r="H144" s="192" t="s">
        <v>266</v>
      </c>
      <c r="I144" s="61" t="s">
        <v>2511</v>
      </c>
      <c r="J144" s="61" t="s">
        <v>2511</v>
      </c>
      <c r="K144" s="62" t="s">
        <v>2511</v>
      </c>
      <c r="L144" s="60" t="s">
        <v>2511</v>
      </c>
      <c r="M144" s="61" t="s">
        <v>2388</v>
      </c>
      <c r="N144" s="61" t="s">
        <v>2511</v>
      </c>
      <c r="O144" s="61" t="s">
        <v>2511</v>
      </c>
      <c r="P144" s="62" t="s">
        <v>2511</v>
      </c>
      <c r="Q144" s="224"/>
      <c r="R144" s="224"/>
      <c r="S144" s="224"/>
      <c r="T144" s="224"/>
      <c r="U144" s="226"/>
      <c r="V144" s="138" t="s">
        <v>2939</v>
      </c>
      <c r="W144" s="57" t="s">
        <v>2917</v>
      </c>
      <c r="X144" s="126" t="s">
        <v>2511</v>
      </c>
      <c r="Y144" s="126" t="s">
        <v>2511</v>
      </c>
      <c r="Z144" s="57" t="s">
        <v>2514</v>
      </c>
      <c r="AA144" s="57" t="s">
        <v>2834</v>
      </c>
      <c r="AB144" s="57" t="s">
        <v>2393</v>
      </c>
      <c r="AC144" s="57">
        <v>1</v>
      </c>
      <c r="AD144" s="70"/>
      <c r="AE144" s="70"/>
      <c r="AF144" s="67" t="str">
        <f t="shared" si="30"/>
        <v>NORMAL</v>
      </c>
      <c r="AG144" s="67" t="str">
        <f t="shared" si="31"/>
        <v>NORMAL</v>
      </c>
      <c r="AH144" s="67" t="str">
        <f t="shared" si="35"/>
        <v>DISABLE</v>
      </c>
      <c r="AI144" s="71" t="str">
        <f t="shared" si="32"/>
        <v>N/A</v>
      </c>
      <c r="AJ144" s="189" t="b">
        <v>1</v>
      </c>
      <c r="AK144" s="189" t="b">
        <v>1</v>
      </c>
      <c r="AL144" s="189" t="b">
        <v>1</v>
      </c>
      <c r="AM144" s="189" t="b">
        <v>1</v>
      </c>
      <c r="AN144" s="189" t="b">
        <v>1</v>
      </c>
      <c r="AO144" s="189" t="b">
        <v>1</v>
      </c>
      <c r="AP144" s="69" t="str">
        <f t="shared" si="33"/>
        <v>VALID</v>
      </c>
      <c r="AQ144" s="166" t="s">
        <v>266</v>
      </c>
      <c r="AR144" s="194" t="s">
        <v>861</v>
      </c>
      <c r="AS144" s="193" t="s">
        <v>878</v>
      </c>
      <c r="AT144" s="72"/>
      <c r="AU144" s="72"/>
      <c r="AV144" s="72"/>
      <c r="AW144" s="72"/>
      <c r="AX144" s="188" t="s">
        <v>136</v>
      </c>
      <c r="AY144" s="72"/>
      <c r="AZ144" s="193"/>
      <c r="BA144" s="193"/>
      <c r="BB144" s="8"/>
      <c r="BC144" s="140"/>
      <c r="BD144" s="11" t="s">
        <v>266</v>
      </c>
      <c r="BE144" s="312" t="s">
        <v>5585</v>
      </c>
    </row>
    <row r="145" spans="1:57" ht="12.95" hidden="1" customHeight="1">
      <c r="A145" s="248" t="e">
        <v>#N/A</v>
      </c>
      <c r="B145" s="252" t="e">
        <v>#N/A</v>
      </c>
      <c r="C145" s="263" t="s">
        <v>1007</v>
      </c>
      <c r="D145" s="239" t="s">
        <v>2940</v>
      </c>
      <c r="E145" s="58"/>
      <c r="F145" s="59" t="s">
        <v>1829</v>
      </c>
      <c r="G145" s="191" t="s">
        <v>948</v>
      </c>
      <c r="H145" s="192" t="s">
        <v>2941</v>
      </c>
      <c r="I145" s="61" t="s">
        <v>2511</v>
      </c>
      <c r="J145" s="61" t="s">
        <v>2511</v>
      </c>
      <c r="K145" s="62" t="s">
        <v>2511</v>
      </c>
      <c r="L145" s="60" t="s">
        <v>2389</v>
      </c>
      <c r="M145" s="61" t="s">
        <v>2389</v>
      </c>
      <c r="N145" s="61" t="s">
        <v>2511</v>
      </c>
      <c r="O145" s="61" t="s">
        <v>2511</v>
      </c>
      <c r="P145" s="62" t="s">
        <v>2511</v>
      </c>
      <c r="Q145" s="58" t="s">
        <v>81</v>
      </c>
      <c r="R145" s="58" t="s">
        <v>126</v>
      </c>
      <c r="S145" s="58" t="s">
        <v>112</v>
      </c>
      <c r="T145" s="58" t="s">
        <v>113</v>
      </c>
      <c r="U145" s="63" t="s">
        <v>126</v>
      </c>
      <c r="V145" s="138" t="s">
        <v>2942</v>
      </c>
      <c r="W145" s="57" t="s">
        <v>2917</v>
      </c>
      <c r="X145" s="126" t="s">
        <v>2943</v>
      </c>
      <c r="Y145" s="126" t="s">
        <v>2511</v>
      </c>
      <c r="Z145" s="57" t="s">
        <v>2817</v>
      </c>
      <c r="AA145" s="57" t="s">
        <v>2920</v>
      </c>
      <c r="AB145" s="57" t="s">
        <v>2393</v>
      </c>
      <c r="AC145" s="57" t="s">
        <v>2631</v>
      </c>
      <c r="AD145" s="65" t="str">
        <f t="shared" si="34"/>
        <v>RSVD1</v>
      </c>
      <c r="AE145" s="70"/>
      <c r="AF145" s="67" t="str">
        <f t="shared" si="30"/>
        <v>PULL_DOWN</v>
      </c>
      <c r="AG145" s="67" t="str">
        <f t="shared" si="31"/>
        <v>TRISTATE</v>
      </c>
      <c r="AH145" s="67" t="str">
        <f t="shared" si="35"/>
        <v>DISABLE</v>
      </c>
      <c r="AI145" s="71" t="str">
        <f t="shared" si="32"/>
        <v>N/A</v>
      </c>
      <c r="AJ145" s="189" t="b">
        <v>1</v>
      </c>
      <c r="AK145" s="189" t="b">
        <v>1</v>
      </c>
      <c r="AL145" s="189" t="b">
        <v>1</v>
      </c>
      <c r="AM145" s="189" t="b">
        <v>1</v>
      </c>
      <c r="AN145" s="189" t="b">
        <v>1</v>
      </c>
      <c r="AO145" s="189" t="b">
        <v>1</v>
      </c>
      <c r="AP145" s="69" t="str">
        <f t="shared" si="33"/>
        <v>VALID</v>
      </c>
      <c r="AQ145" s="166" t="s">
        <v>1829</v>
      </c>
      <c r="AR145" s="194" t="s">
        <v>79</v>
      </c>
      <c r="AS145" s="193"/>
      <c r="AT145" s="193" t="s">
        <v>117</v>
      </c>
      <c r="AU145" s="72"/>
      <c r="AV145" s="72"/>
      <c r="AW145" s="188" t="s">
        <v>136</v>
      </c>
      <c r="AX145" s="188" t="s">
        <v>136</v>
      </c>
      <c r="AY145" s="72"/>
      <c r="AZ145" s="193"/>
      <c r="BA145" s="193"/>
      <c r="BB145" s="8"/>
      <c r="BC145" s="140"/>
      <c r="BD145" s="147" t="s">
        <v>83</v>
      </c>
      <c r="BE145" s="147" t="s">
        <v>83</v>
      </c>
    </row>
    <row r="146" spans="1:57" s="301" customFormat="1" ht="12.95" hidden="1" customHeight="1">
      <c r="A146" s="248" t="e">
        <v>#N/A</v>
      </c>
      <c r="B146" s="252" t="e">
        <v>#N/A</v>
      </c>
      <c r="C146" s="263" t="s">
        <v>727</v>
      </c>
      <c r="D146" s="285" t="s">
        <v>2944</v>
      </c>
      <c r="E146" s="7"/>
      <c r="F146" s="190" t="s">
        <v>792</v>
      </c>
      <c r="G146" s="286" t="s">
        <v>2176</v>
      </c>
      <c r="H146" s="287" t="s">
        <v>2507</v>
      </c>
      <c r="I146" s="288" t="s">
        <v>2511</v>
      </c>
      <c r="J146" s="288" t="s">
        <v>2511</v>
      </c>
      <c r="K146" s="289" t="s">
        <v>2511</v>
      </c>
      <c r="L146" s="290" t="s">
        <v>2389</v>
      </c>
      <c r="M146" s="288" t="s">
        <v>2523</v>
      </c>
      <c r="N146" s="288" t="s">
        <v>2511</v>
      </c>
      <c r="O146" s="288" t="s">
        <v>2511</v>
      </c>
      <c r="P146" s="289" t="s">
        <v>2511</v>
      </c>
      <c r="Q146" s="7" t="s">
        <v>143</v>
      </c>
      <c r="R146" s="7" t="s">
        <v>126</v>
      </c>
      <c r="S146" s="7" t="s">
        <v>112</v>
      </c>
      <c r="T146" s="7" t="s">
        <v>113</v>
      </c>
      <c r="U146" s="291" t="s">
        <v>126</v>
      </c>
      <c r="V146" s="292" t="s">
        <v>2945</v>
      </c>
      <c r="W146" s="293" t="s">
        <v>2917</v>
      </c>
      <c r="X146" s="294" t="s">
        <v>2946</v>
      </c>
      <c r="Y146" s="294" t="s">
        <v>2511</v>
      </c>
      <c r="Z146" s="293" t="s">
        <v>2514</v>
      </c>
      <c r="AA146" s="293" t="s">
        <v>2834</v>
      </c>
      <c r="AB146" s="293" t="s">
        <v>2393</v>
      </c>
      <c r="AC146" s="293" t="s">
        <v>2516</v>
      </c>
      <c r="AD146" s="295" t="str">
        <f t="shared" si="34"/>
        <v>SOC</v>
      </c>
      <c r="AE146" s="202"/>
      <c r="AF146" s="202" t="str">
        <f t="shared" si="30"/>
        <v>PULL_UP</v>
      </c>
      <c r="AG146" s="202" t="str">
        <f t="shared" si="31"/>
        <v>TRISTATE</v>
      </c>
      <c r="AH146" s="202" t="str">
        <f t="shared" si="35"/>
        <v>ENABLE</v>
      </c>
      <c r="AI146" s="296" t="str">
        <f t="shared" si="32"/>
        <v>N/A</v>
      </c>
      <c r="AJ146" s="297" t="b">
        <v>1</v>
      </c>
      <c r="AK146" s="297" t="b">
        <v>1</v>
      </c>
      <c r="AL146" s="297" t="b">
        <v>1</v>
      </c>
      <c r="AM146" s="297" t="b">
        <v>1</v>
      </c>
      <c r="AN146" s="297" t="b">
        <v>1</v>
      </c>
      <c r="AO146" s="297" t="b">
        <v>1</v>
      </c>
      <c r="AP146" s="298" t="str">
        <f t="shared" si="33"/>
        <v>VALID</v>
      </c>
      <c r="AQ146" s="166" t="s">
        <v>2507</v>
      </c>
      <c r="AR146" s="194" t="s">
        <v>862</v>
      </c>
      <c r="AS146" s="193" t="s">
        <v>873</v>
      </c>
      <c r="AT146" s="193" t="s">
        <v>117</v>
      </c>
      <c r="AU146" s="299"/>
      <c r="AV146" s="72"/>
      <c r="AW146" s="72"/>
      <c r="AX146" s="188" t="s">
        <v>136</v>
      </c>
      <c r="AY146" s="72"/>
      <c r="AZ146" s="193"/>
      <c r="BA146" s="193"/>
      <c r="BB146" s="300"/>
      <c r="BC146" s="140"/>
      <c r="BD146" s="313" t="s">
        <v>5586</v>
      </c>
      <c r="BE146" s="312" t="s">
        <v>5587</v>
      </c>
    </row>
    <row r="147" spans="1:57" ht="12.95" hidden="1" customHeight="1">
      <c r="A147" s="248" t="e">
        <v>#N/A</v>
      </c>
      <c r="B147" s="252" t="e">
        <v>#N/A</v>
      </c>
      <c r="C147" s="263" t="s">
        <v>174</v>
      </c>
      <c r="D147" s="239" t="s">
        <v>2947</v>
      </c>
      <c r="E147" s="58"/>
      <c r="F147" s="59" t="s">
        <v>491</v>
      </c>
      <c r="G147" s="191" t="s">
        <v>2511</v>
      </c>
      <c r="H147" s="192" t="s">
        <v>174</v>
      </c>
      <c r="I147" s="61" t="s">
        <v>2511</v>
      </c>
      <c r="J147" s="61" t="s">
        <v>2511</v>
      </c>
      <c r="K147" s="62" t="s">
        <v>2511</v>
      </c>
      <c r="L147" s="60" t="s">
        <v>2511</v>
      </c>
      <c r="M147" s="61" t="s">
        <v>2523</v>
      </c>
      <c r="N147" s="61" t="s">
        <v>2511</v>
      </c>
      <c r="O147" s="61" t="s">
        <v>2511</v>
      </c>
      <c r="P147" s="62" t="s">
        <v>2511</v>
      </c>
      <c r="Q147" s="224"/>
      <c r="R147" s="224"/>
      <c r="S147" s="224"/>
      <c r="T147" s="224"/>
      <c r="U147" s="226"/>
      <c r="V147" s="138" t="s">
        <v>2948</v>
      </c>
      <c r="W147" s="57" t="s">
        <v>2917</v>
      </c>
      <c r="X147" s="126" t="s">
        <v>2511</v>
      </c>
      <c r="Y147" s="126" t="s">
        <v>2511</v>
      </c>
      <c r="Z147" s="57" t="s">
        <v>2514</v>
      </c>
      <c r="AA147" s="57" t="s">
        <v>2834</v>
      </c>
      <c r="AB147" s="57" t="s">
        <v>2393</v>
      </c>
      <c r="AC147" s="57" t="s">
        <v>2631</v>
      </c>
      <c r="AD147" s="70"/>
      <c r="AE147" s="70"/>
      <c r="AF147" s="67" t="str">
        <f t="shared" si="30"/>
        <v>NORMAL</v>
      </c>
      <c r="AG147" s="67" t="str">
        <f t="shared" si="31"/>
        <v>TRISTATE</v>
      </c>
      <c r="AH147" s="67" t="str">
        <f t="shared" si="35"/>
        <v>ENABLE</v>
      </c>
      <c r="AI147" s="71" t="str">
        <f t="shared" si="32"/>
        <v>N/A</v>
      </c>
      <c r="AJ147" s="189" t="b">
        <v>1</v>
      </c>
      <c r="AK147" s="189" t="b">
        <v>1</v>
      </c>
      <c r="AL147" s="189" t="b">
        <v>1</v>
      </c>
      <c r="AM147" s="189" t="b">
        <v>1</v>
      </c>
      <c r="AN147" s="189" t="b">
        <v>1</v>
      </c>
      <c r="AO147" s="189" t="b">
        <v>1</v>
      </c>
      <c r="AP147" s="69" t="str">
        <f t="shared" si="33"/>
        <v>VALID</v>
      </c>
      <c r="AQ147" s="166" t="s">
        <v>174</v>
      </c>
      <c r="AR147" s="194" t="s">
        <v>862</v>
      </c>
      <c r="AS147" s="193"/>
      <c r="AT147" s="72"/>
      <c r="AU147" s="72"/>
      <c r="AV147" s="72"/>
      <c r="AW147" s="72"/>
      <c r="AX147" s="188" t="s">
        <v>136</v>
      </c>
      <c r="AY147" s="72"/>
      <c r="AZ147" s="193"/>
      <c r="BA147" s="193"/>
      <c r="BB147" s="8"/>
      <c r="BC147" s="140"/>
      <c r="BD147" s="11" t="s">
        <v>5588</v>
      </c>
      <c r="BE147" s="312" t="s">
        <v>5589</v>
      </c>
    </row>
    <row r="148" spans="1:57" ht="12.95" customHeight="1">
      <c r="A148" s="247" t="s">
        <v>5495</v>
      </c>
      <c r="B148" s="251">
        <v>240</v>
      </c>
      <c r="C148" s="239" t="s">
        <v>287</v>
      </c>
      <c r="D148" s="239" t="s">
        <v>2949</v>
      </c>
      <c r="E148" s="58"/>
      <c r="F148" s="59" t="s">
        <v>789</v>
      </c>
      <c r="G148" s="191" t="s">
        <v>2177</v>
      </c>
      <c r="H148" s="192" t="s">
        <v>2511</v>
      </c>
      <c r="I148" s="61" t="s">
        <v>2511</v>
      </c>
      <c r="J148" s="61" t="s">
        <v>2511</v>
      </c>
      <c r="K148" s="62" t="s">
        <v>2511</v>
      </c>
      <c r="L148" s="60" t="s">
        <v>2389</v>
      </c>
      <c r="M148" s="61" t="s">
        <v>2511</v>
      </c>
      <c r="N148" s="61" t="s">
        <v>2511</v>
      </c>
      <c r="O148" s="61" t="s">
        <v>2511</v>
      </c>
      <c r="P148" s="62" t="s">
        <v>2511</v>
      </c>
      <c r="Q148" s="58" t="s">
        <v>552</v>
      </c>
      <c r="R148" s="58" t="s">
        <v>126</v>
      </c>
      <c r="S148" s="58" t="s">
        <v>112</v>
      </c>
      <c r="T148" s="58" t="s">
        <v>113</v>
      </c>
      <c r="U148" s="63" t="s">
        <v>552</v>
      </c>
      <c r="V148" s="138" t="s">
        <v>2950</v>
      </c>
      <c r="W148" s="57" t="s">
        <v>2917</v>
      </c>
      <c r="X148" s="126" t="s">
        <v>2951</v>
      </c>
      <c r="Y148" s="126" t="s">
        <v>2511</v>
      </c>
      <c r="Z148" s="57" t="s">
        <v>2514</v>
      </c>
      <c r="AA148" s="57" t="s">
        <v>2834</v>
      </c>
      <c r="AB148" s="57" t="s">
        <v>2393</v>
      </c>
      <c r="AC148" s="57" t="s">
        <v>2516</v>
      </c>
      <c r="AD148" s="65" t="str">
        <f t="shared" si="34"/>
        <v>GPIO_PEE4</v>
      </c>
      <c r="AE148" s="70"/>
      <c r="AF148" s="67" t="str">
        <f t="shared" si="30"/>
        <v>PULL_UP</v>
      </c>
      <c r="AG148" s="67" t="str">
        <f t="shared" si="31"/>
        <v>TRISTATE</v>
      </c>
      <c r="AH148" s="67" t="str">
        <f t="shared" si="35"/>
        <v>ENABLE</v>
      </c>
      <c r="AI148" s="71" t="str">
        <f t="shared" si="32"/>
        <v/>
      </c>
      <c r="AJ148" s="189" t="b">
        <v>1</v>
      </c>
      <c r="AK148" s="189" t="b">
        <v>1</v>
      </c>
      <c r="AL148" s="189" t="b">
        <v>1</v>
      </c>
      <c r="AM148" s="189" t="b">
        <v>1</v>
      </c>
      <c r="AN148" s="189" t="b">
        <v>1</v>
      </c>
      <c r="AO148" s="189" t="b">
        <v>1</v>
      </c>
      <c r="AP148" s="69" t="str">
        <f t="shared" si="33"/>
        <v>VALID</v>
      </c>
      <c r="AQ148" s="166" t="s">
        <v>2177</v>
      </c>
      <c r="AR148" s="194" t="s">
        <v>862</v>
      </c>
      <c r="AS148" s="193" t="s">
        <v>873</v>
      </c>
      <c r="AT148" s="193" t="s">
        <v>863</v>
      </c>
      <c r="AU148" s="72"/>
      <c r="AV148" s="72"/>
      <c r="AW148" s="72"/>
      <c r="AX148" s="188" t="s">
        <v>136</v>
      </c>
      <c r="AY148" s="72"/>
      <c r="AZ148" s="193"/>
      <c r="BA148" s="193"/>
      <c r="BB148" s="8"/>
      <c r="BC148" s="140"/>
      <c r="BD148" s="11" t="s">
        <v>5590</v>
      </c>
      <c r="BE148" s="311" t="s">
        <v>5591</v>
      </c>
    </row>
    <row r="149" spans="1:57" ht="12.95" hidden="1" customHeight="1">
      <c r="A149" s="248" t="e">
        <v>#N/A</v>
      </c>
      <c r="B149" s="252" t="e">
        <v>#N/A</v>
      </c>
      <c r="C149" s="263" t="s">
        <v>216</v>
      </c>
      <c r="D149" s="239" t="s">
        <v>2952</v>
      </c>
      <c r="E149" s="58"/>
      <c r="F149" s="59" t="s">
        <v>217</v>
      </c>
      <c r="G149" s="191" t="s">
        <v>2511</v>
      </c>
      <c r="H149" s="57" t="s">
        <v>216</v>
      </c>
      <c r="I149" s="61" t="s">
        <v>2511</v>
      </c>
      <c r="J149" s="61" t="s">
        <v>2511</v>
      </c>
      <c r="K149" s="62" t="s">
        <v>2511</v>
      </c>
      <c r="L149" s="60" t="s">
        <v>2511</v>
      </c>
      <c r="M149" s="61" t="s">
        <v>2953</v>
      </c>
      <c r="N149" s="61" t="s">
        <v>2511</v>
      </c>
      <c r="O149" s="61" t="s">
        <v>2511</v>
      </c>
      <c r="P149" s="62" t="s">
        <v>2511</v>
      </c>
      <c r="Q149" s="224"/>
      <c r="R149" s="224"/>
      <c r="S149" s="224"/>
      <c r="T149" s="224"/>
      <c r="U149" s="226"/>
      <c r="V149" s="138" t="s">
        <v>2954</v>
      </c>
      <c r="W149" s="57" t="s">
        <v>2917</v>
      </c>
      <c r="X149" s="126" t="s">
        <v>2511</v>
      </c>
      <c r="Y149" s="126" t="s">
        <v>2511</v>
      </c>
      <c r="Z149" s="57" t="s">
        <v>2511</v>
      </c>
      <c r="AA149" s="57" t="s">
        <v>2955</v>
      </c>
      <c r="AB149" s="57" t="s">
        <v>2511</v>
      </c>
      <c r="AC149" s="57" t="s">
        <v>2511</v>
      </c>
      <c r="AD149" s="70"/>
      <c r="AE149" s="70"/>
      <c r="AF149" s="67" t="str">
        <f t="shared" si="30"/>
        <v>PULL_DOWN</v>
      </c>
      <c r="AG149" s="67" t="str">
        <f t="shared" si="31"/>
        <v>TRISTATE</v>
      </c>
      <c r="AH149" s="67" t="str">
        <f t="shared" si="35"/>
        <v>DISABLE</v>
      </c>
      <c r="AI149" s="71" t="str">
        <f t="shared" si="32"/>
        <v>N/A</v>
      </c>
      <c r="AJ149" s="189" t="b">
        <v>1</v>
      </c>
      <c r="AK149" s="189" t="b">
        <v>1</v>
      </c>
      <c r="AL149" s="189" t="b">
        <v>1</v>
      </c>
      <c r="AM149" s="189" t="b">
        <v>1</v>
      </c>
      <c r="AN149" s="189" t="b">
        <v>1</v>
      </c>
      <c r="AO149" s="189" t="b">
        <v>1</v>
      </c>
      <c r="AP149" s="69" t="str">
        <f t="shared" si="33"/>
        <v>VALID</v>
      </c>
      <c r="AQ149" s="166" t="s">
        <v>217</v>
      </c>
      <c r="AR149" s="194" t="s">
        <v>79</v>
      </c>
      <c r="AS149" s="193"/>
      <c r="AT149" s="72"/>
      <c r="AU149" s="72"/>
      <c r="AV149" s="72"/>
      <c r="AW149" s="72"/>
      <c r="AX149" s="72"/>
      <c r="AY149" s="72"/>
      <c r="AZ149" s="193"/>
      <c r="BA149" s="193"/>
      <c r="BB149" s="8"/>
      <c r="BC149" s="140"/>
      <c r="BD149" s="147" t="s">
        <v>83</v>
      </c>
      <c r="BE149" s="147" t="s">
        <v>83</v>
      </c>
    </row>
    <row r="150" spans="1:57" ht="12.95" hidden="1" customHeight="1">
      <c r="A150" s="248" t="e">
        <v>#N/A</v>
      </c>
      <c r="B150" s="252" t="e">
        <v>#N/A</v>
      </c>
      <c r="C150" s="263" t="s">
        <v>218</v>
      </c>
      <c r="D150" s="239" t="s">
        <v>2956</v>
      </c>
      <c r="E150" s="58"/>
      <c r="F150" s="59" t="s">
        <v>219</v>
      </c>
      <c r="G150" s="191" t="s">
        <v>2511</v>
      </c>
      <c r="H150" s="57" t="s">
        <v>218</v>
      </c>
      <c r="I150" s="61" t="s">
        <v>2511</v>
      </c>
      <c r="J150" s="61" t="s">
        <v>2511</v>
      </c>
      <c r="K150" s="62" t="s">
        <v>2511</v>
      </c>
      <c r="L150" s="60" t="s">
        <v>2511</v>
      </c>
      <c r="M150" s="61" t="s">
        <v>2957</v>
      </c>
      <c r="N150" s="61" t="s">
        <v>2511</v>
      </c>
      <c r="O150" s="61" t="s">
        <v>2511</v>
      </c>
      <c r="P150" s="62" t="s">
        <v>2511</v>
      </c>
      <c r="Q150" s="224"/>
      <c r="R150" s="224"/>
      <c r="S150" s="224"/>
      <c r="T150" s="224"/>
      <c r="U150" s="226"/>
      <c r="V150" s="138" t="s">
        <v>2958</v>
      </c>
      <c r="W150" s="57" t="s">
        <v>2917</v>
      </c>
      <c r="X150" s="126" t="s">
        <v>2511</v>
      </c>
      <c r="Y150" s="126" t="s">
        <v>2511</v>
      </c>
      <c r="Z150" s="57" t="s">
        <v>2511</v>
      </c>
      <c r="AA150" s="57" t="s">
        <v>2955</v>
      </c>
      <c r="AB150" s="57" t="s">
        <v>2511</v>
      </c>
      <c r="AC150" s="57" t="s">
        <v>2511</v>
      </c>
      <c r="AD150" s="70"/>
      <c r="AE150" s="70"/>
      <c r="AF150" s="67" t="str">
        <f t="shared" si="30"/>
        <v>PULL_DOWN</v>
      </c>
      <c r="AG150" s="67" t="str">
        <f t="shared" si="31"/>
        <v>TRISTATE</v>
      </c>
      <c r="AH150" s="67" t="str">
        <f t="shared" si="35"/>
        <v>DISABLE</v>
      </c>
      <c r="AI150" s="71" t="str">
        <f t="shared" si="32"/>
        <v>N/A</v>
      </c>
      <c r="AJ150" s="189" t="b">
        <v>1</v>
      </c>
      <c r="AK150" s="189" t="b">
        <v>1</v>
      </c>
      <c r="AL150" s="189" t="b">
        <v>1</v>
      </c>
      <c r="AM150" s="189" t="b">
        <v>1</v>
      </c>
      <c r="AN150" s="189" t="b">
        <v>1</v>
      </c>
      <c r="AO150" s="189" t="b">
        <v>1</v>
      </c>
      <c r="AP150" s="69" t="str">
        <f t="shared" si="33"/>
        <v>VALID</v>
      </c>
      <c r="AQ150" s="166" t="s">
        <v>219</v>
      </c>
      <c r="AR150" s="194" t="s">
        <v>79</v>
      </c>
      <c r="AS150" s="193"/>
      <c r="AT150" s="72"/>
      <c r="AU150" s="72"/>
      <c r="AV150" s="72"/>
      <c r="AW150" s="72"/>
      <c r="AX150" s="72"/>
      <c r="AY150" s="72"/>
      <c r="AZ150" s="193"/>
      <c r="BA150" s="193"/>
      <c r="BB150" s="8"/>
      <c r="BC150" s="140"/>
      <c r="BD150" s="147" t="s">
        <v>83</v>
      </c>
      <c r="BE150" s="147" t="s">
        <v>83</v>
      </c>
    </row>
    <row r="151" spans="1:57" s="56" customFormat="1" ht="18" customHeight="1">
      <c r="A151" s="365"/>
      <c r="B151" s="366"/>
      <c r="C151" s="265" t="s">
        <v>830</v>
      </c>
      <c r="D151" s="266"/>
      <c r="E151" s="73"/>
      <c r="F151" s="73"/>
      <c r="G151" s="74"/>
      <c r="H151" s="74"/>
      <c r="I151" s="74"/>
      <c r="J151" s="74"/>
      <c r="K151" s="74"/>
      <c r="L151" s="73"/>
      <c r="M151" s="73"/>
      <c r="N151" s="73"/>
      <c r="O151" s="73"/>
      <c r="P151" s="73"/>
      <c r="Q151" s="73"/>
      <c r="R151" s="73"/>
      <c r="S151" s="73"/>
      <c r="T151" s="73"/>
      <c r="U151" s="73"/>
      <c r="V151" s="73"/>
      <c r="W151" s="73"/>
      <c r="X151" s="127"/>
      <c r="Y151" s="127"/>
      <c r="Z151" s="75"/>
      <c r="AA151" s="75"/>
      <c r="AB151" s="75"/>
      <c r="AC151" s="75"/>
      <c r="AD151" s="75"/>
      <c r="AE151" s="75"/>
      <c r="AF151" s="75"/>
      <c r="AG151" s="75"/>
      <c r="AH151" s="75"/>
      <c r="AI151" s="75"/>
      <c r="AJ151" s="53"/>
      <c r="AK151" s="53"/>
      <c r="AL151" s="53"/>
      <c r="AM151" s="53"/>
      <c r="AN151" s="53"/>
      <c r="AO151" s="53"/>
      <c r="AP151" s="53"/>
      <c r="AQ151" s="54"/>
      <c r="AR151" s="76"/>
      <c r="AS151" s="77"/>
      <c r="AT151" s="77"/>
      <c r="AU151" s="77"/>
      <c r="AV151" s="77"/>
      <c r="AW151" s="77"/>
      <c r="AX151" s="77"/>
      <c r="AY151" s="77"/>
      <c r="AZ151" s="77"/>
      <c r="BA151" s="77"/>
      <c r="BB151" s="77"/>
      <c r="BC151" s="175" t="s">
        <v>60</v>
      </c>
      <c r="BD151" s="77"/>
      <c r="BE151" s="227" t="s">
        <v>830</v>
      </c>
    </row>
    <row r="152" spans="1:57" ht="12.95" hidden="1" customHeight="1">
      <c r="A152" s="248" t="e">
        <v>#N/A</v>
      </c>
      <c r="B152" s="252" t="e">
        <v>#N/A</v>
      </c>
      <c r="C152" s="263" t="s">
        <v>732</v>
      </c>
      <c r="D152" s="239" t="s">
        <v>2959</v>
      </c>
      <c r="E152" s="58"/>
      <c r="F152" s="59" t="s">
        <v>803</v>
      </c>
      <c r="G152" s="191" t="s">
        <v>2452</v>
      </c>
      <c r="H152" s="192" t="s">
        <v>732</v>
      </c>
      <c r="I152" s="61" t="s">
        <v>2511</v>
      </c>
      <c r="J152" s="61" t="s">
        <v>2511</v>
      </c>
      <c r="K152" s="62" t="s">
        <v>2511</v>
      </c>
      <c r="L152" s="60" t="s">
        <v>2389</v>
      </c>
      <c r="M152" s="61" t="s">
        <v>2388</v>
      </c>
      <c r="N152" s="61" t="s">
        <v>2511</v>
      </c>
      <c r="O152" s="61" t="s">
        <v>2511</v>
      </c>
      <c r="P152" s="62" t="s">
        <v>2511</v>
      </c>
      <c r="Q152" s="58" t="s">
        <v>849</v>
      </c>
      <c r="R152" s="58" t="s">
        <v>126</v>
      </c>
      <c r="S152" s="58" t="s">
        <v>112</v>
      </c>
      <c r="T152" s="58" t="s">
        <v>113</v>
      </c>
      <c r="U152" s="63" t="s">
        <v>126</v>
      </c>
      <c r="V152" s="137" t="s">
        <v>2960</v>
      </c>
      <c r="W152" s="57" t="s">
        <v>2961</v>
      </c>
      <c r="X152" s="126" t="s">
        <v>2511</v>
      </c>
      <c r="Y152" s="126" t="s">
        <v>2511</v>
      </c>
      <c r="Z152" s="57" t="s">
        <v>2582</v>
      </c>
      <c r="AA152" s="57" t="s">
        <v>2962</v>
      </c>
      <c r="AB152" s="57" t="s">
        <v>2584</v>
      </c>
      <c r="AC152" s="57" t="s">
        <v>2548</v>
      </c>
      <c r="AD152" s="65" t="str">
        <f t="shared" ref="AD152:AD175" si="36">IF(OR($AQ152="",$AQ152=$F152),$U152,IF($AQ152=$G152,SUBSTITUTE(SUBSTITUTE($AQ152,"GPIO3_","GPIO_"),".0",""),IF($AQ152=$H152,$Q152,IF($AQ152=$I152,$R152,IF($AQ152=$J152,$S152,IF($AQ152=$K152,$T152,"INVALID"))))))</f>
        <v>RSVD1</v>
      </c>
      <c r="AE152" s="70"/>
      <c r="AF152" s="67" t="str">
        <f t="shared" ref="AF152:AF175" si="37">IF(AND(OR($AS152="Int PU",$AS152="Int PD"),OR(AND($AZ152&lt;&gt;"",$AZ152&lt;&gt;"0"),AND($BA152&lt;&gt;"",$BA152&lt;&gt;"0"))),"INVALID",IF(OR($AQ152=$F152,$AS152="Int PD"),"PULL_DOWN",IF(OR($AS152="Int PU",AND($AE152="YES",OR($AZ152="",$AZ152="0"),OR($BA152="",$BA152="0"),OR($AR152="Input",$AR152="Bidirectional"))),"PULL_UP","NORMAL")))</f>
        <v>PULL_DOWN</v>
      </c>
      <c r="AG152" s="67" t="str">
        <f t="shared" ref="AG152:AG175" si="38">IF($AR152="Input", "TRISTATE", IF($AS152="Z","TRISTATE",IF($AQ152=$F152,"TRISTATE","NORMAL")))</f>
        <v>TRISTATE</v>
      </c>
      <c r="AH152" s="67" t="str">
        <f t="shared" ref="AH152:AH163" si="39">IF(OR($AQ152=$F152,$AR152="Output"),"DISABLE","ENABLE")</f>
        <v>DISABLE</v>
      </c>
      <c r="AI152" s="71" t="str">
        <f t="shared" ref="AI152:AI175" si="40">IF($AQ152&lt;&gt;$G152,"N/A",IF($AS152="Drive 1", "1", IF($AS152="Drive 0", "0", "")))</f>
        <v>N/A</v>
      </c>
      <c r="AJ152" s="189" t="b">
        <v>1</v>
      </c>
      <c r="AK152" s="189" t="b">
        <v>1</v>
      </c>
      <c r="AL152" s="189" t="b">
        <v>1</v>
      </c>
      <c r="AM152" s="189" t="b">
        <v>1</v>
      </c>
      <c r="AN152" s="189" t="b">
        <v>1</v>
      </c>
      <c r="AO152" s="189" t="b">
        <v>1</v>
      </c>
      <c r="AP152" s="69" t="str">
        <f t="shared" ref="AP152:AP175" si="41">IF(AND($AJ152:$AO152), "VALID", "INVALID")</f>
        <v>VALID</v>
      </c>
      <c r="AQ152" s="168" t="s">
        <v>803</v>
      </c>
      <c r="AR152" s="2" t="s">
        <v>79</v>
      </c>
      <c r="AS152" s="4"/>
      <c r="AT152" s="3"/>
      <c r="AU152" s="140"/>
      <c r="AV152" s="181"/>
      <c r="AW152" s="3"/>
      <c r="AX152" s="22"/>
      <c r="AY152" s="22"/>
      <c r="AZ152" s="4"/>
      <c r="BA152" s="4"/>
      <c r="BB152" s="13" t="s">
        <v>114</v>
      </c>
      <c r="BC152" s="139"/>
      <c r="BD152" s="147" t="s">
        <v>83</v>
      </c>
      <c r="BE152" s="147" t="s">
        <v>83</v>
      </c>
    </row>
    <row r="153" spans="1:57" ht="12.95" hidden="1" customHeight="1">
      <c r="A153" s="248" t="e">
        <v>#N/A</v>
      </c>
      <c r="B153" s="252" t="e">
        <v>#N/A</v>
      </c>
      <c r="C153" s="263" t="s">
        <v>733</v>
      </c>
      <c r="D153" s="239" t="s">
        <v>2963</v>
      </c>
      <c r="E153" s="58"/>
      <c r="F153" s="59" t="s">
        <v>804</v>
      </c>
      <c r="G153" s="191" t="s">
        <v>2453</v>
      </c>
      <c r="H153" s="192" t="s">
        <v>733</v>
      </c>
      <c r="I153" s="61" t="s">
        <v>2511</v>
      </c>
      <c r="J153" s="61" t="s">
        <v>2511</v>
      </c>
      <c r="K153" s="62" t="s">
        <v>2511</v>
      </c>
      <c r="L153" s="60" t="s">
        <v>2389</v>
      </c>
      <c r="M153" s="61" t="s">
        <v>2523</v>
      </c>
      <c r="N153" s="61" t="s">
        <v>2511</v>
      </c>
      <c r="O153" s="61" t="s">
        <v>2511</v>
      </c>
      <c r="P153" s="62" t="s">
        <v>2511</v>
      </c>
      <c r="Q153" s="58" t="s">
        <v>849</v>
      </c>
      <c r="R153" s="58" t="s">
        <v>126</v>
      </c>
      <c r="S153" s="58" t="s">
        <v>112</v>
      </c>
      <c r="T153" s="58" t="s">
        <v>113</v>
      </c>
      <c r="U153" s="63" t="s">
        <v>126</v>
      </c>
      <c r="V153" s="138" t="s">
        <v>2964</v>
      </c>
      <c r="W153" s="57" t="s">
        <v>2961</v>
      </c>
      <c r="X153" s="126" t="s">
        <v>2965</v>
      </c>
      <c r="Y153" s="126" t="s">
        <v>2511</v>
      </c>
      <c r="Z153" s="57" t="s">
        <v>2582</v>
      </c>
      <c r="AA153" s="57" t="s">
        <v>2962</v>
      </c>
      <c r="AB153" s="57" t="s">
        <v>2584</v>
      </c>
      <c r="AC153" s="57" t="s">
        <v>2548</v>
      </c>
      <c r="AD153" s="65" t="str">
        <f t="shared" si="36"/>
        <v>RSVD1</v>
      </c>
      <c r="AE153" s="70"/>
      <c r="AF153" s="67" t="str">
        <f t="shared" si="37"/>
        <v>PULL_DOWN</v>
      </c>
      <c r="AG153" s="67" t="str">
        <f t="shared" si="38"/>
        <v>TRISTATE</v>
      </c>
      <c r="AH153" s="67" t="str">
        <f t="shared" si="39"/>
        <v>DISABLE</v>
      </c>
      <c r="AI153" s="71" t="str">
        <f t="shared" si="40"/>
        <v>N/A</v>
      </c>
      <c r="AJ153" s="189" t="b">
        <v>1</v>
      </c>
      <c r="AK153" s="189" t="b">
        <v>1</v>
      </c>
      <c r="AL153" s="189" t="b">
        <v>1</v>
      </c>
      <c r="AM153" s="189" t="b">
        <v>1</v>
      </c>
      <c r="AN153" s="189" t="b">
        <v>1</v>
      </c>
      <c r="AO153" s="189" t="b">
        <v>1</v>
      </c>
      <c r="AP153" s="69" t="str">
        <f t="shared" si="41"/>
        <v>VALID</v>
      </c>
      <c r="AQ153" s="166" t="s">
        <v>804</v>
      </c>
      <c r="AR153" s="194" t="s">
        <v>79</v>
      </c>
      <c r="AS153" s="193"/>
      <c r="AT153" s="193" t="s">
        <v>117</v>
      </c>
      <c r="AU153" s="140"/>
      <c r="AV153" s="140"/>
      <c r="AW153" s="72"/>
      <c r="AX153" s="72"/>
      <c r="AY153" s="72"/>
      <c r="AZ153" s="193"/>
      <c r="BA153" s="193"/>
      <c r="BB153" s="8"/>
      <c r="BC153" s="140"/>
      <c r="BD153" s="147" t="s">
        <v>83</v>
      </c>
      <c r="BE153" s="147" t="s">
        <v>83</v>
      </c>
    </row>
    <row r="154" spans="1:57" ht="12.95" customHeight="1">
      <c r="A154" s="247" t="s">
        <v>5424</v>
      </c>
      <c r="B154" s="251">
        <v>145</v>
      </c>
      <c r="C154" s="239" t="s">
        <v>734</v>
      </c>
      <c r="D154" s="239" t="s">
        <v>2966</v>
      </c>
      <c r="E154" s="58"/>
      <c r="F154" s="59" t="s">
        <v>805</v>
      </c>
      <c r="G154" s="191" t="s">
        <v>2454</v>
      </c>
      <c r="H154" s="192" t="s">
        <v>734</v>
      </c>
      <c r="I154" s="61" t="s">
        <v>2511</v>
      </c>
      <c r="J154" s="61" t="s">
        <v>2511</v>
      </c>
      <c r="K154" s="62" t="s">
        <v>2511</v>
      </c>
      <c r="L154" s="60" t="s">
        <v>2389</v>
      </c>
      <c r="M154" s="61" t="s">
        <v>2388</v>
      </c>
      <c r="N154" s="61" t="s">
        <v>2511</v>
      </c>
      <c r="O154" s="61" t="s">
        <v>2511</v>
      </c>
      <c r="P154" s="62" t="s">
        <v>2511</v>
      </c>
      <c r="Q154" s="58" t="s">
        <v>850</v>
      </c>
      <c r="R154" s="58" t="s">
        <v>126</v>
      </c>
      <c r="S154" s="58" t="s">
        <v>112</v>
      </c>
      <c r="T154" s="58" t="s">
        <v>113</v>
      </c>
      <c r="U154" s="63" t="s">
        <v>126</v>
      </c>
      <c r="V154" s="138" t="s">
        <v>2967</v>
      </c>
      <c r="W154" s="57" t="s">
        <v>2961</v>
      </c>
      <c r="X154" s="126" t="s">
        <v>2511</v>
      </c>
      <c r="Y154" s="126" t="s">
        <v>2511</v>
      </c>
      <c r="Z154" s="57" t="s">
        <v>2582</v>
      </c>
      <c r="AA154" s="57" t="s">
        <v>2962</v>
      </c>
      <c r="AB154" s="57" t="s">
        <v>2584</v>
      </c>
      <c r="AC154" s="57" t="s">
        <v>2548</v>
      </c>
      <c r="AD154" s="65" t="str">
        <f t="shared" si="36"/>
        <v>CAN0</v>
      </c>
      <c r="AE154" s="70"/>
      <c r="AF154" s="67" t="str">
        <f t="shared" si="37"/>
        <v>NORMAL</v>
      </c>
      <c r="AG154" s="67" t="str">
        <f t="shared" si="38"/>
        <v>NORMAL</v>
      </c>
      <c r="AH154" s="67" t="str">
        <f t="shared" si="39"/>
        <v>DISABLE</v>
      </c>
      <c r="AI154" s="71" t="str">
        <f t="shared" si="40"/>
        <v>N/A</v>
      </c>
      <c r="AJ154" s="189" t="b">
        <v>1</v>
      </c>
      <c r="AK154" s="189" t="b">
        <v>1</v>
      </c>
      <c r="AL154" s="189" t="b">
        <v>1</v>
      </c>
      <c r="AM154" s="189" t="b">
        <v>1</v>
      </c>
      <c r="AN154" s="189" t="b">
        <v>1</v>
      </c>
      <c r="AO154" s="189" t="b">
        <v>1</v>
      </c>
      <c r="AP154" s="69" t="str">
        <f t="shared" si="41"/>
        <v>VALID</v>
      </c>
      <c r="AQ154" s="166" t="s">
        <v>734</v>
      </c>
      <c r="AR154" s="194" t="s">
        <v>861</v>
      </c>
      <c r="AS154" s="193"/>
      <c r="AT154" s="72"/>
      <c r="AU154" s="140"/>
      <c r="AV154" s="140"/>
      <c r="AW154" s="72"/>
      <c r="AX154" s="72"/>
      <c r="AY154" s="72"/>
      <c r="AZ154" s="193"/>
      <c r="BA154" s="193"/>
      <c r="BB154" s="8"/>
      <c r="BC154" s="140"/>
      <c r="BD154" s="11" t="s">
        <v>734</v>
      </c>
      <c r="BE154" s="312" t="s">
        <v>5592</v>
      </c>
    </row>
    <row r="155" spans="1:57" ht="12.95" customHeight="1">
      <c r="A155" s="247" t="s">
        <v>5425</v>
      </c>
      <c r="B155" s="251">
        <v>143</v>
      </c>
      <c r="C155" s="239" t="s">
        <v>735</v>
      </c>
      <c r="D155" s="239" t="s">
        <v>2968</v>
      </c>
      <c r="E155" s="58"/>
      <c r="F155" s="59" t="s">
        <v>806</v>
      </c>
      <c r="G155" s="191" t="s">
        <v>2455</v>
      </c>
      <c r="H155" s="192" t="s">
        <v>735</v>
      </c>
      <c r="I155" s="61" t="s">
        <v>2511</v>
      </c>
      <c r="J155" s="61" t="s">
        <v>2511</v>
      </c>
      <c r="K155" s="62" t="s">
        <v>2511</v>
      </c>
      <c r="L155" s="60" t="s">
        <v>2389</v>
      </c>
      <c r="M155" s="61" t="s">
        <v>2523</v>
      </c>
      <c r="N155" s="61" t="s">
        <v>2511</v>
      </c>
      <c r="O155" s="61" t="s">
        <v>2511</v>
      </c>
      <c r="P155" s="62" t="s">
        <v>2511</v>
      </c>
      <c r="Q155" s="58" t="s">
        <v>850</v>
      </c>
      <c r="R155" s="58" t="s">
        <v>126</v>
      </c>
      <c r="S155" s="58" t="s">
        <v>112</v>
      </c>
      <c r="T155" s="58" t="s">
        <v>113</v>
      </c>
      <c r="U155" s="63" t="s">
        <v>126</v>
      </c>
      <c r="V155" s="138" t="s">
        <v>2969</v>
      </c>
      <c r="W155" s="57" t="s">
        <v>2961</v>
      </c>
      <c r="X155" s="126" t="s">
        <v>2970</v>
      </c>
      <c r="Y155" s="126" t="s">
        <v>2511</v>
      </c>
      <c r="Z155" s="57" t="s">
        <v>2582</v>
      </c>
      <c r="AA155" s="57" t="s">
        <v>2962</v>
      </c>
      <c r="AB155" s="57" t="s">
        <v>2584</v>
      </c>
      <c r="AC155" s="57" t="s">
        <v>2548</v>
      </c>
      <c r="AD155" s="65" t="str">
        <f t="shared" si="36"/>
        <v>CAN0</v>
      </c>
      <c r="AE155" s="70"/>
      <c r="AF155" s="67" t="str">
        <f t="shared" si="37"/>
        <v>NORMAL</v>
      </c>
      <c r="AG155" s="67" t="str">
        <f t="shared" si="38"/>
        <v>TRISTATE</v>
      </c>
      <c r="AH155" s="67" t="str">
        <f t="shared" si="39"/>
        <v>ENABLE</v>
      </c>
      <c r="AI155" s="71" t="str">
        <f t="shared" si="40"/>
        <v>N/A</v>
      </c>
      <c r="AJ155" s="189" t="b">
        <v>1</v>
      </c>
      <c r="AK155" s="189" t="b">
        <v>1</v>
      </c>
      <c r="AL155" s="189" t="b">
        <v>1</v>
      </c>
      <c r="AM155" s="189" t="b">
        <v>1</v>
      </c>
      <c r="AN155" s="189" t="b">
        <v>1</v>
      </c>
      <c r="AO155" s="189" t="b">
        <v>1</v>
      </c>
      <c r="AP155" s="69" t="str">
        <f t="shared" si="41"/>
        <v>VALID</v>
      </c>
      <c r="AQ155" s="166" t="s">
        <v>735</v>
      </c>
      <c r="AR155" s="194" t="s">
        <v>862</v>
      </c>
      <c r="AS155" s="193"/>
      <c r="AT155" s="193" t="s">
        <v>117</v>
      </c>
      <c r="AU155" s="140"/>
      <c r="AV155" s="140"/>
      <c r="AW155" s="72"/>
      <c r="AX155" s="72"/>
      <c r="AY155" s="72"/>
      <c r="AZ155" s="193"/>
      <c r="BA155" s="193"/>
      <c r="BB155" s="8"/>
      <c r="BC155" s="140"/>
      <c r="BD155" s="11" t="s">
        <v>735</v>
      </c>
      <c r="BE155" s="312" t="s">
        <v>5593</v>
      </c>
    </row>
    <row r="156" spans="1:57" ht="12.95" hidden="1" customHeight="1">
      <c r="A156" s="248" t="e">
        <v>#N/A</v>
      </c>
      <c r="B156" s="252" t="e">
        <v>#N/A</v>
      </c>
      <c r="C156" s="263" t="s">
        <v>1008</v>
      </c>
      <c r="D156" s="239" t="s">
        <v>2971</v>
      </c>
      <c r="E156" s="58"/>
      <c r="F156" s="59" t="s">
        <v>1830</v>
      </c>
      <c r="G156" s="191" t="s">
        <v>949</v>
      </c>
      <c r="H156" s="192" t="s">
        <v>2511</v>
      </c>
      <c r="I156" s="61" t="s">
        <v>2972</v>
      </c>
      <c r="J156" s="61" t="s">
        <v>2511</v>
      </c>
      <c r="K156" s="62" t="s">
        <v>2511</v>
      </c>
      <c r="L156" s="60" t="s">
        <v>2389</v>
      </c>
      <c r="M156" s="61" t="s">
        <v>2511</v>
      </c>
      <c r="N156" s="61" t="s">
        <v>2388</v>
      </c>
      <c r="O156" s="61" t="s">
        <v>2511</v>
      </c>
      <c r="P156" s="62" t="s">
        <v>2511</v>
      </c>
      <c r="Q156" s="58" t="s">
        <v>552</v>
      </c>
      <c r="R156" s="58" t="s">
        <v>848</v>
      </c>
      <c r="S156" s="58" t="s">
        <v>112</v>
      </c>
      <c r="T156" s="58" t="s">
        <v>113</v>
      </c>
      <c r="U156" s="63" t="s">
        <v>552</v>
      </c>
      <c r="V156" s="138" t="s">
        <v>2973</v>
      </c>
      <c r="W156" s="57" t="s">
        <v>2961</v>
      </c>
      <c r="X156" s="126" t="s">
        <v>2511</v>
      </c>
      <c r="Y156" s="126" t="s">
        <v>2511</v>
      </c>
      <c r="Z156" s="57" t="s">
        <v>2582</v>
      </c>
      <c r="AA156" s="57" t="s">
        <v>2962</v>
      </c>
      <c r="AB156" s="57" t="s">
        <v>2584</v>
      </c>
      <c r="AC156" s="57">
        <v>1</v>
      </c>
      <c r="AD156" s="65" t="str">
        <f t="shared" si="36"/>
        <v>RSVD0</v>
      </c>
      <c r="AE156" s="70"/>
      <c r="AF156" s="67" t="str">
        <f t="shared" si="37"/>
        <v>PULL_DOWN</v>
      </c>
      <c r="AG156" s="67" t="str">
        <f t="shared" si="38"/>
        <v>TRISTATE</v>
      </c>
      <c r="AH156" s="67" t="str">
        <f t="shared" si="39"/>
        <v>DISABLE</v>
      </c>
      <c r="AI156" s="71" t="str">
        <f t="shared" si="40"/>
        <v>N/A</v>
      </c>
      <c r="AJ156" s="189" t="b">
        <v>1</v>
      </c>
      <c r="AK156" s="189" t="b">
        <v>1</v>
      </c>
      <c r="AL156" s="189" t="b">
        <v>1</v>
      </c>
      <c r="AM156" s="189" t="b">
        <v>1</v>
      </c>
      <c r="AN156" s="189" t="b">
        <v>1</v>
      </c>
      <c r="AO156" s="189" t="b">
        <v>1</v>
      </c>
      <c r="AP156" s="69" t="str">
        <f t="shared" si="41"/>
        <v>VALID</v>
      </c>
      <c r="AQ156" s="166" t="s">
        <v>1830</v>
      </c>
      <c r="AR156" s="194" t="s">
        <v>79</v>
      </c>
      <c r="AS156" s="193"/>
      <c r="AT156" s="72"/>
      <c r="AU156" s="140"/>
      <c r="AV156" s="140"/>
      <c r="AW156" s="72"/>
      <c r="AX156" s="72"/>
      <c r="AY156" s="72"/>
      <c r="AZ156" s="193"/>
      <c r="BA156" s="193"/>
      <c r="BB156" s="8"/>
      <c r="BC156" s="140"/>
      <c r="BD156" s="147" t="s">
        <v>83</v>
      </c>
      <c r="BE156" s="147" t="s">
        <v>83</v>
      </c>
    </row>
    <row r="157" spans="1:57" ht="12.95" hidden="1" customHeight="1">
      <c r="A157" s="248" t="e">
        <v>#N/A</v>
      </c>
      <c r="B157" s="252" t="e">
        <v>#N/A</v>
      </c>
      <c r="C157" s="263" t="s">
        <v>1009</v>
      </c>
      <c r="D157" s="239" t="s">
        <v>2975</v>
      </c>
      <c r="E157" s="58"/>
      <c r="F157" s="59" t="s">
        <v>1831</v>
      </c>
      <c r="G157" s="191" t="s">
        <v>950</v>
      </c>
      <c r="H157" s="192" t="s">
        <v>2511</v>
      </c>
      <c r="I157" s="61" t="s">
        <v>2511</v>
      </c>
      <c r="J157" s="61" t="s">
        <v>2511</v>
      </c>
      <c r="K157" s="62" t="s">
        <v>2511</v>
      </c>
      <c r="L157" s="60" t="s">
        <v>2389</v>
      </c>
      <c r="M157" s="61" t="s">
        <v>2511</v>
      </c>
      <c r="N157" s="61" t="s">
        <v>2511</v>
      </c>
      <c r="O157" s="61" t="s">
        <v>2511</v>
      </c>
      <c r="P157" s="62" t="s">
        <v>2511</v>
      </c>
      <c r="Q157" s="58" t="s">
        <v>552</v>
      </c>
      <c r="R157" s="58" t="s">
        <v>126</v>
      </c>
      <c r="S157" s="58" t="s">
        <v>112</v>
      </c>
      <c r="T157" s="58" t="s">
        <v>113</v>
      </c>
      <c r="U157" s="63" t="s">
        <v>552</v>
      </c>
      <c r="V157" s="138" t="s">
        <v>2976</v>
      </c>
      <c r="W157" s="57" t="s">
        <v>2961</v>
      </c>
      <c r="X157" s="126" t="s">
        <v>2511</v>
      </c>
      <c r="Y157" s="126" t="s">
        <v>2511</v>
      </c>
      <c r="Z157" s="57" t="s">
        <v>2582</v>
      </c>
      <c r="AA157" s="57" t="s">
        <v>2962</v>
      </c>
      <c r="AB157" s="57" t="s">
        <v>2584</v>
      </c>
      <c r="AC157" s="57" t="s">
        <v>2631</v>
      </c>
      <c r="AD157" s="65" t="str">
        <f t="shared" si="36"/>
        <v>GPIO_PAA5</v>
      </c>
      <c r="AE157" s="70"/>
      <c r="AF157" s="67" t="str">
        <f t="shared" si="37"/>
        <v>NORMAL</v>
      </c>
      <c r="AG157" s="67" t="str">
        <f t="shared" si="38"/>
        <v>NORMAL</v>
      </c>
      <c r="AH157" s="67" t="str">
        <f t="shared" si="39"/>
        <v>DISABLE</v>
      </c>
      <c r="AI157" s="71" t="str">
        <f t="shared" si="40"/>
        <v>0</v>
      </c>
      <c r="AJ157" s="189" t="b">
        <v>1</v>
      </c>
      <c r="AK157" s="189" t="b">
        <v>1</v>
      </c>
      <c r="AL157" s="189" t="b">
        <v>1</v>
      </c>
      <c r="AM157" s="189" t="b">
        <v>1</v>
      </c>
      <c r="AN157" s="189" t="b">
        <v>1</v>
      </c>
      <c r="AO157" s="189" t="b">
        <v>1</v>
      </c>
      <c r="AP157" s="69" t="str">
        <f t="shared" si="41"/>
        <v>VALID</v>
      </c>
      <c r="AQ157" s="166" t="s">
        <v>950</v>
      </c>
      <c r="AR157" s="194" t="s">
        <v>861</v>
      </c>
      <c r="AS157" s="193" t="s">
        <v>874</v>
      </c>
      <c r="AT157" s="72"/>
      <c r="AU157" s="140"/>
      <c r="AV157" s="140"/>
      <c r="AW157" s="72"/>
      <c r="AX157" s="72"/>
      <c r="AY157" s="72"/>
      <c r="AZ157" s="193"/>
      <c r="BA157" s="193" t="s">
        <v>2489</v>
      </c>
      <c r="BB157" s="8"/>
      <c r="BC157" s="140"/>
      <c r="BD157" s="11" t="s">
        <v>5594</v>
      </c>
      <c r="BE157" s="311" t="s">
        <v>5595</v>
      </c>
    </row>
    <row r="158" spans="1:57" ht="12.95" hidden="1" customHeight="1">
      <c r="A158" s="248" t="e">
        <v>#N/A</v>
      </c>
      <c r="B158" s="252" t="e">
        <v>#N/A</v>
      </c>
      <c r="C158" s="263" t="s">
        <v>1010</v>
      </c>
      <c r="D158" s="239" t="s">
        <v>2978</v>
      </c>
      <c r="E158" s="58"/>
      <c r="F158" s="59" t="s">
        <v>1832</v>
      </c>
      <c r="G158" s="191" t="s">
        <v>951</v>
      </c>
      <c r="H158" s="192" t="s">
        <v>2511</v>
      </c>
      <c r="I158" s="61" t="s">
        <v>2511</v>
      </c>
      <c r="J158" s="61" t="s">
        <v>2511</v>
      </c>
      <c r="K158" s="62" t="s">
        <v>2511</v>
      </c>
      <c r="L158" s="60" t="s">
        <v>2389</v>
      </c>
      <c r="M158" s="61" t="s">
        <v>2511</v>
      </c>
      <c r="N158" s="61" t="s">
        <v>2511</v>
      </c>
      <c r="O158" s="61" t="s">
        <v>2511</v>
      </c>
      <c r="P158" s="62" t="s">
        <v>2511</v>
      </c>
      <c r="Q158" s="58" t="s">
        <v>552</v>
      </c>
      <c r="R158" s="58" t="s">
        <v>126</v>
      </c>
      <c r="S158" s="58" t="s">
        <v>112</v>
      </c>
      <c r="T158" s="58" t="s">
        <v>113</v>
      </c>
      <c r="U158" s="63" t="s">
        <v>552</v>
      </c>
      <c r="V158" s="138" t="s">
        <v>2979</v>
      </c>
      <c r="W158" s="57" t="s">
        <v>2961</v>
      </c>
      <c r="X158" s="126" t="s">
        <v>2980</v>
      </c>
      <c r="Y158" s="126" t="s">
        <v>2511</v>
      </c>
      <c r="Z158" s="57" t="s">
        <v>2582</v>
      </c>
      <c r="AA158" s="57" t="s">
        <v>2962</v>
      </c>
      <c r="AB158" s="57" t="s">
        <v>2584</v>
      </c>
      <c r="AC158" s="57" t="s">
        <v>2631</v>
      </c>
      <c r="AD158" s="65" t="str">
        <f t="shared" si="36"/>
        <v>RSVD0</v>
      </c>
      <c r="AE158" s="70"/>
      <c r="AF158" s="67" t="str">
        <f t="shared" si="37"/>
        <v>PULL_DOWN</v>
      </c>
      <c r="AG158" s="67" t="str">
        <f t="shared" si="38"/>
        <v>TRISTATE</v>
      </c>
      <c r="AH158" s="67" t="str">
        <f t="shared" si="39"/>
        <v>DISABLE</v>
      </c>
      <c r="AI158" s="71" t="str">
        <f t="shared" si="40"/>
        <v>N/A</v>
      </c>
      <c r="AJ158" s="189" t="b">
        <v>1</v>
      </c>
      <c r="AK158" s="189" t="b">
        <v>1</v>
      </c>
      <c r="AL158" s="189" t="b">
        <v>1</v>
      </c>
      <c r="AM158" s="189" t="b">
        <v>1</v>
      </c>
      <c r="AN158" s="189" t="b">
        <v>1</v>
      </c>
      <c r="AO158" s="189" t="b">
        <v>1</v>
      </c>
      <c r="AP158" s="69" t="str">
        <f t="shared" si="41"/>
        <v>VALID</v>
      </c>
      <c r="AQ158" s="166" t="s">
        <v>1832</v>
      </c>
      <c r="AR158" s="194" t="s">
        <v>79</v>
      </c>
      <c r="AS158" s="193"/>
      <c r="AT158" s="193" t="s">
        <v>117</v>
      </c>
      <c r="AU158" s="140"/>
      <c r="AV158" s="140"/>
      <c r="AW158" s="72"/>
      <c r="AX158" s="72"/>
      <c r="AY158" s="72"/>
      <c r="AZ158" s="193"/>
      <c r="BA158" s="193"/>
      <c r="BB158" s="8"/>
      <c r="BC158" s="140"/>
      <c r="BD158" s="147" t="s">
        <v>83</v>
      </c>
      <c r="BE158" s="147" t="s">
        <v>83</v>
      </c>
    </row>
    <row r="159" spans="1:57" ht="12.95" hidden="1" customHeight="1">
      <c r="A159" s="248" t="e">
        <v>#N/A</v>
      </c>
      <c r="B159" s="252" t="e">
        <v>#N/A</v>
      </c>
      <c r="C159" s="263" t="s">
        <v>1011</v>
      </c>
      <c r="D159" s="239" t="s">
        <v>2981</v>
      </c>
      <c r="E159" s="58"/>
      <c r="F159" s="59" t="s">
        <v>1833</v>
      </c>
      <c r="G159" s="191" t="s">
        <v>952</v>
      </c>
      <c r="H159" s="192" t="s">
        <v>2511</v>
      </c>
      <c r="I159" s="61" t="s">
        <v>2511</v>
      </c>
      <c r="J159" s="61" t="s">
        <v>2511</v>
      </c>
      <c r="K159" s="62" t="s">
        <v>2511</v>
      </c>
      <c r="L159" s="60" t="s">
        <v>2389</v>
      </c>
      <c r="M159" s="61" t="s">
        <v>2511</v>
      </c>
      <c r="N159" s="61" t="s">
        <v>2511</v>
      </c>
      <c r="O159" s="61" t="s">
        <v>2511</v>
      </c>
      <c r="P159" s="62" t="s">
        <v>2511</v>
      </c>
      <c r="Q159" s="58" t="s">
        <v>552</v>
      </c>
      <c r="R159" s="58" t="s">
        <v>126</v>
      </c>
      <c r="S159" s="58" t="s">
        <v>112</v>
      </c>
      <c r="T159" s="58" t="s">
        <v>113</v>
      </c>
      <c r="U159" s="63" t="s">
        <v>552</v>
      </c>
      <c r="V159" s="138" t="s">
        <v>2982</v>
      </c>
      <c r="W159" s="57" t="s">
        <v>2961</v>
      </c>
      <c r="X159" s="126" t="s">
        <v>2983</v>
      </c>
      <c r="Y159" s="126" t="s">
        <v>2511</v>
      </c>
      <c r="Z159" s="57" t="s">
        <v>2582</v>
      </c>
      <c r="AA159" s="57" t="s">
        <v>2962</v>
      </c>
      <c r="AB159" s="57" t="s">
        <v>2584</v>
      </c>
      <c r="AC159" s="57" t="s">
        <v>2516</v>
      </c>
      <c r="AD159" s="65" t="str">
        <f t="shared" si="36"/>
        <v>RSVD0</v>
      </c>
      <c r="AE159" s="70"/>
      <c r="AF159" s="67" t="str">
        <f t="shared" si="37"/>
        <v>PULL_DOWN</v>
      </c>
      <c r="AG159" s="67" t="str">
        <f t="shared" si="38"/>
        <v>TRISTATE</v>
      </c>
      <c r="AH159" s="67" t="str">
        <f t="shared" si="39"/>
        <v>DISABLE</v>
      </c>
      <c r="AI159" s="71" t="str">
        <f t="shared" si="40"/>
        <v>N/A</v>
      </c>
      <c r="AJ159" s="189" t="b">
        <v>1</v>
      </c>
      <c r="AK159" s="189" t="b">
        <v>1</v>
      </c>
      <c r="AL159" s="189" t="b">
        <v>1</v>
      </c>
      <c r="AM159" s="189" t="b">
        <v>1</v>
      </c>
      <c r="AN159" s="189" t="b">
        <v>1</v>
      </c>
      <c r="AO159" s="189" t="b">
        <v>1</v>
      </c>
      <c r="AP159" s="69" t="str">
        <f t="shared" si="41"/>
        <v>VALID</v>
      </c>
      <c r="AQ159" s="166" t="s">
        <v>1833</v>
      </c>
      <c r="AR159" s="194" t="s">
        <v>79</v>
      </c>
      <c r="AS159" s="193"/>
      <c r="AT159" s="193" t="s">
        <v>117</v>
      </c>
      <c r="AU159" s="140"/>
      <c r="AV159" s="140"/>
      <c r="AW159" s="72"/>
      <c r="AX159" s="72"/>
      <c r="AY159" s="72"/>
      <c r="AZ159" s="193"/>
      <c r="BA159" s="193"/>
      <c r="BB159" s="8"/>
      <c r="BC159" s="140"/>
      <c r="BD159" s="147" t="s">
        <v>83</v>
      </c>
      <c r="BE159" s="147" t="s">
        <v>83</v>
      </c>
    </row>
    <row r="160" spans="1:57" ht="12.95" hidden="1" customHeight="1">
      <c r="A160" s="248" t="e">
        <v>#N/A</v>
      </c>
      <c r="B160" s="252" t="e">
        <v>#N/A</v>
      </c>
      <c r="C160" s="263" t="s">
        <v>1012</v>
      </c>
      <c r="D160" s="239" t="s">
        <v>2985</v>
      </c>
      <c r="E160" s="58"/>
      <c r="F160" s="59" t="s">
        <v>1834</v>
      </c>
      <c r="G160" s="191" t="s">
        <v>2178</v>
      </c>
      <c r="H160" s="192" t="s">
        <v>2511</v>
      </c>
      <c r="I160" s="61" t="s">
        <v>2423</v>
      </c>
      <c r="J160" s="61" t="s">
        <v>2456</v>
      </c>
      <c r="K160" s="62" t="s">
        <v>2511</v>
      </c>
      <c r="L160" s="60" t="s">
        <v>2389</v>
      </c>
      <c r="M160" s="61" t="s">
        <v>2511</v>
      </c>
      <c r="N160" s="61" t="s">
        <v>2523</v>
      </c>
      <c r="O160" s="61" t="s">
        <v>2523</v>
      </c>
      <c r="P160" s="62" t="s">
        <v>2511</v>
      </c>
      <c r="Q160" s="58" t="s">
        <v>552</v>
      </c>
      <c r="R160" s="58" t="s">
        <v>544</v>
      </c>
      <c r="S160" s="58" t="s">
        <v>851</v>
      </c>
      <c r="T160" s="58" t="s">
        <v>113</v>
      </c>
      <c r="U160" s="63" t="s">
        <v>552</v>
      </c>
      <c r="V160" s="138" t="s">
        <v>2986</v>
      </c>
      <c r="W160" s="57" t="s">
        <v>2961</v>
      </c>
      <c r="X160" s="126" t="s">
        <v>2511</v>
      </c>
      <c r="Y160" s="126" t="s">
        <v>2511</v>
      </c>
      <c r="Z160" s="57" t="s">
        <v>2582</v>
      </c>
      <c r="AA160" s="57" t="s">
        <v>2962</v>
      </c>
      <c r="AB160" s="57" t="s">
        <v>2584</v>
      </c>
      <c r="AC160" s="57" t="s">
        <v>2516</v>
      </c>
      <c r="AD160" s="65" t="str">
        <f t="shared" si="36"/>
        <v>RSVD0</v>
      </c>
      <c r="AE160" s="70"/>
      <c r="AF160" s="67" t="str">
        <f t="shared" si="37"/>
        <v>PULL_DOWN</v>
      </c>
      <c r="AG160" s="67" t="str">
        <f t="shared" si="38"/>
        <v>TRISTATE</v>
      </c>
      <c r="AH160" s="67" t="str">
        <f t="shared" si="39"/>
        <v>DISABLE</v>
      </c>
      <c r="AI160" s="71" t="str">
        <f t="shared" si="40"/>
        <v>N/A</v>
      </c>
      <c r="AJ160" s="189" t="b">
        <v>1</v>
      </c>
      <c r="AK160" s="189" t="b">
        <v>1</v>
      </c>
      <c r="AL160" s="189" t="b">
        <v>1</v>
      </c>
      <c r="AM160" s="189" t="b">
        <v>1</v>
      </c>
      <c r="AN160" s="189" t="b">
        <v>1</v>
      </c>
      <c r="AO160" s="189" t="b">
        <v>1</v>
      </c>
      <c r="AP160" s="69" t="str">
        <f t="shared" si="41"/>
        <v>VALID</v>
      </c>
      <c r="AQ160" s="166" t="s">
        <v>1834</v>
      </c>
      <c r="AR160" s="194" t="s">
        <v>79</v>
      </c>
      <c r="AS160" s="193"/>
      <c r="AT160" s="72"/>
      <c r="AU160" s="140"/>
      <c r="AV160" s="140"/>
      <c r="AW160" s="72"/>
      <c r="AX160" s="72"/>
      <c r="AY160" s="72"/>
      <c r="AZ160" s="193"/>
      <c r="BA160" s="193"/>
      <c r="BB160" s="8"/>
      <c r="BC160" s="140"/>
      <c r="BD160" s="147" t="s">
        <v>83</v>
      </c>
      <c r="BE160" s="147" t="s">
        <v>83</v>
      </c>
    </row>
    <row r="161" spans="1:57" ht="12.95" hidden="1" customHeight="1">
      <c r="A161" s="248" t="e">
        <v>#N/A</v>
      </c>
      <c r="B161" s="252" t="e">
        <v>#N/A</v>
      </c>
      <c r="C161" s="263" t="s">
        <v>1013</v>
      </c>
      <c r="D161" s="239" t="s">
        <v>2988</v>
      </c>
      <c r="E161" s="58"/>
      <c r="F161" s="59" t="s">
        <v>1835</v>
      </c>
      <c r="G161" s="191" t="s">
        <v>2495</v>
      </c>
      <c r="H161" s="192" t="s">
        <v>2511</v>
      </c>
      <c r="I161" s="61" t="s">
        <v>2424</v>
      </c>
      <c r="J161" s="61" t="s">
        <v>2457</v>
      </c>
      <c r="K161" s="62" t="s">
        <v>2511</v>
      </c>
      <c r="L161" s="60" t="s">
        <v>2389</v>
      </c>
      <c r="M161" s="61" t="s">
        <v>2511</v>
      </c>
      <c r="N161" s="61" t="s">
        <v>2388</v>
      </c>
      <c r="O161" s="61" t="s">
        <v>2388</v>
      </c>
      <c r="P161" s="62" t="s">
        <v>2511</v>
      </c>
      <c r="Q161" s="58" t="s">
        <v>552</v>
      </c>
      <c r="R161" s="58" t="s">
        <v>544</v>
      </c>
      <c r="S161" s="58" t="s">
        <v>851</v>
      </c>
      <c r="T161" s="58" t="s">
        <v>113</v>
      </c>
      <c r="U161" s="63" t="s">
        <v>552</v>
      </c>
      <c r="V161" s="138" t="s">
        <v>2989</v>
      </c>
      <c r="W161" s="57" t="s">
        <v>2961</v>
      </c>
      <c r="X161" s="126" t="s">
        <v>2511</v>
      </c>
      <c r="Y161" s="126" t="s">
        <v>2511</v>
      </c>
      <c r="Z161" s="57" t="s">
        <v>2582</v>
      </c>
      <c r="AA161" s="57" t="s">
        <v>2962</v>
      </c>
      <c r="AB161" s="57" t="s">
        <v>2584</v>
      </c>
      <c r="AC161" s="57" t="s">
        <v>2631</v>
      </c>
      <c r="AD161" s="65" t="str">
        <f t="shared" si="36"/>
        <v>RSVD0</v>
      </c>
      <c r="AE161" s="70"/>
      <c r="AF161" s="67" t="str">
        <f t="shared" si="37"/>
        <v>PULL_DOWN</v>
      </c>
      <c r="AG161" s="67" t="str">
        <f t="shared" si="38"/>
        <v>TRISTATE</v>
      </c>
      <c r="AH161" s="67" t="str">
        <f t="shared" si="39"/>
        <v>DISABLE</v>
      </c>
      <c r="AI161" s="71" t="str">
        <f t="shared" si="40"/>
        <v>N/A</v>
      </c>
      <c r="AJ161" s="189" t="b">
        <v>1</v>
      </c>
      <c r="AK161" s="189" t="b">
        <v>1</v>
      </c>
      <c r="AL161" s="189" t="b">
        <v>1</v>
      </c>
      <c r="AM161" s="189" t="b">
        <v>1</v>
      </c>
      <c r="AN161" s="189" t="b">
        <v>1</v>
      </c>
      <c r="AO161" s="189" t="b">
        <v>1</v>
      </c>
      <c r="AP161" s="69" t="str">
        <f t="shared" si="41"/>
        <v>VALID</v>
      </c>
      <c r="AQ161" s="169" t="s">
        <v>1835</v>
      </c>
      <c r="AR161" s="170" t="s">
        <v>79</v>
      </c>
      <c r="AS161" s="9"/>
      <c r="AT161" s="10"/>
      <c r="AU161" s="140"/>
      <c r="AV161" s="140"/>
      <c r="AW161" s="72"/>
      <c r="AX161" s="72"/>
      <c r="AY161" s="72"/>
      <c r="AZ161" s="9"/>
      <c r="BA161" s="9"/>
      <c r="BB161" s="14"/>
      <c r="BC161" s="141"/>
      <c r="BD161" s="147" t="s">
        <v>83</v>
      </c>
      <c r="BE161" s="147" t="s">
        <v>83</v>
      </c>
    </row>
    <row r="162" spans="1:57" ht="12.95" hidden="1" customHeight="1">
      <c r="A162" s="248" t="e">
        <v>#N/A</v>
      </c>
      <c r="B162" s="252" t="e">
        <v>#N/A</v>
      </c>
      <c r="C162" s="263" t="s">
        <v>1014</v>
      </c>
      <c r="D162" s="239" t="s">
        <v>2991</v>
      </c>
      <c r="E162" s="58"/>
      <c r="F162" s="59" t="s">
        <v>1836</v>
      </c>
      <c r="G162" s="191" t="s">
        <v>2179</v>
      </c>
      <c r="H162" s="192" t="s">
        <v>2511</v>
      </c>
      <c r="I162" s="61" t="s">
        <v>2511</v>
      </c>
      <c r="J162" s="61" t="s">
        <v>2511</v>
      </c>
      <c r="K162" s="62" t="s">
        <v>2511</v>
      </c>
      <c r="L162" s="60" t="s">
        <v>2389</v>
      </c>
      <c r="M162" s="61" t="s">
        <v>2511</v>
      </c>
      <c r="N162" s="61" t="s">
        <v>2511</v>
      </c>
      <c r="O162" s="61" t="s">
        <v>2511</v>
      </c>
      <c r="P162" s="62" t="s">
        <v>2511</v>
      </c>
      <c r="Q162" s="58" t="s">
        <v>552</v>
      </c>
      <c r="R162" s="58" t="s">
        <v>126</v>
      </c>
      <c r="S162" s="58" t="s">
        <v>112</v>
      </c>
      <c r="T162" s="58" t="s">
        <v>113</v>
      </c>
      <c r="U162" s="63" t="s">
        <v>552</v>
      </c>
      <c r="V162" s="138" t="s">
        <v>2992</v>
      </c>
      <c r="W162" s="57" t="s">
        <v>2961</v>
      </c>
      <c r="X162" s="126" t="s">
        <v>2993</v>
      </c>
      <c r="Y162" s="126" t="s">
        <v>2511</v>
      </c>
      <c r="Z162" s="57" t="s">
        <v>2582</v>
      </c>
      <c r="AA162" s="57" t="s">
        <v>2962</v>
      </c>
      <c r="AB162" s="57" t="s">
        <v>2584</v>
      </c>
      <c r="AC162" s="57" t="s">
        <v>2631</v>
      </c>
      <c r="AD162" s="65" t="str">
        <f t="shared" si="36"/>
        <v>RSVD0</v>
      </c>
      <c r="AE162" s="70"/>
      <c r="AF162" s="67" t="str">
        <f t="shared" si="37"/>
        <v>PULL_DOWN</v>
      </c>
      <c r="AG162" s="67" t="str">
        <f t="shared" si="38"/>
        <v>TRISTATE</v>
      </c>
      <c r="AH162" s="67" t="str">
        <f t="shared" si="39"/>
        <v>DISABLE</v>
      </c>
      <c r="AI162" s="71" t="str">
        <f t="shared" si="40"/>
        <v>N/A</v>
      </c>
      <c r="AJ162" s="189" t="b">
        <v>1</v>
      </c>
      <c r="AK162" s="189" t="b">
        <v>1</v>
      </c>
      <c r="AL162" s="189" t="b">
        <v>1</v>
      </c>
      <c r="AM162" s="189" t="b">
        <v>1</v>
      </c>
      <c r="AN162" s="189" t="b">
        <v>1</v>
      </c>
      <c r="AO162" s="189" t="b">
        <v>1</v>
      </c>
      <c r="AP162" s="69" t="str">
        <f t="shared" si="41"/>
        <v>VALID</v>
      </c>
      <c r="AQ162" s="171" t="s">
        <v>1836</v>
      </c>
      <c r="AR162" s="170" t="s">
        <v>79</v>
      </c>
      <c r="AS162" s="9"/>
      <c r="AT162" s="193" t="s">
        <v>117</v>
      </c>
      <c r="AU162" s="140"/>
      <c r="AV162" s="140"/>
      <c r="AW162" s="140"/>
      <c r="AX162" s="140"/>
      <c r="AY162" s="140"/>
      <c r="AZ162" s="193"/>
      <c r="BA162" s="193"/>
      <c r="BB162" s="14"/>
      <c r="BC162" s="140"/>
      <c r="BD162" s="147" t="s">
        <v>83</v>
      </c>
      <c r="BE162" s="147" t="s">
        <v>83</v>
      </c>
    </row>
    <row r="163" spans="1:57" ht="12.95" hidden="1" customHeight="1">
      <c r="A163" s="248" t="e">
        <v>#N/A</v>
      </c>
      <c r="B163" s="252" t="e">
        <v>#N/A</v>
      </c>
      <c r="C163" s="263" t="s">
        <v>1015</v>
      </c>
      <c r="D163" s="239" t="s">
        <v>2994</v>
      </c>
      <c r="E163" s="58"/>
      <c r="F163" s="59" t="s">
        <v>1837</v>
      </c>
      <c r="G163" s="191" t="s">
        <v>2180</v>
      </c>
      <c r="H163" s="192" t="s">
        <v>2511</v>
      </c>
      <c r="I163" s="61" t="s">
        <v>2511</v>
      </c>
      <c r="J163" s="61" t="s">
        <v>2511</v>
      </c>
      <c r="K163" s="62" t="s">
        <v>2511</v>
      </c>
      <c r="L163" s="60" t="s">
        <v>2389</v>
      </c>
      <c r="M163" s="61" t="s">
        <v>2511</v>
      </c>
      <c r="N163" s="61" t="s">
        <v>2511</v>
      </c>
      <c r="O163" s="61" t="s">
        <v>2511</v>
      </c>
      <c r="P163" s="62" t="s">
        <v>2511</v>
      </c>
      <c r="Q163" s="58" t="s">
        <v>552</v>
      </c>
      <c r="R163" s="58" t="s">
        <v>126</v>
      </c>
      <c r="S163" s="58" t="s">
        <v>112</v>
      </c>
      <c r="T163" s="58" t="s">
        <v>113</v>
      </c>
      <c r="U163" s="63" t="s">
        <v>552</v>
      </c>
      <c r="V163" s="138" t="s">
        <v>2995</v>
      </c>
      <c r="W163" s="57" t="s">
        <v>2961</v>
      </c>
      <c r="X163" s="126" t="s">
        <v>2996</v>
      </c>
      <c r="Y163" s="126" t="s">
        <v>2511</v>
      </c>
      <c r="Z163" s="57" t="s">
        <v>2582</v>
      </c>
      <c r="AA163" s="57" t="s">
        <v>2962</v>
      </c>
      <c r="AB163" s="57" t="s">
        <v>2584</v>
      </c>
      <c r="AC163" s="57" t="s">
        <v>2516</v>
      </c>
      <c r="AD163" s="65" t="str">
        <f t="shared" si="36"/>
        <v>RSVD0</v>
      </c>
      <c r="AE163" s="70"/>
      <c r="AF163" s="67" t="str">
        <f t="shared" si="37"/>
        <v>PULL_DOWN</v>
      </c>
      <c r="AG163" s="67" t="str">
        <f t="shared" si="38"/>
        <v>TRISTATE</v>
      </c>
      <c r="AH163" s="67" t="str">
        <f t="shared" si="39"/>
        <v>DISABLE</v>
      </c>
      <c r="AI163" s="71" t="str">
        <f t="shared" si="40"/>
        <v>N/A</v>
      </c>
      <c r="AJ163" s="189" t="b">
        <v>1</v>
      </c>
      <c r="AK163" s="189" t="b">
        <v>1</v>
      </c>
      <c r="AL163" s="189" t="b">
        <v>1</v>
      </c>
      <c r="AM163" s="189" t="b">
        <v>1</v>
      </c>
      <c r="AN163" s="189" t="b">
        <v>1</v>
      </c>
      <c r="AO163" s="189" t="b">
        <v>1</v>
      </c>
      <c r="AP163" s="69" t="str">
        <f t="shared" si="41"/>
        <v>VALID</v>
      </c>
      <c r="AQ163" s="166" t="s">
        <v>1837</v>
      </c>
      <c r="AR163" s="194" t="s">
        <v>79</v>
      </c>
      <c r="AS163" s="193"/>
      <c r="AT163" s="193" t="s">
        <v>117</v>
      </c>
      <c r="AU163" s="140"/>
      <c r="AV163" s="140"/>
      <c r="AW163" s="72"/>
      <c r="AX163" s="72"/>
      <c r="AY163" s="72"/>
      <c r="AZ163" s="193"/>
      <c r="BA163" s="193"/>
      <c r="BB163" s="8"/>
      <c r="BC163" s="140"/>
      <c r="BD163" s="147" t="s">
        <v>83</v>
      </c>
      <c r="BE163" s="147" t="s">
        <v>83</v>
      </c>
    </row>
    <row r="164" spans="1:57" s="56" customFormat="1" ht="18" customHeight="1">
      <c r="A164" s="365"/>
      <c r="B164" s="366"/>
      <c r="C164" s="265" t="s">
        <v>728</v>
      </c>
      <c r="D164" s="266"/>
      <c r="E164" s="73"/>
      <c r="F164" s="73"/>
      <c r="G164" s="74"/>
      <c r="H164" s="74"/>
      <c r="I164" s="74"/>
      <c r="J164" s="74"/>
      <c r="K164" s="74"/>
      <c r="L164" s="73"/>
      <c r="M164" s="73"/>
      <c r="N164" s="73"/>
      <c r="O164" s="73"/>
      <c r="P164" s="73"/>
      <c r="Q164" s="73"/>
      <c r="R164" s="73"/>
      <c r="S164" s="73"/>
      <c r="T164" s="73"/>
      <c r="U164" s="73"/>
      <c r="V164" s="73"/>
      <c r="W164" s="73"/>
      <c r="X164" s="127"/>
      <c r="Y164" s="127"/>
      <c r="Z164" s="75"/>
      <c r="AA164" s="75"/>
      <c r="AB164" s="75"/>
      <c r="AC164" s="75"/>
      <c r="AD164" s="75"/>
      <c r="AE164" s="75"/>
      <c r="AF164" s="75"/>
      <c r="AG164" s="75"/>
      <c r="AH164" s="75"/>
      <c r="AI164" s="75"/>
      <c r="AJ164" s="53"/>
      <c r="AK164" s="53"/>
      <c r="AL164" s="53"/>
      <c r="AM164" s="53"/>
      <c r="AN164" s="53"/>
      <c r="AO164" s="53"/>
      <c r="AP164" s="53"/>
      <c r="AQ164" s="54"/>
      <c r="AR164" s="76"/>
      <c r="AS164" s="77"/>
      <c r="AT164" s="77"/>
      <c r="AU164" s="77"/>
      <c r="AV164" s="77"/>
      <c r="AW164" s="77"/>
      <c r="AX164" s="77"/>
      <c r="AY164" s="77"/>
      <c r="AZ164" s="77"/>
      <c r="BA164" s="77"/>
      <c r="BB164" s="77"/>
      <c r="BC164" s="175" t="s">
        <v>59</v>
      </c>
      <c r="BD164" s="77"/>
      <c r="BE164" s="230" t="s">
        <v>728</v>
      </c>
    </row>
    <row r="165" spans="1:57" ht="12.95" customHeight="1">
      <c r="A165" s="247" t="s">
        <v>3237</v>
      </c>
      <c r="B165" s="251">
        <v>126</v>
      </c>
      <c r="C165" s="239" t="s">
        <v>944</v>
      </c>
      <c r="D165" s="239" t="s">
        <v>2997</v>
      </c>
      <c r="E165" s="58"/>
      <c r="F165" s="59" t="s">
        <v>2147</v>
      </c>
      <c r="G165" s="191" t="s">
        <v>2479</v>
      </c>
      <c r="H165" s="192"/>
      <c r="I165" s="61"/>
      <c r="J165" s="61" t="s">
        <v>2511</v>
      </c>
      <c r="K165" s="62" t="s">
        <v>2511</v>
      </c>
      <c r="L165" s="60" t="s">
        <v>2389</v>
      </c>
      <c r="M165" s="61" t="s">
        <v>2389</v>
      </c>
      <c r="N165" s="61" t="s">
        <v>2388</v>
      </c>
      <c r="O165" s="61" t="s">
        <v>2511</v>
      </c>
      <c r="P165" s="62" t="s">
        <v>2511</v>
      </c>
      <c r="Q165" s="58" t="s">
        <v>125</v>
      </c>
      <c r="R165" s="58" t="s">
        <v>847</v>
      </c>
      <c r="S165" s="58" t="s">
        <v>112</v>
      </c>
      <c r="T165" s="58" t="s">
        <v>113</v>
      </c>
      <c r="U165" s="63" t="s">
        <v>112</v>
      </c>
      <c r="V165" s="137" t="s">
        <v>2998</v>
      </c>
      <c r="W165" s="57" t="s">
        <v>2999</v>
      </c>
      <c r="X165" s="126" t="s">
        <v>2511</v>
      </c>
      <c r="Y165" s="126" t="s">
        <v>2511</v>
      </c>
      <c r="Z165" s="57" t="s">
        <v>2817</v>
      </c>
      <c r="AA165" s="57" t="s">
        <v>2920</v>
      </c>
      <c r="AB165" s="57" t="s">
        <v>2393</v>
      </c>
      <c r="AC165" s="57" t="s">
        <v>2516</v>
      </c>
      <c r="AD165" s="65" t="str">
        <f t="shared" si="36"/>
        <v>GPIO_PCC0</v>
      </c>
      <c r="AE165" s="70"/>
      <c r="AF165" s="67" t="str">
        <f t="shared" si="37"/>
        <v>NORMAL</v>
      </c>
      <c r="AG165" s="67" t="str">
        <f t="shared" si="38"/>
        <v>TRISTATE</v>
      </c>
      <c r="AH165" s="67" t="str">
        <f t="shared" ref="AH165:AH175" si="42">IF(OR($AQ165=$F165,$AR165="Output"),"DISABLE","ENABLE")</f>
        <v>ENABLE</v>
      </c>
      <c r="AI165" s="71" t="str">
        <f t="shared" si="40"/>
        <v>0</v>
      </c>
      <c r="AJ165" s="189" t="b">
        <v>1</v>
      </c>
      <c r="AK165" s="189" t="b">
        <v>1</v>
      </c>
      <c r="AL165" s="189" t="b">
        <v>1</v>
      </c>
      <c r="AM165" s="189" t="b">
        <v>1</v>
      </c>
      <c r="AN165" s="189" t="b">
        <v>1</v>
      </c>
      <c r="AO165" s="189" t="b">
        <v>1</v>
      </c>
      <c r="AP165" s="69" t="str">
        <f t="shared" si="41"/>
        <v>VALID</v>
      </c>
      <c r="AQ165" s="168" t="s">
        <v>2479</v>
      </c>
      <c r="AR165" s="2" t="s">
        <v>862</v>
      </c>
      <c r="AS165" s="4" t="s">
        <v>874</v>
      </c>
      <c r="AT165" s="3"/>
      <c r="AU165" s="140"/>
      <c r="AV165" s="193" t="s">
        <v>900</v>
      </c>
      <c r="AW165" s="193" t="s">
        <v>136</v>
      </c>
      <c r="AX165" s="193" t="s">
        <v>136</v>
      </c>
      <c r="AY165" s="22"/>
      <c r="AZ165" s="4"/>
      <c r="BA165" s="4"/>
      <c r="BB165" s="13" t="s">
        <v>114</v>
      </c>
      <c r="BC165" s="139"/>
      <c r="BD165" s="11" t="s">
        <v>5596</v>
      </c>
      <c r="BE165" s="311" t="s">
        <v>5597</v>
      </c>
    </row>
    <row r="166" spans="1:57" ht="12.95" customHeight="1">
      <c r="A166" s="247" t="s">
        <v>3093</v>
      </c>
      <c r="B166" s="251">
        <v>127</v>
      </c>
      <c r="C166" s="239" t="s">
        <v>1016</v>
      </c>
      <c r="D166" s="239" t="s">
        <v>3000</v>
      </c>
      <c r="E166" s="58"/>
      <c r="F166" s="59" t="s">
        <v>2148</v>
      </c>
      <c r="G166" s="191" t="s">
        <v>2480</v>
      </c>
      <c r="H166" s="192"/>
      <c r="I166" s="61"/>
      <c r="J166" s="61" t="s">
        <v>2511</v>
      </c>
      <c r="K166" s="62" t="s">
        <v>2511</v>
      </c>
      <c r="L166" s="60" t="s">
        <v>2389</v>
      </c>
      <c r="M166" s="61" t="s">
        <v>2389</v>
      </c>
      <c r="N166" s="61" t="s">
        <v>2523</v>
      </c>
      <c r="O166" s="61" t="s">
        <v>2511</v>
      </c>
      <c r="P166" s="62" t="s">
        <v>2511</v>
      </c>
      <c r="Q166" s="58" t="s">
        <v>125</v>
      </c>
      <c r="R166" s="58" t="s">
        <v>847</v>
      </c>
      <c r="S166" s="58" t="s">
        <v>112</v>
      </c>
      <c r="T166" s="58" t="s">
        <v>113</v>
      </c>
      <c r="U166" s="63" t="s">
        <v>112</v>
      </c>
      <c r="V166" s="138" t="s">
        <v>3001</v>
      </c>
      <c r="W166" s="57" t="s">
        <v>2999</v>
      </c>
      <c r="X166" s="126" t="s">
        <v>2511</v>
      </c>
      <c r="Y166" s="126" t="s">
        <v>2511</v>
      </c>
      <c r="Z166" s="57" t="s">
        <v>2817</v>
      </c>
      <c r="AA166" s="57" t="s">
        <v>2920</v>
      </c>
      <c r="AB166" s="57" t="s">
        <v>2393</v>
      </c>
      <c r="AC166" s="57" t="s">
        <v>2516</v>
      </c>
      <c r="AD166" s="65" t="str">
        <f t="shared" si="36"/>
        <v>GPIO_PCC1</v>
      </c>
      <c r="AE166" s="70"/>
      <c r="AF166" s="67" t="str">
        <f t="shared" si="37"/>
        <v>NORMAL</v>
      </c>
      <c r="AG166" s="67" t="str">
        <f t="shared" si="38"/>
        <v>NORMAL</v>
      </c>
      <c r="AH166" s="67" t="str">
        <f t="shared" si="42"/>
        <v>DISABLE</v>
      </c>
      <c r="AI166" s="71" t="str">
        <f t="shared" si="40"/>
        <v>1</v>
      </c>
      <c r="AJ166" s="189" t="b">
        <v>1</v>
      </c>
      <c r="AK166" s="189" t="b">
        <v>1</v>
      </c>
      <c r="AL166" s="189" t="b">
        <v>1</v>
      </c>
      <c r="AM166" s="189" t="b">
        <v>1</v>
      </c>
      <c r="AN166" s="189" t="b">
        <v>1</v>
      </c>
      <c r="AO166" s="189" t="b">
        <v>1</v>
      </c>
      <c r="AP166" s="69" t="str">
        <f t="shared" si="41"/>
        <v>VALID</v>
      </c>
      <c r="AQ166" s="166" t="s">
        <v>2480</v>
      </c>
      <c r="AR166" s="194" t="s">
        <v>861</v>
      </c>
      <c r="AS166" s="193" t="s">
        <v>878</v>
      </c>
      <c r="AT166" s="193" t="s">
        <v>117</v>
      </c>
      <c r="AU166" s="140"/>
      <c r="AV166" s="193" t="s">
        <v>900</v>
      </c>
      <c r="AW166" s="193" t="s">
        <v>136</v>
      </c>
      <c r="AX166" s="193" t="s">
        <v>136</v>
      </c>
      <c r="AY166" s="72"/>
      <c r="AZ166" s="193"/>
      <c r="BA166" s="193"/>
      <c r="BB166" s="8"/>
      <c r="BC166" s="140"/>
      <c r="BD166" s="17" t="s">
        <v>5598</v>
      </c>
      <c r="BE166" s="311" t="s">
        <v>5599</v>
      </c>
    </row>
    <row r="167" spans="1:57" ht="12.95" customHeight="1">
      <c r="A167" s="247" t="s">
        <v>3090</v>
      </c>
      <c r="B167" s="251">
        <v>128</v>
      </c>
      <c r="C167" s="239" t="s">
        <v>1017</v>
      </c>
      <c r="D167" s="239" t="s">
        <v>3002</v>
      </c>
      <c r="E167" s="58"/>
      <c r="F167" s="59" t="s">
        <v>2149</v>
      </c>
      <c r="G167" s="191" t="s">
        <v>2458</v>
      </c>
      <c r="H167" s="192"/>
      <c r="I167" s="61"/>
      <c r="J167" s="61" t="s">
        <v>2511</v>
      </c>
      <c r="K167" s="62" t="s">
        <v>2511</v>
      </c>
      <c r="L167" s="60" t="s">
        <v>2389</v>
      </c>
      <c r="M167" s="61" t="s">
        <v>2389</v>
      </c>
      <c r="N167" s="61" t="s">
        <v>2388</v>
      </c>
      <c r="O167" s="61" t="s">
        <v>2511</v>
      </c>
      <c r="P167" s="62" t="s">
        <v>2511</v>
      </c>
      <c r="Q167" s="58" t="s">
        <v>125</v>
      </c>
      <c r="R167" s="58" t="s">
        <v>847</v>
      </c>
      <c r="S167" s="58" t="s">
        <v>112</v>
      </c>
      <c r="T167" s="58" t="s">
        <v>113</v>
      </c>
      <c r="U167" s="63" t="s">
        <v>112</v>
      </c>
      <c r="V167" s="138" t="s">
        <v>3003</v>
      </c>
      <c r="W167" s="57" t="s">
        <v>2999</v>
      </c>
      <c r="X167" s="126" t="s">
        <v>2511</v>
      </c>
      <c r="Y167" s="126" t="s">
        <v>2511</v>
      </c>
      <c r="Z167" s="57" t="s">
        <v>2817</v>
      </c>
      <c r="AA167" s="57" t="s">
        <v>2920</v>
      </c>
      <c r="AB167" s="57" t="s">
        <v>2393</v>
      </c>
      <c r="AC167" s="57" t="s">
        <v>2516</v>
      </c>
      <c r="AD167" s="65" t="str">
        <f t="shared" si="36"/>
        <v>GPIO_PCC2</v>
      </c>
      <c r="AE167" s="70"/>
      <c r="AF167" s="67" t="str">
        <f t="shared" si="37"/>
        <v>NORMAL</v>
      </c>
      <c r="AG167" s="67" t="str">
        <f t="shared" si="38"/>
        <v>TRISTATE</v>
      </c>
      <c r="AH167" s="67" t="str">
        <f t="shared" si="42"/>
        <v>ENABLE</v>
      </c>
      <c r="AI167" s="71" t="str">
        <f t="shared" si="40"/>
        <v>0</v>
      </c>
      <c r="AJ167" s="189" t="b">
        <v>1</v>
      </c>
      <c r="AK167" s="189" t="b">
        <v>1</v>
      </c>
      <c r="AL167" s="189" t="b">
        <v>1</v>
      </c>
      <c r="AM167" s="189" t="b">
        <v>1</v>
      </c>
      <c r="AN167" s="189" t="b">
        <v>1</v>
      </c>
      <c r="AO167" s="189" t="b">
        <v>1</v>
      </c>
      <c r="AP167" s="69" t="str">
        <f t="shared" si="41"/>
        <v>VALID</v>
      </c>
      <c r="AQ167" s="166" t="s">
        <v>2458</v>
      </c>
      <c r="AR167" s="194" t="s">
        <v>862</v>
      </c>
      <c r="AS167" s="193" t="s">
        <v>874</v>
      </c>
      <c r="AT167" s="72"/>
      <c r="AU167" s="140"/>
      <c r="AV167" s="193" t="s">
        <v>900</v>
      </c>
      <c r="AW167" s="193" t="s">
        <v>136</v>
      </c>
      <c r="AX167" s="193" t="s">
        <v>136</v>
      </c>
      <c r="AY167" s="72"/>
      <c r="AZ167" s="193"/>
      <c r="BA167" s="193"/>
      <c r="BB167" s="8"/>
      <c r="BC167" s="140"/>
      <c r="BD167" s="11" t="s">
        <v>5600</v>
      </c>
      <c r="BE167" s="311" t="s">
        <v>5601</v>
      </c>
    </row>
    <row r="168" spans="1:57" ht="12.95" customHeight="1">
      <c r="A168" s="247" t="s">
        <v>2974</v>
      </c>
      <c r="B168" s="251">
        <v>130</v>
      </c>
      <c r="C168" s="239" t="s">
        <v>945</v>
      </c>
      <c r="D168" s="239" t="s">
        <v>3004</v>
      </c>
      <c r="E168" s="58"/>
      <c r="F168" s="59" t="s">
        <v>2150</v>
      </c>
      <c r="G168" s="191" t="s">
        <v>2481</v>
      </c>
      <c r="H168" s="192"/>
      <c r="I168" s="61"/>
      <c r="J168" s="61" t="s">
        <v>2511</v>
      </c>
      <c r="K168" s="62" t="s">
        <v>2511</v>
      </c>
      <c r="L168" s="60" t="s">
        <v>2389</v>
      </c>
      <c r="M168" s="61" t="s">
        <v>2389</v>
      </c>
      <c r="N168" s="61" t="s">
        <v>2523</v>
      </c>
      <c r="O168" s="61" t="s">
        <v>2511</v>
      </c>
      <c r="P168" s="62" t="s">
        <v>2511</v>
      </c>
      <c r="Q168" s="58" t="s">
        <v>125</v>
      </c>
      <c r="R168" s="58" t="s">
        <v>847</v>
      </c>
      <c r="S168" s="58" t="s">
        <v>112</v>
      </c>
      <c r="T168" s="58" t="s">
        <v>113</v>
      </c>
      <c r="U168" s="63" t="s">
        <v>112</v>
      </c>
      <c r="V168" s="138" t="s">
        <v>3005</v>
      </c>
      <c r="W168" s="57" t="s">
        <v>2999</v>
      </c>
      <c r="X168" s="126" t="s">
        <v>3006</v>
      </c>
      <c r="Y168" s="126" t="s">
        <v>2511</v>
      </c>
      <c r="Z168" s="57" t="s">
        <v>2817</v>
      </c>
      <c r="AA168" s="57" t="s">
        <v>2920</v>
      </c>
      <c r="AB168" s="57" t="s">
        <v>2393</v>
      </c>
      <c r="AC168" s="57" t="s">
        <v>2631</v>
      </c>
      <c r="AD168" s="65" t="str">
        <f t="shared" si="36"/>
        <v>GPIO_PCC3</v>
      </c>
      <c r="AE168" s="70"/>
      <c r="AF168" s="67" t="str">
        <f t="shared" si="37"/>
        <v>NORMAL</v>
      </c>
      <c r="AG168" s="67" t="str">
        <f t="shared" si="38"/>
        <v>NORMAL</v>
      </c>
      <c r="AH168" s="67" t="str">
        <f t="shared" si="42"/>
        <v>DISABLE</v>
      </c>
      <c r="AI168" s="71" t="str">
        <f t="shared" si="40"/>
        <v>0</v>
      </c>
      <c r="AJ168" s="189" t="b">
        <v>1</v>
      </c>
      <c r="AK168" s="189" t="b">
        <v>1</v>
      </c>
      <c r="AL168" s="189" t="b">
        <v>1</v>
      </c>
      <c r="AM168" s="189" t="b">
        <v>1</v>
      </c>
      <c r="AN168" s="189" t="b">
        <v>1</v>
      </c>
      <c r="AO168" s="189" t="b">
        <v>1</v>
      </c>
      <c r="AP168" s="69" t="str">
        <f t="shared" si="41"/>
        <v>VALID</v>
      </c>
      <c r="AQ168" s="166" t="s">
        <v>2481</v>
      </c>
      <c r="AR168" s="194" t="s">
        <v>861</v>
      </c>
      <c r="AS168" s="193" t="s">
        <v>874</v>
      </c>
      <c r="AT168" s="193" t="s">
        <v>117</v>
      </c>
      <c r="AU168" s="140"/>
      <c r="AV168" s="193" t="s">
        <v>900</v>
      </c>
      <c r="AW168" s="193" t="s">
        <v>136</v>
      </c>
      <c r="AX168" s="193" t="s">
        <v>136</v>
      </c>
      <c r="AY168" s="72"/>
      <c r="AZ168" s="193"/>
      <c r="BA168" s="193"/>
      <c r="BB168" s="8"/>
      <c r="BC168" s="140"/>
      <c r="BD168" s="12" t="s">
        <v>5602</v>
      </c>
      <c r="BE168" s="311" t="s">
        <v>5603</v>
      </c>
    </row>
    <row r="169" spans="1:57" ht="12.95" customHeight="1">
      <c r="A169" s="320" t="s">
        <v>2544</v>
      </c>
      <c r="B169" s="251">
        <v>218</v>
      </c>
      <c r="C169" s="239" t="s">
        <v>261</v>
      </c>
      <c r="D169" s="239" t="s">
        <v>3007</v>
      </c>
      <c r="E169" s="58"/>
      <c r="F169" s="59" t="s">
        <v>489</v>
      </c>
      <c r="G169" s="191" t="s">
        <v>3008</v>
      </c>
      <c r="H169" s="192" t="s">
        <v>2181</v>
      </c>
      <c r="I169" s="61" t="s">
        <v>261</v>
      </c>
      <c r="J169" s="61" t="s">
        <v>2511</v>
      </c>
      <c r="K169" s="62" t="s">
        <v>2511</v>
      </c>
      <c r="L169" s="60" t="s">
        <v>2389</v>
      </c>
      <c r="M169" s="61" t="s">
        <v>2388</v>
      </c>
      <c r="N169" s="61" t="s">
        <v>2388</v>
      </c>
      <c r="O169" s="61" t="s">
        <v>2511</v>
      </c>
      <c r="P169" s="62" t="s">
        <v>2511</v>
      </c>
      <c r="Q169" s="58" t="s">
        <v>2425</v>
      </c>
      <c r="R169" s="58" t="s">
        <v>547</v>
      </c>
      <c r="S169" s="58" t="s">
        <v>112</v>
      </c>
      <c r="T169" s="58" t="s">
        <v>113</v>
      </c>
      <c r="U169" s="63" t="s">
        <v>112</v>
      </c>
      <c r="V169" s="138" t="s">
        <v>3009</v>
      </c>
      <c r="W169" s="57" t="s">
        <v>2999</v>
      </c>
      <c r="X169" s="126" t="s">
        <v>2511</v>
      </c>
      <c r="Y169" s="126" t="s">
        <v>2511</v>
      </c>
      <c r="Z169" s="57" t="s">
        <v>2514</v>
      </c>
      <c r="AA169" s="57" t="s">
        <v>2834</v>
      </c>
      <c r="AB169" s="57" t="s">
        <v>2393</v>
      </c>
      <c r="AC169" s="57" t="s">
        <v>2516</v>
      </c>
      <c r="AD169" s="65" t="str">
        <f t="shared" si="36"/>
        <v>GPIO_PCC4</v>
      </c>
      <c r="AE169" s="70"/>
      <c r="AF169" s="67" t="str">
        <f t="shared" si="37"/>
        <v>PULL_UP</v>
      </c>
      <c r="AG169" s="67" t="str">
        <f t="shared" si="38"/>
        <v>NORMAL</v>
      </c>
      <c r="AH169" s="67" t="str">
        <f t="shared" si="42"/>
        <v>DISABLE</v>
      </c>
      <c r="AI169" s="71" t="str">
        <f t="shared" si="40"/>
        <v/>
      </c>
      <c r="AJ169" s="189" t="b">
        <v>1</v>
      </c>
      <c r="AK169" s="189" t="b">
        <v>1</v>
      </c>
      <c r="AL169" s="189" t="b">
        <v>1</v>
      </c>
      <c r="AM169" s="189" t="b">
        <v>1</v>
      </c>
      <c r="AN169" s="189" t="b">
        <v>1</v>
      </c>
      <c r="AO169" s="189" t="b">
        <v>1</v>
      </c>
      <c r="AP169" s="69" t="str">
        <f t="shared" si="41"/>
        <v>VALID</v>
      </c>
      <c r="AQ169" s="166" t="s">
        <v>3008</v>
      </c>
      <c r="AR169" s="194" t="s">
        <v>861</v>
      </c>
      <c r="AS169" s="193" t="s">
        <v>873</v>
      </c>
      <c r="AT169" s="72"/>
      <c r="AU169" s="140"/>
      <c r="AV169" s="140"/>
      <c r="AW169" s="72"/>
      <c r="AX169" s="193" t="s">
        <v>136</v>
      </c>
      <c r="AY169" s="72"/>
      <c r="AZ169" s="193"/>
      <c r="BA169" s="193"/>
      <c r="BB169" s="8"/>
      <c r="BC169" s="140"/>
      <c r="BD169" s="11" t="s">
        <v>2544</v>
      </c>
      <c r="BE169" s="312" t="s">
        <v>5604</v>
      </c>
    </row>
    <row r="170" spans="1:57" ht="12.95" customHeight="1">
      <c r="A170" s="250" t="s">
        <v>5504</v>
      </c>
      <c r="B170" s="251">
        <v>236</v>
      </c>
      <c r="C170" s="239" t="s">
        <v>280</v>
      </c>
      <c r="D170" s="239" t="s">
        <v>3010</v>
      </c>
      <c r="E170" s="58"/>
      <c r="F170" s="59" t="s">
        <v>503</v>
      </c>
      <c r="G170" s="191" t="s">
        <v>3011</v>
      </c>
      <c r="H170" s="192" t="s">
        <v>940</v>
      </c>
      <c r="I170" s="61" t="s">
        <v>2511</v>
      </c>
      <c r="J170" s="61" t="s">
        <v>2511</v>
      </c>
      <c r="K170" s="62" t="s">
        <v>2511</v>
      </c>
      <c r="L170" s="60" t="s">
        <v>2389</v>
      </c>
      <c r="M170" s="61" t="s">
        <v>2388</v>
      </c>
      <c r="N170" s="61" t="s">
        <v>2511</v>
      </c>
      <c r="O170" s="61" t="s">
        <v>2511</v>
      </c>
      <c r="P170" s="62" t="s">
        <v>2511</v>
      </c>
      <c r="Q170" s="58" t="s">
        <v>184</v>
      </c>
      <c r="R170" s="58" t="s">
        <v>126</v>
      </c>
      <c r="S170" s="58" t="s">
        <v>112</v>
      </c>
      <c r="T170" s="58" t="s">
        <v>113</v>
      </c>
      <c r="U170" s="63" t="s">
        <v>126</v>
      </c>
      <c r="V170" s="138" t="s">
        <v>3012</v>
      </c>
      <c r="W170" s="57" t="s">
        <v>2999</v>
      </c>
      <c r="X170" s="126" t="s">
        <v>2511</v>
      </c>
      <c r="Y170" s="126" t="s">
        <v>2511</v>
      </c>
      <c r="Z170" s="57" t="s">
        <v>2817</v>
      </c>
      <c r="AA170" s="57" t="s">
        <v>2920</v>
      </c>
      <c r="AB170" s="57" t="s">
        <v>2393</v>
      </c>
      <c r="AC170" s="57" t="s">
        <v>2516</v>
      </c>
      <c r="AD170" s="65" t="str">
        <f t="shared" si="36"/>
        <v>UARTC</v>
      </c>
      <c r="AE170" s="70"/>
      <c r="AF170" s="67" t="str">
        <f t="shared" si="37"/>
        <v>NORMAL</v>
      </c>
      <c r="AG170" s="67" t="str">
        <f t="shared" si="38"/>
        <v>NORMAL</v>
      </c>
      <c r="AH170" s="67" t="str">
        <f t="shared" si="42"/>
        <v>DISABLE</v>
      </c>
      <c r="AI170" s="71" t="str">
        <f t="shared" si="40"/>
        <v>N/A</v>
      </c>
      <c r="AJ170" s="189" t="b">
        <v>1</v>
      </c>
      <c r="AK170" s="189" t="b">
        <v>1</v>
      </c>
      <c r="AL170" s="189" t="b">
        <v>1</v>
      </c>
      <c r="AM170" s="189" t="b">
        <v>1</v>
      </c>
      <c r="AN170" s="189" t="b">
        <v>1</v>
      </c>
      <c r="AO170" s="189" t="b">
        <v>1</v>
      </c>
      <c r="AP170" s="69" t="str">
        <f t="shared" si="41"/>
        <v>VALID</v>
      </c>
      <c r="AQ170" s="166" t="s">
        <v>940</v>
      </c>
      <c r="AR170" s="194" t="s">
        <v>861</v>
      </c>
      <c r="AS170" s="193"/>
      <c r="AT170" s="72"/>
      <c r="AU170" s="140"/>
      <c r="AV170" s="140"/>
      <c r="AW170" s="193" t="s">
        <v>136</v>
      </c>
      <c r="AX170" s="193" t="s">
        <v>136</v>
      </c>
      <c r="AY170" s="72"/>
      <c r="AZ170" s="193"/>
      <c r="BA170" s="193"/>
      <c r="BB170" s="8"/>
      <c r="BC170" s="140"/>
      <c r="BD170" s="11" t="s">
        <v>5605</v>
      </c>
      <c r="BE170" s="333" t="s">
        <v>5606</v>
      </c>
    </row>
    <row r="171" spans="1:57" ht="12.95" customHeight="1">
      <c r="A171" s="250" t="s">
        <v>5505</v>
      </c>
      <c r="B171" s="251">
        <v>238</v>
      </c>
      <c r="C171" s="239" t="s">
        <v>281</v>
      </c>
      <c r="D171" s="239" t="s">
        <v>3013</v>
      </c>
      <c r="E171" s="58"/>
      <c r="F171" s="59" t="s">
        <v>504</v>
      </c>
      <c r="G171" s="191" t="s">
        <v>3014</v>
      </c>
      <c r="H171" s="192" t="s">
        <v>941</v>
      </c>
      <c r="I171" s="61" t="s">
        <v>2511</v>
      </c>
      <c r="J171" s="61" t="s">
        <v>2511</v>
      </c>
      <c r="K171" s="62" t="s">
        <v>2511</v>
      </c>
      <c r="L171" s="60" t="s">
        <v>2389</v>
      </c>
      <c r="M171" s="61" t="s">
        <v>2523</v>
      </c>
      <c r="N171" s="61" t="s">
        <v>2511</v>
      </c>
      <c r="O171" s="61" t="s">
        <v>2511</v>
      </c>
      <c r="P171" s="62" t="s">
        <v>2511</v>
      </c>
      <c r="Q171" s="58" t="s">
        <v>184</v>
      </c>
      <c r="R171" s="58" t="s">
        <v>126</v>
      </c>
      <c r="S171" s="58" t="s">
        <v>112</v>
      </c>
      <c r="T171" s="58" t="s">
        <v>113</v>
      </c>
      <c r="U171" s="63" t="s">
        <v>126</v>
      </c>
      <c r="V171" s="138" t="s">
        <v>3015</v>
      </c>
      <c r="W171" s="57" t="s">
        <v>2999</v>
      </c>
      <c r="X171" s="126" t="s">
        <v>2511</v>
      </c>
      <c r="Y171" s="126" t="s">
        <v>2511</v>
      </c>
      <c r="Z171" s="57" t="s">
        <v>2817</v>
      </c>
      <c r="AA171" s="57" t="s">
        <v>2920</v>
      </c>
      <c r="AB171" s="57" t="s">
        <v>2393</v>
      </c>
      <c r="AC171" s="57" t="s">
        <v>2516</v>
      </c>
      <c r="AD171" s="65" t="str">
        <f t="shared" si="36"/>
        <v>UARTC</v>
      </c>
      <c r="AE171" s="70"/>
      <c r="AF171" s="67" t="str">
        <f t="shared" si="37"/>
        <v>NORMAL</v>
      </c>
      <c r="AG171" s="67" t="str">
        <f t="shared" si="38"/>
        <v>TRISTATE</v>
      </c>
      <c r="AH171" s="67" t="str">
        <f t="shared" si="42"/>
        <v>ENABLE</v>
      </c>
      <c r="AI171" s="71" t="str">
        <f t="shared" si="40"/>
        <v>N/A</v>
      </c>
      <c r="AJ171" s="189" t="b">
        <v>1</v>
      </c>
      <c r="AK171" s="189" t="b">
        <v>1</v>
      </c>
      <c r="AL171" s="189" t="b">
        <v>1</v>
      </c>
      <c r="AM171" s="189" t="b">
        <v>1</v>
      </c>
      <c r="AN171" s="189" t="b">
        <v>1</v>
      </c>
      <c r="AO171" s="189" t="b">
        <v>1</v>
      </c>
      <c r="AP171" s="69" t="str">
        <f t="shared" si="41"/>
        <v>VALID</v>
      </c>
      <c r="AQ171" s="166" t="s">
        <v>941</v>
      </c>
      <c r="AR171" s="194" t="s">
        <v>862</v>
      </c>
      <c r="AS171" s="193"/>
      <c r="AT171" s="193" t="s">
        <v>117</v>
      </c>
      <c r="AU171" s="140"/>
      <c r="AV171" s="140"/>
      <c r="AW171" s="193" t="s">
        <v>136</v>
      </c>
      <c r="AX171" s="193" t="s">
        <v>136</v>
      </c>
      <c r="AY171" s="72"/>
      <c r="AZ171" s="193"/>
      <c r="BA171" s="193"/>
      <c r="BB171" s="8"/>
      <c r="BC171" s="140"/>
      <c r="BD171" s="11" t="s">
        <v>5607</v>
      </c>
      <c r="BE171" s="334"/>
    </row>
    <row r="172" spans="1:57" ht="12.95" customHeight="1">
      <c r="A172" s="320" t="s">
        <v>5451</v>
      </c>
      <c r="B172" s="251">
        <v>185</v>
      </c>
      <c r="C172" s="239" t="s">
        <v>1018</v>
      </c>
      <c r="D172" s="239" t="s">
        <v>3016</v>
      </c>
      <c r="E172" s="58"/>
      <c r="F172" s="59" t="s">
        <v>2151</v>
      </c>
      <c r="G172" s="191" t="s">
        <v>3017</v>
      </c>
      <c r="H172" s="192" t="s">
        <v>946</v>
      </c>
      <c r="I172" s="61" t="s">
        <v>2511</v>
      </c>
      <c r="J172" s="61" t="s">
        <v>2511</v>
      </c>
      <c r="K172" s="62" t="s">
        <v>2511</v>
      </c>
      <c r="L172" s="60" t="s">
        <v>2389</v>
      </c>
      <c r="M172" s="61" t="s">
        <v>2389</v>
      </c>
      <c r="N172" s="61" t="s">
        <v>2511</v>
      </c>
      <c r="O172" s="61" t="s">
        <v>2511</v>
      </c>
      <c r="P172" s="62" t="s">
        <v>2511</v>
      </c>
      <c r="Q172" s="58" t="s">
        <v>549</v>
      </c>
      <c r="R172" s="58" t="s">
        <v>126</v>
      </c>
      <c r="S172" s="58" t="s">
        <v>112</v>
      </c>
      <c r="T172" s="58" t="s">
        <v>113</v>
      </c>
      <c r="U172" s="63" t="s">
        <v>126</v>
      </c>
      <c r="V172" s="138" t="s">
        <v>3018</v>
      </c>
      <c r="W172" s="57" t="s">
        <v>2999</v>
      </c>
      <c r="X172" s="126" t="s">
        <v>2511</v>
      </c>
      <c r="Y172" s="126" t="s">
        <v>2511</v>
      </c>
      <c r="Z172" s="57" t="s">
        <v>2817</v>
      </c>
      <c r="AA172" s="57" t="s">
        <v>2920</v>
      </c>
      <c r="AB172" s="57" t="s">
        <v>2393</v>
      </c>
      <c r="AC172" s="57" t="s">
        <v>2631</v>
      </c>
      <c r="AD172" s="65" t="str">
        <f t="shared" si="36"/>
        <v>I2C2</v>
      </c>
      <c r="AE172" s="70"/>
      <c r="AF172" s="67" t="str">
        <f t="shared" si="37"/>
        <v>NORMAL</v>
      </c>
      <c r="AG172" s="67" t="str">
        <f t="shared" si="38"/>
        <v>NORMAL</v>
      </c>
      <c r="AH172" s="67" t="str">
        <f t="shared" si="42"/>
        <v>ENABLE</v>
      </c>
      <c r="AI172" s="71" t="str">
        <f t="shared" si="40"/>
        <v>N/A</v>
      </c>
      <c r="AJ172" s="189" t="b">
        <v>1</v>
      </c>
      <c r="AK172" s="189" t="b">
        <v>1</v>
      </c>
      <c r="AL172" s="189" t="b">
        <v>1</v>
      </c>
      <c r="AM172" s="189" t="b">
        <v>1</v>
      </c>
      <c r="AN172" s="189" t="b">
        <v>1</v>
      </c>
      <c r="AO172" s="189" t="b">
        <v>1</v>
      </c>
      <c r="AP172" s="69" t="str">
        <f t="shared" si="41"/>
        <v>VALID</v>
      </c>
      <c r="AQ172" s="166" t="s">
        <v>946</v>
      </c>
      <c r="AR172" s="194" t="s">
        <v>860</v>
      </c>
      <c r="AS172" s="193"/>
      <c r="AT172" s="193" t="s">
        <v>117</v>
      </c>
      <c r="AU172" s="140"/>
      <c r="AV172" s="140"/>
      <c r="AW172" s="193" t="s">
        <v>872</v>
      </c>
      <c r="AX172" s="193" t="s">
        <v>872</v>
      </c>
      <c r="AY172" s="72"/>
      <c r="AZ172" s="193" t="s">
        <v>5544</v>
      </c>
      <c r="BA172" s="193"/>
      <c r="BB172" s="8"/>
      <c r="BC172" s="140"/>
      <c r="BD172" s="11" t="s">
        <v>5451</v>
      </c>
      <c r="BE172" s="333" t="s">
        <v>5608</v>
      </c>
    </row>
    <row r="173" spans="1:57" ht="12.95" customHeight="1">
      <c r="A173" s="320" t="s">
        <v>5452</v>
      </c>
      <c r="B173" s="251">
        <v>187</v>
      </c>
      <c r="C173" s="239" t="s">
        <v>1019</v>
      </c>
      <c r="D173" s="239" t="s">
        <v>3019</v>
      </c>
      <c r="E173" s="58"/>
      <c r="F173" s="59" t="s">
        <v>2152</v>
      </c>
      <c r="G173" s="191" t="s">
        <v>3020</v>
      </c>
      <c r="H173" s="192" t="s">
        <v>947</v>
      </c>
      <c r="I173" s="61" t="s">
        <v>2511</v>
      </c>
      <c r="J173" s="61" t="s">
        <v>2511</v>
      </c>
      <c r="K173" s="62" t="s">
        <v>2511</v>
      </c>
      <c r="L173" s="60" t="s">
        <v>2389</v>
      </c>
      <c r="M173" s="61" t="s">
        <v>2389</v>
      </c>
      <c r="N173" s="61" t="s">
        <v>2511</v>
      </c>
      <c r="O173" s="61" t="s">
        <v>2511</v>
      </c>
      <c r="P173" s="62" t="s">
        <v>2511</v>
      </c>
      <c r="Q173" s="58" t="s">
        <v>549</v>
      </c>
      <c r="R173" s="58" t="s">
        <v>126</v>
      </c>
      <c r="S173" s="58" t="s">
        <v>112</v>
      </c>
      <c r="T173" s="58" t="s">
        <v>113</v>
      </c>
      <c r="U173" s="63" t="s">
        <v>126</v>
      </c>
      <c r="V173" s="138" t="s">
        <v>3021</v>
      </c>
      <c r="W173" s="57" t="s">
        <v>2999</v>
      </c>
      <c r="X173" s="126" t="s">
        <v>3022</v>
      </c>
      <c r="Y173" s="126" t="s">
        <v>2511</v>
      </c>
      <c r="Z173" s="57" t="s">
        <v>2817</v>
      </c>
      <c r="AA173" s="57" t="s">
        <v>2920</v>
      </c>
      <c r="AB173" s="57" t="s">
        <v>2393</v>
      </c>
      <c r="AC173" s="57" t="s">
        <v>2631</v>
      </c>
      <c r="AD173" s="65" t="str">
        <f t="shared" si="36"/>
        <v>I2C2</v>
      </c>
      <c r="AE173" s="70"/>
      <c r="AF173" s="67" t="str">
        <f t="shared" si="37"/>
        <v>NORMAL</v>
      </c>
      <c r="AG173" s="67" t="str">
        <f t="shared" si="38"/>
        <v>NORMAL</v>
      </c>
      <c r="AH173" s="67" t="str">
        <f t="shared" si="42"/>
        <v>ENABLE</v>
      </c>
      <c r="AI173" s="71" t="str">
        <f t="shared" si="40"/>
        <v>N/A</v>
      </c>
      <c r="AJ173" s="189" t="b">
        <v>1</v>
      </c>
      <c r="AK173" s="189" t="b">
        <v>1</v>
      </c>
      <c r="AL173" s="189" t="b">
        <v>1</v>
      </c>
      <c r="AM173" s="189" t="b">
        <v>1</v>
      </c>
      <c r="AN173" s="189" t="b">
        <v>1</v>
      </c>
      <c r="AO173" s="189" t="b">
        <v>1</v>
      </c>
      <c r="AP173" s="69" t="str">
        <f t="shared" si="41"/>
        <v>VALID</v>
      </c>
      <c r="AQ173" s="166" t="s">
        <v>947</v>
      </c>
      <c r="AR173" s="194" t="s">
        <v>860</v>
      </c>
      <c r="AS173" s="193"/>
      <c r="AT173" s="72"/>
      <c r="AU173" s="140"/>
      <c r="AV173" s="140"/>
      <c r="AW173" s="193" t="s">
        <v>872</v>
      </c>
      <c r="AX173" s="193" t="s">
        <v>872</v>
      </c>
      <c r="AY173" s="72"/>
      <c r="AZ173" s="193" t="s">
        <v>5544</v>
      </c>
      <c r="BA173" s="193"/>
      <c r="BB173" s="8"/>
      <c r="BC173" s="140"/>
      <c r="BD173" s="11" t="s">
        <v>5452</v>
      </c>
      <c r="BE173" s="335"/>
    </row>
    <row r="174" spans="1:57" ht="12.95" hidden="1" customHeight="1">
      <c r="A174" s="248" t="e">
        <v>#N/A</v>
      </c>
      <c r="B174" s="252" t="e">
        <v>#N/A</v>
      </c>
      <c r="C174" s="263" t="s">
        <v>729</v>
      </c>
      <c r="D174" s="239" t="s">
        <v>3023</v>
      </c>
      <c r="E174" s="58"/>
      <c r="F174" s="59" t="s">
        <v>801</v>
      </c>
      <c r="G174" s="191" t="s">
        <v>3024</v>
      </c>
      <c r="H174" s="192" t="s">
        <v>942</v>
      </c>
      <c r="I174" s="61" t="s">
        <v>2511</v>
      </c>
      <c r="J174" s="61" t="s">
        <v>2511</v>
      </c>
      <c r="K174" s="62" t="s">
        <v>2511</v>
      </c>
      <c r="L174" s="60" t="s">
        <v>2389</v>
      </c>
      <c r="M174" s="61" t="s">
        <v>2389</v>
      </c>
      <c r="N174" s="61" t="s">
        <v>2511</v>
      </c>
      <c r="O174" s="61" t="s">
        <v>2511</v>
      </c>
      <c r="P174" s="62" t="s">
        <v>2511</v>
      </c>
      <c r="Q174" s="58" t="s">
        <v>846</v>
      </c>
      <c r="R174" s="58" t="s">
        <v>126</v>
      </c>
      <c r="S174" s="58" t="s">
        <v>112</v>
      </c>
      <c r="T174" s="58" t="s">
        <v>113</v>
      </c>
      <c r="U174" s="63" t="s">
        <v>126</v>
      </c>
      <c r="V174" s="138" t="s">
        <v>3025</v>
      </c>
      <c r="W174" s="57" t="s">
        <v>2999</v>
      </c>
      <c r="X174" s="126" t="s">
        <v>2511</v>
      </c>
      <c r="Y174" s="126" t="s">
        <v>2511</v>
      </c>
      <c r="Z174" s="57" t="s">
        <v>2817</v>
      </c>
      <c r="AA174" s="57" t="s">
        <v>2920</v>
      </c>
      <c r="AB174" s="57" t="s">
        <v>2393</v>
      </c>
      <c r="AC174" s="57" t="s">
        <v>2631</v>
      </c>
      <c r="AD174" s="65" t="str">
        <f t="shared" si="36"/>
        <v>I2C8</v>
      </c>
      <c r="AE174" s="70"/>
      <c r="AF174" s="67" t="str">
        <f t="shared" si="37"/>
        <v>NORMAL</v>
      </c>
      <c r="AG174" s="67" t="str">
        <f t="shared" si="38"/>
        <v>NORMAL</v>
      </c>
      <c r="AH174" s="67" t="str">
        <f t="shared" si="42"/>
        <v>ENABLE</v>
      </c>
      <c r="AI174" s="71" t="str">
        <f t="shared" si="40"/>
        <v>N/A</v>
      </c>
      <c r="AJ174" s="189" t="b">
        <v>1</v>
      </c>
      <c r="AK174" s="189" t="b">
        <v>1</v>
      </c>
      <c r="AL174" s="189" t="b">
        <v>1</v>
      </c>
      <c r="AM174" s="189" t="b">
        <v>1</v>
      </c>
      <c r="AN174" s="189" t="b">
        <v>1</v>
      </c>
      <c r="AO174" s="189" t="b">
        <v>1</v>
      </c>
      <c r="AP174" s="69" t="str">
        <f t="shared" si="41"/>
        <v>VALID</v>
      </c>
      <c r="AQ174" s="169" t="s">
        <v>942</v>
      </c>
      <c r="AR174" s="170" t="s">
        <v>860</v>
      </c>
      <c r="AS174" s="9"/>
      <c r="AT174" s="10"/>
      <c r="AU174" s="140"/>
      <c r="AV174" s="140"/>
      <c r="AW174" s="193" t="s">
        <v>872</v>
      </c>
      <c r="AX174" s="193" t="s">
        <v>872</v>
      </c>
      <c r="AY174" s="72"/>
      <c r="AZ174" s="193" t="s">
        <v>5544</v>
      </c>
      <c r="BA174" s="9"/>
      <c r="BB174" s="14"/>
      <c r="BC174" s="141"/>
      <c r="BD174" s="12" t="s">
        <v>5609</v>
      </c>
      <c r="BE174" s="333" t="s">
        <v>5610</v>
      </c>
    </row>
    <row r="175" spans="1:57" ht="12.95" hidden="1" customHeight="1">
      <c r="A175" s="248" t="e">
        <v>#N/A</v>
      </c>
      <c r="B175" s="252" t="e">
        <v>#N/A</v>
      </c>
      <c r="C175" s="263" t="s">
        <v>730</v>
      </c>
      <c r="D175" s="239" t="s">
        <v>3026</v>
      </c>
      <c r="E175" s="58"/>
      <c r="F175" s="59" t="s">
        <v>802</v>
      </c>
      <c r="G175" s="191" t="s">
        <v>3027</v>
      </c>
      <c r="H175" s="192" t="s">
        <v>943</v>
      </c>
      <c r="I175" s="61" t="s">
        <v>2511</v>
      </c>
      <c r="J175" s="61" t="s">
        <v>2511</v>
      </c>
      <c r="K175" s="62" t="s">
        <v>2511</v>
      </c>
      <c r="L175" s="60" t="s">
        <v>2389</v>
      </c>
      <c r="M175" s="61" t="s">
        <v>2389</v>
      </c>
      <c r="N175" s="61" t="s">
        <v>2511</v>
      </c>
      <c r="O175" s="61" t="s">
        <v>2511</v>
      </c>
      <c r="P175" s="62" t="s">
        <v>2511</v>
      </c>
      <c r="Q175" s="58" t="s">
        <v>846</v>
      </c>
      <c r="R175" s="58" t="s">
        <v>126</v>
      </c>
      <c r="S175" s="58" t="s">
        <v>112</v>
      </c>
      <c r="T175" s="58" t="s">
        <v>113</v>
      </c>
      <c r="U175" s="63" t="s">
        <v>126</v>
      </c>
      <c r="V175" s="138" t="s">
        <v>3028</v>
      </c>
      <c r="W175" s="57" t="s">
        <v>2999</v>
      </c>
      <c r="X175" s="126" t="s">
        <v>3029</v>
      </c>
      <c r="Y175" s="126" t="s">
        <v>2511</v>
      </c>
      <c r="Z175" s="57" t="s">
        <v>2817</v>
      </c>
      <c r="AA175" s="57" t="s">
        <v>2920</v>
      </c>
      <c r="AB175" s="57" t="s">
        <v>2393</v>
      </c>
      <c r="AC175" s="57" t="s">
        <v>2631</v>
      </c>
      <c r="AD175" s="65" t="str">
        <f t="shared" si="36"/>
        <v>I2C8</v>
      </c>
      <c r="AE175" s="70"/>
      <c r="AF175" s="67" t="str">
        <f t="shared" si="37"/>
        <v>NORMAL</v>
      </c>
      <c r="AG175" s="67" t="str">
        <f t="shared" si="38"/>
        <v>NORMAL</v>
      </c>
      <c r="AH175" s="67" t="str">
        <f t="shared" si="42"/>
        <v>ENABLE</v>
      </c>
      <c r="AI175" s="71" t="str">
        <f t="shared" si="40"/>
        <v>N/A</v>
      </c>
      <c r="AJ175" s="189" t="b">
        <v>1</v>
      </c>
      <c r="AK175" s="189" t="b">
        <v>1</v>
      </c>
      <c r="AL175" s="189" t="b">
        <v>1</v>
      </c>
      <c r="AM175" s="189" t="b">
        <v>1</v>
      </c>
      <c r="AN175" s="189" t="b">
        <v>1</v>
      </c>
      <c r="AO175" s="189" t="b">
        <v>1</v>
      </c>
      <c r="AP175" s="69" t="str">
        <f t="shared" si="41"/>
        <v>VALID</v>
      </c>
      <c r="AQ175" s="171" t="s">
        <v>943</v>
      </c>
      <c r="AR175" s="170" t="s">
        <v>860</v>
      </c>
      <c r="AS175" s="9"/>
      <c r="AT175" s="193" t="s">
        <v>117</v>
      </c>
      <c r="AU175" s="140"/>
      <c r="AV175" s="140"/>
      <c r="AW175" s="193" t="s">
        <v>872</v>
      </c>
      <c r="AX175" s="193" t="s">
        <v>872</v>
      </c>
      <c r="AY175" s="72"/>
      <c r="AZ175" s="193" t="s">
        <v>5544</v>
      </c>
      <c r="BA175" s="193"/>
      <c r="BB175" s="14"/>
      <c r="BC175" s="140"/>
      <c r="BD175" s="11" t="s">
        <v>5611</v>
      </c>
      <c r="BE175" s="335"/>
    </row>
    <row r="176" spans="1:57" s="56" customFormat="1" ht="18" customHeight="1">
      <c r="A176" s="365"/>
      <c r="B176" s="366"/>
      <c r="C176" s="266" t="s">
        <v>62</v>
      </c>
      <c r="D176" s="266"/>
      <c r="E176" s="73"/>
      <c r="F176" s="73"/>
      <c r="G176" s="74"/>
      <c r="H176" s="74"/>
      <c r="I176" s="74"/>
      <c r="J176" s="74"/>
      <c r="K176" s="74"/>
      <c r="L176" s="73"/>
      <c r="M176" s="73"/>
      <c r="N176" s="73"/>
      <c r="O176" s="73"/>
      <c r="P176" s="73"/>
      <c r="Q176" s="73"/>
      <c r="R176" s="73"/>
      <c r="S176" s="73"/>
      <c r="T176" s="73"/>
      <c r="U176" s="73"/>
      <c r="V176" s="73"/>
      <c r="W176" s="73"/>
      <c r="X176" s="127"/>
      <c r="Y176" s="127"/>
      <c r="Z176" s="75"/>
      <c r="AA176" s="75"/>
      <c r="AB176" s="75"/>
      <c r="AC176" s="75"/>
      <c r="AD176" s="75"/>
      <c r="AE176" s="75"/>
      <c r="AF176" s="75"/>
      <c r="AG176" s="75"/>
      <c r="AH176" s="75"/>
      <c r="AI176" s="75"/>
      <c r="AJ176" s="53"/>
      <c r="AK176" s="53"/>
      <c r="AL176" s="53"/>
      <c r="AM176" s="53"/>
      <c r="AN176" s="53"/>
      <c r="AO176" s="53"/>
      <c r="AP176" s="53"/>
      <c r="AQ176" s="54"/>
      <c r="AR176" s="76"/>
      <c r="AS176" s="77"/>
      <c r="AT176" s="77"/>
      <c r="AU176" s="77"/>
      <c r="AV176" s="77"/>
      <c r="AW176" s="77"/>
      <c r="AX176" s="77"/>
      <c r="AY176" s="77"/>
      <c r="AZ176" s="77"/>
      <c r="BA176" s="77"/>
      <c r="BB176" s="77"/>
      <c r="BC176" s="175" t="s">
        <v>59</v>
      </c>
      <c r="BD176" s="77"/>
      <c r="BE176" s="230" t="s">
        <v>62</v>
      </c>
    </row>
    <row r="177" spans="1:57" ht="12.95" customHeight="1">
      <c r="A177" s="247" t="s">
        <v>5423</v>
      </c>
      <c r="B177" s="251">
        <v>116</v>
      </c>
      <c r="C177" s="239" t="s">
        <v>722</v>
      </c>
      <c r="D177" s="239" t="s">
        <v>3030</v>
      </c>
      <c r="E177" s="58"/>
      <c r="F177" s="59" t="s">
        <v>773</v>
      </c>
      <c r="G177" s="191" t="s">
        <v>3031</v>
      </c>
      <c r="H177" s="192" t="s">
        <v>722</v>
      </c>
      <c r="I177" s="61" t="s">
        <v>2511</v>
      </c>
      <c r="J177" s="61" t="s">
        <v>2511</v>
      </c>
      <c r="K177" s="62" t="s">
        <v>2511</v>
      </c>
      <c r="L177" s="60" t="s">
        <v>2389</v>
      </c>
      <c r="M177" s="61" t="s">
        <v>2388</v>
      </c>
      <c r="N177" s="61" t="s">
        <v>2511</v>
      </c>
      <c r="O177" s="61" t="s">
        <v>2511</v>
      </c>
      <c r="P177" s="62" t="s">
        <v>2511</v>
      </c>
      <c r="Q177" s="7" t="s">
        <v>836</v>
      </c>
      <c r="R177" s="7" t="s">
        <v>126</v>
      </c>
      <c r="S177" s="58" t="s">
        <v>112</v>
      </c>
      <c r="T177" s="58" t="s">
        <v>113</v>
      </c>
      <c r="U177" s="106" t="s">
        <v>126</v>
      </c>
      <c r="V177" s="138" t="s">
        <v>3032</v>
      </c>
      <c r="W177" s="57" t="s">
        <v>3033</v>
      </c>
      <c r="X177" s="126" t="s">
        <v>2511</v>
      </c>
      <c r="Y177" s="126" t="s">
        <v>2511</v>
      </c>
      <c r="Z177" s="57" t="s">
        <v>2514</v>
      </c>
      <c r="AA177" s="57" t="s">
        <v>2515</v>
      </c>
      <c r="AB177" s="57" t="s">
        <v>2393</v>
      </c>
      <c r="AC177" s="57" t="s">
        <v>2516</v>
      </c>
      <c r="AD177" s="65" t="str">
        <f t="shared" ref="AD177:AD198" si="43">IF(OR($AQ177="",$AQ177=$F177),$U177,IF($AQ177=$G177,SUBSTITUTE(SUBSTITUTE($AQ177,"GPIO3_","GPIO_"),".0",""),IF($AQ177=$H177,$Q177,IF($AQ177=$I177,$R177,IF($AQ177=$J177,$S177,IF($AQ177=$K177,$T177,"INVALID"))))))</f>
        <v>EXTPERIPH1</v>
      </c>
      <c r="AE177" s="70"/>
      <c r="AF177" s="67" t="str">
        <f t="shared" ref="AF177:AF198" si="44">IF(AND(OR($AS177="Int PU",$AS177="Int PD"),OR(AND($AZ177&lt;&gt;"",$AZ177&lt;&gt;"0"),AND($BA177&lt;&gt;"",$BA177&lt;&gt;"0"))),"INVALID",IF(OR($AQ177=$F177,$AS177="Int PD"),"PULL_DOWN",IF(OR($AS177="Int PU",AND($AE177="YES",OR($AZ177="",$AZ177="0"),OR($BA177="",$BA177="0"),OR($AR177="Input",$AR177="Bidirectional"))),"PULL_UP","NORMAL")))</f>
        <v>NORMAL</v>
      </c>
      <c r="AG177" s="67" t="str">
        <f t="shared" ref="AG177:AG240" si="45">IF($AR177="Input", "TRISTATE", IF($AS177="Z","TRISTATE",IF($AQ177=$F177,"TRISTATE","NORMAL")))</f>
        <v>NORMAL</v>
      </c>
      <c r="AH177" s="67" t="str">
        <f t="shared" ref="AH177:AH198" si="46">IF(OR($AQ177=$F177,$AR177="Output"),"DISABLE","ENABLE")</f>
        <v>DISABLE</v>
      </c>
      <c r="AI177" s="71" t="str">
        <f t="shared" ref="AI177:AI243" si="47">IF($AQ177&lt;&gt;$G177,"N/A",IF($AS177="Drive 1", "1", IF($AS177="Drive 0", "0", "")))</f>
        <v>N/A</v>
      </c>
      <c r="AJ177" s="189" t="b">
        <v>1</v>
      </c>
      <c r="AK177" s="189" t="b">
        <v>1</v>
      </c>
      <c r="AL177" s="189" t="b">
        <v>1</v>
      </c>
      <c r="AM177" s="189" t="b">
        <v>1</v>
      </c>
      <c r="AN177" s="189" t="b">
        <v>1</v>
      </c>
      <c r="AO177" s="189" t="b">
        <v>1</v>
      </c>
      <c r="AP177" s="69" t="str">
        <f t="shared" ref="AP177:AP198" si="48">IF(AND($AJ177:$AO177), "VALID", "INVALID")</f>
        <v>VALID</v>
      </c>
      <c r="AQ177" s="165" t="s">
        <v>722</v>
      </c>
      <c r="AR177" s="2" t="s">
        <v>861</v>
      </c>
      <c r="AS177" s="193"/>
      <c r="AT177" s="72"/>
      <c r="AU177" s="72"/>
      <c r="AV177" s="72"/>
      <c r="AW177" s="72"/>
      <c r="AX177" s="193" t="s">
        <v>136</v>
      </c>
      <c r="AY177" s="72"/>
      <c r="AZ177" s="4"/>
      <c r="BA177" s="4"/>
      <c r="BB177" s="8"/>
      <c r="BC177" s="140"/>
      <c r="BD177" s="11" t="s">
        <v>5423</v>
      </c>
      <c r="BE177" s="314" t="s">
        <v>5612</v>
      </c>
    </row>
    <row r="178" spans="1:57" ht="12.95" customHeight="1">
      <c r="A178" s="247" t="s">
        <v>5613</v>
      </c>
      <c r="B178" s="251">
        <v>122</v>
      </c>
      <c r="C178" s="239" t="s">
        <v>723</v>
      </c>
      <c r="D178" s="239" t="s">
        <v>3034</v>
      </c>
      <c r="E178" s="58"/>
      <c r="F178" s="59" t="s">
        <v>774</v>
      </c>
      <c r="G178" s="191" t="s">
        <v>2459</v>
      </c>
      <c r="H178" s="192" t="s">
        <v>723</v>
      </c>
      <c r="I178" s="61" t="s">
        <v>2511</v>
      </c>
      <c r="J178" s="61" t="s">
        <v>2511</v>
      </c>
      <c r="K178" s="62" t="s">
        <v>2511</v>
      </c>
      <c r="L178" s="60" t="s">
        <v>2389</v>
      </c>
      <c r="M178" s="61" t="s">
        <v>2388</v>
      </c>
      <c r="N178" s="61" t="s">
        <v>2511</v>
      </c>
      <c r="O178" s="61" t="s">
        <v>2511</v>
      </c>
      <c r="P178" s="62" t="s">
        <v>2511</v>
      </c>
      <c r="Q178" s="7" t="s">
        <v>837</v>
      </c>
      <c r="R178" s="7" t="s">
        <v>126</v>
      </c>
      <c r="S178" s="58" t="s">
        <v>112</v>
      </c>
      <c r="T178" s="58" t="s">
        <v>113</v>
      </c>
      <c r="U178" s="63" t="s">
        <v>126</v>
      </c>
      <c r="V178" s="138" t="s">
        <v>3035</v>
      </c>
      <c r="W178" s="57" t="s">
        <v>3033</v>
      </c>
      <c r="X178" s="126" t="s">
        <v>2511</v>
      </c>
      <c r="Y178" s="126" t="s">
        <v>2511</v>
      </c>
      <c r="Z178" s="57" t="s">
        <v>2514</v>
      </c>
      <c r="AA178" s="57" t="s">
        <v>2515</v>
      </c>
      <c r="AB178" s="57" t="s">
        <v>2393</v>
      </c>
      <c r="AC178" s="57" t="s">
        <v>2516</v>
      </c>
      <c r="AD178" s="65" t="str">
        <f t="shared" si="43"/>
        <v>EXTPERIPH2</v>
      </c>
      <c r="AE178" s="70"/>
      <c r="AF178" s="67" t="str">
        <f t="shared" si="44"/>
        <v>NORMAL</v>
      </c>
      <c r="AG178" s="67" t="str">
        <f t="shared" si="45"/>
        <v>NORMAL</v>
      </c>
      <c r="AH178" s="67" t="str">
        <f t="shared" si="46"/>
        <v>DISABLE</v>
      </c>
      <c r="AI178" s="71" t="str">
        <f t="shared" si="47"/>
        <v>N/A</v>
      </c>
      <c r="AJ178" s="189" t="b">
        <v>1</v>
      </c>
      <c r="AK178" s="189" t="b">
        <v>1</v>
      </c>
      <c r="AL178" s="189" t="b">
        <v>1</v>
      </c>
      <c r="AM178" s="189" t="b">
        <v>1</v>
      </c>
      <c r="AN178" s="189" t="b">
        <v>1</v>
      </c>
      <c r="AO178" s="189" t="b">
        <v>1</v>
      </c>
      <c r="AP178" s="69" t="str">
        <f t="shared" si="48"/>
        <v>VALID</v>
      </c>
      <c r="AQ178" s="166" t="s">
        <v>723</v>
      </c>
      <c r="AR178" s="194" t="s">
        <v>861</v>
      </c>
      <c r="AS178" s="193"/>
      <c r="AT178" s="72"/>
      <c r="AU178" s="72"/>
      <c r="AV178" s="72"/>
      <c r="AW178" s="72"/>
      <c r="AX178" s="193" t="s">
        <v>136</v>
      </c>
      <c r="AY178" s="72"/>
      <c r="AZ178" s="193"/>
      <c r="BA178" s="193"/>
      <c r="BB178" s="8"/>
      <c r="BC178" s="140"/>
      <c r="BD178" s="11" t="s">
        <v>5613</v>
      </c>
      <c r="BE178" s="314" t="s">
        <v>5612</v>
      </c>
    </row>
    <row r="179" spans="1:57" ht="12.95" customHeight="1">
      <c r="A179" s="247" t="s">
        <v>15</v>
      </c>
      <c r="B179" s="251">
        <v>213</v>
      </c>
      <c r="C179" s="239" t="s">
        <v>15</v>
      </c>
      <c r="D179" s="239" t="s">
        <v>3036</v>
      </c>
      <c r="E179" s="58"/>
      <c r="F179" s="59" t="s">
        <v>135</v>
      </c>
      <c r="G179" s="191" t="s">
        <v>3037</v>
      </c>
      <c r="H179" s="192" t="s">
        <v>918</v>
      </c>
      <c r="I179" s="61" t="s">
        <v>2511</v>
      </c>
      <c r="J179" s="61" t="s">
        <v>2511</v>
      </c>
      <c r="K179" s="62" t="s">
        <v>2511</v>
      </c>
      <c r="L179" s="60" t="s">
        <v>2389</v>
      </c>
      <c r="M179" s="61" t="s">
        <v>2389</v>
      </c>
      <c r="N179" s="61" t="s">
        <v>2511</v>
      </c>
      <c r="O179" s="61" t="s">
        <v>2511</v>
      </c>
      <c r="P179" s="62" t="s">
        <v>2511</v>
      </c>
      <c r="Q179" s="7" t="s">
        <v>134</v>
      </c>
      <c r="R179" s="7" t="s">
        <v>126</v>
      </c>
      <c r="S179" s="58" t="s">
        <v>112</v>
      </c>
      <c r="T179" s="58" t="s">
        <v>113</v>
      </c>
      <c r="U179" s="63" t="s">
        <v>126</v>
      </c>
      <c r="V179" s="138" t="s">
        <v>3038</v>
      </c>
      <c r="W179" s="57" t="s">
        <v>3033</v>
      </c>
      <c r="X179" s="126" t="s">
        <v>2511</v>
      </c>
      <c r="Y179" s="126" t="s">
        <v>2511</v>
      </c>
      <c r="Z179" s="57" t="s">
        <v>2817</v>
      </c>
      <c r="AA179" s="57" t="s">
        <v>2818</v>
      </c>
      <c r="AB179" s="57" t="s">
        <v>2393</v>
      </c>
      <c r="AC179" s="57" t="s">
        <v>2631</v>
      </c>
      <c r="AD179" s="65" t="str">
        <f t="shared" si="43"/>
        <v>I2C3</v>
      </c>
      <c r="AE179" s="70"/>
      <c r="AF179" s="67" t="str">
        <f t="shared" si="44"/>
        <v>NORMAL</v>
      </c>
      <c r="AG179" s="67" t="str">
        <f t="shared" si="45"/>
        <v>NORMAL</v>
      </c>
      <c r="AH179" s="67" t="str">
        <f t="shared" si="46"/>
        <v>ENABLE</v>
      </c>
      <c r="AI179" s="71" t="str">
        <f t="shared" si="47"/>
        <v>N/A</v>
      </c>
      <c r="AJ179" s="189" t="b">
        <v>1</v>
      </c>
      <c r="AK179" s="189" t="b">
        <v>1</v>
      </c>
      <c r="AL179" s="189" t="b">
        <v>1</v>
      </c>
      <c r="AM179" s="189" t="b">
        <v>1</v>
      </c>
      <c r="AN179" s="189" t="b">
        <v>1</v>
      </c>
      <c r="AO179" s="189" t="b">
        <v>1</v>
      </c>
      <c r="AP179" s="69" t="str">
        <f t="shared" si="48"/>
        <v>VALID</v>
      </c>
      <c r="AQ179" s="166" t="s">
        <v>918</v>
      </c>
      <c r="AR179" s="194" t="s">
        <v>860</v>
      </c>
      <c r="AS179" s="193"/>
      <c r="AT179" s="72"/>
      <c r="AU179" s="72"/>
      <c r="AV179" s="72"/>
      <c r="AW179" s="193" t="s">
        <v>872</v>
      </c>
      <c r="AX179" s="193" t="s">
        <v>136</v>
      </c>
      <c r="AY179" s="72"/>
      <c r="AZ179" s="193" t="s">
        <v>5544</v>
      </c>
      <c r="BA179" s="193"/>
      <c r="BB179" s="8"/>
      <c r="BC179" s="140"/>
      <c r="BD179" s="11" t="s">
        <v>5614</v>
      </c>
      <c r="BE179" s="339" t="s">
        <v>5615</v>
      </c>
    </row>
    <row r="180" spans="1:57" ht="12.95" customHeight="1">
      <c r="A180" s="247" t="s">
        <v>16</v>
      </c>
      <c r="B180" s="251">
        <v>215</v>
      </c>
      <c r="C180" s="239" t="s">
        <v>16</v>
      </c>
      <c r="D180" s="239" t="s">
        <v>3039</v>
      </c>
      <c r="E180" s="58"/>
      <c r="F180" s="59" t="s">
        <v>138</v>
      </c>
      <c r="G180" s="191" t="s">
        <v>3040</v>
      </c>
      <c r="H180" s="192" t="s">
        <v>919</v>
      </c>
      <c r="I180" s="61" t="s">
        <v>2511</v>
      </c>
      <c r="J180" s="61" t="s">
        <v>2511</v>
      </c>
      <c r="K180" s="62" t="s">
        <v>2511</v>
      </c>
      <c r="L180" s="60" t="s">
        <v>2389</v>
      </c>
      <c r="M180" s="61" t="s">
        <v>2389</v>
      </c>
      <c r="N180" s="61" t="s">
        <v>2511</v>
      </c>
      <c r="O180" s="61" t="s">
        <v>2511</v>
      </c>
      <c r="P180" s="62" t="s">
        <v>2511</v>
      </c>
      <c r="Q180" s="7" t="s">
        <v>134</v>
      </c>
      <c r="R180" s="7" t="s">
        <v>126</v>
      </c>
      <c r="S180" s="58" t="s">
        <v>112</v>
      </c>
      <c r="T180" s="58" t="s">
        <v>113</v>
      </c>
      <c r="U180" s="63" t="s">
        <v>126</v>
      </c>
      <c r="V180" s="138" t="s">
        <v>3041</v>
      </c>
      <c r="W180" s="57" t="s">
        <v>3033</v>
      </c>
      <c r="X180" s="126" t="s">
        <v>3042</v>
      </c>
      <c r="Y180" s="126" t="s">
        <v>2511</v>
      </c>
      <c r="Z180" s="57" t="s">
        <v>2817</v>
      </c>
      <c r="AA180" s="57" t="s">
        <v>2818</v>
      </c>
      <c r="AB180" s="57" t="s">
        <v>2393</v>
      </c>
      <c r="AC180" s="57" t="s">
        <v>2631</v>
      </c>
      <c r="AD180" s="65" t="str">
        <f t="shared" si="43"/>
        <v>I2C3</v>
      </c>
      <c r="AE180" s="70"/>
      <c r="AF180" s="67" t="str">
        <f t="shared" si="44"/>
        <v>NORMAL</v>
      </c>
      <c r="AG180" s="67" t="str">
        <f t="shared" si="45"/>
        <v>NORMAL</v>
      </c>
      <c r="AH180" s="67" t="str">
        <f t="shared" si="46"/>
        <v>ENABLE</v>
      </c>
      <c r="AI180" s="71" t="str">
        <f t="shared" si="47"/>
        <v>N/A</v>
      </c>
      <c r="AJ180" s="189" t="b">
        <v>1</v>
      </c>
      <c r="AK180" s="189" t="b">
        <v>1</v>
      </c>
      <c r="AL180" s="189" t="b">
        <v>1</v>
      </c>
      <c r="AM180" s="189" t="b">
        <v>1</v>
      </c>
      <c r="AN180" s="189" t="b">
        <v>1</v>
      </c>
      <c r="AO180" s="189" t="b">
        <v>1</v>
      </c>
      <c r="AP180" s="69" t="str">
        <f t="shared" si="48"/>
        <v>VALID</v>
      </c>
      <c r="AQ180" s="166" t="s">
        <v>919</v>
      </c>
      <c r="AR180" s="194" t="s">
        <v>860</v>
      </c>
      <c r="AS180" s="193"/>
      <c r="AT180" s="193" t="s">
        <v>117</v>
      </c>
      <c r="AU180" s="72"/>
      <c r="AV180" s="72"/>
      <c r="AW180" s="193" t="s">
        <v>872</v>
      </c>
      <c r="AX180" s="193" t="s">
        <v>136</v>
      </c>
      <c r="AY180" s="72"/>
      <c r="AZ180" s="193" t="s">
        <v>5544</v>
      </c>
      <c r="BA180" s="193"/>
      <c r="BB180" s="8"/>
      <c r="BC180" s="140"/>
      <c r="BD180" s="11" t="s">
        <v>5616</v>
      </c>
      <c r="BE180" s="339"/>
    </row>
    <row r="181" spans="1:57" ht="15">
      <c r="A181" s="247" t="s">
        <v>2508</v>
      </c>
      <c r="B181" s="251">
        <v>114</v>
      </c>
      <c r="C181" s="239" t="s">
        <v>1020</v>
      </c>
      <c r="D181" s="239" t="s">
        <v>3043</v>
      </c>
      <c r="E181" s="58"/>
      <c r="F181" s="59" t="s">
        <v>1838</v>
      </c>
      <c r="G181" s="191" t="s">
        <v>953</v>
      </c>
      <c r="H181" s="192" t="s">
        <v>2511</v>
      </c>
      <c r="I181" s="61" t="s">
        <v>2511</v>
      </c>
      <c r="J181" s="61" t="s">
        <v>2511</v>
      </c>
      <c r="K181" s="62" t="s">
        <v>2511</v>
      </c>
      <c r="L181" s="60" t="s">
        <v>2389</v>
      </c>
      <c r="M181" s="61" t="s">
        <v>2511</v>
      </c>
      <c r="N181" s="61" t="s">
        <v>2511</v>
      </c>
      <c r="O181" s="61" t="s">
        <v>2511</v>
      </c>
      <c r="P181" s="62" t="s">
        <v>2511</v>
      </c>
      <c r="Q181" s="7" t="s">
        <v>552</v>
      </c>
      <c r="R181" s="7" t="s">
        <v>126</v>
      </c>
      <c r="S181" s="58" t="s">
        <v>112</v>
      </c>
      <c r="T181" s="58" t="s">
        <v>113</v>
      </c>
      <c r="U181" s="63" t="s">
        <v>552</v>
      </c>
      <c r="V181" s="138" t="s">
        <v>3044</v>
      </c>
      <c r="W181" s="57" t="s">
        <v>3033</v>
      </c>
      <c r="X181" s="126" t="s">
        <v>3045</v>
      </c>
      <c r="Y181" s="126" t="s">
        <v>2511</v>
      </c>
      <c r="Z181" s="57" t="s">
        <v>2514</v>
      </c>
      <c r="AA181" s="57" t="s">
        <v>2753</v>
      </c>
      <c r="AB181" s="57" t="s">
        <v>2393</v>
      </c>
      <c r="AC181" s="57" t="s">
        <v>2516</v>
      </c>
      <c r="AD181" s="65" t="str">
        <f t="shared" si="43"/>
        <v>GPIO_PP4</v>
      </c>
      <c r="AE181" s="70"/>
      <c r="AF181" s="67" t="str">
        <f t="shared" si="44"/>
        <v>NORMAL</v>
      </c>
      <c r="AG181" s="67" t="str">
        <f t="shared" si="45"/>
        <v>NORMAL</v>
      </c>
      <c r="AH181" s="67" t="str">
        <f t="shared" si="46"/>
        <v>DISABLE</v>
      </c>
      <c r="AI181" s="71" t="str">
        <f t="shared" si="47"/>
        <v>0</v>
      </c>
      <c r="AJ181" s="189" t="b">
        <v>1</v>
      </c>
      <c r="AK181" s="189" t="b">
        <v>1</v>
      </c>
      <c r="AL181" s="189" t="b">
        <v>1</v>
      </c>
      <c r="AM181" s="189" t="b">
        <v>1</v>
      </c>
      <c r="AN181" s="189" t="b">
        <v>1</v>
      </c>
      <c r="AO181" s="189" t="b">
        <v>1</v>
      </c>
      <c r="AP181" s="69" t="str">
        <f t="shared" si="48"/>
        <v>VALID</v>
      </c>
      <c r="AQ181" s="166" t="s">
        <v>953</v>
      </c>
      <c r="AR181" s="194" t="s">
        <v>861</v>
      </c>
      <c r="AS181" s="193" t="s">
        <v>874</v>
      </c>
      <c r="AT181" s="193" t="s">
        <v>117</v>
      </c>
      <c r="AU181" s="72"/>
      <c r="AV181" s="72"/>
      <c r="AW181" s="72"/>
      <c r="AX181" s="193" t="s">
        <v>136</v>
      </c>
      <c r="AY181" s="72"/>
      <c r="AZ181" s="193"/>
      <c r="BA181" s="193"/>
      <c r="BB181" s="8"/>
      <c r="BC181" s="140"/>
      <c r="BD181" s="11" t="s">
        <v>2508</v>
      </c>
      <c r="BE181" s="311" t="s">
        <v>5617</v>
      </c>
    </row>
    <row r="182" spans="1:57" ht="12.75" customHeight="1">
      <c r="A182" s="247" t="s">
        <v>5618</v>
      </c>
      <c r="B182" s="253">
        <v>120</v>
      </c>
      <c r="C182" s="285" t="s">
        <v>1021</v>
      </c>
      <c r="D182" s="239" t="s">
        <v>3046</v>
      </c>
      <c r="E182" s="58"/>
      <c r="F182" s="59" t="s">
        <v>1839</v>
      </c>
      <c r="G182" s="191" t="s">
        <v>954</v>
      </c>
      <c r="H182" s="192" t="s">
        <v>2511</v>
      </c>
      <c r="I182" s="61"/>
      <c r="J182" s="61" t="s">
        <v>2511</v>
      </c>
      <c r="K182" s="62" t="s">
        <v>2511</v>
      </c>
      <c r="L182" s="60" t="s">
        <v>2389</v>
      </c>
      <c r="M182" s="61" t="s">
        <v>2511</v>
      </c>
      <c r="N182" s="61" t="s">
        <v>2388</v>
      </c>
      <c r="O182" s="61" t="s">
        <v>2511</v>
      </c>
      <c r="P182" s="62" t="s">
        <v>2511</v>
      </c>
      <c r="Q182" s="7" t="s">
        <v>552</v>
      </c>
      <c r="R182" s="7" t="s">
        <v>1854</v>
      </c>
      <c r="S182" s="58" t="s">
        <v>112</v>
      </c>
      <c r="T182" s="58" t="s">
        <v>113</v>
      </c>
      <c r="U182" s="63" t="s">
        <v>552</v>
      </c>
      <c r="V182" s="138" t="s">
        <v>3047</v>
      </c>
      <c r="W182" s="57" t="s">
        <v>3033</v>
      </c>
      <c r="X182" s="126" t="s">
        <v>3048</v>
      </c>
      <c r="Y182" s="126" t="s">
        <v>2511</v>
      </c>
      <c r="Z182" s="57" t="s">
        <v>2514</v>
      </c>
      <c r="AA182" s="57" t="s">
        <v>2753</v>
      </c>
      <c r="AB182" s="57" t="s">
        <v>2393</v>
      </c>
      <c r="AC182" s="57" t="s">
        <v>2516</v>
      </c>
      <c r="AD182" s="65" t="str">
        <f t="shared" si="43"/>
        <v>GPIO_PP5</v>
      </c>
      <c r="AE182" s="70"/>
      <c r="AF182" s="67" t="str">
        <f t="shared" si="44"/>
        <v>NORMAL</v>
      </c>
      <c r="AG182" s="67" t="str">
        <f t="shared" si="45"/>
        <v>NORMAL</v>
      </c>
      <c r="AH182" s="67" t="str">
        <f t="shared" si="46"/>
        <v>DISABLE</v>
      </c>
      <c r="AI182" s="71" t="str">
        <f t="shared" si="47"/>
        <v>0</v>
      </c>
      <c r="AJ182" s="189" t="b">
        <v>1</v>
      </c>
      <c r="AK182" s="189" t="b">
        <v>1</v>
      </c>
      <c r="AL182" s="189" t="b">
        <v>1</v>
      </c>
      <c r="AM182" s="189" t="b">
        <v>1</v>
      </c>
      <c r="AN182" s="189" t="b">
        <v>1</v>
      </c>
      <c r="AO182" s="189" t="b">
        <v>1</v>
      </c>
      <c r="AP182" s="69" t="str">
        <f t="shared" si="48"/>
        <v>VALID</v>
      </c>
      <c r="AQ182" s="166" t="s">
        <v>954</v>
      </c>
      <c r="AR182" s="194" t="s">
        <v>861</v>
      </c>
      <c r="AS182" s="193" t="s">
        <v>874</v>
      </c>
      <c r="AT182" s="193" t="s">
        <v>117</v>
      </c>
      <c r="AU182" s="72"/>
      <c r="AV182" s="72"/>
      <c r="AW182" s="72"/>
      <c r="AX182" s="193" t="s">
        <v>136</v>
      </c>
      <c r="AY182" s="72"/>
      <c r="AZ182" s="193"/>
      <c r="BA182" s="193"/>
      <c r="BB182" s="8"/>
      <c r="BC182" s="140"/>
      <c r="BD182" s="11" t="s">
        <v>5618</v>
      </c>
      <c r="BE182" s="311" t="s">
        <v>5617</v>
      </c>
    </row>
    <row r="183" spans="1:57" ht="12.95" hidden="1" customHeight="1">
      <c r="A183" s="248" t="e">
        <v>#N/A</v>
      </c>
      <c r="B183" s="252" t="e">
        <v>#N/A</v>
      </c>
      <c r="C183" s="263" t="s">
        <v>1022</v>
      </c>
      <c r="D183" s="239" t="s">
        <v>3049</v>
      </c>
      <c r="E183" s="58"/>
      <c r="F183" s="59" t="s">
        <v>1840</v>
      </c>
      <c r="G183" s="191" t="s">
        <v>955</v>
      </c>
      <c r="H183" s="192" t="s">
        <v>2511</v>
      </c>
      <c r="I183" s="61" t="s">
        <v>2511</v>
      </c>
      <c r="J183" s="61" t="s">
        <v>2511</v>
      </c>
      <c r="K183" s="62" t="s">
        <v>2511</v>
      </c>
      <c r="L183" s="60" t="s">
        <v>2389</v>
      </c>
      <c r="M183" s="61" t="s">
        <v>2511</v>
      </c>
      <c r="N183" s="61" t="s">
        <v>2511</v>
      </c>
      <c r="O183" s="61" t="s">
        <v>2511</v>
      </c>
      <c r="P183" s="62" t="s">
        <v>2511</v>
      </c>
      <c r="Q183" s="7" t="s">
        <v>552</v>
      </c>
      <c r="R183" s="7" t="s">
        <v>126</v>
      </c>
      <c r="S183" s="58" t="s">
        <v>112</v>
      </c>
      <c r="T183" s="58" t="s">
        <v>113</v>
      </c>
      <c r="U183" s="63" t="s">
        <v>552</v>
      </c>
      <c r="V183" s="138" t="s">
        <v>3050</v>
      </c>
      <c r="W183" s="57" t="s">
        <v>3033</v>
      </c>
      <c r="X183" s="126" t="s">
        <v>3051</v>
      </c>
      <c r="Y183" s="126" t="s">
        <v>2511</v>
      </c>
      <c r="Z183" s="57" t="s">
        <v>2514</v>
      </c>
      <c r="AA183" s="57" t="s">
        <v>2753</v>
      </c>
      <c r="AB183" s="57" t="s">
        <v>2393</v>
      </c>
      <c r="AC183" s="57" t="s">
        <v>2516</v>
      </c>
      <c r="AD183" s="65" t="str">
        <f t="shared" si="43"/>
        <v>RSVD0</v>
      </c>
      <c r="AE183" s="70"/>
      <c r="AF183" s="67" t="str">
        <f t="shared" si="44"/>
        <v>PULL_DOWN</v>
      </c>
      <c r="AG183" s="67" t="str">
        <f t="shared" si="45"/>
        <v>TRISTATE</v>
      </c>
      <c r="AH183" s="67" t="str">
        <f t="shared" si="46"/>
        <v>DISABLE</v>
      </c>
      <c r="AI183" s="71" t="str">
        <f t="shared" si="47"/>
        <v>N/A</v>
      </c>
      <c r="AJ183" s="189" t="b">
        <v>1</v>
      </c>
      <c r="AK183" s="189" t="b">
        <v>1</v>
      </c>
      <c r="AL183" s="189" t="b">
        <v>1</v>
      </c>
      <c r="AM183" s="189" t="b">
        <v>1</v>
      </c>
      <c r="AN183" s="189" t="b">
        <v>1</v>
      </c>
      <c r="AO183" s="189" t="b">
        <v>1</v>
      </c>
      <c r="AP183" s="69" t="str">
        <f t="shared" si="48"/>
        <v>VALID</v>
      </c>
      <c r="AQ183" s="166" t="s">
        <v>1840</v>
      </c>
      <c r="AR183" s="194" t="s">
        <v>79</v>
      </c>
      <c r="AS183" s="193"/>
      <c r="AT183" s="193" t="s">
        <v>117</v>
      </c>
      <c r="AU183" s="72"/>
      <c r="AV183" s="72"/>
      <c r="AW183" s="72"/>
      <c r="AX183" s="193" t="s">
        <v>136</v>
      </c>
      <c r="AY183" s="72"/>
      <c r="AZ183" s="193"/>
      <c r="BA183" s="193"/>
      <c r="BB183" s="8"/>
      <c r="BC183" s="140"/>
      <c r="BD183" s="147" t="s">
        <v>83</v>
      </c>
      <c r="BE183" s="147" t="s">
        <v>83</v>
      </c>
    </row>
    <row r="184" spans="1:57" ht="12.95" hidden="1" customHeight="1">
      <c r="A184" s="248" t="e">
        <v>#N/A</v>
      </c>
      <c r="B184" s="252" t="e">
        <v>#N/A</v>
      </c>
      <c r="C184" s="263" t="s">
        <v>1023</v>
      </c>
      <c r="D184" s="239" t="s">
        <v>3052</v>
      </c>
      <c r="E184" s="58"/>
      <c r="F184" s="59" t="s">
        <v>1841</v>
      </c>
      <c r="G184" s="191" t="s">
        <v>2182</v>
      </c>
      <c r="H184" s="192" t="s">
        <v>2511</v>
      </c>
      <c r="I184" s="61"/>
      <c r="J184" s="61" t="s">
        <v>2506</v>
      </c>
      <c r="K184" s="62" t="s">
        <v>2511</v>
      </c>
      <c r="L184" s="60" t="s">
        <v>2389</v>
      </c>
      <c r="M184" s="61" t="s">
        <v>2511</v>
      </c>
      <c r="N184" s="61" t="s">
        <v>2388</v>
      </c>
      <c r="O184" s="61" t="s">
        <v>2523</v>
      </c>
      <c r="P184" s="62" t="s">
        <v>2511</v>
      </c>
      <c r="Q184" s="190" t="s">
        <v>552</v>
      </c>
      <c r="R184" s="190" t="s">
        <v>126</v>
      </c>
      <c r="S184" s="190" t="s">
        <v>143</v>
      </c>
      <c r="T184" s="190" t="s">
        <v>113</v>
      </c>
      <c r="U184" s="190" t="s">
        <v>552</v>
      </c>
      <c r="V184" s="138" t="s">
        <v>3053</v>
      </c>
      <c r="W184" s="57" t="s">
        <v>3033</v>
      </c>
      <c r="X184" s="126" t="s">
        <v>2511</v>
      </c>
      <c r="Y184" s="126" t="s">
        <v>2511</v>
      </c>
      <c r="Z184" s="57" t="s">
        <v>2817</v>
      </c>
      <c r="AA184" s="57" t="s">
        <v>2859</v>
      </c>
      <c r="AB184" s="57" t="s">
        <v>2393</v>
      </c>
      <c r="AC184" s="57" t="s">
        <v>2516</v>
      </c>
      <c r="AD184" s="65" t="str">
        <f t="shared" si="43"/>
        <v>SOC</v>
      </c>
      <c r="AE184" s="70"/>
      <c r="AF184" s="67" t="str">
        <f t="shared" si="44"/>
        <v>PULL_UP</v>
      </c>
      <c r="AG184" s="67" t="str">
        <f t="shared" si="45"/>
        <v>TRISTATE</v>
      </c>
      <c r="AH184" s="67" t="str">
        <f t="shared" si="46"/>
        <v>ENABLE</v>
      </c>
      <c r="AI184" s="71" t="str">
        <f t="shared" si="47"/>
        <v>N/A</v>
      </c>
      <c r="AJ184" s="189" t="b">
        <v>1</v>
      </c>
      <c r="AK184" s="189" t="b">
        <v>1</v>
      </c>
      <c r="AL184" s="189" t="b">
        <v>1</v>
      </c>
      <c r="AM184" s="189" t="b">
        <v>1</v>
      </c>
      <c r="AN184" s="189" t="b">
        <v>1</v>
      </c>
      <c r="AO184" s="189" t="b">
        <v>1</v>
      </c>
      <c r="AP184" s="69" t="str">
        <f t="shared" si="48"/>
        <v>VALID</v>
      </c>
      <c r="AQ184" s="166" t="s">
        <v>2506</v>
      </c>
      <c r="AR184" s="194" t="s">
        <v>862</v>
      </c>
      <c r="AS184" s="193" t="s">
        <v>873</v>
      </c>
      <c r="AT184" s="72"/>
      <c r="AU184" s="72"/>
      <c r="AV184" s="72"/>
      <c r="AW184" s="193" t="s">
        <v>136</v>
      </c>
      <c r="AX184" s="193" t="s">
        <v>136</v>
      </c>
      <c r="AY184" s="72"/>
      <c r="AZ184" s="193"/>
      <c r="BA184" s="193"/>
      <c r="BB184" s="8"/>
      <c r="BC184" s="140"/>
      <c r="BD184" s="11" t="s">
        <v>5619</v>
      </c>
      <c r="BE184" s="311" t="s">
        <v>5620</v>
      </c>
    </row>
    <row r="185" spans="1:57" ht="12.95" hidden="1" customHeight="1">
      <c r="A185" s="248" t="e">
        <v>#N/A</v>
      </c>
      <c r="B185" s="252" t="e">
        <v>#N/A</v>
      </c>
      <c r="C185" s="263" t="s">
        <v>1024</v>
      </c>
      <c r="D185" s="239" t="s">
        <v>3054</v>
      </c>
      <c r="E185" s="58"/>
      <c r="F185" s="59" t="s">
        <v>1842</v>
      </c>
      <c r="G185" s="191" t="s">
        <v>2183</v>
      </c>
      <c r="H185" s="192" t="s">
        <v>2511</v>
      </c>
      <c r="I185" s="61" t="s">
        <v>2511</v>
      </c>
      <c r="J185" s="61" t="s">
        <v>2511</v>
      </c>
      <c r="K185" s="62" t="s">
        <v>2511</v>
      </c>
      <c r="L185" s="60" t="s">
        <v>2389</v>
      </c>
      <c r="M185" s="61" t="s">
        <v>2511</v>
      </c>
      <c r="N185" s="61" t="s">
        <v>2511</v>
      </c>
      <c r="O185" s="61" t="s">
        <v>2511</v>
      </c>
      <c r="P185" s="62" t="s">
        <v>2511</v>
      </c>
      <c r="Q185" s="190" t="s">
        <v>552</v>
      </c>
      <c r="R185" s="190" t="s">
        <v>126</v>
      </c>
      <c r="S185" s="190" t="s">
        <v>112</v>
      </c>
      <c r="T185" s="190" t="s">
        <v>113</v>
      </c>
      <c r="U185" s="190" t="s">
        <v>552</v>
      </c>
      <c r="V185" s="138" t="s">
        <v>3055</v>
      </c>
      <c r="W185" s="57" t="s">
        <v>3033</v>
      </c>
      <c r="X185" s="126" t="s">
        <v>3056</v>
      </c>
      <c r="Y185" s="126" t="s">
        <v>2511</v>
      </c>
      <c r="Z185" s="57" t="s">
        <v>2514</v>
      </c>
      <c r="AA185" s="57" t="s">
        <v>2753</v>
      </c>
      <c r="AB185" s="57" t="s">
        <v>2393</v>
      </c>
      <c r="AC185" s="57" t="s">
        <v>2516</v>
      </c>
      <c r="AD185" s="65" t="str">
        <f t="shared" si="43"/>
        <v>RSVD0</v>
      </c>
      <c r="AE185" s="70"/>
      <c r="AF185" s="67" t="str">
        <f t="shared" si="44"/>
        <v>PULL_DOWN</v>
      </c>
      <c r="AG185" s="67" t="str">
        <f t="shared" si="45"/>
        <v>TRISTATE</v>
      </c>
      <c r="AH185" s="67" t="str">
        <f t="shared" si="46"/>
        <v>DISABLE</v>
      </c>
      <c r="AI185" s="71" t="str">
        <f t="shared" si="47"/>
        <v>N/A</v>
      </c>
      <c r="AJ185" s="189" t="b">
        <v>1</v>
      </c>
      <c r="AK185" s="189" t="b">
        <v>1</v>
      </c>
      <c r="AL185" s="189" t="b">
        <v>1</v>
      </c>
      <c r="AM185" s="189" t="b">
        <v>1</v>
      </c>
      <c r="AN185" s="189" t="b">
        <v>1</v>
      </c>
      <c r="AO185" s="189" t="b">
        <v>1</v>
      </c>
      <c r="AP185" s="69" t="str">
        <f t="shared" si="48"/>
        <v>VALID</v>
      </c>
      <c r="AQ185" s="166" t="s">
        <v>1842</v>
      </c>
      <c r="AR185" s="194" t="s">
        <v>79</v>
      </c>
      <c r="AS185" s="193"/>
      <c r="AT185" s="193" t="s">
        <v>117</v>
      </c>
      <c r="AU185" s="72"/>
      <c r="AV185" s="72"/>
      <c r="AW185" s="72"/>
      <c r="AX185" s="193" t="s">
        <v>136</v>
      </c>
      <c r="AY185" s="72"/>
      <c r="AZ185" s="193"/>
      <c r="BA185" s="193"/>
      <c r="BB185" s="8"/>
      <c r="BC185" s="140"/>
      <c r="BD185" s="147" t="s">
        <v>83</v>
      </c>
      <c r="BE185" s="147" t="s">
        <v>83</v>
      </c>
    </row>
    <row r="186" spans="1:57" s="301" customFormat="1" ht="12.95" customHeight="1">
      <c r="A186" s="250" t="s">
        <v>2990</v>
      </c>
      <c r="B186" s="253">
        <v>212</v>
      </c>
      <c r="C186" s="285" t="s">
        <v>1025</v>
      </c>
      <c r="D186" s="285" t="s">
        <v>3057</v>
      </c>
      <c r="E186" s="7"/>
      <c r="F186" s="190" t="s">
        <v>1843</v>
      </c>
      <c r="G186" s="286" t="s">
        <v>2184</v>
      </c>
      <c r="H186" s="287" t="s">
        <v>2511</v>
      </c>
      <c r="I186" s="288" t="s">
        <v>2511</v>
      </c>
      <c r="J186" s="288" t="s">
        <v>2511</v>
      </c>
      <c r="K186" s="289" t="s">
        <v>2511</v>
      </c>
      <c r="L186" s="290" t="s">
        <v>2389</v>
      </c>
      <c r="M186" s="288" t="s">
        <v>2511</v>
      </c>
      <c r="N186" s="288" t="s">
        <v>2511</v>
      </c>
      <c r="O186" s="288" t="s">
        <v>2511</v>
      </c>
      <c r="P186" s="289" t="s">
        <v>2511</v>
      </c>
      <c r="Q186" s="7" t="s">
        <v>552</v>
      </c>
      <c r="R186" s="7" t="s">
        <v>126</v>
      </c>
      <c r="S186" s="7" t="s">
        <v>112</v>
      </c>
      <c r="T186" s="7" t="s">
        <v>113</v>
      </c>
      <c r="U186" s="291" t="s">
        <v>552</v>
      </c>
      <c r="V186" s="292" t="s">
        <v>3058</v>
      </c>
      <c r="W186" s="293" t="s">
        <v>3033</v>
      </c>
      <c r="X186" s="294" t="s">
        <v>3059</v>
      </c>
      <c r="Y186" s="294" t="s">
        <v>2511</v>
      </c>
      <c r="Z186" s="293" t="s">
        <v>2514</v>
      </c>
      <c r="AA186" s="293" t="s">
        <v>2753</v>
      </c>
      <c r="AB186" s="293" t="s">
        <v>2393</v>
      </c>
      <c r="AC186" s="293" t="s">
        <v>2516</v>
      </c>
      <c r="AD186" s="295" t="str">
        <f t="shared" si="43"/>
        <v>GPIO_PQ1</v>
      </c>
      <c r="AE186" s="202"/>
      <c r="AF186" s="202" t="str">
        <f t="shared" si="44"/>
        <v>PULL_DOWN</v>
      </c>
      <c r="AG186" s="202" t="str">
        <f t="shared" si="45"/>
        <v>TRISTATE</v>
      </c>
      <c r="AH186" s="202" t="str">
        <f t="shared" si="46"/>
        <v>ENABLE</v>
      </c>
      <c r="AI186" s="296" t="str">
        <f t="shared" si="47"/>
        <v/>
      </c>
      <c r="AJ186" s="297" t="b">
        <v>1</v>
      </c>
      <c r="AK186" s="297" t="b">
        <v>1</v>
      </c>
      <c r="AL186" s="297" t="b">
        <v>1</v>
      </c>
      <c r="AM186" s="297" t="b">
        <v>1</v>
      </c>
      <c r="AN186" s="297" t="b">
        <v>1</v>
      </c>
      <c r="AO186" s="297" t="b">
        <v>1</v>
      </c>
      <c r="AP186" s="298" t="str">
        <f t="shared" si="48"/>
        <v>VALID</v>
      </c>
      <c r="AQ186" s="167" t="s">
        <v>2184</v>
      </c>
      <c r="AR186" s="194" t="s">
        <v>862</v>
      </c>
      <c r="AS186" s="193" t="s">
        <v>875</v>
      </c>
      <c r="AT186" s="193" t="s">
        <v>863</v>
      </c>
      <c r="AU186" s="188"/>
      <c r="AV186" s="188"/>
      <c r="AW186" s="188"/>
      <c r="AX186" s="193" t="s">
        <v>136</v>
      </c>
      <c r="AY186" s="188"/>
      <c r="AZ186" s="193"/>
      <c r="BA186" s="193"/>
      <c r="BB186" s="8"/>
      <c r="BC186" s="188"/>
      <c r="BD186" s="11" t="s">
        <v>2990</v>
      </c>
      <c r="BE186" s="322" t="s">
        <v>5621</v>
      </c>
    </row>
    <row r="187" spans="1:57" ht="12.95" customHeight="1">
      <c r="A187" s="247" t="s">
        <v>2984</v>
      </c>
      <c r="B187" s="251">
        <v>208</v>
      </c>
      <c r="C187" s="239" t="s">
        <v>1026</v>
      </c>
      <c r="D187" s="239" t="s">
        <v>3060</v>
      </c>
      <c r="E187" s="58"/>
      <c r="F187" s="59" t="s">
        <v>1844</v>
      </c>
      <c r="G187" s="191" t="s">
        <v>2460</v>
      </c>
      <c r="H187" s="192" t="s">
        <v>2511</v>
      </c>
      <c r="I187" s="61" t="s">
        <v>2185</v>
      </c>
      <c r="J187" s="61" t="s">
        <v>2511</v>
      </c>
      <c r="K187" s="62" t="s">
        <v>2511</v>
      </c>
      <c r="L187" s="60" t="s">
        <v>2389</v>
      </c>
      <c r="M187" s="61" t="s">
        <v>2511</v>
      </c>
      <c r="N187" s="61" t="s">
        <v>2523</v>
      </c>
      <c r="O187" s="61" t="s">
        <v>2511</v>
      </c>
      <c r="P187" s="62" t="s">
        <v>2511</v>
      </c>
      <c r="Q187" s="7" t="s">
        <v>552</v>
      </c>
      <c r="R187" s="7" t="s">
        <v>844</v>
      </c>
      <c r="S187" s="58" t="s">
        <v>112</v>
      </c>
      <c r="T187" s="58" t="s">
        <v>113</v>
      </c>
      <c r="U187" s="63" t="s">
        <v>552</v>
      </c>
      <c r="V187" s="138" t="s">
        <v>3061</v>
      </c>
      <c r="W187" s="57" t="s">
        <v>3033</v>
      </c>
      <c r="X187" s="126" t="s">
        <v>3062</v>
      </c>
      <c r="Y187" s="126" t="s">
        <v>2511</v>
      </c>
      <c r="Z187" s="57" t="s">
        <v>2514</v>
      </c>
      <c r="AA187" s="57" t="s">
        <v>2753</v>
      </c>
      <c r="AB187" s="57" t="s">
        <v>2393</v>
      </c>
      <c r="AC187" s="57" t="s">
        <v>2516</v>
      </c>
      <c r="AD187" s="65" t="str">
        <f t="shared" si="43"/>
        <v>NV</v>
      </c>
      <c r="AE187" s="70"/>
      <c r="AF187" s="67" t="str">
        <f t="shared" si="44"/>
        <v>PULL_UP</v>
      </c>
      <c r="AG187" s="67" t="str">
        <f t="shared" si="45"/>
        <v>TRISTATE</v>
      </c>
      <c r="AH187" s="67" t="str">
        <f t="shared" si="46"/>
        <v>ENABLE</v>
      </c>
      <c r="AI187" s="71" t="str">
        <f t="shared" si="47"/>
        <v>N/A</v>
      </c>
      <c r="AJ187" s="189" t="b">
        <v>1</v>
      </c>
      <c r="AK187" s="189" t="b">
        <v>1</v>
      </c>
      <c r="AL187" s="189" t="b">
        <v>1</v>
      </c>
      <c r="AM187" s="189" t="b">
        <v>1</v>
      </c>
      <c r="AN187" s="189" t="b">
        <v>1</v>
      </c>
      <c r="AO187" s="189" t="b">
        <v>1</v>
      </c>
      <c r="AP187" s="69" t="str">
        <f t="shared" si="48"/>
        <v>VALID</v>
      </c>
      <c r="AQ187" s="166" t="s">
        <v>2185</v>
      </c>
      <c r="AR187" s="194" t="s">
        <v>862</v>
      </c>
      <c r="AS187" s="193" t="s">
        <v>873</v>
      </c>
      <c r="AT187" s="193" t="s">
        <v>117</v>
      </c>
      <c r="AU187" s="72"/>
      <c r="AV187" s="72"/>
      <c r="AW187" s="72"/>
      <c r="AX187" s="193" t="s">
        <v>136</v>
      </c>
      <c r="AY187" s="72"/>
      <c r="AZ187" s="193"/>
      <c r="BA187" s="193"/>
      <c r="BB187" s="8"/>
      <c r="BC187" s="140"/>
      <c r="BD187" s="11" t="s">
        <v>5622</v>
      </c>
      <c r="BE187" s="144" t="s">
        <v>5623</v>
      </c>
    </row>
    <row r="188" spans="1:57" ht="12.95" customHeight="1">
      <c r="A188" s="247" t="s">
        <v>2776</v>
      </c>
      <c r="B188" s="251">
        <v>124</v>
      </c>
      <c r="C188" s="239" t="s">
        <v>1027</v>
      </c>
      <c r="D188" s="239" t="s">
        <v>3063</v>
      </c>
      <c r="E188" s="58"/>
      <c r="F188" s="59" t="s">
        <v>1845</v>
      </c>
      <c r="G188" s="191" t="s">
        <v>2397</v>
      </c>
      <c r="H188" s="192" t="s">
        <v>2511</v>
      </c>
      <c r="I188" s="61" t="s">
        <v>2186</v>
      </c>
      <c r="J188" s="61" t="s">
        <v>2511</v>
      </c>
      <c r="K188" s="62" t="s">
        <v>2511</v>
      </c>
      <c r="L188" s="60" t="s">
        <v>2389</v>
      </c>
      <c r="M188" s="61" t="s">
        <v>2511</v>
      </c>
      <c r="N188" s="61" t="s">
        <v>2388</v>
      </c>
      <c r="O188" s="61" t="s">
        <v>2511</v>
      </c>
      <c r="P188" s="62" t="s">
        <v>2511</v>
      </c>
      <c r="Q188" s="7" t="s">
        <v>552</v>
      </c>
      <c r="R188" s="7" t="s">
        <v>848</v>
      </c>
      <c r="S188" s="58" t="s">
        <v>112</v>
      </c>
      <c r="T188" s="58" t="s">
        <v>113</v>
      </c>
      <c r="U188" s="63" t="s">
        <v>552</v>
      </c>
      <c r="V188" s="138" t="s">
        <v>3064</v>
      </c>
      <c r="W188" s="57" t="s">
        <v>3033</v>
      </c>
      <c r="X188" s="126" t="s">
        <v>3065</v>
      </c>
      <c r="Y188" s="126" t="s">
        <v>2511</v>
      </c>
      <c r="Z188" s="57" t="s">
        <v>2514</v>
      </c>
      <c r="AA188" s="57" t="s">
        <v>2753</v>
      </c>
      <c r="AB188" s="57" t="s">
        <v>2393</v>
      </c>
      <c r="AC188" s="57">
        <v>1</v>
      </c>
      <c r="AD188" s="65" t="str">
        <f t="shared" si="43"/>
        <v>GPIO_PQ3</v>
      </c>
      <c r="AE188" s="70"/>
      <c r="AF188" s="67" t="str">
        <f t="shared" si="44"/>
        <v>PULL_UP</v>
      </c>
      <c r="AG188" s="67" t="str">
        <f t="shared" si="45"/>
        <v>TRISTATE</v>
      </c>
      <c r="AH188" s="67" t="str">
        <f t="shared" si="46"/>
        <v>ENABLE</v>
      </c>
      <c r="AI188" s="71" t="str">
        <f t="shared" si="47"/>
        <v/>
      </c>
      <c r="AJ188" s="189" t="b">
        <v>1</v>
      </c>
      <c r="AK188" s="189" t="b">
        <v>1</v>
      </c>
      <c r="AL188" s="189" t="b">
        <v>1</v>
      </c>
      <c r="AM188" s="189" t="b">
        <v>1</v>
      </c>
      <c r="AN188" s="189" t="b">
        <v>1</v>
      </c>
      <c r="AO188" s="189" t="b">
        <v>1</v>
      </c>
      <c r="AP188" s="69" t="str">
        <f t="shared" si="48"/>
        <v>VALID</v>
      </c>
      <c r="AQ188" s="166" t="s">
        <v>2397</v>
      </c>
      <c r="AR188" s="194" t="s">
        <v>862</v>
      </c>
      <c r="AS188" s="193" t="s">
        <v>873</v>
      </c>
      <c r="AT188" s="193" t="s">
        <v>863</v>
      </c>
      <c r="AU188" s="72"/>
      <c r="AV188" s="72"/>
      <c r="AW188" s="72"/>
      <c r="AX188" s="193" t="s">
        <v>136</v>
      </c>
      <c r="AY188" s="72"/>
      <c r="AZ188" s="193"/>
      <c r="BA188" s="193"/>
      <c r="BB188" s="8"/>
      <c r="BC188" s="140"/>
      <c r="BD188" s="11" t="s">
        <v>2776</v>
      </c>
      <c r="BE188" s="315" t="s">
        <v>5624</v>
      </c>
    </row>
    <row r="189" spans="1:57" ht="12.95" hidden="1" customHeight="1">
      <c r="A189" s="248" t="e">
        <v>#N/A</v>
      </c>
      <c r="B189" s="252" t="e">
        <v>#N/A</v>
      </c>
      <c r="C189" s="263" t="s">
        <v>1028</v>
      </c>
      <c r="D189" s="239" t="s">
        <v>3066</v>
      </c>
      <c r="E189" s="58"/>
      <c r="F189" s="59" t="s">
        <v>1846</v>
      </c>
      <c r="G189" s="191" t="s">
        <v>2187</v>
      </c>
      <c r="H189" s="192" t="s">
        <v>133</v>
      </c>
      <c r="I189" s="61"/>
      <c r="J189" s="61" t="s">
        <v>2511</v>
      </c>
      <c r="K189" s="62" t="s">
        <v>2511</v>
      </c>
      <c r="L189" s="60" t="s">
        <v>2389</v>
      </c>
      <c r="M189" s="61" t="s">
        <v>2389</v>
      </c>
      <c r="N189" s="61" t="s">
        <v>2389</v>
      </c>
      <c r="O189" s="61" t="s">
        <v>2511</v>
      </c>
      <c r="P189" s="62" t="s">
        <v>2511</v>
      </c>
      <c r="Q189" s="7" t="s">
        <v>133</v>
      </c>
      <c r="R189" s="7" t="s">
        <v>1853</v>
      </c>
      <c r="S189" s="58" t="s">
        <v>112</v>
      </c>
      <c r="T189" s="58" t="s">
        <v>113</v>
      </c>
      <c r="U189" s="63" t="s">
        <v>112</v>
      </c>
      <c r="V189" s="138" t="s">
        <v>3067</v>
      </c>
      <c r="W189" s="57" t="s">
        <v>3033</v>
      </c>
      <c r="X189" s="126" t="s">
        <v>2511</v>
      </c>
      <c r="Y189" s="126" t="s">
        <v>2511</v>
      </c>
      <c r="Z189" s="57" t="s">
        <v>2817</v>
      </c>
      <c r="AA189" s="57" t="s">
        <v>2859</v>
      </c>
      <c r="AB189" s="57" t="s">
        <v>2393</v>
      </c>
      <c r="AC189" s="57" t="s">
        <v>2516</v>
      </c>
      <c r="AD189" s="65" t="str">
        <f t="shared" si="43"/>
        <v>GPIO_PQ4</v>
      </c>
      <c r="AE189" s="70"/>
      <c r="AF189" s="67" t="str">
        <f t="shared" si="44"/>
        <v>PULL_DOWN</v>
      </c>
      <c r="AG189" s="67" t="str">
        <f t="shared" si="45"/>
        <v>NORMAL</v>
      </c>
      <c r="AH189" s="67" t="str">
        <f t="shared" si="46"/>
        <v>DISABLE</v>
      </c>
      <c r="AI189" s="71" t="str">
        <f t="shared" si="47"/>
        <v/>
      </c>
      <c r="AJ189" s="189" t="b">
        <v>1</v>
      </c>
      <c r="AK189" s="189" t="b">
        <v>1</v>
      </c>
      <c r="AL189" s="189" t="b">
        <v>1</v>
      </c>
      <c r="AM189" s="189" t="b">
        <v>1</v>
      </c>
      <c r="AN189" s="189" t="b">
        <v>1</v>
      </c>
      <c r="AO189" s="189" t="b">
        <v>1</v>
      </c>
      <c r="AP189" s="69" t="str">
        <f t="shared" si="48"/>
        <v>VALID</v>
      </c>
      <c r="AQ189" s="166" t="s">
        <v>2187</v>
      </c>
      <c r="AR189" s="194" t="s">
        <v>861</v>
      </c>
      <c r="AS189" s="193" t="s">
        <v>875</v>
      </c>
      <c r="AT189" s="72"/>
      <c r="AU189" s="72"/>
      <c r="AV189" s="72"/>
      <c r="AW189" s="193" t="s">
        <v>872</v>
      </c>
      <c r="AX189" s="193" t="s">
        <v>136</v>
      </c>
      <c r="AY189" s="72"/>
      <c r="AZ189" s="193"/>
      <c r="BA189" s="193"/>
      <c r="BB189" s="8"/>
      <c r="BC189" s="140"/>
      <c r="BD189" s="11" t="s">
        <v>2470</v>
      </c>
      <c r="BE189" s="311" t="s">
        <v>5625</v>
      </c>
    </row>
    <row r="190" spans="1:57" ht="15">
      <c r="A190" s="320" t="s">
        <v>2761</v>
      </c>
      <c r="B190" s="251">
        <v>118</v>
      </c>
      <c r="C190" s="239" t="s">
        <v>1029</v>
      </c>
      <c r="D190" s="239" t="s">
        <v>2798</v>
      </c>
      <c r="E190" s="58"/>
      <c r="F190" s="59" t="s">
        <v>1847</v>
      </c>
      <c r="G190" s="191" t="s">
        <v>2398</v>
      </c>
      <c r="H190" s="192" t="s">
        <v>137</v>
      </c>
      <c r="I190" s="61" t="s">
        <v>871</v>
      </c>
      <c r="J190" s="61" t="s">
        <v>2511</v>
      </c>
      <c r="K190" s="62" t="s">
        <v>2511</v>
      </c>
      <c r="L190" s="60" t="s">
        <v>2389</v>
      </c>
      <c r="M190" s="61" t="s">
        <v>2389</v>
      </c>
      <c r="N190" s="61" t="s">
        <v>2388</v>
      </c>
      <c r="O190" s="61" t="s">
        <v>2511</v>
      </c>
      <c r="P190" s="62" t="s">
        <v>2511</v>
      </c>
      <c r="Q190" s="7" t="s">
        <v>137</v>
      </c>
      <c r="R190" s="7" t="s">
        <v>175</v>
      </c>
      <c r="S190" s="58" t="s">
        <v>112</v>
      </c>
      <c r="T190" s="58" t="s">
        <v>113</v>
      </c>
      <c r="U190" s="63" t="s">
        <v>112</v>
      </c>
      <c r="V190" s="138" t="s">
        <v>3068</v>
      </c>
      <c r="W190" s="57" t="s">
        <v>3033</v>
      </c>
      <c r="X190" s="126" t="s">
        <v>2511</v>
      </c>
      <c r="Y190" s="126" t="s">
        <v>2511</v>
      </c>
      <c r="Z190" s="57" t="s">
        <v>2817</v>
      </c>
      <c r="AA190" s="57" t="s">
        <v>2859</v>
      </c>
      <c r="AB190" s="57" t="s">
        <v>2393</v>
      </c>
      <c r="AC190" s="57" t="s">
        <v>2516</v>
      </c>
      <c r="AD190" s="65" t="str">
        <f t="shared" si="43"/>
        <v>GPIO_PQ5</v>
      </c>
      <c r="AE190" s="70"/>
      <c r="AF190" s="67" t="str">
        <f t="shared" si="44"/>
        <v>PULL_DOWN</v>
      </c>
      <c r="AG190" s="67" t="str">
        <f t="shared" si="45"/>
        <v>NORMAL</v>
      </c>
      <c r="AH190" s="67" t="str">
        <f t="shared" si="46"/>
        <v>DISABLE</v>
      </c>
      <c r="AI190" s="71" t="str">
        <f t="shared" si="47"/>
        <v/>
      </c>
      <c r="AJ190" s="189" t="b">
        <v>1</v>
      </c>
      <c r="AK190" s="189" t="b">
        <v>1</v>
      </c>
      <c r="AL190" s="189" t="b">
        <v>1</v>
      </c>
      <c r="AM190" s="189" t="b">
        <v>1</v>
      </c>
      <c r="AN190" s="189" t="b">
        <v>1</v>
      </c>
      <c r="AO190" s="189" t="b">
        <v>1</v>
      </c>
      <c r="AP190" s="69" t="str">
        <f t="shared" si="48"/>
        <v>VALID</v>
      </c>
      <c r="AQ190" s="166" t="s">
        <v>2398</v>
      </c>
      <c r="AR190" s="194" t="s">
        <v>861</v>
      </c>
      <c r="AS190" s="193" t="s">
        <v>875</v>
      </c>
      <c r="AT190" s="72"/>
      <c r="AU190" s="72"/>
      <c r="AV190" s="72"/>
      <c r="AW190" s="193" t="s">
        <v>136</v>
      </c>
      <c r="AX190" s="193" t="s">
        <v>136</v>
      </c>
      <c r="AY190" s="72"/>
      <c r="AZ190" s="193"/>
      <c r="BA190" s="193"/>
      <c r="BB190" s="8"/>
      <c r="BC190" s="140"/>
      <c r="BD190" s="11" t="s">
        <v>5626</v>
      </c>
      <c r="BE190" s="311" t="s">
        <v>5627</v>
      </c>
    </row>
    <row r="191" spans="1:57" ht="12.75" customHeight="1">
      <c r="A191" s="320" t="s">
        <v>2534</v>
      </c>
      <c r="B191" s="251">
        <v>216</v>
      </c>
      <c r="C191" s="239" t="s">
        <v>1030</v>
      </c>
      <c r="D191" s="239" t="s">
        <v>3069</v>
      </c>
      <c r="E191" s="58"/>
      <c r="F191" s="59" t="s">
        <v>1848</v>
      </c>
      <c r="G191" s="191" t="s">
        <v>2399</v>
      </c>
      <c r="H191" s="192" t="s">
        <v>139</v>
      </c>
      <c r="I191" s="61" t="s">
        <v>2387</v>
      </c>
      <c r="J191" s="61" t="s">
        <v>2511</v>
      </c>
      <c r="K191" s="62" t="s">
        <v>2511</v>
      </c>
      <c r="L191" s="60" t="s">
        <v>2389</v>
      </c>
      <c r="M191" s="61" t="s">
        <v>2389</v>
      </c>
      <c r="N191" s="61" t="s">
        <v>2388</v>
      </c>
      <c r="O191" s="61" t="s">
        <v>2511</v>
      </c>
      <c r="P191" s="62" t="s">
        <v>2511</v>
      </c>
      <c r="Q191" s="7" t="s">
        <v>139</v>
      </c>
      <c r="R191" s="7" t="s">
        <v>838</v>
      </c>
      <c r="S191" s="58" t="s">
        <v>112</v>
      </c>
      <c r="T191" s="58" t="s">
        <v>113</v>
      </c>
      <c r="U191" s="63" t="s">
        <v>112</v>
      </c>
      <c r="V191" s="138" t="s">
        <v>3070</v>
      </c>
      <c r="W191" s="57" t="s">
        <v>3033</v>
      </c>
      <c r="X191" s="126" t="s">
        <v>2511</v>
      </c>
      <c r="Y191" s="126" t="s">
        <v>2511</v>
      </c>
      <c r="Z191" s="57" t="s">
        <v>2817</v>
      </c>
      <c r="AA191" s="57" t="s">
        <v>2859</v>
      </c>
      <c r="AB191" s="57" t="s">
        <v>2393</v>
      </c>
      <c r="AC191" s="57" t="s">
        <v>2516</v>
      </c>
      <c r="AD191" s="65" t="str">
        <f t="shared" si="43"/>
        <v>GPIO_PQ6</v>
      </c>
      <c r="AE191" s="70"/>
      <c r="AF191" s="67" t="str">
        <f t="shared" si="44"/>
        <v>PULL_UP</v>
      </c>
      <c r="AG191" s="67" t="str">
        <f t="shared" si="45"/>
        <v>TRISTATE</v>
      </c>
      <c r="AH191" s="67" t="str">
        <f t="shared" si="46"/>
        <v>ENABLE</v>
      </c>
      <c r="AI191" s="71" t="str">
        <f t="shared" si="47"/>
        <v/>
      </c>
      <c r="AJ191" s="189" t="b">
        <v>1</v>
      </c>
      <c r="AK191" s="189" t="b">
        <v>1</v>
      </c>
      <c r="AL191" s="189" t="b">
        <v>1</v>
      </c>
      <c r="AM191" s="189" t="b">
        <v>1</v>
      </c>
      <c r="AN191" s="189" t="b">
        <v>1</v>
      </c>
      <c r="AO191" s="189" t="b">
        <v>1</v>
      </c>
      <c r="AP191" s="69" t="str">
        <f t="shared" si="48"/>
        <v>VALID</v>
      </c>
      <c r="AQ191" s="166" t="s">
        <v>2399</v>
      </c>
      <c r="AR191" s="194" t="s">
        <v>862</v>
      </c>
      <c r="AS191" s="193" t="s">
        <v>873</v>
      </c>
      <c r="AT191" s="72"/>
      <c r="AU191" s="72"/>
      <c r="AV191" s="72"/>
      <c r="AW191" s="193" t="s">
        <v>136</v>
      </c>
      <c r="AX191" s="193" t="s">
        <v>136</v>
      </c>
      <c r="AY191" s="72"/>
      <c r="AZ191" s="193"/>
      <c r="BA191" s="193"/>
      <c r="BB191" s="8"/>
      <c r="BC191" s="140"/>
      <c r="BD191" s="11" t="s">
        <v>5628</v>
      </c>
      <c r="BE191" s="311" t="s">
        <v>5627</v>
      </c>
    </row>
    <row r="192" spans="1:57" ht="12.95" hidden="1" customHeight="1">
      <c r="A192" s="248" t="e">
        <v>#N/A</v>
      </c>
      <c r="B192" s="252" t="e">
        <v>#N/A</v>
      </c>
      <c r="C192" s="263" t="s">
        <v>1031</v>
      </c>
      <c r="D192" s="239" t="s">
        <v>2780</v>
      </c>
      <c r="E192" s="58"/>
      <c r="F192" s="59" t="s">
        <v>1849</v>
      </c>
      <c r="G192" s="191" t="s">
        <v>2188</v>
      </c>
      <c r="H192" s="192" t="s">
        <v>140</v>
      </c>
      <c r="I192" s="61"/>
      <c r="J192" s="61" t="s">
        <v>2511</v>
      </c>
      <c r="K192" s="62" t="s">
        <v>2511</v>
      </c>
      <c r="L192" s="60" t="s">
        <v>2389</v>
      </c>
      <c r="M192" s="61" t="s">
        <v>2389</v>
      </c>
      <c r="N192" s="61" t="s">
        <v>2389</v>
      </c>
      <c r="O192" s="61" t="s">
        <v>2511</v>
      </c>
      <c r="P192" s="62" t="s">
        <v>2511</v>
      </c>
      <c r="Q192" s="7" t="s">
        <v>140</v>
      </c>
      <c r="R192" s="7" t="s">
        <v>1853</v>
      </c>
      <c r="S192" s="58" t="s">
        <v>112</v>
      </c>
      <c r="T192" s="58" t="s">
        <v>113</v>
      </c>
      <c r="U192" s="63" t="s">
        <v>112</v>
      </c>
      <c r="V192" s="138" t="s">
        <v>3071</v>
      </c>
      <c r="W192" s="57" t="s">
        <v>3033</v>
      </c>
      <c r="X192" s="126" t="s">
        <v>2511</v>
      </c>
      <c r="Y192" s="126" t="s">
        <v>2511</v>
      </c>
      <c r="Z192" s="57" t="s">
        <v>2817</v>
      </c>
      <c r="AA192" s="57" t="s">
        <v>2859</v>
      </c>
      <c r="AB192" s="57" t="s">
        <v>2393</v>
      </c>
      <c r="AC192" s="57" t="s">
        <v>2516</v>
      </c>
      <c r="AD192" s="65" t="str">
        <f t="shared" si="43"/>
        <v>GPIO_PQ7</v>
      </c>
      <c r="AE192" s="70"/>
      <c r="AF192" s="67" t="str">
        <f t="shared" si="44"/>
        <v>PULL_DOWN</v>
      </c>
      <c r="AG192" s="67" t="str">
        <f t="shared" si="45"/>
        <v>NORMAL</v>
      </c>
      <c r="AH192" s="67" t="str">
        <f t="shared" si="46"/>
        <v>DISABLE</v>
      </c>
      <c r="AI192" s="71" t="str">
        <f t="shared" si="47"/>
        <v/>
      </c>
      <c r="AJ192" s="189" t="b">
        <v>1</v>
      </c>
      <c r="AK192" s="189" t="b">
        <v>1</v>
      </c>
      <c r="AL192" s="189" t="b">
        <v>1</v>
      </c>
      <c r="AM192" s="189" t="b">
        <v>1</v>
      </c>
      <c r="AN192" s="189" t="b">
        <v>1</v>
      </c>
      <c r="AO192" s="189" t="b">
        <v>1</v>
      </c>
      <c r="AP192" s="69" t="str">
        <f t="shared" si="48"/>
        <v>VALID</v>
      </c>
      <c r="AQ192" s="166" t="s">
        <v>2188</v>
      </c>
      <c r="AR192" s="194" t="s">
        <v>861</v>
      </c>
      <c r="AS192" s="193" t="s">
        <v>875</v>
      </c>
      <c r="AT192" s="72"/>
      <c r="AU192" s="72"/>
      <c r="AV192" s="72"/>
      <c r="AW192" s="193" t="s">
        <v>872</v>
      </c>
      <c r="AX192" s="193" t="s">
        <v>136</v>
      </c>
      <c r="AY192" s="72"/>
      <c r="AZ192" s="193"/>
      <c r="BA192" s="193"/>
      <c r="BB192" s="8"/>
      <c r="BC192" s="140"/>
      <c r="BD192" s="11" t="s">
        <v>2475</v>
      </c>
      <c r="BE192" s="311" t="s">
        <v>5629</v>
      </c>
    </row>
    <row r="193" spans="1:57" ht="12.95" customHeight="1">
      <c r="A193" s="320" t="s">
        <v>2977</v>
      </c>
      <c r="B193" s="251">
        <v>206</v>
      </c>
      <c r="C193" s="239" t="s">
        <v>1032</v>
      </c>
      <c r="D193" s="239" t="s">
        <v>2792</v>
      </c>
      <c r="E193" s="58"/>
      <c r="F193" s="59" t="s">
        <v>1850</v>
      </c>
      <c r="G193" s="191" t="s">
        <v>2488</v>
      </c>
      <c r="H193" s="192" t="s">
        <v>141</v>
      </c>
      <c r="I193" s="61" t="s">
        <v>2189</v>
      </c>
      <c r="J193" s="61" t="s">
        <v>2511</v>
      </c>
      <c r="K193" s="62" t="s">
        <v>2511</v>
      </c>
      <c r="L193" s="60" t="s">
        <v>2389</v>
      </c>
      <c r="M193" s="61" t="s">
        <v>2389</v>
      </c>
      <c r="N193" s="61" t="s">
        <v>2388</v>
      </c>
      <c r="O193" s="61" t="s">
        <v>2511</v>
      </c>
      <c r="P193" s="62" t="s">
        <v>2511</v>
      </c>
      <c r="Q193" s="7" t="s">
        <v>141</v>
      </c>
      <c r="R193" s="7" t="s">
        <v>2425</v>
      </c>
      <c r="S193" s="58" t="s">
        <v>112</v>
      </c>
      <c r="T193" s="58" t="s">
        <v>113</v>
      </c>
      <c r="U193" s="63" t="s">
        <v>112</v>
      </c>
      <c r="V193" s="138" t="s">
        <v>3072</v>
      </c>
      <c r="W193" s="57" t="s">
        <v>3033</v>
      </c>
      <c r="X193" s="126" t="s">
        <v>2511</v>
      </c>
      <c r="Y193" s="126" t="s">
        <v>2511</v>
      </c>
      <c r="Z193" s="57" t="s">
        <v>2817</v>
      </c>
      <c r="AA193" s="57" t="s">
        <v>2859</v>
      </c>
      <c r="AB193" s="57" t="s">
        <v>2393</v>
      </c>
      <c r="AC193" s="57" t="s">
        <v>2516</v>
      </c>
      <c r="AD193" s="65" t="str">
        <f t="shared" si="43"/>
        <v>GP</v>
      </c>
      <c r="AE193" s="70"/>
      <c r="AF193" s="67" t="str">
        <f t="shared" si="44"/>
        <v>PULL_UP</v>
      </c>
      <c r="AG193" s="67" t="str">
        <f t="shared" si="45"/>
        <v>NORMAL</v>
      </c>
      <c r="AH193" s="67" t="str">
        <f t="shared" si="46"/>
        <v>DISABLE</v>
      </c>
      <c r="AI193" s="71" t="str">
        <f t="shared" si="47"/>
        <v>N/A</v>
      </c>
      <c r="AJ193" s="189" t="b">
        <v>1</v>
      </c>
      <c r="AK193" s="189" t="b">
        <v>1</v>
      </c>
      <c r="AL193" s="189" t="b">
        <v>1</v>
      </c>
      <c r="AM193" s="189" t="b">
        <v>1</v>
      </c>
      <c r="AN193" s="189" t="b">
        <v>1</v>
      </c>
      <c r="AO193" s="189" t="b">
        <v>1</v>
      </c>
      <c r="AP193" s="69" t="str">
        <f t="shared" si="48"/>
        <v>VALID</v>
      </c>
      <c r="AQ193" s="166" t="s">
        <v>2189</v>
      </c>
      <c r="AR193" s="194" t="s">
        <v>861</v>
      </c>
      <c r="AS193" s="193" t="s">
        <v>873</v>
      </c>
      <c r="AT193" s="72"/>
      <c r="AU193" s="72"/>
      <c r="AV193" s="72"/>
      <c r="AW193" s="193" t="s">
        <v>136</v>
      </c>
      <c r="AX193" s="193" t="s">
        <v>136</v>
      </c>
      <c r="AY193" s="72"/>
      <c r="AZ193" s="193"/>
      <c r="BA193" s="193"/>
      <c r="BB193" s="8"/>
      <c r="BC193" s="140"/>
      <c r="BD193" s="11" t="s">
        <v>5630</v>
      </c>
      <c r="BE193" s="311" t="s">
        <v>5627</v>
      </c>
    </row>
    <row r="194" spans="1:57" ht="12.95" hidden="1" customHeight="1">
      <c r="A194" s="248" t="e">
        <v>#N/A</v>
      </c>
      <c r="B194" s="252" t="e">
        <v>#N/A</v>
      </c>
      <c r="C194" s="263" t="s">
        <v>1033</v>
      </c>
      <c r="D194" s="239" t="s">
        <v>3073</v>
      </c>
      <c r="E194" s="58"/>
      <c r="F194" s="59" t="s">
        <v>1851</v>
      </c>
      <c r="G194" s="191" t="s">
        <v>2190</v>
      </c>
      <c r="H194" s="192" t="s">
        <v>142</v>
      </c>
      <c r="I194" s="61" t="s">
        <v>2511</v>
      </c>
      <c r="J194" s="61" t="s">
        <v>2511</v>
      </c>
      <c r="K194" s="62" t="s">
        <v>2511</v>
      </c>
      <c r="L194" s="60" t="s">
        <v>2389</v>
      </c>
      <c r="M194" s="61" t="s">
        <v>2389</v>
      </c>
      <c r="N194" s="61" t="s">
        <v>2511</v>
      </c>
      <c r="O194" s="61" t="s">
        <v>2511</v>
      </c>
      <c r="P194" s="62" t="s">
        <v>2511</v>
      </c>
      <c r="Q194" s="7" t="s">
        <v>142</v>
      </c>
      <c r="R194" s="7" t="s">
        <v>126</v>
      </c>
      <c r="S194" s="58" t="s">
        <v>112</v>
      </c>
      <c r="T194" s="58" t="s">
        <v>113</v>
      </c>
      <c r="U194" s="63" t="s">
        <v>126</v>
      </c>
      <c r="V194" s="138" t="s">
        <v>3074</v>
      </c>
      <c r="W194" s="57" t="s">
        <v>3033</v>
      </c>
      <c r="X194" s="126" t="s">
        <v>2511</v>
      </c>
      <c r="Y194" s="126" t="s">
        <v>2511</v>
      </c>
      <c r="Z194" s="57" t="s">
        <v>2817</v>
      </c>
      <c r="AA194" s="57" t="s">
        <v>2859</v>
      </c>
      <c r="AB194" s="57" t="s">
        <v>2393</v>
      </c>
      <c r="AC194" s="57" t="s">
        <v>2516</v>
      </c>
      <c r="AD194" s="65" t="str">
        <f t="shared" si="43"/>
        <v>GPIO_PR1</v>
      </c>
      <c r="AE194" s="70"/>
      <c r="AF194" s="67" t="str">
        <f t="shared" si="44"/>
        <v>NORMAL</v>
      </c>
      <c r="AG194" s="67" t="str">
        <f t="shared" si="45"/>
        <v>TRISTATE</v>
      </c>
      <c r="AH194" s="67" t="str">
        <f t="shared" si="46"/>
        <v>DISABLE</v>
      </c>
      <c r="AI194" s="71" t="str">
        <f t="shared" si="47"/>
        <v/>
      </c>
      <c r="AJ194" s="189" t="b">
        <v>1</v>
      </c>
      <c r="AK194" s="189" t="b">
        <v>1</v>
      </c>
      <c r="AL194" s="189" t="b">
        <v>1</v>
      </c>
      <c r="AM194" s="189" t="b">
        <v>1</v>
      </c>
      <c r="AN194" s="189" t="b">
        <v>1</v>
      </c>
      <c r="AO194" s="189" t="b">
        <v>1</v>
      </c>
      <c r="AP194" s="69" t="str">
        <f t="shared" si="48"/>
        <v>VALID</v>
      </c>
      <c r="AQ194" s="166" t="s">
        <v>2190</v>
      </c>
      <c r="AR194" s="194" t="s">
        <v>861</v>
      </c>
      <c r="AS194" s="193" t="s">
        <v>895</v>
      </c>
      <c r="AT194" s="72"/>
      <c r="AU194" s="72"/>
      <c r="AV194" s="72"/>
      <c r="AW194" s="193" t="s">
        <v>872</v>
      </c>
      <c r="AX194" s="193" t="s">
        <v>136</v>
      </c>
      <c r="AY194" s="72"/>
      <c r="AZ194" s="193"/>
      <c r="BA194" s="193"/>
      <c r="BB194" s="8"/>
      <c r="BC194" s="140"/>
      <c r="BD194" s="11" t="s">
        <v>5631</v>
      </c>
      <c r="BE194" s="311" t="s">
        <v>5632</v>
      </c>
    </row>
    <row r="195" spans="1:57" ht="12.95" customHeight="1">
      <c r="A195" s="320" t="s">
        <v>5500</v>
      </c>
      <c r="B195" s="251">
        <v>203</v>
      </c>
      <c r="C195" s="239" t="s">
        <v>283</v>
      </c>
      <c r="D195" s="239" t="s">
        <v>3075</v>
      </c>
      <c r="E195" s="58"/>
      <c r="F195" s="59" t="s">
        <v>495</v>
      </c>
      <c r="G195" s="191" t="s">
        <v>2241</v>
      </c>
      <c r="H195" s="192" t="s">
        <v>888</v>
      </c>
      <c r="I195" s="61" t="s">
        <v>2511</v>
      </c>
      <c r="J195" s="61" t="s">
        <v>2511</v>
      </c>
      <c r="K195" s="62" t="s">
        <v>2511</v>
      </c>
      <c r="L195" s="60" t="s">
        <v>2389</v>
      </c>
      <c r="M195" s="61" t="s">
        <v>2388</v>
      </c>
      <c r="N195" s="61" t="s">
        <v>2511</v>
      </c>
      <c r="O195" s="61" t="s">
        <v>2511</v>
      </c>
      <c r="P195" s="62" t="s">
        <v>2511</v>
      </c>
      <c r="Q195" s="7" t="s">
        <v>132</v>
      </c>
      <c r="R195" s="7" t="s">
        <v>126</v>
      </c>
      <c r="S195" s="58" t="s">
        <v>112</v>
      </c>
      <c r="T195" s="58" t="s">
        <v>113</v>
      </c>
      <c r="U195" s="63" t="s">
        <v>126</v>
      </c>
      <c r="V195" s="138" t="s">
        <v>3076</v>
      </c>
      <c r="W195" s="57" t="s">
        <v>3033</v>
      </c>
      <c r="X195" s="126" t="s">
        <v>2511</v>
      </c>
      <c r="Y195" s="126" t="s">
        <v>3077</v>
      </c>
      <c r="Z195" s="57" t="s">
        <v>2817</v>
      </c>
      <c r="AA195" s="57" t="s">
        <v>2859</v>
      </c>
      <c r="AB195" s="57" t="s">
        <v>2393</v>
      </c>
      <c r="AC195" s="57" t="s">
        <v>2516</v>
      </c>
      <c r="AD195" s="65" t="str">
        <f t="shared" si="43"/>
        <v>UARTA</v>
      </c>
      <c r="AE195" s="70"/>
      <c r="AF195" s="67" t="str">
        <f t="shared" si="44"/>
        <v>NORMAL</v>
      </c>
      <c r="AG195" s="67" t="str">
        <f t="shared" si="45"/>
        <v>NORMAL</v>
      </c>
      <c r="AH195" s="67" t="str">
        <f t="shared" si="46"/>
        <v>DISABLE</v>
      </c>
      <c r="AI195" s="71" t="str">
        <f t="shared" si="47"/>
        <v>N/A</v>
      </c>
      <c r="AJ195" s="189" t="b">
        <v>1</v>
      </c>
      <c r="AK195" s="189" t="b">
        <v>1</v>
      </c>
      <c r="AL195" s="189" t="b">
        <v>1</v>
      </c>
      <c r="AM195" s="189" t="b">
        <v>1</v>
      </c>
      <c r="AN195" s="189" t="b">
        <v>1</v>
      </c>
      <c r="AO195" s="189" t="b">
        <v>1</v>
      </c>
      <c r="AP195" s="69" t="str">
        <f t="shared" si="48"/>
        <v>VALID</v>
      </c>
      <c r="AQ195" s="166" t="s">
        <v>888</v>
      </c>
      <c r="AR195" s="194" t="s">
        <v>861</v>
      </c>
      <c r="AS195" s="193"/>
      <c r="AT195" s="72"/>
      <c r="AU195" s="72"/>
      <c r="AV195" s="72"/>
      <c r="AW195" s="193" t="s">
        <v>136</v>
      </c>
      <c r="AX195" s="193" t="s">
        <v>136</v>
      </c>
      <c r="AY195" s="72"/>
      <c r="AZ195" s="193"/>
      <c r="BA195" s="193"/>
      <c r="BB195" s="8"/>
      <c r="BC195" s="140"/>
      <c r="BD195" s="11" t="s">
        <v>5500</v>
      </c>
      <c r="BE195" s="333" t="s">
        <v>5633</v>
      </c>
    </row>
    <row r="196" spans="1:57" s="81" customFormat="1" ht="12.95" customHeight="1">
      <c r="A196" s="320" t="s">
        <v>5501</v>
      </c>
      <c r="B196" s="251">
        <v>205</v>
      </c>
      <c r="C196" s="267" t="s">
        <v>284</v>
      </c>
      <c r="D196" s="239" t="s">
        <v>3078</v>
      </c>
      <c r="E196" s="58"/>
      <c r="F196" s="59" t="s">
        <v>496</v>
      </c>
      <c r="G196" s="191" t="s">
        <v>3079</v>
      </c>
      <c r="H196" s="192" t="s">
        <v>889</v>
      </c>
      <c r="I196" s="61" t="s">
        <v>2511</v>
      </c>
      <c r="J196" s="61" t="s">
        <v>2511</v>
      </c>
      <c r="K196" s="62" t="s">
        <v>2511</v>
      </c>
      <c r="L196" s="60" t="s">
        <v>2389</v>
      </c>
      <c r="M196" s="61" t="s">
        <v>2523</v>
      </c>
      <c r="N196" s="61" t="s">
        <v>2511</v>
      </c>
      <c r="O196" s="61" t="s">
        <v>2511</v>
      </c>
      <c r="P196" s="62" t="s">
        <v>2511</v>
      </c>
      <c r="Q196" s="7" t="s">
        <v>132</v>
      </c>
      <c r="R196" s="7" t="s">
        <v>126</v>
      </c>
      <c r="S196" s="58" t="s">
        <v>112</v>
      </c>
      <c r="T196" s="58" t="s">
        <v>113</v>
      </c>
      <c r="U196" s="63" t="s">
        <v>126</v>
      </c>
      <c r="V196" s="138" t="s">
        <v>3080</v>
      </c>
      <c r="W196" s="57" t="s">
        <v>3033</v>
      </c>
      <c r="X196" s="126" t="s">
        <v>2511</v>
      </c>
      <c r="Y196" s="126" t="s">
        <v>2511</v>
      </c>
      <c r="Z196" s="57" t="s">
        <v>2817</v>
      </c>
      <c r="AA196" s="57" t="s">
        <v>2859</v>
      </c>
      <c r="AB196" s="57" t="s">
        <v>2393</v>
      </c>
      <c r="AC196" s="57" t="s">
        <v>2631</v>
      </c>
      <c r="AD196" s="65" t="str">
        <f t="shared" si="43"/>
        <v>UARTA</v>
      </c>
      <c r="AE196" s="80"/>
      <c r="AF196" s="67" t="str">
        <f t="shared" si="44"/>
        <v>PULL_DOWN</v>
      </c>
      <c r="AG196" s="67" t="str">
        <f t="shared" si="45"/>
        <v>TRISTATE</v>
      </c>
      <c r="AH196" s="67" t="str">
        <f t="shared" si="46"/>
        <v>ENABLE</v>
      </c>
      <c r="AI196" s="71" t="str">
        <f t="shared" si="47"/>
        <v>N/A</v>
      </c>
      <c r="AJ196" s="189" t="b">
        <v>1</v>
      </c>
      <c r="AK196" s="189" t="b">
        <v>1</v>
      </c>
      <c r="AL196" s="189" t="b">
        <v>1</v>
      </c>
      <c r="AM196" s="189" t="b">
        <v>1</v>
      </c>
      <c r="AN196" s="189" t="b">
        <v>1</v>
      </c>
      <c r="AO196" s="189" t="b">
        <v>1</v>
      </c>
      <c r="AP196" s="69" t="str">
        <f t="shared" si="48"/>
        <v>VALID</v>
      </c>
      <c r="AQ196" s="163" t="s">
        <v>889</v>
      </c>
      <c r="AR196" s="194" t="s">
        <v>862</v>
      </c>
      <c r="AS196" s="193" t="s">
        <v>875</v>
      </c>
      <c r="AT196" s="72"/>
      <c r="AU196" s="72"/>
      <c r="AV196" s="72"/>
      <c r="AW196" s="193" t="s">
        <v>136</v>
      </c>
      <c r="AX196" s="193" t="s">
        <v>136</v>
      </c>
      <c r="AY196" s="72"/>
      <c r="AZ196" s="193"/>
      <c r="BA196" s="193"/>
      <c r="BB196" s="8"/>
      <c r="BC196" s="140"/>
      <c r="BD196" s="11" t="s">
        <v>5501</v>
      </c>
      <c r="BE196" s="334"/>
    </row>
    <row r="197" spans="1:57" ht="12.75" customHeight="1">
      <c r="A197" s="320" t="s">
        <v>5502</v>
      </c>
      <c r="B197" s="253">
        <v>207</v>
      </c>
      <c r="C197" s="239" t="s">
        <v>285</v>
      </c>
      <c r="D197" s="239" t="s">
        <v>3081</v>
      </c>
      <c r="E197" s="58"/>
      <c r="F197" s="59" t="s">
        <v>497</v>
      </c>
      <c r="G197" s="191" t="s">
        <v>2386</v>
      </c>
      <c r="H197" s="192" t="s">
        <v>938</v>
      </c>
      <c r="I197" s="61" t="s">
        <v>2511</v>
      </c>
      <c r="J197" s="61" t="s">
        <v>2511</v>
      </c>
      <c r="K197" s="62" t="s">
        <v>2511</v>
      </c>
      <c r="L197" s="60" t="s">
        <v>2389</v>
      </c>
      <c r="M197" s="61" t="s">
        <v>2388</v>
      </c>
      <c r="N197" s="61" t="s">
        <v>2511</v>
      </c>
      <c r="O197" s="61" t="s">
        <v>2511</v>
      </c>
      <c r="P197" s="62" t="s">
        <v>2511</v>
      </c>
      <c r="Q197" s="7" t="s">
        <v>132</v>
      </c>
      <c r="R197" s="7" t="s">
        <v>126</v>
      </c>
      <c r="S197" s="58" t="s">
        <v>112</v>
      </c>
      <c r="T197" s="58" t="s">
        <v>113</v>
      </c>
      <c r="U197" s="63" t="s">
        <v>126</v>
      </c>
      <c r="V197" s="138" t="s">
        <v>3082</v>
      </c>
      <c r="W197" s="57" t="s">
        <v>3033</v>
      </c>
      <c r="X197" s="126" t="s">
        <v>2511</v>
      </c>
      <c r="Y197" s="126" t="s">
        <v>3083</v>
      </c>
      <c r="Z197" s="57" t="s">
        <v>2514</v>
      </c>
      <c r="AA197" s="57" t="s">
        <v>2515</v>
      </c>
      <c r="AB197" s="57" t="s">
        <v>2393</v>
      </c>
      <c r="AC197" s="57" t="s">
        <v>2516</v>
      </c>
      <c r="AD197" s="65" t="str">
        <f t="shared" si="43"/>
        <v>GPIO_PR4</v>
      </c>
      <c r="AE197" s="70"/>
      <c r="AF197" s="67" t="str">
        <f t="shared" si="44"/>
        <v>PULL_DOWN</v>
      </c>
      <c r="AG197" s="67" t="str">
        <f t="shared" si="45"/>
        <v>TRISTATE</v>
      </c>
      <c r="AH197" s="67" t="str">
        <f t="shared" si="46"/>
        <v>ENABLE</v>
      </c>
      <c r="AI197" s="71" t="str">
        <f t="shared" si="47"/>
        <v/>
      </c>
      <c r="AJ197" s="189" t="b">
        <v>1</v>
      </c>
      <c r="AK197" s="189" t="b">
        <v>1</v>
      </c>
      <c r="AL197" s="189" t="b">
        <v>1</v>
      </c>
      <c r="AM197" s="189" t="b">
        <v>1</v>
      </c>
      <c r="AN197" s="189" t="b">
        <v>1</v>
      </c>
      <c r="AO197" s="189" t="b">
        <v>1</v>
      </c>
      <c r="AP197" s="69" t="str">
        <f t="shared" si="48"/>
        <v>VALID</v>
      </c>
      <c r="AQ197" s="166" t="s">
        <v>2386</v>
      </c>
      <c r="AR197" s="194" t="s">
        <v>862</v>
      </c>
      <c r="AS197" s="193" t="s">
        <v>875</v>
      </c>
      <c r="AT197" s="5"/>
      <c r="AU197" s="72"/>
      <c r="AV197" s="72"/>
      <c r="AW197" s="72"/>
      <c r="AX197" s="193" t="s">
        <v>136</v>
      </c>
      <c r="AY197" s="72"/>
      <c r="AZ197" s="193"/>
      <c r="BA197" s="193"/>
      <c r="BB197" s="8"/>
      <c r="BC197" s="140"/>
      <c r="BD197" s="11" t="s">
        <v>5634</v>
      </c>
      <c r="BE197" s="334"/>
    </row>
    <row r="198" spans="1:57" ht="12.95" customHeight="1">
      <c r="A198" s="320" t="s">
        <v>5503</v>
      </c>
      <c r="B198" s="251">
        <v>209</v>
      </c>
      <c r="C198" s="239" t="s">
        <v>286</v>
      </c>
      <c r="D198" s="239" t="s">
        <v>3084</v>
      </c>
      <c r="E198" s="58"/>
      <c r="F198" s="59" t="s">
        <v>498</v>
      </c>
      <c r="G198" s="191" t="s">
        <v>2482</v>
      </c>
      <c r="H198" s="192" t="s">
        <v>939</v>
      </c>
      <c r="I198" s="61" t="s">
        <v>2511</v>
      </c>
      <c r="J198" s="61" t="s">
        <v>2511</v>
      </c>
      <c r="K198" s="62" t="s">
        <v>2511</v>
      </c>
      <c r="L198" s="60" t="s">
        <v>2389</v>
      </c>
      <c r="M198" s="61" t="s">
        <v>2523</v>
      </c>
      <c r="N198" s="61" t="s">
        <v>2511</v>
      </c>
      <c r="O198" s="61" t="s">
        <v>2511</v>
      </c>
      <c r="P198" s="62" t="s">
        <v>2511</v>
      </c>
      <c r="Q198" s="7" t="s">
        <v>132</v>
      </c>
      <c r="R198" s="7" t="s">
        <v>126</v>
      </c>
      <c r="S198" s="58" t="s">
        <v>112</v>
      </c>
      <c r="T198" s="58" t="s">
        <v>113</v>
      </c>
      <c r="U198" s="63" t="s">
        <v>126</v>
      </c>
      <c r="V198" s="138" t="s">
        <v>3085</v>
      </c>
      <c r="W198" s="57" t="s">
        <v>3033</v>
      </c>
      <c r="X198" s="126" t="s">
        <v>3086</v>
      </c>
      <c r="Y198" s="126" t="s">
        <v>2511</v>
      </c>
      <c r="Z198" s="57" t="s">
        <v>2514</v>
      </c>
      <c r="AA198" s="57" t="s">
        <v>2753</v>
      </c>
      <c r="AB198" s="57" t="s">
        <v>2393</v>
      </c>
      <c r="AC198" s="57" t="s">
        <v>2548</v>
      </c>
      <c r="AD198" s="65" t="str">
        <f t="shared" si="43"/>
        <v>GPIO_PR5</v>
      </c>
      <c r="AE198" s="70"/>
      <c r="AF198" s="67" t="str">
        <f t="shared" si="44"/>
        <v>PULL_DOWN</v>
      </c>
      <c r="AG198" s="67" t="str">
        <f t="shared" si="45"/>
        <v>TRISTATE</v>
      </c>
      <c r="AH198" s="67" t="str">
        <f t="shared" si="46"/>
        <v>ENABLE</v>
      </c>
      <c r="AI198" s="71" t="str">
        <f t="shared" si="47"/>
        <v/>
      </c>
      <c r="AJ198" s="189" t="b">
        <v>1</v>
      </c>
      <c r="AK198" s="189" t="b">
        <v>1</v>
      </c>
      <c r="AL198" s="189" t="b">
        <v>1</v>
      </c>
      <c r="AM198" s="189" t="b">
        <v>1</v>
      </c>
      <c r="AN198" s="189" t="b">
        <v>1</v>
      </c>
      <c r="AO198" s="189" t="b">
        <v>1</v>
      </c>
      <c r="AP198" s="69" t="str">
        <f t="shared" si="48"/>
        <v>VALID</v>
      </c>
      <c r="AQ198" s="166" t="s">
        <v>2482</v>
      </c>
      <c r="AR198" s="194" t="s">
        <v>862</v>
      </c>
      <c r="AS198" s="193" t="s">
        <v>875</v>
      </c>
      <c r="AT198" s="193" t="s">
        <v>117</v>
      </c>
      <c r="AU198" s="72"/>
      <c r="AV198" s="72"/>
      <c r="AW198" s="72"/>
      <c r="AX198" s="193" t="s">
        <v>136</v>
      </c>
      <c r="AY198" s="72"/>
      <c r="AZ198" s="193"/>
      <c r="BA198" s="193"/>
      <c r="BB198" s="8"/>
      <c r="BC198" s="140"/>
      <c r="BD198" s="11" t="s">
        <v>5635</v>
      </c>
      <c r="BE198" s="335"/>
    </row>
    <row r="199" spans="1:57" s="56" customFormat="1" ht="18" hidden="1" customHeight="1">
      <c r="A199" s="363"/>
      <c r="B199" s="364"/>
      <c r="C199" s="266" t="s">
        <v>292</v>
      </c>
      <c r="D199" s="266"/>
      <c r="E199" s="73"/>
      <c r="F199" s="73"/>
      <c r="G199" s="74"/>
      <c r="H199" s="74"/>
      <c r="I199" s="74"/>
      <c r="J199" s="74"/>
      <c r="K199" s="74"/>
      <c r="L199" s="73"/>
      <c r="M199" s="73"/>
      <c r="N199" s="73"/>
      <c r="O199" s="73"/>
      <c r="P199" s="73"/>
      <c r="Q199" s="73"/>
      <c r="R199" s="73"/>
      <c r="S199" s="73"/>
      <c r="T199" s="73"/>
      <c r="U199" s="73"/>
      <c r="V199" s="73"/>
      <c r="W199" s="73"/>
      <c r="X199" s="127"/>
      <c r="Y199" s="127"/>
      <c r="Z199" s="75"/>
      <c r="AA199" s="75"/>
      <c r="AB199" s="75"/>
      <c r="AC199" s="75"/>
      <c r="AD199" s="75"/>
      <c r="AE199" s="75"/>
      <c r="AF199" s="75"/>
      <c r="AG199" s="75"/>
      <c r="AH199" s="75"/>
      <c r="AI199" s="75"/>
      <c r="AJ199" s="53"/>
      <c r="AK199" s="53"/>
      <c r="AL199" s="53"/>
      <c r="AM199" s="53"/>
      <c r="AN199" s="53"/>
      <c r="AO199" s="53"/>
      <c r="AP199" s="53"/>
      <c r="AQ199" s="54"/>
      <c r="AR199" s="76"/>
      <c r="AS199" s="77"/>
      <c r="AT199" s="77"/>
      <c r="AU199" s="77"/>
      <c r="AV199" s="77"/>
      <c r="AW199" s="77"/>
      <c r="AX199" s="77"/>
      <c r="AY199" s="77"/>
      <c r="AZ199" s="77"/>
      <c r="BA199" s="77"/>
      <c r="BB199" s="77"/>
      <c r="BC199" s="175" t="s">
        <v>5636</v>
      </c>
      <c r="BD199" s="186"/>
      <c r="BE199" s="231" t="s">
        <v>292</v>
      </c>
    </row>
    <row r="200" spans="1:57" ht="12.95" hidden="1" customHeight="1">
      <c r="A200" s="248" t="e">
        <v>#N/A</v>
      </c>
      <c r="B200" s="252" t="e">
        <v>#N/A</v>
      </c>
      <c r="C200" s="263" t="s">
        <v>1034</v>
      </c>
      <c r="D200" s="239" t="s">
        <v>3087</v>
      </c>
      <c r="E200" s="58"/>
      <c r="F200" s="59" t="s">
        <v>1812</v>
      </c>
      <c r="G200" s="191" t="s">
        <v>2400</v>
      </c>
      <c r="H200" s="192" t="s">
        <v>867</v>
      </c>
      <c r="I200" s="61"/>
      <c r="J200" s="61" t="s">
        <v>2511</v>
      </c>
      <c r="K200" s="62" t="s">
        <v>2511</v>
      </c>
      <c r="L200" s="60" t="s">
        <v>2389</v>
      </c>
      <c r="M200" s="61" t="s">
        <v>2389</v>
      </c>
      <c r="N200" s="61" t="s">
        <v>2523</v>
      </c>
      <c r="O200" s="61" t="s">
        <v>2511</v>
      </c>
      <c r="P200" s="62" t="s">
        <v>2511</v>
      </c>
      <c r="Q200" s="58" t="s">
        <v>835</v>
      </c>
      <c r="R200" s="58" t="s">
        <v>550</v>
      </c>
      <c r="S200" s="58" t="s">
        <v>112</v>
      </c>
      <c r="T200" s="58" t="s">
        <v>113</v>
      </c>
      <c r="U200" s="106" t="s">
        <v>112</v>
      </c>
      <c r="V200" s="138" t="s">
        <v>3088</v>
      </c>
      <c r="W200" s="57" t="s">
        <v>3089</v>
      </c>
      <c r="X200" s="126" t="s">
        <v>2511</v>
      </c>
      <c r="Y200" s="126" t="s">
        <v>2511</v>
      </c>
      <c r="Z200" s="57" t="s">
        <v>2582</v>
      </c>
      <c r="AA200" s="57" t="s">
        <v>2583</v>
      </c>
      <c r="AB200" s="57" t="s">
        <v>2584</v>
      </c>
      <c r="AC200" s="57" t="s">
        <v>2516</v>
      </c>
      <c r="AD200" s="65" t="str">
        <f t="shared" ref="AD200:AD207" si="49">IF(OR($AQ200="",$AQ200=$F200),$U200,IF($AQ200=$G200,SUBSTITUTE(SUBSTITUTE($AQ200,"GPIO3_","GPIO_"),".0",""),IF($AQ200=$H200,$Q200,IF($AQ200=$I200,$R200,IF($AQ200=$J200,$S200,IF($AQ200=$K200,$T200,"INVALID"))))))</f>
        <v>RSVD2</v>
      </c>
      <c r="AE200" s="70"/>
      <c r="AF200" s="67" t="str">
        <f t="shared" ref="AF200:AF207" si="50">IF(AND(OR($AS200="Int PU",$AS200="Int PD"),OR(AND($AZ200&lt;&gt;"",$AZ200&lt;&gt;"0"),AND($BA200&lt;&gt;"",$BA200&lt;&gt;"0"))),"INVALID",IF(OR($AQ200=$F200,$AS200="Int PD"),"PULL_DOWN",IF(OR($AS200="Int PU",AND($AE200="YES",OR($AZ200="",$AZ200="0"),OR($BA200="",$BA200="0"),OR($AR200="Input",$AR200="Bidirectional"))),"PULL_UP","NORMAL")))</f>
        <v>PULL_DOWN</v>
      </c>
      <c r="AG200" s="67" t="str">
        <f>IF($AV200="slave", "TRISTATE", IF($AR200="Input", "TRISTATE", IF($AS200="Z","TRISTATE",IF($AQ200=$F200,"TRISTATE","NORMAL"))))</f>
        <v>TRISTATE</v>
      </c>
      <c r="AH200" s="67" t="str">
        <f>IF(OR((AND($AQ200=$G200,$AR200="INPUT")),(AND($AQ200=$H200,$AV200="Slave")),$AR200="Bidirectional"),"ENABLE","DISABLE")</f>
        <v>DISABLE</v>
      </c>
      <c r="AI200" s="71" t="str">
        <f t="shared" si="47"/>
        <v>N/A</v>
      </c>
      <c r="AJ200" s="189" t="b">
        <v>1</v>
      </c>
      <c r="AK200" s="189" t="b">
        <v>1</v>
      </c>
      <c r="AL200" s="189" t="b">
        <v>1</v>
      </c>
      <c r="AM200" s="189" t="b">
        <v>1</v>
      </c>
      <c r="AN200" s="189" t="b">
        <v>1</v>
      </c>
      <c r="AO200" s="189" t="b">
        <v>1</v>
      </c>
      <c r="AP200" s="69" t="str">
        <f t="shared" ref="AP200:AP207" si="51">IF(AND($AJ200:$AO200), "VALID", "INVALID")</f>
        <v>VALID</v>
      </c>
      <c r="AQ200" s="168" t="s">
        <v>1812</v>
      </c>
      <c r="AR200" s="2" t="s">
        <v>79</v>
      </c>
      <c r="AS200" s="193"/>
      <c r="AT200" s="3"/>
      <c r="AU200" s="3"/>
      <c r="AV200" s="193" t="s">
        <v>900</v>
      </c>
      <c r="AW200" s="3"/>
      <c r="AX200" s="3"/>
      <c r="AY200" s="22"/>
      <c r="AZ200" s="4"/>
      <c r="BA200" s="4"/>
      <c r="BB200" s="13" t="s">
        <v>114</v>
      </c>
      <c r="BC200" s="139"/>
      <c r="BD200" s="147" t="s">
        <v>83</v>
      </c>
      <c r="BE200" s="147" t="s">
        <v>83</v>
      </c>
    </row>
    <row r="201" spans="1:57" ht="12.95" hidden="1" customHeight="1">
      <c r="A201" s="248" t="e">
        <v>#N/A</v>
      </c>
      <c r="B201" s="252" t="e">
        <v>#N/A</v>
      </c>
      <c r="C201" s="263" t="s">
        <v>1035</v>
      </c>
      <c r="D201" s="239" t="s">
        <v>3091</v>
      </c>
      <c r="E201" s="58"/>
      <c r="F201" s="59" t="s">
        <v>1811</v>
      </c>
      <c r="G201" s="191" t="s">
        <v>2401</v>
      </c>
      <c r="H201" s="192" t="s">
        <v>868</v>
      </c>
      <c r="I201" s="61"/>
      <c r="J201" s="61" t="s">
        <v>2511</v>
      </c>
      <c r="K201" s="62" t="s">
        <v>2511</v>
      </c>
      <c r="L201" s="60" t="s">
        <v>2389</v>
      </c>
      <c r="M201" s="61" t="s">
        <v>2519</v>
      </c>
      <c r="N201" s="61" t="s">
        <v>2523</v>
      </c>
      <c r="O201" s="61" t="s">
        <v>2511</v>
      </c>
      <c r="P201" s="62" t="s">
        <v>2511</v>
      </c>
      <c r="Q201" s="58" t="s">
        <v>835</v>
      </c>
      <c r="R201" s="58" t="s">
        <v>550</v>
      </c>
      <c r="S201" s="58" t="s">
        <v>112</v>
      </c>
      <c r="T201" s="58" t="s">
        <v>113</v>
      </c>
      <c r="U201" s="63" t="s">
        <v>112</v>
      </c>
      <c r="V201" s="138" t="s">
        <v>3092</v>
      </c>
      <c r="W201" s="57" t="s">
        <v>3089</v>
      </c>
      <c r="X201" s="126" t="s">
        <v>2511</v>
      </c>
      <c r="Y201" s="126" t="s">
        <v>2511</v>
      </c>
      <c r="Z201" s="57" t="s">
        <v>2582</v>
      </c>
      <c r="AA201" s="57" t="s">
        <v>2583</v>
      </c>
      <c r="AB201" s="57" t="s">
        <v>2584</v>
      </c>
      <c r="AC201" s="57" t="s">
        <v>2516</v>
      </c>
      <c r="AD201" s="65" t="str">
        <f t="shared" si="49"/>
        <v>RSVD2</v>
      </c>
      <c r="AE201" s="70"/>
      <c r="AF201" s="67" t="str">
        <f t="shared" si="50"/>
        <v>PULL_DOWN</v>
      </c>
      <c r="AG201" s="67" t="str">
        <f t="shared" si="45"/>
        <v>TRISTATE</v>
      </c>
      <c r="AH201" s="67" t="str">
        <f>IF(OR($AQ201=$F201,$AR201="Output"),"DISABLE","ENABLE")</f>
        <v>DISABLE</v>
      </c>
      <c r="AI201" s="71" t="str">
        <f t="shared" si="47"/>
        <v>N/A</v>
      </c>
      <c r="AJ201" s="189" t="b">
        <v>1</v>
      </c>
      <c r="AK201" s="189" t="b">
        <v>1</v>
      </c>
      <c r="AL201" s="189" t="b">
        <v>1</v>
      </c>
      <c r="AM201" s="189" t="b">
        <v>1</v>
      </c>
      <c r="AN201" s="189" t="b">
        <v>1</v>
      </c>
      <c r="AO201" s="189" t="b">
        <v>1</v>
      </c>
      <c r="AP201" s="69" t="str">
        <f t="shared" si="51"/>
        <v>VALID</v>
      </c>
      <c r="AQ201" s="195" t="s">
        <v>1811</v>
      </c>
      <c r="AR201" s="194" t="s">
        <v>79</v>
      </c>
      <c r="AS201" s="193"/>
      <c r="AT201" s="72"/>
      <c r="AU201" s="72"/>
      <c r="AV201" s="193" t="s">
        <v>900</v>
      </c>
      <c r="AW201" s="72"/>
      <c r="AX201" s="72"/>
      <c r="AY201" s="72"/>
      <c r="AZ201" s="193"/>
      <c r="BA201" s="193"/>
      <c r="BB201" s="8"/>
      <c r="BC201" s="140"/>
      <c r="BD201" s="147" t="s">
        <v>83</v>
      </c>
      <c r="BE201" s="147" t="s">
        <v>83</v>
      </c>
    </row>
    <row r="202" spans="1:57" ht="12.95" hidden="1" customHeight="1">
      <c r="A202" s="248" t="e">
        <v>#N/A</v>
      </c>
      <c r="B202" s="252" t="e">
        <v>#N/A</v>
      </c>
      <c r="C202" s="263" t="s">
        <v>1036</v>
      </c>
      <c r="D202" s="239" t="s">
        <v>3094</v>
      </c>
      <c r="E202" s="58"/>
      <c r="F202" s="59" t="s">
        <v>1810</v>
      </c>
      <c r="G202" s="191" t="s">
        <v>2402</v>
      </c>
      <c r="H202" s="192" t="s">
        <v>869</v>
      </c>
      <c r="I202" s="61"/>
      <c r="J202" s="61" t="s">
        <v>2511</v>
      </c>
      <c r="K202" s="62" t="s">
        <v>2511</v>
      </c>
      <c r="L202" s="60" t="s">
        <v>2389</v>
      </c>
      <c r="M202" s="61" t="s">
        <v>2523</v>
      </c>
      <c r="N202" s="61" t="s">
        <v>2523</v>
      </c>
      <c r="O202" s="61" t="s">
        <v>2511</v>
      </c>
      <c r="P202" s="62" t="s">
        <v>2511</v>
      </c>
      <c r="Q202" s="58" t="s">
        <v>835</v>
      </c>
      <c r="R202" s="58" t="s">
        <v>550</v>
      </c>
      <c r="S202" s="58" t="s">
        <v>112</v>
      </c>
      <c r="T202" s="58" t="s">
        <v>113</v>
      </c>
      <c r="U202" s="63" t="s">
        <v>112</v>
      </c>
      <c r="V202" s="138" t="s">
        <v>3095</v>
      </c>
      <c r="W202" s="57" t="s">
        <v>3089</v>
      </c>
      <c r="X202" s="126" t="s">
        <v>2511</v>
      </c>
      <c r="Y202" s="126" t="s">
        <v>2511</v>
      </c>
      <c r="Z202" s="57" t="s">
        <v>2582</v>
      </c>
      <c r="AA202" s="57" t="s">
        <v>2583</v>
      </c>
      <c r="AB202" s="57" t="s">
        <v>2584</v>
      </c>
      <c r="AC202" s="57" t="s">
        <v>2516</v>
      </c>
      <c r="AD202" s="65" t="str">
        <f t="shared" si="49"/>
        <v>RSVD2</v>
      </c>
      <c r="AE202" s="70"/>
      <c r="AF202" s="67" t="str">
        <f t="shared" si="50"/>
        <v>PULL_DOWN</v>
      </c>
      <c r="AG202" s="67" t="str">
        <f t="shared" si="45"/>
        <v>TRISTATE</v>
      </c>
      <c r="AH202" s="67" t="str">
        <f>IF(OR($AQ202=$F202,$AR202="Output"),"DISABLE","ENABLE")</f>
        <v>DISABLE</v>
      </c>
      <c r="AI202" s="71" t="str">
        <f t="shared" si="47"/>
        <v>N/A</v>
      </c>
      <c r="AJ202" s="189" t="b">
        <v>1</v>
      </c>
      <c r="AK202" s="189" t="b">
        <v>1</v>
      </c>
      <c r="AL202" s="189" t="b">
        <v>1</v>
      </c>
      <c r="AM202" s="189" t="b">
        <v>1</v>
      </c>
      <c r="AN202" s="189" t="b">
        <v>1</v>
      </c>
      <c r="AO202" s="189" t="b">
        <v>1</v>
      </c>
      <c r="AP202" s="69" t="str">
        <f t="shared" si="51"/>
        <v>VALID</v>
      </c>
      <c r="AQ202" s="195" t="s">
        <v>1810</v>
      </c>
      <c r="AR202" s="194" t="s">
        <v>79</v>
      </c>
      <c r="AS202" s="193"/>
      <c r="AT202" s="72"/>
      <c r="AU202" s="72"/>
      <c r="AV202" s="193" t="s">
        <v>900</v>
      </c>
      <c r="AW202" s="72"/>
      <c r="AX202" s="72"/>
      <c r="AY202" s="72"/>
      <c r="AZ202" s="193"/>
      <c r="BA202" s="193"/>
      <c r="BB202" s="8"/>
      <c r="BC202" s="140"/>
      <c r="BD202" s="147" t="s">
        <v>83</v>
      </c>
      <c r="BE202" s="147" t="s">
        <v>83</v>
      </c>
    </row>
    <row r="203" spans="1:57" ht="12.95" hidden="1" customHeight="1">
      <c r="A203" s="248" t="e">
        <v>#N/A</v>
      </c>
      <c r="B203" s="252" t="e">
        <v>#N/A</v>
      </c>
      <c r="C203" s="263" t="s">
        <v>1037</v>
      </c>
      <c r="D203" s="239" t="s">
        <v>3096</v>
      </c>
      <c r="E203" s="58"/>
      <c r="F203" s="59" t="s">
        <v>1809</v>
      </c>
      <c r="G203" s="191" t="s">
        <v>2403</v>
      </c>
      <c r="H203" s="192" t="s">
        <v>870</v>
      </c>
      <c r="I203" s="61"/>
      <c r="J203" s="61" t="s">
        <v>2511</v>
      </c>
      <c r="K203" s="62" t="s">
        <v>2511</v>
      </c>
      <c r="L203" s="60" t="s">
        <v>2389</v>
      </c>
      <c r="M203" s="61" t="s">
        <v>2389</v>
      </c>
      <c r="N203" s="61" t="s">
        <v>2523</v>
      </c>
      <c r="O203" s="61" t="s">
        <v>2511</v>
      </c>
      <c r="P203" s="62" t="s">
        <v>2511</v>
      </c>
      <c r="Q203" s="58" t="s">
        <v>835</v>
      </c>
      <c r="R203" s="58" t="s">
        <v>550</v>
      </c>
      <c r="S203" s="58" t="s">
        <v>112</v>
      </c>
      <c r="T203" s="58" t="s">
        <v>113</v>
      </c>
      <c r="U203" s="63" t="s">
        <v>112</v>
      </c>
      <c r="V203" s="138" t="s">
        <v>3097</v>
      </c>
      <c r="W203" s="57" t="s">
        <v>3089</v>
      </c>
      <c r="X203" s="126" t="s">
        <v>2511</v>
      </c>
      <c r="Y203" s="126" t="s">
        <v>2511</v>
      </c>
      <c r="Z203" s="57" t="s">
        <v>2582</v>
      </c>
      <c r="AA203" s="57" t="s">
        <v>2583</v>
      </c>
      <c r="AB203" s="57" t="s">
        <v>2584</v>
      </c>
      <c r="AC203" s="57" t="s">
        <v>2516</v>
      </c>
      <c r="AD203" s="65" t="str">
        <f t="shared" si="49"/>
        <v>RSVD2</v>
      </c>
      <c r="AE203" s="70"/>
      <c r="AF203" s="67" t="str">
        <f t="shared" si="50"/>
        <v>PULL_DOWN</v>
      </c>
      <c r="AG203" s="67" t="str">
        <f>IF($AV203="slave", "TRISTATE", IF($AR203="Input", "TRISTATE", IF($AS203="Z","TRISTATE",IF($AQ203=$F203,"TRISTATE","NORMAL"))))</f>
        <v>TRISTATE</v>
      </c>
      <c r="AH203" s="67" t="str">
        <f>IF(OR((AND($AQ203=$G203,$AR203="INPUT")),(AND($AQ203=$H203,$AV203="Slave")),$AR203="Bidirectional"),"ENABLE","DISABLE")</f>
        <v>DISABLE</v>
      </c>
      <c r="AI203" s="71" t="str">
        <f t="shared" si="47"/>
        <v>N/A</v>
      </c>
      <c r="AJ203" s="189" t="b">
        <v>1</v>
      </c>
      <c r="AK203" s="189" t="b">
        <v>1</v>
      </c>
      <c r="AL203" s="189" t="b">
        <v>1</v>
      </c>
      <c r="AM203" s="189" t="b">
        <v>1</v>
      </c>
      <c r="AN203" s="189" t="b">
        <v>1</v>
      </c>
      <c r="AO203" s="189" t="b">
        <v>1</v>
      </c>
      <c r="AP203" s="69" t="str">
        <f t="shared" si="51"/>
        <v>VALID</v>
      </c>
      <c r="AQ203" s="195" t="s">
        <v>1809</v>
      </c>
      <c r="AR203" s="194" t="s">
        <v>79</v>
      </c>
      <c r="AS203" s="193"/>
      <c r="AT203" s="72"/>
      <c r="AU203" s="72"/>
      <c r="AV203" s="193" t="s">
        <v>900</v>
      </c>
      <c r="AW203" s="72"/>
      <c r="AX203" s="72"/>
      <c r="AY203" s="72"/>
      <c r="AZ203" s="193"/>
      <c r="BA203" s="193"/>
      <c r="BB203" s="8"/>
      <c r="BC203" s="140"/>
      <c r="BD203" s="147" t="s">
        <v>83</v>
      </c>
      <c r="BE203" s="147" t="s">
        <v>83</v>
      </c>
    </row>
    <row r="204" spans="1:57" ht="12.95" hidden="1" customHeight="1">
      <c r="A204" s="248" t="e">
        <v>#N/A</v>
      </c>
      <c r="B204" s="252" t="e">
        <v>#N/A</v>
      </c>
      <c r="C204" s="263" t="s">
        <v>49</v>
      </c>
      <c r="D204" s="239" t="s">
        <v>3098</v>
      </c>
      <c r="E204" s="58"/>
      <c r="F204" s="59" t="s">
        <v>180</v>
      </c>
      <c r="G204" s="191" t="s">
        <v>3099</v>
      </c>
      <c r="H204" s="192" t="s">
        <v>912</v>
      </c>
      <c r="I204" s="61"/>
      <c r="J204" s="61" t="s">
        <v>2511</v>
      </c>
      <c r="K204" s="62" t="s">
        <v>2511</v>
      </c>
      <c r="L204" s="60" t="s">
        <v>2389</v>
      </c>
      <c r="M204" s="61" t="s">
        <v>2389</v>
      </c>
      <c r="N204" s="61" t="s">
        <v>2523</v>
      </c>
      <c r="O204" s="61" t="s">
        <v>2511</v>
      </c>
      <c r="P204" s="62" t="s">
        <v>2511</v>
      </c>
      <c r="Q204" s="58" t="s">
        <v>834</v>
      </c>
      <c r="R204" s="58" t="s">
        <v>1855</v>
      </c>
      <c r="S204" s="58" t="s">
        <v>112</v>
      </c>
      <c r="T204" s="58" t="s">
        <v>113</v>
      </c>
      <c r="U204" s="63" t="s">
        <v>112</v>
      </c>
      <c r="V204" s="138" t="s">
        <v>3100</v>
      </c>
      <c r="W204" s="57" t="s">
        <v>3089</v>
      </c>
      <c r="X204" s="126" t="s">
        <v>2511</v>
      </c>
      <c r="Y204" s="126" t="s">
        <v>2511</v>
      </c>
      <c r="Z204" s="57" t="s">
        <v>2582</v>
      </c>
      <c r="AA204" s="57" t="s">
        <v>2583</v>
      </c>
      <c r="AB204" s="57" t="s">
        <v>2584</v>
      </c>
      <c r="AC204" s="57" t="s">
        <v>2516</v>
      </c>
      <c r="AD204" s="65" t="str">
        <f t="shared" si="49"/>
        <v>RSVD2</v>
      </c>
      <c r="AE204" s="70"/>
      <c r="AF204" s="67" t="str">
        <f t="shared" si="50"/>
        <v>PULL_DOWN</v>
      </c>
      <c r="AG204" s="67" t="str">
        <f>IF($AV204="slave", "TRISTATE", IF($AR204="Input", "TRISTATE", IF($AS204="Z","TRISTATE",IF($AQ204=$F204,"TRISTATE","NORMAL"))))</f>
        <v>TRISTATE</v>
      </c>
      <c r="AH204" s="67" t="str">
        <f>IF(OR((AND($AQ204=$G204,$AR204="INPUT")),(AND($AQ204=$H204,$AV204="Slave")),$AR204="Bidirectional"),"ENABLE","DISABLE")</f>
        <v>DISABLE</v>
      </c>
      <c r="AI204" s="71" t="str">
        <f t="shared" si="47"/>
        <v>N/A</v>
      </c>
      <c r="AJ204" s="189" t="b">
        <v>1</v>
      </c>
      <c r="AK204" s="189" t="b">
        <v>1</v>
      </c>
      <c r="AL204" s="189" t="b">
        <v>1</v>
      </c>
      <c r="AM204" s="189" t="b">
        <v>1</v>
      </c>
      <c r="AN204" s="189" t="b">
        <v>1</v>
      </c>
      <c r="AO204" s="189" t="b">
        <v>1</v>
      </c>
      <c r="AP204" s="69" t="str">
        <f t="shared" si="51"/>
        <v>VALID</v>
      </c>
      <c r="AQ204" s="196" t="s">
        <v>180</v>
      </c>
      <c r="AR204" s="194" t="s">
        <v>79</v>
      </c>
      <c r="AS204" s="193"/>
      <c r="AT204" s="72"/>
      <c r="AU204" s="72"/>
      <c r="AV204" s="193" t="s">
        <v>900</v>
      </c>
      <c r="AW204" s="72"/>
      <c r="AX204" s="72"/>
      <c r="AY204" s="72"/>
      <c r="AZ204" s="193"/>
      <c r="BA204" s="193"/>
      <c r="BB204" s="8"/>
      <c r="BC204" s="140"/>
      <c r="BD204" s="147" t="s">
        <v>83</v>
      </c>
      <c r="BE204" s="147" t="s">
        <v>83</v>
      </c>
    </row>
    <row r="205" spans="1:57" ht="12.95" hidden="1" customHeight="1">
      <c r="A205" s="248" t="e">
        <v>#N/A</v>
      </c>
      <c r="B205" s="252" t="e">
        <v>#N/A</v>
      </c>
      <c r="C205" s="263" t="s">
        <v>47</v>
      </c>
      <c r="D205" s="239" t="s">
        <v>3101</v>
      </c>
      <c r="E205" s="58"/>
      <c r="F205" s="59" t="s">
        <v>178</v>
      </c>
      <c r="G205" s="191" t="s">
        <v>2404</v>
      </c>
      <c r="H205" s="192" t="s">
        <v>913</v>
      </c>
      <c r="I205" s="61"/>
      <c r="J205" s="61" t="s">
        <v>2511</v>
      </c>
      <c r="K205" s="62" t="s">
        <v>2511</v>
      </c>
      <c r="L205" s="60" t="s">
        <v>2389</v>
      </c>
      <c r="M205" s="61" t="s">
        <v>2519</v>
      </c>
      <c r="N205" s="61" t="s">
        <v>2523</v>
      </c>
      <c r="O205" s="61" t="s">
        <v>2511</v>
      </c>
      <c r="P205" s="62" t="s">
        <v>2511</v>
      </c>
      <c r="Q205" s="58" t="s">
        <v>834</v>
      </c>
      <c r="R205" s="58" t="s">
        <v>1855</v>
      </c>
      <c r="S205" s="58" t="s">
        <v>112</v>
      </c>
      <c r="T205" s="58" t="s">
        <v>113</v>
      </c>
      <c r="U205" s="63" t="s">
        <v>112</v>
      </c>
      <c r="V205" s="138" t="s">
        <v>3102</v>
      </c>
      <c r="W205" s="57" t="s">
        <v>3089</v>
      </c>
      <c r="X205" s="126" t="s">
        <v>2511</v>
      </c>
      <c r="Y205" s="126" t="s">
        <v>2511</v>
      </c>
      <c r="Z205" s="57" t="s">
        <v>2582</v>
      </c>
      <c r="AA205" s="57" t="s">
        <v>2583</v>
      </c>
      <c r="AB205" s="57" t="s">
        <v>2584</v>
      </c>
      <c r="AC205" s="57" t="s">
        <v>2516</v>
      </c>
      <c r="AD205" s="65" t="str">
        <f t="shared" si="49"/>
        <v>RSVD2</v>
      </c>
      <c r="AE205" s="70"/>
      <c r="AF205" s="67" t="str">
        <f t="shared" si="50"/>
        <v>PULL_DOWN</v>
      </c>
      <c r="AG205" s="67" t="str">
        <f t="shared" si="45"/>
        <v>TRISTATE</v>
      </c>
      <c r="AH205" s="67" t="str">
        <f>IF(OR($AQ205=$F205,$AR205="Output"),"DISABLE","ENABLE")</f>
        <v>DISABLE</v>
      </c>
      <c r="AI205" s="71" t="str">
        <f t="shared" si="47"/>
        <v>N/A</v>
      </c>
      <c r="AJ205" s="189" t="b">
        <v>1</v>
      </c>
      <c r="AK205" s="189" t="b">
        <v>1</v>
      </c>
      <c r="AL205" s="189" t="b">
        <v>1</v>
      </c>
      <c r="AM205" s="189" t="b">
        <v>1</v>
      </c>
      <c r="AN205" s="189" t="b">
        <v>1</v>
      </c>
      <c r="AO205" s="189" t="b">
        <v>1</v>
      </c>
      <c r="AP205" s="69" t="str">
        <f t="shared" si="51"/>
        <v>VALID</v>
      </c>
      <c r="AQ205" s="196" t="s">
        <v>178</v>
      </c>
      <c r="AR205" s="194" t="s">
        <v>79</v>
      </c>
      <c r="AS205" s="193"/>
      <c r="AT205" s="72"/>
      <c r="AU205" s="72"/>
      <c r="AV205" s="193" t="s">
        <v>900</v>
      </c>
      <c r="AW205" s="72"/>
      <c r="AX205" s="72"/>
      <c r="AY205" s="72"/>
      <c r="AZ205" s="193"/>
      <c r="BA205" s="193"/>
      <c r="BB205" s="8"/>
      <c r="BC205" s="140"/>
      <c r="BD205" s="147" t="s">
        <v>83</v>
      </c>
      <c r="BE205" s="147" t="s">
        <v>83</v>
      </c>
    </row>
    <row r="206" spans="1:57" ht="12.95" hidden="1" customHeight="1">
      <c r="A206" s="248" t="e">
        <v>#N/A</v>
      </c>
      <c r="B206" s="252" t="e">
        <v>#N/A</v>
      </c>
      <c r="C206" s="263" t="s">
        <v>46</v>
      </c>
      <c r="D206" s="239" t="s">
        <v>3103</v>
      </c>
      <c r="E206" s="58"/>
      <c r="F206" s="59" t="s">
        <v>177</v>
      </c>
      <c r="G206" s="191" t="s">
        <v>2405</v>
      </c>
      <c r="H206" s="192" t="s">
        <v>914</v>
      </c>
      <c r="I206" s="61"/>
      <c r="J206" s="61" t="s">
        <v>2511</v>
      </c>
      <c r="K206" s="62" t="s">
        <v>2511</v>
      </c>
      <c r="L206" s="60" t="s">
        <v>2389</v>
      </c>
      <c r="M206" s="61" t="s">
        <v>2523</v>
      </c>
      <c r="N206" s="61" t="s">
        <v>2523</v>
      </c>
      <c r="O206" s="61" t="s">
        <v>2511</v>
      </c>
      <c r="P206" s="62" t="s">
        <v>2511</v>
      </c>
      <c r="Q206" s="7" t="s">
        <v>834</v>
      </c>
      <c r="R206" s="58" t="s">
        <v>1855</v>
      </c>
      <c r="S206" s="58" t="s">
        <v>112</v>
      </c>
      <c r="T206" s="58" t="s">
        <v>113</v>
      </c>
      <c r="U206" s="64" t="s">
        <v>112</v>
      </c>
      <c r="V206" s="138" t="s">
        <v>3104</v>
      </c>
      <c r="W206" s="57" t="s">
        <v>3089</v>
      </c>
      <c r="X206" s="126" t="s">
        <v>2511</v>
      </c>
      <c r="Y206" s="126" t="s">
        <v>2511</v>
      </c>
      <c r="Z206" s="57" t="s">
        <v>2582</v>
      </c>
      <c r="AA206" s="57" t="s">
        <v>2583</v>
      </c>
      <c r="AB206" s="57" t="s">
        <v>2584</v>
      </c>
      <c r="AC206" s="57" t="s">
        <v>2516</v>
      </c>
      <c r="AD206" s="65" t="str">
        <f t="shared" si="49"/>
        <v>RSVD2</v>
      </c>
      <c r="AE206" s="70"/>
      <c r="AF206" s="67" t="str">
        <f t="shared" si="50"/>
        <v>PULL_DOWN</v>
      </c>
      <c r="AG206" s="67" t="str">
        <f t="shared" si="45"/>
        <v>TRISTATE</v>
      </c>
      <c r="AH206" s="67" t="str">
        <f>IF(OR($AQ206=$F206,$AR206="Output"),"DISABLE","ENABLE")</f>
        <v>DISABLE</v>
      </c>
      <c r="AI206" s="71" t="str">
        <f t="shared" si="47"/>
        <v>N/A</v>
      </c>
      <c r="AJ206" s="189" t="b">
        <v>1</v>
      </c>
      <c r="AK206" s="189" t="b">
        <v>1</v>
      </c>
      <c r="AL206" s="189" t="b">
        <v>1</v>
      </c>
      <c r="AM206" s="189" t="b">
        <v>1</v>
      </c>
      <c r="AN206" s="189" t="b">
        <v>1</v>
      </c>
      <c r="AO206" s="189" t="b">
        <v>1</v>
      </c>
      <c r="AP206" s="69" t="str">
        <f t="shared" si="51"/>
        <v>VALID</v>
      </c>
      <c r="AQ206" s="196" t="s">
        <v>177</v>
      </c>
      <c r="AR206" s="194" t="s">
        <v>79</v>
      </c>
      <c r="AS206" s="193"/>
      <c r="AT206" s="72"/>
      <c r="AU206" s="72"/>
      <c r="AV206" s="193" t="s">
        <v>900</v>
      </c>
      <c r="AW206" s="72"/>
      <c r="AX206" s="72"/>
      <c r="AY206" s="72"/>
      <c r="AZ206" s="193"/>
      <c r="BA206" s="193"/>
      <c r="BB206" s="8"/>
      <c r="BC206" s="140"/>
      <c r="BD206" s="147" t="s">
        <v>83</v>
      </c>
      <c r="BE206" s="147" t="s">
        <v>83</v>
      </c>
    </row>
    <row r="207" spans="1:57" ht="12.95" hidden="1" customHeight="1">
      <c r="A207" s="248" t="e">
        <v>#N/A</v>
      </c>
      <c r="B207" s="252" t="e">
        <v>#N/A</v>
      </c>
      <c r="C207" s="263" t="s">
        <v>48</v>
      </c>
      <c r="D207" s="239" t="s">
        <v>3105</v>
      </c>
      <c r="E207" s="58"/>
      <c r="F207" s="59" t="s">
        <v>179</v>
      </c>
      <c r="G207" s="191" t="s">
        <v>2406</v>
      </c>
      <c r="H207" s="192" t="s">
        <v>915</v>
      </c>
      <c r="I207" s="61"/>
      <c r="J207" s="61" t="s">
        <v>2511</v>
      </c>
      <c r="K207" s="62" t="s">
        <v>2511</v>
      </c>
      <c r="L207" s="60" t="s">
        <v>2389</v>
      </c>
      <c r="M207" s="61" t="s">
        <v>2389</v>
      </c>
      <c r="N207" s="61" t="s">
        <v>2523</v>
      </c>
      <c r="O207" s="61" t="s">
        <v>2511</v>
      </c>
      <c r="P207" s="62" t="s">
        <v>2511</v>
      </c>
      <c r="Q207" s="7" t="s">
        <v>834</v>
      </c>
      <c r="R207" s="58" t="s">
        <v>1855</v>
      </c>
      <c r="S207" s="58" t="s">
        <v>112</v>
      </c>
      <c r="T207" s="58" t="s">
        <v>113</v>
      </c>
      <c r="U207" s="64" t="s">
        <v>112</v>
      </c>
      <c r="V207" s="138" t="s">
        <v>3106</v>
      </c>
      <c r="W207" s="57" t="s">
        <v>3089</v>
      </c>
      <c r="X207" s="126" t="s">
        <v>2511</v>
      </c>
      <c r="Y207" s="126" t="s">
        <v>2511</v>
      </c>
      <c r="Z207" s="57" t="s">
        <v>2582</v>
      </c>
      <c r="AA207" s="57" t="s">
        <v>2583</v>
      </c>
      <c r="AB207" s="57" t="s">
        <v>2584</v>
      </c>
      <c r="AC207" s="57" t="s">
        <v>2516</v>
      </c>
      <c r="AD207" s="65" t="str">
        <f t="shared" si="49"/>
        <v>RSVD2</v>
      </c>
      <c r="AE207" s="70"/>
      <c r="AF207" s="67" t="str">
        <f t="shared" si="50"/>
        <v>PULL_DOWN</v>
      </c>
      <c r="AG207" s="67" t="str">
        <f>IF($AV207="slave", "TRISTATE", IF($AR207="Input", "TRISTATE", IF($AS207="Z","TRISTATE",IF($AQ207=$F207,"TRISTATE","NORMAL"))))</f>
        <v>TRISTATE</v>
      </c>
      <c r="AH207" s="67" t="str">
        <f>IF(OR((AND($AQ207=$G207,$AR207="INPUT")),(AND($AQ207=$H207,$AV207="Slave")),$AR207="Bidirectional"),"ENABLE","DISABLE")</f>
        <v>DISABLE</v>
      </c>
      <c r="AI207" s="71" t="str">
        <f t="shared" si="47"/>
        <v>N/A</v>
      </c>
      <c r="AJ207" s="189" t="b">
        <v>1</v>
      </c>
      <c r="AK207" s="189" t="b">
        <v>1</v>
      </c>
      <c r="AL207" s="189" t="b">
        <v>1</v>
      </c>
      <c r="AM207" s="189" t="b">
        <v>1</v>
      </c>
      <c r="AN207" s="189" t="b">
        <v>1</v>
      </c>
      <c r="AO207" s="189" t="b">
        <v>1</v>
      </c>
      <c r="AP207" s="69" t="str">
        <f t="shared" si="51"/>
        <v>VALID</v>
      </c>
      <c r="AQ207" s="196" t="s">
        <v>179</v>
      </c>
      <c r="AR207" s="194" t="s">
        <v>79</v>
      </c>
      <c r="AS207" s="193"/>
      <c r="AT207" s="72"/>
      <c r="AU207" s="72"/>
      <c r="AV207" s="193" t="s">
        <v>900</v>
      </c>
      <c r="AW207" s="72"/>
      <c r="AX207" s="72"/>
      <c r="AY207" s="72"/>
      <c r="AZ207" s="193"/>
      <c r="BA207" s="193"/>
      <c r="BB207" s="8"/>
      <c r="BC207" s="140"/>
      <c r="BD207" s="147" t="s">
        <v>83</v>
      </c>
      <c r="BE207" s="147" t="s">
        <v>83</v>
      </c>
    </row>
    <row r="208" spans="1:57" s="56" customFormat="1" ht="18" hidden="1" customHeight="1">
      <c r="A208" s="231"/>
      <c r="B208" s="231"/>
      <c r="C208" s="266" t="s">
        <v>1040</v>
      </c>
      <c r="D208" s="266"/>
      <c r="E208" s="73"/>
      <c r="F208" s="73"/>
      <c r="G208" s="74"/>
      <c r="H208" s="74"/>
      <c r="I208" s="74"/>
      <c r="J208" s="74"/>
      <c r="K208" s="74"/>
      <c r="L208" s="73"/>
      <c r="M208" s="73"/>
      <c r="N208" s="73"/>
      <c r="O208" s="73"/>
      <c r="P208" s="73"/>
      <c r="Q208" s="73"/>
      <c r="R208" s="73"/>
      <c r="S208" s="73"/>
      <c r="T208" s="73"/>
      <c r="U208" s="73"/>
      <c r="V208" s="73"/>
      <c r="W208" s="73"/>
      <c r="X208" s="73"/>
      <c r="Y208" s="73"/>
      <c r="Z208" s="73"/>
      <c r="AA208" s="73"/>
      <c r="AB208" s="73"/>
      <c r="AC208" s="73"/>
      <c r="AD208" s="73"/>
      <c r="AE208" s="73"/>
      <c r="AF208" s="75"/>
      <c r="AG208" s="75"/>
      <c r="AH208" s="75"/>
      <c r="AI208" s="75"/>
      <c r="AJ208" s="53"/>
      <c r="AK208" s="53"/>
      <c r="AL208" s="53"/>
      <c r="AM208" s="53"/>
      <c r="AN208" s="53"/>
      <c r="AO208" s="53"/>
      <c r="AP208" s="53"/>
      <c r="AQ208" s="54"/>
      <c r="AR208" s="76"/>
      <c r="AS208" s="77"/>
      <c r="AT208" s="77"/>
      <c r="AU208" s="77"/>
      <c r="AV208" s="77"/>
      <c r="AW208" s="77"/>
      <c r="AX208" s="77"/>
      <c r="AY208" s="77"/>
      <c r="AZ208" s="77"/>
      <c r="BA208" s="77"/>
      <c r="BB208" s="77"/>
      <c r="BC208" s="175" t="s">
        <v>59</v>
      </c>
      <c r="BD208" s="186"/>
      <c r="BE208" s="228" t="s">
        <v>1040</v>
      </c>
    </row>
    <row r="209" spans="1:57" ht="12.95" hidden="1" customHeight="1">
      <c r="A209" s="248" t="e">
        <v>#N/A</v>
      </c>
      <c r="B209" s="252" t="e">
        <v>#N/A</v>
      </c>
      <c r="C209" s="263" t="s">
        <v>1038</v>
      </c>
      <c r="D209" s="239" t="s">
        <v>3107</v>
      </c>
      <c r="E209" s="58"/>
      <c r="F209" s="59" t="s">
        <v>1808</v>
      </c>
      <c r="G209" s="191" t="s">
        <v>2191</v>
      </c>
      <c r="H209" s="192" t="s">
        <v>2511</v>
      </c>
      <c r="I209" s="61" t="s">
        <v>2511</v>
      </c>
      <c r="J209" s="61" t="s">
        <v>2511</v>
      </c>
      <c r="K209" s="62" t="s">
        <v>2511</v>
      </c>
      <c r="L209" s="60" t="s">
        <v>2389</v>
      </c>
      <c r="M209" s="61" t="s">
        <v>2511</v>
      </c>
      <c r="N209" s="61" t="s">
        <v>2511</v>
      </c>
      <c r="O209" s="61" t="s">
        <v>2511</v>
      </c>
      <c r="P209" s="62" t="s">
        <v>2511</v>
      </c>
      <c r="Q209" s="58" t="s">
        <v>552</v>
      </c>
      <c r="R209" s="58" t="s">
        <v>126</v>
      </c>
      <c r="S209" s="58" t="s">
        <v>112</v>
      </c>
      <c r="T209" s="58" t="s">
        <v>113</v>
      </c>
      <c r="U209" s="64" t="s">
        <v>552</v>
      </c>
      <c r="V209" s="138" t="s">
        <v>3108</v>
      </c>
      <c r="W209" s="57" t="s">
        <v>2683</v>
      </c>
      <c r="X209" s="126" t="s">
        <v>2511</v>
      </c>
      <c r="Y209" s="126" t="s">
        <v>2511</v>
      </c>
      <c r="Z209" s="57" t="s">
        <v>2514</v>
      </c>
      <c r="AA209" s="57" t="s">
        <v>2515</v>
      </c>
      <c r="AB209" s="57" t="s">
        <v>2393</v>
      </c>
      <c r="AC209" s="57">
        <v>0</v>
      </c>
      <c r="AD209" s="65" t="str">
        <f t="shared" ref="AD209:AD229" si="52">IF(OR($AQ209="",$AQ209=$F209),$U209,IF($AQ209=$G209,SUBSTITUTE(SUBSTITUTE($AQ209,"GPIO3_","GPIO_"),".0",""),IF($AQ209=$H209,$Q209,IF($AQ209=$I209,$R209,IF($AQ209=$J209,$S209,IF($AQ209=$K209,$T209,"INVALID"))))))</f>
        <v>GPIO_PB0</v>
      </c>
      <c r="AE209" s="70"/>
      <c r="AF209" s="67" t="str">
        <f t="shared" ref="AF209:AF243" si="53">IF(AND(OR($AS209="Int PU",$AS209="Int PD"),OR(AND($AZ209&lt;&gt;"",$AZ209&lt;&gt;"0"),AND($BA209&lt;&gt;"",$BA209&lt;&gt;"0"))),"INVALID",IF(OR($AQ209=$F209,$AS209="Int PD"),"PULL_DOWN",IF(OR($AS209="Int PU",AND($AE209="YES",OR($AZ209="",$AZ209="0"),OR($BA209="",$BA209="0"),OR($AR209="Input",$AR209="Bidirectional"))),"PULL_UP","NORMAL")))</f>
        <v>NORMAL</v>
      </c>
      <c r="AG209" s="67" t="str">
        <f t="shared" si="45"/>
        <v>NORMAL</v>
      </c>
      <c r="AH209" s="67" t="str">
        <f t="shared" ref="AH209:AH243" si="54">IF(OR($AQ209=$F209,$AR209="Output"),"DISABLE","ENABLE")</f>
        <v>DISABLE</v>
      </c>
      <c r="AI209" s="71" t="str">
        <f t="shared" si="47"/>
        <v>0</v>
      </c>
      <c r="AJ209" s="189" t="b">
        <v>1</v>
      </c>
      <c r="AK209" s="189" t="b">
        <v>1</v>
      </c>
      <c r="AL209" s="189" t="b">
        <v>1</v>
      </c>
      <c r="AM209" s="189" t="b">
        <v>1</v>
      </c>
      <c r="AN209" s="189" t="b">
        <v>1</v>
      </c>
      <c r="AO209" s="189" t="b">
        <v>1</v>
      </c>
      <c r="AP209" s="69" t="str">
        <f t="shared" ref="AP209:AP229" si="55">IF(AND($AJ209:$AO209), "VALID", "INVALID")</f>
        <v>VALID</v>
      </c>
      <c r="AQ209" s="195" t="s">
        <v>2191</v>
      </c>
      <c r="AR209" s="194" t="s">
        <v>861</v>
      </c>
      <c r="AS209" s="193" t="s">
        <v>874</v>
      </c>
      <c r="AT209" s="72"/>
      <c r="AU209" s="72"/>
      <c r="AV209" s="72"/>
      <c r="AW209" s="72"/>
      <c r="AX209" s="193" t="s">
        <v>136</v>
      </c>
      <c r="AY209" s="72"/>
      <c r="AZ209" s="193"/>
      <c r="BA209" s="193"/>
      <c r="BB209" s="8" t="s">
        <v>114</v>
      </c>
      <c r="BC209" s="140"/>
      <c r="BD209" s="11" t="s">
        <v>5637</v>
      </c>
      <c r="BE209" s="311" t="s">
        <v>5638</v>
      </c>
    </row>
    <row r="210" spans="1:57" ht="12.95" hidden="1" customHeight="1">
      <c r="A210" s="248" t="e">
        <v>#N/A</v>
      </c>
      <c r="B210" s="252" t="e">
        <v>#N/A</v>
      </c>
      <c r="C210" s="263" t="s">
        <v>1039</v>
      </c>
      <c r="D210" s="239" t="s">
        <v>3109</v>
      </c>
      <c r="E210" s="58"/>
      <c r="F210" s="59" t="s">
        <v>1807</v>
      </c>
      <c r="G210" s="191" t="s">
        <v>2192</v>
      </c>
      <c r="H210" s="192" t="s">
        <v>2511</v>
      </c>
      <c r="I210" s="61" t="s">
        <v>2511</v>
      </c>
      <c r="J210" s="61" t="s">
        <v>2511</v>
      </c>
      <c r="K210" s="62" t="s">
        <v>2511</v>
      </c>
      <c r="L210" s="60" t="s">
        <v>2389</v>
      </c>
      <c r="M210" s="61" t="s">
        <v>2511</v>
      </c>
      <c r="N210" s="61" t="s">
        <v>2511</v>
      </c>
      <c r="O210" s="61" t="s">
        <v>2511</v>
      </c>
      <c r="P210" s="62" t="s">
        <v>2511</v>
      </c>
      <c r="Q210" s="58" t="s">
        <v>552</v>
      </c>
      <c r="R210" s="58" t="s">
        <v>126</v>
      </c>
      <c r="S210" s="58" t="s">
        <v>112</v>
      </c>
      <c r="T210" s="58" t="s">
        <v>113</v>
      </c>
      <c r="U210" s="64" t="s">
        <v>552</v>
      </c>
      <c r="V210" s="138" t="s">
        <v>3110</v>
      </c>
      <c r="W210" s="57" t="s">
        <v>2683</v>
      </c>
      <c r="X210" s="126" t="s">
        <v>2511</v>
      </c>
      <c r="Y210" s="126" t="s">
        <v>2511</v>
      </c>
      <c r="Z210" s="57" t="s">
        <v>2514</v>
      </c>
      <c r="AA210" s="57" t="s">
        <v>2515</v>
      </c>
      <c r="AB210" s="57" t="s">
        <v>2393</v>
      </c>
      <c r="AC210" s="57">
        <v>0</v>
      </c>
      <c r="AD210" s="65" t="str">
        <f t="shared" si="52"/>
        <v>RSVD0</v>
      </c>
      <c r="AE210" s="70"/>
      <c r="AF210" s="67" t="str">
        <f t="shared" si="53"/>
        <v>PULL_DOWN</v>
      </c>
      <c r="AG210" s="67" t="str">
        <f t="shared" si="45"/>
        <v>TRISTATE</v>
      </c>
      <c r="AH210" s="67" t="str">
        <f t="shared" si="54"/>
        <v>DISABLE</v>
      </c>
      <c r="AI210" s="71" t="str">
        <f t="shared" si="47"/>
        <v>N/A</v>
      </c>
      <c r="AJ210" s="189" t="b">
        <v>1</v>
      </c>
      <c r="AK210" s="189" t="b">
        <v>1</v>
      </c>
      <c r="AL210" s="189" t="b">
        <v>1</v>
      </c>
      <c r="AM210" s="189" t="b">
        <v>1</v>
      </c>
      <c r="AN210" s="189" t="b">
        <v>1</v>
      </c>
      <c r="AO210" s="189" t="b">
        <v>1</v>
      </c>
      <c r="AP210" s="69" t="str">
        <f t="shared" si="55"/>
        <v>VALID</v>
      </c>
      <c r="AQ210" s="195" t="s">
        <v>1807</v>
      </c>
      <c r="AR210" s="194" t="s">
        <v>79</v>
      </c>
      <c r="AS210" s="193"/>
      <c r="AT210" s="72"/>
      <c r="AU210" s="72"/>
      <c r="AV210" s="72"/>
      <c r="AW210" s="72"/>
      <c r="AX210" s="193" t="s">
        <v>136</v>
      </c>
      <c r="AY210" s="72"/>
      <c r="AZ210" s="193"/>
      <c r="BA210" s="193"/>
      <c r="BB210" s="8"/>
      <c r="BC210" s="140"/>
      <c r="BD210" s="147" t="s">
        <v>83</v>
      </c>
      <c r="BE210" s="147" t="s">
        <v>83</v>
      </c>
    </row>
    <row r="211" spans="1:57" s="56" customFormat="1" ht="18" hidden="1" customHeight="1">
      <c r="A211" s="363"/>
      <c r="B211" s="364"/>
      <c r="C211" s="266" t="s">
        <v>766</v>
      </c>
      <c r="D211" s="266"/>
      <c r="E211" s="73"/>
      <c r="F211" s="73"/>
      <c r="G211" s="74"/>
      <c r="H211" s="74"/>
      <c r="I211" s="74"/>
      <c r="J211" s="74"/>
      <c r="K211" s="74"/>
      <c r="L211" s="73"/>
      <c r="M211" s="73"/>
      <c r="N211" s="73"/>
      <c r="O211" s="73"/>
      <c r="P211" s="73"/>
      <c r="Q211" s="73"/>
      <c r="R211" s="73"/>
      <c r="S211" s="73"/>
      <c r="T211" s="73"/>
      <c r="U211" s="73"/>
      <c r="V211" s="73"/>
      <c r="W211" s="73"/>
      <c r="X211" s="73"/>
      <c r="Y211" s="73"/>
      <c r="Z211" s="73"/>
      <c r="AA211" s="73"/>
      <c r="AB211" s="73"/>
      <c r="AC211" s="73"/>
      <c r="AD211" s="73"/>
      <c r="AE211" s="73"/>
      <c r="AF211" s="75"/>
      <c r="AG211" s="75"/>
      <c r="AH211" s="75"/>
      <c r="AI211" s="75"/>
      <c r="AJ211" s="53"/>
      <c r="AK211" s="53"/>
      <c r="AL211" s="53"/>
      <c r="AM211" s="53"/>
      <c r="AN211" s="53"/>
      <c r="AO211" s="53"/>
      <c r="AP211" s="53"/>
      <c r="AQ211" s="54"/>
      <c r="AR211" s="76"/>
      <c r="AS211" s="77"/>
      <c r="AT211" s="77"/>
      <c r="AU211" s="77"/>
      <c r="AV211" s="77"/>
      <c r="AW211" s="77"/>
      <c r="AX211" s="77"/>
      <c r="AY211" s="77"/>
      <c r="AZ211" s="77"/>
      <c r="BA211" s="77"/>
      <c r="BB211" s="77"/>
      <c r="BC211" s="175" t="s">
        <v>5636</v>
      </c>
      <c r="BD211" s="186"/>
      <c r="BE211" s="231" t="s">
        <v>766</v>
      </c>
    </row>
    <row r="212" spans="1:57" ht="12.95" hidden="1" customHeight="1">
      <c r="A212" s="248" t="e">
        <v>#N/A</v>
      </c>
      <c r="B212" s="252" t="e">
        <v>#N/A</v>
      </c>
      <c r="C212" s="263" t="s">
        <v>767</v>
      </c>
      <c r="D212" s="239" t="s">
        <v>3112</v>
      </c>
      <c r="E212" s="58"/>
      <c r="F212" s="59" t="s">
        <v>827</v>
      </c>
      <c r="G212" s="191" t="s">
        <v>3113</v>
      </c>
      <c r="H212" s="192" t="s">
        <v>767</v>
      </c>
      <c r="I212" s="61" t="s">
        <v>2511</v>
      </c>
      <c r="J212" s="61" t="s">
        <v>2511</v>
      </c>
      <c r="K212" s="62" t="s">
        <v>2511</v>
      </c>
      <c r="L212" s="60" t="s">
        <v>2389</v>
      </c>
      <c r="M212" s="61" t="s">
        <v>2388</v>
      </c>
      <c r="N212" s="61" t="s">
        <v>2511</v>
      </c>
      <c r="O212" s="61" t="s">
        <v>2511</v>
      </c>
      <c r="P212" s="62" t="s">
        <v>2511</v>
      </c>
      <c r="Q212" s="58" t="s">
        <v>852</v>
      </c>
      <c r="R212" s="58" t="s">
        <v>126</v>
      </c>
      <c r="S212" s="58" t="s">
        <v>112</v>
      </c>
      <c r="T212" s="58" t="s">
        <v>113</v>
      </c>
      <c r="U212" s="64" t="s">
        <v>126</v>
      </c>
      <c r="V212" s="138" t="s">
        <v>3114</v>
      </c>
      <c r="W212" s="57" t="s">
        <v>3115</v>
      </c>
      <c r="X212" s="126" t="s">
        <v>2511</v>
      </c>
      <c r="Y212" s="126" t="s">
        <v>2511</v>
      </c>
      <c r="Z212" s="57" t="s">
        <v>2628</v>
      </c>
      <c r="AA212" s="57" t="s">
        <v>2629</v>
      </c>
      <c r="AB212" s="57" t="s">
        <v>2630</v>
      </c>
      <c r="AC212" s="57">
        <v>0</v>
      </c>
      <c r="AD212" s="65" t="str">
        <f t="shared" si="52"/>
        <v>RSVD1</v>
      </c>
      <c r="AE212" s="70"/>
      <c r="AF212" s="67" t="str">
        <f t="shared" si="53"/>
        <v>PULL_DOWN</v>
      </c>
      <c r="AG212" s="67" t="str">
        <f t="shared" si="45"/>
        <v>TRISTATE</v>
      </c>
      <c r="AH212" s="67" t="str">
        <f t="shared" si="54"/>
        <v>DISABLE</v>
      </c>
      <c r="AI212" s="71" t="str">
        <f t="shared" si="47"/>
        <v>N/A</v>
      </c>
      <c r="AJ212" s="189" t="b">
        <v>1</v>
      </c>
      <c r="AK212" s="189" t="b">
        <v>1</v>
      </c>
      <c r="AL212" s="189" t="b">
        <v>1</v>
      </c>
      <c r="AM212" s="189" t="b">
        <v>1</v>
      </c>
      <c r="AN212" s="189" t="b">
        <v>1</v>
      </c>
      <c r="AO212" s="189" t="b">
        <v>1</v>
      </c>
      <c r="AP212" s="69" t="str">
        <f t="shared" si="55"/>
        <v>VALID</v>
      </c>
      <c r="AQ212" s="195" t="s">
        <v>827</v>
      </c>
      <c r="AR212" s="194" t="s">
        <v>79</v>
      </c>
      <c r="AS212" s="193"/>
      <c r="AT212" s="72"/>
      <c r="AU212" s="72"/>
      <c r="AV212" s="72"/>
      <c r="AW212" s="72"/>
      <c r="AX212" s="72"/>
      <c r="AY212" s="72"/>
      <c r="AZ212" s="193"/>
      <c r="BA212" s="193"/>
      <c r="BB212" s="8"/>
      <c r="BC212" s="140"/>
      <c r="BD212" s="147" t="s">
        <v>83</v>
      </c>
      <c r="BE212" s="147" t="s">
        <v>83</v>
      </c>
    </row>
    <row r="213" spans="1:57" ht="12.95" hidden="1" customHeight="1">
      <c r="A213" s="248" t="e">
        <v>#N/A</v>
      </c>
      <c r="B213" s="252" t="e">
        <v>#N/A</v>
      </c>
      <c r="C213" s="263" t="s">
        <v>768</v>
      </c>
      <c r="D213" s="239" t="s">
        <v>3116</v>
      </c>
      <c r="E213" s="58"/>
      <c r="F213" s="59" t="s">
        <v>828</v>
      </c>
      <c r="G213" s="191" t="s">
        <v>3117</v>
      </c>
      <c r="H213" s="192" t="s">
        <v>768</v>
      </c>
      <c r="I213" s="61" t="s">
        <v>2511</v>
      </c>
      <c r="J213" s="61" t="s">
        <v>2511</v>
      </c>
      <c r="K213" s="62" t="s">
        <v>2511</v>
      </c>
      <c r="L213" s="60" t="s">
        <v>2389</v>
      </c>
      <c r="M213" s="61" t="s">
        <v>2388</v>
      </c>
      <c r="N213" s="61" t="s">
        <v>2511</v>
      </c>
      <c r="O213" s="61" t="s">
        <v>2511</v>
      </c>
      <c r="P213" s="62" t="s">
        <v>2511</v>
      </c>
      <c r="Q213" s="58" t="s">
        <v>852</v>
      </c>
      <c r="R213" s="58" t="s">
        <v>126</v>
      </c>
      <c r="S213" s="58" t="s">
        <v>112</v>
      </c>
      <c r="T213" s="58" t="s">
        <v>113</v>
      </c>
      <c r="U213" s="64" t="s">
        <v>126</v>
      </c>
      <c r="V213" s="138" t="s">
        <v>3118</v>
      </c>
      <c r="W213" s="57" t="s">
        <v>3115</v>
      </c>
      <c r="X213" s="126" t="s">
        <v>2511</v>
      </c>
      <c r="Y213" s="126" t="s">
        <v>2511</v>
      </c>
      <c r="Z213" s="57" t="s">
        <v>2628</v>
      </c>
      <c r="AA213" s="57" t="s">
        <v>2629</v>
      </c>
      <c r="AB213" s="57" t="s">
        <v>2630</v>
      </c>
      <c r="AC213" s="57">
        <v>0</v>
      </c>
      <c r="AD213" s="65" t="str">
        <f t="shared" si="52"/>
        <v>RSVD1</v>
      </c>
      <c r="AE213" s="70"/>
      <c r="AF213" s="67" t="str">
        <f t="shared" si="53"/>
        <v>PULL_DOWN</v>
      </c>
      <c r="AG213" s="67" t="str">
        <f t="shared" si="45"/>
        <v>TRISTATE</v>
      </c>
      <c r="AH213" s="67" t="str">
        <f t="shared" si="54"/>
        <v>DISABLE</v>
      </c>
      <c r="AI213" s="71" t="str">
        <f t="shared" si="47"/>
        <v>N/A</v>
      </c>
      <c r="AJ213" s="189" t="b">
        <v>1</v>
      </c>
      <c r="AK213" s="189" t="b">
        <v>1</v>
      </c>
      <c r="AL213" s="189" t="b">
        <v>1</v>
      </c>
      <c r="AM213" s="189" t="b">
        <v>1</v>
      </c>
      <c r="AN213" s="189" t="b">
        <v>1</v>
      </c>
      <c r="AO213" s="189" t="b">
        <v>1</v>
      </c>
      <c r="AP213" s="69" t="str">
        <f t="shared" si="55"/>
        <v>VALID</v>
      </c>
      <c r="AQ213" s="195" t="s">
        <v>828</v>
      </c>
      <c r="AR213" s="194" t="s">
        <v>79</v>
      </c>
      <c r="AS213" s="193"/>
      <c r="AT213" s="72"/>
      <c r="AU213" s="72"/>
      <c r="AV213" s="72"/>
      <c r="AW213" s="72"/>
      <c r="AX213" s="72"/>
      <c r="AY213" s="72"/>
      <c r="AZ213" s="193"/>
      <c r="BA213" s="193"/>
      <c r="BB213" s="8"/>
      <c r="BC213" s="140"/>
      <c r="BD213" s="147" t="s">
        <v>83</v>
      </c>
      <c r="BE213" s="147" t="s">
        <v>83</v>
      </c>
    </row>
    <row r="214" spans="1:57" s="56" customFormat="1" ht="18" customHeight="1">
      <c r="A214" s="363"/>
      <c r="B214" s="364"/>
      <c r="C214" s="266" t="s">
        <v>68</v>
      </c>
      <c r="D214" s="266"/>
      <c r="E214" s="73"/>
      <c r="F214" s="73"/>
      <c r="G214" s="74"/>
      <c r="H214" s="74"/>
      <c r="I214" s="74"/>
      <c r="J214" s="74"/>
      <c r="K214" s="74"/>
      <c r="L214" s="73"/>
      <c r="M214" s="73"/>
      <c r="N214" s="73"/>
      <c r="O214" s="73"/>
      <c r="P214" s="73"/>
      <c r="Q214" s="73"/>
      <c r="R214" s="73"/>
      <c r="S214" s="73"/>
      <c r="T214" s="73"/>
      <c r="U214" s="73"/>
      <c r="V214" s="73"/>
      <c r="W214" s="73"/>
      <c r="X214" s="73"/>
      <c r="Y214" s="73"/>
      <c r="Z214" s="73"/>
      <c r="AA214" s="73"/>
      <c r="AB214" s="73"/>
      <c r="AC214" s="73"/>
      <c r="AD214" s="73"/>
      <c r="AE214" s="73"/>
      <c r="AF214" s="75"/>
      <c r="AG214" s="75"/>
      <c r="AH214" s="75"/>
      <c r="AI214" s="75"/>
      <c r="AJ214" s="53"/>
      <c r="AK214" s="53"/>
      <c r="AL214" s="53"/>
      <c r="AM214" s="53"/>
      <c r="AN214" s="53"/>
      <c r="AO214" s="53"/>
      <c r="AP214" s="53"/>
      <c r="AQ214" s="54"/>
      <c r="AR214" s="76"/>
      <c r="AS214" s="77"/>
      <c r="AT214" s="77"/>
      <c r="AU214" s="77"/>
      <c r="AV214" s="77"/>
      <c r="AW214" s="77"/>
      <c r="AX214" s="77"/>
      <c r="AY214" s="77"/>
      <c r="AZ214" s="77"/>
      <c r="BA214" s="77"/>
      <c r="BB214" s="77"/>
      <c r="BC214" s="175" t="s">
        <v>59</v>
      </c>
      <c r="BD214" s="186"/>
      <c r="BE214" s="76" t="s">
        <v>68</v>
      </c>
    </row>
    <row r="215" spans="1:57" ht="12.95" hidden="1" customHeight="1">
      <c r="A215" s="248" t="e">
        <v>#N/A</v>
      </c>
      <c r="B215" s="252" t="e">
        <v>#N/A</v>
      </c>
      <c r="C215" s="263" t="s">
        <v>17</v>
      </c>
      <c r="D215" s="239" t="s">
        <v>2637</v>
      </c>
      <c r="E215" s="58"/>
      <c r="F215" s="59" t="s">
        <v>479</v>
      </c>
      <c r="G215" s="191" t="s">
        <v>3120</v>
      </c>
      <c r="H215" s="192" t="s">
        <v>2193</v>
      </c>
      <c r="I215" s="61" t="s">
        <v>2511</v>
      </c>
      <c r="J215" s="61" t="s">
        <v>2511</v>
      </c>
      <c r="K215" s="62" t="s">
        <v>2511</v>
      </c>
      <c r="L215" s="60" t="s">
        <v>2389</v>
      </c>
      <c r="M215" s="61" t="s">
        <v>2389</v>
      </c>
      <c r="N215" s="61" t="s">
        <v>2511</v>
      </c>
      <c r="O215" s="61" t="s">
        <v>2511</v>
      </c>
      <c r="P215" s="62" t="s">
        <v>2511</v>
      </c>
      <c r="Q215" s="58" t="s">
        <v>545</v>
      </c>
      <c r="R215" s="58" t="s">
        <v>126</v>
      </c>
      <c r="S215" s="58" t="s">
        <v>112</v>
      </c>
      <c r="T215" s="58" t="s">
        <v>113</v>
      </c>
      <c r="U215" s="64" t="s">
        <v>126</v>
      </c>
      <c r="V215" s="138" t="s">
        <v>3121</v>
      </c>
      <c r="W215" s="57" t="s">
        <v>3122</v>
      </c>
      <c r="X215" s="126" t="s">
        <v>2511</v>
      </c>
      <c r="Y215" s="126" t="s">
        <v>2511</v>
      </c>
      <c r="Z215" s="57" t="s">
        <v>2817</v>
      </c>
      <c r="AA215" s="57" t="s">
        <v>3123</v>
      </c>
      <c r="AB215" s="57" t="s">
        <v>2393</v>
      </c>
      <c r="AC215" s="57" t="s">
        <v>2631</v>
      </c>
      <c r="AD215" s="65" t="str">
        <f t="shared" si="52"/>
        <v>RSVD1</v>
      </c>
      <c r="AE215" s="70"/>
      <c r="AF215" s="67" t="str">
        <f t="shared" si="53"/>
        <v>PULL_DOWN</v>
      </c>
      <c r="AG215" s="67" t="str">
        <f t="shared" si="45"/>
        <v>TRISTATE</v>
      </c>
      <c r="AH215" s="67" t="str">
        <f t="shared" si="54"/>
        <v>DISABLE</v>
      </c>
      <c r="AI215" s="71" t="str">
        <f t="shared" si="47"/>
        <v>N/A</v>
      </c>
      <c r="AJ215" s="189" t="b">
        <v>1</v>
      </c>
      <c r="AK215" s="189" t="b">
        <v>1</v>
      </c>
      <c r="AL215" s="189" t="b">
        <v>1</v>
      </c>
      <c r="AM215" s="189" t="b">
        <v>1</v>
      </c>
      <c r="AN215" s="189" t="b">
        <v>1</v>
      </c>
      <c r="AO215" s="189" t="b">
        <v>1</v>
      </c>
      <c r="AP215" s="69" t="str">
        <f t="shared" si="55"/>
        <v>VALID</v>
      </c>
      <c r="AQ215" s="196" t="s">
        <v>479</v>
      </c>
      <c r="AR215" s="194" t="s">
        <v>79</v>
      </c>
      <c r="AS215" s="193"/>
      <c r="AT215" s="72"/>
      <c r="AU215" s="72"/>
      <c r="AV215" s="72"/>
      <c r="AW215" s="193" t="s">
        <v>136</v>
      </c>
      <c r="AX215" s="193" t="s">
        <v>136</v>
      </c>
      <c r="AY215" s="72"/>
      <c r="AZ215" s="193"/>
      <c r="BA215" s="193"/>
      <c r="BB215" s="8"/>
      <c r="BC215" s="140"/>
      <c r="BD215" s="147" t="s">
        <v>83</v>
      </c>
      <c r="BE215" s="147" t="s">
        <v>83</v>
      </c>
    </row>
    <row r="216" spans="1:57" ht="12.95" hidden="1" customHeight="1">
      <c r="A216" s="248" t="e">
        <v>#N/A</v>
      </c>
      <c r="B216" s="252" t="e">
        <v>#N/A</v>
      </c>
      <c r="C216" s="263" t="s">
        <v>18</v>
      </c>
      <c r="D216" s="239" t="s">
        <v>2802</v>
      </c>
      <c r="E216" s="58"/>
      <c r="F216" s="59" t="s">
        <v>480</v>
      </c>
      <c r="G216" s="191" t="s">
        <v>3124</v>
      </c>
      <c r="H216" s="192" t="s">
        <v>2194</v>
      </c>
      <c r="I216" s="61" t="s">
        <v>2511</v>
      </c>
      <c r="J216" s="61" t="s">
        <v>2511</v>
      </c>
      <c r="K216" s="62"/>
      <c r="L216" s="60" t="s">
        <v>2389</v>
      </c>
      <c r="M216" s="61" t="s">
        <v>2389</v>
      </c>
      <c r="N216" s="61" t="s">
        <v>2511</v>
      </c>
      <c r="O216" s="61" t="s">
        <v>2511</v>
      </c>
      <c r="P216" s="62"/>
      <c r="Q216" s="58" t="s">
        <v>545</v>
      </c>
      <c r="R216" s="58" t="s">
        <v>126</v>
      </c>
      <c r="S216" s="58" t="s">
        <v>112</v>
      </c>
      <c r="T216" s="58" t="s">
        <v>113</v>
      </c>
      <c r="U216" s="64" t="s">
        <v>126</v>
      </c>
      <c r="V216" s="138" t="s">
        <v>3125</v>
      </c>
      <c r="W216" s="57" t="s">
        <v>3122</v>
      </c>
      <c r="X216" s="126" t="s">
        <v>2511</v>
      </c>
      <c r="Y216" s="126" t="s">
        <v>2511</v>
      </c>
      <c r="Z216" s="57" t="s">
        <v>2817</v>
      </c>
      <c r="AA216" s="57" t="s">
        <v>3123</v>
      </c>
      <c r="AB216" s="57" t="s">
        <v>2393</v>
      </c>
      <c r="AC216" s="57">
        <v>0</v>
      </c>
      <c r="AD216" s="65" t="str">
        <f t="shared" si="52"/>
        <v>RSVD1</v>
      </c>
      <c r="AE216" s="70"/>
      <c r="AF216" s="67" t="str">
        <f t="shared" si="53"/>
        <v>PULL_DOWN</v>
      </c>
      <c r="AG216" s="67" t="str">
        <f t="shared" si="45"/>
        <v>TRISTATE</v>
      </c>
      <c r="AH216" s="67" t="str">
        <f t="shared" si="54"/>
        <v>DISABLE</v>
      </c>
      <c r="AI216" s="71" t="str">
        <f t="shared" si="47"/>
        <v>N/A</v>
      </c>
      <c r="AJ216" s="189" t="b">
        <v>1</v>
      </c>
      <c r="AK216" s="189" t="b">
        <v>1</v>
      </c>
      <c r="AL216" s="189" t="b">
        <v>1</v>
      </c>
      <c r="AM216" s="189" t="b">
        <v>1</v>
      </c>
      <c r="AN216" s="189" t="b">
        <v>1</v>
      </c>
      <c r="AO216" s="189" t="b">
        <v>1</v>
      </c>
      <c r="AP216" s="69" t="str">
        <f t="shared" si="55"/>
        <v>VALID</v>
      </c>
      <c r="AQ216" s="196" t="s">
        <v>480</v>
      </c>
      <c r="AR216" s="194" t="s">
        <v>79</v>
      </c>
      <c r="AS216" s="193"/>
      <c r="AT216" s="72"/>
      <c r="AU216" s="72"/>
      <c r="AV216" s="72"/>
      <c r="AW216" s="193" t="s">
        <v>136</v>
      </c>
      <c r="AX216" s="193" t="s">
        <v>136</v>
      </c>
      <c r="AY216" s="72"/>
      <c r="AZ216" s="193"/>
      <c r="BA216" s="193"/>
      <c r="BB216" s="8"/>
      <c r="BC216" s="140"/>
      <c r="BD216" s="147" t="s">
        <v>83</v>
      </c>
      <c r="BE216" s="147" t="s">
        <v>83</v>
      </c>
    </row>
    <row r="217" spans="1:57" ht="12.95" hidden="1" customHeight="1">
      <c r="A217" s="248" t="e">
        <v>#N/A</v>
      </c>
      <c r="B217" s="252" t="e">
        <v>#N/A</v>
      </c>
      <c r="C217" s="263" t="s">
        <v>19</v>
      </c>
      <c r="D217" s="239" t="s">
        <v>2659</v>
      </c>
      <c r="E217" s="58"/>
      <c r="F217" s="59" t="s">
        <v>481</v>
      </c>
      <c r="G217" s="191" t="s">
        <v>3126</v>
      </c>
      <c r="H217" s="192" t="s">
        <v>887</v>
      </c>
      <c r="I217" s="61" t="s">
        <v>2511</v>
      </c>
      <c r="J217" s="61" t="s">
        <v>2511</v>
      </c>
      <c r="K217" s="62" t="s">
        <v>2511</v>
      </c>
      <c r="L217" s="60" t="s">
        <v>2389</v>
      </c>
      <c r="M217" s="61" t="s">
        <v>2389</v>
      </c>
      <c r="N217" s="61" t="s">
        <v>2511</v>
      </c>
      <c r="O217" s="61" t="s">
        <v>2511</v>
      </c>
      <c r="P217" s="62" t="s">
        <v>2511</v>
      </c>
      <c r="Q217" s="58" t="s">
        <v>546</v>
      </c>
      <c r="R217" s="58" t="s">
        <v>126</v>
      </c>
      <c r="S217" s="58" t="s">
        <v>112</v>
      </c>
      <c r="T217" s="58" t="s">
        <v>113</v>
      </c>
      <c r="U217" s="64" t="s">
        <v>126</v>
      </c>
      <c r="V217" s="138" t="s">
        <v>3127</v>
      </c>
      <c r="W217" s="57" t="s">
        <v>3122</v>
      </c>
      <c r="X217" s="126" t="s">
        <v>3128</v>
      </c>
      <c r="Y217" s="126" t="s">
        <v>2511</v>
      </c>
      <c r="Z217" s="57" t="s">
        <v>2817</v>
      </c>
      <c r="AA217" s="57" t="s">
        <v>3123</v>
      </c>
      <c r="AB217" s="57" t="s">
        <v>2393</v>
      </c>
      <c r="AC217" s="57" t="s">
        <v>2631</v>
      </c>
      <c r="AD217" s="65" t="str">
        <f t="shared" si="52"/>
        <v>RSVD1</v>
      </c>
      <c r="AE217" s="70"/>
      <c r="AF217" s="67" t="str">
        <f t="shared" si="53"/>
        <v>PULL_DOWN</v>
      </c>
      <c r="AG217" s="67" t="str">
        <f t="shared" si="45"/>
        <v>TRISTATE</v>
      </c>
      <c r="AH217" s="67" t="str">
        <f t="shared" si="54"/>
        <v>DISABLE</v>
      </c>
      <c r="AI217" s="71" t="str">
        <f t="shared" si="47"/>
        <v>N/A</v>
      </c>
      <c r="AJ217" s="189" t="b">
        <v>1</v>
      </c>
      <c r="AK217" s="189" t="b">
        <v>1</v>
      </c>
      <c r="AL217" s="189" t="b">
        <v>1</v>
      </c>
      <c r="AM217" s="189" t="b">
        <v>1</v>
      </c>
      <c r="AN217" s="189" t="b">
        <v>1</v>
      </c>
      <c r="AO217" s="189" t="b">
        <v>1</v>
      </c>
      <c r="AP217" s="69" t="str">
        <f t="shared" si="55"/>
        <v>VALID</v>
      </c>
      <c r="AQ217" s="196" t="s">
        <v>481</v>
      </c>
      <c r="AR217" s="194" t="s">
        <v>79</v>
      </c>
      <c r="AS217" s="193"/>
      <c r="AT217" s="193" t="s">
        <v>117</v>
      </c>
      <c r="AU217" s="72"/>
      <c r="AV217" s="72"/>
      <c r="AW217" s="193" t="s">
        <v>136</v>
      </c>
      <c r="AX217" s="193" t="s">
        <v>136</v>
      </c>
      <c r="AY217" s="72"/>
      <c r="AZ217" s="193"/>
      <c r="BA217" s="193"/>
      <c r="BB217" s="8"/>
      <c r="BC217" s="140"/>
      <c r="BD217" s="147" t="s">
        <v>83</v>
      </c>
      <c r="BE217" s="147" t="s">
        <v>83</v>
      </c>
    </row>
    <row r="218" spans="1:57" ht="12.95" hidden="1" customHeight="1">
      <c r="A218" s="248" t="e">
        <v>#N/A</v>
      </c>
      <c r="B218" s="252" t="e">
        <v>#N/A</v>
      </c>
      <c r="C218" s="263" t="s">
        <v>20</v>
      </c>
      <c r="D218" s="239" t="s">
        <v>3129</v>
      </c>
      <c r="E218" s="58"/>
      <c r="F218" s="59" t="s">
        <v>482</v>
      </c>
      <c r="G218" s="191" t="s">
        <v>3130</v>
      </c>
      <c r="H218" s="192" t="s">
        <v>920</v>
      </c>
      <c r="I218" s="61" t="s">
        <v>2511</v>
      </c>
      <c r="J218" s="61" t="s">
        <v>2511</v>
      </c>
      <c r="K218" s="62"/>
      <c r="L218" s="60" t="s">
        <v>2389</v>
      </c>
      <c r="M218" s="61" t="s">
        <v>2389</v>
      </c>
      <c r="N218" s="61" t="s">
        <v>2511</v>
      </c>
      <c r="O218" s="61" t="s">
        <v>2511</v>
      </c>
      <c r="P218" s="62"/>
      <c r="Q218" s="7" t="s">
        <v>546</v>
      </c>
      <c r="R218" s="58" t="s">
        <v>126</v>
      </c>
      <c r="S218" s="58" t="s">
        <v>112</v>
      </c>
      <c r="T218" s="58" t="s">
        <v>113</v>
      </c>
      <c r="U218" s="64" t="s">
        <v>126</v>
      </c>
      <c r="V218" s="138" t="s">
        <v>3131</v>
      </c>
      <c r="W218" s="57" t="s">
        <v>3122</v>
      </c>
      <c r="X218" s="126" t="s">
        <v>2511</v>
      </c>
      <c r="Y218" s="126" t="s">
        <v>2511</v>
      </c>
      <c r="Z218" s="57" t="s">
        <v>2817</v>
      </c>
      <c r="AA218" s="57" t="s">
        <v>3123</v>
      </c>
      <c r="AB218" s="57" t="s">
        <v>2393</v>
      </c>
      <c r="AC218" s="57">
        <v>0</v>
      </c>
      <c r="AD218" s="65" t="str">
        <f t="shared" si="52"/>
        <v>RSVD1</v>
      </c>
      <c r="AE218" s="70"/>
      <c r="AF218" s="67" t="str">
        <f t="shared" si="53"/>
        <v>PULL_DOWN</v>
      </c>
      <c r="AG218" s="67" t="str">
        <f t="shared" si="45"/>
        <v>TRISTATE</v>
      </c>
      <c r="AH218" s="67" t="str">
        <f t="shared" si="54"/>
        <v>DISABLE</v>
      </c>
      <c r="AI218" s="71" t="str">
        <f t="shared" si="47"/>
        <v>N/A</v>
      </c>
      <c r="AJ218" s="189" t="b">
        <v>1</v>
      </c>
      <c r="AK218" s="189" t="b">
        <v>1</v>
      </c>
      <c r="AL218" s="189" t="b">
        <v>1</v>
      </c>
      <c r="AM218" s="189" t="b">
        <v>1</v>
      </c>
      <c r="AN218" s="189" t="b">
        <v>1</v>
      </c>
      <c r="AO218" s="189" t="b">
        <v>1</v>
      </c>
      <c r="AP218" s="69" t="str">
        <f t="shared" si="55"/>
        <v>VALID</v>
      </c>
      <c r="AQ218" s="196" t="s">
        <v>482</v>
      </c>
      <c r="AR218" s="194" t="s">
        <v>79</v>
      </c>
      <c r="AS218" s="193"/>
      <c r="AT218" s="72"/>
      <c r="AU218" s="72"/>
      <c r="AV218" s="72"/>
      <c r="AW218" s="193" t="s">
        <v>136</v>
      </c>
      <c r="AX218" s="193" t="s">
        <v>136</v>
      </c>
      <c r="AY218" s="72"/>
      <c r="AZ218" s="193"/>
      <c r="BA218" s="193"/>
      <c r="BB218" s="8"/>
      <c r="BC218" s="140"/>
      <c r="BD218" s="147" t="s">
        <v>83</v>
      </c>
      <c r="BE218" s="147" t="s">
        <v>83</v>
      </c>
    </row>
    <row r="219" spans="1:57" ht="12.95" hidden="1" customHeight="1">
      <c r="A219" s="248" t="e">
        <v>#N/A</v>
      </c>
      <c r="B219" s="252" t="e">
        <v>#N/A</v>
      </c>
      <c r="C219" s="263" t="s">
        <v>745</v>
      </c>
      <c r="D219" s="239" t="s">
        <v>3132</v>
      </c>
      <c r="E219" s="58"/>
      <c r="F219" s="59" t="s">
        <v>776</v>
      </c>
      <c r="G219" s="191" t="s">
        <v>3133</v>
      </c>
      <c r="H219" s="192" t="s">
        <v>2195</v>
      </c>
      <c r="I219" s="61" t="s">
        <v>2511</v>
      </c>
      <c r="J219" s="61" t="s">
        <v>2511</v>
      </c>
      <c r="K219" s="62" t="s">
        <v>2511</v>
      </c>
      <c r="L219" s="60" t="s">
        <v>2389</v>
      </c>
      <c r="M219" s="61" t="s">
        <v>2389</v>
      </c>
      <c r="N219" s="61" t="s">
        <v>2511</v>
      </c>
      <c r="O219" s="61" t="s">
        <v>2511</v>
      </c>
      <c r="P219" s="62" t="s">
        <v>2511</v>
      </c>
      <c r="Q219" s="7" t="s">
        <v>839</v>
      </c>
      <c r="R219" s="58" t="s">
        <v>126</v>
      </c>
      <c r="S219" s="58" t="s">
        <v>112</v>
      </c>
      <c r="T219" s="58" t="s">
        <v>113</v>
      </c>
      <c r="U219" s="64" t="s">
        <v>126</v>
      </c>
      <c r="V219" s="138" t="s">
        <v>3134</v>
      </c>
      <c r="W219" s="57" t="s">
        <v>3122</v>
      </c>
      <c r="X219" s="126" t="s">
        <v>3135</v>
      </c>
      <c r="Y219" s="126" t="s">
        <v>2511</v>
      </c>
      <c r="Z219" s="57" t="s">
        <v>2817</v>
      </c>
      <c r="AA219" s="57" t="s">
        <v>3123</v>
      </c>
      <c r="AB219" s="57" t="s">
        <v>2393</v>
      </c>
      <c r="AC219" s="57" t="s">
        <v>2631</v>
      </c>
      <c r="AD219" s="65" t="str">
        <f t="shared" si="52"/>
        <v>RSVD1</v>
      </c>
      <c r="AE219" s="70"/>
      <c r="AF219" s="67" t="str">
        <f t="shared" si="53"/>
        <v>PULL_DOWN</v>
      </c>
      <c r="AG219" s="67" t="str">
        <f t="shared" si="45"/>
        <v>TRISTATE</v>
      </c>
      <c r="AH219" s="67" t="str">
        <f t="shared" si="54"/>
        <v>DISABLE</v>
      </c>
      <c r="AI219" s="71" t="str">
        <f t="shared" si="47"/>
        <v>N/A</v>
      </c>
      <c r="AJ219" s="189" t="b">
        <v>1</v>
      </c>
      <c r="AK219" s="189" t="b">
        <v>1</v>
      </c>
      <c r="AL219" s="189" t="b">
        <v>1</v>
      </c>
      <c r="AM219" s="189" t="b">
        <v>1</v>
      </c>
      <c r="AN219" s="189" t="b">
        <v>1</v>
      </c>
      <c r="AO219" s="189" t="b">
        <v>1</v>
      </c>
      <c r="AP219" s="69" t="str">
        <f t="shared" si="55"/>
        <v>VALID</v>
      </c>
      <c r="AQ219" s="196" t="s">
        <v>776</v>
      </c>
      <c r="AR219" s="194" t="s">
        <v>79</v>
      </c>
      <c r="AS219" s="193"/>
      <c r="AT219" s="193" t="s">
        <v>117</v>
      </c>
      <c r="AU219" s="72"/>
      <c r="AV219" s="72"/>
      <c r="AW219" s="193" t="s">
        <v>136</v>
      </c>
      <c r="AX219" s="193" t="s">
        <v>136</v>
      </c>
      <c r="AY219" s="72"/>
      <c r="AZ219" s="193"/>
      <c r="BA219" s="193"/>
      <c r="BB219" s="8"/>
      <c r="BC219" s="140"/>
      <c r="BD219" s="147" t="s">
        <v>83</v>
      </c>
      <c r="BE219" s="147" t="s">
        <v>83</v>
      </c>
    </row>
    <row r="220" spans="1:57" ht="12.95" hidden="1" customHeight="1">
      <c r="A220" s="248" t="e">
        <v>#N/A</v>
      </c>
      <c r="B220" s="252" t="e">
        <v>#N/A</v>
      </c>
      <c r="C220" s="263" t="s">
        <v>744</v>
      </c>
      <c r="D220" s="239" t="s">
        <v>3136</v>
      </c>
      <c r="E220" s="58"/>
      <c r="F220" s="59" t="s">
        <v>775</v>
      </c>
      <c r="G220" s="191" t="s">
        <v>3137</v>
      </c>
      <c r="H220" s="192" t="s">
        <v>2196</v>
      </c>
      <c r="I220" s="61" t="s">
        <v>2511</v>
      </c>
      <c r="J220" s="61" t="s">
        <v>2511</v>
      </c>
      <c r="K220" s="62" t="s">
        <v>2511</v>
      </c>
      <c r="L220" s="60" t="s">
        <v>2389</v>
      </c>
      <c r="M220" s="61" t="s">
        <v>2389</v>
      </c>
      <c r="N220" s="61" t="s">
        <v>2511</v>
      </c>
      <c r="O220" s="61" t="s">
        <v>2511</v>
      </c>
      <c r="P220" s="62" t="s">
        <v>2511</v>
      </c>
      <c r="Q220" s="7" t="s">
        <v>839</v>
      </c>
      <c r="R220" s="58" t="s">
        <v>126</v>
      </c>
      <c r="S220" s="58" t="s">
        <v>112</v>
      </c>
      <c r="T220" s="58" t="s">
        <v>113</v>
      </c>
      <c r="U220" s="64" t="s">
        <v>126</v>
      </c>
      <c r="V220" s="138" t="s">
        <v>3138</v>
      </c>
      <c r="W220" s="57" t="s">
        <v>3122</v>
      </c>
      <c r="X220" s="126" t="s">
        <v>2511</v>
      </c>
      <c r="Y220" s="126" t="s">
        <v>2511</v>
      </c>
      <c r="Z220" s="57" t="s">
        <v>2817</v>
      </c>
      <c r="AA220" s="57" t="s">
        <v>3123</v>
      </c>
      <c r="AB220" s="57" t="s">
        <v>2393</v>
      </c>
      <c r="AC220" s="57">
        <v>0</v>
      </c>
      <c r="AD220" s="65" t="str">
        <f t="shared" si="52"/>
        <v>RSVD1</v>
      </c>
      <c r="AE220" s="70"/>
      <c r="AF220" s="67" t="str">
        <f t="shared" si="53"/>
        <v>PULL_DOWN</v>
      </c>
      <c r="AG220" s="67" t="str">
        <f t="shared" si="45"/>
        <v>TRISTATE</v>
      </c>
      <c r="AH220" s="67" t="str">
        <f t="shared" si="54"/>
        <v>DISABLE</v>
      </c>
      <c r="AI220" s="71" t="str">
        <f t="shared" si="47"/>
        <v>N/A</v>
      </c>
      <c r="AJ220" s="189" t="b">
        <v>1</v>
      </c>
      <c r="AK220" s="189" t="b">
        <v>1</v>
      </c>
      <c r="AL220" s="189" t="b">
        <v>1</v>
      </c>
      <c r="AM220" s="189" t="b">
        <v>1</v>
      </c>
      <c r="AN220" s="189" t="b">
        <v>1</v>
      </c>
      <c r="AO220" s="189" t="b">
        <v>1</v>
      </c>
      <c r="AP220" s="69" t="str">
        <f t="shared" si="55"/>
        <v>VALID</v>
      </c>
      <c r="AQ220" s="196" t="s">
        <v>775</v>
      </c>
      <c r="AR220" s="194" t="s">
        <v>79</v>
      </c>
      <c r="AS220" s="193"/>
      <c r="AT220" s="72"/>
      <c r="AU220" s="72"/>
      <c r="AV220" s="72"/>
      <c r="AW220" s="193" t="s">
        <v>136</v>
      </c>
      <c r="AX220" s="193" t="s">
        <v>136</v>
      </c>
      <c r="AY220" s="72"/>
      <c r="AZ220" s="193"/>
      <c r="BA220" s="193"/>
      <c r="BB220" s="8"/>
      <c r="BC220" s="140"/>
      <c r="BD220" s="147" t="s">
        <v>83</v>
      </c>
      <c r="BE220" s="147" t="s">
        <v>83</v>
      </c>
    </row>
    <row r="221" spans="1:57" ht="12.95" hidden="1" customHeight="1">
      <c r="A221" s="248" t="e">
        <v>#N/A</v>
      </c>
      <c r="B221" s="252" t="e">
        <v>#N/A</v>
      </c>
      <c r="C221" s="263" t="s">
        <v>1041</v>
      </c>
      <c r="D221" s="239" t="s">
        <v>3140</v>
      </c>
      <c r="E221" s="58"/>
      <c r="F221" s="59" t="s">
        <v>1806</v>
      </c>
      <c r="G221" s="191" t="s">
        <v>3141</v>
      </c>
      <c r="H221" s="192" t="s">
        <v>2197</v>
      </c>
      <c r="I221" s="61" t="s">
        <v>2511</v>
      </c>
      <c r="J221" s="61" t="s">
        <v>2511</v>
      </c>
      <c r="K221" s="62" t="s">
        <v>2511</v>
      </c>
      <c r="L221" s="60" t="s">
        <v>2389</v>
      </c>
      <c r="M221" s="61" t="s">
        <v>2389</v>
      </c>
      <c r="N221" s="61" t="s">
        <v>2511</v>
      </c>
      <c r="O221" s="61" t="s">
        <v>2511</v>
      </c>
      <c r="P221" s="62" t="s">
        <v>2511</v>
      </c>
      <c r="Q221" s="7" t="s">
        <v>1856</v>
      </c>
      <c r="R221" s="58" t="s">
        <v>126</v>
      </c>
      <c r="S221" s="58" t="s">
        <v>112</v>
      </c>
      <c r="T221" s="58" t="s">
        <v>113</v>
      </c>
      <c r="U221" s="64" t="s">
        <v>126</v>
      </c>
      <c r="V221" s="138" t="s">
        <v>3142</v>
      </c>
      <c r="W221" s="57" t="s">
        <v>3122</v>
      </c>
      <c r="X221" s="126" t="s">
        <v>3143</v>
      </c>
      <c r="Y221" s="126" t="s">
        <v>2511</v>
      </c>
      <c r="Z221" s="57" t="s">
        <v>2817</v>
      </c>
      <c r="AA221" s="57" t="s">
        <v>3123</v>
      </c>
      <c r="AB221" s="57" t="s">
        <v>2393</v>
      </c>
      <c r="AC221" s="57" t="s">
        <v>2631</v>
      </c>
      <c r="AD221" s="65" t="str">
        <f t="shared" si="52"/>
        <v>RSVD1</v>
      </c>
      <c r="AE221" s="70"/>
      <c r="AF221" s="67" t="str">
        <f t="shared" si="53"/>
        <v>PULL_DOWN</v>
      </c>
      <c r="AG221" s="67" t="str">
        <f t="shared" si="45"/>
        <v>TRISTATE</v>
      </c>
      <c r="AH221" s="67" t="str">
        <f t="shared" si="54"/>
        <v>DISABLE</v>
      </c>
      <c r="AI221" s="71" t="str">
        <f t="shared" si="47"/>
        <v>N/A</v>
      </c>
      <c r="AJ221" s="189" t="b">
        <v>1</v>
      </c>
      <c r="AK221" s="189" t="b">
        <v>1</v>
      </c>
      <c r="AL221" s="189" t="b">
        <v>1</v>
      </c>
      <c r="AM221" s="189" t="b">
        <v>1</v>
      </c>
      <c r="AN221" s="189" t="b">
        <v>1</v>
      </c>
      <c r="AO221" s="189" t="b">
        <v>1</v>
      </c>
      <c r="AP221" s="69" t="str">
        <f t="shared" si="55"/>
        <v>VALID</v>
      </c>
      <c r="AQ221" s="196" t="s">
        <v>1806</v>
      </c>
      <c r="AR221" s="194" t="s">
        <v>79</v>
      </c>
      <c r="AS221" s="193"/>
      <c r="AT221" s="193" t="s">
        <v>117</v>
      </c>
      <c r="AU221" s="72"/>
      <c r="AV221" s="72"/>
      <c r="AW221" s="193" t="s">
        <v>136</v>
      </c>
      <c r="AX221" s="193" t="s">
        <v>136</v>
      </c>
      <c r="AY221" s="72"/>
      <c r="AZ221" s="193"/>
      <c r="BA221" s="193"/>
      <c r="BB221" s="8"/>
      <c r="BC221" s="140"/>
      <c r="BD221" s="147" t="s">
        <v>83</v>
      </c>
      <c r="BE221" s="147" t="s">
        <v>83</v>
      </c>
    </row>
    <row r="222" spans="1:57" ht="12.95" hidden="1" customHeight="1">
      <c r="A222" s="248" t="e">
        <v>#N/A</v>
      </c>
      <c r="B222" s="252" t="e">
        <v>#N/A</v>
      </c>
      <c r="C222" s="263" t="s">
        <v>1042</v>
      </c>
      <c r="D222" s="239" t="s">
        <v>3144</v>
      </c>
      <c r="E222" s="58"/>
      <c r="F222" s="59" t="s">
        <v>1805</v>
      </c>
      <c r="G222" s="191" t="s">
        <v>2496</v>
      </c>
      <c r="H222" s="192" t="s">
        <v>2198</v>
      </c>
      <c r="I222" s="61" t="s">
        <v>2511</v>
      </c>
      <c r="J222" s="61" t="s">
        <v>2511</v>
      </c>
      <c r="K222" s="62" t="s">
        <v>2511</v>
      </c>
      <c r="L222" s="60" t="s">
        <v>2389</v>
      </c>
      <c r="M222" s="61" t="s">
        <v>2389</v>
      </c>
      <c r="N222" s="61" t="s">
        <v>2511</v>
      </c>
      <c r="O222" s="61" t="s">
        <v>2511</v>
      </c>
      <c r="P222" s="62" t="s">
        <v>2511</v>
      </c>
      <c r="Q222" s="58" t="s">
        <v>1856</v>
      </c>
      <c r="R222" s="58" t="s">
        <v>126</v>
      </c>
      <c r="S222" s="58" t="s">
        <v>112</v>
      </c>
      <c r="T222" s="58" t="s">
        <v>113</v>
      </c>
      <c r="U222" s="64" t="s">
        <v>126</v>
      </c>
      <c r="V222" s="138" t="s">
        <v>3145</v>
      </c>
      <c r="W222" s="57" t="s">
        <v>3122</v>
      </c>
      <c r="X222" s="126" t="s">
        <v>2511</v>
      </c>
      <c r="Y222" s="126" t="s">
        <v>2511</v>
      </c>
      <c r="Z222" s="57" t="s">
        <v>2817</v>
      </c>
      <c r="AA222" s="57" t="s">
        <v>3123</v>
      </c>
      <c r="AB222" s="57" t="s">
        <v>2393</v>
      </c>
      <c r="AC222" s="57">
        <v>0</v>
      </c>
      <c r="AD222" s="65" t="str">
        <f t="shared" si="52"/>
        <v>RSVD1</v>
      </c>
      <c r="AE222" s="70"/>
      <c r="AF222" s="67" t="str">
        <f t="shared" si="53"/>
        <v>PULL_DOWN</v>
      </c>
      <c r="AG222" s="67" t="str">
        <f t="shared" si="45"/>
        <v>TRISTATE</v>
      </c>
      <c r="AH222" s="67" t="str">
        <f t="shared" si="54"/>
        <v>DISABLE</v>
      </c>
      <c r="AI222" s="71" t="str">
        <f t="shared" si="47"/>
        <v>N/A</v>
      </c>
      <c r="AJ222" s="189" t="b">
        <v>1</v>
      </c>
      <c r="AK222" s="189" t="b">
        <v>1</v>
      </c>
      <c r="AL222" s="189" t="b">
        <v>1</v>
      </c>
      <c r="AM222" s="189" t="b">
        <v>1</v>
      </c>
      <c r="AN222" s="189" t="b">
        <v>1</v>
      </c>
      <c r="AO222" s="189" t="b">
        <v>1</v>
      </c>
      <c r="AP222" s="69" t="str">
        <f t="shared" si="55"/>
        <v>VALID</v>
      </c>
      <c r="AQ222" s="195" t="s">
        <v>1805</v>
      </c>
      <c r="AR222" s="194" t="s">
        <v>79</v>
      </c>
      <c r="AS222" s="193"/>
      <c r="AT222" s="72"/>
      <c r="AU222" s="72"/>
      <c r="AV222" s="72"/>
      <c r="AW222" s="193" t="s">
        <v>136</v>
      </c>
      <c r="AX222" s="193" t="s">
        <v>136</v>
      </c>
      <c r="AY222" s="72"/>
      <c r="AZ222" s="193"/>
      <c r="BA222" s="193"/>
      <c r="BB222" s="8"/>
      <c r="BC222" s="140"/>
      <c r="BD222" s="147" t="s">
        <v>83</v>
      </c>
      <c r="BE222" s="147" t="s">
        <v>83</v>
      </c>
    </row>
    <row r="223" spans="1:57" ht="12.95" customHeight="1">
      <c r="A223" s="247" t="s">
        <v>5482</v>
      </c>
      <c r="B223" s="251">
        <v>182</v>
      </c>
      <c r="C223" s="285" t="s">
        <v>1043</v>
      </c>
      <c r="D223" s="239" t="s">
        <v>2762</v>
      </c>
      <c r="E223" s="58"/>
      <c r="F223" s="59" t="s">
        <v>1804</v>
      </c>
      <c r="G223" s="191" t="s">
        <v>3147</v>
      </c>
      <c r="H223" s="192" t="s">
        <v>2199</v>
      </c>
      <c r="I223" s="61" t="s">
        <v>2511</v>
      </c>
      <c r="J223" s="61" t="s">
        <v>2511</v>
      </c>
      <c r="K223" s="62" t="s">
        <v>2511</v>
      </c>
      <c r="L223" s="60" t="s">
        <v>2389</v>
      </c>
      <c r="M223" s="61" t="s">
        <v>2389</v>
      </c>
      <c r="N223" s="61" t="s">
        <v>2511</v>
      </c>
      <c r="O223" s="61" t="s">
        <v>2511</v>
      </c>
      <c r="P223" s="62" t="s">
        <v>2511</v>
      </c>
      <c r="Q223" s="58" t="s">
        <v>1857</v>
      </c>
      <c r="R223" s="58" t="s">
        <v>126</v>
      </c>
      <c r="S223" s="58" t="s">
        <v>112</v>
      </c>
      <c r="T223" s="58" t="s">
        <v>113</v>
      </c>
      <c r="U223" s="64" t="s">
        <v>126</v>
      </c>
      <c r="V223" s="138" t="s">
        <v>3148</v>
      </c>
      <c r="W223" s="57" t="s">
        <v>3122</v>
      </c>
      <c r="X223" s="126" t="s">
        <v>3149</v>
      </c>
      <c r="Y223" s="126" t="s">
        <v>2511</v>
      </c>
      <c r="Z223" s="57" t="s">
        <v>2817</v>
      </c>
      <c r="AA223" s="57" t="s">
        <v>3123</v>
      </c>
      <c r="AB223" s="57" t="s">
        <v>2393</v>
      </c>
      <c r="AC223" s="57" t="s">
        <v>2631</v>
      </c>
      <c r="AD223" s="65" t="str">
        <f t="shared" si="52"/>
        <v>PE4</v>
      </c>
      <c r="AE223" s="70"/>
      <c r="AF223" s="67" t="str">
        <f t="shared" si="53"/>
        <v>NORMAL</v>
      </c>
      <c r="AG223" s="67" t="str">
        <f t="shared" si="45"/>
        <v>NORMAL</v>
      </c>
      <c r="AH223" s="67" t="str">
        <f t="shared" si="54"/>
        <v>ENABLE</v>
      </c>
      <c r="AI223" s="71" t="str">
        <f t="shared" si="47"/>
        <v>N/A</v>
      </c>
      <c r="AJ223" s="189" t="b">
        <v>1</v>
      </c>
      <c r="AK223" s="189" t="b">
        <v>1</v>
      </c>
      <c r="AL223" s="189" t="b">
        <v>1</v>
      </c>
      <c r="AM223" s="189" t="b">
        <v>1</v>
      </c>
      <c r="AN223" s="189" t="b">
        <v>1</v>
      </c>
      <c r="AO223" s="189" t="b">
        <v>1</v>
      </c>
      <c r="AP223" s="69" t="str">
        <f t="shared" si="55"/>
        <v>VALID</v>
      </c>
      <c r="AQ223" s="195" t="s">
        <v>2199</v>
      </c>
      <c r="AR223" s="194" t="s">
        <v>860</v>
      </c>
      <c r="AS223" s="193"/>
      <c r="AT223" s="193" t="s">
        <v>117</v>
      </c>
      <c r="AU223" s="72"/>
      <c r="AV223" s="72"/>
      <c r="AW223" s="193" t="s">
        <v>872</v>
      </c>
      <c r="AX223" s="193" t="s">
        <v>872</v>
      </c>
      <c r="AY223" s="72"/>
      <c r="AZ223" s="193"/>
      <c r="BA223" s="193"/>
      <c r="BB223" s="8"/>
      <c r="BC223" s="140"/>
      <c r="BD223" s="11" t="s">
        <v>1043</v>
      </c>
      <c r="BE223" s="311" t="s">
        <v>5689</v>
      </c>
    </row>
    <row r="224" spans="1:57" ht="12.95" customHeight="1">
      <c r="A224" s="247" t="s">
        <v>5481</v>
      </c>
      <c r="B224" s="251">
        <v>183</v>
      </c>
      <c r="C224" s="285" t="s">
        <v>1044</v>
      </c>
      <c r="D224" s="239" t="s">
        <v>3151</v>
      </c>
      <c r="E224" s="58"/>
      <c r="F224" s="59" t="s">
        <v>1803</v>
      </c>
      <c r="G224" s="191" t="s">
        <v>3152</v>
      </c>
      <c r="H224" s="192" t="s">
        <v>2200</v>
      </c>
      <c r="I224" s="61" t="s">
        <v>2511</v>
      </c>
      <c r="J224" s="61" t="s">
        <v>2511</v>
      </c>
      <c r="K224" s="62" t="s">
        <v>2511</v>
      </c>
      <c r="L224" s="60" t="s">
        <v>2389</v>
      </c>
      <c r="M224" s="61" t="s">
        <v>2389</v>
      </c>
      <c r="N224" s="61" t="s">
        <v>2511</v>
      </c>
      <c r="O224" s="61" t="s">
        <v>2511</v>
      </c>
      <c r="P224" s="62" t="s">
        <v>2511</v>
      </c>
      <c r="Q224" s="58" t="s">
        <v>1857</v>
      </c>
      <c r="R224" s="58" t="s">
        <v>126</v>
      </c>
      <c r="S224" s="58" t="s">
        <v>112</v>
      </c>
      <c r="T224" s="58" t="s">
        <v>113</v>
      </c>
      <c r="U224" s="64" t="s">
        <v>126</v>
      </c>
      <c r="V224" s="138" t="s">
        <v>3153</v>
      </c>
      <c r="W224" s="57" t="s">
        <v>3122</v>
      </c>
      <c r="X224" s="126" t="s">
        <v>2511</v>
      </c>
      <c r="Y224" s="126" t="s">
        <v>2511</v>
      </c>
      <c r="Z224" s="57" t="s">
        <v>2817</v>
      </c>
      <c r="AA224" s="57" t="s">
        <v>3123</v>
      </c>
      <c r="AB224" s="57" t="s">
        <v>2393</v>
      </c>
      <c r="AC224" s="57">
        <v>0</v>
      </c>
      <c r="AD224" s="65" t="str">
        <f t="shared" si="52"/>
        <v>PE4</v>
      </c>
      <c r="AE224" s="70"/>
      <c r="AF224" s="67" t="str">
        <f t="shared" si="53"/>
        <v>NORMAL</v>
      </c>
      <c r="AG224" s="67" t="str">
        <f t="shared" si="45"/>
        <v>NORMAL</v>
      </c>
      <c r="AH224" s="67" t="str">
        <f t="shared" si="54"/>
        <v>DISABLE</v>
      </c>
      <c r="AI224" s="71" t="str">
        <f t="shared" si="47"/>
        <v>N/A</v>
      </c>
      <c r="AJ224" s="189" t="b">
        <v>1</v>
      </c>
      <c r="AK224" s="189" t="b">
        <v>1</v>
      </c>
      <c r="AL224" s="189" t="b">
        <v>1</v>
      </c>
      <c r="AM224" s="189" t="b">
        <v>1</v>
      </c>
      <c r="AN224" s="189" t="b">
        <v>1</v>
      </c>
      <c r="AO224" s="189" t="b">
        <v>1</v>
      </c>
      <c r="AP224" s="69" t="str">
        <f t="shared" si="55"/>
        <v>VALID</v>
      </c>
      <c r="AQ224" s="195" t="s">
        <v>2200</v>
      </c>
      <c r="AR224" s="194" t="s">
        <v>861</v>
      </c>
      <c r="AS224" s="193"/>
      <c r="AT224" s="72"/>
      <c r="AU224" s="72"/>
      <c r="AV224" s="72"/>
      <c r="AW224" s="193" t="s">
        <v>872</v>
      </c>
      <c r="AX224" s="193" t="s">
        <v>872</v>
      </c>
      <c r="AY224" s="72"/>
      <c r="AZ224" s="193"/>
      <c r="BA224" s="193"/>
      <c r="BB224" s="8"/>
      <c r="BC224" s="140"/>
      <c r="BD224" s="11" t="s">
        <v>1044</v>
      </c>
      <c r="BE224" s="311" t="s">
        <v>5690</v>
      </c>
    </row>
    <row r="225" spans="1:57" ht="12.95" customHeight="1">
      <c r="A225" s="250" t="s">
        <v>5682</v>
      </c>
      <c r="B225" s="253">
        <v>179</v>
      </c>
      <c r="C225" s="285" t="s">
        <v>21</v>
      </c>
      <c r="D225" s="239" t="s">
        <v>2641</v>
      </c>
      <c r="E225" s="58"/>
      <c r="F225" s="59" t="s">
        <v>483</v>
      </c>
      <c r="G225" s="191" t="s">
        <v>2201</v>
      </c>
      <c r="H225" s="192" t="s">
        <v>2511</v>
      </c>
      <c r="I225" s="61" t="s">
        <v>2511</v>
      </c>
      <c r="J225" s="61" t="s">
        <v>2511</v>
      </c>
      <c r="K225" s="62" t="s">
        <v>2511</v>
      </c>
      <c r="L225" s="60" t="s">
        <v>2389</v>
      </c>
      <c r="M225" s="61" t="s">
        <v>2511</v>
      </c>
      <c r="N225" s="61" t="s">
        <v>2511</v>
      </c>
      <c r="O225" s="61" t="s">
        <v>2511</v>
      </c>
      <c r="P225" s="62" t="s">
        <v>2511</v>
      </c>
      <c r="Q225" s="58" t="s">
        <v>552</v>
      </c>
      <c r="R225" s="58" t="s">
        <v>126</v>
      </c>
      <c r="S225" s="58" t="s">
        <v>112</v>
      </c>
      <c r="T225" s="58" t="s">
        <v>113</v>
      </c>
      <c r="U225" s="64" t="s">
        <v>552</v>
      </c>
      <c r="V225" s="138" t="s">
        <v>3155</v>
      </c>
      <c r="W225" s="57" t="s">
        <v>3122</v>
      </c>
      <c r="X225" s="126" t="s">
        <v>3156</v>
      </c>
      <c r="Y225" s="126" t="s">
        <v>2511</v>
      </c>
      <c r="Z225" s="57" t="s">
        <v>2817</v>
      </c>
      <c r="AA225" s="57" t="s">
        <v>3123</v>
      </c>
      <c r="AB225" s="57" t="s">
        <v>2393</v>
      </c>
      <c r="AC225" s="57" t="s">
        <v>2631</v>
      </c>
      <c r="AD225" s="65" t="str">
        <f t="shared" si="52"/>
        <v>GPIO_PL2</v>
      </c>
      <c r="AE225" s="70"/>
      <c r="AF225" s="67" t="str">
        <f t="shared" si="53"/>
        <v>PULL_UP</v>
      </c>
      <c r="AG225" s="67" t="str">
        <f t="shared" si="45"/>
        <v>TRISTATE</v>
      </c>
      <c r="AH225" s="67" t="str">
        <f t="shared" si="54"/>
        <v>ENABLE</v>
      </c>
      <c r="AI225" s="71" t="str">
        <f t="shared" si="47"/>
        <v/>
      </c>
      <c r="AJ225" s="189" t="b">
        <v>1</v>
      </c>
      <c r="AK225" s="189" t="b">
        <v>1</v>
      </c>
      <c r="AL225" s="189" t="b">
        <v>1</v>
      </c>
      <c r="AM225" s="189" t="b">
        <v>1</v>
      </c>
      <c r="AN225" s="189" t="b">
        <v>1</v>
      </c>
      <c r="AO225" s="189" t="b">
        <v>1</v>
      </c>
      <c r="AP225" s="69" t="str">
        <f t="shared" si="55"/>
        <v>VALID</v>
      </c>
      <c r="AQ225" s="196" t="s">
        <v>2201</v>
      </c>
      <c r="AR225" s="194" t="s">
        <v>862</v>
      </c>
      <c r="AS225" s="193" t="s">
        <v>873</v>
      </c>
      <c r="AT225" s="193" t="s">
        <v>117</v>
      </c>
      <c r="AU225" s="72"/>
      <c r="AV225" s="72"/>
      <c r="AW225" s="193" t="s">
        <v>872</v>
      </c>
      <c r="AX225" s="193" t="s">
        <v>872</v>
      </c>
      <c r="AY225" s="72"/>
      <c r="AZ225" s="193"/>
      <c r="BA225" s="193"/>
      <c r="BB225" s="8"/>
      <c r="BC225" s="140"/>
      <c r="BD225" s="11" t="s">
        <v>21</v>
      </c>
      <c r="BE225" s="311" t="s">
        <v>5639</v>
      </c>
    </row>
    <row r="226" spans="1:57" ht="12.95" hidden="1" customHeight="1">
      <c r="A226" s="248" t="e">
        <v>#N/A</v>
      </c>
      <c r="B226" s="252" t="e">
        <v>#N/A</v>
      </c>
      <c r="C226" s="263" t="s">
        <v>1045</v>
      </c>
      <c r="D226" s="239" t="s">
        <v>2645</v>
      </c>
      <c r="E226" s="58"/>
      <c r="F226" s="59" t="s">
        <v>1802</v>
      </c>
      <c r="G226" s="191" t="s">
        <v>2202</v>
      </c>
      <c r="H226" s="192"/>
      <c r="I226" s="61" t="s">
        <v>2511</v>
      </c>
      <c r="J226" s="61" t="s">
        <v>2511</v>
      </c>
      <c r="K226" s="62" t="s">
        <v>2511</v>
      </c>
      <c r="L226" s="60" t="s">
        <v>2389</v>
      </c>
      <c r="M226" s="61" t="s">
        <v>2388</v>
      </c>
      <c r="N226" s="61" t="s">
        <v>2511</v>
      </c>
      <c r="O226" s="61" t="s">
        <v>2511</v>
      </c>
      <c r="P226" s="62" t="s">
        <v>2511</v>
      </c>
      <c r="Q226" s="58" t="s">
        <v>552</v>
      </c>
      <c r="R226" s="58" t="s">
        <v>126</v>
      </c>
      <c r="S226" s="58" t="s">
        <v>112</v>
      </c>
      <c r="T226" s="58" t="s">
        <v>113</v>
      </c>
      <c r="U226" s="64" t="s">
        <v>126</v>
      </c>
      <c r="V226" s="138" t="s">
        <v>3157</v>
      </c>
      <c r="W226" s="57" t="s">
        <v>3122</v>
      </c>
      <c r="X226" s="126" t="s">
        <v>3158</v>
      </c>
      <c r="Y226" s="126" t="s">
        <v>2511</v>
      </c>
      <c r="Z226" s="57" t="s">
        <v>2817</v>
      </c>
      <c r="AA226" s="57" t="s">
        <v>3123</v>
      </c>
      <c r="AB226" s="57" t="s">
        <v>2393</v>
      </c>
      <c r="AC226" s="57" t="s">
        <v>2631</v>
      </c>
      <c r="AD226" s="65" t="str">
        <f t="shared" si="52"/>
        <v>RSVD1</v>
      </c>
      <c r="AE226" s="70"/>
      <c r="AF226" s="67" t="str">
        <f t="shared" si="53"/>
        <v>PULL_DOWN</v>
      </c>
      <c r="AG226" s="67" t="str">
        <f t="shared" si="45"/>
        <v>TRISTATE</v>
      </c>
      <c r="AH226" s="67" t="str">
        <f t="shared" si="54"/>
        <v>DISABLE</v>
      </c>
      <c r="AI226" s="71" t="str">
        <f t="shared" si="47"/>
        <v>N/A</v>
      </c>
      <c r="AJ226" s="189" t="b">
        <v>1</v>
      </c>
      <c r="AK226" s="189" t="b">
        <v>1</v>
      </c>
      <c r="AL226" s="189" t="b">
        <v>1</v>
      </c>
      <c r="AM226" s="189" t="b">
        <v>1</v>
      </c>
      <c r="AN226" s="189" t="b">
        <v>1</v>
      </c>
      <c r="AO226" s="189" t="b">
        <v>1</v>
      </c>
      <c r="AP226" s="69" t="str">
        <f t="shared" si="55"/>
        <v>VALID</v>
      </c>
      <c r="AQ226" s="196" t="s">
        <v>1802</v>
      </c>
      <c r="AR226" s="194" t="s">
        <v>79</v>
      </c>
      <c r="AS226" s="193"/>
      <c r="AT226" s="193" t="s">
        <v>117</v>
      </c>
      <c r="AU226" s="72"/>
      <c r="AV226" s="72"/>
      <c r="AW226" s="193" t="s">
        <v>136</v>
      </c>
      <c r="AX226" s="193" t="s">
        <v>136</v>
      </c>
      <c r="AY226" s="72"/>
      <c r="AZ226" s="193"/>
      <c r="BA226" s="193"/>
      <c r="BB226" s="8"/>
      <c r="BC226" s="140"/>
      <c r="BD226" s="147" t="s">
        <v>83</v>
      </c>
      <c r="BE226" s="147" t="s">
        <v>83</v>
      </c>
    </row>
    <row r="227" spans="1:57" s="56" customFormat="1" ht="18" customHeight="1">
      <c r="A227" s="363"/>
      <c r="B227" s="364"/>
      <c r="C227" s="266" t="s">
        <v>1742</v>
      </c>
      <c r="D227" s="266"/>
      <c r="E227" s="73"/>
      <c r="F227" s="73"/>
      <c r="G227" s="74"/>
      <c r="H227" s="74"/>
      <c r="I227" s="74"/>
      <c r="J227" s="74"/>
      <c r="K227" s="74"/>
      <c r="L227" s="73"/>
      <c r="M227" s="73"/>
      <c r="N227" s="73"/>
      <c r="O227" s="73"/>
      <c r="P227" s="73"/>
      <c r="Q227" s="73"/>
      <c r="R227" s="73"/>
      <c r="S227" s="73"/>
      <c r="T227" s="73"/>
      <c r="U227" s="73"/>
      <c r="V227" s="73"/>
      <c r="W227" s="73"/>
      <c r="X227" s="73"/>
      <c r="Y227" s="73"/>
      <c r="Z227" s="73"/>
      <c r="AA227" s="73"/>
      <c r="AB227" s="73"/>
      <c r="AC227" s="73"/>
      <c r="AD227" s="73"/>
      <c r="AE227" s="73"/>
      <c r="AF227" s="75"/>
      <c r="AG227" s="75"/>
      <c r="AH227" s="75"/>
      <c r="AI227" s="75"/>
      <c r="AJ227" s="53"/>
      <c r="AK227" s="53"/>
      <c r="AL227" s="53"/>
      <c r="AM227" s="53"/>
      <c r="AN227" s="53"/>
      <c r="AO227" s="53"/>
      <c r="AP227" s="53"/>
      <c r="AQ227" s="54"/>
      <c r="AR227" s="76"/>
      <c r="AS227" s="77"/>
      <c r="AT227" s="77"/>
      <c r="AU227" s="77"/>
      <c r="AV227" s="77"/>
      <c r="AW227" s="77"/>
      <c r="AX227" s="77"/>
      <c r="AY227" s="77"/>
      <c r="AZ227" s="77"/>
      <c r="BA227" s="77"/>
      <c r="BB227" s="77"/>
      <c r="BC227" s="175" t="s">
        <v>59</v>
      </c>
      <c r="BD227" s="186"/>
      <c r="BE227" s="76" t="s">
        <v>1742</v>
      </c>
    </row>
    <row r="228" spans="1:57" ht="12.95" customHeight="1">
      <c r="A228" s="247" t="s">
        <v>5474</v>
      </c>
      <c r="B228" s="251">
        <v>180</v>
      </c>
      <c r="C228" s="239" t="s">
        <v>1740</v>
      </c>
      <c r="D228" s="239" t="s">
        <v>2633</v>
      </c>
      <c r="E228" s="58"/>
      <c r="F228" s="59" t="s">
        <v>1800</v>
      </c>
      <c r="G228" s="191" t="s">
        <v>2511</v>
      </c>
      <c r="H228" s="192" t="s">
        <v>2203</v>
      </c>
      <c r="I228" s="61" t="s">
        <v>2511</v>
      </c>
      <c r="J228" s="61" t="s">
        <v>2511</v>
      </c>
      <c r="K228" s="62" t="s">
        <v>2511</v>
      </c>
      <c r="L228" s="60" t="s">
        <v>2511</v>
      </c>
      <c r="M228" s="61" t="s">
        <v>2389</v>
      </c>
      <c r="N228" s="61" t="s">
        <v>2511</v>
      </c>
      <c r="O228" s="61" t="s">
        <v>2511</v>
      </c>
      <c r="P228" s="62" t="s">
        <v>2511</v>
      </c>
      <c r="Q228" s="58" t="s">
        <v>5416</v>
      </c>
      <c r="R228" s="58" t="s">
        <v>126</v>
      </c>
      <c r="S228" s="58" t="s">
        <v>112</v>
      </c>
      <c r="T228" s="58" t="s">
        <v>113</v>
      </c>
      <c r="U228" s="64" t="s">
        <v>126</v>
      </c>
      <c r="V228" s="138" t="s">
        <v>3159</v>
      </c>
      <c r="W228" s="57" t="s">
        <v>3160</v>
      </c>
      <c r="X228" s="126" t="s">
        <v>3161</v>
      </c>
      <c r="Y228" s="126" t="s">
        <v>2511</v>
      </c>
      <c r="Z228" s="57" t="s">
        <v>2817</v>
      </c>
      <c r="AA228" s="57" t="s">
        <v>3123</v>
      </c>
      <c r="AB228" s="57" t="s">
        <v>2393</v>
      </c>
      <c r="AC228" s="57" t="s">
        <v>2631</v>
      </c>
      <c r="AD228" s="65" t="str">
        <f t="shared" si="52"/>
        <v>PE5</v>
      </c>
      <c r="AE228" s="70"/>
      <c r="AF228" s="67" t="str">
        <f t="shared" si="53"/>
        <v>NORMAL</v>
      </c>
      <c r="AG228" s="67" t="str">
        <f t="shared" si="45"/>
        <v>NORMAL</v>
      </c>
      <c r="AH228" s="67" t="str">
        <f t="shared" si="54"/>
        <v>ENABLE</v>
      </c>
      <c r="AI228" s="71" t="str">
        <f t="shared" si="47"/>
        <v>N/A</v>
      </c>
      <c r="AJ228" s="189" t="b">
        <v>1</v>
      </c>
      <c r="AK228" s="189" t="b">
        <v>1</v>
      </c>
      <c r="AL228" s="189" t="b">
        <v>1</v>
      </c>
      <c r="AM228" s="189" t="b">
        <v>1</v>
      </c>
      <c r="AN228" s="189" t="b">
        <v>1</v>
      </c>
      <c r="AO228" s="189" t="b">
        <v>1</v>
      </c>
      <c r="AP228" s="69" t="str">
        <f t="shared" si="55"/>
        <v>VALID</v>
      </c>
      <c r="AQ228" s="196" t="s">
        <v>2203</v>
      </c>
      <c r="AR228" s="194" t="s">
        <v>860</v>
      </c>
      <c r="AS228" s="193" t="s">
        <v>874</v>
      </c>
      <c r="AT228" s="193" t="s">
        <v>117</v>
      </c>
      <c r="AU228" s="72"/>
      <c r="AV228" s="72"/>
      <c r="AW228" s="193" t="s">
        <v>872</v>
      </c>
      <c r="AX228" s="193" t="s">
        <v>872</v>
      </c>
      <c r="AY228" s="72"/>
      <c r="AZ228" s="193"/>
      <c r="BA228" s="193"/>
      <c r="BB228" s="8"/>
      <c r="BC228" s="140"/>
      <c r="BD228" s="11" t="s">
        <v>1740</v>
      </c>
      <c r="BE228" s="311" t="s">
        <v>5640</v>
      </c>
    </row>
    <row r="229" spans="1:57" ht="12.95" customHeight="1">
      <c r="A229" s="247" t="s">
        <v>5473</v>
      </c>
      <c r="B229" s="251">
        <v>181</v>
      </c>
      <c r="C229" s="239" t="s">
        <v>1741</v>
      </c>
      <c r="D229" s="239" t="s">
        <v>2767</v>
      </c>
      <c r="E229" s="58"/>
      <c r="F229" s="59" t="s">
        <v>1801</v>
      </c>
      <c r="G229" s="191" t="s">
        <v>2511</v>
      </c>
      <c r="H229" s="192" t="s">
        <v>2204</v>
      </c>
      <c r="I229" s="61" t="s">
        <v>2511</v>
      </c>
      <c r="J229" s="61" t="s">
        <v>2511</v>
      </c>
      <c r="K229" s="62"/>
      <c r="L229" s="60" t="s">
        <v>2511</v>
      </c>
      <c r="M229" s="61" t="s">
        <v>2389</v>
      </c>
      <c r="N229" s="61" t="s">
        <v>2511</v>
      </c>
      <c r="O229" s="61" t="s">
        <v>2511</v>
      </c>
      <c r="P229" s="62"/>
      <c r="Q229" s="58" t="s">
        <v>5416</v>
      </c>
      <c r="R229" s="58" t="s">
        <v>126</v>
      </c>
      <c r="S229" s="58" t="s">
        <v>112</v>
      </c>
      <c r="T229" s="58" t="s">
        <v>113</v>
      </c>
      <c r="U229" s="64" t="s">
        <v>126</v>
      </c>
      <c r="V229" s="138" t="s">
        <v>3163</v>
      </c>
      <c r="W229" s="57" t="s">
        <v>3160</v>
      </c>
      <c r="X229" s="126" t="s">
        <v>2511</v>
      </c>
      <c r="Y229" s="126" t="s">
        <v>2511</v>
      </c>
      <c r="Z229" s="57" t="s">
        <v>2817</v>
      </c>
      <c r="AA229" s="57" t="s">
        <v>3123</v>
      </c>
      <c r="AB229" s="57" t="s">
        <v>2393</v>
      </c>
      <c r="AC229" s="57">
        <v>0</v>
      </c>
      <c r="AD229" s="65" t="str">
        <f t="shared" si="52"/>
        <v>PE5</v>
      </c>
      <c r="AE229" s="70"/>
      <c r="AF229" s="67" t="str">
        <f t="shared" si="53"/>
        <v>NORMAL</v>
      </c>
      <c r="AG229" s="67" t="str">
        <f t="shared" si="45"/>
        <v>NORMAL</v>
      </c>
      <c r="AH229" s="67" t="str">
        <f t="shared" si="54"/>
        <v>DISABLE</v>
      </c>
      <c r="AI229" s="71" t="str">
        <f t="shared" si="47"/>
        <v>N/A</v>
      </c>
      <c r="AJ229" s="189" t="b">
        <v>1</v>
      </c>
      <c r="AK229" s="189" t="b">
        <v>1</v>
      </c>
      <c r="AL229" s="189" t="b">
        <v>1</v>
      </c>
      <c r="AM229" s="189" t="b">
        <v>1</v>
      </c>
      <c r="AN229" s="189" t="b">
        <v>1</v>
      </c>
      <c r="AO229" s="189" t="b">
        <v>1</v>
      </c>
      <c r="AP229" s="69" t="str">
        <f t="shared" si="55"/>
        <v>VALID</v>
      </c>
      <c r="AQ229" s="196" t="s">
        <v>2204</v>
      </c>
      <c r="AR229" s="194" t="s">
        <v>861</v>
      </c>
      <c r="AS229" s="193"/>
      <c r="AT229" s="72"/>
      <c r="AU229" s="72"/>
      <c r="AV229" s="72"/>
      <c r="AW229" s="193" t="s">
        <v>872</v>
      </c>
      <c r="AX229" s="193" t="s">
        <v>872</v>
      </c>
      <c r="AY229" s="72"/>
      <c r="AZ229" s="193"/>
      <c r="BA229" s="193"/>
      <c r="BB229" s="8"/>
      <c r="BC229" s="140"/>
      <c r="BD229" s="11" t="s">
        <v>1741</v>
      </c>
      <c r="BE229" s="311" t="s">
        <v>5641</v>
      </c>
    </row>
    <row r="230" spans="1:57" s="56" customFormat="1" ht="18" customHeight="1">
      <c r="A230" s="363"/>
      <c r="B230" s="364"/>
      <c r="C230" s="266" t="s">
        <v>772</v>
      </c>
      <c r="D230" s="266"/>
      <c r="E230" s="73"/>
      <c r="F230" s="73"/>
      <c r="G230" s="74"/>
      <c r="H230" s="74"/>
      <c r="I230" s="74"/>
      <c r="J230" s="74"/>
      <c r="K230" s="74"/>
      <c r="L230" s="73"/>
      <c r="M230" s="73"/>
      <c r="N230" s="73"/>
      <c r="O230" s="73"/>
      <c r="P230" s="73"/>
      <c r="Q230" s="73"/>
      <c r="R230" s="73"/>
      <c r="S230" s="73"/>
      <c r="T230" s="73"/>
      <c r="U230" s="73"/>
      <c r="V230" s="73"/>
      <c r="W230" s="73"/>
      <c r="X230" s="73"/>
      <c r="Y230" s="73"/>
      <c r="Z230" s="73"/>
      <c r="AA230" s="73"/>
      <c r="AB230" s="73"/>
      <c r="AC230" s="73"/>
      <c r="AD230" s="73"/>
      <c r="AE230" s="73"/>
      <c r="AF230" s="75"/>
      <c r="AG230" s="75"/>
      <c r="AH230" s="75"/>
      <c r="AI230" s="75"/>
      <c r="AJ230" s="53"/>
      <c r="AK230" s="53"/>
      <c r="AL230" s="53"/>
      <c r="AM230" s="53"/>
      <c r="AN230" s="53"/>
      <c r="AO230" s="53"/>
      <c r="AP230" s="53"/>
      <c r="AQ230" s="54"/>
      <c r="AR230" s="76"/>
      <c r="AS230" s="77"/>
      <c r="AT230" s="77"/>
      <c r="AU230" s="77"/>
      <c r="AV230" s="77"/>
      <c r="AW230" s="77"/>
      <c r="AX230" s="77"/>
      <c r="AY230" s="77"/>
      <c r="AZ230" s="77"/>
      <c r="BA230" s="77"/>
      <c r="BB230" s="77"/>
      <c r="BC230" s="175" t="s">
        <v>59</v>
      </c>
      <c r="BD230" s="186"/>
      <c r="BE230" s="76" t="s">
        <v>772</v>
      </c>
    </row>
    <row r="231" spans="1:57" ht="12.95" hidden="1" customHeight="1">
      <c r="A231" s="248" t="e">
        <v>#N/A</v>
      </c>
      <c r="B231" s="252" t="e">
        <v>#N/A</v>
      </c>
      <c r="C231" s="263" t="s">
        <v>1048</v>
      </c>
      <c r="D231" s="239" t="s">
        <v>2530</v>
      </c>
      <c r="E231" s="58"/>
      <c r="F231" s="59" t="s">
        <v>1794</v>
      </c>
      <c r="G231" s="191" t="s">
        <v>2511</v>
      </c>
      <c r="H231" s="192" t="s">
        <v>2215</v>
      </c>
      <c r="I231" s="61" t="s">
        <v>2511</v>
      </c>
      <c r="J231" s="61" t="s">
        <v>2511</v>
      </c>
      <c r="K231" s="62" t="s">
        <v>2511</v>
      </c>
      <c r="L231" s="60" t="s">
        <v>2511</v>
      </c>
      <c r="M231" s="61" t="s">
        <v>2388</v>
      </c>
      <c r="N231" s="61" t="s">
        <v>2511</v>
      </c>
      <c r="O231" s="61" t="s">
        <v>2511</v>
      </c>
      <c r="P231" s="62" t="s">
        <v>2511</v>
      </c>
      <c r="Q231" s="82"/>
      <c r="R231" s="82"/>
      <c r="S231" s="82"/>
      <c r="T231" s="82"/>
      <c r="U231" s="82"/>
      <c r="V231" s="138" t="s">
        <v>3165</v>
      </c>
      <c r="W231" s="57" t="s">
        <v>3166</v>
      </c>
      <c r="X231" s="126" t="s">
        <v>2511</v>
      </c>
      <c r="Y231" s="126" t="s">
        <v>2511</v>
      </c>
      <c r="Z231" s="57" t="s">
        <v>2511</v>
      </c>
      <c r="AA231" s="57" t="s">
        <v>3167</v>
      </c>
      <c r="AB231" s="57" t="s">
        <v>2511</v>
      </c>
      <c r="AC231" s="57">
        <v>0</v>
      </c>
      <c r="AD231" s="70"/>
      <c r="AE231" s="70"/>
      <c r="AF231" s="67" t="str">
        <f t="shared" si="53"/>
        <v>PULL_DOWN</v>
      </c>
      <c r="AG231" s="67" t="str">
        <f t="shared" si="45"/>
        <v>TRISTATE</v>
      </c>
      <c r="AH231" s="67" t="str">
        <f t="shared" si="54"/>
        <v>DISABLE</v>
      </c>
      <c r="AI231" s="71" t="str">
        <f t="shared" si="47"/>
        <v>N/A</v>
      </c>
      <c r="AJ231" s="189" t="b">
        <v>1</v>
      </c>
      <c r="AK231" s="189" t="b">
        <v>1</v>
      </c>
      <c r="AL231" s="189" t="b">
        <v>1</v>
      </c>
      <c r="AM231" s="189" t="b">
        <v>1</v>
      </c>
      <c r="AN231" s="189" t="b">
        <v>1</v>
      </c>
      <c r="AO231" s="189" t="b">
        <v>1</v>
      </c>
      <c r="AP231" s="69" t="str">
        <f t="shared" ref="AP231:AP240" si="56">IF(AND($AJ231:$AO231), "VALID", "INVALID")</f>
        <v>VALID</v>
      </c>
      <c r="AQ231" s="196" t="s">
        <v>1794</v>
      </c>
      <c r="AR231" s="194" t="s">
        <v>79</v>
      </c>
      <c r="AS231" s="193"/>
      <c r="AT231" s="72"/>
      <c r="AU231" s="72"/>
      <c r="AV231" s="72"/>
      <c r="AW231" s="72"/>
      <c r="AX231" s="72"/>
      <c r="AY231" s="72"/>
      <c r="AZ231" s="193"/>
      <c r="BA231" s="193"/>
      <c r="BB231" s="8"/>
      <c r="BC231" s="140"/>
      <c r="BD231" s="147" t="s">
        <v>83</v>
      </c>
      <c r="BE231" s="147" t="s">
        <v>83</v>
      </c>
    </row>
    <row r="232" spans="1:57" ht="12.95" hidden="1" customHeight="1">
      <c r="A232" s="248" t="e">
        <v>#N/A</v>
      </c>
      <c r="B232" s="252" t="e">
        <v>#N/A</v>
      </c>
      <c r="C232" s="263" t="s">
        <v>1049</v>
      </c>
      <c r="D232" s="239" t="s">
        <v>3150</v>
      </c>
      <c r="E232" s="58"/>
      <c r="F232" s="59" t="s">
        <v>1795</v>
      </c>
      <c r="G232" s="191" t="s">
        <v>2511</v>
      </c>
      <c r="H232" s="192" t="s">
        <v>2205</v>
      </c>
      <c r="I232" s="61" t="s">
        <v>2511</v>
      </c>
      <c r="J232" s="61" t="s">
        <v>2511</v>
      </c>
      <c r="K232" s="62" t="s">
        <v>2511</v>
      </c>
      <c r="L232" s="60" t="s">
        <v>2511</v>
      </c>
      <c r="M232" s="61" t="s">
        <v>2388</v>
      </c>
      <c r="N232" s="61" t="s">
        <v>2511</v>
      </c>
      <c r="O232" s="61" t="s">
        <v>2511</v>
      </c>
      <c r="P232" s="62" t="s">
        <v>2511</v>
      </c>
      <c r="Q232" s="82"/>
      <c r="R232" s="82"/>
      <c r="S232" s="82"/>
      <c r="T232" s="82"/>
      <c r="U232" s="82"/>
      <c r="V232" s="138" t="s">
        <v>3168</v>
      </c>
      <c r="W232" s="57" t="s">
        <v>3166</v>
      </c>
      <c r="X232" s="126" t="s">
        <v>2511</v>
      </c>
      <c r="Y232" s="126" t="s">
        <v>2511</v>
      </c>
      <c r="Z232" s="57" t="s">
        <v>2511</v>
      </c>
      <c r="AA232" s="57" t="s">
        <v>3167</v>
      </c>
      <c r="AB232" s="57" t="s">
        <v>2511</v>
      </c>
      <c r="AC232" s="57">
        <v>0</v>
      </c>
      <c r="AD232" s="70"/>
      <c r="AE232" s="70"/>
      <c r="AF232" s="67" t="str">
        <f t="shared" si="53"/>
        <v>PULL_DOWN</v>
      </c>
      <c r="AG232" s="67" t="str">
        <f t="shared" si="45"/>
        <v>TRISTATE</v>
      </c>
      <c r="AH232" s="67" t="str">
        <f t="shared" si="54"/>
        <v>DISABLE</v>
      </c>
      <c r="AI232" s="71" t="str">
        <f t="shared" si="47"/>
        <v>N/A</v>
      </c>
      <c r="AJ232" s="189" t="b">
        <v>1</v>
      </c>
      <c r="AK232" s="189" t="b">
        <v>1</v>
      </c>
      <c r="AL232" s="189" t="b">
        <v>1</v>
      </c>
      <c r="AM232" s="189" t="b">
        <v>1</v>
      </c>
      <c r="AN232" s="189" t="b">
        <v>1</v>
      </c>
      <c r="AO232" s="189" t="b">
        <v>1</v>
      </c>
      <c r="AP232" s="69" t="str">
        <f t="shared" si="56"/>
        <v>VALID</v>
      </c>
      <c r="AQ232" s="196" t="s">
        <v>1795</v>
      </c>
      <c r="AR232" s="194" t="s">
        <v>79</v>
      </c>
      <c r="AS232" s="193"/>
      <c r="AT232" s="72"/>
      <c r="AU232" s="72"/>
      <c r="AV232" s="72"/>
      <c r="AW232" s="72"/>
      <c r="AX232" s="72"/>
      <c r="AY232" s="72"/>
      <c r="AZ232" s="193"/>
      <c r="BA232" s="193"/>
      <c r="BB232" s="8"/>
      <c r="BC232" s="140"/>
      <c r="BD232" s="147" t="s">
        <v>83</v>
      </c>
      <c r="BE232" s="147" t="s">
        <v>83</v>
      </c>
    </row>
    <row r="233" spans="1:57" ht="12.95" hidden="1" customHeight="1">
      <c r="A233" s="248" t="e">
        <v>#N/A</v>
      </c>
      <c r="B233" s="252" t="e">
        <v>#N/A</v>
      </c>
      <c r="C233" s="263" t="s">
        <v>288</v>
      </c>
      <c r="D233" s="239" t="s">
        <v>3162</v>
      </c>
      <c r="E233" s="58"/>
      <c r="F233" s="59" t="s">
        <v>484</v>
      </c>
      <c r="G233" s="191" t="s">
        <v>2511</v>
      </c>
      <c r="H233" s="192" t="s">
        <v>2206</v>
      </c>
      <c r="I233" s="61" t="s">
        <v>2511</v>
      </c>
      <c r="J233" s="61" t="s">
        <v>2511</v>
      </c>
      <c r="K233" s="62" t="s">
        <v>2511</v>
      </c>
      <c r="L233" s="60" t="s">
        <v>2511</v>
      </c>
      <c r="M233" s="61" t="s">
        <v>2388</v>
      </c>
      <c r="N233" s="61" t="s">
        <v>2511</v>
      </c>
      <c r="O233" s="61" t="s">
        <v>2511</v>
      </c>
      <c r="P233" s="62" t="s">
        <v>2511</v>
      </c>
      <c r="Q233" s="82"/>
      <c r="R233" s="82"/>
      <c r="S233" s="82"/>
      <c r="T233" s="82"/>
      <c r="U233" s="82"/>
      <c r="V233" s="138" t="s">
        <v>3170</v>
      </c>
      <c r="W233" s="57" t="s">
        <v>3166</v>
      </c>
      <c r="X233" s="126" t="s">
        <v>2511</v>
      </c>
      <c r="Y233" s="126" t="s">
        <v>2511</v>
      </c>
      <c r="Z233" s="57" t="s">
        <v>2511</v>
      </c>
      <c r="AA233" s="57" t="s">
        <v>3167</v>
      </c>
      <c r="AB233" s="57" t="s">
        <v>2511</v>
      </c>
      <c r="AC233" s="57">
        <v>0</v>
      </c>
      <c r="AD233" s="70"/>
      <c r="AE233" s="70"/>
      <c r="AF233" s="67" t="str">
        <f t="shared" si="53"/>
        <v>PULL_DOWN</v>
      </c>
      <c r="AG233" s="67" t="str">
        <f t="shared" si="45"/>
        <v>TRISTATE</v>
      </c>
      <c r="AH233" s="67" t="str">
        <f t="shared" si="54"/>
        <v>DISABLE</v>
      </c>
      <c r="AI233" s="71" t="str">
        <f t="shared" si="47"/>
        <v>N/A</v>
      </c>
      <c r="AJ233" s="189" t="b">
        <v>1</v>
      </c>
      <c r="AK233" s="189" t="b">
        <v>1</v>
      </c>
      <c r="AL233" s="189" t="b">
        <v>1</v>
      </c>
      <c r="AM233" s="189" t="b">
        <v>1</v>
      </c>
      <c r="AN233" s="189" t="b">
        <v>1</v>
      </c>
      <c r="AO233" s="189" t="b">
        <v>1</v>
      </c>
      <c r="AP233" s="69" t="str">
        <f t="shared" si="56"/>
        <v>VALID</v>
      </c>
      <c r="AQ233" s="196" t="s">
        <v>484</v>
      </c>
      <c r="AR233" s="194" t="s">
        <v>79</v>
      </c>
      <c r="AS233" s="193"/>
      <c r="AT233" s="72"/>
      <c r="AU233" s="72"/>
      <c r="AV233" s="72"/>
      <c r="AW233" s="72"/>
      <c r="AX233" s="72"/>
      <c r="AY233" s="72"/>
      <c r="AZ233" s="193"/>
      <c r="BA233" s="193"/>
      <c r="BB233" s="8"/>
      <c r="BC233" s="140"/>
      <c r="BD233" s="147" t="s">
        <v>83</v>
      </c>
      <c r="BE233" s="147" t="s">
        <v>83</v>
      </c>
    </row>
    <row r="234" spans="1:57" ht="12.95" hidden="1" customHeight="1">
      <c r="A234" s="248" t="e">
        <v>#N/A</v>
      </c>
      <c r="B234" s="252" t="e">
        <v>#N/A</v>
      </c>
      <c r="C234" s="263" t="s">
        <v>289</v>
      </c>
      <c r="D234" s="239" t="s">
        <v>3139</v>
      </c>
      <c r="E234" s="58"/>
      <c r="F234" s="59" t="s">
        <v>485</v>
      </c>
      <c r="G234" s="191" t="s">
        <v>2511</v>
      </c>
      <c r="H234" s="192" t="s">
        <v>2207</v>
      </c>
      <c r="I234" s="61" t="s">
        <v>2511</v>
      </c>
      <c r="J234" s="61" t="s">
        <v>2511</v>
      </c>
      <c r="K234" s="62" t="s">
        <v>2511</v>
      </c>
      <c r="L234" s="60" t="s">
        <v>2511</v>
      </c>
      <c r="M234" s="61" t="s">
        <v>2388</v>
      </c>
      <c r="N234" s="61" t="s">
        <v>2511</v>
      </c>
      <c r="O234" s="61" t="s">
        <v>2511</v>
      </c>
      <c r="P234" s="62" t="s">
        <v>2511</v>
      </c>
      <c r="Q234" s="82"/>
      <c r="R234" s="82"/>
      <c r="S234" s="82"/>
      <c r="T234" s="82"/>
      <c r="U234" s="82"/>
      <c r="V234" s="138" t="s">
        <v>3172</v>
      </c>
      <c r="W234" s="57" t="s">
        <v>3166</v>
      </c>
      <c r="X234" s="126" t="s">
        <v>2511</v>
      </c>
      <c r="Y234" s="126" t="s">
        <v>2511</v>
      </c>
      <c r="Z234" s="57" t="s">
        <v>2511</v>
      </c>
      <c r="AA234" s="57" t="s">
        <v>3167</v>
      </c>
      <c r="AB234" s="57" t="s">
        <v>2511</v>
      </c>
      <c r="AC234" s="57">
        <v>0</v>
      </c>
      <c r="AD234" s="70"/>
      <c r="AE234" s="70"/>
      <c r="AF234" s="67" t="str">
        <f t="shared" si="53"/>
        <v>PULL_DOWN</v>
      </c>
      <c r="AG234" s="67" t="str">
        <f t="shared" si="45"/>
        <v>TRISTATE</v>
      </c>
      <c r="AH234" s="67" t="str">
        <f t="shared" si="54"/>
        <v>DISABLE</v>
      </c>
      <c r="AI234" s="71" t="str">
        <f t="shared" si="47"/>
        <v>N/A</v>
      </c>
      <c r="AJ234" s="189" t="b">
        <v>1</v>
      </c>
      <c r="AK234" s="189" t="b">
        <v>1</v>
      </c>
      <c r="AL234" s="189" t="b">
        <v>1</v>
      </c>
      <c r="AM234" s="189" t="b">
        <v>1</v>
      </c>
      <c r="AN234" s="189" t="b">
        <v>1</v>
      </c>
      <c r="AO234" s="189" t="b">
        <v>1</v>
      </c>
      <c r="AP234" s="69" t="str">
        <f t="shared" si="56"/>
        <v>VALID</v>
      </c>
      <c r="AQ234" s="196" t="s">
        <v>485</v>
      </c>
      <c r="AR234" s="194" t="s">
        <v>79</v>
      </c>
      <c r="AS234" s="193"/>
      <c r="AT234" s="72"/>
      <c r="AU234" s="72"/>
      <c r="AV234" s="72"/>
      <c r="AW234" s="72"/>
      <c r="AX234" s="72"/>
      <c r="AY234" s="72"/>
      <c r="AZ234" s="193"/>
      <c r="BA234" s="193"/>
      <c r="BB234" s="8"/>
      <c r="BC234" s="140"/>
      <c r="BD234" s="147" t="s">
        <v>83</v>
      </c>
      <c r="BE234" s="147" t="s">
        <v>83</v>
      </c>
    </row>
    <row r="235" spans="1:57" ht="12.95" hidden="1" customHeight="1">
      <c r="A235" s="248" t="e">
        <v>#N/A</v>
      </c>
      <c r="B235" s="252" t="e">
        <v>#N/A</v>
      </c>
      <c r="C235" s="263" t="s">
        <v>290</v>
      </c>
      <c r="D235" s="239" t="s">
        <v>3174</v>
      </c>
      <c r="E235" s="58"/>
      <c r="F235" s="59" t="s">
        <v>486</v>
      </c>
      <c r="G235" s="191" t="s">
        <v>2511</v>
      </c>
      <c r="H235" s="192" t="s">
        <v>921</v>
      </c>
      <c r="I235" s="61" t="s">
        <v>2511</v>
      </c>
      <c r="J235" s="61" t="s">
        <v>2511</v>
      </c>
      <c r="K235" s="62" t="s">
        <v>2511</v>
      </c>
      <c r="L235" s="60" t="s">
        <v>2511</v>
      </c>
      <c r="M235" s="61" t="s">
        <v>2388</v>
      </c>
      <c r="N235" s="61" t="s">
        <v>2511</v>
      </c>
      <c r="O235" s="61" t="s">
        <v>2511</v>
      </c>
      <c r="P235" s="62" t="s">
        <v>2511</v>
      </c>
      <c r="Q235" s="82"/>
      <c r="R235" s="82"/>
      <c r="S235" s="82"/>
      <c r="T235" s="82"/>
      <c r="U235" s="82"/>
      <c r="V235" s="138" t="s">
        <v>3175</v>
      </c>
      <c r="W235" s="57" t="s">
        <v>3166</v>
      </c>
      <c r="X235" s="126" t="s">
        <v>2511</v>
      </c>
      <c r="Y235" s="126" t="s">
        <v>2511</v>
      </c>
      <c r="Z235" s="57" t="s">
        <v>2511</v>
      </c>
      <c r="AA235" s="57" t="s">
        <v>3167</v>
      </c>
      <c r="AB235" s="57" t="s">
        <v>2511</v>
      </c>
      <c r="AC235" s="57">
        <v>0</v>
      </c>
      <c r="AD235" s="70"/>
      <c r="AE235" s="70"/>
      <c r="AF235" s="67" t="str">
        <f t="shared" si="53"/>
        <v>PULL_DOWN</v>
      </c>
      <c r="AG235" s="67" t="str">
        <f t="shared" si="45"/>
        <v>TRISTATE</v>
      </c>
      <c r="AH235" s="67" t="str">
        <f t="shared" si="54"/>
        <v>DISABLE</v>
      </c>
      <c r="AI235" s="71" t="str">
        <f t="shared" si="47"/>
        <v>N/A</v>
      </c>
      <c r="AJ235" s="189" t="b">
        <v>1</v>
      </c>
      <c r="AK235" s="189" t="b">
        <v>1</v>
      </c>
      <c r="AL235" s="189" t="b">
        <v>1</v>
      </c>
      <c r="AM235" s="189" t="b">
        <v>1</v>
      </c>
      <c r="AN235" s="189" t="b">
        <v>1</v>
      </c>
      <c r="AO235" s="189" t="b">
        <v>1</v>
      </c>
      <c r="AP235" s="69" t="str">
        <f t="shared" si="56"/>
        <v>VALID</v>
      </c>
      <c r="AQ235" s="195" t="s">
        <v>486</v>
      </c>
      <c r="AR235" s="194" t="s">
        <v>79</v>
      </c>
      <c r="AS235" s="193"/>
      <c r="AT235" s="72"/>
      <c r="AU235" s="72"/>
      <c r="AV235" s="72"/>
      <c r="AW235" s="72"/>
      <c r="AX235" s="72"/>
      <c r="AY235" s="72"/>
      <c r="AZ235" s="193"/>
      <c r="BA235" s="193"/>
      <c r="BB235" s="8"/>
      <c r="BC235" s="140"/>
      <c r="BD235" s="147" t="s">
        <v>83</v>
      </c>
      <c r="BE235" s="147" t="s">
        <v>83</v>
      </c>
    </row>
    <row r="236" spans="1:57" ht="12.95" hidden="1" customHeight="1">
      <c r="A236" s="248" t="e">
        <v>#N/A</v>
      </c>
      <c r="B236" s="252" t="e">
        <v>#N/A</v>
      </c>
      <c r="C236" s="263" t="s">
        <v>291</v>
      </c>
      <c r="D236" s="239" t="s">
        <v>3176</v>
      </c>
      <c r="E236" s="58"/>
      <c r="F236" s="59" t="s">
        <v>487</v>
      </c>
      <c r="G236" s="191" t="s">
        <v>2511</v>
      </c>
      <c r="H236" s="192" t="s">
        <v>922</v>
      </c>
      <c r="I236" s="61" t="s">
        <v>2511</v>
      </c>
      <c r="J236" s="61" t="s">
        <v>2511</v>
      </c>
      <c r="K236" s="62" t="s">
        <v>2511</v>
      </c>
      <c r="L236" s="60" t="s">
        <v>2511</v>
      </c>
      <c r="M236" s="61" t="s">
        <v>2388</v>
      </c>
      <c r="N236" s="61" t="s">
        <v>2511</v>
      </c>
      <c r="O236" s="61" t="s">
        <v>2511</v>
      </c>
      <c r="P236" s="62" t="s">
        <v>2511</v>
      </c>
      <c r="Q236" s="82"/>
      <c r="R236" s="82"/>
      <c r="S236" s="82"/>
      <c r="T236" s="82"/>
      <c r="U236" s="82"/>
      <c r="V236" s="138" t="s">
        <v>3177</v>
      </c>
      <c r="W236" s="57" t="s">
        <v>3166</v>
      </c>
      <c r="X236" s="126" t="s">
        <v>2511</v>
      </c>
      <c r="Y236" s="126" t="s">
        <v>2511</v>
      </c>
      <c r="Z236" s="57" t="s">
        <v>2511</v>
      </c>
      <c r="AA236" s="57" t="s">
        <v>3167</v>
      </c>
      <c r="AB236" s="57" t="s">
        <v>2511</v>
      </c>
      <c r="AC236" s="57">
        <v>0</v>
      </c>
      <c r="AD236" s="70"/>
      <c r="AE236" s="70"/>
      <c r="AF236" s="67" t="str">
        <f t="shared" si="53"/>
        <v>PULL_DOWN</v>
      </c>
      <c r="AG236" s="67" t="str">
        <f t="shared" si="45"/>
        <v>TRISTATE</v>
      </c>
      <c r="AH236" s="67" t="str">
        <f t="shared" si="54"/>
        <v>DISABLE</v>
      </c>
      <c r="AI236" s="71" t="str">
        <f t="shared" si="47"/>
        <v>N/A</v>
      </c>
      <c r="AJ236" s="189" t="b">
        <v>1</v>
      </c>
      <c r="AK236" s="189" t="b">
        <v>1</v>
      </c>
      <c r="AL236" s="189" t="b">
        <v>1</v>
      </c>
      <c r="AM236" s="189" t="b">
        <v>1</v>
      </c>
      <c r="AN236" s="189" t="b">
        <v>1</v>
      </c>
      <c r="AO236" s="189" t="b">
        <v>1</v>
      </c>
      <c r="AP236" s="69" t="str">
        <f t="shared" si="56"/>
        <v>VALID</v>
      </c>
      <c r="AQ236" s="195" t="s">
        <v>487</v>
      </c>
      <c r="AR236" s="194" t="s">
        <v>79</v>
      </c>
      <c r="AS236" s="193"/>
      <c r="AT236" s="72"/>
      <c r="AU236" s="72"/>
      <c r="AV236" s="72"/>
      <c r="AW236" s="72"/>
      <c r="AX236" s="72"/>
      <c r="AY236" s="72"/>
      <c r="AZ236" s="193"/>
      <c r="BA236" s="193"/>
      <c r="BB236" s="8"/>
      <c r="BC236" s="140"/>
      <c r="BD236" s="147" t="s">
        <v>83</v>
      </c>
      <c r="BE236" s="147" t="s">
        <v>83</v>
      </c>
    </row>
    <row r="237" spans="1:57" ht="12.95" hidden="1" customHeight="1">
      <c r="A237" s="248" t="e">
        <v>#N/A</v>
      </c>
      <c r="B237" s="252" t="e">
        <v>#N/A</v>
      </c>
      <c r="C237" s="263" t="s">
        <v>853</v>
      </c>
      <c r="D237" s="239" t="s">
        <v>3178</v>
      </c>
      <c r="E237" s="58"/>
      <c r="F237" s="59" t="s">
        <v>1796</v>
      </c>
      <c r="G237" s="191" t="s">
        <v>2511</v>
      </c>
      <c r="H237" s="192" t="s">
        <v>2208</v>
      </c>
      <c r="I237" s="61" t="s">
        <v>2511</v>
      </c>
      <c r="J237" s="61" t="s">
        <v>2511</v>
      </c>
      <c r="K237" s="62" t="s">
        <v>2511</v>
      </c>
      <c r="L237" s="60" t="s">
        <v>2511</v>
      </c>
      <c r="M237" s="61" t="s">
        <v>2388</v>
      </c>
      <c r="N237" s="61" t="s">
        <v>2511</v>
      </c>
      <c r="O237" s="61" t="s">
        <v>2511</v>
      </c>
      <c r="P237" s="62" t="s">
        <v>2511</v>
      </c>
      <c r="Q237" s="82"/>
      <c r="R237" s="82"/>
      <c r="S237" s="82"/>
      <c r="T237" s="82"/>
      <c r="U237" s="82"/>
      <c r="V237" s="138" t="s">
        <v>3179</v>
      </c>
      <c r="W237" s="57" t="s">
        <v>3166</v>
      </c>
      <c r="X237" s="126" t="s">
        <v>2511</v>
      </c>
      <c r="Y237" s="126" t="s">
        <v>2511</v>
      </c>
      <c r="Z237" s="57" t="s">
        <v>2511</v>
      </c>
      <c r="AA237" s="57" t="s">
        <v>3167</v>
      </c>
      <c r="AB237" s="57" t="s">
        <v>2511</v>
      </c>
      <c r="AC237" s="57">
        <v>0</v>
      </c>
      <c r="AD237" s="70"/>
      <c r="AE237" s="70"/>
      <c r="AF237" s="67" t="str">
        <f t="shared" si="53"/>
        <v>PULL_DOWN</v>
      </c>
      <c r="AG237" s="67" t="str">
        <f t="shared" si="45"/>
        <v>TRISTATE</v>
      </c>
      <c r="AH237" s="67" t="str">
        <f t="shared" si="54"/>
        <v>DISABLE</v>
      </c>
      <c r="AI237" s="71" t="str">
        <f t="shared" si="47"/>
        <v>N/A</v>
      </c>
      <c r="AJ237" s="189" t="b">
        <v>1</v>
      </c>
      <c r="AK237" s="189" t="b">
        <v>1</v>
      </c>
      <c r="AL237" s="189" t="b">
        <v>1</v>
      </c>
      <c r="AM237" s="189" t="b">
        <v>1</v>
      </c>
      <c r="AN237" s="189" t="b">
        <v>1</v>
      </c>
      <c r="AO237" s="189" t="b">
        <v>1</v>
      </c>
      <c r="AP237" s="69" t="str">
        <f t="shared" si="56"/>
        <v>VALID</v>
      </c>
      <c r="AQ237" s="195" t="s">
        <v>1796</v>
      </c>
      <c r="AR237" s="194" t="s">
        <v>79</v>
      </c>
      <c r="AS237" s="193"/>
      <c r="AT237" s="72"/>
      <c r="AU237" s="72"/>
      <c r="AV237" s="72"/>
      <c r="AW237" s="72"/>
      <c r="AX237" s="72"/>
      <c r="AY237" s="72"/>
      <c r="AZ237" s="193"/>
      <c r="BA237" s="193"/>
      <c r="BB237" s="8"/>
      <c r="BC237" s="140"/>
      <c r="BD237" s="147" t="s">
        <v>83</v>
      </c>
      <c r="BE237" s="147" t="s">
        <v>83</v>
      </c>
    </row>
    <row r="238" spans="1:57" ht="12.95" hidden="1" customHeight="1">
      <c r="A238" s="248" t="e">
        <v>#N/A</v>
      </c>
      <c r="B238" s="252" t="e">
        <v>#N/A</v>
      </c>
      <c r="C238" s="263" t="s">
        <v>854</v>
      </c>
      <c r="D238" s="239" t="s">
        <v>3181</v>
      </c>
      <c r="E238" s="58"/>
      <c r="F238" s="59" t="s">
        <v>1797</v>
      </c>
      <c r="G238" s="191" t="s">
        <v>2511</v>
      </c>
      <c r="H238" s="192" t="s">
        <v>2209</v>
      </c>
      <c r="I238" s="61" t="s">
        <v>2511</v>
      </c>
      <c r="J238" s="61" t="s">
        <v>2511</v>
      </c>
      <c r="K238" s="62" t="s">
        <v>2511</v>
      </c>
      <c r="L238" s="60" t="s">
        <v>2511</v>
      </c>
      <c r="M238" s="61" t="s">
        <v>2388</v>
      </c>
      <c r="N238" s="61" t="s">
        <v>2511</v>
      </c>
      <c r="O238" s="61" t="s">
        <v>2511</v>
      </c>
      <c r="P238" s="62" t="s">
        <v>2511</v>
      </c>
      <c r="Q238" s="82"/>
      <c r="R238" s="82"/>
      <c r="S238" s="82"/>
      <c r="T238" s="82"/>
      <c r="U238" s="82"/>
      <c r="V238" s="138" t="s">
        <v>3182</v>
      </c>
      <c r="W238" s="57" t="s">
        <v>3166</v>
      </c>
      <c r="X238" s="126" t="s">
        <v>2511</v>
      </c>
      <c r="Y238" s="126" t="s">
        <v>2511</v>
      </c>
      <c r="Z238" s="57" t="s">
        <v>2511</v>
      </c>
      <c r="AA238" s="57" t="s">
        <v>3167</v>
      </c>
      <c r="AB238" s="57" t="s">
        <v>2511</v>
      </c>
      <c r="AC238" s="57">
        <v>0</v>
      </c>
      <c r="AD238" s="70"/>
      <c r="AE238" s="70"/>
      <c r="AF238" s="67" t="str">
        <f t="shared" si="53"/>
        <v>PULL_DOWN</v>
      </c>
      <c r="AG238" s="67" t="str">
        <f t="shared" si="45"/>
        <v>TRISTATE</v>
      </c>
      <c r="AH238" s="67" t="str">
        <f t="shared" si="54"/>
        <v>DISABLE</v>
      </c>
      <c r="AI238" s="71" t="str">
        <f t="shared" si="47"/>
        <v>N/A</v>
      </c>
      <c r="AJ238" s="189" t="b">
        <v>1</v>
      </c>
      <c r="AK238" s="189" t="b">
        <v>1</v>
      </c>
      <c r="AL238" s="189" t="b">
        <v>1</v>
      </c>
      <c r="AM238" s="189" t="b">
        <v>1</v>
      </c>
      <c r="AN238" s="189" t="b">
        <v>1</v>
      </c>
      <c r="AO238" s="189" t="b">
        <v>1</v>
      </c>
      <c r="AP238" s="69" t="str">
        <f t="shared" si="56"/>
        <v>VALID</v>
      </c>
      <c r="AQ238" s="195" t="s">
        <v>1797</v>
      </c>
      <c r="AR238" s="194" t="s">
        <v>79</v>
      </c>
      <c r="AS238" s="193"/>
      <c r="AT238" s="72"/>
      <c r="AU238" s="72"/>
      <c r="AV238" s="72"/>
      <c r="AW238" s="72"/>
      <c r="AX238" s="72"/>
      <c r="AY238" s="72"/>
      <c r="AZ238" s="193"/>
      <c r="BA238" s="193"/>
      <c r="BB238" s="8"/>
      <c r="BC238" s="140"/>
      <c r="BD238" s="147" t="s">
        <v>83</v>
      </c>
      <c r="BE238" s="147" t="s">
        <v>83</v>
      </c>
    </row>
    <row r="239" spans="1:57" ht="12.95" customHeight="1">
      <c r="A239" s="247" t="s">
        <v>5483</v>
      </c>
      <c r="B239" s="251">
        <v>175</v>
      </c>
      <c r="C239" s="285" t="s">
        <v>1050</v>
      </c>
      <c r="D239" s="239" t="s">
        <v>3183</v>
      </c>
      <c r="E239" s="58"/>
      <c r="F239" s="59" t="s">
        <v>1798</v>
      </c>
      <c r="G239" s="191" t="s">
        <v>2511</v>
      </c>
      <c r="H239" s="192" t="s">
        <v>2210</v>
      </c>
      <c r="I239" s="61" t="s">
        <v>2511</v>
      </c>
      <c r="J239" s="61" t="s">
        <v>2511</v>
      </c>
      <c r="K239" s="62" t="s">
        <v>2511</v>
      </c>
      <c r="L239" s="60" t="s">
        <v>2511</v>
      </c>
      <c r="M239" s="61" t="s">
        <v>2388</v>
      </c>
      <c r="N239" s="61" t="s">
        <v>2511</v>
      </c>
      <c r="O239" s="61" t="s">
        <v>2511</v>
      </c>
      <c r="P239" s="62" t="s">
        <v>2511</v>
      </c>
      <c r="Q239" s="82"/>
      <c r="R239" s="82"/>
      <c r="S239" s="82"/>
      <c r="T239" s="82"/>
      <c r="U239" s="82"/>
      <c r="V239" s="138" t="s">
        <v>3184</v>
      </c>
      <c r="W239" s="57" t="s">
        <v>3166</v>
      </c>
      <c r="X239" s="126" t="s">
        <v>2511</v>
      </c>
      <c r="Y239" s="126" t="s">
        <v>2511</v>
      </c>
      <c r="Z239" s="57" t="s">
        <v>2511</v>
      </c>
      <c r="AA239" s="57" t="s">
        <v>3167</v>
      </c>
      <c r="AB239" s="57" t="s">
        <v>2511</v>
      </c>
      <c r="AC239" s="57">
        <v>0</v>
      </c>
      <c r="AD239" s="70"/>
      <c r="AE239" s="70"/>
      <c r="AF239" s="67" t="str">
        <f t="shared" si="53"/>
        <v>NORMAL</v>
      </c>
      <c r="AG239" s="67" t="str">
        <f t="shared" si="45"/>
        <v>NORMAL</v>
      </c>
      <c r="AH239" s="67" t="str">
        <f t="shared" si="54"/>
        <v>DISABLE</v>
      </c>
      <c r="AI239" s="71" t="str">
        <f t="shared" si="47"/>
        <v>N/A</v>
      </c>
      <c r="AJ239" s="189" t="b">
        <v>1</v>
      </c>
      <c r="AK239" s="189" t="b">
        <v>1</v>
      </c>
      <c r="AL239" s="189" t="b">
        <v>1</v>
      </c>
      <c r="AM239" s="189" t="b">
        <v>1</v>
      </c>
      <c r="AN239" s="189" t="b">
        <v>1</v>
      </c>
      <c r="AO239" s="189" t="b">
        <v>1</v>
      </c>
      <c r="AP239" s="69" t="str">
        <f t="shared" si="56"/>
        <v>VALID</v>
      </c>
      <c r="AQ239" s="195" t="s">
        <v>2210</v>
      </c>
      <c r="AR239" s="194" t="s">
        <v>861</v>
      </c>
      <c r="AS239" s="193"/>
      <c r="AT239" s="72"/>
      <c r="AU239" s="72"/>
      <c r="AV239" s="72"/>
      <c r="AW239" s="72"/>
      <c r="AX239" s="72"/>
      <c r="AY239" s="72"/>
      <c r="AZ239" s="193"/>
      <c r="BA239" s="193"/>
      <c r="BB239" s="8"/>
      <c r="BC239" s="140"/>
      <c r="BD239" s="11" t="s">
        <v>5691</v>
      </c>
      <c r="BE239" s="312" t="s">
        <v>5693</v>
      </c>
    </row>
    <row r="240" spans="1:57" ht="12.95" customHeight="1">
      <c r="A240" s="247" t="s">
        <v>5484</v>
      </c>
      <c r="B240" s="251">
        <v>173</v>
      </c>
      <c r="C240" s="285" t="s">
        <v>1051</v>
      </c>
      <c r="D240" s="239" t="s">
        <v>3186</v>
      </c>
      <c r="E240" s="58"/>
      <c r="F240" s="59" t="s">
        <v>1799</v>
      </c>
      <c r="G240" s="191" t="s">
        <v>2511</v>
      </c>
      <c r="H240" s="192" t="s">
        <v>2211</v>
      </c>
      <c r="I240" s="61" t="s">
        <v>2511</v>
      </c>
      <c r="J240" s="61" t="s">
        <v>2511</v>
      </c>
      <c r="K240" s="62" t="s">
        <v>2511</v>
      </c>
      <c r="L240" s="60" t="s">
        <v>2511</v>
      </c>
      <c r="M240" s="61" t="s">
        <v>2388</v>
      </c>
      <c r="N240" s="61" t="s">
        <v>2511</v>
      </c>
      <c r="O240" s="61" t="s">
        <v>2511</v>
      </c>
      <c r="P240" s="62" t="s">
        <v>2511</v>
      </c>
      <c r="Q240" s="82"/>
      <c r="R240" s="82"/>
      <c r="S240" s="82"/>
      <c r="T240" s="82"/>
      <c r="U240" s="82"/>
      <c r="V240" s="138" t="s">
        <v>3187</v>
      </c>
      <c r="W240" s="57" t="s">
        <v>3166</v>
      </c>
      <c r="X240" s="126" t="s">
        <v>2511</v>
      </c>
      <c r="Y240" s="126" t="s">
        <v>2511</v>
      </c>
      <c r="Z240" s="57" t="s">
        <v>2511</v>
      </c>
      <c r="AA240" s="57" t="s">
        <v>3167</v>
      </c>
      <c r="AB240" s="57" t="s">
        <v>2511</v>
      </c>
      <c r="AC240" s="57">
        <v>0</v>
      </c>
      <c r="AD240" s="70"/>
      <c r="AE240" s="70"/>
      <c r="AF240" s="67" t="str">
        <f t="shared" si="53"/>
        <v>NORMAL</v>
      </c>
      <c r="AG240" s="67" t="str">
        <f t="shared" si="45"/>
        <v>NORMAL</v>
      </c>
      <c r="AH240" s="67" t="str">
        <f t="shared" si="54"/>
        <v>DISABLE</v>
      </c>
      <c r="AI240" s="71" t="str">
        <f t="shared" si="47"/>
        <v>N/A</v>
      </c>
      <c r="AJ240" s="189" t="b">
        <v>1</v>
      </c>
      <c r="AK240" s="189" t="b">
        <v>1</v>
      </c>
      <c r="AL240" s="189" t="b">
        <v>1</v>
      </c>
      <c r="AM240" s="189" t="b">
        <v>1</v>
      </c>
      <c r="AN240" s="189" t="b">
        <v>1</v>
      </c>
      <c r="AO240" s="189" t="b">
        <v>1</v>
      </c>
      <c r="AP240" s="69" t="str">
        <f t="shared" si="56"/>
        <v>VALID</v>
      </c>
      <c r="AQ240" s="195" t="s">
        <v>2211</v>
      </c>
      <c r="AR240" s="194" t="s">
        <v>861</v>
      </c>
      <c r="AS240" s="193"/>
      <c r="AT240" s="72"/>
      <c r="AU240" s="72"/>
      <c r="AV240" s="72"/>
      <c r="AW240" s="72"/>
      <c r="AX240" s="72"/>
      <c r="AY240" s="72"/>
      <c r="AZ240" s="193"/>
      <c r="BA240" s="193"/>
      <c r="BB240" s="8"/>
      <c r="BC240" s="140"/>
      <c r="BD240" s="11" t="s">
        <v>5692</v>
      </c>
      <c r="BE240" s="312" t="s">
        <v>5693</v>
      </c>
    </row>
    <row r="241" spans="1:57" s="56" customFormat="1" ht="18" customHeight="1">
      <c r="A241" s="363"/>
      <c r="B241" s="364"/>
      <c r="C241" s="265" t="s">
        <v>1739</v>
      </c>
      <c r="D241" s="266"/>
      <c r="E241" s="73"/>
      <c r="F241" s="73"/>
      <c r="G241" s="74"/>
      <c r="H241" s="74"/>
      <c r="I241" s="74"/>
      <c r="J241" s="74"/>
      <c r="K241" s="74"/>
      <c r="L241" s="73"/>
      <c r="M241" s="73"/>
      <c r="N241" s="73"/>
      <c r="O241" s="73"/>
      <c r="P241" s="73"/>
      <c r="Q241" s="73"/>
      <c r="R241" s="73"/>
      <c r="S241" s="73"/>
      <c r="T241" s="73"/>
      <c r="U241" s="73"/>
      <c r="V241" s="73"/>
      <c r="W241" s="73"/>
      <c r="X241" s="73"/>
      <c r="Y241" s="73"/>
      <c r="Z241" s="73"/>
      <c r="AA241" s="73"/>
      <c r="AB241" s="73"/>
      <c r="AC241" s="73"/>
      <c r="AD241" s="73"/>
      <c r="AE241" s="73"/>
      <c r="AF241" s="75"/>
      <c r="AG241" s="75"/>
      <c r="AH241" s="75"/>
      <c r="AI241" s="75"/>
      <c r="AJ241" s="53"/>
      <c r="AK241" s="53"/>
      <c r="AL241" s="53"/>
      <c r="AM241" s="53"/>
      <c r="AN241" s="53"/>
      <c r="AO241" s="53"/>
      <c r="AP241" s="53"/>
      <c r="AQ241" s="54"/>
      <c r="AR241" s="76"/>
      <c r="AS241" s="77"/>
      <c r="AT241" s="77"/>
      <c r="AU241" s="77"/>
      <c r="AV241" s="77"/>
      <c r="AW241" s="77"/>
      <c r="AX241" s="77"/>
      <c r="AY241" s="77"/>
      <c r="AZ241" s="77"/>
      <c r="BA241" s="77"/>
      <c r="BB241" s="77"/>
      <c r="BC241" s="175" t="s">
        <v>59</v>
      </c>
      <c r="BD241" s="186"/>
      <c r="BE241" s="228" t="s">
        <v>1739</v>
      </c>
    </row>
    <row r="242" spans="1:57" ht="12.95" customHeight="1">
      <c r="A242" s="247" t="s">
        <v>5476</v>
      </c>
      <c r="B242" s="251">
        <v>162</v>
      </c>
      <c r="C242" s="239" t="s">
        <v>1046</v>
      </c>
      <c r="D242" s="239" t="s">
        <v>3189</v>
      </c>
      <c r="E242" s="58"/>
      <c r="F242" s="59" t="s">
        <v>1793</v>
      </c>
      <c r="G242" s="191" t="s">
        <v>2511</v>
      </c>
      <c r="H242" s="192" t="s">
        <v>2468</v>
      </c>
      <c r="I242" s="61" t="s">
        <v>2511</v>
      </c>
      <c r="J242" s="61" t="s">
        <v>2511</v>
      </c>
      <c r="K242" s="62" t="s">
        <v>2511</v>
      </c>
      <c r="L242" s="60" t="s">
        <v>2511</v>
      </c>
      <c r="M242" s="61" t="s">
        <v>2388</v>
      </c>
      <c r="N242" s="61" t="s">
        <v>2511</v>
      </c>
      <c r="O242" s="61" t="s">
        <v>2511</v>
      </c>
      <c r="P242" s="62" t="s">
        <v>2511</v>
      </c>
      <c r="Q242" s="7"/>
      <c r="R242" s="58"/>
      <c r="S242" s="58"/>
      <c r="T242" s="58"/>
      <c r="U242" s="63"/>
      <c r="V242" s="138" t="s">
        <v>3190</v>
      </c>
      <c r="W242" s="57" t="s">
        <v>3191</v>
      </c>
      <c r="X242" s="126" t="s">
        <v>2511</v>
      </c>
      <c r="Y242" s="126" t="s">
        <v>2511</v>
      </c>
      <c r="Z242" s="57" t="s">
        <v>2511</v>
      </c>
      <c r="AA242" s="57" t="s">
        <v>3192</v>
      </c>
      <c r="AB242" s="57" t="s">
        <v>2511</v>
      </c>
      <c r="AC242" s="57">
        <v>0</v>
      </c>
      <c r="AD242" s="70"/>
      <c r="AE242" s="70"/>
      <c r="AF242" s="67" t="str">
        <f t="shared" si="53"/>
        <v>NORMAL</v>
      </c>
      <c r="AG242" s="67" t="str">
        <f t="shared" ref="AG242:AG263" si="57">IF($AR242="Input", "TRISTATE", IF($AS242="Z","TRISTATE",IF($AQ242=$F242,"TRISTATE","NORMAL")))</f>
        <v>NORMAL</v>
      </c>
      <c r="AH242" s="67" t="str">
        <f t="shared" si="54"/>
        <v>DISABLE</v>
      </c>
      <c r="AI242" s="71" t="str">
        <f t="shared" si="47"/>
        <v>N/A</v>
      </c>
      <c r="AJ242" s="189" t="b">
        <v>1</v>
      </c>
      <c r="AK242" s="189" t="b">
        <v>1</v>
      </c>
      <c r="AL242" s="189" t="b">
        <v>1</v>
      </c>
      <c r="AM242" s="189" t="b">
        <v>1</v>
      </c>
      <c r="AN242" s="189" t="b">
        <v>1</v>
      </c>
      <c r="AO242" s="189" t="b">
        <v>1</v>
      </c>
      <c r="AP242" s="69" t="str">
        <f>IF(AND($AJ242:$AO242), "VALID", "INVALID")</f>
        <v>VALID</v>
      </c>
      <c r="AQ242" s="196" t="s">
        <v>2468</v>
      </c>
      <c r="AR242" s="194" t="s">
        <v>861</v>
      </c>
      <c r="AS242" s="193"/>
      <c r="AT242" s="72"/>
      <c r="AU242" s="72"/>
      <c r="AV242" s="72"/>
      <c r="AW242" s="72"/>
      <c r="AX242" s="72"/>
      <c r="AY242" s="72"/>
      <c r="AZ242" s="193"/>
      <c r="BA242" s="193"/>
      <c r="BB242" s="8"/>
      <c r="BC242" s="140"/>
      <c r="BD242" s="11" t="s">
        <v>5694</v>
      </c>
      <c r="BE242" s="312" t="s">
        <v>5695</v>
      </c>
    </row>
    <row r="243" spans="1:57" ht="12.95" customHeight="1">
      <c r="A243" s="247" t="s">
        <v>5475</v>
      </c>
      <c r="B243" s="251">
        <v>160</v>
      </c>
      <c r="C243" s="239" t="s">
        <v>1047</v>
      </c>
      <c r="D243" s="239" t="s">
        <v>3194</v>
      </c>
      <c r="E243" s="58"/>
      <c r="F243" s="59" t="s">
        <v>1792</v>
      </c>
      <c r="G243" s="191" t="s">
        <v>2511</v>
      </c>
      <c r="H243" s="192" t="s">
        <v>2469</v>
      </c>
      <c r="I243" s="61" t="s">
        <v>2511</v>
      </c>
      <c r="J243" s="61" t="s">
        <v>2511</v>
      </c>
      <c r="K243" s="62" t="s">
        <v>2511</v>
      </c>
      <c r="L243" s="60" t="s">
        <v>2511</v>
      </c>
      <c r="M243" s="61" t="s">
        <v>2388</v>
      </c>
      <c r="N243" s="61" t="s">
        <v>2511</v>
      </c>
      <c r="O243" s="61" t="s">
        <v>2511</v>
      </c>
      <c r="P243" s="62" t="s">
        <v>2511</v>
      </c>
      <c r="Q243" s="7"/>
      <c r="R243" s="58"/>
      <c r="S243" s="58"/>
      <c r="T243" s="58"/>
      <c r="U243" s="63"/>
      <c r="V243" s="138" t="s">
        <v>3195</v>
      </c>
      <c r="W243" s="57" t="s">
        <v>3191</v>
      </c>
      <c r="X243" s="126" t="s">
        <v>2511</v>
      </c>
      <c r="Y243" s="126" t="s">
        <v>2511</v>
      </c>
      <c r="Z243" s="57" t="s">
        <v>2511</v>
      </c>
      <c r="AA243" s="57" t="s">
        <v>3192</v>
      </c>
      <c r="AB243" s="57" t="s">
        <v>2511</v>
      </c>
      <c r="AC243" s="57">
        <v>0</v>
      </c>
      <c r="AD243" s="70"/>
      <c r="AE243" s="70"/>
      <c r="AF243" s="67" t="str">
        <f t="shared" si="53"/>
        <v>NORMAL</v>
      </c>
      <c r="AG243" s="67" t="str">
        <f t="shared" si="57"/>
        <v>NORMAL</v>
      </c>
      <c r="AH243" s="67" t="str">
        <f t="shared" si="54"/>
        <v>DISABLE</v>
      </c>
      <c r="AI243" s="71" t="str">
        <f t="shared" si="47"/>
        <v>N/A</v>
      </c>
      <c r="AJ243" s="189" t="b">
        <v>1</v>
      </c>
      <c r="AK243" s="189" t="b">
        <v>1</v>
      </c>
      <c r="AL243" s="189" t="b">
        <v>1</v>
      </c>
      <c r="AM243" s="189" t="b">
        <v>1</v>
      </c>
      <c r="AN243" s="189" t="b">
        <v>1</v>
      </c>
      <c r="AO243" s="189" t="b">
        <v>1</v>
      </c>
      <c r="AP243" s="69" t="str">
        <f>IF(AND($AJ243:$AO243), "VALID", "INVALID")</f>
        <v>VALID</v>
      </c>
      <c r="AQ243" s="196" t="s">
        <v>2469</v>
      </c>
      <c r="AR243" s="194" t="s">
        <v>861</v>
      </c>
      <c r="AS243" s="193"/>
      <c r="AT243" s="72"/>
      <c r="AU243" s="72"/>
      <c r="AV243" s="72"/>
      <c r="AW243" s="72"/>
      <c r="AX243" s="72"/>
      <c r="AY243" s="72"/>
      <c r="AZ243" s="193"/>
      <c r="BA243" s="193"/>
      <c r="BB243" s="8"/>
      <c r="BC243" s="140"/>
      <c r="BD243" s="11" t="s">
        <v>5696</v>
      </c>
      <c r="BE243" s="312" t="s">
        <v>5695</v>
      </c>
    </row>
    <row r="244" spans="1:57" s="56" customFormat="1" ht="18" customHeight="1">
      <c r="A244" s="363"/>
      <c r="B244" s="364"/>
      <c r="C244" s="266" t="s">
        <v>561</v>
      </c>
      <c r="D244" s="266"/>
      <c r="E244" s="73"/>
      <c r="F244" s="73"/>
      <c r="G244" s="74"/>
      <c r="H244" s="74"/>
      <c r="I244" s="74"/>
      <c r="J244" s="74"/>
      <c r="K244" s="74"/>
      <c r="L244" s="73"/>
      <c r="M244" s="73"/>
      <c r="N244" s="73"/>
      <c r="O244" s="73"/>
      <c r="P244" s="73"/>
      <c r="Q244" s="73"/>
      <c r="R244" s="73"/>
      <c r="S244" s="73"/>
      <c r="T244" s="73"/>
      <c r="U244" s="73"/>
      <c r="V244" s="73"/>
      <c r="W244" s="73"/>
      <c r="X244" s="127"/>
      <c r="Y244" s="127"/>
      <c r="Z244" s="75"/>
      <c r="AA244" s="75"/>
      <c r="AB244" s="75"/>
      <c r="AC244" s="75"/>
      <c r="AD244" s="75"/>
      <c r="AE244" s="75"/>
      <c r="AF244" s="75"/>
      <c r="AG244" s="75"/>
      <c r="AH244" s="75"/>
      <c r="AI244" s="75"/>
      <c r="AJ244" s="53"/>
      <c r="AK244" s="53"/>
      <c r="AL244" s="53"/>
      <c r="AM244" s="53"/>
      <c r="AN244" s="53"/>
      <c r="AO244" s="53"/>
      <c r="AP244" s="53"/>
      <c r="AQ244" s="54"/>
      <c r="AR244" s="76"/>
      <c r="AS244" s="77"/>
      <c r="AT244" s="77"/>
      <c r="AU244" s="77"/>
      <c r="AV244" s="77"/>
      <c r="AW244" s="77"/>
      <c r="AX244" s="77"/>
      <c r="AY244" s="77"/>
      <c r="AZ244" s="77"/>
      <c r="BA244" s="77"/>
      <c r="BB244" s="77"/>
      <c r="BC244" s="175" t="s">
        <v>59</v>
      </c>
      <c r="BD244" s="186"/>
      <c r="BE244" s="231" t="s">
        <v>561</v>
      </c>
    </row>
    <row r="245" spans="1:57" ht="12.95" customHeight="1">
      <c r="A245" s="247" t="s">
        <v>5439</v>
      </c>
      <c r="B245" s="251">
        <v>92</v>
      </c>
      <c r="C245" s="239" t="s">
        <v>74</v>
      </c>
      <c r="D245" s="239" t="s">
        <v>3197</v>
      </c>
      <c r="E245" s="58"/>
      <c r="F245" s="59" t="s">
        <v>223</v>
      </c>
      <c r="G245" s="191" t="s">
        <v>2511</v>
      </c>
      <c r="H245" s="192" t="s">
        <v>74</v>
      </c>
      <c r="I245" s="61" t="s">
        <v>2407</v>
      </c>
      <c r="J245" s="61"/>
      <c r="K245" s="62" t="s">
        <v>2511</v>
      </c>
      <c r="L245" s="60" t="s">
        <v>2511</v>
      </c>
      <c r="M245" s="61" t="s">
        <v>2389</v>
      </c>
      <c r="N245" s="61" t="s">
        <v>2389</v>
      </c>
      <c r="O245" s="61" t="s">
        <v>2388</v>
      </c>
      <c r="P245" s="62" t="s">
        <v>2511</v>
      </c>
      <c r="Q245" s="82"/>
      <c r="R245" s="82"/>
      <c r="S245" s="82"/>
      <c r="T245" s="82"/>
      <c r="U245" s="82"/>
      <c r="V245" s="138" t="s">
        <v>3198</v>
      </c>
      <c r="W245" s="57" t="s">
        <v>3199</v>
      </c>
      <c r="X245" s="126" t="s">
        <v>2511</v>
      </c>
      <c r="Y245" s="126" t="s">
        <v>2511</v>
      </c>
      <c r="Z245" s="57" t="s">
        <v>3200</v>
      </c>
      <c r="AA245" s="57" t="s">
        <v>3201</v>
      </c>
      <c r="AB245" s="57" t="s">
        <v>900</v>
      </c>
      <c r="AC245" s="57" t="s">
        <v>2631</v>
      </c>
      <c r="AD245" s="70"/>
      <c r="AE245" s="70"/>
      <c r="AF245" s="67" t="str">
        <f t="shared" ref="AF245:AF263" si="58">IF(AND(OR($AS245="Int PU",$AS245="Int PD"),OR(AND($AZ245&lt;&gt;"",$AZ245&lt;&gt;"0"),AND($BA245&lt;&gt;"",$BA245&lt;&gt;"0"))),"INVALID",IF(OR($AQ245=$F245,$AS245="Int PD"),"PULL_DOWN",IF(OR($AS245="Int PU",AND($AE245="YES",OR($AZ245="",$AZ245="0"),OR($BA245="",$BA245="0"),OR($AR245="Input",$AR245="Bidirectional"))),"PULL_UP","NORMAL")))</f>
        <v>NORMAL</v>
      </c>
      <c r="AG245" s="67" t="str">
        <f t="shared" si="57"/>
        <v>NORMAL</v>
      </c>
      <c r="AH245" s="67" t="str">
        <f t="shared" ref="AH245:AH263" si="59">IF(OR($AQ245=$F245,$AR245="Output"),"DISABLE","ENABLE")</f>
        <v>ENABLE</v>
      </c>
      <c r="AI245" s="71" t="str">
        <f t="shared" ref="AI245:AI263" si="60">IF($AQ245&lt;&gt;$G245,"N/A",IF($AS245="Drive 1", "1", IF($AS245="Drive 0", "0", "")))</f>
        <v>N/A</v>
      </c>
      <c r="AJ245" s="189" t="b">
        <v>1</v>
      </c>
      <c r="AK245" s="189" t="b">
        <v>1</v>
      </c>
      <c r="AL245" s="189" t="b">
        <v>1</v>
      </c>
      <c r="AM245" s="189" t="b">
        <v>1</v>
      </c>
      <c r="AN245" s="189" t="b">
        <v>1</v>
      </c>
      <c r="AO245" s="189" t="b">
        <v>1</v>
      </c>
      <c r="AP245" s="69" t="str">
        <f t="shared" ref="AP245:AP263" si="61">IF(AND($AJ245:$AO245), "VALID", "INVALID")</f>
        <v>VALID</v>
      </c>
      <c r="AQ245" s="196" t="s">
        <v>74</v>
      </c>
      <c r="AR245" s="2" t="s">
        <v>860</v>
      </c>
      <c r="AS245" s="193"/>
      <c r="AT245" s="3"/>
      <c r="AU245" s="3"/>
      <c r="AV245" s="22"/>
      <c r="AW245" s="72"/>
      <c r="AX245" s="72"/>
      <c r="AY245" s="72"/>
      <c r="AZ245" s="4"/>
      <c r="BA245" s="4"/>
      <c r="BB245" s="13" t="s">
        <v>114</v>
      </c>
      <c r="BC245" s="139"/>
      <c r="BD245" s="17" t="s">
        <v>75</v>
      </c>
      <c r="BE245" s="336" t="s">
        <v>5642</v>
      </c>
    </row>
    <row r="246" spans="1:57" ht="12.95" customHeight="1">
      <c r="A246" s="247" t="s">
        <v>5438</v>
      </c>
      <c r="B246" s="251">
        <v>90</v>
      </c>
      <c r="C246" s="239" t="s">
        <v>75</v>
      </c>
      <c r="D246" s="239" t="s">
        <v>3202</v>
      </c>
      <c r="E246" s="58"/>
      <c r="F246" s="59" t="s">
        <v>224</v>
      </c>
      <c r="G246" s="191" t="s">
        <v>2511</v>
      </c>
      <c r="H246" s="192" t="s">
        <v>75</v>
      </c>
      <c r="I246" s="61" t="s">
        <v>2408</v>
      </c>
      <c r="J246" s="61"/>
      <c r="K246" s="62" t="s">
        <v>2511</v>
      </c>
      <c r="L246" s="60" t="s">
        <v>2511</v>
      </c>
      <c r="M246" s="61" t="s">
        <v>2389</v>
      </c>
      <c r="N246" s="61" t="s">
        <v>2389</v>
      </c>
      <c r="O246" s="61" t="s">
        <v>2523</v>
      </c>
      <c r="P246" s="62" t="s">
        <v>2511</v>
      </c>
      <c r="Q246" s="82"/>
      <c r="R246" s="82"/>
      <c r="S246" s="82"/>
      <c r="T246" s="82"/>
      <c r="U246" s="82"/>
      <c r="V246" s="138" t="s">
        <v>3203</v>
      </c>
      <c r="W246" s="57" t="s">
        <v>3199</v>
      </c>
      <c r="X246" s="126" t="s">
        <v>2511</v>
      </c>
      <c r="Y246" s="126" t="s">
        <v>2511</v>
      </c>
      <c r="Z246" s="57" t="s">
        <v>3200</v>
      </c>
      <c r="AA246" s="57" t="s">
        <v>3201</v>
      </c>
      <c r="AB246" s="57" t="s">
        <v>900</v>
      </c>
      <c r="AC246" s="57" t="s">
        <v>2631</v>
      </c>
      <c r="AD246" s="70"/>
      <c r="AE246" s="70"/>
      <c r="AF246" s="67" t="str">
        <f t="shared" si="58"/>
        <v>NORMAL</v>
      </c>
      <c r="AG246" s="67" t="str">
        <f t="shared" si="57"/>
        <v>NORMAL</v>
      </c>
      <c r="AH246" s="67" t="str">
        <f t="shared" si="59"/>
        <v>ENABLE</v>
      </c>
      <c r="AI246" s="71" t="str">
        <f t="shared" si="60"/>
        <v>N/A</v>
      </c>
      <c r="AJ246" s="189" t="b">
        <v>1</v>
      </c>
      <c r="AK246" s="189" t="b">
        <v>1</v>
      </c>
      <c r="AL246" s="189" t="b">
        <v>1</v>
      </c>
      <c r="AM246" s="189" t="b">
        <v>1</v>
      </c>
      <c r="AN246" s="189" t="b">
        <v>1</v>
      </c>
      <c r="AO246" s="189" t="b">
        <v>1</v>
      </c>
      <c r="AP246" s="69" t="str">
        <f t="shared" si="61"/>
        <v>VALID</v>
      </c>
      <c r="AQ246" s="196" t="s">
        <v>75</v>
      </c>
      <c r="AR246" s="194" t="s">
        <v>860</v>
      </c>
      <c r="AS246" s="193"/>
      <c r="AT246" s="72"/>
      <c r="AU246" s="72"/>
      <c r="AV246" s="10"/>
      <c r="AW246" s="10"/>
      <c r="AX246" s="10"/>
      <c r="AY246" s="10"/>
      <c r="AZ246" s="193"/>
      <c r="BA246" s="193"/>
      <c r="BB246" s="8"/>
      <c r="BC246" s="140"/>
      <c r="BD246" s="11" t="s">
        <v>74</v>
      </c>
      <c r="BE246" s="338"/>
    </row>
    <row r="247" spans="1:57" ht="12.95" customHeight="1">
      <c r="A247" s="247" t="s">
        <v>2231</v>
      </c>
      <c r="B247" s="251">
        <v>88</v>
      </c>
      <c r="C247" s="239" t="s">
        <v>746</v>
      </c>
      <c r="D247" s="239" t="s">
        <v>3204</v>
      </c>
      <c r="E247" s="58"/>
      <c r="F247" s="59" t="s">
        <v>807</v>
      </c>
      <c r="G247" s="191" t="s">
        <v>2420</v>
      </c>
      <c r="H247" s="192" t="s">
        <v>746</v>
      </c>
      <c r="I247" s="61" t="s">
        <v>2511</v>
      </c>
      <c r="J247" s="61" t="s">
        <v>2511</v>
      </c>
      <c r="K247" s="62" t="s">
        <v>2511</v>
      </c>
      <c r="L247" s="60" t="s">
        <v>2389</v>
      </c>
      <c r="M247" s="61" t="s">
        <v>2523</v>
      </c>
      <c r="N247" s="61" t="s">
        <v>2511</v>
      </c>
      <c r="O247" s="61" t="s">
        <v>2511</v>
      </c>
      <c r="P247" s="62" t="s">
        <v>2511</v>
      </c>
      <c r="Q247" s="58" t="s">
        <v>857</v>
      </c>
      <c r="R247" s="58" t="s">
        <v>126</v>
      </c>
      <c r="S247" s="58" t="s">
        <v>112</v>
      </c>
      <c r="T247" s="58" t="s">
        <v>113</v>
      </c>
      <c r="U247" s="63" t="s">
        <v>126</v>
      </c>
      <c r="V247" s="138" t="s">
        <v>3205</v>
      </c>
      <c r="W247" s="57" t="s">
        <v>3199</v>
      </c>
      <c r="X247" s="126" t="s">
        <v>3206</v>
      </c>
      <c r="Y247" s="126" t="s">
        <v>2511</v>
      </c>
      <c r="Z247" s="57" t="s">
        <v>2817</v>
      </c>
      <c r="AA247" s="57" t="s">
        <v>2818</v>
      </c>
      <c r="AB247" s="57" t="s">
        <v>2393</v>
      </c>
      <c r="AC247" s="57" t="s">
        <v>2516</v>
      </c>
      <c r="AD247" s="65" t="str">
        <f>IF(OR($AQ247="",$AQ247=$F247),$U247,IF($AQ247=$G247,SUBSTITUTE(SUBSTITUTE($AQ247,"GPIO3_","GPIO_"),".0",""),IF($AQ247=$H247,$Q247,IF($AQ247=$I247,$R247,IF($AQ247=$J247,$S247,IF($AQ247=$K247,$T247,"INVALID"))))))</f>
        <v>DP</v>
      </c>
      <c r="AE247" s="70"/>
      <c r="AF247" s="67" t="str">
        <f t="shared" si="58"/>
        <v>NORMAL</v>
      </c>
      <c r="AG247" s="67" t="str">
        <f t="shared" si="57"/>
        <v>TRISTATE</v>
      </c>
      <c r="AH247" s="67" t="str">
        <f t="shared" si="59"/>
        <v>ENABLE</v>
      </c>
      <c r="AI247" s="71" t="str">
        <f t="shared" si="60"/>
        <v>N/A</v>
      </c>
      <c r="AJ247" s="189" t="b">
        <v>1</v>
      </c>
      <c r="AK247" s="189" t="b">
        <v>1</v>
      </c>
      <c r="AL247" s="189" t="b">
        <v>1</v>
      </c>
      <c r="AM247" s="189" t="b">
        <v>1</v>
      </c>
      <c r="AN247" s="189" t="b">
        <v>1</v>
      </c>
      <c r="AO247" s="189" t="b">
        <v>1</v>
      </c>
      <c r="AP247" s="69" t="str">
        <f t="shared" si="61"/>
        <v>VALID</v>
      </c>
      <c r="AQ247" s="196" t="s">
        <v>746</v>
      </c>
      <c r="AR247" s="194" t="s">
        <v>862</v>
      </c>
      <c r="AS247" s="193"/>
      <c r="AT247" s="193" t="s">
        <v>117</v>
      </c>
      <c r="AU247" s="72"/>
      <c r="AV247" s="72"/>
      <c r="AW247" s="193" t="s">
        <v>136</v>
      </c>
      <c r="AX247" s="193" t="s">
        <v>136</v>
      </c>
      <c r="AY247" s="10"/>
      <c r="AZ247" s="193"/>
      <c r="BA247" s="193"/>
      <c r="BB247" s="8"/>
      <c r="BC247" s="140"/>
      <c r="BD247" s="11" t="s">
        <v>746</v>
      </c>
      <c r="BE247" s="312" t="s">
        <v>5643</v>
      </c>
    </row>
    <row r="248" spans="1:57" ht="12.95" customHeight="1">
      <c r="A248" s="247" t="s">
        <v>5449</v>
      </c>
      <c r="B248" s="251">
        <v>100</v>
      </c>
      <c r="C248" s="239" t="s">
        <v>293</v>
      </c>
      <c r="D248" s="239" t="s">
        <v>3207</v>
      </c>
      <c r="E248" s="58"/>
      <c r="F248" s="59" t="s">
        <v>509</v>
      </c>
      <c r="G248" s="191" t="s">
        <v>2511</v>
      </c>
      <c r="H248" s="192" t="s">
        <v>293</v>
      </c>
      <c r="I248" s="61" t="s">
        <v>2409</v>
      </c>
      <c r="J248" s="61" t="s">
        <v>2511</v>
      </c>
      <c r="K248" s="62" t="s">
        <v>2511</v>
      </c>
      <c r="L248" s="60" t="s">
        <v>2511</v>
      </c>
      <c r="M248" s="61" t="s">
        <v>2389</v>
      </c>
      <c r="N248" s="61" t="s">
        <v>2389</v>
      </c>
      <c r="O248" s="61" t="s">
        <v>2511</v>
      </c>
      <c r="P248" s="62" t="s">
        <v>2511</v>
      </c>
      <c r="Q248" s="82"/>
      <c r="R248" s="82"/>
      <c r="S248" s="82"/>
      <c r="T248" s="82"/>
      <c r="U248" s="82"/>
      <c r="V248" s="138" t="s">
        <v>3208</v>
      </c>
      <c r="W248" s="57" t="s">
        <v>3199</v>
      </c>
      <c r="X248" s="126" t="s">
        <v>2511</v>
      </c>
      <c r="Y248" s="126" t="s">
        <v>2511</v>
      </c>
      <c r="Z248" s="57" t="s">
        <v>3200</v>
      </c>
      <c r="AA248" s="57" t="s">
        <v>3201</v>
      </c>
      <c r="AB248" s="57" t="s">
        <v>900</v>
      </c>
      <c r="AC248" s="57" t="s">
        <v>2631</v>
      </c>
      <c r="AD248" s="70"/>
      <c r="AE248" s="70"/>
      <c r="AF248" s="67" t="str">
        <f t="shared" si="58"/>
        <v>NORMAL</v>
      </c>
      <c r="AG248" s="67" t="str">
        <f t="shared" si="57"/>
        <v>NORMAL</v>
      </c>
      <c r="AH248" s="67" t="str">
        <f t="shared" si="59"/>
        <v>ENABLE</v>
      </c>
      <c r="AI248" s="71" t="str">
        <f t="shared" si="60"/>
        <v>N/A</v>
      </c>
      <c r="AJ248" s="189" t="b">
        <v>1</v>
      </c>
      <c r="AK248" s="189" t="b">
        <v>1</v>
      </c>
      <c r="AL248" s="189" t="b">
        <v>1</v>
      </c>
      <c r="AM248" s="189" t="b">
        <v>1</v>
      </c>
      <c r="AN248" s="189" t="b">
        <v>1</v>
      </c>
      <c r="AO248" s="189" t="b">
        <v>1</v>
      </c>
      <c r="AP248" s="69" t="str">
        <f t="shared" si="61"/>
        <v>VALID</v>
      </c>
      <c r="AQ248" s="196" t="s">
        <v>293</v>
      </c>
      <c r="AR248" s="194" t="s">
        <v>860</v>
      </c>
      <c r="AS248" s="193"/>
      <c r="AT248" s="72"/>
      <c r="AU248" s="72"/>
      <c r="AV248" s="72"/>
      <c r="AW248" s="72"/>
      <c r="AX248" s="10"/>
      <c r="AY248" s="10"/>
      <c r="AZ248" s="193"/>
      <c r="BA248" s="193"/>
      <c r="BB248" s="8"/>
      <c r="BC248" s="140"/>
      <c r="BD248" s="15" t="s">
        <v>294</v>
      </c>
      <c r="BE248" s="383" t="s">
        <v>5644</v>
      </c>
    </row>
    <row r="249" spans="1:57" ht="12.95" customHeight="1">
      <c r="A249" s="247" t="s">
        <v>5448</v>
      </c>
      <c r="B249" s="251">
        <v>98</v>
      </c>
      <c r="C249" s="239" t="s">
        <v>294</v>
      </c>
      <c r="D249" s="239" t="s">
        <v>3196</v>
      </c>
      <c r="E249" s="58"/>
      <c r="F249" s="59" t="s">
        <v>510</v>
      </c>
      <c r="G249" s="191" t="s">
        <v>2511</v>
      </c>
      <c r="H249" s="192" t="s">
        <v>294</v>
      </c>
      <c r="I249" s="61" t="s">
        <v>2410</v>
      </c>
      <c r="J249" s="61" t="s">
        <v>2511</v>
      </c>
      <c r="K249" s="62" t="s">
        <v>2511</v>
      </c>
      <c r="L249" s="60" t="s">
        <v>2511</v>
      </c>
      <c r="M249" s="61" t="s">
        <v>2389</v>
      </c>
      <c r="N249" s="61" t="s">
        <v>2389</v>
      </c>
      <c r="O249" s="61" t="s">
        <v>2511</v>
      </c>
      <c r="P249" s="62" t="s">
        <v>2511</v>
      </c>
      <c r="Q249" s="82"/>
      <c r="R249" s="82"/>
      <c r="S249" s="82"/>
      <c r="T249" s="82"/>
      <c r="U249" s="82"/>
      <c r="V249" s="138" t="s">
        <v>3209</v>
      </c>
      <c r="W249" s="57" t="s">
        <v>3199</v>
      </c>
      <c r="X249" s="126" t="s">
        <v>2511</v>
      </c>
      <c r="Y249" s="126" t="s">
        <v>2511</v>
      </c>
      <c r="Z249" s="57" t="s">
        <v>3200</v>
      </c>
      <c r="AA249" s="57" t="s">
        <v>3201</v>
      </c>
      <c r="AB249" s="57" t="s">
        <v>900</v>
      </c>
      <c r="AC249" s="57" t="s">
        <v>2631</v>
      </c>
      <c r="AD249" s="70"/>
      <c r="AE249" s="70"/>
      <c r="AF249" s="67" t="str">
        <f t="shared" si="58"/>
        <v>NORMAL</v>
      </c>
      <c r="AG249" s="67" t="str">
        <f t="shared" si="57"/>
        <v>NORMAL</v>
      </c>
      <c r="AH249" s="67" t="str">
        <f t="shared" si="59"/>
        <v>ENABLE</v>
      </c>
      <c r="AI249" s="71" t="str">
        <f t="shared" si="60"/>
        <v>N/A</v>
      </c>
      <c r="AJ249" s="189" t="b">
        <v>1</v>
      </c>
      <c r="AK249" s="189" t="b">
        <v>1</v>
      </c>
      <c r="AL249" s="189" t="b">
        <v>1</v>
      </c>
      <c r="AM249" s="189" t="b">
        <v>1</v>
      </c>
      <c r="AN249" s="189" t="b">
        <v>1</v>
      </c>
      <c r="AO249" s="189" t="b">
        <v>1</v>
      </c>
      <c r="AP249" s="69" t="str">
        <f t="shared" si="61"/>
        <v>VALID</v>
      </c>
      <c r="AQ249" s="195" t="s">
        <v>294</v>
      </c>
      <c r="AR249" s="194" t="s">
        <v>860</v>
      </c>
      <c r="AS249" s="193"/>
      <c r="AT249" s="72"/>
      <c r="AU249" s="72"/>
      <c r="AV249" s="72"/>
      <c r="AW249" s="72"/>
      <c r="AX249" s="10"/>
      <c r="AY249" s="10"/>
      <c r="AZ249" s="193"/>
      <c r="BA249" s="193"/>
      <c r="BB249" s="8"/>
      <c r="BC249" s="140"/>
      <c r="BD249" s="223" t="s">
        <v>293</v>
      </c>
      <c r="BE249" s="384"/>
    </row>
    <row r="250" spans="1:57" ht="12.95" customHeight="1">
      <c r="A250" s="247" t="s">
        <v>2232</v>
      </c>
      <c r="B250" s="251">
        <v>96</v>
      </c>
      <c r="C250" s="239" t="s">
        <v>747</v>
      </c>
      <c r="D250" s="239" t="s">
        <v>3210</v>
      </c>
      <c r="E250" s="58"/>
      <c r="F250" s="59" t="s">
        <v>808</v>
      </c>
      <c r="G250" s="191" t="s">
        <v>2421</v>
      </c>
      <c r="H250" s="192" t="s">
        <v>747</v>
      </c>
      <c r="I250" s="61" t="s">
        <v>2511</v>
      </c>
      <c r="J250" s="61" t="s">
        <v>2511</v>
      </c>
      <c r="K250" s="62" t="s">
        <v>2511</v>
      </c>
      <c r="L250" s="60" t="s">
        <v>2389</v>
      </c>
      <c r="M250" s="61" t="s">
        <v>2523</v>
      </c>
      <c r="N250" s="61" t="s">
        <v>2511</v>
      </c>
      <c r="O250" s="61" t="s">
        <v>2511</v>
      </c>
      <c r="P250" s="62" t="s">
        <v>2511</v>
      </c>
      <c r="Q250" s="202" t="s">
        <v>857</v>
      </c>
      <c r="R250" s="202" t="s">
        <v>126</v>
      </c>
      <c r="S250" s="202" t="s">
        <v>112</v>
      </c>
      <c r="T250" s="202" t="s">
        <v>113</v>
      </c>
      <c r="U250" s="202" t="s">
        <v>126</v>
      </c>
      <c r="V250" s="138" t="s">
        <v>3211</v>
      </c>
      <c r="W250" s="57" t="s">
        <v>3199</v>
      </c>
      <c r="X250" s="126" t="s">
        <v>3212</v>
      </c>
      <c r="Y250" s="126" t="s">
        <v>2511</v>
      </c>
      <c r="Z250" s="57" t="s">
        <v>2817</v>
      </c>
      <c r="AA250" s="57" t="s">
        <v>2818</v>
      </c>
      <c r="AB250" s="57" t="s">
        <v>2393</v>
      </c>
      <c r="AC250" s="57" t="s">
        <v>2516</v>
      </c>
      <c r="AD250" s="65" t="str">
        <f t="shared" ref="AD250:AD263" si="62">IF(OR($AQ250="",$AQ250=$F250),$U250,IF($AQ250=$G250,SUBSTITUTE(SUBSTITUTE($AQ250,"GPIO3_","GPIO_"),".0",""),IF($AQ250=$H250,$Q250,IF($AQ250=$I250,$R250,IF($AQ250=$J250,$S250,IF($AQ250=$K250,$T250,"INVALID"))))))</f>
        <v>DP</v>
      </c>
      <c r="AE250" s="70"/>
      <c r="AF250" s="67" t="str">
        <f t="shared" si="58"/>
        <v>NORMAL</v>
      </c>
      <c r="AG250" s="67" t="str">
        <f t="shared" si="57"/>
        <v>TRISTATE</v>
      </c>
      <c r="AH250" s="67" t="str">
        <f t="shared" si="59"/>
        <v>ENABLE</v>
      </c>
      <c r="AI250" s="71" t="str">
        <f t="shared" si="60"/>
        <v>N/A</v>
      </c>
      <c r="AJ250" s="189" t="b">
        <v>1</v>
      </c>
      <c r="AK250" s="189" t="b">
        <v>1</v>
      </c>
      <c r="AL250" s="189" t="b">
        <v>1</v>
      </c>
      <c r="AM250" s="189" t="b">
        <v>1</v>
      </c>
      <c r="AN250" s="189" t="b">
        <v>1</v>
      </c>
      <c r="AO250" s="189" t="b">
        <v>1</v>
      </c>
      <c r="AP250" s="69" t="str">
        <f t="shared" si="61"/>
        <v>VALID</v>
      </c>
      <c r="AQ250" s="195" t="s">
        <v>747</v>
      </c>
      <c r="AR250" s="170" t="s">
        <v>862</v>
      </c>
      <c r="AS250" s="9"/>
      <c r="AT250" s="9" t="s">
        <v>117</v>
      </c>
      <c r="AU250" s="10"/>
      <c r="AV250" s="10"/>
      <c r="AW250" s="9" t="s">
        <v>136</v>
      </c>
      <c r="AX250" s="9" t="s">
        <v>136</v>
      </c>
      <c r="AY250" s="10"/>
      <c r="AZ250" s="9"/>
      <c r="BA250" s="9"/>
      <c r="BB250" s="14"/>
      <c r="BC250" s="141"/>
      <c r="BD250" s="1" t="s">
        <v>747</v>
      </c>
      <c r="BE250" s="312" t="s">
        <v>5645</v>
      </c>
    </row>
    <row r="251" spans="1:57" ht="12.95" hidden="1" customHeight="1">
      <c r="A251" s="248" t="e">
        <v>#N/A</v>
      </c>
      <c r="B251" s="252" t="e">
        <v>#N/A</v>
      </c>
      <c r="C251" s="263" t="s">
        <v>1052</v>
      </c>
      <c r="D251" s="239" t="s">
        <v>3213</v>
      </c>
      <c r="E251" s="58"/>
      <c r="F251" s="59" t="s">
        <v>1791</v>
      </c>
      <c r="G251" s="191" t="s">
        <v>2511</v>
      </c>
      <c r="H251" s="192" t="s">
        <v>1052</v>
      </c>
      <c r="I251" s="61" t="s">
        <v>2411</v>
      </c>
      <c r="J251" s="61" t="s">
        <v>2511</v>
      </c>
      <c r="K251" s="62" t="s">
        <v>2511</v>
      </c>
      <c r="L251" s="60" t="s">
        <v>2511</v>
      </c>
      <c r="M251" s="61" t="s">
        <v>2389</v>
      </c>
      <c r="N251" s="61" t="s">
        <v>2389</v>
      </c>
      <c r="O251" s="61" t="s">
        <v>2511</v>
      </c>
      <c r="P251" s="62" t="s">
        <v>2511</v>
      </c>
      <c r="Q251" s="82"/>
      <c r="R251" s="82"/>
      <c r="S251" s="82"/>
      <c r="T251" s="82"/>
      <c r="U251" s="82"/>
      <c r="V251" s="138" t="s">
        <v>3214</v>
      </c>
      <c r="W251" s="57" t="s">
        <v>3199</v>
      </c>
      <c r="X251" s="126" t="s">
        <v>2511</v>
      </c>
      <c r="Y251" s="126" t="s">
        <v>2511</v>
      </c>
      <c r="Z251" s="57" t="s">
        <v>3200</v>
      </c>
      <c r="AA251" s="57" t="s">
        <v>3201</v>
      </c>
      <c r="AB251" s="57" t="s">
        <v>900</v>
      </c>
      <c r="AC251" s="57" t="s">
        <v>2631</v>
      </c>
      <c r="AD251" s="70"/>
      <c r="AE251" s="70"/>
      <c r="AF251" s="67" t="str">
        <f t="shared" si="58"/>
        <v>PULL_DOWN</v>
      </c>
      <c r="AG251" s="67" t="str">
        <f t="shared" si="57"/>
        <v>TRISTATE</v>
      </c>
      <c r="AH251" s="67" t="str">
        <f t="shared" si="59"/>
        <v>DISABLE</v>
      </c>
      <c r="AI251" s="71" t="str">
        <f t="shared" si="60"/>
        <v>N/A</v>
      </c>
      <c r="AJ251" s="189" t="b">
        <v>1</v>
      </c>
      <c r="AK251" s="189" t="b">
        <v>1</v>
      </c>
      <c r="AL251" s="189" t="b">
        <v>1</v>
      </c>
      <c r="AM251" s="189" t="b">
        <v>1</v>
      </c>
      <c r="AN251" s="189" t="b">
        <v>1</v>
      </c>
      <c r="AO251" s="189" t="b">
        <v>1</v>
      </c>
      <c r="AP251" s="69" t="str">
        <f t="shared" si="61"/>
        <v>VALID</v>
      </c>
      <c r="AQ251" s="196" t="s">
        <v>1791</v>
      </c>
      <c r="AR251" s="194" t="s">
        <v>79</v>
      </c>
      <c r="AS251" s="193"/>
      <c r="AT251" s="72"/>
      <c r="AU251" s="72"/>
      <c r="AV251" s="72"/>
      <c r="AW251" s="72"/>
      <c r="AX251" s="72"/>
      <c r="AY251" s="72"/>
      <c r="AZ251" s="193"/>
      <c r="BA251" s="193"/>
      <c r="BB251" s="222" t="s">
        <v>114</v>
      </c>
      <c r="BC251" s="142"/>
      <c r="BD251" s="147" t="s">
        <v>83</v>
      </c>
      <c r="BE251" s="147" t="s">
        <v>83</v>
      </c>
    </row>
    <row r="252" spans="1:57" ht="12.95" hidden="1" customHeight="1">
      <c r="A252" s="248" t="e">
        <v>#N/A</v>
      </c>
      <c r="B252" s="252" t="e">
        <v>#N/A</v>
      </c>
      <c r="C252" s="263" t="s">
        <v>1053</v>
      </c>
      <c r="D252" s="239" t="s">
        <v>3215</v>
      </c>
      <c r="E252" s="58"/>
      <c r="F252" s="59" t="s">
        <v>1790</v>
      </c>
      <c r="G252" s="191" t="s">
        <v>2511</v>
      </c>
      <c r="H252" s="192" t="s">
        <v>1053</v>
      </c>
      <c r="I252" s="61" t="s">
        <v>2412</v>
      </c>
      <c r="J252" s="61" t="s">
        <v>2511</v>
      </c>
      <c r="K252" s="62" t="s">
        <v>2511</v>
      </c>
      <c r="L252" s="60" t="s">
        <v>2511</v>
      </c>
      <c r="M252" s="61" t="s">
        <v>2389</v>
      </c>
      <c r="N252" s="61" t="s">
        <v>2389</v>
      </c>
      <c r="O252" s="61" t="s">
        <v>2511</v>
      </c>
      <c r="P252" s="62" t="s">
        <v>2511</v>
      </c>
      <c r="Q252" s="82"/>
      <c r="R252" s="82"/>
      <c r="S252" s="82"/>
      <c r="T252" s="82"/>
      <c r="U252" s="82"/>
      <c r="V252" s="138" t="s">
        <v>3216</v>
      </c>
      <c r="W252" s="57" t="s">
        <v>3199</v>
      </c>
      <c r="X252" s="126" t="s">
        <v>2511</v>
      </c>
      <c r="Y252" s="126" t="s">
        <v>2511</v>
      </c>
      <c r="Z252" s="57" t="s">
        <v>3200</v>
      </c>
      <c r="AA252" s="57" t="s">
        <v>3201</v>
      </c>
      <c r="AB252" s="57" t="s">
        <v>900</v>
      </c>
      <c r="AC252" s="57" t="s">
        <v>2631</v>
      </c>
      <c r="AD252" s="70"/>
      <c r="AE252" s="70"/>
      <c r="AF252" s="67" t="str">
        <f t="shared" si="58"/>
        <v>PULL_DOWN</v>
      </c>
      <c r="AG252" s="67" t="str">
        <f t="shared" si="57"/>
        <v>TRISTATE</v>
      </c>
      <c r="AH252" s="67" t="str">
        <f t="shared" si="59"/>
        <v>DISABLE</v>
      </c>
      <c r="AI252" s="71" t="str">
        <f t="shared" si="60"/>
        <v>N/A</v>
      </c>
      <c r="AJ252" s="189" t="b">
        <v>1</v>
      </c>
      <c r="AK252" s="189" t="b">
        <v>1</v>
      </c>
      <c r="AL252" s="189" t="b">
        <v>1</v>
      </c>
      <c r="AM252" s="189" t="b">
        <v>1</v>
      </c>
      <c r="AN252" s="189" t="b">
        <v>1</v>
      </c>
      <c r="AO252" s="189" t="b">
        <v>1</v>
      </c>
      <c r="AP252" s="69" t="str">
        <f t="shared" si="61"/>
        <v>VALID</v>
      </c>
      <c r="AQ252" s="196" t="s">
        <v>1790</v>
      </c>
      <c r="AR252" s="179" t="s">
        <v>79</v>
      </c>
      <c r="AS252" s="180"/>
      <c r="AT252" s="22"/>
      <c r="AU252" s="22"/>
      <c r="AV252" s="22"/>
      <c r="AW252" s="22"/>
      <c r="AX252" s="22"/>
      <c r="AY252" s="22"/>
      <c r="AZ252" s="180"/>
      <c r="BA252" s="180"/>
      <c r="BB252" s="182" t="s">
        <v>114</v>
      </c>
      <c r="BC252" s="183"/>
      <c r="BD252" s="147" t="s">
        <v>83</v>
      </c>
      <c r="BE252" s="147" t="s">
        <v>83</v>
      </c>
    </row>
    <row r="253" spans="1:57" ht="12.95" hidden="1" customHeight="1">
      <c r="A253" s="248" t="e">
        <v>#N/A</v>
      </c>
      <c r="B253" s="252" t="e">
        <v>#N/A</v>
      </c>
      <c r="C253" s="263" t="s">
        <v>1054</v>
      </c>
      <c r="D253" s="239" t="s">
        <v>3217</v>
      </c>
      <c r="E253" s="58"/>
      <c r="F253" s="59" t="s">
        <v>1789</v>
      </c>
      <c r="G253" s="191" t="s">
        <v>2422</v>
      </c>
      <c r="H253" s="192" t="s">
        <v>1054</v>
      </c>
      <c r="I253" s="61"/>
      <c r="J253" s="61" t="s">
        <v>2511</v>
      </c>
      <c r="K253" s="62" t="s">
        <v>2511</v>
      </c>
      <c r="L253" s="60" t="s">
        <v>2389</v>
      </c>
      <c r="M253" s="61" t="s">
        <v>2523</v>
      </c>
      <c r="N253" s="61" t="s">
        <v>2523</v>
      </c>
      <c r="O253" s="61" t="s">
        <v>2511</v>
      </c>
      <c r="P253" s="62" t="s">
        <v>2511</v>
      </c>
      <c r="Q253" s="58" t="s">
        <v>857</v>
      </c>
      <c r="R253" s="58" t="s">
        <v>2491</v>
      </c>
      <c r="S253" s="58" t="s">
        <v>112</v>
      </c>
      <c r="T253" s="58" t="s">
        <v>113</v>
      </c>
      <c r="U253" s="63" t="s">
        <v>112</v>
      </c>
      <c r="V253" s="138" t="s">
        <v>3218</v>
      </c>
      <c r="W253" s="57" t="s">
        <v>3199</v>
      </c>
      <c r="X253" s="126" t="s">
        <v>3219</v>
      </c>
      <c r="Y253" s="126" t="s">
        <v>2511</v>
      </c>
      <c r="Z253" s="57" t="s">
        <v>2817</v>
      </c>
      <c r="AA253" s="57" t="s">
        <v>2818</v>
      </c>
      <c r="AB253" s="57" t="s">
        <v>2393</v>
      </c>
      <c r="AC253" s="57" t="s">
        <v>2516</v>
      </c>
      <c r="AD253" s="65" t="str">
        <f t="shared" si="62"/>
        <v>RSVD2</v>
      </c>
      <c r="AE253" s="70"/>
      <c r="AF253" s="67" t="str">
        <f t="shared" si="58"/>
        <v>PULL_DOWN</v>
      </c>
      <c r="AG253" s="67" t="str">
        <f t="shared" si="57"/>
        <v>TRISTATE</v>
      </c>
      <c r="AH253" s="67" t="str">
        <f t="shared" si="59"/>
        <v>DISABLE</v>
      </c>
      <c r="AI253" s="71" t="str">
        <f t="shared" si="60"/>
        <v>N/A</v>
      </c>
      <c r="AJ253" s="189" t="b">
        <v>1</v>
      </c>
      <c r="AK253" s="189" t="b">
        <v>1</v>
      </c>
      <c r="AL253" s="189" t="b">
        <v>1</v>
      </c>
      <c r="AM253" s="189" t="b">
        <v>1</v>
      </c>
      <c r="AN253" s="189" t="b">
        <v>1</v>
      </c>
      <c r="AO253" s="189" t="b">
        <v>1</v>
      </c>
      <c r="AP253" s="69" t="str">
        <f t="shared" si="61"/>
        <v>VALID</v>
      </c>
      <c r="AQ253" s="196" t="s">
        <v>1789</v>
      </c>
      <c r="AR253" s="194" t="s">
        <v>79</v>
      </c>
      <c r="AS253" s="193"/>
      <c r="AT253" s="193" t="s">
        <v>117</v>
      </c>
      <c r="AU253" s="72"/>
      <c r="AV253" s="10"/>
      <c r="AW253" s="193" t="s">
        <v>136</v>
      </c>
      <c r="AX253" s="10"/>
      <c r="AY253" s="10"/>
      <c r="AZ253" s="193"/>
      <c r="BA253" s="193"/>
      <c r="BB253" s="8"/>
      <c r="BC253" s="140"/>
      <c r="BD253" s="147" t="s">
        <v>83</v>
      </c>
      <c r="BE253" s="147" t="s">
        <v>83</v>
      </c>
    </row>
    <row r="254" spans="1:57" ht="12.95" customHeight="1">
      <c r="A254" s="320" t="s">
        <v>5453</v>
      </c>
      <c r="B254" s="251">
        <v>189</v>
      </c>
      <c r="C254" s="239" t="s">
        <v>1055</v>
      </c>
      <c r="D254" s="239" t="s">
        <v>3220</v>
      </c>
      <c r="E254" s="58"/>
      <c r="F254" s="59" t="s">
        <v>1788</v>
      </c>
      <c r="G254" s="191" t="s">
        <v>2511</v>
      </c>
      <c r="H254" s="192" t="s">
        <v>1055</v>
      </c>
      <c r="I254" s="61" t="s">
        <v>2413</v>
      </c>
      <c r="J254" s="61" t="s">
        <v>2511</v>
      </c>
      <c r="K254" s="62" t="s">
        <v>2511</v>
      </c>
      <c r="L254" s="60" t="s">
        <v>2511</v>
      </c>
      <c r="M254" s="61" t="s">
        <v>2389</v>
      </c>
      <c r="N254" s="61" t="s">
        <v>2389</v>
      </c>
      <c r="O254" s="61" t="s">
        <v>2511</v>
      </c>
      <c r="P254" s="62" t="s">
        <v>2511</v>
      </c>
      <c r="Q254" s="82"/>
      <c r="R254" s="82"/>
      <c r="S254" s="82"/>
      <c r="T254" s="82"/>
      <c r="U254" s="82"/>
      <c r="V254" s="138" t="s">
        <v>3221</v>
      </c>
      <c r="W254" s="57" t="s">
        <v>3199</v>
      </c>
      <c r="X254" s="126" t="s">
        <v>2511</v>
      </c>
      <c r="Y254" s="126" t="s">
        <v>2511</v>
      </c>
      <c r="Z254" s="57" t="s">
        <v>3200</v>
      </c>
      <c r="AA254" s="57" t="s">
        <v>3201</v>
      </c>
      <c r="AB254" s="57" t="s">
        <v>900</v>
      </c>
      <c r="AC254" s="57" t="s">
        <v>2631</v>
      </c>
      <c r="AD254" s="70"/>
      <c r="AE254" s="70"/>
      <c r="AF254" s="67" t="str">
        <f t="shared" si="58"/>
        <v>NORMAL</v>
      </c>
      <c r="AG254" s="67" t="str">
        <f t="shared" si="57"/>
        <v>NORMAL</v>
      </c>
      <c r="AH254" s="67" t="str">
        <f t="shared" si="59"/>
        <v>ENABLE</v>
      </c>
      <c r="AI254" s="71" t="str">
        <f t="shared" si="60"/>
        <v>N/A</v>
      </c>
      <c r="AJ254" s="189" t="b">
        <v>1</v>
      </c>
      <c r="AK254" s="189" t="b">
        <v>1</v>
      </c>
      <c r="AL254" s="189" t="b">
        <v>1</v>
      </c>
      <c r="AM254" s="189" t="b">
        <v>1</v>
      </c>
      <c r="AN254" s="189" t="b">
        <v>1</v>
      </c>
      <c r="AO254" s="189" t="b">
        <v>1</v>
      </c>
      <c r="AP254" s="69" t="str">
        <f t="shared" si="61"/>
        <v>VALID</v>
      </c>
      <c r="AQ254" s="196" t="s">
        <v>2413</v>
      </c>
      <c r="AR254" s="194" t="s">
        <v>860</v>
      </c>
      <c r="AS254" s="193"/>
      <c r="AT254" s="72"/>
      <c r="AU254" s="72"/>
      <c r="AV254" s="72"/>
      <c r="AW254" s="72"/>
      <c r="AX254" s="193" t="s">
        <v>136</v>
      </c>
      <c r="AY254" s="10"/>
      <c r="AZ254" s="193" t="s">
        <v>5544</v>
      </c>
      <c r="BA254" s="193"/>
      <c r="BB254" s="8"/>
      <c r="BC254" s="140"/>
      <c r="BD254" s="1" t="s">
        <v>2413</v>
      </c>
      <c r="BE254" s="336" t="s">
        <v>5646</v>
      </c>
    </row>
    <row r="255" spans="1:57" ht="12.95" customHeight="1">
      <c r="A255" s="320" t="s">
        <v>5454</v>
      </c>
      <c r="B255" s="251">
        <v>191</v>
      </c>
      <c r="C255" s="239" t="s">
        <v>1056</v>
      </c>
      <c r="D255" s="239" t="s">
        <v>3222</v>
      </c>
      <c r="E255" s="58"/>
      <c r="F255" s="59" t="s">
        <v>1787</v>
      </c>
      <c r="G255" s="191" t="s">
        <v>2511</v>
      </c>
      <c r="H255" s="192" t="s">
        <v>1056</v>
      </c>
      <c r="I255" s="61" t="s">
        <v>2414</v>
      </c>
      <c r="J255" s="61" t="s">
        <v>2511</v>
      </c>
      <c r="K255" s="62" t="s">
        <v>2511</v>
      </c>
      <c r="L255" s="60" t="s">
        <v>2511</v>
      </c>
      <c r="M255" s="61" t="s">
        <v>2389</v>
      </c>
      <c r="N255" s="61" t="s">
        <v>2389</v>
      </c>
      <c r="O255" s="61" t="s">
        <v>2511</v>
      </c>
      <c r="P255" s="62" t="s">
        <v>2511</v>
      </c>
      <c r="Q255" s="82"/>
      <c r="R255" s="82"/>
      <c r="S255" s="82"/>
      <c r="T255" s="82"/>
      <c r="U255" s="82"/>
      <c r="V255" s="138" t="s">
        <v>3223</v>
      </c>
      <c r="W255" s="57" t="s">
        <v>3199</v>
      </c>
      <c r="X255" s="126" t="s">
        <v>2511</v>
      </c>
      <c r="Y255" s="126" t="s">
        <v>2511</v>
      </c>
      <c r="Z255" s="57" t="s">
        <v>3200</v>
      </c>
      <c r="AA255" s="57" t="s">
        <v>3201</v>
      </c>
      <c r="AB255" s="57" t="s">
        <v>900</v>
      </c>
      <c r="AC255" s="57" t="s">
        <v>2631</v>
      </c>
      <c r="AD255" s="70"/>
      <c r="AE255" s="70"/>
      <c r="AF255" s="67" t="str">
        <f t="shared" si="58"/>
        <v>NORMAL</v>
      </c>
      <c r="AG255" s="67" t="str">
        <f t="shared" si="57"/>
        <v>NORMAL</v>
      </c>
      <c r="AH255" s="67" t="str">
        <f t="shared" si="59"/>
        <v>ENABLE</v>
      </c>
      <c r="AI255" s="71" t="str">
        <f t="shared" si="60"/>
        <v>N/A</v>
      </c>
      <c r="AJ255" s="189" t="b">
        <v>1</v>
      </c>
      <c r="AK255" s="189" t="b">
        <v>1</v>
      </c>
      <c r="AL255" s="189" t="b">
        <v>1</v>
      </c>
      <c r="AM255" s="189" t="b">
        <v>1</v>
      </c>
      <c r="AN255" s="189" t="b">
        <v>1</v>
      </c>
      <c r="AO255" s="189" t="b">
        <v>1</v>
      </c>
      <c r="AP255" s="69" t="str">
        <f t="shared" si="61"/>
        <v>VALID</v>
      </c>
      <c r="AQ255" s="196" t="s">
        <v>2414</v>
      </c>
      <c r="AR255" s="194" t="s">
        <v>860</v>
      </c>
      <c r="AS255" s="193"/>
      <c r="AT255" s="72"/>
      <c r="AU255" s="72"/>
      <c r="AV255" s="72"/>
      <c r="AW255" s="72"/>
      <c r="AX255" s="10"/>
      <c r="AY255" s="10"/>
      <c r="AZ255" s="193" t="s">
        <v>5544</v>
      </c>
      <c r="BA255" s="193"/>
      <c r="BB255" s="8"/>
      <c r="BC255" s="140"/>
      <c r="BD255" s="1" t="s">
        <v>2414</v>
      </c>
      <c r="BE255" s="338"/>
    </row>
    <row r="256" spans="1:57" ht="12.95" hidden="1" customHeight="1">
      <c r="A256" s="248" t="e">
        <v>#N/A</v>
      </c>
      <c r="B256" s="252" t="e">
        <v>#N/A</v>
      </c>
      <c r="C256" s="263" t="s">
        <v>1057</v>
      </c>
      <c r="D256" s="239" t="s">
        <v>3224</v>
      </c>
      <c r="E256" s="58"/>
      <c r="F256" s="59" t="s">
        <v>1786</v>
      </c>
      <c r="G256" s="191" t="s">
        <v>2383</v>
      </c>
      <c r="H256" s="192" t="s">
        <v>1057</v>
      </c>
      <c r="I256" s="61"/>
      <c r="J256" s="61" t="s">
        <v>2511</v>
      </c>
      <c r="K256" s="62" t="s">
        <v>2511</v>
      </c>
      <c r="L256" s="60" t="s">
        <v>2389</v>
      </c>
      <c r="M256" s="61" t="s">
        <v>2523</v>
      </c>
      <c r="N256" s="61" t="s">
        <v>2523</v>
      </c>
      <c r="O256" s="61" t="s">
        <v>2511</v>
      </c>
      <c r="P256" s="62" t="s">
        <v>2511</v>
      </c>
      <c r="Q256" s="58" t="s">
        <v>857</v>
      </c>
      <c r="R256" s="58" t="s">
        <v>2490</v>
      </c>
      <c r="S256" s="58" t="s">
        <v>112</v>
      </c>
      <c r="T256" s="58" t="s">
        <v>113</v>
      </c>
      <c r="U256" s="63" t="s">
        <v>112</v>
      </c>
      <c r="V256" s="138" t="s">
        <v>3225</v>
      </c>
      <c r="W256" s="57" t="s">
        <v>3199</v>
      </c>
      <c r="X256" s="126" t="s">
        <v>3226</v>
      </c>
      <c r="Y256" s="126" t="s">
        <v>2511</v>
      </c>
      <c r="Z256" s="57" t="s">
        <v>2817</v>
      </c>
      <c r="AA256" s="57" t="s">
        <v>2818</v>
      </c>
      <c r="AB256" s="57" t="s">
        <v>2393</v>
      </c>
      <c r="AC256" s="57" t="s">
        <v>2516</v>
      </c>
      <c r="AD256" s="65" t="str">
        <f t="shared" si="62"/>
        <v>RSVD2</v>
      </c>
      <c r="AE256" s="70"/>
      <c r="AF256" s="67" t="str">
        <f t="shared" si="58"/>
        <v>PULL_DOWN</v>
      </c>
      <c r="AG256" s="67" t="str">
        <f t="shared" si="57"/>
        <v>TRISTATE</v>
      </c>
      <c r="AH256" s="67" t="str">
        <f t="shared" si="59"/>
        <v>DISABLE</v>
      </c>
      <c r="AI256" s="71" t="str">
        <f t="shared" si="60"/>
        <v>N/A</v>
      </c>
      <c r="AJ256" s="189" t="b">
        <v>1</v>
      </c>
      <c r="AK256" s="189" t="b">
        <v>1</v>
      </c>
      <c r="AL256" s="189" t="b">
        <v>1</v>
      </c>
      <c r="AM256" s="189" t="b">
        <v>1</v>
      </c>
      <c r="AN256" s="189" t="b">
        <v>1</v>
      </c>
      <c r="AO256" s="189" t="b">
        <v>1</v>
      </c>
      <c r="AP256" s="69" t="str">
        <f t="shared" si="61"/>
        <v>VALID</v>
      </c>
      <c r="AQ256" s="195" t="s">
        <v>1786</v>
      </c>
      <c r="AR256" s="194" t="s">
        <v>79</v>
      </c>
      <c r="AS256" s="193"/>
      <c r="AT256" s="193" t="s">
        <v>117</v>
      </c>
      <c r="AU256" s="72"/>
      <c r="AV256" s="72"/>
      <c r="AW256" s="193" t="s">
        <v>136</v>
      </c>
      <c r="AX256" s="10"/>
      <c r="AY256" s="10"/>
      <c r="AZ256" s="193"/>
      <c r="BA256" s="193"/>
      <c r="BB256" s="8"/>
      <c r="BC256" s="140"/>
      <c r="BD256" s="147" t="s">
        <v>83</v>
      </c>
      <c r="BE256" s="147" t="s">
        <v>83</v>
      </c>
    </row>
    <row r="257" spans="1:57" ht="12.75" customHeight="1">
      <c r="A257" s="250" t="s">
        <v>43</v>
      </c>
      <c r="B257" s="253">
        <v>94</v>
      </c>
      <c r="C257" s="285" t="s">
        <v>43</v>
      </c>
      <c r="D257" s="239" t="s">
        <v>3227</v>
      </c>
      <c r="E257" s="58"/>
      <c r="F257" s="59" t="s">
        <v>185</v>
      </c>
      <c r="G257" s="191" t="s">
        <v>3228</v>
      </c>
      <c r="H257" s="192" t="s">
        <v>43</v>
      </c>
      <c r="I257" s="61" t="s">
        <v>2511</v>
      </c>
      <c r="J257" s="61" t="s">
        <v>2511</v>
      </c>
      <c r="K257" s="62" t="s">
        <v>2511</v>
      </c>
      <c r="L257" s="60" t="s">
        <v>2389</v>
      </c>
      <c r="M257" s="61" t="s">
        <v>2389</v>
      </c>
      <c r="N257" s="61" t="s">
        <v>2511</v>
      </c>
      <c r="O257" s="61" t="s">
        <v>2511</v>
      </c>
      <c r="P257" s="62" t="s">
        <v>2511</v>
      </c>
      <c r="Q257" s="202" t="s">
        <v>213</v>
      </c>
      <c r="R257" s="202" t="s">
        <v>126</v>
      </c>
      <c r="S257" s="202" t="s">
        <v>112</v>
      </c>
      <c r="T257" s="202" t="s">
        <v>113</v>
      </c>
      <c r="U257" s="202" t="s">
        <v>126</v>
      </c>
      <c r="V257" s="138" t="s">
        <v>3229</v>
      </c>
      <c r="W257" s="57" t="s">
        <v>3199</v>
      </c>
      <c r="X257" s="126" t="s">
        <v>3230</v>
      </c>
      <c r="Y257" s="126" t="s">
        <v>2511</v>
      </c>
      <c r="Z257" s="57" t="s">
        <v>2817</v>
      </c>
      <c r="AA257" s="57" t="s">
        <v>2818</v>
      </c>
      <c r="AB257" s="57" t="s">
        <v>2393</v>
      </c>
      <c r="AC257" s="57" t="s">
        <v>2631</v>
      </c>
      <c r="AD257" s="65" t="str">
        <f t="shared" si="62"/>
        <v>HDMI</v>
      </c>
      <c r="AE257" s="70"/>
      <c r="AF257" s="67" t="str">
        <f t="shared" si="58"/>
        <v>NORMAL</v>
      </c>
      <c r="AG257" s="67" t="str">
        <f t="shared" si="57"/>
        <v>NORMAL</v>
      </c>
      <c r="AH257" s="67" t="str">
        <f t="shared" si="59"/>
        <v>ENABLE</v>
      </c>
      <c r="AI257" s="71" t="str">
        <f t="shared" si="60"/>
        <v>N/A</v>
      </c>
      <c r="AJ257" s="189" t="b">
        <v>1</v>
      </c>
      <c r="AK257" s="189" t="b">
        <v>1</v>
      </c>
      <c r="AL257" s="189" t="b">
        <v>1</v>
      </c>
      <c r="AM257" s="189" t="b">
        <v>1</v>
      </c>
      <c r="AN257" s="189" t="b">
        <v>1</v>
      </c>
      <c r="AO257" s="189" t="b">
        <v>1</v>
      </c>
      <c r="AP257" s="69" t="str">
        <f t="shared" si="61"/>
        <v>VALID</v>
      </c>
      <c r="AQ257" s="195" t="s">
        <v>43</v>
      </c>
      <c r="AR257" s="194" t="s">
        <v>860</v>
      </c>
      <c r="AS257" s="193"/>
      <c r="AT257" s="193" t="s">
        <v>863</v>
      </c>
      <c r="AU257" s="72"/>
      <c r="AV257" s="72"/>
      <c r="AW257" s="193" t="s">
        <v>872</v>
      </c>
      <c r="AX257" s="193" t="s">
        <v>136</v>
      </c>
      <c r="AY257" s="72"/>
      <c r="AZ257" s="193"/>
      <c r="BA257" s="193"/>
      <c r="BB257" s="193"/>
      <c r="BC257" s="140"/>
      <c r="BD257" s="8" t="s">
        <v>43</v>
      </c>
      <c r="BE257" s="144" t="s">
        <v>2234</v>
      </c>
    </row>
    <row r="258" spans="1:57" ht="12.95" hidden="1" customHeight="1">
      <c r="A258" s="248" t="e">
        <v>#N/A</v>
      </c>
      <c r="B258" s="252" t="e">
        <v>#N/A</v>
      </c>
      <c r="C258" s="263" t="s">
        <v>1058</v>
      </c>
      <c r="D258" s="239" t="s">
        <v>3231</v>
      </c>
      <c r="E258" s="58"/>
      <c r="F258" s="59" t="s">
        <v>1785</v>
      </c>
      <c r="G258" s="191" t="s">
        <v>911</v>
      </c>
      <c r="H258" s="192" t="s">
        <v>2511</v>
      </c>
      <c r="I258" s="61" t="s">
        <v>3232</v>
      </c>
      <c r="J258" s="61" t="s">
        <v>2511</v>
      </c>
      <c r="K258" s="62" t="s">
        <v>2511</v>
      </c>
      <c r="L258" s="60" t="s">
        <v>2389</v>
      </c>
      <c r="M258" s="61" t="s">
        <v>2511</v>
      </c>
      <c r="N258" s="61" t="s">
        <v>2388</v>
      </c>
      <c r="O258" s="61" t="s">
        <v>2511</v>
      </c>
      <c r="P258" s="62" t="s">
        <v>2511</v>
      </c>
      <c r="Q258" s="58" t="s">
        <v>552</v>
      </c>
      <c r="R258" s="58" t="s">
        <v>856</v>
      </c>
      <c r="S258" s="58" t="s">
        <v>112</v>
      </c>
      <c r="T258" s="58" t="s">
        <v>113</v>
      </c>
      <c r="U258" s="58" t="s">
        <v>552</v>
      </c>
      <c r="V258" s="138" t="s">
        <v>3233</v>
      </c>
      <c r="W258" s="57" t="s">
        <v>3199</v>
      </c>
      <c r="X258" s="126" t="s">
        <v>2511</v>
      </c>
      <c r="Y258" s="126" t="s">
        <v>2511</v>
      </c>
      <c r="Z258" s="57" t="s">
        <v>2514</v>
      </c>
      <c r="AA258" s="57" t="s">
        <v>2515</v>
      </c>
      <c r="AB258" s="57" t="s">
        <v>2393</v>
      </c>
      <c r="AC258" s="57" t="s">
        <v>2516</v>
      </c>
      <c r="AD258" s="65" t="str">
        <f t="shared" si="62"/>
        <v>RSVD0</v>
      </c>
      <c r="AE258" s="70"/>
      <c r="AF258" s="67" t="str">
        <f t="shared" si="58"/>
        <v>PULL_DOWN</v>
      </c>
      <c r="AG258" s="67" t="str">
        <f t="shared" si="57"/>
        <v>TRISTATE</v>
      </c>
      <c r="AH258" s="67" t="str">
        <f t="shared" si="59"/>
        <v>DISABLE</v>
      </c>
      <c r="AI258" s="71" t="str">
        <f t="shared" si="60"/>
        <v>N/A</v>
      </c>
      <c r="AJ258" s="189" t="b">
        <v>1</v>
      </c>
      <c r="AK258" s="189" t="b">
        <v>1</v>
      </c>
      <c r="AL258" s="189" t="b">
        <v>1</v>
      </c>
      <c r="AM258" s="189" t="b">
        <v>1</v>
      </c>
      <c r="AN258" s="189" t="b">
        <v>1</v>
      </c>
      <c r="AO258" s="189" t="b">
        <v>1</v>
      </c>
      <c r="AP258" s="69" t="str">
        <f t="shared" si="61"/>
        <v>VALID</v>
      </c>
      <c r="AQ258" s="196" t="s">
        <v>1785</v>
      </c>
      <c r="AR258" s="179" t="s">
        <v>79</v>
      </c>
      <c r="AS258" s="180"/>
      <c r="AT258" s="22"/>
      <c r="AU258" s="22"/>
      <c r="AV258" s="22"/>
      <c r="AW258" s="22"/>
      <c r="AX258" s="193" t="s">
        <v>136</v>
      </c>
      <c r="AY258" s="22"/>
      <c r="AZ258" s="180"/>
      <c r="BA258" s="180"/>
      <c r="BB258" s="182" t="s">
        <v>114</v>
      </c>
      <c r="BC258" s="183"/>
      <c r="BD258" s="147" t="s">
        <v>83</v>
      </c>
      <c r="BE258" s="147" t="s">
        <v>83</v>
      </c>
    </row>
    <row r="259" spans="1:57" ht="12.95" hidden="1" customHeight="1">
      <c r="A259" s="248" t="e">
        <v>#N/A</v>
      </c>
      <c r="B259" s="252" t="e">
        <v>#N/A</v>
      </c>
      <c r="C259" s="263" t="s">
        <v>1059</v>
      </c>
      <c r="D259" s="239" t="s">
        <v>3234</v>
      </c>
      <c r="E259" s="58"/>
      <c r="F259" s="59" t="s">
        <v>1784</v>
      </c>
      <c r="G259" s="191" t="s">
        <v>2212</v>
      </c>
      <c r="H259" s="192" t="s">
        <v>2511</v>
      </c>
      <c r="I259" s="61" t="s">
        <v>3235</v>
      </c>
      <c r="J259" s="61" t="s">
        <v>2511</v>
      </c>
      <c r="K259" s="62" t="s">
        <v>2511</v>
      </c>
      <c r="L259" s="60" t="s">
        <v>2389</v>
      </c>
      <c r="M259" s="61" t="s">
        <v>2511</v>
      </c>
      <c r="N259" s="61" t="s">
        <v>2388</v>
      </c>
      <c r="O259" s="61" t="s">
        <v>2511</v>
      </c>
      <c r="P259" s="62" t="s">
        <v>2511</v>
      </c>
      <c r="Q259" s="58" t="s">
        <v>552</v>
      </c>
      <c r="R259" s="58" t="s">
        <v>856</v>
      </c>
      <c r="S259" s="58" t="s">
        <v>112</v>
      </c>
      <c r="T259" s="58" t="s">
        <v>113</v>
      </c>
      <c r="U259" s="58" t="s">
        <v>552</v>
      </c>
      <c r="V259" s="138" t="s">
        <v>3236</v>
      </c>
      <c r="W259" s="57" t="s">
        <v>3199</v>
      </c>
      <c r="X259" s="126" t="s">
        <v>2511</v>
      </c>
      <c r="Y259" s="126" t="s">
        <v>2511</v>
      </c>
      <c r="Z259" s="57" t="s">
        <v>2514</v>
      </c>
      <c r="AA259" s="57" t="s">
        <v>2515</v>
      </c>
      <c r="AB259" s="57" t="s">
        <v>2393</v>
      </c>
      <c r="AC259" s="57" t="s">
        <v>2516</v>
      </c>
      <c r="AD259" s="65" t="str">
        <f t="shared" si="62"/>
        <v>RSVD0</v>
      </c>
      <c r="AE259" s="70"/>
      <c r="AF259" s="67" t="str">
        <f t="shared" si="58"/>
        <v>PULL_DOWN</v>
      </c>
      <c r="AG259" s="67" t="str">
        <f t="shared" si="57"/>
        <v>TRISTATE</v>
      </c>
      <c r="AH259" s="67" t="str">
        <f t="shared" si="59"/>
        <v>DISABLE</v>
      </c>
      <c r="AI259" s="71" t="str">
        <f t="shared" si="60"/>
        <v>N/A</v>
      </c>
      <c r="AJ259" s="189" t="b">
        <v>1</v>
      </c>
      <c r="AK259" s="189" t="b">
        <v>1</v>
      </c>
      <c r="AL259" s="189" t="b">
        <v>1</v>
      </c>
      <c r="AM259" s="189" t="b">
        <v>1</v>
      </c>
      <c r="AN259" s="189" t="b">
        <v>1</v>
      </c>
      <c r="AO259" s="189" t="b">
        <v>1</v>
      </c>
      <c r="AP259" s="69" t="str">
        <f t="shared" si="61"/>
        <v>VALID</v>
      </c>
      <c r="AQ259" s="196" t="s">
        <v>1784</v>
      </c>
      <c r="AR259" s="194" t="s">
        <v>79</v>
      </c>
      <c r="AS259" s="193"/>
      <c r="AT259" s="72"/>
      <c r="AU259" s="72"/>
      <c r="AV259" s="10"/>
      <c r="AW259" s="10"/>
      <c r="AX259" s="193" t="s">
        <v>136</v>
      </c>
      <c r="AY259" s="10"/>
      <c r="AZ259" s="193"/>
      <c r="BA259" s="193"/>
      <c r="BB259" s="8"/>
      <c r="BC259" s="140"/>
      <c r="BD259" s="147" t="s">
        <v>83</v>
      </c>
      <c r="BE259" s="147" t="s">
        <v>83</v>
      </c>
    </row>
    <row r="260" spans="1:57" ht="12.95" hidden="1" customHeight="1">
      <c r="A260" s="248" t="e">
        <v>#N/A</v>
      </c>
      <c r="B260" s="252" t="e">
        <v>#N/A</v>
      </c>
      <c r="C260" s="263" t="s">
        <v>1060</v>
      </c>
      <c r="D260" s="239" t="s">
        <v>3238</v>
      </c>
      <c r="E260" s="58"/>
      <c r="F260" s="59" t="s">
        <v>1783</v>
      </c>
      <c r="G260" s="191" t="s">
        <v>2213</v>
      </c>
      <c r="H260" s="192" t="s">
        <v>2511</v>
      </c>
      <c r="I260" s="61" t="s">
        <v>3239</v>
      </c>
      <c r="J260" s="61"/>
      <c r="K260" s="62" t="s">
        <v>2511</v>
      </c>
      <c r="L260" s="60" t="s">
        <v>2389</v>
      </c>
      <c r="M260" s="61" t="s">
        <v>2511</v>
      </c>
      <c r="N260" s="61" t="s">
        <v>2388</v>
      </c>
      <c r="O260" s="61" t="s">
        <v>2523</v>
      </c>
      <c r="P260" s="62" t="s">
        <v>2511</v>
      </c>
      <c r="Q260" s="58" t="s">
        <v>552</v>
      </c>
      <c r="R260" s="58" t="s">
        <v>855</v>
      </c>
      <c r="S260" s="58" t="s">
        <v>1858</v>
      </c>
      <c r="T260" s="58" t="s">
        <v>113</v>
      </c>
      <c r="U260" s="58" t="s">
        <v>552</v>
      </c>
      <c r="V260" s="138" t="s">
        <v>3240</v>
      </c>
      <c r="W260" s="57" t="s">
        <v>3199</v>
      </c>
      <c r="X260" s="126" t="s">
        <v>3241</v>
      </c>
      <c r="Y260" s="126" t="s">
        <v>2511</v>
      </c>
      <c r="Z260" s="57" t="s">
        <v>2514</v>
      </c>
      <c r="AA260" s="57" t="s">
        <v>2753</v>
      </c>
      <c r="AB260" s="57" t="s">
        <v>2393</v>
      </c>
      <c r="AC260" s="57" t="s">
        <v>2516</v>
      </c>
      <c r="AD260" s="65" t="str">
        <f t="shared" si="62"/>
        <v>RSVD0</v>
      </c>
      <c r="AE260" s="70"/>
      <c r="AF260" s="67" t="str">
        <f t="shared" si="58"/>
        <v>PULL_DOWN</v>
      </c>
      <c r="AG260" s="67" t="str">
        <f t="shared" si="57"/>
        <v>TRISTATE</v>
      </c>
      <c r="AH260" s="67" t="str">
        <f t="shared" si="59"/>
        <v>DISABLE</v>
      </c>
      <c r="AI260" s="71" t="str">
        <f t="shared" si="60"/>
        <v>N/A</v>
      </c>
      <c r="AJ260" s="189" t="b">
        <v>1</v>
      </c>
      <c r="AK260" s="189" t="b">
        <v>1</v>
      </c>
      <c r="AL260" s="189" t="b">
        <v>1</v>
      </c>
      <c r="AM260" s="189" t="b">
        <v>1</v>
      </c>
      <c r="AN260" s="189" t="b">
        <v>1</v>
      </c>
      <c r="AO260" s="189" t="b">
        <v>1</v>
      </c>
      <c r="AP260" s="69" t="str">
        <f t="shared" si="61"/>
        <v>VALID</v>
      </c>
      <c r="AQ260" s="196" t="s">
        <v>1783</v>
      </c>
      <c r="AR260" s="194" t="s">
        <v>79</v>
      </c>
      <c r="AS260" s="193"/>
      <c r="AT260" s="193" t="s">
        <v>117</v>
      </c>
      <c r="AU260" s="72"/>
      <c r="AV260" s="72"/>
      <c r="AW260" s="10"/>
      <c r="AX260" s="193" t="s">
        <v>136</v>
      </c>
      <c r="AY260" s="10"/>
      <c r="AZ260" s="193"/>
      <c r="BA260" s="193"/>
      <c r="BB260" s="8"/>
      <c r="BC260" s="140"/>
      <c r="BD260" s="147" t="s">
        <v>83</v>
      </c>
      <c r="BE260" s="147" t="s">
        <v>83</v>
      </c>
    </row>
    <row r="261" spans="1:57" ht="12.95" hidden="1" customHeight="1">
      <c r="A261" s="248" t="e">
        <v>#N/A</v>
      </c>
      <c r="B261" s="252" t="e">
        <v>#N/A</v>
      </c>
      <c r="C261" s="263" t="s">
        <v>1061</v>
      </c>
      <c r="D261" s="239" t="s">
        <v>3242</v>
      </c>
      <c r="E261" s="58"/>
      <c r="F261" s="59" t="s">
        <v>1782</v>
      </c>
      <c r="G261" s="191" t="s">
        <v>916</v>
      </c>
      <c r="H261" s="192" t="s">
        <v>2511</v>
      </c>
      <c r="I261" s="61" t="s">
        <v>3243</v>
      </c>
      <c r="J261" s="61" t="s">
        <v>2511</v>
      </c>
      <c r="K261" s="62"/>
      <c r="L261" s="60" t="s">
        <v>2389</v>
      </c>
      <c r="M261" s="61" t="s">
        <v>2511</v>
      </c>
      <c r="N261" s="61" t="s">
        <v>2388</v>
      </c>
      <c r="O261" s="61" t="s">
        <v>2511</v>
      </c>
      <c r="P261" s="62" t="s">
        <v>2519</v>
      </c>
      <c r="Q261" s="58" t="s">
        <v>552</v>
      </c>
      <c r="R261" s="58" t="s">
        <v>855</v>
      </c>
      <c r="S261" s="58" t="s">
        <v>112</v>
      </c>
      <c r="T261" s="58" t="s">
        <v>113</v>
      </c>
      <c r="U261" s="58" t="s">
        <v>552</v>
      </c>
      <c r="V261" s="138" t="s">
        <v>3244</v>
      </c>
      <c r="W261" s="57" t="s">
        <v>3199</v>
      </c>
      <c r="X261" s="126" t="s">
        <v>2511</v>
      </c>
      <c r="Y261" s="126" t="s">
        <v>2511</v>
      </c>
      <c r="Z261" s="57" t="s">
        <v>2514</v>
      </c>
      <c r="AA261" s="57" t="s">
        <v>2515</v>
      </c>
      <c r="AB261" s="57" t="s">
        <v>2393</v>
      </c>
      <c r="AC261" s="57" t="s">
        <v>2516</v>
      </c>
      <c r="AD261" s="65" t="str">
        <f t="shared" si="62"/>
        <v>RSVD0</v>
      </c>
      <c r="AE261" s="70"/>
      <c r="AF261" s="67" t="str">
        <f t="shared" si="58"/>
        <v>PULL_DOWN</v>
      </c>
      <c r="AG261" s="67" t="str">
        <f t="shared" si="57"/>
        <v>TRISTATE</v>
      </c>
      <c r="AH261" s="67" t="str">
        <f t="shared" si="59"/>
        <v>DISABLE</v>
      </c>
      <c r="AI261" s="71" t="str">
        <f t="shared" si="60"/>
        <v>N/A</v>
      </c>
      <c r="AJ261" s="189" t="b">
        <v>1</v>
      </c>
      <c r="AK261" s="189" t="b">
        <v>1</v>
      </c>
      <c r="AL261" s="189" t="b">
        <v>1</v>
      </c>
      <c r="AM261" s="189" t="b">
        <v>1</v>
      </c>
      <c r="AN261" s="189" t="b">
        <v>1</v>
      </c>
      <c r="AO261" s="189" t="b">
        <v>1</v>
      </c>
      <c r="AP261" s="69" t="str">
        <f t="shared" si="61"/>
        <v>VALID</v>
      </c>
      <c r="AQ261" s="196" t="s">
        <v>1782</v>
      </c>
      <c r="AR261" s="194" t="s">
        <v>79</v>
      </c>
      <c r="AS261" s="193"/>
      <c r="AT261" s="72"/>
      <c r="AU261" s="72"/>
      <c r="AV261" s="72"/>
      <c r="AW261" s="10"/>
      <c r="AX261" s="193" t="s">
        <v>136</v>
      </c>
      <c r="AY261" s="10"/>
      <c r="AZ261" s="193"/>
      <c r="BA261" s="193"/>
      <c r="BB261" s="8"/>
      <c r="BC261" s="140"/>
      <c r="BD261" s="147" t="s">
        <v>83</v>
      </c>
      <c r="BE261" s="147" t="s">
        <v>83</v>
      </c>
    </row>
    <row r="262" spans="1:57" ht="12.95" customHeight="1">
      <c r="A262" s="320" t="s">
        <v>2555</v>
      </c>
      <c r="B262" s="253">
        <v>228</v>
      </c>
      <c r="C262" s="239" t="s">
        <v>1062</v>
      </c>
      <c r="D262" s="239" t="s">
        <v>3245</v>
      </c>
      <c r="E262" s="58"/>
      <c r="F262" s="59" t="s">
        <v>1781</v>
      </c>
      <c r="G262" s="191" t="s">
        <v>2415</v>
      </c>
      <c r="H262" s="192" t="s">
        <v>2511</v>
      </c>
      <c r="I262" s="61" t="s">
        <v>3246</v>
      </c>
      <c r="J262" s="61" t="s">
        <v>959</v>
      </c>
      <c r="K262" s="62" t="s">
        <v>2511</v>
      </c>
      <c r="L262" s="60" t="s">
        <v>2389</v>
      </c>
      <c r="M262" s="61" t="s">
        <v>2511</v>
      </c>
      <c r="N262" s="61" t="s">
        <v>2523</v>
      </c>
      <c r="O262" s="61" t="s">
        <v>2388</v>
      </c>
      <c r="P262" s="62" t="s">
        <v>2511</v>
      </c>
      <c r="Q262" s="58" t="s">
        <v>552</v>
      </c>
      <c r="R262" s="58" t="s">
        <v>66</v>
      </c>
      <c r="S262" s="58" t="s">
        <v>2425</v>
      </c>
      <c r="T262" s="58" t="s">
        <v>113</v>
      </c>
      <c r="U262" s="58" t="s">
        <v>552</v>
      </c>
      <c r="V262" s="138" t="s">
        <v>3247</v>
      </c>
      <c r="W262" s="57" t="s">
        <v>3199</v>
      </c>
      <c r="X262" s="126" t="s">
        <v>3248</v>
      </c>
      <c r="Y262" s="126" t="s">
        <v>2511</v>
      </c>
      <c r="Z262" s="57" t="s">
        <v>2514</v>
      </c>
      <c r="AA262" s="57" t="s">
        <v>2753</v>
      </c>
      <c r="AB262" s="57" t="s">
        <v>2393</v>
      </c>
      <c r="AC262" s="57" t="s">
        <v>2516</v>
      </c>
      <c r="AD262" s="65" t="str">
        <f t="shared" si="62"/>
        <v>GP</v>
      </c>
      <c r="AE262" s="70"/>
      <c r="AF262" s="67" t="str">
        <f t="shared" si="58"/>
        <v>PULL_UP</v>
      </c>
      <c r="AG262" s="67" t="str">
        <f t="shared" si="57"/>
        <v>NORMAL</v>
      </c>
      <c r="AH262" s="67" t="str">
        <f t="shared" si="59"/>
        <v>DISABLE</v>
      </c>
      <c r="AI262" s="71" t="str">
        <f t="shared" si="60"/>
        <v>N/A</v>
      </c>
      <c r="AJ262" s="189" t="b">
        <v>1</v>
      </c>
      <c r="AK262" s="189" t="b">
        <v>1</v>
      </c>
      <c r="AL262" s="189" t="b">
        <v>1</v>
      </c>
      <c r="AM262" s="189" t="b">
        <v>1</v>
      </c>
      <c r="AN262" s="189" t="b">
        <v>1</v>
      </c>
      <c r="AO262" s="189" t="b">
        <v>1</v>
      </c>
      <c r="AP262" s="69" t="str">
        <f t="shared" si="61"/>
        <v>VALID</v>
      </c>
      <c r="AQ262" s="195" t="s">
        <v>959</v>
      </c>
      <c r="AR262" s="194" t="s">
        <v>861</v>
      </c>
      <c r="AS262" s="193" t="s">
        <v>873</v>
      </c>
      <c r="AT262" s="193" t="s">
        <v>117</v>
      </c>
      <c r="AU262" s="72"/>
      <c r="AV262" s="72"/>
      <c r="AW262" s="10"/>
      <c r="AX262" s="193" t="s">
        <v>136</v>
      </c>
      <c r="AY262" s="10"/>
      <c r="AZ262" s="193"/>
      <c r="BA262" s="193"/>
      <c r="BB262" s="8"/>
      <c r="BC262" s="140"/>
      <c r="BD262" s="1" t="s">
        <v>5647</v>
      </c>
      <c r="BE262" s="311" t="s">
        <v>5648</v>
      </c>
    </row>
    <row r="263" spans="1:57" ht="12.95" hidden="1" customHeight="1">
      <c r="A263" s="248" t="e">
        <v>#N/A</v>
      </c>
      <c r="B263" s="252" t="e">
        <v>#N/A</v>
      </c>
      <c r="C263" s="263" t="s">
        <v>1063</v>
      </c>
      <c r="D263" s="239" t="s">
        <v>3249</v>
      </c>
      <c r="E263" s="58"/>
      <c r="F263" s="59" t="s">
        <v>1780</v>
      </c>
      <c r="G263" s="191" t="s">
        <v>917</v>
      </c>
      <c r="H263" s="192" t="s">
        <v>2511</v>
      </c>
      <c r="I263" s="61" t="s">
        <v>3250</v>
      </c>
      <c r="J263" s="61" t="s">
        <v>2511</v>
      </c>
      <c r="K263" s="62" t="s">
        <v>2511</v>
      </c>
      <c r="L263" s="60" t="s">
        <v>2389</v>
      </c>
      <c r="M263" s="61" t="s">
        <v>2511</v>
      </c>
      <c r="N263" s="61" t="s">
        <v>2523</v>
      </c>
      <c r="O263" s="61" t="s">
        <v>2511</v>
      </c>
      <c r="P263" s="62" t="s">
        <v>2511</v>
      </c>
      <c r="Q263" s="58" t="s">
        <v>552</v>
      </c>
      <c r="R263" s="202" t="s">
        <v>66</v>
      </c>
      <c r="S263" s="202" t="s">
        <v>112</v>
      </c>
      <c r="T263" s="202" t="s">
        <v>113</v>
      </c>
      <c r="U263" s="58" t="s">
        <v>552</v>
      </c>
      <c r="V263" s="138" t="s">
        <v>3251</v>
      </c>
      <c r="W263" s="57" t="s">
        <v>3199</v>
      </c>
      <c r="X263" s="126" t="s">
        <v>3252</v>
      </c>
      <c r="Y263" s="126" t="s">
        <v>2511</v>
      </c>
      <c r="Z263" s="57" t="s">
        <v>2514</v>
      </c>
      <c r="AA263" s="57" t="s">
        <v>2753</v>
      </c>
      <c r="AB263" s="57" t="s">
        <v>2393</v>
      </c>
      <c r="AC263" s="57" t="s">
        <v>2516</v>
      </c>
      <c r="AD263" s="65" t="str">
        <f t="shared" si="62"/>
        <v>RSVD0</v>
      </c>
      <c r="AE263" s="70"/>
      <c r="AF263" s="67" t="str">
        <f t="shared" si="58"/>
        <v>PULL_DOWN</v>
      </c>
      <c r="AG263" s="67" t="str">
        <f t="shared" si="57"/>
        <v>TRISTATE</v>
      </c>
      <c r="AH263" s="67" t="str">
        <f t="shared" si="59"/>
        <v>DISABLE</v>
      </c>
      <c r="AI263" s="71" t="str">
        <f t="shared" si="60"/>
        <v>N/A</v>
      </c>
      <c r="AJ263" s="189" t="b">
        <v>1</v>
      </c>
      <c r="AK263" s="189" t="b">
        <v>1</v>
      </c>
      <c r="AL263" s="189" t="b">
        <v>1</v>
      </c>
      <c r="AM263" s="189" t="b">
        <v>1</v>
      </c>
      <c r="AN263" s="189" t="b">
        <v>1</v>
      </c>
      <c r="AO263" s="189" t="b">
        <v>1</v>
      </c>
      <c r="AP263" s="69" t="str">
        <f t="shared" si="61"/>
        <v>VALID</v>
      </c>
      <c r="AQ263" s="195" t="s">
        <v>1780</v>
      </c>
      <c r="AR263" s="194" t="s">
        <v>79</v>
      </c>
      <c r="AS263" s="193"/>
      <c r="AT263" s="193" t="s">
        <v>117</v>
      </c>
      <c r="AU263" s="72"/>
      <c r="AV263" s="72"/>
      <c r="AW263" s="10"/>
      <c r="AX263" s="193" t="s">
        <v>136</v>
      </c>
      <c r="AY263" s="10"/>
      <c r="AZ263" s="193"/>
      <c r="BA263" s="193"/>
      <c r="BB263" s="8"/>
      <c r="BC263" s="140"/>
      <c r="BD263" s="147" t="s">
        <v>83</v>
      </c>
      <c r="BE263" s="147" t="s">
        <v>83</v>
      </c>
    </row>
    <row r="264" spans="1:57" s="91" customFormat="1" ht="15.75">
      <c r="A264" s="369"/>
      <c r="B264" s="370"/>
      <c r="C264" s="268" t="s">
        <v>188</v>
      </c>
      <c r="D264" s="268"/>
      <c r="E264" s="86"/>
      <c r="F264" s="86"/>
      <c r="G264" s="87"/>
      <c r="H264" s="87"/>
      <c r="I264" s="87"/>
      <c r="J264" s="87"/>
      <c r="K264" s="87"/>
      <c r="L264" s="86"/>
      <c r="M264" s="86"/>
      <c r="N264" s="86"/>
      <c r="O264" s="86"/>
      <c r="P264" s="86"/>
      <c r="Q264" s="86"/>
      <c r="R264" s="86"/>
      <c r="S264" s="86"/>
      <c r="T264" s="86"/>
      <c r="U264" s="86"/>
      <c r="V264" s="86"/>
      <c r="W264" s="86"/>
      <c r="X264" s="129"/>
      <c r="Y264" s="129"/>
      <c r="Z264" s="88"/>
      <c r="AA264" s="88"/>
      <c r="AB264" s="88"/>
      <c r="AC264" s="88"/>
      <c r="AD264" s="88"/>
      <c r="AE264" s="88"/>
      <c r="AF264" s="88"/>
      <c r="AG264" s="88"/>
      <c r="AH264" s="88"/>
      <c r="AI264" s="88"/>
      <c r="AJ264" s="88"/>
      <c r="AK264" s="88"/>
      <c r="AL264" s="88"/>
      <c r="AM264" s="88"/>
      <c r="AN264" s="88"/>
      <c r="AO264" s="88"/>
      <c r="AP264" s="88"/>
      <c r="AQ264" s="89"/>
      <c r="AR264" s="89"/>
      <c r="AS264" s="90"/>
      <c r="AT264" s="90"/>
      <c r="AU264" s="90"/>
      <c r="AV264" s="90"/>
      <c r="AW264" s="90"/>
      <c r="AX264" s="90"/>
      <c r="AY264" s="90"/>
      <c r="AZ264" s="90"/>
      <c r="BA264" s="90"/>
      <c r="BB264" s="90"/>
      <c r="BC264" s="101"/>
      <c r="BD264" s="90"/>
      <c r="BE264" s="232"/>
    </row>
    <row r="265" spans="1:57" s="91" customFormat="1" ht="18" customHeight="1">
      <c r="A265" s="371"/>
      <c r="B265" s="372"/>
      <c r="C265" s="268" t="s">
        <v>1064</v>
      </c>
      <c r="D265" s="268"/>
      <c r="E265" s="86"/>
      <c r="F265" s="86"/>
      <c r="G265" s="87"/>
      <c r="H265" s="87"/>
      <c r="I265" s="87"/>
      <c r="J265" s="87"/>
      <c r="K265" s="87"/>
      <c r="L265" s="86"/>
      <c r="M265" s="86"/>
      <c r="N265" s="86"/>
      <c r="O265" s="86"/>
      <c r="P265" s="86"/>
      <c r="Q265" s="86"/>
      <c r="R265" s="86"/>
      <c r="S265" s="86"/>
      <c r="T265" s="86"/>
      <c r="U265" s="86"/>
      <c r="V265" s="86"/>
      <c r="W265" s="86"/>
      <c r="X265" s="129"/>
      <c r="Y265" s="129"/>
      <c r="Z265" s="88"/>
      <c r="AA265" s="88"/>
      <c r="AB265" s="88"/>
      <c r="AC265" s="88"/>
      <c r="AD265" s="88"/>
      <c r="AE265" s="88"/>
      <c r="AF265" s="88"/>
      <c r="AG265" s="88"/>
      <c r="AH265" s="88"/>
      <c r="AI265" s="88"/>
      <c r="AJ265" s="88"/>
      <c r="AK265" s="88"/>
      <c r="AL265" s="88"/>
      <c r="AM265" s="88"/>
      <c r="AN265" s="88"/>
      <c r="AO265" s="88"/>
      <c r="AP265" s="88"/>
      <c r="AQ265" s="89"/>
      <c r="AR265" s="100"/>
      <c r="AS265" s="101"/>
      <c r="AT265" s="101"/>
      <c r="AU265" s="101"/>
      <c r="AV265" s="101"/>
      <c r="AW265" s="101"/>
      <c r="AX265" s="101"/>
      <c r="AY265" s="101"/>
      <c r="AZ265" s="101"/>
      <c r="BA265" s="101"/>
      <c r="BB265" s="101"/>
      <c r="BC265" s="175" t="s">
        <v>268</v>
      </c>
      <c r="BD265" s="101"/>
      <c r="BE265" s="261" t="s">
        <v>1064</v>
      </c>
    </row>
    <row r="266" spans="1:57" s="81" customFormat="1" ht="12.95" customHeight="1">
      <c r="A266" s="247" t="s">
        <v>3253</v>
      </c>
      <c r="B266" s="251">
        <v>10</v>
      </c>
      <c r="C266" s="267" t="s">
        <v>189</v>
      </c>
      <c r="D266" s="239" t="s">
        <v>3255</v>
      </c>
      <c r="E266" s="58"/>
      <c r="F266" s="59" t="s">
        <v>190</v>
      </c>
      <c r="G266" s="191" t="s">
        <v>2511</v>
      </c>
      <c r="H266" s="192" t="s">
        <v>189</v>
      </c>
      <c r="I266" s="61" t="s">
        <v>2511</v>
      </c>
      <c r="J266" s="61" t="s">
        <v>2511</v>
      </c>
      <c r="K266" s="62" t="s">
        <v>2511</v>
      </c>
      <c r="L266" s="60" t="s">
        <v>2511</v>
      </c>
      <c r="M266" s="61" t="s">
        <v>2523</v>
      </c>
      <c r="N266" s="61" t="s">
        <v>2511</v>
      </c>
      <c r="O266" s="61" t="s">
        <v>2511</v>
      </c>
      <c r="P266" s="62" t="s">
        <v>2511</v>
      </c>
      <c r="Q266" s="82"/>
      <c r="R266" s="82"/>
      <c r="S266" s="82"/>
      <c r="T266" s="82"/>
      <c r="U266" s="82"/>
      <c r="V266" s="138" t="s">
        <v>3256</v>
      </c>
      <c r="W266" s="57" t="s">
        <v>3257</v>
      </c>
      <c r="X266" s="126" t="s">
        <v>2511</v>
      </c>
      <c r="Y266" s="126" t="s">
        <v>2511</v>
      </c>
      <c r="Z266" s="57"/>
      <c r="AA266" s="57" t="s">
        <v>3258</v>
      </c>
      <c r="AB266" s="57"/>
      <c r="AC266" s="137" t="s">
        <v>2631</v>
      </c>
      <c r="AD266" s="96"/>
      <c r="AE266" s="80"/>
      <c r="AF266" s="80"/>
      <c r="AG266" s="80"/>
      <c r="AH266" s="83"/>
      <c r="AI266" s="83"/>
      <c r="AJ266" s="84"/>
      <c r="AK266" s="84"/>
      <c r="AL266" s="84"/>
      <c r="AM266" s="84"/>
      <c r="AN266" s="84"/>
      <c r="AO266" s="84"/>
      <c r="AP266" s="84"/>
      <c r="AQ266" s="104" t="s">
        <v>189</v>
      </c>
      <c r="AR266" s="72"/>
      <c r="AS266" s="72"/>
      <c r="AT266" s="72"/>
      <c r="AU266" s="72"/>
      <c r="AV266" s="72"/>
      <c r="AW266" s="72"/>
      <c r="AX266" s="72"/>
      <c r="AY266" s="72"/>
      <c r="AZ266" s="72"/>
      <c r="BA266" s="72"/>
      <c r="BB266" s="16"/>
      <c r="BC266" s="72"/>
      <c r="BD266" s="316" t="s">
        <v>189</v>
      </c>
      <c r="BE266" s="260" t="s">
        <v>189</v>
      </c>
    </row>
    <row r="267" spans="1:57" s="81" customFormat="1" ht="12.95" customHeight="1">
      <c r="A267" s="247" t="s">
        <v>3259</v>
      </c>
      <c r="B267" s="251">
        <v>12</v>
      </c>
      <c r="C267" s="267" t="s">
        <v>191</v>
      </c>
      <c r="D267" s="239" t="s">
        <v>3260</v>
      </c>
      <c r="E267" s="58"/>
      <c r="F267" s="59" t="s">
        <v>192</v>
      </c>
      <c r="G267" s="191" t="s">
        <v>2511</v>
      </c>
      <c r="H267" s="192" t="s">
        <v>191</v>
      </c>
      <c r="I267" s="61" t="s">
        <v>2511</v>
      </c>
      <c r="J267" s="61" t="s">
        <v>2511</v>
      </c>
      <c r="K267" s="62" t="s">
        <v>2511</v>
      </c>
      <c r="L267" s="60" t="s">
        <v>2511</v>
      </c>
      <c r="M267" s="61" t="s">
        <v>2523</v>
      </c>
      <c r="N267" s="61" t="s">
        <v>2511</v>
      </c>
      <c r="O267" s="61" t="s">
        <v>2511</v>
      </c>
      <c r="P267" s="62" t="s">
        <v>2511</v>
      </c>
      <c r="Q267" s="82"/>
      <c r="R267" s="82"/>
      <c r="S267" s="82"/>
      <c r="T267" s="82"/>
      <c r="U267" s="82"/>
      <c r="V267" s="138" t="s">
        <v>3261</v>
      </c>
      <c r="W267" s="57" t="s">
        <v>3257</v>
      </c>
      <c r="X267" s="126" t="s">
        <v>2511</v>
      </c>
      <c r="Y267" s="126" t="s">
        <v>2511</v>
      </c>
      <c r="Z267" s="57"/>
      <c r="AA267" s="57" t="s">
        <v>3258</v>
      </c>
      <c r="AB267" s="57"/>
      <c r="AC267" s="138" t="s">
        <v>2631</v>
      </c>
      <c r="AD267" s="96"/>
      <c r="AE267" s="80"/>
      <c r="AF267" s="80"/>
      <c r="AG267" s="80"/>
      <c r="AH267" s="83"/>
      <c r="AI267" s="83"/>
      <c r="AJ267" s="84"/>
      <c r="AK267" s="84"/>
      <c r="AL267" s="84"/>
      <c r="AM267" s="84"/>
      <c r="AN267" s="84"/>
      <c r="AO267" s="84"/>
      <c r="AP267" s="84"/>
      <c r="AQ267" s="95" t="s">
        <v>191</v>
      </c>
      <c r="AR267" s="72"/>
      <c r="AS267" s="72"/>
      <c r="AT267" s="72"/>
      <c r="AU267" s="72"/>
      <c r="AV267" s="72"/>
      <c r="AW267" s="72"/>
      <c r="AX267" s="72"/>
      <c r="AY267" s="72"/>
      <c r="AZ267" s="72"/>
      <c r="BA267" s="72"/>
      <c r="BB267" s="16"/>
      <c r="BC267" s="72"/>
      <c r="BD267" s="317" t="s">
        <v>191</v>
      </c>
      <c r="BE267" s="260" t="s">
        <v>191</v>
      </c>
    </row>
    <row r="268" spans="1:57" s="81" customFormat="1" ht="12.95" customHeight="1">
      <c r="A268" s="247" t="s">
        <v>3262</v>
      </c>
      <c r="B268" s="251">
        <v>4</v>
      </c>
      <c r="C268" s="267" t="s">
        <v>193</v>
      </c>
      <c r="D268" s="239" t="s">
        <v>3263</v>
      </c>
      <c r="E268" s="58"/>
      <c r="F268" s="59" t="s">
        <v>194</v>
      </c>
      <c r="G268" s="191" t="s">
        <v>2511</v>
      </c>
      <c r="H268" s="192" t="s">
        <v>193</v>
      </c>
      <c r="I268" s="61" t="s">
        <v>2511</v>
      </c>
      <c r="J268" s="61" t="s">
        <v>2511</v>
      </c>
      <c r="K268" s="62" t="s">
        <v>2511</v>
      </c>
      <c r="L268" s="60" t="s">
        <v>2511</v>
      </c>
      <c r="M268" s="61" t="s">
        <v>2523</v>
      </c>
      <c r="N268" s="61" t="s">
        <v>2511</v>
      </c>
      <c r="O268" s="61" t="s">
        <v>2511</v>
      </c>
      <c r="P268" s="62" t="s">
        <v>2511</v>
      </c>
      <c r="Q268" s="82"/>
      <c r="R268" s="82"/>
      <c r="S268" s="82"/>
      <c r="T268" s="82"/>
      <c r="U268" s="82"/>
      <c r="V268" s="138" t="s">
        <v>3264</v>
      </c>
      <c r="W268" s="57" t="s">
        <v>3257</v>
      </c>
      <c r="X268" s="126" t="s">
        <v>2511</v>
      </c>
      <c r="Y268" s="126" t="s">
        <v>2511</v>
      </c>
      <c r="Z268" s="57"/>
      <c r="AA268" s="57" t="s">
        <v>3258</v>
      </c>
      <c r="AB268" s="57"/>
      <c r="AC268" s="138" t="s">
        <v>2631</v>
      </c>
      <c r="AD268" s="96"/>
      <c r="AE268" s="80"/>
      <c r="AF268" s="80"/>
      <c r="AG268" s="80"/>
      <c r="AH268" s="83"/>
      <c r="AI268" s="83"/>
      <c r="AJ268" s="84"/>
      <c r="AK268" s="84"/>
      <c r="AL268" s="84"/>
      <c r="AM268" s="84"/>
      <c r="AN268" s="84"/>
      <c r="AO268" s="84"/>
      <c r="AP268" s="84"/>
      <c r="AQ268" s="95" t="s">
        <v>193</v>
      </c>
      <c r="AR268" s="72"/>
      <c r="AS268" s="72"/>
      <c r="AT268" s="72"/>
      <c r="AU268" s="72"/>
      <c r="AV268" s="72"/>
      <c r="AW268" s="72"/>
      <c r="AX268" s="72"/>
      <c r="AY268" s="72"/>
      <c r="AZ268" s="72"/>
      <c r="BA268" s="72"/>
      <c r="BB268" s="16"/>
      <c r="BC268" s="72"/>
      <c r="BD268" s="317" t="s">
        <v>193</v>
      </c>
      <c r="BE268" s="260" t="s">
        <v>193</v>
      </c>
    </row>
    <row r="269" spans="1:57" s="81" customFormat="1" ht="12.95" customHeight="1">
      <c r="A269" s="247" t="s">
        <v>3265</v>
      </c>
      <c r="B269" s="251">
        <v>6</v>
      </c>
      <c r="C269" s="267" t="s">
        <v>195</v>
      </c>
      <c r="D269" s="239" t="s">
        <v>3266</v>
      </c>
      <c r="E269" s="58"/>
      <c r="F269" s="59" t="s">
        <v>196</v>
      </c>
      <c r="G269" s="191" t="s">
        <v>2511</v>
      </c>
      <c r="H269" s="192" t="s">
        <v>195</v>
      </c>
      <c r="I269" s="61" t="s">
        <v>2511</v>
      </c>
      <c r="J269" s="61" t="s">
        <v>2511</v>
      </c>
      <c r="K269" s="62" t="s">
        <v>2511</v>
      </c>
      <c r="L269" s="60" t="s">
        <v>2511</v>
      </c>
      <c r="M269" s="61" t="s">
        <v>2523</v>
      </c>
      <c r="N269" s="61" t="s">
        <v>2511</v>
      </c>
      <c r="O269" s="61" t="s">
        <v>2511</v>
      </c>
      <c r="P269" s="62" t="s">
        <v>2511</v>
      </c>
      <c r="Q269" s="82"/>
      <c r="R269" s="82"/>
      <c r="S269" s="82"/>
      <c r="T269" s="82"/>
      <c r="U269" s="82"/>
      <c r="V269" s="138" t="s">
        <v>3267</v>
      </c>
      <c r="W269" s="57" t="s">
        <v>3257</v>
      </c>
      <c r="X269" s="126" t="s">
        <v>2511</v>
      </c>
      <c r="Y269" s="126" t="s">
        <v>2511</v>
      </c>
      <c r="Z269" s="57"/>
      <c r="AA269" s="57" t="s">
        <v>3258</v>
      </c>
      <c r="AB269" s="57"/>
      <c r="AC269" s="138" t="s">
        <v>2631</v>
      </c>
      <c r="AD269" s="96"/>
      <c r="AE269" s="80"/>
      <c r="AF269" s="80"/>
      <c r="AG269" s="80"/>
      <c r="AH269" s="83"/>
      <c r="AI269" s="83"/>
      <c r="AJ269" s="84"/>
      <c r="AK269" s="84"/>
      <c r="AL269" s="84"/>
      <c r="AM269" s="84"/>
      <c r="AN269" s="84"/>
      <c r="AO269" s="84"/>
      <c r="AP269" s="84"/>
      <c r="AQ269" s="95" t="s">
        <v>195</v>
      </c>
      <c r="AR269" s="72"/>
      <c r="AS269" s="72"/>
      <c r="AT269" s="72"/>
      <c r="AU269" s="72"/>
      <c r="AV269" s="72"/>
      <c r="AW269" s="72"/>
      <c r="AX269" s="72"/>
      <c r="AY269" s="72"/>
      <c r="AZ269" s="72"/>
      <c r="BA269" s="72"/>
      <c r="BB269" s="16"/>
      <c r="BC269" s="72"/>
      <c r="BD269" s="317" t="s">
        <v>195</v>
      </c>
      <c r="BE269" s="260" t="s">
        <v>195</v>
      </c>
    </row>
    <row r="270" spans="1:57" s="81" customFormat="1" ht="12.95" customHeight="1">
      <c r="A270" s="247" t="s">
        <v>3268</v>
      </c>
      <c r="B270" s="251">
        <v>16</v>
      </c>
      <c r="C270" s="267" t="s">
        <v>197</v>
      </c>
      <c r="D270" s="239" t="s">
        <v>3269</v>
      </c>
      <c r="E270" s="58"/>
      <c r="F270" s="59" t="s">
        <v>198</v>
      </c>
      <c r="G270" s="191" t="s">
        <v>2511</v>
      </c>
      <c r="H270" s="192" t="s">
        <v>197</v>
      </c>
      <c r="I270" s="61" t="s">
        <v>2511</v>
      </c>
      <c r="J270" s="61" t="s">
        <v>2511</v>
      </c>
      <c r="K270" s="62" t="s">
        <v>2511</v>
      </c>
      <c r="L270" s="60" t="s">
        <v>2511</v>
      </c>
      <c r="M270" s="61" t="s">
        <v>2523</v>
      </c>
      <c r="N270" s="61" t="s">
        <v>2511</v>
      </c>
      <c r="O270" s="61" t="s">
        <v>2511</v>
      </c>
      <c r="P270" s="62" t="s">
        <v>2511</v>
      </c>
      <c r="Q270" s="82"/>
      <c r="R270" s="82"/>
      <c r="S270" s="82"/>
      <c r="T270" s="82"/>
      <c r="U270" s="82"/>
      <c r="V270" s="138" t="s">
        <v>3270</v>
      </c>
      <c r="W270" s="57" t="s">
        <v>3257</v>
      </c>
      <c r="X270" s="126" t="s">
        <v>2511</v>
      </c>
      <c r="Y270" s="126" t="s">
        <v>2511</v>
      </c>
      <c r="Z270" s="57"/>
      <c r="AA270" s="57" t="s">
        <v>3258</v>
      </c>
      <c r="AB270" s="57"/>
      <c r="AC270" s="138" t="s">
        <v>2631</v>
      </c>
      <c r="AD270" s="96"/>
      <c r="AE270" s="80"/>
      <c r="AF270" s="80"/>
      <c r="AG270" s="80"/>
      <c r="AH270" s="83"/>
      <c r="AI270" s="83"/>
      <c r="AJ270" s="84"/>
      <c r="AK270" s="84"/>
      <c r="AL270" s="84"/>
      <c r="AM270" s="84"/>
      <c r="AN270" s="84"/>
      <c r="AO270" s="84"/>
      <c r="AP270" s="84"/>
      <c r="AQ270" s="95" t="s">
        <v>197</v>
      </c>
      <c r="AR270" s="72"/>
      <c r="AS270" s="72"/>
      <c r="AT270" s="72"/>
      <c r="AU270" s="72"/>
      <c r="AV270" s="72"/>
      <c r="AW270" s="72"/>
      <c r="AX270" s="72"/>
      <c r="AY270" s="72"/>
      <c r="AZ270" s="72"/>
      <c r="BA270" s="72"/>
      <c r="BB270" s="16"/>
      <c r="BC270" s="72"/>
      <c r="BD270" s="317" t="s">
        <v>197</v>
      </c>
      <c r="BE270" s="260" t="s">
        <v>197</v>
      </c>
    </row>
    <row r="271" spans="1:57" s="81" customFormat="1" ht="12.95" customHeight="1">
      <c r="A271" s="247" t="s">
        <v>3271</v>
      </c>
      <c r="B271" s="251">
        <v>18</v>
      </c>
      <c r="C271" s="267" t="s">
        <v>199</v>
      </c>
      <c r="D271" s="239" t="s">
        <v>3272</v>
      </c>
      <c r="E271" s="58"/>
      <c r="F271" s="59" t="s">
        <v>200</v>
      </c>
      <c r="G271" s="191" t="s">
        <v>2511</v>
      </c>
      <c r="H271" s="192" t="s">
        <v>199</v>
      </c>
      <c r="I271" s="61" t="s">
        <v>2511</v>
      </c>
      <c r="J271" s="61" t="s">
        <v>2511</v>
      </c>
      <c r="K271" s="62" t="s">
        <v>2511</v>
      </c>
      <c r="L271" s="60" t="s">
        <v>2511</v>
      </c>
      <c r="M271" s="61" t="s">
        <v>2523</v>
      </c>
      <c r="N271" s="61" t="s">
        <v>2511</v>
      </c>
      <c r="O271" s="61" t="s">
        <v>2511</v>
      </c>
      <c r="P271" s="62" t="s">
        <v>2511</v>
      </c>
      <c r="Q271" s="82"/>
      <c r="R271" s="82"/>
      <c r="S271" s="82"/>
      <c r="T271" s="82"/>
      <c r="U271" s="82"/>
      <c r="V271" s="138" t="s">
        <v>3273</v>
      </c>
      <c r="W271" s="57" t="s">
        <v>3257</v>
      </c>
      <c r="X271" s="126" t="s">
        <v>2511</v>
      </c>
      <c r="Y271" s="126" t="s">
        <v>2511</v>
      </c>
      <c r="Z271" s="57"/>
      <c r="AA271" s="57" t="s">
        <v>3258</v>
      </c>
      <c r="AB271" s="57"/>
      <c r="AC271" s="138" t="s">
        <v>2631</v>
      </c>
      <c r="AD271" s="96"/>
      <c r="AE271" s="80"/>
      <c r="AF271" s="80"/>
      <c r="AG271" s="80"/>
      <c r="AH271" s="83"/>
      <c r="AI271" s="83"/>
      <c r="AJ271" s="84"/>
      <c r="AK271" s="84"/>
      <c r="AL271" s="84"/>
      <c r="AM271" s="84"/>
      <c r="AN271" s="84"/>
      <c r="AO271" s="84"/>
      <c r="AP271" s="84"/>
      <c r="AQ271" s="95" t="s">
        <v>199</v>
      </c>
      <c r="AR271" s="72"/>
      <c r="AS271" s="72"/>
      <c r="AT271" s="72"/>
      <c r="AU271" s="72"/>
      <c r="AV271" s="72"/>
      <c r="AW271" s="72"/>
      <c r="AX271" s="72"/>
      <c r="AY271" s="72"/>
      <c r="AZ271" s="72"/>
      <c r="BA271" s="72"/>
      <c r="BB271" s="16"/>
      <c r="BC271" s="72"/>
      <c r="BD271" s="318" t="s">
        <v>199</v>
      </c>
      <c r="BE271" s="260" t="s">
        <v>199</v>
      </c>
    </row>
    <row r="272" spans="1:57" s="81" customFormat="1" ht="12.95" customHeight="1">
      <c r="A272" s="247" t="s">
        <v>3274</v>
      </c>
      <c r="B272" s="251">
        <v>9</v>
      </c>
      <c r="C272" s="267" t="s">
        <v>297</v>
      </c>
      <c r="D272" s="239" t="s">
        <v>3276</v>
      </c>
      <c r="E272" s="58"/>
      <c r="F272" s="59" t="s">
        <v>512</v>
      </c>
      <c r="G272" s="191" t="s">
        <v>2511</v>
      </c>
      <c r="H272" s="192" t="s">
        <v>297</v>
      </c>
      <c r="I272" s="61" t="s">
        <v>2511</v>
      </c>
      <c r="J272" s="61" t="s">
        <v>2511</v>
      </c>
      <c r="K272" s="62" t="s">
        <v>2511</v>
      </c>
      <c r="L272" s="60" t="s">
        <v>2511</v>
      </c>
      <c r="M272" s="61" t="s">
        <v>2523</v>
      </c>
      <c r="N272" s="61" t="s">
        <v>2511</v>
      </c>
      <c r="O272" s="61" t="s">
        <v>2511</v>
      </c>
      <c r="P272" s="62" t="s">
        <v>2511</v>
      </c>
      <c r="Q272" s="82"/>
      <c r="R272" s="82"/>
      <c r="S272" s="82"/>
      <c r="T272" s="82"/>
      <c r="U272" s="82"/>
      <c r="V272" s="138" t="s">
        <v>3277</v>
      </c>
      <c r="W272" s="57" t="s">
        <v>3257</v>
      </c>
      <c r="X272" s="126" t="s">
        <v>2511</v>
      </c>
      <c r="Y272" s="126" t="s">
        <v>2511</v>
      </c>
      <c r="Z272" s="57"/>
      <c r="AA272" s="57" t="s">
        <v>3258</v>
      </c>
      <c r="AB272" s="57"/>
      <c r="AC272" s="138" t="s">
        <v>2631</v>
      </c>
      <c r="AD272" s="96"/>
      <c r="AE272" s="80"/>
      <c r="AF272" s="80"/>
      <c r="AG272" s="80"/>
      <c r="AH272" s="83"/>
      <c r="AI272" s="83"/>
      <c r="AJ272" s="84"/>
      <c r="AK272" s="84"/>
      <c r="AL272" s="84"/>
      <c r="AM272" s="84"/>
      <c r="AN272" s="84"/>
      <c r="AO272" s="84"/>
      <c r="AP272" s="84"/>
      <c r="AQ272" s="104" t="s">
        <v>297</v>
      </c>
      <c r="AR272" s="72"/>
      <c r="AS272" s="72"/>
      <c r="AT272" s="72"/>
      <c r="AU272" s="72"/>
      <c r="AV272" s="72"/>
      <c r="AW272" s="72"/>
      <c r="AX272" s="72"/>
      <c r="AY272" s="72"/>
      <c r="AZ272" s="72"/>
      <c r="BA272" s="72"/>
      <c r="BB272" s="16"/>
      <c r="BC272" s="72"/>
      <c r="BD272" s="316" t="s">
        <v>297</v>
      </c>
      <c r="BE272" s="260" t="s">
        <v>297</v>
      </c>
    </row>
    <row r="273" spans="1:57" s="81" customFormat="1" ht="12.95" customHeight="1">
      <c r="A273" s="247" t="s">
        <v>3278</v>
      </c>
      <c r="B273" s="251">
        <v>11</v>
      </c>
      <c r="C273" s="267" t="s">
        <v>298</v>
      </c>
      <c r="D273" s="239" t="s">
        <v>3280</v>
      </c>
      <c r="E273" s="58"/>
      <c r="F273" s="59" t="s">
        <v>513</v>
      </c>
      <c r="G273" s="191" t="s">
        <v>2511</v>
      </c>
      <c r="H273" s="192" t="s">
        <v>298</v>
      </c>
      <c r="I273" s="61" t="s">
        <v>2511</v>
      </c>
      <c r="J273" s="61" t="s">
        <v>2511</v>
      </c>
      <c r="K273" s="62" t="s">
        <v>2511</v>
      </c>
      <c r="L273" s="60" t="s">
        <v>2511</v>
      </c>
      <c r="M273" s="61" t="s">
        <v>2523</v>
      </c>
      <c r="N273" s="61" t="s">
        <v>2511</v>
      </c>
      <c r="O273" s="61" t="s">
        <v>2511</v>
      </c>
      <c r="P273" s="62" t="s">
        <v>2511</v>
      </c>
      <c r="Q273" s="82"/>
      <c r="R273" s="82"/>
      <c r="S273" s="82"/>
      <c r="T273" s="82"/>
      <c r="U273" s="82"/>
      <c r="V273" s="138" t="s">
        <v>3281</v>
      </c>
      <c r="W273" s="57" t="s">
        <v>3257</v>
      </c>
      <c r="X273" s="126" t="s">
        <v>2511</v>
      </c>
      <c r="Y273" s="126" t="s">
        <v>2511</v>
      </c>
      <c r="Z273" s="57"/>
      <c r="AA273" s="57" t="s">
        <v>3258</v>
      </c>
      <c r="AB273" s="57"/>
      <c r="AC273" s="138" t="s">
        <v>2631</v>
      </c>
      <c r="AD273" s="96"/>
      <c r="AE273" s="80"/>
      <c r="AF273" s="80"/>
      <c r="AG273" s="80"/>
      <c r="AH273" s="83"/>
      <c r="AI273" s="83"/>
      <c r="AJ273" s="84"/>
      <c r="AK273" s="84"/>
      <c r="AL273" s="84"/>
      <c r="AM273" s="84"/>
      <c r="AN273" s="84"/>
      <c r="AO273" s="84"/>
      <c r="AP273" s="84"/>
      <c r="AQ273" s="95" t="s">
        <v>298</v>
      </c>
      <c r="AR273" s="72"/>
      <c r="AS273" s="72"/>
      <c r="AT273" s="72"/>
      <c r="AU273" s="72"/>
      <c r="AV273" s="72"/>
      <c r="AW273" s="72"/>
      <c r="AX273" s="72"/>
      <c r="AY273" s="72"/>
      <c r="AZ273" s="72"/>
      <c r="BA273" s="72"/>
      <c r="BB273" s="16"/>
      <c r="BC273" s="72"/>
      <c r="BD273" s="317" t="s">
        <v>298</v>
      </c>
      <c r="BE273" s="260" t="s">
        <v>298</v>
      </c>
    </row>
    <row r="274" spans="1:57" s="81" customFormat="1" ht="12.95" customHeight="1">
      <c r="A274" s="247" t="s">
        <v>3282</v>
      </c>
      <c r="B274" s="251">
        <v>3</v>
      </c>
      <c r="C274" s="267" t="s">
        <v>201</v>
      </c>
      <c r="D274" s="239" t="s">
        <v>3284</v>
      </c>
      <c r="E274" s="58"/>
      <c r="F274" s="59" t="s">
        <v>202</v>
      </c>
      <c r="G274" s="191" t="s">
        <v>2511</v>
      </c>
      <c r="H274" s="192" t="s">
        <v>201</v>
      </c>
      <c r="I274" s="61" t="s">
        <v>2511</v>
      </c>
      <c r="J274" s="61" t="s">
        <v>2511</v>
      </c>
      <c r="K274" s="62" t="s">
        <v>2511</v>
      </c>
      <c r="L274" s="60" t="s">
        <v>2511</v>
      </c>
      <c r="M274" s="61" t="s">
        <v>2523</v>
      </c>
      <c r="N274" s="61" t="s">
        <v>2511</v>
      </c>
      <c r="O274" s="61" t="s">
        <v>2511</v>
      </c>
      <c r="P274" s="62" t="s">
        <v>2511</v>
      </c>
      <c r="Q274" s="82"/>
      <c r="R274" s="82"/>
      <c r="S274" s="82"/>
      <c r="T274" s="82"/>
      <c r="U274" s="82"/>
      <c r="V274" s="138" t="s">
        <v>3285</v>
      </c>
      <c r="W274" s="57" t="s">
        <v>3257</v>
      </c>
      <c r="X274" s="126" t="s">
        <v>2511</v>
      </c>
      <c r="Y274" s="126" t="s">
        <v>2511</v>
      </c>
      <c r="Z274" s="57"/>
      <c r="AA274" s="57" t="s">
        <v>3258</v>
      </c>
      <c r="AB274" s="57"/>
      <c r="AC274" s="138" t="s">
        <v>2631</v>
      </c>
      <c r="AD274" s="96"/>
      <c r="AE274" s="80"/>
      <c r="AF274" s="80"/>
      <c r="AG274" s="80"/>
      <c r="AH274" s="83"/>
      <c r="AI274" s="83"/>
      <c r="AJ274" s="84"/>
      <c r="AK274" s="84"/>
      <c r="AL274" s="84"/>
      <c r="AM274" s="84"/>
      <c r="AN274" s="84"/>
      <c r="AO274" s="84"/>
      <c r="AP274" s="84"/>
      <c r="AQ274" s="95" t="s">
        <v>201</v>
      </c>
      <c r="AR274" s="72"/>
      <c r="AS274" s="72"/>
      <c r="AT274" s="72"/>
      <c r="AU274" s="72"/>
      <c r="AV274" s="72"/>
      <c r="AW274" s="72"/>
      <c r="AX274" s="72"/>
      <c r="AY274" s="72"/>
      <c r="AZ274" s="72"/>
      <c r="BA274" s="72"/>
      <c r="BB274" s="16"/>
      <c r="BC274" s="72"/>
      <c r="BD274" s="317" t="s">
        <v>201</v>
      </c>
      <c r="BE274" s="260" t="s">
        <v>201</v>
      </c>
    </row>
    <row r="275" spans="1:57" s="81" customFormat="1" ht="12.95" customHeight="1">
      <c r="A275" s="247" t="s">
        <v>3286</v>
      </c>
      <c r="B275" s="251">
        <v>5</v>
      </c>
      <c r="C275" s="267" t="s">
        <v>203</v>
      </c>
      <c r="D275" s="239" t="s">
        <v>3288</v>
      </c>
      <c r="E275" s="58"/>
      <c r="F275" s="59" t="s">
        <v>204</v>
      </c>
      <c r="G275" s="191" t="s">
        <v>2511</v>
      </c>
      <c r="H275" s="192" t="s">
        <v>203</v>
      </c>
      <c r="I275" s="61" t="s">
        <v>2511</v>
      </c>
      <c r="J275" s="61" t="s">
        <v>2511</v>
      </c>
      <c r="K275" s="62" t="s">
        <v>2511</v>
      </c>
      <c r="L275" s="60" t="s">
        <v>2511</v>
      </c>
      <c r="M275" s="61" t="s">
        <v>2523</v>
      </c>
      <c r="N275" s="61" t="s">
        <v>2511</v>
      </c>
      <c r="O275" s="61" t="s">
        <v>2511</v>
      </c>
      <c r="P275" s="62" t="s">
        <v>2511</v>
      </c>
      <c r="Q275" s="82"/>
      <c r="R275" s="82"/>
      <c r="S275" s="82"/>
      <c r="T275" s="82"/>
      <c r="U275" s="82"/>
      <c r="V275" s="138" t="s">
        <v>3289</v>
      </c>
      <c r="W275" s="57" t="s">
        <v>3257</v>
      </c>
      <c r="X275" s="126" t="s">
        <v>2511</v>
      </c>
      <c r="Y275" s="126" t="s">
        <v>2511</v>
      </c>
      <c r="Z275" s="57"/>
      <c r="AA275" s="57" t="s">
        <v>3258</v>
      </c>
      <c r="AB275" s="57"/>
      <c r="AC275" s="138" t="s">
        <v>2631</v>
      </c>
      <c r="AD275" s="96"/>
      <c r="AE275" s="80"/>
      <c r="AF275" s="80"/>
      <c r="AG275" s="80"/>
      <c r="AH275" s="83"/>
      <c r="AI275" s="83"/>
      <c r="AJ275" s="84"/>
      <c r="AK275" s="84"/>
      <c r="AL275" s="84"/>
      <c r="AM275" s="84"/>
      <c r="AN275" s="84"/>
      <c r="AO275" s="84"/>
      <c r="AP275" s="84"/>
      <c r="AQ275" s="95" t="s">
        <v>203</v>
      </c>
      <c r="AR275" s="72"/>
      <c r="AS275" s="72"/>
      <c r="AT275" s="72"/>
      <c r="AU275" s="72"/>
      <c r="AV275" s="72"/>
      <c r="AW275" s="72"/>
      <c r="AX275" s="72"/>
      <c r="AY275" s="72"/>
      <c r="AZ275" s="72"/>
      <c r="BA275" s="72"/>
      <c r="BB275" s="16"/>
      <c r="BC275" s="72"/>
      <c r="BD275" s="317" t="s">
        <v>203</v>
      </c>
      <c r="BE275" s="260" t="s">
        <v>203</v>
      </c>
    </row>
    <row r="276" spans="1:57" s="81" customFormat="1" ht="12.95" customHeight="1">
      <c r="A276" s="247" t="s">
        <v>3290</v>
      </c>
      <c r="B276" s="251">
        <v>15</v>
      </c>
      <c r="C276" s="267" t="s">
        <v>205</v>
      </c>
      <c r="D276" s="239" t="s">
        <v>3292</v>
      </c>
      <c r="E276" s="58"/>
      <c r="F276" s="59" t="s">
        <v>206</v>
      </c>
      <c r="G276" s="191" t="s">
        <v>2511</v>
      </c>
      <c r="H276" s="192" t="s">
        <v>205</v>
      </c>
      <c r="I276" s="61" t="s">
        <v>2511</v>
      </c>
      <c r="J276" s="61" t="s">
        <v>2511</v>
      </c>
      <c r="K276" s="62" t="s">
        <v>2511</v>
      </c>
      <c r="L276" s="60" t="s">
        <v>2511</v>
      </c>
      <c r="M276" s="61" t="s">
        <v>2523</v>
      </c>
      <c r="N276" s="61" t="s">
        <v>2511</v>
      </c>
      <c r="O276" s="61" t="s">
        <v>2511</v>
      </c>
      <c r="P276" s="62" t="s">
        <v>2511</v>
      </c>
      <c r="Q276" s="82"/>
      <c r="R276" s="82"/>
      <c r="S276" s="82"/>
      <c r="T276" s="82"/>
      <c r="U276" s="82"/>
      <c r="V276" s="138" t="s">
        <v>3293</v>
      </c>
      <c r="W276" s="57" t="s">
        <v>3257</v>
      </c>
      <c r="X276" s="126" t="s">
        <v>2511</v>
      </c>
      <c r="Y276" s="126" t="s">
        <v>2511</v>
      </c>
      <c r="Z276" s="57"/>
      <c r="AA276" s="57" t="s">
        <v>3258</v>
      </c>
      <c r="AB276" s="57"/>
      <c r="AC276" s="138" t="s">
        <v>2631</v>
      </c>
      <c r="AD276" s="96"/>
      <c r="AE276" s="80"/>
      <c r="AF276" s="80"/>
      <c r="AG276" s="80"/>
      <c r="AH276" s="83"/>
      <c r="AI276" s="83"/>
      <c r="AJ276" s="84"/>
      <c r="AK276" s="84"/>
      <c r="AL276" s="84"/>
      <c r="AM276" s="84"/>
      <c r="AN276" s="84"/>
      <c r="AO276" s="84"/>
      <c r="AP276" s="84"/>
      <c r="AQ276" s="95" t="s">
        <v>205</v>
      </c>
      <c r="AR276" s="72"/>
      <c r="AS276" s="72"/>
      <c r="AT276" s="72"/>
      <c r="AU276" s="72"/>
      <c r="AV276" s="72"/>
      <c r="AW276" s="72"/>
      <c r="AX276" s="72"/>
      <c r="AY276" s="72"/>
      <c r="AZ276" s="72"/>
      <c r="BA276" s="72"/>
      <c r="BB276" s="16"/>
      <c r="BC276" s="72"/>
      <c r="BD276" s="317" t="s">
        <v>205</v>
      </c>
      <c r="BE276" s="260" t="s">
        <v>205</v>
      </c>
    </row>
    <row r="277" spans="1:57" s="81" customFormat="1" ht="12.95" customHeight="1">
      <c r="A277" s="247" t="s">
        <v>3294</v>
      </c>
      <c r="B277" s="251">
        <v>17</v>
      </c>
      <c r="C277" s="267" t="s">
        <v>207</v>
      </c>
      <c r="D277" s="239" t="s">
        <v>3296</v>
      </c>
      <c r="E277" s="58"/>
      <c r="F277" s="59" t="s">
        <v>208</v>
      </c>
      <c r="G277" s="191" t="s">
        <v>2511</v>
      </c>
      <c r="H277" s="192" t="s">
        <v>207</v>
      </c>
      <c r="I277" s="61" t="s">
        <v>2511</v>
      </c>
      <c r="J277" s="61" t="s">
        <v>2511</v>
      </c>
      <c r="K277" s="62" t="s">
        <v>2511</v>
      </c>
      <c r="L277" s="60" t="s">
        <v>2511</v>
      </c>
      <c r="M277" s="61" t="s">
        <v>2523</v>
      </c>
      <c r="N277" s="61" t="s">
        <v>2511</v>
      </c>
      <c r="O277" s="61" t="s">
        <v>2511</v>
      </c>
      <c r="P277" s="62" t="s">
        <v>2511</v>
      </c>
      <c r="Q277" s="82"/>
      <c r="R277" s="82"/>
      <c r="S277" s="82"/>
      <c r="T277" s="82"/>
      <c r="U277" s="82"/>
      <c r="V277" s="138" t="s">
        <v>3297</v>
      </c>
      <c r="W277" s="57" t="s">
        <v>3257</v>
      </c>
      <c r="X277" s="126" t="s">
        <v>2511</v>
      </c>
      <c r="Y277" s="126" t="s">
        <v>2511</v>
      </c>
      <c r="Z277" s="57"/>
      <c r="AA277" s="57" t="s">
        <v>3258</v>
      </c>
      <c r="AB277" s="57"/>
      <c r="AC277" s="138" t="s">
        <v>2631</v>
      </c>
      <c r="AD277" s="96"/>
      <c r="AE277" s="80"/>
      <c r="AF277" s="80"/>
      <c r="AG277" s="80"/>
      <c r="AH277" s="83"/>
      <c r="AI277" s="83"/>
      <c r="AJ277" s="84"/>
      <c r="AK277" s="84"/>
      <c r="AL277" s="84"/>
      <c r="AM277" s="84"/>
      <c r="AN277" s="84"/>
      <c r="AO277" s="84"/>
      <c r="AP277" s="84"/>
      <c r="AQ277" s="95" t="s">
        <v>207</v>
      </c>
      <c r="AR277" s="72"/>
      <c r="AS277" s="72"/>
      <c r="AT277" s="72"/>
      <c r="AU277" s="72"/>
      <c r="AV277" s="72"/>
      <c r="AW277" s="72"/>
      <c r="AX277" s="72"/>
      <c r="AY277" s="72"/>
      <c r="AZ277" s="72"/>
      <c r="BA277" s="72"/>
      <c r="BB277" s="16"/>
      <c r="BC277" s="72"/>
      <c r="BD277" s="318" t="s">
        <v>207</v>
      </c>
      <c r="BE277" s="260" t="s">
        <v>207</v>
      </c>
    </row>
    <row r="278" spans="1:57" s="81" customFormat="1" ht="12.95" customHeight="1">
      <c r="A278" s="247" t="s">
        <v>3298</v>
      </c>
      <c r="B278" s="251">
        <v>28</v>
      </c>
      <c r="C278" s="267" t="s">
        <v>319</v>
      </c>
      <c r="D278" s="239" t="s">
        <v>3299</v>
      </c>
      <c r="E278" s="58"/>
      <c r="F278" s="59" t="s">
        <v>514</v>
      </c>
      <c r="G278" s="191" t="s">
        <v>2511</v>
      </c>
      <c r="H278" s="192" t="s">
        <v>319</v>
      </c>
      <c r="I278" s="61" t="s">
        <v>2511</v>
      </c>
      <c r="J278" s="61" t="s">
        <v>2511</v>
      </c>
      <c r="K278" s="62" t="s">
        <v>2511</v>
      </c>
      <c r="L278" s="60" t="s">
        <v>2511</v>
      </c>
      <c r="M278" s="61" t="s">
        <v>2523</v>
      </c>
      <c r="N278" s="61" t="s">
        <v>2511</v>
      </c>
      <c r="O278" s="61" t="s">
        <v>2511</v>
      </c>
      <c r="P278" s="62" t="s">
        <v>2511</v>
      </c>
      <c r="Q278" s="82"/>
      <c r="R278" s="82"/>
      <c r="S278" s="82"/>
      <c r="T278" s="82"/>
      <c r="U278" s="82"/>
      <c r="V278" s="138" t="s">
        <v>3300</v>
      </c>
      <c r="W278" s="57" t="s">
        <v>3257</v>
      </c>
      <c r="X278" s="126" t="s">
        <v>2511</v>
      </c>
      <c r="Y278" s="126" t="s">
        <v>2511</v>
      </c>
      <c r="Z278" s="57"/>
      <c r="AA278" s="57" t="s">
        <v>3258</v>
      </c>
      <c r="AB278" s="57"/>
      <c r="AC278" s="138" t="s">
        <v>2631</v>
      </c>
      <c r="AD278" s="96"/>
      <c r="AE278" s="80"/>
      <c r="AF278" s="80"/>
      <c r="AG278" s="80"/>
      <c r="AH278" s="83"/>
      <c r="AI278" s="83"/>
      <c r="AJ278" s="84"/>
      <c r="AK278" s="84"/>
      <c r="AL278" s="84"/>
      <c r="AM278" s="84"/>
      <c r="AN278" s="84"/>
      <c r="AO278" s="84"/>
      <c r="AP278" s="84"/>
      <c r="AQ278" s="104" t="s">
        <v>319</v>
      </c>
      <c r="AR278" s="72"/>
      <c r="AS278" s="72"/>
      <c r="AT278" s="72"/>
      <c r="AU278" s="72"/>
      <c r="AV278" s="72"/>
      <c r="AW278" s="72"/>
      <c r="AX278" s="72"/>
      <c r="AY278" s="72"/>
      <c r="AZ278" s="72"/>
      <c r="BA278" s="72"/>
      <c r="BB278" s="16"/>
      <c r="BC278" s="72"/>
      <c r="BD278" s="316" t="s">
        <v>319</v>
      </c>
      <c r="BE278" s="260" t="s">
        <v>319</v>
      </c>
    </row>
    <row r="279" spans="1:57" s="81" customFormat="1" ht="12.95" customHeight="1">
      <c r="A279" s="247" t="s">
        <v>3301</v>
      </c>
      <c r="B279" s="251">
        <v>30</v>
      </c>
      <c r="C279" s="267" t="s">
        <v>320</v>
      </c>
      <c r="D279" s="239" t="s">
        <v>3302</v>
      </c>
      <c r="E279" s="58"/>
      <c r="F279" s="59" t="s">
        <v>515</v>
      </c>
      <c r="G279" s="191" t="s">
        <v>2511</v>
      </c>
      <c r="H279" s="192" t="s">
        <v>320</v>
      </c>
      <c r="I279" s="61" t="s">
        <v>2511</v>
      </c>
      <c r="J279" s="61" t="s">
        <v>2511</v>
      </c>
      <c r="K279" s="62" t="s">
        <v>2511</v>
      </c>
      <c r="L279" s="60" t="s">
        <v>2511</v>
      </c>
      <c r="M279" s="61" t="s">
        <v>2523</v>
      </c>
      <c r="N279" s="61" t="s">
        <v>2511</v>
      </c>
      <c r="O279" s="61" t="s">
        <v>2511</v>
      </c>
      <c r="P279" s="62" t="s">
        <v>2511</v>
      </c>
      <c r="Q279" s="82"/>
      <c r="R279" s="82"/>
      <c r="S279" s="82"/>
      <c r="T279" s="82"/>
      <c r="U279" s="82"/>
      <c r="V279" s="138" t="s">
        <v>3303</v>
      </c>
      <c r="W279" s="57" t="s">
        <v>3257</v>
      </c>
      <c r="X279" s="126" t="s">
        <v>2511</v>
      </c>
      <c r="Y279" s="126" t="s">
        <v>2511</v>
      </c>
      <c r="Z279" s="57"/>
      <c r="AA279" s="57" t="s">
        <v>3258</v>
      </c>
      <c r="AB279" s="57"/>
      <c r="AC279" s="138" t="s">
        <v>2631</v>
      </c>
      <c r="AD279" s="96"/>
      <c r="AE279" s="80"/>
      <c r="AF279" s="80"/>
      <c r="AG279" s="80"/>
      <c r="AH279" s="83"/>
      <c r="AI279" s="83"/>
      <c r="AJ279" s="84"/>
      <c r="AK279" s="84"/>
      <c r="AL279" s="84"/>
      <c r="AM279" s="84"/>
      <c r="AN279" s="84"/>
      <c r="AO279" s="84"/>
      <c r="AP279" s="84"/>
      <c r="AQ279" s="95" t="s">
        <v>320</v>
      </c>
      <c r="AR279" s="72"/>
      <c r="AS279" s="72"/>
      <c r="AT279" s="72"/>
      <c r="AU279" s="72"/>
      <c r="AV279" s="72"/>
      <c r="AW279" s="72"/>
      <c r="AX279" s="72"/>
      <c r="AY279" s="72"/>
      <c r="AZ279" s="72"/>
      <c r="BA279" s="72"/>
      <c r="BB279" s="16"/>
      <c r="BC279" s="72"/>
      <c r="BD279" s="317" t="s">
        <v>320</v>
      </c>
      <c r="BE279" s="260" t="s">
        <v>320</v>
      </c>
    </row>
    <row r="280" spans="1:57" s="81" customFormat="1" ht="12.95" customHeight="1">
      <c r="A280" s="247" t="s">
        <v>3304</v>
      </c>
      <c r="B280" s="251">
        <v>22</v>
      </c>
      <c r="C280" s="267" t="s">
        <v>321</v>
      </c>
      <c r="D280" s="239" t="s">
        <v>3306</v>
      </c>
      <c r="E280" s="58"/>
      <c r="F280" s="59" t="s">
        <v>516</v>
      </c>
      <c r="G280" s="191" t="s">
        <v>2511</v>
      </c>
      <c r="H280" s="192" t="s">
        <v>321</v>
      </c>
      <c r="I280" s="61" t="s">
        <v>2511</v>
      </c>
      <c r="J280" s="61" t="s">
        <v>2511</v>
      </c>
      <c r="K280" s="62" t="s">
        <v>2511</v>
      </c>
      <c r="L280" s="60" t="s">
        <v>2511</v>
      </c>
      <c r="M280" s="61" t="s">
        <v>2523</v>
      </c>
      <c r="N280" s="61" t="s">
        <v>2511</v>
      </c>
      <c r="O280" s="61" t="s">
        <v>2511</v>
      </c>
      <c r="P280" s="62" t="s">
        <v>2511</v>
      </c>
      <c r="Q280" s="82"/>
      <c r="R280" s="82"/>
      <c r="S280" s="82"/>
      <c r="T280" s="82"/>
      <c r="U280" s="82"/>
      <c r="V280" s="138" t="s">
        <v>3307</v>
      </c>
      <c r="W280" s="57" t="s">
        <v>3257</v>
      </c>
      <c r="X280" s="126" t="s">
        <v>2511</v>
      </c>
      <c r="Y280" s="126" t="s">
        <v>2511</v>
      </c>
      <c r="Z280" s="57"/>
      <c r="AA280" s="57" t="s">
        <v>3258</v>
      </c>
      <c r="AB280" s="57"/>
      <c r="AC280" s="138" t="s">
        <v>2631</v>
      </c>
      <c r="AD280" s="96"/>
      <c r="AE280" s="80"/>
      <c r="AF280" s="80"/>
      <c r="AG280" s="80"/>
      <c r="AH280" s="83"/>
      <c r="AI280" s="83"/>
      <c r="AJ280" s="84"/>
      <c r="AK280" s="84"/>
      <c r="AL280" s="84"/>
      <c r="AM280" s="84"/>
      <c r="AN280" s="84"/>
      <c r="AO280" s="84"/>
      <c r="AP280" s="84"/>
      <c r="AQ280" s="95" t="s">
        <v>321</v>
      </c>
      <c r="AR280" s="72"/>
      <c r="AS280" s="72"/>
      <c r="AT280" s="72"/>
      <c r="AU280" s="72"/>
      <c r="AV280" s="72"/>
      <c r="AW280" s="72"/>
      <c r="AX280" s="72"/>
      <c r="AY280" s="72"/>
      <c r="AZ280" s="72"/>
      <c r="BA280" s="72"/>
      <c r="BB280" s="16"/>
      <c r="BC280" s="72"/>
      <c r="BD280" s="317" t="s">
        <v>321</v>
      </c>
      <c r="BE280" s="260" t="s">
        <v>321</v>
      </c>
    </row>
    <row r="281" spans="1:57" s="81" customFormat="1" ht="12.95" customHeight="1">
      <c r="A281" s="247" t="s">
        <v>3308</v>
      </c>
      <c r="B281" s="251">
        <v>24</v>
      </c>
      <c r="C281" s="267" t="s">
        <v>322</v>
      </c>
      <c r="D281" s="239" t="s">
        <v>3310</v>
      </c>
      <c r="E281" s="58"/>
      <c r="F281" s="59" t="s">
        <v>517</v>
      </c>
      <c r="G281" s="191" t="s">
        <v>2511</v>
      </c>
      <c r="H281" s="192" t="s">
        <v>322</v>
      </c>
      <c r="I281" s="61" t="s">
        <v>2511</v>
      </c>
      <c r="J281" s="61" t="s">
        <v>2511</v>
      </c>
      <c r="K281" s="62" t="s">
        <v>2511</v>
      </c>
      <c r="L281" s="60" t="s">
        <v>2511</v>
      </c>
      <c r="M281" s="61" t="s">
        <v>2523</v>
      </c>
      <c r="N281" s="61" t="s">
        <v>2511</v>
      </c>
      <c r="O281" s="61" t="s">
        <v>2511</v>
      </c>
      <c r="P281" s="62" t="s">
        <v>2511</v>
      </c>
      <c r="Q281" s="82"/>
      <c r="R281" s="82"/>
      <c r="S281" s="82"/>
      <c r="T281" s="82"/>
      <c r="U281" s="82"/>
      <c r="V281" s="138" t="s">
        <v>3311</v>
      </c>
      <c r="W281" s="57" t="s">
        <v>3257</v>
      </c>
      <c r="X281" s="126" t="s">
        <v>2511</v>
      </c>
      <c r="Y281" s="126" t="s">
        <v>2511</v>
      </c>
      <c r="Z281" s="57"/>
      <c r="AA281" s="57" t="s">
        <v>3258</v>
      </c>
      <c r="AB281" s="57"/>
      <c r="AC281" s="138" t="s">
        <v>2631</v>
      </c>
      <c r="AD281" s="96"/>
      <c r="AE281" s="80"/>
      <c r="AF281" s="80"/>
      <c r="AG281" s="80"/>
      <c r="AH281" s="83"/>
      <c r="AI281" s="83"/>
      <c r="AJ281" s="84"/>
      <c r="AK281" s="84"/>
      <c r="AL281" s="84"/>
      <c r="AM281" s="84"/>
      <c r="AN281" s="84"/>
      <c r="AO281" s="84"/>
      <c r="AP281" s="84"/>
      <c r="AQ281" s="95" t="s">
        <v>322</v>
      </c>
      <c r="AR281" s="72"/>
      <c r="AS281" s="72"/>
      <c r="AT281" s="72"/>
      <c r="AU281" s="72"/>
      <c r="AV281" s="72"/>
      <c r="AW281" s="72"/>
      <c r="AX281" s="72"/>
      <c r="AY281" s="72"/>
      <c r="AZ281" s="72"/>
      <c r="BA281" s="72"/>
      <c r="BB281" s="16"/>
      <c r="BC281" s="72"/>
      <c r="BD281" s="317" t="s">
        <v>322</v>
      </c>
      <c r="BE281" s="260" t="s">
        <v>322</v>
      </c>
    </row>
    <row r="282" spans="1:57" s="81" customFormat="1" ht="12.95" customHeight="1">
      <c r="A282" s="247" t="s">
        <v>3312</v>
      </c>
      <c r="B282" s="251">
        <v>34</v>
      </c>
      <c r="C282" s="267" t="s">
        <v>323</v>
      </c>
      <c r="D282" s="239" t="s">
        <v>3313</v>
      </c>
      <c r="E282" s="58"/>
      <c r="F282" s="59" t="s">
        <v>518</v>
      </c>
      <c r="G282" s="191" t="s">
        <v>2511</v>
      </c>
      <c r="H282" s="192" t="s">
        <v>323</v>
      </c>
      <c r="I282" s="61" t="s">
        <v>2511</v>
      </c>
      <c r="J282" s="61" t="s">
        <v>2511</v>
      </c>
      <c r="K282" s="62" t="s">
        <v>2511</v>
      </c>
      <c r="L282" s="60" t="s">
        <v>2511</v>
      </c>
      <c r="M282" s="61" t="s">
        <v>2523</v>
      </c>
      <c r="N282" s="61" t="s">
        <v>2511</v>
      </c>
      <c r="O282" s="61" t="s">
        <v>2511</v>
      </c>
      <c r="P282" s="62" t="s">
        <v>2511</v>
      </c>
      <c r="Q282" s="82"/>
      <c r="R282" s="82"/>
      <c r="S282" s="82"/>
      <c r="T282" s="82"/>
      <c r="U282" s="82"/>
      <c r="V282" s="138" t="s">
        <v>3314</v>
      </c>
      <c r="W282" s="57" t="s">
        <v>3257</v>
      </c>
      <c r="X282" s="126" t="s">
        <v>2511</v>
      </c>
      <c r="Y282" s="126" t="s">
        <v>2511</v>
      </c>
      <c r="Z282" s="57"/>
      <c r="AA282" s="57" t="s">
        <v>3258</v>
      </c>
      <c r="AB282" s="57"/>
      <c r="AC282" s="138" t="s">
        <v>2631</v>
      </c>
      <c r="AD282" s="96"/>
      <c r="AE282" s="80"/>
      <c r="AF282" s="80"/>
      <c r="AG282" s="80"/>
      <c r="AH282" s="83"/>
      <c r="AI282" s="83"/>
      <c r="AJ282" s="84"/>
      <c r="AK282" s="84"/>
      <c r="AL282" s="84"/>
      <c r="AM282" s="84"/>
      <c r="AN282" s="84"/>
      <c r="AO282" s="84"/>
      <c r="AP282" s="84"/>
      <c r="AQ282" s="95" t="s">
        <v>323</v>
      </c>
      <c r="AR282" s="72"/>
      <c r="AS282" s="72"/>
      <c r="AT282" s="72"/>
      <c r="AU282" s="72"/>
      <c r="AV282" s="72"/>
      <c r="AW282" s="72"/>
      <c r="AX282" s="72"/>
      <c r="AY282" s="72"/>
      <c r="AZ282" s="72"/>
      <c r="BA282" s="72"/>
      <c r="BB282" s="16"/>
      <c r="BC282" s="72"/>
      <c r="BD282" s="317" t="s">
        <v>323</v>
      </c>
      <c r="BE282" s="260" t="s">
        <v>323</v>
      </c>
    </row>
    <row r="283" spans="1:57" s="81" customFormat="1" ht="12.75" customHeight="1">
      <c r="A283" s="247" t="s">
        <v>3315</v>
      </c>
      <c r="B283" s="251">
        <v>36</v>
      </c>
      <c r="C283" s="267" t="s">
        <v>324</v>
      </c>
      <c r="D283" s="239" t="s">
        <v>3317</v>
      </c>
      <c r="E283" s="58"/>
      <c r="F283" s="59" t="s">
        <v>519</v>
      </c>
      <c r="G283" s="191" t="s">
        <v>2511</v>
      </c>
      <c r="H283" s="192" t="s">
        <v>324</v>
      </c>
      <c r="I283" s="61" t="s">
        <v>2511</v>
      </c>
      <c r="J283" s="61" t="s">
        <v>2511</v>
      </c>
      <c r="K283" s="62" t="s">
        <v>2511</v>
      </c>
      <c r="L283" s="60" t="s">
        <v>2511</v>
      </c>
      <c r="M283" s="61" t="s">
        <v>2523</v>
      </c>
      <c r="N283" s="61" t="s">
        <v>2511</v>
      </c>
      <c r="O283" s="61" t="s">
        <v>2511</v>
      </c>
      <c r="P283" s="62" t="s">
        <v>2511</v>
      </c>
      <c r="Q283" s="82"/>
      <c r="R283" s="82"/>
      <c r="S283" s="82"/>
      <c r="T283" s="82"/>
      <c r="U283" s="82"/>
      <c r="V283" s="138" t="s">
        <v>3318</v>
      </c>
      <c r="W283" s="57" t="s">
        <v>3257</v>
      </c>
      <c r="X283" s="126" t="s">
        <v>2511</v>
      </c>
      <c r="Y283" s="126" t="s">
        <v>2511</v>
      </c>
      <c r="Z283" s="57"/>
      <c r="AA283" s="57" t="s">
        <v>3258</v>
      </c>
      <c r="AB283" s="57"/>
      <c r="AC283" s="138" t="s">
        <v>2631</v>
      </c>
      <c r="AD283" s="96"/>
      <c r="AE283" s="80"/>
      <c r="AF283" s="80"/>
      <c r="AG283" s="80"/>
      <c r="AH283" s="83"/>
      <c r="AI283" s="83"/>
      <c r="AJ283" s="84"/>
      <c r="AK283" s="84"/>
      <c r="AL283" s="84"/>
      <c r="AM283" s="84"/>
      <c r="AN283" s="84"/>
      <c r="AO283" s="84"/>
      <c r="AP283" s="84"/>
      <c r="AQ283" s="95" t="s">
        <v>324</v>
      </c>
      <c r="AR283" s="72"/>
      <c r="AS283" s="72"/>
      <c r="AT283" s="72"/>
      <c r="AU283" s="72"/>
      <c r="AV283" s="72"/>
      <c r="AW283" s="72"/>
      <c r="AX283" s="72"/>
      <c r="AY283" s="72"/>
      <c r="AZ283" s="72"/>
      <c r="BA283" s="72"/>
      <c r="BB283" s="16"/>
      <c r="BC283" s="72"/>
      <c r="BD283" s="318" t="s">
        <v>324</v>
      </c>
      <c r="BE283" s="260" t="s">
        <v>324</v>
      </c>
    </row>
    <row r="284" spans="1:57" s="81" customFormat="1" ht="12.95" customHeight="1">
      <c r="A284" s="247" t="s">
        <v>3319</v>
      </c>
      <c r="B284" s="251">
        <v>27</v>
      </c>
      <c r="C284" s="267" t="s">
        <v>296</v>
      </c>
      <c r="D284" s="239" t="s">
        <v>3321</v>
      </c>
      <c r="E284" s="58"/>
      <c r="F284" s="59" t="s">
        <v>520</v>
      </c>
      <c r="G284" s="191" t="s">
        <v>2511</v>
      </c>
      <c r="H284" s="192" t="s">
        <v>296</v>
      </c>
      <c r="I284" s="61" t="s">
        <v>2511</v>
      </c>
      <c r="J284" s="61" t="s">
        <v>2511</v>
      </c>
      <c r="K284" s="62" t="s">
        <v>2511</v>
      </c>
      <c r="L284" s="60" t="s">
        <v>2511</v>
      </c>
      <c r="M284" s="61" t="s">
        <v>2523</v>
      </c>
      <c r="N284" s="61" t="s">
        <v>2511</v>
      </c>
      <c r="O284" s="61" t="s">
        <v>2511</v>
      </c>
      <c r="P284" s="62" t="s">
        <v>2511</v>
      </c>
      <c r="Q284" s="82"/>
      <c r="R284" s="82"/>
      <c r="S284" s="82"/>
      <c r="T284" s="82"/>
      <c r="U284" s="82"/>
      <c r="V284" s="138" t="s">
        <v>3322</v>
      </c>
      <c r="W284" s="57" t="s">
        <v>3257</v>
      </c>
      <c r="X284" s="126" t="s">
        <v>2511</v>
      </c>
      <c r="Y284" s="126" t="s">
        <v>2511</v>
      </c>
      <c r="Z284" s="57"/>
      <c r="AA284" s="57" t="s">
        <v>3258</v>
      </c>
      <c r="AB284" s="57"/>
      <c r="AC284" s="138" t="s">
        <v>2631</v>
      </c>
      <c r="AD284" s="96"/>
      <c r="AE284" s="80"/>
      <c r="AF284" s="80"/>
      <c r="AG284" s="80"/>
      <c r="AH284" s="83"/>
      <c r="AI284" s="83"/>
      <c r="AJ284" s="84"/>
      <c r="AK284" s="84"/>
      <c r="AL284" s="84"/>
      <c r="AM284" s="84"/>
      <c r="AN284" s="84"/>
      <c r="AO284" s="84"/>
      <c r="AP284" s="84"/>
      <c r="AQ284" s="104" t="s">
        <v>296</v>
      </c>
      <c r="AR284" s="72"/>
      <c r="AS284" s="72"/>
      <c r="AT284" s="72"/>
      <c r="AU284" s="72"/>
      <c r="AV284" s="72"/>
      <c r="AW284" s="72"/>
      <c r="AX284" s="72"/>
      <c r="AY284" s="72"/>
      <c r="AZ284" s="72"/>
      <c r="BA284" s="72"/>
      <c r="BB284" s="16"/>
      <c r="BC284" s="72"/>
      <c r="BD284" s="316" t="s">
        <v>296</v>
      </c>
      <c r="BE284" s="260" t="s">
        <v>296</v>
      </c>
    </row>
    <row r="285" spans="1:57" s="81" customFormat="1" ht="12.95" customHeight="1">
      <c r="A285" s="247" t="s">
        <v>3323</v>
      </c>
      <c r="B285" s="251">
        <v>29</v>
      </c>
      <c r="C285" s="267" t="s">
        <v>295</v>
      </c>
      <c r="D285" s="239" t="s">
        <v>3324</v>
      </c>
      <c r="E285" s="58"/>
      <c r="F285" s="59" t="s">
        <v>521</v>
      </c>
      <c r="G285" s="191" t="s">
        <v>2511</v>
      </c>
      <c r="H285" s="192" t="s">
        <v>295</v>
      </c>
      <c r="I285" s="61" t="s">
        <v>2511</v>
      </c>
      <c r="J285" s="61" t="s">
        <v>2511</v>
      </c>
      <c r="K285" s="62" t="s">
        <v>2511</v>
      </c>
      <c r="L285" s="60" t="s">
        <v>2511</v>
      </c>
      <c r="M285" s="61" t="s">
        <v>2523</v>
      </c>
      <c r="N285" s="61" t="s">
        <v>2511</v>
      </c>
      <c r="O285" s="61" t="s">
        <v>2511</v>
      </c>
      <c r="P285" s="62" t="s">
        <v>2511</v>
      </c>
      <c r="Q285" s="82"/>
      <c r="R285" s="82"/>
      <c r="S285" s="82"/>
      <c r="T285" s="82"/>
      <c r="U285" s="82"/>
      <c r="V285" s="138" t="s">
        <v>3325</v>
      </c>
      <c r="W285" s="57" t="s">
        <v>3257</v>
      </c>
      <c r="X285" s="126" t="s">
        <v>2511</v>
      </c>
      <c r="Y285" s="126" t="s">
        <v>2511</v>
      </c>
      <c r="Z285" s="57"/>
      <c r="AA285" s="57" t="s">
        <v>3258</v>
      </c>
      <c r="AB285" s="57"/>
      <c r="AC285" s="138" t="s">
        <v>2631</v>
      </c>
      <c r="AD285" s="96"/>
      <c r="AE285" s="80"/>
      <c r="AF285" s="80"/>
      <c r="AG285" s="80"/>
      <c r="AH285" s="83"/>
      <c r="AI285" s="83"/>
      <c r="AJ285" s="84"/>
      <c r="AK285" s="84"/>
      <c r="AL285" s="84"/>
      <c r="AM285" s="84"/>
      <c r="AN285" s="84"/>
      <c r="AO285" s="84"/>
      <c r="AP285" s="84"/>
      <c r="AQ285" s="95" t="s">
        <v>295</v>
      </c>
      <c r="AR285" s="72"/>
      <c r="AS285" s="72"/>
      <c r="AT285" s="72"/>
      <c r="AU285" s="72"/>
      <c r="AV285" s="72"/>
      <c r="AW285" s="72"/>
      <c r="AX285" s="72"/>
      <c r="AY285" s="72"/>
      <c r="AZ285" s="72"/>
      <c r="BA285" s="72"/>
      <c r="BB285" s="16"/>
      <c r="BC285" s="72"/>
      <c r="BD285" s="317" t="s">
        <v>295</v>
      </c>
      <c r="BE285" s="260" t="s">
        <v>295</v>
      </c>
    </row>
    <row r="286" spans="1:57" s="81" customFormat="1" ht="12.95" customHeight="1">
      <c r="A286" s="247" t="s">
        <v>3326</v>
      </c>
      <c r="B286" s="251">
        <v>21</v>
      </c>
      <c r="C286" s="267" t="s">
        <v>325</v>
      </c>
      <c r="D286" s="239" t="s">
        <v>3327</v>
      </c>
      <c r="E286" s="58"/>
      <c r="F286" s="59" t="s">
        <v>522</v>
      </c>
      <c r="G286" s="191" t="s">
        <v>2511</v>
      </c>
      <c r="H286" s="192" t="s">
        <v>325</v>
      </c>
      <c r="I286" s="61" t="s">
        <v>2511</v>
      </c>
      <c r="J286" s="61" t="s">
        <v>2511</v>
      </c>
      <c r="K286" s="62" t="s">
        <v>2511</v>
      </c>
      <c r="L286" s="60" t="s">
        <v>2511</v>
      </c>
      <c r="M286" s="61" t="s">
        <v>2523</v>
      </c>
      <c r="N286" s="61" t="s">
        <v>2511</v>
      </c>
      <c r="O286" s="61" t="s">
        <v>2511</v>
      </c>
      <c r="P286" s="62" t="s">
        <v>2511</v>
      </c>
      <c r="Q286" s="82"/>
      <c r="R286" s="82"/>
      <c r="S286" s="82"/>
      <c r="T286" s="82"/>
      <c r="U286" s="82"/>
      <c r="V286" s="138" t="s">
        <v>3328</v>
      </c>
      <c r="W286" s="57" t="s">
        <v>3257</v>
      </c>
      <c r="X286" s="126" t="s">
        <v>2511</v>
      </c>
      <c r="Y286" s="126" t="s">
        <v>2511</v>
      </c>
      <c r="Z286" s="57"/>
      <c r="AA286" s="57" t="s">
        <v>3258</v>
      </c>
      <c r="AB286" s="57"/>
      <c r="AC286" s="138" t="s">
        <v>2631</v>
      </c>
      <c r="AD286" s="96"/>
      <c r="AE286" s="80"/>
      <c r="AF286" s="80"/>
      <c r="AG286" s="80"/>
      <c r="AH286" s="83"/>
      <c r="AI286" s="83"/>
      <c r="AJ286" s="84"/>
      <c r="AK286" s="84"/>
      <c r="AL286" s="84"/>
      <c r="AM286" s="84"/>
      <c r="AN286" s="84"/>
      <c r="AO286" s="84"/>
      <c r="AP286" s="84"/>
      <c r="AQ286" s="95" t="s">
        <v>325</v>
      </c>
      <c r="AR286" s="72"/>
      <c r="AS286" s="72"/>
      <c r="AT286" s="72"/>
      <c r="AU286" s="72"/>
      <c r="AV286" s="72"/>
      <c r="AW286" s="72"/>
      <c r="AX286" s="72"/>
      <c r="AY286" s="72"/>
      <c r="AZ286" s="72"/>
      <c r="BA286" s="72"/>
      <c r="BB286" s="16"/>
      <c r="BC286" s="72"/>
      <c r="BD286" s="317" t="s">
        <v>325</v>
      </c>
      <c r="BE286" s="260" t="s">
        <v>325</v>
      </c>
    </row>
    <row r="287" spans="1:57" s="81" customFormat="1" ht="12.95" customHeight="1">
      <c r="A287" s="247" t="s">
        <v>3329</v>
      </c>
      <c r="B287" s="251">
        <v>23</v>
      </c>
      <c r="C287" s="267" t="s">
        <v>326</v>
      </c>
      <c r="D287" s="239" t="s">
        <v>3330</v>
      </c>
      <c r="E287" s="58"/>
      <c r="F287" s="59" t="s">
        <v>523</v>
      </c>
      <c r="G287" s="191" t="s">
        <v>2511</v>
      </c>
      <c r="H287" s="192" t="s">
        <v>326</v>
      </c>
      <c r="I287" s="61" t="s">
        <v>2511</v>
      </c>
      <c r="J287" s="61" t="s">
        <v>2511</v>
      </c>
      <c r="K287" s="62" t="s">
        <v>2511</v>
      </c>
      <c r="L287" s="60" t="s">
        <v>2511</v>
      </c>
      <c r="M287" s="61" t="s">
        <v>2523</v>
      </c>
      <c r="N287" s="61" t="s">
        <v>2511</v>
      </c>
      <c r="O287" s="61" t="s">
        <v>2511</v>
      </c>
      <c r="P287" s="62" t="s">
        <v>2511</v>
      </c>
      <c r="Q287" s="82"/>
      <c r="R287" s="82"/>
      <c r="S287" s="82"/>
      <c r="T287" s="82"/>
      <c r="U287" s="82"/>
      <c r="V287" s="138" t="s">
        <v>3331</v>
      </c>
      <c r="W287" s="57" t="s">
        <v>3257</v>
      </c>
      <c r="X287" s="126" t="s">
        <v>2511</v>
      </c>
      <c r="Y287" s="126" t="s">
        <v>2511</v>
      </c>
      <c r="Z287" s="57"/>
      <c r="AA287" s="57" t="s">
        <v>3258</v>
      </c>
      <c r="AB287" s="57"/>
      <c r="AC287" s="138" t="s">
        <v>2631</v>
      </c>
      <c r="AD287" s="96"/>
      <c r="AE287" s="80"/>
      <c r="AF287" s="80"/>
      <c r="AG287" s="80"/>
      <c r="AH287" s="83"/>
      <c r="AI287" s="83"/>
      <c r="AJ287" s="84"/>
      <c r="AK287" s="84"/>
      <c r="AL287" s="84"/>
      <c r="AM287" s="84"/>
      <c r="AN287" s="84"/>
      <c r="AO287" s="84"/>
      <c r="AP287" s="84"/>
      <c r="AQ287" s="95" t="s">
        <v>326</v>
      </c>
      <c r="AR287" s="72"/>
      <c r="AS287" s="72"/>
      <c r="AT287" s="72"/>
      <c r="AU287" s="72"/>
      <c r="AV287" s="72"/>
      <c r="AW287" s="72"/>
      <c r="AX287" s="72"/>
      <c r="AY287" s="72"/>
      <c r="AZ287" s="72"/>
      <c r="BA287" s="72"/>
      <c r="BB287" s="16"/>
      <c r="BC287" s="72"/>
      <c r="BD287" s="317" t="s">
        <v>326</v>
      </c>
      <c r="BE287" s="260" t="s">
        <v>326</v>
      </c>
    </row>
    <row r="288" spans="1:57" s="81" customFormat="1" ht="12.95" customHeight="1">
      <c r="A288" s="247" t="s">
        <v>3332</v>
      </c>
      <c r="B288" s="251">
        <v>33</v>
      </c>
      <c r="C288" s="267" t="s">
        <v>327</v>
      </c>
      <c r="D288" s="239" t="s">
        <v>3334</v>
      </c>
      <c r="E288" s="58"/>
      <c r="F288" s="59" t="s">
        <v>524</v>
      </c>
      <c r="G288" s="191" t="s">
        <v>2511</v>
      </c>
      <c r="H288" s="192" t="s">
        <v>327</v>
      </c>
      <c r="I288" s="61" t="s">
        <v>2511</v>
      </c>
      <c r="J288" s="61" t="s">
        <v>2511</v>
      </c>
      <c r="K288" s="62" t="s">
        <v>2511</v>
      </c>
      <c r="L288" s="60" t="s">
        <v>2511</v>
      </c>
      <c r="M288" s="61" t="s">
        <v>2523</v>
      </c>
      <c r="N288" s="61" t="s">
        <v>2511</v>
      </c>
      <c r="O288" s="61" t="s">
        <v>2511</v>
      </c>
      <c r="P288" s="62" t="s">
        <v>2511</v>
      </c>
      <c r="Q288" s="82"/>
      <c r="R288" s="82"/>
      <c r="S288" s="82"/>
      <c r="T288" s="82"/>
      <c r="U288" s="82"/>
      <c r="V288" s="138" t="s">
        <v>3335</v>
      </c>
      <c r="W288" s="57" t="s">
        <v>3257</v>
      </c>
      <c r="X288" s="126" t="s">
        <v>2511</v>
      </c>
      <c r="Y288" s="126" t="s">
        <v>2511</v>
      </c>
      <c r="Z288" s="57"/>
      <c r="AA288" s="57" t="s">
        <v>3258</v>
      </c>
      <c r="AB288" s="57"/>
      <c r="AC288" s="138" t="s">
        <v>2631</v>
      </c>
      <c r="AD288" s="96"/>
      <c r="AE288" s="80"/>
      <c r="AF288" s="80"/>
      <c r="AG288" s="80"/>
      <c r="AH288" s="83"/>
      <c r="AI288" s="83"/>
      <c r="AJ288" s="84"/>
      <c r="AK288" s="84"/>
      <c r="AL288" s="84"/>
      <c r="AM288" s="84"/>
      <c r="AN288" s="84"/>
      <c r="AO288" s="84"/>
      <c r="AP288" s="84"/>
      <c r="AQ288" s="95" t="s">
        <v>327</v>
      </c>
      <c r="AR288" s="72"/>
      <c r="AS288" s="72"/>
      <c r="AT288" s="72"/>
      <c r="AU288" s="72"/>
      <c r="AV288" s="72"/>
      <c r="AW288" s="72"/>
      <c r="AX288" s="72"/>
      <c r="AY288" s="72"/>
      <c r="AZ288" s="72"/>
      <c r="BA288" s="72"/>
      <c r="BB288" s="16"/>
      <c r="BC288" s="72"/>
      <c r="BD288" s="317" t="s">
        <v>327</v>
      </c>
      <c r="BE288" s="260" t="s">
        <v>327</v>
      </c>
    </row>
    <row r="289" spans="1:57" s="81" customFormat="1" ht="12.95" customHeight="1">
      <c r="A289" s="247" t="s">
        <v>3336</v>
      </c>
      <c r="B289" s="251">
        <v>35</v>
      </c>
      <c r="C289" s="267" t="s">
        <v>328</v>
      </c>
      <c r="D289" s="239" t="s">
        <v>3338</v>
      </c>
      <c r="E289" s="58"/>
      <c r="F289" s="59" t="s">
        <v>525</v>
      </c>
      <c r="G289" s="191" t="s">
        <v>2511</v>
      </c>
      <c r="H289" s="192" t="s">
        <v>328</v>
      </c>
      <c r="I289" s="61" t="s">
        <v>2511</v>
      </c>
      <c r="J289" s="61" t="s">
        <v>2511</v>
      </c>
      <c r="K289" s="62" t="s">
        <v>2511</v>
      </c>
      <c r="L289" s="60" t="s">
        <v>2511</v>
      </c>
      <c r="M289" s="61" t="s">
        <v>2523</v>
      </c>
      <c r="N289" s="61" t="s">
        <v>2511</v>
      </c>
      <c r="O289" s="61" t="s">
        <v>2511</v>
      </c>
      <c r="P289" s="62" t="s">
        <v>2511</v>
      </c>
      <c r="Q289" s="82"/>
      <c r="R289" s="82"/>
      <c r="S289" s="82"/>
      <c r="T289" s="82"/>
      <c r="U289" s="82"/>
      <c r="V289" s="138" t="s">
        <v>3339</v>
      </c>
      <c r="W289" s="57" t="s">
        <v>3257</v>
      </c>
      <c r="X289" s="126" t="s">
        <v>2511</v>
      </c>
      <c r="Y289" s="126" t="s">
        <v>2511</v>
      </c>
      <c r="Z289" s="57"/>
      <c r="AA289" s="57" t="s">
        <v>3258</v>
      </c>
      <c r="AB289" s="57"/>
      <c r="AC289" s="138" t="s">
        <v>2631</v>
      </c>
      <c r="AD289" s="96"/>
      <c r="AE289" s="80"/>
      <c r="AF289" s="80"/>
      <c r="AG289" s="80"/>
      <c r="AH289" s="83"/>
      <c r="AI289" s="83"/>
      <c r="AJ289" s="84"/>
      <c r="AK289" s="84"/>
      <c r="AL289" s="84"/>
      <c r="AM289" s="84"/>
      <c r="AN289" s="84"/>
      <c r="AO289" s="84"/>
      <c r="AP289" s="84"/>
      <c r="AQ289" s="95" t="s">
        <v>328</v>
      </c>
      <c r="AR289" s="72"/>
      <c r="AS289" s="72"/>
      <c r="AT289" s="72"/>
      <c r="AU289" s="72"/>
      <c r="AV289" s="72"/>
      <c r="AW289" s="72"/>
      <c r="AX289" s="72"/>
      <c r="AY289" s="72"/>
      <c r="AZ289" s="72"/>
      <c r="BA289" s="72"/>
      <c r="BB289" s="16"/>
      <c r="BC289" s="72"/>
      <c r="BD289" s="318" t="s">
        <v>328</v>
      </c>
      <c r="BE289" s="260" t="s">
        <v>328</v>
      </c>
    </row>
    <row r="290" spans="1:57" s="81" customFormat="1" ht="12.95" customHeight="1">
      <c r="A290" s="247" t="s">
        <v>3340</v>
      </c>
      <c r="B290" s="251">
        <v>52</v>
      </c>
      <c r="C290" s="267" t="s">
        <v>209</v>
      </c>
      <c r="D290" s="239" t="s">
        <v>3341</v>
      </c>
      <c r="E290" s="58"/>
      <c r="F290" s="59" t="s">
        <v>2243</v>
      </c>
      <c r="G290" s="191" t="s">
        <v>2511</v>
      </c>
      <c r="H290" s="192" t="s">
        <v>209</v>
      </c>
      <c r="I290" s="61" t="s">
        <v>2511</v>
      </c>
      <c r="J290" s="61" t="s">
        <v>2511</v>
      </c>
      <c r="K290" s="62" t="s">
        <v>2511</v>
      </c>
      <c r="L290" s="60" t="s">
        <v>2511</v>
      </c>
      <c r="M290" s="61" t="s">
        <v>2523</v>
      </c>
      <c r="N290" s="61" t="s">
        <v>2511</v>
      </c>
      <c r="O290" s="61" t="s">
        <v>2511</v>
      </c>
      <c r="P290" s="62" t="s">
        <v>2511</v>
      </c>
      <c r="Q290" s="82"/>
      <c r="R290" s="82"/>
      <c r="S290" s="82"/>
      <c r="T290" s="82"/>
      <c r="U290" s="82"/>
      <c r="V290" s="138" t="s">
        <v>3342</v>
      </c>
      <c r="W290" s="57" t="s">
        <v>3257</v>
      </c>
      <c r="X290" s="126" t="s">
        <v>2511</v>
      </c>
      <c r="Y290" s="126" t="s">
        <v>2511</v>
      </c>
      <c r="Z290" s="57"/>
      <c r="AA290" s="57" t="s">
        <v>3258</v>
      </c>
      <c r="AB290" s="57"/>
      <c r="AC290" s="138" t="s">
        <v>2631</v>
      </c>
      <c r="AD290" s="96"/>
      <c r="AE290" s="80"/>
      <c r="AF290" s="80"/>
      <c r="AG290" s="80"/>
      <c r="AH290" s="83"/>
      <c r="AI290" s="83"/>
      <c r="AJ290" s="84"/>
      <c r="AK290" s="84"/>
      <c r="AL290" s="84"/>
      <c r="AM290" s="84"/>
      <c r="AN290" s="84"/>
      <c r="AO290" s="84"/>
      <c r="AP290" s="84"/>
      <c r="AQ290" s="95" t="s">
        <v>209</v>
      </c>
      <c r="AR290" s="72"/>
      <c r="AS290" s="72"/>
      <c r="AT290" s="72"/>
      <c r="AU290" s="72"/>
      <c r="AV290" s="72"/>
      <c r="AW290" s="72"/>
      <c r="AX290" s="72"/>
      <c r="AY290" s="72"/>
      <c r="AZ290" s="72"/>
      <c r="BA290" s="72"/>
      <c r="BB290" s="16"/>
      <c r="BC290" s="22"/>
      <c r="BD290" s="316" t="s">
        <v>209</v>
      </c>
      <c r="BE290" s="260" t="s">
        <v>209</v>
      </c>
    </row>
    <row r="291" spans="1:57" s="81" customFormat="1" ht="12.95" customHeight="1">
      <c r="A291" s="247" t="s">
        <v>3343</v>
      </c>
      <c r="B291" s="251">
        <v>54</v>
      </c>
      <c r="C291" s="267" t="s">
        <v>210</v>
      </c>
      <c r="D291" s="239" t="s">
        <v>3344</v>
      </c>
      <c r="E291" s="58"/>
      <c r="F291" s="59" t="s">
        <v>2244</v>
      </c>
      <c r="G291" s="191" t="s">
        <v>2511</v>
      </c>
      <c r="H291" s="192" t="s">
        <v>210</v>
      </c>
      <c r="I291" s="61" t="s">
        <v>2511</v>
      </c>
      <c r="J291" s="61" t="s">
        <v>2511</v>
      </c>
      <c r="K291" s="62" t="s">
        <v>2511</v>
      </c>
      <c r="L291" s="60" t="s">
        <v>2511</v>
      </c>
      <c r="M291" s="61" t="s">
        <v>2523</v>
      </c>
      <c r="N291" s="61" t="s">
        <v>2511</v>
      </c>
      <c r="O291" s="61" t="s">
        <v>2511</v>
      </c>
      <c r="P291" s="62" t="s">
        <v>2511</v>
      </c>
      <c r="Q291" s="82"/>
      <c r="R291" s="82"/>
      <c r="S291" s="82"/>
      <c r="T291" s="82"/>
      <c r="U291" s="82"/>
      <c r="V291" s="138" t="s">
        <v>3345</v>
      </c>
      <c r="W291" s="57" t="s">
        <v>3257</v>
      </c>
      <c r="X291" s="126" t="s">
        <v>2511</v>
      </c>
      <c r="Y291" s="126" t="s">
        <v>2511</v>
      </c>
      <c r="Z291" s="57"/>
      <c r="AA291" s="57" t="s">
        <v>3258</v>
      </c>
      <c r="AB291" s="57"/>
      <c r="AC291" s="138" t="s">
        <v>2631</v>
      </c>
      <c r="AD291" s="96"/>
      <c r="AE291" s="80"/>
      <c r="AF291" s="80"/>
      <c r="AG291" s="80"/>
      <c r="AH291" s="83"/>
      <c r="AI291" s="83"/>
      <c r="AJ291" s="84"/>
      <c r="AK291" s="84"/>
      <c r="AL291" s="84"/>
      <c r="AM291" s="84"/>
      <c r="AN291" s="84"/>
      <c r="AO291" s="84"/>
      <c r="AP291" s="84"/>
      <c r="AQ291" s="95" t="s">
        <v>210</v>
      </c>
      <c r="AR291" s="72"/>
      <c r="AS291" s="72"/>
      <c r="AT291" s="72"/>
      <c r="AU291" s="72"/>
      <c r="AV291" s="72"/>
      <c r="AW291" s="72"/>
      <c r="AX291" s="72"/>
      <c r="AY291" s="72"/>
      <c r="AZ291" s="72"/>
      <c r="BA291" s="72"/>
      <c r="BB291" s="16"/>
      <c r="BC291" s="72"/>
      <c r="BD291" s="317" t="s">
        <v>210</v>
      </c>
      <c r="BE291" s="260" t="s">
        <v>210</v>
      </c>
    </row>
    <row r="292" spans="1:57" s="81" customFormat="1" ht="12.95" customHeight="1">
      <c r="A292" s="247" t="s">
        <v>3346</v>
      </c>
      <c r="B292" s="251">
        <v>46</v>
      </c>
      <c r="C292" s="267" t="s">
        <v>211</v>
      </c>
      <c r="D292" s="239" t="s">
        <v>3347</v>
      </c>
      <c r="E292" s="58"/>
      <c r="F292" s="59" t="s">
        <v>2245</v>
      </c>
      <c r="G292" s="191" t="s">
        <v>2511</v>
      </c>
      <c r="H292" s="192" t="s">
        <v>211</v>
      </c>
      <c r="I292" s="61" t="s">
        <v>2511</v>
      </c>
      <c r="J292" s="61" t="s">
        <v>2511</v>
      </c>
      <c r="K292" s="62" t="s">
        <v>2511</v>
      </c>
      <c r="L292" s="60" t="s">
        <v>2511</v>
      </c>
      <c r="M292" s="61" t="s">
        <v>2523</v>
      </c>
      <c r="N292" s="61" t="s">
        <v>2511</v>
      </c>
      <c r="O292" s="61" t="s">
        <v>2511</v>
      </c>
      <c r="P292" s="62" t="s">
        <v>2511</v>
      </c>
      <c r="Q292" s="82"/>
      <c r="R292" s="82"/>
      <c r="S292" s="82"/>
      <c r="T292" s="82"/>
      <c r="U292" s="82"/>
      <c r="V292" s="138" t="s">
        <v>3348</v>
      </c>
      <c r="W292" s="57" t="s">
        <v>3257</v>
      </c>
      <c r="X292" s="126" t="s">
        <v>2511</v>
      </c>
      <c r="Y292" s="126" t="s">
        <v>2511</v>
      </c>
      <c r="Z292" s="57"/>
      <c r="AA292" s="57" t="s">
        <v>3258</v>
      </c>
      <c r="AB292" s="57"/>
      <c r="AC292" s="138" t="s">
        <v>2631</v>
      </c>
      <c r="AD292" s="96"/>
      <c r="AE292" s="80"/>
      <c r="AF292" s="80"/>
      <c r="AG292" s="80"/>
      <c r="AH292" s="83"/>
      <c r="AI292" s="83"/>
      <c r="AJ292" s="84"/>
      <c r="AK292" s="84"/>
      <c r="AL292" s="84"/>
      <c r="AM292" s="84"/>
      <c r="AN292" s="84"/>
      <c r="AO292" s="84"/>
      <c r="AP292" s="84"/>
      <c r="AQ292" s="95" t="s">
        <v>211</v>
      </c>
      <c r="AR292" s="72"/>
      <c r="AS292" s="72"/>
      <c r="AT292" s="72"/>
      <c r="AU292" s="72"/>
      <c r="AV292" s="72"/>
      <c r="AW292" s="72"/>
      <c r="AX292" s="72"/>
      <c r="AY292" s="72"/>
      <c r="AZ292" s="72"/>
      <c r="BA292" s="72"/>
      <c r="BB292" s="16"/>
      <c r="BC292" s="72"/>
      <c r="BD292" s="317" t="s">
        <v>211</v>
      </c>
      <c r="BE292" s="260" t="s">
        <v>211</v>
      </c>
    </row>
    <row r="293" spans="1:57" s="81" customFormat="1" ht="12.95" customHeight="1">
      <c r="A293" s="247" t="s">
        <v>3349</v>
      </c>
      <c r="B293" s="251">
        <v>48</v>
      </c>
      <c r="C293" s="267" t="s">
        <v>212</v>
      </c>
      <c r="D293" s="239" t="s">
        <v>3350</v>
      </c>
      <c r="E293" s="58"/>
      <c r="F293" s="59" t="s">
        <v>2242</v>
      </c>
      <c r="G293" s="191" t="s">
        <v>2511</v>
      </c>
      <c r="H293" s="192" t="s">
        <v>212</v>
      </c>
      <c r="I293" s="61" t="s">
        <v>2511</v>
      </c>
      <c r="J293" s="61" t="s">
        <v>2511</v>
      </c>
      <c r="K293" s="62" t="s">
        <v>2511</v>
      </c>
      <c r="L293" s="60" t="s">
        <v>2511</v>
      </c>
      <c r="M293" s="61" t="s">
        <v>2523</v>
      </c>
      <c r="N293" s="61" t="s">
        <v>2511</v>
      </c>
      <c r="O293" s="61" t="s">
        <v>2511</v>
      </c>
      <c r="P293" s="62" t="s">
        <v>2511</v>
      </c>
      <c r="Q293" s="82"/>
      <c r="R293" s="82"/>
      <c r="S293" s="82"/>
      <c r="T293" s="82"/>
      <c r="U293" s="82"/>
      <c r="V293" s="138" t="s">
        <v>3351</v>
      </c>
      <c r="W293" s="57" t="s">
        <v>3257</v>
      </c>
      <c r="X293" s="126" t="s">
        <v>2511</v>
      </c>
      <c r="Y293" s="126" t="s">
        <v>2511</v>
      </c>
      <c r="Z293" s="57"/>
      <c r="AA293" s="57" t="s">
        <v>3258</v>
      </c>
      <c r="AB293" s="57"/>
      <c r="AC293" s="138" t="s">
        <v>2631</v>
      </c>
      <c r="AD293" s="96"/>
      <c r="AE293" s="80"/>
      <c r="AF293" s="80"/>
      <c r="AG293" s="80"/>
      <c r="AH293" s="83"/>
      <c r="AI293" s="83"/>
      <c r="AJ293" s="84"/>
      <c r="AK293" s="84"/>
      <c r="AL293" s="84"/>
      <c r="AM293" s="84"/>
      <c r="AN293" s="84"/>
      <c r="AO293" s="84"/>
      <c r="AP293" s="84"/>
      <c r="AQ293" s="95" t="s">
        <v>212</v>
      </c>
      <c r="AR293" s="72"/>
      <c r="AS293" s="72"/>
      <c r="AT293" s="72"/>
      <c r="AU293" s="72"/>
      <c r="AV293" s="72"/>
      <c r="AW293" s="72"/>
      <c r="AX293" s="72"/>
      <c r="AY293" s="72"/>
      <c r="AZ293" s="72"/>
      <c r="BA293" s="72"/>
      <c r="BB293" s="16"/>
      <c r="BC293" s="72"/>
      <c r="BD293" s="317" t="s">
        <v>212</v>
      </c>
      <c r="BE293" s="260" t="s">
        <v>212</v>
      </c>
    </row>
    <row r="294" spans="1:57" s="81" customFormat="1" ht="12.95" customHeight="1">
      <c r="A294" s="247" t="s">
        <v>3352</v>
      </c>
      <c r="B294" s="251">
        <v>58</v>
      </c>
      <c r="C294" s="267" t="s">
        <v>299</v>
      </c>
      <c r="D294" s="239" t="s">
        <v>3353</v>
      </c>
      <c r="E294" s="58"/>
      <c r="F294" s="59" t="s">
        <v>2246</v>
      </c>
      <c r="G294" s="191" t="s">
        <v>2511</v>
      </c>
      <c r="H294" s="192" t="s">
        <v>299</v>
      </c>
      <c r="I294" s="61" t="s">
        <v>2511</v>
      </c>
      <c r="J294" s="61" t="s">
        <v>2511</v>
      </c>
      <c r="K294" s="62" t="s">
        <v>2511</v>
      </c>
      <c r="L294" s="60" t="s">
        <v>2511</v>
      </c>
      <c r="M294" s="61" t="s">
        <v>2523</v>
      </c>
      <c r="N294" s="61" t="s">
        <v>2511</v>
      </c>
      <c r="O294" s="61" t="s">
        <v>2511</v>
      </c>
      <c r="P294" s="62" t="s">
        <v>2511</v>
      </c>
      <c r="Q294" s="82"/>
      <c r="R294" s="82"/>
      <c r="S294" s="82"/>
      <c r="T294" s="82"/>
      <c r="U294" s="82"/>
      <c r="V294" s="138" t="s">
        <v>3354</v>
      </c>
      <c r="W294" s="57" t="s">
        <v>3257</v>
      </c>
      <c r="X294" s="126" t="s">
        <v>2511</v>
      </c>
      <c r="Y294" s="126" t="s">
        <v>2511</v>
      </c>
      <c r="Z294" s="57"/>
      <c r="AA294" s="57" t="s">
        <v>3258</v>
      </c>
      <c r="AB294" s="57"/>
      <c r="AC294" s="138" t="s">
        <v>2631</v>
      </c>
      <c r="AD294" s="96"/>
      <c r="AE294" s="80"/>
      <c r="AF294" s="80"/>
      <c r="AG294" s="80"/>
      <c r="AH294" s="83"/>
      <c r="AI294" s="83"/>
      <c r="AJ294" s="84"/>
      <c r="AK294" s="84"/>
      <c r="AL294" s="84"/>
      <c r="AM294" s="84"/>
      <c r="AN294" s="84"/>
      <c r="AO294" s="84"/>
      <c r="AP294" s="84"/>
      <c r="AQ294" s="95" t="s">
        <v>299</v>
      </c>
      <c r="AR294" s="72"/>
      <c r="AS294" s="72"/>
      <c r="AT294" s="72"/>
      <c r="AU294" s="72"/>
      <c r="AV294" s="72"/>
      <c r="AW294" s="72"/>
      <c r="AX294" s="72"/>
      <c r="AY294" s="72"/>
      <c r="AZ294" s="72"/>
      <c r="BA294" s="72"/>
      <c r="BB294" s="16"/>
      <c r="BC294" s="72"/>
      <c r="BD294" s="317" t="s">
        <v>299</v>
      </c>
      <c r="BE294" s="260" t="s">
        <v>299</v>
      </c>
    </row>
    <row r="295" spans="1:57" s="81" customFormat="1" ht="12.95" customHeight="1">
      <c r="A295" s="247" t="s">
        <v>3355</v>
      </c>
      <c r="B295" s="251">
        <v>60</v>
      </c>
      <c r="C295" s="267" t="s">
        <v>300</v>
      </c>
      <c r="D295" s="239" t="s">
        <v>3356</v>
      </c>
      <c r="E295" s="58"/>
      <c r="F295" s="59" t="s">
        <v>2247</v>
      </c>
      <c r="G295" s="191" t="s">
        <v>2511</v>
      </c>
      <c r="H295" s="192" t="s">
        <v>300</v>
      </c>
      <c r="I295" s="61" t="s">
        <v>2511</v>
      </c>
      <c r="J295" s="61" t="s">
        <v>2511</v>
      </c>
      <c r="K295" s="62" t="s">
        <v>2511</v>
      </c>
      <c r="L295" s="60" t="s">
        <v>2511</v>
      </c>
      <c r="M295" s="61" t="s">
        <v>2523</v>
      </c>
      <c r="N295" s="61" t="s">
        <v>2511</v>
      </c>
      <c r="O295" s="61" t="s">
        <v>2511</v>
      </c>
      <c r="P295" s="62" t="s">
        <v>2511</v>
      </c>
      <c r="Q295" s="82"/>
      <c r="R295" s="82"/>
      <c r="S295" s="82"/>
      <c r="T295" s="82"/>
      <c r="U295" s="82"/>
      <c r="V295" s="138" t="s">
        <v>3357</v>
      </c>
      <c r="W295" s="57" t="s">
        <v>3257</v>
      </c>
      <c r="X295" s="126" t="s">
        <v>2511</v>
      </c>
      <c r="Y295" s="126" t="s">
        <v>2511</v>
      </c>
      <c r="Z295" s="57"/>
      <c r="AA295" s="57" t="s">
        <v>3258</v>
      </c>
      <c r="AB295" s="57"/>
      <c r="AC295" s="138" t="s">
        <v>2631</v>
      </c>
      <c r="AD295" s="96"/>
      <c r="AE295" s="80"/>
      <c r="AF295" s="80"/>
      <c r="AG295" s="80"/>
      <c r="AH295" s="83"/>
      <c r="AI295" s="83"/>
      <c r="AJ295" s="84"/>
      <c r="AK295" s="84"/>
      <c r="AL295" s="84"/>
      <c r="AM295" s="84"/>
      <c r="AN295" s="84"/>
      <c r="AO295" s="84"/>
      <c r="AP295" s="84"/>
      <c r="AQ295" s="95" t="s">
        <v>300</v>
      </c>
      <c r="AR295" s="72"/>
      <c r="AS295" s="72"/>
      <c r="AT295" s="72"/>
      <c r="AU295" s="72"/>
      <c r="AV295" s="72"/>
      <c r="AW295" s="72"/>
      <c r="AX295" s="72"/>
      <c r="AY295" s="72"/>
      <c r="AZ295" s="72"/>
      <c r="BA295" s="72"/>
      <c r="BB295" s="16"/>
      <c r="BC295" s="72"/>
      <c r="BD295" s="318" t="s">
        <v>300</v>
      </c>
      <c r="BE295" s="260" t="s">
        <v>300</v>
      </c>
    </row>
    <row r="296" spans="1:57" s="81" customFormat="1" ht="12.95" hidden="1" customHeight="1">
      <c r="A296" s="248" t="e">
        <v>#N/A</v>
      </c>
      <c r="B296" s="252" t="e">
        <v>#N/A</v>
      </c>
      <c r="C296" s="269" t="s">
        <v>301</v>
      </c>
      <c r="D296" s="239" t="s">
        <v>3359</v>
      </c>
      <c r="E296" s="58"/>
      <c r="F296" s="59" t="s">
        <v>526</v>
      </c>
      <c r="G296" s="191" t="s">
        <v>2511</v>
      </c>
      <c r="H296" s="192" t="s">
        <v>301</v>
      </c>
      <c r="I296" s="61" t="s">
        <v>2511</v>
      </c>
      <c r="J296" s="61" t="s">
        <v>2511</v>
      </c>
      <c r="K296" s="62" t="s">
        <v>2511</v>
      </c>
      <c r="L296" s="60" t="s">
        <v>2511</v>
      </c>
      <c r="M296" s="61" t="s">
        <v>2523</v>
      </c>
      <c r="N296" s="61" t="s">
        <v>2511</v>
      </c>
      <c r="O296" s="61" t="s">
        <v>2511</v>
      </c>
      <c r="P296" s="62" t="s">
        <v>2511</v>
      </c>
      <c r="Q296" s="82"/>
      <c r="R296" s="82"/>
      <c r="S296" s="82"/>
      <c r="T296" s="82"/>
      <c r="U296" s="82"/>
      <c r="V296" s="138" t="s">
        <v>3360</v>
      </c>
      <c r="W296" s="57" t="s">
        <v>3257</v>
      </c>
      <c r="X296" s="126" t="s">
        <v>2511</v>
      </c>
      <c r="Y296" s="126" t="s">
        <v>2511</v>
      </c>
      <c r="Z296" s="57"/>
      <c r="AA296" s="57" t="s">
        <v>3258</v>
      </c>
      <c r="AB296" s="57"/>
      <c r="AC296" s="138" t="s">
        <v>2631</v>
      </c>
      <c r="AD296" s="96"/>
      <c r="AE296" s="80"/>
      <c r="AF296" s="80"/>
      <c r="AG296" s="80"/>
      <c r="AH296" s="83"/>
      <c r="AI296" s="83"/>
      <c r="AJ296" s="84"/>
      <c r="AK296" s="84"/>
      <c r="AL296" s="84"/>
      <c r="AM296" s="84"/>
      <c r="AN296" s="84"/>
      <c r="AO296" s="84"/>
      <c r="AP296" s="84"/>
      <c r="AQ296" s="95" t="s">
        <v>301</v>
      </c>
      <c r="AR296" s="72"/>
      <c r="AS296" s="72"/>
      <c r="AT296" s="72"/>
      <c r="AU296" s="72"/>
      <c r="AV296" s="72"/>
      <c r="AW296" s="72"/>
      <c r="AX296" s="72"/>
      <c r="AY296" s="72"/>
      <c r="AZ296" s="72"/>
      <c r="BA296" s="72"/>
      <c r="BB296" s="16"/>
      <c r="BC296" s="22"/>
      <c r="BD296" s="147" t="s">
        <v>83</v>
      </c>
      <c r="BE296" s="147" t="s">
        <v>83</v>
      </c>
    </row>
    <row r="297" spans="1:57" s="81" customFormat="1" ht="12.95" hidden="1" customHeight="1">
      <c r="A297" s="248" t="e">
        <v>#N/A</v>
      </c>
      <c r="B297" s="252" t="e">
        <v>#N/A</v>
      </c>
      <c r="C297" s="269" t="s">
        <v>302</v>
      </c>
      <c r="D297" s="239" t="s">
        <v>3362</v>
      </c>
      <c r="E297" s="58"/>
      <c r="F297" s="59" t="s">
        <v>527</v>
      </c>
      <c r="G297" s="191" t="s">
        <v>2511</v>
      </c>
      <c r="H297" s="192" t="s">
        <v>302</v>
      </c>
      <c r="I297" s="61" t="s">
        <v>2511</v>
      </c>
      <c r="J297" s="61" t="s">
        <v>2511</v>
      </c>
      <c r="K297" s="62" t="s">
        <v>2511</v>
      </c>
      <c r="L297" s="60" t="s">
        <v>2511</v>
      </c>
      <c r="M297" s="61" t="s">
        <v>2523</v>
      </c>
      <c r="N297" s="61" t="s">
        <v>2511</v>
      </c>
      <c r="O297" s="61" t="s">
        <v>2511</v>
      </c>
      <c r="P297" s="62" t="s">
        <v>2511</v>
      </c>
      <c r="Q297" s="82"/>
      <c r="R297" s="82"/>
      <c r="S297" s="82"/>
      <c r="T297" s="82"/>
      <c r="U297" s="82"/>
      <c r="V297" s="138" t="s">
        <v>3363</v>
      </c>
      <c r="W297" s="57" t="s">
        <v>3257</v>
      </c>
      <c r="X297" s="126" t="s">
        <v>2511</v>
      </c>
      <c r="Y297" s="126" t="s">
        <v>2511</v>
      </c>
      <c r="Z297" s="57"/>
      <c r="AA297" s="57" t="s">
        <v>3258</v>
      </c>
      <c r="AB297" s="57"/>
      <c r="AC297" s="138" t="s">
        <v>2631</v>
      </c>
      <c r="AD297" s="96"/>
      <c r="AE297" s="80"/>
      <c r="AF297" s="80"/>
      <c r="AG297" s="80"/>
      <c r="AH297" s="83"/>
      <c r="AI297" s="83"/>
      <c r="AJ297" s="84"/>
      <c r="AK297" s="84"/>
      <c r="AL297" s="84"/>
      <c r="AM297" s="84"/>
      <c r="AN297" s="84"/>
      <c r="AO297" s="84"/>
      <c r="AP297" s="84"/>
      <c r="AQ297" s="95" t="s">
        <v>302</v>
      </c>
      <c r="AR297" s="72"/>
      <c r="AS297" s="72"/>
      <c r="AT297" s="72"/>
      <c r="AU297" s="72"/>
      <c r="AV297" s="72"/>
      <c r="AW297" s="72"/>
      <c r="AX297" s="72"/>
      <c r="AY297" s="72"/>
      <c r="AZ297" s="72"/>
      <c r="BA297" s="72"/>
      <c r="BB297" s="16"/>
      <c r="BC297" s="72"/>
      <c r="BD297" s="147" t="s">
        <v>83</v>
      </c>
      <c r="BE297" s="147" t="s">
        <v>83</v>
      </c>
    </row>
    <row r="298" spans="1:57" s="81" customFormat="1" ht="12.95" customHeight="1">
      <c r="A298" s="247" t="s">
        <v>5426</v>
      </c>
      <c r="B298" s="251">
        <v>40</v>
      </c>
      <c r="C298" s="267" t="s">
        <v>303</v>
      </c>
      <c r="D298" s="239" t="s">
        <v>3365</v>
      </c>
      <c r="E298" s="58"/>
      <c r="F298" s="59" t="s">
        <v>2248</v>
      </c>
      <c r="G298" s="191" t="s">
        <v>2511</v>
      </c>
      <c r="H298" s="192" t="s">
        <v>303</v>
      </c>
      <c r="I298" s="61" t="s">
        <v>2511</v>
      </c>
      <c r="J298" s="61" t="s">
        <v>2511</v>
      </c>
      <c r="K298" s="62" t="s">
        <v>2511</v>
      </c>
      <c r="L298" s="60" t="s">
        <v>2511</v>
      </c>
      <c r="M298" s="61" t="s">
        <v>2523</v>
      </c>
      <c r="N298" s="61" t="s">
        <v>2511</v>
      </c>
      <c r="O298" s="61" t="s">
        <v>2511</v>
      </c>
      <c r="P298" s="62" t="s">
        <v>2511</v>
      </c>
      <c r="Q298" s="82"/>
      <c r="R298" s="82"/>
      <c r="S298" s="82"/>
      <c r="T298" s="82"/>
      <c r="U298" s="82"/>
      <c r="V298" s="138" t="s">
        <v>3366</v>
      </c>
      <c r="W298" s="57" t="s">
        <v>3257</v>
      </c>
      <c r="X298" s="126" t="s">
        <v>2511</v>
      </c>
      <c r="Y298" s="126" t="s">
        <v>2511</v>
      </c>
      <c r="Z298" s="57"/>
      <c r="AA298" s="57" t="s">
        <v>3258</v>
      </c>
      <c r="AB298" s="57"/>
      <c r="AC298" s="138" t="s">
        <v>2631</v>
      </c>
      <c r="AD298" s="96"/>
      <c r="AE298" s="80"/>
      <c r="AF298" s="80"/>
      <c r="AG298" s="80"/>
      <c r="AH298" s="83"/>
      <c r="AI298" s="83"/>
      <c r="AJ298" s="84"/>
      <c r="AK298" s="84"/>
      <c r="AL298" s="84"/>
      <c r="AM298" s="84"/>
      <c r="AN298" s="84"/>
      <c r="AO298" s="84"/>
      <c r="AP298" s="84"/>
      <c r="AQ298" s="95" t="s">
        <v>303</v>
      </c>
      <c r="AR298" s="72"/>
      <c r="AS298" s="72"/>
      <c r="AT298" s="72"/>
      <c r="AU298" s="72"/>
      <c r="AV298" s="72"/>
      <c r="AW298" s="72"/>
      <c r="AX298" s="72"/>
      <c r="AY298" s="72"/>
      <c r="AZ298" s="72"/>
      <c r="BA298" s="72"/>
      <c r="BB298" s="16"/>
      <c r="BC298" s="72"/>
      <c r="BD298" s="317" t="s">
        <v>5649</v>
      </c>
      <c r="BE298" s="260" t="s">
        <v>303</v>
      </c>
    </row>
    <row r="299" spans="1:57" s="81" customFormat="1" ht="12.95" customHeight="1">
      <c r="A299" s="247" t="s">
        <v>5427</v>
      </c>
      <c r="B299" s="251">
        <v>42</v>
      </c>
      <c r="C299" s="267" t="s">
        <v>304</v>
      </c>
      <c r="D299" s="239" t="s">
        <v>3368</v>
      </c>
      <c r="E299" s="58"/>
      <c r="F299" s="59" t="s">
        <v>2249</v>
      </c>
      <c r="G299" s="191" t="s">
        <v>2511</v>
      </c>
      <c r="H299" s="192" t="s">
        <v>304</v>
      </c>
      <c r="I299" s="61" t="s">
        <v>2511</v>
      </c>
      <c r="J299" s="61" t="s">
        <v>2511</v>
      </c>
      <c r="K299" s="62" t="s">
        <v>2511</v>
      </c>
      <c r="L299" s="60" t="s">
        <v>2511</v>
      </c>
      <c r="M299" s="61" t="s">
        <v>2523</v>
      </c>
      <c r="N299" s="61" t="s">
        <v>2511</v>
      </c>
      <c r="O299" s="61" t="s">
        <v>2511</v>
      </c>
      <c r="P299" s="62" t="s">
        <v>2511</v>
      </c>
      <c r="Q299" s="82"/>
      <c r="R299" s="82"/>
      <c r="S299" s="82"/>
      <c r="T299" s="82"/>
      <c r="U299" s="82"/>
      <c r="V299" s="138" t="s">
        <v>3369</v>
      </c>
      <c r="W299" s="57" t="s">
        <v>3257</v>
      </c>
      <c r="X299" s="126" t="s">
        <v>2511</v>
      </c>
      <c r="Y299" s="126" t="s">
        <v>2511</v>
      </c>
      <c r="Z299" s="57"/>
      <c r="AA299" s="57" t="s">
        <v>3258</v>
      </c>
      <c r="AB299" s="57"/>
      <c r="AC299" s="138" t="s">
        <v>2631</v>
      </c>
      <c r="AD299" s="96"/>
      <c r="AE299" s="80"/>
      <c r="AF299" s="80"/>
      <c r="AG299" s="80"/>
      <c r="AH299" s="83"/>
      <c r="AI299" s="83"/>
      <c r="AJ299" s="84"/>
      <c r="AK299" s="84"/>
      <c r="AL299" s="84"/>
      <c r="AM299" s="84"/>
      <c r="AN299" s="84"/>
      <c r="AO299" s="84"/>
      <c r="AP299" s="84"/>
      <c r="AQ299" s="95" t="s">
        <v>304</v>
      </c>
      <c r="AR299" s="72"/>
      <c r="AS299" s="72"/>
      <c r="AT299" s="72"/>
      <c r="AU299" s="72"/>
      <c r="AV299" s="72"/>
      <c r="AW299" s="72"/>
      <c r="AX299" s="72"/>
      <c r="AY299" s="72"/>
      <c r="AZ299" s="72"/>
      <c r="BA299" s="72"/>
      <c r="BB299" s="16"/>
      <c r="BC299" s="72"/>
      <c r="BD299" s="317" t="s">
        <v>5650</v>
      </c>
      <c r="BE299" s="260" t="s">
        <v>304</v>
      </c>
    </row>
    <row r="300" spans="1:57" s="81" customFormat="1" ht="12.95" customHeight="1">
      <c r="A300" s="247" t="s">
        <v>5428</v>
      </c>
      <c r="B300" s="251">
        <v>64</v>
      </c>
      <c r="C300" s="267" t="s">
        <v>305</v>
      </c>
      <c r="D300" s="239" t="s">
        <v>3371</v>
      </c>
      <c r="E300" s="58"/>
      <c r="F300" s="59" t="s">
        <v>2250</v>
      </c>
      <c r="G300" s="191" t="s">
        <v>2511</v>
      </c>
      <c r="H300" s="192" t="s">
        <v>305</v>
      </c>
      <c r="I300" s="61" t="s">
        <v>2511</v>
      </c>
      <c r="J300" s="61" t="s">
        <v>2511</v>
      </c>
      <c r="K300" s="62" t="s">
        <v>2511</v>
      </c>
      <c r="L300" s="60" t="s">
        <v>2511</v>
      </c>
      <c r="M300" s="61" t="s">
        <v>2523</v>
      </c>
      <c r="N300" s="61" t="s">
        <v>2511</v>
      </c>
      <c r="O300" s="61" t="s">
        <v>2511</v>
      </c>
      <c r="P300" s="62" t="s">
        <v>2511</v>
      </c>
      <c r="Q300" s="82"/>
      <c r="R300" s="82"/>
      <c r="S300" s="82"/>
      <c r="T300" s="82"/>
      <c r="U300" s="82"/>
      <c r="V300" s="138" t="s">
        <v>3372</v>
      </c>
      <c r="W300" s="57" t="s">
        <v>3257</v>
      </c>
      <c r="X300" s="126" t="s">
        <v>2511</v>
      </c>
      <c r="Y300" s="126" t="s">
        <v>2511</v>
      </c>
      <c r="Z300" s="57"/>
      <c r="AA300" s="57" t="s">
        <v>3258</v>
      </c>
      <c r="AB300" s="57"/>
      <c r="AC300" s="138" t="s">
        <v>2631</v>
      </c>
      <c r="AD300" s="96"/>
      <c r="AE300" s="80"/>
      <c r="AF300" s="80"/>
      <c r="AG300" s="80"/>
      <c r="AH300" s="83"/>
      <c r="AI300" s="83"/>
      <c r="AJ300" s="84"/>
      <c r="AK300" s="84"/>
      <c r="AL300" s="84"/>
      <c r="AM300" s="84"/>
      <c r="AN300" s="84"/>
      <c r="AO300" s="84"/>
      <c r="AP300" s="84"/>
      <c r="AQ300" s="95" t="s">
        <v>305</v>
      </c>
      <c r="AR300" s="72"/>
      <c r="AS300" s="72"/>
      <c r="AT300" s="72"/>
      <c r="AU300" s="72"/>
      <c r="AV300" s="72"/>
      <c r="AW300" s="72"/>
      <c r="AX300" s="72"/>
      <c r="AY300" s="72"/>
      <c r="AZ300" s="72"/>
      <c r="BA300" s="72"/>
      <c r="BB300" s="16"/>
      <c r="BC300" s="72"/>
      <c r="BD300" s="317" t="s">
        <v>5651</v>
      </c>
      <c r="BE300" s="260" t="s">
        <v>305</v>
      </c>
    </row>
    <row r="301" spans="1:57" s="81" customFormat="1" ht="12.95" customHeight="1">
      <c r="A301" s="247" t="s">
        <v>5429</v>
      </c>
      <c r="B301" s="251">
        <v>66</v>
      </c>
      <c r="C301" s="267" t="s">
        <v>306</v>
      </c>
      <c r="D301" s="239" t="s">
        <v>3374</v>
      </c>
      <c r="E301" s="58"/>
      <c r="F301" s="59" t="s">
        <v>2251</v>
      </c>
      <c r="G301" s="191" t="s">
        <v>2511</v>
      </c>
      <c r="H301" s="192" t="s">
        <v>306</v>
      </c>
      <c r="I301" s="61" t="s">
        <v>2511</v>
      </c>
      <c r="J301" s="61" t="s">
        <v>2511</v>
      </c>
      <c r="K301" s="62" t="s">
        <v>2511</v>
      </c>
      <c r="L301" s="60" t="s">
        <v>2511</v>
      </c>
      <c r="M301" s="61" t="s">
        <v>2523</v>
      </c>
      <c r="N301" s="61" t="s">
        <v>2511</v>
      </c>
      <c r="O301" s="61" t="s">
        <v>2511</v>
      </c>
      <c r="P301" s="62" t="s">
        <v>2511</v>
      </c>
      <c r="Q301" s="82"/>
      <c r="R301" s="82"/>
      <c r="S301" s="82"/>
      <c r="T301" s="82"/>
      <c r="U301" s="82"/>
      <c r="V301" s="138" t="s">
        <v>3375</v>
      </c>
      <c r="W301" s="57" t="s">
        <v>3257</v>
      </c>
      <c r="X301" s="126" t="s">
        <v>2511</v>
      </c>
      <c r="Y301" s="126" t="s">
        <v>2511</v>
      </c>
      <c r="Z301" s="57"/>
      <c r="AA301" s="57" t="s">
        <v>3258</v>
      </c>
      <c r="AB301" s="57"/>
      <c r="AC301" s="138" t="s">
        <v>2631</v>
      </c>
      <c r="AD301" s="96"/>
      <c r="AE301" s="80"/>
      <c r="AF301" s="80"/>
      <c r="AG301" s="80"/>
      <c r="AH301" s="83"/>
      <c r="AI301" s="83"/>
      <c r="AJ301" s="84"/>
      <c r="AK301" s="84"/>
      <c r="AL301" s="84"/>
      <c r="AM301" s="84"/>
      <c r="AN301" s="84"/>
      <c r="AO301" s="84"/>
      <c r="AP301" s="84"/>
      <c r="AQ301" s="95" t="s">
        <v>306</v>
      </c>
      <c r="AR301" s="72"/>
      <c r="AS301" s="72"/>
      <c r="AT301" s="72"/>
      <c r="AU301" s="72"/>
      <c r="AV301" s="72"/>
      <c r="AW301" s="72"/>
      <c r="AX301" s="72"/>
      <c r="AY301" s="72"/>
      <c r="AZ301" s="72"/>
      <c r="BA301" s="72"/>
      <c r="BB301" s="16"/>
      <c r="BC301" s="72"/>
      <c r="BD301" s="318" t="s">
        <v>5652</v>
      </c>
      <c r="BE301" s="260" t="s">
        <v>306</v>
      </c>
    </row>
    <row r="302" spans="1:57" s="81" customFormat="1" ht="12.95" customHeight="1">
      <c r="A302" s="247" t="s">
        <v>5516</v>
      </c>
      <c r="B302" s="251">
        <v>76</v>
      </c>
      <c r="C302" s="267" t="s">
        <v>1065</v>
      </c>
      <c r="D302" s="239" t="s">
        <v>3376</v>
      </c>
      <c r="E302" s="58"/>
      <c r="F302" s="59" t="s">
        <v>2252</v>
      </c>
      <c r="G302" s="191" t="s">
        <v>2511</v>
      </c>
      <c r="H302" s="192" t="s">
        <v>1065</v>
      </c>
      <c r="I302" s="61" t="s">
        <v>2511</v>
      </c>
      <c r="J302" s="61" t="s">
        <v>2511</v>
      </c>
      <c r="K302" s="62" t="s">
        <v>2511</v>
      </c>
      <c r="L302" s="60" t="s">
        <v>2511</v>
      </c>
      <c r="M302" s="61" t="s">
        <v>2523</v>
      </c>
      <c r="N302" s="61" t="s">
        <v>2511</v>
      </c>
      <c r="O302" s="61" t="s">
        <v>2511</v>
      </c>
      <c r="P302" s="62" t="s">
        <v>2511</v>
      </c>
      <c r="Q302" s="82"/>
      <c r="R302" s="82"/>
      <c r="S302" s="82"/>
      <c r="T302" s="82"/>
      <c r="U302" s="82"/>
      <c r="V302" s="138" t="s">
        <v>3377</v>
      </c>
      <c r="W302" s="57" t="s">
        <v>3257</v>
      </c>
      <c r="X302" s="126" t="s">
        <v>2511</v>
      </c>
      <c r="Y302" s="126" t="s">
        <v>2511</v>
      </c>
      <c r="Z302" s="57"/>
      <c r="AA302" s="57" t="s">
        <v>3258</v>
      </c>
      <c r="AB302" s="57"/>
      <c r="AC302" s="138" t="s">
        <v>2631</v>
      </c>
      <c r="AD302" s="96"/>
      <c r="AE302" s="80"/>
      <c r="AF302" s="80"/>
      <c r="AG302" s="80"/>
      <c r="AH302" s="83"/>
      <c r="AI302" s="83"/>
      <c r="AJ302" s="84"/>
      <c r="AK302" s="84"/>
      <c r="AL302" s="84"/>
      <c r="AM302" s="84"/>
      <c r="AN302" s="84"/>
      <c r="AO302" s="84"/>
      <c r="AP302" s="84"/>
      <c r="AQ302" s="95" t="s">
        <v>1065</v>
      </c>
      <c r="AR302" s="72"/>
      <c r="AS302" s="72"/>
      <c r="AT302" s="72"/>
      <c r="AU302" s="72"/>
      <c r="AV302" s="72"/>
      <c r="AW302" s="72"/>
      <c r="AX302" s="72"/>
      <c r="AY302" s="72"/>
      <c r="AZ302" s="72"/>
      <c r="BA302" s="72"/>
      <c r="BB302" s="16"/>
      <c r="BC302" s="22"/>
      <c r="BD302" s="316" t="s">
        <v>1065</v>
      </c>
      <c r="BE302" s="260" t="s">
        <v>1065</v>
      </c>
    </row>
    <row r="303" spans="1:57" s="81" customFormat="1" ht="12.95" customHeight="1">
      <c r="A303" s="247" t="s">
        <v>5517</v>
      </c>
      <c r="B303" s="251">
        <v>78</v>
      </c>
      <c r="C303" s="267" t="s">
        <v>1066</v>
      </c>
      <c r="D303" s="239" t="s">
        <v>3378</v>
      </c>
      <c r="E303" s="58"/>
      <c r="F303" s="59" t="s">
        <v>2253</v>
      </c>
      <c r="G303" s="191" t="s">
        <v>2511</v>
      </c>
      <c r="H303" s="192" t="s">
        <v>1066</v>
      </c>
      <c r="I303" s="61" t="s">
        <v>2511</v>
      </c>
      <c r="J303" s="61" t="s">
        <v>2511</v>
      </c>
      <c r="K303" s="62" t="s">
        <v>2511</v>
      </c>
      <c r="L303" s="60" t="s">
        <v>2511</v>
      </c>
      <c r="M303" s="61" t="s">
        <v>2523</v>
      </c>
      <c r="N303" s="61" t="s">
        <v>2511</v>
      </c>
      <c r="O303" s="61" t="s">
        <v>2511</v>
      </c>
      <c r="P303" s="62" t="s">
        <v>2511</v>
      </c>
      <c r="Q303" s="82"/>
      <c r="R303" s="82"/>
      <c r="S303" s="82"/>
      <c r="T303" s="82"/>
      <c r="U303" s="82"/>
      <c r="V303" s="138" t="s">
        <v>3379</v>
      </c>
      <c r="W303" s="57" t="s">
        <v>3257</v>
      </c>
      <c r="X303" s="126" t="s">
        <v>2511</v>
      </c>
      <c r="Y303" s="126" t="s">
        <v>2511</v>
      </c>
      <c r="Z303" s="57"/>
      <c r="AA303" s="57" t="s">
        <v>3258</v>
      </c>
      <c r="AB303" s="57"/>
      <c r="AC303" s="138" t="s">
        <v>2631</v>
      </c>
      <c r="AD303" s="96"/>
      <c r="AE303" s="80"/>
      <c r="AF303" s="80"/>
      <c r="AG303" s="80"/>
      <c r="AH303" s="83"/>
      <c r="AI303" s="83"/>
      <c r="AJ303" s="84"/>
      <c r="AK303" s="84"/>
      <c r="AL303" s="84"/>
      <c r="AM303" s="84"/>
      <c r="AN303" s="84"/>
      <c r="AO303" s="84"/>
      <c r="AP303" s="84"/>
      <c r="AQ303" s="95" t="s">
        <v>1066</v>
      </c>
      <c r="AR303" s="72"/>
      <c r="AS303" s="72"/>
      <c r="AT303" s="72"/>
      <c r="AU303" s="72"/>
      <c r="AV303" s="72"/>
      <c r="AW303" s="72"/>
      <c r="AX303" s="72"/>
      <c r="AY303" s="72"/>
      <c r="AZ303" s="72"/>
      <c r="BA303" s="72"/>
      <c r="BB303" s="16"/>
      <c r="BC303" s="72"/>
      <c r="BD303" s="317" t="s">
        <v>1066</v>
      </c>
      <c r="BE303" s="260" t="s">
        <v>1066</v>
      </c>
    </row>
    <row r="304" spans="1:57" s="81" customFormat="1" ht="12.95" customHeight="1">
      <c r="A304" s="247" t="s">
        <v>5518</v>
      </c>
      <c r="B304" s="251">
        <v>70</v>
      </c>
      <c r="C304" s="267" t="s">
        <v>1067</v>
      </c>
      <c r="D304" s="239" t="s">
        <v>3380</v>
      </c>
      <c r="E304" s="58"/>
      <c r="F304" s="59" t="s">
        <v>2254</v>
      </c>
      <c r="G304" s="191" t="s">
        <v>2511</v>
      </c>
      <c r="H304" s="192" t="s">
        <v>1067</v>
      </c>
      <c r="I304" s="61" t="s">
        <v>2511</v>
      </c>
      <c r="J304" s="61" t="s">
        <v>2511</v>
      </c>
      <c r="K304" s="62" t="s">
        <v>2511</v>
      </c>
      <c r="L304" s="60" t="s">
        <v>2511</v>
      </c>
      <c r="M304" s="61" t="s">
        <v>2523</v>
      </c>
      <c r="N304" s="61" t="s">
        <v>2511</v>
      </c>
      <c r="O304" s="61" t="s">
        <v>2511</v>
      </c>
      <c r="P304" s="62" t="s">
        <v>2511</v>
      </c>
      <c r="Q304" s="82"/>
      <c r="R304" s="82"/>
      <c r="S304" s="82"/>
      <c r="T304" s="82"/>
      <c r="U304" s="82"/>
      <c r="V304" s="138" t="s">
        <v>3381</v>
      </c>
      <c r="W304" s="57" t="s">
        <v>3257</v>
      </c>
      <c r="X304" s="126" t="s">
        <v>2511</v>
      </c>
      <c r="Y304" s="126" t="s">
        <v>2511</v>
      </c>
      <c r="Z304" s="57"/>
      <c r="AA304" s="57" t="s">
        <v>3258</v>
      </c>
      <c r="AB304" s="57"/>
      <c r="AC304" s="138" t="s">
        <v>2631</v>
      </c>
      <c r="AD304" s="96"/>
      <c r="AE304" s="80"/>
      <c r="AF304" s="80"/>
      <c r="AG304" s="80"/>
      <c r="AH304" s="83"/>
      <c r="AI304" s="83"/>
      <c r="AJ304" s="84"/>
      <c r="AK304" s="84"/>
      <c r="AL304" s="84"/>
      <c r="AM304" s="84"/>
      <c r="AN304" s="84"/>
      <c r="AO304" s="84"/>
      <c r="AP304" s="84"/>
      <c r="AQ304" s="95" t="s">
        <v>1067</v>
      </c>
      <c r="AR304" s="72"/>
      <c r="AS304" s="72"/>
      <c r="AT304" s="72"/>
      <c r="AU304" s="72"/>
      <c r="AV304" s="72"/>
      <c r="AW304" s="72"/>
      <c r="AX304" s="72"/>
      <c r="AY304" s="72"/>
      <c r="AZ304" s="72"/>
      <c r="BA304" s="72"/>
      <c r="BB304" s="16"/>
      <c r="BC304" s="72"/>
      <c r="BD304" s="317" t="s">
        <v>1067</v>
      </c>
      <c r="BE304" s="260" t="s">
        <v>1067</v>
      </c>
    </row>
    <row r="305" spans="1:57" s="81" customFormat="1" ht="12.95" customHeight="1">
      <c r="A305" s="247" t="s">
        <v>5519</v>
      </c>
      <c r="B305" s="251">
        <v>72</v>
      </c>
      <c r="C305" s="267" t="s">
        <v>1068</v>
      </c>
      <c r="D305" s="239" t="s">
        <v>3382</v>
      </c>
      <c r="E305" s="58"/>
      <c r="F305" s="59" t="s">
        <v>2255</v>
      </c>
      <c r="G305" s="191" t="s">
        <v>2511</v>
      </c>
      <c r="H305" s="192" t="s">
        <v>1068</v>
      </c>
      <c r="I305" s="61" t="s">
        <v>2511</v>
      </c>
      <c r="J305" s="61" t="s">
        <v>2511</v>
      </c>
      <c r="K305" s="62" t="s">
        <v>2511</v>
      </c>
      <c r="L305" s="60" t="s">
        <v>2511</v>
      </c>
      <c r="M305" s="61" t="s">
        <v>2523</v>
      </c>
      <c r="N305" s="61" t="s">
        <v>2511</v>
      </c>
      <c r="O305" s="61" t="s">
        <v>2511</v>
      </c>
      <c r="P305" s="62" t="s">
        <v>2511</v>
      </c>
      <c r="Q305" s="82"/>
      <c r="R305" s="82"/>
      <c r="S305" s="82"/>
      <c r="T305" s="82"/>
      <c r="U305" s="82"/>
      <c r="V305" s="138" t="s">
        <v>3383</v>
      </c>
      <c r="W305" s="57" t="s">
        <v>3257</v>
      </c>
      <c r="X305" s="126" t="s">
        <v>2511</v>
      </c>
      <c r="Y305" s="126" t="s">
        <v>2511</v>
      </c>
      <c r="Z305" s="57"/>
      <c r="AA305" s="57" t="s">
        <v>3258</v>
      </c>
      <c r="AB305" s="57"/>
      <c r="AC305" s="138" t="s">
        <v>2631</v>
      </c>
      <c r="AD305" s="96"/>
      <c r="AE305" s="80"/>
      <c r="AF305" s="80"/>
      <c r="AG305" s="80"/>
      <c r="AH305" s="83"/>
      <c r="AI305" s="83"/>
      <c r="AJ305" s="84"/>
      <c r="AK305" s="84"/>
      <c r="AL305" s="84"/>
      <c r="AM305" s="84"/>
      <c r="AN305" s="84"/>
      <c r="AO305" s="84"/>
      <c r="AP305" s="84"/>
      <c r="AQ305" s="95" t="s">
        <v>1068</v>
      </c>
      <c r="AR305" s="72"/>
      <c r="AS305" s="72"/>
      <c r="AT305" s="72"/>
      <c r="AU305" s="72"/>
      <c r="AV305" s="72"/>
      <c r="AW305" s="72"/>
      <c r="AX305" s="72"/>
      <c r="AY305" s="72"/>
      <c r="AZ305" s="72"/>
      <c r="BA305" s="72"/>
      <c r="BB305" s="16"/>
      <c r="BC305" s="72"/>
      <c r="BD305" s="317" t="s">
        <v>1068</v>
      </c>
      <c r="BE305" s="260" t="s">
        <v>1068</v>
      </c>
    </row>
    <row r="306" spans="1:57" s="81" customFormat="1" ht="12.95" customHeight="1">
      <c r="A306" s="247" t="s">
        <v>5520</v>
      </c>
      <c r="B306" s="251">
        <v>82</v>
      </c>
      <c r="C306" s="267" t="s">
        <v>1069</v>
      </c>
      <c r="D306" s="239" t="s">
        <v>3384</v>
      </c>
      <c r="E306" s="58"/>
      <c r="F306" s="59" t="s">
        <v>2256</v>
      </c>
      <c r="G306" s="191" t="s">
        <v>2511</v>
      </c>
      <c r="H306" s="192" t="s">
        <v>1069</v>
      </c>
      <c r="I306" s="61" t="s">
        <v>2511</v>
      </c>
      <c r="J306" s="61" t="s">
        <v>2511</v>
      </c>
      <c r="K306" s="62" t="s">
        <v>2511</v>
      </c>
      <c r="L306" s="60" t="s">
        <v>2511</v>
      </c>
      <c r="M306" s="61" t="s">
        <v>2523</v>
      </c>
      <c r="N306" s="61" t="s">
        <v>2511</v>
      </c>
      <c r="O306" s="61" t="s">
        <v>2511</v>
      </c>
      <c r="P306" s="62" t="s">
        <v>2511</v>
      </c>
      <c r="Q306" s="82"/>
      <c r="R306" s="82"/>
      <c r="S306" s="82"/>
      <c r="T306" s="82"/>
      <c r="U306" s="82"/>
      <c r="V306" s="138" t="s">
        <v>3385</v>
      </c>
      <c r="W306" s="57" t="s">
        <v>3257</v>
      </c>
      <c r="X306" s="126" t="s">
        <v>2511</v>
      </c>
      <c r="Y306" s="126" t="s">
        <v>2511</v>
      </c>
      <c r="Z306" s="57"/>
      <c r="AA306" s="57" t="s">
        <v>3258</v>
      </c>
      <c r="AB306" s="57"/>
      <c r="AC306" s="138" t="s">
        <v>2631</v>
      </c>
      <c r="AD306" s="96"/>
      <c r="AE306" s="80"/>
      <c r="AF306" s="80"/>
      <c r="AG306" s="80"/>
      <c r="AH306" s="83"/>
      <c r="AI306" s="83"/>
      <c r="AJ306" s="84"/>
      <c r="AK306" s="84"/>
      <c r="AL306" s="84"/>
      <c r="AM306" s="84"/>
      <c r="AN306" s="84"/>
      <c r="AO306" s="84"/>
      <c r="AP306" s="84"/>
      <c r="AQ306" s="95" t="s">
        <v>1069</v>
      </c>
      <c r="AR306" s="72"/>
      <c r="AS306" s="72"/>
      <c r="AT306" s="72"/>
      <c r="AU306" s="72"/>
      <c r="AV306" s="72"/>
      <c r="AW306" s="72"/>
      <c r="AX306" s="72"/>
      <c r="AY306" s="72"/>
      <c r="AZ306" s="72"/>
      <c r="BA306" s="72"/>
      <c r="BB306" s="16"/>
      <c r="BC306" s="72"/>
      <c r="BD306" s="317" t="s">
        <v>1069</v>
      </c>
      <c r="BE306" s="260" t="s">
        <v>1069</v>
      </c>
    </row>
    <row r="307" spans="1:57" s="81" customFormat="1" ht="12.95" customHeight="1">
      <c r="A307" s="247" t="s">
        <v>5521</v>
      </c>
      <c r="B307" s="251">
        <v>84</v>
      </c>
      <c r="C307" s="267" t="s">
        <v>1070</v>
      </c>
      <c r="D307" s="239" t="s">
        <v>3386</v>
      </c>
      <c r="E307" s="58"/>
      <c r="F307" s="59" t="s">
        <v>2257</v>
      </c>
      <c r="G307" s="191" t="s">
        <v>2511</v>
      </c>
      <c r="H307" s="192" t="s">
        <v>1070</v>
      </c>
      <c r="I307" s="61" t="s">
        <v>2511</v>
      </c>
      <c r="J307" s="61" t="s">
        <v>2511</v>
      </c>
      <c r="K307" s="62" t="s">
        <v>2511</v>
      </c>
      <c r="L307" s="60" t="s">
        <v>2511</v>
      </c>
      <c r="M307" s="61" t="s">
        <v>2523</v>
      </c>
      <c r="N307" s="61" t="s">
        <v>2511</v>
      </c>
      <c r="O307" s="61" t="s">
        <v>2511</v>
      </c>
      <c r="P307" s="62" t="s">
        <v>2511</v>
      </c>
      <c r="Q307" s="82"/>
      <c r="R307" s="82"/>
      <c r="S307" s="82"/>
      <c r="T307" s="82"/>
      <c r="U307" s="82"/>
      <c r="V307" s="138" t="s">
        <v>3387</v>
      </c>
      <c r="W307" s="57" t="s">
        <v>3257</v>
      </c>
      <c r="X307" s="126" t="s">
        <v>2511</v>
      </c>
      <c r="Y307" s="126" t="s">
        <v>2511</v>
      </c>
      <c r="Z307" s="57"/>
      <c r="AA307" s="57" t="s">
        <v>3258</v>
      </c>
      <c r="AB307" s="57"/>
      <c r="AC307" s="138" t="s">
        <v>2631</v>
      </c>
      <c r="AD307" s="96"/>
      <c r="AE307" s="80"/>
      <c r="AF307" s="80"/>
      <c r="AG307" s="80"/>
      <c r="AH307" s="83"/>
      <c r="AI307" s="83"/>
      <c r="AJ307" s="84"/>
      <c r="AK307" s="84"/>
      <c r="AL307" s="84"/>
      <c r="AM307" s="84"/>
      <c r="AN307" s="84"/>
      <c r="AO307" s="84"/>
      <c r="AP307" s="84"/>
      <c r="AQ307" s="95" t="s">
        <v>1070</v>
      </c>
      <c r="AR307" s="72"/>
      <c r="AS307" s="72"/>
      <c r="AT307" s="72"/>
      <c r="AU307" s="72"/>
      <c r="AV307" s="72"/>
      <c r="AW307" s="72"/>
      <c r="AX307" s="72"/>
      <c r="AY307" s="72"/>
      <c r="AZ307" s="72"/>
      <c r="BA307" s="72"/>
      <c r="BB307" s="16"/>
      <c r="BC307" s="72"/>
      <c r="BD307" s="318" t="s">
        <v>1070</v>
      </c>
      <c r="BE307" s="260" t="s">
        <v>1070</v>
      </c>
    </row>
    <row r="308" spans="1:57" s="81" customFormat="1" ht="12.95" hidden="1" customHeight="1">
      <c r="A308" s="248" t="e">
        <v>#N/A</v>
      </c>
      <c r="B308" s="252" t="e">
        <v>#N/A</v>
      </c>
      <c r="C308" s="269" t="s">
        <v>1071</v>
      </c>
      <c r="D308" s="239" t="s">
        <v>3388</v>
      </c>
      <c r="E308" s="58"/>
      <c r="F308" s="59" t="s">
        <v>2258</v>
      </c>
      <c r="G308" s="191" t="s">
        <v>2511</v>
      </c>
      <c r="H308" s="192" t="s">
        <v>1071</v>
      </c>
      <c r="I308" s="61" t="s">
        <v>2511</v>
      </c>
      <c r="J308" s="61" t="s">
        <v>2511</v>
      </c>
      <c r="K308" s="62" t="s">
        <v>2511</v>
      </c>
      <c r="L308" s="60" t="s">
        <v>2511</v>
      </c>
      <c r="M308" s="61" t="s">
        <v>2523</v>
      </c>
      <c r="N308" s="61" t="s">
        <v>2511</v>
      </c>
      <c r="O308" s="61" t="s">
        <v>2511</v>
      </c>
      <c r="P308" s="62" t="s">
        <v>2511</v>
      </c>
      <c r="Q308" s="82"/>
      <c r="R308" s="82"/>
      <c r="S308" s="82"/>
      <c r="T308" s="82"/>
      <c r="U308" s="82"/>
      <c r="V308" s="138" t="s">
        <v>3389</v>
      </c>
      <c r="W308" s="57" t="s">
        <v>3257</v>
      </c>
      <c r="X308" s="126" t="s">
        <v>2511</v>
      </c>
      <c r="Y308" s="126" t="s">
        <v>2511</v>
      </c>
      <c r="Z308" s="57"/>
      <c r="AA308" s="57" t="s">
        <v>3258</v>
      </c>
      <c r="AB308" s="57"/>
      <c r="AC308" s="138" t="s">
        <v>2631</v>
      </c>
      <c r="AD308" s="96"/>
      <c r="AE308" s="80"/>
      <c r="AF308" s="80"/>
      <c r="AG308" s="80"/>
      <c r="AH308" s="83"/>
      <c r="AI308" s="83"/>
      <c r="AJ308" s="84"/>
      <c r="AK308" s="84"/>
      <c r="AL308" s="84"/>
      <c r="AM308" s="84"/>
      <c r="AN308" s="84"/>
      <c r="AO308" s="84"/>
      <c r="AP308" s="84"/>
      <c r="AQ308" s="95" t="s">
        <v>1071</v>
      </c>
      <c r="AR308" s="72"/>
      <c r="AS308" s="72"/>
      <c r="AT308" s="72"/>
      <c r="AU308" s="72"/>
      <c r="AV308" s="72"/>
      <c r="AW308" s="72"/>
      <c r="AX308" s="72"/>
      <c r="AY308" s="72"/>
      <c r="AZ308" s="72"/>
      <c r="BA308" s="72"/>
      <c r="BB308" s="16"/>
      <c r="BC308" s="22"/>
      <c r="BD308" s="147" t="s">
        <v>83</v>
      </c>
      <c r="BE308" s="147" t="s">
        <v>83</v>
      </c>
    </row>
    <row r="309" spans="1:57" s="81" customFormat="1" ht="12.95" hidden="1" customHeight="1">
      <c r="A309" s="248" t="e">
        <v>#N/A</v>
      </c>
      <c r="B309" s="252" t="e">
        <v>#N/A</v>
      </c>
      <c r="C309" s="269" t="s">
        <v>1072</v>
      </c>
      <c r="D309" s="239" t="s">
        <v>3390</v>
      </c>
      <c r="E309" s="58"/>
      <c r="F309" s="59" t="s">
        <v>2259</v>
      </c>
      <c r="G309" s="191" t="s">
        <v>2511</v>
      </c>
      <c r="H309" s="192" t="s">
        <v>1072</v>
      </c>
      <c r="I309" s="61" t="s">
        <v>2511</v>
      </c>
      <c r="J309" s="61" t="s">
        <v>2511</v>
      </c>
      <c r="K309" s="62" t="s">
        <v>2511</v>
      </c>
      <c r="L309" s="60" t="s">
        <v>2511</v>
      </c>
      <c r="M309" s="61" t="s">
        <v>2523</v>
      </c>
      <c r="N309" s="61" t="s">
        <v>2511</v>
      </c>
      <c r="O309" s="61" t="s">
        <v>2511</v>
      </c>
      <c r="P309" s="62" t="s">
        <v>2511</v>
      </c>
      <c r="Q309" s="82"/>
      <c r="R309" s="82"/>
      <c r="S309" s="82"/>
      <c r="T309" s="82"/>
      <c r="U309" s="82"/>
      <c r="V309" s="138" t="s">
        <v>3391</v>
      </c>
      <c r="W309" s="57" t="s">
        <v>3257</v>
      </c>
      <c r="X309" s="126" t="s">
        <v>2511</v>
      </c>
      <c r="Y309" s="126" t="s">
        <v>2511</v>
      </c>
      <c r="Z309" s="57"/>
      <c r="AA309" s="57" t="s">
        <v>3258</v>
      </c>
      <c r="AB309" s="57"/>
      <c r="AC309" s="138" t="s">
        <v>2631</v>
      </c>
      <c r="AD309" s="96"/>
      <c r="AE309" s="80"/>
      <c r="AF309" s="80"/>
      <c r="AG309" s="80"/>
      <c r="AH309" s="83"/>
      <c r="AI309" s="83"/>
      <c r="AJ309" s="84"/>
      <c r="AK309" s="84"/>
      <c r="AL309" s="84"/>
      <c r="AM309" s="84"/>
      <c r="AN309" s="84"/>
      <c r="AO309" s="84"/>
      <c r="AP309" s="84"/>
      <c r="AQ309" s="95" t="s">
        <v>1072</v>
      </c>
      <c r="AR309" s="72"/>
      <c r="AS309" s="72"/>
      <c r="AT309" s="72"/>
      <c r="AU309" s="72"/>
      <c r="AV309" s="72"/>
      <c r="AW309" s="72"/>
      <c r="AX309" s="72"/>
      <c r="AY309" s="72"/>
      <c r="AZ309" s="72"/>
      <c r="BA309" s="72"/>
      <c r="BB309" s="16"/>
      <c r="BC309" s="72"/>
      <c r="BD309" s="147" t="s">
        <v>83</v>
      </c>
      <c r="BE309" s="147" t="s">
        <v>83</v>
      </c>
    </row>
    <row r="310" spans="1:57" s="81" customFormat="1" ht="12.95" hidden="1" customHeight="1">
      <c r="A310" s="248" t="e">
        <v>#N/A</v>
      </c>
      <c r="B310" s="252" t="e">
        <v>#N/A</v>
      </c>
      <c r="C310" s="269" t="s">
        <v>1073</v>
      </c>
      <c r="D310" s="239" t="s">
        <v>3393</v>
      </c>
      <c r="E310" s="58"/>
      <c r="F310" s="59" t="s">
        <v>2260</v>
      </c>
      <c r="G310" s="191" t="s">
        <v>2511</v>
      </c>
      <c r="H310" s="192" t="s">
        <v>1073</v>
      </c>
      <c r="I310" s="61" t="s">
        <v>2511</v>
      </c>
      <c r="J310" s="61" t="s">
        <v>2511</v>
      </c>
      <c r="K310" s="62" t="s">
        <v>2511</v>
      </c>
      <c r="L310" s="60" t="s">
        <v>2511</v>
      </c>
      <c r="M310" s="61" t="s">
        <v>2523</v>
      </c>
      <c r="N310" s="61" t="s">
        <v>2511</v>
      </c>
      <c r="O310" s="61" t="s">
        <v>2511</v>
      </c>
      <c r="P310" s="62" t="s">
        <v>2511</v>
      </c>
      <c r="Q310" s="82"/>
      <c r="R310" s="82"/>
      <c r="S310" s="82"/>
      <c r="T310" s="82"/>
      <c r="U310" s="82"/>
      <c r="V310" s="138" t="s">
        <v>3394</v>
      </c>
      <c r="W310" s="57" t="s">
        <v>3257</v>
      </c>
      <c r="X310" s="126" t="s">
        <v>2511</v>
      </c>
      <c r="Y310" s="126" t="s">
        <v>2511</v>
      </c>
      <c r="Z310" s="57"/>
      <c r="AA310" s="57" t="s">
        <v>3258</v>
      </c>
      <c r="AB310" s="57"/>
      <c r="AC310" s="138" t="s">
        <v>2631</v>
      </c>
      <c r="AD310" s="96"/>
      <c r="AE310" s="80"/>
      <c r="AF310" s="80"/>
      <c r="AG310" s="80"/>
      <c r="AH310" s="83"/>
      <c r="AI310" s="83"/>
      <c r="AJ310" s="84"/>
      <c r="AK310" s="84"/>
      <c r="AL310" s="84"/>
      <c r="AM310" s="84"/>
      <c r="AN310" s="84"/>
      <c r="AO310" s="84"/>
      <c r="AP310" s="84"/>
      <c r="AQ310" s="95" t="s">
        <v>1073</v>
      </c>
      <c r="AR310" s="72"/>
      <c r="AS310" s="72"/>
      <c r="AT310" s="72"/>
      <c r="AU310" s="72"/>
      <c r="AV310" s="72"/>
      <c r="AW310" s="72"/>
      <c r="AX310" s="72"/>
      <c r="AY310" s="72"/>
      <c r="AZ310" s="72"/>
      <c r="BA310" s="72"/>
      <c r="BB310" s="16"/>
      <c r="BC310" s="72"/>
      <c r="BD310" s="147" t="s">
        <v>83</v>
      </c>
      <c r="BE310" s="147" t="s">
        <v>83</v>
      </c>
    </row>
    <row r="311" spans="1:57" s="81" customFormat="1" ht="12.95" hidden="1" customHeight="1">
      <c r="A311" s="248" t="e">
        <v>#N/A</v>
      </c>
      <c r="B311" s="252" t="e">
        <v>#N/A</v>
      </c>
      <c r="C311" s="269" t="s">
        <v>1074</v>
      </c>
      <c r="D311" s="239" t="s">
        <v>3396</v>
      </c>
      <c r="E311" s="58"/>
      <c r="F311" s="59" t="s">
        <v>2261</v>
      </c>
      <c r="G311" s="191" t="s">
        <v>2511</v>
      </c>
      <c r="H311" s="192" t="s">
        <v>1074</v>
      </c>
      <c r="I311" s="61" t="s">
        <v>2511</v>
      </c>
      <c r="J311" s="61" t="s">
        <v>2511</v>
      </c>
      <c r="K311" s="62" t="s">
        <v>2511</v>
      </c>
      <c r="L311" s="60" t="s">
        <v>2511</v>
      </c>
      <c r="M311" s="61" t="s">
        <v>2523</v>
      </c>
      <c r="N311" s="61" t="s">
        <v>2511</v>
      </c>
      <c r="O311" s="61" t="s">
        <v>2511</v>
      </c>
      <c r="P311" s="62" t="s">
        <v>2511</v>
      </c>
      <c r="Q311" s="82"/>
      <c r="R311" s="82"/>
      <c r="S311" s="82"/>
      <c r="T311" s="82"/>
      <c r="U311" s="82"/>
      <c r="V311" s="138" t="s">
        <v>3397</v>
      </c>
      <c r="W311" s="57" t="s">
        <v>3257</v>
      </c>
      <c r="X311" s="126" t="s">
        <v>2511</v>
      </c>
      <c r="Y311" s="126" t="s">
        <v>2511</v>
      </c>
      <c r="Z311" s="57"/>
      <c r="AA311" s="57" t="s">
        <v>3258</v>
      </c>
      <c r="AB311" s="57"/>
      <c r="AC311" s="138" t="s">
        <v>2631</v>
      </c>
      <c r="AD311" s="96"/>
      <c r="AE311" s="80"/>
      <c r="AF311" s="80"/>
      <c r="AG311" s="80"/>
      <c r="AH311" s="83"/>
      <c r="AI311" s="83"/>
      <c r="AJ311" s="84"/>
      <c r="AK311" s="84"/>
      <c r="AL311" s="84"/>
      <c r="AM311" s="84"/>
      <c r="AN311" s="84"/>
      <c r="AO311" s="84"/>
      <c r="AP311" s="84"/>
      <c r="AQ311" s="95" t="s">
        <v>1074</v>
      </c>
      <c r="AR311" s="72"/>
      <c r="AS311" s="72"/>
      <c r="AT311" s="72"/>
      <c r="AU311" s="72"/>
      <c r="AV311" s="72"/>
      <c r="AW311" s="72"/>
      <c r="AX311" s="72"/>
      <c r="AY311" s="72"/>
      <c r="AZ311" s="72"/>
      <c r="BA311" s="72"/>
      <c r="BB311" s="16"/>
      <c r="BC311" s="72"/>
      <c r="BD311" s="147" t="s">
        <v>83</v>
      </c>
      <c r="BE311" s="147" t="s">
        <v>83</v>
      </c>
    </row>
    <row r="312" spans="1:57" s="81" customFormat="1" ht="12.95" hidden="1" customHeight="1">
      <c r="A312" s="248" t="e">
        <v>#N/A</v>
      </c>
      <c r="B312" s="252" t="e">
        <v>#N/A</v>
      </c>
      <c r="C312" s="269" t="s">
        <v>1075</v>
      </c>
      <c r="D312" s="239" t="s">
        <v>3398</v>
      </c>
      <c r="E312" s="58"/>
      <c r="F312" s="59" t="s">
        <v>2328</v>
      </c>
      <c r="G312" s="191" t="s">
        <v>2511</v>
      </c>
      <c r="H312" s="192" t="s">
        <v>1075</v>
      </c>
      <c r="I312" s="61" t="s">
        <v>2511</v>
      </c>
      <c r="J312" s="61" t="s">
        <v>2511</v>
      </c>
      <c r="K312" s="62" t="s">
        <v>2511</v>
      </c>
      <c r="L312" s="60" t="s">
        <v>2511</v>
      </c>
      <c r="M312" s="61" t="s">
        <v>2523</v>
      </c>
      <c r="N312" s="61" t="s">
        <v>2511</v>
      </c>
      <c r="O312" s="61" t="s">
        <v>2511</v>
      </c>
      <c r="P312" s="62" t="s">
        <v>2511</v>
      </c>
      <c r="Q312" s="82"/>
      <c r="R312" s="82"/>
      <c r="S312" s="82"/>
      <c r="T312" s="82"/>
      <c r="U312" s="82"/>
      <c r="V312" s="138" t="s">
        <v>3399</v>
      </c>
      <c r="W312" s="57" t="s">
        <v>3257</v>
      </c>
      <c r="X312" s="126" t="s">
        <v>2511</v>
      </c>
      <c r="Y312" s="126" t="s">
        <v>2511</v>
      </c>
      <c r="Z312" s="57"/>
      <c r="AA312" s="57" t="s">
        <v>3258</v>
      </c>
      <c r="AB312" s="57"/>
      <c r="AC312" s="138" t="s">
        <v>2631</v>
      </c>
      <c r="AD312" s="96"/>
      <c r="AE312" s="80"/>
      <c r="AF312" s="80"/>
      <c r="AG312" s="80"/>
      <c r="AH312" s="83"/>
      <c r="AI312" s="83"/>
      <c r="AJ312" s="84"/>
      <c r="AK312" s="84"/>
      <c r="AL312" s="84"/>
      <c r="AM312" s="84"/>
      <c r="AN312" s="84"/>
      <c r="AO312" s="84"/>
      <c r="AP312" s="84"/>
      <c r="AQ312" s="95" t="s">
        <v>1075</v>
      </c>
      <c r="AR312" s="72"/>
      <c r="AS312" s="72"/>
      <c r="AT312" s="72"/>
      <c r="AU312" s="72"/>
      <c r="AV312" s="72"/>
      <c r="AW312" s="72"/>
      <c r="AX312" s="72"/>
      <c r="AY312" s="72"/>
      <c r="AZ312" s="72"/>
      <c r="BA312" s="72"/>
      <c r="BB312" s="16"/>
      <c r="BC312" s="72"/>
      <c r="BD312" s="147" t="s">
        <v>83</v>
      </c>
      <c r="BE312" s="147" t="s">
        <v>83</v>
      </c>
    </row>
    <row r="313" spans="1:57" s="81" customFormat="1" ht="12.95" hidden="1" customHeight="1">
      <c r="A313" s="248" t="e">
        <v>#N/A</v>
      </c>
      <c r="B313" s="252" t="e">
        <v>#N/A</v>
      </c>
      <c r="C313" s="269" t="s">
        <v>1076</v>
      </c>
      <c r="D313" s="239" t="s">
        <v>3401</v>
      </c>
      <c r="E313" s="58"/>
      <c r="F313" s="59" t="s">
        <v>2329</v>
      </c>
      <c r="G313" s="191" t="s">
        <v>2511</v>
      </c>
      <c r="H313" s="192" t="s">
        <v>1076</v>
      </c>
      <c r="I313" s="61" t="s">
        <v>2511</v>
      </c>
      <c r="J313" s="61" t="s">
        <v>2511</v>
      </c>
      <c r="K313" s="62" t="s">
        <v>2511</v>
      </c>
      <c r="L313" s="60" t="s">
        <v>2511</v>
      </c>
      <c r="M313" s="61" t="s">
        <v>2523</v>
      </c>
      <c r="N313" s="61" t="s">
        <v>2511</v>
      </c>
      <c r="O313" s="61" t="s">
        <v>2511</v>
      </c>
      <c r="P313" s="62" t="s">
        <v>2511</v>
      </c>
      <c r="Q313" s="82"/>
      <c r="R313" s="82"/>
      <c r="S313" s="82"/>
      <c r="T313" s="82"/>
      <c r="U313" s="82"/>
      <c r="V313" s="138" t="s">
        <v>3402</v>
      </c>
      <c r="W313" s="57" t="s">
        <v>3257</v>
      </c>
      <c r="X313" s="126" t="s">
        <v>2511</v>
      </c>
      <c r="Y313" s="126" t="s">
        <v>2511</v>
      </c>
      <c r="Z313" s="57"/>
      <c r="AA313" s="57" t="s">
        <v>3258</v>
      </c>
      <c r="AB313" s="57"/>
      <c r="AC313" s="138" t="s">
        <v>2631</v>
      </c>
      <c r="AD313" s="96"/>
      <c r="AE313" s="80"/>
      <c r="AF313" s="80"/>
      <c r="AG313" s="80"/>
      <c r="AH313" s="83"/>
      <c r="AI313" s="83"/>
      <c r="AJ313" s="84"/>
      <c r="AK313" s="84"/>
      <c r="AL313" s="84"/>
      <c r="AM313" s="84"/>
      <c r="AN313" s="84"/>
      <c r="AO313" s="84"/>
      <c r="AP313" s="84"/>
      <c r="AQ313" s="95" t="s">
        <v>1076</v>
      </c>
      <c r="AR313" s="72"/>
      <c r="AS313" s="72"/>
      <c r="AT313" s="72"/>
      <c r="AU313" s="72"/>
      <c r="AV313" s="72"/>
      <c r="AW313" s="72"/>
      <c r="AX313" s="72"/>
      <c r="AY313" s="72"/>
      <c r="AZ313" s="72"/>
      <c r="BA313" s="72"/>
      <c r="BB313" s="16"/>
      <c r="BC313" s="72"/>
      <c r="BD313" s="147" t="s">
        <v>83</v>
      </c>
      <c r="BE313" s="147" t="s">
        <v>83</v>
      </c>
    </row>
    <row r="314" spans="1:57" s="91" customFormat="1" ht="18" customHeight="1">
      <c r="A314" s="367"/>
      <c r="B314" s="368"/>
      <c r="C314" s="268" t="s">
        <v>748</v>
      </c>
      <c r="D314" s="268"/>
      <c r="E314" s="86"/>
      <c r="F314" s="86"/>
      <c r="G314" s="87"/>
      <c r="H314" s="87"/>
      <c r="I314" s="87"/>
      <c r="J314" s="87"/>
      <c r="K314" s="87"/>
      <c r="L314" s="86"/>
      <c r="M314" s="86"/>
      <c r="N314" s="86"/>
      <c r="O314" s="86"/>
      <c r="P314" s="86"/>
      <c r="Q314" s="86"/>
      <c r="R314" s="86"/>
      <c r="S314" s="86"/>
      <c r="T314" s="86"/>
      <c r="U314" s="86"/>
      <c r="V314" s="86"/>
      <c r="W314" s="86"/>
      <c r="X314" s="129"/>
      <c r="Y314" s="129"/>
      <c r="Z314" s="88"/>
      <c r="AA314" s="88"/>
      <c r="AB314" s="88"/>
      <c r="AC314" s="88"/>
      <c r="AD314" s="88"/>
      <c r="AE314" s="88"/>
      <c r="AF314" s="88"/>
      <c r="AG314" s="88"/>
      <c r="AH314" s="88"/>
      <c r="AI314" s="88"/>
      <c r="AJ314" s="88"/>
      <c r="AK314" s="88"/>
      <c r="AL314" s="88"/>
      <c r="AM314" s="88"/>
      <c r="AN314" s="88"/>
      <c r="AO314" s="88"/>
      <c r="AP314" s="88"/>
      <c r="AQ314" s="89"/>
      <c r="AR314" s="100"/>
      <c r="AS314" s="101"/>
      <c r="AT314" s="101"/>
      <c r="AU314" s="101"/>
      <c r="AV314" s="101"/>
      <c r="AW314" s="101"/>
      <c r="AX314" s="101"/>
      <c r="AY314" s="101"/>
      <c r="AZ314" s="101"/>
      <c r="BA314" s="101"/>
      <c r="BB314" s="101"/>
      <c r="BC314" s="175" t="s">
        <v>956</v>
      </c>
      <c r="BD314" s="101"/>
      <c r="BE314" s="100" t="s">
        <v>748</v>
      </c>
    </row>
    <row r="315" spans="1:57" s="81" customFormat="1" ht="12.95" customHeight="1">
      <c r="A315" s="247" t="s">
        <v>5431</v>
      </c>
      <c r="B315" s="251">
        <v>41</v>
      </c>
      <c r="C315" s="267" t="s">
        <v>749</v>
      </c>
      <c r="D315" s="239" t="s">
        <v>3361</v>
      </c>
      <c r="E315" s="58"/>
      <c r="F315" s="59" t="s">
        <v>809</v>
      </c>
      <c r="G315" s="191" t="s">
        <v>2511</v>
      </c>
      <c r="H315" s="192" t="s">
        <v>749</v>
      </c>
      <c r="I315" s="61" t="s">
        <v>2511</v>
      </c>
      <c r="J315" s="61" t="s">
        <v>2511</v>
      </c>
      <c r="K315" s="62" t="s">
        <v>2511</v>
      </c>
      <c r="L315" s="60" t="s">
        <v>2511</v>
      </c>
      <c r="M315" s="61" t="s">
        <v>2388</v>
      </c>
      <c r="N315" s="61" t="s">
        <v>2511</v>
      </c>
      <c r="O315" s="61" t="s">
        <v>2511</v>
      </c>
      <c r="P315" s="62" t="s">
        <v>2511</v>
      </c>
      <c r="Q315" s="82"/>
      <c r="R315" s="82"/>
      <c r="S315" s="82"/>
      <c r="T315" s="82"/>
      <c r="U315" s="82"/>
      <c r="V315" s="138" t="s">
        <v>3403</v>
      </c>
      <c r="W315" s="57" t="s">
        <v>3404</v>
      </c>
      <c r="X315" s="126" t="s">
        <v>2511</v>
      </c>
      <c r="Y315" s="126" t="s">
        <v>2511</v>
      </c>
      <c r="Z315" s="57"/>
      <c r="AA315" s="57" t="s">
        <v>3405</v>
      </c>
      <c r="AB315" s="137"/>
      <c r="AC315" s="137" t="s">
        <v>2631</v>
      </c>
      <c r="AD315" s="92"/>
      <c r="AE315" s="93"/>
      <c r="AF315" s="93"/>
      <c r="AG315" s="93"/>
      <c r="AH315" s="94"/>
      <c r="AI315" s="83"/>
      <c r="AJ315" s="84"/>
      <c r="AK315" s="84"/>
      <c r="AL315" s="84"/>
      <c r="AM315" s="84"/>
      <c r="AN315" s="84"/>
      <c r="AO315" s="84"/>
      <c r="AP315" s="84"/>
      <c r="AQ315" s="95" t="s">
        <v>749</v>
      </c>
      <c r="AR315" s="72"/>
      <c r="AS315" s="72"/>
      <c r="AT315" s="72"/>
      <c r="AU315" s="72"/>
      <c r="AV315" s="72"/>
      <c r="AW315" s="72"/>
      <c r="AX315" s="72"/>
      <c r="AY315" s="72"/>
      <c r="AZ315" s="72"/>
      <c r="BA315" s="72"/>
      <c r="BB315" s="16"/>
      <c r="BC315" s="22"/>
      <c r="BD315" s="317" t="s">
        <v>5653</v>
      </c>
      <c r="BE315" s="336" t="s">
        <v>5669</v>
      </c>
    </row>
    <row r="316" spans="1:57" s="81" customFormat="1" ht="12.95" customHeight="1">
      <c r="A316" s="247" t="s">
        <v>5430</v>
      </c>
      <c r="B316" s="251">
        <v>39</v>
      </c>
      <c r="C316" s="267" t="s">
        <v>750</v>
      </c>
      <c r="D316" s="239" t="s">
        <v>3406</v>
      </c>
      <c r="E316" s="58"/>
      <c r="F316" s="59" t="s">
        <v>810</v>
      </c>
      <c r="G316" s="191" t="s">
        <v>2511</v>
      </c>
      <c r="H316" s="192" t="s">
        <v>750</v>
      </c>
      <c r="I316" s="61" t="s">
        <v>2511</v>
      </c>
      <c r="J316" s="61" t="s">
        <v>2511</v>
      </c>
      <c r="K316" s="62" t="s">
        <v>2511</v>
      </c>
      <c r="L316" s="60" t="s">
        <v>2511</v>
      </c>
      <c r="M316" s="61" t="s">
        <v>2388</v>
      </c>
      <c r="N316" s="61" t="s">
        <v>2511</v>
      </c>
      <c r="O316" s="61" t="s">
        <v>2511</v>
      </c>
      <c r="P316" s="62" t="s">
        <v>2511</v>
      </c>
      <c r="Q316" s="82"/>
      <c r="R316" s="82"/>
      <c r="S316" s="82"/>
      <c r="T316" s="82"/>
      <c r="U316" s="82"/>
      <c r="V316" s="138" t="s">
        <v>3407</v>
      </c>
      <c r="W316" s="57" t="s">
        <v>3404</v>
      </c>
      <c r="X316" s="126" t="s">
        <v>2511</v>
      </c>
      <c r="Y316" s="126" t="s">
        <v>2511</v>
      </c>
      <c r="Z316" s="57"/>
      <c r="AA316" s="57" t="s">
        <v>3405</v>
      </c>
      <c r="AB316" s="138"/>
      <c r="AC316" s="138" t="s">
        <v>2631</v>
      </c>
      <c r="AD316" s="96"/>
      <c r="AE316" s="80"/>
      <c r="AF316" s="80"/>
      <c r="AG316" s="80"/>
      <c r="AH316" s="83"/>
      <c r="AI316" s="83"/>
      <c r="AJ316" s="84"/>
      <c r="AK316" s="84"/>
      <c r="AL316" s="84"/>
      <c r="AM316" s="84"/>
      <c r="AN316" s="84"/>
      <c r="AO316" s="84"/>
      <c r="AP316" s="84"/>
      <c r="AQ316" s="95" t="s">
        <v>750</v>
      </c>
      <c r="AR316" s="72"/>
      <c r="AS316" s="72"/>
      <c r="AT316" s="72"/>
      <c r="AU316" s="72"/>
      <c r="AV316" s="72"/>
      <c r="AW316" s="72"/>
      <c r="AX316" s="72"/>
      <c r="AY316" s="72"/>
      <c r="AZ316" s="72"/>
      <c r="BA316" s="72"/>
      <c r="BB316" s="16"/>
      <c r="BC316" s="72"/>
      <c r="BD316" s="317" t="s">
        <v>5654</v>
      </c>
      <c r="BE316" s="337"/>
    </row>
    <row r="317" spans="1:57" s="81" customFormat="1" ht="12.95" customHeight="1">
      <c r="A317" s="247" t="s">
        <v>5433</v>
      </c>
      <c r="B317" s="251">
        <v>47</v>
      </c>
      <c r="C317" s="267" t="s">
        <v>751</v>
      </c>
      <c r="D317" s="239" t="s">
        <v>3364</v>
      </c>
      <c r="E317" s="58"/>
      <c r="F317" s="59" t="s">
        <v>811</v>
      </c>
      <c r="G317" s="191" t="s">
        <v>2511</v>
      </c>
      <c r="H317" s="192" t="s">
        <v>751</v>
      </c>
      <c r="I317" s="61" t="s">
        <v>2511</v>
      </c>
      <c r="J317" s="61" t="s">
        <v>2511</v>
      </c>
      <c r="K317" s="62" t="s">
        <v>2511</v>
      </c>
      <c r="L317" s="60" t="s">
        <v>2511</v>
      </c>
      <c r="M317" s="61" t="s">
        <v>2388</v>
      </c>
      <c r="N317" s="61" t="s">
        <v>2511</v>
      </c>
      <c r="O317" s="61" t="s">
        <v>2511</v>
      </c>
      <c r="P317" s="62" t="s">
        <v>2511</v>
      </c>
      <c r="Q317" s="82"/>
      <c r="R317" s="82"/>
      <c r="S317" s="82"/>
      <c r="T317" s="82"/>
      <c r="U317" s="82"/>
      <c r="V317" s="138" t="s">
        <v>3408</v>
      </c>
      <c r="W317" s="57" t="s">
        <v>3404</v>
      </c>
      <c r="X317" s="126" t="s">
        <v>2511</v>
      </c>
      <c r="Y317" s="126" t="s">
        <v>2511</v>
      </c>
      <c r="Z317" s="57"/>
      <c r="AA317" s="57" t="s">
        <v>3405</v>
      </c>
      <c r="AB317" s="138"/>
      <c r="AC317" s="138" t="s">
        <v>2631</v>
      </c>
      <c r="AD317" s="96"/>
      <c r="AE317" s="80"/>
      <c r="AF317" s="80"/>
      <c r="AG317" s="80"/>
      <c r="AH317" s="83"/>
      <c r="AI317" s="83"/>
      <c r="AJ317" s="84"/>
      <c r="AK317" s="84"/>
      <c r="AL317" s="84"/>
      <c r="AM317" s="84"/>
      <c r="AN317" s="84"/>
      <c r="AO317" s="84"/>
      <c r="AP317" s="84"/>
      <c r="AQ317" s="95" t="s">
        <v>751</v>
      </c>
      <c r="AR317" s="72"/>
      <c r="AS317" s="72"/>
      <c r="AT317" s="72"/>
      <c r="AU317" s="72"/>
      <c r="AV317" s="72"/>
      <c r="AW317" s="72"/>
      <c r="AX317" s="72"/>
      <c r="AY317" s="72"/>
      <c r="AZ317" s="72"/>
      <c r="BA317" s="72"/>
      <c r="BB317" s="16"/>
      <c r="BC317" s="72"/>
      <c r="BD317" s="317" t="s">
        <v>5655</v>
      </c>
      <c r="BE317" s="337"/>
    </row>
    <row r="318" spans="1:57" s="81" customFormat="1" ht="12.95" customHeight="1">
      <c r="A318" s="247" t="s">
        <v>5432</v>
      </c>
      <c r="B318" s="251">
        <v>45</v>
      </c>
      <c r="C318" s="267" t="s">
        <v>752</v>
      </c>
      <c r="D318" s="239" t="s">
        <v>3409</v>
      </c>
      <c r="E318" s="58"/>
      <c r="F318" s="59" t="s">
        <v>812</v>
      </c>
      <c r="G318" s="191" t="s">
        <v>2511</v>
      </c>
      <c r="H318" s="192" t="s">
        <v>752</v>
      </c>
      <c r="I318" s="61" t="s">
        <v>2511</v>
      </c>
      <c r="J318" s="61" t="s">
        <v>2511</v>
      </c>
      <c r="K318" s="62" t="s">
        <v>2511</v>
      </c>
      <c r="L318" s="60" t="s">
        <v>2511</v>
      </c>
      <c r="M318" s="61" t="s">
        <v>2388</v>
      </c>
      <c r="N318" s="61" t="s">
        <v>2511</v>
      </c>
      <c r="O318" s="61" t="s">
        <v>2511</v>
      </c>
      <c r="P318" s="62" t="s">
        <v>2511</v>
      </c>
      <c r="Q318" s="82"/>
      <c r="R318" s="82"/>
      <c r="S318" s="82"/>
      <c r="T318" s="82"/>
      <c r="U318" s="82"/>
      <c r="V318" s="138" t="s">
        <v>3410</v>
      </c>
      <c r="W318" s="57" t="s">
        <v>3404</v>
      </c>
      <c r="X318" s="126" t="s">
        <v>2511</v>
      </c>
      <c r="Y318" s="126" t="s">
        <v>2511</v>
      </c>
      <c r="Z318" s="57"/>
      <c r="AA318" s="57" t="s">
        <v>3405</v>
      </c>
      <c r="AB318" s="138"/>
      <c r="AC318" s="138" t="s">
        <v>2631</v>
      </c>
      <c r="AD318" s="96"/>
      <c r="AE318" s="80"/>
      <c r="AF318" s="80"/>
      <c r="AG318" s="80"/>
      <c r="AH318" s="83"/>
      <c r="AI318" s="83"/>
      <c r="AJ318" s="84"/>
      <c r="AK318" s="84"/>
      <c r="AL318" s="84"/>
      <c r="AM318" s="84"/>
      <c r="AN318" s="84"/>
      <c r="AO318" s="84"/>
      <c r="AP318" s="84"/>
      <c r="AQ318" s="95" t="s">
        <v>752</v>
      </c>
      <c r="AR318" s="72"/>
      <c r="AS318" s="72"/>
      <c r="AT318" s="72"/>
      <c r="AU318" s="72"/>
      <c r="AV318" s="72"/>
      <c r="AW318" s="72"/>
      <c r="AX318" s="72"/>
      <c r="AY318" s="72"/>
      <c r="AZ318" s="72"/>
      <c r="BA318" s="72"/>
      <c r="BB318" s="16"/>
      <c r="BC318" s="72"/>
      <c r="BD318" s="317" t="s">
        <v>5656</v>
      </c>
      <c r="BE318" s="337"/>
    </row>
    <row r="319" spans="1:57" s="81" customFormat="1" ht="12.95" customHeight="1">
      <c r="A319" s="247" t="s">
        <v>5435</v>
      </c>
      <c r="B319" s="251">
        <v>53</v>
      </c>
      <c r="C319" s="267" t="s">
        <v>753</v>
      </c>
      <c r="D319" s="239" t="s">
        <v>3316</v>
      </c>
      <c r="E319" s="58"/>
      <c r="F319" s="59" t="s">
        <v>813</v>
      </c>
      <c r="G319" s="191" t="s">
        <v>2511</v>
      </c>
      <c r="H319" s="192" t="s">
        <v>753</v>
      </c>
      <c r="I319" s="61" t="s">
        <v>2511</v>
      </c>
      <c r="J319" s="61" t="s">
        <v>2511</v>
      </c>
      <c r="K319" s="62" t="s">
        <v>2511</v>
      </c>
      <c r="L319" s="60" t="s">
        <v>2511</v>
      </c>
      <c r="M319" s="61" t="s">
        <v>2388</v>
      </c>
      <c r="N319" s="61" t="s">
        <v>2511</v>
      </c>
      <c r="O319" s="61" t="s">
        <v>2511</v>
      </c>
      <c r="P319" s="62" t="s">
        <v>2511</v>
      </c>
      <c r="Q319" s="82"/>
      <c r="R319" s="82"/>
      <c r="S319" s="82"/>
      <c r="T319" s="82"/>
      <c r="U319" s="82"/>
      <c r="V319" s="138" t="s">
        <v>3411</v>
      </c>
      <c r="W319" s="57" t="s">
        <v>3404</v>
      </c>
      <c r="X319" s="126" t="s">
        <v>2511</v>
      </c>
      <c r="Y319" s="126" t="s">
        <v>2511</v>
      </c>
      <c r="Z319" s="57"/>
      <c r="AA319" s="57" t="s">
        <v>3405</v>
      </c>
      <c r="AB319" s="138"/>
      <c r="AC319" s="138" t="s">
        <v>2631</v>
      </c>
      <c r="AD319" s="96"/>
      <c r="AE319" s="80"/>
      <c r="AF319" s="80"/>
      <c r="AG319" s="80"/>
      <c r="AH319" s="83"/>
      <c r="AI319" s="83"/>
      <c r="AJ319" s="84"/>
      <c r="AK319" s="84"/>
      <c r="AL319" s="84"/>
      <c r="AM319" s="84"/>
      <c r="AN319" s="84"/>
      <c r="AO319" s="84"/>
      <c r="AP319" s="84"/>
      <c r="AQ319" s="95" t="s">
        <v>753</v>
      </c>
      <c r="AR319" s="72"/>
      <c r="AS319" s="72"/>
      <c r="AT319" s="72"/>
      <c r="AU319" s="72"/>
      <c r="AV319" s="72"/>
      <c r="AW319" s="72"/>
      <c r="AX319" s="72"/>
      <c r="AY319" s="72"/>
      <c r="AZ319" s="72"/>
      <c r="BA319" s="72"/>
      <c r="BB319" s="16"/>
      <c r="BC319" s="72"/>
      <c r="BD319" s="317" t="s">
        <v>5657</v>
      </c>
      <c r="BE319" s="337"/>
    </row>
    <row r="320" spans="1:57" s="81" customFormat="1" ht="12.95" customHeight="1">
      <c r="A320" s="247" t="s">
        <v>5434</v>
      </c>
      <c r="B320" s="251">
        <v>51</v>
      </c>
      <c r="C320" s="267" t="s">
        <v>754</v>
      </c>
      <c r="D320" s="239" t="s">
        <v>3367</v>
      </c>
      <c r="E320" s="58"/>
      <c r="F320" s="59" t="s">
        <v>814</v>
      </c>
      <c r="G320" s="191" t="s">
        <v>2511</v>
      </c>
      <c r="H320" s="192" t="s">
        <v>754</v>
      </c>
      <c r="I320" s="61" t="s">
        <v>2511</v>
      </c>
      <c r="J320" s="61" t="s">
        <v>2511</v>
      </c>
      <c r="K320" s="62" t="s">
        <v>2511</v>
      </c>
      <c r="L320" s="60" t="s">
        <v>2511</v>
      </c>
      <c r="M320" s="61" t="s">
        <v>2388</v>
      </c>
      <c r="N320" s="61" t="s">
        <v>2511</v>
      </c>
      <c r="O320" s="61" t="s">
        <v>2511</v>
      </c>
      <c r="P320" s="62" t="s">
        <v>2511</v>
      </c>
      <c r="Q320" s="82"/>
      <c r="R320" s="82"/>
      <c r="S320" s="82"/>
      <c r="T320" s="82"/>
      <c r="U320" s="82"/>
      <c r="V320" s="138" t="s">
        <v>3412</v>
      </c>
      <c r="W320" s="57" t="s">
        <v>3404</v>
      </c>
      <c r="X320" s="126" t="s">
        <v>2511</v>
      </c>
      <c r="Y320" s="126" t="s">
        <v>2511</v>
      </c>
      <c r="Z320" s="57"/>
      <c r="AA320" s="57" t="s">
        <v>3405</v>
      </c>
      <c r="AB320" s="138"/>
      <c r="AC320" s="138" t="s">
        <v>2631</v>
      </c>
      <c r="AD320" s="96"/>
      <c r="AE320" s="80"/>
      <c r="AF320" s="80"/>
      <c r="AG320" s="80"/>
      <c r="AH320" s="83"/>
      <c r="AI320" s="83"/>
      <c r="AJ320" s="84"/>
      <c r="AK320" s="84"/>
      <c r="AL320" s="84"/>
      <c r="AM320" s="84"/>
      <c r="AN320" s="84"/>
      <c r="AO320" s="84"/>
      <c r="AP320" s="84"/>
      <c r="AQ320" s="95" t="s">
        <v>754</v>
      </c>
      <c r="AR320" s="72"/>
      <c r="AS320" s="72"/>
      <c r="AT320" s="72"/>
      <c r="AU320" s="72"/>
      <c r="AV320" s="72"/>
      <c r="AW320" s="72"/>
      <c r="AX320" s="72"/>
      <c r="AY320" s="72"/>
      <c r="AZ320" s="72"/>
      <c r="BA320" s="72"/>
      <c r="BB320" s="16"/>
      <c r="BC320" s="72"/>
      <c r="BD320" s="317" t="s">
        <v>5658</v>
      </c>
      <c r="BE320" s="337"/>
    </row>
    <row r="321" spans="1:57" s="81" customFormat="1" ht="12.95" customHeight="1">
      <c r="A321" s="247" t="s">
        <v>5437</v>
      </c>
      <c r="B321" s="251">
        <v>59</v>
      </c>
      <c r="C321" s="267" t="s">
        <v>755</v>
      </c>
      <c r="D321" s="239" t="s">
        <v>3309</v>
      </c>
      <c r="E321" s="58"/>
      <c r="F321" s="59" t="s">
        <v>815</v>
      </c>
      <c r="G321" s="191" t="s">
        <v>2511</v>
      </c>
      <c r="H321" s="192" t="s">
        <v>755</v>
      </c>
      <c r="I321" s="61" t="s">
        <v>2511</v>
      </c>
      <c r="J321" s="61" t="s">
        <v>2511</v>
      </c>
      <c r="K321" s="62" t="s">
        <v>2511</v>
      </c>
      <c r="L321" s="60" t="s">
        <v>2511</v>
      </c>
      <c r="M321" s="61" t="s">
        <v>2388</v>
      </c>
      <c r="N321" s="61" t="s">
        <v>2511</v>
      </c>
      <c r="O321" s="61" t="s">
        <v>2511</v>
      </c>
      <c r="P321" s="62" t="s">
        <v>2511</v>
      </c>
      <c r="Q321" s="82"/>
      <c r="R321" s="82"/>
      <c r="S321" s="82"/>
      <c r="T321" s="82"/>
      <c r="U321" s="82"/>
      <c r="V321" s="138" t="s">
        <v>3413</v>
      </c>
      <c r="W321" s="57" t="s">
        <v>3404</v>
      </c>
      <c r="X321" s="126" t="s">
        <v>2511</v>
      </c>
      <c r="Y321" s="126" t="s">
        <v>2511</v>
      </c>
      <c r="Z321" s="57"/>
      <c r="AA321" s="57" t="s">
        <v>3405</v>
      </c>
      <c r="AB321" s="138"/>
      <c r="AC321" s="138" t="s">
        <v>2631</v>
      </c>
      <c r="AD321" s="96"/>
      <c r="AE321" s="80"/>
      <c r="AF321" s="80"/>
      <c r="AG321" s="80"/>
      <c r="AH321" s="83"/>
      <c r="AI321" s="83"/>
      <c r="AJ321" s="84"/>
      <c r="AK321" s="84"/>
      <c r="AL321" s="84"/>
      <c r="AM321" s="84"/>
      <c r="AN321" s="84"/>
      <c r="AO321" s="84"/>
      <c r="AP321" s="84"/>
      <c r="AQ321" s="95" t="s">
        <v>755</v>
      </c>
      <c r="AR321" s="72"/>
      <c r="AS321" s="72"/>
      <c r="AT321" s="72"/>
      <c r="AU321" s="72"/>
      <c r="AV321" s="72"/>
      <c r="AW321" s="72"/>
      <c r="AX321" s="72"/>
      <c r="AY321" s="72"/>
      <c r="AZ321" s="72"/>
      <c r="BA321" s="72"/>
      <c r="BB321" s="16"/>
      <c r="BC321" s="72"/>
      <c r="BD321" s="317" t="s">
        <v>5659</v>
      </c>
      <c r="BE321" s="337"/>
    </row>
    <row r="322" spans="1:57" s="81" customFormat="1" ht="12.95" customHeight="1">
      <c r="A322" s="247" t="s">
        <v>5436</v>
      </c>
      <c r="B322" s="251">
        <v>57</v>
      </c>
      <c r="C322" s="267" t="s">
        <v>756</v>
      </c>
      <c r="D322" s="239" t="s">
        <v>3305</v>
      </c>
      <c r="E322" s="58"/>
      <c r="F322" s="59" t="s">
        <v>816</v>
      </c>
      <c r="G322" s="191" t="s">
        <v>2511</v>
      </c>
      <c r="H322" s="192" t="s">
        <v>756</v>
      </c>
      <c r="I322" s="61" t="s">
        <v>2511</v>
      </c>
      <c r="J322" s="61" t="s">
        <v>2511</v>
      </c>
      <c r="K322" s="62" t="s">
        <v>2511</v>
      </c>
      <c r="L322" s="60" t="s">
        <v>2511</v>
      </c>
      <c r="M322" s="61" t="s">
        <v>2388</v>
      </c>
      <c r="N322" s="61" t="s">
        <v>2511</v>
      </c>
      <c r="O322" s="61" t="s">
        <v>2511</v>
      </c>
      <c r="P322" s="62" t="s">
        <v>2511</v>
      </c>
      <c r="Q322" s="82"/>
      <c r="R322" s="82"/>
      <c r="S322" s="82"/>
      <c r="T322" s="82"/>
      <c r="U322" s="82"/>
      <c r="V322" s="138" t="s">
        <v>3414</v>
      </c>
      <c r="W322" s="57" t="s">
        <v>3404</v>
      </c>
      <c r="X322" s="126" t="s">
        <v>2511</v>
      </c>
      <c r="Y322" s="126" t="s">
        <v>2511</v>
      </c>
      <c r="Z322" s="57"/>
      <c r="AA322" s="57" t="s">
        <v>3405</v>
      </c>
      <c r="AB322" s="138"/>
      <c r="AC322" s="138" t="s">
        <v>2631</v>
      </c>
      <c r="AD322" s="96"/>
      <c r="AE322" s="80"/>
      <c r="AF322" s="80"/>
      <c r="AG322" s="80"/>
      <c r="AH322" s="83"/>
      <c r="AI322" s="83"/>
      <c r="AJ322" s="84"/>
      <c r="AK322" s="84"/>
      <c r="AL322" s="84"/>
      <c r="AM322" s="84"/>
      <c r="AN322" s="84"/>
      <c r="AO322" s="84"/>
      <c r="AP322" s="84"/>
      <c r="AQ322" s="95" t="s">
        <v>756</v>
      </c>
      <c r="AR322" s="72"/>
      <c r="AS322" s="72"/>
      <c r="AT322" s="72"/>
      <c r="AU322" s="72"/>
      <c r="AV322" s="72"/>
      <c r="AW322" s="72"/>
      <c r="AX322" s="72"/>
      <c r="AY322" s="72"/>
      <c r="AZ322" s="72"/>
      <c r="BA322" s="72"/>
      <c r="BB322" s="16"/>
      <c r="BC322" s="72"/>
      <c r="BD322" s="317" t="s">
        <v>5660</v>
      </c>
      <c r="BE322" s="338"/>
    </row>
    <row r="323" spans="1:57" s="91" customFormat="1" ht="18" customHeight="1">
      <c r="A323" s="367"/>
      <c r="B323" s="368"/>
      <c r="C323" s="268" t="s">
        <v>757</v>
      </c>
      <c r="D323" s="268"/>
      <c r="E323" s="86"/>
      <c r="F323" s="86"/>
      <c r="G323" s="87"/>
      <c r="H323" s="87"/>
      <c r="I323" s="87"/>
      <c r="J323" s="87"/>
      <c r="K323" s="87"/>
      <c r="L323" s="86"/>
      <c r="M323" s="86"/>
      <c r="N323" s="86"/>
      <c r="O323" s="86"/>
      <c r="P323" s="86"/>
      <c r="Q323" s="86"/>
      <c r="R323" s="86"/>
      <c r="S323" s="86"/>
      <c r="T323" s="86"/>
      <c r="U323" s="86"/>
      <c r="V323" s="86"/>
      <c r="W323" s="86"/>
      <c r="X323" s="129"/>
      <c r="Y323" s="129"/>
      <c r="Z323" s="88"/>
      <c r="AA323" s="88"/>
      <c r="AB323" s="88"/>
      <c r="AC323" s="88"/>
      <c r="AD323" s="88"/>
      <c r="AE323" s="88"/>
      <c r="AF323" s="88"/>
      <c r="AG323" s="88"/>
      <c r="AH323" s="88"/>
      <c r="AI323" s="88"/>
      <c r="AJ323" s="88"/>
      <c r="AK323" s="88"/>
      <c r="AL323" s="88"/>
      <c r="AM323" s="88"/>
      <c r="AN323" s="88"/>
      <c r="AO323" s="88"/>
      <c r="AP323" s="88"/>
      <c r="AQ323" s="89"/>
      <c r="AR323" s="100"/>
      <c r="AS323" s="101"/>
      <c r="AT323" s="101"/>
      <c r="AU323" s="101"/>
      <c r="AV323" s="101"/>
      <c r="AW323" s="101"/>
      <c r="AX323" s="101"/>
      <c r="AY323" s="101"/>
      <c r="AZ323" s="101"/>
      <c r="BA323" s="101"/>
      <c r="BB323" s="101"/>
      <c r="BC323" s="175" t="s">
        <v>956</v>
      </c>
      <c r="BD323" s="90"/>
      <c r="BE323" s="100" t="s">
        <v>757</v>
      </c>
    </row>
    <row r="324" spans="1:57" s="81" customFormat="1" ht="12.95" customHeight="1">
      <c r="A324" s="247" t="s">
        <v>5440</v>
      </c>
      <c r="B324" s="251">
        <v>65</v>
      </c>
      <c r="C324" s="267" t="s">
        <v>758</v>
      </c>
      <c r="D324" s="239" t="s">
        <v>3415</v>
      </c>
      <c r="E324" s="58"/>
      <c r="F324" s="59" t="s">
        <v>817</v>
      </c>
      <c r="G324" s="191" t="s">
        <v>2511</v>
      </c>
      <c r="H324" s="192" t="s">
        <v>758</v>
      </c>
      <c r="I324" s="61" t="s">
        <v>2511</v>
      </c>
      <c r="J324" s="61" t="s">
        <v>2511</v>
      </c>
      <c r="K324" s="62" t="s">
        <v>2511</v>
      </c>
      <c r="L324" s="60" t="s">
        <v>2511</v>
      </c>
      <c r="M324" s="61" t="s">
        <v>2388</v>
      </c>
      <c r="N324" s="61" t="s">
        <v>2511</v>
      </c>
      <c r="O324" s="61" t="s">
        <v>2511</v>
      </c>
      <c r="P324" s="62" t="s">
        <v>2511</v>
      </c>
      <c r="Q324" s="82"/>
      <c r="R324" s="82"/>
      <c r="S324" s="82"/>
      <c r="T324" s="82"/>
      <c r="U324" s="82"/>
      <c r="V324" s="138" t="s">
        <v>3416</v>
      </c>
      <c r="W324" s="57" t="s">
        <v>3417</v>
      </c>
      <c r="X324" s="126" t="s">
        <v>2511</v>
      </c>
      <c r="Y324" s="126" t="s">
        <v>2511</v>
      </c>
      <c r="Z324" s="57"/>
      <c r="AA324" s="57" t="s">
        <v>3405</v>
      </c>
      <c r="AB324" s="137"/>
      <c r="AC324" s="137" t="s">
        <v>2631</v>
      </c>
      <c r="AD324" s="92"/>
      <c r="AE324" s="93"/>
      <c r="AF324" s="93"/>
      <c r="AG324" s="93"/>
      <c r="AH324" s="94"/>
      <c r="AI324" s="83"/>
      <c r="AJ324" s="84"/>
      <c r="AK324" s="84"/>
      <c r="AL324" s="84"/>
      <c r="AM324" s="84"/>
      <c r="AN324" s="84"/>
      <c r="AO324" s="84"/>
      <c r="AP324" s="84"/>
      <c r="AQ324" s="95" t="s">
        <v>817</v>
      </c>
      <c r="AR324" s="72"/>
      <c r="AS324" s="72"/>
      <c r="AT324" s="72"/>
      <c r="AU324" s="72"/>
      <c r="AV324" s="72"/>
      <c r="AW324" s="72"/>
      <c r="AX324" s="72"/>
      <c r="AY324" s="72"/>
      <c r="AZ324" s="72"/>
      <c r="BA324" s="72"/>
      <c r="BB324" s="16"/>
      <c r="BC324" s="22"/>
      <c r="BD324" s="317" t="s">
        <v>5661</v>
      </c>
      <c r="BE324" s="336" t="s">
        <v>5670</v>
      </c>
    </row>
    <row r="325" spans="1:57" s="81" customFormat="1" ht="12.95" customHeight="1">
      <c r="A325" s="247" t="s">
        <v>5441</v>
      </c>
      <c r="B325" s="251">
        <v>63</v>
      </c>
      <c r="C325" s="267" t="s">
        <v>759</v>
      </c>
      <c r="D325" s="239" t="s">
        <v>3287</v>
      </c>
      <c r="E325" s="58"/>
      <c r="F325" s="59" t="s">
        <v>818</v>
      </c>
      <c r="G325" s="191" t="s">
        <v>2511</v>
      </c>
      <c r="H325" s="192" t="s">
        <v>759</v>
      </c>
      <c r="I325" s="61" t="s">
        <v>2511</v>
      </c>
      <c r="J325" s="61" t="s">
        <v>2511</v>
      </c>
      <c r="K325" s="62" t="s">
        <v>2511</v>
      </c>
      <c r="L325" s="60" t="s">
        <v>2511</v>
      </c>
      <c r="M325" s="61" t="s">
        <v>2388</v>
      </c>
      <c r="N325" s="61" t="s">
        <v>2511</v>
      </c>
      <c r="O325" s="61" t="s">
        <v>2511</v>
      </c>
      <c r="P325" s="62" t="s">
        <v>2511</v>
      </c>
      <c r="Q325" s="82"/>
      <c r="R325" s="82"/>
      <c r="S325" s="82"/>
      <c r="T325" s="82"/>
      <c r="U325" s="82"/>
      <c r="V325" s="138" t="s">
        <v>3418</v>
      </c>
      <c r="W325" s="57" t="s">
        <v>3417</v>
      </c>
      <c r="X325" s="126" t="s">
        <v>2511</v>
      </c>
      <c r="Y325" s="126" t="s">
        <v>2511</v>
      </c>
      <c r="Z325" s="57"/>
      <c r="AA325" s="57" t="s">
        <v>3405</v>
      </c>
      <c r="AB325" s="138"/>
      <c r="AC325" s="138" t="s">
        <v>2631</v>
      </c>
      <c r="AD325" s="96"/>
      <c r="AE325" s="80"/>
      <c r="AF325" s="80"/>
      <c r="AG325" s="80"/>
      <c r="AH325" s="83"/>
      <c r="AI325" s="83"/>
      <c r="AJ325" s="84"/>
      <c r="AK325" s="84"/>
      <c r="AL325" s="84"/>
      <c r="AM325" s="84"/>
      <c r="AN325" s="84"/>
      <c r="AO325" s="84"/>
      <c r="AP325" s="84"/>
      <c r="AQ325" s="95" t="s">
        <v>818</v>
      </c>
      <c r="AR325" s="72"/>
      <c r="AS325" s="72"/>
      <c r="AT325" s="72"/>
      <c r="AU325" s="72"/>
      <c r="AV325" s="72"/>
      <c r="AW325" s="72"/>
      <c r="AX325" s="72"/>
      <c r="AY325" s="72"/>
      <c r="AZ325" s="72"/>
      <c r="BA325" s="72"/>
      <c r="BB325" s="16"/>
      <c r="BC325" s="72"/>
      <c r="BD325" s="317" t="s">
        <v>5662</v>
      </c>
      <c r="BE325" s="337"/>
    </row>
    <row r="326" spans="1:57" s="81" customFormat="1" ht="12.95" customHeight="1">
      <c r="A326" s="247" t="s">
        <v>5442</v>
      </c>
      <c r="B326" s="251">
        <v>71</v>
      </c>
      <c r="C326" s="267" t="s">
        <v>760</v>
      </c>
      <c r="D326" s="239" t="s">
        <v>3419</v>
      </c>
      <c r="E326" s="58"/>
      <c r="F326" s="59" t="s">
        <v>819</v>
      </c>
      <c r="G326" s="191" t="s">
        <v>2511</v>
      </c>
      <c r="H326" s="192" t="s">
        <v>760</v>
      </c>
      <c r="I326" s="61" t="s">
        <v>2511</v>
      </c>
      <c r="J326" s="61" t="s">
        <v>2511</v>
      </c>
      <c r="K326" s="62" t="s">
        <v>2511</v>
      </c>
      <c r="L326" s="60" t="s">
        <v>2511</v>
      </c>
      <c r="M326" s="61" t="s">
        <v>2388</v>
      </c>
      <c r="N326" s="61" t="s">
        <v>2511</v>
      </c>
      <c r="O326" s="61" t="s">
        <v>2511</v>
      </c>
      <c r="P326" s="62" t="s">
        <v>2511</v>
      </c>
      <c r="Q326" s="82"/>
      <c r="R326" s="82"/>
      <c r="S326" s="82"/>
      <c r="T326" s="82"/>
      <c r="U326" s="82"/>
      <c r="V326" s="138" t="s">
        <v>3420</v>
      </c>
      <c r="W326" s="57" t="s">
        <v>3417</v>
      </c>
      <c r="X326" s="126" t="s">
        <v>2511</v>
      </c>
      <c r="Y326" s="126" t="s">
        <v>2511</v>
      </c>
      <c r="Z326" s="57"/>
      <c r="AA326" s="57" t="s">
        <v>3405</v>
      </c>
      <c r="AB326" s="138"/>
      <c r="AC326" s="138" t="s">
        <v>2631</v>
      </c>
      <c r="AD326" s="96"/>
      <c r="AE326" s="80"/>
      <c r="AF326" s="80"/>
      <c r="AG326" s="80"/>
      <c r="AH326" s="83"/>
      <c r="AI326" s="83"/>
      <c r="AJ326" s="84"/>
      <c r="AK326" s="84"/>
      <c r="AL326" s="84"/>
      <c r="AM326" s="84"/>
      <c r="AN326" s="84"/>
      <c r="AO326" s="84"/>
      <c r="AP326" s="84"/>
      <c r="AQ326" s="95" t="s">
        <v>819</v>
      </c>
      <c r="AR326" s="72"/>
      <c r="AS326" s="72"/>
      <c r="AT326" s="72"/>
      <c r="AU326" s="72"/>
      <c r="AV326" s="72"/>
      <c r="AW326" s="72"/>
      <c r="AX326" s="72"/>
      <c r="AY326" s="72"/>
      <c r="AZ326" s="72"/>
      <c r="BA326" s="72"/>
      <c r="BB326" s="16"/>
      <c r="BC326" s="72"/>
      <c r="BD326" s="317" t="s">
        <v>5663</v>
      </c>
      <c r="BE326" s="337"/>
    </row>
    <row r="327" spans="1:57" s="81" customFormat="1" ht="12.95" customHeight="1">
      <c r="A327" s="247" t="s">
        <v>5443</v>
      </c>
      <c r="B327" s="251">
        <v>69</v>
      </c>
      <c r="C327" s="267" t="s">
        <v>761</v>
      </c>
      <c r="D327" s="239" t="s">
        <v>3421</v>
      </c>
      <c r="E327" s="58"/>
      <c r="F327" s="59" t="s">
        <v>820</v>
      </c>
      <c r="G327" s="191" t="s">
        <v>2511</v>
      </c>
      <c r="H327" s="192" t="s">
        <v>761</v>
      </c>
      <c r="I327" s="61" t="s">
        <v>2511</v>
      </c>
      <c r="J327" s="61" t="s">
        <v>2511</v>
      </c>
      <c r="K327" s="62" t="s">
        <v>2511</v>
      </c>
      <c r="L327" s="60" t="s">
        <v>2511</v>
      </c>
      <c r="M327" s="61" t="s">
        <v>2388</v>
      </c>
      <c r="N327" s="61" t="s">
        <v>2511</v>
      </c>
      <c r="O327" s="61" t="s">
        <v>2511</v>
      </c>
      <c r="P327" s="62" t="s">
        <v>2511</v>
      </c>
      <c r="Q327" s="82"/>
      <c r="R327" s="82"/>
      <c r="S327" s="82"/>
      <c r="T327" s="82"/>
      <c r="U327" s="82"/>
      <c r="V327" s="138" t="s">
        <v>3422</v>
      </c>
      <c r="W327" s="57" t="s">
        <v>3417</v>
      </c>
      <c r="X327" s="126" t="s">
        <v>2511</v>
      </c>
      <c r="Y327" s="126" t="s">
        <v>2511</v>
      </c>
      <c r="Z327" s="57"/>
      <c r="AA327" s="57" t="s">
        <v>3405</v>
      </c>
      <c r="AB327" s="138"/>
      <c r="AC327" s="138" t="s">
        <v>2631</v>
      </c>
      <c r="AD327" s="96"/>
      <c r="AE327" s="80"/>
      <c r="AF327" s="80"/>
      <c r="AG327" s="80"/>
      <c r="AH327" s="83"/>
      <c r="AI327" s="83"/>
      <c r="AJ327" s="84"/>
      <c r="AK327" s="84"/>
      <c r="AL327" s="84"/>
      <c r="AM327" s="84"/>
      <c r="AN327" s="84"/>
      <c r="AO327" s="84"/>
      <c r="AP327" s="84"/>
      <c r="AQ327" s="95" t="s">
        <v>820</v>
      </c>
      <c r="AR327" s="72"/>
      <c r="AS327" s="72"/>
      <c r="AT327" s="72"/>
      <c r="AU327" s="72"/>
      <c r="AV327" s="72"/>
      <c r="AW327" s="72"/>
      <c r="AX327" s="72"/>
      <c r="AY327" s="72"/>
      <c r="AZ327" s="72"/>
      <c r="BA327" s="72"/>
      <c r="BB327" s="16"/>
      <c r="BC327" s="72"/>
      <c r="BD327" s="317" t="s">
        <v>5664</v>
      </c>
      <c r="BE327" s="337"/>
    </row>
    <row r="328" spans="1:57" s="81" customFormat="1" ht="12.95" customHeight="1">
      <c r="A328" s="247" t="s">
        <v>5444</v>
      </c>
      <c r="B328" s="251">
        <v>77</v>
      </c>
      <c r="C328" s="267" t="s">
        <v>762</v>
      </c>
      <c r="D328" s="239" t="s">
        <v>3295</v>
      </c>
      <c r="E328" s="58"/>
      <c r="F328" s="59" t="s">
        <v>821</v>
      </c>
      <c r="G328" s="191" t="s">
        <v>2511</v>
      </c>
      <c r="H328" s="192" t="s">
        <v>762</v>
      </c>
      <c r="I328" s="61" t="s">
        <v>2511</v>
      </c>
      <c r="J328" s="61" t="s">
        <v>2511</v>
      </c>
      <c r="K328" s="62" t="s">
        <v>2511</v>
      </c>
      <c r="L328" s="60" t="s">
        <v>2511</v>
      </c>
      <c r="M328" s="61" t="s">
        <v>2388</v>
      </c>
      <c r="N328" s="61" t="s">
        <v>2511</v>
      </c>
      <c r="O328" s="61" t="s">
        <v>2511</v>
      </c>
      <c r="P328" s="62" t="s">
        <v>2511</v>
      </c>
      <c r="Q328" s="82"/>
      <c r="R328" s="82"/>
      <c r="S328" s="82"/>
      <c r="T328" s="82"/>
      <c r="U328" s="82"/>
      <c r="V328" s="138" t="s">
        <v>3423</v>
      </c>
      <c r="W328" s="57" t="s">
        <v>3417</v>
      </c>
      <c r="X328" s="126" t="s">
        <v>2511</v>
      </c>
      <c r="Y328" s="126" t="s">
        <v>2511</v>
      </c>
      <c r="Z328" s="57"/>
      <c r="AA328" s="57" t="s">
        <v>3405</v>
      </c>
      <c r="AB328" s="138"/>
      <c r="AC328" s="138" t="s">
        <v>2631</v>
      </c>
      <c r="AD328" s="96"/>
      <c r="AE328" s="80"/>
      <c r="AF328" s="80"/>
      <c r="AG328" s="80"/>
      <c r="AH328" s="83"/>
      <c r="AI328" s="83"/>
      <c r="AJ328" s="84"/>
      <c r="AK328" s="84"/>
      <c r="AL328" s="84"/>
      <c r="AM328" s="84"/>
      <c r="AN328" s="84"/>
      <c r="AO328" s="84"/>
      <c r="AP328" s="84"/>
      <c r="AQ328" s="95" t="s">
        <v>821</v>
      </c>
      <c r="AR328" s="72"/>
      <c r="AS328" s="72"/>
      <c r="AT328" s="72"/>
      <c r="AU328" s="72"/>
      <c r="AV328" s="72"/>
      <c r="AW328" s="72"/>
      <c r="AX328" s="72"/>
      <c r="AY328" s="72"/>
      <c r="AZ328" s="72"/>
      <c r="BA328" s="72"/>
      <c r="BB328" s="16"/>
      <c r="BC328" s="72"/>
      <c r="BD328" s="317" t="s">
        <v>5665</v>
      </c>
      <c r="BE328" s="337"/>
    </row>
    <row r="329" spans="1:57" s="81" customFormat="1" ht="12.95" customHeight="1">
      <c r="A329" s="247" t="s">
        <v>5445</v>
      </c>
      <c r="B329" s="251">
        <v>75</v>
      </c>
      <c r="C329" s="267" t="s">
        <v>763</v>
      </c>
      <c r="D329" s="239" t="s">
        <v>3424</v>
      </c>
      <c r="E329" s="58"/>
      <c r="F329" s="59" t="s">
        <v>822</v>
      </c>
      <c r="G329" s="191" t="s">
        <v>2511</v>
      </c>
      <c r="H329" s="192" t="s">
        <v>763</v>
      </c>
      <c r="I329" s="61" t="s">
        <v>2511</v>
      </c>
      <c r="J329" s="61" t="s">
        <v>2511</v>
      </c>
      <c r="K329" s="62" t="s">
        <v>2511</v>
      </c>
      <c r="L329" s="60" t="s">
        <v>2511</v>
      </c>
      <c r="M329" s="61" t="s">
        <v>2388</v>
      </c>
      <c r="N329" s="61" t="s">
        <v>2511</v>
      </c>
      <c r="O329" s="61" t="s">
        <v>2511</v>
      </c>
      <c r="P329" s="62" t="s">
        <v>2511</v>
      </c>
      <c r="Q329" s="82"/>
      <c r="R329" s="82"/>
      <c r="S329" s="82"/>
      <c r="T329" s="82"/>
      <c r="U329" s="82"/>
      <c r="V329" s="138" t="s">
        <v>3425</v>
      </c>
      <c r="W329" s="57" t="s">
        <v>3417</v>
      </c>
      <c r="X329" s="126" t="s">
        <v>2511</v>
      </c>
      <c r="Y329" s="126" t="s">
        <v>2511</v>
      </c>
      <c r="Z329" s="57"/>
      <c r="AA329" s="57" t="s">
        <v>3405</v>
      </c>
      <c r="AB329" s="138"/>
      <c r="AC329" s="138" t="s">
        <v>2631</v>
      </c>
      <c r="AD329" s="96"/>
      <c r="AE329" s="80"/>
      <c r="AF329" s="80"/>
      <c r="AG329" s="80"/>
      <c r="AH329" s="83"/>
      <c r="AI329" s="83"/>
      <c r="AJ329" s="84"/>
      <c r="AK329" s="84"/>
      <c r="AL329" s="84"/>
      <c r="AM329" s="84"/>
      <c r="AN329" s="84"/>
      <c r="AO329" s="84"/>
      <c r="AP329" s="84"/>
      <c r="AQ329" s="95" t="s">
        <v>822</v>
      </c>
      <c r="AR329" s="72"/>
      <c r="AS329" s="72"/>
      <c r="AT329" s="72"/>
      <c r="AU329" s="72"/>
      <c r="AV329" s="72"/>
      <c r="AW329" s="72"/>
      <c r="AX329" s="72"/>
      <c r="AY329" s="72"/>
      <c r="AZ329" s="72"/>
      <c r="BA329" s="72"/>
      <c r="BB329" s="16"/>
      <c r="BC329" s="72"/>
      <c r="BD329" s="317" t="s">
        <v>5666</v>
      </c>
      <c r="BE329" s="337"/>
    </row>
    <row r="330" spans="1:57" s="81" customFormat="1" ht="12.95" customHeight="1">
      <c r="A330" s="247" t="s">
        <v>5446</v>
      </c>
      <c r="B330" s="251">
        <v>83</v>
      </c>
      <c r="C330" s="267" t="s">
        <v>764</v>
      </c>
      <c r="D330" s="239" t="s">
        <v>3275</v>
      </c>
      <c r="E330" s="58"/>
      <c r="F330" s="59" t="s">
        <v>823</v>
      </c>
      <c r="G330" s="191" t="s">
        <v>2511</v>
      </c>
      <c r="H330" s="192" t="s">
        <v>764</v>
      </c>
      <c r="I330" s="61" t="s">
        <v>2511</v>
      </c>
      <c r="J330" s="61" t="s">
        <v>2511</v>
      </c>
      <c r="K330" s="62" t="s">
        <v>2511</v>
      </c>
      <c r="L330" s="60" t="s">
        <v>2511</v>
      </c>
      <c r="M330" s="61" t="s">
        <v>2388</v>
      </c>
      <c r="N330" s="61" t="s">
        <v>2511</v>
      </c>
      <c r="O330" s="61" t="s">
        <v>2511</v>
      </c>
      <c r="P330" s="62" t="s">
        <v>2511</v>
      </c>
      <c r="Q330" s="82"/>
      <c r="R330" s="82"/>
      <c r="S330" s="82"/>
      <c r="T330" s="82"/>
      <c r="U330" s="82"/>
      <c r="V330" s="138" t="s">
        <v>3426</v>
      </c>
      <c r="W330" s="57" t="s">
        <v>3417</v>
      </c>
      <c r="X330" s="126" t="s">
        <v>2511</v>
      </c>
      <c r="Y330" s="126" t="s">
        <v>2511</v>
      </c>
      <c r="Z330" s="57"/>
      <c r="AA330" s="57" t="s">
        <v>3405</v>
      </c>
      <c r="AB330" s="138"/>
      <c r="AC330" s="138" t="s">
        <v>2631</v>
      </c>
      <c r="AD330" s="96"/>
      <c r="AE330" s="80"/>
      <c r="AF330" s="80"/>
      <c r="AG330" s="80"/>
      <c r="AH330" s="83"/>
      <c r="AI330" s="83"/>
      <c r="AJ330" s="84"/>
      <c r="AK330" s="84"/>
      <c r="AL330" s="84"/>
      <c r="AM330" s="84"/>
      <c r="AN330" s="84"/>
      <c r="AO330" s="84"/>
      <c r="AP330" s="84"/>
      <c r="AQ330" s="95" t="s">
        <v>823</v>
      </c>
      <c r="AR330" s="72"/>
      <c r="AS330" s="72"/>
      <c r="AT330" s="72"/>
      <c r="AU330" s="72"/>
      <c r="AV330" s="72"/>
      <c r="AW330" s="72"/>
      <c r="AX330" s="72"/>
      <c r="AY330" s="72"/>
      <c r="AZ330" s="72"/>
      <c r="BA330" s="72"/>
      <c r="BB330" s="16"/>
      <c r="BC330" s="72"/>
      <c r="BD330" s="317" t="s">
        <v>5667</v>
      </c>
      <c r="BE330" s="337"/>
    </row>
    <row r="331" spans="1:57" s="81" customFormat="1" ht="12.95" customHeight="1">
      <c r="A331" s="247" t="s">
        <v>5447</v>
      </c>
      <c r="B331" s="251">
        <v>81</v>
      </c>
      <c r="C331" s="267" t="s">
        <v>765</v>
      </c>
      <c r="D331" s="239" t="s">
        <v>3291</v>
      </c>
      <c r="E331" s="58"/>
      <c r="F331" s="59" t="s">
        <v>824</v>
      </c>
      <c r="G331" s="191" t="s">
        <v>2511</v>
      </c>
      <c r="H331" s="192" t="s">
        <v>765</v>
      </c>
      <c r="I331" s="61" t="s">
        <v>2511</v>
      </c>
      <c r="J331" s="61" t="s">
        <v>2511</v>
      </c>
      <c r="K331" s="62" t="s">
        <v>2511</v>
      </c>
      <c r="L331" s="60" t="s">
        <v>2511</v>
      </c>
      <c r="M331" s="61" t="s">
        <v>2388</v>
      </c>
      <c r="N331" s="61" t="s">
        <v>2511</v>
      </c>
      <c r="O331" s="61" t="s">
        <v>2511</v>
      </c>
      <c r="P331" s="62" t="s">
        <v>2511</v>
      </c>
      <c r="Q331" s="82"/>
      <c r="R331" s="82"/>
      <c r="S331" s="82"/>
      <c r="T331" s="82"/>
      <c r="U331" s="82"/>
      <c r="V331" s="138" t="s">
        <v>3427</v>
      </c>
      <c r="W331" s="57" t="s">
        <v>3417</v>
      </c>
      <c r="X331" s="126" t="s">
        <v>2511</v>
      </c>
      <c r="Y331" s="126" t="s">
        <v>2511</v>
      </c>
      <c r="Z331" s="57"/>
      <c r="AA331" s="57" t="s">
        <v>3405</v>
      </c>
      <c r="AB331" s="138"/>
      <c r="AC331" s="138" t="s">
        <v>2631</v>
      </c>
      <c r="AD331" s="96"/>
      <c r="AE331" s="80"/>
      <c r="AF331" s="80"/>
      <c r="AG331" s="80"/>
      <c r="AH331" s="83"/>
      <c r="AI331" s="83"/>
      <c r="AJ331" s="84"/>
      <c r="AK331" s="84"/>
      <c r="AL331" s="84"/>
      <c r="AM331" s="84"/>
      <c r="AN331" s="84"/>
      <c r="AO331" s="84"/>
      <c r="AP331" s="84"/>
      <c r="AQ331" s="102" t="s">
        <v>824</v>
      </c>
      <c r="AR331" s="72"/>
      <c r="AS331" s="72"/>
      <c r="AT331" s="72"/>
      <c r="AU331" s="72"/>
      <c r="AV331" s="72"/>
      <c r="AW331" s="72"/>
      <c r="AX331" s="72"/>
      <c r="AY331" s="72"/>
      <c r="AZ331" s="72"/>
      <c r="BA331" s="72"/>
      <c r="BB331" s="16"/>
      <c r="BC331" s="72"/>
      <c r="BD331" s="317" t="s">
        <v>5668</v>
      </c>
      <c r="BE331" s="338"/>
    </row>
    <row r="332" spans="1:57" s="91" customFormat="1" ht="18" hidden="1" customHeight="1">
      <c r="A332" s="367"/>
      <c r="B332" s="368"/>
      <c r="C332" s="268" t="s">
        <v>1077</v>
      </c>
      <c r="D332" s="268"/>
      <c r="E332" s="86"/>
      <c r="F332" s="86"/>
      <c r="G332" s="87"/>
      <c r="H332" s="87"/>
      <c r="I332" s="87"/>
      <c r="J332" s="87"/>
      <c r="K332" s="87"/>
      <c r="L332" s="86"/>
      <c r="M332" s="86"/>
      <c r="N332" s="86"/>
      <c r="O332" s="86"/>
      <c r="P332" s="86"/>
      <c r="Q332" s="86"/>
      <c r="R332" s="86"/>
      <c r="S332" s="86"/>
      <c r="T332" s="86"/>
      <c r="U332" s="86"/>
      <c r="V332" s="86"/>
      <c r="W332" s="86"/>
      <c r="X332" s="129"/>
      <c r="Y332" s="129"/>
      <c r="Z332" s="88"/>
      <c r="AA332" s="88"/>
      <c r="AB332" s="88"/>
      <c r="AC332" s="88"/>
      <c r="AD332" s="88"/>
      <c r="AE332" s="88"/>
      <c r="AF332" s="88"/>
      <c r="AG332" s="88"/>
      <c r="AH332" s="88"/>
      <c r="AI332" s="88"/>
      <c r="AJ332" s="88"/>
      <c r="AK332" s="88"/>
      <c r="AL332" s="88"/>
      <c r="AM332" s="88"/>
      <c r="AN332" s="88"/>
      <c r="AO332" s="88"/>
      <c r="AP332" s="88"/>
      <c r="AQ332" s="89"/>
      <c r="AR332" s="100"/>
      <c r="AS332" s="101"/>
      <c r="AT332" s="101"/>
      <c r="AU332" s="101"/>
      <c r="AV332" s="101"/>
      <c r="AW332" s="101"/>
      <c r="AX332" s="101"/>
      <c r="AY332" s="101"/>
      <c r="AZ332" s="101"/>
      <c r="BA332" s="101"/>
      <c r="BB332" s="101"/>
      <c r="BC332" s="175" t="s">
        <v>5636</v>
      </c>
      <c r="BD332" s="101"/>
      <c r="BE332" s="100" t="s">
        <v>1077</v>
      </c>
    </row>
    <row r="333" spans="1:57" s="81" customFormat="1" ht="12.95" hidden="1" customHeight="1">
      <c r="A333" s="248" t="e">
        <v>#N/A</v>
      </c>
      <c r="B333" s="252" t="e">
        <v>#N/A</v>
      </c>
      <c r="C333" s="269" t="s">
        <v>1079</v>
      </c>
      <c r="D333" s="239" t="s">
        <v>3320</v>
      </c>
      <c r="E333" s="58"/>
      <c r="F333" s="59" t="s">
        <v>2330</v>
      </c>
      <c r="G333" s="191" t="s">
        <v>2511</v>
      </c>
      <c r="H333" s="192" t="s">
        <v>1079</v>
      </c>
      <c r="I333" s="61" t="s">
        <v>2511</v>
      </c>
      <c r="J333" s="61" t="s">
        <v>2511</v>
      </c>
      <c r="K333" s="62" t="s">
        <v>2511</v>
      </c>
      <c r="L333" s="60" t="s">
        <v>2511</v>
      </c>
      <c r="M333" s="61" t="s">
        <v>2388</v>
      </c>
      <c r="N333" s="61" t="s">
        <v>2511</v>
      </c>
      <c r="O333" s="61" t="s">
        <v>2511</v>
      </c>
      <c r="P333" s="62" t="s">
        <v>2511</v>
      </c>
      <c r="Q333" s="82"/>
      <c r="R333" s="82"/>
      <c r="S333" s="82"/>
      <c r="T333" s="82"/>
      <c r="U333" s="82"/>
      <c r="V333" s="138" t="s">
        <v>3428</v>
      </c>
      <c r="W333" s="57" t="s">
        <v>3429</v>
      </c>
      <c r="X333" s="126" t="s">
        <v>2511</v>
      </c>
      <c r="Y333" s="126" t="s">
        <v>2511</v>
      </c>
      <c r="Z333" s="57"/>
      <c r="AA333" s="57" t="s">
        <v>3405</v>
      </c>
      <c r="AB333" s="137"/>
      <c r="AC333" s="137" t="s">
        <v>2631</v>
      </c>
      <c r="AD333" s="92"/>
      <c r="AE333" s="93"/>
      <c r="AF333" s="93"/>
      <c r="AG333" s="93"/>
      <c r="AH333" s="94"/>
      <c r="AI333" s="83"/>
      <c r="AJ333" s="84"/>
      <c r="AK333" s="84"/>
      <c r="AL333" s="84"/>
      <c r="AM333" s="84"/>
      <c r="AN333" s="84"/>
      <c r="AO333" s="84"/>
      <c r="AP333" s="84"/>
      <c r="AQ333" s="95" t="s">
        <v>2330</v>
      </c>
      <c r="AR333" s="72"/>
      <c r="AS333" s="72"/>
      <c r="AT333" s="72"/>
      <c r="AU333" s="72"/>
      <c r="AV333" s="72"/>
      <c r="AW333" s="72"/>
      <c r="AX333" s="72"/>
      <c r="AY333" s="72"/>
      <c r="AZ333" s="72"/>
      <c r="BA333" s="72"/>
      <c r="BB333" s="16"/>
      <c r="BC333" s="22"/>
      <c r="BD333" s="147" t="s">
        <v>83</v>
      </c>
      <c r="BE333" s="147" t="s">
        <v>83</v>
      </c>
    </row>
    <row r="334" spans="1:57" s="81" customFormat="1" ht="12.95" hidden="1" customHeight="1">
      <c r="A334" s="248" t="e">
        <v>#N/A</v>
      </c>
      <c r="B334" s="252" t="e">
        <v>#N/A</v>
      </c>
      <c r="C334" s="269" t="s">
        <v>1080</v>
      </c>
      <c r="D334" s="239" t="s">
        <v>3333</v>
      </c>
      <c r="E334" s="58"/>
      <c r="F334" s="59" t="s">
        <v>2331</v>
      </c>
      <c r="G334" s="191" t="s">
        <v>2511</v>
      </c>
      <c r="H334" s="192" t="s">
        <v>1080</v>
      </c>
      <c r="I334" s="61" t="s">
        <v>2511</v>
      </c>
      <c r="J334" s="61" t="s">
        <v>2511</v>
      </c>
      <c r="K334" s="62" t="s">
        <v>2511</v>
      </c>
      <c r="L334" s="60" t="s">
        <v>2511</v>
      </c>
      <c r="M334" s="61" t="s">
        <v>2388</v>
      </c>
      <c r="N334" s="61" t="s">
        <v>2511</v>
      </c>
      <c r="O334" s="61" t="s">
        <v>2511</v>
      </c>
      <c r="P334" s="62" t="s">
        <v>2511</v>
      </c>
      <c r="Q334" s="82"/>
      <c r="R334" s="82"/>
      <c r="S334" s="82"/>
      <c r="T334" s="82"/>
      <c r="U334" s="82"/>
      <c r="V334" s="138" t="s">
        <v>3430</v>
      </c>
      <c r="W334" s="57" t="s">
        <v>3429</v>
      </c>
      <c r="X334" s="126" t="s">
        <v>2511</v>
      </c>
      <c r="Y334" s="126" t="s">
        <v>2511</v>
      </c>
      <c r="Z334" s="57"/>
      <c r="AA334" s="57" t="s">
        <v>3405</v>
      </c>
      <c r="AB334" s="138"/>
      <c r="AC334" s="138" t="s">
        <v>2631</v>
      </c>
      <c r="AD334" s="96"/>
      <c r="AE334" s="80"/>
      <c r="AF334" s="80"/>
      <c r="AG334" s="80"/>
      <c r="AH334" s="83"/>
      <c r="AI334" s="83"/>
      <c r="AJ334" s="84"/>
      <c r="AK334" s="84"/>
      <c r="AL334" s="84"/>
      <c r="AM334" s="84"/>
      <c r="AN334" s="84"/>
      <c r="AO334" s="84"/>
      <c r="AP334" s="84"/>
      <c r="AQ334" s="95" t="s">
        <v>2331</v>
      </c>
      <c r="AR334" s="72"/>
      <c r="AS334" s="72"/>
      <c r="AT334" s="72"/>
      <c r="AU334" s="72"/>
      <c r="AV334" s="72"/>
      <c r="AW334" s="72"/>
      <c r="AX334" s="72"/>
      <c r="AY334" s="72"/>
      <c r="AZ334" s="72"/>
      <c r="BA334" s="72"/>
      <c r="BB334" s="16"/>
      <c r="BC334" s="72"/>
      <c r="BD334" s="147" t="s">
        <v>83</v>
      </c>
      <c r="BE334" s="147" t="s">
        <v>83</v>
      </c>
    </row>
    <row r="335" spans="1:57" s="81" customFormat="1" ht="12.95" hidden="1" customHeight="1">
      <c r="A335" s="248" t="e">
        <v>#N/A</v>
      </c>
      <c r="B335" s="252" t="e">
        <v>#N/A</v>
      </c>
      <c r="C335" s="269" t="s">
        <v>1081</v>
      </c>
      <c r="D335" s="239" t="s">
        <v>3431</v>
      </c>
      <c r="E335" s="58"/>
      <c r="F335" s="59" t="s">
        <v>2332</v>
      </c>
      <c r="G335" s="191" t="s">
        <v>2511</v>
      </c>
      <c r="H335" s="192" t="s">
        <v>1081</v>
      </c>
      <c r="I335" s="61" t="s">
        <v>2511</v>
      </c>
      <c r="J335" s="61" t="s">
        <v>2511</v>
      </c>
      <c r="K335" s="62" t="s">
        <v>2511</v>
      </c>
      <c r="L335" s="60" t="s">
        <v>2511</v>
      </c>
      <c r="M335" s="61" t="s">
        <v>2388</v>
      </c>
      <c r="N335" s="61" t="s">
        <v>2511</v>
      </c>
      <c r="O335" s="61" t="s">
        <v>2511</v>
      </c>
      <c r="P335" s="62" t="s">
        <v>2511</v>
      </c>
      <c r="Q335" s="82"/>
      <c r="R335" s="82"/>
      <c r="S335" s="82"/>
      <c r="T335" s="82"/>
      <c r="U335" s="82"/>
      <c r="V335" s="138" t="s">
        <v>3432</v>
      </c>
      <c r="W335" s="57" t="s">
        <v>3429</v>
      </c>
      <c r="X335" s="126" t="s">
        <v>2511</v>
      </c>
      <c r="Y335" s="126" t="s">
        <v>2511</v>
      </c>
      <c r="Z335" s="57"/>
      <c r="AA335" s="57" t="s">
        <v>3405</v>
      </c>
      <c r="AB335" s="138"/>
      <c r="AC335" s="138" t="s">
        <v>2631</v>
      </c>
      <c r="AD335" s="96"/>
      <c r="AE335" s="80"/>
      <c r="AF335" s="80"/>
      <c r="AG335" s="80"/>
      <c r="AH335" s="83"/>
      <c r="AI335" s="83"/>
      <c r="AJ335" s="84"/>
      <c r="AK335" s="84"/>
      <c r="AL335" s="84"/>
      <c r="AM335" s="84"/>
      <c r="AN335" s="84"/>
      <c r="AO335" s="84"/>
      <c r="AP335" s="84"/>
      <c r="AQ335" s="95" t="s">
        <v>2332</v>
      </c>
      <c r="AR335" s="72"/>
      <c r="AS335" s="72"/>
      <c r="AT335" s="72"/>
      <c r="AU335" s="72"/>
      <c r="AV335" s="72"/>
      <c r="AW335" s="72"/>
      <c r="AX335" s="72"/>
      <c r="AY335" s="72"/>
      <c r="AZ335" s="72"/>
      <c r="BA335" s="72"/>
      <c r="BB335" s="16"/>
      <c r="BC335" s="72"/>
      <c r="BD335" s="147" t="s">
        <v>83</v>
      </c>
      <c r="BE335" s="147" t="s">
        <v>83</v>
      </c>
    </row>
    <row r="336" spans="1:57" s="81" customFormat="1" ht="12.95" hidden="1" customHeight="1">
      <c r="A336" s="248" t="e">
        <v>#N/A</v>
      </c>
      <c r="B336" s="252" t="e">
        <v>#N/A</v>
      </c>
      <c r="C336" s="269" t="s">
        <v>1082</v>
      </c>
      <c r="D336" s="239" t="s">
        <v>3337</v>
      </c>
      <c r="E336" s="58"/>
      <c r="F336" s="59" t="s">
        <v>2262</v>
      </c>
      <c r="G336" s="191" t="s">
        <v>2511</v>
      </c>
      <c r="H336" s="192" t="s">
        <v>1082</v>
      </c>
      <c r="I336" s="61" t="s">
        <v>2511</v>
      </c>
      <c r="J336" s="61" t="s">
        <v>2511</v>
      </c>
      <c r="K336" s="62" t="s">
        <v>2511</v>
      </c>
      <c r="L336" s="60" t="s">
        <v>2511</v>
      </c>
      <c r="M336" s="61" t="s">
        <v>2388</v>
      </c>
      <c r="N336" s="61" t="s">
        <v>2511</v>
      </c>
      <c r="O336" s="61" t="s">
        <v>2511</v>
      </c>
      <c r="P336" s="62" t="s">
        <v>2511</v>
      </c>
      <c r="Q336" s="82"/>
      <c r="R336" s="82"/>
      <c r="S336" s="82"/>
      <c r="T336" s="82"/>
      <c r="U336" s="82"/>
      <c r="V336" s="138" t="s">
        <v>3433</v>
      </c>
      <c r="W336" s="57" t="s">
        <v>3429</v>
      </c>
      <c r="X336" s="126" t="s">
        <v>2511</v>
      </c>
      <c r="Y336" s="126" t="s">
        <v>2511</v>
      </c>
      <c r="Z336" s="57"/>
      <c r="AA336" s="57" t="s">
        <v>3405</v>
      </c>
      <c r="AB336" s="138"/>
      <c r="AC336" s="138" t="s">
        <v>2631</v>
      </c>
      <c r="AD336" s="96"/>
      <c r="AE336" s="80"/>
      <c r="AF336" s="80"/>
      <c r="AG336" s="80"/>
      <c r="AH336" s="83"/>
      <c r="AI336" s="83"/>
      <c r="AJ336" s="84"/>
      <c r="AK336" s="84"/>
      <c r="AL336" s="84"/>
      <c r="AM336" s="84"/>
      <c r="AN336" s="84"/>
      <c r="AO336" s="84"/>
      <c r="AP336" s="84"/>
      <c r="AQ336" s="95" t="s">
        <v>2262</v>
      </c>
      <c r="AR336" s="72"/>
      <c r="AS336" s="72"/>
      <c r="AT336" s="72"/>
      <c r="AU336" s="72"/>
      <c r="AV336" s="72"/>
      <c r="AW336" s="72"/>
      <c r="AX336" s="72"/>
      <c r="AY336" s="72"/>
      <c r="AZ336" s="72"/>
      <c r="BA336" s="72"/>
      <c r="BB336" s="16"/>
      <c r="BC336" s="72"/>
      <c r="BD336" s="147" t="s">
        <v>83</v>
      </c>
      <c r="BE336" s="147" t="s">
        <v>83</v>
      </c>
    </row>
    <row r="337" spans="1:57" s="81" customFormat="1" ht="12.95" hidden="1" customHeight="1">
      <c r="A337" s="248" t="e">
        <v>#N/A</v>
      </c>
      <c r="B337" s="252" t="e">
        <v>#N/A</v>
      </c>
      <c r="C337" s="269" t="s">
        <v>1083</v>
      </c>
      <c r="D337" s="239" t="s">
        <v>3279</v>
      </c>
      <c r="E337" s="58"/>
      <c r="F337" s="59" t="s">
        <v>2263</v>
      </c>
      <c r="G337" s="191" t="s">
        <v>2511</v>
      </c>
      <c r="H337" s="192" t="s">
        <v>1083</v>
      </c>
      <c r="I337" s="61" t="s">
        <v>2511</v>
      </c>
      <c r="J337" s="61" t="s">
        <v>2511</v>
      </c>
      <c r="K337" s="62" t="s">
        <v>2511</v>
      </c>
      <c r="L337" s="60" t="s">
        <v>2511</v>
      </c>
      <c r="M337" s="61" t="s">
        <v>2388</v>
      </c>
      <c r="N337" s="61" t="s">
        <v>2511</v>
      </c>
      <c r="O337" s="61" t="s">
        <v>2511</v>
      </c>
      <c r="P337" s="62" t="s">
        <v>2511</v>
      </c>
      <c r="Q337" s="82"/>
      <c r="R337" s="82"/>
      <c r="S337" s="82"/>
      <c r="T337" s="82"/>
      <c r="U337" s="82"/>
      <c r="V337" s="138" t="s">
        <v>3434</v>
      </c>
      <c r="W337" s="57" t="s">
        <v>3429</v>
      </c>
      <c r="X337" s="126" t="s">
        <v>2511</v>
      </c>
      <c r="Y337" s="126" t="s">
        <v>2511</v>
      </c>
      <c r="Z337" s="57"/>
      <c r="AA337" s="57" t="s">
        <v>3405</v>
      </c>
      <c r="AB337" s="138"/>
      <c r="AC337" s="138" t="s">
        <v>2631</v>
      </c>
      <c r="AD337" s="96"/>
      <c r="AE337" s="80"/>
      <c r="AF337" s="80"/>
      <c r="AG337" s="80"/>
      <c r="AH337" s="83"/>
      <c r="AI337" s="83"/>
      <c r="AJ337" s="84"/>
      <c r="AK337" s="84"/>
      <c r="AL337" s="84"/>
      <c r="AM337" s="84"/>
      <c r="AN337" s="84"/>
      <c r="AO337" s="84"/>
      <c r="AP337" s="84"/>
      <c r="AQ337" s="95" t="s">
        <v>2263</v>
      </c>
      <c r="AR337" s="72"/>
      <c r="AS337" s="72"/>
      <c r="AT337" s="72"/>
      <c r="AU337" s="72"/>
      <c r="AV337" s="72"/>
      <c r="AW337" s="72"/>
      <c r="AX337" s="72"/>
      <c r="AY337" s="72"/>
      <c r="AZ337" s="72"/>
      <c r="BA337" s="72"/>
      <c r="BB337" s="16"/>
      <c r="BC337" s="72"/>
      <c r="BD337" s="147" t="s">
        <v>83</v>
      </c>
      <c r="BE337" s="147" t="s">
        <v>83</v>
      </c>
    </row>
    <row r="338" spans="1:57" s="81" customFormat="1" ht="12.95" hidden="1" customHeight="1">
      <c r="A338" s="248" t="e">
        <v>#N/A</v>
      </c>
      <c r="B338" s="252" t="e">
        <v>#N/A</v>
      </c>
      <c r="C338" s="269" t="s">
        <v>1084</v>
      </c>
      <c r="D338" s="239" t="s">
        <v>3435</v>
      </c>
      <c r="E338" s="58"/>
      <c r="F338" s="59" t="s">
        <v>2264</v>
      </c>
      <c r="G338" s="191" t="s">
        <v>2511</v>
      </c>
      <c r="H338" s="192" t="s">
        <v>1084</v>
      </c>
      <c r="I338" s="61" t="s">
        <v>2511</v>
      </c>
      <c r="J338" s="61" t="s">
        <v>2511</v>
      </c>
      <c r="K338" s="62" t="s">
        <v>2511</v>
      </c>
      <c r="L338" s="60" t="s">
        <v>2511</v>
      </c>
      <c r="M338" s="61" t="s">
        <v>2388</v>
      </c>
      <c r="N338" s="61" t="s">
        <v>2511</v>
      </c>
      <c r="O338" s="61" t="s">
        <v>2511</v>
      </c>
      <c r="P338" s="62" t="s">
        <v>2511</v>
      </c>
      <c r="Q338" s="82"/>
      <c r="R338" s="82"/>
      <c r="S338" s="82"/>
      <c r="T338" s="82"/>
      <c r="U338" s="82"/>
      <c r="V338" s="138" t="s">
        <v>3436</v>
      </c>
      <c r="W338" s="57" t="s">
        <v>3429</v>
      </c>
      <c r="X338" s="126" t="s">
        <v>2511</v>
      </c>
      <c r="Y338" s="126" t="s">
        <v>2511</v>
      </c>
      <c r="Z338" s="57"/>
      <c r="AA338" s="57" t="s">
        <v>3405</v>
      </c>
      <c r="AB338" s="138"/>
      <c r="AC338" s="138" t="s">
        <v>2631</v>
      </c>
      <c r="AD338" s="96"/>
      <c r="AE338" s="80"/>
      <c r="AF338" s="80"/>
      <c r="AG338" s="80"/>
      <c r="AH338" s="83"/>
      <c r="AI338" s="83"/>
      <c r="AJ338" s="84"/>
      <c r="AK338" s="84"/>
      <c r="AL338" s="84"/>
      <c r="AM338" s="84"/>
      <c r="AN338" s="84"/>
      <c r="AO338" s="84"/>
      <c r="AP338" s="84"/>
      <c r="AQ338" s="95" t="s">
        <v>2264</v>
      </c>
      <c r="AR338" s="72"/>
      <c r="AS338" s="72"/>
      <c r="AT338" s="72"/>
      <c r="AU338" s="72"/>
      <c r="AV338" s="72"/>
      <c r="AW338" s="72"/>
      <c r="AX338" s="72"/>
      <c r="AY338" s="72"/>
      <c r="AZ338" s="72"/>
      <c r="BA338" s="72"/>
      <c r="BB338" s="16"/>
      <c r="BC338" s="72"/>
      <c r="BD338" s="147" t="s">
        <v>83</v>
      </c>
      <c r="BE338" s="147" t="s">
        <v>83</v>
      </c>
    </row>
    <row r="339" spans="1:57" s="81" customFormat="1" ht="12.95" hidden="1" customHeight="1">
      <c r="A339" s="248" t="e">
        <v>#N/A</v>
      </c>
      <c r="B339" s="252" t="e">
        <v>#N/A</v>
      </c>
      <c r="C339" s="269" t="s">
        <v>1085</v>
      </c>
      <c r="D339" s="239" t="s">
        <v>3283</v>
      </c>
      <c r="E339" s="58"/>
      <c r="F339" s="59" t="s">
        <v>2265</v>
      </c>
      <c r="G339" s="191" t="s">
        <v>2511</v>
      </c>
      <c r="H339" s="192" t="s">
        <v>1085</v>
      </c>
      <c r="I339" s="61" t="s">
        <v>2511</v>
      </c>
      <c r="J339" s="61" t="s">
        <v>2511</v>
      </c>
      <c r="K339" s="62" t="s">
        <v>2511</v>
      </c>
      <c r="L339" s="60" t="s">
        <v>2511</v>
      </c>
      <c r="M339" s="61" t="s">
        <v>2388</v>
      </c>
      <c r="N339" s="61" t="s">
        <v>2511</v>
      </c>
      <c r="O339" s="61" t="s">
        <v>2511</v>
      </c>
      <c r="P339" s="62" t="s">
        <v>2511</v>
      </c>
      <c r="Q339" s="82"/>
      <c r="R339" s="82"/>
      <c r="S339" s="82"/>
      <c r="T339" s="82"/>
      <c r="U339" s="82"/>
      <c r="V339" s="138" t="s">
        <v>3437</v>
      </c>
      <c r="W339" s="57" t="s">
        <v>3429</v>
      </c>
      <c r="X339" s="126" t="s">
        <v>2511</v>
      </c>
      <c r="Y339" s="126" t="s">
        <v>2511</v>
      </c>
      <c r="Z339" s="57"/>
      <c r="AA339" s="57" t="s">
        <v>3405</v>
      </c>
      <c r="AB339" s="138"/>
      <c r="AC339" s="138" t="s">
        <v>2631</v>
      </c>
      <c r="AD339" s="96"/>
      <c r="AE339" s="80"/>
      <c r="AF339" s="80"/>
      <c r="AG339" s="80"/>
      <c r="AH339" s="83"/>
      <c r="AI339" s="83"/>
      <c r="AJ339" s="84"/>
      <c r="AK339" s="84"/>
      <c r="AL339" s="84"/>
      <c r="AM339" s="84"/>
      <c r="AN339" s="84"/>
      <c r="AO339" s="84"/>
      <c r="AP339" s="84"/>
      <c r="AQ339" s="95" t="s">
        <v>2265</v>
      </c>
      <c r="AR339" s="72"/>
      <c r="AS339" s="72"/>
      <c r="AT339" s="72"/>
      <c r="AU339" s="72"/>
      <c r="AV339" s="72"/>
      <c r="AW339" s="72"/>
      <c r="AX339" s="72"/>
      <c r="AY339" s="72"/>
      <c r="AZ339" s="72"/>
      <c r="BA339" s="72"/>
      <c r="BB339" s="16"/>
      <c r="BC339" s="72"/>
      <c r="BD339" s="147" t="s">
        <v>83</v>
      </c>
      <c r="BE339" s="147" t="s">
        <v>83</v>
      </c>
    </row>
    <row r="340" spans="1:57" s="81" customFormat="1" ht="12.95" hidden="1" customHeight="1">
      <c r="A340" s="248" t="e">
        <v>#N/A</v>
      </c>
      <c r="B340" s="252" t="e">
        <v>#N/A</v>
      </c>
      <c r="C340" s="269" t="s">
        <v>1086</v>
      </c>
      <c r="D340" s="239" t="s">
        <v>3254</v>
      </c>
      <c r="E340" s="58"/>
      <c r="F340" s="59" t="s">
        <v>2266</v>
      </c>
      <c r="G340" s="191" t="s">
        <v>2511</v>
      </c>
      <c r="H340" s="192" t="s">
        <v>1086</v>
      </c>
      <c r="I340" s="61" t="s">
        <v>2511</v>
      </c>
      <c r="J340" s="61" t="s">
        <v>2511</v>
      </c>
      <c r="K340" s="62" t="s">
        <v>2511</v>
      </c>
      <c r="L340" s="60" t="s">
        <v>2511</v>
      </c>
      <c r="M340" s="61" t="s">
        <v>2388</v>
      </c>
      <c r="N340" s="61" t="s">
        <v>2511</v>
      </c>
      <c r="O340" s="61" t="s">
        <v>2511</v>
      </c>
      <c r="P340" s="62" t="s">
        <v>2511</v>
      </c>
      <c r="Q340" s="82"/>
      <c r="R340" s="82"/>
      <c r="S340" s="82"/>
      <c r="T340" s="82"/>
      <c r="U340" s="82"/>
      <c r="V340" s="138" t="s">
        <v>3438</v>
      </c>
      <c r="W340" s="57" t="s">
        <v>3429</v>
      </c>
      <c r="X340" s="126" t="s">
        <v>2511</v>
      </c>
      <c r="Y340" s="126" t="s">
        <v>2511</v>
      </c>
      <c r="Z340" s="57"/>
      <c r="AA340" s="57" t="s">
        <v>3405</v>
      </c>
      <c r="AB340" s="138"/>
      <c r="AC340" s="138" t="s">
        <v>2631</v>
      </c>
      <c r="AD340" s="96"/>
      <c r="AE340" s="80"/>
      <c r="AF340" s="80"/>
      <c r="AG340" s="80"/>
      <c r="AH340" s="83"/>
      <c r="AI340" s="83"/>
      <c r="AJ340" s="84"/>
      <c r="AK340" s="84"/>
      <c r="AL340" s="84"/>
      <c r="AM340" s="84"/>
      <c r="AN340" s="84"/>
      <c r="AO340" s="84"/>
      <c r="AP340" s="84"/>
      <c r="AQ340" s="95" t="s">
        <v>2266</v>
      </c>
      <c r="AR340" s="72"/>
      <c r="AS340" s="72"/>
      <c r="AT340" s="72"/>
      <c r="AU340" s="72"/>
      <c r="AV340" s="72"/>
      <c r="AW340" s="72"/>
      <c r="AX340" s="72"/>
      <c r="AY340" s="72"/>
      <c r="AZ340" s="72"/>
      <c r="BA340" s="72"/>
      <c r="BB340" s="16"/>
      <c r="BC340" s="72"/>
      <c r="BD340" s="147" t="s">
        <v>83</v>
      </c>
      <c r="BE340" s="147" t="s">
        <v>83</v>
      </c>
    </row>
    <row r="341" spans="1:57" s="91" customFormat="1" ht="18" hidden="1" customHeight="1">
      <c r="A341" s="367"/>
      <c r="B341" s="368"/>
      <c r="C341" s="268" t="s">
        <v>1078</v>
      </c>
      <c r="D341" s="268"/>
      <c r="E341" s="86"/>
      <c r="F341" s="86"/>
      <c r="G341" s="87"/>
      <c r="H341" s="87"/>
      <c r="I341" s="87"/>
      <c r="J341" s="87"/>
      <c r="K341" s="87"/>
      <c r="L341" s="86"/>
      <c r="M341" s="86"/>
      <c r="N341" s="86"/>
      <c r="O341" s="86"/>
      <c r="P341" s="86"/>
      <c r="Q341" s="86"/>
      <c r="R341" s="86"/>
      <c r="S341" s="86"/>
      <c r="T341" s="86"/>
      <c r="U341" s="86"/>
      <c r="V341" s="86"/>
      <c r="W341" s="86"/>
      <c r="X341" s="129"/>
      <c r="Y341" s="129"/>
      <c r="Z341" s="88"/>
      <c r="AA341" s="88"/>
      <c r="AB341" s="88"/>
      <c r="AC341" s="88"/>
      <c r="AD341" s="88"/>
      <c r="AE341" s="88"/>
      <c r="AF341" s="88"/>
      <c r="AG341" s="88"/>
      <c r="AH341" s="88"/>
      <c r="AI341" s="88"/>
      <c r="AJ341" s="88"/>
      <c r="AK341" s="88"/>
      <c r="AL341" s="88"/>
      <c r="AM341" s="88"/>
      <c r="AN341" s="88"/>
      <c r="AO341" s="88"/>
      <c r="AP341" s="88"/>
      <c r="AQ341" s="89"/>
      <c r="AR341" s="100"/>
      <c r="AS341" s="101"/>
      <c r="AT341" s="101"/>
      <c r="AU341" s="101"/>
      <c r="AV341" s="101"/>
      <c r="AW341" s="101"/>
      <c r="AX341" s="101"/>
      <c r="AY341" s="101"/>
      <c r="AZ341" s="101"/>
      <c r="BA341" s="101"/>
      <c r="BB341" s="101"/>
      <c r="BC341" s="175" t="s">
        <v>5636</v>
      </c>
      <c r="BD341" s="90"/>
      <c r="BE341" s="233" t="s">
        <v>1078</v>
      </c>
    </row>
    <row r="342" spans="1:57" s="81" customFormat="1" ht="12.95" hidden="1" customHeight="1">
      <c r="A342" s="248" t="e">
        <v>#N/A</v>
      </c>
      <c r="B342" s="252" t="e">
        <v>#N/A</v>
      </c>
      <c r="C342" s="269" t="s">
        <v>1087</v>
      </c>
      <c r="D342" s="239" t="s">
        <v>3395</v>
      </c>
      <c r="E342" s="58"/>
      <c r="F342" s="59" t="s">
        <v>2223</v>
      </c>
      <c r="G342" s="191" t="s">
        <v>2511</v>
      </c>
      <c r="H342" s="192" t="s">
        <v>1087</v>
      </c>
      <c r="I342" s="61" t="s">
        <v>2511</v>
      </c>
      <c r="J342" s="61" t="s">
        <v>2511</v>
      </c>
      <c r="K342" s="62" t="s">
        <v>2511</v>
      </c>
      <c r="L342" s="60" t="s">
        <v>2511</v>
      </c>
      <c r="M342" s="61" t="s">
        <v>2388</v>
      </c>
      <c r="N342" s="61" t="s">
        <v>2511</v>
      </c>
      <c r="O342" s="61" t="s">
        <v>2511</v>
      </c>
      <c r="P342" s="62" t="s">
        <v>2511</v>
      </c>
      <c r="Q342" s="82"/>
      <c r="R342" s="82"/>
      <c r="S342" s="82"/>
      <c r="T342" s="82"/>
      <c r="U342" s="82"/>
      <c r="V342" s="138" t="s">
        <v>3439</v>
      </c>
      <c r="W342" s="57" t="s">
        <v>3440</v>
      </c>
      <c r="X342" s="126" t="s">
        <v>2511</v>
      </c>
      <c r="Y342" s="126" t="s">
        <v>2511</v>
      </c>
      <c r="Z342" s="57"/>
      <c r="AA342" s="57" t="s">
        <v>3405</v>
      </c>
      <c r="AB342" s="137"/>
      <c r="AC342" s="137" t="s">
        <v>2631</v>
      </c>
      <c r="AD342" s="92"/>
      <c r="AE342" s="93"/>
      <c r="AF342" s="93"/>
      <c r="AG342" s="93"/>
      <c r="AH342" s="94"/>
      <c r="AI342" s="83"/>
      <c r="AJ342" s="84"/>
      <c r="AK342" s="84"/>
      <c r="AL342" s="84"/>
      <c r="AM342" s="84"/>
      <c r="AN342" s="84"/>
      <c r="AO342" s="84"/>
      <c r="AP342" s="84"/>
      <c r="AQ342" s="95" t="s">
        <v>2223</v>
      </c>
      <c r="AR342" s="72"/>
      <c r="AS342" s="72"/>
      <c r="AT342" s="72"/>
      <c r="AU342" s="72"/>
      <c r="AV342" s="72"/>
      <c r="AW342" s="72"/>
      <c r="AX342" s="72"/>
      <c r="AY342" s="72"/>
      <c r="AZ342" s="72"/>
      <c r="BA342" s="72"/>
      <c r="BB342" s="16"/>
      <c r="BC342" s="22"/>
      <c r="BD342" s="147" t="s">
        <v>83</v>
      </c>
      <c r="BE342" s="147" t="s">
        <v>83</v>
      </c>
    </row>
    <row r="343" spans="1:57" s="81" customFormat="1" ht="12.95" hidden="1" customHeight="1">
      <c r="A343" s="248" t="e">
        <v>#N/A</v>
      </c>
      <c r="B343" s="252" t="e">
        <v>#N/A</v>
      </c>
      <c r="C343" s="269" t="s">
        <v>1088</v>
      </c>
      <c r="D343" s="239" t="s">
        <v>3392</v>
      </c>
      <c r="E343" s="58"/>
      <c r="F343" s="59" t="s">
        <v>2224</v>
      </c>
      <c r="G343" s="191" t="s">
        <v>2511</v>
      </c>
      <c r="H343" s="192" t="s">
        <v>1088</v>
      </c>
      <c r="I343" s="61" t="s">
        <v>2511</v>
      </c>
      <c r="J343" s="61" t="s">
        <v>2511</v>
      </c>
      <c r="K343" s="62" t="s">
        <v>2511</v>
      </c>
      <c r="L343" s="60" t="s">
        <v>2511</v>
      </c>
      <c r="M343" s="61" t="s">
        <v>2388</v>
      </c>
      <c r="N343" s="61" t="s">
        <v>2511</v>
      </c>
      <c r="O343" s="61" t="s">
        <v>2511</v>
      </c>
      <c r="P343" s="62" t="s">
        <v>2511</v>
      </c>
      <c r="Q343" s="82"/>
      <c r="R343" s="82"/>
      <c r="S343" s="82"/>
      <c r="T343" s="82"/>
      <c r="U343" s="82"/>
      <c r="V343" s="138" t="s">
        <v>3441</v>
      </c>
      <c r="W343" s="57" t="s">
        <v>3440</v>
      </c>
      <c r="X343" s="126" t="s">
        <v>2511</v>
      </c>
      <c r="Y343" s="126" t="s">
        <v>2511</v>
      </c>
      <c r="Z343" s="57"/>
      <c r="AA343" s="57" t="s">
        <v>3405</v>
      </c>
      <c r="AB343" s="138"/>
      <c r="AC343" s="138" t="s">
        <v>2631</v>
      </c>
      <c r="AD343" s="96"/>
      <c r="AE343" s="80"/>
      <c r="AF343" s="80"/>
      <c r="AG343" s="80"/>
      <c r="AH343" s="83"/>
      <c r="AI343" s="83"/>
      <c r="AJ343" s="84"/>
      <c r="AK343" s="84"/>
      <c r="AL343" s="84"/>
      <c r="AM343" s="84"/>
      <c r="AN343" s="84"/>
      <c r="AO343" s="84"/>
      <c r="AP343" s="84"/>
      <c r="AQ343" s="95" t="s">
        <v>2224</v>
      </c>
      <c r="AR343" s="72"/>
      <c r="AS343" s="72"/>
      <c r="AT343" s="72"/>
      <c r="AU343" s="72"/>
      <c r="AV343" s="72"/>
      <c r="AW343" s="72"/>
      <c r="AX343" s="72"/>
      <c r="AY343" s="72"/>
      <c r="AZ343" s="72"/>
      <c r="BA343" s="72"/>
      <c r="BB343" s="16"/>
      <c r="BC343" s="72"/>
      <c r="BD343" s="147" t="s">
        <v>83</v>
      </c>
      <c r="BE343" s="147" t="s">
        <v>83</v>
      </c>
    </row>
    <row r="344" spans="1:57" s="81" customFormat="1" ht="12.95" hidden="1" customHeight="1">
      <c r="A344" s="248" t="e">
        <v>#N/A</v>
      </c>
      <c r="B344" s="252" t="e">
        <v>#N/A</v>
      </c>
      <c r="C344" s="269" t="s">
        <v>1089</v>
      </c>
      <c r="D344" s="239" t="s">
        <v>3370</v>
      </c>
      <c r="E344" s="58"/>
      <c r="F344" s="59" t="s">
        <v>2225</v>
      </c>
      <c r="G344" s="191" t="s">
        <v>2511</v>
      </c>
      <c r="H344" s="192" t="s">
        <v>1089</v>
      </c>
      <c r="I344" s="61" t="s">
        <v>2511</v>
      </c>
      <c r="J344" s="61" t="s">
        <v>2511</v>
      </c>
      <c r="K344" s="62" t="s">
        <v>2511</v>
      </c>
      <c r="L344" s="60" t="s">
        <v>2511</v>
      </c>
      <c r="M344" s="61" t="s">
        <v>2388</v>
      </c>
      <c r="N344" s="61" t="s">
        <v>2511</v>
      </c>
      <c r="O344" s="61" t="s">
        <v>2511</v>
      </c>
      <c r="P344" s="62" t="s">
        <v>2511</v>
      </c>
      <c r="Q344" s="82"/>
      <c r="R344" s="82"/>
      <c r="S344" s="82"/>
      <c r="T344" s="82"/>
      <c r="U344" s="82"/>
      <c r="V344" s="138" t="s">
        <v>3442</v>
      </c>
      <c r="W344" s="57" t="s">
        <v>3440</v>
      </c>
      <c r="X344" s="126" t="s">
        <v>2511</v>
      </c>
      <c r="Y344" s="126" t="s">
        <v>2511</v>
      </c>
      <c r="Z344" s="57"/>
      <c r="AA344" s="57" t="s">
        <v>3405</v>
      </c>
      <c r="AB344" s="138"/>
      <c r="AC344" s="138" t="s">
        <v>2631</v>
      </c>
      <c r="AD344" s="96"/>
      <c r="AE344" s="80"/>
      <c r="AF344" s="80"/>
      <c r="AG344" s="80"/>
      <c r="AH344" s="83"/>
      <c r="AI344" s="83"/>
      <c r="AJ344" s="84"/>
      <c r="AK344" s="84"/>
      <c r="AL344" s="84"/>
      <c r="AM344" s="84"/>
      <c r="AN344" s="84"/>
      <c r="AO344" s="84"/>
      <c r="AP344" s="84"/>
      <c r="AQ344" s="95" t="s">
        <v>2225</v>
      </c>
      <c r="AR344" s="72"/>
      <c r="AS344" s="72"/>
      <c r="AT344" s="72"/>
      <c r="AU344" s="72"/>
      <c r="AV344" s="72"/>
      <c r="AW344" s="72"/>
      <c r="AX344" s="72"/>
      <c r="AY344" s="72"/>
      <c r="AZ344" s="72"/>
      <c r="BA344" s="72"/>
      <c r="BB344" s="16"/>
      <c r="BC344" s="72"/>
      <c r="BD344" s="147" t="s">
        <v>83</v>
      </c>
      <c r="BE344" s="147" t="s">
        <v>83</v>
      </c>
    </row>
    <row r="345" spans="1:57" s="81" customFormat="1" ht="12.95" hidden="1" customHeight="1">
      <c r="A345" s="248" t="e">
        <v>#N/A</v>
      </c>
      <c r="B345" s="252" t="e">
        <v>#N/A</v>
      </c>
      <c r="C345" s="269" t="s">
        <v>1090</v>
      </c>
      <c r="D345" s="239" t="s">
        <v>3358</v>
      </c>
      <c r="E345" s="58"/>
      <c r="F345" s="59" t="s">
        <v>2226</v>
      </c>
      <c r="G345" s="191" t="s">
        <v>2511</v>
      </c>
      <c r="H345" s="192" t="s">
        <v>1090</v>
      </c>
      <c r="I345" s="61" t="s">
        <v>2511</v>
      </c>
      <c r="J345" s="61" t="s">
        <v>2511</v>
      </c>
      <c r="K345" s="62" t="s">
        <v>2511</v>
      </c>
      <c r="L345" s="60" t="s">
        <v>2511</v>
      </c>
      <c r="M345" s="61" t="s">
        <v>2388</v>
      </c>
      <c r="N345" s="61" t="s">
        <v>2511</v>
      </c>
      <c r="O345" s="61" t="s">
        <v>2511</v>
      </c>
      <c r="P345" s="62" t="s">
        <v>2511</v>
      </c>
      <c r="Q345" s="82"/>
      <c r="R345" s="82"/>
      <c r="S345" s="82"/>
      <c r="T345" s="82"/>
      <c r="U345" s="82"/>
      <c r="V345" s="138" t="s">
        <v>3443</v>
      </c>
      <c r="W345" s="57" t="s">
        <v>3440</v>
      </c>
      <c r="X345" s="126" t="s">
        <v>2511</v>
      </c>
      <c r="Y345" s="126" t="s">
        <v>2511</v>
      </c>
      <c r="Z345" s="57"/>
      <c r="AA345" s="57" t="s">
        <v>3405</v>
      </c>
      <c r="AB345" s="138"/>
      <c r="AC345" s="138" t="s">
        <v>2631</v>
      </c>
      <c r="AD345" s="96"/>
      <c r="AE345" s="80"/>
      <c r="AF345" s="80"/>
      <c r="AG345" s="80"/>
      <c r="AH345" s="83"/>
      <c r="AI345" s="83"/>
      <c r="AJ345" s="84"/>
      <c r="AK345" s="84"/>
      <c r="AL345" s="84"/>
      <c r="AM345" s="84"/>
      <c r="AN345" s="84"/>
      <c r="AO345" s="84"/>
      <c r="AP345" s="84"/>
      <c r="AQ345" s="95" t="s">
        <v>2226</v>
      </c>
      <c r="AR345" s="72"/>
      <c r="AS345" s="72"/>
      <c r="AT345" s="72"/>
      <c r="AU345" s="72"/>
      <c r="AV345" s="72"/>
      <c r="AW345" s="72"/>
      <c r="AX345" s="72"/>
      <c r="AY345" s="72"/>
      <c r="AZ345" s="72"/>
      <c r="BA345" s="72"/>
      <c r="BB345" s="16"/>
      <c r="BC345" s="72"/>
      <c r="BD345" s="147" t="s">
        <v>83</v>
      </c>
      <c r="BE345" s="147" t="s">
        <v>83</v>
      </c>
    </row>
    <row r="346" spans="1:57" s="81" customFormat="1" ht="12.95" hidden="1" customHeight="1">
      <c r="A346" s="248" t="e">
        <v>#N/A</v>
      </c>
      <c r="B346" s="252" t="e">
        <v>#N/A</v>
      </c>
      <c r="C346" s="269" t="s">
        <v>1091</v>
      </c>
      <c r="D346" s="239" t="s">
        <v>3373</v>
      </c>
      <c r="E346" s="58"/>
      <c r="F346" s="59" t="s">
        <v>2227</v>
      </c>
      <c r="G346" s="191" t="s">
        <v>2511</v>
      </c>
      <c r="H346" s="192" t="s">
        <v>1091</v>
      </c>
      <c r="I346" s="61" t="s">
        <v>2511</v>
      </c>
      <c r="J346" s="61" t="s">
        <v>2511</v>
      </c>
      <c r="K346" s="62" t="s">
        <v>2511</v>
      </c>
      <c r="L346" s="60" t="s">
        <v>2511</v>
      </c>
      <c r="M346" s="61" t="s">
        <v>2388</v>
      </c>
      <c r="N346" s="61" t="s">
        <v>2511</v>
      </c>
      <c r="O346" s="61" t="s">
        <v>2511</v>
      </c>
      <c r="P346" s="62" t="s">
        <v>2511</v>
      </c>
      <c r="Q346" s="82"/>
      <c r="R346" s="82"/>
      <c r="S346" s="82"/>
      <c r="T346" s="82"/>
      <c r="U346" s="82"/>
      <c r="V346" s="138" t="s">
        <v>3444</v>
      </c>
      <c r="W346" s="57" t="s">
        <v>3440</v>
      </c>
      <c r="X346" s="126" t="s">
        <v>2511</v>
      </c>
      <c r="Y346" s="126" t="s">
        <v>2511</v>
      </c>
      <c r="Z346" s="57"/>
      <c r="AA346" s="57" t="s">
        <v>3405</v>
      </c>
      <c r="AB346" s="138"/>
      <c r="AC346" s="138" t="s">
        <v>2631</v>
      </c>
      <c r="AD346" s="96"/>
      <c r="AE346" s="80"/>
      <c r="AF346" s="80"/>
      <c r="AG346" s="80"/>
      <c r="AH346" s="83"/>
      <c r="AI346" s="83"/>
      <c r="AJ346" s="84"/>
      <c r="AK346" s="84"/>
      <c r="AL346" s="84"/>
      <c r="AM346" s="84"/>
      <c r="AN346" s="84"/>
      <c r="AO346" s="84"/>
      <c r="AP346" s="84"/>
      <c r="AQ346" s="95" t="s">
        <v>2227</v>
      </c>
      <c r="AR346" s="72"/>
      <c r="AS346" s="72"/>
      <c r="AT346" s="72"/>
      <c r="AU346" s="72"/>
      <c r="AV346" s="72"/>
      <c r="AW346" s="72"/>
      <c r="AX346" s="72"/>
      <c r="AY346" s="72"/>
      <c r="AZ346" s="72"/>
      <c r="BA346" s="72"/>
      <c r="BB346" s="16"/>
      <c r="BC346" s="72"/>
      <c r="BD346" s="147" t="s">
        <v>83</v>
      </c>
      <c r="BE346" s="147" t="s">
        <v>83</v>
      </c>
    </row>
    <row r="347" spans="1:57" s="81" customFormat="1" ht="12.95" hidden="1" customHeight="1">
      <c r="A347" s="248" t="e">
        <v>#N/A</v>
      </c>
      <c r="B347" s="252" t="e">
        <v>#N/A</v>
      </c>
      <c r="C347" s="269" t="s">
        <v>1092</v>
      </c>
      <c r="D347" s="239" t="s">
        <v>3445</v>
      </c>
      <c r="E347" s="58"/>
      <c r="F347" s="59" t="s">
        <v>2228</v>
      </c>
      <c r="G347" s="191" t="s">
        <v>2511</v>
      </c>
      <c r="H347" s="192" t="s">
        <v>1092</v>
      </c>
      <c r="I347" s="61" t="s">
        <v>2511</v>
      </c>
      <c r="J347" s="61" t="s">
        <v>2511</v>
      </c>
      <c r="K347" s="62" t="s">
        <v>2511</v>
      </c>
      <c r="L347" s="60" t="s">
        <v>2511</v>
      </c>
      <c r="M347" s="61" t="s">
        <v>2388</v>
      </c>
      <c r="N347" s="61" t="s">
        <v>2511</v>
      </c>
      <c r="O347" s="61" t="s">
        <v>2511</v>
      </c>
      <c r="P347" s="62" t="s">
        <v>2511</v>
      </c>
      <c r="Q347" s="82"/>
      <c r="R347" s="82"/>
      <c r="S347" s="82"/>
      <c r="T347" s="82"/>
      <c r="U347" s="82"/>
      <c r="V347" s="138" t="s">
        <v>3446</v>
      </c>
      <c r="W347" s="57" t="s">
        <v>3440</v>
      </c>
      <c r="X347" s="126" t="s">
        <v>2511</v>
      </c>
      <c r="Y347" s="126" t="s">
        <v>2511</v>
      </c>
      <c r="Z347" s="57"/>
      <c r="AA347" s="57" t="s">
        <v>3405</v>
      </c>
      <c r="AB347" s="138"/>
      <c r="AC347" s="138" t="s">
        <v>2631</v>
      </c>
      <c r="AD347" s="96"/>
      <c r="AE347" s="80"/>
      <c r="AF347" s="80"/>
      <c r="AG347" s="80"/>
      <c r="AH347" s="83"/>
      <c r="AI347" s="83"/>
      <c r="AJ347" s="84"/>
      <c r="AK347" s="84"/>
      <c r="AL347" s="84"/>
      <c r="AM347" s="84"/>
      <c r="AN347" s="84"/>
      <c r="AO347" s="84"/>
      <c r="AP347" s="84"/>
      <c r="AQ347" s="95" t="s">
        <v>2228</v>
      </c>
      <c r="AR347" s="72"/>
      <c r="AS347" s="72"/>
      <c r="AT347" s="72"/>
      <c r="AU347" s="72"/>
      <c r="AV347" s="72"/>
      <c r="AW347" s="72"/>
      <c r="AX347" s="72"/>
      <c r="AY347" s="72"/>
      <c r="AZ347" s="72"/>
      <c r="BA347" s="72"/>
      <c r="BB347" s="16"/>
      <c r="BC347" s="72"/>
      <c r="BD347" s="147" t="s">
        <v>83</v>
      </c>
      <c r="BE347" s="147" t="s">
        <v>83</v>
      </c>
    </row>
    <row r="348" spans="1:57" s="81" customFormat="1" ht="12.95" hidden="1" customHeight="1">
      <c r="A348" s="248" t="e">
        <v>#N/A</v>
      </c>
      <c r="B348" s="252" t="e">
        <v>#N/A</v>
      </c>
      <c r="C348" s="269" t="s">
        <v>1093</v>
      </c>
      <c r="D348" s="239" t="s">
        <v>3400</v>
      </c>
      <c r="E348" s="58"/>
      <c r="F348" s="59" t="s">
        <v>2229</v>
      </c>
      <c r="G348" s="191" t="s">
        <v>2511</v>
      </c>
      <c r="H348" s="192" t="s">
        <v>1093</v>
      </c>
      <c r="I348" s="61" t="s">
        <v>2511</v>
      </c>
      <c r="J348" s="61" t="s">
        <v>2511</v>
      </c>
      <c r="K348" s="62" t="s">
        <v>2511</v>
      </c>
      <c r="L348" s="60" t="s">
        <v>2511</v>
      </c>
      <c r="M348" s="61" t="s">
        <v>2388</v>
      </c>
      <c r="N348" s="61" t="s">
        <v>2511</v>
      </c>
      <c r="O348" s="61" t="s">
        <v>2511</v>
      </c>
      <c r="P348" s="62" t="s">
        <v>2511</v>
      </c>
      <c r="Q348" s="82"/>
      <c r="R348" s="82"/>
      <c r="S348" s="82"/>
      <c r="T348" s="82"/>
      <c r="U348" s="82"/>
      <c r="V348" s="138" t="s">
        <v>3447</v>
      </c>
      <c r="W348" s="57" t="s">
        <v>3440</v>
      </c>
      <c r="X348" s="126" t="s">
        <v>2511</v>
      </c>
      <c r="Y348" s="126" t="s">
        <v>2511</v>
      </c>
      <c r="Z348" s="57"/>
      <c r="AA348" s="57" t="s">
        <v>3405</v>
      </c>
      <c r="AB348" s="138"/>
      <c r="AC348" s="138" t="s">
        <v>2631</v>
      </c>
      <c r="AD348" s="96"/>
      <c r="AE348" s="80"/>
      <c r="AF348" s="80"/>
      <c r="AG348" s="80"/>
      <c r="AH348" s="83"/>
      <c r="AI348" s="83"/>
      <c r="AJ348" s="84"/>
      <c r="AK348" s="84"/>
      <c r="AL348" s="84"/>
      <c r="AM348" s="84"/>
      <c r="AN348" s="84"/>
      <c r="AO348" s="84"/>
      <c r="AP348" s="84"/>
      <c r="AQ348" s="95" t="s">
        <v>2229</v>
      </c>
      <c r="AR348" s="72"/>
      <c r="AS348" s="72"/>
      <c r="AT348" s="72"/>
      <c r="AU348" s="72"/>
      <c r="AV348" s="72"/>
      <c r="AW348" s="72"/>
      <c r="AX348" s="72"/>
      <c r="AY348" s="72"/>
      <c r="AZ348" s="72"/>
      <c r="BA348" s="72"/>
      <c r="BB348" s="16"/>
      <c r="BC348" s="72"/>
      <c r="BD348" s="147" t="s">
        <v>83</v>
      </c>
      <c r="BE348" s="147" t="s">
        <v>83</v>
      </c>
    </row>
    <row r="349" spans="1:57" s="81" customFormat="1" ht="12.95" hidden="1" customHeight="1">
      <c r="A349" s="248" t="e">
        <v>#N/A</v>
      </c>
      <c r="B349" s="252" t="e">
        <v>#N/A</v>
      </c>
      <c r="C349" s="269" t="s">
        <v>1094</v>
      </c>
      <c r="D349" s="239" t="s">
        <v>3448</v>
      </c>
      <c r="E349" s="58"/>
      <c r="F349" s="59" t="s">
        <v>2230</v>
      </c>
      <c r="G349" s="191" t="s">
        <v>2511</v>
      </c>
      <c r="H349" s="192" t="s">
        <v>1094</v>
      </c>
      <c r="I349" s="61" t="s">
        <v>2511</v>
      </c>
      <c r="J349" s="61" t="s">
        <v>2511</v>
      </c>
      <c r="K349" s="62" t="s">
        <v>2511</v>
      </c>
      <c r="L349" s="60" t="s">
        <v>2511</v>
      </c>
      <c r="M349" s="61" t="s">
        <v>2388</v>
      </c>
      <c r="N349" s="61" t="s">
        <v>2511</v>
      </c>
      <c r="O349" s="61" t="s">
        <v>2511</v>
      </c>
      <c r="P349" s="62" t="s">
        <v>2511</v>
      </c>
      <c r="Q349" s="82"/>
      <c r="R349" s="82"/>
      <c r="S349" s="82"/>
      <c r="T349" s="82"/>
      <c r="U349" s="82"/>
      <c r="V349" s="138" t="s">
        <v>3449</v>
      </c>
      <c r="W349" s="57" t="s">
        <v>3440</v>
      </c>
      <c r="X349" s="126" t="s">
        <v>2511</v>
      </c>
      <c r="Y349" s="126" t="s">
        <v>2511</v>
      </c>
      <c r="Z349" s="57"/>
      <c r="AA349" s="57" t="s">
        <v>3405</v>
      </c>
      <c r="AB349" s="138"/>
      <c r="AC349" s="138" t="s">
        <v>2631</v>
      </c>
      <c r="AD349" s="96"/>
      <c r="AE349" s="80"/>
      <c r="AF349" s="80"/>
      <c r="AG349" s="80"/>
      <c r="AH349" s="83"/>
      <c r="AI349" s="83"/>
      <c r="AJ349" s="84"/>
      <c r="AK349" s="84"/>
      <c r="AL349" s="84"/>
      <c r="AM349" s="84"/>
      <c r="AN349" s="84"/>
      <c r="AO349" s="84"/>
      <c r="AP349" s="84"/>
      <c r="AQ349" s="102" t="s">
        <v>2230</v>
      </c>
      <c r="AR349" s="72"/>
      <c r="AS349" s="72"/>
      <c r="AT349" s="72"/>
      <c r="AU349" s="72"/>
      <c r="AV349" s="72"/>
      <c r="AW349" s="72"/>
      <c r="AX349" s="72"/>
      <c r="AY349" s="72"/>
      <c r="AZ349" s="72"/>
      <c r="BA349" s="72"/>
      <c r="BB349" s="16"/>
      <c r="BC349" s="72"/>
      <c r="BD349" s="147" t="s">
        <v>83</v>
      </c>
      <c r="BE349" s="147" t="s">
        <v>83</v>
      </c>
    </row>
    <row r="350" spans="1:57" s="91" customFormat="1" ht="18" customHeight="1">
      <c r="A350" s="367"/>
      <c r="B350" s="368"/>
      <c r="C350" s="268" t="s">
        <v>229</v>
      </c>
      <c r="D350" s="268"/>
      <c r="E350" s="86"/>
      <c r="F350" s="86"/>
      <c r="G350" s="87"/>
      <c r="H350" s="87"/>
      <c r="I350" s="87"/>
      <c r="J350" s="87"/>
      <c r="K350" s="87"/>
      <c r="L350" s="86"/>
      <c r="M350" s="86"/>
      <c r="N350" s="86"/>
      <c r="O350" s="86"/>
      <c r="P350" s="86"/>
      <c r="Q350" s="86"/>
      <c r="R350" s="86"/>
      <c r="S350" s="86"/>
      <c r="T350" s="86"/>
      <c r="U350" s="86"/>
      <c r="V350" s="86"/>
      <c r="W350" s="86"/>
      <c r="X350" s="129"/>
      <c r="Y350" s="129"/>
      <c r="Z350" s="88"/>
      <c r="AA350" s="88"/>
      <c r="AB350" s="88"/>
      <c r="AC350" s="88"/>
      <c r="AD350" s="88"/>
      <c r="AE350" s="88"/>
      <c r="AF350" s="88"/>
      <c r="AG350" s="88"/>
      <c r="AH350" s="88"/>
      <c r="AI350" s="88"/>
      <c r="AJ350" s="88"/>
      <c r="AK350" s="88"/>
      <c r="AL350" s="88"/>
      <c r="AM350" s="88"/>
      <c r="AN350" s="88"/>
      <c r="AO350" s="88"/>
      <c r="AP350" s="88"/>
      <c r="AQ350" s="89"/>
      <c r="AR350" s="100"/>
      <c r="AS350" s="101"/>
      <c r="AT350" s="101"/>
      <c r="AU350" s="101"/>
      <c r="AV350" s="101"/>
      <c r="AW350" s="101"/>
      <c r="AX350" s="101"/>
      <c r="AY350" s="101"/>
      <c r="AZ350" s="101"/>
      <c r="BA350" s="101"/>
      <c r="BB350" s="101"/>
      <c r="BC350" s="175" t="s">
        <v>60</v>
      </c>
      <c r="BD350" s="101"/>
      <c r="BE350" s="100" t="s">
        <v>229</v>
      </c>
    </row>
    <row r="351" spans="1:57" s="81" customFormat="1" ht="12.95" customHeight="1">
      <c r="A351" s="247" t="s">
        <v>5506</v>
      </c>
      <c r="B351" s="251">
        <v>109</v>
      </c>
      <c r="C351" s="267" t="s">
        <v>225</v>
      </c>
      <c r="D351" s="239" t="s">
        <v>2811</v>
      </c>
      <c r="E351" s="58"/>
      <c r="F351" s="59" t="s">
        <v>258</v>
      </c>
      <c r="G351" s="191" t="s">
        <v>2511</v>
      </c>
      <c r="H351" s="192" t="s">
        <v>225</v>
      </c>
      <c r="I351" s="61"/>
      <c r="J351" s="61"/>
      <c r="K351" s="62" t="s">
        <v>2511</v>
      </c>
      <c r="L351" s="60" t="s">
        <v>2511</v>
      </c>
      <c r="M351" s="61" t="s">
        <v>2389</v>
      </c>
      <c r="N351" s="61" t="s">
        <v>2388</v>
      </c>
      <c r="O351" s="61" t="s">
        <v>2389</v>
      </c>
      <c r="P351" s="62" t="s">
        <v>2511</v>
      </c>
      <c r="Q351" s="82"/>
      <c r="R351" s="82"/>
      <c r="S351" s="82"/>
      <c r="T351" s="82"/>
      <c r="U351" s="82"/>
      <c r="V351" s="138" t="s">
        <v>3451</v>
      </c>
      <c r="W351" s="57" t="s">
        <v>3452</v>
      </c>
      <c r="X351" s="126" t="s">
        <v>2511</v>
      </c>
      <c r="Y351" s="126" t="s">
        <v>2511</v>
      </c>
      <c r="Z351" s="57"/>
      <c r="AA351" s="57" t="s">
        <v>3453</v>
      </c>
      <c r="AB351" s="137"/>
      <c r="AC351" s="137">
        <v>0</v>
      </c>
      <c r="AD351" s="93"/>
      <c r="AE351" s="93"/>
      <c r="AF351" s="93"/>
      <c r="AG351" s="93"/>
      <c r="AH351" s="94"/>
      <c r="AI351" s="83"/>
      <c r="AJ351" s="84"/>
      <c r="AK351" s="84"/>
      <c r="AL351" s="84"/>
      <c r="AM351" s="84"/>
      <c r="AN351" s="84"/>
      <c r="AO351" s="84"/>
      <c r="AP351" s="84"/>
      <c r="AQ351" s="105" t="s">
        <v>225</v>
      </c>
      <c r="AR351" s="72"/>
      <c r="AS351" s="72"/>
      <c r="AT351" s="72"/>
      <c r="AU351" s="72"/>
      <c r="AV351" s="72"/>
      <c r="AW351" s="72"/>
      <c r="AX351" s="72"/>
      <c r="AY351" s="72"/>
      <c r="AZ351" s="72"/>
      <c r="BA351" s="72"/>
      <c r="BB351" s="16"/>
      <c r="BC351" s="22"/>
      <c r="BD351" s="319" t="s">
        <v>225</v>
      </c>
      <c r="BE351" s="336" t="s">
        <v>5671</v>
      </c>
    </row>
    <row r="352" spans="1:57" s="81" customFormat="1" ht="12.95" customHeight="1">
      <c r="A352" s="247" t="s">
        <v>5507</v>
      </c>
      <c r="B352" s="251">
        <v>111</v>
      </c>
      <c r="C352" s="267" t="s">
        <v>226</v>
      </c>
      <c r="D352" s="239" t="s">
        <v>3455</v>
      </c>
      <c r="E352" s="58"/>
      <c r="F352" s="59" t="s">
        <v>259</v>
      </c>
      <c r="G352" s="191" t="s">
        <v>2511</v>
      </c>
      <c r="H352" s="192" t="s">
        <v>226</v>
      </c>
      <c r="I352" s="61"/>
      <c r="J352" s="61"/>
      <c r="K352" s="62" t="s">
        <v>2511</v>
      </c>
      <c r="L352" s="60" t="s">
        <v>2511</v>
      </c>
      <c r="M352" s="61" t="s">
        <v>2389</v>
      </c>
      <c r="N352" s="61" t="s">
        <v>2523</v>
      </c>
      <c r="O352" s="61" t="s">
        <v>2523</v>
      </c>
      <c r="P352" s="62" t="s">
        <v>2511</v>
      </c>
      <c r="Q352" s="82"/>
      <c r="R352" s="82"/>
      <c r="S352" s="82"/>
      <c r="T352" s="82"/>
      <c r="U352" s="82"/>
      <c r="V352" s="138" t="s">
        <v>3456</v>
      </c>
      <c r="W352" s="57" t="s">
        <v>3452</v>
      </c>
      <c r="X352" s="126" t="s">
        <v>2511</v>
      </c>
      <c r="Y352" s="126" t="s">
        <v>2511</v>
      </c>
      <c r="Z352" s="57"/>
      <c r="AA352" s="57" t="s">
        <v>3453</v>
      </c>
      <c r="AB352" s="138"/>
      <c r="AC352" s="138">
        <v>0</v>
      </c>
      <c r="AD352" s="80"/>
      <c r="AE352" s="80"/>
      <c r="AF352" s="80"/>
      <c r="AG352" s="80"/>
      <c r="AH352" s="83"/>
      <c r="AI352" s="83"/>
      <c r="AJ352" s="84"/>
      <c r="AK352" s="84"/>
      <c r="AL352" s="84"/>
      <c r="AM352" s="84"/>
      <c r="AN352" s="84"/>
      <c r="AO352" s="84"/>
      <c r="AP352" s="84"/>
      <c r="AQ352" s="103" t="s">
        <v>226</v>
      </c>
      <c r="AR352" s="72"/>
      <c r="AS352" s="72"/>
      <c r="AT352" s="72"/>
      <c r="AU352" s="72"/>
      <c r="AV352" s="72"/>
      <c r="AW352" s="72"/>
      <c r="AX352" s="72"/>
      <c r="AY352" s="72"/>
      <c r="AZ352" s="72"/>
      <c r="BA352" s="72"/>
      <c r="BB352" s="16"/>
      <c r="BC352" s="72"/>
      <c r="BD352" s="319" t="s">
        <v>226</v>
      </c>
      <c r="BE352" s="338"/>
    </row>
    <row r="353" spans="1:57" s="81" customFormat="1" ht="12.95" customHeight="1">
      <c r="A353" s="247" t="s">
        <v>5508</v>
      </c>
      <c r="B353" s="251">
        <v>115</v>
      </c>
      <c r="C353" s="267" t="s">
        <v>214</v>
      </c>
      <c r="D353" s="239" t="s">
        <v>3458</v>
      </c>
      <c r="E353" s="58"/>
      <c r="F353" s="59" t="s">
        <v>254</v>
      </c>
      <c r="G353" s="191" t="s">
        <v>2511</v>
      </c>
      <c r="H353" s="192" t="s">
        <v>214</v>
      </c>
      <c r="I353" s="61"/>
      <c r="J353" s="61"/>
      <c r="K353" s="62" t="s">
        <v>2511</v>
      </c>
      <c r="L353" s="60" t="s">
        <v>2511</v>
      </c>
      <c r="M353" s="61" t="s">
        <v>2389</v>
      </c>
      <c r="N353" s="61" t="s">
        <v>2388</v>
      </c>
      <c r="O353" s="61" t="s">
        <v>2389</v>
      </c>
      <c r="P353" s="62" t="s">
        <v>2511</v>
      </c>
      <c r="Q353" s="82"/>
      <c r="R353" s="82"/>
      <c r="S353" s="82"/>
      <c r="T353" s="82"/>
      <c r="U353" s="82"/>
      <c r="V353" s="138" t="s">
        <v>3459</v>
      </c>
      <c r="W353" s="57" t="s">
        <v>3452</v>
      </c>
      <c r="X353" s="126" t="s">
        <v>2511</v>
      </c>
      <c r="Y353" s="126" t="s">
        <v>2511</v>
      </c>
      <c r="Z353" s="57"/>
      <c r="AA353" s="57" t="s">
        <v>3453</v>
      </c>
      <c r="AB353" s="138"/>
      <c r="AC353" s="138">
        <v>0</v>
      </c>
      <c r="AD353" s="80"/>
      <c r="AE353" s="80"/>
      <c r="AF353" s="80"/>
      <c r="AG353" s="80"/>
      <c r="AH353" s="83"/>
      <c r="AI353" s="83"/>
      <c r="AJ353" s="84"/>
      <c r="AK353" s="84"/>
      <c r="AL353" s="84"/>
      <c r="AM353" s="84"/>
      <c r="AN353" s="84"/>
      <c r="AO353" s="84"/>
      <c r="AP353" s="84"/>
      <c r="AQ353" s="103" t="s">
        <v>214</v>
      </c>
      <c r="AR353" s="72"/>
      <c r="AS353" s="72"/>
      <c r="AT353" s="72"/>
      <c r="AU353" s="72"/>
      <c r="AV353" s="72"/>
      <c r="AW353" s="72"/>
      <c r="AX353" s="72"/>
      <c r="AY353" s="72"/>
      <c r="AZ353" s="72"/>
      <c r="BA353" s="72"/>
      <c r="BB353" s="16"/>
      <c r="BC353" s="72"/>
      <c r="BD353" s="319" t="s">
        <v>214</v>
      </c>
      <c r="BE353" s="336" t="s">
        <v>5672</v>
      </c>
    </row>
    <row r="354" spans="1:57" s="81" customFormat="1" ht="12.95" customHeight="1">
      <c r="A354" s="247" t="s">
        <v>5509</v>
      </c>
      <c r="B354" s="251">
        <v>117</v>
      </c>
      <c r="C354" s="267" t="s">
        <v>215</v>
      </c>
      <c r="D354" s="239" t="s">
        <v>96</v>
      </c>
      <c r="E354" s="58"/>
      <c r="F354" s="59" t="s">
        <v>255</v>
      </c>
      <c r="G354" s="191" t="s">
        <v>2511</v>
      </c>
      <c r="H354" s="192" t="s">
        <v>215</v>
      </c>
      <c r="I354" s="61"/>
      <c r="J354" s="61"/>
      <c r="K354" s="62" t="s">
        <v>2511</v>
      </c>
      <c r="L354" s="60" t="s">
        <v>2511</v>
      </c>
      <c r="M354" s="61" t="s">
        <v>2389</v>
      </c>
      <c r="N354" s="61" t="s">
        <v>2523</v>
      </c>
      <c r="O354" s="61" t="s">
        <v>2523</v>
      </c>
      <c r="P354" s="62" t="s">
        <v>2511</v>
      </c>
      <c r="Q354" s="82"/>
      <c r="R354" s="82"/>
      <c r="S354" s="82"/>
      <c r="T354" s="82"/>
      <c r="U354" s="82"/>
      <c r="V354" s="138" t="s">
        <v>3460</v>
      </c>
      <c r="W354" s="57" t="s">
        <v>3452</v>
      </c>
      <c r="X354" s="126" t="s">
        <v>2511</v>
      </c>
      <c r="Y354" s="126" t="s">
        <v>2511</v>
      </c>
      <c r="Z354" s="57"/>
      <c r="AA354" s="57" t="s">
        <v>3453</v>
      </c>
      <c r="AB354" s="138"/>
      <c r="AC354" s="138">
        <v>0</v>
      </c>
      <c r="AD354" s="80"/>
      <c r="AE354" s="80"/>
      <c r="AF354" s="80"/>
      <c r="AG354" s="80"/>
      <c r="AH354" s="83"/>
      <c r="AI354" s="83"/>
      <c r="AJ354" s="84"/>
      <c r="AK354" s="84"/>
      <c r="AL354" s="84"/>
      <c r="AM354" s="84"/>
      <c r="AN354" s="84"/>
      <c r="AO354" s="84"/>
      <c r="AP354" s="84"/>
      <c r="AQ354" s="103" t="s">
        <v>215</v>
      </c>
      <c r="AR354" s="72"/>
      <c r="AS354" s="72"/>
      <c r="AT354" s="72"/>
      <c r="AU354" s="72"/>
      <c r="AV354" s="72"/>
      <c r="AW354" s="72"/>
      <c r="AX354" s="72"/>
      <c r="AY354" s="72"/>
      <c r="AZ354" s="72"/>
      <c r="BA354" s="72"/>
      <c r="BB354" s="16"/>
      <c r="BC354" s="72"/>
      <c r="BD354" s="319" t="s">
        <v>215</v>
      </c>
      <c r="BE354" s="338" t="s">
        <v>80</v>
      </c>
    </row>
    <row r="355" spans="1:57" s="81" customFormat="1" ht="12.95" customHeight="1">
      <c r="A355" s="247" t="s">
        <v>5510</v>
      </c>
      <c r="B355" s="251">
        <v>121</v>
      </c>
      <c r="C355" s="267" t="s">
        <v>227</v>
      </c>
      <c r="D355" s="239" t="s">
        <v>2808</v>
      </c>
      <c r="E355" s="58"/>
      <c r="F355" s="59" t="s">
        <v>256</v>
      </c>
      <c r="G355" s="191" t="s">
        <v>2511</v>
      </c>
      <c r="H355" s="192" t="s">
        <v>227</v>
      </c>
      <c r="I355" s="61" t="s">
        <v>2511</v>
      </c>
      <c r="J355" s="61" t="s">
        <v>2511</v>
      </c>
      <c r="K355" s="62" t="s">
        <v>2511</v>
      </c>
      <c r="L355" s="60" t="s">
        <v>2511</v>
      </c>
      <c r="M355" s="61" t="s">
        <v>2389</v>
      </c>
      <c r="N355" s="61" t="s">
        <v>2511</v>
      </c>
      <c r="O355" s="61" t="s">
        <v>2511</v>
      </c>
      <c r="P355" s="62" t="s">
        <v>2511</v>
      </c>
      <c r="Q355" s="82"/>
      <c r="R355" s="82"/>
      <c r="S355" s="82"/>
      <c r="T355" s="82"/>
      <c r="U355" s="82"/>
      <c r="V355" s="138" t="s">
        <v>3462</v>
      </c>
      <c r="W355" s="57" t="s">
        <v>3452</v>
      </c>
      <c r="X355" s="126" t="s">
        <v>2511</v>
      </c>
      <c r="Y355" s="126" t="s">
        <v>2511</v>
      </c>
      <c r="Z355" s="57"/>
      <c r="AA355" s="57" t="s">
        <v>3453</v>
      </c>
      <c r="AB355" s="138"/>
      <c r="AC355" s="138">
        <v>0</v>
      </c>
      <c r="AD355" s="80"/>
      <c r="AE355" s="80"/>
      <c r="AF355" s="80"/>
      <c r="AG355" s="80"/>
      <c r="AH355" s="83"/>
      <c r="AI355" s="83"/>
      <c r="AJ355" s="84"/>
      <c r="AK355" s="84"/>
      <c r="AL355" s="84"/>
      <c r="AM355" s="84"/>
      <c r="AN355" s="84"/>
      <c r="AO355" s="84"/>
      <c r="AP355" s="84"/>
      <c r="AQ355" s="105" t="s">
        <v>227</v>
      </c>
      <c r="AR355" s="72"/>
      <c r="AS355" s="72"/>
      <c r="AT355" s="72"/>
      <c r="AU355" s="72"/>
      <c r="AV355" s="72"/>
      <c r="AW355" s="72"/>
      <c r="AX355" s="72"/>
      <c r="AY355" s="72"/>
      <c r="AZ355" s="72"/>
      <c r="BA355" s="72"/>
      <c r="BB355" s="16"/>
      <c r="BC355" s="72"/>
      <c r="BD355" s="319" t="s">
        <v>227</v>
      </c>
      <c r="BE355" s="336" t="s">
        <v>5673</v>
      </c>
    </row>
    <row r="356" spans="1:57" s="81" customFormat="1" ht="12.95" customHeight="1">
      <c r="A356" s="247" t="s">
        <v>5511</v>
      </c>
      <c r="B356" s="251">
        <v>123</v>
      </c>
      <c r="C356" s="267" t="s">
        <v>228</v>
      </c>
      <c r="D356" s="239" t="s">
        <v>2805</v>
      </c>
      <c r="E356" s="58"/>
      <c r="F356" s="59" t="s">
        <v>257</v>
      </c>
      <c r="G356" s="191" t="s">
        <v>2511</v>
      </c>
      <c r="H356" s="192" t="s">
        <v>228</v>
      </c>
      <c r="I356" s="61" t="s">
        <v>2511</v>
      </c>
      <c r="J356" s="61" t="s">
        <v>2511</v>
      </c>
      <c r="K356" s="62" t="s">
        <v>2511</v>
      </c>
      <c r="L356" s="60" t="s">
        <v>2511</v>
      </c>
      <c r="M356" s="61" t="s">
        <v>2389</v>
      </c>
      <c r="N356" s="61" t="s">
        <v>2511</v>
      </c>
      <c r="O356" s="61" t="s">
        <v>2511</v>
      </c>
      <c r="P356" s="62" t="s">
        <v>2511</v>
      </c>
      <c r="Q356" s="82"/>
      <c r="R356" s="82"/>
      <c r="S356" s="82"/>
      <c r="T356" s="82"/>
      <c r="U356" s="82"/>
      <c r="V356" s="138" t="s">
        <v>3463</v>
      </c>
      <c r="W356" s="57" t="s">
        <v>3452</v>
      </c>
      <c r="X356" s="126" t="s">
        <v>2511</v>
      </c>
      <c r="Y356" s="126" t="s">
        <v>2511</v>
      </c>
      <c r="Z356" s="57"/>
      <c r="AA356" s="57" t="s">
        <v>3453</v>
      </c>
      <c r="AB356" s="138"/>
      <c r="AC356" s="138">
        <v>0</v>
      </c>
      <c r="AD356" s="80"/>
      <c r="AE356" s="80"/>
      <c r="AF356" s="80"/>
      <c r="AG356" s="80"/>
      <c r="AH356" s="83"/>
      <c r="AI356" s="83"/>
      <c r="AJ356" s="84"/>
      <c r="AK356" s="84"/>
      <c r="AL356" s="84"/>
      <c r="AM356" s="84"/>
      <c r="AN356" s="84"/>
      <c r="AO356" s="84"/>
      <c r="AP356" s="84"/>
      <c r="AQ356" s="103" t="s">
        <v>228</v>
      </c>
      <c r="AR356" s="72"/>
      <c r="AS356" s="72"/>
      <c r="AT356" s="72"/>
      <c r="AU356" s="72"/>
      <c r="AV356" s="72"/>
      <c r="AW356" s="72"/>
      <c r="AX356" s="72"/>
      <c r="AY356" s="72"/>
      <c r="AZ356" s="72"/>
      <c r="BA356" s="72"/>
      <c r="BB356" s="16"/>
      <c r="BC356" s="72"/>
      <c r="BD356" s="319" t="s">
        <v>228</v>
      </c>
      <c r="BE356" s="338" t="s">
        <v>80</v>
      </c>
    </row>
    <row r="357" spans="1:57" s="81" customFormat="1" ht="12.95" hidden="1" customHeight="1">
      <c r="A357" s="248" t="e">
        <v>#N/A</v>
      </c>
      <c r="B357" s="252" t="e">
        <v>#N/A</v>
      </c>
      <c r="C357" s="269" t="s">
        <v>1096</v>
      </c>
      <c r="D357" s="239" t="s">
        <v>94</v>
      </c>
      <c r="E357" s="58"/>
      <c r="F357" s="59" t="s">
        <v>2267</v>
      </c>
      <c r="G357" s="191" t="s">
        <v>2511</v>
      </c>
      <c r="H357" s="192" t="s">
        <v>1096</v>
      </c>
      <c r="I357" s="61" t="s">
        <v>2511</v>
      </c>
      <c r="J357" s="61" t="s">
        <v>2511</v>
      </c>
      <c r="K357" s="62" t="s">
        <v>2511</v>
      </c>
      <c r="L357" s="60" t="s">
        <v>2511</v>
      </c>
      <c r="M357" s="61" t="s">
        <v>2389</v>
      </c>
      <c r="N357" s="61" t="s">
        <v>2511</v>
      </c>
      <c r="O357" s="61" t="s">
        <v>2511</v>
      </c>
      <c r="P357" s="62" t="s">
        <v>2511</v>
      </c>
      <c r="Q357" s="82"/>
      <c r="R357" s="82"/>
      <c r="S357" s="82"/>
      <c r="T357" s="82"/>
      <c r="U357" s="82"/>
      <c r="V357" s="138" t="s">
        <v>3465</v>
      </c>
      <c r="W357" s="57" t="s">
        <v>3452</v>
      </c>
      <c r="X357" s="126" t="s">
        <v>2511</v>
      </c>
      <c r="Y357" s="126" t="s">
        <v>2511</v>
      </c>
      <c r="Z357" s="57"/>
      <c r="AA357" s="57" t="s">
        <v>3453</v>
      </c>
      <c r="AB357" s="138"/>
      <c r="AC357" s="138">
        <v>0</v>
      </c>
      <c r="AD357" s="80"/>
      <c r="AE357" s="80"/>
      <c r="AF357" s="80"/>
      <c r="AG357" s="80"/>
      <c r="AH357" s="83"/>
      <c r="AI357" s="83"/>
      <c r="AJ357" s="84"/>
      <c r="AK357" s="84"/>
      <c r="AL357" s="84"/>
      <c r="AM357" s="84"/>
      <c r="AN357" s="84"/>
      <c r="AO357" s="84"/>
      <c r="AP357" s="84"/>
      <c r="AQ357" s="105" t="s">
        <v>1096</v>
      </c>
      <c r="AR357" s="72"/>
      <c r="AS357" s="72"/>
      <c r="AT357" s="72"/>
      <c r="AU357" s="72"/>
      <c r="AV357" s="72"/>
      <c r="AW357" s="72"/>
      <c r="AX357" s="72"/>
      <c r="AY357" s="72"/>
      <c r="AZ357" s="72"/>
      <c r="BA357" s="72"/>
      <c r="BB357" s="16"/>
      <c r="BC357" s="72"/>
      <c r="BD357" s="147" t="s">
        <v>83</v>
      </c>
      <c r="BE357" s="147" t="s">
        <v>83</v>
      </c>
    </row>
    <row r="358" spans="1:57" s="81" customFormat="1" ht="12.95" hidden="1" customHeight="1">
      <c r="A358" s="248" t="e">
        <v>#N/A</v>
      </c>
      <c r="B358" s="252" t="e">
        <v>#N/A</v>
      </c>
      <c r="C358" s="269" t="s">
        <v>1095</v>
      </c>
      <c r="D358" s="239" t="s">
        <v>3466</v>
      </c>
      <c r="E358" s="58"/>
      <c r="F358" s="59" t="s">
        <v>2333</v>
      </c>
      <c r="G358" s="191" t="s">
        <v>2511</v>
      </c>
      <c r="H358" s="192" t="s">
        <v>1095</v>
      </c>
      <c r="I358" s="61" t="s">
        <v>2511</v>
      </c>
      <c r="J358" s="61" t="s">
        <v>2511</v>
      </c>
      <c r="K358" s="62" t="s">
        <v>2511</v>
      </c>
      <c r="L358" s="60" t="s">
        <v>2511</v>
      </c>
      <c r="M358" s="61" t="s">
        <v>2389</v>
      </c>
      <c r="N358" s="61" t="s">
        <v>2511</v>
      </c>
      <c r="O358" s="61" t="s">
        <v>2511</v>
      </c>
      <c r="P358" s="62" t="s">
        <v>2511</v>
      </c>
      <c r="Q358" s="82"/>
      <c r="R358" s="82"/>
      <c r="S358" s="82"/>
      <c r="T358" s="82"/>
      <c r="U358" s="82"/>
      <c r="V358" s="138" t="s">
        <v>3467</v>
      </c>
      <c r="W358" s="57" t="s">
        <v>3452</v>
      </c>
      <c r="X358" s="126" t="s">
        <v>2511</v>
      </c>
      <c r="Y358" s="126" t="s">
        <v>2511</v>
      </c>
      <c r="Z358" s="57"/>
      <c r="AA358" s="57" t="s">
        <v>3453</v>
      </c>
      <c r="AB358" s="138"/>
      <c r="AC358" s="138">
        <v>0</v>
      </c>
      <c r="AD358" s="80"/>
      <c r="AE358" s="80"/>
      <c r="AF358" s="80"/>
      <c r="AG358" s="80"/>
      <c r="AH358" s="83"/>
      <c r="AI358" s="83"/>
      <c r="AJ358" s="84"/>
      <c r="AK358" s="84"/>
      <c r="AL358" s="84"/>
      <c r="AM358" s="84"/>
      <c r="AN358" s="84"/>
      <c r="AO358" s="84"/>
      <c r="AP358" s="84"/>
      <c r="AQ358" s="103" t="s">
        <v>1095</v>
      </c>
      <c r="AR358" s="72"/>
      <c r="AS358" s="72"/>
      <c r="AT358" s="72"/>
      <c r="AU358" s="72"/>
      <c r="AV358" s="72"/>
      <c r="AW358" s="72"/>
      <c r="AX358" s="72"/>
      <c r="AY358" s="72"/>
      <c r="AZ358" s="72"/>
      <c r="BA358" s="72"/>
      <c r="BB358" s="16"/>
      <c r="BC358" s="72"/>
      <c r="BD358" s="147" t="s">
        <v>83</v>
      </c>
      <c r="BE358" s="147" t="s">
        <v>83</v>
      </c>
    </row>
    <row r="359" spans="1:57" s="91" customFormat="1" ht="18" customHeight="1">
      <c r="A359" s="367"/>
      <c r="B359" s="368"/>
      <c r="C359" s="268" t="s">
        <v>769</v>
      </c>
      <c r="D359" s="268"/>
      <c r="E359" s="86"/>
      <c r="F359" s="86"/>
      <c r="G359" s="87"/>
      <c r="H359" s="87"/>
      <c r="I359" s="87"/>
      <c r="J359" s="87"/>
      <c r="K359" s="87"/>
      <c r="L359" s="86"/>
      <c r="M359" s="86"/>
      <c r="N359" s="86"/>
      <c r="O359" s="86"/>
      <c r="P359" s="86"/>
      <c r="Q359" s="86"/>
      <c r="R359" s="86"/>
      <c r="S359" s="86"/>
      <c r="T359" s="86"/>
      <c r="U359" s="86"/>
      <c r="V359" s="86"/>
      <c r="W359" s="86"/>
      <c r="X359" s="129"/>
      <c r="Y359" s="129"/>
      <c r="Z359" s="88"/>
      <c r="AA359" s="88"/>
      <c r="AB359" s="88"/>
      <c r="AC359" s="88"/>
      <c r="AD359" s="88"/>
      <c r="AE359" s="88"/>
      <c r="AF359" s="88"/>
      <c r="AG359" s="88"/>
      <c r="AH359" s="88"/>
      <c r="AI359" s="88"/>
      <c r="AJ359" s="88"/>
      <c r="AK359" s="88"/>
      <c r="AL359" s="88"/>
      <c r="AM359" s="88"/>
      <c r="AN359" s="88"/>
      <c r="AO359" s="88"/>
      <c r="AP359" s="88"/>
      <c r="AQ359" s="89"/>
      <c r="AR359" s="100"/>
      <c r="AS359" s="101"/>
      <c r="AT359" s="101"/>
      <c r="AU359" s="101"/>
      <c r="AV359" s="101"/>
      <c r="AW359" s="101"/>
      <c r="AX359" s="101"/>
      <c r="AY359" s="101"/>
      <c r="AZ359" s="101"/>
      <c r="BA359" s="101"/>
      <c r="BB359" s="101"/>
      <c r="BC359" s="175" t="s">
        <v>956</v>
      </c>
      <c r="BD359" s="101"/>
      <c r="BE359" s="100" t="s">
        <v>769</v>
      </c>
    </row>
    <row r="360" spans="1:57" s="81" customFormat="1" ht="12.95" hidden="1" customHeight="1">
      <c r="A360" s="248" t="s">
        <v>2484</v>
      </c>
      <c r="B360" s="252" t="s">
        <v>3468</v>
      </c>
      <c r="C360" s="269" t="s">
        <v>770</v>
      </c>
      <c r="D360" s="239" t="s">
        <v>3469</v>
      </c>
      <c r="E360" s="58"/>
      <c r="F360" s="59" t="s">
        <v>826</v>
      </c>
      <c r="G360" s="191" t="s">
        <v>2511</v>
      </c>
      <c r="H360" s="192" t="s">
        <v>770</v>
      </c>
      <c r="I360" s="61" t="s">
        <v>2511</v>
      </c>
      <c r="J360" s="61" t="s">
        <v>2511</v>
      </c>
      <c r="K360" s="62" t="s">
        <v>2511</v>
      </c>
      <c r="L360" s="60" t="s">
        <v>2511</v>
      </c>
      <c r="M360" s="61" t="s">
        <v>2523</v>
      </c>
      <c r="N360" s="61" t="s">
        <v>2511</v>
      </c>
      <c r="O360" s="61" t="s">
        <v>2511</v>
      </c>
      <c r="P360" s="62" t="s">
        <v>2511</v>
      </c>
      <c r="Q360" s="82"/>
      <c r="R360" s="82"/>
      <c r="S360" s="82"/>
      <c r="T360" s="82"/>
      <c r="U360" s="82"/>
      <c r="V360" s="138" t="s">
        <v>3470</v>
      </c>
      <c r="W360" s="57" t="s">
        <v>3471</v>
      </c>
      <c r="X360" s="126" t="s">
        <v>2511</v>
      </c>
      <c r="Y360" s="126" t="s">
        <v>2511</v>
      </c>
      <c r="Z360" s="57"/>
      <c r="AA360" s="57" t="s">
        <v>3472</v>
      </c>
      <c r="AB360" s="137"/>
      <c r="AC360" s="137" t="s">
        <v>2631</v>
      </c>
      <c r="AD360" s="80"/>
      <c r="AE360" s="80"/>
      <c r="AF360" s="80"/>
      <c r="AG360" s="80"/>
      <c r="AH360" s="83"/>
      <c r="AI360" s="83"/>
      <c r="AJ360" s="84"/>
      <c r="AK360" s="84"/>
      <c r="AL360" s="84"/>
      <c r="AM360" s="84"/>
      <c r="AN360" s="84"/>
      <c r="AO360" s="84"/>
      <c r="AP360" s="84"/>
      <c r="AQ360" s="105" t="s">
        <v>826</v>
      </c>
      <c r="AR360" s="72"/>
      <c r="AS360" s="72"/>
      <c r="AT360" s="72"/>
      <c r="AU360" s="72"/>
      <c r="AV360" s="72"/>
      <c r="AW360" s="72"/>
      <c r="AX360" s="72"/>
      <c r="AY360" s="72"/>
      <c r="AZ360" s="72"/>
      <c r="BA360" s="72"/>
      <c r="BB360" s="16"/>
      <c r="BC360" s="72"/>
      <c r="BD360" s="147" t="s">
        <v>83</v>
      </c>
      <c r="BE360" s="147" t="s">
        <v>83</v>
      </c>
    </row>
    <row r="361" spans="1:57" s="81" customFormat="1" ht="12.95" hidden="1" customHeight="1">
      <c r="A361" s="248" t="s">
        <v>2485</v>
      </c>
      <c r="B361" s="252" t="s">
        <v>3473</v>
      </c>
      <c r="C361" s="269" t="s">
        <v>771</v>
      </c>
      <c r="D361" s="239" t="s">
        <v>3474</v>
      </c>
      <c r="E361" s="58"/>
      <c r="F361" s="59" t="s">
        <v>825</v>
      </c>
      <c r="G361" s="191" t="s">
        <v>2511</v>
      </c>
      <c r="H361" s="192" t="s">
        <v>771</v>
      </c>
      <c r="I361" s="61" t="s">
        <v>2511</v>
      </c>
      <c r="J361" s="61" t="s">
        <v>2511</v>
      </c>
      <c r="K361" s="62" t="s">
        <v>2511</v>
      </c>
      <c r="L361" s="60" t="s">
        <v>2511</v>
      </c>
      <c r="M361" s="61" t="s">
        <v>2523</v>
      </c>
      <c r="N361" s="61" t="s">
        <v>2511</v>
      </c>
      <c r="O361" s="61" t="s">
        <v>2511</v>
      </c>
      <c r="P361" s="62" t="s">
        <v>2511</v>
      </c>
      <c r="Q361" s="82"/>
      <c r="R361" s="82"/>
      <c r="S361" s="82"/>
      <c r="T361" s="82"/>
      <c r="U361" s="82"/>
      <c r="V361" s="138" t="s">
        <v>3475</v>
      </c>
      <c r="W361" s="57" t="s">
        <v>3471</v>
      </c>
      <c r="X361" s="126" t="s">
        <v>2511</v>
      </c>
      <c r="Y361" s="126" t="s">
        <v>2511</v>
      </c>
      <c r="Z361" s="57"/>
      <c r="AA361" s="57" t="s">
        <v>3472</v>
      </c>
      <c r="AB361" s="138"/>
      <c r="AC361" s="138" t="s">
        <v>2631</v>
      </c>
      <c r="AD361" s="80"/>
      <c r="AE361" s="80"/>
      <c r="AF361" s="80"/>
      <c r="AG361" s="80"/>
      <c r="AH361" s="83"/>
      <c r="AI361" s="83"/>
      <c r="AJ361" s="84"/>
      <c r="AK361" s="84"/>
      <c r="AL361" s="84"/>
      <c r="AM361" s="84"/>
      <c r="AN361" s="84"/>
      <c r="AO361" s="84"/>
      <c r="AP361" s="84"/>
      <c r="AQ361" s="103" t="s">
        <v>825</v>
      </c>
      <c r="AR361" s="72"/>
      <c r="AS361" s="72"/>
      <c r="AT361" s="72"/>
      <c r="AU361" s="72"/>
      <c r="AV361" s="72"/>
      <c r="AW361" s="72"/>
      <c r="AX361" s="72"/>
      <c r="AY361" s="72"/>
      <c r="AZ361" s="72"/>
      <c r="BA361" s="72"/>
      <c r="BB361" s="16"/>
      <c r="BC361" s="72"/>
      <c r="BD361" s="147" t="s">
        <v>83</v>
      </c>
      <c r="BE361" s="147" t="s">
        <v>83</v>
      </c>
    </row>
    <row r="362" spans="1:57" s="81" customFormat="1" ht="12.95" hidden="1" customHeight="1">
      <c r="A362" s="248" t="s">
        <v>2486</v>
      </c>
      <c r="B362" s="252" t="s">
        <v>3476</v>
      </c>
      <c r="C362" s="269" t="s">
        <v>1097</v>
      </c>
      <c r="D362" s="239" t="s">
        <v>3477</v>
      </c>
      <c r="E362" s="58"/>
      <c r="F362" s="59" t="s">
        <v>2268</v>
      </c>
      <c r="G362" s="191" t="s">
        <v>2511</v>
      </c>
      <c r="H362" s="192" t="s">
        <v>1097</v>
      </c>
      <c r="I362" s="61" t="s">
        <v>2511</v>
      </c>
      <c r="J362" s="61" t="s">
        <v>2511</v>
      </c>
      <c r="K362" s="62" t="s">
        <v>2511</v>
      </c>
      <c r="L362" s="60" t="s">
        <v>2511</v>
      </c>
      <c r="M362" s="61" t="s">
        <v>2523</v>
      </c>
      <c r="N362" s="61" t="s">
        <v>2511</v>
      </c>
      <c r="O362" s="61" t="s">
        <v>2511</v>
      </c>
      <c r="P362" s="62" t="s">
        <v>2511</v>
      </c>
      <c r="Q362" s="82"/>
      <c r="R362" s="82"/>
      <c r="S362" s="82"/>
      <c r="T362" s="82"/>
      <c r="U362" s="82"/>
      <c r="V362" s="138" t="s">
        <v>3478</v>
      </c>
      <c r="W362" s="57" t="s">
        <v>3471</v>
      </c>
      <c r="X362" s="126" t="s">
        <v>2511</v>
      </c>
      <c r="Y362" s="126" t="s">
        <v>2511</v>
      </c>
      <c r="Z362" s="57"/>
      <c r="AA362" s="57" t="s">
        <v>3472</v>
      </c>
      <c r="AB362" s="138"/>
      <c r="AC362" s="138" t="s">
        <v>2631</v>
      </c>
      <c r="AD362" s="80"/>
      <c r="AE362" s="80"/>
      <c r="AF362" s="80"/>
      <c r="AG362" s="80"/>
      <c r="AH362" s="83"/>
      <c r="AI362" s="83"/>
      <c r="AJ362" s="84"/>
      <c r="AK362" s="84"/>
      <c r="AL362" s="84"/>
      <c r="AM362" s="84"/>
      <c r="AN362" s="84"/>
      <c r="AO362" s="84"/>
      <c r="AP362" s="84"/>
      <c r="AQ362" s="105" t="s">
        <v>2268</v>
      </c>
      <c r="AR362" s="72"/>
      <c r="AS362" s="72"/>
      <c r="AT362" s="72"/>
      <c r="AU362" s="72"/>
      <c r="AV362" s="72"/>
      <c r="AW362" s="72"/>
      <c r="AX362" s="72"/>
      <c r="AY362" s="72"/>
      <c r="AZ362" s="72"/>
      <c r="BA362" s="72"/>
      <c r="BB362" s="16"/>
      <c r="BC362" s="72"/>
      <c r="BD362" s="147" t="s">
        <v>83</v>
      </c>
      <c r="BE362" s="147" t="s">
        <v>83</v>
      </c>
    </row>
    <row r="363" spans="1:57" s="81" customFormat="1" ht="12.95" hidden="1" customHeight="1">
      <c r="A363" s="248" t="s">
        <v>2487</v>
      </c>
      <c r="B363" s="252" t="s">
        <v>3479</v>
      </c>
      <c r="C363" s="269" t="s">
        <v>1098</v>
      </c>
      <c r="D363" s="239" t="s">
        <v>3480</v>
      </c>
      <c r="E363" s="58"/>
      <c r="F363" s="59" t="s">
        <v>2269</v>
      </c>
      <c r="G363" s="191" t="s">
        <v>2511</v>
      </c>
      <c r="H363" s="192" t="s">
        <v>1098</v>
      </c>
      <c r="I363" s="61" t="s">
        <v>2511</v>
      </c>
      <c r="J363" s="61" t="s">
        <v>2511</v>
      </c>
      <c r="K363" s="62" t="s">
        <v>2511</v>
      </c>
      <c r="L363" s="60" t="s">
        <v>2511</v>
      </c>
      <c r="M363" s="61" t="s">
        <v>2523</v>
      </c>
      <c r="N363" s="61" t="s">
        <v>2511</v>
      </c>
      <c r="O363" s="61" t="s">
        <v>2511</v>
      </c>
      <c r="P363" s="62" t="s">
        <v>2511</v>
      </c>
      <c r="Q363" s="82"/>
      <c r="R363" s="82"/>
      <c r="S363" s="82"/>
      <c r="T363" s="82"/>
      <c r="U363" s="82"/>
      <c r="V363" s="138" t="s">
        <v>3481</v>
      </c>
      <c r="W363" s="57" t="s">
        <v>3471</v>
      </c>
      <c r="X363" s="126" t="s">
        <v>2511</v>
      </c>
      <c r="Y363" s="126" t="s">
        <v>2511</v>
      </c>
      <c r="Z363" s="57"/>
      <c r="AA363" s="57" t="s">
        <v>3472</v>
      </c>
      <c r="AB363" s="138"/>
      <c r="AC363" s="138" t="s">
        <v>2631</v>
      </c>
      <c r="AD363" s="80"/>
      <c r="AE363" s="80"/>
      <c r="AF363" s="80"/>
      <c r="AG363" s="80"/>
      <c r="AH363" s="83"/>
      <c r="AI363" s="83"/>
      <c r="AJ363" s="84"/>
      <c r="AK363" s="84"/>
      <c r="AL363" s="84"/>
      <c r="AM363" s="84"/>
      <c r="AN363" s="84"/>
      <c r="AO363" s="84"/>
      <c r="AP363" s="84"/>
      <c r="AQ363" s="103" t="s">
        <v>2269</v>
      </c>
      <c r="AR363" s="72"/>
      <c r="AS363" s="72"/>
      <c r="AT363" s="72"/>
      <c r="AU363" s="72"/>
      <c r="AV363" s="72"/>
      <c r="AW363" s="72"/>
      <c r="AX363" s="72"/>
      <c r="AY363" s="72"/>
      <c r="AZ363" s="72"/>
      <c r="BA363" s="72"/>
      <c r="BB363" s="16"/>
      <c r="BC363" s="72"/>
      <c r="BD363" s="147" t="s">
        <v>83</v>
      </c>
      <c r="BE363" s="147" t="s">
        <v>83</v>
      </c>
    </row>
    <row r="364" spans="1:57" s="81" customFormat="1" ht="12.95" hidden="1" customHeight="1">
      <c r="A364" s="248" t="e">
        <v>#N/A</v>
      </c>
      <c r="B364" s="252" t="e">
        <v>#N/A</v>
      </c>
      <c r="C364" s="269" t="s">
        <v>311</v>
      </c>
      <c r="D364" s="239" t="s">
        <v>3173</v>
      </c>
      <c r="E364" s="58"/>
      <c r="F364" s="59" t="s">
        <v>529</v>
      </c>
      <c r="G364" s="191" t="s">
        <v>2511</v>
      </c>
      <c r="H364" s="192" t="s">
        <v>890</v>
      </c>
      <c r="I364" s="61" t="s">
        <v>2511</v>
      </c>
      <c r="J364" s="61"/>
      <c r="K364" s="62" t="s">
        <v>2511</v>
      </c>
      <c r="L364" s="60" t="s">
        <v>2511</v>
      </c>
      <c r="M364" s="61" t="s">
        <v>2523</v>
      </c>
      <c r="N364" s="61" t="s">
        <v>2511</v>
      </c>
      <c r="O364" s="61"/>
      <c r="P364" s="62" t="s">
        <v>2511</v>
      </c>
      <c r="Q364" s="82"/>
      <c r="R364" s="82"/>
      <c r="S364" s="82"/>
      <c r="T364" s="82"/>
      <c r="U364" s="82"/>
      <c r="V364" s="138" t="s">
        <v>3482</v>
      </c>
      <c r="W364" s="57" t="s">
        <v>3471</v>
      </c>
      <c r="X364" s="126" t="s">
        <v>2511</v>
      </c>
      <c r="Y364" s="126" t="s">
        <v>2511</v>
      </c>
      <c r="Z364" s="57"/>
      <c r="AA364" s="57" t="s">
        <v>3472</v>
      </c>
      <c r="AB364" s="138"/>
      <c r="AC364" s="138" t="s">
        <v>2631</v>
      </c>
      <c r="AD364" s="80"/>
      <c r="AE364" s="80"/>
      <c r="AF364" s="80"/>
      <c r="AG364" s="80"/>
      <c r="AH364" s="83"/>
      <c r="AI364" s="83"/>
      <c r="AJ364" s="84"/>
      <c r="AK364" s="84"/>
      <c r="AL364" s="84"/>
      <c r="AM364" s="84"/>
      <c r="AN364" s="84"/>
      <c r="AO364" s="84"/>
      <c r="AP364" s="84"/>
      <c r="AQ364" s="105" t="s">
        <v>529</v>
      </c>
      <c r="AR364" s="72"/>
      <c r="AS364" s="72"/>
      <c r="AT364" s="72"/>
      <c r="AU364" s="72"/>
      <c r="AV364" s="72"/>
      <c r="AW364" s="72"/>
      <c r="AX364" s="72"/>
      <c r="AY364" s="72"/>
      <c r="AZ364" s="72"/>
      <c r="BA364" s="72"/>
      <c r="BB364" s="16"/>
      <c r="BC364" s="72"/>
      <c r="BD364" s="147" t="s">
        <v>83</v>
      </c>
      <c r="BE364" s="147" t="s">
        <v>83</v>
      </c>
    </row>
    <row r="365" spans="1:57" s="81" customFormat="1" ht="12.95" hidden="1" customHeight="1">
      <c r="A365" s="248" t="e">
        <v>#N/A</v>
      </c>
      <c r="B365" s="252" t="e">
        <v>#N/A</v>
      </c>
      <c r="C365" s="269" t="s">
        <v>307</v>
      </c>
      <c r="D365" s="239" t="s">
        <v>3484</v>
      </c>
      <c r="E365" s="58"/>
      <c r="F365" s="59" t="s">
        <v>528</v>
      </c>
      <c r="G365" s="191" t="s">
        <v>2511</v>
      </c>
      <c r="H365" s="192" t="s">
        <v>891</v>
      </c>
      <c r="I365" s="61" t="s">
        <v>2511</v>
      </c>
      <c r="J365" s="61"/>
      <c r="K365" s="62" t="s">
        <v>2511</v>
      </c>
      <c r="L365" s="60" t="s">
        <v>2511</v>
      </c>
      <c r="M365" s="61" t="s">
        <v>2523</v>
      </c>
      <c r="N365" s="61" t="s">
        <v>2511</v>
      </c>
      <c r="O365" s="61"/>
      <c r="P365" s="62" t="s">
        <v>2511</v>
      </c>
      <c r="Q365" s="82"/>
      <c r="R365" s="82"/>
      <c r="S365" s="82"/>
      <c r="T365" s="82"/>
      <c r="U365" s="82"/>
      <c r="V365" s="138" t="s">
        <v>3485</v>
      </c>
      <c r="W365" s="57" t="s">
        <v>3471</v>
      </c>
      <c r="X365" s="126" t="s">
        <v>2511</v>
      </c>
      <c r="Y365" s="126" t="s">
        <v>2511</v>
      </c>
      <c r="Z365" s="57"/>
      <c r="AA365" s="57" t="s">
        <v>3472</v>
      </c>
      <c r="AB365" s="138"/>
      <c r="AC365" s="138" t="s">
        <v>2631</v>
      </c>
      <c r="AD365" s="80"/>
      <c r="AE365" s="80"/>
      <c r="AF365" s="80"/>
      <c r="AG365" s="80"/>
      <c r="AH365" s="83"/>
      <c r="AI365" s="83"/>
      <c r="AJ365" s="84"/>
      <c r="AK365" s="84"/>
      <c r="AL365" s="84"/>
      <c r="AM365" s="84"/>
      <c r="AN365" s="84"/>
      <c r="AO365" s="84"/>
      <c r="AP365" s="84"/>
      <c r="AQ365" s="103" t="s">
        <v>528</v>
      </c>
      <c r="AR365" s="72"/>
      <c r="AS365" s="72"/>
      <c r="AT365" s="72"/>
      <c r="AU365" s="72"/>
      <c r="AV365" s="72"/>
      <c r="AW365" s="72"/>
      <c r="AX365" s="72"/>
      <c r="AY365" s="72"/>
      <c r="AZ365" s="72"/>
      <c r="BA365" s="72"/>
      <c r="BB365" s="16"/>
      <c r="BC365" s="72"/>
      <c r="BD365" s="147" t="s">
        <v>83</v>
      </c>
      <c r="BE365" s="147" t="s">
        <v>83</v>
      </c>
    </row>
    <row r="366" spans="1:57" s="81" customFormat="1" ht="12.95" hidden="1" customHeight="1">
      <c r="A366" s="248" t="e">
        <v>#N/A</v>
      </c>
      <c r="B366" s="252" t="e">
        <v>#N/A</v>
      </c>
      <c r="C366" s="269" t="s">
        <v>312</v>
      </c>
      <c r="D366" s="239" t="s">
        <v>3486</v>
      </c>
      <c r="E366" s="58"/>
      <c r="F366" s="59" t="s">
        <v>531</v>
      </c>
      <c r="G366" s="191" t="s">
        <v>2511</v>
      </c>
      <c r="H366" s="192" t="s">
        <v>892</v>
      </c>
      <c r="I366" s="61" t="s">
        <v>2511</v>
      </c>
      <c r="J366" s="61"/>
      <c r="K366" s="62" t="s">
        <v>2511</v>
      </c>
      <c r="L366" s="60" t="s">
        <v>2511</v>
      </c>
      <c r="M366" s="61" t="s">
        <v>2388</v>
      </c>
      <c r="N366" s="61" t="s">
        <v>2511</v>
      </c>
      <c r="O366" s="61"/>
      <c r="P366" s="62" t="s">
        <v>2511</v>
      </c>
      <c r="Q366" s="82"/>
      <c r="R366" s="82"/>
      <c r="S366" s="82"/>
      <c r="T366" s="82"/>
      <c r="U366" s="82"/>
      <c r="V366" s="138" t="s">
        <v>3487</v>
      </c>
      <c r="W366" s="57" t="s">
        <v>3471</v>
      </c>
      <c r="X366" s="126" t="s">
        <v>2511</v>
      </c>
      <c r="Y366" s="126" t="s">
        <v>2511</v>
      </c>
      <c r="Z366" s="57"/>
      <c r="AA366" s="57" t="s">
        <v>3472</v>
      </c>
      <c r="AB366" s="138"/>
      <c r="AC366" s="138" t="s">
        <v>2631</v>
      </c>
      <c r="AD366" s="80"/>
      <c r="AE366" s="80"/>
      <c r="AF366" s="80"/>
      <c r="AG366" s="80"/>
      <c r="AH366" s="83"/>
      <c r="AI366" s="83"/>
      <c r="AJ366" s="84"/>
      <c r="AK366" s="84"/>
      <c r="AL366" s="84"/>
      <c r="AM366" s="84"/>
      <c r="AN366" s="84"/>
      <c r="AO366" s="84"/>
      <c r="AP366" s="84"/>
      <c r="AQ366" s="105" t="s">
        <v>531</v>
      </c>
      <c r="AR366" s="72"/>
      <c r="AS366" s="72"/>
      <c r="AT366" s="72"/>
      <c r="AU366" s="72"/>
      <c r="AV366" s="72"/>
      <c r="AW366" s="72"/>
      <c r="AX366" s="72"/>
      <c r="AY366" s="72"/>
      <c r="AZ366" s="72"/>
      <c r="BA366" s="72"/>
      <c r="BB366" s="16"/>
      <c r="BC366" s="72"/>
      <c r="BD366" s="147" t="s">
        <v>83</v>
      </c>
      <c r="BE366" s="147" t="s">
        <v>83</v>
      </c>
    </row>
    <row r="367" spans="1:57" s="81" customFormat="1" ht="12.95" hidden="1" customHeight="1">
      <c r="A367" s="248" t="e">
        <v>#N/A</v>
      </c>
      <c r="B367" s="252" t="e">
        <v>#N/A</v>
      </c>
      <c r="C367" s="269" t="s">
        <v>309</v>
      </c>
      <c r="D367" s="239" t="s">
        <v>3488</v>
      </c>
      <c r="E367" s="58"/>
      <c r="F367" s="59" t="s">
        <v>530</v>
      </c>
      <c r="G367" s="191" t="s">
        <v>2511</v>
      </c>
      <c r="H367" s="192" t="s">
        <v>893</v>
      </c>
      <c r="I367" s="61" t="s">
        <v>2511</v>
      </c>
      <c r="J367" s="61"/>
      <c r="K367" s="62" t="s">
        <v>2511</v>
      </c>
      <c r="L367" s="60" t="s">
        <v>2511</v>
      </c>
      <c r="M367" s="61" t="s">
        <v>2388</v>
      </c>
      <c r="N367" s="61" t="s">
        <v>2511</v>
      </c>
      <c r="O367" s="61"/>
      <c r="P367" s="62" t="s">
        <v>2511</v>
      </c>
      <c r="Q367" s="82"/>
      <c r="R367" s="82"/>
      <c r="S367" s="82"/>
      <c r="T367" s="82"/>
      <c r="U367" s="82"/>
      <c r="V367" s="138" t="s">
        <v>3489</v>
      </c>
      <c r="W367" s="57" t="s">
        <v>3471</v>
      </c>
      <c r="X367" s="126" t="s">
        <v>2511</v>
      </c>
      <c r="Y367" s="126" t="s">
        <v>2511</v>
      </c>
      <c r="Z367" s="57"/>
      <c r="AA367" s="57" t="s">
        <v>3472</v>
      </c>
      <c r="AB367" s="138"/>
      <c r="AC367" s="138" t="s">
        <v>2631</v>
      </c>
      <c r="AD367" s="80"/>
      <c r="AE367" s="80"/>
      <c r="AF367" s="80"/>
      <c r="AG367" s="80"/>
      <c r="AH367" s="83"/>
      <c r="AI367" s="83"/>
      <c r="AJ367" s="84"/>
      <c r="AK367" s="84"/>
      <c r="AL367" s="84"/>
      <c r="AM367" s="84"/>
      <c r="AN367" s="84"/>
      <c r="AO367" s="84"/>
      <c r="AP367" s="84"/>
      <c r="AQ367" s="103" t="s">
        <v>530</v>
      </c>
      <c r="AR367" s="72"/>
      <c r="AS367" s="72"/>
      <c r="AT367" s="72"/>
      <c r="AU367" s="72"/>
      <c r="AV367" s="72"/>
      <c r="AW367" s="72"/>
      <c r="AX367" s="72"/>
      <c r="AY367" s="72"/>
      <c r="AZ367" s="72"/>
      <c r="BA367" s="72"/>
      <c r="BB367" s="16"/>
      <c r="BC367" s="72"/>
      <c r="BD367" s="147" t="s">
        <v>83</v>
      </c>
      <c r="BE367" s="147" t="s">
        <v>83</v>
      </c>
    </row>
    <row r="368" spans="1:57" s="81" customFormat="1" ht="12.95" customHeight="1">
      <c r="A368" s="247" t="s">
        <v>5513</v>
      </c>
      <c r="B368" s="251">
        <v>163</v>
      </c>
      <c r="C368" s="267" t="s">
        <v>308</v>
      </c>
      <c r="D368" s="239" t="s">
        <v>3490</v>
      </c>
      <c r="E368" s="58"/>
      <c r="F368" s="59" t="s">
        <v>533</v>
      </c>
      <c r="G368" s="191" t="s">
        <v>2511</v>
      </c>
      <c r="H368" s="192" t="s">
        <v>2334</v>
      </c>
      <c r="I368" s="61"/>
      <c r="J368" s="61"/>
      <c r="K368" s="62" t="s">
        <v>2511</v>
      </c>
      <c r="L368" s="60" t="s">
        <v>2511</v>
      </c>
      <c r="M368" s="61" t="s">
        <v>2523</v>
      </c>
      <c r="N368" s="61"/>
      <c r="O368" s="61"/>
      <c r="P368" s="62" t="s">
        <v>2511</v>
      </c>
      <c r="Q368" s="82"/>
      <c r="R368" s="82"/>
      <c r="S368" s="82"/>
      <c r="T368" s="82"/>
      <c r="U368" s="82"/>
      <c r="V368" s="138" t="s">
        <v>3491</v>
      </c>
      <c r="W368" s="57" t="s">
        <v>3471</v>
      </c>
      <c r="X368" s="126" t="s">
        <v>2511</v>
      </c>
      <c r="Y368" s="126" t="s">
        <v>2511</v>
      </c>
      <c r="Z368" s="57"/>
      <c r="AA368" s="57" t="s">
        <v>3472</v>
      </c>
      <c r="AB368" s="138"/>
      <c r="AC368" s="138" t="s">
        <v>2631</v>
      </c>
      <c r="AD368" s="80"/>
      <c r="AE368" s="80"/>
      <c r="AF368" s="80"/>
      <c r="AG368" s="80"/>
      <c r="AH368" s="83"/>
      <c r="AI368" s="83"/>
      <c r="AJ368" s="84"/>
      <c r="AK368" s="84"/>
      <c r="AL368" s="84"/>
      <c r="AM368" s="84"/>
      <c r="AN368" s="84"/>
      <c r="AO368" s="84"/>
      <c r="AP368" s="84"/>
      <c r="AQ368" s="105" t="s">
        <v>2334</v>
      </c>
      <c r="AR368" s="72"/>
      <c r="AS368" s="72"/>
      <c r="AT368" s="72"/>
      <c r="AU368" s="72"/>
      <c r="AV368" s="72"/>
      <c r="AW368" s="72"/>
      <c r="AX368" s="72"/>
      <c r="AY368" s="72"/>
      <c r="AZ368" s="72"/>
      <c r="BA368" s="72"/>
      <c r="BB368" s="16"/>
      <c r="BC368" s="72"/>
      <c r="BD368" s="319" t="s">
        <v>2334</v>
      </c>
      <c r="BE368" s="336" t="s">
        <v>5675</v>
      </c>
    </row>
    <row r="369" spans="1:57" s="81" customFormat="1" ht="12.95" customHeight="1">
      <c r="A369" s="247" t="s">
        <v>5512</v>
      </c>
      <c r="B369" s="251">
        <v>161</v>
      </c>
      <c r="C369" s="267" t="s">
        <v>313</v>
      </c>
      <c r="D369" s="239" t="s">
        <v>3493</v>
      </c>
      <c r="E369" s="58"/>
      <c r="F369" s="59" t="s">
        <v>532</v>
      </c>
      <c r="G369" s="191" t="s">
        <v>2511</v>
      </c>
      <c r="H369" s="192" t="s">
        <v>2335</v>
      </c>
      <c r="I369" s="61"/>
      <c r="J369" s="61"/>
      <c r="K369" s="62" t="s">
        <v>2511</v>
      </c>
      <c r="L369" s="60" t="s">
        <v>2511</v>
      </c>
      <c r="M369" s="61" t="s">
        <v>2523</v>
      </c>
      <c r="N369" s="61"/>
      <c r="O369" s="61"/>
      <c r="P369" s="62" t="s">
        <v>2511</v>
      </c>
      <c r="Q369" s="82"/>
      <c r="R369" s="82"/>
      <c r="S369" s="82"/>
      <c r="T369" s="82"/>
      <c r="U369" s="82"/>
      <c r="V369" s="138" t="s">
        <v>3494</v>
      </c>
      <c r="W369" s="57" t="s">
        <v>3471</v>
      </c>
      <c r="X369" s="126" t="s">
        <v>2511</v>
      </c>
      <c r="Y369" s="126" t="s">
        <v>2511</v>
      </c>
      <c r="Z369" s="57"/>
      <c r="AA369" s="57" t="s">
        <v>3472</v>
      </c>
      <c r="AB369" s="138"/>
      <c r="AC369" s="138" t="s">
        <v>2631</v>
      </c>
      <c r="AD369" s="80"/>
      <c r="AE369" s="80"/>
      <c r="AF369" s="80"/>
      <c r="AG369" s="80"/>
      <c r="AH369" s="83"/>
      <c r="AI369" s="83"/>
      <c r="AJ369" s="84"/>
      <c r="AK369" s="84"/>
      <c r="AL369" s="84"/>
      <c r="AM369" s="84"/>
      <c r="AN369" s="84"/>
      <c r="AO369" s="84"/>
      <c r="AP369" s="84"/>
      <c r="AQ369" s="103" t="s">
        <v>2335</v>
      </c>
      <c r="AR369" s="72"/>
      <c r="AS369" s="72"/>
      <c r="AT369" s="72"/>
      <c r="AU369" s="72"/>
      <c r="AV369" s="72"/>
      <c r="AW369" s="72"/>
      <c r="AX369" s="72"/>
      <c r="AY369" s="72"/>
      <c r="AZ369" s="72"/>
      <c r="BA369" s="72"/>
      <c r="BB369" s="16"/>
      <c r="BC369" s="72"/>
      <c r="BD369" s="319" t="s">
        <v>2335</v>
      </c>
      <c r="BE369" s="337"/>
    </row>
    <row r="370" spans="1:57" s="81" customFormat="1" ht="12.95" customHeight="1">
      <c r="A370" s="247" t="s">
        <v>5515</v>
      </c>
      <c r="B370" s="251">
        <v>168</v>
      </c>
      <c r="C370" s="267" t="s">
        <v>314</v>
      </c>
      <c r="D370" s="239" t="s">
        <v>3496</v>
      </c>
      <c r="E370" s="58"/>
      <c r="F370" s="59" t="s">
        <v>535</v>
      </c>
      <c r="G370" s="191" t="s">
        <v>2511</v>
      </c>
      <c r="H370" s="192" t="s">
        <v>2336</v>
      </c>
      <c r="I370" s="61"/>
      <c r="J370" s="61"/>
      <c r="K370" s="62" t="s">
        <v>2511</v>
      </c>
      <c r="L370" s="60" t="s">
        <v>2511</v>
      </c>
      <c r="M370" s="61" t="s">
        <v>2388</v>
      </c>
      <c r="N370" s="61"/>
      <c r="O370" s="61"/>
      <c r="P370" s="62" t="s">
        <v>2511</v>
      </c>
      <c r="Q370" s="82"/>
      <c r="R370" s="82"/>
      <c r="S370" s="82"/>
      <c r="T370" s="82"/>
      <c r="U370" s="82"/>
      <c r="V370" s="138" t="s">
        <v>3497</v>
      </c>
      <c r="W370" s="57" t="s">
        <v>3471</v>
      </c>
      <c r="X370" s="126" t="s">
        <v>2511</v>
      </c>
      <c r="Y370" s="126" t="s">
        <v>2511</v>
      </c>
      <c r="Z370" s="57"/>
      <c r="AA370" s="57" t="s">
        <v>3472</v>
      </c>
      <c r="AB370" s="138"/>
      <c r="AC370" s="138" t="s">
        <v>2631</v>
      </c>
      <c r="AD370" s="80"/>
      <c r="AE370" s="80"/>
      <c r="AF370" s="80"/>
      <c r="AG370" s="80"/>
      <c r="AH370" s="83"/>
      <c r="AI370" s="83"/>
      <c r="AJ370" s="84"/>
      <c r="AK370" s="84"/>
      <c r="AL370" s="84"/>
      <c r="AM370" s="84"/>
      <c r="AN370" s="84"/>
      <c r="AO370" s="84"/>
      <c r="AP370" s="84"/>
      <c r="AQ370" s="105" t="s">
        <v>2336</v>
      </c>
      <c r="AR370" s="72"/>
      <c r="AS370" s="72"/>
      <c r="AT370" s="72"/>
      <c r="AU370" s="72"/>
      <c r="AV370" s="72"/>
      <c r="AW370" s="72"/>
      <c r="AX370" s="72"/>
      <c r="AY370" s="72"/>
      <c r="AZ370" s="72"/>
      <c r="BA370" s="72"/>
      <c r="BB370" s="16"/>
      <c r="BC370" s="72"/>
      <c r="BD370" s="319" t="s">
        <v>2336</v>
      </c>
      <c r="BE370" s="337"/>
    </row>
    <row r="371" spans="1:57" s="81" customFormat="1" ht="12.95" customHeight="1">
      <c r="A371" s="247" t="s">
        <v>5514</v>
      </c>
      <c r="B371" s="251">
        <v>166</v>
      </c>
      <c r="C371" s="267" t="s">
        <v>310</v>
      </c>
      <c r="D371" s="239" t="s">
        <v>3498</v>
      </c>
      <c r="E371" s="58"/>
      <c r="F371" s="59" t="s">
        <v>534</v>
      </c>
      <c r="G371" s="191" t="s">
        <v>2511</v>
      </c>
      <c r="H371" s="192" t="s">
        <v>2337</v>
      </c>
      <c r="I371" s="61"/>
      <c r="J371" s="61"/>
      <c r="K371" s="62" t="s">
        <v>2511</v>
      </c>
      <c r="L371" s="60" t="s">
        <v>2511</v>
      </c>
      <c r="M371" s="61" t="s">
        <v>2388</v>
      </c>
      <c r="N371" s="61"/>
      <c r="O371" s="61"/>
      <c r="P371" s="62" t="s">
        <v>2511</v>
      </c>
      <c r="Q371" s="82"/>
      <c r="R371" s="82"/>
      <c r="S371" s="82"/>
      <c r="T371" s="82"/>
      <c r="U371" s="82"/>
      <c r="V371" s="138" t="s">
        <v>3499</v>
      </c>
      <c r="W371" s="57" t="s">
        <v>3471</v>
      </c>
      <c r="X371" s="126" t="s">
        <v>2511</v>
      </c>
      <c r="Y371" s="126" t="s">
        <v>2511</v>
      </c>
      <c r="Z371" s="57"/>
      <c r="AA371" s="57" t="s">
        <v>3472</v>
      </c>
      <c r="AB371" s="138"/>
      <c r="AC371" s="138" t="s">
        <v>2631</v>
      </c>
      <c r="AD371" s="80"/>
      <c r="AE371" s="80"/>
      <c r="AF371" s="80"/>
      <c r="AG371" s="80"/>
      <c r="AH371" s="83"/>
      <c r="AI371" s="83"/>
      <c r="AJ371" s="84"/>
      <c r="AK371" s="84"/>
      <c r="AL371" s="84"/>
      <c r="AM371" s="84"/>
      <c r="AN371" s="84"/>
      <c r="AO371" s="84"/>
      <c r="AP371" s="84"/>
      <c r="AQ371" s="103" t="s">
        <v>2337</v>
      </c>
      <c r="AR371" s="72"/>
      <c r="AS371" s="72"/>
      <c r="AT371" s="72"/>
      <c r="AU371" s="72"/>
      <c r="AV371" s="72"/>
      <c r="AW371" s="72"/>
      <c r="AX371" s="72"/>
      <c r="AY371" s="72"/>
      <c r="AZ371" s="72"/>
      <c r="BA371" s="72"/>
      <c r="BB371" s="16"/>
      <c r="BC371" s="72"/>
      <c r="BD371" s="319" t="s">
        <v>2337</v>
      </c>
      <c r="BE371" s="338"/>
    </row>
    <row r="372" spans="1:57" s="81" customFormat="1" ht="12.95" hidden="1" customHeight="1">
      <c r="A372" s="248" t="e">
        <v>#N/A</v>
      </c>
      <c r="B372" s="252" t="e">
        <v>#N/A</v>
      </c>
      <c r="C372" s="269" t="s">
        <v>231</v>
      </c>
      <c r="D372" s="239" t="s">
        <v>3171</v>
      </c>
      <c r="E372" s="58"/>
      <c r="F372" s="59" t="s">
        <v>252</v>
      </c>
      <c r="G372" s="191" t="s">
        <v>2511</v>
      </c>
      <c r="H372" s="192" t="s">
        <v>2338</v>
      </c>
      <c r="I372" s="61" t="s">
        <v>2338</v>
      </c>
      <c r="J372" s="61" t="s">
        <v>2338</v>
      </c>
      <c r="K372" s="62" t="s">
        <v>2511</v>
      </c>
      <c r="L372" s="60" t="s">
        <v>2511</v>
      </c>
      <c r="M372" s="61" t="s">
        <v>2523</v>
      </c>
      <c r="N372" s="61" t="s">
        <v>2523</v>
      </c>
      <c r="O372" s="61" t="s">
        <v>2523</v>
      </c>
      <c r="P372" s="62" t="s">
        <v>2511</v>
      </c>
      <c r="Q372" s="82"/>
      <c r="R372" s="82"/>
      <c r="S372" s="82"/>
      <c r="T372" s="82"/>
      <c r="U372" s="82"/>
      <c r="V372" s="138" t="s">
        <v>3500</v>
      </c>
      <c r="W372" s="57" t="s">
        <v>3471</v>
      </c>
      <c r="X372" s="126" t="s">
        <v>2511</v>
      </c>
      <c r="Y372" s="126" t="s">
        <v>2511</v>
      </c>
      <c r="Z372" s="57"/>
      <c r="AA372" s="57" t="s">
        <v>3472</v>
      </c>
      <c r="AB372" s="138"/>
      <c r="AC372" s="138" t="s">
        <v>2631</v>
      </c>
      <c r="AD372" s="80"/>
      <c r="AE372" s="80"/>
      <c r="AF372" s="80"/>
      <c r="AG372" s="80"/>
      <c r="AH372" s="83"/>
      <c r="AI372" s="83"/>
      <c r="AJ372" s="84"/>
      <c r="AK372" s="84"/>
      <c r="AL372" s="84"/>
      <c r="AM372" s="84"/>
      <c r="AN372" s="84"/>
      <c r="AO372" s="84"/>
      <c r="AP372" s="84"/>
      <c r="AQ372" s="105" t="s">
        <v>252</v>
      </c>
      <c r="AR372" s="72"/>
      <c r="AS372" s="72"/>
      <c r="AT372" s="72"/>
      <c r="AU372" s="72"/>
      <c r="AV372" s="72"/>
      <c r="AW372" s="72"/>
      <c r="AX372" s="72"/>
      <c r="AY372" s="72"/>
      <c r="AZ372" s="72"/>
      <c r="BA372" s="72"/>
      <c r="BB372" s="16"/>
      <c r="BC372" s="72"/>
      <c r="BD372" s="147" t="s">
        <v>83</v>
      </c>
      <c r="BE372" s="147" t="s">
        <v>83</v>
      </c>
    </row>
    <row r="373" spans="1:57" s="81" customFormat="1" ht="12.95" hidden="1" customHeight="1">
      <c r="A373" s="248" t="e">
        <v>#N/A</v>
      </c>
      <c r="B373" s="252" t="e">
        <v>#N/A</v>
      </c>
      <c r="C373" s="269" t="s">
        <v>230</v>
      </c>
      <c r="D373" s="239" t="s">
        <v>3501</v>
      </c>
      <c r="E373" s="58"/>
      <c r="F373" s="59" t="s">
        <v>253</v>
      </c>
      <c r="G373" s="191" t="s">
        <v>2511</v>
      </c>
      <c r="H373" s="192" t="s">
        <v>2339</v>
      </c>
      <c r="I373" s="61" t="s">
        <v>2339</v>
      </c>
      <c r="J373" s="61" t="s">
        <v>2339</v>
      </c>
      <c r="K373" s="62" t="s">
        <v>2511</v>
      </c>
      <c r="L373" s="60" t="s">
        <v>2511</v>
      </c>
      <c r="M373" s="61" t="s">
        <v>2523</v>
      </c>
      <c r="N373" s="61" t="s">
        <v>2523</v>
      </c>
      <c r="O373" s="61" t="s">
        <v>2523</v>
      </c>
      <c r="P373" s="62" t="s">
        <v>2511</v>
      </c>
      <c r="Q373" s="82"/>
      <c r="R373" s="82"/>
      <c r="S373" s="82"/>
      <c r="T373" s="82"/>
      <c r="U373" s="82"/>
      <c r="V373" s="138" t="s">
        <v>3502</v>
      </c>
      <c r="W373" s="57" t="s">
        <v>3471</v>
      </c>
      <c r="X373" s="126" t="s">
        <v>2511</v>
      </c>
      <c r="Y373" s="126" t="s">
        <v>2511</v>
      </c>
      <c r="Z373" s="57"/>
      <c r="AA373" s="57" t="s">
        <v>3472</v>
      </c>
      <c r="AB373" s="138"/>
      <c r="AC373" s="138" t="s">
        <v>2631</v>
      </c>
      <c r="AD373" s="80"/>
      <c r="AE373" s="80"/>
      <c r="AF373" s="80"/>
      <c r="AG373" s="80"/>
      <c r="AH373" s="83"/>
      <c r="AI373" s="83"/>
      <c r="AJ373" s="84"/>
      <c r="AK373" s="84"/>
      <c r="AL373" s="84"/>
      <c r="AM373" s="84"/>
      <c r="AN373" s="84"/>
      <c r="AO373" s="84"/>
      <c r="AP373" s="84"/>
      <c r="AQ373" s="103" t="s">
        <v>253</v>
      </c>
      <c r="AR373" s="72"/>
      <c r="AS373" s="72"/>
      <c r="AT373" s="72"/>
      <c r="AU373" s="72"/>
      <c r="AV373" s="72"/>
      <c r="AW373" s="72"/>
      <c r="AX373" s="72"/>
      <c r="AY373" s="72"/>
      <c r="AZ373" s="72"/>
      <c r="BA373" s="72"/>
      <c r="BB373" s="16"/>
      <c r="BC373" s="72"/>
      <c r="BD373" s="147" t="s">
        <v>83</v>
      </c>
      <c r="BE373" s="147" t="s">
        <v>83</v>
      </c>
    </row>
    <row r="374" spans="1:57" s="81" customFormat="1" ht="12.95" hidden="1" customHeight="1">
      <c r="A374" s="248" t="e">
        <v>#N/A</v>
      </c>
      <c r="B374" s="252" t="e">
        <v>#N/A</v>
      </c>
      <c r="C374" s="269" t="s">
        <v>233</v>
      </c>
      <c r="D374" s="239" t="s">
        <v>3503</v>
      </c>
      <c r="E374" s="58"/>
      <c r="F374" s="59" t="s">
        <v>250</v>
      </c>
      <c r="G374" s="191" t="s">
        <v>2511</v>
      </c>
      <c r="H374" s="192" t="s">
        <v>2340</v>
      </c>
      <c r="I374" s="61" t="s">
        <v>2340</v>
      </c>
      <c r="J374" s="61" t="s">
        <v>2340</v>
      </c>
      <c r="K374" s="62" t="s">
        <v>2511</v>
      </c>
      <c r="L374" s="60" t="s">
        <v>2511</v>
      </c>
      <c r="M374" s="61" t="s">
        <v>2388</v>
      </c>
      <c r="N374" s="61" t="s">
        <v>2388</v>
      </c>
      <c r="O374" s="61" t="s">
        <v>2388</v>
      </c>
      <c r="P374" s="62" t="s">
        <v>2511</v>
      </c>
      <c r="Q374" s="82"/>
      <c r="R374" s="82"/>
      <c r="S374" s="82"/>
      <c r="T374" s="82"/>
      <c r="U374" s="82"/>
      <c r="V374" s="138" t="s">
        <v>3504</v>
      </c>
      <c r="W374" s="57" t="s">
        <v>3471</v>
      </c>
      <c r="X374" s="126" t="s">
        <v>2511</v>
      </c>
      <c r="Y374" s="126" t="s">
        <v>2511</v>
      </c>
      <c r="Z374" s="57"/>
      <c r="AA374" s="57" t="s">
        <v>3472</v>
      </c>
      <c r="AB374" s="138"/>
      <c r="AC374" s="138" t="s">
        <v>2631</v>
      </c>
      <c r="AD374" s="80"/>
      <c r="AE374" s="80"/>
      <c r="AF374" s="80"/>
      <c r="AG374" s="80"/>
      <c r="AH374" s="83"/>
      <c r="AI374" s="83"/>
      <c r="AJ374" s="84"/>
      <c r="AK374" s="84"/>
      <c r="AL374" s="84"/>
      <c r="AM374" s="84"/>
      <c r="AN374" s="84"/>
      <c r="AO374" s="84"/>
      <c r="AP374" s="84"/>
      <c r="AQ374" s="105" t="s">
        <v>250</v>
      </c>
      <c r="AR374" s="72"/>
      <c r="AS374" s="72"/>
      <c r="AT374" s="72"/>
      <c r="AU374" s="72"/>
      <c r="AV374" s="72"/>
      <c r="AW374" s="72"/>
      <c r="AX374" s="72"/>
      <c r="AY374" s="72"/>
      <c r="AZ374" s="72"/>
      <c r="BA374" s="72"/>
      <c r="BB374" s="16"/>
      <c r="BC374" s="72"/>
      <c r="BD374" s="147" t="s">
        <v>83</v>
      </c>
      <c r="BE374" s="147" t="s">
        <v>83</v>
      </c>
    </row>
    <row r="375" spans="1:57" s="81" customFormat="1" ht="12.95" hidden="1" customHeight="1">
      <c r="A375" s="248" t="e">
        <v>#N/A</v>
      </c>
      <c r="B375" s="252" t="e">
        <v>#N/A</v>
      </c>
      <c r="C375" s="269" t="s">
        <v>232</v>
      </c>
      <c r="D375" s="239" t="s">
        <v>3505</v>
      </c>
      <c r="E375" s="58"/>
      <c r="F375" s="59" t="s">
        <v>251</v>
      </c>
      <c r="G375" s="191" t="s">
        <v>2511</v>
      </c>
      <c r="H375" s="192" t="s">
        <v>2341</v>
      </c>
      <c r="I375" s="61" t="s">
        <v>2341</v>
      </c>
      <c r="J375" s="61" t="s">
        <v>2341</v>
      </c>
      <c r="K375" s="62" t="s">
        <v>2511</v>
      </c>
      <c r="L375" s="60" t="s">
        <v>2511</v>
      </c>
      <c r="M375" s="61" t="s">
        <v>2388</v>
      </c>
      <c r="N375" s="61" t="s">
        <v>2388</v>
      </c>
      <c r="O375" s="61" t="s">
        <v>2388</v>
      </c>
      <c r="P375" s="62" t="s">
        <v>2511</v>
      </c>
      <c r="Q375" s="82"/>
      <c r="R375" s="82"/>
      <c r="S375" s="82"/>
      <c r="T375" s="82"/>
      <c r="U375" s="82"/>
      <c r="V375" s="138" t="s">
        <v>3506</v>
      </c>
      <c r="W375" s="57" t="s">
        <v>3471</v>
      </c>
      <c r="X375" s="126" t="s">
        <v>2511</v>
      </c>
      <c r="Y375" s="126" t="s">
        <v>2511</v>
      </c>
      <c r="Z375" s="57"/>
      <c r="AA375" s="57" t="s">
        <v>3472</v>
      </c>
      <c r="AB375" s="138"/>
      <c r="AC375" s="138" t="s">
        <v>2631</v>
      </c>
      <c r="AD375" s="80"/>
      <c r="AE375" s="80"/>
      <c r="AF375" s="80"/>
      <c r="AG375" s="80"/>
      <c r="AH375" s="83"/>
      <c r="AI375" s="83"/>
      <c r="AJ375" s="84"/>
      <c r="AK375" s="84"/>
      <c r="AL375" s="84"/>
      <c r="AM375" s="84"/>
      <c r="AN375" s="84"/>
      <c r="AO375" s="84"/>
      <c r="AP375" s="84"/>
      <c r="AQ375" s="103" t="s">
        <v>251</v>
      </c>
      <c r="AR375" s="72"/>
      <c r="AS375" s="72"/>
      <c r="AT375" s="72"/>
      <c r="AU375" s="72"/>
      <c r="AV375" s="72"/>
      <c r="AW375" s="72"/>
      <c r="AX375" s="72"/>
      <c r="AY375" s="72"/>
      <c r="AZ375" s="72"/>
      <c r="BA375" s="72"/>
      <c r="BB375" s="16"/>
      <c r="BC375" s="72"/>
      <c r="BD375" s="147" t="s">
        <v>83</v>
      </c>
      <c r="BE375" s="147" t="s">
        <v>83</v>
      </c>
    </row>
    <row r="376" spans="1:57" s="81" customFormat="1" ht="12.95" hidden="1" customHeight="1">
      <c r="A376" s="248" t="e">
        <v>#N/A</v>
      </c>
      <c r="B376" s="252" t="e">
        <v>#N/A</v>
      </c>
      <c r="C376" s="269" t="s">
        <v>235</v>
      </c>
      <c r="D376" s="239" t="s">
        <v>3169</v>
      </c>
      <c r="E376" s="58"/>
      <c r="F376" s="59" t="s">
        <v>248</v>
      </c>
      <c r="G376" s="191" t="s">
        <v>2511</v>
      </c>
      <c r="H376" s="192" t="s">
        <v>2511</v>
      </c>
      <c r="I376" s="61" t="s">
        <v>2342</v>
      </c>
      <c r="J376" s="61" t="s">
        <v>2342</v>
      </c>
      <c r="K376" s="62" t="s">
        <v>2511</v>
      </c>
      <c r="L376" s="60" t="s">
        <v>2511</v>
      </c>
      <c r="M376" s="61" t="s">
        <v>2511</v>
      </c>
      <c r="N376" s="61" t="s">
        <v>2523</v>
      </c>
      <c r="O376" s="61" t="s">
        <v>2523</v>
      </c>
      <c r="P376" s="62" t="s">
        <v>2511</v>
      </c>
      <c r="Q376" s="82"/>
      <c r="R376" s="82"/>
      <c r="S376" s="82"/>
      <c r="T376" s="82"/>
      <c r="U376" s="82"/>
      <c r="V376" s="138" t="s">
        <v>3507</v>
      </c>
      <c r="W376" s="57" t="s">
        <v>3471</v>
      </c>
      <c r="X376" s="126" t="s">
        <v>2511</v>
      </c>
      <c r="Y376" s="126" t="s">
        <v>2511</v>
      </c>
      <c r="Z376" s="57"/>
      <c r="AA376" s="57" t="s">
        <v>3472</v>
      </c>
      <c r="AB376" s="138"/>
      <c r="AC376" s="138" t="s">
        <v>2631</v>
      </c>
      <c r="AD376" s="80"/>
      <c r="AE376" s="80"/>
      <c r="AF376" s="80"/>
      <c r="AG376" s="80"/>
      <c r="AH376" s="83"/>
      <c r="AI376" s="83"/>
      <c r="AJ376" s="84"/>
      <c r="AK376" s="84"/>
      <c r="AL376" s="84"/>
      <c r="AM376" s="84"/>
      <c r="AN376" s="84"/>
      <c r="AO376" s="84"/>
      <c r="AP376" s="84"/>
      <c r="AQ376" s="105" t="s">
        <v>248</v>
      </c>
      <c r="AR376" s="72"/>
      <c r="AS376" s="72"/>
      <c r="AT376" s="72"/>
      <c r="AU376" s="72"/>
      <c r="AV376" s="72"/>
      <c r="AW376" s="72"/>
      <c r="AX376" s="72"/>
      <c r="AY376" s="72"/>
      <c r="AZ376" s="72"/>
      <c r="BA376" s="72"/>
      <c r="BB376" s="16"/>
      <c r="BC376" s="72"/>
      <c r="BD376" s="147" t="s">
        <v>83</v>
      </c>
      <c r="BE376" s="147" t="s">
        <v>83</v>
      </c>
    </row>
    <row r="377" spans="1:57" s="81" customFormat="1" ht="12.95" hidden="1" customHeight="1">
      <c r="A377" s="248" t="e">
        <v>#N/A</v>
      </c>
      <c r="B377" s="252" t="e">
        <v>#N/A</v>
      </c>
      <c r="C377" s="269" t="s">
        <v>234</v>
      </c>
      <c r="D377" s="239" t="s">
        <v>3508</v>
      </c>
      <c r="E377" s="58"/>
      <c r="F377" s="59" t="s">
        <v>249</v>
      </c>
      <c r="G377" s="191" t="s">
        <v>2511</v>
      </c>
      <c r="H377" s="192" t="s">
        <v>2511</v>
      </c>
      <c r="I377" s="61" t="s">
        <v>2343</v>
      </c>
      <c r="J377" s="61" t="s">
        <v>2343</v>
      </c>
      <c r="K377" s="62" t="s">
        <v>2511</v>
      </c>
      <c r="L377" s="60" t="s">
        <v>2511</v>
      </c>
      <c r="M377" s="61" t="s">
        <v>2511</v>
      </c>
      <c r="N377" s="61" t="s">
        <v>2523</v>
      </c>
      <c r="O377" s="61" t="s">
        <v>2523</v>
      </c>
      <c r="P377" s="62" t="s">
        <v>2511</v>
      </c>
      <c r="Q377" s="82"/>
      <c r="R377" s="82"/>
      <c r="S377" s="82"/>
      <c r="T377" s="82"/>
      <c r="U377" s="82"/>
      <c r="V377" s="138" t="s">
        <v>3509</v>
      </c>
      <c r="W377" s="57" t="s">
        <v>3471</v>
      </c>
      <c r="X377" s="126" t="s">
        <v>2511</v>
      </c>
      <c r="Y377" s="126" t="s">
        <v>2511</v>
      </c>
      <c r="Z377" s="57"/>
      <c r="AA377" s="57" t="s">
        <v>3472</v>
      </c>
      <c r="AB377" s="138"/>
      <c r="AC377" s="138" t="s">
        <v>2631</v>
      </c>
      <c r="AD377" s="80"/>
      <c r="AE377" s="80"/>
      <c r="AF377" s="80"/>
      <c r="AG377" s="80"/>
      <c r="AH377" s="83"/>
      <c r="AI377" s="83"/>
      <c r="AJ377" s="84"/>
      <c r="AK377" s="84"/>
      <c r="AL377" s="84"/>
      <c r="AM377" s="84"/>
      <c r="AN377" s="84"/>
      <c r="AO377" s="84"/>
      <c r="AP377" s="84"/>
      <c r="AQ377" s="103" t="s">
        <v>249</v>
      </c>
      <c r="AR377" s="72"/>
      <c r="AS377" s="72"/>
      <c r="AT377" s="72"/>
      <c r="AU377" s="72"/>
      <c r="AV377" s="72"/>
      <c r="AW377" s="72"/>
      <c r="AX377" s="72"/>
      <c r="AY377" s="72"/>
      <c r="AZ377" s="72"/>
      <c r="BA377" s="72"/>
      <c r="BB377" s="16"/>
      <c r="BC377" s="72"/>
      <c r="BD377" s="147" t="s">
        <v>83</v>
      </c>
      <c r="BE377" s="147" t="s">
        <v>83</v>
      </c>
    </row>
    <row r="378" spans="1:57" s="81" customFormat="1" ht="12.95" hidden="1" customHeight="1">
      <c r="A378" s="248" t="e">
        <v>#N/A</v>
      </c>
      <c r="B378" s="252" t="e">
        <v>#N/A</v>
      </c>
      <c r="C378" s="269" t="s">
        <v>237</v>
      </c>
      <c r="D378" s="239" t="s">
        <v>3510</v>
      </c>
      <c r="E378" s="58"/>
      <c r="F378" s="59" t="s">
        <v>246</v>
      </c>
      <c r="G378" s="191" t="s">
        <v>2511</v>
      </c>
      <c r="H378" s="192" t="s">
        <v>2511</v>
      </c>
      <c r="I378" s="61" t="s">
        <v>2344</v>
      </c>
      <c r="J378" s="61" t="s">
        <v>2344</v>
      </c>
      <c r="K378" s="62" t="s">
        <v>2511</v>
      </c>
      <c r="L378" s="60" t="s">
        <v>2511</v>
      </c>
      <c r="M378" s="61" t="s">
        <v>2511</v>
      </c>
      <c r="N378" s="61" t="s">
        <v>2388</v>
      </c>
      <c r="O378" s="61" t="s">
        <v>2388</v>
      </c>
      <c r="P378" s="62" t="s">
        <v>2511</v>
      </c>
      <c r="Q378" s="82"/>
      <c r="R378" s="82"/>
      <c r="S378" s="82"/>
      <c r="T378" s="82"/>
      <c r="U378" s="82"/>
      <c r="V378" s="138" t="s">
        <v>3511</v>
      </c>
      <c r="W378" s="57" t="s">
        <v>3471</v>
      </c>
      <c r="X378" s="126" t="s">
        <v>2511</v>
      </c>
      <c r="Y378" s="126" t="s">
        <v>2511</v>
      </c>
      <c r="Z378" s="57"/>
      <c r="AA378" s="57" t="s">
        <v>3472</v>
      </c>
      <c r="AB378" s="138"/>
      <c r="AC378" s="138" t="s">
        <v>2631</v>
      </c>
      <c r="AD378" s="80"/>
      <c r="AE378" s="80"/>
      <c r="AF378" s="80"/>
      <c r="AG378" s="80"/>
      <c r="AH378" s="83"/>
      <c r="AI378" s="83"/>
      <c r="AJ378" s="84"/>
      <c r="AK378" s="84"/>
      <c r="AL378" s="84"/>
      <c r="AM378" s="84"/>
      <c r="AN378" s="84"/>
      <c r="AO378" s="84"/>
      <c r="AP378" s="84"/>
      <c r="AQ378" s="105" t="s">
        <v>246</v>
      </c>
      <c r="AR378" s="72"/>
      <c r="AS378" s="72"/>
      <c r="AT378" s="72"/>
      <c r="AU378" s="72"/>
      <c r="AV378" s="72"/>
      <c r="AW378" s="72"/>
      <c r="AX378" s="72"/>
      <c r="AY378" s="72"/>
      <c r="AZ378" s="72"/>
      <c r="BA378" s="72"/>
      <c r="BB378" s="16"/>
      <c r="BC378" s="72"/>
      <c r="BD378" s="147" t="s">
        <v>83</v>
      </c>
      <c r="BE378" s="147" t="s">
        <v>83</v>
      </c>
    </row>
    <row r="379" spans="1:57" s="81" customFormat="1" ht="12.95" hidden="1" customHeight="1">
      <c r="A379" s="248" t="e">
        <v>#N/A</v>
      </c>
      <c r="B379" s="252" t="e">
        <v>#N/A</v>
      </c>
      <c r="C379" s="269" t="s">
        <v>236</v>
      </c>
      <c r="D379" s="239" t="s">
        <v>3512</v>
      </c>
      <c r="E379" s="58"/>
      <c r="F379" s="59" t="s">
        <v>247</v>
      </c>
      <c r="G379" s="191" t="s">
        <v>2511</v>
      </c>
      <c r="H379" s="192" t="s">
        <v>2511</v>
      </c>
      <c r="I379" s="61" t="s">
        <v>2345</v>
      </c>
      <c r="J379" s="61" t="s">
        <v>2345</v>
      </c>
      <c r="K379" s="62" t="s">
        <v>2511</v>
      </c>
      <c r="L379" s="60" t="s">
        <v>2511</v>
      </c>
      <c r="M379" s="61" t="s">
        <v>2511</v>
      </c>
      <c r="N379" s="61" t="s">
        <v>2388</v>
      </c>
      <c r="O379" s="61" t="s">
        <v>2388</v>
      </c>
      <c r="P379" s="62" t="s">
        <v>2511</v>
      </c>
      <c r="Q379" s="82"/>
      <c r="R379" s="82"/>
      <c r="S379" s="82"/>
      <c r="T379" s="82"/>
      <c r="U379" s="82"/>
      <c r="V379" s="138" t="s">
        <v>3513</v>
      </c>
      <c r="W379" s="57" t="s">
        <v>3471</v>
      </c>
      <c r="X379" s="126" t="s">
        <v>2511</v>
      </c>
      <c r="Y379" s="126" t="s">
        <v>2511</v>
      </c>
      <c r="Z379" s="57"/>
      <c r="AA379" s="57" t="s">
        <v>3472</v>
      </c>
      <c r="AB379" s="138"/>
      <c r="AC379" s="138" t="s">
        <v>2631</v>
      </c>
      <c r="AD379" s="80"/>
      <c r="AE379" s="80"/>
      <c r="AF379" s="80"/>
      <c r="AG379" s="80"/>
      <c r="AH379" s="83"/>
      <c r="AI379" s="83"/>
      <c r="AJ379" s="84"/>
      <c r="AK379" s="84"/>
      <c r="AL379" s="84"/>
      <c r="AM379" s="84"/>
      <c r="AN379" s="84"/>
      <c r="AO379" s="84"/>
      <c r="AP379" s="84"/>
      <c r="AQ379" s="103" t="s">
        <v>247</v>
      </c>
      <c r="AR379" s="72"/>
      <c r="AS379" s="72"/>
      <c r="AT379" s="72"/>
      <c r="AU379" s="72"/>
      <c r="AV379" s="72"/>
      <c r="AW379" s="72"/>
      <c r="AX379" s="72"/>
      <c r="AY379" s="72"/>
      <c r="AZ379" s="72"/>
      <c r="BA379" s="72"/>
      <c r="BB379" s="16"/>
      <c r="BC379" s="72"/>
      <c r="BD379" s="147" t="s">
        <v>83</v>
      </c>
      <c r="BE379" s="147" t="s">
        <v>83</v>
      </c>
    </row>
    <row r="380" spans="1:57" s="81" customFormat="1" ht="12.95" hidden="1" customHeight="1">
      <c r="A380" s="248" t="e">
        <v>#N/A</v>
      </c>
      <c r="B380" s="252" t="e">
        <v>#N/A</v>
      </c>
      <c r="C380" s="269" t="s">
        <v>239</v>
      </c>
      <c r="D380" s="239" t="s">
        <v>3164</v>
      </c>
      <c r="E380" s="58"/>
      <c r="F380" s="59" t="s">
        <v>244</v>
      </c>
      <c r="G380" s="191" t="s">
        <v>2511</v>
      </c>
      <c r="H380" s="192" t="s">
        <v>3514</v>
      </c>
      <c r="I380" s="61" t="s">
        <v>2346</v>
      </c>
      <c r="J380" s="61" t="s">
        <v>2338</v>
      </c>
      <c r="K380" s="62" t="s">
        <v>2511</v>
      </c>
      <c r="L380" s="60" t="s">
        <v>2511</v>
      </c>
      <c r="M380" s="61" t="s">
        <v>2523</v>
      </c>
      <c r="N380" s="61" t="s">
        <v>2523</v>
      </c>
      <c r="O380" s="61" t="s">
        <v>2523</v>
      </c>
      <c r="P380" s="62" t="s">
        <v>2511</v>
      </c>
      <c r="Q380" s="82"/>
      <c r="R380" s="82"/>
      <c r="S380" s="82"/>
      <c r="T380" s="82"/>
      <c r="U380" s="82"/>
      <c r="V380" s="138" t="s">
        <v>3515</v>
      </c>
      <c r="W380" s="57" t="s">
        <v>3471</v>
      </c>
      <c r="X380" s="126" t="s">
        <v>2511</v>
      </c>
      <c r="Y380" s="126" t="s">
        <v>2511</v>
      </c>
      <c r="Z380" s="57"/>
      <c r="AA380" s="57" t="s">
        <v>3472</v>
      </c>
      <c r="AB380" s="138"/>
      <c r="AC380" s="138" t="s">
        <v>2631</v>
      </c>
      <c r="AD380" s="80"/>
      <c r="AE380" s="80"/>
      <c r="AF380" s="80"/>
      <c r="AG380" s="80"/>
      <c r="AH380" s="83"/>
      <c r="AI380" s="83"/>
      <c r="AJ380" s="84"/>
      <c r="AK380" s="84"/>
      <c r="AL380" s="84"/>
      <c r="AM380" s="84"/>
      <c r="AN380" s="84"/>
      <c r="AO380" s="84"/>
      <c r="AP380" s="84"/>
      <c r="AQ380" s="105" t="s">
        <v>244</v>
      </c>
      <c r="AR380" s="72"/>
      <c r="AS380" s="72"/>
      <c r="AT380" s="72"/>
      <c r="AU380" s="72"/>
      <c r="AV380" s="72"/>
      <c r="AW380" s="72"/>
      <c r="AX380" s="72"/>
      <c r="AY380" s="72"/>
      <c r="AZ380" s="72"/>
      <c r="BA380" s="72"/>
      <c r="BB380" s="16"/>
      <c r="BC380" s="72"/>
      <c r="BD380" s="147" t="s">
        <v>83</v>
      </c>
      <c r="BE380" s="147" t="s">
        <v>83</v>
      </c>
    </row>
    <row r="381" spans="1:57" s="81" customFormat="1" ht="12.95" hidden="1" customHeight="1">
      <c r="A381" s="248" t="e">
        <v>#N/A</v>
      </c>
      <c r="B381" s="252" t="e">
        <v>#N/A</v>
      </c>
      <c r="C381" s="269" t="s">
        <v>238</v>
      </c>
      <c r="D381" s="239" t="s">
        <v>3516</v>
      </c>
      <c r="E381" s="58"/>
      <c r="F381" s="59" t="s">
        <v>245</v>
      </c>
      <c r="G381" s="191" t="s">
        <v>2511</v>
      </c>
      <c r="H381" s="192" t="s">
        <v>3517</v>
      </c>
      <c r="I381" s="61" t="s">
        <v>2347</v>
      </c>
      <c r="J381" s="61" t="s">
        <v>2339</v>
      </c>
      <c r="K381" s="62" t="s">
        <v>2511</v>
      </c>
      <c r="L381" s="60" t="s">
        <v>2511</v>
      </c>
      <c r="M381" s="61" t="s">
        <v>2523</v>
      </c>
      <c r="N381" s="61" t="s">
        <v>2523</v>
      </c>
      <c r="O381" s="61" t="s">
        <v>2523</v>
      </c>
      <c r="P381" s="62" t="s">
        <v>2511</v>
      </c>
      <c r="Q381" s="82"/>
      <c r="R381" s="82"/>
      <c r="S381" s="82"/>
      <c r="T381" s="82"/>
      <c r="U381" s="82"/>
      <c r="V381" s="138" t="s">
        <v>3518</v>
      </c>
      <c r="W381" s="57" t="s">
        <v>3471</v>
      </c>
      <c r="X381" s="126" t="s">
        <v>2511</v>
      </c>
      <c r="Y381" s="126" t="s">
        <v>2511</v>
      </c>
      <c r="Z381" s="57"/>
      <c r="AA381" s="57" t="s">
        <v>3472</v>
      </c>
      <c r="AB381" s="138"/>
      <c r="AC381" s="138" t="s">
        <v>2631</v>
      </c>
      <c r="AD381" s="80"/>
      <c r="AE381" s="80"/>
      <c r="AF381" s="80"/>
      <c r="AG381" s="80"/>
      <c r="AH381" s="83"/>
      <c r="AI381" s="83"/>
      <c r="AJ381" s="84"/>
      <c r="AK381" s="84"/>
      <c r="AL381" s="84"/>
      <c r="AM381" s="84"/>
      <c r="AN381" s="84"/>
      <c r="AO381" s="84"/>
      <c r="AP381" s="84"/>
      <c r="AQ381" s="103" t="s">
        <v>245</v>
      </c>
      <c r="AR381" s="72"/>
      <c r="AS381" s="72"/>
      <c r="AT381" s="72"/>
      <c r="AU381" s="72"/>
      <c r="AV381" s="72"/>
      <c r="AW381" s="72"/>
      <c r="AX381" s="72"/>
      <c r="AY381" s="72"/>
      <c r="AZ381" s="72"/>
      <c r="BA381" s="72"/>
      <c r="BB381" s="16"/>
      <c r="BC381" s="72"/>
      <c r="BD381" s="147" t="s">
        <v>83</v>
      </c>
      <c r="BE381" s="147" t="s">
        <v>83</v>
      </c>
    </row>
    <row r="382" spans="1:57" s="81" customFormat="1" ht="12.95" hidden="1" customHeight="1">
      <c r="A382" s="248" t="e">
        <v>#N/A</v>
      </c>
      <c r="B382" s="252" t="e">
        <v>#N/A</v>
      </c>
      <c r="C382" s="269" t="s">
        <v>241</v>
      </c>
      <c r="D382" s="239" t="s">
        <v>3519</v>
      </c>
      <c r="E382" s="58"/>
      <c r="F382" s="59" t="s">
        <v>242</v>
      </c>
      <c r="G382" s="191" t="s">
        <v>2511</v>
      </c>
      <c r="H382" s="192" t="s">
        <v>3520</v>
      </c>
      <c r="I382" s="61" t="s">
        <v>2348</v>
      </c>
      <c r="J382" s="61" t="s">
        <v>2340</v>
      </c>
      <c r="K382" s="62" t="s">
        <v>2511</v>
      </c>
      <c r="L382" s="60" t="s">
        <v>2511</v>
      </c>
      <c r="M382" s="61" t="s">
        <v>2388</v>
      </c>
      <c r="N382" s="61" t="s">
        <v>2388</v>
      </c>
      <c r="O382" s="61" t="s">
        <v>2388</v>
      </c>
      <c r="P382" s="62" t="s">
        <v>2511</v>
      </c>
      <c r="Q382" s="82"/>
      <c r="R382" s="82"/>
      <c r="S382" s="82"/>
      <c r="T382" s="82"/>
      <c r="U382" s="82"/>
      <c r="V382" s="138" t="s">
        <v>3521</v>
      </c>
      <c r="W382" s="57" t="s">
        <v>3471</v>
      </c>
      <c r="X382" s="126" t="s">
        <v>2511</v>
      </c>
      <c r="Y382" s="126" t="s">
        <v>2511</v>
      </c>
      <c r="Z382" s="57"/>
      <c r="AA382" s="57" t="s">
        <v>3472</v>
      </c>
      <c r="AB382" s="138"/>
      <c r="AC382" s="138" t="s">
        <v>2631</v>
      </c>
      <c r="AD382" s="80"/>
      <c r="AE382" s="80"/>
      <c r="AF382" s="80"/>
      <c r="AG382" s="80"/>
      <c r="AH382" s="83"/>
      <c r="AI382" s="83"/>
      <c r="AJ382" s="84"/>
      <c r="AK382" s="84"/>
      <c r="AL382" s="84"/>
      <c r="AM382" s="84"/>
      <c r="AN382" s="84"/>
      <c r="AO382" s="84"/>
      <c r="AP382" s="84"/>
      <c r="AQ382" s="105" t="s">
        <v>242</v>
      </c>
      <c r="AR382" s="72"/>
      <c r="AS382" s="72"/>
      <c r="AT382" s="72"/>
      <c r="AU382" s="72"/>
      <c r="AV382" s="72"/>
      <c r="AW382" s="72"/>
      <c r="AX382" s="72"/>
      <c r="AY382" s="72"/>
      <c r="AZ382" s="72"/>
      <c r="BA382" s="72"/>
      <c r="BB382" s="16"/>
      <c r="BC382" s="72"/>
      <c r="BD382" s="147" t="s">
        <v>83</v>
      </c>
      <c r="BE382" s="147" t="s">
        <v>83</v>
      </c>
    </row>
    <row r="383" spans="1:57" s="81" customFormat="1" ht="12.95" hidden="1" customHeight="1">
      <c r="A383" s="248" t="e">
        <v>#N/A</v>
      </c>
      <c r="B383" s="252" t="e">
        <v>#N/A</v>
      </c>
      <c r="C383" s="269" t="s">
        <v>240</v>
      </c>
      <c r="D383" s="239" t="s">
        <v>3522</v>
      </c>
      <c r="E383" s="58"/>
      <c r="F383" s="59" t="s">
        <v>243</v>
      </c>
      <c r="G383" s="191" t="s">
        <v>2511</v>
      </c>
      <c r="H383" s="192" t="s">
        <v>3523</v>
      </c>
      <c r="I383" s="61" t="s">
        <v>2349</v>
      </c>
      <c r="J383" s="61" t="s">
        <v>2341</v>
      </c>
      <c r="K383" s="62" t="s">
        <v>2511</v>
      </c>
      <c r="L383" s="60" t="s">
        <v>2511</v>
      </c>
      <c r="M383" s="61" t="s">
        <v>2388</v>
      </c>
      <c r="N383" s="61" t="s">
        <v>2388</v>
      </c>
      <c r="O383" s="61" t="s">
        <v>2388</v>
      </c>
      <c r="P383" s="62" t="s">
        <v>2511</v>
      </c>
      <c r="Q383" s="82"/>
      <c r="R383" s="82"/>
      <c r="S383" s="82"/>
      <c r="T383" s="82"/>
      <c r="U383" s="82"/>
      <c r="V383" s="138" t="s">
        <v>3524</v>
      </c>
      <c r="W383" s="57" t="s">
        <v>3471</v>
      </c>
      <c r="X383" s="126" t="s">
        <v>2511</v>
      </c>
      <c r="Y383" s="126" t="s">
        <v>2511</v>
      </c>
      <c r="Z383" s="57"/>
      <c r="AA383" s="57" t="s">
        <v>3472</v>
      </c>
      <c r="AB383" s="138"/>
      <c r="AC383" s="138" t="s">
        <v>2631</v>
      </c>
      <c r="AD383" s="80"/>
      <c r="AE383" s="80"/>
      <c r="AF383" s="80"/>
      <c r="AG383" s="80"/>
      <c r="AH383" s="83"/>
      <c r="AI383" s="83"/>
      <c r="AJ383" s="84"/>
      <c r="AK383" s="84"/>
      <c r="AL383" s="84"/>
      <c r="AM383" s="84"/>
      <c r="AN383" s="84"/>
      <c r="AO383" s="84"/>
      <c r="AP383" s="84"/>
      <c r="AQ383" s="103" t="s">
        <v>243</v>
      </c>
      <c r="AR383" s="72"/>
      <c r="AS383" s="72"/>
      <c r="AT383" s="72"/>
      <c r="AU383" s="72"/>
      <c r="AV383" s="72"/>
      <c r="AW383" s="72"/>
      <c r="AX383" s="72"/>
      <c r="AY383" s="72"/>
      <c r="AZ383" s="72"/>
      <c r="BA383" s="72"/>
      <c r="BB383" s="16"/>
      <c r="BC383" s="72"/>
      <c r="BD383" s="147" t="s">
        <v>83</v>
      </c>
      <c r="BE383" s="147" t="s">
        <v>83</v>
      </c>
    </row>
    <row r="384" spans="1:57" s="81" customFormat="1" ht="12.95" hidden="1" customHeight="1">
      <c r="A384" s="248" t="e">
        <v>#N/A</v>
      </c>
      <c r="B384" s="252" t="e">
        <v>#N/A</v>
      </c>
      <c r="C384" s="269" t="s">
        <v>316</v>
      </c>
      <c r="D384" s="239" t="s">
        <v>3525</v>
      </c>
      <c r="E384" s="58"/>
      <c r="F384" s="59" t="s">
        <v>537</v>
      </c>
      <c r="G384" s="191" t="s">
        <v>2511</v>
      </c>
      <c r="H384" s="192" t="s">
        <v>3526</v>
      </c>
      <c r="I384" s="61" t="s">
        <v>2350</v>
      </c>
      <c r="J384" s="61" t="s">
        <v>2342</v>
      </c>
      <c r="K384" s="62" t="s">
        <v>2511</v>
      </c>
      <c r="L384" s="60" t="s">
        <v>2511</v>
      </c>
      <c r="M384" s="61" t="s">
        <v>2523</v>
      </c>
      <c r="N384" s="61" t="s">
        <v>2523</v>
      </c>
      <c r="O384" s="61" t="s">
        <v>2523</v>
      </c>
      <c r="P384" s="62" t="s">
        <v>2511</v>
      </c>
      <c r="Q384" s="82"/>
      <c r="R384" s="82"/>
      <c r="S384" s="82"/>
      <c r="T384" s="82"/>
      <c r="U384" s="82"/>
      <c r="V384" s="138" t="s">
        <v>3527</v>
      </c>
      <c r="W384" s="57" t="s">
        <v>3471</v>
      </c>
      <c r="X384" s="126" t="s">
        <v>2511</v>
      </c>
      <c r="Y384" s="126" t="s">
        <v>2511</v>
      </c>
      <c r="Z384" s="57"/>
      <c r="AA384" s="57" t="s">
        <v>3472</v>
      </c>
      <c r="AB384" s="138"/>
      <c r="AC384" s="138" t="s">
        <v>2631</v>
      </c>
      <c r="AD384" s="80"/>
      <c r="AE384" s="80"/>
      <c r="AF384" s="80"/>
      <c r="AG384" s="80"/>
      <c r="AH384" s="83"/>
      <c r="AI384" s="83"/>
      <c r="AJ384" s="84"/>
      <c r="AK384" s="84"/>
      <c r="AL384" s="84"/>
      <c r="AM384" s="84"/>
      <c r="AN384" s="84"/>
      <c r="AO384" s="84"/>
      <c r="AP384" s="84"/>
      <c r="AQ384" s="105" t="s">
        <v>537</v>
      </c>
      <c r="AR384" s="72"/>
      <c r="AS384" s="72"/>
      <c r="AT384" s="72"/>
      <c r="AU384" s="72"/>
      <c r="AV384" s="72"/>
      <c r="AW384" s="72"/>
      <c r="AX384" s="72"/>
      <c r="AY384" s="72"/>
      <c r="AZ384" s="72"/>
      <c r="BA384" s="72"/>
      <c r="BB384" s="16"/>
      <c r="BC384" s="72"/>
      <c r="BD384" s="147" t="s">
        <v>83</v>
      </c>
      <c r="BE384" s="147" t="s">
        <v>83</v>
      </c>
    </row>
    <row r="385" spans="1:57" s="81" customFormat="1" ht="12.95" hidden="1" customHeight="1">
      <c r="A385" s="248" t="e">
        <v>#N/A</v>
      </c>
      <c r="B385" s="252" t="e">
        <v>#N/A</v>
      </c>
      <c r="C385" s="269" t="s">
        <v>315</v>
      </c>
      <c r="D385" s="239" t="s">
        <v>3528</v>
      </c>
      <c r="E385" s="58"/>
      <c r="F385" s="59" t="s">
        <v>536</v>
      </c>
      <c r="G385" s="191" t="s">
        <v>2511</v>
      </c>
      <c r="H385" s="192" t="s">
        <v>3529</v>
      </c>
      <c r="I385" s="61" t="s">
        <v>2351</v>
      </c>
      <c r="J385" s="61" t="s">
        <v>2343</v>
      </c>
      <c r="K385" s="62" t="s">
        <v>2511</v>
      </c>
      <c r="L385" s="60" t="s">
        <v>2511</v>
      </c>
      <c r="M385" s="61" t="s">
        <v>2523</v>
      </c>
      <c r="N385" s="61" t="s">
        <v>2523</v>
      </c>
      <c r="O385" s="61" t="s">
        <v>2523</v>
      </c>
      <c r="P385" s="62" t="s">
        <v>2511</v>
      </c>
      <c r="Q385" s="82"/>
      <c r="R385" s="82"/>
      <c r="S385" s="82"/>
      <c r="T385" s="82"/>
      <c r="U385" s="82"/>
      <c r="V385" s="138" t="s">
        <v>3530</v>
      </c>
      <c r="W385" s="57" t="s">
        <v>3471</v>
      </c>
      <c r="X385" s="126" t="s">
        <v>2511</v>
      </c>
      <c r="Y385" s="126" t="s">
        <v>2511</v>
      </c>
      <c r="Z385" s="57"/>
      <c r="AA385" s="57" t="s">
        <v>3472</v>
      </c>
      <c r="AB385" s="138"/>
      <c r="AC385" s="138" t="s">
        <v>2631</v>
      </c>
      <c r="AD385" s="80"/>
      <c r="AE385" s="80"/>
      <c r="AF385" s="80"/>
      <c r="AG385" s="80"/>
      <c r="AH385" s="83"/>
      <c r="AI385" s="83"/>
      <c r="AJ385" s="84"/>
      <c r="AK385" s="84"/>
      <c r="AL385" s="84"/>
      <c r="AM385" s="84"/>
      <c r="AN385" s="84"/>
      <c r="AO385" s="84"/>
      <c r="AP385" s="84"/>
      <c r="AQ385" s="103" t="s">
        <v>536</v>
      </c>
      <c r="AR385" s="72"/>
      <c r="AS385" s="72"/>
      <c r="AT385" s="72"/>
      <c r="AU385" s="72"/>
      <c r="AV385" s="72"/>
      <c r="AW385" s="72"/>
      <c r="AX385" s="72"/>
      <c r="AY385" s="72"/>
      <c r="AZ385" s="72"/>
      <c r="BA385" s="72"/>
      <c r="BB385" s="16"/>
      <c r="BC385" s="72"/>
      <c r="BD385" s="147" t="s">
        <v>83</v>
      </c>
      <c r="BE385" s="147" t="s">
        <v>83</v>
      </c>
    </row>
    <row r="386" spans="1:57" s="81" customFormat="1" ht="12.95" hidden="1" customHeight="1">
      <c r="A386" s="248" t="e">
        <v>#N/A</v>
      </c>
      <c r="B386" s="252" t="e">
        <v>#N/A</v>
      </c>
      <c r="C386" s="269" t="s">
        <v>318</v>
      </c>
      <c r="D386" s="239" t="s">
        <v>3531</v>
      </c>
      <c r="E386" s="58"/>
      <c r="F386" s="59" t="s">
        <v>539</v>
      </c>
      <c r="G386" s="191" t="s">
        <v>2511</v>
      </c>
      <c r="H386" s="192" t="s">
        <v>3532</v>
      </c>
      <c r="I386" s="61" t="s">
        <v>2352</v>
      </c>
      <c r="J386" s="61" t="s">
        <v>2344</v>
      </c>
      <c r="K386" s="62" t="s">
        <v>2511</v>
      </c>
      <c r="L386" s="60" t="s">
        <v>2511</v>
      </c>
      <c r="M386" s="61" t="s">
        <v>2388</v>
      </c>
      <c r="N386" s="61" t="s">
        <v>2388</v>
      </c>
      <c r="O386" s="61" t="s">
        <v>2388</v>
      </c>
      <c r="P386" s="62" t="s">
        <v>2511</v>
      </c>
      <c r="Q386" s="82"/>
      <c r="R386" s="82"/>
      <c r="S386" s="82"/>
      <c r="T386" s="82"/>
      <c r="U386" s="82"/>
      <c r="V386" s="138" t="s">
        <v>3533</v>
      </c>
      <c r="W386" s="57" t="s">
        <v>3471</v>
      </c>
      <c r="X386" s="126" t="s">
        <v>2511</v>
      </c>
      <c r="Y386" s="126" t="s">
        <v>2511</v>
      </c>
      <c r="Z386" s="57"/>
      <c r="AA386" s="57" t="s">
        <v>3472</v>
      </c>
      <c r="AB386" s="138"/>
      <c r="AC386" s="138" t="s">
        <v>2631</v>
      </c>
      <c r="AD386" s="80"/>
      <c r="AE386" s="80"/>
      <c r="AF386" s="80"/>
      <c r="AG386" s="80"/>
      <c r="AH386" s="83"/>
      <c r="AI386" s="83"/>
      <c r="AJ386" s="84"/>
      <c r="AK386" s="84"/>
      <c r="AL386" s="84"/>
      <c r="AM386" s="84"/>
      <c r="AN386" s="84"/>
      <c r="AO386" s="84"/>
      <c r="AP386" s="84"/>
      <c r="AQ386" s="105" t="s">
        <v>539</v>
      </c>
      <c r="AR386" s="72"/>
      <c r="AS386" s="72"/>
      <c r="AT386" s="72"/>
      <c r="AU386" s="72"/>
      <c r="AV386" s="72"/>
      <c r="AW386" s="72"/>
      <c r="AX386" s="72"/>
      <c r="AY386" s="72"/>
      <c r="AZ386" s="72"/>
      <c r="BA386" s="72"/>
      <c r="BB386" s="16"/>
      <c r="BC386" s="72"/>
      <c r="BD386" s="147" t="s">
        <v>83</v>
      </c>
      <c r="BE386" s="147" t="s">
        <v>83</v>
      </c>
    </row>
    <row r="387" spans="1:57" s="81" customFormat="1" ht="12.95" hidden="1" customHeight="1">
      <c r="A387" s="248" t="e">
        <v>#N/A</v>
      </c>
      <c r="B387" s="252" t="e">
        <v>#N/A</v>
      </c>
      <c r="C387" s="269" t="s">
        <v>317</v>
      </c>
      <c r="D387" s="239" t="s">
        <v>3534</v>
      </c>
      <c r="E387" s="58"/>
      <c r="F387" s="59" t="s">
        <v>538</v>
      </c>
      <c r="G387" s="191" t="s">
        <v>2511</v>
      </c>
      <c r="H387" s="192" t="s">
        <v>3535</v>
      </c>
      <c r="I387" s="61" t="s">
        <v>2353</v>
      </c>
      <c r="J387" s="61" t="s">
        <v>2345</v>
      </c>
      <c r="K387" s="62" t="s">
        <v>2511</v>
      </c>
      <c r="L387" s="60" t="s">
        <v>2511</v>
      </c>
      <c r="M387" s="61" t="s">
        <v>2388</v>
      </c>
      <c r="N387" s="61" t="s">
        <v>2388</v>
      </c>
      <c r="O387" s="61" t="s">
        <v>2388</v>
      </c>
      <c r="P387" s="62" t="s">
        <v>2511</v>
      </c>
      <c r="Q387" s="82"/>
      <c r="R387" s="82"/>
      <c r="S387" s="82"/>
      <c r="T387" s="82"/>
      <c r="U387" s="82"/>
      <c r="V387" s="138" t="s">
        <v>3536</v>
      </c>
      <c r="W387" s="57" t="s">
        <v>3471</v>
      </c>
      <c r="X387" s="126" t="s">
        <v>2511</v>
      </c>
      <c r="Y387" s="126" t="s">
        <v>2511</v>
      </c>
      <c r="Z387" s="57"/>
      <c r="AA387" s="57" t="s">
        <v>3472</v>
      </c>
      <c r="AB387" s="138"/>
      <c r="AC387" s="138" t="s">
        <v>2631</v>
      </c>
      <c r="AD387" s="80"/>
      <c r="AE387" s="80"/>
      <c r="AF387" s="80"/>
      <c r="AG387" s="80"/>
      <c r="AH387" s="83"/>
      <c r="AI387" s="83"/>
      <c r="AJ387" s="84"/>
      <c r="AK387" s="84"/>
      <c r="AL387" s="84"/>
      <c r="AM387" s="84"/>
      <c r="AN387" s="84"/>
      <c r="AO387" s="84"/>
      <c r="AP387" s="84"/>
      <c r="AQ387" s="103" t="s">
        <v>538</v>
      </c>
      <c r="AR387" s="72"/>
      <c r="AS387" s="72"/>
      <c r="AT387" s="72"/>
      <c r="AU387" s="72"/>
      <c r="AV387" s="72"/>
      <c r="AW387" s="72"/>
      <c r="AX387" s="72"/>
      <c r="AY387" s="72"/>
      <c r="AZ387" s="72"/>
      <c r="BA387" s="72"/>
      <c r="BB387" s="16"/>
      <c r="BC387" s="72"/>
      <c r="BD387" s="147" t="s">
        <v>83</v>
      </c>
      <c r="BE387" s="147" t="s">
        <v>83</v>
      </c>
    </row>
    <row r="388" spans="1:57" s="81" customFormat="1" ht="12.95" hidden="1" customHeight="1">
      <c r="A388" s="248" t="e">
        <v>#N/A</v>
      </c>
      <c r="B388" s="252" t="e">
        <v>#N/A</v>
      </c>
      <c r="C388" s="269" t="s">
        <v>1099</v>
      </c>
      <c r="D388" s="239" t="s">
        <v>3537</v>
      </c>
      <c r="E388" s="58"/>
      <c r="F388" s="59" t="s">
        <v>2270</v>
      </c>
      <c r="G388" s="191" t="s">
        <v>2511</v>
      </c>
      <c r="H388" s="192" t="s">
        <v>2354</v>
      </c>
      <c r="I388" s="61" t="s">
        <v>2362</v>
      </c>
      <c r="J388" s="61" t="s">
        <v>890</v>
      </c>
      <c r="K388" s="62" t="s">
        <v>3538</v>
      </c>
      <c r="L388" s="60" t="s">
        <v>2511</v>
      </c>
      <c r="M388" s="61" t="s">
        <v>2523</v>
      </c>
      <c r="N388" s="61" t="s">
        <v>2523</v>
      </c>
      <c r="O388" s="61" t="s">
        <v>2523</v>
      </c>
      <c r="P388" s="62" t="s">
        <v>2523</v>
      </c>
      <c r="Q388" s="82"/>
      <c r="R388" s="82"/>
      <c r="S388" s="82"/>
      <c r="T388" s="82"/>
      <c r="U388" s="82"/>
      <c r="V388" s="138" t="s">
        <v>3539</v>
      </c>
      <c r="W388" s="57" t="s">
        <v>3471</v>
      </c>
      <c r="X388" s="128"/>
      <c r="Y388" s="128"/>
      <c r="Z388" s="57"/>
      <c r="AA388" s="57" t="s">
        <v>3472</v>
      </c>
      <c r="AB388" s="79"/>
      <c r="AC388" s="79"/>
      <c r="AD388" s="80"/>
      <c r="AE388" s="80"/>
      <c r="AF388" s="80"/>
      <c r="AG388" s="80"/>
      <c r="AH388" s="83"/>
      <c r="AI388" s="83"/>
      <c r="AJ388" s="84"/>
      <c r="AK388" s="84"/>
      <c r="AL388" s="84"/>
      <c r="AM388" s="84"/>
      <c r="AN388" s="84"/>
      <c r="AO388" s="84"/>
      <c r="AP388" s="84"/>
      <c r="AQ388" s="103" t="s">
        <v>2270</v>
      </c>
      <c r="AR388" s="72"/>
      <c r="AS388" s="72"/>
      <c r="AT388" s="72"/>
      <c r="AU388" s="72"/>
      <c r="AV388" s="72"/>
      <c r="AW388" s="72"/>
      <c r="AX388" s="72"/>
      <c r="AY388" s="72"/>
      <c r="AZ388" s="72"/>
      <c r="BA388" s="72"/>
      <c r="BB388" s="16"/>
      <c r="BC388" s="72"/>
      <c r="BD388" s="147" t="s">
        <v>83</v>
      </c>
      <c r="BE388" s="147" t="s">
        <v>83</v>
      </c>
    </row>
    <row r="389" spans="1:57" s="81" customFormat="1" ht="12.95" hidden="1" customHeight="1">
      <c r="A389" s="248" t="e">
        <v>#N/A</v>
      </c>
      <c r="B389" s="252" t="e">
        <v>#N/A</v>
      </c>
      <c r="C389" s="269" t="s">
        <v>1100</v>
      </c>
      <c r="D389" s="239" t="s">
        <v>3450</v>
      </c>
      <c r="E389" s="58"/>
      <c r="F389" s="59" t="s">
        <v>2271</v>
      </c>
      <c r="G389" s="191" t="s">
        <v>2511</v>
      </c>
      <c r="H389" s="192" t="s">
        <v>2355</v>
      </c>
      <c r="I389" s="61" t="s">
        <v>2363</v>
      </c>
      <c r="J389" s="61" t="s">
        <v>891</v>
      </c>
      <c r="K389" s="62" t="s">
        <v>3540</v>
      </c>
      <c r="L389" s="60" t="s">
        <v>2511</v>
      </c>
      <c r="M389" s="61" t="s">
        <v>2523</v>
      </c>
      <c r="N389" s="61" t="s">
        <v>2523</v>
      </c>
      <c r="O389" s="61" t="s">
        <v>2523</v>
      </c>
      <c r="P389" s="62" t="s">
        <v>2523</v>
      </c>
      <c r="Q389" s="82"/>
      <c r="R389" s="82"/>
      <c r="S389" s="82"/>
      <c r="T389" s="82"/>
      <c r="U389" s="82"/>
      <c r="V389" s="138" t="s">
        <v>3541</v>
      </c>
      <c r="W389" s="57" t="s">
        <v>3471</v>
      </c>
      <c r="X389" s="126" t="s">
        <v>2511</v>
      </c>
      <c r="Y389" s="126" t="s">
        <v>2511</v>
      </c>
      <c r="Z389" s="57"/>
      <c r="AA389" s="57" t="s">
        <v>3472</v>
      </c>
      <c r="AB389" s="137"/>
      <c r="AC389" s="137" t="s">
        <v>2631</v>
      </c>
      <c r="AD389" s="80"/>
      <c r="AE389" s="80"/>
      <c r="AF389" s="80"/>
      <c r="AG389" s="80"/>
      <c r="AH389" s="83"/>
      <c r="AI389" s="83"/>
      <c r="AJ389" s="84"/>
      <c r="AK389" s="84"/>
      <c r="AL389" s="84"/>
      <c r="AM389" s="84"/>
      <c r="AN389" s="84"/>
      <c r="AO389" s="84"/>
      <c r="AP389" s="84"/>
      <c r="AQ389" s="105" t="s">
        <v>2271</v>
      </c>
      <c r="AR389" s="72"/>
      <c r="AS389" s="72"/>
      <c r="AT389" s="72"/>
      <c r="AU389" s="72"/>
      <c r="AV389" s="72"/>
      <c r="AW389" s="72"/>
      <c r="AX389" s="72"/>
      <c r="AY389" s="72"/>
      <c r="AZ389" s="72"/>
      <c r="BA389" s="72"/>
      <c r="BB389" s="16"/>
      <c r="BC389" s="72"/>
      <c r="BD389" s="147" t="s">
        <v>83</v>
      </c>
      <c r="BE389" s="147" t="s">
        <v>83</v>
      </c>
    </row>
    <row r="390" spans="1:57" s="81" customFormat="1" ht="12.95" hidden="1" customHeight="1">
      <c r="A390" s="248" t="e">
        <v>#N/A</v>
      </c>
      <c r="B390" s="252" t="e">
        <v>#N/A</v>
      </c>
      <c r="C390" s="269" t="s">
        <v>1101</v>
      </c>
      <c r="D390" s="239" t="s">
        <v>3542</v>
      </c>
      <c r="E390" s="58"/>
      <c r="F390" s="59" t="s">
        <v>2272</v>
      </c>
      <c r="G390" s="191" t="s">
        <v>2511</v>
      </c>
      <c r="H390" s="192" t="s">
        <v>2356</v>
      </c>
      <c r="I390" s="61" t="s">
        <v>2364</v>
      </c>
      <c r="J390" s="61" t="s">
        <v>892</v>
      </c>
      <c r="K390" s="62" t="s">
        <v>3543</v>
      </c>
      <c r="L390" s="60" t="s">
        <v>2511</v>
      </c>
      <c r="M390" s="61" t="s">
        <v>2388</v>
      </c>
      <c r="N390" s="61" t="s">
        <v>2388</v>
      </c>
      <c r="O390" s="61" t="s">
        <v>2388</v>
      </c>
      <c r="P390" s="62" t="s">
        <v>2388</v>
      </c>
      <c r="Q390" s="82"/>
      <c r="R390" s="82"/>
      <c r="S390" s="82"/>
      <c r="T390" s="82"/>
      <c r="U390" s="82"/>
      <c r="V390" s="138" t="s">
        <v>3544</v>
      </c>
      <c r="W390" s="57" t="s">
        <v>3471</v>
      </c>
      <c r="X390" s="126" t="s">
        <v>2511</v>
      </c>
      <c r="Y390" s="126" t="s">
        <v>2511</v>
      </c>
      <c r="Z390" s="57"/>
      <c r="AA390" s="57" t="s">
        <v>3472</v>
      </c>
      <c r="AB390" s="138"/>
      <c r="AC390" s="138" t="s">
        <v>2631</v>
      </c>
      <c r="AD390" s="80"/>
      <c r="AE390" s="80"/>
      <c r="AF390" s="80"/>
      <c r="AG390" s="80"/>
      <c r="AH390" s="83"/>
      <c r="AI390" s="83"/>
      <c r="AJ390" s="84"/>
      <c r="AK390" s="84"/>
      <c r="AL390" s="84"/>
      <c r="AM390" s="84"/>
      <c r="AN390" s="84"/>
      <c r="AO390" s="84"/>
      <c r="AP390" s="84"/>
      <c r="AQ390" s="103" t="s">
        <v>2272</v>
      </c>
      <c r="AR390" s="72"/>
      <c r="AS390" s="72"/>
      <c r="AT390" s="72"/>
      <c r="AU390" s="72"/>
      <c r="AV390" s="72"/>
      <c r="AW390" s="72"/>
      <c r="AX390" s="72"/>
      <c r="AY390" s="72"/>
      <c r="AZ390" s="72"/>
      <c r="BA390" s="72"/>
      <c r="BB390" s="16"/>
      <c r="BC390" s="72"/>
      <c r="BD390" s="147" t="s">
        <v>83</v>
      </c>
      <c r="BE390" s="147" t="s">
        <v>83</v>
      </c>
    </row>
    <row r="391" spans="1:57" s="81" customFormat="1" ht="12.95" hidden="1" customHeight="1">
      <c r="A391" s="248" t="e">
        <v>#N/A</v>
      </c>
      <c r="B391" s="252" t="e">
        <v>#N/A</v>
      </c>
      <c r="C391" s="269" t="s">
        <v>1102</v>
      </c>
      <c r="D391" s="239" t="s">
        <v>3461</v>
      </c>
      <c r="E391" s="58"/>
      <c r="F391" s="59" t="s">
        <v>2273</v>
      </c>
      <c r="G391" s="191" t="s">
        <v>2511</v>
      </c>
      <c r="H391" s="192" t="s">
        <v>2357</v>
      </c>
      <c r="I391" s="61" t="s">
        <v>2365</v>
      </c>
      <c r="J391" s="61" t="s">
        <v>893</v>
      </c>
      <c r="K391" s="62" t="s">
        <v>3545</v>
      </c>
      <c r="L391" s="60" t="s">
        <v>2511</v>
      </c>
      <c r="M391" s="61" t="s">
        <v>2388</v>
      </c>
      <c r="N391" s="61" t="s">
        <v>2388</v>
      </c>
      <c r="O391" s="61" t="s">
        <v>2388</v>
      </c>
      <c r="P391" s="62" t="s">
        <v>2388</v>
      </c>
      <c r="Q391" s="82"/>
      <c r="R391" s="82"/>
      <c r="S391" s="82"/>
      <c r="T391" s="82"/>
      <c r="U391" s="82"/>
      <c r="V391" s="138" t="s">
        <v>3546</v>
      </c>
      <c r="W391" s="57" t="s">
        <v>3471</v>
      </c>
      <c r="X391" s="126" t="s">
        <v>2511</v>
      </c>
      <c r="Y391" s="126" t="s">
        <v>2511</v>
      </c>
      <c r="Z391" s="57"/>
      <c r="AA391" s="57" t="s">
        <v>3472</v>
      </c>
      <c r="AB391" s="138"/>
      <c r="AC391" s="138" t="s">
        <v>2631</v>
      </c>
      <c r="AD391" s="80"/>
      <c r="AE391" s="80"/>
      <c r="AF391" s="80"/>
      <c r="AG391" s="80"/>
      <c r="AH391" s="83"/>
      <c r="AI391" s="83"/>
      <c r="AJ391" s="84"/>
      <c r="AK391" s="84"/>
      <c r="AL391" s="84"/>
      <c r="AM391" s="84"/>
      <c r="AN391" s="84"/>
      <c r="AO391" s="84"/>
      <c r="AP391" s="84"/>
      <c r="AQ391" s="105" t="s">
        <v>2273</v>
      </c>
      <c r="AR391" s="72"/>
      <c r="AS391" s="72"/>
      <c r="AT391" s="72"/>
      <c r="AU391" s="72"/>
      <c r="AV391" s="72"/>
      <c r="AW391" s="72"/>
      <c r="AX391" s="72"/>
      <c r="AY391" s="72"/>
      <c r="AZ391" s="72"/>
      <c r="BA391" s="72"/>
      <c r="BB391" s="16"/>
      <c r="BC391" s="72"/>
      <c r="BD391" s="147" t="s">
        <v>83</v>
      </c>
      <c r="BE391" s="147" t="s">
        <v>83</v>
      </c>
    </row>
    <row r="392" spans="1:57" s="81" customFormat="1" ht="12.95" hidden="1" customHeight="1">
      <c r="A392" s="248" t="e">
        <v>#N/A</v>
      </c>
      <c r="B392" s="252" t="e">
        <v>#N/A</v>
      </c>
      <c r="C392" s="269" t="s">
        <v>1103</v>
      </c>
      <c r="D392" s="239" t="s">
        <v>3454</v>
      </c>
      <c r="E392" s="58"/>
      <c r="F392" s="59" t="s">
        <v>2274</v>
      </c>
      <c r="G392" s="191" t="s">
        <v>2511</v>
      </c>
      <c r="H392" s="192" t="s">
        <v>2511</v>
      </c>
      <c r="I392" s="61" t="s">
        <v>2366</v>
      </c>
      <c r="J392" s="61" t="s">
        <v>2358</v>
      </c>
      <c r="K392" s="62" t="s">
        <v>3547</v>
      </c>
      <c r="L392" s="60" t="s">
        <v>2511</v>
      </c>
      <c r="M392" s="61" t="s">
        <v>2511</v>
      </c>
      <c r="N392" s="61" t="s">
        <v>2523</v>
      </c>
      <c r="O392" s="61" t="s">
        <v>2523</v>
      </c>
      <c r="P392" s="62" t="s">
        <v>2523</v>
      </c>
      <c r="Q392" s="82"/>
      <c r="R392" s="82"/>
      <c r="S392" s="82"/>
      <c r="T392" s="82"/>
      <c r="U392" s="82"/>
      <c r="V392" s="138" t="s">
        <v>3548</v>
      </c>
      <c r="W392" s="57" t="s">
        <v>3471</v>
      </c>
      <c r="X392" s="126" t="s">
        <v>2511</v>
      </c>
      <c r="Y392" s="126" t="s">
        <v>2511</v>
      </c>
      <c r="Z392" s="57"/>
      <c r="AA392" s="57" t="s">
        <v>3472</v>
      </c>
      <c r="AB392" s="138"/>
      <c r="AC392" s="138" t="s">
        <v>2631</v>
      </c>
      <c r="AD392" s="80"/>
      <c r="AE392" s="80"/>
      <c r="AF392" s="80"/>
      <c r="AG392" s="80"/>
      <c r="AH392" s="83"/>
      <c r="AI392" s="83"/>
      <c r="AJ392" s="84"/>
      <c r="AK392" s="84"/>
      <c r="AL392" s="84"/>
      <c r="AM392" s="84"/>
      <c r="AN392" s="84"/>
      <c r="AO392" s="84"/>
      <c r="AP392" s="84"/>
      <c r="AQ392" s="103" t="s">
        <v>2274</v>
      </c>
      <c r="AR392" s="72"/>
      <c r="AS392" s="72"/>
      <c r="AT392" s="72"/>
      <c r="AU392" s="72"/>
      <c r="AV392" s="72"/>
      <c r="AW392" s="72"/>
      <c r="AX392" s="72"/>
      <c r="AY392" s="72"/>
      <c r="AZ392" s="72"/>
      <c r="BA392" s="72"/>
      <c r="BB392" s="16"/>
      <c r="BC392" s="72"/>
      <c r="BD392" s="147" t="s">
        <v>83</v>
      </c>
      <c r="BE392" s="147" t="s">
        <v>83</v>
      </c>
    </row>
    <row r="393" spans="1:57" s="81" customFormat="1" ht="12.95" hidden="1" customHeight="1">
      <c r="A393" s="248" t="e">
        <v>#N/A</v>
      </c>
      <c r="B393" s="252" t="e">
        <v>#N/A</v>
      </c>
      <c r="C393" s="269" t="s">
        <v>1104</v>
      </c>
      <c r="D393" s="239" t="s">
        <v>3549</v>
      </c>
      <c r="E393" s="58"/>
      <c r="F393" s="59" t="s">
        <v>2275</v>
      </c>
      <c r="G393" s="191" t="s">
        <v>2511</v>
      </c>
      <c r="H393" s="192" t="s">
        <v>2511</v>
      </c>
      <c r="I393" s="61" t="s">
        <v>2367</v>
      </c>
      <c r="J393" s="61" t="s">
        <v>2359</v>
      </c>
      <c r="K393" s="62" t="s">
        <v>3550</v>
      </c>
      <c r="L393" s="60" t="s">
        <v>2511</v>
      </c>
      <c r="M393" s="61" t="s">
        <v>2511</v>
      </c>
      <c r="N393" s="61" t="s">
        <v>2523</v>
      </c>
      <c r="O393" s="61" t="s">
        <v>2523</v>
      </c>
      <c r="P393" s="62" t="s">
        <v>2523</v>
      </c>
      <c r="Q393" s="82"/>
      <c r="R393" s="82"/>
      <c r="S393" s="82"/>
      <c r="T393" s="82"/>
      <c r="U393" s="82"/>
      <c r="V393" s="138" t="s">
        <v>3551</v>
      </c>
      <c r="W393" s="57" t="s">
        <v>3471</v>
      </c>
      <c r="X393" s="126" t="s">
        <v>2511</v>
      </c>
      <c r="Y393" s="126" t="s">
        <v>2511</v>
      </c>
      <c r="Z393" s="57"/>
      <c r="AA393" s="57" t="s">
        <v>3472</v>
      </c>
      <c r="AB393" s="138"/>
      <c r="AC393" s="138" t="s">
        <v>2631</v>
      </c>
      <c r="AD393" s="80"/>
      <c r="AE393" s="80"/>
      <c r="AF393" s="80"/>
      <c r="AG393" s="80"/>
      <c r="AH393" s="83"/>
      <c r="AI393" s="83"/>
      <c r="AJ393" s="84"/>
      <c r="AK393" s="84"/>
      <c r="AL393" s="84"/>
      <c r="AM393" s="84"/>
      <c r="AN393" s="84"/>
      <c r="AO393" s="84"/>
      <c r="AP393" s="84"/>
      <c r="AQ393" s="105" t="s">
        <v>2275</v>
      </c>
      <c r="AR393" s="72"/>
      <c r="AS393" s="72"/>
      <c r="AT393" s="72"/>
      <c r="AU393" s="72"/>
      <c r="AV393" s="72"/>
      <c r="AW393" s="72"/>
      <c r="AX393" s="72"/>
      <c r="AY393" s="72"/>
      <c r="AZ393" s="72"/>
      <c r="BA393" s="72"/>
      <c r="BB393" s="16"/>
      <c r="BC393" s="72"/>
      <c r="BD393" s="147" t="s">
        <v>83</v>
      </c>
      <c r="BE393" s="147" t="s">
        <v>83</v>
      </c>
    </row>
    <row r="394" spans="1:57" s="81" customFormat="1" ht="12.95" hidden="1" customHeight="1">
      <c r="A394" s="248" t="e">
        <v>#N/A</v>
      </c>
      <c r="B394" s="252" t="e">
        <v>#N/A</v>
      </c>
      <c r="C394" s="269" t="s">
        <v>1105</v>
      </c>
      <c r="D394" s="239" t="s">
        <v>3552</v>
      </c>
      <c r="E394" s="58"/>
      <c r="F394" s="59" t="s">
        <v>2276</v>
      </c>
      <c r="G394" s="191" t="s">
        <v>2511</v>
      </c>
      <c r="H394" s="192" t="s">
        <v>2511</v>
      </c>
      <c r="I394" s="61" t="s">
        <v>2368</v>
      </c>
      <c r="J394" s="61" t="s">
        <v>2360</v>
      </c>
      <c r="K394" s="62" t="s">
        <v>3553</v>
      </c>
      <c r="L394" s="60" t="s">
        <v>2511</v>
      </c>
      <c r="M394" s="61" t="s">
        <v>2511</v>
      </c>
      <c r="N394" s="61" t="s">
        <v>2388</v>
      </c>
      <c r="O394" s="61" t="s">
        <v>2388</v>
      </c>
      <c r="P394" s="62" t="s">
        <v>2388</v>
      </c>
      <c r="Q394" s="82"/>
      <c r="R394" s="82"/>
      <c r="S394" s="82"/>
      <c r="T394" s="82"/>
      <c r="U394" s="82"/>
      <c r="V394" s="138" t="s">
        <v>3554</v>
      </c>
      <c r="W394" s="57" t="s">
        <v>3471</v>
      </c>
      <c r="X394" s="126" t="s">
        <v>2511</v>
      </c>
      <c r="Y394" s="126" t="s">
        <v>2511</v>
      </c>
      <c r="Z394" s="57"/>
      <c r="AA394" s="57" t="s">
        <v>3472</v>
      </c>
      <c r="AB394" s="138"/>
      <c r="AC394" s="138" t="s">
        <v>2631</v>
      </c>
      <c r="AD394" s="80"/>
      <c r="AE394" s="80"/>
      <c r="AF394" s="80"/>
      <c r="AG394" s="80"/>
      <c r="AH394" s="83"/>
      <c r="AI394" s="83"/>
      <c r="AJ394" s="84"/>
      <c r="AK394" s="84"/>
      <c r="AL394" s="84"/>
      <c r="AM394" s="84"/>
      <c r="AN394" s="84"/>
      <c r="AO394" s="84"/>
      <c r="AP394" s="84"/>
      <c r="AQ394" s="103" t="s">
        <v>2276</v>
      </c>
      <c r="AR394" s="72"/>
      <c r="AS394" s="72"/>
      <c r="AT394" s="72"/>
      <c r="AU394" s="72"/>
      <c r="AV394" s="72"/>
      <c r="AW394" s="72"/>
      <c r="AX394" s="72"/>
      <c r="AY394" s="72"/>
      <c r="AZ394" s="72"/>
      <c r="BA394" s="72"/>
      <c r="BB394" s="16"/>
      <c r="BC394" s="72"/>
      <c r="BD394" s="147" t="s">
        <v>83</v>
      </c>
      <c r="BE394" s="147" t="s">
        <v>83</v>
      </c>
    </row>
    <row r="395" spans="1:57" s="81" customFormat="1" ht="12.95" hidden="1" customHeight="1">
      <c r="A395" s="248" t="e">
        <v>#N/A</v>
      </c>
      <c r="B395" s="252" t="e">
        <v>#N/A</v>
      </c>
      <c r="C395" s="269" t="s">
        <v>1106</v>
      </c>
      <c r="D395" s="239" t="s">
        <v>3457</v>
      </c>
      <c r="E395" s="58"/>
      <c r="F395" s="59" t="s">
        <v>2277</v>
      </c>
      <c r="G395" s="191" t="s">
        <v>2511</v>
      </c>
      <c r="H395" s="192" t="s">
        <v>2511</v>
      </c>
      <c r="I395" s="61" t="s">
        <v>2369</v>
      </c>
      <c r="J395" s="61" t="s">
        <v>2361</v>
      </c>
      <c r="K395" s="62" t="s">
        <v>3555</v>
      </c>
      <c r="L395" s="60" t="s">
        <v>2511</v>
      </c>
      <c r="M395" s="61" t="s">
        <v>2511</v>
      </c>
      <c r="N395" s="61" t="s">
        <v>2388</v>
      </c>
      <c r="O395" s="61" t="s">
        <v>2388</v>
      </c>
      <c r="P395" s="62" t="s">
        <v>2388</v>
      </c>
      <c r="Q395" s="82"/>
      <c r="R395" s="82"/>
      <c r="S395" s="82"/>
      <c r="T395" s="82"/>
      <c r="U395" s="82"/>
      <c r="V395" s="138" t="s">
        <v>3556</v>
      </c>
      <c r="W395" s="57" t="s">
        <v>3471</v>
      </c>
      <c r="X395" s="126" t="s">
        <v>2511</v>
      </c>
      <c r="Y395" s="126" t="s">
        <v>2511</v>
      </c>
      <c r="Z395" s="57"/>
      <c r="AA395" s="57" t="s">
        <v>3472</v>
      </c>
      <c r="AB395" s="138"/>
      <c r="AC395" s="138" t="s">
        <v>2631</v>
      </c>
      <c r="AD395" s="80"/>
      <c r="AE395" s="80"/>
      <c r="AF395" s="80"/>
      <c r="AG395" s="80"/>
      <c r="AH395" s="83"/>
      <c r="AI395" s="83"/>
      <c r="AJ395" s="84"/>
      <c r="AK395" s="84"/>
      <c r="AL395" s="84"/>
      <c r="AM395" s="84"/>
      <c r="AN395" s="84"/>
      <c r="AO395" s="84"/>
      <c r="AP395" s="84"/>
      <c r="AQ395" s="105" t="s">
        <v>2277</v>
      </c>
      <c r="AR395" s="72"/>
      <c r="AS395" s="72"/>
      <c r="AT395" s="72"/>
      <c r="AU395" s="72"/>
      <c r="AV395" s="72"/>
      <c r="AW395" s="72"/>
      <c r="AX395" s="72"/>
      <c r="AY395" s="72"/>
      <c r="AZ395" s="72"/>
      <c r="BA395" s="72"/>
      <c r="BB395" s="16"/>
      <c r="BC395" s="72"/>
      <c r="BD395" s="147" t="s">
        <v>83</v>
      </c>
      <c r="BE395" s="147" t="s">
        <v>83</v>
      </c>
    </row>
    <row r="396" spans="1:57" s="81" customFormat="1" ht="12.95" hidden="1" customHeight="1">
      <c r="A396" s="248" t="e">
        <v>#N/A</v>
      </c>
      <c r="B396" s="252" t="e">
        <v>#N/A</v>
      </c>
      <c r="C396" s="269" t="s">
        <v>1107</v>
      </c>
      <c r="D396" s="239" t="s">
        <v>3557</v>
      </c>
      <c r="E396" s="58"/>
      <c r="F396" s="59" t="s">
        <v>2278</v>
      </c>
      <c r="G396" s="191" t="s">
        <v>2511</v>
      </c>
      <c r="H396" s="192" t="s">
        <v>2511</v>
      </c>
      <c r="I396" s="61" t="s">
        <v>2374</v>
      </c>
      <c r="J396" s="61" t="s">
        <v>2362</v>
      </c>
      <c r="K396" s="62" t="s">
        <v>3558</v>
      </c>
      <c r="L396" s="60" t="s">
        <v>2511</v>
      </c>
      <c r="M396" s="61" t="s">
        <v>2511</v>
      </c>
      <c r="N396" s="61" t="s">
        <v>2523</v>
      </c>
      <c r="O396" s="61" t="s">
        <v>2523</v>
      </c>
      <c r="P396" s="62" t="s">
        <v>2523</v>
      </c>
      <c r="Q396" s="82"/>
      <c r="R396" s="82"/>
      <c r="S396" s="82"/>
      <c r="T396" s="82"/>
      <c r="U396" s="82"/>
      <c r="V396" s="138" t="s">
        <v>3559</v>
      </c>
      <c r="W396" s="57" t="s">
        <v>3471</v>
      </c>
      <c r="X396" s="126" t="s">
        <v>2511</v>
      </c>
      <c r="Y396" s="126" t="s">
        <v>2511</v>
      </c>
      <c r="Z396" s="57"/>
      <c r="AA396" s="57" t="s">
        <v>3472</v>
      </c>
      <c r="AB396" s="138"/>
      <c r="AC396" s="138" t="s">
        <v>2631</v>
      </c>
      <c r="AD396" s="80"/>
      <c r="AE396" s="80"/>
      <c r="AF396" s="80"/>
      <c r="AG396" s="80"/>
      <c r="AH396" s="83"/>
      <c r="AI396" s="83"/>
      <c r="AJ396" s="84"/>
      <c r="AK396" s="84"/>
      <c r="AL396" s="84"/>
      <c r="AM396" s="84"/>
      <c r="AN396" s="84"/>
      <c r="AO396" s="84"/>
      <c r="AP396" s="84"/>
      <c r="AQ396" s="103" t="s">
        <v>2278</v>
      </c>
      <c r="AR396" s="72"/>
      <c r="AS396" s="72"/>
      <c r="AT396" s="72"/>
      <c r="AU396" s="72"/>
      <c r="AV396" s="72"/>
      <c r="AW396" s="72"/>
      <c r="AX396" s="72"/>
      <c r="AY396" s="72"/>
      <c r="AZ396" s="72"/>
      <c r="BA396" s="72"/>
      <c r="BB396" s="16"/>
      <c r="BC396" s="72"/>
      <c r="BD396" s="147" t="s">
        <v>83</v>
      </c>
      <c r="BE396" s="147" t="s">
        <v>83</v>
      </c>
    </row>
    <row r="397" spans="1:57" s="81" customFormat="1" ht="12.95" hidden="1" customHeight="1">
      <c r="A397" s="248" t="e">
        <v>#N/A</v>
      </c>
      <c r="B397" s="252" t="e">
        <v>#N/A</v>
      </c>
      <c r="C397" s="269" t="s">
        <v>1108</v>
      </c>
      <c r="D397" s="239" t="s">
        <v>3119</v>
      </c>
      <c r="E397" s="58"/>
      <c r="F397" s="59" t="s">
        <v>2279</v>
      </c>
      <c r="G397" s="191" t="s">
        <v>2511</v>
      </c>
      <c r="H397" s="192" t="s">
        <v>2511</v>
      </c>
      <c r="I397" s="61" t="s">
        <v>2375</v>
      </c>
      <c r="J397" s="61" t="s">
        <v>2363</v>
      </c>
      <c r="K397" s="62" t="s">
        <v>3560</v>
      </c>
      <c r="L397" s="60" t="s">
        <v>2511</v>
      </c>
      <c r="M397" s="61" t="s">
        <v>2511</v>
      </c>
      <c r="N397" s="61" t="s">
        <v>2523</v>
      </c>
      <c r="O397" s="61" t="s">
        <v>2523</v>
      </c>
      <c r="P397" s="62" t="s">
        <v>2523</v>
      </c>
      <c r="Q397" s="82"/>
      <c r="R397" s="82"/>
      <c r="S397" s="82"/>
      <c r="T397" s="82"/>
      <c r="U397" s="82"/>
      <c r="V397" s="138" t="s">
        <v>3561</v>
      </c>
      <c r="W397" s="57" t="s">
        <v>3471</v>
      </c>
      <c r="X397" s="126" t="s">
        <v>2511</v>
      </c>
      <c r="Y397" s="126" t="s">
        <v>2511</v>
      </c>
      <c r="Z397" s="57"/>
      <c r="AA397" s="57" t="s">
        <v>3472</v>
      </c>
      <c r="AB397" s="138"/>
      <c r="AC397" s="138" t="s">
        <v>2631</v>
      </c>
      <c r="AD397" s="80"/>
      <c r="AE397" s="80"/>
      <c r="AF397" s="80"/>
      <c r="AG397" s="80"/>
      <c r="AH397" s="83"/>
      <c r="AI397" s="83"/>
      <c r="AJ397" s="84"/>
      <c r="AK397" s="84"/>
      <c r="AL397" s="84"/>
      <c r="AM397" s="84"/>
      <c r="AN397" s="84"/>
      <c r="AO397" s="84"/>
      <c r="AP397" s="84"/>
      <c r="AQ397" s="105" t="s">
        <v>2279</v>
      </c>
      <c r="AR397" s="72"/>
      <c r="AS397" s="72"/>
      <c r="AT397" s="72"/>
      <c r="AU397" s="72"/>
      <c r="AV397" s="72"/>
      <c r="AW397" s="72"/>
      <c r="AX397" s="72"/>
      <c r="AY397" s="72"/>
      <c r="AZ397" s="72"/>
      <c r="BA397" s="72"/>
      <c r="BB397" s="16"/>
      <c r="BC397" s="72"/>
      <c r="BD397" s="147" t="s">
        <v>83</v>
      </c>
      <c r="BE397" s="147" t="s">
        <v>83</v>
      </c>
    </row>
    <row r="398" spans="1:57" s="81" customFormat="1" ht="12.95" hidden="1" customHeight="1">
      <c r="A398" s="248" t="e">
        <v>#N/A</v>
      </c>
      <c r="B398" s="252" t="e">
        <v>#N/A</v>
      </c>
      <c r="C398" s="269" t="s">
        <v>1109</v>
      </c>
      <c r="D398" s="239" t="s">
        <v>3154</v>
      </c>
      <c r="E398" s="58"/>
      <c r="F398" s="59" t="s">
        <v>2280</v>
      </c>
      <c r="G398" s="191" t="s">
        <v>2511</v>
      </c>
      <c r="H398" s="192" t="s">
        <v>2511</v>
      </c>
      <c r="I398" s="61" t="s">
        <v>2376</v>
      </c>
      <c r="J398" s="61" t="s">
        <v>2364</v>
      </c>
      <c r="K398" s="62" t="s">
        <v>3562</v>
      </c>
      <c r="L398" s="60" t="s">
        <v>2511</v>
      </c>
      <c r="M398" s="61" t="s">
        <v>2511</v>
      </c>
      <c r="N398" s="61" t="s">
        <v>2388</v>
      </c>
      <c r="O398" s="61" t="s">
        <v>2388</v>
      </c>
      <c r="P398" s="62" t="s">
        <v>2388</v>
      </c>
      <c r="Q398" s="82"/>
      <c r="R398" s="82"/>
      <c r="S398" s="82"/>
      <c r="T398" s="82"/>
      <c r="U398" s="82"/>
      <c r="V398" s="138" t="s">
        <v>3563</v>
      </c>
      <c r="W398" s="57" t="s">
        <v>3471</v>
      </c>
      <c r="X398" s="126" t="s">
        <v>2511</v>
      </c>
      <c r="Y398" s="126" t="s">
        <v>2511</v>
      </c>
      <c r="Z398" s="57"/>
      <c r="AA398" s="57" t="s">
        <v>3472</v>
      </c>
      <c r="AB398" s="138"/>
      <c r="AC398" s="138" t="s">
        <v>2631</v>
      </c>
      <c r="AD398" s="80"/>
      <c r="AE398" s="80"/>
      <c r="AF398" s="80"/>
      <c r="AG398" s="80"/>
      <c r="AH398" s="83"/>
      <c r="AI398" s="83"/>
      <c r="AJ398" s="84"/>
      <c r="AK398" s="84"/>
      <c r="AL398" s="84"/>
      <c r="AM398" s="84"/>
      <c r="AN398" s="84"/>
      <c r="AO398" s="84"/>
      <c r="AP398" s="84"/>
      <c r="AQ398" s="103" t="s">
        <v>2280</v>
      </c>
      <c r="AR398" s="72"/>
      <c r="AS398" s="72"/>
      <c r="AT398" s="72"/>
      <c r="AU398" s="72"/>
      <c r="AV398" s="72"/>
      <c r="AW398" s="72"/>
      <c r="AX398" s="72"/>
      <c r="AY398" s="72"/>
      <c r="AZ398" s="72"/>
      <c r="BA398" s="72"/>
      <c r="BB398" s="16"/>
      <c r="BC398" s="72"/>
      <c r="BD398" s="147" t="s">
        <v>83</v>
      </c>
      <c r="BE398" s="147" t="s">
        <v>83</v>
      </c>
    </row>
    <row r="399" spans="1:57" s="81" customFormat="1" ht="12.95" hidden="1" customHeight="1">
      <c r="A399" s="248" t="e">
        <v>#N/A</v>
      </c>
      <c r="B399" s="252" t="e">
        <v>#N/A</v>
      </c>
      <c r="C399" s="269" t="s">
        <v>1110</v>
      </c>
      <c r="D399" s="239" t="s">
        <v>3564</v>
      </c>
      <c r="E399" s="58"/>
      <c r="F399" s="59" t="s">
        <v>2281</v>
      </c>
      <c r="G399" s="191" t="s">
        <v>2511</v>
      </c>
      <c r="H399" s="192" t="s">
        <v>2511</v>
      </c>
      <c r="I399" s="61" t="s">
        <v>2377</v>
      </c>
      <c r="J399" s="61" t="s">
        <v>2365</v>
      </c>
      <c r="K399" s="62" t="s">
        <v>3565</v>
      </c>
      <c r="L399" s="60" t="s">
        <v>2511</v>
      </c>
      <c r="M399" s="61" t="s">
        <v>2511</v>
      </c>
      <c r="N399" s="61" t="s">
        <v>2388</v>
      </c>
      <c r="O399" s="61" t="s">
        <v>2388</v>
      </c>
      <c r="P399" s="62" t="s">
        <v>2388</v>
      </c>
      <c r="Q399" s="82"/>
      <c r="R399" s="82"/>
      <c r="S399" s="82"/>
      <c r="T399" s="82"/>
      <c r="U399" s="82"/>
      <c r="V399" s="138" t="s">
        <v>3566</v>
      </c>
      <c r="W399" s="57" t="s">
        <v>3471</v>
      </c>
      <c r="X399" s="126" t="s">
        <v>2511</v>
      </c>
      <c r="Y399" s="126" t="s">
        <v>2511</v>
      </c>
      <c r="Z399" s="57"/>
      <c r="AA399" s="57" t="s">
        <v>3472</v>
      </c>
      <c r="AB399" s="138"/>
      <c r="AC399" s="138" t="s">
        <v>2631</v>
      </c>
      <c r="AD399" s="80"/>
      <c r="AE399" s="80"/>
      <c r="AF399" s="80"/>
      <c r="AG399" s="80"/>
      <c r="AH399" s="83"/>
      <c r="AI399" s="83"/>
      <c r="AJ399" s="84"/>
      <c r="AK399" s="84"/>
      <c r="AL399" s="84"/>
      <c r="AM399" s="84"/>
      <c r="AN399" s="84"/>
      <c r="AO399" s="84"/>
      <c r="AP399" s="84"/>
      <c r="AQ399" s="105" t="s">
        <v>2281</v>
      </c>
      <c r="AR399" s="72"/>
      <c r="AS399" s="72"/>
      <c r="AT399" s="72"/>
      <c r="AU399" s="72"/>
      <c r="AV399" s="72"/>
      <c r="AW399" s="72"/>
      <c r="AX399" s="72"/>
      <c r="AY399" s="72"/>
      <c r="AZ399" s="72"/>
      <c r="BA399" s="72"/>
      <c r="BB399" s="16"/>
      <c r="BC399" s="72"/>
      <c r="BD399" s="147" t="s">
        <v>83</v>
      </c>
      <c r="BE399" s="147" t="s">
        <v>83</v>
      </c>
    </row>
    <row r="400" spans="1:57" s="81" customFormat="1" ht="12.95" hidden="1" customHeight="1">
      <c r="A400" s="248" t="e">
        <v>#N/A</v>
      </c>
      <c r="B400" s="252" t="e">
        <v>#N/A</v>
      </c>
      <c r="C400" s="269" t="s">
        <v>1111</v>
      </c>
      <c r="D400" s="239" t="s">
        <v>3464</v>
      </c>
      <c r="E400" s="58"/>
      <c r="F400" s="59" t="s">
        <v>2282</v>
      </c>
      <c r="G400" s="191" t="s">
        <v>2511</v>
      </c>
      <c r="H400" s="192" t="s">
        <v>2362</v>
      </c>
      <c r="I400" s="61" t="s">
        <v>2378</v>
      </c>
      <c r="J400" s="61" t="s">
        <v>2366</v>
      </c>
      <c r="K400" s="62" t="s">
        <v>3567</v>
      </c>
      <c r="L400" s="60" t="s">
        <v>2511</v>
      </c>
      <c r="M400" s="61" t="s">
        <v>2523</v>
      </c>
      <c r="N400" s="61" t="s">
        <v>2523</v>
      </c>
      <c r="O400" s="61" t="s">
        <v>2523</v>
      </c>
      <c r="P400" s="62" t="s">
        <v>2523</v>
      </c>
      <c r="Q400" s="82"/>
      <c r="R400" s="82"/>
      <c r="S400" s="82"/>
      <c r="T400" s="82"/>
      <c r="U400" s="82"/>
      <c r="V400" s="138" t="s">
        <v>3568</v>
      </c>
      <c r="W400" s="57" t="s">
        <v>3471</v>
      </c>
      <c r="X400" s="126" t="s">
        <v>2511</v>
      </c>
      <c r="Y400" s="126" t="s">
        <v>2511</v>
      </c>
      <c r="Z400" s="57"/>
      <c r="AA400" s="57" t="s">
        <v>3472</v>
      </c>
      <c r="AB400" s="138"/>
      <c r="AC400" s="138" t="s">
        <v>2631</v>
      </c>
      <c r="AD400" s="80"/>
      <c r="AE400" s="80"/>
      <c r="AF400" s="80"/>
      <c r="AG400" s="80"/>
      <c r="AH400" s="83"/>
      <c r="AI400" s="83"/>
      <c r="AJ400" s="84"/>
      <c r="AK400" s="84"/>
      <c r="AL400" s="84"/>
      <c r="AM400" s="84"/>
      <c r="AN400" s="84"/>
      <c r="AO400" s="84"/>
      <c r="AP400" s="84"/>
      <c r="AQ400" s="103" t="s">
        <v>2282</v>
      </c>
      <c r="AR400" s="72"/>
      <c r="AS400" s="72"/>
      <c r="AT400" s="72"/>
      <c r="AU400" s="72"/>
      <c r="AV400" s="72"/>
      <c r="AW400" s="72"/>
      <c r="AX400" s="72"/>
      <c r="AY400" s="72"/>
      <c r="AZ400" s="72"/>
      <c r="BA400" s="72"/>
      <c r="BB400" s="16"/>
      <c r="BC400" s="72"/>
      <c r="BD400" s="147" t="s">
        <v>83</v>
      </c>
      <c r="BE400" s="147" t="s">
        <v>83</v>
      </c>
    </row>
    <row r="401" spans="1:57" s="81" customFormat="1" ht="12.95" hidden="1" customHeight="1">
      <c r="A401" s="248" t="e">
        <v>#N/A</v>
      </c>
      <c r="B401" s="252" t="e">
        <v>#N/A</v>
      </c>
      <c r="C401" s="269" t="s">
        <v>1112</v>
      </c>
      <c r="D401" s="239" t="s">
        <v>2561</v>
      </c>
      <c r="E401" s="58"/>
      <c r="F401" s="59" t="s">
        <v>2283</v>
      </c>
      <c r="G401" s="191" t="s">
        <v>2511</v>
      </c>
      <c r="H401" s="192" t="s">
        <v>2363</v>
      </c>
      <c r="I401" s="61" t="s">
        <v>2379</v>
      </c>
      <c r="J401" s="61" t="s">
        <v>2367</v>
      </c>
      <c r="K401" s="62" t="s">
        <v>3569</v>
      </c>
      <c r="L401" s="60" t="s">
        <v>2511</v>
      </c>
      <c r="M401" s="61" t="s">
        <v>2523</v>
      </c>
      <c r="N401" s="61" t="s">
        <v>2523</v>
      </c>
      <c r="O401" s="61" t="s">
        <v>2523</v>
      </c>
      <c r="P401" s="62" t="s">
        <v>2523</v>
      </c>
      <c r="Q401" s="82"/>
      <c r="R401" s="82"/>
      <c r="S401" s="82"/>
      <c r="T401" s="82"/>
      <c r="U401" s="82"/>
      <c r="V401" s="138" t="s">
        <v>3570</v>
      </c>
      <c r="W401" s="57" t="s">
        <v>3471</v>
      </c>
      <c r="X401" s="126" t="s">
        <v>2511</v>
      </c>
      <c r="Y401" s="126" t="s">
        <v>2511</v>
      </c>
      <c r="Z401" s="57"/>
      <c r="AA401" s="57" t="s">
        <v>3472</v>
      </c>
      <c r="AB401" s="138"/>
      <c r="AC401" s="138" t="s">
        <v>2631</v>
      </c>
      <c r="AD401" s="80"/>
      <c r="AE401" s="80"/>
      <c r="AF401" s="80"/>
      <c r="AG401" s="80"/>
      <c r="AH401" s="83"/>
      <c r="AI401" s="83"/>
      <c r="AJ401" s="84"/>
      <c r="AK401" s="84"/>
      <c r="AL401" s="84"/>
      <c r="AM401" s="84"/>
      <c r="AN401" s="84"/>
      <c r="AO401" s="84"/>
      <c r="AP401" s="84"/>
      <c r="AQ401" s="105" t="s">
        <v>2283</v>
      </c>
      <c r="AR401" s="72"/>
      <c r="AS401" s="72"/>
      <c r="AT401" s="72"/>
      <c r="AU401" s="72"/>
      <c r="AV401" s="72"/>
      <c r="AW401" s="72"/>
      <c r="AX401" s="72"/>
      <c r="AY401" s="72"/>
      <c r="AZ401" s="72"/>
      <c r="BA401" s="72"/>
      <c r="BB401" s="16"/>
      <c r="BC401" s="72"/>
      <c r="BD401" s="147" t="s">
        <v>83</v>
      </c>
      <c r="BE401" s="147" t="s">
        <v>83</v>
      </c>
    </row>
    <row r="402" spans="1:57" s="81" customFormat="1" ht="12.95" hidden="1" customHeight="1">
      <c r="A402" s="248" t="e">
        <v>#N/A</v>
      </c>
      <c r="B402" s="252" t="e">
        <v>#N/A</v>
      </c>
      <c r="C402" s="269" t="s">
        <v>1113</v>
      </c>
      <c r="D402" s="239" t="s">
        <v>2525</v>
      </c>
      <c r="E402" s="58"/>
      <c r="F402" s="59" t="s">
        <v>2284</v>
      </c>
      <c r="G402" s="191" t="s">
        <v>2511</v>
      </c>
      <c r="H402" s="192" t="s">
        <v>2364</v>
      </c>
      <c r="I402" s="61" t="s">
        <v>2380</v>
      </c>
      <c r="J402" s="61" t="s">
        <v>2368</v>
      </c>
      <c r="K402" s="62" t="s">
        <v>3571</v>
      </c>
      <c r="L402" s="60" t="s">
        <v>2511</v>
      </c>
      <c r="M402" s="61" t="s">
        <v>2388</v>
      </c>
      <c r="N402" s="61" t="s">
        <v>2388</v>
      </c>
      <c r="O402" s="61" t="s">
        <v>2388</v>
      </c>
      <c r="P402" s="62" t="s">
        <v>2388</v>
      </c>
      <c r="Q402" s="82"/>
      <c r="R402" s="82"/>
      <c r="S402" s="82"/>
      <c r="T402" s="82"/>
      <c r="U402" s="82"/>
      <c r="V402" s="138" t="s">
        <v>3572</v>
      </c>
      <c r="W402" s="57" t="s">
        <v>3471</v>
      </c>
      <c r="X402" s="126" t="s">
        <v>2511</v>
      </c>
      <c r="Y402" s="126" t="s">
        <v>2511</v>
      </c>
      <c r="Z402" s="57"/>
      <c r="AA402" s="57" t="s">
        <v>3472</v>
      </c>
      <c r="AB402" s="138"/>
      <c r="AC402" s="138" t="s">
        <v>2631</v>
      </c>
      <c r="AD402" s="80"/>
      <c r="AE402" s="80"/>
      <c r="AF402" s="80"/>
      <c r="AG402" s="80"/>
      <c r="AH402" s="83"/>
      <c r="AI402" s="83"/>
      <c r="AJ402" s="84"/>
      <c r="AK402" s="84"/>
      <c r="AL402" s="84"/>
      <c r="AM402" s="84"/>
      <c r="AN402" s="84"/>
      <c r="AO402" s="84"/>
      <c r="AP402" s="84"/>
      <c r="AQ402" s="103" t="s">
        <v>2284</v>
      </c>
      <c r="AR402" s="72"/>
      <c r="AS402" s="72"/>
      <c r="AT402" s="72"/>
      <c r="AU402" s="72"/>
      <c r="AV402" s="72"/>
      <c r="AW402" s="72"/>
      <c r="AX402" s="72"/>
      <c r="AY402" s="72"/>
      <c r="AZ402" s="72"/>
      <c r="BA402" s="72"/>
      <c r="BB402" s="16"/>
      <c r="BC402" s="72"/>
      <c r="BD402" s="147" t="s">
        <v>83</v>
      </c>
      <c r="BE402" s="147" t="s">
        <v>83</v>
      </c>
    </row>
    <row r="403" spans="1:57" s="81" customFormat="1" ht="12.95" hidden="1" customHeight="1">
      <c r="A403" s="248" t="e">
        <v>#N/A</v>
      </c>
      <c r="B403" s="252" t="e">
        <v>#N/A</v>
      </c>
      <c r="C403" s="269" t="s">
        <v>1114</v>
      </c>
      <c r="D403" s="239" t="s">
        <v>3573</v>
      </c>
      <c r="E403" s="58"/>
      <c r="F403" s="59" t="s">
        <v>2285</v>
      </c>
      <c r="G403" s="191" t="s">
        <v>2511</v>
      </c>
      <c r="H403" s="192" t="s">
        <v>2365</v>
      </c>
      <c r="I403" s="61" t="s">
        <v>2381</v>
      </c>
      <c r="J403" s="61" t="s">
        <v>2369</v>
      </c>
      <c r="K403" s="62" t="s">
        <v>3574</v>
      </c>
      <c r="L403" s="60" t="s">
        <v>2511</v>
      </c>
      <c r="M403" s="61" t="s">
        <v>2388</v>
      </c>
      <c r="N403" s="61" t="s">
        <v>2388</v>
      </c>
      <c r="O403" s="61" t="s">
        <v>2388</v>
      </c>
      <c r="P403" s="62" t="s">
        <v>2388</v>
      </c>
      <c r="Q403" s="82"/>
      <c r="R403" s="82"/>
      <c r="S403" s="82"/>
      <c r="T403" s="82"/>
      <c r="U403" s="82"/>
      <c r="V403" s="138" t="s">
        <v>3575</v>
      </c>
      <c r="W403" s="57" t="s">
        <v>3471</v>
      </c>
      <c r="X403" s="126" t="s">
        <v>2511</v>
      </c>
      <c r="Y403" s="126" t="s">
        <v>2511</v>
      </c>
      <c r="Z403" s="57"/>
      <c r="AA403" s="57" t="s">
        <v>3472</v>
      </c>
      <c r="AB403" s="138"/>
      <c r="AC403" s="138" t="s">
        <v>2631</v>
      </c>
      <c r="AD403" s="80"/>
      <c r="AE403" s="80"/>
      <c r="AF403" s="80"/>
      <c r="AG403" s="80"/>
      <c r="AH403" s="83"/>
      <c r="AI403" s="83"/>
      <c r="AJ403" s="84"/>
      <c r="AK403" s="84"/>
      <c r="AL403" s="84"/>
      <c r="AM403" s="84"/>
      <c r="AN403" s="84"/>
      <c r="AO403" s="84"/>
      <c r="AP403" s="84"/>
      <c r="AQ403" s="105" t="s">
        <v>2285</v>
      </c>
      <c r="AR403" s="72"/>
      <c r="AS403" s="72"/>
      <c r="AT403" s="72"/>
      <c r="AU403" s="72"/>
      <c r="AV403" s="72"/>
      <c r="AW403" s="72"/>
      <c r="AX403" s="72"/>
      <c r="AY403" s="72"/>
      <c r="AZ403" s="72"/>
      <c r="BA403" s="72"/>
      <c r="BB403" s="16"/>
      <c r="BC403" s="72"/>
      <c r="BD403" s="147" t="s">
        <v>83</v>
      </c>
      <c r="BE403" s="147" t="s">
        <v>83</v>
      </c>
    </row>
    <row r="404" spans="1:57" s="81" customFormat="1" ht="12.95" hidden="1" customHeight="1">
      <c r="A404" s="248" t="e">
        <v>#N/A</v>
      </c>
      <c r="B404" s="252" t="e">
        <v>#N/A</v>
      </c>
      <c r="C404" s="269" t="s">
        <v>1115</v>
      </c>
      <c r="D404" s="239" t="s">
        <v>3576</v>
      </c>
      <c r="E404" s="58"/>
      <c r="F404" s="59" t="s">
        <v>2286</v>
      </c>
      <c r="G404" s="191" t="s">
        <v>2511</v>
      </c>
      <c r="H404" s="192"/>
      <c r="I404" s="61" t="s">
        <v>2416</v>
      </c>
      <c r="J404" s="61" t="s">
        <v>2370</v>
      </c>
      <c r="K404" s="62" t="s">
        <v>3526</v>
      </c>
      <c r="L404" s="60" t="s">
        <v>2511</v>
      </c>
      <c r="M404" s="61" t="s">
        <v>2523</v>
      </c>
      <c r="N404" s="61" t="s">
        <v>2523</v>
      </c>
      <c r="O404" s="61" t="s">
        <v>2523</v>
      </c>
      <c r="P404" s="62" t="s">
        <v>2523</v>
      </c>
      <c r="Q404" s="82"/>
      <c r="R404" s="82"/>
      <c r="S404" s="82"/>
      <c r="T404" s="82"/>
      <c r="U404" s="82"/>
      <c r="V404" s="138" t="s">
        <v>3577</v>
      </c>
      <c r="W404" s="57" t="s">
        <v>3471</v>
      </c>
      <c r="X404" s="126" t="s">
        <v>2511</v>
      </c>
      <c r="Y404" s="126" t="s">
        <v>2511</v>
      </c>
      <c r="Z404" s="57"/>
      <c r="AA404" s="57" t="s">
        <v>3472</v>
      </c>
      <c r="AB404" s="138"/>
      <c r="AC404" s="138" t="s">
        <v>2631</v>
      </c>
      <c r="AD404" s="80"/>
      <c r="AE404" s="80"/>
      <c r="AF404" s="80"/>
      <c r="AG404" s="80"/>
      <c r="AH404" s="83"/>
      <c r="AI404" s="83"/>
      <c r="AJ404" s="84"/>
      <c r="AK404" s="84"/>
      <c r="AL404" s="84"/>
      <c r="AM404" s="84"/>
      <c r="AN404" s="84"/>
      <c r="AO404" s="84"/>
      <c r="AP404" s="84"/>
      <c r="AQ404" s="103" t="s">
        <v>2286</v>
      </c>
      <c r="AR404" s="72"/>
      <c r="AS404" s="72"/>
      <c r="AT404" s="72"/>
      <c r="AU404" s="72"/>
      <c r="AV404" s="72"/>
      <c r="AW404" s="72"/>
      <c r="AX404" s="72"/>
      <c r="AY404" s="72"/>
      <c r="AZ404" s="72"/>
      <c r="BA404" s="72"/>
      <c r="BB404" s="16"/>
      <c r="BC404" s="72"/>
      <c r="BD404" s="147" t="s">
        <v>83</v>
      </c>
      <c r="BE404" s="147" t="s">
        <v>83</v>
      </c>
    </row>
    <row r="405" spans="1:57" s="81" customFormat="1" ht="12.95" hidden="1" customHeight="1">
      <c r="A405" s="248" t="e">
        <v>#N/A</v>
      </c>
      <c r="B405" s="252" t="e">
        <v>#N/A</v>
      </c>
      <c r="C405" s="269" t="s">
        <v>1116</v>
      </c>
      <c r="D405" s="239" t="s">
        <v>2565</v>
      </c>
      <c r="E405" s="58"/>
      <c r="F405" s="59" t="s">
        <v>2287</v>
      </c>
      <c r="G405" s="191" t="s">
        <v>2511</v>
      </c>
      <c r="H405" s="192"/>
      <c r="I405" s="61" t="s">
        <v>2417</v>
      </c>
      <c r="J405" s="61" t="s">
        <v>2371</v>
      </c>
      <c r="K405" s="62" t="s">
        <v>3529</v>
      </c>
      <c r="L405" s="60" t="s">
        <v>2511</v>
      </c>
      <c r="M405" s="61" t="s">
        <v>2523</v>
      </c>
      <c r="N405" s="61" t="s">
        <v>2523</v>
      </c>
      <c r="O405" s="61" t="s">
        <v>2523</v>
      </c>
      <c r="P405" s="62" t="s">
        <v>2523</v>
      </c>
      <c r="Q405" s="82"/>
      <c r="R405" s="82"/>
      <c r="S405" s="82"/>
      <c r="T405" s="82"/>
      <c r="U405" s="82"/>
      <c r="V405" s="138" t="s">
        <v>3578</v>
      </c>
      <c r="W405" s="57" t="s">
        <v>3471</v>
      </c>
      <c r="X405" s="126" t="s">
        <v>2511</v>
      </c>
      <c r="Y405" s="126" t="s">
        <v>2511</v>
      </c>
      <c r="Z405" s="57"/>
      <c r="AA405" s="57" t="s">
        <v>3472</v>
      </c>
      <c r="AB405" s="138"/>
      <c r="AC405" s="138" t="s">
        <v>2631</v>
      </c>
      <c r="AD405" s="80"/>
      <c r="AE405" s="80"/>
      <c r="AF405" s="80"/>
      <c r="AG405" s="80"/>
      <c r="AH405" s="83"/>
      <c r="AI405" s="83"/>
      <c r="AJ405" s="84"/>
      <c r="AK405" s="84"/>
      <c r="AL405" s="84"/>
      <c r="AM405" s="84"/>
      <c r="AN405" s="84"/>
      <c r="AO405" s="84"/>
      <c r="AP405" s="84"/>
      <c r="AQ405" s="105" t="s">
        <v>2287</v>
      </c>
      <c r="AR405" s="72"/>
      <c r="AS405" s="72"/>
      <c r="AT405" s="72"/>
      <c r="AU405" s="72"/>
      <c r="AV405" s="72"/>
      <c r="AW405" s="72"/>
      <c r="AX405" s="72"/>
      <c r="AY405" s="72"/>
      <c r="AZ405" s="72"/>
      <c r="BA405" s="72"/>
      <c r="BB405" s="16"/>
      <c r="BC405" s="72"/>
      <c r="BD405" s="147" t="s">
        <v>83</v>
      </c>
      <c r="BE405" s="147" t="s">
        <v>83</v>
      </c>
    </row>
    <row r="406" spans="1:57" s="81" customFormat="1" ht="12.95" hidden="1" customHeight="1">
      <c r="A406" s="248" t="e">
        <v>#N/A</v>
      </c>
      <c r="B406" s="252" t="e">
        <v>#N/A</v>
      </c>
      <c r="C406" s="269" t="s">
        <v>1117</v>
      </c>
      <c r="D406" s="239" t="s">
        <v>3111</v>
      </c>
      <c r="E406" s="58"/>
      <c r="F406" s="59" t="s">
        <v>2288</v>
      </c>
      <c r="G406" s="191" t="s">
        <v>2511</v>
      </c>
      <c r="H406" s="192"/>
      <c r="I406" s="61" t="s">
        <v>2418</v>
      </c>
      <c r="J406" s="61" t="s">
        <v>2372</v>
      </c>
      <c r="K406" s="62" t="s">
        <v>3532</v>
      </c>
      <c r="L406" s="60" t="s">
        <v>2511</v>
      </c>
      <c r="M406" s="61" t="s">
        <v>2388</v>
      </c>
      <c r="N406" s="61" t="s">
        <v>2388</v>
      </c>
      <c r="O406" s="61" t="s">
        <v>2388</v>
      </c>
      <c r="P406" s="62" t="s">
        <v>2388</v>
      </c>
      <c r="Q406" s="82"/>
      <c r="R406" s="82"/>
      <c r="S406" s="82"/>
      <c r="T406" s="82"/>
      <c r="U406" s="82"/>
      <c r="V406" s="138" t="s">
        <v>3579</v>
      </c>
      <c r="W406" s="57" t="s">
        <v>3471</v>
      </c>
      <c r="X406" s="126" t="s">
        <v>2511</v>
      </c>
      <c r="Y406" s="126" t="s">
        <v>2511</v>
      </c>
      <c r="Z406" s="57"/>
      <c r="AA406" s="57" t="s">
        <v>3472</v>
      </c>
      <c r="AB406" s="138"/>
      <c r="AC406" s="138" t="s">
        <v>2631</v>
      </c>
      <c r="AD406" s="80"/>
      <c r="AE406" s="80"/>
      <c r="AF406" s="80"/>
      <c r="AG406" s="80"/>
      <c r="AH406" s="83"/>
      <c r="AI406" s="83"/>
      <c r="AJ406" s="84"/>
      <c r="AK406" s="84"/>
      <c r="AL406" s="84"/>
      <c r="AM406" s="84"/>
      <c r="AN406" s="84"/>
      <c r="AO406" s="84"/>
      <c r="AP406" s="84"/>
      <c r="AQ406" s="103" t="s">
        <v>2288</v>
      </c>
      <c r="AR406" s="72"/>
      <c r="AS406" s="72"/>
      <c r="AT406" s="72"/>
      <c r="AU406" s="72"/>
      <c r="AV406" s="72"/>
      <c r="AW406" s="72"/>
      <c r="AX406" s="72"/>
      <c r="AY406" s="72"/>
      <c r="AZ406" s="72"/>
      <c r="BA406" s="72"/>
      <c r="BB406" s="16"/>
      <c r="BC406" s="72"/>
      <c r="BD406" s="147" t="s">
        <v>83</v>
      </c>
      <c r="BE406" s="147" t="s">
        <v>83</v>
      </c>
    </row>
    <row r="407" spans="1:57" s="81" customFormat="1" ht="12.95" hidden="1" customHeight="1">
      <c r="A407" s="248" t="e">
        <v>#N/A</v>
      </c>
      <c r="B407" s="252" t="e">
        <v>#N/A</v>
      </c>
      <c r="C407" s="269" t="s">
        <v>1118</v>
      </c>
      <c r="D407" s="239" t="s">
        <v>2586</v>
      </c>
      <c r="E407" s="58"/>
      <c r="F407" s="59" t="s">
        <v>2289</v>
      </c>
      <c r="G407" s="191" t="s">
        <v>2511</v>
      </c>
      <c r="H407" s="192"/>
      <c r="I407" s="61" t="s">
        <v>2419</v>
      </c>
      <c r="J407" s="61" t="s">
        <v>2373</v>
      </c>
      <c r="K407" s="62" t="s">
        <v>3535</v>
      </c>
      <c r="L407" s="60" t="s">
        <v>2511</v>
      </c>
      <c r="M407" s="61" t="s">
        <v>2388</v>
      </c>
      <c r="N407" s="61" t="s">
        <v>2388</v>
      </c>
      <c r="O407" s="61" t="s">
        <v>2388</v>
      </c>
      <c r="P407" s="62" t="s">
        <v>2388</v>
      </c>
      <c r="Q407" s="82"/>
      <c r="R407" s="82"/>
      <c r="S407" s="82"/>
      <c r="T407" s="82"/>
      <c r="U407" s="82"/>
      <c r="V407" s="138" t="s">
        <v>3580</v>
      </c>
      <c r="W407" s="57" t="s">
        <v>3471</v>
      </c>
      <c r="X407" s="126" t="s">
        <v>2511</v>
      </c>
      <c r="Y407" s="126" t="s">
        <v>2511</v>
      </c>
      <c r="Z407" s="57"/>
      <c r="AA407" s="57" t="s">
        <v>3472</v>
      </c>
      <c r="AB407" s="138"/>
      <c r="AC407" s="138" t="s">
        <v>2631</v>
      </c>
      <c r="AD407" s="80"/>
      <c r="AE407" s="80"/>
      <c r="AF407" s="80"/>
      <c r="AG407" s="80"/>
      <c r="AH407" s="83"/>
      <c r="AI407" s="83"/>
      <c r="AJ407" s="84"/>
      <c r="AK407" s="84"/>
      <c r="AL407" s="84"/>
      <c r="AM407" s="84"/>
      <c r="AN407" s="84"/>
      <c r="AO407" s="84"/>
      <c r="AP407" s="84"/>
      <c r="AQ407" s="105" t="s">
        <v>2289</v>
      </c>
      <c r="AR407" s="72"/>
      <c r="AS407" s="72"/>
      <c r="AT407" s="72"/>
      <c r="AU407" s="72"/>
      <c r="AV407" s="72"/>
      <c r="AW407" s="72"/>
      <c r="AX407" s="72"/>
      <c r="AY407" s="72"/>
      <c r="AZ407" s="72"/>
      <c r="BA407" s="72"/>
      <c r="BB407" s="16"/>
      <c r="BC407" s="72"/>
      <c r="BD407" s="147" t="s">
        <v>83</v>
      </c>
      <c r="BE407" s="147" t="s">
        <v>83</v>
      </c>
    </row>
    <row r="408" spans="1:57" s="81" customFormat="1" ht="12.95" customHeight="1">
      <c r="A408" s="247" t="s">
        <v>5477</v>
      </c>
      <c r="B408" s="251">
        <v>169</v>
      </c>
      <c r="C408" s="321" t="s">
        <v>1119</v>
      </c>
      <c r="D408" s="239" t="s">
        <v>2595</v>
      </c>
      <c r="E408" s="58"/>
      <c r="F408" s="59" t="s">
        <v>2290</v>
      </c>
      <c r="G408" s="191" t="s">
        <v>2511</v>
      </c>
      <c r="H408" s="192"/>
      <c r="I408" s="61"/>
      <c r="J408" s="61" t="s">
        <v>2362</v>
      </c>
      <c r="K408" s="62"/>
      <c r="L408" s="60" t="s">
        <v>2511</v>
      </c>
      <c r="M408" s="61" t="s">
        <v>2523</v>
      </c>
      <c r="N408" s="61" t="s">
        <v>2523</v>
      </c>
      <c r="O408" s="61" t="s">
        <v>2523</v>
      </c>
      <c r="P408" s="62" t="s">
        <v>2523</v>
      </c>
      <c r="Q408" s="82"/>
      <c r="R408" s="82"/>
      <c r="S408" s="82"/>
      <c r="T408" s="82"/>
      <c r="U408" s="82"/>
      <c r="V408" s="138" t="s">
        <v>3581</v>
      </c>
      <c r="W408" s="57" t="s">
        <v>3471</v>
      </c>
      <c r="X408" s="126" t="s">
        <v>2511</v>
      </c>
      <c r="Y408" s="126" t="s">
        <v>2511</v>
      </c>
      <c r="Z408" s="57"/>
      <c r="AA408" s="57" t="s">
        <v>3472</v>
      </c>
      <c r="AB408" s="138"/>
      <c r="AC408" s="138" t="s">
        <v>2631</v>
      </c>
      <c r="AD408" s="80"/>
      <c r="AE408" s="80"/>
      <c r="AF408" s="80"/>
      <c r="AG408" s="80"/>
      <c r="AH408" s="83"/>
      <c r="AI408" s="83"/>
      <c r="AJ408" s="84"/>
      <c r="AK408" s="84"/>
      <c r="AL408" s="84"/>
      <c r="AM408" s="84"/>
      <c r="AN408" s="84"/>
      <c r="AO408" s="84"/>
      <c r="AP408" s="84"/>
      <c r="AQ408" s="103" t="s">
        <v>2362</v>
      </c>
      <c r="AR408" s="72"/>
      <c r="AS408" s="72"/>
      <c r="AT408" s="72"/>
      <c r="AU408" s="72"/>
      <c r="AV408" s="72"/>
      <c r="AW408" s="72"/>
      <c r="AX408" s="72"/>
      <c r="AY408" s="72"/>
      <c r="AZ408" s="72"/>
      <c r="BA408" s="72"/>
      <c r="BB408" s="16"/>
      <c r="BC408" s="72"/>
      <c r="BD408" s="319" t="s">
        <v>2362</v>
      </c>
      <c r="BE408" s="336" t="s">
        <v>5674</v>
      </c>
    </row>
    <row r="409" spans="1:57" s="81" customFormat="1" ht="12.95" customHeight="1">
      <c r="A409" s="247" t="s">
        <v>5478</v>
      </c>
      <c r="B409" s="251">
        <v>167</v>
      </c>
      <c r="C409" s="321" t="s">
        <v>1120</v>
      </c>
      <c r="D409" s="239" t="s">
        <v>3146</v>
      </c>
      <c r="E409" s="58"/>
      <c r="F409" s="59" t="s">
        <v>2291</v>
      </c>
      <c r="G409" s="191" t="s">
        <v>2511</v>
      </c>
      <c r="H409" s="192"/>
      <c r="I409" s="61"/>
      <c r="J409" s="61" t="s">
        <v>2363</v>
      </c>
      <c r="K409" s="62"/>
      <c r="L409" s="60" t="s">
        <v>2511</v>
      </c>
      <c r="M409" s="61" t="s">
        <v>2523</v>
      </c>
      <c r="N409" s="61" t="s">
        <v>2523</v>
      </c>
      <c r="O409" s="61" t="s">
        <v>2523</v>
      </c>
      <c r="P409" s="62" t="s">
        <v>2523</v>
      </c>
      <c r="Q409" s="82"/>
      <c r="R409" s="82"/>
      <c r="S409" s="82"/>
      <c r="T409" s="82"/>
      <c r="U409" s="82"/>
      <c r="V409" s="138" t="s">
        <v>3582</v>
      </c>
      <c r="W409" s="57" t="s">
        <v>3471</v>
      </c>
      <c r="X409" s="126" t="s">
        <v>2511</v>
      </c>
      <c r="Y409" s="126" t="s">
        <v>2511</v>
      </c>
      <c r="Z409" s="57"/>
      <c r="AA409" s="57" t="s">
        <v>3472</v>
      </c>
      <c r="AB409" s="138"/>
      <c r="AC409" s="138" t="s">
        <v>2631</v>
      </c>
      <c r="AD409" s="80"/>
      <c r="AE409" s="80"/>
      <c r="AF409" s="80"/>
      <c r="AG409" s="80"/>
      <c r="AH409" s="83"/>
      <c r="AI409" s="83"/>
      <c r="AJ409" s="84"/>
      <c r="AK409" s="84"/>
      <c r="AL409" s="84"/>
      <c r="AM409" s="84"/>
      <c r="AN409" s="84"/>
      <c r="AO409" s="84"/>
      <c r="AP409" s="84"/>
      <c r="AQ409" s="105" t="s">
        <v>2363</v>
      </c>
      <c r="AR409" s="72"/>
      <c r="AS409" s="72"/>
      <c r="AT409" s="72"/>
      <c r="AU409" s="72"/>
      <c r="AV409" s="72"/>
      <c r="AW409" s="72"/>
      <c r="AX409" s="72"/>
      <c r="AY409" s="72"/>
      <c r="AZ409" s="72"/>
      <c r="BA409" s="72"/>
      <c r="BB409" s="16"/>
      <c r="BC409" s="72"/>
      <c r="BD409" s="319" t="s">
        <v>2363</v>
      </c>
      <c r="BE409" s="337"/>
    </row>
    <row r="410" spans="1:57" s="81" customFormat="1" ht="12.95" customHeight="1">
      <c r="A410" s="247" t="s">
        <v>5479</v>
      </c>
      <c r="B410" s="251">
        <v>174</v>
      </c>
      <c r="C410" s="321" t="s">
        <v>1121</v>
      </c>
      <c r="D410" s="239" t="s">
        <v>2652</v>
      </c>
      <c r="E410" s="58"/>
      <c r="F410" s="59" t="s">
        <v>2292</v>
      </c>
      <c r="G410" s="191" t="s">
        <v>2511</v>
      </c>
      <c r="H410" s="192"/>
      <c r="I410" s="61"/>
      <c r="J410" s="61" t="s">
        <v>2364</v>
      </c>
      <c r="K410" s="62"/>
      <c r="L410" s="60" t="s">
        <v>2511</v>
      </c>
      <c r="M410" s="61" t="s">
        <v>2388</v>
      </c>
      <c r="N410" s="61" t="s">
        <v>2388</v>
      </c>
      <c r="O410" s="61" t="s">
        <v>2388</v>
      </c>
      <c r="P410" s="62" t="s">
        <v>2388</v>
      </c>
      <c r="Q410" s="82"/>
      <c r="R410" s="82"/>
      <c r="S410" s="82"/>
      <c r="T410" s="82"/>
      <c r="U410" s="82"/>
      <c r="V410" s="138" t="s">
        <v>3583</v>
      </c>
      <c r="W410" s="57" t="s">
        <v>3471</v>
      </c>
      <c r="X410" s="126" t="s">
        <v>2511</v>
      </c>
      <c r="Y410" s="126" t="s">
        <v>2511</v>
      </c>
      <c r="Z410" s="57"/>
      <c r="AA410" s="57" t="s">
        <v>3472</v>
      </c>
      <c r="AB410" s="138"/>
      <c r="AC410" s="138" t="s">
        <v>2631</v>
      </c>
      <c r="AD410" s="80"/>
      <c r="AE410" s="80"/>
      <c r="AF410" s="80"/>
      <c r="AG410" s="80"/>
      <c r="AH410" s="83"/>
      <c r="AI410" s="83"/>
      <c r="AJ410" s="84"/>
      <c r="AK410" s="84"/>
      <c r="AL410" s="84"/>
      <c r="AM410" s="84"/>
      <c r="AN410" s="84"/>
      <c r="AO410" s="84"/>
      <c r="AP410" s="84"/>
      <c r="AQ410" s="103" t="s">
        <v>2364</v>
      </c>
      <c r="AR410" s="72"/>
      <c r="AS410" s="72"/>
      <c r="AT410" s="72"/>
      <c r="AU410" s="72"/>
      <c r="AV410" s="72"/>
      <c r="AW410" s="72"/>
      <c r="AX410" s="72"/>
      <c r="AY410" s="72"/>
      <c r="AZ410" s="72"/>
      <c r="BA410" s="72"/>
      <c r="BB410" s="16"/>
      <c r="BC410" s="72"/>
      <c r="BD410" s="319" t="s">
        <v>2364</v>
      </c>
      <c r="BE410" s="337"/>
    </row>
    <row r="411" spans="1:57" s="81" customFormat="1" ht="12.95" customHeight="1">
      <c r="A411" s="247" t="s">
        <v>5480</v>
      </c>
      <c r="B411" s="251">
        <v>172</v>
      </c>
      <c r="C411" s="321" t="s">
        <v>1122</v>
      </c>
      <c r="D411" s="239" t="s">
        <v>2670</v>
      </c>
      <c r="E411" s="58"/>
      <c r="F411" s="59" t="s">
        <v>2293</v>
      </c>
      <c r="G411" s="191" t="s">
        <v>2511</v>
      </c>
      <c r="H411" s="192"/>
      <c r="I411" s="61"/>
      <c r="J411" s="61" t="s">
        <v>2365</v>
      </c>
      <c r="K411" s="62"/>
      <c r="L411" s="60" t="s">
        <v>2511</v>
      </c>
      <c r="M411" s="61" t="s">
        <v>2388</v>
      </c>
      <c r="N411" s="61" t="s">
        <v>2388</v>
      </c>
      <c r="O411" s="61" t="s">
        <v>2388</v>
      </c>
      <c r="P411" s="62" t="s">
        <v>2388</v>
      </c>
      <c r="Q411" s="82"/>
      <c r="R411" s="82"/>
      <c r="S411" s="82"/>
      <c r="T411" s="82"/>
      <c r="U411" s="82"/>
      <c r="V411" s="138" t="s">
        <v>3584</v>
      </c>
      <c r="W411" s="57" t="s">
        <v>3471</v>
      </c>
      <c r="X411" s="126" t="s">
        <v>2511</v>
      </c>
      <c r="Y411" s="126" t="s">
        <v>2511</v>
      </c>
      <c r="Z411" s="57"/>
      <c r="AA411" s="57" t="s">
        <v>3472</v>
      </c>
      <c r="AB411" s="138"/>
      <c r="AC411" s="138" t="s">
        <v>2631</v>
      </c>
      <c r="AD411" s="80"/>
      <c r="AE411" s="80"/>
      <c r="AF411" s="80"/>
      <c r="AG411" s="80"/>
      <c r="AH411" s="83"/>
      <c r="AI411" s="83"/>
      <c r="AJ411" s="84"/>
      <c r="AK411" s="84"/>
      <c r="AL411" s="84"/>
      <c r="AM411" s="84"/>
      <c r="AN411" s="84"/>
      <c r="AO411" s="84"/>
      <c r="AP411" s="84"/>
      <c r="AQ411" s="105" t="s">
        <v>2365</v>
      </c>
      <c r="AR411" s="72"/>
      <c r="AS411" s="72"/>
      <c r="AT411" s="72"/>
      <c r="AU411" s="72"/>
      <c r="AV411" s="72"/>
      <c r="AW411" s="72"/>
      <c r="AX411" s="72"/>
      <c r="AY411" s="72"/>
      <c r="AZ411" s="72"/>
      <c r="BA411" s="72"/>
      <c r="BB411" s="16"/>
      <c r="BC411" s="72"/>
      <c r="BD411" s="319" t="s">
        <v>2365</v>
      </c>
      <c r="BE411" s="338"/>
    </row>
    <row r="412" spans="1:57" s="91" customFormat="1" ht="18" customHeight="1">
      <c r="A412" s="367"/>
      <c r="B412" s="368"/>
      <c r="C412" s="268" t="s">
        <v>5412</v>
      </c>
      <c r="D412" s="268"/>
      <c r="E412" s="86"/>
      <c r="F412" s="86"/>
      <c r="G412" s="87"/>
      <c r="H412" s="87"/>
      <c r="I412" s="87"/>
      <c r="J412" s="87"/>
      <c r="K412" s="87"/>
      <c r="L412" s="86"/>
      <c r="M412" s="86"/>
      <c r="N412" s="86"/>
      <c r="O412" s="86"/>
      <c r="P412" s="86"/>
      <c r="Q412" s="86"/>
      <c r="R412" s="86"/>
      <c r="S412" s="86"/>
      <c r="T412" s="86"/>
      <c r="U412" s="86"/>
      <c r="V412" s="86"/>
      <c r="W412" s="86"/>
      <c r="X412" s="129"/>
      <c r="Y412" s="129"/>
      <c r="Z412" s="88"/>
      <c r="AA412" s="88"/>
      <c r="AB412" s="88"/>
      <c r="AC412" s="88"/>
      <c r="AD412" s="88"/>
      <c r="AE412" s="88"/>
      <c r="AF412" s="88"/>
      <c r="AG412" s="88"/>
      <c r="AH412" s="88"/>
      <c r="AI412" s="88"/>
      <c r="AJ412" s="88"/>
      <c r="AK412" s="88"/>
      <c r="AL412" s="88"/>
      <c r="AM412" s="88"/>
      <c r="AN412" s="88"/>
      <c r="AO412" s="88"/>
      <c r="AP412" s="88"/>
      <c r="AQ412" s="89"/>
      <c r="AR412" s="100"/>
      <c r="AS412" s="101"/>
      <c r="AT412" s="101"/>
      <c r="AU412" s="101"/>
      <c r="AV412" s="101"/>
      <c r="AW412" s="101"/>
      <c r="AX412" s="101"/>
      <c r="AY412" s="101"/>
      <c r="AZ412" s="101"/>
      <c r="BA412" s="101"/>
      <c r="BB412" s="101"/>
      <c r="BC412" s="175" t="s">
        <v>956</v>
      </c>
      <c r="BD412" s="101"/>
      <c r="BE412" s="100" t="s">
        <v>5413</v>
      </c>
    </row>
    <row r="413" spans="1:57" s="81" customFormat="1" ht="12.95" hidden="1" customHeight="1">
      <c r="A413" s="248" t="s">
        <v>3585</v>
      </c>
      <c r="B413" s="252" t="s">
        <v>3586</v>
      </c>
      <c r="C413" s="248" t="s">
        <v>1123</v>
      </c>
      <c r="D413" s="239" t="s">
        <v>3193</v>
      </c>
      <c r="E413" s="58"/>
      <c r="F413" s="59" t="s">
        <v>2294</v>
      </c>
      <c r="G413" s="191" t="s">
        <v>2511</v>
      </c>
      <c r="H413" s="192"/>
      <c r="I413" s="61" t="s">
        <v>770</v>
      </c>
      <c r="J413" s="61"/>
      <c r="K413" s="62" t="s">
        <v>2511</v>
      </c>
      <c r="L413" s="60" t="s">
        <v>2511</v>
      </c>
      <c r="M413" s="61"/>
      <c r="N413" s="61" t="s">
        <v>2523</v>
      </c>
      <c r="O413" s="61"/>
      <c r="P413" s="62" t="s">
        <v>2511</v>
      </c>
      <c r="Q413" s="82"/>
      <c r="R413" s="82"/>
      <c r="S413" s="82"/>
      <c r="T413" s="82"/>
      <c r="U413" s="82"/>
      <c r="V413" s="138" t="s">
        <v>3587</v>
      </c>
      <c r="W413" s="57" t="s">
        <v>3588</v>
      </c>
      <c r="X413" s="126" t="s">
        <v>2511</v>
      </c>
      <c r="Y413" s="126" t="s">
        <v>2511</v>
      </c>
      <c r="Z413" s="57"/>
      <c r="AA413" s="57" t="s">
        <v>3589</v>
      </c>
      <c r="AB413" s="137"/>
      <c r="AC413" s="137" t="s">
        <v>2631</v>
      </c>
      <c r="AD413" s="80"/>
      <c r="AE413" s="80"/>
      <c r="AF413" s="80"/>
      <c r="AG413" s="80"/>
      <c r="AH413" s="83"/>
      <c r="AI413" s="83"/>
      <c r="AJ413" s="84"/>
      <c r="AK413" s="84"/>
      <c r="AL413" s="84"/>
      <c r="AM413" s="84"/>
      <c r="AN413" s="84"/>
      <c r="AO413" s="84"/>
      <c r="AP413" s="84"/>
      <c r="AQ413" s="105" t="s">
        <v>2294</v>
      </c>
      <c r="AR413" s="72"/>
      <c r="AS413" s="72"/>
      <c r="AT413" s="72"/>
      <c r="AU413" s="72"/>
      <c r="AV413" s="72"/>
      <c r="AW413" s="72"/>
      <c r="AX413" s="72"/>
      <c r="AY413" s="72"/>
      <c r="AZ413" s="72"/>
      <c r="BA413" s="72"/>
      <c r="BB413" s="16"/>
      <c r="BC413" s="72"/>
      <c r="BD413" s="147" t="s">
        <v>83</v>
      </c>
      <c r="BE413" s="147" t="s">
        <v>83</v>
      </c>
    </row>
    <row r="414" spans="1:57" s="81" customFormat="1" ht="12.95" hidden="1" customHeight="1">
      <c r="A414" s="248" t="s">
        <v>3590</v>
      </c>
      <c r="B414" s="252" t="s">
        <v>3591</v>
      </c>
      <c r="C414" s="248" t="s">
        <v>1124</v>
      </c>
      <c r="D414" s="239" t="s">
        <v>3592</v>
      </c>
      <c r="E414" s="58"/>
      <c r="F414" s="59" t="s">
        <v>2295</v>
      </c>
      <c r="G414" s="191" t="s">
        <v>2511</v>
      </c>
      <c r="H414" s="192"/>
      <c r="I414" s="61" t="s">
        <v>771</v>
      </c>
      <c r="J414" s="61"/>
      <c r="K414" s="62" t="s">
        <v>2511</v>
      </c>
      <c r="L414" s="60" t="s">
        <v>2511</v>
      </c>
      <c r="M414" s="61"/>
      <c r="N414" s="61" t="s">
        <v>2523</v>
      </c>
      <c r="O414" s="61"/>
      <c r="P414" s="62" t="s">
        <v>2511</v>
      </c>
      <c r="Q414" s="82"/>
      <c r="R414" s="82"/>
      <c r="S414" s="82"/>
      <c r="T414" s="82"/>
      <c r="U414" s="82"/>
      <c r="V414" s="138" t="s">
        <v>3593</v>
      </c>
      <c r="W414" s="57" t="s">
        <v>3588</v>
      </c>
      <c r="X414" s="126" t="s">
        <v>2511</v>
      </c>
      <c r="Y414" s="126" t="s">
        <v>2511</v>
      </c>
      <c r="Z414" s="57"/>
      <c r="AA414" s="57" t="s">
        <v>3589</v>
      </c>
      <c r="AB414" s="138"/>
      <c r="AC414" s="138" t="s">
        <v>2631</v>
      </c>
      <c r="AD414" s="80"/>
      <c r="AE414" s="80"/>
      <c r="AF414" s="80"/>
      <c r="AG414" s="80"/>
      <c r="AH414" s="83"/>
      <c r="AI414" s="83"/>
      <c r="AJ414" s="84"/>
      <c r="AK414" s="84"/>
      <c r="AL414" s="84"/>
      <c r="AM414" s="84"/>
      <c r="AN414" s="84"/>
      <c r="AO414" s="84"/>
      <c r="AP414" s="84"/>
      <c r="AQ414" s="103" t="s">
        <v>2295</v>
      </c>
      <c r="AR414" s="72"/>
      <c r="AS414" s="72"/>
      <c r="AT414" s="72"/>
      <c r="AU414" s="72"/>
      <c r="AV414" s="72"/>
      <c r="AW414" s="72"/>
      <c r="AX414" s="72"/>
      <c r="AY414" s="72"/>
      <c r="AZ414" s="72"/>
      <c r="BA414" s="72"/>
      <c r="BB414" s="16"/>
      <c r="BC414" s="72"/>
      <c r="BD414" s="147" t="s">
        <v>83</v>
      </c>
      <c r="BE414" s="147" t="s">
        <v>83</v>
      </c>
    </row>
    <row r="415" spans="1:57" s="81" customFormat="1" ht="12.95" customHeight="1">
      <c r="A415" s="247" t="s">
        <v>5458</v>
      </c>
      <c r="B415" s="251">
        <v>133</v>
      </c>
      <c r="C415" s="247" t="s">
        <v>1125</v>
      </c>
      <c r="D415" s="239" t="s">
        <v>3180</v>
      </c>
      <c r="E415" s="58"/>
      <c r="F415" s="59" t="s">
        <v>2296</v>
      </c>
      <c r="G415" s="191" t="s">
        <v>2511</v>
      </c>
      <c r="H415" s="192"/>
      <c r="I415" s="61" t="s">
        <v>311</v>
      </c>
      <c r="J415" s="61"/>
      <c r="K415" s="62" t="s">
        <v>2511</v>
      </c>
      <c r="L415" s="60" t="s">
        <v>2511</v>
      </c>
      <c r="M415" s="61"/>
      <c r="N415" s="61" t="s">
        <v>2523</v>
      </c>
      <c r="O415" s="61"/>
      <c r="P415" s="62" t="s">
        <v>2511</v>
      </c>
      <c r="Q415" s="82"/>
      <c r="R415" s="82"/>
      <c r="S415" s="82"/>
      <c r="T415" s="82"/>
      <c r="U415" s="82"/>
      <c r="V415" s="138" t="s">
        <v>3594</v>
      </c>
      <c r="W415" s="57" t="s">
        <v>3588</v>
      </c>
      <c r="X415" s="126" t="s">
        <v>2511</v>
      </c>
      <c r="Y415" s="126" t="s">
        <v>2511</v>
      </c>
      <c r="Z415" s="57"/>
      <c r="AA415" s="57" t="s">
        <v>3589</v>
      </c>
      <c r="AB415" s="138"/>
      <c r="AC415" s="138" t="s">
        <v>2631</v>
      </c>
      <c r="AD415" s="80"/>
      <c r="AE415" s="80"/>
      <c r="AF415" s="80"/>
      <c r="AG415" s="80"/>
      <c r="AH415" s="83"/>
      <c r="AI415" s="83"/>
      <c r="AJ415" s="84"/>
      <c r="AK415" s="84"/>
      <c r="AL415" s="84"/>
      <c r="AM415" s="84"/>
      <c r="AN415" s="84"/>
      <c r="AO415" s="84"/>
      <c r="AP415" s="84"/>
      <c r="AQ415" s="105" t="s">
        <v>311</v>
      </c>
      <c r="AR415" s="72"/>
      <c r="AS415" s="72"/>
      <c r="AT415" s="72"/>
      <c r="AU415" s="72"/>
      <c r="AV415" s="72"/>
      <c r="AW415" s="72"/>
      <c r="AX415" s="72"/>
      <c r="AY415" s="72"/>
      <c r="AZ415" s="72"/>
      <c r="BA415" s="72"/>
      <c r="BB415" s="16"/>
      <c r="BC415" s="72"/>
      <c r="BD415" s="319" t="s">
        <v>311</v>
      </c>
      <c r="BE415" s="336" t="s">
        <v>5676</v>
      </c>
    </row>
    <row r="416" spans="1:57" s="81" customFormat="1" ht="12.95" customHeight="1">
      <c r="A416" s="247" t="s">
        <v>5457</v>
      </c>
      <c r="B416" s="251">
        <v>131</v>
      </c>
      <c r="C416" s="247" t="s">
        <v>1126</v>
      </c>
      <c r="D416" s="239" t="s">
        <v>3595</v>
      </c>
      <c r="E416" s="58"/>
      <c r="F416" s="59" t="s">
        <v>2297</v>
      </c>
      <c r="G416" s="191" t="s">
        <v>2511</v>
      </c>
      <c r="H416" s="192"/>
      <c r="I416" s="61" t="s">
        <v>307</v>
      </c>
      <c r="J416" s="61"/>
      <c r="K416" s="62" t="s">
        <v>2511</v>
      </c>
      <c r="L416" s="60" t="s">
        <v>2511</v>
      </c>
      <c r="M416" s="61"/>
      <c r="N416" s="61" t="s">
        <v>2523</v>
      </c>
      <c r="O416" s="61"/>
      <c r="P416" s="62" t="s">
        <v>2511</v>
      </c>
      <c r="Q416" s="82"/>
      <c r="R416" s="82"/>
      <c r="S416" s="82"/>
      <c r="T416" s="82"/>
      <c r="U416" s="82"/>
      <c r="V416" s="138" t="s">
        <v>3596</v>
      </c>
      <c r="W416" s="57" t="s">
        <v>3588</v>
      </c>
      <c r="X416" s="126" t="s">
        <v>2511</v>
      </c>
      <c r="Y416" s="126" t="s">
        <v>2511</v>
      </c>
      <c r="Z416" s="57"/>
      <c r="AA416" s="57" t="s">
        <v>3589</v>
      </c>
      <c r="AB416" s="138"/>
      <c r="AC416" s="138" t="s">
        <v>2631</v>
      </c>
      <c r="AD416" s="80"/>
      <c r="AE416" s="80"/>
      <c r="AF416" s="80"/>
      <c r="AG416" s="80"/>
      <c r="AH416" s="83"/>
      <c r="AI416" s="83"/>
      <c r="AJ416" s="84"/>
      <c r="AK416" s="84"/>
      <c r="AL416" s="84"/>
      <c r="AM416" s="84"/>
      <c r="AN416" s="84"/>
      <c r="AO416" s="84"/>
      <c r="AP416" s="84"/>
      <c r="AQ416" s="103" t="s">
        <v>307</v>
      </c>
      <c r="AR416" s="72"/>
      <c r="AS416" s="72"/>
      <c r="AT416" s="72"/>
      <c r="AU416" s="72"/>
      <c r="AV416" s="72"/>
      <c r="AW416" s="72"/>
      <c r="AX416" s="72"/>
      <c r="AY416" s="72"/>
      <c r="AZ416" s="72"/>
      <c r="BA416" s="72"/>
      <c r="BB416" s="16"/>
      <c r="BC416" s="72"/>
      <c r="BD416" s="319" t="s">
        <v>307</v>
      </c>
      <c r="BE416" s="337"/>
    </row>
    <row r="417" spans="1:57" s="81" customFormat="1" ht="12.95" customHeight="1">
      <c r="A417" s="247" t="s">
        <v>5465</v>
      </c>
      <c r="B417" s="251">
        <v>136</v>
      </c>
      <c r="C417" s="247" t="s">
        <v>1127</v>
      </c>
      <c r="D417" s="239" t="s">
        <v>3597</v>
      </c>
      <c r="E417" s="58"/>
      <c r="F417" s="59" t="s">
        <v>2298</v>
      </c>
      <c r="G417" s="191" t="s">
        <v>2511</v>
      </c>
      <c r="H417" s="192"/>
      <c r="I417" s="61" t="s">
        <v>312</v>
      </c>
      <c r="J417" s="61"/>
      <c r="K417" s="62" t="s">
        <v>2511</v>
      </c>
      <c r="L417" s="60" t="s">
        <v>2511</v>
      </c>
      <c r="M417" s="61"/>
      <c r="N417" s="61" t="s">
        <v>2388</v>
      </c>
      <c r="O417" s="61"/>
      <c r="P417" s="62" t="s">
        <v>2511</v>
      </c>
      <c r="Q417" s="82"/>
      <c r="R417" s="82"/>
      <c r="S417" s="82"/>
      <c r="T417" s="82"/>
      <c r="U417" s="82"/>
      <c r="V417" s="138" t="s">
        <v>3598</v>
      </c>
      <c r="W417" s="57" t="s">
        <v>3588</v>
      </c>
      <c r="X417" s="126" t="s">
        <v>2511</v>
      </c>
      <c r="Y417" s="126" t="s">
        <v>2511</v>
      </c>
      <c r="Z417" s="57"/>
      <c r="AA417" s="57" t="s">
        <v>3589</v>
      </c>
      <c r="AB417" s="138"/>
      <c r="AC417" s="138" t="s">
        <v>2631</v>
      </c>
      <c r="AD417" s="80"/>
      <c r="AE417" s="80"/>
      <c r="AF417" s="80"/>
      <c r="AG417" s="80"/>
      <c r="AH417" s="83"/>
      <c r="AI417" s="83"/>
      <c r="AJ417" s="84"/>
      <c r="AK417" s="84"/>
      <c r="AL417" s="84"/>
      <c r="AM417" s="84"/>
      <c r="AN417" s="84"/>
      <c r="AO417" s="84"/>
      <c r="AP417" s="84"/>
      <c r="AQ417" s="105" t="s">
        <v>312</v>
      </c>
      <c r="AR417" s="72"/>
      <c r="AS417" s="72"/>
      <c r="AT417" s="72"/>
      <c r="AU417" s="72"/>
      <c r="AV417" s="72"/>
      <c r="AW417" s="72"/>
      <c r="AX417" s="72"/>
      <c r="AY417" s="72"/>
      <c r="AZ417" s="72"/>
      <c r="BA417" s="72"/>
      <c r="BB417" s="16"/>
      <c r="BC417" s="72"/>
      <c r="BD417" s="319" t="s">
        <v>312</v>
      </c>
      <c r="BE417" s="337"/>
    </row>
    <row r="418" spans="1:57" s="81" customFormat="1" ht="12.95" customHeight="1">
      <c r="A418" s="247" t="s">
        <v>5466</v>
      </c>
      <c r="B418" s="251">
        <v>134</v>
      </c>
      <c r="C418" s="247" t="s">
        <v>1128</v>
      </c>
      <c r="D418" s="239" t="s">
        <v>3492</v>
      </c>
      <c r="E418" s="58"/>
      <c r="F418" s="59" t="s">
        <v>2299</v>
      </c>
      <c r="G418" s="191" t="s">
        <v>2511</v>
      </c>
      <c r="H418" s="192"/>
      <c r="I418" s="61" t="s">
        <v>309</v>
      </c>
      <c r="J418" s="61"/>
      <c r="K418" s="62" t="s">
        <v>2511</v>
      </c>
      <c r="L418" s="60" t="s">
        <v>2511</v>
      </c>
      <c r="M418" s="61"/>
      <c r="N418" s="61" t="s">
        <v>2388</v>
      </c>
      <c r="O418" s="61"/>
      <c r="P418" s="62" t="s">
        <v>2511</v>
      </c>
      <c r="Q418" s="82"/>
      <c r="R418" s="82"/>
      <c r="S418" s="82"/>
      <c r="T418" s="82"/>
      <c r="U418" s="82"/>
      <c r="V418" s="138" t="s">
        <v>3599</v>
      </c>
      <c r="W418" s="57" t="s">
        <v>3588</v>
      </c>
      <c r="X418" s="126" t="s">
        <v>2511</v>
      </c>
      <c r="Y418" s="126" t="s">
        <v>2511</v>
      </c>
      <c r="Z418" s="57"/>
      <c r="AA418" s="57" t="s">
        <v>3589</v>
      </c>
      <c r="AB418" s="138"/>
      <c r="AC418" s="138" t="s">
        <v>2631</v>
      </c>
      <c r="AD418" s="80"/>
      <c r="AE418" s="80"/>
      <c r="AF418" s="80"/>
      <c r="AG418" s="80"/>
      <c r="AH418" s="83"/>
      <c r="AI418" s="83"/>
      <c r="AJ418" s="84"/>
      <c r="AK418" s="84"/>
      <c r="AL418" s="84"/>
      <c r="AM418" s="84"/>
      <c r="AN418" s="84"/>
      <c r="AO418" s="84"/>
      <c r="AP418" s="84"/>
      <c r="AQ418" s="103" t="s">
        <v>309</v>
      </c>
      <c r="AR418" s="72"/>
      <c r="AS418" s="72"/>
      <c r="AT418" s="72"/>
      <c r="AU418" s="72"/>
      <c r="AV418" s="72"/>
      <c r="AW418" s="72"/>
      <c r="AX418" s="72"/>
      <c r="AY418" s="72"/>
      <c r="AZ418" s="72"/>
      <c r="BA418" s="72"/>
      <c r="BB418" s="16"/>
      <c r="BC418" s="72"/>
      <c r="BD418" s="319" t="s">
        <v>309</v>
      </c>
      <c r="BE418" s="337"/>
    </row>
    <row r="419" spans="1:57" s="81" customFormat="1" ht="12.95" customHeight="1">
      <c r="A419" s="247" t="s">
        <v>5459</v>
      </c>
      <c r="B419" s="251">
        <v>139</v>
      </c>
      <c r="C419" s="247" t="s">
        <v>1129</v>
      </c>
      <c r="D419" s="239" t="s">
        <v>3600</v>
      </c>
      <c r="E419" s="58"/>
      <c r="F419" s="59" t="s">
        <v>2300</v>
      </c>
      <c r="G419" s="191" t="s">
        <v>2511</v>
      </c>
      <c r="H419" s="192"/>
      <c r="I419" s="61" t="s">
        <v>308</v>
      </c>
      <c r="J419" s="61"/>
      <c r="K419" s="62" t="s">
        <v>2511</v>
      </c>
      <c r="L419" s="60" t="s">
        <v>2511</v>
      </c>
      <c r="M419" s="61"/>
      <c r="N419" s="61" t="s">
        <v>2523</v>
      </c>
      <c r="O419" s="61"/>
      <c r="P419" s="62" t="s">
        <v>2511</v>
      </c>
      <c r="Q419" s="82"/>
      <c r="R419" s="82"/>
      <c r="S419" s="82"/>
      <c r="T419" s="82"/>
      <c r="U419" s="82"/>
      <c r="V419" s="138" t="s">
        <v>3601</v>
      </c>
      <c r="W419" s="57" t="s">
        <v>3588</v>
      </c>
      <c r="X419" s="126" t="s">
        <v>2511</v>
      </c>
      <c r="Y419" s="126" t="s">
        <v>2511</v>
      </c>
      <c r="Z419" s="57"/>
      <c r="AA419" s="57" t="s">
        <v>3589</v>
      </c>
      <c r="AB419" s="138"/>
      <c r="AC419" s="138" t="s">
        <v>2631</v>
      </c>
      <c r="AD419" s="80"/>
      <c r="AE419" s="80"/>
      <c r="AF419" s="80"/>
      <c r="AG419" s="80"/>
      <c r="AH419" s="83"/>
      <c r="AI419" s="83"/>
      <c r="AJ419" s="84"/>
      <c r="AK419" s="84"/>
      <c r="AL419" s="84"/>
      <c r="AM419" s="84"/>
      <c r="AN419" s="84"/>
      <c r="AO419" s="84"/>
      <c r="AP419" s="84"/>
      <c r="AQ419" s="105" t="s">
        <v>308</v>
      </c>
      <c r="AR419" s="72"/>
      <c r="AS419" s="72"/>
      <c r="AT419" s="72"/>
      <c r="AU419" s="72"/>
      <c r="AV419" s="72"/>
      <c r="AW419" s="72"/>
      <c r="AX419" s="72"/>
      <c r="AY419" s="72"/>
      <c r="AZ419" s="72"/>
      <c r="BA419" s="72"/>
      <c r="BB419" s="16"/>
      <c r="BC419" s="72"/>
      <c r="BD419" s="319" t="s">
        <v>308</v>
      </c>
      <c r="BE419" s="337"/>
    </row>
    <row r="420" spans="1:57" s="81" customFormat="1" ht="12.95" customHeight="1">
      <c r="A420" s="247" t="s">
        <v>5460</v>
      </c>
      <c r="B420" s="251">
        <v>137</v>
      </c>
      <c r="C420" s="247" t="s">
        <v>1130</v>
      </c>
      <c r="D420" s="239" t="s">
        <v>3185</v>
      </c>
      <c r="E420" s="58"/>
      <c r="F420" s="59" t="s">
        <v>2301</v>
      </c>
      <c r="G420" s="191" t="s">
        <v>2511</v>
      </c>
      <c r="H420" s="192"/>
      <c r="I420" s="61" t="s">
        <v>313</v>
      </c>
      <c r="J420" s="61"/>
      <c r="K420" s="62" t="s">
        <v>2511</v>
      </c>
      <c r="L420" s="60" t="s">
        <v>2511</v>
      </c>
      <c r="M420" s="61"/>
      <c r="N420" s="61" t="s">
        <v>2523</v>
      </c>
      <c r="O420" s="61"/>
      <c r="P420" s="62" t="s">
        <v>2511</v>
      </c>
      <c r="Q420" s="82"/>
      <c r="R420" s="82"/>
      <c r="S420" s="82"/>
      <c r="T420" s="82"/>
      <c r="U420" s="82"/>
      <c r="V420" s="138" t="s">
        <v>3602</v>
      </c>
      <c r="W420" s="57" t="s">
        <v>3588</v>
      </c>
      <c r="X420" s="126" t="s">
        <v>2511</v>
      </c>
      <c r="Y420" s="126" t="s">
        <v>2511</v>
      </c>
      <c r="Z420" s="57"/>
      <c r="AA420" s="57" t="s">
        <v>3589</v>
      </c>
      <c r="AB420" s="138"/>
      <c r="AC420" s="138" t="s">
        <v>2631</v>
      </c>
      <c r="AD420" s="80"/>
      <c r="AE420" s="80"/>
      <c r="AF420" s="80"/>
      <c r="AG420" s="80"/>
      <c r="AH420" s="83"/>
      <c r="AI420" s="83"/>
      <c r="AJ420" s="84"/>
      <c r="AK420" s="84"/>
      <c r="AL420" s="84"/>
      <c r="AM420" s="84"/>
      <c r="AN420" s="84"/>
      <c r="AO420" s="84"/>
      <c r="AP420" s="84"/>
      <c r="AQ420" s="103" t="s">
        <v>313</v>
      </c>
      <c r="AR420" s="72"/>
      <c r="AS420" s="72"/>
      <c r="AT420" s="72"/>
      <c r="AU420" s="72"/>
      <c r="AV420" s="72"/>
      <c r="AW420" s="72"/>
      <c r="AX420" s="72"/>
      <c r="AY420" s="72"/>
      <c r="AZ420" s="72"/>
      <c r="BA420" s="72"/>
      <c r="BB420" s="16"/>
      <c r="BC420" s="72"/>
      <c r="BD420" s="319" t="s">
        <v>313</v>
      </c>
      <c r="BE420" s="337"/>
    </row>
    <row r="421" spans="1:57" s="81" customFormat="1" ht="12.95" customHeight="1">
      <c r="A421" s="247" t="s">
        <v>5467</v>
      </c>
      <c r="B421" s="251">
        <v>142</v>
      </c>
      <c r="C421" s="247" t="s">
        <v>1131</v>
      </c>
      <c r="D421" s="239" t="s">
        <v>3603</v>
      </c>
      <c r="E421" s="58"/>
      <c r="F421" s="59" t="s">
        <v>2302</v>
      </c>
      <c r="G421" s="191" t="s">
        <v>2511</v>
      </c>
      <c r="H421" s="192"/>
      <c r="I421" s="61" t="s">
        <v>314</v>
      </c>
      <c r="J421" s="61"/>
      <c r="K421" s="62" t="s">
        <v>2511</v>
      </c>
      <c r="L421" s="60" t="s">
        <v>2511</v>
      </c>
      <c r="M421" s="61"/>
      <c r="N421" s="61" t="s">
        <v>2388</v>
      </c>
      <c r="O421" s="61"/>
      <c r="P421" s="62" t="s">
        <v>2511</v>
      </c>
      <c r="Q421" s="82"/>
      <c r="R421" s="82"/>
      <c r="S421" s="82"/>
      <c r="T421" s="82"/>
      <c r="U421" s="82"/>
      <c r="V421" s="138" t="s">
        <v>3604</v>
      </c>
      <c r="W421" s="57" t="s">
        <v>3588</v>
      </c>
      <c r="X421" s="126" t="s">
        <v>2511</v>
      </c>
      <c r="Y421" s="126" t="s">
        <v>2511</v>
      </c>
      <c r="Z421" s="57"/>
      <c r="AA421" s="57" t="s">
        <v>3589</v>
      </c>
      <c r="AB421" s="138"/>
      <c r="AC421" s="138" t="s">
        <v>2631</v>
      </c>
      <c r="AD421" s="80"/>
      <c r="AE421" s="80"/>
      <c r="AF421" s="80"/>
      <c r="AG421" s="80"/>
      <c r="AH421" s="83"/>
      <c r="AI421" s="83"/>
      <c r="AJ421" s="84"/>
      <c r="AK421" s="84"/>
      <c r="AL421" s="84"/>
      <c r="AM421" s="84"/>
      <c r="AN421" s="84"/>
      <c r="AO421" s="84"/>
      <c r="AP421" s="84"/>
      <c r="AQ421" s="105" t="s">
        <v>314</v>
      </c>
      <c r="AR421" s="72"/>
      <c r="AS421" s="72"/>
      <c r="AT421" s="72"/>
      <c r="AU421" s="72"/>
      <c r="AV421" s="72"/>
      <c r="AW421" s="72"/>
      <c r="AX421" s="72"/>
      <c r="AY421" s="72"/>
      <c r="AZ421" s="72"/>
      <c r="BA421" s="72"/>
      <c r="BB421" s="16"/>
      <c r="BC421" s="72"/>
      <c r="BD421" s="319" t="s">
        <v>314</v>
      </c>
      <c r="BE421" s="337"/>
    </row>
    <row r="422" spans="1:57" s="81" customFormat="1" ht="12.95" customHeight="1">
      <c r="A422" s="247" t="s">
        <v>5468</v>
      </c>
      <c r="B422" s="251">
        <v>140</v>
      </c>
      <c r="C422" s="247" t="s">
        <v>1132</v>
      </c>
      <c r="D422" s="239" t="s">
        <v>3483</v>
      </c>
      <c r="E422" s="58"/>
      <c r="F422" s="59" t="s">
        <v>2303</v>
      </c>
      <c r="G422" s="191" t="s">
        <v>2511</v>
      </c>
      <c r="H422" s="192"/>
      <c r="I422" s="61" t="s">
        <v>310</v>
      </c>
      <c r="J422" s="61"/>
      <c r="K422" s="62" t="s">
        <v>2511</v>
      </c>
      <c r="L422" s="60" t="s">
        <v>2511</v>
      </c>
      <c r="M422" s="61"/>
      <c r="N422" s="61" t="s">
        <v>2388</v>
      </c>
      <c r="O422" s="61"/>
      <c r="P422" s="62" t="s">
        <v>2511</v>
      </c>
      <c r="Q422" s="82"/>
      <c r="R422" s="82"/>
      <c r="S422" s="82"/>
      <c r="T422" s="82"/>
      <c r="U422" s="82"/>
      <c r="V422" s="138" t="s">
        <v>3605</v>
      </c>
      <c r="W422" s="57" t="s">
        <v>3588</v>
      </c>
      <c r="X422" s="126" t="s">
        <v>2511</v>
      </c>
      <c r="Y422" s="126" t="s">
        <v>2511</v>
      </c>
      <c r="Z422" s="57"/>
      <c r="AA422" s="57" t="s">
        <v>3589</v>
      </c>
      <c r="AB422" s="138"/>
      <c r="AC422" s="138" t="s">
        <v>2631</v>
      </c>
      <c r="AD422" s="80"/>
      <c r="AE422" s="80"/>
      <c r="AF422" s="80"/>
      <c r="AG422" s="80"/>
      <c r="AH422" s="83"/>
      <c r="AI422" s="83"/>
      <c r="AJ422" s="84"/>
      <c r="AK422" s="84"/>
      <c r="AL422" s="84"/>
      <c r="AM422" s="84"/>
      <c r="AN422" s="84"/>
      <c r="AO422" s="84"/>
      <c r="AP422" s="84"/>
      <c r="AQ422" s="103" t="s">
        <v>310</v>
      </c>
      <c r="AR422" s="72"/>
      <c r="AS422" s="72"/>
      <c r="AT422" s="72"/>
      <c r="AU422" s="72"/>
      <c r="AV422" s="72"/>
      <c r="AW422" s="72"/>
      <c r="AX422" s="72"/>
      <c r="AY422" s="72"/>
      <c r="AZ422" s="72"/>
      <c r="BA422" s="72"/>
      <c r="BB422" s="16"/>
      <c r="BC422" s="72"/>
      <c r="BD422" s="319" t="s">
        <v>310</v>
      </c>
      <c r="BE422" s="337"/>
    </row>
    <row r="423" spans="1:57" s="81" customFormat="1" ht="12.95" customHeight="1">
      <c r="A423" s="247" t="s">
        <v>5461</v>
      </c>
      <c r="B423" s="251">
        <v>151</v>
      </c>
      <c r="C423" s="247" t="s">
        <v>1133</v>
      </c>
      <c r="D423" s="239" t="s">
        <v>3495</v>
      </c>
      <c r="E423" s="58"/>
      <c r="F423" s="59" t="s">
        <v>2304</v>
      </c>
      <c r="G423" s="191" t="s">
        <v>2511</v>
      </c>
      <c r="H423" s="192"/>
      <c r="I423" s="61" t="s">
        <v>231</v>
      </c>
      <c r="J423" s="61"/>
      <c r="K423" s="62" t="s">
        <v>2511</v>
      </c>
      <c r="L423" s="60" t="s">
        <v>2511</v>
      </c>
      <c r="M423" s="61"/>
      <c r="N423" s="61" t="s">
        <v>2523</v>
      </c>
      <c r="O423" s="61"/>
      <c r="P423" s="62" t="s">
        <v>2511</v>
      </c>
      <c r="Q423" s="82"/>
      <c r="R423" s="82"/>
      <c r="S423" s="82"/>
      <c r="T423" s="82"/>
      <c r="U423" s="82"/>
      <c r="V423" s="138" t="s">
        <v>3607</v>
      </c>
      <c r="W423" s="57" t="s">
        <v>3588</v>
      </c>
      <c r="X423" s="126" t="s">
        <v>2511</v>
      </c>
      <c r="Y423" s="126" t="s">
        <v>2511</v>
      </c>
      <c r="Z423" s="57"/>
      <c r="AA423" s="57" t="s">
        <v>3589</v>
      </c>
      <c r="AB423" s="138"/>
      <c r="AC423" s="138" t="s">
        <v>2631</v>
      </c>
      <c r="AD423" s="80"/>
      <c r="AE423" s="80"/>
      <c r="AF423" s="80"/>
      <c r="AG423" s="80"/>
      <c r="AH423" s="83"/>
      <c r="AI423" s="83"/>
      <c r="AJ423" s="84"/>
      <c r="AK423" s="84"/>
      <c r="AL423" s="84"/>
      <c r="AM423" s="84"/>
      <c r="AN423" s="84"/>
      <c r="AO423" s="84"/>
      <c r="AP423" s="84"/>
      <c r="AQ423" s="105" t="s">
        <v>231</v>
      </c>
      <c r="AR423" s="72"/>
      <c r="AS423" s="72"/>
      <c r="AT423" s="72"/>
      <c r="AU423" s="72"/>
      <c r="AV423" s="72"/>
      <c r="AW423" s="72"/>
      <c r="AX423" s="72"/>
      <c r="AY423" s="72"/>
      <c r="AZ423" s="72"/>
      <c r="BA423" s="72"/>
      <c r="BB423" s="16"/>
      <c r="BC423" s="72"/>
      <c r="BD423" s="319" t="s">
        <v>231</v>
      </c>
      <c r="BE423" s="337"/>
    </row>
    <row r="424" spans="1:57" s="81" customFormat="1" ht="12.95" customHeight="1">
      <c r="A424" s="247" t="s">
        <v>5462</v>
      </c>
      <c r="B424" s="251">
        <v>149</v>
      </c>
      <c r="C424" s="247" t="s">
        <v>1134</v>
      </c>
      <c r="D424" s="239" t="s">
        <v>3608</v>
      </c>
      <c r="E424" s="58"/>
      <c r="F424" s="59" t="s">
        <v>2305</v>
      </c>
      <c r="G424" s="191" t="s">
        <v>2511</v>
      </c>
      <c r="H424" s="192"/>
      <c r="I424" s="61" t="s">
        <v>230</v>
      </c>
      <c r="J424" s="61"/>
      <c r="K424" s="62" t="s">
        <v>2511</v>
      </c>
      <c r="L424" s="60" t="s">
        <v>2511</v>
      </c>
      <c r="M424" s="61"/>
      <c r="N424" s="61" t="s">
        <v>2523</v>
      </c>
      <c r="O424" s="61"/>
      <c r="P424" s="62" t="s">
        <v>2511</v>
      </c>
      <c r="Q424" s="82"/>
      <c r="R424" s="82"/>
      <c r="S424" s="82"/>
      <c r="T424" s="82"/>
      <c r="U424" s="82"/>
      <c r="V424" s="138" t="s">
        <v>3609</v>
      </c>
      <c r="W424" s="57" t="s">
        <v>3588</v>
      </c>
      <c r="X424" s="126" t="s">
        <v>2511</v>
      </c>
      <c r="Y424" s="126" t="s">
        <v>2511</v>
      </c>
      <c r="Z424" s="57"/>
      <c r="AA424" s="57" t="s">
        <v>3589</v>
      </c>
      <c r="AB424" s="138"/>
      <c r="AC424" s="138" t="s">
        <v>2631</v>
      </c>
      <c r="AD424" s="80"/>
      <c r="AE424" s="80"/>
      <c r="AF424" s="80"/>
      <c r="AG424" s="80"/>
      <c r="AH424" s="83"/>
      <c r="AI424" s="83"/>
      <c r="AJ424" s="84"/>
      <c r="AK424" s="84"/>
      <c r="AL424" s="84"/>
      <c r="AM424" s="84"/>
      <c r="AN424" s="84"/>
      <c r="AO424" s="84"/>
      <c r="AP424" s="84"/>
      <c r="AQ424" s="103" t="s">
        <v>230</v>
      </c>
      <c r="AR424" s="72"/>
      <c r="AS424" s="72"/>
      <c r="AT424" s="72"/>
      <c r="AU424" s="72"/>
      <c r="AV424" s="72"/>
      <c r="AW424" s="72"/>
      <c r="AX424" s="72"/>
      <c r="AY424" s="72"/>
      <c r="AZ424" s="72"/>
      <c r="BA424" s="72"/>
      <c r="BB424" s="16"/>
      <c r="BC424" s="72"/>
      <c r="BD424" s="319" t="s">
        <v>230</v>
      </c>
      <c r="BE424" s="337"/>
    </row>
    <row r="425" spans="1:57" s="81" customFormat="1" ht="12.95" customHeight="1">
      <c r="A425" s="247" t="s">
        <v>5469</v>
      </c>
      <c r="B425" s="251">
        <v>150</v>
      </c>
      <c r="C425" s="247" t="s">
        <v>1135</v>
      </c>
      <c r="D425" s="239" t="s">
        <v>3611</v>
      </c>
      <c r="E425" s="58"/>
      <c r="F425" s="59" t="s">
        <v>2306</v>
      </c>
      <c r="G425" s="191" t="s">
        <v>2511</v>
      </c>
      <c r="H425" s="192"/>
      <c r="I425" s="61" t="s">
        <v>233</v>
      </c>
      <c r="J425" s="61"/>
      <c r="K425" s="62" t="s">
        <v>2511</v>
      </c>
      <c r="L425" s="60" t="s">
        <v>2511</v>
      </c>
      <c r="M425" s="61"/>
      <c r="N425" s="61" t="s">
        <v>2388</v>
      </c>
      <c r="O425" s="61"/>
      <c r="P425" s="62" t="s">
        <v>2511</v>
      </c>
      <c r="Q425" s="82"/>
      <c r="R425" s="82"/>
      <c r="S425" s="82"/>
      <c r="T425" s="82"/>
      <c r="U425" s="82"/>
      <c r="V425" s="138" t="s">
        <v>3612</v>
      </c>
      <c r="W425" s="57" t="s">
        <v>3588</v>
      </c>
      <c r="X425" s="126" t="s">
        <v>2511</v>
      </c>
      <c r="Y425" s="126" t="s">
        <v>2511</v>
      </c>
      <c r="Z425" s="57"/>
      <c r="AA425" s="57" t="s">
        <v>3589</v>
      </c>
      <c r="AB425" s="138"/>
      <c r="AC425" s="138" t="s">
        <v>2631</v>
      </c>
      <c r="AD425" s="80"/>
      <c r="AE425" s="80"/>
      <c r="AF425" s="80"/>
      <c r="AG425" s="80"/>
      <c r="AH425" s="83"/>
      <c r="AI425" s="83"/>
      <c r="AJ425" s="84"/>
      <c r="AK425" s="84"/>
      <c r="AL425" s="84"/>
      <c r="AM425" s="84"/>
      <c r="AN425" s="84"/>
      <c r="AO425" s="84"/>
      <c r="AP425" s="84"/>
      <c r="AQ425" s="105" t="s">
        <v>233</v>
      </c>
      <c r="AR425" s="72"/>
      <c r="AS425" s="72"/>
      <c r="AT425" s="72"/>
      <c r="AU425" s="72"/>
      <c r="AV425" s="72"/>
      <c r="AW425" s="72"/>
      <c r="AX425" s="72"/>
      <c r="AY425" s="72"/>
      <c r="AZ425" s="72"/>
      <c r="BA425" s="72"/>
      <c r="BB425" s="16"/>
      <c r="BC425" s="72"/>
      <c r="BD425" s="319" t="s">
        <v>233</v>
      </c>
      <c r="BE425" s="337"/>
    </row>
    <row r="426" spans="1:57" s="81" customFormat="1" ht="12.95" customHeight="1">
      <c r="A426" s="247" t="s">
        <v>5470</v>
      </c>
      <c r="B426" s="251">
        <v>148</v>
      </c>
      <c r="C426" s="247" t="s">
        <v>1136</v>
      </c>
      <c r="D426" s="239" t="s">
        <v>3613</v>
      </c>
      <c r="E426" s="58"/>
      <c r="F426" s="59" t="s">
        <v>2307</v>
      </c>
      <c r="G426" s="191" t="s">
        <v>2511</v>
      </c>
      <c r="H426" s="192"/>
      <c r="I426" s="61" t="s">
        <v>232</v>
      </c>
      <c r="J426" s="61"/>
      <c r="K426" s="62" t="s">
        <v>2511</v>
      </c>
      <c r="L426" s="60" t="s">
        <v>2511</v>
      </c>
      <c r="M426" s="61"/>
      <c r="N426" s="61" t="s">
        <v>2388</v>
      </c>
      <c r="O426" s="61"/>
      <c r="P426" s="62" t="s">
        <v>2511</v>
      </c>
      <c r="Q426" s="82"/>
      <c r="R426" s="82"/>
      <c r="S426" s="82"/>
      <c r="T426" s="82"/>
      <c r="U426" s="82"/>
      <c r="V426" s="138" t="s">
        <v>3614</v>
      </c>
      <c r="W426" s="57" t="s">
        <v>3588</v>
      </c>
      <c r="X426" s="126" t="s">
        <v>2511</v>
      </c>
      <c r="Y426" s="126" t="s">
        <v>2511</v>
      </c>
      <c r="Z426" s="57"/>
      <c r="AA426" s="57" t="s">
        <v>3589</v>
      </c>
      <c r="AB426" s="138"/>
      <c r="AC426" s="138" t="s">
        <v>2631</v>
      </c>
      <c r="AD426" s="80"/>
      <c r="AE426" s="80"/>
      <c r="AF426" s="80"/>
      <c r="AG426" s="80"/>
      <c r="AH426" s="83"/>
      <c r="AI426" s="83"/>
      <c r="AJ426" s="84"/>
      <c r="AK426" s="84"/>
      <c r="AL426" s="84"/>
      <c r="AM426" s="84"/>
      <c r="AN426" s="84"/>
      <c r="AO426" s="84"/>
      <c r="AP426" s="84"/>
      <c r="AQ426" s="103" t="s">
        <v>232</v>
      </c>
      <c r="AR426" s="72"/>
      <c r="AS426" s="72"/>
      <c r="AT426" s="72"/>
      <c r="AU426" s="72"/>
      <c r="AV426" s="72"/>
      <c r="AW426" s="72"/>
      <c r="AX426" s="72"/>
      <c r="AY426" s="72"/>
      <c r="AZ426" s="72"/>
      <c r="BA426" s="72"/>
      <c r="BB426" s="16"/>
      <c r="BC426" s="72"/>
      <c r="BD426" s="319" t="s">
        <v>232</v>
      </c>
      <c r="BE426" s="337"/>
    </row>
    <row r="427" spans="1:57" s="81" customFormat="1" ht="12.95" customHeight="1">
      <c r="A427" s="247" t="s">
        <v>5463</v>
      </c>
      <c r="B427" s="251">
        <v>157</v>
      </c>
      <c r="C427" s="247" t="s">
        <v>1137</v>
      </c>
      <c r="D427" s="239" t="s">
        <v>3616</v>
      </c>
      <c r="E427" s="58"/>
      <c r="F427" s="59" t="s">
        <v>2308</v>
      </c>
      <c r="G427" s="191" t="s">
        <v>2511</v>
      </c>
      <c r="H427" s="192"/>
      <c r="I427" s="61" t="s">
        <v>235</v>
      </c>
      <c r="J427" s="61"/>
      <c r="K427" s="62" t="s">
        <v>2511</v>
      </c>
      <c r="L427" s="60" t="s">
        <v>2511</v>
      </c>
      <c r="M427" s="61"/>
      <c r="N427" s="61" t="s">
        <v>2523</v>
      </c>
      <c r="O427" s="61"/>
      <c r="P427" s="62" t="s">
        <v>2511</v>
      </c>
      <c r="Q427" s="82"/>
      <c r="R427" s="82"/>
      <c r="S427" s="82"/>
      <c r="T427" s="82"/>
      <c r="U427" s="82"/>
      <c r="V427" s="138" t="s">
        <v>3617</v>
      </c>
      <c r="W427" s="57" t="s">
        <v>3588</v>
      </c>
      <c r="X427" s="126" t="s">
        <v>2511</v>
      </c>
      <c r="Y427" s="126" t="s">
        <v>2511</v>
      </c>
      <c r="Z427" s="57"/>
      <c r="AA427" s="57" t="s">
        <v>3589</v>
      </c>
      <c r="AB427" s="138"/>
      <c r="AC427" s="138" t="s">
        <v>2631</v>
      </c>
      <c r="AD427" s="80"/>
      <c r="AE427" s="80"/>
      <c r="AF427" s="80"/>
      <c r="AG427" s="80"/>
      <c r="AH427" s="83"/>
      <c r="AI427" s="83"/>
      <c r="AJ427" s="84"/>
      <c r="AK427" s="84"/>
      <c r="AL427" s="84"/>
      <c r="AM427" s="84"/>
      <c r="AN427" s="84"/>
      <c r="AO427" s="84"/>
      <c r="AP427" s="84"/>
      <c r="AQ427" s="105" t="s">
        <v>235</v>
      </c>
      <c r="AR427" s="72"/>
      <c r="AS427" s="72"/>
      <c r="AT427" s="72"/>
      <c r="AU427" s="72"/>
      <c r="AV427" s="72"/>
      <c r="AW427" s="72"/>
      <c r="AX427" s="72"/>
      <c r="AY427" s="72"/>
      <c r="AZ427" s="72"/>
      <c r="BA427" s="72"/>
      <c r="BB427" s="16"/>
      <c r="BC427" s="72"/>
      <c r="BD427" s="319" t="s">
        <v>235</v>
      </c>
      <c r="BE427" s="337"/>
    </row>
    <row r="428" spans="1:57" s="81" customFormat="1" ht="12.95" customHeight="1">
      <c r="A428" s="247" t="s">
        <v>5464</v>
      </c>
      <c r="B428" s="251">
        <v>155</v>
      </c>
      <c r="C428" s="247" t="s">
        <v>1138</v>
      </c>
      <c r="D428" s="239" t="s">
        <v>3188</v>
      </c>
      <c r="E428" s="58"/>
      <c r="F428" s="59" t="s">
        <v>2309</v>
      </c>
      <c r="G428" s="191" t="s">
        <v>2511</v>
      </c>
      <c r="H428" s="192"/>
      <c r="I428" s="61" t="s">
        <v>234</v>
      </c>
      <c r="J428" s="61"/>
      <c r="K428" s="62" t="s">
        <v>2511</v>
      </c>
      <c r="L428" s="60" t="s">
        <v>2511</v>
      </c>
      <c r="M428" s="61"/>
      <c r="N428" s="61" t="s">
        <v>2523</v>
      </c>
      <c r="O428" s="61"/>
      <c r="P428" s="62" t="s">
        <v>2511</v>
      </c>
      <c r="Q428" s="82"/>
      <c r="R428" s="82"/>
      <c r="S428" s="82"/>
      <c r="T428" s="82"/>
      <c r="U428" s="82"/>
      <c r="V428" s="138" t="s">
        <v>3619</v>
      </c>
      <c r="W428" s="57" t="s">
        <v>3588</v>
      </c>
      <c r="X428" s="126" t="s">
        <v>2511</v>
      </c>
      <c r="Y428" s="126" t="s">
        <v>2511</v>
      </c>
      <c r="Z428" s="57"/>
      <c r="AA428" s="57" t="s">
        <v>3589</v>
      </c>
      <c r="AB428" s="138"/>
      <c r="AC428" s="138" t="s">
        <v>2631</v>
      </c>
      <c r="AD428" s="80"/>
      <c r="AE428" s="80"/>
      <c r="AF428" s="80"/>
      <c r="AG428" s="80"/>
      <c r="AH428" s="83"/>
      <c r="AI428" s="83"/>
      <c r="AJ428" s="84"/>
      <c r="AK428" s="84"/>
      <c r="AL428" s="84"/>
      <c r="AM428" s="84"/>
      <c r="AN428" s="84"/>
      <c r="AO428" s="84"/>
      <c r="AP428" s="84"/>
      <c r="AQ428" s="103" t="s">
        <v>234</v>
      </c>
      <c r="AR428" s="72"/>
      <c r="AS428" s="72"/>
      <c r="AT428" s="72"/>
      <c r="AU428" s="72"/>
      <c r="AV428" s="72"/>
      <c r="AW428" s="72"/>
      <c r="AX428" s="72"/>
      <c r="AY428" s="72"/>
      <c r="AZ428" s="72"/>
      <c r="BA428" s="72"/>
      <c r="BB428" s="16"/>
      <c r="BC428" s="72"/>
      <c r="BD428" s="319" t="s">
        <v>234</v>
      </c>
      <c r="BE428" s="337"/>
    </row>
    <row r="429" spans="1:57" s="81" customFormat="1" ht="12.95" customHeight="1">
      <c r="A429" s="247" t="s">
        <v>5471</v>
      </c>
      <c r="B429" s="251">
        <v>156</v>
      </c>
      <c r="C429" s="247" t="s">
        <v>1139</v>
      </c>
      <c r="D429" s="239" t="s">
        <v>3615</v>
      </c>
      <c r="E429" s="58"/>
      <c r="F429" s="59" t="s">
        <v>2310</v>
      </c>
      <c r="G429" s="191" t="s">
        <v>2511</v>
      </c>
      <c r="H429" s="192"/>
      <c r="I429" s="61" t="s">
        <v>237</v>
      </c>
      <c r="J429" s="61" t="s">
        <v>2511</v>
      </c>
      <c r="K429" s="62" t="s">
        <v>2511</v>
      </c>
      <c r="L429" s="60" t="s">
        <v>2511</v>
      </c>
      <c r="M429" s="61"/>
      <c r="N429" s="61" t="s">
        <v>2388</v>
      </c>
      <c r="O429" s="61" t="s">
        <v>2511</v>
      </c>
      <c r="P429" s="62" t="s">
        <v>2511</v>
      </c>
      <c r="Q429" s="82"/>
      <c r="R429" s="82"/>
      <c r="S429" s="82"/>
      <c r="T429" s="82"/>
      <c r="U429" s="82"/>
      <c r="V429" s="138" t="s">
        <v>3620</v>
      </c>
      <c r="W429" s="57" t="s">
        <v>3588</v>
      </c>
      <c r="X429" s="126" t="s">
        <v>2511</v>
      </c>
      <c r="Y429" s="126" t="s">
        <v>2511</v>
      </c>
      <c r="Z429" s="57"/>
      <c r="AA429" s="57" t="s">
        <v>3589</v>
      </c>
      <c r="AB429" s="138"/>
      <c r="AC429" s="138" t="s">
        <v>2631</v>
      </c>
      <c r="AD429" s="80"/>
      <c r="AE429" s="80"/>
      <c r="AF429" s="80"/>
      <c r="AG429" s="80"/>
      <c r="AH429" s="83"/>
      <c r="AI429" s="83"/>
      <c r="AJ429" s="84"/>
      <c r="AK429" s="84"/>
      <c r="AL429" s="84"/>
      <c r="AM429" s="84"/>
      <c r="AN429" s="84"/>
      <c r="AO429" s="84"/>
      <c r="AP429" s="84"/>
      <c r="AQ429" s="105" t="s">
        <v>237</v>
      </c>
      <c r="AR429" s="72"/>
      <c r="AS429" s="72"/>
      <c r="AT429" s="72"/>
      <c r="AU429" s="72"/>
      <c r="AV429" s="72"/>
      <c r="AW429" s="72"/>
      <c r="AX429" s="72"/>
      <c r="AY429" s="72"/>
      <c r="AZ429" s="72"/>
      <c r="BA429" s="72"/>
      <c r="BB429" s="16"/>
      <c r="BC429" s="72"/>
      <c r="BD429" s="319" t="s">
        <v>237</v>
      </c>
      <c r="BE429" s="337"/>
    </row>
    <row r="430" spans="1:57" s="81" customFormat="1" ht="12.95" customHeight="1">
      <c r="A430" s="247" t="s">
        <v>5472</v>
      </c>
      <c r="B430" s="251">
        <v>154</v>
      </c>
      <c r="C430" s="247" t="s">
        <v>1140</v>
      </c>
      <c r="D430" s="239" t="s">
        <v>3618</v>
      </c>
      <c r="E430" s="58"/>
      <c r="F430" s="59" t="s">
        <v>2311</v>
      </c>
      <c r="G430" s="191" t="s">
        <v>2511</v>
      </c>
      <c r="H430" s="192"/>
      <c r="I430" s="61" t="s">
        <v>236</v>
      </c>
      <c r="J430" s="61" t="s">
        <v>2511</v>
      </c>
      <c r="K430" s="62" t="s">
        <v>2511</v>
      </c>
      <c r="L430" s="60" t="s">
        <v>2511</v>
      </c>
      <c r="M430" s="61"/>
      <c r="N430" s="61" t="s">
        <v>2388</v>
      </c>
      <c r="O430" s="61" t="s">
        <v>2511</v>
      </c>
      <c r="P430" s="62" t="s">
        <v>2511</v>
      </c>
      <c r="Q430" s="82"/>
      <c r="R430" s="82"/>
      <c r="S430" s="82"/>
      <c r="T430" s="82"/>
      <c r="U430" s="82"/>
      <c r="V430" s="138" t="s">
        <v>3621</v>
      </c>
      <c r="W430" s="57" t="s">
        <v>3588</v>
      </c>
      <c r="X430" s="126" t="s">
        <v>2511</v>
      </c>
      <c r="Y430" s="126" t="s">
        <v>2511</v>
      </c>
      <c r="Z430" s="57"/>
      <c r="AA430" s="57" t="s">
        <v>3589</v>
      </c>
      <c r="AB430" s="138"/>
      <c r="AC430" s="138" t="s">
        <v>2631</v>
      </c>
      <c r="AD430" s="80"/>
      <c r="AE430" s="80"/>
      <c r="AF430" s="80"/>
      <c r="AG430" s="80"/>
      <c r="AH430" s="83"/>
      <c r="AI430" s="83"/>
      <c r="AJ430" s="84"/>
      <c r="AK430" s="84"/>
      <c r="AL430" s="84"/>
      <c r="AM430" s="84"/>
      <c r="AN430" s="84"/>
      <c r="AO430" s="84"/>
      <c r="AP430" s="84"/>
      <c r="AQ430" s="103" t="s">
        <v>236</v>
      </c>
      <c r="AR430" s="72"/>
      <c r="AS430" s="72"/>
      <c r="AT430" s="72"/>
      <c r="AU430" s="72"/>
      <c r="AV430" s="72"/>
      <c r="AW430" s="72"/>
      <c r="AX430" s="72"/>
      <c r="AY430" s="72"/>
      <c r="AZ430" s="72"/>
      <c r="BA430" s="72"/>
      <c r="BB430" s="16"/>
      <c r="BC430" s="72"/>
      <c r="BD430" s="319" t="s">
        <v>236</v>
      </c>
      <c r="BE430" s="338"/>
    </row>
    <row r="431" spans="1:57" s="81" customFormat="1" ht="12.95" hidden="1" customHeight="1">
      <c r="A431" s="248" t="e">
        <v>#N/A</v>
      </c>
      <c r="B431" s="252" t="e">
        <v>#N/A</v>
      </c>
      <c r="C431" s="248" t="s">
        <v>1141</v>
      </c>
      <c r="D431" s="239" t="s">
        <v>3473</v>
      </c>
      <c r="E431" s="58"/>
      <c r="F431" s="59" t="s">
        <v>2312</v>
      </c>
      <c r="G431" s="191" t="s">
        <v>2511</v>
      </c>
      <c r="H431" s="192"/>
      <c r="I431" s="61" t="s">
        <v>239</v>
      </c>
      <c r="J431" s="61" t="s">
        <v>3622</v>
      </c>
      <c r="K431" s="62" t="s">
        <v>2511</v>
      </c>
      <c r="L431" s="60" t="s">
        <v>2511</v>
      </c>
      <c r="M431" s="61" t="s">
        <v>2523</v>
      </c>
      <c r="N431" s="61" t="s">
        <v>2523</v>
      </c>
      <c r="O431" s="61" t="s">
        <v>2523</v>
      </c>
      <c r="P431" s="62" t="s">
        <v>2511</v>
      </c>
      <c r="Q431" s="82"/>
      <c r="R431" s="82"/>
      <c r="S431" s="82"/>
      <c r="T431" s="82"/>
      <c r="U431" s="82"/>
      <c r="V431" s="138" t="s">
        <v>3623</v>
      </c>
      <c r="W431" s="57" t="s">
        <v>3588</v>
      </c>
      <c r="X431" s="126" t="s">
        <v>2511</v>
      </c>
      <c r="Y431" s="126" t="s">
        <v>2511</v>
      </c>
      <c r="Z431" s="57"/>
      <c r="AA431" s="57" t="s">
        <v>3589</v>
      </c>
      <c r="AB431" s="138"/>
      <c r="AC431" s="138" t="s">
        <v>2631</v>
      </c>
      <c r="AD431" s="80"/>
      <c r="AE431" s="80"/>
      <c r="AF431" s="80"/>
      <c r="AG431" s="80"/>
      <c r="AH431" s="83"/>
      <c r="AI431" s="83"/>
      <c r="AJ431" s="84"/>
      <c r="AK431" s="84"/>
      <c r="AL431" s="84"/>
      <c r="AM431" s="84"/>
      <c r="AN431" s="84"/>
      <c r="AO431" s="84"/>
      <c r="AP431" s="84"/>
      <c r="AQ431" s="105" t="s">
        <v>2312</v>
      </c>
      <c r="AR431" s="72"/>
      <c r="AS431" s="72"/>
      <c r="AT431" s="72"/>
      <c r="AU431" s="72"/>
      <c r="AV431" s="72"/>
      <c r="AW431" s="72"/>
      <c r="AX431" s="72"/>
      <c r="AY431" s="72"/>
      <c r="AZ431" s="72"/>
      <c r="BA431" s="72"/>
      <c r="BB431" s="16"/>
      <c r="BC431" s="72"/>
      <c r="BD431" s="147" t="s">
        <v>83</v>
      </c>
      <c r="BE431" s="147" t="s">
        <v>83</v>
      </c>
    </row>
    <row r="432" spans="1:57" s="81" customFormat="1" ht="12.95" hidden="1" customHeight="1">
      <c r="A432" s="248" t="e">
        <v>#N/A</v>
      </c>
      <c r="B432" s="252" t="e">
        <v>#N/A</v>
      </c>
      <c r="C432" s="248" t="s">
        <v>1142</v>
      </c>
      <c r="D432" s="239" t="s">
        <v>3624</v>
      </c>
      <c r="E432" s="58"/>
      <c r="F432" s="59" t="s">
        <v>2313</v>
      </c>
      <c r="G432" s="191" t="s">
        <v>2511</v>
      </c>
      <c r="H432" s="192"/>
      <c r="I432" s="61" t="s">
        <v>238</v>
      </c>
      <c r="J432" s="61" t="s">
        <v>3625</v>
      </c>
      <c r="K432" s="62" t="s">
        <v>2511</v>
      </c>
      <c r="L432" s="60" t="s">
        <v>2511</v>
      </c>
      <c r="M432" s="61" t="s">
        <v>2523</v>
      </c>
      <c r="N432" s="61" t="s">
        <v>2523</v>
      </c>
      <c r="O432" s="61" t="s">
        <v>2523</v>
      </c>
      <c r="P432" s="62" t="s">
        <v>2511</v>
      </c>
      <c r="Q432" s="82"/>
      <c r="R432" s="82"/>
      <c r="S432" s="82"/>
      <c r="T432" s="82"/>
      <c r="U432" s="82"/>
      <c r="V432" s="138" t="s">
        <v>3626</v>
      </c>
      <c r="W432" s="57" t="s">
        <v>3588</v>
      </c>
      <c r="X432" s="126" t="s">
        <v>2511</v>
      </c>
      <c r="Y432" s="126" t="s">
        <v>2511</v>
      </c>
      <c r="Z432" s="57"/>
      <c r="AA432" s="57" t="s">
        <v>3589</v>
      </c>
      <c r="AB432" s="138"/>
      <c r="AC432" s="138" t="s">
        <v>2631</v>
      </c>
      <c r="AD432" s="80"/>
      <c r="AE432" s="80"/>
      <c r="AF432" s="80"/>
      <c r="AG432" s="80"/>
      <c r="AH432" s="83"/>
      <c r="AI432" s="83"/>
      <c r="AJ432" s="84"/>
      <c r="AK432" s="84"/>
      <c r="AL432" s="84"/>
      <c r="AM432" s="84"/>
      <c r="AN432" s="84"/>
      <c r="AO432" s="84"/>
      <c r="AP432" s="84"/>
      <c r="AQ432" s="103" t="s">
        <v>2313</v>
      </c>
      <c r="AR432" s="72"/>
      <c r="AS432" s="72"/>
      <c r="AT432" s="72"/>
      <c r="AU432" s="72"/>
      <c r="AV432" s="72"/>
      <c r="AW432" s="72"/>
      <c r="AX432" s="72"/>
      <c r="AY432" s="72"/>
      <c r="AZ432" s="72"/>
      <c r="BA432" s="72"/>
      <c r="BB432" s="16"/>
      <c r="BC432" s="72"/>
      <c r="BD432" s="147" t="s">
        <v>83</v>
      </c>
      <c r="BE432" s="147" t="s">
        <v>83</v>
      </c>
    </row>
    <row r="433" spans="1:57" s="81" customFormat="1" ht="12.95" hidden="1" customHeight="1">
      <c r="A433" s="248" t="e">
        <v>#N/A</v>
      </c>
      <c r="B433" s="252" t="e">
        <v>#N/A</v>
      </c>
      <c r="C433" s="248" t="s">
        <v>1143</v>
      </c>
      <c r="D433" s="239" t="s">
        <v>3606</v>
      </c>
      <c r="E433" s="58"/>
      <c r="F433" s="59" t="s">
        <v>2314</v>
      </c>
      <c r="G433" s="191" t="s">
        <v>2511</v>
      </c>
      <c r="H433" s="192"/>
      <c r="I433" s="61" t="s">
        <v>241</v>
      </c>
      <c r="J433" s="61" t="s">
        <v>2511</v>
      </c>
      <c r="K433" s="62" t="s">
        <v>2511</v>
      </c>
      <c r="L433" s="60" t="s">
        <v>2511</v>
      </c>
      <c r="M433" s="61" t="s">
        <v>2388</v>
      </c>
      <c r="N433" s="61" t="s">
        <v>2388</v>
      </c>
      <c r="O433" s="61" t="s">
        <v>2511</v>
      </c>
      <c r="P433" s="62" t="s">
        <v>2511</v>
      </c>
      <c r="Q433" s="82"/>
      <c r="R433" s="82"/>
      <c r="S433" s="82"/>
      <c r="T433" s="82"/>
      <c r="U433" s="82"/>
      <c r="V433" s="138" t="s">
        <v>3627</v>
      </c>
      <c r="W433" s="57" t="s">
        <v>3588</v>
      </c>
      <c r="X433" s="126" t="s">
        <v>2511</v>
      </c>
      <c r="Y433" s="126" t="s">
        <v>2511</v>
      </c>
      <c r="Z433" s="57"/>
      <c r="AA433" s="57" t="s">
        <v>3589</v>
      </c>
      <c r="AB433" s="138"/>
      <c r="AC433" s="138" t="s">
        <v>2631</v>
      </c>
      <c r="AD433" s="80"/>
      <c r="AE433" s="80"/>
      <c r="AF433" s="80"/>
      <c r="AG433" s="80"/>
      <c r="AH433" s="83"/>
      <c r="AI433" s="83"/>
      <c r="AJ433" s="84"/>
      <c r="AK433" s="84"/>
      <c r="AL433" s="84"/>
      <c r="AM433" s="84"/>
      <c r="AN433" s="84"/>
      <c r="AO433" s="84"/>
      <c r="AP433" s="84"/>
      <c r="AQ433" s="105" t="s">
        <v>2314</v>
      </c>
      <c r="AR433" s="72"/>
      <c r="AS433" s="72"/>
      <c r="AT433" s="72"/>
      <c r="AU433" s="72"/>
      <c r="AV433" s="72"/>
      <c r="AW433" s="72"/>
      <c r="AX433" s="72"/>
      <c r="AY433" s="72"/>
      <c r="AZ433" s="72"/>
      <c r="BA433" s="72"/>
      <c r="BB433" s="16"/>
      <c r="BC433" s="72"/>
      <c r="BD433" s="147" t="s">
        <v>83</v>
      </c>
      <c r="BE433" s="147" t="s">
        <v>83</v>
      </c>
    </row>
    <row r="434" spans="1:57" s="81" customFormat="1" ht="12.95" hidden="1" customHeight="1">
      <c r="A434" s="248" t="e">
        <v>#N/A</v>
      </c>
      <c r="B434" s="252" t="e">
        <v>#N/A</v>
      </c>
      <c r="C434" s="248" t="s">
        <v>1144</v>
      </c>
      <c r="D434" s="239" t="s">
        <v>3628</v>
      </c>
      <c r="E434" s="58"/>
      <c r="F434" s="59" t="s">
        <v>2315</v>
      </c>
      <c r="G434" s="191" t="s">
        <v>2511</v>
      </c>
      <c r="H434" s="192"/>
      <c r="I434" s="61" t="s">
        <v>240</v>
      </c>
      <c r="J434" s="61" t="s">
        <v>2511</v>
      </c>
      <c r="K434" s="62" t="s">
        <v>2511</v>
      </c>
      <c r="L434" s="60" t="s">
        <v>2511</v>
      </c>
      <c r="M434" s="61" t="s">
        <v>2388</v>
      </c>
      <c r="N434" s="61" t="s">
        <v>2388</v>
      </c>
      <c r="O434" s="61" t="s">
        <v>2511</v>
      </c>
      <c r="P434" s="62" t="s">
        <v>2511</v>
      </c>
      <c r="Q434" s="82"/>
      <c r="R434" s="82"/>
      <c r="S434" s="82"/>
      <c r="T434" s="82"/>
      <c r="U434" s="82"/>
      <c r="V434" s="138" t="s">
        <v>3629</v>
      </c>
      <c r="W434" s="57" t="s">
        <v>3588</v>
      </c>
      <c r="X434" s="126" t="s">
        <v>2511</v>
      </c>
      <c r="Y434" s="126" t="s">
        <v>2511</v>
      </c>
      <c r="Z434" s="57"/>
      <c r="AA434" s="57" t="s">
        <v>3589</v>
      </c>
      <c r="AB434" s="138"/>
      <c r="AC434" s="138" t="s">
        <v>2631</v>
      </c>
      <c r="AD434" s="80"/>
      <c r="AE434" s="80"/>
      <c r="AF434" s="80"/>
      <c r="AG434" s="80"/>
      <c r="AH434" s="83"/>
      <c r="AI434" s="83"/>
      <c r="AJ434" s="84"/>
      <c r="AK434" s="84"/>
      <c r="AL434" s="84"/>
      <c r="AM434" s="84"/>
      <c r="AN434" s="84"/>
      <c r="AO434" s="84"/>
      <c r="AP434" s="84"/>
      <c r="AQ434" s="103" t="s">
        <v>2315</v>
      </c>
      <c r="AR434" s="72"/>
      <c r="AS434" s="72"/>
      <c r="AT434" s="72"/>
      <c r="AU434" s="72"/>
      <c r="AV434" s="72"/>
      <c r="AW434" s="72"/>
      <c r="AX434" s="72"/>
      <c r="AY434" s="72"/>
      <c r="AZ434" s="72"/>
      <c r="BA434" s="72"/>
      <c r="BB434" s="16"/>
      <c r="BC434" s="72"/>
      <c r="BD434" s="147" t="s">
        <v>83</v>
      </c>
      <c r="BE434" s="147" t="s">
        <v>83</v>
      </c>
    </row>
    <row r="435" spans="1:57" s="81" customFormat="1" ht="12.95" hidden="1" customHeight="1">
      <c r="A435" s="248" t="e">
        <v>#N/A</v>
      </c>
      <c r="B435" s="252" t="e">
        <v>#N/A</v>
      </c>
      <c r="C435" s="248" t="s">
        <v>1145</v>
      </c>
      <c r="D435" s="239" t="s">
        <v>3610</v>
      </c>
      <c r="E435" s="58"/>
      <c r="F435" s="59" t="s">
        <v>2317</v>
      </c>
      <c r="G435" s="191" t="s">
        <v>2511</v>
      </c>
      <c r="H435" s="192"/>
      <c r="I435" s="61" t="s">
        <v>316</v>
      </c>
      <c r="J435" s="61" t="s">
        <v>3630</v>
      </c>
      <c r="K435" s="62" t="s">
        <v>2511</v>
      </c>
      <c r="L435" s="60" t="s">
        <v>2511</v>
      </c>
      <c r="M435" s="61" t="s">
        <v>2523</v>
      </c>
      <c r="N435" s="61" t="s">
        <v>2523</v>
      </c>
      <c r="O435" s="61" t="s">
        <v>2523</v>
      </c>
      <c r="P435" s="62" t="s">
        <v>2511</v>
      </c>
      <c r="Q435" s="82"/>
      <c r="R435" s="82"/>
      <c r="S435" s="82"/>
      <c r="T435" s="82"/>
      <c r="U435" s="82"/>
      <c r="V435" s="138" t="s">
        <v>3631</v>
      </c>
      <c r="W435" s="57" t="s">
        <v>3588</v>
      </c>
      <c r="X435" s="126" t="s">
        <v>2511</v>
      </c>
      <c r="Y435" s="126" t="s">
        <v>2511</v>
      </c>
      <c r="Z435" s="57"/>
      <c r="AA435" s="57" t="s">
        <v>3589</v>
      </c>
      <c r="AB435" s="138"/>
      <c r="AC435" s="138" t="s">
        <v>2631</v>
      </c>
      <c r="AD435" s="80"/>
      <c r="AE435" s="80"/>
      <c r="AF435" s="80"/>
      <c r="AG435" s="80"/>
      <c r="AH435" s="83"/>
      <c r="AI435" s="83"/>
      <c r="AJ435" s="84"/>
      <c r="AK435" s="84"/>
      <c r="AL435" s="84"/>
      <c r="AM435" s="84"/>
      <c r="AN435" s="84"/>
      <c r="AO435" s="84"/>
      <c r="AP435" s="84"/>
      <c r="AQ435" s="105" t="s">
        <v>2317</v>
      </c>
      <c r="AR435" s="72"/>
      <c r="AS435" s="72"/>
      <c r="AT435" s="72"/>
      <c r="AU435" s="72"/>
      <c r="AV435" s="72"/>
      <c r="AW435" s="72"/>
      <c r="AX435" s="72"/>
      <c r="AY435" s="72"/>
      <c r="AZ435" s="72"/>
      <c r="BA435" s="72"/>
      <c r="BB435" s="16"/>
      <c r="BC435" s="72"/>
      <c r="BD435" s="147" t="s">
        <v>83</v>
      </c>
      <c r="BE435" s="147" t="s">
        <v>83</v>
      </c>
    </row>
    <row r="436" spans="1:57" s="81" customFormat="1" ht="12.95" hidden="1" customHeight="1">
      <c r="A436" s="248" t="e">
        <v>#N/A</v>
      </c>
      <c r="B436" s="252" t="e">
        <v>#N/A</v>
      </c>
      <c r="C436" s="248" t="s">
        <v>1146</v>
      </c>
      <c r="D436" s="239" t="s">
        <v>3632</v>
      </c>
      <c r="E436" s="58"/>
      <c r="F436" s="59" t="s">
        <v>2318</v>
      </c>
      <c r="G436" s="191" t="s">
        <v>2511</v>
      </c>
      <c r="H436" s="192"/>
      <c r="I436" s="61" t="s">
        <v>315</v>
      </c>
      <c r="J436" s="61" t="s">
        <v>3633</v>
      </c>
      <c r="K436" s="62" t="s">
        <v>2511</v>
      </c>
      <c r="L436" s="60" t="s">
        <v>2511</v>
      </c>
      <c r="M436" s="61" t="s">
        <v>2523</v>
      </c>
      <c r="N436" s="61" t="s">
        <v>2523</v>
      </c>
      <c r="O436" s="61" t="s">
        <v>2523</v>
      </c>
      <c r="P436" s="62" t="s">
        <v>2511</v>
      </c>
      <c r="Q436" s="82"/>
      <c r="R436" s="82"/>
      <c r="S436" s="82"/>
      <c r="T436" s="82"/>
      <c r="U436" s="82"/>
      <c r="V436" s="138" t="s">
        <v>3634</v>
      </c>
      <c r="W436" s="57" t="s">
        <v>3588</v>
      </c>
      <c r="X436" s="126" t="s">
        <v>2511</v>
      </c>
      <c r="Y436" s="126" t="s">
        <v>2511</v>
      </c>
      <c r="Z436" s="57"/>
      <c r="AA436" s="57" t="s">
        <v>3589</v>
      </c>
      <c r="AB436" s="138"/>
      <c r="AC436" s="138" t="s">
        <v>2631</v>
      </c>
      <c r="AD436" s="80"/>
      <c r="AE436" s="80"/>
      <c r="AF436" s="80"/>
      <c r="AG436" s="80"/>
      <c r="AH436" s="83"/>
      <c r="AI436" s="83"/>
      <c r="AJ436" s="84"/>
      <c r="AK436" s="84"/>
      <c r="AL436" s="84"/>
      <c r="AM436" s="84"/>
      <c r="AN436" s="84"/>
      <c r="AO436" s="84"/>
      <c r="AP436" s="84"/>
      <c r="AQ436" s="103" t="s">
        <v>2318</v>
      </c>
      <c r="AR436" s="72"/>
      <c r="AS436" s="72"/>
      <c r="AT436" s="72"/>
      <c r="AU436" s="72"/>
      <c r="AV436" s="72"/>
      <c r="AW436" s="72"/>
      <c r="AX436" s="72"/>
      <c r="AY436" s="72"/>
      <c r="AZ436" s="72"/>
      <c r="BA436" s="72"/>
      <c r="BB436" s="16"/>
      <c r="BC436" s="72"/>
      <c r="BD436" s="147" t="s">
        <v>83</v>
      </c>
      <c r="BE436" s="147" t="s">
        <v>83</v>
      </c>
    </row>
    <row r="437" spans="1:57" s="81" customFormat="1" ht="12.95" hidden="1" customHeight="1">
      <c r="A437" s="248" t="e">
        <v>#N/A</v>
      </c>
      <c r="B437" s="252" t="e">
        <v>#N/A</v>
      </c>
      <c r="C437" s="248" t="s">
        <v>1147</v>
      </c>
      <c r="D437" s="239" t="s">
        <v>3635</v>
      </c>
      <c r="E437" s="58"/>
      <c r="F437" s="59" t="s">
        <v>2316</v>
      </c>
      <c r="G437" s="191" t="s">
        <v>2511</v>
      </c>
      <c r="H437" s="192"/>
      <c r="I437" s="61" t="s">
        <v>318</v>
      </c>
      <c r="J437" s="61" t="s">
        <v>2511</v>
      </c>
      <c r="K437" s="62" t="s">
        <v>2511</v>
      </c>
      <c r="L437" s="60" t="s">
        <v>2511</v>
      </c>
      <c r="M437" s="61" t="s">
        <v>2388</v>
      </c>
      <c r="N437" s="61" t="s">
        <v>2388</v>
      </c>
      <c r="O437" s="61" t="s">
        <v>2511</v>
      </c>
      <c r="P437" s="62" t="s">
        <v>2511</v>
      </c>
      <c r="Q437" s="82"/>
      <c r="R437" s="82"/>
      <c r="S437" s="82"/>
      <c r="T437" s="82"/>
      <c r="U437" s="82"/>
      <c r="V437" s="138" t="s">
        <v>3636</v>
      </c>
      <c r="W437" s="57" t="s">
        <v>3588</v>
      </c>
      <c r="X437" s="126" t="s">
        <v>2511</v>
      </c>
      <c r="Y437" s="126" t="s">
        <v>2511</v>
      </c>
      <c r="Z437" s="57"/>
      <c r="AA437" s="57" t="s">
        <v>3589</v>
      </c>
      <c r="AB437" s="138"/>
      <c r="AC437" s="138" t="s">
        <v>2631</v>
      </c>
      <c r="AD437" s="80"/>
      <c r="AE437" s="80"/>
      <c r="AF437" s="80"/>
      <c r="AG437" s="80"/>
      <c r="AH437" s="83"/>
      <c r="AI437" s="83"/>
      <c r="AJ437" s="84"/>
      <c r="AK437" s="84"/>
      <c r="AL437" s="84"/>
      <c r="AM437" s="84"/>
      <c r="AN437" s="84"/>
      <c r="AO437" s="84"/>
      <c r="AP437" s="84"/>
      <c r="AQ437" s="105" t="s">
        <v>2316</v>
      </c>
      <c r="AR437" s="72"/>
      <c r="AS437" s="72"/>
      <c r="AT437" s="72"/>
      <c r="AU437" s="72"/>
      <c r="AV437" s="72"/>
      <c r="AW437" s="72"/>
      <c r="AX437" s="72"/>
      <c r="AY437" s="72"/>
      <c r="AZ437" s="72"/>
      <c r="BA437" s="72"/>
      <c r="BB437" s="16"/>
      <c r="BC437" s="72"/>
      <c r="BD437" s="147" t="s">
        <v>83</v>
      </c>
      <c r="BE437" s="147" t="s">
        <v>83</v>
      </c>
    </row>
    <row r="438" spans="1:57" s="81" customFormat="1" ht="12.95" hidden="1" customHeight="1">
      <c r="A438" s="248" t="e">
        <v>#N/A</v>
      </c>
      <c r="B438" s="252" t="e">
        <v>#N/A</v>
      </c>
      <c r="C438" s="248" t="s">
        <v>1148</v>
      </c>
      <c r="D438" s="239" t="s">
        <v>3637</v>
      </c>
      <c r="E438" s="58"/>
      <c r="F438" s="59" t="s">
        <v>2319</v>
      </c>
      <c r="G438" s="191" t="s">
        <v>2511</v>
      </c>
      <c r="H438" s="192"/>
      <c r="I438" s="61" t="s">
        <v>317</v>
      </c>
      <c r="J438" s="61" t="s">
        <v>2511</v>
      </c>
      <c r="K438" s="62" t="s">
        <v>2511</v>
      </c>
      <c r="L438" s="60" t="s">
        <v>2511</v>
      </c>
      <c r="M438" s="61" t="s">
        <v>2388</v>
      </c>
      <c r="N438" s="61" t="s">
        <v>2388</v>
      </c>
      <c r="O438" s="61" t="s">
        <v>2511</v>
      </c>
      <c r="P438" s="62" t="s">
        <v>2511</v>
      </c>
      <c r="Q438" s="82"/>
      <c r="R438" s="82"/>
      <c r="S438" s="82"/>
      <c r="T438" s="82"/>
      <c r="U438" s="82"/>
      <c r="V438" s="138" t="s">
        <v>3638</v>
      </c>
      <c r="W438" s="57" t="s">
        <v>3588</v>
      </c>
      <c r="X438" s="126" t="s">
        <v>2511</v>
      </c>
      <c r="Y438" s="126" t="s">
        <v>2511</v>
      </c>
      <c r="Z438" s="57"/>
      <c r="AA438" s="57" t="s">
        <v>3589</v>
      </c>
      <c r="AB438" s="138"/>
      <c r="AC438" s="138" t="s">
        <v>2631</v>
      </c>
      <c r="AD438" s="80"/>
      <c r="AE438" s="80"/>
      <c r="AF438" s="80"/>
      <c r="AG438" s="80"/>
      <c r="AH438" s="83"/>
      <c r="AI438" s="83"/>
      <c r="AJ438" s="84"/>
      <c r="AK438" s="84"/>
      <c r="AL438" s="84"/>
      <c r="AM438" s="84"/>
      <c r="AN438" s="84"/>
      <c r="AO438" s="84"/>
      <c r="AP438" s="84"/>
      <c r="AQ438" s="103" t="s">
        <v>2319</v>
      </c>
      <c r="AR438" s="72"/>
      <c r="AS438" s="72"/>
      <c r="AT438" s="72"/>
      <c r="AU438" s="72"/>
      <c r="AV438" s="72"/>
      <c r="AW438" s="72"/>
      <c r="AX438" s="72"/>
      <c r="AY438" s="72"/>
      <c r="AZ438" s="72"/>
      <c r="BA438" s="72"/>
      <c r="BB438" s="16"/>
      <c r="BC438" s="72"/>
      <c r="BD438" s="147" t="s">
        <v>83</v>
      </c>
      <c r="BE438" s="147" t="s">
        <v>83</v>
      </c>
    </row>
    <row r="439" spans="1:57" s="81" customFormat="1" ht="12.95" hidden="1" customHeight="1">
      <c r="A439" s="248" t="e">
        <v>#N/A</v>
      </c>
      <c r="B439" s="252" t="e">
        <v>#N/A</v>
      </c>
      <c r="C439" s="248" t="s">
        <v>1149</v>
      </c>
      <c r="D439" s="239" t="s">
        <v>3476</v>
      </c>
      <c r="E439" s="58"/>
      <c r="F439" s="59" t="s">
        <v>2320</v>
      </c>
      <c r="G439" s="191" t="s">
        <v>2511</v>
      </c>
      <c r="H439" s="192"/>
      <c r="I439" s="61" t="s">
        <v>1099</v>
      </c>
      <c r="J439" s="61" t="s">
        <v>3640</v>
      </c>
      <c r="K439" s="62" t="s">
        <v>2511</v>
      </c>
      <c r="L439" s="60" t="s">
        <v>2511</v>
      </c>
      <c r="M439" s="61" t="s">
        <v>2523</v>
      </c>
      <c r="N439" s="61" t="s">
        <v>2523</v>
      </c>
      <c r="O439" s="61" t="s">
        <v>2523</v>
      </c>
      <c r="P439" s="62" t="s">
        <v>2511</v>
      </c>
      <c r="Q439" s="82"/>
      <c r="R439" s="82"/>
      <c r="S439" s="82"/>
      <c r="T439" s="82"/>
      <c r="U439" s="82"/>
      <c r="V439" s="138" t="s">
        <v>3641</v>
      </c>
      <c r="W439" s="57" t="s">
        <v>3588</v>
      </c>
      <c r="X439" s="126" t="s">
        <v>2511</v>
      </c>
      <c r="Y439" s="126" t="s">
        <v>2511</v>
      </c>
      <c r="Z439" s="57"/>
      <c r="AA439" s="57" t="s">
        <v>3589</v>
      </c>
      <c r="AB439" s="138"/>
      <c r="AC439" s="138" t="s">
        <v>2631</v>
      </c>
      <c r="AD439" s="80"/>
      <c r="AE439" s="80"/>
      <c r="AF439" s="80"/>
      <c r="AG439" s="80"/>
      <c r="AH439" s="83"/>
      <c r="AI439" s="83"/>
      <c r="AJ439" s="84"/>
      <c r="AK439" s="84"/>
      <c r="AL439" s="84"/>
      <c r="AM439" s="84"/>
      <c r="AN439" s="84"/>
      <c r="AO439" s="84"/>
      <c r="AP439" s="84"/>
      <c r="AQ439" s="105" t="s">
        <v>2320</v>
      </c>
      <c r="AR439" s="72"/>
      <c r="AS439" s="72"/>
      <c r="AT439" s="72"/>
      <c r="AU439" s="72"/>
      <c r="AV439" s="72"/>
      <c r="AW439" s="72"/>
      <c r="AX439" s="72"/>
      <c r="AY439" s="72"/>
      <c r="AZ439" s="72"/>
      <c r="BA439" s="72"/>
      <c r="BB439" s="16"/>
      <c r="BC439" s="72"/>
      <c r="BD439" s="147" t="s">
        <v>83</v>
      </c>
      <c r="BE439" s="147" t="s">
        <v>83</v>
      </c>
    </row>
    <row r="440" spans="1:57" s="81" customFormat="1" ht="12.95" hidden="1" customHeight="1">
      <c r="A440" s="248" t="e">
        <v>#N/A</v>
      </c>
      <c r="B440" s="252" t="e">
        <v>#N/A</v>
      </c>
      <c r="C440" s="248" t="s">
        <v>1150</v>
      </c>
      <c r="D440" s="239" t="s">
        <v>3643</v>
      </c>
      <c r="E440" s="58"/>
      <c r="F440" s="59" t="s">
        <v>2321</v>
      </c>
      <c r="G440" s="191" t="s">
        <v>2511</v>
      </c>
      <c r="H440" s="192"/>
      <c r="I440" s="61" t="s">
        <v>1100</v>
      </c>
      <c r="J440" s="61" t="s">
        <v>3644</v>
      </c>
      <c r="K440" s="62" t="s">
        <v>2511</v>
      </c>
      <c r="L440" s="60" t="s">
        <v>2511</v>
      </c>
      <c r="M440" s="61" t="s">
        <v>2523</v>
      </c>
      <c r="N440" s="61" t="s">
        <v>2523</v>
      </c>
      <c r="O440" s="61" t="s">
        <v>2523</v>
      </c>
      <c r="P440" s="62" t="s">
        <v>2511</v>
      </c>
      <c r="Q440" s="82"/>
      <c r="R440" s="82"/>
      <c r="S440" s="82"/>
      <c r="T440" s="82"/>
      <c r="U440" s="82"/>
      <c r="V440" s="138" t="s">
        <v>3645</v>
      </c>
      <c r="W440" s="57" t="s">
        <v>3588</v>
      </c>
      <c r="X440" s="126" t="s">
        <v>2511</v>
      </c>
      <c r="Y440" s="126" t="s">
        <v>2511</v>
      </c>
      <c r="Z440" s="57"/>
      <c r="AA440" s="57" t="s">
        <v>3589</v>
      </c>
      <c r="AB440" s="138"/>
      <c r="AC440" s="138" t="s">
        <v>2631</v>
      </c>
      <c r="AD440" s="80"/>
      <c r="AE440" s="80"/>
      <c r="AF440" s="80"/>
      <c r="AG440" s="80"/>
      <c r="AH440" s="83"/>
      <c r="AI440" s="83"/>
      <c r="AJ440" s="84"/>
      <c r="AK440" s="84"/>
      <c r="AL440" s="84"/>
      <c r="AM440" s="84"/>
      <c r="AN440" s="84"/>
      <c r="AO440" s="84"/>
      <c r="AP440" s="84"/>
      <c r="AQ440" s="103" t="s">
        <v>2321</v>
      </c>
      <c r="AR440" s="72"/>
      <c r="AS440" s="72"/>
      <c r="AT440" s="72"/>
      <c r="AU440" s="72"/>
      <c r="AV440" s="72"/>
      <c r="AW440" s="72"/>
      <c r="AX440" s="72"/>
      <c r="AY440" s="72"/>
      <c r="AZ440" s="72"/>
      <c r="BA440" s="72"/>
      <c r="BB440" s="16"/>
      <c r="BC440" s="72"/>
      <c r="BD440" s="147" t="s">
        <v>83</v>
      </c>
      <c r="BE440" s="147" t="s">
        <v>83</v>
      </c>
    </row>
    <row r="441" spans="1:57" s="81" customFormat="1" ht="12.95" hidden="1" customHeight="1">
      <c r="A441" s="248" t="e">
        <v>#N/A</v>
      </c>
      <c r="B441" s="252" t="e">
        <v>#N/A</v>
      </c>
      <c r="C441" s="248" t="s">
        <v>1151</v>
      </c>
      <c r="D441" s="239" t="s">
        <v>3639</v>
      </c>
      <c r="E441" s="58"/>
      <c r="F441" s="59" t="s">
        <v>2322</v>
      </c>
      <c r="G441" s="191" t="s">
        <v>2511</v>
      </c>
      <c r="H441" s="192"/>
      <c r="I441" s="61" t="s">
        <v>1101</v>
      </c>
      <c r="J441" s="61" t="s">
        <v>2511</v>
      </c>
      <c r="K441" s="62" t="s">
        <v>2511</v>
      </c>
      <c r="L441" s="60" t="s">
        <v>2511</v>
      </c>
      <c r="M441" s="61" t="s">
        <v>2388</v>
      </c>
      <c r="N441" s="61" t="s">
        <v>2388</v>
      </c>
      <c r="O441" s="61" t="s">
        <v>2511</v>
      </c>
      <c r="P441" s="62" t="s">
        <v>2511</v>
      </c>
      <c r="Q441" s="82"/>
      <c r="R441" s="82"/>
      <c r="S441" s="82"/>
      <c r="T441" s="82"/>
      <c r="U441" s="82"/>
      <c r="V441" s="138" t="s">
        <v>3646</v>
      </c>
      <c r="W441" s="57" t="s">
        <v>3588</v>
      </c>
      <c r="X441" s="128"/>
      <c r="Y441" s="128"/>
      <c r="Z441" s="57"/>
      <c r="AA441" s="57" t="s">
        <v>3589</v>
      </c>
      <c r="AB441" s="79"/>
      <c r="AC441" s="79"/>
      <c r="AD441" s="80"/>
      <c r="AE441" s="80"/>
      <c r="AF441" s="80"/>
      <c r="AG441" s="80"/>
      <c r="AH441" s="83"/>
      <c r="AI441" s="83"/>
      <c r="AJ441" s="84"/>
      <c r="AK441" s="84"/>
      <c r="AL441" s="84"/>
      <c r="AM441" s="84"/>
      <c r="AN441" s="84"/>
      <c r="AO441" s="84"/>
      <c r="AP441" s="84"/>
      <c r="AQ441" s="103" t="s">
        <v>2322</v>
      </c>
      <c r="AR441" s="72"/>
      <c r="AS441" s="72"/>
      <c r="AT441" s="72"/>
      <c r="AU441" s="72"/>
      <c r="AV441" s="72"/>
      <c r="AW441" s="72"/>
      <c r="AX441" s="72"/>
      <c r="AY441" s="72"/>
      <c r="AZ441" s="72"/>
      <c r="BA441" s="72"/>
      <c r="BB441" s="16"/>
      <c r="BC441" s="72"/>
      <c r="BD441" s="147" t="s">
        <v>83</v>
      </c>
      <c r="BE441" s="147" t="s">
        <v>83</v>
      </c>
    </row>
    <row r="442" spans="1:57" s="81" customFormat="1" ht="12.95" hidden="1" customHeight="1">
      <c r="A442" s="248" t="e">
        <v>#N/A</v>
      </c>
      <c r="B442" s="252" t="e">
        <v>#N/A</v>
      </c>
      <c r="C442" s="248" t="s">
        <v>1152</v>
      </c>
      <c r="D442" s="239" t="s">
        <v>3642</v>
      </c>
      <c r="E442" s="58"/>
      <c r="F442" s="59" t="s">
        <v>2323</v>
      </c>
      <c r="G442" s="191" t="s">
        <v>2511</v>
      </c>
      <c r="H442" s="192"/>
      <c r="I442" s="61" t="s">
        <v>1102</v>
      </c>
      <c r="J442" s="61" t="s">
        <v>2511</v>
      </c>
      <c r="K442" s="62" t="s">
        <v>2511</v>
      </c>
      <c r="L442" s="60" t="s">
        <v>2511</v>
      </c>
      <c r="M442" s="61" t="s">
        <v>2388</v>
      </c>
      <c r="N442" s="61" t="s">
        <v>2388</v>
      </c>
      <c r="O442" s="61" t="s">
        <v>2511</v>
      </c>
      <c r="P442" s="62" t="s">
        <v>2511</v>
      </c>
      <c r="Q442" s="82"/>
      <c r="R442" s="82"/>
      <c r="S442" s="82"/>
      <c r="T442" s="82"/>
      <c r="U442" s="82"/>
      <c r="V442" s="138" t="s">
        <v>3647</v>
      </c>
      <c r="W442" s="57" t="s">
        <v>3588</v>
      </c>
      <c r="X442" s="126" t="s">
        <v>2511</v>
      </c>
      <c r="Y442" s="126" t="s">
        <v>2511</v>
      </c>
      <c r="Z442" s="57"/>
      <c r="AA442" s="57" t="s">
        <v>3589</v>
      </c>
      <c r="AB442" s="137"/>
      <c r="AC442" s="137" t="s">
        <v>2631</v>
      </c>
      <c r="AD442" s="80"/>
      <c r="AE442" s="80"/>
      <c r="AF442" s="80"/>
      <c r="AG442" s="80"/>
      <c r="AH442" s="83"/>
      <c r="AI442" s="83"/>
      <c r="AJ442" s="84"/>
      <c r="AK442" s="84"/>
      <c r="AL442" s="84"/>
      <c r="AM442" s="84"/>
      <c r="AN442" s="84"/>
      <c r="AO442" s="84"/>
      <c r="AP442" s="84"/>
      <c r="AQ442" s="105" t="s">
        <v>2323</v>
      </c>
      <c r="AR442" s="72"/>
      <c r="AS442" s="72"/>
      <c r="AT442" s="72"/>
      <c r="AU442" s="72"/>
      <c r="AV442" s="72"/>
      <c r="AW442" s="72"/>
      <c r="AX442" s="72"/>
      <c r="AY442" s="72"/>
      <c r="AZ442" s="72"/>
      <c r="BA442" s="72"/>
      <c r="BB442" s="16"/>
      <c r="BC442" s="72"/>
      <c r="BD442" s="147" t="s">
        <v>83</v>
      </c>
      <c r="BE442" s="147" t="s">
        <v>83</v>
      </c>
    </row>
    <row r="443" spans="1:57" s="81" customFormat="1" ht="12.95" hidden="1" customHeight="1">
      <c r="A443" s="248" t="e">
        <v>#N/A</v>
      </c>
      <c r="B443" s="252" t="e">
        <v>#N/A</v>
      </c>
      <c r="C443" s="248" t="s">
        <v>1153</v>
      </c>
      <c r="D443" s="239" t="s">
        <v>3479</v>
      </c>
      <c r="E443" s="58"/>
      <c r="F443" s="59" t="s">
        <v>2324</v>
      </c>
      <c r="G443" s="191" t="s">
        <v>2511</v>
      </c>
      <c r="H443" s="192"/>
      <c r="I443" s="61" t="s">
        <v>1103</v>
      </c>
      <c r="J443" s="61" t="s">
        <v>3648</v>
      </c>
      <c r="K443" s="62" t="s">
        <v>2511</v>
      </c>
      <c r="L443" s="60" t="s">
        <v>2511</v>
      </c>
      <c r="M443" s="61" t="s">
        <v>2523</v>
      </c>
      <c r="N443" s="61" t="s">
        <v>2523</v>
      </c>
      <c r="O443" s="61" t="s">
        <v>2523</v>
      </c>
      <c r="P443" s="62" t="s">
        <v>2511</v>
      </c>
      <c r="Q443" s="82"/>
      <c r="R443" s="82"/>
      <c r="S443" s="82"/>
      <c r="T443" s="82"/>
      <c r="U443" s="82"/>
      <c r="V443" s="138" t="s">
        <v>3649</v>
      </c>
      <c r="W443" s="57" t="s">
        <v>3588</v>
      </c>
      <c r="X443" s="126" t="s">
        <v>2511</v>
      </c>
      <c r="Y443" s="126" t="s">
        <v>2511</v>
      </c>
      <c r="Z443" s="57"/>
      <c r="AA443" s="57" t="s">
        <v>3589</v>
      </c>
      <c r="AB443" s="138"/>
      <c r="AC443" s="138" t="s">
        <v>2631</v>
      </c>
      <c r="AD443" s="80"/>
      <c r="AE443" s="80"/>
      <c r="AF443" s="80"/>
      <c r="AG443" s="80"/>
      <c r="AH443" s="83"/>
      <c r="AI443" s="83"/>
      <c r="AJ443" s="84"/>
      <c r="AK443" s="84"/>
      <c r="AL443" s="84"/>
      <c r="AM443" s="84"/>
      <c r="AN443" s="84"/>
      <c r="AO443" s="84"/>
      <c r="AP443" s="84"/>
      <c r="AQ443" s="103" t="s">
        <v>2324</v>
      </c>
      <c r="AR443" s="72"/>
      <c r="AS443" s="72"/>
      <c r="AT443" s="72"/>
      <c r="AU443" s="72"/>
      <c r="AV443" s="72"/>
      <c r="AW443" s="72"/>
      <c r="AX443" s="72"/>
      <c r="AY443" s="72"/>
      <c r="AZ443" s="72"/>
      <c r="BA443" s="72"/>
      <c r="BB443" s="16"/>
      <c r="BC443" s="72"/>
      <c r="BD443" s="147" t="s">
        <v>83</v>
      </c>
      <c r="BE443" s="147" t="s">
        <v>83</v>
      </c>
    </row>
    <row r="444" spans="1:57" s="81" customFormat="1" ht="12.95" hidden="1" customHeight="1">
      <c r="A444" s="248" t="e">
        <v>#N/A</v>
      </c>
      <c r="B444" s="252" t="e">
        <v>#N/A</v>
      </c>
      <c r="C444" s="248" t="s">
        <v>1154</v>
      </c>
      <c r="D444" s="239" t="s">
        <v>3650</v>
      </c>
      <c r="E444" s="58"/>
      <c r="F444" s="59" t="s">
        <v>2325</v>
      </c>
      <c r="G444" s="191" t="s">
        <v>2511</v>
      </c>
      <c r="H444" s="192"/>
      <c r="I444" s="61" t="s">
        <v>1104</v>
      </c>
      <c r="J444" s="61" t="s">
        <v>3651</v>
      </c>
      <c r="K444" s="62" t="s">
        <v>2511</v>
      </c>
      <c r="L444" s="60" t="s">
        <v>2511</v>
      </c>
      <c r="M444" s="61" t="s">
        <v>2523</v>
      </c>
      <c r="N444" s="61" t="s">
        <v>2523</v>
      </c>
      <c r="O444" s="61" t="s">
        <v>2523</v>
      </c>
      <c r="P444" s="62" t="s">
        <v>2511</v>
      </c>
      <c r="Q444" s="82"/>
      <c r="R444" s="82"/>
      <c r="S444" s="82"/>
      <c r="T444" s="82"/>
      <c r="U444" s="82"/>
      <c r="V444" s="138" t="s">
        <v>3652</v>
      </c>
      <c r="W444" s="57" t="s">
        <v>3588</v>
      </c>
      <c r="X444" s="126" t="s">
        <v>2511</v>
      </c>
      <c r="Y444" s="126" t="s">
        <v>2511</v>
      </c>
      <c r="Z444" s="57"/>
      <c r="AA444" s="57" t="s">
        <v>3589</v>
      </c>
      <c r="AB444" s="138"/>
      <c r="AC444" s="138" t="s">
        <v>2631</v>
      </c>
      <c r="AD444" s="80"/>
      <c r="AE444" s="80"/>
      <c r="AF444" s="80"/>
      <c r="AG444" s="80"/>
      <c r="AH444" s="83"/>
      <c r="AI444" s="83"/>
      <c r="AJ444" s="84"/>
      <c r="AK444" s="84"/>
      <c r="AL444" s="84"/>
      <c r="AM444" s="84"/>
      <c r="AN444" s="84"/>
      <c r="AO444" s="84"/>
      <c r="AP444" s="84"/>
      <c r="AQ444" s="105" t="s">
        <v>2325</v>
      </c>
      <c r="AR444" s="72"/>
      <c r="AS444" s="72"/>
      <c r="AT444" s="72"/>
      <c r="AU444" s="72"/>
      <c r="AV444" s="72"/>
      <c r="AW444" s="72"/>
      <c r="AX444" s="72"/>
      <c r="AY444" s="72"/>
      <c r="AZ444" s="72"/>
      <c r="BA444" s="72"/>
      <c r="BB444" s="16"/>
      <c r="BC444" s="72"/>
      <c r="BD444" s="147" t="s">
        <v>83</v>
      </c>
      <c r="BE444" s="147" t="s">
        <v>83</v>
      </c>
    </row>
    <row r="445" spans="1:57" s="81" customFormat="1" ht="12.95" hidden="1" customHeight="1">
      <c r="A445" s="248" t="e">
        <v>#N/A</v>
      </c>
      <c r="B445" s="252" t="e">
        <v>#N/A</v>
      </c>
      <c r="C445" s="248" t="s">
        <v>1155</v>
      </c>
      <c r="D445" s="239" t="s">
        <v>3653</v>
      </c>
      <c r="E445" s="58"/>
      <c r="F445" s="59" t="s">
        <v>2326</v>
      </c>
      <c r="G445" s="191" t="s">
        <v>2511</v>
      </c>
      <c r="H445" s="192"/>
      <c r="I445" s="61" t="s">
        <v>1105</v>
      </c>
      <c r="J445" s="61" t="s">
        <v>2511</v>
      </c>
      <c r="K445" s="62" t="s">
        <v>2511</v>
      </c>
      <c r="L445" s="60" t="s">
        <v>2511</v>
      </c>
      <c r="M445" s="61" t="s">
        <v>2388</v>
      </c>
      <c r="N445" s="61" t="s">
        <v>2388</v>
      </c>
      <c r="O445" s="61" t="s">
        <v>2511</v>
      </c>
      <c r="P445" s="62" t="s">
        <v>2511</v>
      </c>
      <c r="Q445" s="82"/>
      <c r="R445" s="82"/>
      <c r="S445" s="82"/>
      <c r="T445" s="82"/>
      <c r="U445" s="82"/>
      <c r="V445" s="138" t="s">
        <v>3654</v>
      </c>
      <c r="W445" s="57" t="s">
        <v>3588</v>
      </c>
      <c r="X445" s="126" t="s">
        <v>2511</v>
      </c>
      <c r="Y445" s="126" t="s">
        <v>2511</v>
      </c>
      <c r="Z445" s="57"/>
      <c r="AA445" s="57" t="s">
        <v>3589</v>
      </c>
      <c r="AB445" s="138"/>
      <c r="AC445" s="138" t="s">
        <v>2631</v>
      </c>
      <c r="AD445" s="80"/>
      <c r="AE445" s="80"/>
      <c r="AF445" s="80"/>
      <c r="AG445" s="80"/>
      <c r="AH445" s="83"/>
      <c r="AI445" s="83"/>
      <c r="AJ445" s="84"/>
      <c r="AK445" s="84"/>
      <c r="AL445" s="84"/>
      <c r="AM445" s="84"/>
      <c r="AN445" s="84"/>
      <c r="AO445" s="84"/>
      <c r="AP445" s="84"/>
      <c r="AQ445" s="103" t="s">
        <v>2326</v>
      </c>
      <c r="AR445" s="72"/>
      <c r="AS445" s="72"/>
      <c r="AT445" s="72"/>
      <c r="AU445" s="72"/>
      <c r="AV445" s="72"/>
      <c r="AW445" s="72"/>
      <c r="AX445" s="72"/>
      <c r="AY445" s="72"/>
      <c r="AZ445" s="72"/>
      <c r="BA445" s="72"/>
      <c r="BB445" s="16"/>
      <c r="BC445" s="72"/>
      <c r="BD445" s="147" t="s">
        <v>83</v>
      </c>
      <c r="BE445" s="147" t="s">
        <v>83</v>
      </c>
    </row>
    <row r="446" spans="1:57" s="81" customFormat="1" ht="12.95" hidden="1" customHeight="1">
      <c r="A446" s="248" t="e">
        <v>#N/A</v>
      </c>
      <c r="B446" s="252" t="e">
        <v>#N/A</v>
      </c>
      <c r="C446" s="248" t="s">
        <v>1156</v>
      </c>
      <c r="D446" s="239" t="s">
        <v>3655</v>
      </c>
      <c r="E446" s="58"/>
      <c r="F446" s="59" t="s">
        <v>2327</v>
      </c>
      <c r="G446" s="191" t="s">
        <v>2511</v>
      </c>
      <c r="H446" s="192"/>
      <c r="I446" s="61" t="s">
        <v>1106</v>
      </c>
      <c r="J446" s="61" t="s">
        <v>2511</v>
      </c>
      <c r="K446" s="62" t="s">
        <v>2511</v>
      </c>
      <c r="L446" s="60" t="s">
        <v>2511</v>
      </c>
      <c r="M446" s="61" t="s">
        <v>2388</v>
      </c>
      <c r="N446" s="61" t="s">
        <v>2388</v>
      </c>
      <c r="O446" s="61" t="s">
        <v>2511</v>
      </c>
      <c r="P446" s="62" t="s">
        <v>2511</v>
      </c>
      <c r="Q446" s="82"/>
      <c r="R446" s="82"/>
      <c r="S446" s="82"/>
      <c r="T446" s="82"/>
      <c r="U446" s="82"/>
      <c r="V446" s="138" t="s">
        <v>3656</v>
      </c>
      <c r="W446" s="57" t="s">
        <v>3588</v>
      </c>
      <c r="X446" s="126" t="s">
        <v>2511</v>
      </c>
      <c r="Y446" s="126" t="s">
        <v>2511</v>
      </c>
      <c r="Z446" s="57"/>
      <c r="AA446" s="57" t="s">
        <v>3589</v>
      </c>
      <c r="AB446" s="138"/>
      <c r="AC446" s="138" t="s">
        <v>2631</v>
      </c>
      <c r="AD446" s="80"/>
      <c r="AE446" s="80"/>
      <c r="AF446" s="80"/>
      <c r="AG446" s="80"/>
      <c r="AH446" s="83"/>
      <c r="AI446" s="83"/>
      <c r="AJ446" s="84"/>
      <c r="AK446" s="84"/>
      <c r="AL446" s="84"/>
      <c r="AM446" s="84"/>
      <c r="AN446" s="84"/>
      <c r="AO446" s="84"/>
      <c r="AP446" s="84"/>
      <c r="AQ446" s="105" t="s">
        <v>2327</v>
      </c>
      <c r="AR446" s="72"/>
      <c r="AS446" s="72"/>
      <c r="AT446" s="72"/>
      <c r="AU446" s="72"/>
      <c r="AV446" s="72"/>
      <c r="AW446" s="72"/>
      <c r="AX446" s="72"/>
      <c r="AY446" s="72"/>
      <c r="AZ446" s="72"/>
      <c r="BA446" s="72"/>
      <c r="BB446" s="16"/>
      <c r="BC446" s="72"/>
      <c r="BD446" s="147" t="s">
        <v>83</v>
      </c>
      <c r="BE446" s="147" t="s">
        <v>83</v>
      </c>
    </row>
    <row r="447" spans="1:57" s="91" customFormat="1" ht="18" hidden="1" customHeight="1">
      <c r="A447" s="233"/>
      <c r="B447" s="89"/>
      <c r="C447" s="268" t="s">
        <v>563</v>
      </c>
      <c r="D447" s="268"/>
      <c r="E447" s="86"/>
      <c r="F447" s="86"/>
      <c r="G447" s="87"/>
      <c r="H447" s="87"/>
      <c r="I447" s="87"/>
      <c r="J447" s="87"/>
      <c r="K447" s="87"/>
      <c r="L447" s="86"/>
      <c r="M447" s="86"/>
      <c r="N447" s="86"/>
      <c r="O447" s="86"/>
      <c r="P447" s="86"/>
      <c r="Q447" s="86"/>
      <c r="R447" s="86"/>
      <c r="S447" s="86"/>
      <c r="T447" s="86"/>
      <c r="U447" s="86"/>
      <c r="V447" s="86"/>
      <c r="W447" s="86"/>
      <c r="X447" s="129"/>
      <c r="Y447" s="129"/>
      <c r="Z447" s="88"/>
      <c r="AA447" s="88"/>
      <c r="AB447" s="88"/>
      <c r="AC447" s="88"/>
      <c r="AD447" s="88"/>
      <c r="AE447" s="88"/>
      <c r="AF447" s="88"/>
      <c r="AG447" s="88"/>
      <c r="AH447" s="88"/>
      <c r="AI447" s="88"/>
      <c r="AJ447" s="88"/>
      <c r="AK447" s="88"/>
      <c r="AL447" s="88"/>
      <c r="AM447" s="88"/>
      <c r="AN447" s="88"/>
      <c r="AO447" s="88"/>
      <c r="AP447" s="88"/>
      <c r="AQ447" s="89"/>
      <c r="AR447" s="89"/>
      <c r="AS447" s="90"/>
      <c r="AT447" s="90"/>
      <c r="AU447" s="90"/>
      <c r="AV447" s="90"/>
      <c r="AW447" s="90"/>
      <c r="AX447" s="90"/>
      <c r="AY447" s="90"/>
      <c r="AZ447" s="90"/>
      <c r="BA447" s="90"/>
      <c r="BB447" s="90"/>
      <c r="BC447" s="175" t="s">
        <v>2153</v>
      </c>
      <c r="BD447" s="90"/>
      <c r="BE447" s="233" t="s">
        <v>563</v>
      </c>
    </row>
    <row r="448" spans="1:57" s="81" customFormat="1" ht="12.95" hidden="1" customHeight="1">
      <c r="A448" s="373"/>
      <c r="B448" s="375"/>
      <c r="C448" s="248" t="s">
        <v>1157</v>
      </c>
      <c r="D448" s="239" t="s">
        <v>3657</v>
      </c>
      <c r="E448" s="58"/>
      <c r="F448" s="59" t="s">
        <v>3658</v>
      </c>
      <c r="G448" s="191" t="s">
        <v>2511</v>
      </c>
      <c r="H448" s="192" t="s">
        <v>334</v>
      </c>
      <c r="I448" s="61" t="s">
        <v>2511</v>
      </c>
      <c r="J448" s="61" t="s">
        <v>2511</v>
      </c>
      <c r="K448" s="62" t="s">
        <v>2511</v>
      </c>
      <c r="L448" s="60" t="s">
        <v>2511</v>
      </c>
      <c r="M448" s="61" t="s">
        <v>2389</v>
      </c>
      <c r="N448" s="61" t="s">
        <v>2511</v>
      </c>
      <c r="O448" s="61" t="s">
        <v>2511</v>
      </c>
      <c r="P448" s="62" t="s">
        <v>2511</v>
      </c>
      <c r="Q448" s="82"/>
      <c r="R448" s="82"/>
      <c r="S448" s="82"/>
      <c r="T448" s="82"/>
      <c r="U448" s="82"/>
      <c r="V448" s="138" t="s">
        <v>3659</v>
      </c>
      <c r="W448" s="57" t="s">
        <v>3660</v>
      </c>
      <c r="X448" s="126" t="s">
        <v>2511</v>
      </c>
      <c r="Y448" s="126" t="s">
        <v>2511</v>
      </c>
      <c r="Z448" s="57"/>
      <c r="AA448" s="57" t="s">
        <v>3661</v>
      </c>
      <c r="AB448" s="137"/>
      <c r="AC448" s="137" t="s">
        <v>2631</v>
      </c>
      <c r="AD448" s="92"/>
      <c r="AE448" s="93"/>
      <c r="AF448" s="93"/>
      <c r="AG448" s="93"/>
      <c r="AH448" s="94"/>
      <c r="AI448" s="83"/>
      <c r="AJ448" s="84"/>
      <c r="AK448" s="84"/>
      <c r="AL448" s="84"/>
      <c r="AM448" s="84"/>
      <c r="AN448" s="84"/>
      <c r="AO448" s="84"/>
      <c r="AP448" s="84"/>
      <c r="AQ448" s="95" t="s">
        <v>334</v>
      </c>
      <c r="AR448" s="72"/>
      <c r="AS448" s="72"/>
      <c r="AT448" s="72"/>
      <c r="AU448" s="72"/>
      <c r="AV448" s="72"/>
      <c r="AW448" s="72"/>
      <c r="AX448" s="72"/>
      <c r="AY448" s="72"/>
      <c r="AZ448" s="72"/>
      <c r="BA448" s="72"/>
      <c r="BB448" s="16"/>
      <c r="BC448" s="22"/>
      <c r="BD448" s="19"/>
      <c r="BE448" s="377" t="s">
        <v>2216</v>
      </c>
    </row>
    <row r="449" spans="1:57" s="81" customFormat="1" ht="12.95" hidden="1" customHeight="1">
      <c r="A449" s="374"/>
      <c r="B449" s="376"/>
      <c r="C449" s="248" t="s">
        <v>1158</v>
      </c>
      <c r="D449" s="239" t="s">
        <v>3662</v>
      </c>
      <c r="E449" s="58"/>
      <c r="F449" s="59" t="s">
        <v>3663</v>
      </c>
      <c r="G449" s="191" t="s">
        <v>2511</v>
      </c>
      <c r="H449" s="192" t="s">
        <v>335</v>
      </c>
      <c r="I449" s="61" t="s">
        <v>2511</v>
      </c>
      <c r="J449" s="61" t="s">
        <v>2511</v>
      </c>
      <c r="K449" s="62" t="s">
        <v>2511</v>
      </c>
      <c r="L449" s="60" t="s">
        <v>2511</v>
      </c>
      <c r="M449" s="61" t="s">
        <v>2389</v>
      </c>
      <c r="N449" s="61" t="s">
        <v>2511</v>
      </c>
      <c r="O449" s="61" t="s">
        <v>2511</v>
      </c>
      <c r="P449" s="62" t="s">
        <v>2511</v>
      </c>
      <c r="Q449" s="82"/>
      <c r="R449" s="82"/>
      <c r="S449" s="82"/>
      <c r="T449" s="82"/>
      <c r="U449" s="82"/>
      <c r="V449" s="138" t="s">
        <v>3664</v>
      </c>
      <c r="W449" s="57" t="s">
        <v>3660</v>
      </c>
      <c r="X449" s="126" t="s">
        <v>2511</v>
      </c>
      <c r="Y449" s="126" t="s">
        <v>2511</v>
      </c>
      <c r="Z449" s="57"/>
      <c r="AA449" s="57" t="s">
        <v>3661</v>
      </c>
      <c r="AB449" s="138"/>
      <c r="AC449" s="138" t="s">
        <v>2631</v>
      </c>
      <c r="AD449" s="96"/>
      <c r="AE449" s="80"/>
      <c r="AF449" s="80"/>
      <c r="AG449" s="80"/>
      <c r="AH449" s="83"/>
      <c r="AI449" s="83"/>
      <c r="AJ449" s="84"/>
      <c r="AK449" s="84"/>
      <c r="AL449" s="84"/>
      <c r="AM449" s="84"/>
      <c r="AN449" s="84"/>
      <c r="AO449" s="84"/>
      <c r="AP449" s="84"/>
      <c r="AQ449" s="95" t="s">
        <v>335</v>
      </c>
      <c r="AR449" s="72"/>
      <c r="AS449" s="72"/>
      <c r="AT449" s="72"/>
      <c r="AU449" s="72"/>
      <c r="AV449" s="72"/>
      <c r="AW449" s="72"/>
      <c r="AX449" s="72"/>
      <c r="AY449" s="72"/>
      <c r="AZ449" s="72"/>
      <c r="BA449" s="72"/>
      <c r="BB449" s="16"/>
      <c r="BC449" s="72"/>
      <c r="BD449" s="20"/>
      <c r="BE449" s="378"/>
    </row>
    <row r="450" spans="1:57" s="81" customFormat="1" ht="12.95" hidden="1" customHeight="1">
      <c r="A450" s="374"/>
      <c r="B450" s="376"/>
      <c r="C450" s="248" t="s">
        <v>1159</v>
      </c>
      <c r="D450" s="239" t="s">
        <v>3665</v>
      </c>
      <c r="E450" s="58"/>
      <c r="F450" s="59" t="s">
        <v>3666</v>
      </c>
      <c r="G450" s="191" t="s">
        <v>2511</v>
      </c>
      <c r="H450" s="192" t="s">
        <v>336</v>
      </c>
      <c r="I450" s="61" t="s">
        <v>2511</v>
      </c>
      <c r="J450" s="61" t="s">
        <v>2511</v>
      </c>
      <c r="K450" s="62" t="s">
        <v>2511</v>
      </c>
      <c r="L450" s="60" t="s">
        <v>2511</v>
      </c>
      <c r="M450" s="61" t="s">
        <v>2389</v>
      </c>
      <c r="N450" s="61" t="s">
        <v>2511</v>
      </c>
      <c r="O450" s="61" t="s">
        <v>2511</v>
      </c>
      <c r="P450" s="62" t="s">
        <v>2511</v>
      </c>
      <c r="Q450" s="82"/>
      <c r="R450" s="82"/>
      <c r="S450" s="82"/>
      <c r="T450" s="82"/>
      <c r="U450" s="82"/>
      <c r="V450" s="138" t="s">
        <v>3667</v>
      </c>
      <c r="W450" s="57" t="s">
        <v>3660</v>
      </c>
      <c r="X450" s="126" t="s">
        <v>2511</v>
      </c>
      <c r="Y450" s="126" t="s">
        <v>2511</v>
      </c>
      <c r="Z450" s="57"/>
      <c r="AA450" s="57" t="s">
        <v>3661</v>
      </c>
      <c r="AB450" s="138"/>
      <c r="AC450" s="138" t="s">
        <v>2631</v>
      </c>
      <c r="AD450" s="96"/>
      <c r="AE450" s="80"/>
      <c r="AF450" s="80"/>
      <c r="AG450" s="80"/>
      <c r="AH450" s="83"/>
      <c r="AI450" s="83"/>
      <c r="AJ450" s="84"/>
      <c r="AK450" s="84"/>
      <c r="AL450" s="84"/>
      <c r="AM450" s="84"/>
      <c r="AN450" s="84"/>
      <c r="AO450" s="84"/>
      <c r="AP450" s="84"/>
      <c r="AQ450" s="95" t="s">
        <v>336</v>
      </c>
      <c r="AR450" s="72"/>
      <c r="AS450" s="72"/>
      <c r="AT450" s="72"/>
      <c r="AU450" s="72"/>
      <c r="AV450" s="72"/>
      <c r="AW450" s="72"/>
      <c r="AX450" s="72"/>
      <c r="AY450" s="72"/>
      <c r="AZ450" s="72"/>
      <c r="BA450" s="72"/>
      <c r="BB450" s="16"/>
      <c r="BC450" s="72"/>
      <c r="BD450" s="20"/>
      <c r="BE450" s="378"/>
    </row>
    <row r="451" spans="1:57" s="81" customFormat="1" ht="12.95" hidden="1" customHeight="1">
      <c r="A451" s="374"/>
      <c r="B451" s="376"/>
      <c r="C451" s="248" t="s">
        <v>1160</v>
      </c>
      <c r="D451" s="239" t="s">
        <v>3668</v>
      </c>
      <c r="E451" s="58"/>
      <c r="F451" s="59" t="s">
        <v>3669</v>
      </c>
      <c r="G451" s="191" t="s">
        <v>2511</v>
      </c>
      <c r="H451" s="192" t="s">
        <v>337</v>
      </c>
      <c r="I451" s="61" t="s">
        <v>2511</v>
      </c>
      <c r="J451" s="61" t="s">
        <v>2511</v>
      </c>
      <c r="K451" s="62" t="s">
        <v>2511</v>
      </c>
      <c r="L451" s="60" t="s">
        <v>2511</v>
      </c>
      <c r="M451" s="61" t="s">
        <v>2389</v>
      </c>
      <c r="N451" s="61" t="s">
        <v>2511</v>
      </c>
      <c r="O451" s="61" t="s">
        <v>2511</v>
      </c>
      <c r="P451" s="62" t="s">
        <v>2511</v>
      </c>
      <c r="Q451" s="82"/>
      <c r="R451" s="82"/>
      <c r="S451" s="82"/>
      <c r="T451" s="82"/>
      <c r="U451" s="82"/>
      <c r="V451" s="138" t="s">
        <v>3670</v>
      </c>
      <c r="W451" s="57" t="s">
        <v>3660</v>
      </c>
      <c r="X451" s="126" t="s">
        <v>2511</v>
      </c>
      <c r="Y451" s="126" t="s">
        <v>2511</v>
      </c>
      <c r="Z451" s="57"/>
      <c r="AA451" s="57" t="s">
        <v>3661</v>
      </c>
      <c r="AB451" s="138"/>
      <c r="AC451" s="138" t="s">
        <v>2631</v>
      </c>
      <c r="AD451" s="96"/>
      <c r="AE451" s="80"/>
      <c r="AF451" s="80"/>
      <c r="AG451" s="80"/>
      <c r="AH451" s="83"/>
      <c r="AI451" s="83"/>
      <c r="AJ451" s="84"/>
      <c r="AK451" s="84"/>
      <c r="AL451" s="84"/>
      <c r="AM451" s="84"/>
      <c r="AN451" s="84"/>
      <c r="AO451" s="84"/>
      <c r="AP451" s="84"/>
      <c r="AQ451" s="95" t="s">
        <v>337</v>
      </c>
      <c r="AR451" s="72"/>
      <c r="AS451" s="72"/>
      <c r="AT451" s="72"/>
      <c r="AU451" s="72"/>
      <c r="AV451" s="72"/>
      <c r="AW451" s="72"/>
      <c r="AX451" s="72"/>
      <c r="AY451" s="72"/>
      <c r="AZ451" s="72"/>
      <c r="BA451" s="72"/>
      <c r="BB451" s="16"/>
      <c r="BC451" s="72"/>
      <c r="BD451" s="20"/>
      <c r="BE451" s="378"/>
    </row>
    <row r="452" spans="1:57" s="81" customFormat="1" ht="12.95" hidden="1" customHeight="1">
      <c r="A452" s="374"/>
      <c r="B452" s="376"/>
      <c r="C452" s="248" t="s">
        <v>1161</v>
      </c>
      <c r="D452" s="239" t="s">
        <v>3671</v>
      </c>
      <c r="E452" s="58"/>
      <c r="F452" s="59" t="s">
        <v>3672</v>
      </c>
      <c r="G452" s="191" t="s">
        <v>2511</v>
      </c>
      <c r="H452" s="192" t="s">
        <v>338</v>
      </c>
      <c r="I452" s="61" t="s">
        <v>2511</v>
      </c>
      <c r="J452" s="61" t="s">
        <v>2511</v>
      </c>
      <c r="K452" s="62" t="s">
        <v>2511</v>
      </c>
      <c r="L452" s="60" t="s">
        <v>2511</v>
      </c>
      <c r="M452" s="61" t="s">
        <v>2389</v>
      </c>
      <c r="N452" s="61" t="s">
        <v>2511</v>
      </c>
      <c r="O452" s="61" t="s">
        <v>2511</v>
      </c>
      <c r="P452" s="62" t="s">
        <v>2511</v>
      </c>
      <c r="Q452" s="82"/>
      <c r="R452" s="82"/>
      <c r="S452" s="82"/>
      <c r="T452" s="82"/>
      <c r="U452" s="82"/>
      <c r="V452" s="138" t="s">
        <v>3673</v>
      </c>
      <c r="W452" s="57" t="s">
        <v>3660</v>
      </c>
      <c r="X452" s="126" t="s">
        <v>2511</v>
      </c>
      <c r="Y452" s="126" t="s">
        <v>2511</v>
      </c>
      <c r="Z452" s="57"/>
      <c r="AA452" s="57" t="s">
        <v>3661</v>
      </c>
      <c r="AB452" s="138"/>
      <c r="AC452" s="138" t="s">
        <v>2631</v>
      </c>
      <c r="AD452" s="96"/>
      <c r="AE452" s="80"/>
      <c r="AF452" s="80"/>
      <c r="AG452" s="80"/>
      <c r="AH452" s="83"/>
      <c r="AI452" s="83"/>
      <c r="AJ452" s="84"/>
      <c r="AK452" s="84"/>
      <c r="AL452" s="84"/>
      <c r="AM452" s="84"/>
      <c r="AN452" s="84"/>
      <c r="AO452" s="84"/>
      <c r="AP452" s="84"/>
      <c r="AQ452" s="95" t="s">
        <v>338</v>
      </c>
      <c r="AR452" s="72"/>
      <c r="AS452" s="72"/>
      <c r="AT452" s="72"/>
      <c r="AU452" s="72"/>
      <c r="AV452" s="72"/>
      <c r="AW452" s="72"/>
      <c r="AX452" s="72"/>
      <c r="AY452" s="72"/>
      <c r="AZ452" s="72"/>
      <c r="BA452" s="72"/>
      <c r="BB452" s="16"/>
      <c r="BC452" s="72"/>
      <c r="BD452" s="20"/>
      <c r="BE452" s="378"/>
    </row>
    <row r="453" spans="1:57" s="81" customFormat="1" ht="12.95" hidden="1" customHeight="1">
      <c r="A453" s="374"/>
      <c r="B453" s="376"/>
      <c r="C453" s="248" t="s">
        <v>1162</v>
      </c>
      <c r="D453" s="239" t="s">
        <v>3674</v>
      </c>
      <c r="E453" s="58"/>
      <c r="F453" s="59" t="s">
        <v>3675</v>
      </c>
      <c r="G453" s="191" t="s">
        <v>2511</v>
      </c>
      <c r="H453" s="192" t="s">
        <v>339</v>
      </c>
      <c r="I453" s="61" t="s">
        <v>2511</v>
      </c>
      <c r="J453" s="61" t="s">
        <v>2511</v>
      </c>
      <c r="K453" s="62" t="s">
        <v>2511</v>
      </c>
      <c r="L453" s="60" t="s">
        <v>2511</v>
      </c>
      <c r="M453" s="61" t="s">
        <v>2389</v>
      </c>
      <c r="N453" s="61" t="s">
        <v>2511</v>
      </c>
      <c r="O453" s="61" t="s">
        <v>2511</v>
      </c>
      <c r="P453" s="62" t="s">
        <v>2511</v>
      </c>
      <c r="Q453" s="82"/>
      <c r="R453" s="82"/>
      <c r="S453" s="82"/>
      <c r="T453" s="82"/>
      <c r="U453" s="82"/>
      <c r="V453" s="138" t="s">
        <v>3676</v>
      </c>
      <c r="W453" s="57" t="s">
        <v>3660</v>
      </c>
      <c r="X453" s="126" t="s">
        <v>2511</v>
      </c>
      <c r="Y453" s="126" t="s">
        <v>2511</v>
      </c>
      <c r="Z453" s="57"/>
      <c r="AA453" s="57" t="s">
        <v>3661</v>
      </c>
      <c r="AB453" s="138"/>
      <c r="AC453" s="138" t="s">
        <v>2631</v>
      </c>
      <c r="AD453" s="96"/>
      <c r="AE453" s="80"/>
      <c r="AF453" s="80"/>
      <c r="AG453" s="80"/>
      <c r="AH453" s="83"/>
      <c r="AI453" s="83"/>
      <c r="AJ453" s="84"/>
      <c r="AK453" s="84"/>
      <c r="AL453" s="84"/>
      <c r="AM453" s="84"/>
      <c r="AN453" s="84"/>
      <c r="AO453" s="84"/>
      <c r="AP453" s="84"/>
      <c r="AQ453" s="95" t="s">
        <v>339</v>
      </c>
      <c r="AR453" s="72"/>
      <c r="AS453" s="72"/>
      <c r="AT453" s="72"/>
      <c r="AU453" s="72"/>
      <c r="AV453" s="72"/>
      <c r="AW453" s="72"/>
      <c r="AX453" s="72"/>
      <c r="AY453" s="72"/>
      <c r="AZ453" s="72"/>
      <c r="BA453" s="72"/>
      <c r="BB453" s="16"/>
      <c r="BC453" s="72"/>
      <c r="BD453" s="20"/>
      <c r="BE453" s="378"/>
    </row>
    <row r="454" spans="1:57" s="81" customFormat="1" ht="12.95" hidden="1" customHeight="1">
      <c r="A454" s="374"/>
      <c r="B454" s="376"/>
      <c r="C454" s="248" t="s">
        <v>1163</v>
      </c>
      <c r="D454" s="239" t="s">
        <v>3677</v>
      </c>
      <c r="E454" s="58"/>
      <c r="F454" s="59" t="s">
        <v>3678</v>
      </c>
      <c r="G454" s="191" t="s">
        <v>2511</v>
      </c>
      <c r="H454" s="192" t="s">
        <v>340</v>
      </c>
      <c r="I454" s="61" t="s">
        <v>2511</v>
      </c>
      <c r="J454" s="61" t="s">
        <v>2511</v>
      </c>
      <c r="K454" s="62" t="s">
        <v>2511</v>
      </c>
      <c r="L454" s="60" t="s">
        <v>2511</v>
      </c>
      <c r="M454" s="61" t="s">
        <v>2389</v>
      </c>
      <c r="N454" s="61" t="s">
        <v>2511</v>
      </c>
      <c r="O454" s="61" t="s">
        <v>2511</v>
      </c>
      <c r="P454" s="62" t="s">
        <v>2511</v>
      </c>
      <c r="Q454" s="82"/>
      <c r="R454" s="82"/>
      <c r="S454" s="82"/>
      <c r="T454" s="82"/>
      <c r="U454" s="82"/>
      <c r="V454" s="138" t="s">
        <v>3679</v>
      </c>
      <c r="W454" s="57" t="s">
        <v>3660</v>
      </c>
      <c r="X454" s="126" t="s">
        <v>2511</v>
      </c>
      <c r="Y454" s="126" t="s">
        <v>2511</v>
      </c>
      <c r="Z454" s="57"/>
      <c r="AA454" s="57" t="s">
        <v>3661</v>
      </c>
      <c r="AB454" s="138"/>
      <c r="AC454" s="138" t="s">
        <v>2631</v>
      </c>
      <c r="AD454" s="96"/>
      <c r="AE454" s="80"/>
      <c r="AF454" s="80"/>
      <c r="AG454" s="80"/>
      <c r="AH454" s="83"/>
      <c r="AI454" s="83"/>
      <c r="AJ454" s="84"/>
      <c r="AK454" s="84"/>
      <c r="AL454" s="84"/>
      <c r="AM454" s="84"/>
      <c r="AN454" s="84"/>
      <c r="AO454" s="84"/>
      <c r="AP454" s="84"/>
      <c r="AQ454" s="95" t="s">
        <v>340</v>
      </c>
      <c r="AR454" s="72"/>
      <c r="AS454" s="72"/>
      <c r="AT454" s="72"/>
      <c r="AU454" s="72"/>
      <c r="AV454" s="72"/>
      <c r="AW454" s="72"/>
      <c r="AX454" s="72"/>
      <c r="AY454" s="72"/>
      <c r="AZ454" s="72"/>
      <c r="BA454" s="72"/>
      <c r="BB454" s="16"/>
      <c r="BC454" s="72"/>
      <c r="BD454" s="20"/>
      <c r="BE454" s="378"/>
    </row>
    <row r="455" spans="1:57" s="81" customFormat="1" ht="12.95" hidden="1" customHeight="1">
      <c r="A455" s="374"/>
      <c r="B455" s="376"/>
      <c r="C455" s="248" t="s">
        <v>1164</v>
      </c>
      <c r="D455" s="239" t="s">
        <v>3680</v>
      </c>
      <c r="E455" s="58"/>
      <c r="F455" s="59" t="s">
        <v>3681</v>
      </c>
      <c r="G455" s="191" t="s">
        <v>2511</v>
      </c>
      <c r="H455" s="192" t="s">
        <v>341</v>
      </c>
      <c r="I455" s="61" t="s">
        <v>2511</v>
      </c>
      <c r="J455" s="61" t="s">
        <v>2511</v>
      </c>
      <c r="K455" s="62" t="s">
        <v>2511</v>
      </c>
      <c r="L455" s="60" t="s">
        <v>2511</v>
      </c>
      <c r="M455" s="61" t="s">
        <v>2389</v>
      </c>
      <c r="N455" s="61" t="s">
        <v>2511</v>
      </c>
      <c r="O455" s="61" t="s">
        <v>2511</v>
      </c>
      <c r="P455" s="62" t="s">
        <v>2511</v>
      </c>
      <c r="Q455" s="82"/>
      <c r="R455" s="82"/>
      <c r="S455" s="82"/>
      <c r="T455" s="82"/>
      <c r="U455" s="82"/>
      <c r="V455" s="138" t="s">
        <v>3682</v>
      </c>
      <c r="W455" s="57" t="s">
        <v>3660</v>
      </c>
      <c r="X455" s="126" t="s">
        <v>2511</v>
      </c>
      <c r="Y455" s="126" t="s">
        <v>2511</v>
      </c>
      <c r="Z455" s="57"/>
      <c r="AA455" s="57" t="s">
        <v>3661</v>
      </c>
      <c r="AB455" s="138"/>
      <c r="AC455" s="138" t="s">
        <v>2631</v>
      </c>
      <c r="AD455" s="96"/>
      <c r="AE455" s="80"/>
      <c r="AF455" s="80"/>
      <c r="AG455" s="80"/>
      <c r="AH455" s="83"/>
      <c r="AI455" s="83"/>
      <c r="AJ455" s="84"/>
      <c r="AK455" s="84"/>
      <c r="AL455" s="84"/>
      <c r="AM455" s="84"/>
      <c r="AN455" s="84"/>
      <c r="AO455" s="84"/>
      <c r="AP455" s="84"/>
      <c r="AQ455" s="95" t="s">
        <v>341</v>
      </c>
      <c r="AR455" s="72"/>
      <c r="AS455" s="72"/>
      <c r="AT455" s="72"/>
      <c r="AU455" s="72"/>
      <c r="AV455" s="72"/>
      <c r="AW455" s="72"/>
      <c r="AX455" s="72"/>
      <c r="AY455" s="72"/>
      <c r="AZ455" s="72"/>
      <c r="BA455" s="72"/>
      <c r="BB455" s="16"/>
      <c r="BC455" s="72"/>
      <c r="BD455" s="20"/>
      <c r="BE455" s="378"/>
    </row>
    <row r="456" spans="1:57" s="81" customFormat="1" ht="12.95" hidden="1" customHeight="1">
      <c r="A456" s="374"/>
      <c r="B456" s="376"/>
      <c r="C456" s="248" t="s">
        <v>1165</v>
      </c>
      <c r="D456" s="239" t="s">
        <v>3683</v>
      </c>
      <c r="E456" s="58"/>
      <c r="F456" s="59" t="s">
        <v>3684</v>
      </c>
      <c r="G456" s="191" t="s">
        <v>2511</v>
      </c>
      <c r="H456" s="192" t="s">
        <v>342</v>
      </c>
      <c r="I456" s="61" t="s">
        <v>2511</v>
      </c>
      <c r="J456" s="61" t="s">
        <v>2511</v>
      </c>
      <c r="K456" s="62" t="s">
        <v>2511</v>
      </c>
      <c r="L456" s="60" t="s">
        <v>2511</v>
      </c>
      <c r="M456" s="61" t="s">
        <v>2389</v>
      </c>
      <c r="N456" s="61" t="s">
        <v>2511</v>
      </c>
      <c r="O456" s="61" t="s">
        <v>2511</v>
      </c>
      <c r="P456" s="62" t="s">
        <v>2511</v>
      </c>
      <c r="Q456" s="82"/>
      <c r="R456" s="82"/>
      <c r="S456" s="82"/>
      <c r="T456" s="82"/>
      <c r="U456" s="82"/>
      <c r="V456" s="138" t="s">
        <v>3685</v>
      </c>
      <c r="W456" s="57" t="s">
        <v>3660</v>
      </c>
      <c r="X456" s="126" t="s">
        <v>2511</v>
      </c>
      <c r="Y456" s="126" t="s">
        <v>2511</v>
      </c>
      <c r="Z456" s="57"/>
      <c r="AA456" s="57" t="s">
        <v>3661</v>
      </c>
      <c r="AB456" s="138"/>
      <c r="AC456" s="138" t="s">
        <v>2631</v>
      </c>
      <c r="AD456" s="96"/>
      <c r="AE456" s="80"/>
      <c r="AF456" s="80"/>
      <c r="AG456" s="80"/>
      <c r="AH456" s="83"/>
      <c r="AI456" s="83"/>
      <c r="AJ456" s="84"/>
      <c r="AK456" s="84"/>
      <c r="AL456" s="84"/>
      <c r="AM456" s="84"/>
      <c r="AN456" s="84"/>
      <c r="AO456" s="84"/>
      <c r="AP456" s="84"/>
      <c r="AQ456" s="95" t="s">
        <v>342</v>
      </c>
      <c r="AR456" s="72"/>
      <c r="AS456" s="72"/>
      <c r="AT456" s="72"/>
      <c r="AU456" s="72"/>
      <c r="AV456" s="72"/>
      <c r="AW456" s="72"/>
      <c r="AX456" s="72"/>
      <c r="AY456" s="72"/>
      <c r="AZ456" s="72"/>
      <c r="BA456" s="72"/>
      <c r="BB456" s="16"/>
      <c r="BC456" s="72"/>
      <c r="BD456" s="20"/>
      <c r="BE456" s="378"/>
    </row>
    <row r="457" spans="1:57" s="81" customFormat="1" ht="12.95" hidden="1" customHeight="1">
      <c r="A457" s="374"/>
      <c r="B457" s="376"/>
      <c r="C457" s="270" t="s">
        <v>1166</v>
      </c>
      <c r="D457" s="239" t="s">
        <v>3686</v>
      </c>
      <c r="E457" s="58"/>
      <c r="F457" s="59" t="s">
        <v>3687</v>
      </c>
      <c r="G457" s="191" t="s">
        <v>2511</v>
      </c>
      <c r="H457" s="192" t="s">
        <v>343</v>
      </c>
      <c r="I457" s="61" t="s">
        <v>2511</v>
      </c>
      <c r="J457" s="61" t="s">
        <v>2511</v>
      </c>
      <c r="K457" s="62" t="s">
        <v>2511</v>
      </c>
      <c r="L457" s="60" t="s">
        <v>2511</v>
      </c>
      <c r="M457" s="61" t="s">
        <v>2389</v>
      </c>
      <c r="N457" s="61" t="s">
        <v>2511</v>
      </c>
      <c r="O457" s="61" t="s">
        <v>2511</v>
      </c>
      <c r="P457" s="62" t="s">
        <v>2511</v>
      </c>
      <c r="Q457" s="82"/>
      <c r="R457" s="82"/>
      <c r="S457" s="82"/>
      <c r="T457" s="82"/>
      <c r="U457" s="82"/>
      <c r="V457" s="138" t="s">
        <v>3688</v>
      </c>
      <c r="W457" s="57" t="s">
        <v>3660</v>
      </c>
      <c r="X457" s="126" t="s">
        <v>2511</v>
      </c>
      <c r="Y457" s="126" t="s">
        <v>2511</v>
      </c>
      <c r="Z457" s="57"/>
      <c r="AA457" s="57" t="s">
        <v>3661</v>
      </c>
      <c r="AB457" s="138"/>
      <c r="AC457" s="138" t="s">
        <v>2631</v>
      </c>
      <c r="AD457" s="96"/>
      <c r="AE457" s="80"/>
      <c r="AF457" s="80"/>
      <c r="AG457" s="80"/>
      <c r="AH457" s="83"/>
      <c r="AI457" s="83"/>
      <c r="AJ457" s="84"/>
      <c r="AK457" s="84"/>
      <c r="AL457" s="84"/>
      <c r="AM457" s="84"/>
      <c r="AN457" s="84"/>
      <c r="AO457" s="84"/>
      <c r="AP457" s="84"/>
      <c r="AQ457" s="95" t="s">
        <v>343</v>
      </c>
      <c r="AR457" s="72"/>
      <c r="AS457" s="72"/>
      <c r="AT457" s="72"/>
      <c r="AU457" s="72"/>
      <c r="AV457" s="72"/>
      <c r="AW457" s="72"/>
      <c r="AX457" s="72"/>
      <c r="AY457" s="72"/>
      <c r="AZ457" s="72"/>
      <c r="BA457" s="72"/>
      <c r="BB457" s="16"/>
      <c r="BC457" s="72"/>
      <c r="BD457" s="20"/>
      <c r="BE457" s="378"/>
    </row>
    <row r="458" spans="1:57" s="81" customFormat="1" ht="12.95" hidden="1" customHeight="1">
      <c r="A458" s="374"/>
      <c r="B458" s="376"/>
      <c r="C458" s="270" t="s">
        <v>1167</v>
      </c>
      <c r="D458" s="239" t="s">
        <v>3689</v>
      </c>
      <c r="E458" s="58"/>
      <c r="F458" s="59" t="s">
        <v>3690</v>
      </c>
      <c r="G458" s="191" t="s">
        <v>2511</v>
      </c>
      <c r="H458" s="192" t="s">
        <v>344</v>
      </c>
      <c r="I458" s="61" t="s">
        <v>2511</v>
      </c>
      <c r="J458" s="61" t="s">
        <v>2511</v>
      </c>
      <c r="K458" s="62" t="s">
        <v>2511</v>
      </c>
      <c r="L458" s="60" t="s">
        <v>2511</v>
      </c>
      <c r="M458" s="61" t="s">
        <v>2389</v>
      </c>
      <c r="N458" s="61" t="s">
        <v>2511</v>
      </c>
      <c r="O458" s="61" t="s">
        <v>2511</v>
      </c>
      <c r="P458" s="62" t="s">
        <v>2511</v>
      </c>
      <c r="Q458" s="82"/>
      <c r="R458" s="82"/>
      <c r="S458" s="82"/>
      <c r="T458" s="82"/>
      <c r="U458" s="82"/>
      <c r="V458" s="138" t="s">
        <v>3691</v>
      </c>
      <c r="W458" s="57" t="s">
        <v>3660</v>
      </c>
      <c r="X458" s="126" t="s">
        <v>2511</v>
      </c>
      <c r="Y458" s="126" t="s">
        <v>2511</v>
      </c>
      <c r="Z458" s="57"/>
      <c r="AA458" s="57" t="s">
        <v>3661</v>
      </c>
      <c r="AB458" s="138"/>
      <c r="AC458" s="138" t="s">
        <v>2631</v>
      </c>
      <c r="AD458" s="96"/>
      <c r="AE458" s="80"/>
      <c r="AF458" s="80"/>
      <c r="AG458" s="80"/>
      <c r="AH458" s="83"/>
      <c r="AI458" s="83"/>
      <c r="AJ458" s="84"/>
      <c r="AK458" s="84"/>
      <c r="AL458" s="84"/>
      <c r="AM458" s="84"/>
      <c r="AN458" s="84"/>
      <c r="AO458" s="84"/>
      <c r="AP458" s="84"/>
      <c r="AQ458" s="95" t="s">
        <v>344</v>
      </c>
      <c r="AR458" s="72"/>
      <c r="AS458" s="72"/>
      <c r="AT458" s="72"/>
      <c r="AU458" s="72"/>
      <c r="AV458" s="72"/>
      <c r="AW458" s="72"/>
      <c r="AX458" s="72"/>
      <c r="AY458" s="72"/>
      <c r="AZ458" s="72"/>
      <c r="BA458" s="72"/>
      <c r="BB458" s="16"/>
      <c r="BC458" s="72"/>
      <c r="BD458" s="20"/>
      <c r="BE458" s="378"/>
    </row>
    <row r="459" spans="1:57" s="81" customFormat="1" ht="12.95" hidden="1" customHeight="1">
      <c r="A459" s="374"/>
      <c r="B459" s="376"/>
      <c r="C459" s="248" t="s">
        <v>1168</v>
      </c>
      <c r="D459" s="239" t="s">
        <v>3692</v>
      </c>
      <c r="E459" s="58"/>
      <c r="F459" s="59" t="s">
        <v>3693</v>
      </c>
      <c r="G459" s="191" t="s">
        <v>2511</v>
      </c>
      <c r="H459" s="192" t="s">
        <v>345</v>
      </c>
      <c r="I459" s="61" t="s">
        <v>2511</v>
      </c>
      <c r="J459" s="61" t="s">
        <v>2511</v>
      </c>
      <c r="K459" s="62" t="s">
        <v>2511</v>
      </c>
      <c r="L459" s="60" t="s">
        <v>2511</v>
      </c>
      <c r="M459" s="61" t="s">
        <v>2389</v>
      </c>
      <c r="N459" s="61" t="s">
        <v>2511</v>
      </c>
      <c r="O459" s="61" t="s">
        <v>2511</v>
      </c>
      <c r="P459" s="62" t="s">
        <v>2511</v>
      </c>
      <c r="Q459" s="82"/>
      <c r="R459" s="82"/>
      <c r="S459" s="82"/>
      <c r="T459" s="82"/>
      <c r="U459" s="82"/>
      <c r="V459" s="138" t="s">
        <v>3694</v>
      </c>
      <c r="W459" s="57" t="s">
        <v>3660</v>
      </c>
      <c r="X459" s="126" t="s">
        <v>2511</v>
      </c>
      <c r="Y459" s="126" t="s">
        <v>2511</v>
      </c>
      <c r="Z459" s="57"/>
      <c r="AA459" s="57" t="s">
        <v>3661</v>
      </c>
      <c r="AB459" s="138"/>
      <c r="AC459" s="138">
        <v>0</v>
      </c>
      <c r="AD459" s="96"/>
      <c r="AE459" s="80"/>
      <c r="AF459" s="80"/>
      <c r="AG459" s="80"/>
      <c r="AH459" s="83"/>
      <c r="AI459" s="83"/>
      <c r="AJ459" s="84"/>
      <c r="AK459" s="84"/>
      <c r="AL459" s="84"/>
      <c r="AM459" s="84"/>
      <c r="AN459" s="84"/>
      <c r="AO459" s="84"/>
      <c r="AP459" s="84"/>
      <c r="AQ459" s="95" t="s">
        <v>345</v>
      </c>
      <c r="AR459" s="72"/>
      <c r="AS459" s="72"/>
      <c r="AT459" s="72"/>
      <c r="AU459" s="72"/>
      <c r="AV459" s="72"/>
      <c r="AW459" s="72"/>
      <c r="AX459" s="72"/>
      <c r="AY459" s="72"/>
      <c r="AZ459" s="72"/>
      <c r="BA459" s="72"/>
      <c r="BB459" s="16"/>
      <c r="BC459" s="72"/>
      <c r="BD459" s="20"/>
      <c r="BE459" s="378"/>
    </row>
    <row r="460" spans="1:57" s="81" customFormat="1" ht="12.95" hidden="1" customHeight="1">
      <c r="A460" s="374"/>
      <c r="B460" s="376"/>
      <c r="C460" s="248" t="s">
        <v>1169</v>
      </c>
      <c r="D460" s="239" t="s">
        <v>3695</v>
      </c>
      <c r="E460" s="58"/>
      <c r="F460" s="59" t="s">
        <v>3696</v>
      </c>
      <c r="G460" s="191" t="s">
        <v>2511</v>
      </c>
      <c r="H460" s="192" t="s">
        <v>346</v>
      </c>
      <c r="I460" s="61" t="s">
        <v>2511</v>
      </c>
      <c r="J460" s="61" t="s">
        <v>2511</v>
      </c>
      <c r="K460" s="62" t="s">
        <v>2511</v>
      </c>
      <c r="L460" s="60" t="s">
        <v>2511</v>
      </c>
      <c r="M460" s="61" t="s">
        <v>2389</v>
      </c>
      <c r="N460" s="61" t="s">
        <v>2511</v>
      </c>
      <c r="O460" s="61" t="s">
        <v>2511</v>
      </c>
      <c r="P460" s="62" t="s">
        <v>2511</v>
      </c>
      <c r="Q460" s="82"/>
      <c r="R460" s="82"/>
      <c r="S460" s="82"/>
      <c r="T460" s="82"/>
      <c r="U460" s="82"/>
      <c r="V460" s="138" t="s">
        <v>3697</v>
      </c>
      <c r="W460" s="57" t="s">
        <v>3660</v>
      </c>
      <c r="X460" s="126" t="s">
        <v>2511</v>
      </c>
      <c r="Y460" s="126" t="s">
        <v>2511</v>
      </c>
      <c r="Z460" s="57"/>
      <c r="AA460" s="57" t="s">
        <v>3661</v>
      </c>
      <c r="AB460" s="138"/>
      <c r="AC460" s="138" t="s">
        <v>2631</v>
      </c>
      <c r="AD460" s="96"/>
      <c r="AE460" s="80"/>
      <c r="AF460" s="80"/>
      <c r="AG460" s="80"/>
      <c r="AH460" s="83"/>
      <c r="AI460" s="83"/>
      <c r="AJ460" s="84"/>
      <c r="AK460" s="84"/>
      <c r="AL460" s="84"/>
      <c r="AM460" s="84"/>
      <c r="AN460" s="84"/>
      <c r="AO460" s="84"/>
      <c r="AP460" s="84"/>
      <c r="AQ460" s="95" t="s">
        <v>346</v>
      </c>
      <c r="AR460" s="72"/>
      <c r="AS460" s="72"/>
      <c r="AT460" s="72"/>
      <c r="AU460" s="72"/>
      <c r="AV460" s="72"/>
      <c r="AW460" s="72"/>
      <c r="AX460" s="72"/>
      <c r="AY460" s="72"/>
      <c r="AZ460" s="72"/>
      <c r="BA460" s="72"/>
      <c r="BB460" s="16"/>
      <c r="BC460" s="72"/>
      <c r="BD460" s="20"/>
      <c r="BE460" s="378"/>
    </row>
    <row r="461" spans="1:57" s="81" customFormat="1" ht="12.95" hidden="1" customHeight="1">
      <c r="A461" s="374"/>
      <c r="B461" s="376"/>
      <c r="C461" s="248" t="s">
        <v>1170</v>
      </c>
      <c r="D461" s="239" t="s">
        <v>3698</v>
      </c>
      <c r="E461" s="58"/>
      <c r="F461" s="59" t="s">
        <v>3699</v>
      </c>
      <c r="G461" s="191" t="s">
        <v>2511</v>
      </c>
      <c r="H461" s="192" t="s">
        <v>347</v>
      </c>
      <c r="I461" s="61" t="s">
        <v>2511</v>
      </c>
      <c r="J461" s="61" t="s">
        <v>2511</v>
      </c>
      <c r="K461" s="62" t="s">
        <v>2511</v>
      </c>
      <c r="L461" s="60" t="s">
        <v>2511</v>
      </c>
      <c r="M461" s="61" t="s">
        <v>2389</v>
      </c>
      <c r="N461" s="61" t="s">
        <v>2511</v>
      </c>
      <c r="O461" s="61" t="s">
        <v>2511</v>
      </c>
      <c r="P461" s="62" t="s">
        <v>2511</v>
      </c>
      <c r="Q461" s="82"/>
      <c r="R461" s="82"/>
      <c r="S461" s="82"/>
      <c r="T461" s="82"/>
      <c r="U461" s="82"/>
      <c r="V461" s="138" t="s">
        <v>3700</v>
      </c>
      <c r="W461" s="57" t="s">
        <v>3660</v>
      </c>
      <c r="X461" s="126" t="s">
        <v>2511</v>
      </c>
      <c r="Y461" s="126" t="s">
        <v>2511</v>
      </c>
      <c r="Z461" s="57"/>
      <c r="AA461" s="57" t="s">
        <v>3661</v>
      </c>
      <c r="AB461" s="138"/>
      <c r="AC461" s="138" t="s">
        <v>2631</v>
      </c>
      <c r="AD461" s="96"/>
      <c r="AE461" s="80"/>
      <c r="AF461" s="80"/>
      <c r="AG461" s="80"/>
      <c r="AH461" s="83"/>
      <c r="AI461" s="83"/>
      <c r="AJ461" s="84"/>
      <c r="AK461" s="84"/>
      <c r="AL461" s="84"/>
      <c r="AM461" s="84"/>
      <c r="AN461" s="84"/>
      <c r="AO461" s="84"/>
      <c r="AP461" s="84"/>
      <c r="AQ461" s="95" t="s">
        <v>347</v>
      </c>
      <c r="AR461" s="72"/>
      <c r="AS461" s="72"/>
      <c r="AT461" s="72"/>
      <c r="AU461" s="72"/>
      <c r="AV461" s="72"/>
      <c r="AW461" s="72"/>
      <c r="AX461" s="72"/>
      <c r="AY461" s="72"/>
      <c r="AZ461" s="72"/>
      <c r="BA461" s="72"/>
      <c r="BB461" s="16"/>
      <c r="BC461" s="72"/>
      <c r="BD461" s="20"/>
      <c r="BE461" s="378"/>
    </row>
    <row r="462" spans="1:57" s="81" customFormat="1" ht="12.95" hidden="1" customHeight="1">
      <c r="A462" s="374"/>
      <c r="B462" s="376"/>
      <c r="C462" s="248" t="s">
        <v>1171</v>
      </c>
      <c r="D462" s="239" t="s">
        <v>3701</v>
      </c>
      <c r="E462" s="58"/>
      <c r="F462" s="59" t="s">
        <v>3702</v>
      </c>
      <c r="G462" s="191" t="s">
        <v>2511</v>
      </c>
      <c r="H462" s="192" t="s">
        <v>348</v>
      </c>
      <c r="I462" s="61" t="s">
        <v>2511</v>
      </c>
      <c r="J462" s="61" t="s">
        <v>2511</v>
      </c>
      <c r="K462" s="62" t="s">
        <v>2511</v>
      </c>
      <c r="L462" s="60" t="s">
        <v>2511</v>
      </c>
      <c r="M462" s="61" t="s">
        <v>2389</v>
      </c>
      <c r="N462" s="61" t="s">
        <v>2511</v>
      </c>
      <c r="O462" s="61" t="s">
        <v>2511</v>
      </c>
      <c r="P462" s="62" t="s">
        <v>2511</v>
      </c>
      <c r="Q462" s="82"/>
      <c r="R462" s="82"/>
      <c r="S462" s="82"/>
      <c r="T462" s="82"/>
      <c r="U462" s="82"/>
      <c r="V462" s="138" t="s">
        <v>3703</v>
      </c>
      <c r="W462" s="57" t="s">
        <v>3660</v>
      </c>
      <c r="X462" s="126" t="s">
        <v>2511</v>
      </c>
      <c r="Y462" s="126" t="s">
        <v>2511</v>
      </c>
      <c r="Z462" s="57"/>
      <c r="AA462" s="57" t="s">
        <v>3661</v>
      </c>
      <c r="AB462" s="138"/>
      <c r="AC462" s="138" t="s">
        <v>2631</v>
      </c>
      <c r="AD462" s="96"/>
      <c r="AE462" s="80"/>
      <c r="AF462" s="80"/>
      <c r="AG462" s="80"/>
      <c r="AH462" s="83"/>
      <c r="AI462" s="83"/>
      <c r="AJ462" s="84"/>
      <c r="AK462" s="84"/>
      <c r="AL462" s="84"/>
      <c r="AM462" s="84"/>
      <c r="AN462" s="84"/>
      <c r="AO462" s="84"/>
      <c r="AP462" s="84"/>
      <c r="AQ462" s="95" t="s">
        <v>348</v>
      </c>
      <c r="AR462" s="72"/>
      <c r="AS462" s="72"/>
      <c r="AT462" s="72"/>
      <c r="AU462" s="72"/>
      <c r="AV462" s="72"/>
      <c r="AW462" s="72"/>
      <c r="AX462" s="72"/>
      <c r="AY462" s="72"/>
      <c r="AZ462" s="72"/>
      <c r="BA462" s="72"/>
      <c r="BB462" s="16"/>
      <c r="BC462" s="72"/>
      <c r="BD462" s="20"/>
      <c r="BE462" s="378"/>
    </row>
    <row r="463" spans="1:57" s="81" customFormat="1" ht="12.95" hidden="1" customHeight="1">
      <c r="A463" s="374"/>
      <c r="B463" s="376"/>
      <c r="C463" s="248" t="s">
        <v>1172</v>
      </c>
      <c r="D463" s="239" t="s">
        <v>3704</v>
      </c>
      <c r="E463" s="58"/>
      <c r="F463" s="59" t="s">
        <v>3705</v>
      </c>
      <c r="G463" s="191" t="s">
        <v>2511</v>
      </c>
      <c r="H463" s="192" t="s">
        <v>349</v>
      </c>
      <c r="I463" s="61" t="s">
        <v>2511</v>
      </c>
      <c r="J463" s="61" t="s">
        <v>2511</v>
      </c>
      <c r="K463" s="62" t="s">
        <v>2511</v>
      </c>
      <c r="L463" s="60" t="s">
        <v>2511</v>
      </c>
      <c r="M463" s="61" t="s">
        <v>2389</v>
      </c>
      <c r="N463" s="61" t="s">
        <v>2511</v>
      </c>
      <c r="O463" s="61" t="s">
        <v>2511</v>
      </c>
      <c r="P463" s="62" t="s">
        <v>2511</v>
      </c>
      <c r="Q463" s="82"/>
      <c r="R463" s="82"/>
      <c r="S463" s="82"/>
      <c r="T463" s="82"/>
      <c r="U463" s="82"/>
      <c r="V463" s="138" t="s">
        <v>3706</v>
      </c>
      <c r="W463" s="57" t="s">
        <v>3660</v>
      </c>
      <c r="X463" s="126" t="s">
        <v>2511</v>
      </c>
      <c r="Y463" s="126" t="s">
        <v>2511</v>
      </c>
      <c r="Z463" s="57"/>
      <c r="AA463" s="57" t="s">
        <v>3661</v>
      </c>
      <c r="AB463" s="138"/>
      <c r="AC463" s="138" t="s">
        <v>2631</v>
      </c>
      <c r="AD463" s="96"/>
      <c r="AE463" s="80"/>
      <c r="AF463" s="80"/>
      <c r="AG463" s="80"/>
      <c r="AH463" s="83"/>
      <c r="AI463" s="83"/>
      <c r="AJ463" s="84"/>
      <c r="AK463" s="84"/>
      <c r="AL463" s="84"/>
      <c r="AM463" s="84"/>
      <c r="AN463" s="84"/>
      <c r="AO463" s="84"/>
      <c r="AP463" s="84"/>
      <c r="AQ463" s="95" t="s">
        <v>349</v>
      </c>
      <c r="AR463" s="72"/>
      <c r="AS463" s="72"/>
      <c r="AT463" s="72"/>
      <c r="AU463" s="72"/>
      <c r="AV463" s="72"/>
      <c r="AW463" s="72"/>
      <c r="AX463" s="72"/>
      <c r="AY463" s="72"/>
      <c r="AZ463" s="72"/>
      <c r="BA463" s="72"/>
      <c r="BB463" s="16"/>
      <c r="BC463" s="72"/>
      <c r="BD463" s="20"/>
      <c r="BE463" s="378"/>
    </row>
    <row r="464" spans="1:57" s="81" customFormat="1" ht="12.95" hidden="1" customHeight="1">
      <c r="A464" s="374"/>
      <c r="B464" s="376"/>
      <c r="C464" s="248" t="s">
        <v>1173</v>
      </c>
      <c r="D464" s="239" t="s">
        <v>3707</v>
      </c>
      <c r="E464" s="58"/>
      <c r="F464" s="59" t="s">
        <v>3708</v>
      </c>
      <c r="G464" s="191" t="s">
        <v>2511</v>
      </c>
      <c r="H464" s="192" t="s">
        <v>350</v>
      </c>
      <c r="I464" s="61" t="s">
        <v>2511</v>
      </c>
      <c r="J464" s="61" t="s">
        <v>2511</v>
      </c>
      <c r="K464" s="62" t="s">
        <v>2511</v>
      </c>
      <c r="L464" s="60" t="s">
        <v>2511</v>
      </c>
      <c r="M464" s="61" t="s">
        <v>2389</v>
      </c>
      <c r="N464" s="61" t="s">
        <v>2511</v>
      </c>
      <c r="O464" s="61" t="s">
        <v>2511</v>
      </c>
      <c r="P464" s="62" t="s">
        <v>2511</v>
      </c>
      <c r="Q464" s="82"/>
      <c r="R464" s="82"/>
      <c r="S464" s="82"/>
      <c r="T464" s="82"/>
      <c r="U464" s="82"/>
      <c r="V464" s="138" t="s">
        <v>3709</v>
      </c>
      <c r="W464" s="57" t="s">
        <v>3660</v>
      </c>
      <c r="X464" s="126" t="s">
        <v>2511</v>
      </c>
      <c r="Y464" s="126" t="s">
        <v>2511</v>
      </c>
      <c r="Z464" s="57"/>
      <c r="AA464" s="57" t="s">
        <v>3661</v>
      </c>
      <c r="AB464" s="138"/>
      <c r="AC464" s="138" t="s">
        <v>2631</v>
      </c>
      <c r="AD464" s="96"/>
      <c r="AE464" s="80"/>
      <c r="AF464" s="80"/>
      <c r="AG464" s="80"/>
      <c r="AH464" s="83"/>
      <c r="AI464" s="83"/>
      <c r="AJ464" s="84"/>
      <c r="AK464" s="84"/>
      <c r="AL464" s="84"/>
      <c r="AM464" s="84"/>
      <c r="AN464" s="84"/>
      <c r="AO464" s="84"/>
      <c r="AP464" s="84"/>
      <c r="AQ464" s="95" t="s">
        <v>350</v>
      </c>
      <c r="AR464" s="72"/>
      <c r="AS464" s="72"/>
      <c r="AT464" s="72"/>
      <c r="AU464" s="72"/>
      <c r="AV464" s="72"/>
      <c r="AW464" s="72"/>
      <c r="AX464" s="72"/>
      <c r="AY464" s="72"/>
      <c r="AZ464" s="72"/>
      <c r="BA464" s="72"/>
      <c r="BB464" s="16"/>
      <c r="BC464" s="72"/>
      <c r="BD464" s="20"/>
      <c r="BE464" s="378"/>
    </row>
    <row r="465" spans="1:57" s="81" customFormat="1" ht="12.95" hidden="1" customHeight="1">
      <c r="A465" s="374"/>
      <c r="B465" s="376"/>
      <c r="C465" s="248" t="s">
        <v>1174</v>
      </c>
      <c r="D465" s="239" t="s">
        <v>3710</v>
      </c>
      <c r="E465" s="58"/>
      <c r="F465" s="59" t="s">
        <v>3711</v>
      </c>
      <c r="G465" s="191" t="s">
        <v>2511</v>
      </c>
      <c r="H465" s="192" t="s">
        <v>351</v>
      </c>
      <c r="I465" s="61" t="s">
        <v>2511</v>
      </c>
      <c r="J465" s="61" t="s">
        <v>2511</v>
      </c>
      <c r="K465" s="62" t="s">
        <v>2511</v>
      </c>
      <c r="L465" s="60" t="s">
        <v>2511</v>
      </c>
      <c r="M465" s="61" t="s">
        <v>2389</v>
      </c>
      <c r="N465" s="61" t="s">
        <v>2511</v>
      </c>
      <c r="O465" s="61" t="s">
        <v>2511</v>
      </c>
      <c r="P465" s="62" t="s">
        <v>2511</v>
      </c>
      <c r="Q465" s="82"/>
      <c r="R465" s="82"/>
      <c r="S465" s="82"/>
      <c r="T465" s="82"/>
      <c r="U465" s="82"/>
      <c r="V465" s="138" t="s">
        <v>3712</v>
      </c>
      <c r="W465" s="57" t="s">
        <v>3660</v>
      </c>
      <c r="X465" s="126" t="s">
        <v>2511</v>
      </c>
      <c r="Y465" s="126" t="s">
        <v>2511</v>
      </c>
      <c r="Z465" s="57"/>
      <c r="AA465" s="57" t="s">
        <v>3661</v>
      </c>
      <c r="AB465" s="138"/>
      <c r="AC465" s="138" t="s">
        <v>2631</v>
      </c>
      <c r="AD465" s="96"/>
      <c r="AE465" s="80"/>
      <c r="AF465" s="80"/>
      <c r="AG465" s="80"/>
      <c r="AH465" s="83"/>
      <c r="AI465" s="83"/>
      <c r="AJ465" s="84"/>
      <c r="AK465" s="84"/>
      <c r="AL465" s="84"/>
      <c r="AM465" s="84"/>
      <c r="AN465" s="84"/>
      <c r="AO465" s="84"/>
      <c r="AP465" s="84"/>
      <c r="AQ465" s="95" t="s">
        <v>351</v>
      </c>
      <c r="AR465" s="72"/>
      <c r="AS465" s="72"/>
      <c r="AT465" s="72"/>
      <c r="AU465" s="72"/>
      <c r="AV465" s="72"/>
      <c r="AW465" s="72"/>
      <c r="AX465" s="72"/>
      <c r="AY465" s="72"/>
      <c r="AZ465" s="72"/>
      <c r="BA465" s="72"/>
      <c r="BB465" s="16"/>
      <c r="BC465" s="72"/>
      <c r="BD465" s="20"/>
      <c r="BE465" s="378"/>
    </row>
    <row r="466" spans="1:57" s="81" customFormat="1" ht="12.95" hidden="1" customHeight="1">
      <c r="A466" s="374"/>
      <c r="B466" s="376"/>
      <c r="C466" s="248" t="s">
        <v>1175</v>
      </c>
      <c r="D466" s="239" t="s">
        <v>3713</v>
      </c>
      <c r="E466" s="58"/>
      <c r="F466" s="59" t="s">
        <v>3714</v>
      </c>
      <c r="G466" s="191" t="s">
        <v>2511</v>
      </c>
      <c r="H466" s="192" t="s">
        <v>352</v>
      </c>
      <c r="I466" s="61" t="s">
        <v>2511</v>
      </c>
      <c r="J466" s="61" t="s">
        <v>2511</v>
      </c>
      <c r="K466" s="62" t="s">
        <v>2511</v>
      </c>
      <c r="L466" s="60" t="s">
        <v>2511</v>
      </c>
      <c r="M466" s="61" t="s">
        <v>2389</v>
      </c>
      <c r="N466" s="61" t="s">
        <v>2511</v>
      </c>
      <c r="O466" s="61" t="s">
        <v>2511</v>
      </c>
      <c r="P466" s="62" t="s">
        <v>2511</v>
      </c>
      <c r="Q466" s="82"/>
      <c r="R466" s="82"/>
      <c r="S466" s="82"/>
      <c r="T466" s="82"/>
      <c r="U466" s="82"/>
      <c r="V466" s="138" t="s">
        <v>3715</v>
      </c>
      <c r="W466" s="57" t="s">
        <v>3660</v>
      </c>
      <c r="X466" s="126" t="s">
        <v>2511</v>
      </c>
      <c r="Y466" s="126" t="s">
        <v>2511</v>
      </c>
      <c r="Z466" s="57"/>
      <c r="AA466" s="57" t="s">
        <v>3661</v>
      </c>
      <c r="AB466" s="138"/>
      <c r="AC466" s="138" t="s">
        <v>2631</v>
      </c>
      <c r="AD466" s="96"/>
      <c r="AE466" s="80"/>
      <c r="AF466" s="80"/>
      <c r="AG466" s="80"/>
      <c r="AH466" s="83"/>
      <c r="AI466" s="83"/>
      <c r="AJ466" s="84"/>
      <c r="AK466" s="84"/>
      <c r="AL466" s="84"/>
      <c r="AM466" s="84"/>
      <c r="AN466" s="84"/>
      <c r="AO466" s="84"/>
      <c r="AP466" s="84"/>
      <c r="AQ466" s="95" t="s">
        <v>352</v>
      </c>
      <c r="AR466" s="72"/>
      <c r="AS466" s="72"/>
      <c r="AT466" s="72"/>
      <c r="AU466" s="72"/>
      <c r="AV466" s="72"/>
      <c r="AW466" s="72"/>
      <c r="AX466" s="72"/>
      <c r="AY466" s="72"/>
      <c r="AZ466" s="72"/>
      <c r="BA466" s="72"/>
      <c r="BB466" s="16"/>
      <c r="BC466" s="72"/>
      <c r="BD466" s="20"/>
      <c r="BE466" s="378"/>
    </row>
    <row r="467" spans="1:57" s="81" customFormat="1" ht="12.95" hidden="1" customHeight="1">
      <c r="A467" s="374"/>
      <c r="B467" s="376"/>
      <c r="C467" s="248" t="s">
        <v>1176</v>
      </c>
      <c r="D467" s="239" t="s">
        <v>3716</v>
      </c>
      <c r="E467" s="58"/>
      <c r="F467" s="59" t="s">
        <v>3717</v>
      </c>
      <c r="G467" s="191" t="s">
        <v>2511</v>
      </c>
      <c r="H467" s="192" t="s">
        <v>353</v>
      </c>
      <c r="I467" s="61" t="s">
        <v>2511</v>
      </c>
      <c r="J467" s="61" t="s">
        <v>2511</v>
      </c>
      <c r="K467" s="62" t="s">
        <v>2511</v>
      </c>
      <c r="L467" s="60" t="s">
        <v>2511</v>
      </c>
      <c r="M467" s="61" t="s">
        <v>2389</v>
      </c>
      <c r="N467" s="61" t="s">
        <v>2511</v>
      </c>
      <c r="O467" s="61" t="s">
        <v>2511</v>
      </c>
      <c r="P467" s="62" t="s">
        <v>2511</v>
      </c>
      <c r="Q467" s="82"/>
      <c r="R467" s="82"/>
      <c r="S467" s="82"/>
      <c r="T467" s="82"/>
      <c r="U467" s="82"/>
      <c r="V467" s="138" t="s">
        <v>3718</v>
      </c>
      <c r="W467" s="57" t="s">
        <v>3660</v>
      </c>
      <c r="X467" s="126" t="s">
        <v>2511</v>
      </c>
      <c r="Y467" s="126" t="s">
        <v>2511</v>
      </c>
      <c r="Z467" s="57"/>
      <c r="AA467" s="57" t="s">
        <v>3661</v>
      </c>
      <c r="AB467" s="138"/>
      <c r="AC467" s="138" t="s">
        <v>2631</v>
      </c>
      <c r="AD467" s="96"/>
      <c r="AE467" s="80"/>
      <c r="AF467" s="80"/>
      <c r="AG467" s="80"/>
      <c r="AH467" s="83"/>
      <c r="AI467" s="83"/>
      <c r="AJ467" s="84"/>
      <c r="AK467" s="84"/>
      <c r="AL467" s="84"/>
      <c r="AM467" s="84"/>
      <c r="AN467" s="84"/>
      <c r="AO467" s="84"/>
      <c r="AP467" s="84"/>
      <c r="AQ467" s="95" t="s">
        <v>353</v>
      </c>
      <c r="AR467" s="72"/>
      <c r="AS467" s="72"/>
      <c r="AT467" s="72"/>
      <c r="AU467" s="72"/>
      <c r="AV467" s="72"/>
      <c r="AW467" s="72"/>
      <c r="AX467" s="72"/>
      <c r="AY467" s="72"/>
      <c r="AZ467" s="72"/>
      <c r="BA467" s="72"/>
      <c r="BB467" s="16"/>
      <c r="BC467" s="72"/>
      <c r="BD467" s="20"/>
      <c r="BE467" s="378"/>
    </row>
    <row r="468" spans="1:57" s="81" customFormat="1" ht="12.95" hidden="1" customHeight="1">
      <c r="A468" s="374"/>
      <c r="B468" s="376"/>
      <c r="C468" s="248" t="s">
        <v>1177</v>
      </c>
      <c r="D468" s="239" t="s">
        <v>3719</v>
      </c>
      <c r="E468" s="58"/>
      <c r="F468" s="59" t="s">
        <v>3720</v>
      </c>
      <c r="G468" s="191" t="s">
        <v>2511</v>
      </c>
      <c r="H468" s="192" t="s">
        <v>354</v>
      </c>
      <c r="I468" s="61" t="s">
        <v>2511</v>
      </c>
      <c r="J468" s="61" t="s">
        <v>2511</v>
      </c>
      <c r="K468" s="62" t="s">
        <v>2511</v>
      </c>
      <c r="L468" s="60" t="s">
        <v>2511</v>
      </c>
      <c r="M468" s="61" t="s">
        <v>2389</v>
      </c>
      <c r="N468" s="61" t="s">
        <v>2511</v>
      </c>
      <c r="O468" s="61" t="s">
        <v>2511</v>
      </c>
      <c r="P468" s="62" t="s">
        <v>2511</v>
      </c>
      <c r="Q468" s="82"/>
      <c r="R468" s="82"/>
      <c r="S468" s="82"/>
      <c r="T468" s="82"/>
      <c r="U468" s="82"/>
      <c r="V468" s="138" t="s">
        <v>3721</v>
      </c>
      <c r="W468" s="57" t="s">
        <v>3660</v>
      </c>
      <c r="X468" s="126" t="s">
        <v>2511</v>
      </c>
      <c r="Y468" s="126" t="s">
        <v>2511</v>
      </c>
      <c r="Z468" s="57"/>
      <c r="AA468" s="57" t="s">
        <v>3661</v>
      </c>
      <c r="AB468" s="138"/>
      <c r="AC468" s="138" t="s">
        <v>2631</v>
      </c>
      <c r="AD468" s="96"/>
      <c r="AE468" s="80"/>
      <c r="AF468" s="80"/>
      <c r="AG468" s="80"/>
      <c r="AH468" s="83"/>
      <c r="AI468" s="83"/>
      <c r="AJ468" s="84"/>
      <c r="AK468" s="84"/>
      <c r="AL468" s="84"/>
      <c r="AM468" s="84"/>
      <c r="AN468" s="84"/>
      <c r="AO468" s="84"/>
      <c r="AP468" s="84"/>
      <c r="AQ468" s="95" t="s">
        <v>354</v>
      </c>
      <c r="AR468" s="72"/>
      <c r="AS468" s="72"/>
      <c r="AT468" s="72"/>
      <c r="AU468" s="72"/>
      <c r="AV468" s="72"/>
      <c r="AW468" s="72"/>
      <c r="AX468" s="72"/>
      <c r="AY468" s="72"/>
      <c r="AZ468" s="72"/>
      <c r="BA468" s="72"/>
      <c r="BB468" s="16"/>
      <c r="BC468" s="72"/>
      <c r="BD468" s="20"/>
      <c r="BE468" s="378"/>
    </row>
    <row r="469" spans="1:57" s="81" customFormat="1" ht="12.95" hidden="1" customHeight="1">
      <c r="A469" s="374"/>
      <c r="B469" s="376"/>
      <c r="C469" s="270" t="s">
        <v>1178</v>
      </c>
      <c r="D469" s="239" t="s">
        <v>3722</v>
      </c>
      <c r="E469" s="58"/>
      <c r="F469" s="59" t="s">
        <v>3723</v>
      </c>
      <c r="G469" s="191" t="s">
        <v>2511</v>
      </c>
      <c r="H469" s="192" t="s">
        <v>355</v>
      </c>
      <c r="I469" s="61" t="s">
        <v>2511</v>
      </c>
      <c r="J469" s="61" t="s">
        <v>2511</v>
      </c>
      <c r="K469" s="62" t="s">
        <v>2511</v>
      </c>
      <c r="L469" s="60" t="s">
        <v>2511</v>
      </c>
      <c r="M469" s="61" t="s">
        <v>2389</v>
      </c>
      <c r="N469" s="61" t="s">
        <v>2511</v>
      </c>
      <c r="O469" s="61" t="s">
        <v>2511</v>
      </c>
      <c r="P469" s="62" t="s">
        <v>2511</v>
      </c>
      <c r="Q469" s="82"/>
      <c r="R469" s="82"/>
      <c r="S469" s="82"/>
      <c r="T469" s="82"/>
      <c r="U469" s="82"/>
      <c r="V469" s="138" t="s">
        <v>3724</v>
      </c>
      <c r="W469" s="57" t="s">
        <v>3660</v>
      </c>
      <c r="X469" s="126" t="s">
        <v>2511</v>
      </c>
      <c r="Y469" s="126" t="s">
        <v>2511</v>
      </c>
      <c r="Z469" s="57"/>
      <c r="AA469" s="57" t="s">
        <v>3661</v>
      </c>
      <c r="AB469" s="138"/>
      <c r="AC469" s="138" t="s">
        <v>2631</v>
      </c>
      <c r="AD469" s="96"/>
      <c r="AE469" s="80"/>
      <c r="AF469" s="80"/>
      <c r="AG469" s="80"/>
      <c r="AH469" s="83"/>
      <c r="AI469" s="83"/>
      <c r="AJ469" s="84"/>
      <c r="AK469" s="84"/>
      <c r="AL469" s="84"/>
      <c r="AM469" s="84"/>
      <c r="AN469" s="84"/>
      <c r="AO469" s="84"/>
      <c r="AP469" s="84"/>
      <c r="AQ469" s="95" t="s">
        <v>355</v>
      </c>
      <c r="AR469" s="72"/>
      <c r="AS469" s="72"/>
      <c r="AT469" s="72"/>
      <c r="AU469" s="72"/>
      <c r="AV469" s="72"/>
      <c r="AW469" s="72"/>
      <c r="AX469" s="72"/>
      <c r="AY469" s="72"/>
      <c r="AZ469" s="72"/>
      <c r="BA469" s="72"/>
      <c r="BB469" s="16"/>
      <c r="BC469" s="72"/>
      <c r="BD469" s="20"/>
      <c r="BE469" s="378"/>
    </row>
    <row r="470" spans="1:57" s="81" customFormat="1" ht="12.95" hidden="1" customHeight="1">
      <c r="A470" s="374"/>
      <c r="B470" s="376"/>
      <c r="C470" s="270" t="s">
        <v>1179</v>
      </c>
      <c r="D470" s="239" t="s">
        <v>3725</v>
      </c>
      <c r="E470" s="58"/>
      <c r="F470" s="59" t="s">
        <v>3726</v>
      </c>
      <c r="G470" s="191" t="s">
        <v>2511</v>
      </c>
      <c r="H470" s="192" t="s">
        <v>356</v>
      </c>
      <c r="I470" s="61" t="s">
        <v>2511</v>
      </c>
      <c r="J470" s="61" t="s">
        <v>2511</v>
      </c>
      <c r="K470" s="62" t="s">
        <v>2511</v>
      </c>
      <c r="L470" s="60" t="s">
        <v>2511</v>
      </c>
      <c r="M470" s="61" t="s">
        <v>2389</v>
      </c>
      <c r="N470" s="61" t="s">
        <v>2511</v>
      </c>
      <c r="O470" s="61" t="s">
        <v>2511</v>
      </c>
      <c r="P470" s="62" t="s">
        <v>2511</v>
      </c>
      <c r="Q470" s="82"/>
      <c r="R470" s="82"/>
      <c r="S470" s="82"/>
      <c r="T470" s="82"/>
      <c r="U470" s="82"/>
      <c r="V470" s="138" t="s">
        <v>3727</v>
      </c>
      <c r="W470" s="57" t="s">
        <v>3660</v>
      </c>
      <c r="X470" s="126" t="s">
        <v>2511</v>
      </c>
      <c r="Y470" s="126" t="s">
        <v>2511</v>
      </c>
      <c r="Z470" s="57"/>
      <c r="AA470" s="57" t="s">
        <v>3661</v>
      </c>
      <c r="AB470" s="138"/>
      <c r="AC470" s="138" t="s">
        <v>2631</v>
      </c>
      <c r="AD470" s="96"/>
      <c r="AE470" s="80"/>
      <c r="AF470" s="80"/>
      <c r="AG470" s="80"/>
      <c r="AH470" s="83"/>
      <c r="AI470" s="83"/>
      <c r="AJ470" s="84"/>
      <c r="AK470" s="84"/>
      <c r="AL470" s="84"/>
      <c r="AM470" s="84"/>
      <c r="AN470" s="84"/>
      <c r="AO470" s="84"/>
      <c r="AP470" s="84"/>
      <c r="AQ470" s="95" t="s">
        <v>356</v>
      </c>
      <c r="AR470" s="72"/>
      <c r="AS470" s="72"/>
      <c r="AT470" s="72"/>
      <c r="AU470" s="72"/>
      <c r="AV470" s="72"/>
      <c r="AW470" s="72"/>
      <c r="AX470" s="72"/>
      <c r="AY470" s="72"/>
      <c r="AZ470" s="72"/>
      <c r="BA470" s="72"/>
      <c r="BB470" s="16"/>
      <c r="BC470" s="72"/>
      <c r="BD470" s="20"/>
      <c r="BE470" s="378"/>
    </row>
    <row r="471" spans="1:57" s="81" customFormat="1" ht="12.95" hidden="1" customHeight="1">
      <c r="A471" s="374"/>
      <c r="B471" s="376"/>
      <c r="C471" s="248" t="s">
        <v>1180</v>
      </c>
      <c r="D471" s="239" t="s">
        <v>3728</v>
      </c>
      <c r="E471" s="58"/>
      <c r="F471" s="59" t="s">
        <v>3729</v>
      </c>
      <c r="G471" s="191" t="s">
        <v>2511</v>
      </c>
      <c r="H471" s="192" t="s">
        <v>357</v>
      </c>
      <c r="I471" s="61" t="s">
        <v>2511</v>
      </c>
      <c r="J471" s="61" t="s">
        <v>2511</v>
      </c>
      <c r="K471" s="62" t="s">
        <v>2511</v>
      </c>
      <c r="L471" s="60" t="s">
        <v>2511</v>
      </c>
      <c r="M471" s="61" t="s">
        <v>2389</v>
      </c>
      <c r="N471" s="61" t="s">
        <v>2511</v>
      </c>
      <c r="O471" s="61" t="s">
        <v>2511</v>
      </c>
      <c r="P471" s="62" t="s">
        <v>2511</v>
      </c>
      <c r="Q471" s="82"/>
      <c r="R471" s="82"/>
      <c r="S471" s="82"/>
      <c r="T471" s="82"/>
      <c r="U471" s="82"/>
      <c r="V471" s="138" t="s">
        <v>3730</v>
      </c>
      <c r="W471" s="57" t="s">
        <v>3660</v>
      </c>
      <c r="X471" s="126" t="s">
        <v>2511</v>
      </c>
      <c r="Y471" s="126" t="s">
        <v>2511</v>
      </c>
      <c r="Z471" s="57"/>
      <c r="AA471" s="57" t="s">
        <v>3661</v>
      </c>
      <c r="AB471" s="138"/>
      <c r="AC471" s="138">
        <v>0</v>
      </c>
      <c r="AD471" s="96"/>
      <c r="AE471" s="80"/>
      <c r="AF471" s="80"/>
      <c r="AG471" s="80"/>
      <c r="AH471" s="83"/>
      <c r="AI471" s="83"/>
      <c r="AJ471" s="84"/>
      <c r="AK471" s="84"/>
      <c r="AL471" s="84"/>
      <c r="AM471" s="84"/>
      <c r="AN471" s="84"/>
      <c r="AO471" s="84"/>
      <c r="AP471" s="84"/>
      <c r="AQ471" s="95" t="s">
        <v>357</v>
      </c>
      <c r="AR471" s="72"/>
      <c r="AS471" s="72"/>
      <c r="AT471" s="72"/>
      <c r="AU471" s="72"/>
      <c r="AV471" s="72"/>
      <c r="AW471" s="72"/>
      <c r="AX471" s="72"/>
      <c r="AY471" s="72"/>
      <c r="AZ471" s="72"/>
      <c r="BA471" s="72"/>
      <c r="BB471" s="16"/>
      <c r="BC471" s="72"/>
      <c r="BD471" s="20"/>
      <c r="BE471" s="378"/>
    </row>
    <row r="472" spans="1:57" s="81" customFormat="1" ht="12.95" hidden="1" customHeight="1">
      <c r="A472" s="374"/>
      <c r="B472" s="376"/>
      <c r="C472" s="248" t="s">
        <v>1181</v>
      </c>
      <c r="D472" s="239" t="s">
        <v>3731</v>
      </c>
      <c r="E472" s="58"/>
      <c r="F472" s="59" t="s">
        <v>3732</v>
      </c>
      <c r="G472" s="191" t="s">
        <v>2511</v>
      </c>
      <c r="H472" s="192" t="s">
        <v>358</v>
      </c>
      <c r="I472" s="61" t="s">
        <v>2511</v>
      </c>
      <c r="J472" s="61" t="s">
        <v>2511</v>
      </c>
      <c r="K472" s="62" t="s">
        <v>2511</v>
      </c>
      <c r="L472" s="60" t="s">
        <v>2511</v>
      </c>
      <c r="M472" s="61" t="s">
        <v>2389</v>
      </c>
      <c r="N472" s="61" t="s">
        <v>2511</v>
      </c>
      <c r="O472" s="61" t="s">
        <v>2511</v>
      </c>
      <c r="P472" s="62" t="s">
        <v>2511</v>
      </c>
      <c r="Q472" s="82"/>
      <c r="R472" s="82"/>
      <c r="S472" s="82"/>
      <c r="T472" s="82"/>
      <c r="U472" s="82"/>
      <c r="V472" s="138" t="s">
        <v>3733</v>
      </c>
      <c r="W472" s="57" t="s">
        <v>3660</v>
      </c>
      <c r="X472" s="126" t="s">
        <v>2511</v>
      </c>
      <c r="Y472" s="126" t="s">
        <v>2511</v>
      </c>
      <c r="Z472" s="57"/>
      <c r="AA472" s="57" t="s">
        <v>3661</v>
      </c>
      <c r="AB472" s="138"/>
      <c r="AC472" s="138" t="s">
        <v>2631</v>
      </c>
      <c r="AD472" s="96"/>
      <c r="AE472" s="80"/>
      <c r="AF472" s="80"/>
      <c r="AG472" s="80"/>
      <c r="AH472" s="83"/>
      <c r="AI472" s="83"/>
      <c r="AJ472" s="84"/>
      <c r="AK472" s="84"/>
      <c r="AL472" s="84"/>
      <c r="AM472" s="84"/>
      <c r="AN472" s="84"/>
      <c r="AO472" s="84"/>
      <c r="AP472" s="84"/>
      <c r="AQ472" s="95" t="s">
        <v>358</v>
      </c>
      <c r="AR472" s="72"/>
      <c r="AS472" s="72"/>
      <c r="AT472" s="72"/>
      <c r="AU472" s="72"/>
      <c r="AV472" s="72"/>
      <c r="AW472" s="72"/>
      <c r="AX472" s="72"/>
      <c r="AY472" s="72"/>
      <c r="AZ472" s="72"/>
      <c r="BA472" s="72"/>
      <c r="BB472" s="16"/>
      <c r="BC472" s="72"/>
      <c r="BD472" s="20"/>
      <c r="BE472" s="378"/>
    </row>
    <row r="473" spans="1:57" s="81" customFormat="1" ht="12.95" hidden="1" customHeight="1">
      <c r="A473" s="374"/>
      <c r="B473" s="376"/>
      <c r="C473" s="248" t="s">
        <v>1182</v>
      </c>
      <c r="D473" s="239" t="s">
        <v>3734</v>
      </c>
      <c r="E473" s="58"/>
      <c r="F473" s="59" t="s">
        <v>3735</v>
      </c>
      <c r="G473" s="191" t="s">
        <v>2511</v>
      </c>
      <c r="H473" s="192" t="s">
        <v>359</v>
      </c>
      <c r="I473" s="61" t="s">
        <v>2511</v>
      </c>
      <c r="J473" s="61" t="s">
        <v>2511</v>
      </c>
      <c r="K473" s="62" t="s">
        <v>2511</v>
      </c>
      <c r="L473" s="60" t="s">
        <v>2511</v>
      </c>
      <c r="M473" s="61" t="s">
        <v>2389</v>
      </c>
      <c r="N473" s="61" t="s">
        <v>2511</v>
      </c>
      <c r="O473" s="61" t="s">
        <v>2511</v>
      </c>
      <c r="P473" s="62" t="s">
        <v>2511</v>
      </c>
      <c r="Q473" s="82"/>
      <c r="R473" s="82"/>
      <c r="S473" s="82"/>
      <c r="T473" s="82"/>
      <c r="U473" s="82"/>
      <c r="V473" s="138" t="s">
        <v>3736</v>
      </c>
      <c r="W473" s="57" t="s">
        <v>3660</v>
      </c>
      <c r="X473" s="126" t="s">
        <v>2511</v>
      </c>
      <c r="Y473" s="126" t="s">
        <v>2511</v>
      </c>
      <c r="Z473" s="57"/>
      <c r="AA473" s="57" t="s">
        <v>3661</v>
      </c>
      <c r="AB473" s="138"/>
      <c r="AC473" s="138" t="s">
        <v>2631</v>
      </c>
      <c r="AD473" s="96"/>
      <c r="AE473" s="80"/>
      <c r="AF473" s="80"/>
      <c r="AG473" s="80"/>
      <c r="AH473" s="83"/>
      <c r="AI473" s="83"/>
      <c r="AJ473" s="84"/>
      <c r="AK473" s="84"/>
      <c r="AL473" s="84"/>
      <c r="AM473" s="84"/>
      <c r="AN473" s="84"/>
      <c r="AO473" s="84"/>
      <c r="AP473" s="84"/>
      <c r="AQ473" s="95" t="s">
        <v>359</v>
      </c>
      <c r="AR473" s="72"/>
      <c r="AS473" s="72"/>
      <c r="AT473" s="72"/>
      <c r="AU473" s="72"/>
      <c r="AV473" s="72"/>
      <c r="AW473" s="72"/>
      <c r="AX473" s="72"/>
      <c r="AY473" s="72"/>
      <c r="AZ473" s="72"/>
      <c r="BA473" s="72"/>
      <c r="BB473" s="16"/>
      <c r="BC473" s="72"/>
      <c r="BD473" s="20"/>
      <c r="BE473" s="378"/>
    </row>
    <row r="474" spans="1:57" s="81" customFormat="1" ht="12.95" hidden="1" customHeight="1">
      <c r="A474" s="374"/>
      <c r="B474" s="376"/>
      <c r="C474" s="248" t="s">
        <v>1183</v>
      </c>
      <c r="D474" s="239" t="s">
        <v>3737</v>
      </c>
      <c r="E474" s="58"/>
      <c r="F474" s="59" t="s">
        <v>3738</v>
      </c>
      <c r="G474" s="191" t="s">
        <v>2511</v>
      </c>
      <c r="H474" s="192" t="s">
        <v>360</v>
      </c>
      <c r="I474" s="61" t="s">
        <v>2511</v>
      </c>
      <c r="J474" s="61" t="s">
        <v>2511</v>
      </c>
      <c r="K474" s="62" t="s">
        <v>2511</v>
      </c>
      <c r="L474" s="60" t="s">
        <v>2511</v>
      </c>
      <c r="M474" s="61" t="s">
        <v>2389</v>
      </c>
      <c r="N474" s="61" t="s">
        <v>2511</v>
      </c>
      <c r="O474" s="61" t="s">
        <v>2511</v>
      </c>
      <c r="P474" s="62" t="s">
        <v>2511</v>
      </c>
      <c r="Q474" s="82"/>
      <c r="R474" s="82"/>
      <c r="S474" s="82"/>
      <c r="T474" s="82"/>
      <c r="U474" s="82"/>
      <c r="V474" s="138" t="s">
        <v>3739</v>
      </c>
      <c r="W474" s="57" t="s">
        <v>3660</v>
      </c>
      <c r="X474" s="126" t="s">
        <v>2511</v>
      </c>
      <c r="Y474" s="126" t="s">
        <v>2511</v>
      </c>
      <c r="Z474" s="57"/>
      <c r="AA474" s="57" t="s">
        <v>3661</v>
      </c>
      <c r="AB474" s="138"/>
      <c r="AC474" s="138" t="s">
        <v>2631</v>
      </c>
      <c r="AD474" s="96"/>
      <c r="AE474" s="80"/>
      <c r="AF474" s="80"/>
      <c r="AG474" s="80"/>
      <c r="AH474" s="83"/>
      <c r="AI474" s="83"/>
      <c r="AJ474" s="84"/>
      <c r="AK474" s="84"/>
      <c r="AL474" s="84"/>
      <c r="AM474" s="84"/>
      <c r="AN474" s="84"/>
      <c r="AO474" s="84"/>
      <c r="AP474" s="84"/>
      <c r="AQ474" s="95" t="s">
        <v>360</v>
      </c>
      <c r="AR474" s="72"/>
      <c r="AS474" s="72"/>
      <c r="AT474" s="72"/>
      <c r="AU474" s="72"/>
      <c r="AV474" s="72"/>
      <c r="AW474" s="72"/>
      <c r="AX474" s="72"/>
      <c r="AY474" s="72"/>
      <c r="AZ474" s="72"/>
      <c r="BA474" s="72"/>
      <c r="BB474" s="16"/>
      <c r="BC474" s="72"/>
      <c r="BD474" s="20"/>
      <c r="BE474" s="378"/>
    </row>
    <row r="475" spans="1:57" s="81" customFormat="1" ht="12.95" hidden="1" customHeight="1">
      <c r="A475" s="374"/>
      <c r="B475" s="376"/>
      <c r="C475" s="248" t="s">
        <v>1184</v>
      </c>
      <c r="D475" s="239" t="s">
        <v>3740</v>
      </c>
      <c r="E475" s="58"/>
      <c r="F475" s="59" t="s">
        <v>3741</v>
      </c>
      <c r="G475" s="191" t="s">
        <v>2511</v>
      </c>
      <c r="H475" s="192" t="s">
        <v>361</v>
      </c>
      <c r="I475" s="61" t="s">
        <v>2511</v>
      </c>
      <c r="J475" s="61" t="s">
        <v>2511</v>
      </c>
      <c r="K475" s="62" t="s">
        <v>2511</v>
      </c>
      <c r="L475" s="60" t="s">
        <v>2511</v>
      </c>
      <c r="M475" s="61" t="s">
        <v>2389</v>
      </c>
      <c r="N475" s="61" t="s">
        <v>2511</v>
      </c>
      <c r="O475" s="61" t="s">
        <v>2511</v>
      </c>
      <c r="P475" s="62" t="s">
        <v>2511</v>
      </c>
      <c r="Q475" s="82"/>
      <c r="R475" s="82"/>
      <c r="S475" s="82"/>
      <c r="T475" s="82"/>
      <c r="U475" s="82"/>
      <c r="V475" s="138" t="s">
        <v>3742</v>
      </c>
      <c r="W475" s="57" t="s">
        <v>3660</v>
      </c>
      <c r="X475" s="126" t="s">
        <v>2511</v>
      </c>
      <c r="Y475" s="126" t="s">
        <v>2511</v>
      </c>
      <c r="Z475" s="57"/>
      <c r="AA475" s="57" t="s">
        <v>3661</v>
      </c>
      <c r="AB475" s="138"/>
      <c r="AC475" s="138" t="s">
        <v>2631</v>
      </c>
      <c r="AD475" s="96"/>
      <c r="AE475" s="80"/>
      <c r="AF475" s="80"/>
      <c r="AG475" s="80"/>
      <c r="AH475" s="83"/>
      <c r="AI475" s="83"/>
      <c r="AJ475" s="84"/>
      <c r="AK475" s="84"/>
      <c r="AL475" s="84"/>
      <c r="AM475" s="84"/>
      <c r="AN475" s="84"/>
      <c r="AO475" s="84"/>
      <c r="AP475" s="84"/>
      <c r="AQ475" s="95" t="s">
        <v>361</v>
      </c>
      <c r="AR475" s="72"/>
      <c r="AS475" s="72"/>
      <c r="AT475" s="72"/>
      <c r="AU475" s="72"/>
      <c r="AV475" s="72"/>
      <c r="AW475" s="72"/>
      <c r="AX475" s="72"/>
      <c r="AY475" s="72"/>
      <c r="AZ475" s="72"/>
      <c r="BA475" s="72"/>
      <c r="BB475" s="16"/>
      <c r="BC475" s="72"/>
      <c r="BD475" s="20"/>
      <c r="BE475" s="378"/>
    </row>
    <row r="476" spans="1:57" s="81" customFormat="1" ht="12.95" hidden="1" customHeight="1">
      <c r="A476" s="374"/>
      <c r="B476" s="376"/>
      <c r="C476" s="248" t="s">
        <v>1185</v>
      </c>
      <c r="D476" s="239" t="s">
        <v>3743</v>
      </c>
      <c r="E476" s="58"/>
      <c r="F476" s="59" t="s">
        <v>3744</v>
      </c>
      <c r="G476" s="191" t="s">
        <v>2511</v>
      </c>
      <c r="H476" s="192" t="s">
        <v>362</v>
      </c>
      <c r="I476" s="61" t="s">
        <v>2511</v>
      </c>
      <c r="J476" s="61" t="s">
        <v>2511</v>
      </c>
      <c r="K476" s="62" t="s">
        <v>2511</v>
      </c>
      <c r="L476" s="60" t="s">
        <v>2511</v>
      </c>
      <c r="M476" s="61" t="s">
        <v>2389</v>
      </c>
      <c r="N476" s="61" t="s">
        <v>2511</v>
      </c>
      <c r="O476" s="61" t="s">
        <v>2511</v>
      </c>
      <c r="P476" s="62" t="s">
        <v>2511</v>
      </c>
      <c r="Q476" s="82"/>
      <c r="R476" s="82"/>
      <c r="S476" s="82"/>
      <c r="T476" s="82"/>
      <c r="U476" s="82"/>
      <c r="V476" s="138" t="s">
        <v>3745</v>
      </c>
      <c r="W476" s="57" t="s">
        <v>3660</v>
      </c>
      <c r="X476" s="126" t="s">
        <v>2511</v>
      </c>
      <c r="Y476" s="126" t="s">
        <v>2511</v>
      </c>
      <c r="Z476" s="57"/>
      <c r="AA476" s="57" t="s">
        <v>3661</v>
      </c>
      <c r="AB476" s="138"/>
      <c r="AC476" s="138" t="s">
        <v>2631</v>
      </c>
      <c r="AD476" s="96"/>
      <c r="AE476" s="80"/>
      <c r="AF476" s="80"/>
      <c r="AG476" s="80"/>
      <c r="AH476" s="83"/>
      <c r="AI476" s="83"/>
      <c r="AJ476" s="84"/>
      <c r="AK476" s="84"/>
      <c r="AL476" s="84"/>
      <c r="AM476" s="84"/>
      <c r="AN476" s="84"/>
      <c r="AO476" s="84"/>
      <c r="AP476" s="84"/>
      <c r="AQ476" s="95" t="s">
        <v>362</v>
      </c>
      <c r="AR476" s="72"/>
      <c r="AS476" s="72"/>
      <c r="AT476" s="72"/>
      <c r="AU476" s="72"/>
      <c r="AV476" s="72"/>
      <c r="AW476" s="72"/>
      <c r="AX476" s="72"/>
      <c r="AY476" s="72"/>
      <c r="AZ476" s="72"/>
      <c r="BA476" s="72"/>
      <c r="BB476" s="16"/>
      <c r="BC476" s="72"/>
      <c r="BD476" s="20"/>
      <c r="BE476" s="378"/>
    </row>
    <row r="477" spans="1:57" s="81" customFormat="1" ht="12.95" hidden="1" customHeight="1">
      <c r="A477" s="374"/>
      <c r="B477" s="376"/>
      <c r="C477" s="248" t="s">
        <v>1186</v>
      </c>
      <c r="D477" s="239" t="s">
        <v>3746</v>
      </c>
      <c r="E477" s="58"/>
      <c r="F477" s="59" t="s">
        <v>3747</v>
      </c>
      <c r="G477" s="191" t="s">
        <v>2511</v>
      </c>
      <c r="H477" s="192" t="s">
        <v>363</v>
      </c>
      <c r="I477" s="61" t="s">
        <v>2511</v>
      </c>
      <c r="J477" s="61" t="s">
        <v>2511</v>
      </c>
      <c r="K477" s="62" t="s">
        <v>2511</v>
      </c>
      <c r="L477" s="60" t="s">
        <v>2511</v>
      </c>
      <c r="M477" s="61" t="s">
        <v>2389</v>
      </c>
      <c r="N477" s="61" t="s">
        <v>2511</v>
      </c>
      <c r="O477" s="61" t="s">
        <v>2511</v>
      </c>
      <c r="P477" s="62" t="s">
        <v>2511</v>
      </c>
      <c r="Q477" s="82"/>
      <c r="R477" s="82"/>
      <c r="S477" s="82"/>
      <c r="T477" s="82"/>
      <c r="U477" s="82"/>
      <c r="V477" s="138" t="s">
        <v>3748</v>
      </c>
      <c r="W477" s="57" t="s">
        <v>3660</v>
      </c>
      <c r="X477" s="126" t="s">
        <v>2511</v>
      </c>
      <c r="Y477" s="126" t="s">
        <v>2511</v>
      </c>
      <c r="Z477" s="57"/>
      <c r="AA477" s="57" t="s">
        <v>3661</v>
      </c>
      <c r="AB477" s="138"/>
      <c r="AC477" s="138" t="s">
        <v>2631</v>
      </c>
      <c r="AD477" s="96"/>
      <c r="AE477" s="80"/>
      <c r="AF477" s="80"/>
      <c r="AG477" s="80"/>
      <c r="AH477" s="83"/>
      <c r="AI477" s="83"/>
      <c r="AJ477" s="84"/>
      <c r="AK477" s="84"/>
      <c r="AL477" s="84"/>
      <c r="AM477" s="84"/>
      <c r="AN477" s="84"/>
      <c r="AO477" s="84"/>
      <c r="AP477" s="84"/>
      <c r="AQ477" s="95" t="s">
        <v>363</v>
      </c>
      <c r="AR477" s="72"/>
      <c r="AS477" s="72"/>
      <c r="AT477" s="72"/>
      <c r="AU477" s="72"/>
      <c r="AV477" s="72"/>
      <c r="AW477" s="72"/>
      <c r="AX477" s="72"/>
      <c r="AY477" s="72"/>
      <c r="AZ477" s="72"/>
      <c r="BA477" s="72"/>
      <c r="BB477" s="16"/>
      <c r="BC477" s="72"/>
      <c r="BD477" s="20"/>
      <c r="BE477" s="378"/>
    </row>
    <row r="478" spans="1:57" s="81" customFormat="1" ht="12.95" hidden="1" customHeight="1">
      <c r="A478" s="374"/>
      <c r="B478" s="376"/>
      <c r="C478" s="248" t="s">
        <v>1187</v>
      </c>
      <c r="D478" s="239" t="s">
        <v>3749</v>
      </c>
      <c r="E478" s="58"/>
      <c r="F478" s="59" t="s">
        <v>3750</v>
      </c>
      <c r="G478" s="191" t="s">
        <v>2511</v>
      </c>
      <c r="H478" s="192" t="s">
        <v>364</v>
      </c>
      <c r="I478" s="61" t="s">
        <v>2511</v>
      </c>
      <c r="J478" s="61" t="s">
        <v>2511</v>
      </c>
      <c r="K478" s="62" t="s">
        <v>2511</v>
      </c>
      <c r="L478" s="60" t="s">
        <v>2511</v>
      </c>
      <c r="M478" s="61" t="s">
        <v>2389</v>
      </c>
      <c r="N478" s="61" t="s">
        <v>2511</v>
      </c>
      <c r="O478" s="61" t="s">
        <v>2511</v>
      </c>
      <c r="P478" s="62" t="s">
        <v>2511</v>
      </c>
      <c r="Q478" s="82"/>
      <c r="R478" s="82"/>
      <c r="S478" s="82"/>
      <c r="T478" s="82"/>
      <c r="U478" s="82"/>
      <c r="V478" s="138" t="s">
        <v>3751</v>
      </c>
      <c r="W478" s="57" t="s">
        <v>3660</v>
      </c>
      <c r="X478" s="126" t="s">
        <v>2511</v>
      </c>
      <c r="Y478" s="126" t="s">
        <v>2511</v>
      </c>
      <c r="Z478" s="57"/>
      <c r="AA478" s="57" t="s">
        <v>3661</v>
      </c>
      <c r="AB478" s="138"/>
      <c r="AC478" s="138" t="s">
        <v>2631</v>
      </c>
      <c r="AD478" s="96"/>
      <c r="AE478" s="80"/>
      <c r="AF478" s="80"/>
      <c r="AG478" s="80"/>
      <c r="AH478" s="83"/>
      <c r="AI478" s="83"/>
      <c r="AJ478" s="84"/>
      <c r="AK478" s="84"/>
      <c r="AL478" s="84"/>
      <c r="AM478" s="84"/>
      <c r="AN478" s="84"/>
      <c r="AO478" s="84"/>
      <c r="AP478" s="84"/>
      <c r="AQ478" s="95" t="s">
        <v>364</v>
      </c>
      <c r="AR478" s="72"/>
      <c r="AS478" s="72"/>
      <c r="AT478" s="72"/>
      <c r="AU478" s="72"/>
      <c r="AV478" s="72"/>
      <c r="AW478" s="72"/>
      <c r="AX478" s="72"/>
      <c r="AY478" s="72"/>
      <c r="AZ478" s="72"/>
      <c r="BA478" s="72"/>
      <c r="BB478" s="16"/>
      <c r="BC478" s="72"/>
      <c r="BD478" s="20"/>
      <c r="BE478" s="378"/>
    </row>
    <row r="479" spans="1:57" s="81" customFormat="1" ht="12.95" hidden="1" customHeight="1">
      <c r="A479" s="374"/>
      <c r="B479" s="376"/>
      <c r="C479" s="248" t="s">
        <v>1188</v>
      </c>
      <c r="D479" s="239" t="s">
        <v>3752</v>
      </c>
      <c r="E479" s="58"/>
      <c r="F479" s="59" t="s">
        <v>3753</v>
      </c>
      <c r="G479" s="191" t="s">
        <v>2511</v>
      </c>
      <c r="H479" s="192" t="s">
        <v>365</v>
      </c>
      <c r="I479" s="61" t="s">
        <v>2511</v>
      </c>
      <c r="J479" s="61" t="s">
        <v>2511</v>
      </c>
      <c r="K479" s="62" t="s">
        <v>2511</v>
      </c>
      <c r="L479" s="60" t="s">
        <v>2511</v>
      </c>
      <c r="M479" s="61" t="s">
        <v>2389</v>
      </c>
      <c r="N479" s="61" t="s">
        <v>2511</v>
      </c>
      <c r="O479" s="61" t="s">
        <v>2511</v>
      </c>
      <c r="P479" s="62" t="s">
        <v>2511</v>
      </c>
      <c r="Q479" s="82"/>
      <c r="R479" s="82"/>
      <c r="S479" s="82"/>
      <c r="T479" s="82"/>
      <c r="U479" s="82"/>
      <c r="V479" s="138" t="s">
        <v>3754</v>
      </c>
      <c r="W479" s="57" t="s">
        <v>3660</v>
      </c>
      <c r="X479" s="126" t="s">
        <v>2511</v>
      </c>
      <c r="Y479" s="126" t="s">
        <v>2511</v>
      </c>
      <c r="Z479" s="57"/>
      <c r="AA479" s="57" t="s">
        <v>3661</v>
      </c>
      <c r="AB479" s="138"/>
      <c r="AC479" s="138" t="s">
        <v>2631</v>
      </c>
      <c r="AD479" s="96"/>
      <c r="AE479" s="80"/>
      <c r="AF479" s="80"/>
      <c r="AG479" s="80"/>
      <c r="AH479" s="83"/>
      <c r="AI479" s="83"/>
      <c r="AJ479" s="84"/>
      <c r="AK479" s="84"/>
      <c r="AL479" s="84"/>
      <c r="AM479" s="84"/>
      <c r="AN479" s="84"/>
      <c r="AO479" s="84"/>
      <c r="AP479" s="84"/>
      <c r="AQ479" s="95" t="s">
        <v>365</v>
      </c>
      <c r="AR479" s="72"/>
      <c r="AS479" s="72"/>
      <c r="AT479" s="72"/>
      <c r="AU479" s="72"/>
      <c r="AV479" s="72"/>
      <c r="AW479" s="72"/>
      <c r="AX479" s="72"/>
      <c r="AY479" s="72"/>
      <c r="AZ479" s="72"/>
      <c r="BA479" s="72"/>
      <c r="BB479" s="16"/>
      <c r="BC479" s="72"/>
      <c r="BD479" s="20"/>
      <c r="BE479" s="378"/>
    </row>
    <row r="480" spans="1:57" s="81" customFormat="1" ht="12.95" hidden="1" customHeight="1">
      <c r="A480" s="374"/>
      <c r="B480" s="376"/>
      <c r="C480" s="248" t="s">
        <v>1189</v>
      </c>
      <c r="D480" s="239" t="s">
        <v>3755</v>
      </c>
      <c r="E480" s="58"/>
      <c r="F480" s="59" t="s">
        <v>3756</v>
      </c>
      <c r="G480" s="191" t="s">
        <v>2511</v>
      </c>
      <c r="H480" s="192" t="s">
        <v>366</v>
      </c>
      <c r="I480" s="61" t="s">
        <v>2511</v>
      </c>
      <c r="J480" s="61" t="s">
        <v>2511</v>
      </c>
      <c r="K480" s="62" t="s">
        <v>2511</v>
      </c>
      <c r="L480" s="60" t="s">
        <v>2511</v>
      </c>
      <c r="M480" s="61" t="s">
        <v>2389</v>
      </c>
      <c r="N480" s="61" t="s">
        <v>2511</v>
      </c>
      <c r="O480" s="61" t="s">
        <v>2511</v>
      </c>
      <c r="P480" s="62" t="s">
        <v>2511</v>
      </c>
      <c r="Q480" s="82"/>
      <c r="R480" s="82"/>
      <c r="S480" s="82"/>
      <c r="T480" s="82"/>
      <c r="U480" s="82"/>
      <c r="V480" s="138" t="s">
        <v>3757</v>
      </c>
      <c r="W480" s="57" t="s">
        <v>3660</v>
      </c>
      <c r="X480" s="126" t="s">
        <v>2511</v>
      </c>
      <c r="Y480" s="126" t="s">
        <v>2511</v>
      </c>
      <c r="Z480" s="57"/>
      <c r="AA480" s="57" t="s">
        <v>3661</v>
      </c>
      <c r="AB480" s="138"/>
      <c r="AC480" s="138" t="s">
        <v>2631</v>
      </c>
      <c r="AD480" s="96"/>
      <c r="AE480" s="80"/>
      <c r="AF480" s="80"/>
      <c r="AG480" s="80"/>
      <c r="AH480" s="83"/>
      <c r="AI480" s="83"/>
      <c r="AJ480" s="84"/>
      <c r="AK480" s="84"/>
      <c r="AL480" s="84"/>
      <c r="AM480" s="84"/>
      <c r="AN480" s="84"/>
      <c r="AO480" s="84"/>
      <c r="AP480" s="84"/>
      <c r="AQ480" s="95" t="s">
        <v>366</v>
      </c>
      <c r="AR480" s="72"/>
      <c r="AS480" s="72"/>
      <c r="AT480" s="72"/>
      <c r="AU480" s="72"/>
      <c r="AV480" s="72"/>
      <c r="AW480" s="72"/>
      <c r="AX480" s="72"/>
      <c r="AY480" s="72"/>
      <c r="AZ480" s="72"/>
      <c r="BA480" s="72"/>
      <c r="BB480" s="16"/>
      <c r="BC480" s="72"/>
      <c r="BD480" s="20"/>
      <c r="BE480" s="378"/>
    </row>
    <row r="481" spans="1:57" s="81" customFormat="1" ht="12.95" hidden="1" customHeight="1">
      <c r="A481" s="374"/>
      <c r="B481" s="376"/>
      <c r="C481" s="270" t="s">
        <v>1190</v>
      </c>
      <c r="D481" s="239" t="s">
        <v>3758</v>
      </c>
      <c r="E481" s="58"/>
      <c r="F481" s="59" t="s">
        <v>3759</v>
      </c>
      <c r="G481" s="191" t="s">
        <v>2511</v>
      </c>
      <c r="H481" s="192" t="s">
        <v>367</v>
      </c>
      <c r="I481" s="61" t="s">
        <v>2511</v>
      </c>
      <c r="J481" s="61" t="s">
        <v>2511</v>
      </c>
      <c r="K481" s="62" t="s">
        <v>2511</v>
      </c>
      <c r="L481" s="60" t="s">
        <v>2511</v>
      </c>
      <c r="M481" s="61" t="s">
        <v>2389</v>
      </c>
      <c r="N481" s="61" t="s">
        <v>2511</v>
      </c>
      <c r="O481" s="61" t="s">
        <v>2511</v>
      </c>
      <c r="P481" s="62" t="s">
        <v>2511</v>
      </c>
      <c r="Q481" s="82"/>
      <c r="R481" s="82"/>
      <c r="S481" s="82"/>
      <c r="T481" s="82"/>
      <c r="U481" s="82"/>
      <c r="V481" s="138" t="s">
        <v>3760</v>
      </c>
      <c r="W481" s="57" t="s">
        <v>3660</v>
      </c>
      <c r="X481" s="126" t="s">
        <v>2511</v>
      </c>
      <c r="Y481" s="126" t="s">
        <v>2511</v>
      </c>
      <c r="Z481" s="57"/>
      <c r="AA481" s="57" t="s">
        <v>3661</v>
      </c>
      <c r="AB481" s="138"/>
      <c r="AC481" s="138" t="s">
        <v>2631</v>
      </c>
      <c r="AD481" s="96"/>
      <c r="AE481" s="80"/>
      <c r="AF481" s="80"/>
      <c r="AG481" s="80"/>
      <c r="AH481" s="83"/>
      <c r="AI481" s="83"/>
      <c r="AJ481" s="84"/>
      <c r="AK481" s="84"/>
      <c r="AL481" s="84"/>
      <c r="AM481" s="84"/>
      <c r="AN481" s="84"/>
      <c r="AO481" s="84"/>
      <c r="AP481" s="84"/>
      <c r="AQ481" s="95" t="s">
        <v>367</v>
      </c>
      <c r="AR481" s="72"/>
      <c r="AS481" s="72"/>
      <c r="AT481" s="72"/>
      <c r="AU481" s="72"/>
      <c r="AV481" s="72"/>
      <c r="AW481" s="72"/>
      <c r="AX481" s="72"/>
      <c r="AY481" s="72"/>
      <c r="AZ481" s="72"/>
      <c r="BA481" s="72"/>
      <c r="BB481" s="16"/>
      <c r="BC481" s="72"/>
      <c r="BD481" s="20"/>
      <c r="BE481" s="378"/>
    </row>
    <row r="482" spans="1:57" s="81" customFormat="1" ht="12.95" hidden="1" customHeight="1">
      <c r="A482" s="374"/>
      <c r="B482" s="376"/>
      <c r="C482" s="270" t="s">
        <v>1191</v>
      </c>
      <c r="D482" s="239" t="s">
        <v>3761</v>
      </c>
      <c r="E482" s="58"/>
      <c r="F482" s="59" t="s">
        <v>3762</v>
      </c>
      <c r="G482" s="191" t="s">
        <v>2511</v>
      </c>
      <c r="H482" s="192" t="s">
        <v>368</v>
      </c>
      <c r="I482" s="61" t="s">
        <v>2511</v>
      </c>
      <c r="J482" s="61" t="s">
        <v>2511</v>
      </c>
      <c r="K482" s="62" t="s">
        <v>2511</v>
      </c>
      <c r="L482" s="60" t="s">
        <v>2511</v>
      </c>
      <c r="M482" s="61" t="s">
        <v>2389</v>
      </c>
      <c r="N482" s="61" t="s">
        <v>2511</v>
      </c>
      <c r="O482" s="61" t="s">
        <v>2511</v>
      </c>
      <c r="P482" s="62" t="s">
        <v>2511</v>
      </c>
      <c r="Q482" s="82"/>
      <c r="R482" s="82"/>
      <c r="S482" s="82"/>
      <c r="T482" s="82"/>
      <c r="U482" s="82"/>
      <c r="V482" s="138" t="s">
        <v>3763</v>
      </c>
      <c r="W482" s="57" t="s">
        <v>3660</v>
      </c>
      <c r="X482" s="126" t="s">
        <v>2511</v>
      </c>
      <c r="Y482" s="126" t="s">
        <v>2511</v>
      </c>
      <c r="Z482" s="57"/>
      <c r="AA482" s="57" t="s">
        <v>3661</v>
      </c>
      <c r="AB482" s="138"/>
      <c r="AC482" s="138" t="s">
        <v>2631</v>
      </c>
      <c r="AD482" s="96"/>
      <c r="AE482" s="80"/>
      <c r="AF482" s="80"/>
      <c r="AG482" s="80"/>
      <c r="AH482" s="83"/>
      <c r="AI482" s="83"/>
      <c r="AJ482" s="84"/>
      <c r="AK482" s="84"/>
      <c r="AL482" s="84"/>
      <c r="AM482" s="84"/>
      <c r="AN482" s="84"/>
      <c r="AO482" s="84"/>
      <c r="AP482" s="84"/>
      <c r="AQ482" s="95" t="s">
        <v>368</v>
      </c>
      <c r="AR482" s="72"/>
      <c r="AS482" s="72"/>
      <c r="AT482" s="72"/>
      <c r="AU482" s="72"/>
      <c r="AV482" s="72"/>
      <c r="AW482" s="72"/>
      <c r="AX482" s="72"/>
      <c r="AY482" s="72"/>
      <c r="AZ482" s="72"/>
      <c r="BA482" s="72"/>
      <c r="BB482" s="16"/>
      <c r="BC482" s="72"/>
      <c r="BD482" s="20"/>
      <c r="BE482" s="378"/>
    </row>
    <row r="483" spans="1:57" s="81" customFormat="1" ht="12.95" hidden="1" customHeight="1">
      <c r="A483" s="374"/>
      <c r="B483" s="376"/>
      <c r="C483" s="248" t="s">
        <v>1192</v>
      </c>
      <c r="D483" s="239" t="s">
        <v>3764</v>
      </c>
      <c r="E483" s="58"/>
      <c r="F483" s="59" t="s">
        <v>3765</v>
      </c>
      <c r="G483" s="191" t="s">
        <v>2511</v>
      </c>
      <c r="H483" s="192" t="s">
        <v>369</v>
      </c>
      <c r="I483" s="61" t="s">
        <v>2511</v>
      </c>
      <c r="J483" s="61" t="s">
        <v>2511</v>
      </c>
      <c r="K483" s="62" t="s">
        <v>2511</v>
      </c>
      <c r="L483" s="60" t="s">
        <v>2511</v>
      </c>
      <c r="M483" s="61" t="s">
        <v>2389</v>
      </c>
      <c r="N483" s="61" t="s">
        <v>2511</v>
      </c>
      <c r="O483" s="61" t="s">
        <v>2511</v>
      </c>
      <c r="P483" s="62" t="s">
        <v>2511</v>
      </c>
      <c r="Q483" s="82"/>
      <c r="R483" s="82"/>
      <c r="S483" s="82"/>
      <c r="T483" s="82"/>
      <c r="U483" s="82"/>
      <c r="V483" s="138" t="s">
        <v>3766</v>
      </c>
      <c r="W483" s="57" t="s">
        <v>3660</v>
      </c>
      <c r="X483" s="126" t="s">
        <v>2511</v>
      </c>
      <c r="Y483" s="126" t="s">
        <v>2511</v>
      </c>
      <c r="Z483" s="57"/>
      <c r="AA483" s="57" t="s">
        <v>3661</v>
      </c>
      <c r="AB483" s="138"/>
      <c r="AC483" s="138">
        <v>0</v>
      </c>
      <c r="AD483" s="96"/>
      <c r="AE483" s="80"/>
      <c r="AF483" s="80"/>
      <c r="AG483" s="80"/>
      <c r="AH483" s="83"/>
      <c r="AI483" s="83"/>
      <c r="AJ483" s="84"/>
      <c r="AK483" s="84"/>
      <c r="AL483" s="84"/>
      <c r="AM483" s="84"/>
      <c r="AN483" s="84"/>
      <c r="AO483" s="84"/>
      <c r="AP483" s="84"/>
      <c r="AQ483" s="95" t="s">
        <v>369</v>
      </c>
      <c r="AR483" s="72"/>
      <c r="AS483" s="72"/>
      <c r="AT483" s="72"/>
      <c r="AU483" s="72"/>
      <c r="AV483" s="72"/>
      <c r="AW483" s="72"/>
      <c r="AX483" s="72"/>
      <c r="AY483" s="72"/>
      <c r="AZ483" s="72"/>
      <c r="BA483" s="72"/>
      <c r="BB483" s="16"/>
      <c r="BC483" s="72"/>
      <c r="BD483" s="20"/>
      <c r="BE483" s="378"/>
    </row>
    <row r="484" spans="1:57" s="81" customFormat="1" ht="12.95" hidden="1" customHeight="1">
      <c r="A484" s="374"/>
      <c r="B484" s="376"/>
      <c r="C484" s="248" t="s">
        <v>1193</v>
      </c>
      <c r="D484" s="239" t="s">
        <v>3767</v>
      </c>
      <c r="E484" s="58"/>
      <c r="F484" s="59" t="s">
        <v>3768</v>
      </c>
      <c r="G484" s="191" t="s">
        <v>2511</v>
      </c>
      <c r="H484" s="192" t="s">
        <v>370</v>
      </c>
      <c r="I484" s="61" t="s">
        <v>2511</v>
      </c>
      <c r="J484" s="61" t="s">
        <v>2511</v>
      </c>
      <c r="K484" s="62" t="s">
        <v>2511</v>
      </c>
      <c r="L484" s="60" t="s">
        <v>2511</v>
      </c>
      <c r="M484" s="61" t="s">
        <v>2389</v>
      </c>
      <c r="N484" s="61" t="s">
        <v>2511</v>
      </c>
      <c r="O484" s="61" t="s">
        <v>2511</v>
      </c>
      <c r="P484" s="62" t="s">
        <v>2511</v>
      </c>
      <c r="Q484" s="82"/>
      <c r="R484" s="82"/>
      <c r="S484" s="82"/>
      <c r="T484" s="82"/>
      <c r="U484" s="82"/>
      <c r="V484" s="138" t="s">
        <v>3769</v>
      </c>
      <c r="W484" s="57" t="s">
        <v>3660</v>
      </c>
      <c r="X484" s="126" t="s">
        <v>2511</v>
      </c>
      <c r="Y484" s="126" t="s">
        <v>2511</v>
      </c>
      <c r="Z484" s="57"/>
      <c r="AA484" s="57" t="s">
        <v>3661</v>
      </c>
      <c r="AB484" s="138"/>
      <c r="AC484" s="138" t="s">
        <v>2631</v>
      </c>
      <c r="AD484" s="96"/>
      <c r="AE484" s="80"/>
      <c r="AF484" s="80"/>
      <c r="AG484" s="80"/>
      <c r="AH484" s="83"/>
      <c r="AI484" s="83"/>
      <c r="AJ484" s="84"/>
      <c r="AK484" s="84"/>
      <c r="AL484" s="84"/>
      <c r="AM484" s="84"/>
      <c r="AN484" s="84"/>
      <c r="AO484" s="84"/>
      <c r="AP484" s="84"/>
      <c r="AQ484" s="95" t="s">
        <v>370</v>
      </c>
      <c r="AR484" s="72"/>
      <c r="AS484" s="72"/>
      <c r="AT484" s="72"/>
      <c r="AU484" s="72"/>
      <c r="AV484" s="72"/>
      <c r="AW484" s="72"/>
      <c r="AX484" s="72"/>
      <c r="AY484" s="72"/>
      <c r="AZ484" s="72"/>
      <c r="BA484" s="72"/>
      <c r="BB484" s="16"/>
      <c r="BC484" s="72"/>
      <c r="BD484" s="20"/>
      <c r="BE484" s="378"/>
    </row>
    <row r="485" spans="1:57" s="81" customFormat="1" ht="12.95" hidden="1" customHeight="1">
      <c r="A485" s="374"/>
      <c r="B485" s="376"/>
      <c r="C485" s="248" t="s">
        <v>1194</v>
      </c>
      <c r="D485" s="239" t="s">
        <v>3770</v>
      </c>
      <c r="E485" s="58"/>
      <c r="F485" s="59" t="s">
        <v>3771</v>
      </c>
      <c r="G485" s="191" t="s">
        <v>2511</v>
      </c>
      <c r="H485" s="192" t="s">
        <v>371</v>
      </c>
      <c r="I485" s="61" t="s">
        <v>2511</v>
      </c>
      <c r="J485" s="61" t="s">
        <v>2511</v>
      </c>
      <c r="K485" s="62" t="s">
        <v>2511</v>
      </c>
      <c r="L485" s="60" t="s">
        <v>2511</v>
      </c>
      <c r="M485" s="61" t="s">
        <v>2389</v>
      </c>
      <c r="N485" s="61" t="s">
        <v>2511</v>
      </c>
      <c r="O485" s="61" t="s">
        <v>2511</v>
      </c>
      <c r="P485" s="62" t="s">
        <v>2511</v>
      </c>
      <c r="Q485" s="82"/>
      <c r="R485" s="82"/>
      <c r="S485" s="82"/>
      <c r="T485" s="82"/>
      <c r="U485" s="82"/>
      <c r="V485" s="138" t="s">
        <v>3772</v>
      </c>
      <c r="W485" s="57" t="s">
        <v>3660</v>
      </c>
      <c r="X485" s="126" t="s">
        <v>2511</v>
      </c>
      <c r="Y485" s="126" t="s">
        <v>2511</v>
      </c>
      <c r="Z485" s="57"/>
      <c r="AA485" s="57" t="s">
        <v>3661</v>
      </c>
      <c r="AB485" s="138"/>
      <c r="AC485" s="138" t="s">
        <v>2631</v>
      </c>
      <c r="AD485" s="96"/>
      <c r="AE485" s="80"/>
      <c r="AF485" s="80"/>
      <c r="AG485" s="80"/>
      <c r="AH485" s="83"/>
      <c r="AI485" s="83"/>
      <c r="AJ485" s="84"/>
      <c r="AK485" s="84"/>
      <c r="AL485" s="84"/>
      <c r="AM485" s="84"/>
      <c r="AN485" s="84"/>
      <c r="AO485" s="84"/>
      <c r="AP485" s="84"/>
      <c r="AQ485" s="95" t="s">
        <v>371</v>
      </c>
      <c r="AR485" s="72"/>
      <c r="AS485" s="72"/>
      <c r="AT485" s="72"/>
      <c r="AU485" s="72"/>
      <c r="AV485" s="72"/>
      <c r="AW485" s="72"/>
      <c r="AX485" s="72"/>
      <c r="AY485" s="72"/>
      <c r="AZ485" s="72"/>
      <c r="BA485" s="72"/>
      <c r="BB485" s="16"/>
      <c r="BC485" s="72"/>
      <c r="BD485" s="20"/>
      <c r="BE485" s="378"/>
    </row>
    <row r="486" spans="1:57" s="81" customFormat="1" ht="12.95" hidden="1" customHeight="1">
      <c r="A486" s="374"/>
      <c r="B486" s="376"/>
      <c r="C486" s="248" t="s">
        <v>1195</v>
      </c>
      <c r="D486" s="239" t="s">
        <v>3773</v>
      </c>
      <c r="E486" s="58"/>
      <c r="F486" s="59" t="s">
        <v>3774</v>
      </c>
      <c r="G486" s="191" t="s">
        <v>2511</v>
      </c>
      <c r="H486" s="192" t="s">
        <v>372</v>
      </c>
      <c r="I486" s="61" t="s">
        <v>2511</v>
      </c>
      <c r="J486" s="61" t="s">
        <v>2511</v>
      </c>
      <c r="K486" s="62" t="s">
        <v>2511</v>
      </c>
      <c r="L486" s="60" t="s">
        <v>2511</v>
      </c>
      <c r="M486" s="61" t="s">
        <v>2389</v>
      </c>
      <c r="N486" s="61" t="s">
        <v>2511</v>
      </c>
      <c r="O486" s="61" t="s">
        <v>2511</v>
      </c>
      <c r="P486" s="62" t="s">
        <v>2511</v>
      </c>
      <c r="Q486" s="82"/>
      <c r="R486" s="82"/>
      <c r="S486" s="82"/>
      <c r="T486" s="82"/>
      <c r="U486" s="82"/>
      <c r="V486" s="138" t="s">
        <v>3775</v>
      </c>
      <c r="W486" s="57" t="s">
        <v>3660</v>
      </c>
      <c r="X486" s="126" t="s">
        <v>2511</v>
      </c>
      <c r="Y486" s="126" t="s">
        <v>2511</v>
      </c>
      <c r="Z486" s="57"/>
      <c r="AA486" s="57" t="s">
        <v>3661</v>
      </c>
      <c r="AB486" s="138"/>
      <c r="AC486" s="138" t="s">
        <v>2631</v>
      </c>
      <c r="AD486" s="96"/>
      <c r="AE486" s="80"/>
      <c r="AF486" s="80"/>
      <c r="AG486" s="80"/>
      <c r="AH486" s="83"/>
      <c r="AI486" s="83"/>
      <c r="AJ486" s="84"/>
      <c r="AK486" s="84"/>
      <c r="AL486" s="84"/>
      <c r="AM486" s="84"/>
      <c r="AN486" s="84"/>
      <c r="AO486" s="84"/>
      <c r="AP486" s="84"/>
      <c r="AQ486" s="95" t="s">
        <v>372</v>
      </c>
      <c r="AR486" s="72"/>
      <c r="AS486" s="72"/>
      <c r="AT486" s="72"/>
      <c r="AU486" s="72"/>
      <c r="AV486" s="72"/>
      <c r="AW486" s="72"/>
      <c r="AX486" s="72"/>
      <c r="AY486" s="72"/>
      <c r="AZ486" s="72"/>
      <c r="BA486" s="72"/>
      <c r="BB486" s="16"/>
      <c r="BC486" s="72"/>
      <c r="BD486" s="20"/>
      <c r="BE486" s="378"/>
    </row>
    <row r="487" spans="1:57" s="81" customFormat="1" ht="12.95" hidden="1" customHeight="1">
      <c r="A487" s="374"/>
      <c r="B487" s="376"/>
      <c r="C487" s="248" t="s">
        <v>1196</v>
      </c>
      <c r="D487" s="239" t="s">
        <v>3776</v>
      </c>
      <c r="E487" s="58"/>
      <c r="F487" s="59" t="s">
        <v>3777</v>
      </c>
      <c r="G487" s="191" t="s">
        <v>2511</v>
      </c>
      <c r="H487" s="192" t="s">
        <v>373</v>
      </c>
      <c r="I487" s="61" t="s">
        <v>2511</v>
      </c>
      <c r="J487" s="61" t="s">
        <v>2511</v>
      </c>
      <c r="K487" s="62" t="s">
        <v>2511</v>
      </c>
      <c r="L487" s="60" t="s">
        <v>2511</v>
      </c>
      <c r="M487" s="61" t="s">
        <v>2389</v>
      </c>
      <c r="N487" s="61" t="s">
        <v>2511</v>
      </c>
      <c r="O487" s="61" t="s">
        <v>2511</v>
      </c>
      <c r="P487" s="62" t="s">
        <v>2511</v>
      </c>
      <c r="Q487" s="82"/>
      <c r="R487" s="82"/>
      <c r="S487" s="82"/>
      <c r="T487" s="82"/>
      <c r="U487" s="82"/>
      <c r="V487" s="138" t="s">
        <v>3778</v>
      </c>
      <c r="W487" s="57" t="s">
        <v>3660</v>
      </c>
      <c r="X487" s="126" t="s">
        <v>2511</v>
      </c>
      <c r="Y487" s="126" t="s">
        <v>2511</v>
      </c>
      <c r="Z487" s="57"/>
      <c r="AA487" s="57" t="s">
        <v>3661</v>
      </c>
      <c r="AB487" s="138"/>
      <c r="AC487" s="138" t="s">
        <v>2631</v>
      </c>
      <c r="AD487" s="96"/>
      <c r="AE487" s="80"/>
      <c r="AF487" s="80"/>
      <c r="AG487" s="80"/>
      <c r="AH487" s="83"/>
      <c r="AI487" s="83"/>
      <c r="AJ487" s="84"/>
      <c r="AK487" s="84"/>
      <c r="AL487" s="84"/>
      <c r="AM487" s="84"/>
      <c r="AN487" s="84"/>
      <c r="AO487" s="84"/>
      <c r="AP487" s="84"/>
      <c r="AQ487" s="95" t="s">
        <v>373</v>
      </c>
      <c r="AR487" s="72"/>
      <c r="AS487" s="72"/>
      <c r="AT487" s="72"/>
      <c r="AU487" s="72"/>
      <c r="AV487" s="72"/>
      <c r="AW487" s="72"/>
      <c r="AX487" s="72"/>
      <c r="AY487" s="72"/>
      <c r="AZ487" s="72"/>
      <c r="BA487" s="72"/>
      <c r="BB487" s="16"/>
      <c r="BC487" s="72"/>
      <c r="BD487" s="20"/>
      <c r="BE487" s="378"/>
    </row>
    <row r="488" spans="1:57" s="81" customFormat="1" ht="12.95" hidden="1" customHeight="1">
      <c r="A488" s="374"/>
      <c r="B488" s="376"/>
      <c r="C488" s="248" t="s">
        <v>1197</v>
      </c>
      <c r="D488" s="239" t="s">
        <v>3779</v>
      </c>
      <c r="E488" s="58"/>
      <c r="F488" s="59" t="s">
        <v>3780</v>
      </c>
      <c r="G488" s="191" t="s">
        <v>2511</v>
      </c>
      <c r="H488" s="192" t="s">
        <v>374</v>
      </c>
      <c r="I488" s="61" t="s">
        <v>2511</v>
      </c>
      <c r="J488" s="61" t="s">
        <v>2511</v>
      </c>
      <c r="K488" s="62" t="s">
        <v>2511</v>
      </c>
      <c r="L488" s="60" t="s">
        <v>2511</v>
      </c>
      <c r="M488" s="61" t="s">
        <v>2389</v>
      </c>
      <c r="N488" s="61" t="s">
        <v>2511</v>
      </c>
      <c r="O488" s="61" t="s">
        <v>2511</v>
      </c>
      <c r="P488" s="62" t="s">
        <v>2511</v>
      </c>
      <c r="Q488" s="82"/>
      <c r="R488" s="82"/>
      <c r="S488" s="82"/>
      <c r="T488" s="82"/>
      <c r="U488" s="82"/>
      <c r="V488" s="138" t="s">
        <v>3781</v>
      </c>
      <c r="W488" s="57" t="s">
        <v>3660</v>
      </c>
      <c r="X488" s="126" t="s">
        <v>2511</v>
      </c>
      <c r="Y488" s="126" t="s">
        <v>2511</v>
      </c>
      <c r="Z488" s="57"/>
      <c r="AA488" s="57" t="s">
        <v>3661</v>
      </c>
      <c r="AB488" s="138"/>
      <c r="AC488" s="138" t="s">
        <v>2631</v>
      </c>
      <c r="AD488" s="96"/>
      <c r="AE488" s="80"/>
      <c r="AF488" s="80"/>
      <c r="AG488" s="80"/>
      <c r="AH488" s="83"/>
      <c r="AI488" s="83"/>
      <c r="AJ488" s="84"/>
      <c r="AK488" s="84"/>
      <c r="AL488" s="84"/>
      <c r="AM488" s="84"/>
      <c r="AN488" s="84"/>
      <c r="AO488" s="84"/>
      <c r="AP488" s="84"/>
      <c r="AQ488" s="95" t="s">
        <v>374</v>
      </c>
      <c r="AR488" s="72"/>
      <c r="AS488" s="72"/>
      <c r="AT488" s="72"/>
      <c r="AU488" s="72"/>
      <c r="AV488" s="72"/>
      <c r="AW488" s="72"/>
      <c r="AX488" s="72"/>
      <c r="AY488" s="72"/>
      <c r="AZ488" s="72"/>
      <c r="BA488" s="72"/>
      <c r="BB488" s="16"/>
      <c r="BC488" s="72"/>
      <c r="BD488" s="20"/>
      <c r="BE488" s="378"/>
    </row>
    <row r="489" spans="1:57" s="81" customFormat="1" ht="12.95" hidden="1" customHeight="1">
      <c r="A489" s="374"/>
      <c r="B489" s="376"/>
      <c r="C489" s="248" t="s">
        <v>1198</v>
      </c>
      <c r="D489" s="239" t="s">
        <v>3782</v>
      </c>
      <c r="E489" s="58"/>
      <c r="F489" s="59" t="s">
        <v>3783</v>
      </c>
      <c r="G489" s="191" t="s">
        <v>2511</v>
      </c>
      <c r="H489" s="192" t="s">
        <v>375</v>
      </c>
      <c r="I489" s="61" t="s">
        <v>2511</v>
      </c>
      <c r="J489" s="61" t="s">
        <v>2511</v>
      </c>
      <c r="K489" s="62" t="s">
        <v>2511</v>
      </c>
      <c r="L489" s="60" t="s">
        <v>2511</v>
      </c>
      <c r="M489" s="61" t="s">
        <v>2389</v>
      </c>
      <c r="N489" s="61" t="s">
        <v>2511</v>
      </c>
      <c r="O489" s="61" t="s">
        <v>2511</v>
      </c>
      <c r="P489" s="62" t="s">
        <v>2511</v>
      </c>
      <c r="Q489" s="82"/>
      <c r="R489" s="82"/>
      <c r="S489" s="82"/>
      <c r="T489" s="82"/>
      <c r="U489" s="82"/>
      <c r="V489" s="138" t="s">
        <v>3784</v>
      </c>
      <c r="W489" s="57" t="s">
        <v>3660</v>
      </c>
      <c r="X489" s="126" t="s">
        <v>2511</v>
      </c>
      <c r="Y489" s="126" t="s">
        <v>2511</v>
      </c>
      <c r="Z489" s="57"/>
      <c r="AA489" s="57" t="s">
        <v>3661</v>
      </c>
      <c r="AB489" s="138"/>
      <c r="AC489" s="138" t="s">
        <v>2631</v>
      </c>
      <c r="AD489" s="96"/>
      <c r="AE489" s="80"/>
      <c r="AF489" s="80"/>
      <c r="AG489" s="80"/>
      <c r="AH489" s="83"/>
      <c r="AI489" s="83"/>
      <c r="AJ489" s="84"/>
      <c r="AK489" s="84"/>
      <c r="AL489" s="84"/>
      <c r="AM489" s="84"/>
      <c r="AN489" s="84"/>
      <c r="AO489" s="84"/>
      <c r="AP489" s="84"/>
      <c r="AQ489" s="95" t="s">
        <v>375</v>
      </c>
      <c r="AR489" s="72"/>
      <c r="AS489" s="72"/>
      <c r="AT489" s="72"/>
      <c r="AU489" s="72"/>
      <c r="AV489" s="72"/>
      <c r="AW489" s="72"/>
      <c r="AX489" s="72"/>
      <c r="AY489" s="72"/>
      <c r="AZ489" s="72"/>
      <c r="BA489" s="72"/>
      <c r="BB489" s="16"/>
      <c r="BC489" s="72"/>
      <c r="BD489" s="20"/>
      <c r="BE489" s="378"/>
    </row>
    <row r="490" spans="1:57" s="81" customFormat="1" ht="12.95" hidden="1" customHeight="1">
      <c r="A490" s="374"/>
      <c r="B490" s="376"/>
      <c r="C490" s="248" t="s">
        <v>1199</v>
      </c>
      <c r="D490" s="239" t="s">
        <v>3785</v>
      </c>
      <c r="E490" s="58"/>
      <c r="F490" s="59" t="s">
        <v>3786</v>
      </c>
      <c r="G490" s="191" t="s">
        <v>2511</v>
      </c>
      <c r="H490" s="192" t="s">
        <v>376</v>
      </c>
      <c r="I490" s="61" t="s">
        <v>2511</v>
      </c>
      <c r="J490" s="61" t="s">
        <v>2511</v>
      </c>
      <c r="K490" s="62" t="s">
        <v>2511</v>
      </c>
      <c r="L490" s="60" t="s">
        <v>2511</v>
      </c>
      <c r="M490" s="61" t="s">
        <v>2389</v>
      </c>
      <c r="N490" s="61" t="s">
        <v>2511</v>
      </c>
      <c r="O490" s="61" t="s">
        <v>2511</v>
      </c>
      <c r="P490" s="62" t="s">
        <v>2511</v>
      </c>
      <c r="Q490" s="82"/>
      <c r="R490" s="82"/>
      <c r="S490" s="82"/>
      <c r="T490" s="82"/>
      <c r="U490" s="82"/>
      <c r="V490" s="138" t="s">
        <v>3787</v>
      </c>
      <c r="W490" s="57" t="s">
        <v>3660</v>
      </c>
      <c r="X490" s="126" t="s">
        <v>2511</v>
      </c>
      <c r="Y490" s="126" t="s">
        <v>2511</v>
      </c>
      <c r="Z490" s="57"/>
      <c r="AA490" s="57" t="s">
        <v>3661</v>
      </c>
      <c r="AB490" s="138"/>
      <c r="AC490" s="138" t="s">
        <v>2631</v>
      </c>
      <c r="AD490" s="96"/>
      <c r="AE490" s="80"/>
      <c r="AF490" s="80"/>
      <c r="AG490" s="80"/>
      <c r="AH490" s="83"/>
      <c r="AI490" s="83"/>
      <c r="AJ490" s="84"/>
      <c r="AK490" s="84"/>
      <c r="AL490" s="84"/>
      <c r="AM490" s="84"/>
      <c r="AN490" s="84"/>
      <c r="AO490" s="84"/>
      <c r="AP490" s="84"/>
      <c r="AQ490" s="95" t="s">
        <v>376</v>
      </c>
      <c r="AR490" s="72"/>
      <c r="AS490" s="72"/>
      <c r="AT490" s="72"/>
      <c r="AU490" s="72"/>
      <c r="AV490" s="72"/>
      <c r="AW490" s="72"/>
      <c r="AX490" s="72"/>
      <c r="AY490" s="72"/>
      <c r="AZ490" s="72"/>
      <c r="BA490" s="72"/>
      <c r="BB490" s="16"/>
      <c r="BC490" s="72"/>
      <c r="BD490" s="20"/>
      <c r="BE490" s="378"/>
    </row>
    <row r="491" spans="1:57" s="81" customFormat="1" ht="12.95" hidden="1" customHeight="1">
      <c r="A491" s="374"/>
      <c r="B491" s="376"/>
      <c r="C491" s="248" t="s">
        <v>1200</v>
      </c>
      <c r="D491" s="239" t="s">
        <v>3788</v>
      </c>
      <c r="E491" s="58"/>
      <c r="F491" s="59" t="s">
        <v>3789</v>
      </c>
      <c r="G491" s="191" t="s">
        <v>2511</v>
      </c>
      <c r="H491" s="192" t="s">
        <v>377</v>
      </c>
      <c r="I491" s="61" t="s">
        <v>2511</v>
      </c>
      <c r="J491" s="61" t="s">
        <v>2511</v>
      </c>
      <c r="K491" s="62" t="s">
        <v>2511</v>
      </c>
      <c r="L491" s="60" t="s">
        <v>2511</v>
      </c>
      <c r="M491" s="61" t="s">
        <v>2389</v>
      </c>
      <c r="N491" s="61" t="s">
        <v>2511</v>
      </c>
      <c r="O491" s="61" t="s">
        <v>2511</v>
      </c>
      <c r="P491" s="62" t="s">
        <v>2511</v>
      </c>
      <c r="Q491" s="82"/>
      <c r="R491" s="82"/>
      <c r="S491" s="82"/>
      <c r="T491" s="82"/>
      <c r="U491" s="82"/>
      <c r="V491" s="138" t="s">
        <v>3790</v>
      </c>
      <c r="W491" s="57" t="s">
        <v>3660</v>
      </c>
      <c r="X491" s="126" t="s">
        <v>2511</v>
      </c>
      <c r="Y491" s="126" t="s">
        <v>2511</v>
      </c>
      <c r="Z491" s="57"/>
      <c r="AA491" s="57" t="s">
        <v>3661</v>
      </c>
      <c r="AB491" s="138"/>
      <c r="AC491" s="138" t="s">
        <v>2631</v>
      </c>
      <c r="AD491" s="96"/>
      <c r="AE491" s="80"/>
      <c r="AF491" s="80"/>
      <c r="AG491" s="80"/>
      <c r="AH491" s="83"/>
      <c r="AI491" s="83"/>
      <c r="AJ491" s="84"/>
      <c r="AK491" s="84"/>
      <c r="AL491" s="84"/>
      <c r="AM491" s="84"/>
      <c r="AN491" s="84"/>
      <c r="AO491" s="84"/>
      <c r="AP491" s="84"/>
      <c r="AQ491" s="95" t="s">
        <v>377</v>
      </c>
      <c r="AR491" s="72"/>
      <c r="AS491" s="72"/>
      <c r="AT491" s="72"/>
      <c r="AU491" s="72"/>
      <c r="AV491" s="72"/>
      <c r="AW491" s="72"/>
      <c r="AX491" s="72"/>
      <c r="AY491" s="72"/>
      <c r="AZ491" s="72"/>
      <c r="BA491" s="72"/>
      <c r="BB491" s="16"/>
      <c r="BC491" s="72"/>
      <c r="BD491" s="20"/>
      <c r="BE491" s="378"/>
    </row>
    <row r="492" spans="1:57" s="81" customFormat="1" ht="12.95" hidden="1" customHeight="1">
      <c r="A492" s="374"/>
      <c r="B492" s="376"/>
      <c r="C492" s="248" t="s">
        <v>1201</v>
      </c>
      <c r="D492" s="239" t="s">
        <v>3791</v>
      </c>
      <c r="E492" s="58"/>
      <c r="F492" s="59" t="s">
        <v>3792</v>
      </c>
      <c r="G492" s="191" t="s">
        <v>2511</v>
      </c>
      <c r="H492" s="192" t="s">
        <v>378</v>
      </c>
      <c r="I492" s="61" t="s">
        <v>2511</v>
      </c>
      <c r="J492" s="61" t="s">
        <v>2511</v>
      </c>
      <c r="K492" s="62" t="s">
        <v>2511</v>
      </c>
      <c r="L492" s="60" t="s">
        <v>2511</v>
      </c>
      <c r="M492" s="61" t="s">
        <v>2389</v>
      </c>
      <c r="N492" s="61" t="s">
        <v>2511</v>
      </c>
      <c r="O492" s="61" t="s">
        <v>2511</v>
      </c>
      <c r="P492" s="62" t="s">
        <v>2511</v>
      </c>
      <c r="Q492" s="82"/>
      <c r="R492" s="82"/>
      <c r="S492" s="82"/>
      <c r="T492" s="82"/>
      <c r="U492" s="82"/>
      <c r="V492" s="138" t="s">
        <v>3793</v>
      </c>
      <c r="W492" s="57" t="s">
        <v>3660</v>
      </c>
      <c r="X492" s="126" t="s">
        <v>2511</v>
      </c>
      <c r="Y492" s="126" t="s">
        <v>2511</v>
      </c>
      <c r="Z492" s="57"/>
      <c r="AA492" s="57" t="s">
        <v>3661</v>
      </c>
      <c r="AB492" s="138"/>
      <c r="AC492" s="138" t="s">
        <v>2631</v>
      </c>
      <c r="AD492" s="96"/>
      <c r="AE492" s="80"/>
      <c r="AF492" s="80"/>
      <c r="AG492" s="80"/>
      <c r="AH492" s="83"/>
      <c r="AI492" s="83"/>
      <c r="AJ492" s="84"/>
      <c r="AK492" s="84"/>
      <c r="AL492" s="84"/>
      <c r="AM492" s="84"/>
      <c r="AN492" s="84"/>
      <c r="AO492" s="84"/>
      <c r="AP492" s="84"/>
      <c r="AQ492" s="95" t="s">
        <v>378</v>
      </c>
      <c r="AR492" s="72"/>
      <c r="AS492" s="72"/>
      <c r="AT492" s="72"/>
      <c r="AU492" s="72"/>
      <c r="AV492" s="72"/>
      <c r="AW492" s="72"/>
      <c r="AX492" s="72"/>
      <c r="AY492" s="72"/>
      <c r="AZ492" s="72"/>
      <c r="BA492" s="72"/>
      <c r="BB492" s="16"/>
      <c r="BC492" s="72"/>
      <c r="BD492" s="20"/>
      <c r="BE492" s="378"/>
    </row>
    <row r="493" spans="1:57" s="81" customFormat="1" ht="12.95" hidden="1" customHeight="1">
      <c r="A493" s="374"/>
      <c r="B493" s="376"/>
      <c r="C493" s="270" t="s">
        <v>1202</v>
      </c>
      <c r="D493" s="239" t="s">
        <v>3794</v>
      </c>
      <c r="E493" s="58"/>
      <c r="F493" s="59" t="s">
        <v>3795</v>
      </c>
      <c r="G493" s="191" t="s">
        <v>2511</v>
      </c>
      <c r="H493" s="192" t="s">
        <v>379</v>
      </c>
      <c r="I493" s="61" t="s">
        <v>2511</v>
      </c>
      <c r="J493" s="61" t="s">
        <v>2511</v>
      </c>
      <c r="K493" s="62" t="s">
        <v>2511</v>
      </c>
      <c r="L493" s="60" t="s">
        <v>2511</v>
      </c>
      <c r="M493" s="61" t="s">
        <v>2389</v>
      </c>
      <c r="N493" s="61" t="s">
        <v>2511</v>
      </c>
      <c r="O493" s="61" t="s">
        <v>2511</v>
      </c>
      <c r="P493" s="62" t="s">
        <v>2511</v>
      </c>
      <c r="Q493" s="82"/>
      <c r="R493" s="82"/>
      <c r="S493" s="82"/>
      <c r="T493" s="82"/>
      <c r="U493" s="82"/>
      <c r="V493" s="138" t="s">
        <v>3796</v>
      </c>
      <c r="W493" s="57" t="s">
        <v>3660</v>
      </c>
      <c r="X493" s="126" t="s">
        <v>2511</v>
      </c>
      <c r="Y493" s="126" t="s">
        <v>2511</v>
      </c>
      <c r="Z493" s="57"/>
      <c r="AA493" s="57" t="s">
        <v>3661</v>
      </c>
      <c r="AB493" s="138"/>
      <c r="AC493" s="138" t="s">
        <v>2631</v>
      </c>
      <c r="AD493" s="96"/>
      <c r="AE493" s="80"/>
      <c r="AF493" s="80"/>
      <c r="AG493" s="80"/>
      <c r="AH493" s="83"/>
      <c r="AI493" s="83"/>
      <c r="AJ493" s="84"/>
      <c r="AK493" s="84"/>
      <c r="AL493" s="84"/>
      <c r="AM493" s="84"/>
      <c r="AN493" s="84"/>
      <c r="AO493" s="84"/>
      <c r="AP493" s="84"/>
      <c r="AQ493" s="95" t="s">
        <v>379</v>
      </c>
      <c r="AR493" s="72"/>
      <c r="AS493" s="72"/>
      <c r="AT493" s="72"/>
      <c r="AU493" s="72"/>
      <c r="AV493" s="72"/>
      <c r="AW493" s="72"/>
      <c r="AX493" s="72"/>
      <c r="AY493" s="72"/>
      <c r="AZ493" s="72"/>
      <c r="BA493" s="72"/>
      <c r="BB493" s="16"/>
      <c r="BC493" s="72"/>
      <c r="BD493" s="20"/>
      <c r="BE493" s="378"/>
    </row>
    <row r="494" spans="1:57" s="81" customFormat="1" ht="12.95" hidden="1" customHeight="1">
      <c r="A494" s="374"/>
      <c r="B494" s="376"/>
      <c r="C494" s="270" t="s">
        <v>1203</v>
      </c>
      <c r="D494" s="239" t="s">
        <v>3797</v>
      </c>
      <c r="E494" s="58"/>
      <c r="F494" s="59" t="s">
        <v>3798</v>
      </c>
      <c r="G494" s="191" t="s">
        <v>2511</v>
      </c>
      <c r="H494" s="192" t="s">
        <v>380</v>
      </c>
      <c r="I494" s="61" t="s">
        <v>2511</v>
      </c>
      <c r="J494" s="61" t="s">
        <v>2511</v>
      </c>
      <c r="K494" s="62" t="s">
        <v>2511</v>
      </c>
      <c r="L494" s="60" t="s">
        <v>2511</v>
      </c>
      <c r="M494" s="61" t="s">
        <v>2389</v>
      </c>
      <c r="N494" s="61" t="s">
        <v>2511</v>
      </c>
      <c r="O494" s="61" t="s">
        <v>2511</v>
      </c>
      <c r="P494" s="62" t="s">
        <v>2511</v>
      </c>
      <c r="Q494" s="82"/>
      <c r="R494" s="82"/>
      <c r="S494" s="82"/>
      <c r="T494" s="82"/>
      <c r="U494" s="82"/>
      <c r="V494" s="138" t="s">
        <v>3799</v>
      </c>
      <c r="W494" s="57" t="s">
        <v>3660</v>
      </c>
      <c r="X494" s="126" t="s">
        <v>2511</v>
      </c>
      <c r="Y494" s="126" t="s">
        <v>2511</v>
      </c>
      <c r="Z494" s="57"/>
      <c r="AA494" s="57" t="s">
        <v>3661</v>
      </c>
      <c r="AB494" s="138"/>
      <c r="AC494" s="138" t="s">
        <v>2631</v>
      </c>
      <c r="AD494" s="96"/>
      <c r="AE494" s="80"/>
      <c r="AF494" s="80"/>
      <c r="AG494" s="80"/>
      <c r="AH494" s="83"/>
      <c r="AI494" s="83"/>
      <c r="AJ494" s="84"/>
      <c r="AK494" s="84"/>
      <c r="AL494" s="84"/>
      <c r="AM494" s="84"/>
      <c r="AN494" s="84"/>
      <c r="AO494" s="84"/>
      <c r="AP494" s="84"/>
      <c r="AQ494" s="95" t="s">
        <v>380</v>
      </c>
      <c r="AR494" s="72"/>
      <c r="AS494" s="72"/>
      <c r="AT494" s="72"/>
      <c r="AU494" s="72"/>
      <c r="AV494" s="72"/>
      <c r="AW494" s="72"/>
      <c r="AX494" s="72"/>
      <c r="AY494" s="72"/>
      <c r="AZ494" s="72"/>
      <c r="BA494" s="72"/>
      <c r="BB494" s="16"/>
      <c r="BC494" s="72"/>
      <c r="BD494" s="20"/>
      <c r="BE494" s="378"/>
    </row>
    <row r="495" spans="1:57" s="81" customFormat="1" ht="12.95" hidden="1" customHeight="1">
      <c r="A495" s="374"/>
      <c r="B495" s="376"/>
      <c r="C495" s="248" t="s">
        <v>1204</v>
      </c>
      <c r="D495" s="239" t="s">
        <v>3800</v>
      </c>
      <c r="E495" s="58"/>
      <c r="F495" s="59" t="s">
        <v>3801</v>
      </c>
      <c r="G495" s="191" t="s">
        <v>2511</v>
      </c>
      <c r="H495" s="192" t="s">
        <v>381</v>
      </c>
      <c r="I495" s="61" t="s">
        <v>2511</v>
      </c>
      <c r="J495" s="61" t="s">
        <v>2511</v>
      </c>
      <c r="K495" s="62" t="s">
        <v>2511</v>
      </c>
      <c r="L495" s="60" t="s">
        <v>2511</v>
      </c>
      <c r="M495" s="61" t="s">
        <v>2389</v>
      </c>
      <c r="N495" s="61" t="s">
        <v>2511</v>
      </c>
      <c r="O495" s="61" t="s">
        <v>2511</v>
      </c>
      <c r="P495" s="62" t="s">
        <v>2511</v>
      </c>
      <c r="Q495" s="82"/>
      <c r="R495" s="82"/>
      <c r="S495" s="82"/>
      <c r="T495" s="82"/>
      <c r="U495" s="82"/>
      <c r="V495" s="138" t="s">
        <v>3802</v>
      </c>
      <c r="W495" s="57" t="s">
        <v>3660</v>
      </c>
      <c r="X495" s="126" t="s">
        <v>2511</v>
      </c>
      <c r="Y495" s="126" t="s">
        <v>2511</v>
      </c>
      <c r="Z495" s="57"/>
      <c r="AA495" s="57" t="s">
        <v>3661</v>
      </c>
      <c r="AB495" s="138"/>
      <c r="AC495" s="138">
        <v>0</v>
      </c>
      <c r="AD495" s="96"/>
      <c r="AE495" s="80"/>
      <c r="AF495" s="80"/>
      <c r="AG495" s="80"/>
      <c r="AH495" s="83"/>
      <c r="AI495" s="83"/>
      <c r="AJ495" s="84"/>
      <c r="AK495" s="84"/>
      <c r="AL495" s="84"/>
      <c r="AM495" s="84"/>
      <c r="AN495" s="84"/>
      <c r="AO495" s="84"/>
      <c r="AP495" s="84"/>
      <c r="AQ495" s="95" t="s">
        <v>381</v>
      </c>
      <c r="AR495" s="72"/>
      <c r="AS495" s="72"/>
      <c r="AT495" s="72"/>
      <c r="AU495" s="72"/>
      <c r="AV495" s="72"/>
      <c r="AW495" s="72"/>
      <c r="AX495" s="72"/>
      <c r="AY495" s="72"/>
      <c r="AZ495" s="72"/>
      <c r="BA495" s="72"/>
      <c r="BB495" s="16"/>
      <c r="BC495" s="72"/>
      <c r="BD495" s="20"/>
      <c r="BE495" s="378"/>
    </row>
    <row r="496" spans="1:57" s="81" customFormat="1" ht="12.95" hidden="1" customHeight="1">
      <c r="A496" s="374"/>
      <c r="B496" s="376"/>
      <c r="C496" s="248" t="s">
        <v>1205</v>
      </c>
      <c r="D496" s="239" t="s">
        <v>3803</v>
      </c>
      <c r="E496" s="58"/>
      <c r="F496" s="59" t="s">
        <v>3804</v>
      </c>
      <c r="G496" s="191" t="s">
        <v>2511</v>
      </c>
      <c r="H496" s="192" t="s">
        <v>382</v>
      </c>
      <c r="I496" s="61" t="s">
        <v>2511</v>
      </c>
      <c r="J496" s="61" t="s">
        <v>2511</v>
      </c>
      <c r="K496" s="62" t="s">
        <v>2511</v>
      </c>
      <c r="L496" s="60" t="s">
        <v>2511</v>
      </c>
      <c r="M496" s="61" t="s">
        <v>2389</v>
      </c>
      <c r="N496" s="61" t="s">
        <v>2511</v>
      </c>
      <c r="O496" s="61" t="s">
        <v>2511</v>
      </c>
      <c r="P496" s="62" t="s">
        <v>2511</v>
      </c>
      <c r="Q496" s="82"/>
      <c r="R496" s="82"/>
      <c r="S496" s="82"/>
      <c r="T496" s="82"/>
      <c r="U496" s="82"/>
      <c r="V496" s="138" t="s">
        <v>3805</v>
      </c>
      <c r="W496" s="57" t="s">
        <v>3660</v>
      </c>
      <c r="X496" s="126" t="s">
        <v>2511</v>
      </c>
      <c r="Y496" s="126" t="s">
        <v>2511</v>
      </c>
      <c r="Z496" s="57"/>
      <c r="AA496" s="57" t="s">
        <v>3661</v>
      </c>
      <c r="AB496" s="138"/>
      <c r="AC496" s="138" t="s">
        <v>2631</v>
      </c>
      <c r="AD496" s="96"/>
      <c r="AE496" s="80"/>
      <c r="AF496" s="80"/>
      <c r="AG496" s="80"/>
      <c r="AH496" s="83"/>
      <c r="AI496" s="83"/>
      <c r="AJ496" s="84"/>
      <c r="AK496" s="84"/>
      <c r="AL496" s="84"/>
      <c r="AM496" s="84"/>
      <c r="AN496" s="84"/>
      <c r="AO496" s="84"/>
      <c r="AP496" s="84"/>
      <c r="AQ496" s="95" t="s">
        <v>382</v>
      </c>
      <c r="AR496" s="72"/>
      <c r="AS496" s="72"/>
      <c r="AT496" s="72"/>
      <c r="AU496" s="72"/>
      <c r="AV496" s="72"/>
      <c r="AW496" s="72"/>
      <c r="AX496" s="72"/>
      <c r="AY496" s="72"/>
      <c r="AZ496" s="72"/>
      <c r="BA496" s="72"/>
      <c r="BB496" s="16"/>
      <c r="BC496" s="72"/>
      <c r="BD496" s="20"/>
      <c r="BE496" s="378"/>
    </row>
    <row r="497" spans="1:57" s="81" customFormat="1" ht="12.95" hidden="1" customHeight="1">
      <c r="A497" s="374"/>
      <c r="B497" s="376"/>
      <c r="C497" s="248" t="s">
        <v>1206</v>
      </c>
      <c r="D497" s="239" t="s">
        <v>3806</v>
      </c>
      <c r="E497" s="58"/>
      <c r="F497" s="59" t="s">
        <v>3807</v>
      </c>
      <c r="G497" s="191" t="s">
        <v>2511</v>
      </c>
      <c r="H497" s="192" t="s">
        <v>383</v>
      </c>
      <c r="I497" s="61" t="s">
        <v>2511</v>
      </c>
      <c r="J497" s="61" t="s">
        <v>2511</v>
      </c>
      <c r="K497" s="62" t="s">
        <v>2511</v>
      </c>
      <c r="L497" s="60" t="s">
        <v>2511</v>
      </c>
      <c r="M497" s="61" t="s">
        <v>2389</v>
      </c>
      <c r="N497" s="61" t="s">
        <v>2511</v>
      </c>
      <c r="O497" s="61" t="s">
        <v>2511</v>
      </c>
      <c r="P497" s="62" t="s">
        <v>2511</v>
      </c>
      <c r="Q497" s="82"/>
      <c r="R497" s="82"/>
      <c r="S497" s="82"/>
      <c r="T497" s="82"/>
      <c r="U497" s="82"/>
      <c r="V497" s="138" t="s">
        <v>3808</v>
      </c>
      <c r="W497" s="57" t="s">
        <v>3660</v>
      </c>
      <c r="X497" s="126" t="s">
        <v>2511</v>
      </c>
      <c r="Y497" s="126" t="s">
        <v>2511</v>
      </c>
      <c r="Z497" s="57"/>
      <c r="AA497" s="57" t="s">
        <v>3661</v>
      </c>
      <c r="AB497" s="138"/>
      <c r="AC497" s="138" t="s">
        <v>2631</v>
      </c>
      <c r="AD497" s="96"/>
      <c r="AE497" s="80"/>
      <c r="AF497" s="80"/>
      <c r="AG497" s="80"/>
      <c r="AH497" s="83"/>
      <c r="AI497" s="83"/>
      <c r="AJ497" s="84"/>
      <c r="AK497" s="84"/>
      <c r="AL497" s="84"/>
      <c r="AM497" s="84"/>
      <c r="AN497" s="84"/>
      <c r="AO497" s="84"/>
      <c r="AP497" s="84"/>
      <c r="AQ497" s="95" t="s">
        <v>383</v>
      </c>
      <c r="AR497" s="72"/>
      <c r="AS497" s="72"/>
      <c r="AT497" s="72"/>
      <c r="AU497" s="72"/>
      <c r="AV497" s="72"/>
      <c r="AW497" s="72"/>
      <c r="AX497" s="72"/>
      <c r="AY497" s="72"/>
      <c r="AZ497" s="72"/>
      <c r="BA497" s="72"/>
      <c r="BB497" s="16"/>
      <c r="BC497" s="72"/>
      <c r="BD497" s="20"/>
      <c r="BE497" s="378"/>
    </row>
    <row r="498" spans="1:57" s="81" customFormat="1" ht="12.95" hidden="1" customHeight="1">
      <c r="A498" s="374"/>
      <c r="B498" s="376"/>
      <c r="C498" s="248" t="s">
        <v>1207</v>
      </c>
      <c r="D498" s="239" t="s">
        <v>3809</v>
      </c>
      <c r="E498" s="58"/>
      <c r="F498" s="59" t="s">
        <v>3810</v>
      </c>
      <c r="G498" s="191" t="s">
        <v>2511</v>
      </c>
      <c r="H498" s="192" t="s">
        <v>384</v>
      </c>
      <c r="I498" s="61" t="s">
        <v>2511</v>
      </c>
      <c r="J498" s="61" t="s">
        <v>2511</v>
      </c>
      <c r="K498" s="62" t="s">
        <v>2511</v>
      </c>
      <c r="L498" s="60" t="s">
        <v>2511</v>
      </c>
      <c r="M498" s="61" t="s">
        <v>2389</v>
      </c>
      <c r="N498" s="61" t="s">
        <v>2511</v>
      </c>
      <c r="O498" s="61" t="s">
        <v>2511</v>
      </c>
      <c r="P498" s="62" t="s">
        <v>2511</v>
      </c>
      <c r="Q498" s="82"/>
      <c r="R498" s="82"/>
      <c r="S498" s="82"/>
      <c r="T498" s="82"/>
      <c r="U498" s="82"/>
      <c r="V498" s="138" t="s">
        <v>3811</v>
      </c>
      <c r="W498" s="57" t="s">
        <v>3660</v>
      </c>
      <c r="X498" s="126" t="s">
        <v>2511</v>
      </c>
      <c r="Y498" s="126" t="s">
        <v>2511</v>
      </c>
      <c r="Z498" s="57"/>
      <c r="AA498" s="57" t="s">
        <v>3661</v>
      </c>
      <c r="AB498" s="138"/>
      <c r="AC498" s="138" t="s">
        <v>2631</v>
      </c>
      <c r="AD498" s="96"/>
      <c r="AE498" s="80"/>
      <c r="AF498" s="80"/>
      <c r="AG498" s="80"/>
      <c r="AH498" s="83"/>
      <c r="AI498" s="83"/>
      <c r="AJ498" s="84"/>
      <c r="AK498" s="84"/>
      <c r="AL498" s="84"/>
      <c r="AM498" s="84"/>
      <c r="AN498" s="84"/>
      <c r="AO498" s="84"/>
      <c r="AP498" s="84"/>
      <c r="AQ498" s="95" t="s">
        <v>384</v>
      </c>
      <c r="AR498" s="72"/>
      <c r="AS498" s="72"/>
      <c r="AT498" s="72"/>
      <c r="AU498" s="72"/>
      <c r="AV498" s="72"/>
      <c r="AW498" s="72"/>
      <c r="AX498" s="72"/>
      <c r="AY498" s="72"/>
      <c r="AZ498" s="72"/>
      <c r="BA498" s="72"/>
      <c r="BB498" s="16"/>
      <c r="BC498" s="72"/>
      <c r="BD498" s="20"/>
      <c r="BE498" s="378"/>
    </row>
    <row r="499" spans="1:57" s="81" customFormat="1" ht="12.95" hidden="1" customHeight="1">
      <c r="A499" s="374"/>
      <c r="B499" s="376"/>
      <c r="C499" s="248" t="s">
        <v>1208</v>
      </c>
      <c r="D499" s="239" t="s">
        <v>3812</v>
      </c>
      <c r="E499" s="58"/>
      <c r="F499" s="59" t="s">
        <v>3813</v>
      </c>
      <c r="G499" s="191" t="s">
        <v>2511</v>
      </c>
      <c r="H499" s="192" t="s">
        <v>385</v>
      </c>
      <c r="I499" s="61" t="s">
        <v>2511</v>
      </c>
      <c r="J499" s="61" t="s">
        <v>2511</v>
      </c>
      <c r="K499" s="62" t="s">
        <v>2511</v>
      </c>
      <c r="L499" s="60" t="s">
        <v>2511</v>
      </c>
      <c r="M499" s="61" t="s">
        <v>2389</v>
      </c>
      <c r="N499" s="61" t="s">
        <v>2511</v>
      </c>
      <c r="O499" s="61" t="s">
        <v>2511</v>
      </c>
      <c r="P499" s="62" t="s">
        <v>2511</v>
      </c>
      <c r="Q499" s="82"/>
      <c r="R499" s="82"/>
      <c r="S499" s="82"/>
      <c r="T499" s="82"/>
      <c r="U499" s="82"/>
      <c r="V499" s="138" t="s">
        <v>3814</v>
      </c>
      <c r="W499" s="57" t="s">
        <v>3660</v>
      </c>
      <c r="X499" s="126" t="s">
        <v>2511</v>
      </c>
      <c r="Y499" s="126" t="s">
        <v>2511</v>
      </c>
      <c r="Z499" s="57"/>
      <c r="AA499" s="57" t="s">
        <v>3661</v>
      </c>
      <c r="AB499" s="138"/>
      <c r="AC499" s="138" t="s">
        <v>2631</v>
      </c>
      <c r="AD499" s="96"/>
      <c r="AE499" s="80"/>
      <c r="AF499" s="80"/>
      <c r="AG499" s="80"/>
      <c r="AH499" s="83"/>
      <c r="AI499" s="83"/>
      <c r="AJ499" s="84"/>
      <c r="AK499" s="84"/>
      <c r="AL499" s="84"/>
      <c r="AM499" s="84"/>
      <c r="AN499" s="84"/>
      <c r="AO499" s="84"/>
      <c r="AP499" s="84"/>
      <c r="AQ499" s="95" t="s">
        <v>385</v>
      </c>
      <c r="AR499" s="72"/>
      <c r="AS499" s="72"/>
      <c r="AT499" s="72"/>
      <c r="AU499" s="72"/>
      <c r="AV499" s="72"/>
      <c r="AW499" s="72"/>
      <c r="AX499" s="72"/>
      <c r="AY499" s="72"/>
      <c r="AZ499" s="72"/>
      <c r="BA499" s="72"/>
      <c r="BB499" s="16"/>
      <c r="BC499" s="72"/>
      <c r="BD499" s="20"/>
      <c r="BE499" s="378"/>
    </row>
    <row r="500" spans="1:57" s="81" customFormat="1" ht="12.95" hidden="1" customHeight="1">
      <c r="A500" s="374"/>
      <c r="B500" s="376"/>
      <c r="C500" s="248" t="s">
        <v>1209</v>
      </c>
      <c r="D500" s="239" t="s">
        <v>3815</v>
      </c>
      <c r="E500" s="58"/>
      <c r="F500" s="59" t="s">
        <v>3816</v>
      </c>
      <c r="G500" s="191" t="s">
        <v>2511</v>
      </c>
      <c r="H500" s="192" t="s">
        <v>386</v>
      </c>
      <c r="I500" s="61" t="s">
        <v>2511</v>
      </c>
      <c r="J500" s="61" t="s">
        <v>2511</v>
      </c>
      <c r="K500" s="62" t="s">
        <v>2511</v>
      </c>
      <c r="L500" s="60" t="s">
        <v>2511</v>
      </c>
      <c r="M500" s="61" t="s">
        <v>2389</v>
      </c>
      <c r="N500" s="61" t="s">
        <v>2511</v>
      </c>
      <c r="O500" s="61" t="s">
        <v>2511</v>
      </c>
      <c r="P500" s="62" t="s">
        <v>2511</v>
      </c>
      <c r="Q500" s="82"/>
      <c r="R500" s="82"/>
      <c r="S500" s="82"/>
      <c r="T500" s="82"/>
      <c r="U500" s="82"/>
      <c r="V500" s="138" t="s">
        <v>3817</v>
      </c>
      <c r="W500" s="57" t="s">
        <v>3660</v>
      </c>
      <c r="X500" s="126" t="s">
        <v>2511</v>
      </c>
      <c r="Y500" s="126" t="s">
        <v>2511</v>
      </c>
      <c r="Z500" s="57"/>
      <c r="AA500" s="57" t="s">
        <v>3661</v>
      </c>
      <c r="AB500" s="138"/>
      <c r="AC500" s="138" t="s">
        <v>2631</v>
      </c>
      <c r="AD500" s="96"/>
      <c r="AE500" s="80"/>
      <c r="AF500" s="80"/>
      <c r="AG500" s="80"/>
      <c r="AH500" s="83"/>
      <c r="AI500" s="83"/>
      <c r="AJ500" s="84"/>
      <c r="AK500" s="84"/>
      <c r="AL500" s="84"/>
      <c r="AM500" s="84"/>
      <c r="AN500" s="84"/>
      <c r="AO500" s="84"/>
      <c r="AP500" s="84"/>
      <c r="AQ500" s="95" t="s">
        <v>386</v>
      </c>
      <c r="AR500" s="72"/>
      <c r="AS500" s="72"/>
      <c r="AT500" s="72"/>
      <c r="AU500" s="72"/>
      <c r="AV500" s="72"/>
      <c r="AW500" s="72"/>
      <c r="AX500" s="72"/>
      <c r="AY500" s="72"/>
      <c r="AZ500" s="72"/>
      <c r="BA500" s="72"/>
      <c r="BB500" s="16"/>
      <c r="BC500" s="72"/>
      <c r="BD500" s="20"/>
      <c r="BE500" s="378"/>
    </row>
    <row r="501" spans="1:57" s="81" customFormat="1" ht="12.95" hidden="1" customHeight="1">
      <c r="A501" s="374"/>
      <c r="B501" s="376"/>
      <c r="C501" s="248" t="s">
        <v>1210</v>
      </c>
      <c r="D501" s="239" t="s">
        <v>3818</v>
      </c>
      <c r="E501" s="58"/>
      <c r="F501" s="59" t="s">
        <v>3819</v>
      </c>
      <c r="G501" s="191" t="s">
        <v>2511</v>
      </c>
      <c r="H501" s="192" t="s">
        <v>387</v>
      </c>
      <c r="I501" s="61" t="s">
        <v>2511</v>
      </c>
      <c r="J501" s="61" t="s">
        <v>2511</v>
      </c>
      <c r="K501" s="62" t="s">
        <v>2511</v>
      </c>
      <c r="L501" s="60" t="s">
        <v>2511</v>
      </c>
      <c r="M501" s="61" t="s">
        <v>2389</v>
      </c>
      <c r="N501" s="61" t="s">
        <v>2511</v>
      </c>
      <c r="O501" s="61" t="s">
        <v>2511</v>
      </c>
      <c r="P501" s="62" t="s">
        <v>2511</v>
      </c>
      <c r="Q501" s="82"/>
      <c r="R501" s="82"/>
      <c r="S501" s="82"/>
      <c r="T501" s="82"/>
      <c r="U501" s="82"/>
      <c r="V501" s="138" t="s">
        <v>3820</v>
      </c>
      <c r="W501" s="57" t="s">
        <v>3660</v>
      </c>
      <c r="X501" s="126" t="s">
        <v>2511</v>
      </c>
      <c r="Y501" s="126" t="s">
        <v>2511</v>
      </c>
      <c r="Z501" s="57"/>
      <c r="AA501" s="57" t="s">
        <v>3661</v>
      </c>
      <c r="AB501" s="138"/>
      <c r="AC501" s="138" t="s">
        <v>2631</v>
      </c>
      <c r="AD501" s="96"/>
      <c r="AE501" s="80"/>
      <c r="AF501" s="80"/>
      <c r="AG501" s="80"/>
      <c r="AH501" s="83"/>
      <c r="AI501" s="83"/>
      <c r="AJ501" s="84"/>
      <c r="AK501" s="84"/>
      <c r="AL501" s="84"/>
      <c r="AM501" s="84"/>
      <c r="AN501" s="84"/>
      <c r="AO501" s="84"/>
      <c r="AP501" s="84"/>
      <c r="AQ501" s="95" t="s">
        <v>387</v>
      </c>
      <c r="AR501" s="72"/>
      <c r="AS501" s="72"/>
      <c r="AT501" s="72"/>
      <c r="AU501" s="72"/>
      <c r="AV501" s="72"/>
      <c r="AW501" s="72"/>
      <c r="AX501" s="72"/>
      <c r="AY501" s="72"/>
      <c r="AZ501" s="72"/>
      <c r="BA501" s="72"/>
      <c r="BB501" s="16"/>
      <c r="BC501" s="72"/>
      <c r="BD501" s="20"/>
      <c r="BE501" s="378"/>
    </row>
    <row r="502" spans="1:57" s="81" customFormat="1" ht="12.95" hidden="1" customHeight="1">
      <c r="A502" s="374"/>
      <c r="B502" s="376"/>
      <c r="C502" s="248" t="s">
        <v>1211</v>
      </c>
      <c r="D502" s="239" t="s">
        <v>3821</v>
      </c>
      <c r="E502" s="58"/>
      <c r="F502" s="59" t="s">
        <v>3822</v>
      </c>
      <c r="G502" s="191" t="s">
        <v>2511</v>
      </c>
      <c r="H502" s="192" t="s">
        <v>388</v>
      </c>
      <c r="I502" s="61" t="s">
        <v>2511</v>
      </c>
      <c r="J502" s="61" t="s">
        <v>2511</v>
      </c>
      <c r="K502" s="62" t="s">
        <v>2511</v>
      </c>
      <c r="L502" s="60" t="s">
        <v>2511</v>
      </c>
      <c r="M502" s="61" t="s">
        <v>2389</v>
      </c>
      <c r="N502" s="61" t="s">
        <v>2511</v>
      </c>
      <c r="O502" s="61" t="s">
        <v>2511</v>
      </c>
      <c r="P502" s="62" t="s">
        <v>2511</v>
      </c>
      <c r="Q502" s="82"/>
      <c r="R502" s="82"/>
      <c r="S502" s="82"/>
      <c r="T502" s="82"/>
      <c r="U502" s="82"/>
      <c r="V502" s="138" t="s">
        <v>3823</v>
      </c>
      <c r="W502" s="57" t="s">
        <v>3660</v>
      </c>
      <c r="X502" s="126" t="s">
        <v>2511</v>
      </c>
      <c r="Y502" s="126" t="s">
        <v>2511</v>
      </c>
      <c r="Z502" s="57"/>
      <c r="AA502" s="57" t="s">
        <v>3661</v>
      </c>
      <c r="AB502" s="138"/>
      <c r="AC502" s="138" t="s">
        <v>2631</v>
      </c>
      <c r="AD502" s="96"/>
      <c r="AE502" s="80"/>
      <c r="AF502" s="80"/>
      <c r="AG502" s="80"/>
      <c r="AH502" s="83"/>
      <c r="AI502" s="83"/>
      <c r="AJ502" s="84"/>
      <c r="AK502" s="84"/>
      <c r="AL502" s="84"/>
      <c r="AM502" s="84"/>
      <c r="AN502" s="84"/>
      <c r="AO502" s="84"/>
      <c r="AP502" s="84"/>
      <c r="AQ502" s="95" t="s">
        <v>388</v>
      </c>
      <c r="AR502" s="72"/>
      <c r="AS502" s="72"/>
      <c r="AT502" s="72"/>
      <c r="AU502" s="72"/>
      <c r="AV502" s="72"/>
      <c r="AW502" s="72"/>
      <c r="AX502" s="72"/>
      <c r="AY502" s="72"/>
      <c r="AZ502" s="72"/>
      <c r="BA502" s="72"/>
      <c r="BB502" s="16"/>
      <c r="BC502" s="72"/>
      <c r="BD502" s="20"/>
      <c r="BE502" s="378"/>
    </row>
    <row r="503" spans="1:57" s="81" customFormat="1" ht="12.95" hidden="1" customHeight="1">
      <c r="A503" s="374"/>
      <c r="B503" s="376"/>
      <c r="C503" s="248" t="s">
        <v>1212</v>
      </c>
      <c r="D503" s="239" t="s">
        <v>3824</v>
      </c>
      <c r="E503" s="58"/>
      <c r="F503" s="59" t="s">
        <v>3825</v>
      </c>
      <c r="G503" s="191" t="s">
        <v>2511</v>
      </c>
      <c r="H503" s="192" t="s">
        <v>389</v>
      </c>
      <c r="I503" s="61" t="s">
        <v>2511</v>
      </c>
      <c r="J503" s="61" t="s">
        <v>2511</v>
      </c>
      <c r="K503" s="62" t="s">
        <v>2511</v>
      </c>
      <c r="L503" s="60" t="s">
        <v>2511</v>
      </c>
      <c r="M503" s="61" t="s">
        <v>2389</v>
      </c>
      <c r="N503" s="61" t="s">
        <v>2511</v>
      </c>
      <c r="O503" s="61" t="s">
        <v>2511</v>
      </c>
      <c r="P503" s="62" t="s">
        <v>2511</v>
      </c>
      <c r="Q503" s="82"/>
      <c r="R503" s="82"/>
      <c r="S503" s="82"/>
      <c r="T503" s="82"/>
      <c r="U503" s="82"/>
      <c r="V503" s="138" t="s">
        <v>3826</v>
      </c>
      <c r="W503" s="57" t="s">
        <v>3660</v>
      </c>
      <c r="X503" s="126" t="s">
        <v>2511</v>
      </c>
      <c r="Y503" s="126" t="s">
        <v>2511</v>
      </c>
      <c r="Z503" s="57"/>
      <c r="AA503" s="57" t="s">
        <v>3661</v>
      </c>
      <c r="AB503" s="138"/>
      <c r="AC503" s="138" t="s">
        <v>2631</v>
      </c>
      <c r="AD503" s="96"/>
      <c r="AE503" s="80"/>
      <c r="AF503" s="80"/>
      <c r="AG503" s="80"/>
      <c r="AH503" s="83"/>
      <c r="AI503" s="83"/>
      <c r="AJ503" s="84"/>
      <c r="AK503" s="84"/>
      <c r="AL503" s="84"/>
      <c r="AM503" s="84"/>
      <c r="AN503" s="84"/>
      <c r="AO503" s="84"/>
      <c r="AP503" s="84"/>
      <c r="AQ503" s="95" t="s">
        <v>389</v>
      </c>
      <c r="AR503" s="72"/>
      <c r="AS503" s="72"/>
      <c r="AT503" s="72"/>
      <c r="AU503" s="72"/>
      <c r="AV503" s="72"/>
      <c r="AW503" s="72"/>
      <c r="AX503" s="72"/>
      <c r="AY503" s="72"/>
      <c r="AZ503" s="72"/>
      <c r="BA503" s="72"/>
      <c r="BB503" s="16"/>
      <c r="BC503" s="72"/>
      <c r="BD503" s="20"/>
      <c r="BE503" s="378"/>
    </row>
    <row r="504" spans="1:57" s="81" customFormat="1" ht="12.95" hidden="1" customHeight="1">
      <c r="A504" s="374"/>
      <c r="B504" s="376"/>
      <c r="C504" s="248" t="s">
        <v>1213</v>
      </c>
      <c r="D504" s="239" t="s">
        <v>3827</v>
      </c>
      <c r="E504" s="58"/>
      <c r="F504" s="59" t="s">
        <v>3828</v>
      </c>
      <c r="G504" s="191" t="s">
        <v>2511</v>
      </c>
      <c r="H504" s="192" t="s">
        <v>390</v>
      </c>
      <c r="I504" s="61" t="s">
        <v>2511</v>
      </c>
      <c r="J504" s="61" t="s">
        <v>2511</v>
      </c>
      <c r="K504" s="62" t="s">
        <v>2511</v>
      </c>
      <c r="L504" s="60" t="s">
        <v>2511</v>
      </c>
      <c r="M504" s="61" t="s">
        <v>2389</v>
      </c>
      <c r="N504" s="61" t="s">
        <v>2511</v>
      </c>
      <c r="O504" s="61" t="s">
        <v>2511</v>
      </c>
      <c r="P504" s="62" t="s">
        <v>2511</v>
      </c>
      <c r="Q504" s="82"/>
      <c r="R504" s="82"/>
      <c r="S504" s="82"/>
      <c r="T504" s="82"/>
      <c r="U504" s="82"/>
      <c r="V504" s="138" t="s">
        <v>3829</v>
      </c>
      <c r="W504" s="57" t="s">
        <v>3660</v>
      </c>
      <c r="X504" s="126" t="s">
        <v>2511</v>
      </c>
      <c r="Y504" s="126" t="s">
        <v>2511</v>
      </c>
      <c r="Z504" s="57"/>
      <c r="AA504" s="57" t="s">
        <v>3661</v>
      </c>
      <c r="AB504" s="138"/>
      <c r="AC504" s="138" t="s">
        <v>2631</v>
      </c>
      <c r="AD504" s="96"/>
      <c r="AE504" s="80"/>
      <c r="AF504" s="80"/>
      <c r="AG504" s="80"/>
      <c r="AH504" s="83"/>
      <c r="AI504" s="83"/>
      <c r="AJ504" s="84"/>
      <c r="AK504" s="84"/>
      <c r="AL504" s="84"/>
      <c r="AM504" s="84"/>
      <c r="AN504" s="84"/>
      <c r="AO504" s="84"/>
      <c r="AP504" s="84"/>
      <c r="AQ504" s="95" t="s">
        <v>390</v>
      </c>
      <c r="AR504" s="72"/>
      <c r="AS504" s="72"/>
      <c r="AT504" s="72"/>
      <c r="AU504" s="72"/>
      <c r="AV504" s="72"/>
      <c r="AW504" s="72"/>
      <c r="AX504" s="72"/>
      <c r="AY504" s="72"/>
      <c r="AZ504" s="72"/>
      <c r="BA504" s="72"/>
      <c r="BB504" s="16"/>
      <c r="BC504" s="72"/>
      <c r="BD504" s="20"/>
      <c r="BE504" s="378"/>
    </row>
    <row r="505" spans="1:57" s="81" customFormat="1" ht="12.95" hidden="1" customHeight="1">
      <c r="A505" s="374"/>
      <c r="B505" s="376"/>
      <c r="C505" s="270" t="s">
        <v>1214</v>
      </c>
      <c r="D505" s="239" t="s">
        <v>3830</v>
      </c>
      <c r="E505" s="58"/>
      <c r="F505" s="59" t="s">
        <v>3831</v>
      </c>
      <c r="G505" s="191" t="s">
        <v>2511</v>
      </c>
      <c r="H505" s="192" t="s">
        <v>391</v>
      </c>
      <c r="I505" s="61" t="s">
        <v>2511</v>
      </c>
      <c r="J505" s="61" t="s">
        <v>2511</v>
      </c>
      <c r="K505" s="62" t="s">
        <v>2511</v>
      </c>
      <c r="L505" s="60" t="s">
        <v>2511</v>
      </c>
      <c r="M505" s="61" t="s">
        <v>2389</v>
      </c>
      <c r="N505" s="61" t="s">
        <v>2511</v>
      </c>
      <c r="O505" s="61" t="s">
        <v>2511</v>
      </c>
      <c r="P505" s="62" t="s">
        <v>2511</v>
      </c>
      <c r="Q505" s="82"/>
      <c r="R505" s="82"/>
      <c r="S505" s="82"/>
      <c r="T505" s="82"/>
      <c r="U505" s="82"/>
      <c r="V505" s="138" t="s">
        <v>3832</v>
      </c>
      <c r="W505" s="57" t="s">
        <v>3660</v>
      </c>
      <c r="X505" s="126" t="s">
        <v>2511</v>
      </c>
      <c r="Y505" s="126" t="s">
        <v>2511</v>
      </c>
      <c r="Z505" s="57"/>
      <c r="AA505" s="57" t="s">
        <v>3661</v>
      </c>
      <c r="AB505" s="138"/>
      <c r="AC505" s="138" t="s">
        <v>2631</v>
      </c>
      <c r="AD505" s="96"/>
      <c r="AE505" s="80"/>
      <c r="AF505" s="80"/>
      <c r="AG505" s="80"/>
      <c r="AH505" s="83"/>
      <c r="AI505" s="83"/>
      <c r="AJ505" s="84"/>
      <c r="AK505" s="84"/>
      <c r="AL505" s="84"/>
      <c r="AM505" s="84"/>
      <c r="AN505" s="84"/>
      <c r="AO505" s="84"/>
      <c r="AP505" s="84"/>
      <c r="AQ505" s="95" t="s">
        <v>391</v>
      </c>
      <c r="AR505" s="72"/>
      <c r="AS505" s="72"/>
      <c r="AT505" s="72"/>
      <c r="AU505" s="72"/>
      <c r="AV505" s="72"/>
      <c r="AW505" s="72"/>
      <c r="AX505" s="72"/>
      <c r="AY505" s="72"/>
      <c r="AZ505" s="72"/>
      <c r="BA505" s="72"/>
      <c r="BB505" s="16"/>
      <c r="BC505" s="72"/>
      <c r="BD505" s="20"/>
      <c r="BE505" s="378"/>
    </row>
    <row r="506" spans="1:57" s="81" customFormat="1" ht="12.95" hidden="1" customHeight="1">
      <c r="A506" s="374"/>
      <c r="B506" s="376"/>
      <c r="C506" s="270" t="s">
        <v>1215</v>
      </c>
      <c r="D506" s="239" t="s">
        <v>3833</v>
      </c>
      <c r="E506" s="58"/>
      <c r="F506" s="59" t="s">
        <v>3834</v>
      </c>
      <c r="G506" s="191" t="s">
        <v>2511</v>
      </c>
      <c r="H506" s="192" t="s">
        <v>392</v>
      </c>
      <c r="I506" s="61" t="s">
        <v>2511</v>
      </c>
      <c r="J506" s="61" t="s">
        <v>2511</v>
      </c>
      <c r="K506" s="62" t="s">
        <v>2511</v>
      </c>
      <c r="L506" s="60" t="s">
        <v>2511</v>
      </c>
      <c r="M506" s="61" t="s">
        <v>2389</v>
      </c>
      <c r="N506" s="61" t="s">
        <v>2511</v>
      </c>
      <c r="O506" s="61" t="s">
        <v>2511</v>
      </c>
      <c r="P506" s="62" t="s">
        <v>2511</v>
      </c>
      <c r="Q506" s="82"/>
      <c r="R506" s="82"/>
      <c r="S506" s="82"/>
      <c r="T506" s="82"/>
      <c r="U506" s="82"/>
      <c r="V506" s="138" t="s">
        <v>3835</v>
      </c>
      <c r="W506" s="57" t="s">
        <v>3660</v>
      </c>
      <c r="X506" s="126" t="s">
        <v>2511</v>
      </c>
      <c r="Y506" s="126" t="s">
        <v>2511</v>
      </c>
      <c r="Z506" s="57"/>
      <c r="AA506" s="57" t="s">
        <v>3661</v>
      </c>
      <c r="AB506" s="138"/>
      <c r="AC506" s="138" t="s">
        <v>2631</v>
      </c>
      <c r="AD506" s="96"/>
      <c r="AE506" s="80"/>
      <c r="AF506" s="80"/>
      <c r="AG506" s="80"/>
      <c r="AH506" s="83"/>
      <c r="AI506" s="83"/>
      <c r="AJ506" s="84"/>
      <c r="AK506" s="84"/>
      <c r="AL506" s="84"/>
      <c r="AM506" s="84"/>
      <c r="AN506" s="84"/>
      <c r="AO506" s="84"/>
      <c r="AP506" s="84"/>
      <c r="AQ506" s="95" t="s">
        <v>392</v>
      </c>
      <c r="AR506" s="72"/>
      <c r="AS506" s="72"/>
      <c r="AT506" s="72"/>
      <c r="AU506" s="72"/>
      <c r="AV506" s="72"/>
      <c r="AW506" s="72"/>
      <c r="AX506" s="72"/>
      <c r="AY506" s="72"/>
      <c r="AZ506" s="72"/>
      <c r="BA506" s="72"/>
      <c r="BB506" s="16"/>
      <c r="BC506" s="72"/>
      <c r="BD506" s="20"/>
      <c r="BE506" s="378"/>
    </row>
    <row r="507" spans="1:57" s="81" customFormat="1" ht="12.95" hidden="1" customHeight="1">
      <c r="A507" s="374"/>
      <c r="B507" s="376"/>
      <c r="C507" s="248" t="s">
        <v>1216</v>
      </c>
      <c r="D507" s="239" t="s">
        <v>3836</v>
      </c>
      <c r="E507" s="58"/>
      <c r="F507" s="59" t="s">
        <v>3837</v>
      </c>
      <c r="G507" s="191" t="s">
        <v>2511</v>
      </c>
      <c r="H507" s="192" t="s">
        <v>393</v>
      </c>
      <c r="I507" s="61" t="s">
        <v>2511</v>
      </c>
      <c r="J507" s="61" t="s">
        <v>2511</v>
      </c>
      <c r="K507" s="62" t="s">
        <v>2511</v>
      </c>
      <c r="L507" s="60" t="s">
        <v>2511</v>
      </c>
      <c r="M507" s="61" t="s">
        <v>2389</v>
      </c>
      <c r="N507" s="61" t="s">
        <v>2511</v>
      </c>
      <c r="O507" s="61" t="s">
        <v>2511</v>
      </c>
      <c r="P507" s="62" t="s">
        <v>2511</v>
      </c>
      <c r="Q507" s="82"/>
      <c r="R507" s="82"/>
      <c r="S507" s="82"/>
      <c r="T507" s="82"/>
      <c r="U507" s="82"/>
      <c r="V507" s="138" t="s">
        <v>3838</v>
      </c>
      <c r="W507" s="57" t="s">
        <v>3660</v>
      </c>
      <c r="X507" s="126" t="s">
        <v>2511</v>
      </c>
      <c r="Y507" s="126" t="s">
        <v>2511</v>
      </c>
      <c r="Z507" s="57"/>
      <c r="AA507" s="57" t="s">
        <v>3661</v>
      </c>
      <c r="AB507" s="138"/>
      <c r="AC507" s="138">
        <v>0</v>
      </c>
      <c r="AD507" s="96"/>
      <c r="AE507" s="80"/>
      <c r="AF507" s="80"/>
      <c r="AG507" s="80"/>
      <c r="AH507" s="83"/>
      <c r="AI507" s="83"/>
      <c r="AJ507" s="84"/>
      <c r="AK507" s="84"/>
      <c r="AL507" s="84"/>
      <c r="AM507" s="84"/>
      <c r="AN507" s="84"/>
      <c r="AO507" s="84"/>
      <c r="AP507" s="84"/>
      <c r="AQ507" s="95" t="s">
        <v>393</v>
      </c>
      <c r="AR507" s="72"/>
      <c r="AS507" s="72"/>
      <c r="AT507" s="72"/>
      <c r="AU507" s="72"/>
      <c r="AV507" s="72"/>
      <c r="AW507" s="72"/>
      <c r="AX507" s="72"/>
      <c r="AY507" s="72"/>
      <c r="AZ507" s="72"/>
      <c r="BA507" s="72"/>
      <c r="BB507" s="16"/>
      <c r="BC507" s="72"/>
      <c r="BD507" s="20"/>
      <c r="BE507" s="378"/>
    </row>
    <row r="508" spans="1:57" s="81" customFormat="1" ht="12.95" hidden="1" customHeight="1">
      <c r="A508" s="374"/>
      <c r="B508" s="376"/>
      <c r="C508" s="248" t="s">
        <v>1217</v>
      </c>
      <c r="D508" s="239" t="s">
        <v>3839</v>
      </c>
      <c r="E508" s="58"/>
      <c r="F508" s="59" t="s">
        <v>3840</v>
      </c>
      <c r="G508" s="191" t="s">
        <v>2511</v>
      </c>
      <c r="H508" s="192" t="s">
        <v>394</v>
      </c>
      <c r="I508" s="61" t="s">
        <v>2511</v>
      </c>
      <c r="J508" s="61" t="s">
        <v>2511</v>
      </c>
      <c r="K508" s="62" t="s">
        <v>2511</v>
      </c>
      <c r="L508" s="60" t="s">
        <v>2511</v>
      </c>
      <c r="M508" s="61" t="s">
        <v>2389</v>
      </c>
      <c r="N508" s="61" t="s">
        <v>2511</v>
      </c>
      <c r="O508" s="61" t="s">
        <v>2511</v>
      </c>
      <c r="P508" s="62" t="s">
        <v>2511</v>
      </c>
      <c r="Q508" s="82"/>
      <c r="R508" s="82"/>
      <c r="S508" s="82"/>
      <c r="T508" s="82"/>
      <c r="U508" s="82"/>
      <c r="V508" s="138" t="s">
        <v>3841</v>
      </c>
      <c r="W508" s="57" t="s">
        <v>3660</v>
      </c>
      <c r="X508" s="126" t="s">
        <v>2511</v>
      </c>
      <c r="Y508" s="126" t="s">
        <v>2511</v>
      </c>
      <c r="Z508" s="57"/>
      <c r="AA508" s="57" t="s">
        <v>3661</v>
      </c>
      <c r="AB508" s="138"/>
      <c r="AC508" s="138" t="s">
        <v>2631</v>
      </c>
      <c r="AD508" s="96"/>
      <c r="AE508" s="80"/>
      <c r="AF508" s="80"/>
      <c r="AG508" s="80"/>
      <c r="AH508" s="83"/>
      <c r="AI508" s="83"/>
      <c r="AJ508" s="84"/>
      <c r="AK508" s="84"/>
      <c r="AL508" s="84"/>
      <c r="AM508" s="84"/>
      <c r="AN508" s="84"/>
      <c r="AO508" s="84"/>
      <c r="AP508" s="84"/>
      <c r="AQ508" s="95" t="s">
        <v>394</v>
      </c>
      <c r="AR508" s="72"/>
      <c r="AS508" s="72"/>
      <c r="AT508" s="72"/>
      <c r="AU508" s="72"/>
      <c r="AV508" s="72"/>
      <c r="AW508" s="72"/>
      <c r="AX508" s="72"/>
      <c r="AY508" s="72"/>
      <c r="AZ508" s="72"/>
      <c r="BA508" s="72"/>
      <c r="BB508" s="16"/>
      <c r="BC508" s="72"/>
      <c r="BD508" s="20"/>
      <c r="BE508" s="378"/>
    </row>
    <row r="509" spans="1:57" s="81" customFormat="1" ht="12.95" hidden="1" customHeight="1">
      <c r="A509" s="374"/>
      <c r="B509" s="376"/>
      <c r="C509" s="248" t="s">
        <v>1218</v>
      </c>
      <c r="D509" s="239" t="s">
        <v>3842</v>
      </c>
      <c r="E509" s="58"/>
      <c r="F509" s="59" t="s">
        <v>3843</v>
      </c>
      <c r="G509" s="191" t="s">
        <v>2511</v>
      </c>
      <c r="H509" s="192" t="s">
        <v>395</v>
      </c>
      <c r="I509" s="61" t="s">
        <v>2511</v>
      </c>
      <c r="J509" s="61" t="s">
        <v>2511</v>
      </c>
      <c r="K509" s="62" t="s">
        <v>2511</v>
      </c>
      <c r="L509" s="60" t="s">
        <v>2511</v>
      </c>
      <c r="M509" s="61" t="s">
        <v>2389</v>
      </c>
      <c r="N509" s="61" t="s">
        <v>2511</v>
      </c>
      <c r="O509" s="61" t="s">
        <v>2511</v>
      </c>
      <c r="P509" s="62" t="s">
        <v>2511</v>
      </c>
      <c r="Q509" s="82"/>
      <c r="R509" s="82"/>
      <c r="S509" s="82"/>
      <c r="T509" s="82"/>
      <c r="U509" s="82"/>
      <c r="V509" s="138" t="s">
        <v>3844</v>
      </c>
      <c r="W509" s="57" t="s">
        <v>3660</v>
      </c>
      <c r="X509" s="126" t="s">
        <v>2511</v>
      </c>
      <c r="Y509" s="126" t="s">
        <v>2511</v>
      </c>
      <c r="Z509" s="57"/>
      <c r="AA509" s="57" t="s">
        <v>3661</v>
      </c>
      <c r="AB509" s="138"/>
      <c r="AC509" s="138" t="s">
        <v>2631</v>
      </c>
      <c r="AD509" s="96"/>
      <c r="AE509" s="80"/>
      <c r="AF509" s="80"/>
      <c r="AG509" s="80"/>
      <c r="AH509" s="83"/>
      <c r="AI509" s="83"/>
      <c r="AJ509" s="84"/>
      <c r="AK509" s="84"/>
      <c r="AL509" s="84"/>
      <c r="AM509" s="84"/>
      <c r="AN509" s="84"/>
      <c r="AO509" s="84"/>
      <c r="AP509" s="84"/>
      <c r="AQ509" s="95" t="s">
        <v>395</v>
      </c>
      <c r="AR509" s="72"/>
      <c r="AS509" s="72"/>
      <c r="AT509" s="72"/>
      <c r="AU509" s="72"/>
      <c r="AV509" s="72"/>
      <c r="AW509" s="72"/>
      <c r="AX509" s="72"/>
      <c r="AY509" s="72"/>
      <c r="AZ509" s="72"/>
      <c r="BA509" s="72"/>
      <c r="BB509" s="16"/>
      <c r="BC509" s="72"/>
      <c r="BD509" s="20"/>
      <c r="BE509" s="378"/>
    </row>
    <row r="510" spans="1:57" s="81" customFormat="1" ht="12.95" hidden="1" customHeight="1">
      <c r="A510" s="374"/>
      <c r="B510" s="376"/>
      <c r="C510" s="248" t="s">
        <v>1219</v>
      </c>
      <c r="D510" s="239" t="s">
        <v>3845</v>
      </c>
      <c r="E510" s="58"/>
      <c r="F510" s="59" t="s">
        <v>3846</v>
      </c>
      <c r="G510" s="191" t="s">
        <v>2511</v>
      </c>
      <c r="H510" s="192" t="s">
        <v>396</v>
      </c>
      <c r="I510" s="61" t="s">
        <v>2511</v>
      </c>
      <c r="J510" s="61" t="s">
        <v>2511</v>
      </c>
      <c r="K510" s="62" t="s">
        <v>2511</v>
      </c>
      <c r="L510" s="60" t="s">
        <v>2511</v>
      </c>
      <c r="M510" s="61" t="s">
        <v>2389</v>
      </c>
      <c r="N510" s="61" t="s">
        <v>2511</v>
      </c>
      <c r="O510" s="61" t="s">
        <v>2511</v>
      </c>
      <c r="P510" s="62" t="s">
        <v>2511</v>
      </c>
      <c r="Q510" s="82"/>
      <c r="R510" s="82"/>
      <c r="S510" s="82"/>
      <c r="T510" s="82"/>
      <c r="U510" s="82"/>
      <c r="V510" s="138" t="s">
        <v>3847</v>
      </c>
      <c r="W510" s="57" t="s">
        <v>3660</v>
      </c>
      <c r="X510" s="126" t="s">
        <v>2511</v>
      </c>
      <c r="Y510" s="126" t="s">
        <v>2511</v>
      </c>
      <c r="Z510" s="57"/>
      <c r="AA510" s="57" t="s">
        <v>3661</v>
      </c>
      <c r="AB510" s="138"/>
      <c r="AC510" s="138" t="s">
        <v>2631</v>
      </c>
      <c r="AD510" s="96"/>
      <c r="AE510" s="80"/>
      <c r="AF510" s="80"/>
      <c r="AG510" s="80"/>
      <c r="AH510" s="83"/>
      <c r="AI510" s="83"/>
      <c r="AJ510" s="84"/>
      <c r="AK510" s="84"/>
      <c r="AL510" s="84"/>
      <c r="AM510" s="84"/>
      <c r="AN510" s="84"/>
      <c r="AO510" s="84"/>
      <c r="AP510" s="84"/>
      <c r="AQ510" s="95" t="s">
        <v>396</v>
      </c>
      <c r="AR510" s="72"/>
      <c r="AS510" s="72"/>
      <c r="AT510" s="72"/>
      <c r="AU510" s="72"/>
      <c r="AV510" s="72"/>
      <c r="AW510" s="72"/>
      <c r="AX510" s="72"/>
      <c r="AY510" s="72"/>
      <c r="AZ510" s="72"/>
      <c r="BA510" s="72"/>
      <c r="BB510" s="16"/>
      <c r="BC510" s="72"/>
      <c r="BD510" s="20"/>
      <c r="BE510" s="378"/>
    </row>
    <row r="511" spans="1:57" s="81" customFormat="1" ht="12.95" hidden="1" customHeight="1">
      <c r="A511" s="374"/>
      <c r="B511" s="376"/>
      <c r="C511" s="248" t="s">
        <v>1220</v>
      </c>
      <c r="D511" s="239" t="s">
        <v>3848</v>
      </c>
      <c r="E511" s="58"/>
      <c r="F511" s="59" t="s">
        <v>3849</v>
      </c>
      <c r="G511" s="191" t="s">
        <v>2511</v>
      </c>
      <c r="H511" s="192" t="s">
        <v>397</v>
      </c>
      <c r="I511" s="61" t="s">
        <v>2511</v>
      </c>
      <c r="J511" s="61" t="s">
        <v>2511</v>
      </c>
      <c r="K511" s="62" t="s">
        <v>2511</v>
      </c>
      <c r="L511" s="60" t="s">
        <v>2511</v>
      </c>
      <c r="M511" s="61" t="s">
        <v>2389</v>
      </c>
      <c r="N511" s="61" t="s">
        <v>2511</v>
      </c>
      <c r="O511" s="61" t="s">
        <v>2511</v>
      </c>
      <c r="P511" s="62" t="s">
        <v>2511</v>
      </c>
      <c r="Q511" s="82"/>
      <c r="R511" s="82"/>
      <c r="S511" s="82"/>
      <c r="T511" s="82"/>
      <c r="U511" s="82"/>
      <c r="V511" s="138" t="s">
        <v>3850</v>
      </c>
      <c r="W511" s="57" t="s">
        <v>3660</v>
      </c>
      <c r="X511" s="126" t="s">
        <v>2511</v>
      </c>
      <c r="Y511" s="126" t="s">
        <v>2511</v>
      </c>
      <c r="Z511" s="57"/>
      <c r="AA511" s="57" t="s">
        <v>3661</v>
      </c>
      <c r="AB511" s="138"/>
      <c r="AC511" s="138" t="s">
        <v>2631</v>
      </c>
      <c r="AD511" s="96"/>
      <c r="AE511" s="80"/>
      <c r="AF511" s="80"/>
      <c r="AG511" s="80"/>
      <c r="AH511" s="83"/>
      <c r="AI511" s="83"/>
      <c r="AJ511" s="84"/>
      <c r="AK511" s="84"/>
      <c r="AL511" s="84"/>
      <c r="AM511" s="84"/>
      <c r="AN511" s="84"/>
      <c r="AO511" s="84"/>
      <c r="AP511" s="84"/>
      <c r="AQ511" s="95" t="s">
        <v>397</v>
      </c>
      <c r="AR511" s="72"/>
      <c r="AS511" s="72"/>
      <c r="AT511" s="72"/>
      <c r="AU511" s="72"/>
      <c r="AV511" s="72"/>
      <c r="AW511" s="72"/>
      <c r="AX511" s="72"/>
      <c r="AY511" s="72"/>
      <c r="AZ511" s="72"/>
      <c r="BA511" s="72"/>
      <c r="BB511" s="16"/>
      <c r="BC511" s="72"/>
      <c r="BD511" s="20"/>
      <c r="BE511" s="378"/>
    </row>
    <row r="512" spans="1:57" s="81" customFormat="1" ht="12.95" hidden="1" customHeight="1">
      <c r="A512" s="374"/>
      <c r="B512" s="376"/>
      <c r="C512" s="248" t="s">
        <v>1221</v>
      </c>
      <c r="D512" s="239" t="s">
        <v>3851</v>
      </c>
      <c r="E512" s="58"/>
      <c r="F512" s="59" t="s">
        <v>3852</v>
      </c>
      <c r="G512" s="191" t="s">
        <v>2511</v>
      </c>
      <c r="H512" s="192" t="s">
        <v>398</v>
      </c>
      <c r="I512" s="61" t="s">
        <v>2511</v>
      </c>
      <c r="J512" s="61" t="s">
        <v>2511</v>
      </c>
      <c r="K512" s="62" t="s">
        <v>2511</v>
      </c>
      <c r="L512" s="60" t="s">
        <v>2511</v>
      </c>
      <c r="M512" s="61" t="s">
        <v>2389</v>
      </c>
      <c r="N512" s="61" t="s">
        <v>2511</v>
      </c>
      <c r="O512" s="61" t="s">
        <v>2511</v>
      </c>
      <c r="P512" s="62" t="s">
        <v>2511</v>
      </c>
      <c r="Q512" s="82"/>
      <c r="R512" s="82"/>
      <c r="S512" s="82"/>
      <c r="T512" s="82"/>
      <c r="U512" s="82"/>
      <c r="V512" s="138" t="s">
        <v>3853</v>
      </c>
      <c r="W512" s="57" t="s">
        <v>3660</v>
      </c>
      <c r="X512" s="126" t="s">
        <v>2511</v>
      </c>
      <c r="Y512" s="126" t="s">
        <v>2511</v>
      </c>
      <c r="Z512" s="57"/>
      <c r="AA512" s="57" t="s">
        <v>3661</v>
      </c>
      <c r="AB512" s="138"/>
      <c r="AC512" s="138" t="s">
        <v>2631</v>
      </c>
      <c r="AD512" s="96"/>
      <c r="AE512" s="80"/>
      <c r="AF512" s="80"/>
      <c r="AG512" s="80"/>
      <c r="AH512" s="83"/>
      <c r="AI512" s="83"/>
      <c r="AJ512" s="84"/>
      <c r="AK512" s="84"/>
      <c r="AL512" s="84"/>
      <c r="AM512" s="84"/>
      <c r="AN512" s="84"/>
      <c r="AO512" s="84"/>
      <c r="AP512" s="84"/>
      <c r="AQ512" s="95" t="s">
        <v>398</v>
      </c>
      <c r="AR512" s="72"/>
      <c r="AS512" s="72"/>
      <c r="AT512" s="72"/>
      <c r="AU512" s="72"/>
      <c r="AV512" s="72"/>
      <c r="AW512" s="72"/>
      <c r="AX512" s="72"/>
      <c r="AY512" s="72"/>
      <c r="AZ512" s="72"/>
      <c r="BA512" s="72"/>
      <c r="BB512" s="16"/>
      <c r="BC512" s="72"/>
      <c r="BD512" s="20"/>
      <c r="BE512" s="378"/>
    </row>
    <row r="513" spans="1:57" s="81" customFormat="1" ht="12.95" hidden="1" customHeight="1">
      <c r="A513" s="374"/>
      <c r="B513" s="376"/>
      <c r="C513" s="248" t="s">
        <v>1222</v>
      </c>
      <c r="D513" s="239" t="s">
        <v>3854</v>
      </c>
      <c r="E513" s="58"/>
      <c r="F513" s="59" t="s">
        <v>3855</v>
      </c>
      <c r="G513" s="191" t="s">
        <v>2511</v>
      </c>
      <c r="H513" s="192" t="s">
        <v>399</v>
      </c>
      <c r="I513" s="61" t="s">
        <v>2511</v>
      </c>
      <c r="J513" s="61" t="s">
        <v>2511</v>
      </c>
      <c r="K513" s="62" t="s">
        <v>2511</v>
      </c>
      <c r="L513" s="60" t="s">
        <v>2511</v>
      </c>
      <c r="M513" s="61" t="s">
        <v>2389</v>
      </c>
      <c r="N513" s="61" t="s">
        <v>2511</v>
      </c>
      <c r="O513" s="61" t="s">
        <v>2511</v>
      </c>
      <c r="P513" s="62" t="s">
        <v>2511</v>
      </c>
      <c r="Q513" s="82"/>
      <c r="R513" s="82"/>
      <c r="S513" s="82"/>
      <c r="T513" s="82"/>
      <c r="U513" s="82"/>
      <c r="V513" s="138" t="s">
        <v>3856</v>
      </c>
      <c r="W513" s="57" t="s">
        <v>3660</v>
      </c>
      <c r="X513" s="126" t="s">
        <v>2511</v>
      </c>
      <c r="Y513" s="126" t="s">
        <v>2511</v>
      </c>
      <c r="Z513" s="57"/>
      <c r="AA513" s="57" t="s">
        <v>3661</v>
      </c>
      <c r="AB513" s="138"/>
      <c r="AC513" s="138" t="s">
        <v>2631</v>
      </c>
      <c r="AD513" s="96"/>
      <c r="AE513" s="80"/>
      <c r="AF513" s="80"/>
      <c r="AG513" s="80"/>
      <c r="AH513" s="83"/>
      <c r="AI513" s="83"/>
      <c r="AJ513" s="84"/>
      <c r="AK513" s="84"/>
      <c r="AL513" s="84"/>
      <c r="AM513" s="84"/>
      <c r="AN513" s="84"/>
      <c r="AO513" s="84"/>
      <c r="AP513" s="84"/>
      <c r="AQ513" s="95" t="s">
        <v>399</v>
      </c>
      <c r="AR513" s="72"/>
      <c r="AS513" s="72"/>
      <c r="AT513" s="72"/>
      <c r="AU513" s="72"/>
      <c r="AV513" s="72"/>
      <c r="AW513" s="72"/>
      <c r="AX513" s="72"/>
      <c r="AY513" s="72"/>
      <c r="AZ513" s="72"/>
      <c r="BA513" s="72"/>
      <c r="BB513" s="16"/>
      <c r="BC513" s="72"/>
      <c r="BD513" s="20"/>
      <c r="BE513" s="378"/>
    </row>
    <row r="514" spans="1:57" s="81" customFormat="1" ht="12.95" hidden="1" customHeight="1">
      <c r="A514" s="374"/>
      <c r="B514" s="376"/>
      <c r="C514" s="248" t="s">
        <v>1223</v>
      </c>
      <c r="D514" s="239" t="s">
        <v>3857</v>
      </c>
      <c r="E514" s="58"/>
      <c r="F514" s="59" t="s">
        <v>3858</v>
      </c>
      <c r="G514" s="191" t="s">
        <v>2511</v>
      </c>
      <c r="H514" s="192" t="s">
        <v>400</v>
      </c>
      <c r="I514" s="61" t="s">
        <v>2511</v>
      </c>
      <c r="J514" s="61" t="s">
        <v>2511</v>
      </c>
      <c r="K514" s="62" t="s">
        <v>2511</v>
      </c>
      <c r="L514" s="60" t="s">
        <v>2511</v>
      </c>
      <c r="M514" s="61" t="s">
        <v>2389</v>
      </c>
      <c r="N514" s="61" t="s">
        <v>2511</v>
      </c>
      <c r="O514" s="61" t="s">
        <v>2511</v>
      </c>
      <c r="P514" s="62" t="s">
        <v>2511</v>
      </c>
      <c r="Q514" s="82"/>
      <c r="R514" s="82"/>
      <c r="S514" s="82"/>
      <c r="T514" s="82"/>
      <c r="U514" s="82"/>
      <c r="V514" s="138" t="s">
        <v>3859</v>
      </c>
      <c r="W514" s="57" t="s">
        <v>3660</v>
      </c>
      <c r="X514" s="126" t="s">
        <v>2511</v>
      </c>
      <c r="Y514" s="126" t="s">
        <v>2511</v>
      </c>
      <c r="Z514" s="57"/>
      <c r="AA514" s="57" t="s">
        <v>3661</v>
      </c>
      <c r="AB514" s="138"/>
      <c r="AC514" s="138" t="s">
        <v>2631</v>
      </c>
      <c r="AD514" s="96"/>
      <c r="AE514" s="80"/>
      <c r="AF514" s="80"/>
      <c r="AG514" s="80"/>
      <c r="AH514" s="83"/>
      <c r="AI514" s="83"/>
      <c r="AJ514" s="84"/>
      <c r="AK514" s="84"/>
      <c r="AL514" s="84"/>
      <c r="AM514" s="84"/>
      <c r="AN514" s="84"/>
      <c r="AO514" s="84"/>
      <c r="AP514" s="84"/>
      <c r="AQ514" s="95" t="s">
        <v>400</v>
      </c>
      <c r="AR514" s="72"/>
      <c r="AS514" s="72"/>
      <c r="AT514" s="72"/>
      <c r="AU514" s="72"/>
      <c r="AV514" s="72"/>
      <c r="AW514" s="72"/>
      <c r="AX514" s="72"/>
      <c r="AY514" s="72"/>
      <c r="AZ514" s="72"/>
      <c r="BA514" s="72"/>
      <c r="BB514" s="16"/>
      <c r="BC514" s="72"/>
      <c r="BD514" s="20"/>
      <c r="BE514" s="378"/>
    </row>
    <row r="515" spans="1:57" s="81" customFormat="1" ht="12.95" hidden="1" customHeight="1">
      <c r="A515" s="374"/>
      <c r="B515" s="376"/>
      <c r="C515" s="248" t="s">
        <v>1224</v>
      </c>
      <c r="D515" s="239" t="s">
        <v>3860</v>
      </c>
      <c r="E515" s="58"/>
      <c r="F515" s="59" t="s">
        <v>3861</v>
      </c>
      <c r="G515" s="191" t="s">
        <v>2511</v>
      </c>
      <c r="H515" s="192" t="s">
        <v>401</v>
      </c>
      <c r="I515" s="61" t="s">
        <v>2511</v>
      </c>
      <c r="J515" s="61" t="s">
        <v>2511</v>
      </c>
      <c r="K515" s="62" t="s">
        <v>2511</v>
      </c>
      <c r="L515" s="60" t="s">
        <v>2511</v>
      </c>
      <c r="M515" s="61" t="s">
        <v>2389</v>
      </c>
      <c r="N515" s="61" t="s">
        <v>2511</v>
      </c>
      <c r="O515" s="61" t="s">
        <v>2511</v>
      </c>
      <c r="P515" s="62" t="s">
        <v>2511</v>
      </c>
      <c r="Q515" s="82"/>
      <c r="R515" s="82"/>
      <c r="S515" s="82"/>
      <c r="T515" s="82"/>
      <c r="U515" s="82"/>
      <c r="V515" s="138" t="s">
        <v>3862</v>
      </c>
      <c r="W515" s="57" t="s">
        <v>3660</v>
      </c>
      <c r="X515" s="126" t="s">
        <v>2511</v>
      </c>
      <c r="Y515" s="126" t="s">
        <v>2511</v>
      </c>
      <c r="Z515" s="57"/>
      <c r="AA515" s="57" t="s">
        <v>3661</v>
      </c>
      <c r="AB515" s="138"/>
      <c r="AC515" s="138" t="s">
        <v>2631</v>
      </c>
      <c r="AD515" s="96"/>
      <c r="AE515" s="80"/>
      <c r="AF515" s="80"/>
      <c r="AG515" s="80"/>
      <c r="AH515" s="83"/>
      <c r="AI515" s="83"/>
      <c r="AJ515" s="84"/>
      <c r="AK515" s="84"/>
      <c r="AL515" s="84"/>
      <c r="AM515" s="84"/>
      <c r="AN515" s="84"/>
      <c r="AO515" s="84"/>
      <c r="AP515" s="84"/>
      <c r="AQ515" s="95" t="s">
        <v>401</v>
      </c>
      <c r="AR515" s="72"/>
      <c r="AS515" s="72"/>
      <c r="AT515" s="72"/>
      <c r="AU515" s="72"/>
      <c r="AV515" s="72"/>
      <c r="AW515" s="72"/>
      <c r="AX515" s="72"/>
      <c r="AY515" s="72"/>
      <c r="AZ515" s="72"/>
      <c r="BA515" s="72"/>
      <c r="BB515" s="16"/>
      <c r="BC515" s="72"/>
      <c r="BD515" s="20"/>
      <c r="BE515" s="378"/>
    </row>
    <row r="516" spans="1:57" s="81" customFormat="1" ht="12.95" hidden="1" customHeight="1">
      <c r="A516" s="374"/>
      <c r="B516" s="376"/>
      <c r="C516" s="248" t="s">
        <v>1225</v>
      </c>
      <c r="D516" s="239" t="s">
        <v>3863</v>
      </c>
      <c r="E516" s="58"/>
      <c r="F516" s="59" t="s">
        <v>3864</v>
      </c>
      <c r="G516" s="191" t="s">
        <v>2511</v>
      </c>
      <c r="H516" s="192" t="s">
        <v>402</v>
      </c>
      <c r="I516" s="61" t="s">
        <v>2511</v>
      </c>
      <c r="J516" s="61" t="s">
        <v>2511</v>
      </c>
      <c r="K516" s="62" t="s">
        <v>2511</v>
      </c>
      <c r="L516" s="60" t="s">
        <v>2511</v>
      </c>
      <c r="M516" s="61" t="s">
        <v>2389</v>
      </c>
      <c r="N516" s="61" t="s">
        <v>2511</v>
      </c>
      <c r="O516" s="61" t="s">
        <v>2511</v>
      </c>
      <c r="P516" s="62" t="s">
        <v>2511</v>
      </c>
      <c r="Q516" s="82"/>
      <c r="R516" s="82"/>
      <c r="S516" s="82"/>
      <c r="T516" s="82"/>
      <c r="U516" s="82"/>
      <c r="V516" s="138" t="s">
        <v>3865</v>
      </c>
      <c r="W516" s="57" t="s">
        <v>3660</v>
      </c>
      <c r="X516" s="126" t="s">
        <v>2511</v>
      </c>
      <c r="Y516" s="126" t="s">
        <v>2511</v>
      </c>
      <c r="Z516" s="57"/>
      <c r="AA516" s="57" t="s">
        <v>3661</v>
      </c>
      <c r="AB516" s="138"/>
      <c r="AC516" s="138" t="s">
        <v>2631</v>
      </c>
      <c r="AD516" s="96"/>
      <c r="AE516" s="80"/>
      <c r="AF516" s="80"/>
      <c r="AG516" s="80"/>
      <c r="AH516" s="83"/>
      <c r="AI516" s="83"/>
      <c r="AJ516" s="84"/>
      <c r="AK516" s="84"/>
      <c r="AL516" s="84"/>
      <c r="AM516" s="84"/>
      <c r="AN516" s="84"/>
      <c r="AO516" s="84"/>
      <c r="AP516" s="84"/>
      <c r="AQ516" s="95" t="s">
        <v>402</v>
      </c>
      <c r="AR516" s="72"/>
      <c r="AS516" s="72"/>
      <c r="AT516" s="72"/>
      <c r="AU516" s="72"/>
      <c r="AV516" s="72"/>
      <c r="AW516" s="72"/>
      <c r="AX516" s="72"/>
      <c r="AY516" s="72"/>
      <c r="AZ516" s="72"/>
      <c r="BA516" s="72"/>
      <c r="BB516" s="16"/>
      <c r="BC516" s="72"/>
      <c r="BD516" s="20"/>
      <c r="BE516" s="378"/>
    </row>
    <row r="517" spans="1:57" s="81" customFormat="1" ht="12.95" hidden="1" customHeight="1">
      <c r="A517" s="374"/>
      <c r="B517" s="376"/>
      <c r="C517" s="270" t="s">
        <v>1226</v>
      </c>
      <c r="D517" s="239" t="s">
        <v>3866</v>
      </c>
      <c r="E517" s="58"/>
      <c r="F517" s="59" t="s">
        <v>3867</v>
      </c>
      <c r="G517" s="191" t="s">
        <v>2511</v>
      </c>
      <c r="H517" s="192" t="s">
        <v>403</v>
      </c>
      <c r="I517" s="61" t="s">
        <v>2511</v>
      </c>
      <c r="J517" s="61" t="s">
        <v>2511</v>
      </c>
      <c r="K517" s="62" t="s">
        <v>2511</v>
      </c>
      <c r="L517" s="60" t="s">
        <v>2511</v>
      </c>
      <c r="M517" s="61" t="s">
        <v>2389</v>
      </c>
      <c r="N517" s="61" t="s">
        <v>2511</v>
      </c>
      <c r="O517" s="61" t="s">
        <v>2511</v>
      </c>
      <c r="P517" s="62" t="s">
        <v>2511</v>
      </c>
      <c r="Q517" s="82"/>
      <c r="R517" s="82"/>
      <c r="S517" s="82"/>
      <c r="T517" s="82"/>
      <c r="U517" s="82"/>
      <c r="V517" s="138" t="s">
        <v>3868</v>
      </c>
      <c r="W517" s="57" t="s">
        <v>3660</v>
      </c>
      <c r="X517" s="126" t="s">
        <v>2511</v>
      </c>
      <c r="Y517" s="126" t="s">
        <v>2511</v>
      </c>
      <c r="Z517" s="57"/>
      <c r="AA517" s="57" t="s">
        <v>3661</v>
      </c>
      <c r="AB517" s="138"/>
      <c r="AC517" s="138" t="s">
        <v>2631</v>
      </c>
      <c r="AD517" s="96"/>
      <c r="AE517" s="80"/>
      <c r="AF517" s="80"/>
      <c r="AG517" s="80"/>
      <c r="AH517" s="83"/>
      <c r="AI517" s="83"/>
      <c r="AJ517" s="84"/>
      <c r="AK517" s="84"/>
      <c r="AL517" s="84"/>
      <c r="AM517" s="84"/>
      <c r="AN517" s="84"/>
      <c r="AO517" s="84"/>
      <c r="AP517" s="84"/>
      <c r="AQ517" s="95" t="s">
        <v>403</v>
      </c>
      <c r="AR517" s="72"/>
      <c r="AS517" s="72"/>
      <c r="AT517" s="72"/>
      <c r="AU517" s="72"/>
      <c r="AV517" s="72"/>
      <c r="AW517" s="72"/>
      <c r="AX517" s="72"/>
      <c r="AY517" s="72"/>
      <c r="AZ517" s="72"/>
      <c r="BA517" s="72"/>
      <c r="BB517" s="16"/>
      <c r="BC517" s="72"/>
      <c r="BD517" s="20"/>
      <c r="BE517" s="378"/>
    </row>
    <row r="518" spans="1:57" s="81" customFormat="1" ht="12.95" hidden="1" customHeight="1">
      <c r="A518" s="374"/>
      <c r="B518" s="376"/>
      <c r="C518" s="270" t="s">
        <v>1227</v>
      </c>
      <c r="D518" s="239" t="s">
        <v>3869</v>
      </c>
      <c r="E518" s="58"/>
      <c r="F518" s="59" t="s">
        <v>3870</v>
      </c>
      <c r="G518" s="191" t="s">
        <v>2511</v>
      </c>
      <c r="H518" s="192" t="s">
        <v>404</v>
      </c>
      <c r="I518" s="61" t="s">
        <v>2511</v>
      </c>
      <c r="J518" s="61" t="s">
        <v>2511</v>
      </c>
      <c r="K518" s="62" t="s">
        <v>2511</v>
      </c>
      <c r="L518" s="60" t="s">
        <v>2511</v>
      </c>
      <c r="M518" s="61" t="s">
        <v>2389</v>
      </c>
      <c r="N518" s="61" t="s">
        <v>2511</v>
      </c>
      <c r="O518" s="61" t="s">
        <v>2511</v>
      </c>
      <c r="P518" s="62" t="s">
        <v>2511</v>
      </c>
      <c r="Q518" s="82"/>
      <c r="R518" s="82"/>
      <c r="S518" s="82"/>
      <c r="T518" s="82"/>
      <c r="U518" s="82"/>
      <c r="V518" s="138" t="s">
        <v>3871</v>
      </c>
      <c r="W518" s="57" t="s">
        <v>3660</v>
      </c>
      <c r="X518" s="126" t="s">
        <v>2511</v>
      </c>
      <c r="Y518" s="126" t="s">
        <v>2511</v>
      </c>
      <c r="Z518" s="57"/>
      <c r="AA518" s="57" t="s">
        <v>3661</v>
      </c>
      <c r="AB518" s="138"/>
      <c r="AC518" s="138" t="s">
        <v>2631</v>
      </c>
      <c r="AD518" s="96"/>
      <c r="AE518" s="80"/>
      <c r="AF518" s="80"/>
      <c r="AG518" s="80"/>
      <c r="AH518" s="83"/>
      <c r="AI518" s="83"/>
      <c r="AJ518" s="84"/>
      <c r="AK518" s="84"/>
      <c r="AL518" s="84"/>
      <c r="AM518" s="84"/>
      <c r="AN518" s="84"/>
      <c r="AO518" s="84"/>
      <c r="AP518" s="84"/>
      <c r="AQ518" s="95" t="s">
        <v>404</v>
      </c>
      <c r="AR518" s="72"/>
      <c r="AS518" s="72"/>
      <c r="AT518" s="72"/>
      <c r="AU518" s="72"/>
      <c r="AV518" s="72"/>
      <c r="AW518" s="72"/>
      <c r="AX518" s="72"/>
      <c r="AY518" s="72"/>
      <c r="AZ518" s="72"/>
      <c r="BA518" s="72"/>
      <c r="BB518" s="16"/>
      <c r="BC518" s="72"/>
      <c r="BD518" s="20"/>
      <c r="BE518" s="378"/>
    </row>
    <row r="519" spans="1:57" s="81" customFormat="1" ht="12.95" hidden="1" customHeight="1">
      <c r="A519" s="374"/>
      <c r="B519" s="376"/>
      <c r="C519" s="248" t="s">
        <v>1228</v>
      </c>
      <c r="D519" s="239" t="s">
        <v>3872</v>
      </c>
      <c r="E519" s="58"/>
      <c r="F519" s="59" t="s">
        <v>3873</v>
      </c>
      <c r="G519" s="191" t="s">
        <v>2511</v>
      </c>
      <c r="H519" s="192" t="s">
        <v>405</v>
      </c>
      <c r="I519" s="61" t="s">
        <v>2511</v>
      </c>
      <c r="J519" s="61" t="s">
        <v>2511</v>
      </c>
      <c r="K519" s="62" t="s">
        <v>2511</v>
      </c>
      <c r="L519" s="60" t="s">
        <v>2511</v>
      </c>
      <c r="M519" s="61" t="s">
        <v>2389</v>
      </c>
      <c r="N519" s="61" t="s">
        <v>2511</v>
      </c>
      <c r="O519" s="61" t="s">
        <v>2511</v>
      </c>
      <c r="P519" s="62" t="s">
        <v>2511</v>
      </c>
      <c r="Q519" s="82"/>
      <c r="R519" s="82"/>
      <c r="S519" s="82"/>
      <c r="T519" s="82"/>
      <c r="U519" s="82"/>
      <c r="V519" s="138" t="s">
        <v>3874</v>
      </c>
      <c r="W519" s="57" t="s">
        <v>3660</v>
      </c>
      <c r="X519" s="126" t="s">
        <v>2511</v>
      </c>
      <c r="Y519" s="126" t="s">
        <v>2511</v>
      </c>
      <c r="Z519" s="57"/>
      <c r="AA519" s="57" t="s">
        <v>3661</v>
      </c>
      <c r="AB519" s="138"/>
      <c r="AC519" s="138">
        <v>0</v>
      </c>
      <c r="AD519" s="96"/>
      <c r="AE519" s="80"/>
      <c r="AF519" s="80"/>
      <c r="AG519" s="80"/>
      <c r="AH519" s="83"/>
      <c r="AI519" s="83"/>
      <c r="AJ519" s="84"/>
      <c r="AK519" s="84"/>
      <c r="AL519" s="84"/>
      <c r="AM519" s="84"/>
      <c r="AN519" s="84"/>
      <c r="AO519" s="84"/>
      <c r="AP519" s="84"/>
      <c r="AQ519" s="95" t="s">
        <v>405</v>
      </c>
      <c r="AR519" s="72"/>
      <c r="AS519" s="72"/>
      <c r="AT519" s="72"/>
      <c r="AU519" s="72"/>
      <c r="AV519" s="72"/>
      <c r="AW519" s="72"/>
      <c r="AX519" s="72"/>
      <c r="AY519" s="72"/>
      <c r="AZ519" s="72"/>
      <c r="BA519" s="72"/>
      <c r="BB519" s="16"/>
      <c r="BC519" s="72"/>
      <c r="BD519" s="20"/>
      <c r="BE519" s="378"/>
    </row>
    <row r="520" spans="1:57" s="81" customFormat="1" ht="12.95" hidden="1" customHeight="1">
      <c r="A520" s="374"/>
      <c r="B520" s="376"/>
      <c r="C520" s="248" t="s">
        <v>1229</v>
      </c>
      <c r="D520" s="239" t="s">
        <v>3875</v>
      </c>
      <c r="E520" s="58"/>
      <c r="F520" s="59" t="s">
        <v>3876</v>
      </c>
      <c r="G520" s="191" t="s">
        <v>2511</v>
      </c>
      <c r="H520" s="192" t="s">
        <v>406</v>
      </c>
      <c r="I520" s="61" t="s">
        <v>2511</v>
      </c>
      <c r="J520" s="61" t="s">
        <v>2511</v>
      </c>
      <c r="K520" s="62" t="s">
        <v>2511</v>
      </c>
      <c r="L520" s="60" t="s">
        <v>2511</v>
      </c>
      <c r="M520" s="61" t="s">
        <v>2389</v>
      </c>
      <c r="N520" s="61" t="s">
        <v>2511</v>
      </c>
      <c r="O520" s="61" t="s">
        <v>2511</v>
      </c>
      <c r="P520" s="62" t="s">
        <v>2511</v>
      </c>
      <c r="Q520" s="82"/>
      <c r="R520" s="82"/>
      <c r="S520" s="82"/>
      <c r="T520" s="82"/>
      <c r="U520" s="82"/>
      <c r="V520" s="138" t="s">
        <v>3877</v>
      </c>
      <c r="W520" s="57" t="s">
        <v>3660</v>
      </c>
      <c r="X520" s="126" t="s">
        <v>2511</v>
      </c>
      <c r="Y520" s="126" t="s">
        <v>2511</v>
      </c>
      <c r="Z520" s="57"/>
      <c r="AA520" s="57" t="s">
        <v>3661</v>
      </c>
      <c r="AB520" s="138"/>
      <c r="AC520" s="138" t="s">
        <v>2631</v>
      </c>
      <c r="AD520" s="96"/>
      <c r="AE520" s="80"/>
      <c r="AF520" s="80"/>
      <c r="AG520" s="80"/>
      <c r="AH520" s="83"/>
      <c r="AI520" s="83"/>
      <c r="AJ520" s="84"/>
      <c r="AK520" s="84"/>
      <c r="AL520" s="84"/>
      <c r="AM520" s="84"/>
      <c r="AN520" s="84"/>
      <c r="AO520" s="84"/>
      <c r="AP520" s="84"/>
      <c r="AQ520" s="95" t="s">
        <v>406</v>
      </c>
      <c r="AR520" s="72"/>
      <c r="AS520" s="72"/>
      <c r="AT520" s="72"/>
      <c r="AU520" s="72"/>
      <c r="AV520" s="72"/>
      <c r="AW520" s="72"/>
      <c r="AX520" s="72"/>
      <c r="AY520" s="72"/>
      <c r="AZ520" s="72"/>
      <c r="BA520" s="72"/>
      <c r="BB520" s="16"/>
      <c r="BC520" s="72"/>
      <c r="BD520" s="20"/>
      <c r="BE520" s="378"/>
    </row>
    <row r="521" spans="1:57" s="81" customFormat="1" ht="12.95" hidden="1" customHeight="1">
      <c r="A521" s="374"/>
      <c r="B521" s="376"/>
      <c r="C521" s="248" t="s">
        <v>1230</v>
      </c>
      <c r="D521" s="239" t="s">
        <v>3878</v>
      </c>
      <c r="E521" s="58"/>
      <c r="F521" s="59" t="s">
        <v>3879</v>
      </c>
      <c r="G521" s="191" t="s">
        <v>2511</v>
      </c>
      <c r="H521" s="192" t="s">
        <v>407</v>
      </c>
      <c r="I521" s="61" t="s">
        <v>2511</v>
      </c>
      <c r="J521" s="61" t="s">
        <v>2511</v>
      </c>
      <c r="K521" s="62" t="s">
        <v>2511</v>
      </c>
      <c r="L521" s="60" t="s">
        <v>2511</v>
      </c>
      <c r="M521" s="61" t="s">
        <v>2389</v>
      </c>
      <c r="N521" s="61" t="s">
        <v>2511</v>
      </c>
      <c r="O521" s="61" t="s">
        <v>2511</v>
      </c>
      <c r="P521" s="62" t="s">
        <v>2511</v>
      </c>
      <c r="Q521" s="82"/>
      <c r="R521" s="82"/>
      <c r="S521" s="82"/>
      <c r="T521" s="82"/>
      <c r="U521" s="82"/>
      <c r="V521" s="138" t="s">
        <v>3880</v>
      </c>
      <c r="W521" s="57" t="s">
        <v>3660</v>
      </c>
      <c r="X521" s="126" t="s">
        <v>2511</v>
      </c>
      <c r="Y521" s="126" t="s">
        <v>2511</v>
      </c>
      <c r="Z521" s="57"/>
      <c r="AA521" s="57" t="s">
        <v>3661</v>
      </c>
      <c r="AB521" s="138"/>
      <c r="AC521" s="138" t="s">
        <v>2631</v>
      </c>
      <c r="AD521" s="96"/>
      <c r="AE521" s="80"/>
      <c r="AF521" s="80"/>
      <c r="AG521" s="80"/>
      <c r="AH521" s="83"/>
      <c r="AI521" s="83"/>
      <c r="AJ521" s="84"/>
      <c r="AK521" s="84"/>
      <c r="AL521" s="84"/>
      <c r="AM521" s="84"/>
      <c r="AN521" s="84"/>
      <c r="AO521" s="84"/>
      <c r="AP521" s="84"/>
      <c r="AQ521" s="95" t="s">
        <v>407</v>
      </c>
      <c r="AR521" s="72"/>
      <c r="AS521" s="72"/>
      <c r="AT521" s="72"/>
      <c r="AU521" s="72"/>
      <c r="AV521" s="72"/>
      <c r="AW521" s="72"/>
      <c r="AX521" s="72"/>
      <c r="AY521" s="72"/>
      <c r="AZ521" s="72"/>
      <c r="BA521" s="72"/>
      <c r="BB521" s="16"/>
      <c r="BC521" s="72"/>
      <c r="BD521" s="20"/>
      <c r="BE521" s="378"/>
    </row>
    <row r="522" spans="1:57" s="81" customFormat="1" ht="12.95" hidden="1" customHeight="1">
      <c r="A522" s="374"/>
      <c r="B522" s="376"/>
      <c r="C522" s="248" t="s">
        <v>1231</v>
      </c>
      <c r="D522" s="239" t="s">
        <v>3881</v>
      </c>
      <c r="E522" s="58"/>
      <c r="F522" s="59" t="s">
        <v>3882</v>
      </c>
      <c r="G522" s="191" t="s">
        <v>2511</v>
      </c>
      <c r="H522" s="192" t="s">
        <v>408</v>
      </c>
      <c r="I522" s="61" t="s">
        <v>2511</v>
      </c>
      <c r="J522" s="61" t="s">
        <v>2511</v>
      </c>
      <c r="K522" s="62" t="s">
        <v>2511</v>
      </c>
      <c r="L522" s="60" t="s">
        <v>2511</v>
      </c>
      <c r="M522" s="61" t="s">
        <v>2389</v>
      </c>
      <c r="N522" s="61" t="s">
        <v>2511</v>
      </c>
      <c r="O522" s="61" t="s">
        <v>2511</v>
      </c>
      <c r="P522" s="62" t="s">
        <v>2511</v>
      </c>
      <c r="Q522" s="82"/>
      <c r="R522" s="82"/>
      <c r="S522" s="82"/>
      <c r="T522" s="82"/>
      <c r="U522" s="82"/>
      <c r="V522" s="138" t="s">
        <v>3883</v>
      </c>
      <c r="W522" s="57" t="s">
        <v>3660</v>
      </c>
      <c r="X522" s="126" t="s">
        <v>2511</v>
      </c>
      <c r="Y522" s="126" t="s">
        <v>2511</v>
      </c>
      <c r="Z522" s="57"/>
      <c r="AA522" s="57" t="s">
        <v>3661</v>
      </c>
      <c r="AB522" s="138"/>
      <c r="AC522" s="138" t="s">
        <v>2631</v>
      </c>
      <c r="AD522" s="96"/>
      <c r="AE522" s="80"/>
      <c r="AF522" s="80"/>
      <c r="AG522" s="80"/>
      <c r="AH522" s="83"/>
      <c r="AI522" s="83"/>
      <c r="AJ522" s="84"/>
      <c r="AK522" s="84"/>
      <c r="AL522" s="84"/>
      <c r="AM522" s="84"/>
      <c r="AN522" s="84"/>
      <c r="AO522" s="84"/>
      <c r="AP522" s="84"/>
      <c r="AQ522" s="95" t="s">
        <v>408</v>
      </c>
      <c r="AR522" s="72"/>
      <c r="AS522" s="72"/>
      <c r="AT522" s="72"/>
      <c r="AU522" s="72"/>
      <c r="AV522" s="72"/>
      <c r="AW522" s="72"/>
      <c r="AX522" s="72"/>
      <c r="AY522" s="72"/>
      <c r="AZ522" s="72"/>
      <c r="BA522" s="72"/>
      <c r="BB522" s="16"/>
      <c r="BC522" s="72"/>
      <c r="BD522" s="20"/>
      <c r="BE522" s="378"/>
    </row>
    <row r="523" spans="1:57" s="81" customFormat="1" ht="12.95" hidden="1" customHeight="1">
      <c r="A523" s="374"/>
      <c r="B523" s="376"/>
      <c r="C523" s="248" t="s">
        <v>1232</v>
      </c>
      <c r="D523" s="239" t="s">
        <v>3884</v>
      </c>
      <c r="E523" s="58"/>
      <c r="F523" s="59" t="s">
        <v>3885</v>
      </c>
      <c r="G523" s="191" t="s">
        <v>2511</v>
      </c>
      <c r="H523" s="192" t="s">
        <v>409</v>
      </c>
      <c r="I523" s="61" t="s">
        <v>2511</v>
      </c>
      <c r="J523" s="61" t="s">
        <v>2511</v>
      </c>
      <c r="K523" s="62" t="s">
        <v>2511</v>
      </c>
      <c r="L523" s="60" t="s">
        <v>2511</v>
      </c>
      <c r="M523" s="61" t="s">
        <v>2389</v>
      </c>
      <c r="N523" s="61" t="s">
        <v>2511</v>
      </c>
      <c r="O523" s="61" t="s">
        <v>2511</v>
      </c>
      <c r="P523" s="62" t="s">
        <v>2511</v>
      </c>
      <c r="Q523" s="82"/>
      <c r="R523" s="82"/>
      <c r="S523" s="82"/>
      <c r="T523" s="82"/>
      <c r="U523" s="82"/>
      <c r="V523" s="138" t="s">
        <v>3886</v>
      </c>
      <c r="W523" s="57" t="s">
        <v>3660</v>
      </c>
      <c r="X523" s="126" t="s">
        <v>2511</v>
      </c>
      <c r="Y523" s="126" t="s">
        <v>2511</v>
      </c>
      <c r="Z523" s="57"/>
      <c r="AA523" s="57" t="s">
        <v>3661</v>
      </c>
      <c r="AB523" s="138"/>
      <c r="AC523" s="138" t="s">
        <v>2631</v>
      </c>
      <c r="AD523" s="96"/>
      <c r="AE523" s="80"/>
      <c r="AF523" s="80"/>
      <c r="AG523" s="80"/>
      <c r="AH523" s="83"/>
      <c r="AI523" s="83"/>
      <c r="AJ523" s="84"/>
      <c r="AK523" s="84"/>
      <c r="AL523" s="84"/>
      <c r="AM523" s="84"/>
      <c r="AN523" s="84"/>
      <c r="AO523" s="84"/>
      <c r="AP523" s="84"/>
      <c r="AQ523" s="95" t="s">
        <v>409</v>
      </c>
      <c r="AR523" s="72"/>
      <c r="AS523" s="72"/>
      <c r="AT523" s="72"/>
      <c r="AU523" s="72"/>
      <c r="AV523" s="72"/>
      <c r="AW523" s="72"/>
      <c r="AX523" s="72"/>
      <c r="AY523" s="72"/>
      <c r="AZ523" s="72"/>
      <c r="BA523" s="72"/>
      <c r="BB523" s="16"/>
      <c r="BC523" s="72"/>
      <c r="BD523" s="20"/>
      <c r="BE523" s="378"/>
    </row>
    <row r="524" spans="1:57" s="81" customFormat="1" ht="12.95" hidden="1" customHeight="1">
      <c r="A524" s="374"/>
      <c r="B524" s="376"/>
      <c r="C524" s="248" t="s">
        <v>1233</v>
      </c>
      <c r="D524" s="239" t="s">
        <v>3887</v>
      </c>
      <c r="E524" s="58"/>
      <c r="F524" s="59" t="s">
        <v>3888</v>
      </c>
      <c r="G524" s="191" t="s">
        <v>2511</v>
      </c>
      <c r="H524" s="192" t="s">
        <v>410</v>
      </c>
      <c r="I524" s="61" t="s">
        <v>2511</v>
      </c>
      <c r="J524" s="61" t="s">
        <v>2511</v>
      </c>
      <c r="K524" s="62" t="s">
        <v>2511</v>
      </c>
      <c r="L524" s="60" t="s">
        <v>2511</v>
      </c>
      <c r="M524" s="61" t="s">
        <v>2389</v>
      </c>
      <c r="N524" s="61" t="s">
        <v>2511</v>
      </c>
      <c r="O524" s="61" t="s">
        <v>2511</v>
      </c>
      <c r="P524" s="62" t="s">
        <v>2511</v>
      </c>
      <c r="Q524" s="82"/>
      <c r="R524" s="82"/>
      <c r="S524" s="82"/>
      <c r="T524" s="82"/>
      <c r="U524" s="82"/>
      <c r="V524" s="138" t="s">
        <v>3889</v>
      </c>
      <c r="W524" s="57" t="s">
        <v>3660</v>
      </c>
      <c r="X524" s="126" t="s">
        <v>2511</v>
      </c>
      <c r="Y524" s="126" t="s">
        <v>2511</v>
      </c>
      <c r="Z524" s="57"/>
      <c r="AA524" s="57" t="s">
        <v>3661</v>
      </c>
      <c r="AB524" s="138"/>
      <c r="AC524" s="138" t="s">
        <v>2631</v>
      </c>
      <c r="AD524" s="96"/>
      <c r="AE524" s="80"/>
      <c r="AF524" s="80"/>
      <c r="AG524" s="80"/>
      <c r="AH524" s="83"/>
      <c r="AI524" s="83"/>
      <c r="AJ524" s="84"/>
      <c r="AK524" s="84"/>
      <c r="AL524" s="84"/>
      <c r="AM524" s="84"/>
      <c r="AN524" s="84"/>
      <c r="AO524" s="84"/>
      <c r="AP524" s="84"/>
      <c r="AQ524" s="95" t="s">
        <v>410</v>
      </c>
      <c r="AR524" s="72"/>
      <c r="AS524" s="72"/>
      <c r="AT524" s="72"/>
      <c r="AU524" s="72"/>
      <c r="AV524" s="72"/>
      <c r="AW524" s="72"/>
      <c r="AX524" s="72"/>
      <c r="AY524" s="72"/>
      <c r="AZ524" s="72"/>
      <c r="BA524" s="72"/>
      <c r="BB524" s="16"/>
      <c r="BC524" s="72"/>
      <c r="BD524" s="20"/>
      <c r="BE524" s="378"/>
    </row>
    <row r="525" spans="1:57" s="81" customFormat="1" ht="12.95" hidden="1" customHeight="1">
      <c r="A525" s="374"/>
      <c r="B525" s="376"/>
      <c r="C525" s="248" t="s">
        <v>1234</v>
      </c>
      <c r="D525" s="239" t="s">
        <v>3890</v>
      </c>
      <c r="E525" s="58"/>
      <c r="F525" s="59" t="s">
        <v>3891</v>
      </c>
      <c r="G525" s="191" t="s">
        <v>2511</v>
      </c>
      <c r="H525" s="192" t="s">
        <v>411</v>
      </c>
      <c r="I525" s="61" t="s">
        <v>2511</v>
      </c>
      <c r="J525" s="61" t="s">
        <v>2511</v>
      </c>
      <c r="K525" s="62" t="s">
        <v>2511</v>
      </c>
      <c r="L525" s="60" t="s">
        <v>2511</v>
      </c>
      <c r="M525" s="61" t="s">
        <v>2389</v>
      </c>
      <c r="N525" s="61" t="s">
        <v>2511</v>
      </c>
      <c r="O525" s="61" t="s">
        <v>2511</v>
      </c>
      <c r="P525" s="62" t="s">
        <v>2511</v>
      </c>
      <c r="Q525" s="82"/>
      <c r="R525" s="82"/>
      <c r="S525" s="82"/>
      <c r="T525" s="82"/>
      <c r="U525" s="82"/>
      <c r="V525" s="138" t="s">
        <v>3892</v>
      </c>
      <c r="W525" s="57" t="s">
        <v>3660</v>
      </c>
      <c r="X525" s="126" t="s">
        <v>2511</v>
      </c>
      <c r="Y525" s="126" t="s">
        <v>2511</v>
      </c>
      <c r="Z525" s="57"/>
      <c r="AA525" s="57" t="s">
        <v>3661</v>
      </c>
      <c r="AB525" s="138"/>
      <c r="AC525" s="138" t="s">
        <v>2631</v>
      </c>
      <c r="AD525" s="96"/>
      <c r="AE525" s="80"/>
      <c r="AF525" s="80"/>
      <c r="AG525" s="80"/>
      <c r="AH525" s="83"/>
      <c r="AI525" s="83"/>
      <c r="AJ525" s="84"/>
      <c r="AK525" s="84"/>
      <c r="AL525" s="84"/>
      <c r="AM525" s="84"/>
      <c r="AN525" s="84"/>
      <c r="AO525" s="84"/>
      <c r="AP525" s="84"/>
      <c r="AQ525" s="95" t="s">
        <v>411</v>
      </c>
      <c r="AR525" s="72"/>
      <c r="AS525" s="72"/>
      <c r="AT525" s="72"/>
      <c r="AU525" s="72"/>
      <c r="AV525" s="72"/>
      <c r="AW525" s="72"/>
      <c r="AX525" s="72"/>
      <c r="AY525" s="72"/>
      <c r="AZ525" s="72"/>
      <c r="BA525" s="72"/>
      <c r="BB525" s="16"/>
      <c r="BC525" s="72"/>
      <c r="BD525" s="20"/>
      <c r="BE525" s="378"/>
    </row>
    <row r="526" spans="1:57" s="81" customFormat="1" ht="12.95" hidden="1" customHeight="1">
      <c r="A526" s="374"/>
      <c r="B526" s="376"/>
      <c r="C526" s="248" t="s">
        <v>1235</v>
      </c>
      <c r="D526" s="239" t="s">
        <v>3893</v>
      </c>
      <c r="E526" s="58"/>
      <c r="F526" s="59" t="s">
        <v>3894</v>
      </c>
      <c r="G526" s="191" t="s">
        <v>2511</v>
      </c>
      <c r="H526" s="192" t="s">
        <v>412</v>
      </c>
      <c r="I526" s="61" t="s">
        <v>2511</v>
      </c>
      <c r="J526" s="61" t="s">
        <v>2511</v>
      </c>
      <c r="K526" s="62" t="s">
        <v>2511</v>
      </c>
      <c r="L526" s="60" t="s">
        <v>2511</v>
      </c>
      <c r="M526" s="61" t="s">
        <v>2389</v>
      </c>
      <c r="N526" s="61" t="s">
        <v>2511</v>
      </c>
      <c r="O526" s="61" t="s">
        <v>2511</v>
      </c>
      <c r="P526" s="62" t="s">
        <v>2511</v>
      </c>
      <c r="Q526" s="82"/>
      <c r="R526" s="82"/>
      <c r="S526" s="82"/>
      <c r="T526" s="82"/>
      <c r="U526" s="82"/>
      <c r="V526" s="138" t="s">
        <v>3895</v>
      </c>
      <c r="W526" s="57" t="s">
        <v>3660</v>
      </c>
      <c r="X526" s="126" t="s">
        <v>2511</v>
      </c>
      <c r="Y526" s="126" t="s">
        <v>2511</v>
      </c>
      <c r="Z526" s="57"/>
      <c r="AA526" s="57" t="s">
        <v>3661</v>
      </c>
      <c r="AB526" s="138"/>
      <c r="AC526" s="138" t="s">
        <v>2631</v>
      </c>
      <c r="AD526" s="96"/>
      <c r="AE526" s="80"/>
      <c r="AF526" s="80"/>
      <c r="AG526" s="80"/>
      <c r="AH526" s="83"/>
      <c r="AI526" s="83"/>
      <c r="AJ526" s="84"/>
      <c r="AK526" s="84"/>
      <c r="AL526" s="84"/>
      <c r="AM526" s="84"/>
      <c r="AN526" s="84"/>
      <c r="AO526" s="84"/>
      <c r="AP526" s="84"/>
      <c r="AQ526" s="95" t="s">
        <v>412</v>
      </c>
      <c r="AR526" s="72"/>
      <c r="AS526" s="72"/>
      <c r="AT526" s="72"/>
      <c r="AU526" s="72"/>
      <c r="AV526" s="72"/>
      <c r="AW526" s="72"/>
      <c r="AX526" s="72"/>
      <c r="AY526" s="72"/>
      <c r="AZ526" s="72"/>
      <c r="BA526" s="72"/>
      <c r="BB526" s="16"/>
      <c r="BC526" s="72"/>
      <c r="BD526" s="20"/>
      <c r="BE526" s="378"/>
    </row>
    <row r="527" spans="1:57" s="81" customFormat="1" ht="12.95" hidden="1" customHeight="1">
      <c r="A527" s="374"/>
      <c r="B527" s="376"/>
      <c r="C527" s="248" t="s">
        <v>1236</v>
      </c>
      <c r="D527" s="239" t="s">
        <v>3896</v>
      </c>
      <c r="E527" s="58"/>
      <c r="F527" s="59" t="s">
        <v>3897</v>
      </c>
      <c r="G527" s="191" t="s">
        <v>2511</v>
      </c>
      <c r="H527" s="192" t="s">
        <v>413</v>
      </c>
      <c r="I527" s="61" t="s">
        <v>2511</v>
      </c>
      <c r="J527" s="61" t="s">
        <v>2511</v>
      </c>
      <c r="K527" s="62" t="s">
        <v>2511</v>
      </c>
      <c r="L527" s="60" t="s">
        <v>2511</v>
      </c>
      <c r="M527" s="61" t="s">
        <v>2389</v>
      </c>
      <c r="N527" s="61" t="s">
        <v>2511</v>
      </c>
      <c r="O527" s="61" t="s">
        <v>2511</v>
      </c>
      <c r="P527" s="62" t="s">
        <v>2511</v>
      </c>
      <c r="Q527" s="82"/>
      <c r="R527" s="82"/>
      <c r="S527" s="82"/>
      <c r="T527" s="82"/>
      <c r="U527" s="82"/>
      <c r="V527" s="138" t="s">
        <v>3898</v>
      </c>
      <c r="W527" s="57" t="s">
        <v>3660</v>
      </c>
      <c r="X527" s="126" t="s">
        <v>2511</v>
      </c>
      <c r="Y527" s="126" t="s">
        <v>2511</v>
      </c>
      <c r="Z527" s="57"/>
      <c r="AA527" s="57" t="s">
        <v>3661</v>
      </c>
      <c r="AB527" s="138"/>
      <c r="AC527" s="138" t="s">
        <v>2631</v>
      </c>
      <c r="AD527" s="96"/>
      <c r="AE527" s="80"/>
      <c r="AF527" s="80"/>
      <c r="AG527" s="80"/>
      <c r="AH527" s="83"/>
      <c r="AI527" s="83"/>
      <c r="AJ527" s="84"/>
      <c r="AK527" s="84"/>
      <c r="AL527" s="84"/>
      <c r="AM527" s="84"/>
      <c r="AN527" s="84"/>
      <c r="AO527" s="84"/>
      <c r="AP527" s="84"/>
      <c r="AQ527" s="95" t="s">
        <v>413</v>
      </c>
      <c r="AR527" s="72"/>
      <c r="AS527" s="72"/>
      <c r="AT527" s="72"/>
      <c r="AU527" s="72"/>
      <c r="AV527" s="72"/>
      <c r="AW527" s="72"/>
      <c r="AX527" s="72"/>
      <c r="AY527" s="72"/>
      <c r="AZ527" s="72"/>
      <c r="BA527" s="72"/>
      <c r="BB527" s="16"/>
      <c r="BC527" s="72"/>
      <c r="BD527" s="20"/>
      <c r="BE527" s="378"/>
    </row>
    <row r="528" spans="1:57" s="81" customFormat="1" ht="12.95" hidden="1" customHeight="1">
      <c r="A528" s="374"/>
      <c r="B528" s="376"/>
      <c r="C528" s="248" t="s">
        <v>1237</v>
      </c>
      <c r="D528" s="239" t="s">
        <v>3899</v>
      </c>
      <c r="E528" s="58"/>
      <c r="F528" s="59" t="s">
        <v>3900</v>
      </c>
      <c r="G528" s="191" t="s">
        <v>2511</v>
      </c>
      <c r="H528" s="192" t="s">
        <v>414</v>
      </c>
      <c r="I528" s="61" t="s">
        <v>2511</v>
      </c>
      <c r="J528" s="61" t="s">
        <v>2511</v>
      </c>
      <c r="K528" s="62" t="s">
        <v>2511</v>
      </c>
      <c r="L528" s="60" t="s">
        <v>2511</v>
      </c>
      <c r="M528" s="61" t="s">
        <v>2389</v>
      </c>
      <c r="N528" s="61" t="s">
        <v>2511</v>
      </c>
      <c r="O528" s="61" t="s">
        <v>2511</v>
      </c>
      <c r="P528" s="62" t="s">
        <v>2511</v>
      </c>
      <c r="Q528" s="82"/>
      <c r="R528" s="82"/>
      <c r="S528" s="82"/>
      <c r="T528" s="82"/>
      <c r="U528" s="82"/>
      <c r="V528" s="138" t="s">
        <v>3901</v>
      </c>
      <c r="W528" s="57" t="s">
        <v>3660</v>
      </c>
      <c r="X528" s="126" t="s">
        <v>2511</v>
      </c>
      <c r="Y528" s="126" t="s">
        <v>2511</v>
      </c>
      <c r="Z528" s="57"/>
      <c r="AA528" s="57" t="s">
        <v>3661</v>
      </c>
      <c r="AB528" s="138"/>
      <c r="AC528" s="138" t="s">
        <v>2631</v>
      </c>
      <c r="AD528" s="96"/>
      <c r="AE528" s="80"/>
      <c r="AF528" s="80"/>
      <c r="AG528" s="80"/>
      <c r="AH528" s="83"/>
      <c r="AI528" s="83"/>
      <c r="AJ528" s="84"/>
      <c r="AK528" s="84"/>
      <c r="AL528" s="84"/>
      <c r="AM528" s="84"/>
      <c r="AN528" s="84"/>
      <c r="AO528" s="84"/>
      <c r="AP528" s="84"/>
      <c r="AQ528" s="95" t="s">
        <v>414</v>
      </c>
      <c r="AR528" s="72"/>
      <c r="AS528" s="72"/>
      <c r="AT528" s="72"/>
      <c r="AU528" s="72"/>
      <c r="AV528" s="72"/>
      <c r="AW528" s="72"/>
      <c r="AX528" s="72"/>
      <c r="AY528" s="72"/>
      <c r="AZ528" s="72"/>
      <c r="BA528" s="72"/>
      <c r="BB528" s="16"/>
      <c r="BC528" s="72"/>
      <c r="BD528" s="20"/>
      <c r="BE528" s="378"/>
    </row>
    <row r="529" spans="1:57" s="81" customFormat="1" ht="12.95" hidden="1" customHeight="1">
      <c r="A529" s="374"/>
      <c r="B529" s="376"/>
      <c r="C529" s="270" t="s">
        <v>1238</v>
      </c>
      <c r="D529" s="239" t="s">
        <v>3902</v>
      </c>
      <c r="E529" s="58"/>
      <c r="F529" s="59" t="s">
        <v>3903</v>
      </c>
      <c r="G529" s="191" t="s">
        <v>2511</v>
      </c>
      <c r="H529" s="192" t="s">
        <v>415</v>
      </c>
      <c r="I529" s="61" t="s">
        <v>2511</v>
      </c>
      <c r="J529" s="61" t="s">
        <v>2511</v>
      </c>
      <c r="K529" s="62" t="s">
        <v>2511</v>
      </c>
      <c r="L529" s="60" t="s">
        <v>2511</v>
      </c>
      <c r="M529" s="61" t="s">
        <v>2389</v>
      </c>
      <c r="N529" s="61" t="s">
        <v>2511</v>
      </c>
      <c r="O529" s="61" t="s">
        <v>2511</v>
      </c>
      <c r="P529" s="62" t="s">
        <v>2511</v>
      </c>
      <c r="Q529" s="82"/>
      <c r="R529" s="82"/>
      <c r="S529" s="82"/>
      <c r="T529" s="82"/>
      <c r="U529" s="82"/>
      <c r="V529" s="138" t="s">
        <v>3904</v>
      </c>
      <c r="W529" s="57" t="s">
        <v>3660</v>
      </c>
      <c r="X529" s="126" t="s">
        <v>2511</v>
      </c>
      <c r="Y529" s="126" t="s">
        <v>2511</v>
      </c>
      <c r="Z529" s="57"/>
      <c r="AA529" s="57" t="s">
        <v>3661</v>
      </c>
      <c r="AB529" s="138"/>
      <c r="AC529" s="138" t="s">
        <v>2631</v>
      </c>
      <c r="AD529" s="96"/>
      <c r="AE529" s="80"/>
      <c r="AF529" s="80"/>
      <c r="AG529" s="80"/>
      <c r="AH529" s="83"/>
      <c r="AI529" s="83"/>
      <c r="AJ529" s="84"/>
      <c r="AK529" s="84"/>
      <c r="AL529" s="84"/>
      <c r="AM529" s="84"/>
      <c r="AN529" s="84"/>
      <c r="AO529" s="84"/>
      <c r="AP529" s="84"/>
      <c r="AQ529" s="95" t="s">
        <v>415</v>
      </c>
      <c r="AR529" s="72"/>
      <c r="AS529" s="72"/>
      <c r="AT529" s="72"/>
      <c r="AU529" s="72"/>
      <c r="AV529" s="72"/>
      <c r="AW529" s="72"/>
      <c r="AX529" s="72"/>
      <c r="AY529" s="72"/>
      <c r="AZ529" s="72"/>
      <c r="BA529" s="72"/>
      <c r="BB529" s="16"/>
      <c r="BC529" s="72"/>
      <c r="BD529" s="20"/>
      <c r="BE529" s="378"/>
    </row>
    <row r="530" spans="1:57" s="81" customFormat="1" ht="12.95" hidden="1" customHeight="1">
      <c r="A530" s="374"/>
      <c r="B530" s="376"/>
      <c r="C530" s="270" t="s">
        <v>1239</v>
      </c>
      <c r="D530" s="239" t="s">
        <v>3905</v>
      </c>
      <c r="E530" s="58"/>
      <c r="F530" s="59" t="s">
        <v>3906</v>
      </c>
      <c r="G530" s="191" t="s">
        <v>2511</v>
      </c>
      <c r="H530" s="192" t="s">
        <v>416</v>
      </c>
      <c r="I530" s="61" t="s">
        <v>2511</v>
      </c>
      <c r="J530" s="61" t="s">
        <v>2511</v>
      </c>
      <c r="K530" s="62" t="s">
        <v>2511</v>
      </c>
      <c r="L530" s="60" t="s">
        <v>2511</v>
      </c>
      <c r="M530" s="61" t="s">
        <v>2389</v>
      </c>
      <c r="N530" s="61" t="s">
        <v>2511</v>
      </c>
      <c r="O530" s="61" t="s">
        <v>2511</v>
      </c>
      <c r="P530" s="62" t="s">
        <v>2511</v>
      </c>
      <c r="Q530" s="82"/>
      <c r="R530" s="82"/>
      <c r="S530" s="82"/>
      <c r="T530" s="82"/>
      <c r="U530" s="82"/>
      <c r="V530" s="138" t="s">
        <v>3907</v>
      </c>
      <c r="W530" s="57" t="s">
        <v>3660</v>
      </c>
      <c r="X530" s="126" t="s">
        <v>2511</v>
      </c>
      <c r="Y530" s="126" t="s">
        <v>2511</v>
      </c>
      <c r="Z530" s="57"/>
      <c r="AA530" s="57" t="s">
        <v>3661</v>
      </c>
      <c r="AB530" s="138"/>
      <c r="AC530" s="138" t="s">
        <v>2631</v>
      </c>
      <c r="AD530" s="96"/>
      <c r="AE530" s="80"/>
      <c r="AF530" s="80"/>
      <c r="AG530" s="80"/>
      <c r="AH530" s="83"/>
      <c r="AI530" s="83"/>
      <c r="AJ530" s="84"/>
      <c r="AK530" s="84"/>
      <c r="AL530" s="84"/>
      <c r="AM530" s="84"/>
      <c r="AN530" s="84"/>
      <c r="AO530" s="84"/>
      <c r="AP530" s="84"/>
      <c r="AQ530" s="95" t="s">
        <v>416</v>
      </c>
      <c r="AR530" s="72"/>
      <c r="AS530" s="72"/>
      <c r="AT530" s="72"/>
      <c r="AU530" s="72"/>
      <c r="AV530" s="72"/>
      <c r="AW530" s="72"/>
      <c r="AX530" s="72"/>
      <c r="AY530" s="72"/>
      <c r="AZ530" s="72"/>
      <c r="BA530" s="72"/>
      <c r="BB530" s="16"/>
      <c r="BC530" s="72"/>
      <c r="BD530" s="20"/>
      <c r="BE530" s="378"/>
    </row>
    <row r="531" spans="1:57" s="81" customFormat="1" ht="12.75" hidden="1" customHeight="1">
      <c r="A531" s="374"/>
      <c r="B531" s="376"/>
      <c r="C531" s="248" t="s">
        <v>1240</v>
      </c>
      <c r="D531" s="239" t="s">
        <v>3908</v>
      </c>
      <c r="E531" s="58"/>
      <c r="F531" s="59" t="s">
        <v>3909</v>
      </c>
      <c r="G531" s="191" t="s">
        <v>2511</v>
      </c>
      <c r="H531" s="192" t="s">
        <v>417</v>
      </c>
      <c r="I531" s="61" t="s">
        <v>2511</v>
      </c>
      <c r="J531" s="61" t="s">
        <v>2511</v>
      </c>
      <c r="K531" s="62" t="s">
        <v>2511</v>
      </c>
      <c r="L531" s="60" t="s">
        <v>2511</v>
      </c>
      <c r="M531" s="61" t="s">
        <v>2389</v>
      </c>
      <c r="N531" s="61" t="s">
        <v>2511</v>
      </c>
      <c r="O531" s="61" t="s">
        <v>2511</v>
      </c>
      <c r="P531" s="62" t="s">
        <v>2511</v>
      </c>
      <c r="Q531" s="82"/>
      <c r="R531" s="82"/>
      <c r="S531" s="82"/>
      <c r="T531" s="82"/>
      <c r="U531" s="82"/>
      <c r="V531" s="138" t="s">
        <v>3910</v>
      </c>
      <c r="W531" s="57" t="s">
        <v>3660</v>
      </c>
      <c r="X531" s="126" t="s">
        <v>2511</v>
      </c>
      <c r="Y531" s="126" t="s">
        <v>2511</v>
      </c>
      <c r="Z531" s="57"/>
      <c r="AA531" s="57" t="s">
        <v>3661</v>
      </c>
      <c r="AB531" s="138"/>
      <c r="AC531" s="138">
        <v>0</v>
      </c>
      <c r="AD531" s="96"/>
      <c r="AE531" s="80"/>
      <c r="AF531" s="80"/>
      <c r="AG531" s="80"/>
      <c r="AH531" s="83"/>
      <c r="AI531" s="83"/>
      <c r="AJ531" s="84"/>
      <c r="AK531" s="84"/>
      <c r="AL531" s="84"/>
      <c r="AM531" s="84"/>
      <c r="AN531" s="84"/>
      <c r="AO531" s="84"/>
      <c r="AP531" s="84"/>
      <c r="AQ531" s="95" t="s">
        <v>417</v>
      </c>
      <c r="AR531" s="72"/>
      <c r="AS531" s="72"/>
      <c r="AT531" s="72"/>
      <c r="AU531" s="72"/>
      <c r="AV531" s="72"/>
      <c r="AW531" s="72"/>
      <c r="AX531" s="72"/>
      <c r="AY531" s="72"/>
      <c r="AZ531" s="72"/>
      <c r="BA531" s="72"/>
      <c r="BB531" s="16"/>
      <c r="BC531" s="72"/>
      <c r="BD531" s="20"/>
      <c r="BE531" s="378"/>
    </row>
    <row r="532" spans="1:57" s="81" customFormat="1" ht="12.95" hidden="1" customHeight="1">
      <c r="A532" s="374"/>
      <c r="B532" s="376"/>
      <c r="C532" s="248" t="s">
        <v>1241</v>
      </c>
      <c r="D532" s="239" t="s">
        <v>3911</v>
      </c>
      <c r="E532" s="58"/>
      <c r="F532" s="59" t="s">
        <v>3912</v>
      </c>
      <c r="G532" s="191" t="s">
        <v>2511</v>
      </c>
      <c r="H532" s="192" t="s">
        <v>418</v>
      </c>
      <c r="I532" s="61" t="s">
        <v>2511</v>
      </c>
      <c r="J532" s="61" t="s">
        <v>2511</v>
      </c>
      <c r="K532" s="62" t="s">
        <v>2511</v>
      </c>
      <c r="L532" s="60" t="s">
        <v>2511</v>
      </c>
      <c r="M532" s="61" t="s">
        <v>2389</v>
      </c>
      <c r="N532" s="61" t="s">
        <v>2511</v>
      </c>
      <c r="O532" s="61" t="s">
        <v>2511</v>
      </c>
      <c r="P532" s="62" t="s">
        <v>2511</v>
      </c>
      <c r="Q532" s="82"/>
      <c r="R532" s="82"/>
      <c r="S532" s="82"/>
      <c r="T532" s="82"/>
      <c r="U532" s="82"/>
      <c r="V532" s="138" t="s">
        <v>3913</v>
      </c>
      <c r="W532" s="57" t="s">
        <v>3660</v>
      </c>
      <c r="X532" s="126" t="s">
        <v>2511</v>
      </c>
      <c r="Y532" s="126" t="s">
        <v>2511</v>
      </c>
      <c r="Z532" s="57"/>
      <c r="AA532" s="57" t="s">
        <v>3661</v>
      </c>
      <c r="AB532" s="138"/>
      <c r="AC532" s="138" t="s">
        <v>2631</v>
      </c>
      <c r="AD532" s="96"/>
      <c r="AE532" s="80"/>
      <c r="AF532" s="80"/>
      <c r="AG532" s="80"/>
      <c r="AH532" s="83"/>
      <c r="AI532" s="83"/>
      <c r="AJ532" s="84"/>
      <c r="AK532" s="84"/>
      <c r="AL532" s="84"/>
      <c r="AM532" s="84"/>
      <c r="AN532" s="84"/>
      <c r="AO532" s="84"/>
      <c r="AP532" s="84"/>
      <c r="AQ532" s="95" t="s">
        <v>418</v>
      </c>
      <c r="AR532" s="72"/>
      <c r="AS532" s="72"/>
      <c r="AT532" s="72"/>
      <c r="AU532" s="72"/>
      <c r="AV532" s="72"/>
      <c r="AW532" s="72"/>
      <c r="AX532" s="72"/>
      <c r="AY532" s="72"/>
      <c r="AZ532" s="72"/>
      <c r="BA532" s="72"/>
      <c r="BB532" s="16"/>
      <c r="BC532" s="72"/>
      <c r="BD532" s="20"/>
      <c r="BE532" s="378"/>
    </row>
    <row r="533" spans="1:57" s="81" customFormat="1" ht="12.95" hidden="1" customHeight="1">
      <c r="A533" s="374"/>
      <c r="B533" s="376"/>
      <c r="C533" s="248" t="s">
        <v>1242</v>
      </c>
      <c r="D533" s="239" t="s">
        <v>3914</v>
      </c>
      <c r="E533" s="58"/>
      <c r="F533" s="59" t="s">
        <v>3915</v>
      </c>
      <c r="G533" s="191" t="s">
        <v>2511</v>
      </c>
      <c r="H533" s="192" t="s">
        <v>419</v>
      </c>
      <c r="I533" s="61" t="s">
        <v>2511</v>
      </c>
      <c r="J533" s="61" t="s">
        <v>2511</v>
      </c>
      <c r="K533" s="62" t="s">
        <v>2511</v>
      </c>
      <c r="L533" s="60" t="s">
        <v>2511</v>
      </c>
      <c r="M533" s="61" t="s">
        <v>2389</v>
      </c>
      <c r="N533" s="61" t="s">
        <v>2511</v>
      </c>
      <c r="O533" s="61" t="s">
        <v>2511</v>
      </c>
      <c r="P533" s="62" t="s">
        <v>2511</v>
      </c>
      <c r="Q533" s="82"/>
      <c r="R533" s="82"/>
      <c r="S533" s="82"/>
      <c r="T533" s="82"/>
      <c r="U533" s="82"/>
      <c r="V533" s="138" t="s">
        <v>3916</v>
      </c>
      <c r="W533" s="57" t="s">
        <v>3660</v>
      </c>
      <c r="X533" s="126" t="s">
        <v>2511</v>
      </c>
      <c r="Y533" s="126" t="s">
        <v>2511</v>
      </c>
      <c r="Z533" s="57"/>
      <c r="AA533" s="57" t="s">
        <v>3661</v>
      </c>
      <c r="AB533" s="138"/>
      <c r="AC533" s="138" t="s">
        <v>2631</v>
      </c>
      <c r="AD533" s="96"/>
      <c r="AE533" s="80"/>
      <c r="AF533" s="80"/>
      <c r="AG533" s="80"/>
      <c r="AH533" s="83"/>
      <c r="AI533" s="83"/>
      <c r="AJ533" s="84"/>
      <c r="AK533" s="84"/>
      <c r="AL533" s="84"/>
      <c r="AM533" s="84"/>
      <c r="AN533" s="84"/>
      <c r="AO533" s="84"/>
      <c r="AP533" s="84"/>
      <c r="AQ533" s="95" t="s">
        <v>419</v>
      </c>
      <c r="AR533" s="72"/>
      <c r="AS533" s="72"/>
      <c r="AT533" s="72"/>
      <c r="AU533" s="72"/>
      <c r="AV533" s="72"/>
      <c r="AW533" s="72"/>
      <c r="AX533" s="72"/>
      <c r="AY533" s="72"/>
      <c r="AZ533" s="72"/>
      <c r="BA533" s="72"/>
      <c r="BB533" s="16"/>
      <c r="BC533" s="72"/>
      <c r="BD533" s="20"/>
      <c r="BE533" s="378"/>
    </row>
    <row r="534" spans="1:57" s="81" customFormat="1" ht="12.95" hidden="1" customHeight="1">
      <c r="A534" s="374"/>
      <c r="B534" s="376"/>
      <c r="C534" s="248" t="s">
        <v>1243</v>
      </c>
      <c r="D534" s="239" t="s">
        <v>3917</v>
      </c>
      <c r="E534" s="58"/>
      <c r="F534" s="59" t="s">
        <v>3918</v>
      </c>
      <c r="G534" s="191" t="s">
        <v>2511</v>
      </c>
      <c r="H534" s="192" t="s">
        <v>420</v>
      </c>
      <c r="I534" s="61" t="s">
        <v>2511</v>
      </c>
      <c r="J534" s="61" t="s">
        <v>2511</v>
      </c>
      <c r="K534" s="62" t="s">
        <v>2511</v>
      </c>
      <c r="L534" s="60" t="s">
        <v>2511</v>
      </c>
      <c r="M534" s="61" t="s">
        <v>2389</v>
      </c>
      <c r="N534" s="61" t="s">
        <v>2511</v>
      </c>
      <c r="O534" s="61" t="s">
        <v>2511</v>
      </c>
      <c r="P534" s="62" t="s">
        <v>2511</v>
      </c>
      <c r="Q534" s="82"/>
      <c r="R534" s="82"/>
      <c r="S534" s="82"/>
      <c r="T534" s="82"/>
      <c r="U534" s="82"/>
      <c r="V534" s="138" t="s">
        <v>3919</v>
      </c>
      <c r="W534" s="57" t="s">
        <v>3660</v>
      </c>
      <c r="X534" s="126" t="s">
        <v>2511</v>
      </c>
      <c r="Y534" s="126" t="s">
        <v>2511</v>
      </c>
      <c r="Z534" s="57"/>
      <c r="AA534" s="57" t="s">
        <v>3661</v>
      </c>
      <c r="AB534" s="138"/>
      <c r="AC534" s="138" t="s">
        <v>2631</v>
      </c>
      <c r="AD534" s="96"/>
      <c r="AE534" s="80"/>
      <c r="AF534" s="80"/>
      <c r="AG534" s="80"/>
      <c r="AH534" s="83"/>
      <c r="AI534" s="83"/>
      <c r="AJ534" s="84"/>
      <c r="AK534" s="84"/>
      <c r="AL534" s="84"/>
      <c r="AM534" s="84"/>
      <c r="AN534" s="84"/>
      <c r="AO534" s="84"/>
      <c r="AP534" s="84"/>
      <c r="AQ534" s="95" t="s">
        <v>420</v>
      </c>
      <c r="AR534" s="72"/>
      <c r="AS534" s="72"/>
      <c r="AT534" s="72"/>
      <c r="AU534" s="72"/>
      <c r="AV534" s="72"/>
      <c r="AW534" s="72"/>
      <c r="AX534" s="72"/>
      <c r="AY534" s="72"/>
      <c r="AZ534" s="72"/>
      <c r="BA534" s="72"/>
      <c r="BB534" s="16"/>
      <c r="BC534" s="72"/>
      <c r="BD534" s="20"/>
      <c r="BE534" s="378"/>
    </row>
    <row r="535" spans="1:57" s="81" customFormat="1" ht="12.95" hidden="1" customHeight="1">
      <c r="A535" s="374"/>
      <c r="B535" s="376"/>
      <c r="C535" s="248" t="s">
        <v>1244</v>
      </c>
      <c r="D535" s="239" t="s">
        <v>3920</v>
      </c>
      <c r="E535" s="58"/>
      <c r="F535" s="59" t="s">
        <v>3921</v>
      </c>
      <c r="G535" s="191" t="s">
        <v>2511</v>
      </c>
      <c r="H535" s="192" t="s">
        <v>421</v>
      </c>
      <c r="I535" s="61" t="s">
        <v>2511</v>
      </c>
      <c r="J535" s="61" t="s">
        <v>2511</v>
      </c>
      <c r="K535" s="62" t="s">
        <v>2511</v>
      </c>
      <c r="L535" s="60" t="s">
        <v>2511</v>
      </c>
      <c r="M535" s="61" t="s">
        <v>2389</v>
      </c>
      <c r="N535" s="61" t="s">
        <v>2511</v>
      </c>
      <c r="O535" s="61" t="s">
        <v>2511</v>
      </c>
      <c r="P535" s="62" t="s">
        <v>2511</v>
      </c>
      <c r="Q535" s="82"/>
      <c r="R535" s="82"/>
      <c r="S535" s="82"/>
      <c r="T535" s="82"/>
      <c r="U535" s="82"/>
      <c r="V535" s="138" t="s">
        <v>3922</v>
      </c>
      <c r="W535" s="57" t="s">
        <v>3660</v>
      </c>
      <c r="X535" s="126" t="s">
        <v>2511</v>
      </c>
      <c r="Y535" s="126" t="s">
        <v>2511</v>
      </c>
      <c r="Z535" s="57"/>
      <c r="AA535" s="57" t="s">
        <v>3661</v>
      </c>
      <c r="AB535" s="138"/>
      <c r="AC535" s="138" t="s">
        <v>2631</v>
      </c>
      <c r="AD535" s="96"/>
      <c r="AE535" s="80"/>
      <c r="AF535" s="80"/>
      <c r="AG535" s="80"/>
      <c r="AH535" s="83"/>
      <c r="AI535" s="83"/>
      <c r="AJ535" s="84"/>
      <c r="AK535" s="84"/>
      <c r="AL535" s="84"/>
      <c r="AM535" s="84"/>
      <c r="AN535" s="84"/>
      <c r="AO535" s="84"/>
      <c r="AP535" s="84"/>
      <c r="AQ535" s="95" t="s">
        <v>421</v>
      </c>
      <c r="AR535" s="72"/>
      <c r="AS535" s="72"/>
      <c r="AT535" s="72"/>
      <c r="AU535" s="72"/>
      <c r="AV535" s="72"/>
      <c r="AW535" s="72"/>
      <c r="AX535" s="72"/>
      <c r="AY535" s="72"/>
      <c r="AZ535" s="72"/>
      <c r="BA535" s="72"/>
      <c r="BB535" s="16"/>
      <c r="BC535" s="72"/>
      <c r="BD535" s="20"/>
      <c r="BE535" s="378"/>
    </row>
    <row r="536" spans="1:57" s="81" customFormat="1" ht="12.95" hidden="1" customHeight="1">
      <c r="A536" s="374"/>
      <c r="B536" s="376"/>
      <c r="C536" s="248" t="s">
        <v>1245</v>
      </c>
      <c r="D536" s="239" t="s">
        <v>3923</v>
      </c>
      <c r="E536" s="58"/>
      <c r="F536" s="59" t="s">
        <v>3924</v>
      </c>
      <c r="G536" s="191" t="s">
        <v>2511</v>
      </c>
      <c r="H536" s="192" t="s">
        <v>422</v>
      </c>
      <c r="I536" s="61" t="s">
        <v>2511</v>
      </c>
      <c r="J536" s="61" t="s">
        <v>2511</v>
      </c>
      <c r="K536" s="62" t="s">
        <v>2511</v>
      </c>
      <c r="L536" s="60" t="s">
        <v>2511</v>
      </c>
      <c r="M536" s="61" t="s">
        <v>2389</v>
      </c>
      <c r="N536" s="61" t="s">
        <v>2511</v>
      </c>
      <c r="O536" s="61" t="s">
        <v>2511</v>
      </c>
      <c r="P536" s="62" t="s">
        <v>2511</v>
      </c>
      <c r="Q536" s="82"/>
      <c r="R536" s="82"/>
      <c r="S536" s="82"/>
      <c r="T536" s="82"/>
      <c r="U536" s="82"/>
      <c r="V536" s="138" t="s">
        <v>3925</v>
      </c>
      <c r="W536" s="57" t="s">
        <v>3660</v>
      </c>
      <c r="X536" s="126" t="s">
        <v>2511</v>
      </c>
      <c r="Y536" s="126" t="s">
        <v>2511</v>
      </c>
      <c r="Z536" s="57"/>
      <c r="AA536" s="57" t="s">
        <v>3661</v>
      </c>
      <c r="AB536" s="138"/>
      <c r="AC536" s="138" t="s">
        <v>2631</v>
      </c>
      <c r="AD536" s="96"/>
      <c r="AE536" s="80"/>
      <c r="AF536" s="80"/>
      <c r="AG536" s="80"/>
      <c r="AH536" s="83"/>
      <c r="AI536" s="83"/>
      <c r="AJ536" s="84"/>
      <c r="AK536" s="84"/>
      <c r="AL536" s="84"/>
      <c r="AM536" s="84"/>
      <c r="AN536" s="84"/>
      <c r="AO536" s="84"/>
      <c r="AP536" s="84"/>
      <c r="AQ536" s="95" t="s">
        <v>422</v>
      </c>
      <c r="AR536" s="72"/>
      <c r="AS536" s="72"/>
      <c r="AT536" s="72"/>
      <c r="AU536" s="72"/>
      <c r="AV536" s="72"/>
      <c r="AW536" s="72"/>
      <c r="AX536" s="72"/>
      <c r="AY536" s="72"/>
      <c r="AZ536" s="72"/>
      <c r="BA536" s="72"/>
      <c r="BB536" s="16"/>
      <c r="BC536" s="72"/>
      <c r="BD536" s="20"/>
      <c r="BE536" s="378"/>
    </row>
    <row r="537" spans="1:57" s="81" customFormat="1" ht="12.95" hidden="1" customHeight="1">
      <c r="A537" s="374"/>
      <c r="B537" s="376"/>
      <c r="C537" s="248" t="s">
        <v>1246</v>
      </c>
      <c r="D537" s="239" t="s">
        <v>3926</v>
      </c>
      <c r="E537" s="58"/>
      <c r="F537" s="59" t="s">
        <v>3927</v>
      </c>
      <c r="G537" s="191" t="s">
        <v>2511</v>
      </c>
      <c r="H537" s="192" t="s">
        <v>423</v>
      </c>
      <c r="I537" s="61" t="s">
        <v>2511</v>
      </c>
      <c r="J537" s="61" t="s">
        <v>2511</v>
      </c>
      <c r="K537" s="62" t="s">
        <v>2511</v>
      </c>
      <c r="L537" s="60" t="s">
        <v>2511</v>
      </c>
      <c r="M537" s="61" t="s">
        <v>2389</v>
      </c>
      <c r="N537" s="61" t="s">
        <v>2511</v>
      </c>
      <c r="O537" s="61" t="s">
        <v>2511</v>
      </c>
      <c r="P537" s="62" t="s">
        <v>2511</v>
      </c>
      <c r="Q537" s="82"/>
      <c r="R537" s="82"/>
      <c r="S537" s="82"/>
      <c r="T537" s="82"/>
      <c r="U537" s="82"/>
      <c r="V537" s="138" t="s">
        <v>3928</v>
      </c>
      <c r="W537" s="57" t="s">
        <v>3660</v>
      </c>
      <c r="X537" s="126" t="s">
        <v>2511</v>
      </c>
      <c r="Y537" s="126" t="s">
        <v>2511</v>
      </c>
      <c r="Z537" s="57"/>
      <c r="AA537" s="57" t="s">
        <v>3661</v>
      </c>
      <c r="AB537" s="138"/>
      <c r="AC537" s="138" t="s">
        <v>2631</v>
      </c>
      <c r="AD537" s="96"/>
      <c r="AE537" s="80"/>
      <c r="AF537" s="80"/>
      <c r="AG537" s="80"/>
      <c r="AH537" s="83"/>
      <c r="AI537" s="83"/>
      <c r="AJ537" s="84"/>
      <c r="AK537" s="84"/>
      <c r="AL537" s="84"/>
      <c r="AM537" s="84"/>
      <c r="AN537" s="84"/>
      <c r="AO537" s="84"/>
      <c r="AP537" s="84"/>
      <c r="AQ537" s="95" t="s">
        <v>423</v>
      </c>
      <c r="AR537" s="72"/>
      <c r="AS537" s="72"/>
      <c r="AT537" s="72"/>
      <c r="AU537" s="72"/>
      <c r="AV537" s="72"/>
      <c r="AW537" s="72"/>
      <c r="AX537" s="72"/>
      <c r="AY537" s="72"/>
      <c r="AZ537" s="72"/>
      <c r="BA537" s="72"/>
      <c r="BB537" s="16"/>
      <c r="BC537" s="72"/>
      <c r="BD537" s="20"/>
      <c r="BE537" s="378"/>
    </row>
    <row r="538" spans="1:57" s="81" customFormat="1" ht="12.95" hidden="1" customHeight="1">
      <c r="A538" s="374"/>
      <c r="B538" s="376"/>
      <c r="C538" s="248" t="s">
        <v>1247</v>
      </c>
      <c r="D538" s="239" t="s">
        <v>3929</v>
      </c>
      <c r="E538" s="58"/>
      <c r="F538" s="59" t="s">
        <v>3930</v>
      </c>
      <c r="G538" s="191" t="s">
        <v>2511</v>
      </c>
      <c r="H538" s="192" t="s">
        <v>424</v>
      </c>
      <c r="I538" s="61" t="s">
        <v>2511</v>
      </c>
      <c r="J538" s="61" t="s">
        <v>2511</v>
      </c>
      <c r="K538" s="62" t="s">
        <v>2511</v>
      </c>
      <c r="L538" s="60" t="s">
        <v>2511</v>
      </c>
      <c r="M538" s="61" t="s">
        <v>2389</v>
      </c>
      <c r="N538" s="61" t="s">
        <v>2511</v>
      </c>
      <c r="O538" s="61" t="s">
        <v>2511</v>
      </c>
      <c r="P538" s="62" t="s">
        <v>2511</v>
      </c>
      <c r="Q538" s="82"/>
      <c r="R538" s="82"/>
      <c r="S538" s="82"/>
      <c r="T538" s="82"/>
      <c r="U538" s="82"/>
      <c r="V538" s="138" t="s">
        <v>3931</v>
      </c>
      <c r="W538" s="57" t="s">
        <v>3660</v>
      </c>
      <c r="X538" s="126" t="s">
        <v>2511</v>
      </c>
      <c r="Y538" s="126" t="s">
        <v>2511</v>
      </c>
      <c r="Z538" s="57"/>
      <c r="AA538" s="57" t="s">
        <v>3661</v>
      </c>
      <c r="AB538" s="138"/>
      <c r="AC538" s="138" t="s">
        <v>2631</v>
      </c>
      <c r="AD538" s="96"/>
      <c r="AE538" s="80"/>
      <c r="AF538" s="80"/>
      <c r="AG538" s="80"/>
      <c r="AH538" s="83"/>
      <c r="AI538" s="83"/>
      <c r="AJ538" s="84"/>
      <c r="AK538" s="84"/>
      <c r="AL538" s="84"/>
      <c r="AM538" s="84"/>
      <c r="AN538" s="84"/>
      <c r="AO538" s="84"/>
      <c r="AP538" s="84"/>
      <c r="AQ538" s="95" t="s">
        <v>424</v>
      </c>
      <c r="AR538" s="72"/>
      <c r="AS538" s="72"/>
      <c r="AT538" s="72"/>
      <c r="AU538" s="72"/>
      <c r="AV538" s="72"/>
      <c r="AW538" s="72"/>
      <c r="AX538" s="72"/>
      <c r="AY538" s="72"/>
      <c r="AZ538" s="72"/>
      <c r="BA538" s="72"/>
      <c r="BB538" s="16"/>
      <c r="BC538" s="72"/>
      <c r="BD538" s="20"/>
      <c r="BE538" s="378"/>
    </row>
    <row r="539" spans="1:57" s="81" customFormat="1" ht="12.95" hidden="1" customHeight="1">
      <c r="A539" s="374"/>
      <c r="B539" s="376"/>
      <c r="C539" s="248" t="s">
        <v>1248</v>
      </c>
      <c r="D539" s="239" t="s">
        <v>3932</v>
      </c>
      <c r="E539" s="58"/>
      <c r="F539" s="59" t="s">
        <v>3933</v>
      </c>
      <c r="G539" s="191" t="s">
        <v>2511</v>
      </c>
      <c r="H539" s="192" t="s">
        <v>425</v>
      </c>
      <c r="I539" s="61" t="s">
        <v>2511</v>
      </c>
      <c r="J539" s="61" t="s">
        <v>2511</v>
      </c>
      <c r="K539" s="62" t="s">
        <v>2511</v>
      </c>
      <c r="L539" s="60" t="s">
        <v>2511</v>
      </c>
      <c r="M539" s="61" t="s">
        <v>2389</v>
      </c>
      <c r="N539" s="61" t="s">
        <v>2511</v>
      </c>
      <c r="O539" s="61" t="s">
        <v>2511</v>
      </c>
      <c r="P539" s="62" t="s">
        <v>2511</v>
      </c>
      <c r="Q539" s="82"/>
      <c r="R539" s="82"/>
      <c r="S539" s="82"/>
      <c r="T539" s="82"/>
      <c r="U539" s="82"/>
      <c r="V539" s="138" t="s">
        <v>3934</v>
      </c>
      <c r="W539" s="57" t="s">
        <v>3660</v>
      </c>
      <c r="X539" s="126" t="s">
        <v>2511</v>
      </c>
      <c r="Y539" s="126" t="s">
        <v>2511</v>
      </c>
      <c r="Z539" s="57"/>
      <c r="AA539" s="57" t="s">
        <v>3661</v>
      </c>
      <c r="AB539" s="138"/>
      <c r="AC539" s="138" t="s">
        <v>2631</v>
      </c>
      <c r="AD539" s="96"/>
      <c r="AE539" s="80"/>
      <c r="AF539" s="80"/>
      <c r="AG539" s="80"/>
      <c r="AH539" s="83"/>
      <c r="AI539" s="83"/>
      <c r="AJ539" s="84"/>
      <c r="AK539" s="84"/>
      <c r="AL539" s="84"/>
      <c r="AM539" s="84"/>
      <c r="AN539" s="84"/>
      <c r="AO539" s="84"/>
      <c r="AP539" s="84"/>
      <c r="AQ539" s="95" t="s">
        <v>425</v>
      </c>
      <c r="AR539" s="72"/>
      <c r="AS539" s="72"/>
      <c r="AT539" s="72"/>
      <c r="AU539" s="72"/>
      <c r="AV539" s="72"/>
      <c r="AW539" s="72"/>
      <c r="AX539" s="72"/>
      <c r="AY539" s="72"/>
      <c r="AZ539" s="72"/>
      <c r="BA539" s="72"/>
      <c r="BB539" s="16"/>
      <c r="BC539" s="72"/>
      <c r="BD539" s="20"/>
      <c r="BE539" s="378"/>
    </row>
    <row r="540" spans="1:57" s="81" customFormat="1" ht="12.95" hidden="1" customHeight="1">
      <c r="A540" s="374"/>
      <c r="B540" s="376"/>
      <c r="C540" s="248" t="s">
        <v>1249</v>
      </c>
      <c r="D540" s="239" t="s">
        <v>3935</v>
      </c>
      <c r="E540" s="58"/>
      <c r="F540" s="59" t="s">
        <v>3936</v>
      </c>
      <c r="G540" s="191" t="s">
        <v>2511</v>
      </c>
      <c r="H540" s="192" t="s">
        <v>426</v>
      </c>
      <c r="I540" s="61" t="s">
        <v>2511</v>
      </c>
      <c r="J540" s="61" t="s">
        <v>2511</v>
      </c>
      <c r="K540" s="62" t="s">
        <v>2511</v>
      </c>
      <c r="L540" s="60" t="s">
        <v>2511</v>
      </c>
      <c r="M540" s="61" t="s">
        <v>2389</v>
      </c>
      <c r="N540" s="61" t="s">
        <v>2511</v>
      </c>
      <c r="O540" s="61" t="s">
        <v>2511</v>
      </c>
      <c r="P540" s="62" t="s">
        <v>2511</v>
      </c>
      <c r="Q540" s="82"/>
      <c r="R540" s="82"/>
      <c r="S540" s="82"/>
      <c r="T540" s="82"/>
      <c r="U540" s="82"/>
      <c r="V540" s="138" t="s">
        <v>3937</v>
      </c>
      <c r="W540" s="57" t="s">
        <v>3660</v>
      </c>
      <c r="X540" s="126" t="s">
        <v>2511</v>
      </c>
      <c r="Y540" s="126" t="s">
        <v>2511</v>
      </c>
      <c r="Z540" s="57"/>
      <c r="AA540" s="57" t="s">
        <v>3661</v>
      </c>
      <c r="AB540" s="138"/>
      <c r="AC540" s="138" t="s">
        <v>2631</v>
      </c>
      <c r="AD540" s="96"/>
      <c r="AE540" s="80"/>
      <c r="AF540" s="80"/>
      <c r="AG540" s="80"/>
      <c r="AH540" s="83"/>
      <c r="AI540" s="83"/>
      <c r="AJ540" s="84"/>
      <c r="AK540" s="84"/>
      <c r="AL540" s="84"/>
      <c r="AM540" s="84"/>
      <c r="AN540" s="84"/>
      <c r="AO540" s="84"/>
      <c r="AP540" s="84"/>
      <c r="AQ540" s="95" t="s">
        <v>426</v>
      </c>
      <c r="AR540" s="72"/>
      <c r="AS540" s="72"/>
      <c r="AT540" s="72"/>
      <c r="AU540" s="72"/>
      <c r="AV540" s="72"/>
      <c r="AW540" s="72"/>
      <c r="AX540" s="72"/>
      <c r="AY540" s="72"/>
      <c r="AZ540" s="72"/>
      <c r="BA540" s="72"/>
      <c r="BB540" s="16"/>
      <c r="BC540" s="72"/>
      <c r="BD540" s="20"/>
      <c r="BE540" s="378"/>
    </row>
    <row r="541" spans="1:57" s="81" customFormat="1" ht="12.95" hidden="1" customHeight="1">
      <c r="A541" s="374"/>
      <c r="B541" s="376"/>
      <c r="C541" s="270" t="s">
        <v>1250</v>
      </c>
      <c r="D541" s="239" t="s">
        <v>3938</v>
      </c>
      <c r="E541" s="58"/>
      <c r="F541" s="59" t="s">
        <v>3939</v>
      </c>
      <c r="G541" s="191" t="s">
        <v>2511</v>
      </c>
      <c r="H541" s="192" t="s">
        <v>427</v>
      </c>
      <c r="I541" s="61" t="s">
        <v>2511</v>
      </c>
      <c r="J541" s="61" t="s">
        <v>2511</v>
      </c>
      <c r="K541" s="62" t="s">
        <v>2511</v>
      </c>
      <c r="L541" s="60" t="s">
        <v>2511</v>
      </c>
      <c r="M541" s="61" t="s">
        <v>2389</v>
      </c>
      <c r="N541" s="61" t="s">
        <v>2511</v>
      </c>
      <c r="O541" s="61" t="s">
        <v>2511</v>
      </c>
      <c r="P541" s="62" t="s">
        <v>2511</v>
      </c>
      <c r="Q541" s="82"/>
      <c r="R541" s="82"/>
      <c r="S541" s="82"/>
      <c r="T541" s="82"/>
      <c r="U541" s="82"/>
      <c r="V541" s="138" t="s">
        <v>3940</v>
      </c>
      <c r="W541" s="57" t="s">
        <v>3660</v>
      </c>
      <c r="X541" s="126" t="s">
        <v>2511</v>
      </c>
      <c r="Y541" s="126" t="s">
        <v>2511</v>
      </c>
      <c r="Z541" s="57"/>
      <c r="AA541" s="57" t="s">
        <v>3661</v>
      </c>
      <c r="AB541" s="138"/>
      <c r="AC541" s="138" t="s">
        <v>2631</v>
      </c>
      <c r="AD541" s="96"/>
      <c r="AE541" s="80"/>
      <c r="AF541" s="80"/>
      <c r="AG541" s="80"/>
      <c r="AH541" s="83"/>
      <c r="AI541" s="83"/>
      <c r="AJ541" s="84"/>
      <c r="AK541" s="84"/>
      <c r="AL541" s="84"/>
      <c r="AM541" s="84"/>
      <c r="AN541" s="84"/>
      <c r="AO541" s="84"/>
      <c r="AP541" s="84"/>
      <c r="AQ541" s="95" t="s">
        <v>427</v>
      </c>
      <c r="AR541" s="72"/>
      <c r="AS541" s="72"/>
      <c r="AT541" s="72"/>
      <c r="AU541" s="72"/>
      <c r="AV541" s="72"/>
      <c r="AW541" s="72"/>
      <c r="AX541" s="72"/>
      <c r="AY541" s="72"/>
      <c r="AZ541" s="72"/>
      <c r="BA541" s="72"/>
      <c r="BB541" s="16"/>
      <c r="BC541" s="72"/>
      <c r="BD541" s="20"/>
      <c r="BE541" s="378"/>
    </row>
    <row r="542" spans="1:57" s="81" customFormat="1" ht="12.95" hidden="1" customHeight="1">
      <c r="A542" s="374"/>
      <c r="B542" s="376"/>
      <c r="C542" s="270" t="s">
        <v>1251</v>
      </c>
      <c r="D542" s="239" t="s">
        <v>3941</v>
      </c>
      <c r="E542" s="58"/>
      <c r="F542" s="59" t="s">
        <v>3942</v>
      </c>
      <c r="G542" s="191" t="s">
        <v>2511</v>
      </c>
      <c r="H542" s="192" t="s">
        <v>428</v>
      </c>
      <c r="I542" s="61" t="s">
        <v>2511</v>
      </c>
      <c r="J542" s="61" t="s">
        <v>2511</v>
      </c>
      <c r="K542" s="62" t="s">
        <v>2511</v>
      </c>
      <c r="L542" s="60" t="s">
        <v>2511</v>
      </c>
      <c r="M542" s="61" t="s">
        <v>2389</v>
      </c>
      <c r="N542" s="61" t="s">
        <v>2511</v>
      </c>
      <c r="O542" s="61" t="s">
        <v>2511</v>
      </c>
      <c r="P542" s="62" t="s">
        <v>2511</v>
      </c>
      <c r="Q542" s="82"/>
      <c r="R542" s="82"/>
      <c r="S542" s="82"/>
      <c r="T542" s="82"/>
      <c r="U542" s="82"/>
      <c r="V542" s="138" t="s">
        <v>3943</v>
      </c>
      <c r="W542" s="57" t="s">
        <v>3660</v>
      </c>
      <c r="X542" s="126" t="s">
        <v>2511</v>
      </c>
      <c r="Y542" s="126" t="s">
        <v>2511</v>
      </c>
      <c r="Z542" s="57"/>
      <c r="AA542" s="57" t="s">
        <v>3661</v>
      </c>
      <c r="AB542" s="138"/>
      <c r="AC542" s="138" t="s">
        <v>2631</v>
      </c>
      <c r="AD542" s="96"/>
      <c r="AE542" s="80"/>
      <c r="AF542" s="80"/>
      <c r="AG542" s="80"/>
      <c r="AH542" s="83"/>
      <c r="AI542" s="83"/>
      <c r="AJ542" s="84"/>
      <c r="AK542" s="84"/>
      <c r="AL542" s="84"/>
      <c r="AM542" s="84"/>
      <c r="AN542" s="84"/>
      <c r="AO542" s="84"/>
      <c r="AP542" s="84"/>
      <c r="AQ542" s="95" t="s">
        <v>428</v>
      </c>
      <c r="AR542" s="72"/>
      <c r="AS542" s="72"/>
      <c r="AT542" s="72"/>
      <c r="AU542" s="72"/>
      <c r="AV542" s="72"/>
      <c r="AW542" s="72"/>
      <c r="AX542" s="72"/>
      <c r="AY542" s="72"/>
      <c r="AZ542" s="72"/>
      <c r="BA542" s="72"/>
      <c r="BB542" s="16"/>
      <c r="BC542" s="72"/>
      <c r="BD542" s="20"/>
      <c r="BE542" s="378"/>
    </row>
    <row r="543" spans="1:57" s="81" customFormat="1" ht="12.95" hidden="1" customHeight="1">
      <c r="A543" s="374"/>
      <c r="B543" s="376"/>
      <c r="C543" s="248" t="s">
        <v>1252</v>
      </c>
      <c r="D543" s="239" t="s">
        <v>3944</v>
      </c>
      <c r="E543" s="58"/>
      <c r="F543" s="59" t="s">
        <v>3945</v>
      </c>
      <c r="G543" s="191" t="s">
        <v>2511</v>
      </c>
      <c r="H543" s="192" t="s">
        <v>429</v>
      </c>
      <c r="I543" s="61" t="s">
        <v>2511</v>
      </c>
      <c r="J543" s="61" t="s">
        <v>2511</v>
      </c>
      <c r="K543" s="62" t="s">
        <v>2511</v>
      </c>
      <c r="L543" s="60" t="s">
        <v>2511</v>
      </c>
      <c r="M543" s="61" t="s">
        <v>2389</v>
      </c>
      <c r="N543" s="61" t="s">
        <v>2511</v>
      </c>
      <c r="O543" s="61" t="s">
        <v>2511</v>
      </c>
      <c r="P543" s="62" t="s">
        <v>2511</v>
      </c>
      <c r="Q543" s="82"/>
      <c r="R543" s="82"/>
      <c r="S543" s="82"/>
      <c r="T543" s="82"/>
      <c r="U543" s="82"/>
      <c r="V543" s="138" t="s">
        <v>3946</v>
      </c>
      <c r="W543" s="57" t="s">
        <v>3660</v>
      </c>
      <c r="X543" s="126" t="s">
        <v>2511</v>
      </c>
      <c r="Y543" s="126" t="s">
        <v>2511</v>
      </c>
      <c r="Z543" s="57"/>
      <c r="AA543" s="57" t="s">
        <v>3661</v>
      </c>
      <c r="AB543" s="138"/>
      <c r="AC543" s="138">
        <v>0</v>
      </c>
      <c r="AD543" s="96"/>
      <c r="AE543" s="80"/>
      <c r="AF543" s="80"/>
      <c r="AG543" s="80"/>
      <c r="AH543" s="83"/>
      <c r="AI543" s="83"/>
      <c r="AJ543" s="84"/>
      <c r="AK543" s="84"/>
      <c r="AL543" s="84"/>
      <c r="AM543" s="84"/>
      <c r="AN543" s="84"/>
      <c r="AO543" s="84"/>
      <c r="AP543" s="84"/>
      <c r="AQ543" s="95" t="s">
        <v>429</v>
      </c>
      <c r="AR543" s="72"/>
      <c r="AS543" s="72"/>
      <c r="AT543" s="72"/>
      <c r="AU543" s="72"/>
      <c r="AV543" s="72"/>
      <c r="AW543" s="72"/>
      <c r="AX543" s="72"/>
      <c r="AY543" s="72"/>
      <c r="AZ543" s="72"/>
      <c r="BA543" s="72"/>
      <c r="BB543" s="16"/>
      <c r="BC543" s="72"/>
      <c r="BD543" s="20"/>
      <c r="BE543" s="378"/>
    </row>
    <row r="544" spans="1:57" s="81" customFormat="1" ht="12.95" hidden="1" customHeight="1">
      <c r="A544" s="374"/>
      <c r="B544" s="376"/>
      <c r="C544" s="248" t="s">
        <v>1253</v>
      </c>
      <c r="D544" s="239" t="s">
        <v>3947</v>
      </c>
      <c r="E544" s="58"/>
      <c r="F544" s="59" t="s">
        <v>3948</v>
      </c>
      <c r="G544" s="191" t="s">
        <v>2511</v>
      </c>
      <c r="H544" s="192" t="s">
        <v>430</v>
      </c>
      <c r="I544" s="61" t="s">
        <v>2511</v>
      </c>
      <c r="J544" s="61" t="s">
        <v>2511</v>
      </c>
      <c r="K544" s="62" t="s">
        <v>2511</v>
      </c>
      <c r="L544" s="60" t="s">
        <v>2511</v>
      </c>
      <c r="M544" s="61" t="s">
        <v>2389</v>
      </c>
      <c r="N544" s="61" t="s">
        <v>2511</v>
      </c>
      <c r="O544" s="61" t="s">
        <v>2511</v>
      </c>
      <c r="P544" s="62" t="s">
        <v>2511</v>
      </c>
      <c r="Q544" s="82"/>
      <c r="R544" s="82"/>
      <c r="S544" s="82"/>
      <c r="T544" s="82"/>
      <c r="U544" s="82"/>
      <c r="V544" s="138" t="s">
        <v>3949</v>
      </c>
      <c r="W544" s="57" t="s">
        <v>3660</v>
      </c>
      <c r="X544" s="126" t="s">
        <v>2511</v>
      </c>
      <c r="Y544" s="126" t="s">
        <v>2511</v>
      </c>
      <c r="Z544" s="57"/>
      <c r="AA544" s="57" t="s">
        <v>3661</v>
      </c>
      <c r="AB544" s="138"/>
      <c r="AC544" s="138" t="s">
        <v>2631</v>
      </c>
      <c r="AD544" s="96"/>
      <c r="AE544" s="80"/>
      <c r="AF544" s="80"/>
      <c r="AG544" s="80"/>
      <c r="AH544" s="83"/>
      <c r="AI544" s="83"/>
      <c r="AJ544" s="84"/>
      <c r="AK544" s="84"/>
      <c r="AL544" s="84"/>
      <c r="AM544" s="84"/>
      <c r="AN544" s="84"/>
      <c r="AO544" s="84"/>
      <c r="AP544" s="84"/>
      <c r="AQ544" s="95" t="s">
        <v>430</v>
      </c>
      <c r="AR544" s="72"/>
      <c r="AS544" s="72"/>
      <c r="AT544" s="72"/>
      <c r="AU544" s="72"/>
      <c r="AV544" s="72"/>
      <c r="AW544" s="72"/>
      <c r="AX544" s="72"/>
      <c r="AY544" s="72"/>
      <c r="AZ544" s="72"/>
      <c r="BA544" s="72"/>
      <c r="BB544" s="16"/>
      <c r="BC544" s="72"/>
      <c r="BD544" s="20"/>
      <c r="BE544" s="378"/>
    </row>
    <row r="545" spans="1:57" s="81" customFormat="1" ht="12.95" hidden="1" customHeight="1">
      <c r="A545" s="374"/>
      <c r="B545" s="376"/>
      <c r="C545" s="248" t="s">
        <v>1254</v>
      </c>
      <c r="D545" s="239" t="s">
        <v>3950</v>
      </c>
      <c r="E545" s="58"/>
      <c r="F545" s="59" t="s">
        <v>3951</v>
      </c>
      <c r="G545" s="191" t="s">
        <v>2511</v>
      </c>
      <c r="H545" s="192" t="s">
        <v>431</v>
      </c>
      <c r="I545" s="61" t="s">
        <v>2511</v>
      </c>
      <c r="J545" s="61" t="s">
        <v>2511</v>
      </c>
      <c r="K545" s="62" t="s">
        <v>2511</v>
      </c>
      <c r="L545" s="60" t="s">
        <v>2511</v>
      </c>
      <c r="M545" s="61" t="s">
        <v>2389</v>
      </c>
      <c r="N545" s="61" t="s">
        <v>2511</v>
      </c>
      <c r="O545" s="61" t="s">
        <v>2511</v>
      </c>
      <c r="P545" s="62" t="s">
        <v>2511</v>
      </c>
      <c r="Q545" s="82"/>
      <c r="R545" s="82"/>
      <c r="S545" s="82"/>
      <c r="T545" s="82"/>
      <c r="U545" s="82"/>
      <c r="V545" s="138" t="s">
        <v>3952</v>
      </c>
      <c r="W545" s="57" t="s">
        <v>3660</v>
      </c>
      <c r="X545" s="126" t="s">
        <v>2511</v>
      </c>
      <c r="Y545" s="126" t="s">
        <v>2511</v>
      </c>
      <c r="Z545" s="57"/>
      <c r="AA545" s="57" t="s">
        <v>3661</v>
      </c>
      <c r="AB545" s="138"/>
      <c r="AC545" s="138" t="s">
        <v>2631</v>
      </c>
      <c r="AD545" s="96"/>
      <c r="AE545" s="80"/>
      <c r="AF545" s="80"/>
      <c r="AG545" s="80"/>
      <c r="AH545" s="83"/>
      <c r="AI545" s="83"/>
      <c r="AJ545" s="84"/>
      <c r="AK545" s="84"/>
      <c r="AL545" s="84"/>
      <c r="AM545" s="84"/>
      <c r="AN545" s="84"/>
      <c r="AO545" s="84"/>
      <c r="AP545" s="84"/>
      <c r="AQ545" s="95" t="s">
        <v>431</v>
      </c>
      <c r="AR545" s="72"/>
      <c r="AS545" s="72"/>
      <c r="AT545" s="72"/>
      <c r="AU545" s="72"/>
      <c r="AV545" s="72"/>
      <c r="AW545" s="72"/>
      <c r="AX545" s="72"/>
      <c r="AY545" s="72"/>
      <c r="AZ545" s="72"/>
      <c r="BA545" s="72"/>
      <c r="BB545" s="16"/>
      <c r="BC545" s="72"/>
      <c r="BD545" s="20"/>
      <c r="BE545" s="378"/>
    </row>
    <row r="546" spans="1:57" s="81" customFormat="1" ht="12.95" hidden="1" customHeight="1">
      <c r="A546" s="374"/>
      <c r="B546" s="376"/>
      <c r="C546" s="248" t="s">
        <v>1255</v>
      </c>
      <c r="D546" s="239" t="s">
        <v>3953</v>
      </c>
      <c r="E546" s="58"/>
      <c r="F546" s="59" t="s">
        <v>3954</v>
      </c>
      <c r="G546" s="191" t="s">
        <v>2511</v>
      </c>
      <c r="H546" s="192" t="s">
        <v>432</v>
      </c>
      <c r="I546" s="61" t="s">
        <v>2511</v>
      </c>
      <c r="J546" s="61" t="s">
        <v>2511</v>
      </c>
      <c r="K546" s="62" t="s">
        <v>2511</v>
      </c>
      <c r="L546" s="60" t="s">
        <v>2511</v>
      </c>
      <c r="M546" s="61" t="s">
        <v>2389</v>
      </c>
      <c r="N546" s="61" t="s">
        <v>2511</v>
      </c>
      <c r="O546" s="61" t="s">
        <v>2511</v>
      </c>
      <c r="P546" s="62" t="s">
        <v>2511</v>
      </c>
      <c r="Q546" s="82"/>
      <c r="R546" s="82"/>
      <c r="S546" s="82"/>
      <c r="T546" s="82"/>
      <c r="U546" s="82"/>
      <c r="V546" s="138" t="s">
        <v>3955</v>
      </c>
      <c r="W546" s="57" t="s">
        <v>3660</v>
      </c>
      <c r="X546" s="126" t="s">
        <v>2511</v>
      </c>
      <c r="Y546" s="126" t="s">
        <v>2511</v>
      </c>
      <c r="Z546" s="57"/>
      <c r="AA546" s="57" t="s">
        <v>3661</v>
      </c>
      <c r="AB546" s="138"/>
      <c r="AC546" s="138" t="s">
        <v>2631</v>
      </c>
      <c r="AD546" s="96"/>
      <c r="AE546" s="80"/>
      <c r="AF546" s="80"/>
      <c r="AG546" s="80"/>
      <c r="AH546" s="83"/>
      <c r="AI546" s="83"/>
      <c r="AJ546" s="84"/>
      <c r="AK546" s="84"/>
      <c r="AL546" s="84"/>
      <c r="AM546" s="84"/>
      <c r="AN546" s="84"/>
      <c r="AO546" s="84"/>
      <c r="AP546" s="84"/>
      <c r="AQ546" s="95" t="s">
        <v>432</v>
      </c>
      <c r="AR546" s="72"/>
      <c r="AS546" s="72"/>
      <c r="AT546" s="72"/>
      <c r="AU546" s="72"/>
      <c r="AV546" s="72"/>
      <c r="AW546" s="72"/>
      <c r="AX546" s="72"/>
      <c r="AY546" s="72"/>
      <c r="AZ546" s="72"/>
      <c r="BA546" s="72"/>
      <c r="BB546" s="16"/>
      <c r="BC546" s="72"/>
      <c r="BD546" s="20"/>
      <c r="BE546" s="378"/>
    </row>
    <row r="547" spans="1:57" s="81" customFormat="1" ht="12.95" hidden="1" customHeight="1">
      <c r="A547" s="374"/>
      <c r="B547" s="376"/>
      <c r="C547" s="248" t="s">
        <v>1256</v>
      </c>
      <c r="D547" s="239" t="s">
        <v>3956</v>
      </c>
      <c r="E547" s="58"/>
      <c r="F547" s="59" t="s">
        <v>3957</v>
      </c>
      <c r="G547" s="191" t="s">
        <v>2511</v>
      </c>
      <c r="H547" s="192" t="s">
        <v>433</v>
      </c>
      <c r="I547" s="61" t="s">
        <v>2511</v>
      </c>
      <c r="J547" s="61" t="s">
        <v>2511</v>
      </c>
      <c r="K547" s="62" t="s">
        <v>2511</v>
      </c>
      <c r="L547" s="60" t="s">
        <v>2511</v>
      </c>
      <c r="M547" s="61" t="s">
        <v>2389</v>
      </c>
      <c r="N547" s="61" t="s">
        <v>2511</v>
      </c>
      <c r="O547" s="61" t="s">
        <v>2511</v>
      </c>
      <c r="P547" s="62" t="s">
        <v>2511</v>
      </c>
      <c r="Q547" s="82"/>
      <c r="R547" s="82"/>
      <c r="S547" s="82"/>
      <c r="T547" s="82"/>
      <c r="U547" s="82"/>
      <c r="V547" s="138" t="s">
        <v>3958</v>
      </c>
      <c r="W547" s="57" t="s">
        <v>3660</v>
      </c>
      <c r="X547" s="126" t="s">
        <v>2511</v>
      </c>
      <c r="Y547" s="126" t="s">
        <v>2511</v>
      </c>
      <c r="Z547" s="57"/>
      <c r="AA547" s="57" t="s">
        <v>3661</v>
      </c>
      <c r="AB547" s="138"/>
      <c r="AC547" s="138" t="s">
        <v>2631</v>
      </c>
      <c r="AD547" s="96"/>
      <c r="AE547" s="80"/>
      <c r="AF547" s="80"/>
      <c r="AG547" s="80"/>
      <c r="AH547" s="83"/>
      <c r="AI547" s="83"/>
      <c r="AJ547" s="84"/>
      <c r="AK547" s="84"/>
      <c r="AL547" s="84"/>
      <c r="AM547" s="84"/>
      <c r="AN547" s="84"/>
      <c r="AO547" s="84"/>
      <c r="AP547" s="84"/>
      <c r="AQ547" s="95" t="s">
        <v>433</v>
      </c>
      <c r="AR547" s="72"/>
      <c r="AS547" s="72"/>
      <c r="AT547" s="72"/>
      <c r="AU547" s="72"/>
      <c r="AV547" s="72"/>
      <c r="AW547" s="72"/>
      <c r="AX547" s="72"/>
      <c r="AY547" s="72"/>
      <c r="AZ547" s="72"/>
      <c r="BA547" s="72"/>
      <c r="BB547" s="16"/>
      <c r="BC547" s="72"/>
      <c r="BD547" s="20"/>
      <c r="BE547" s="378"/>
    </row>
    <row r="548" spans="1:57" s="81" customFormat="1" ht="12.95" hidden="1" customHeight="1">
      <c r="A548" s="374"/>
      <c r="B548" s="376"/>
      <c r="C548" s="248" t="s">
        <v>1257</v>
      </c>
      <c r="D548" s="239" t="s">
        <v>3959</v>
      </c>
      <c r="E548" s="58"/>
      <c r="F548" s="59" t="s">
        <v>3960</v>
      </c>
      <c r="G548" s="191" t="s">
        <v>2511</v>
      </c>
      <c r="H548" s="192" t="s">
        <v>434</v>
      </c>
      <c r="I548" s="61" t="s">
        <v>2511</v>
      </c>
      <c r="J548" s="61" t="s">
        <v>2511</v>
      </c>
      <c r="K548" s="62" t="s">
        <v>2511</v>
      </c>
      <c r="L548" s="60" t="s">
        <v>2511</v>
      </c>
      <c r="M548" s="61" t="s">
        <v>2389</v>
      </c>
      <c r="N548" s="61" t="s">
        <v>2511</v>
      </c>
      <c r="O548" s="61" t="s">
        <v>2511</v>
      </c>
      <c r="P548" s="62" t="s">
        <v>2511</v>
      </c>
      <c r="Q548" s="82"/>
      <c r="R548" s="82"/>
      <c r="S548" s="82"/>
      <c r="T548" s="82"/>
      <c r="U548" s="82"/>
      <c r="V548" s="138" t="s">
        <v>3961</v>
      </c>
      <c r="W548" s="57" t="s">
        <v>3660</v>
      </c>
      <c r="X548" s="126" t="s">
        <v>2511</v>
      </c>
      <c r="Y548" s="126" t="s">
        <v>2511</v>
      </c>
      <c r="Z548" s="57"/>
      <c r="AA548" s="57" t="s">
        <v>3661</v>
      </c>
      <c r="AB548" s="138"/>
      <c r="AC548" s="138" t="s">
        <v>2631</v>
      </c>
      <c r="AD548" s="96"/>
      <c r="AE548" s="80"/>
      <c r="AF548" s="80"/>
      <c r="AG548" s="80"/>
      <c r="AH548" s="83"/>
      <c r="AI548" s="83"/>
      <c r="AJ548" s="84"/>
      <c r="AK548" s="84"/>
      <c r="AL548" s="84"/>
      <c r="AM548" s="84"/>
      <c r="AN548" s="84"/>
      <c r="AO548" s="84"/>
      <c r="AP548" s="84"/>
      <c r="AQ548" s="95" t="s">
        <v>434</v>
      </c>
      <c r="AR548" s="72"/>
      <c r="AS548" s="72"/>
      <c r="AT548" s="72"/>
      <c r="AU548" s="72"/>
      <c r="AV548" s="72"/>
      <c r="AW548" s="72"/>
      <c r="AX548" s="72"/>
      <c r="AY548" s="72"/>
      <c r="AZ548" s="72"/>
      <c r="BA548" s="72"/>
      <c r="BB548" s="16"/>
      <c r="BC548" s="72"/>
      <c r="BD548" s="20"/>
      <c r="BE548" s="378"/>
    </row>
    <row r="549" spans="1:57" s="81" customFormat="1" ht="12.95" hidden="1" customHeight="1">
      <c r="A549" s="374"/>
      <c r="B549" s="376"/>
      <c r="C549" s="248" t="s">
        <v>1258</v>
      </c>
      <c r="D549" s="239" t="s">
        <v>3962</v>
      </c>
      <c r="E549" s="58"/>
      <c r="F549" s="59" t="s">
        <v>3963</v>
      </c>
      <c r="G549" s="191" t="s">
        <v>2511</v>
      </c>
      <c r="H549" s="192" t="s">
        <v>435</v>
      </c>
      <c r="I549" s="61" t="s">
        <v>2511</v>
      </c>
      <c r="J549" s="61" t="s">
        <v>2511</v>
      </c>
      <c r="K549" s="62" t="s">
        <v>2511</v>
      </c>
      <c r="L549" s="60" t="s">
        <v>2511</v>
      </c>
      <c r="M549" s="61" t="s">
        <v>2389</v>
      </c>
      <c r="N549" s="61" t="s">
        <v>2511</v>
      </c>
      <c r="O549" s="61" t="s">
        <v>2511</v>
      </c>
      <c r="P549" s="62" t="s">
        <v>2511</v>
      </c>
      <c r="Q549" s="82"/>
      <c r="R549" s="82"/>
      <c r="S549" s="82"/>
      <c r="T549" s="82"/>
      <c r="U549" s="82"/>
      <c r="V549" s="138" t="s">
        <v>3964</v>
      </c>
      <c r="W549" s="57" t="s">
        <v>3660</v>
      </c>
      <c r="X549" s="126" t="s">
        <v>2511</v>
      </c>
      <c r="Y549" s="126" t="s">
        <v>2511</v>
      </c>
      <c r="Z549" s="57"/>
      <c r="AA549" s="57" t="s">
        <v>3661</v>
      </c>
      <c r="AB549" s="138"/>
      <c r="AC549" s="138" t="s">
        <v>2631</v>
      </c>
      <c r="AD549" s="96"/>
      <c r="AE549" s="80"/>
      <c r="AF549" s="80"/>
      <c r="AG549" s="80"/>
      <c r="AH549" s="83"/>
      <c r="AI549" s="83"/>
      <c r="AJ549" s="84"/>
      <c r="AK549" s="84"/>
      <c r="AL549" s="84"/>
      <c r="AM549" s="84"/>
      <c r="AN549" s="84"/>
      <c r="AO549" s="84"/>
      <c r="AP549" s="84"/>
      <c r="AQ549" s="95" t="s">
        <v>435</v>
      </c>
      <c r="AR549" s="72"/>
      <c r="AS549" s="72"/>
      <c r="AT549" s="72"/>
      <c r="AU549" s="72"/>
      <c r="AV549" s="72"/>
      <c r="AW549" s="72"/>
      <c r="AX549" s="72"/>
      <c r="AY549" s="72"/>
      <c r="AZ549" s="72"/>
      <c r="BA549" s="72"/>
      <c r="BB549" s="16"/>
      <c r="BC549" s="72"/>
      <c r="BD549" s="20"/>
      <c r="BE549" s="378"/>
    </row>
    <row r="550" spans="1:57" s="81" customFormat="1" ht="12.95" hidden="1" customHeight="1">
      <c r="A550" s="374"/>
      <c r="B550" s="376"/>
      <c r="C550" s="248" t="s">
        <v>1259</v>
      </c>
      <c r="D550" s="239" t="s">
        <v>3965</v>
      </c>
      <c r="E550" s="58"/>
      <c r="F550" s="59" t="s">
        <v>3966</v>
      </c>
      <c r="G550" s="191" t="s">
        <v>2511</v>
      </c>
      <c r="H550" s="192" t="s">
        <v>436</v>
      </c>
      <c r="I550" s="61" t="s">
        <v>2511</v>
      </c>
      <c r="J550" s="61" t="s">
        <v>2511</v>
      </c>
      <c r="K550" s="62" t="s">
        <v>2511</v>
      </c>
      <c r="L550" s="60" t="s">
        <v>2511</v>
      </c>
      <c r="M550" s="61" t="s">
        <v>2389</v>
      </c>
      <c r="N550" s="61" t="s">
        <v>2511</v>
      </c>
      <c r="O550" s="61" t="s">
        <v>2511</v>
      </c>
      <c r="P550" s="62" t="s">
        <v>2511</v>
      </c>
      <c r="Q550" s="82"/>
      <c r="R550" s="82"/>
      <c r="S550" s="82"/>
      <c r="T550" s="82"/>
      <c r="U550" s="82"/>
      <c r="V550" s="138" t="s">
        <v>3967</v>
      </c>
      <c r="W550" s="57" t="s">
        <v>3660</v>
      </c>
      <c r="X550" s="126" t="s">
        <v>2511</v>
      </c>
      <c r="Y550" s="126" t="s">
        <v>2511</v>
      </c>
      <c r="Z550" s="57"/>
      <c r="AA550" s="57" t="s">
        <v>3661</v>
      </c>
      <c r="AB550" s="138"/>
      <c r="AC550" s="138" t="s">
        <v>2631</v>
      </c>
      <c r="AD550" s="96"/>
      <c r="AE550" s="80"/>
      <c r="AF550" s="80"/>
      <c r="AG550" s="80"/>
      <c r="AH550" s="83"/>
      <c r="AI550" s="83"/>
      <c r="AJ550" s="84"/>
      <c r="AK550" s="84"/>
      <c r="AL550" s="84"/>
      <c r="AM550" s="84"/>
      <c r="AN550" s="84"/>
      <c r="AO550" s="84"/>
      <c r="AP550" s="84"/>
      <c r="AQ550" s="95" t="s">
        <v>436</v>
      </c>
      <c r="AR550" s="72"/>
      <c r="AS550" s="72"/>
      <c r="AT550" s="72"/>
      <c r="AU550" s="72"/>
      <c r="AV550" s="72"/>
      <c r="AW550" s="72"/>
      <c r="AX550" s="72"/>
      <c r="AY550" s="72"/>
      <c r="AZ550" s="72"/>
      <c r="BA550" s="72"/>
      <c r="BB550" s="16"/>
      <c r="BC550" s="72"/>
      <c r="BD550" s="20"/>
      <c r="BE550" s="378"/>
    </row>
    <row r="551" spans="1:57" s="81" customFormat="1" ht="12.95" hidden="1" customHeight="1">
      <c r="A551" s="374"/>
      <c r="B551" s="376"/>
      <c r="C551" s="248" t="s">
        <v>1260</v>
      </c>
      <c r="D551" s="239" t="s">
        <v>3968</v>
      </c>
      <c r="E551" s="58"/>
      <c r="F551" s="59" t="s">
        <v>3969</v>
      </c>
      <c r="G551" s="191" t="s">
        <v>2511</v>
      </c>
      <c r="H551" s="192" t="s">
        <v>437</v>
      </c>
      <c r="I551" s="61" t="s">
        <v>2511</v>
      </c>
      <c r="J551" s="61" t="s">
        <v>2511</v>
      </c>
      <c r="K551" s="62" t="s">
        <v>2511</v>
      </c>
      <c r="L551" s="60" t="s">
        <v>2511</v>
      </c>
      <c r="M551" s="61" t="s">
        <v>2389</v>
      </c>
      <c r="N551" s="61" t="s">
        <v>2511</v>
      </c>
      <c r="O551" s="61" t="s">
        <v>2511</v>
      </c>
      <c r="P551" s="62" t="s">
        <v>2511</v>
      </c>
      <c r="Q551" s="82"/>
      <c r="R551" s="82"/>
      <c r="S551" s="82"/>
      <c r="T551" s="82"/>
      <c r="U551" s="82"/>
      <c r="V551" s="138" t="s">
        <v>3970</v>
      </c>
      <c r="W551" s="57" t="s">
        <v>3660</v>
      </c>
      <c r="X551" s="126" t="s">
        <v>2511</v>
      </c>
      <c r="Y551" s="126" t="s">
        <v>2511</v>
      </c>
      <c r="Z551" s="57"/>
      <c r="AA551" s="57" t="s">
        <v>3661</v>
      </c>
      <c r="AB551" s="138"/>
      <c r="AC551" s="138" t="s">
        <v>2631</v>
      </c>
      <c r="AD551" s="96"/>
      <c r="AE551" s="80"/>
      <c r="AF551" s="80"/>
      <c r="AG551" s="80"/>
      <c r="AH551" s="83"/>
      <c r="AI551" s="83"/>
      <c r="AJ551" s="84"/>
      <c r="AK551" s="84"/>
      <c r="AL551" s="84"/>
      <c r="AM551" s="84"/>
      <c r="AN551" s="84"/>
      <c r="AO551" s="84"/>
      <c r="AP551" s="84"/>
      <c r="AQ551" s="95" t="s">
        <v>437</v>
      </c>
      <c r="AR551" s="72"/>
      <c r="AS551" s="72"/>
      <c r="AT551" s="72"/>
      <c r="AU551" s="72"/>
      <c r="AV551" s="72"/>
      <c r="AW551" s="72"/>
      <c r="AX551" s="72"/>
      <c r="AY551" s="72"/>
      <c r="AZ551" s="72"/>
      <c r="BA551" s="72"/>
      <c r="BB551" s="16"/>
      <c r="BC551" s="72"/>
      <c r="BD551" s="20"/>
      <c r="BE551" s="378"/>
    </row>
    <row r="552" spans="1:57" s="81" customFormat="1" ht="12.95" hidden="1" customHeight="1">
      <c r="A552" s="374"/>
      <c r="B552" s="376"/>
      <c r="C552" s="248" t="s">
        <v>1261</v>
      </c>
      <c r="D552" s="239" t="s">
        <v>3971</v>
      </c>
      <c r="E552" s="58"/>
      <c r="F552" s="59" t="s">
        <v>3972</v>
      </c>
      <c r="G552" s="191" t="s">
        <v>2511</v>
      </c>
      <c r="H552" s="192" t="s">
        <v>438</v>
      </c>
      <c r="I552" s="61" t="s">
        <v>2511</v>
      </c>
      <c r="J552" s="61" t="s">
        <v>2511</v>
      </c>
      <c r="K552" s="62" t="s">
        <v>2511</v>
      </c>
      <c r="L552" s="60" t="s">
        <v>2511</v>
      </c>
      <c r="M552" s="61" t="s">
        <v>2389</v>
      </c>
      <c r="N552" s="61" t="s">
        <v>2511</v>
      </c>
      <c r="O552" s="61" t="s">
        <v>2511</v>
      </c>
      <c r="P552" s="62" t="s">
        <v>2511</v>
      </c>
      <c r="Q552" s="82"/>
      <c r="R552" s="82"/>
      <c r="S552" s="82"/>
      <c r="T552" s="82"/>
      <c r="U552" s="82"/>
      <c r="V552" s="138" t="s">
        <v>3973</v>
      </c>
      <c r="W552" s="57" t="s">
        <v>3660</v>
      </c>
      <c r="X552" s="126" t="s">
        <v>2511</v>
      </c>
      <c r="Y552" s="126" t="s">
        <v>2511</v>
      </c>
      <c r="Z552" s="57"/>
      <c r="AA552" s="57" t="s">
        <v>3661</v>
      </c>
      <c r="AB552" s="138"/>
      <c r="AC552" s="138" t="s">
        <v>2631</v>
      </c>
      <c r="AD552" s="96"/>
      <c r="AE552" s="80"/>
      <c r="AF552" s="80"/>
      <c r="AG552" s="80"/>
      <c r="AH552" s="83"/>
      <c r="AI552" s="83"/>
      <c r="AJ552" s="84"/>
      <c r="AK552" s="84"/>
      <c r="AL552" s="84"/>
      <c r="AM552" s="84"/>
      <c r="AN552" s="84"/>
      <c r="AO552" s="84"/>
      <c r="AP552" s="84"/>
      <c r="AQ552" s="95" t="s">
        <v>438</v>
      </c>
      <c r="AR552" s="72"/>
      <c r="AS552" s="72"/>
      <c r="AT552" s="72"/>
      <c r="AU552" s="72"/>
      <c r="AV552" s="72"/>
      <c r="AW552" s="72"/>
      <c r="AX552" s="72"/>
      <c r="AY552" s="72"/>
      <c r="AZ552" s="72"/>
      <c r="BA552" s="72"/>
      <c r="BB552" s="16"/>
      <c r="BC552" s="72"/>
      <c r="BD552" s="20"/>
      <c r="BE552" s="378"/>
    </row>
    <row r="553" spans="1:57" s="81" customFormat="1" ht="12.95" hidden="1" customHeight="1">
      <c r="A553" s="374"/>
      <c r="B553" s="376"/>
      <c r="C553" s="270" t="s">
        <v>1262</v>
      </c>
      <c r="D553" s="239" t="s">
        <v>3974</v>
      </c>
      <c r="E553" s="58"/>
      <c r="F553" s="59" t="s">
        <v>3975</v>
      </c>
      <c r="G553" s="191" t="s">
        <v>2511</v>
      </c>
      <c r="H553" s="192" t="s">
        <v>439</v>
      </c>
      <c r="I553" s="61" t="s">
        <v>2511</v>
      </c>
      <c r="J553" s="61" t="s">
        <v>2511</v>
      </c>
      <c r="K553" s="62" t="s">
        <v>2511</v>
      </c>
      <c r="L553" s="60" t="s">
        <v>2511</v>
      </c>
      <c r="M553" s="61" t="s">
        <v>2389</v>
      </c>
      <c r="N553" s="61" t="s">
        <v>2511</v>
      </c>
      <c r="O553" s="61" t="s">
        <v>2511</v>
      </c>
      <c r="P553" s="62" t="s">
        <v>2511</v>
      </c>
      <c r="Q553" s="82"/>
      <c r="R553" s="82"/>
      <c r="S553" s="82"/>
      <c r="T553" s="82"/>
      <c r="U553" s="82"/>
      <c r="V553" s="138" t="s">
        <v>3976</v>
      </c>
      <c r="W553" s="57" t="s">
        <v>3660</v>
      </c>
      <c r="X553" s="126" t="s">
        <v>2511</v>
      </c>
      <c r="Y553" s="126" t="s">
        <v>2511</v>
      </c>
      <c r="Z553" s="57"/>
      <c r="AA553" s="57" t="s">
        <v>3661</v>
      </c>
      <c r="AB553" s="138"/>
      <c r="AC553" s="138" t="s">
        <v>2631</v>
      </c>
      <c r="AD553" s="96"/>
      <c r="AE553" s="80"/>
      <c r="AF553" s="80"/>
      <c r="AG553" s="80"/>
      <c r="AH553" s="83"/>
      <c r="AI553" s="83"/>
      <c r="AJ553" s="84"/>
      <c r="AK553" s="84"/>
      <c r="AL553" s="84"/>
      <c r="AM553" s="84"/>
      <c r="AN553" s="84"/>
      <c r="AO553" s="84"/>
      <c r="AP553" s="84"/>
      <c r="AQ553" s="95" t="s">
        <v>439</v>
      </c>
      <c r="AR553" s="72"/>
      <c r="AS553" s="72"/>
      <c r="AT553" s="72"/>
      <c r="AU553" s="72"/>
      <c r="AV553" s="72"/>
      <c r="AW553" s="72"/>
      <c r="AX553" s="72"/>
      <c r="AY553" s="72"/>
      <c r="AZ553" s="72"/>
      <c r="BA553" s="72"/>
      <c r="BB553" s="16"/>
      <c r="BC553" s="72"/>
      <c r="BD553" s="20"/>
      <c r="BE553" s="378"/>
    </row>
    <row r="554" spans="1:57" s="81" customFormat="1" ht="12.95" hidden="1" customHeight="1">
      <c r="A554" s="374"/>
      <c r="B554" s="376"/>
      <c r="C554" s="270" t="s">
        <v>1263</v>
      </c>
      <c r="D554" s="239" t="s">
        <v>3977</v>
      </c>
      <c r="E554" s="58"/>
      <c r="F554" s="59" t="s">
        <v>3978</v>
      </c>
      <c r="G554" s="191" t="s">
        <v>2511</v>
      </c>
      <c r="H554" s="192" t="s">
        <v>440</v>
      </c>
      <c r="I554" s="61" t="s">
        <v>2511</v>
      </c>
      <c r="J554" s="61" t="s">
        <v>2511</v>
      </c>
      <c r="K554" s="62" t="s">
        <v>2511</v>
      </c>
      <c r="L554" s="60" t="s">
        <v>2511</v>
      </c>
      <c r="M554" s="61" t="s">
        <v>2389</v>
      </c>
      <c r="N554" s="61" t="s">
        <v>2511</v>
      </c>
      <c r="O554" s="61" t="s">
        <v>2511</v>
      </c>
      <c r="P554" s="62" t="s">
        <v>2511</v>
      </c>
      <c r="Q554" s="82"/>
      <c r="R554" s="82"/>
      <c r="S554" s="82"/>
      <c r="T554" s="82"/>
      <c r="U554" s="82"/>
      <c r="V554" s="138" t="s">
        <v>3979</v>
      </c>
      <c r="W554" s="57" t="s">
        <v>3660</v>
      </c>
      <c r="X554" s="126" t="s">
        <v>2511</v>
      </c>
      <c r="Y554" s="126" t="s">
        <v>2511</v>
      </c>
      <c r="Z554" s="57"/>
      <c r="AA554" s="57" t="s">
        <v>3661</v>
      </c>
      <c r="AB554" s="138"/>
      <c r="AC554" s="138" t="s">
        <v>2631</v>
      </c>
      <c r="AD554" s="96"/>
      <c r="AE554" s="80"/>
      <c r="AF554" s="80"/>
      <c r="AG554" s="80"/>
      <c r="AH554" s="83"/>
      <c r="AI554" s="83"/>
      <c r="AJ554" s="84"/>
      <c r="AK554" s="84"/>
      <c r="AL554" s="84"/>
      <c r="AM554" s="84"/>
      <c r="AN554" s="84"/>
      <c r="AO554" s="84"/>
      <c r="AP554" s="84"/>
      <c r="AQ554" s="95" t="s">
        <v>440</v>
      </c>
      <c r="AR554" s="72"/>
      <c r="AS554" s="72"/>
      <c r="AT554" s="72"/>
      <c r="AU554" s="72"/>
      <c r="AV554" s="72"/>
      <c r="AW554" s="72"/>
      <c r="AX554" s="72"/>
      <c r="AY554" s="72"/>
      <c r="AZ554" s="72"/>
      <c r="BA554" s="72"/>
      <c r="BB554" s="16"/>
      <c r="BC554" s="72"/>
      <c r="BD554" s="20"/>
      <c r="BE554" s="378"/>
    </row>
    <row r="555" spans="1:57" s="81" customFormat="1" ht="12.95" hidden="1" customHeight="1">
      <c r="A555" s="374"/>
      <c r="B555" s="376"/>
      <c r="C555" s="248" t="s">
        <v>1264</v>
      </c>
      <c r="D555" s="239" t="s">
        <v>3980</v>
      </c>
      <c r="E555" s="58"/>
      <c r="F555" s="59" t="s">
        <v>3981</v>
      </c>
      <c r="G555" s="191" t="s">
        <v>2511</v>
      </c>
      <c r="H555" s="192" t="s">
        <v>441</v>
      </c>
      <c r="I555" s="61" t="s">
        <v>2511</v>
      </c>
      <c r="J555" s="61" t="s">
        <v>2511</v>
      </c>
      <c r="K555" s="62" t="s">
        <v>2511</v>
      </c>
      <c r="L555" s="60" t="s">
        <v>2511</v>
      </c>
      <c r="M555" s="61" t="s">
        <v>2389</v>
      </c>
      <c r="N555" s="61" t="s">
        <v>2511</v>
      </c>
      <c r="O555" s="61" t="s">
        <v>2511</v>
      </c>
      <c r="P555" s="62" t="s">
        <v>2511</v>
      </c>
      <c r="Q555" s="82"/>
      <c r="R555" s="82"/>
      <c r="S555" s="82"/>
      <c r="T555" s="82"/>
      <c r="U555" s="82"/>
      <c r="V555" s="138" t="s">
        <v>3982</v>
      </c>
      <c r="W555" s="57" t="s">
        <v>3660</v>
      </c>
      <c r="X555" s="126" t="s">
        <v>2511</v>
      </c>
      <c r="Y555" s="126" t="s">
        <v>2511</v>
      </c>
      <c r="Z555" s="57"/>
      <c r="AA555" s="57" t="s">
        <v>3661</v>
      </c>
      <c r="AB555" s="138"/>
      <c r="AC555" s="138">
        <v>0</v>
      </c>
      <c r="AD555" s="96"/>
      <c r="AE555" s="80"/>
      <c r="AF555" s="80"/>
      <c r="AG555" s="80"/>
      <c r="AH555" s="83"/>
      <c r="AI555" s="83"/>
      <c r="AJ555" s="84"/>
      <c r="AK555" s="84"/>
      <c r="AL555" s="84"/>
      <c r="AM555" s="84"/>
      <c r="AN555" s="84"/>
      <c r="AO555" s="84"/>
      <c r="AP555" s="84"/>
      <c r="AQ555" s="95" t="s">
        <v>441</v>
      </c>
      <c r="AR555" s="72"/>
      <c r="AS555" s="72"/>
      <c r="AT555" s="72"/>
      <c r="AU555" s="72"/>
      <c r="AV555" s="72"/>
      <c r="AW555" s="72"/>
      <c r="AX555" s="72"/>
      <c r="AY555" s="72"/>
      <c r="AZ555" s="72"/>
      <c r="BA555" s="72"/>
      <c r="BB555" s="16"/>
      <c r="BC555" s="72"/>
      <c r="BD555" s="20"/>
      <c r="BE555" s="378"/>
    </row>
    <row r="556" spans="1:57" s="81" customFormat="1" ht="12.95" hidden="1" customHeight="1">
      <c r="A556" s="374"/>
      <c r="B556" s="376"/>
      <c r="C556" s="248" t="s">
        <v>1265</v>
      </c>
      <c r="D556" s="239" t="s">
        <v>3983</v>
      </c>
      <c r="E556" s="58"/>
      <c r="F556" s="59" t="s">
        <v>3984</v>
      </c>
      <c r="G556" s="191" t="s">
        <v>2511</v>
      </c>
      <c r="H556" s="192" t="s">
        <v>442</v>
      </c>
      <c r="I556" s="61" t="s">
        <v>2511</v>
      </c>
      <c r="J556" s="61" t="s">
        <v>2511</v>
      </c>
      <c r="K556" s="62" t="s">
        <v>2511</v>
      </c>
      <c r="L556" s="60" t="s">
        <v>2511</v>
      </c>
      <c r="M556" s="61" t="s">
        <v>2389</v>
      </c>
      <c r="N556" s="61" t="s">
        <v>2511</v>
      </c>
      <c r="O556" s="61" t="s">
        <v>2511</v>
      </c>
      <c r="P556" s="62" t="s">
        <v>2511</v>
      </c>
      <c r="Q556" s="82"/>
      <c r="R556" s="82"/>
      <c r="S556" s="82"/>
      <c r="T556" s="82"/>
      <c r="U556" s="82"/>
      <c r="V556" s="138" t="s">
        <v>3985</v>
      </c>
      <c r="W556" s="57" t="s">
        <v>3660</v>
      </c>
      <c r="X556" s="126" t="s">
        <v>2511</v>
      </c>
      <c r="Y556" s="126" t="s">
        <v>2511</v>
      </c>
      <c r="Z556" s="57"/>
      <c r="AA556" s="57" t="s">
        <v>3661</v>
      </c>
      <c r="AB556" s="138"/>
      <c r="AC556" s="138" t="s">
        <v>2631</v>
      </c>
      <c r="AD556" s="96"/>
      <c r="AE556" s="80"/>
      <c r="AF556" s="80"/>
      <c r="AG556" s="80"/>
      <c r="AH556" s="83"/>
      <c r="AI556" s="83"/>
      <c r="AJ556" s="84"/>
      <c r="AK556" s="84"/>
      <c r="AL556" s="84"/>
      <c r="AM556" s="84"/>
      <c r="AN556" s="84"/>
      <c r="AO556" s="84"/>
      <c r="AP556" s="84"/>
      <c r="AQ556" s="95" t="s">
        <v>442</v>
      </c>
      <c r="AR556" s="72"/>
      <c r="AS556" s="72"/>
      <c r="AT556" s="72"/>
      <c r="AU556" s="72"/>
      <c r="AV556" s="72"/>
      <c r="AW556" s="72"/>
      <c r="AX556" s="72"/>
      <c r="AY556" s="72"/>
      <c r="AZ556" s="72"/>
      <c r="BA556" s="72"/>
      <c r="BB556" s="16"/>
      <c r="BC556" s="72"/>
      <c r="BD556" s="20"/>
      <c r="BE556" s="378"/>
    </row>
    <row r="557" spans="1:57" s="81" customFormat="1" ht="12.95" hidden="1" customHeight="1">
      <c r="A557" s="374"/>
      <c r="B557" s="376"/>
      <c r="C557" s="248" t="s">
        <v>1266</v>
      </c>
      <c r="D557" s="239" t="s">
        <v>3986</v>
      </c>
      <c r="E557" s="58"/>
      <c r="F557" s="59" t="s">
        <v>3987</v>
      </c>
      <c r="G557" s="191" t="s">
        <v>2511</v>
      </c>
      <c r="H557" s="192" t="s">
        <v>443</v>
      </c>
      <c r="I557" s="61" t="s">
        <v>2511</v>
      </c>
      <c r="J557" s="61" t="s">
        <v>2511</v>
      </c>
      <c r="K557" s="62" t="s">
        <v>2511</v>
      </c>
      <c r="L557" s="60" t="s">
        <v>2511</v>
      </c>
      <c r="M557" s="61" t="s">
        <v>2389</v>
      </c>
      <c r="N557" s="61" t="s">
        <v>2511</v>
      </c>
      <c r="O557" s="61" t="s">
        <v>2511</v>
      </c>
      <c r="P557" s="62" t="s">
        <v>2511</v>
      </c>
      <c r="Q557" s="82"/>
      <c r="R557" s="82"/>
      <c r="S557" s="82"/>
      <c r="T557" s="82"/>
      <c r="U557" s="82"/>
      <c r="V557" s="138" t="s">
        <v>3988</v>
      </c>
      <c r="W557" s="57" t="s">
        <v>3660</v>
      </c>
      <c r="X557" s="126" t="s">
        <v>2511</v>
      </c>
      <c r="Y557" s="126" t="s">
        <v>2511</v>
      </c>
      <c r="Z557" s="57"/>
      <c r="AA557" s="57" t="s">
        <v>3661</v>
      </c>
      <c r="AB557" s="138"/>
      <c r="AC557" s="138" t="s">
        <v>2631</v>
      </c>
      <c r="AD557" s="96"/>
      <c r="AE557" s="80"/>
      <c r="AF557" s="80"/>
      <c r="AG557" s="80"/>
      <c r="AH557" s="83"/>
      <c r="AI557" s="83"/>
      <c r="AJ557" s="84"/>
      <c r="AK557" s="84"/>
      <c r="AL557" s="84"/>
      <c r="AM557" s="84"/>
      <c r="AN557" s="84"/>
      <c r="AO557" s="84"/>
      <c r="AP557" s="84"/>
      <c r="AQ557" s="95" t="s">
        <v>443</v>
      </c>
      <c r="AR557" s="72"/>
      <c r="AS557" s="72"/>
      <c r="AT557" s="72"/>
      <c r="AU557" s="72"/>
      <c r="AV557" s="72"/>
      <c r="AW557" s="72"/>
      <c r="AX557" s="72"/>
      <c r="AY557" s="72"/>
      <c r="AZ557" s="72"/>
      <c r="BA557" s="72"/>
      <c r="BB557" s="16"/>
      <c r="BC557" s="72"/>
      <c r="BD557" s="20"/>
      <c r="BE557" s="378"/>
    </row>
    <row r="558" spans="1:57" s="81" customFormat="1" ht="12.95" hidden="1" customHeight="1">
      <c r="A558" s="374"/>
      <c r="B558" s="376"/>
      <c r="C558" s="248" t="s">
        <v>1267</v>
      </c>
      <c r="D558" s="239" t="s">
        <v>3989</v>
      </c>
      <c r="E558" s="58"/>
      <c r="F558" s="59" t="s">
        <v>3990</v>
      </c>
      <c r="G558" s="191" t="s">
        <v>2511</v>
      </c>
      <c r="H558" s="192" t="s">
        <v>444</v>
      </c>
      <c r="I558" s="61" t="s">
        <v>2511</v>
      </c>
      <c r="J558" s="61" t="s">
        <v>2511</v>
      </c>
      <c r="K558" s="62" t="s">
        <v>2511</v>
      </c>
      <c r="L558" s="60" t="s">
        <v>2511</v>
      </c>
      <c r="M558" s="61" t="s">
        <v>2389</v>
      </c>
      <c r="N558" s="61" t="s">
        <v>2511</v>
      </c>
      <c r="O558" s="61" t="s">
        <v>2511</v>
      </c>
      <c r="P558" s="62" t="s">
        <v>2511</v>
      </c>
      <c r="Q558" s="82"/>
      <c r="R558" s="82"/>
      <c r="S558" s="82"/>
      <c r="T558" s="82"/>
      <c r="U558" s="82"/>
      <c r="V558" s="138" t="s">
        <v>3991</v>
      </c>
      <c r="W558" s="57" t="s">
        <v>3660</v>
      </c>
      <c r="X558" s="126" t="s">
        <v>2511</v>
      </c>
      <c r="Y558" s="126" t="s">
        <v>2511</v>
      </c>
      <c r="Z558" s="57"/>
      <c r="AA558" s="57" t="s">
        <v>3661</v>
      </c>
      <c r="AB558" s="138"/>
      <c r="AC558" s="138" t="s">
        <v>2631</v>
      </c>
      <c r="AD558" s="96"/>
      <c r="AE558" s="80"/>
      <c r="AF558" s="80"/>
      <c r="AG558" s="80"/>
      <c r="AH558" s="83"/>
      <c r="AI558" s="83"/>
      <c r="AJ558" s="84"/>
      <c r="AK558" s="84"/>
      <c r="AL558" s="84"/>
      <c r="AM558" s="84"/>
      <c r="AN558" s="84"/>
      <c r="AO558" s="84"/>
      <c r="AP558" s="84"/>
      <c r="AQ558" s="95" t="s">
        <v>444</v>
      </c>
      <c r="AR558" s="72"/>
      <c r="AS558" s="72"/>
      <c r="AT558" s="72"/>
      <c r="AU558" s="72"/>
      <c r="AV558" s="72"/>
      <c r="AW558" s="72"/>
      <c r="AX558" s="72"/>
      <c r="AY558" s="72"/>
      <c r="AZ558" s="72"/>
      <c r="BA558" s="72"/>
      <c r="BB558" s="16"/>
      <c r="BC558" s="72"/>
      <c r="BD558" s="20"/>
      <c r="BE558" s="378"/>
    </row>
    <row r="559" spans="1:57" s="81" customFormat="1" ht="12.95" hidden="1" customHeight="1">
      <c r="A559" s="374"/>
      <c r="B559" s="376"/>
      <c r="C559" s="248" t="s">
        <v>1268</v>
      </c>
      <c r="D559" s="239" t="s">
        <v>3992</v>
      </c>
      <c r="E559" s="58"/>
      <c r="F559" s="59" t="s">
        <v>3993</v>
      </c>
      <c r="G559" s="191" t="s">
        <v>2511</v>
      </c>
      <c r="H559" s="192" t="s">
        <v>445</v>
      </c>
      <c r="I559" s="61" t="s">
        <v>2511</v>
      </c>
      <c r="J559" s="61" t="s">
        <v>2511</v>
      </c>
      <c r="K559" s="62" t="s">
        <v>2511</v>
      </c>
      <c r="L559" s="60" t="s">
        <v>2511</v>
      </c>
      <c r="M559" s="61" t="s">
        <v>2389</v>
      </c>
      <c r="N559" s="61" t="s">
        <v>2511</v>
      </c>
      <c r="O559" s="61" t="s">
        <v>2511</v>
      </c>
      <c r="P559" s="62" t="s">
        <v>2511</v>
      </c>
      <c r="Q559" s="82"/>
      <c r="R559" s="82"/>
      <c r="S559" s="82"/>
      <c r="T559" s="82"/>
      <c r="U559" s="82"/>
      <c r="V559" s="138" t="s">
        <v>3994</v>
      </c>
      <c r="W559" s="57" t="s">
        <v>3660</v>
      </c>
      <c r="X559" s="126" t="s">
        <v>2511</v>
      </c>
      <c r="Y559" s="126" t="s">
        <v>2511</v>
      </c>
      <c r="Z559" s="57"/>
      <c r="AA559" s="57" t="s">
        <v>3661</v>
      </c>
      <c r="AB559" s="138"/>
      <c r="AC559" s="138" t="s">
        <v>2631</v>
      </c>
      <c r="AD559" s="96"/>
      <c r="AE559" s="80"/>
      <c r="AF559" s="80"/>
      <c r="AG559" s="80"/>
      <c r="AH559" s="83"/>
      <c r="AI559" s="83"/>
      <c r="AJ559" s="84"/>
      <c r="AK559" s="84"/>
      <c r="AL559" s="84"/>
      <c r="AM559" s="84"/>
      <c r="AN559" s="84"/>
      <c r="AO559" s="84"/>
      <c r="AP559" s="84"/>
      <c r="AQ559" s="95" t="s">
        <v>445</v>
      </c>
      <c r="AR559" s="72"/>
      <c r="AS559" s="72"/>
      <c r="AT559" s="72"/>
      <c r="AU559" s="72"/>
      <c r="AV559" s="72"/>
      <c r="AW559" s="72"/>
      <c r="AX559" s="72"/>
      <c r="AY559" s="72"/>
      <c r="AZ559" s="72"/>
      <c r="BA559" s="72"/>
      <c r="BB559" s="16"/>
      <c r="BC559" s="72"/>
      <c r="BD559" s="20"/>
      <c r="BE559" s="378"/>
    </row>
    <row r="560" spans="1:57" s="81" customFormat="1" ht="12.95" hidden="1" customHeight="1">
      <c r="A560" s="374"/>
      <c r="B560" s="376"/>
      <c r="C560" s="248" t="s">
        <v>1269</v>
      </c>
      <c r="D560" s="239" t="s">
        <v>3995</v>
      </c>
      <c r="E560" s="58"/>
      <c r="F560" s="59" t="s">
        <v>3996</v>
      </c>
      <c r="G560" s="191" t="s">
        <v>2511</v>
      </c>
      <c r="H560" s="192" t="s">
        <v>446</v>
      </c>
      <c r="I560" s="61" t="s">
        <v>2511</v>
      </c>
      <c r="J560" s="61" t="s">
        <v>2511</v>
      </c>
      <c r="K560" s="62" t="s">
        <v>2511</v>
      </c>
      <c r="L560" s="60" t="s">
        <v>2511</v>
      </c>
      <c r="M560" s="61" t="s">
        <v>2389</v>
      </c>
      <c r="N560" s="61" t="s">
        <v>2511</v>
      </c>
      <c r="O560" s="61" t="s">
        <v>2511</v>
      </c>
      <c r="P560" s="62" t="s">
        <v>2511</v>
      </c>
      <c r="Q560" s="82"/>
      <c r="R560" s="82"/>
      <c r="S560" s="82"/>
      <c r="T560" s="82"/>
      <c r="U560" s="82"/>
      <c r="V560" s="138" t="s">
        <v>3997</v>
      </c>
      <c r="W560" s="57" t="s">
        <v>3660</v>
      </c>
      <c r="X560" s="126" t="s">
        <v>2511</v>
      </c>
      <c r="Y560" s="126" t="s">
        <v>2511</v>
      </c>
      <c r="Z560" s="57"/>
      <c r="AA560" s="57" t="s">
        <v>3661</v>
      </c>
      <c r="AB560" s="138"/>
      <c r="AC560" s="138" t="s">
        <v>2631</v>
      </c>
      <c r="AD560" s="96"/>
      <c r="AE560" s="80"/>
      <c r="AF560" s="80"/>
      <c r="AG560" s="80"/>
      <c r="AH560" s="83"/>
      <c r="AI560" s="83"/>
      <c r="AJ560" s="84"/>
      <c r="AK560" s="84"/>
      <c r="AL560" s="84"/>
      <c r="AM560" s="84"/>
      <c r="AN560" s="84"/>
      <c r="AO560" s="84"/>
      <c r="AP560" s="84"/>
      <c r="AQ560" s="95" t="s">
        <v>446</v>
      </c>
      <c r="AR560" s="72"/>
      <c r="AS560" s="72"/>
      <c r="AT560" s="72"/>
      <c r="AU560" s="72"/>
      <c r="AV560" s="72"/>
      <c r="AW560" s="72"/>
      <c r="AX560" s="72"/>
      <c r="AY560" s="72"/>
      <c r="AZ560" s="72"/>
      <c r="BA560" s="72"/>
      <c r="BB560" s="16"/>
      <c r="BC560" s="72"/>
      <c r="BD560" s="20"/>
      <c r="BE560" s="378"/>
    </row>
    <row r="561" spans="1:57" s="81" customFormat="1" ht="12.95" hidden="1" customHeight="1">
      <c r="A561" s="374"/>
      <c r="B561" s="376"/>
      <c r="C561" s="248" t="s">
        <v>1270</v>
      </c>
      <c r="D561" s="239" t="s">
        <v>3998</v>
      </c>
      <c r="E561" s="58"/>
      <c r="F561" s="59" t="s">
        <v>3999</v>
      </c>
      <c r="G561" s="191" t="s">
        <v>2511</v>
      </c>
      <c r="H561" s="192" t="s">
        <v>447</v>
      </c>
      <c r="I561" s="61" t="s">
        <v>2511</v>
      </c>
      <c r="J561" s="61" t="s">
        <v>2511</v>
      </c>
      <c r="K561" s="62" t="s">
        <v>2511</v>
      </c>
      <c r="L561" s="60" t="s">
        <v>2511</v>
      </c>
      <c r="M561" s="61" t="s">
        <v>2389</v>
      </c>
      <c r="N561" s="61" t="s">
        <v>2511</v>
      </c>
      <c r="O561" s="61" t="s">
        <v>2511</v>
      </c>
      <c r="P561" s="62" t="s">
        <v>2511</v>
      </c>
      <c r="Q561" s="82"/>
      <c r="R561" s="82"/>
      <c r="S561" s="82"/>
      <c r="T561" s="82"/>
      <c r="U561" s="82"/>
      <c r="V561" s="138" t="s">
        <v>4000</v>
      </c>
      <c r="W561" s="57" t="s">
        <v>3660</v>
      </c>
      <c r="X561" s="126" t="s">
        <v>2511</v>
      </c>
      <c r="Y561" s="126" t="s">
        <v>2511</v>
      </c>
      <c r="Z561" s="57"/>
      <c r="AA561" s="57" t="s">
        <v>3661</v>
      </c>
      <c r="AB561" s="138"/>
      <c r="AC561" s="138" t="s">
        <v>2631</v>
      </c>
      <c r="AD561" s="96"/>
      <c r="AE561" s="80"/>
      <c r="AF561" s="80"/>
      <c r="AG561" s="80"/>
      <c r="AH561" s="83"/>
      <c r="AI561" s="83"/>
      <c r="AJ561" s="84"/>
      <c r="AK561" s="84"/>
      <c r="AL561" s="84"/>
      <c r="AM561" s="84"/>
      <c r="AN561" s="84"/>
      <c r="AO561" s="84"/>
      <c r="AP561" s="84"/>
      <c r="AQ561" s="95" t="s">
        <v>447</v>
      </c>
      <c r="AR561" s="72"/>
      <c r="AS561" s="72"/>
      <c r="AT561" s="72"/>
      <c r="AU561" s="72"/>
      <c r="AV561" s="72"/>
      <c r="AW561" s="72"/>
      <c r="AX561" s="72"/>
      <c r="AY561" s="72"/>
      <c r="AZ561" s="72"/>
      <c r="BA561" s="72"/>
      <c r="BB561" s="16"/>
      <c r="BC561" s="72"/>
      <c r="BD561" s="20"/>
      <c r="BE561" s="378"/>
    </row>
    <row r="562" spans="1:57" s="81" customFormat="1" ht="12.95" hidden="1" customHeight="1">
      <c r="A562" s="374"/>
      <c r="B562" s="376"/>
      <c r="C562" s="248" t="s">
        <v>1271</v>
      </c>
      <c r="D562" s="239" t="s">
        <v>4001</v>
      </c>
      <c r="E562" s="58"/>
      <c r="F562" s="59" t="s">
        <v>4002</v>
      </c>
      <c r="G562" s="191" t="s">
        <v>2511</v>
      </c>
      <c r="H562" s="192" t="s">
        <v>448</v>
      </c>
      <c r="I562" s="61" t="s">
        <v>2511</v>
      </c>
      <c r="J562" s="61" t="s">
        <v>2511</v>
      </c>
      <c r="K562" s="62" t="s">
        <v>2511</v>
      </c>
      <c r="L562" s="60" t="s">
        <v>2511</v>
      </c>
      <c r="M562" s="61" t="s">
        <v>2389</v>
      </c>
      <c r="N562" s="61" t="s">
        <v>2511</v>
      </c>
      <c r="O562" s="61" t="s">
        <v>2511</v>
      </c>
      <c r="P562" s="62" t="s">
        <v>2511</v>
      </c>
      <c r="Q562" s="82"/>
      <c r="R562" s="82"/>
      <c r="S562" s="82"/>
      <c r="T562" s="82"/>
      <c r="U562" s="82"/>
      <c r="V562" s="138" t="s">
        <v>4003</v>
      </c>
      <c r="W562" s="57" t="s">
        <v>3660</v>
      </c>
      <c r="X562" s="126" t="s">
        <v>2511</v>
      </c>
      <c r="Y562" s="126" t="s">
        <v>2511</v>
      </c>
      <c r="Z562" s="57"/>
      <c r="AA562" s="57" t="s">
        <v>3661</v>
      </c>
      <c r="AB562" s="138"/>
      <c r="AC562" s="138" t="s">
        <v>2631</v>
      </c>
      <c r="AD562" s="96"/>
      <c r="AE562" s="80"/>
      <c r="AF562" s="80"/>
      <c r="AG562" s="80"/>
      <c r="AH562" s="83"/>
      <c r="AI562" s="83"/>
      <c r="AJ562" s="84"/>
      <c r="AK562" s="84"/>
      <c r="AL562" s="84"/>
      <c r="AM562" s="84"/>
      <c r="AN562" s="84"/>
      <c r="AO562" s="84"/>
      <c r="AP562" s="84"/>
      <c r="AQ562" s="95" t="s">
        <v>448</v>
      </c>
      <c r="AR562" s="72"/>
      <c r="AS562" s="72"/>
      <c r="AT562" s="72"/>
      <c r="AU562" s="72"/>
      <c r="AV562" s="72"/>
      <c r="AW562" s="72"/>
      <c r="AX562" s="72"/>
      <c r="AY562" s="72"/>
      <c r="AZ562" s="72"/>
      <c r="BA562" s="72"/>
      <c r="BB562" s="16"/>
      <c r="BC562" s="72"/>
      <c r="BD562" s="20"/>
      <c r="BE562" s="378"/>
    </row>
    <row r="563" spans="1:57" s="81" customFormat="1" ht="12.95" hidden="1" customHeight="1">
      <c r="A563" s="374"/>
      <c r="B563" s="376"/>
      <c r="C563" s="248" t="s">
        <v>1272</v>
      </c>
      <c r="D563" s="239" t="s">
        <v>4004</v>
      </c>
      <c r="E563" s="58"/>
      <c r="F563" s="59" t="s">
        <v>4005</v>
      </c>
      <c r="G563" s="191" t="s">
        <v>2511</v>
      </c>
      <c r="H563" s="192" t="s">
        <v>449</v>
      </c>
      <c r="I563" s="61" t="s">
        <v>2511</v>
      </c>
      <c r="J563" s="61" t="s">
        <v>2511</v>
      </c>
      <c r="K563" s="62" t="s">
        <v>2511</v>
      </c>
      <c r="L563" s="60" t="s">
        <v>2511</v>
      </c>
      <c r="M563" s="61" t="s">
        <v>2389</v>
      </c>
      <c r="N563" s="61" t="s">
        <v>2511</v>
      </c>
      <c r="O563" s="61" t="s">
        <v>2511</v>
      </c>
      <c r="P563" s="62" t="s">
        <v>2511</v>
      </c>
      <c r="Q563" s="82"/>
      <c r="R563" s="82"/>
      <c r="S563" s="82"/>
      <c r="T563" s="82"/>
      <c r="U563" s="82"/>
      <c r="V563" s="138" t="s">
        <v>4006</v>
      </c>
      <c r="W563" s="57" t="s">
        <v>3660</v>
      </c>
      <c r="X563" s="126" t="s">
        <v>2511</v>
      </c>
      <c r="Y563" s="126" t="s">
        <v>2511</v>
      </c>
      <c r="Z563" s="57"/>
      <c r="AA563" s="57" t="s">
        <v>3661</v>
      </c>
      <c r="AB563" s="138"/>
      <c r="AC563" s="138" t="s">
        <v>2631</v>
      </c>
      <c r="AD563" s="96"/>
      <c r="AE563" s="80"/>
      <c r="AF563" s="80"/>
      <c r="AG563" s="80"/>
      <c r="AH563" s="83"/>
      <c r="AI563" s="83"/>
      <c r="AJ563" s="84"/>
      <c r="AK563" s="84"/>
      <c r="AL563" s="84"/>
      <c r="AM563" s="84"/>
      <c r="AN563" s="84"/>
      <c r="AO563" s="84"/>
      <c r="AP563" s="84"/>
      <c r="AQ563" s="95" t="s">
        <v>449</v>
      </c>
      <c r="AR563" s="72"/>
      <c r="AS563" s="72"/>
      <c r="AT563" s="72"/>
      <c r="AU563" s="72"/>
      <c r="AV563" s="72"/>
      <c r="AW563" s="72"/>
      <c r="AX563" s="72"/>
      <c r="AY563" s="72"/>
      <c r="AZ563" s="72"/>
      <c r="BA563" s="72"/>
      <c r="BB563" s="16"/>
      <c r="BC563" s="72"/>
      <c r="BD563" s="20"/>
      <c r="BE563" s="378"/>
    </row>
    <row r="564" spans="1:57" s="81" customFormat="1" ht="12.95" hidden="1" customHeight="1">
      <c r="A564" s="374"/>
      <c r="B564" s="376"/>
      <c r="C564" s="248" t="s">
        <v>1273</v>
      </c>
      <c r="D564" s="239" t="s">
        <v>4007</v>
      </c>
      <c r="E564" s="58"/>
      <c r="F564" s="59" t="s">
        <v>4008</v>
      </c>
      <c r="G564" s="191" t="s">
        <v>2511</v>
      </c>
      <c r="H564" s="192" t="s">
        <v>450</v>
      </c>
      <c r="I564" s="61" t="s">
        <v>2511</v>
      </c>
      <c r="J564" s="61" t="s">
        <v>2511</v>
      </c>
      <c r="K564" s="62" t="s">
        <v>2511</v>
      </c>
      <c r="L564" s="60" t="s">
        <v>2511</v>
      </c>
      <c r="M564" s="61" t="s">
        <v>2389</v>
      </c>
      <c r="N564" s="61" t="s">
        <v>2511</v>
      </c>
      <c r="O564" s="61" t="s">
        <v>2511</v>
      </c>
      <c r="P564" s="62" t="s">
        <v>2511</v>
      </c>
      <c r="Q564" s="82"/>
      <c r="R564" s="82"/>
      <c r="S564" s="82"/>
      <c r="T564" s="82"/>
      <c r="U564" s="82"/>
      <c r="V564" s="138" t="s">
        <v>4009</v>
      </c>
      <c r="W564" s="57" t="s">
        <v>3660</v>
      </c>
      <c r="X564" s="126" t="s">
        <v>2511</v>
      </c>
      <c r="Y564" s="126" t="s">
        <v>2511</v>
      </c>
      <c r="Z564" s="57"/>
      <c r="AA564" s="57" t="s">
        <v>3661</v>
      </c>
      <c r="AB564" s="138"/>
      <c r="AC564" s="138" t="s">
        <v>2631</v>
      </c>
      <c r="AD564" s="96"/>
      <c r="AE564" s="80"/>
      <c r="AF564" s="80"/>
      <c r="AG564" s="80"/>
      <c r="AH564" s="83"/>
      <c r="AI564" s="83"/>
      <c r="AJ564" s="84"/>
      <c r="AK564" s="84"/>
      <c r="AL564" s="84"/>
      <c r="AM564" s="84"/>
      <c r="AN564" s="84"/>
      <c r="AO564" s="84"/>
      <c r="AP564" s="84"/>
      <c r="AQ564" s="95" t="s">
        <v>450</v>
      </c>
      <c r="AR564" s="72"/>
      <c r="AS564" s="72"/>
      <c r="AT564" s="72"/>
      <c r="AU564" s="72"/>
      <c r="AV564" s="72"/>
      <c r="AW564" s="72"/>
      <c r="AX564" s="72"/>
      <c r="AY564" s="72"/>
      <c r="AZ564" s="72"/>
      <c r="BA564" s="72"/>
      <c r="BB564" s="16"/>
      <c r="BC564" s="72"/>
      <c r="BD564" s="20"/>
      <c r="BE564" s="378"/>
    </row>
    <row r="565" spans="1:57" s="81" customFormat="1" ht="12.95" hidden="1" customHeight="1">
      <c r="A565" s="374"/>
      <c r="B565" s="376"/>
      <c r="C565" s="270" t="s">
        <v>1274</v>
      </c>
      <c r="D565" s="239" t="s">
        <v>4010</v>
      </c>
      <c r="E565" s="58"/>
      <c r="F565" s="59" t="s">
        <v>4011</v>
      </c>
      <c r="G565" s="191" t="s">
        <v>2511</v>
      </c>
      <c r="H565" s="192" t="s">
        <v>451</v>
      </c>
      <c r="I565" s="61" t="s">
        <v>2511</v>
      </c>
      <c r="J565" s="61" t="s">
        <v>2511</v>
      </c>
      <c r="K565" s="62" t="s">
        <v>2511</v>
      </c>
      <c r="L565" s="60" t="s">
        <v>2511</v>
      </c>
      <c r="M565" s="61" t="s">
        <v>2389</v>
      </c>
      <c r="N565" s="61" t="s">
        <v>2511</v>
      </c>
      <c r="O565" s="61" t="s">
        <v>2511</v>
      </c>
      <c r="P565" s="62" t="s">
        <v>2511</v>
      </c>
      <c r="Q565" s="82"/>
      <c r="R565" s="82"/>
      <c r="S565" s="82"/>
      <c r="T565" s="82"/>
      <c r="U565" s="82"/>
      <c r="V565" s="138" t="s">
        <v>4012</v>
      </c>
      <c r="W565" s="57" t="s">
        <v>3660</v>
      </c>
      <c r="X565" s="126" t="s">
        <v>2511</v>
      </c>
      <c r="Y565" s="126" t="s">
        <v>2511</v>
      </c>
      <c r="Z565" s="57"/>
      <c r="AA565" s="57" t="s">
        <v>3661</v>
      </c>
      <c r="AB565" s="138"/>
      <c r="AC565" s="138" t="s">
        <v>2631</v>
      </c>
      <c r="AD565" s="96"/>
      <c r="AE565" s="80"/>
      <c r="AF565" s="80"/>
      <c r="AG565" s="80"/>
      <c r="AH565" s="83"/>
      <c r="AI565" s="83"/>
      <c r="AJ565" s="84"/>
      <c r="AK565" s="84"/>
      <c r="AL565" s="84"/>
      <c r="AM565" s="84"/>
      <c r="AN565" s="84"/>
      <c r="AO565" s="84"/>
      <c r="AP565" s="84"/>
      <c r="AQ565" s="95" t="s">
        <v>451</v>
      </c>
      <c r="AR565" s="72"/>
      <c r="AS565" s="72"/>
      <c r="AT565" s="72"/>
      <c r="AU565" s="72"/>
      <c r="AV565" s="72"/>
      <c r="AW565" s="72"/>
      <c r="AX565" s="72"/>
      <c r="AY565" s="72"/>
      <c r="AZ565" s="72"/>
      <c r="BA565" s="72"/>
      <c r="BB565" s="16"/>
      <c r="BC565" s="72"/>
      <c r="BD565" s="20"/>
      <c r="BE565" s="378"/>
    </row>
    <row r="566" spans="1:57" s="81" customFormat="1" ht="12.95" hidden="1" customHeight="1">
      <c r="A566" s="374"/>
      <c r="B566" s="376"/>
      <c r="C566" s="270" t="s">
        <v>1275</v>
      </c>
      <c r="D566" s="239" t="s">
        <v>4013</v>
      </c>
      <c r="E566" s="58"/>
      <c r="F566" s="59" t="s">
        <v>4014</v>
      </c>
      <c r="G566" s="191" t="s">
        <v>2511</v>
      </c>
      <c r="H566" s="192" t="s">
        <v>452</v>
      </c>
      <c r="I566" s="61" t="s">
        <v>2511</v>
      </c>
      <c r="J566" s="61" t="s">
        <v>2511</v>
      </c>
      <c r="K566" s="62" t="s">
        <v>2511</v>
      </c>
      <c r="L566" s="60" t="s">
        <v>2511</v>
      </c>
      <c r="M566" s="61" t="s">
        <v>2389</v>
      </c>
      <c r="N566" s="61" t="s">
        <v>2511</v>
      </c>
      <c r="O566" s="61" t="s">
        <v>2511</v>
      </c>
      <c r="P566" s="62" t="s">
        <v>2511</v>
      </c>
      <c r="Q566" s="82"/>
      <c r="R566" s="82"/>
      <c r="S566" s="82"/>
      <c r="T566" s="82"/>
      <c r="U566" s="82"/>
      <c r="V566" s="138" t="s">
        <v>4015</v>
      </c>
      <c r="W566" s="57" t="s">
        <v>3660</v>
      </c>
      <c r="X566" s="126" t="s">
        <v>2511</v>
      </c>
      <c r="Y566" s="126" t="s">
        <v>2511</v>
      </c>
      <c r="Z566" s="57"/>
      <c r="AA566" s="57" t="s">
        <v>3661</v>
      </c>
      <c r="AB566" s="138"/>
      <c r="AC566" s="138" t="s">
        <v>2631</v>
      </c>
      <c r="AD566" s="96"/>
      <c r="AE566" s="80"/>
      <c r="AF566" s="80"/>
      <c r="AG566" s="80"/>
      <c r="AH566" s="83"/>
      <c r="AI566" s="83"/>
      <c r="AJ566" s="84"/>
      <c r="AK566" s="84"/>
      <c r="AL566" s="84"/>
      <c r="AM566" s="84"/>
      <c r="AN566" s="84"/>
      <c r="AO566" s="84"/>
      <c r="AP566" s="84"/>
      <c r="AQ566" s="95" t="s">
        <v>452</v>
      </c>
      <c r="AR566" s="72"/>
      <c r="AS566" s="72"/>
      <c r="AT566" s="72"/>
      <c r="AU566" s="72"/>
      <c r="AV566" s="72"/>
      <c r="AW566" s="72"/>
      <c r="AX566" s="72"/>
      <c r="AY566" s="72"/>
      <c r="AZ566" s="72"/>
      <c r="BA566" s="72"/>
      <c r="BB566" s="16"/>
      <c r="BC566" s="72"/>
      <c r="BD566" s="20"/>
      <c r="BE566" s="378"/>
    </row>
    <row r="567" spans="1:57" s="81" customFormat="1" ht="12.95" hidden="1" customHeight="1">
      <c r="A567" s="374"/>
      <c r="B567" s="376"/>
      <c r="C567" s="248" t="s">
        <v>1276</v>
      </c>
      <c r="D567" s="239" t="s">
        <v>4016</v>
      </c>
      <c r="E567" s="58"/>
      <c r="F567" s="59" t="s">
        <v>4017</v>
      </c>
      <c r="G567" s="191" t="s">
        <v>2511</v>
      </c>
      <c r="H567" s="192" t="s">
        <v>453</v>
      </c>
      <c r="I567" s="61" t="s">
        <v>2511</v>
      </c>
      <c r="J567" s="61" t="s">
        <v>2511</v>
      </c>
      <c r="K567" s="62" t="s">
        <v>2511</v>
      </c>
      <c r="L567" s="60" t="s">
        <v>2511</v>
      </c>
      <c r="M567" s="61" t="s">
        <v>2389</v>
      </c>
      <c r="N567" s="61" t="s">
        <v>2511</v>
      </c>
      <c r="O567" s="61" t="s">
        <v>2511</v>
      </c>
      <c r="P567" s="62" t="s">
        <v>2511</v>
      </c>
      <c r="Q567" s="82"/>
      <c r="R567" s="82"/>
      <c r="S567" s="82"/>
      <c r="T567" s="82"/>
      <c r="U567" s="82"/>
      <c r="V567" s="138" t="s">
        <v>4018</v>
      </c>
      <c r="W567" s="57" t="s">
        <v>3660</v>
      </c>
      <c r="X567" s="126" t="s">
        <v>2511</v>
      </c>
      <c r="Y567" s="126" t="s">
        <v>2511</v>
      </c>
      <c r="Z567" s="57"/>
      <c r="AA567" s="57" t="s">
        <v>3661</v>
      </c>
      <c r="AB567" s="138"/>
      <c r="AC567" s="138">
        <v>0</v>
      </c>
      <c r="AD567" s="96"/>
      <c r="AE567" s="80"/>
      <c r="AF567" s="80"/>
      <c r="AG567" s="80"/>
      <c r="AH567" s="83"/>
      <c r="AI567" s="83"/>
      <c r="AJ567" s="84"/>
      <c r="AK567" s="84"/>
      <c r="AL567" s="84"/>
      <c r="AM567" s="84"/>
      <c r="AN567" s="84"/>
      <c r="AO567" s="84"/>
      <c r="AP567" s="84"/>
      <c r="AQ567" s="95" t="s">
        <v>453</v>
      </c>
      <c r="AR567" s="72"/>
      <c r="AS567" s="72"/>
      <c r="AT567" s="72"/>
      <c r="AU567" s="72"/>
      <c r="AV567" s="72"/>
      <c r="AW567" s="72"/>
      <c r="AX567" s="72"/>
      <c r="AY567" s="72"/>
      <c r="AZ567" s="72"/>
      <c r="BA567" s="72"/>
      <c r="BB567" s="16"/>
      <c r="BC567" s="72"/>
      <c r="BD567" s="20"/>
      <c r="BE567" s="378"/>
    </row>
    <row r="568" spans="1:57" s="81" customFormat="1" ht="12.95" hidden="1" customHeight="1">
      <c r="A568" s="374"/>
      <c r="B568" s="376"/>
      <c r="C568" s="248" t="s">
        <v>1277</v>
      </c>
      <c r="D568" s="239" t="s">
        <v>4019</v>
      </c>
      <c r="E568" s="58"/>
      <c r="F568" s="59" t="s">
        <v>4020</v>
      </c>
      <c r="G568" s="191" t="s">
        <v>2511</v>
      </c>
      <c r="H568" s="192" t="s">
        <v>454</v>
      </c>
      <c r="I568" s="61" t="s">
        <v>2511</v>
      </c>
      <c r="J568" s="61" t="s">
        <v>2511</v>
      </c>
      <c r="K568" s="62" t="s">
        <v>2511</v>
      </c>
      <c r="L568" s="60" t="s">
        <v>2511</v>
      </c>
      <c r="M568" s="61" t="s">
        <v>2389</v>
      </c>
      <c r="N568" s="61" t="s">
        <v>2511</v>
      </c>
      <c r="O568" s="61" t="s">
        <v>2511</v>
      </c>
      <c r="P568" s="62" t="s">
        <v>2511</v>
      </c>
      <c r="Q568" s="82"/>
      <c r="R568" s="82"/>
      <c r="S568" s="82"/>
      <c r="T568" s="82"/>
      <c r="U568" s="82"/>
      <c r="V568" s="138" t="s">
        <v>4021</v>
      </c>
      <c r="W568" s="57" t="s">
        <v>3660</v>
      </c>
      <c r="X568" s="126" t="s">
        <v>2511</v>
      </c>
      <c r="Y568" s="126" t="s">
        <v>2511</v>
      </c>
      <c r="Z568" s="57"/>
      <c r="AA568" s="57" t="s">
        <v>3661</v>
      </c>
      <c r="AB568" s="138"/>
      <c r="AC568" s="138" t="s">
        <v>2631</v>
      </c>
      <c r="AD568" s="96"/>
      <c r="AE568" s="80"/>
      <c r="AF568" s="80"/>
      <c r="AG568" s="80"/>
      <c r="AH568" s="83"/>
      <c r="AI568" s="83"/>
      <c r="AJ568" s="84"/>
      <c r="AK568" s="84"/>
      <c r="AL568" s="84"/>
      <c r="AM568" s="84"/>
      <c r="AN568" s="84"/>
      <c r="AO568" s="84"/>
      <c r="AP568" s="84"/>
      <c r="AQ568" s="95" t="s">
        <v>454</v>
      </c>
      <c r="AR568" s="72"/>
      <c r="AS568" s="72"/>
      <c r="AT568" s="72"/>
      <c r="AU568" s="72"/>
      <c r="AV568" s="72"/>
      <c r="AW568" s="72"/>
      <c r="AX568" s="72"/>
      <c r="AY568" s="72"/>
      <c r="AZ568" s="72"/>
      <c r="BA568" s="72"/>
      <c r="BB568" s="16"/>
      <c r="BC568" s="72"/>
      <c r="BD568" s="20"/>
      <c r="BE568" s="378"/>
    </row>
    <row r="569" spans="1:57" s="81" customFormat="1" ht="12.95" hidden="1" customHeight="1">
      <c r="A569" s="374"/>
      <c r="B569" s="376"/>
      <c r="C569" s="248" t="s">
        <v>1278</v>
      </c>
      <c r="D569" s="239" t="s">
        <v>4022</v>
      </c>
      <c r="E569" s="58"/>
      <c r="F569" s="59" t="s">
        <v>4023</v>
      </c>
      <c r="G569" s="191" t="s">
        <v>2511</v>
      </c>
      <c r="H569" s="192" t="s">
        <v>455</v>
      </c>
      <c r="I569" s="61" t="s">
        <v>2511</v>
      </c>
      <c r="J569" s="61" t="s">
        <v>2511</v>
      </c>
      <c r="K569" s="62" t="s">
        <v>2511</v>
      </c>
      <c r="L569" s="60" t="s">
        <v>2511</v>
      </c>
      <c r="M569" s="61" t="s">
        <v>2389</v>
      </c>
      <c r="N569" s="61" t="s">
        <v>2511</v>
      </c>
      <c r="O569" s="61" t="s">
        <v>2511</v>
      </c>
      <c r="P569" s="62" t="s">
        <v>2511</v>
      </c>
      <c r="Q569" s="82"/>
      <c r="R569" s="82"/>
      <c r="S569" s="82"/>
      <c r="T569" s="82"/>
      <c r="U569" s="82"/>
      <c r="V569" s="138" t="s">
        <v>4024</v>
      </c>
      <c r="W569" s="57" t="s">
        <v>3660</v>
      </c>
      <c r="X569" s="126" t="s">
        <v>2511</v>
      </c>
      <c r="Y569" s="126" t="s">
        <v>2511</v>
      </c>
      <c r="Z569" s="57"/>
      <c r="AA569" s="57" t="s">
        <v>3661</v>
      </c>
      <c r="AB569" s="138"/>
      <c r="AC569" s="138" t="s">
        <v>2631</v>
      </c>
      <c r="AD569" s="96"/>
      <c r="AE569" s="80"/>
      <c r="AF569" s="80"/>
      <c r="AG569" s="80"/>
      <c r="AH569" s="83"/>
      <c r="AI569" s="83"/>
      <c r="AJ569" s="84"/>
      <c r="AK569" s="84"/>
      <c r="AL569" s="84"/>
      <c r="AM569" s="84"/>
      <c r="AN569" s="84"/>
      <c r="AO569" s="84"/>
      <c r="AP569" s="84"/>
      <c r="AQ569" s="95" t="s">
        <v>455</v>
      </c>
      <c r="AR569" s="72"/>
      <c r="AS569" s="72"/>
      <c r="AT569" s="72"/>
      <c r="AU569" s="72"/>
      <c r="AV569" s="72"/>
      <c r="AW569" s="72"/>
      <c r="AX569" s="72"/>
      <c r="AY569" s="72"/>
      <c r="AZ569" s="72"/>
      <c r="BA569" s="72"/>
      <c r="BB569" s="16"/>
      <c r="BC569" s="72"/>
      <c r="BD569" s="20"/>
      <c r="BE569" s="378"/>
    </row>
    <row r="570" spans="1:57" s="81" customFormat="1" ht="12.95" hidden="1" customHeight="1">
      <c r="A570" s="374"/>
      <c r="B570" s="376"/>
      <c r="C570" s="248" t="s">
        <v>1279</v>
      </c>
      <c r="D570" s="239" t="s">
        <v>4025</v>
      </c>
      <c r="E570" s="58"/>
      <c r="F570" s="59" t="s">
        <v>4026</v>
      </c>
      <c r="G570" s="191" t="s">
        <v>2511</v>
      </c>
      <c r="H570" s="192" t="s">
        <v>456</v>
      </c>
      <c r="I570" s="61" t="s">
        <v>2511</v>
      </c>
      <c r="J570" s="61" t="s">
        <v>2511</v>
      </c>
      <c r="K570" s="62" t="s">
        <v>2511</v>
      </c>
      <c r="L570" s="60" t="s">
        <v>2511</v>
      </c>
      <c r="M570" s="61" t="s">
        <v>2389</v>
      </c>
      <c r="N570" s="61" t="s">
        <v>2511</v>
      </c>
      <c r="O570" s="61" t="s">
        <v>2511</v>
      </c>
      <c r="P570" s="62" t="s">
        <v>2511</v>
      </c>
      <c r="Q570" s="82"/>
      <c r="R570" s="82"/>
      <c r="S570" s="82"/>
      <c r="T570" s="82"/>
      <c r="U570" s="82"/>
      <c r="V570" s="138" t="s">
        <v>4027</v>
      </c>
      <c r="W570" s="57" t="s">
        <v>3660</v>
      </c>
      <c r="X570" s="126" t="s">
        <v>2511</v>
      </c>
      <c r="Y570" s="126" t="s">
        <v>2511</v>
      </c>
      <c r="Z570" s="57"/>
      <c r="AA570" s="57" t="s">
        <v>3661</v>
      </c>
      <c r="AB570" s="138"/>
      <c r="AC570" s="138" t="s">
        <v>2631</v>
      </c>
      <c r="AD570" s="96"/>
      <c r="AE570" s="80"/>
      <c r="AF570" s="80"/>
      <c r="AG570" s="80"/>
      <c r="AH570" s="83"/>
      <c r="AI570" s="83"/>
      <c r="AJ570" s="84"/>
      <c r="AK570" s="84"/>
      <c r="AL570" s="84"/>
      <c r="AM570" s="84"/>
      <c r="AN570" s="84"/>
      <c r="AO570" s="84"/>
      <c r="AP570" s="84"/>
      <c r="AQ570" s="95" t="s">
        <v>456</v>
      </c>
      <c r="AR570" s="72"/>
      <c r="AS570" s="72"/>
      <c r="AT570" s="72"/>
      <c r="AU570" s="72"/>
      <c r="AV570" s="72"/>
      <c r="AW570" s="72"/>
      <c r="AX570" s="72"/>
      <c r="AY570" s="72"/>
      <c r="AZ570" s="72"/>
      <c r="BA570" s="72"/>
      <c r="BB570" s="16"/>
      <c r="BC570" s="72"/>
      <c r="BD570" s="20"/>
      <c r="BE570" s="378"/>
    </row>
    <row r="571" spans="1:57" s="81" customFormat="1" ht="12.95" hidden="1" customHeight="1">
      <c r="A571" s="374"/>
      <c r="B571" s="376"/>
      <c r="C571" s="248" t="s">
        <v>1280</v>
      </c>
      <c r="D571" s="239" t="s">
        <v>4028</v>
      </c>
      <c r="E571" s="58"/>
      <c r="F571" s="59" t="s">
        <v>4029</v>
      </c>
      <c r="G571" s="191" t="s">
        <v>2511</v>
      </c>
      <c r="H571" s="192" t="s">
        <v>457</v>
      </c>
      <c r="I571" s="61" t="s">
        <v>2511</v>
      </c>
      <c r="J571" s="61" t="s">
        <v>2511</v>
      </c>
      <c r="K571" s="62" t="s">
        <v>2511</v>
      </c>
      <c r="L571" s="60" t="s">
        <v>2511</v>
      </c>
      <c r="M571" s="61" t="s">
        <v>2389</v>
      </c>
      <c r="N571" s="61" t="s">
        <v>2511</v>
      </c>
      <c r="O571" s="61" t="s">
        <v>2511</v>
      </c>
      <c r="P571" s="62" t="s">
        <v>2511</v>
      </c>
      <c r="Q571" s="82"/>
      <c r="R571" s="82"/>
      <c r="S571" s="82"/>
      <c r="T571" s="82"/>
      <c r="U571" s="82"/>
      <c r="V571" s="138" t="s">
        <v>4030</v>
      </c>
      <c r="W571" s="57" t="s">
        <v>3660</v>
      </c>
      <c r="X571" s="126" t="s">
        <v>2511</v>
      </c>
      <c r="Y571" s="126" t="s">
        <v>2511</v>
      </c>
      <c r="Z571" s="57"/>
      <c r="AA571" s="57" t="s">
        <v>3661</v>
      </c>
      <c r="AB571" s="138"/>
      <c r="AC571" s="138" t="s">
        <v>2631</v>
      </c>
      <c r="AD571" s="96"/>
      <c r="AE571" s="80"/>
      <c r="AF571" s="80"/>
      <c r="AG571" s="80"/>
      <c r="AH571" s="83"/>
      <c r="AI571" s="83"/>
      <c r="AJ571" s="84"/>
      <c r="AK571" s="84"/>
      <c r="AL571" s="84"/>
      <c r="AM571" s="84"/>
      <c r="AN571" s="84"/>
      <c r="AO571" s="84"/>
      <c r="AP571" s="84"/>
      <c r="AQ571" s="95" t="s">
        <v>457</v>
      </c>
      <c r="AR571" s="72"/>
      <c r="AS571" s="72"/>
      <c r="AT571" s="72"/>
      <c r="AU571" s="72"/>
      <c r="AV571" s="72"/>
      <c r="AW571" s="72"/>
      <c r="AX571" s="72"/>
      <c r="AY571" s="72"/>
      <c r="AZ571" s="72"/>
      <c r="BA571" s="72"/>
      <c r="BB571" s="16"/>
      <c r="BC571" s="72"/>
      <c r="BD571" s="20"/>
      <c r="BE571" s="378"/>
    </row>
    <row r="572" spans="1:57" s="81" customFormat="1" ht="12.95" hidden="1" customHeight="1">
      <c r="A572" s="374"/>
      <c r="B572" s="376"/>
      <c r="C572" s="248" t="s">
        <v>1281</v>
      </c>
      <c r="D572" s="239" t="s">
        <v>4031</v>
      </c>
      <c r="E572" s="58"/>
      <c r="F572" s="59" t="s">
        <v>4032</v>
      </c>
      <c r="G572" s="191" t="s">
        <v>2511</v>
      </c>
      <c r="H572" s="192" t="s">
        <v>458</v>
      </c>
      <c r="I572" s="61" t="s">
        <v>2511</v>
      </c>
      <c r="J572" s="61" t="s">
        <v>2511</v>
      </c>
      <c r="K572" s="62" t="s">
        <v>2511</v>
      </c>
      <c r="L572" s="60" t="s">
        <v>2511</v>
      </c>
      <c r="M572" s="61" t="s">
        <v>2389</v>
      </c>
      <c r="N572" s="61" t="s">
        <v>2511</v>
      </c>
      <c r="O572" s="61" t="s">
        <v>2511</v>
      </c>
      <c r="P572" s="62" t="s">
        <v>2511</v>
      </c>
      <c r="Q572" s="82"/>
      <c r="R572" s="82"/>
      <c r="S572" s="82"/>
      <c r="T572" s="82"/>
      <c r="U572" s="82"/>
      <c r="V572" s="138" t="s">
        <v>4033</v>
      </c>
      <c r="W572" s="57" t="s">
        <v>3660</v>
      </c>
      <c r="X572" s="126" t="s">
        <v>2511</v>
      </c>
      <c r="Y572" s="126" t="s">
        <v>2511</v>
      </c>
      <c r="Z572" s="57"/>
      <c r="AA572" s="57" t="s">
        <v>3661</v>
      </c>
      <c r="AB572" s="138"/>
      <c r="AC572" s="138" t="s">
        <v>2631</v>
      </c>
      <c r="AD572" s="96"/>
      <c r="AE572" s="80"/>
      <c r="AF572" s="80"/>
      <c r="AG572" s="80"/>
      <c r="AH572" s="83"/>
      <c r="AI572" s="83"/>
      <c r="AJ572" s="84"/>
      <c r="AK572" s="84"/>
      <c r="AL572" s="84"/>
      <c r="AM572" s="84"/>
      <c r="AN572" s="84"/>
      <c r="AO572" s="84"/>
      <c r="AP572" s="84"/>
      <c r="AQ572" s="95" t="s">
        <v>458</v>
      </c>
      <c r="AR572" s="72"/>
      <c r="AS572" s="72"/>
      <c r="AT572" s="72"/>
      <c r="AU572" s="72"/>
      <c r="AV572" s="72"/>
      <c r="AW572" s="72"/>
      <c r="AX572" s="72"/>
      <c r="AY572" s="72"/>
      <c r="AZ572" s="72"/>
      <c r="BA572" s="72"/>
      <c r="BB572" s="16"/>
      <c r="BC572" s="72"/>
      <c r="BD572" s="20"/>
      <c r="BE572" s="378"/>
    </row>
    <row r="573" spans="1:57" s="81" customFormat="1" ht="12.95" hidden="1" customHeight="1">
      <c r="A573" s="374"/>
      <c r="B573" s="376"/>
      <c r="C573" s="248" t="s">
        <v>1282</v>
      </c>
      <c r="D573" s="239" t="s">
        <v>4034</v>
      </c>
      <c r="E573" s="58"/>
      <c r="F573" s="59" t="s">
        <v>4035</v>
      </c>
      <c r="G573" s="191" t="s">
        <v>2511</v>
      </c>
      <c r="H573" s="192" t="s">
        <v>459</v>
      </c>
      <c r="I573" s="61" t="s">
        <v>2511</v>
      </c>
      <c r="J573" s="61" t="s">
        <v>2511</v>
      </c>
      <c r="K573" s="62" t="s">
        <v>2511</v>
      </c>
      <c r="L573" s="60" t="s">
        <v>2511</v>
      </c>
      <c r="M573" s="61" t="s">
        <v>2389</v>
      </c>
      <c r="N573" s="61" t="s">
        <v>2511</v>
      </c>
      <c r="O573" s="61" t="s">
        <v>2511</v>
      </c>
      <c r="P573" s="62" t="s">
        <v>2511</v>
      </c>
      <c r="Q573" s="82"/>
      <c r="R573" s="82"/>
      <c r="S573" s="82"/>
      <c r="T573" s="82"/>
      <c r="U573" s="82"/>
      <c r="V573" s="138" t="s">
        <v>4036</v>
      </c>
      <c r="W573" s="57" t="s">
        <v>3660</v>
      </c>
      <c r="X573" s="126" t="s">
        <v>2511</v>
      </c>
      <c r="Y573" s="126" t="s">
        <v>2511</v>
      </c>
      <c r="Z573" s="57"/>
      <c r="AA573" s="57" t="s">
        <v>3661</v>
      </c>
      <c r="AB573" s="138"/>
      <c r="AC573" s="138" t="s">
        <v>2631</v>
      </c>
      <c r="AD573" s="96"/>
      <c r="AE573" s="80"/>
      <c r="AF573" s="80"/>
      <c r="AG573" s="80"/>
      <c r="AH573" s="83"/>
      <c r="AI573" s="83"/>
      <c r="AJ573" s="84"/>
      <c r="AK573" s="84"/>
      <c r="AL573" s="84"/>
      <c r="AM573" s="84"/>
      <c r="AN573" s="84"/>
      <c r="AO573" s="84"/>
      <c r="AP573" s="84"/>
      <c r="AQ573" s="95" t="s">
        <v>459</v>
      </c>
      <c r="AR573" s="72"/>
      <c r="AS573" s="72"/>
      <c r="AT573" s="72"/>
      <c r="AU573" s="72"/>
      <c r="AV573" s="72"/>
      <c r="AW573" s="72"/>
      <c r="AX573" s="72"/>
      <c r="AY573" s="72"/>
      <c r="AZ573" s="72"/>
      <c r="BA573" s="72"/>
      <c r="BB573" s="16"/>
      <c r="BC573" s="72"/>
      <c r="BD573" s="20"/>
      <c r="BE573" s="378"/>
    </row>
    <row r="574" spans="1:57" s="81" customFormat="1" ht="12.95" hidden="1" customHeight="1">
      <c r="A574" s="374"/>
      <c r="B574" s="376"/>
      <c r="C574" s="248" t="s">
        <v>1283</v>
      </c>
      <c r="D574" s="239" t="s">
        <v>4037</v>
      </c>
      <c r="E574" s="58"/>
      <c r="F574" s="59" t="s">
        <v>4038</v>
      </c>
      <c r="G574" s="191" t="s">
        <v>2511</v>
      </c>
      <c r="H574" s="192" t="s">
        <v>460</v>
      </c>
      <c r="I574" s="61" t="s">
        <v>2511</v>
      </c>
      <c r="J574" s="61" t="s">
        <v>2511</v>
      </c>
      <c r="K574" s="62" t="s">
        <v>2511</v>
      </c>
      <c r="L574" s="60" t="s">
        <v>2511</v>
      </c>
      <c r="M574" s="61" t="s">
        <v>2389</v>
      </c>
      <c r="N574" s="61" t="s">
        <v>2511</v>
      </c>
      <c r="O574" s="61" t="s">
        <v>2511</v>
      </c>
      <c r="P574" s="62" t="s">
        <v>2511</v>
      </c>
      <c r="Q574" s="82"/>
      <c r="R574" s="82"/>
      <c r="S574" s="82"/>
      <c r="T574" s="82"/>
      <c r="U574" s="82"/>
      <c r="V574" s="138" t="s">
        <v>4039</v>
      </c>
      <c r="W574" s="57" t="s">
        <v>3660</v>
      </c>
      <c r="X574" s="126" t="s">
        <v>2511</v>
      </c>
      <c r="Y574" s="126" t="s">
        <v>2511</v>
      </c>
      <c r="Z574" s="57"/>
      <c r="AA574" s="57" t="s">
        <v>3661</v>
      </c>
      <c r="AB574" s="138"/>
      <c r="AC574" s="138" t="s">
        <v>2631</v>
      </c>
      <c r="AD574" s="96"/>
      <c r="AE574" s="80"/>
      <c r="AF574" s="80"/>
      <c r="AG574" s="80"/>
      <c r="AH574" s="83"/>
      <c r="AI574" s="83"/>
      <c r="AJ574" s="84"/>
      <c r="AK574" s="84"/>
      <c r="AL574" s="84"/>
      <c r="AM574" s="84"/>
      <c r="AN574" s="84"/>
      <c r="AO574" s="84"/>
      <c r="AP574" s="84"/>
      <c r="AQ574" s="95" t="s">
        <v>460</v>
      </c>
      <c r="AR574" s="72"/>
      <c r="AS574" s="72"/>
      <c r="AT574" s="72"/>
      <c r="AU574" s="72"/>
      <c r="AV574" s="72"/>
      <c r="AW574" s="72"/>
      <c r="AX574" s="72"/>
      <c r="AY574" s="72"/>
      <c r="AZ574" s="72"/>
      <c r="BA574" s="72"/>
      <c r="BB574" s="16"/>
      <c r="BC574" s="72"/>
      <c r="BD574" s="20"/>
      <c r="BE574" s="378"/>
    </row>
    <row r="575" spans="1:57" s="81" customFormat="1" ht="12.95" hidden="1" customHeight="1">
      <c r="A575" s="374"/>
      <c r="B575" s="376"/>
      <c r="C575" s="248" t="s">
        <v>1284</v>
      </c>
      <c r="D575" s="239" t="s">
        <v>4040</v>
      </c>
      <c r="E575" s="58"/>
      <c r="F575" s="59" t="s">
        <v>4041</v>
      </c>
      <c r="G575" s="191" t="s">
        <v>2511</v>
      </c>
      <c r="H575" s="192" t="s">
        <v>461</v>
      </c>
      <c r="I575" s="61" t="s">
        <v>2511</v>
      </c>
      <c r="J575" s="61" t="s">
        <v>2511</v>
      </c>
      <c r="K575" s="62" t="s">
        <v>2511</v>
      </c>
      <c r="L575" s="60" t="s">
        <v>2511</v>
      </c>
      <c r="M575" s="61" t="s">
        <v>2389</v>
      </c>
      <c r="N575" s="61" t="s">
        <v>2511</v>
      </c>
      <c r="O575" s="61" t="s">
        <v>2511</v>
      </c>
      <c r="P575" s="62" t="s">
        <v>2511</v>
      </c>
      <c r="Q575" s="82"/>
      <c r="R575" s="82"/>
      <c r="S575" s="82"/>
      <c r="T575" s="82"/>
      <c r="U575" s="82"/>
      <c r="V575" s="138" t="s">
        <v>4042</v>
      </c>
      <c r="W575" s="57" t="s">
        <v>3660</v>
      </c>
      <c r="X575" s="126" t="s">
        <v>2511</v>
      </c>
      <c r="Y575" s="126" t="s">
        <v>2511</v>
      </c>
      <c r="Z575" s="57"/>
      <c r="AA575" s="57" t="s">
        <v>3661</v>
      </c>
      <c r="AB575" s="138"/>
      <c r="AC575" s="138" t="s">
        <v>2631</v>
      </c>
      <c r="AD575" s="96"/>
      <c r="AE575" s="80"/>
      <c r="AF575" s="80"/>
      <c r="AG575" s="80"/>
      <c r="AH575" s="83"/>
      <c r="AI575" s="83"/>
      <c r="AJ575" s="84"/>
      <c r="AK575" s="84"/>
      <c r="AL575" s="84"/>
      <c r="AM575" s="84"/>
      <c r="AN575" s="84"/>
      <c r="AO575" s="84"/>
      <c r="AP575" s="84"/>
      <c r="AQ575" s="95" t="s">
        <v>461</v>
      </c>
      <c r="AR575" s="72"/>
      <c r="AS575" s="72"/>
      <c r="AT575" s="72"/>
      <c r="AU575" s="72"/>
      <c r="AV575" s="72"/>
      <c r="AW575" s="72"/>
      <c r="AX575" s="72"/>
      <c r="AY575" s="72"/>
      <c r="AZ575" s="72"/>
      <c r="BA575" s="72"/>
      <c r="BB575" s="16"/>
      <c r="BC575" s="72"/>
      <c r="BD575" s="20"/>
      <c r="BE575" s="378"/>
    </row>
    <row r="576" spans="1:57" s="81" customFormat="1" ht="12.95" hidden="1" customHeight="1">
      <c r="A576" s="374"/>
      <c r="B576" s="376"/>
      <c r="C576" s="248" t="s">
        <v>1285</v>
      </c>
      <c r="D576" s="239" t="s">
        <v>4043</v>
      </c>
      <c r="E576" s="58"/>
      <c r="F576" s="59" t="s">
        <v>4044</v>
      </c>
      <c r="G576" s="191" t="s">
        <v>2511</v>
      </c>
      <c r="H576" s="192" t="s">
        <v>462</v>
      </c>
      <c r="I576" s="61" t="s">
        <v>2511</v>
      </c>
      <c r="J576" s="61" t="s">
        <v>2511</v>
      </c>
      <c r="K576" s="62" t="s">
        <v>2511</v>
      </c>
      <c r="L576" s="60" t="s">
        <v>2511</v>
      </c>
      <c r="M576" s="61" t="s">
        <v>2389</v>
      </c>
      <c r="N576" s="61" t="s">
        <v>2511</v>
      </c>
      <c r="O576" s="61" t="s">
        <v>2511</v>
      </c>
      <c r="P576" s="62" t="s">
        <v>2511</v>
      </c>
      <c r="Q576" s="82"/>
      <c r="R576" s="82"/>
      <c r="S576" s="82"/>
      <c r="T576" s="82"/>
      <c r="U576" s="82"/>
      <c r="V576" s="138" t="s">
        <v>4045</v>
      </c>
      <c r="W576" s="57" t="s">
        <v>3660</v>
      </c>
      <c r="X576" s="126" t="s">
        <v>2511</v>
      </c>
      <c r="Y576" s="126" t="s">
        <v>2511</v>
      </c>
      <c r="Z576" s="57"/>
      <c r="AA576" s="57" t="s">
        <v>3661</v>
      </c>
      <c r="AB576" s="138"/>
      <c r="AC576" s="138" t="s">
        <v>2631</v>
      </c>
      <c r="AD576" s="96"/>
      <c r="AE576" s="80"/>
      <c r="AF576" s="80"/>
      <c r="AG576" s="80"/>
      <c r="AH576" s="83"/>
      <c r="AI576" s="83"/>
      <c r="AJ576" s="84"/>
      <c r="AK576" s="84"/>
      <c r="AL576" s="84"/>
      <c r="AM576" s="84"/>
      <c r="AN576" s="84"/>
      <c r="AO576" s="84"/>
      <c r="AP576" s="84"/>
      <c r="AQ576" s="95" t="s">
        <v>462</v>
      </c>
      <c r="AR576" s="72"/>
      <c r="AS576" s="72"/>
      <c r="AT576" s="72"/>
      <c r="AU576" s="72"/>
      <c r="AV576" s="72"/>
      <c r="AW576" s="72"/>
      <c r="AX576" s="72"/>
      <c r="AY576" s="72"/>
      <c r="AZ576" s="72"/>
      <c r="BA576" s="72"/>
      <c r="BB576" s="16"/>
      <c r="BC576" s="72"/>
      <c r="BD576" s="20"/>
      <c r="BE576" s="378"/>
    </row>
    <row r="577" spans="1:57" s="81" customFormat="1" ht="12.95" hidden="1" customHeight="1">
      <c r="A577" s="374"/>
      <c r="B577" s="376"/>
      <c r="C577" s="270" t="s">
        <v>1286</v>
      </c>
      <c r="D577" s="239" t="s">
        <v>4046</v>
      </c>
      <c r="E577" s="58"/>
      <c r="F577" s="59" t="s">
        <v>4047</v>
      </c>
      <c r="G577" s="191" t="s">
        <v>2511</v>
      </c>
      <c r="H577" s="192" t="s">
        <v>463</v>
      </c>
      <c r="I577" s="61" t="s">
        <v>2511</v>
      </c>
      <c r="J577" s="61" t="s">
        <v>2511</v>
      </c>
      <c r="K577" s="62" t="s">
        <v>2511</v>
      </c>
      <c r="L577" s="60" t="s">
        <v>2511</v>
      </c>
      <c r="M577" s="61" t="s">
        <v>2389</v>
      </c>
      <c r="N577" s="61" t="s">
        <v>2511</v>
      </c>
      <c r="O577" s="61" t="s">
        <v>2511</v>
      </c>
      <c r="P577" s="62" t="s">
        <v>2511</v>
      </c>
      <c r="Q577" s="82"/>
      <c r="R577" s="82"/>
      <c r="S577" s="82"/>
      <c r="T577" s="82"/>
      <c r="U577" s="82"/>
      <c r="V577" s="138" t="s">
        <v>4048</v>
      </c>
      <c r="W577" s="57" t="s">
        <v>3660</v>
      </c>
      <c r="X577" s="126" t="s">
        <v>2511</v>
      </c>
      <c r="Y577" s="126" t="s">
        <v>2511</v>
      </c>
      <c r="Z577" s="57"/>
      <c r="AA577" s="57" t="s">
        <v>3661</v>
      </c>
      <c r="AB577" s="138"/>
      <c r="AC577" s="138" t="s">
        <v>2631</v>
      </c>
      <c r="AD577" s="96"/>
      <c r="AE577" s="80"/>
      <c r="AF577" s="80"/>
      <c r="AG577" s="80"/>
      <c r="AH577" s="83"/>
      <c r="AI577" s="83"/>
      <c r="AJ577" s="84"/>
      <c r="AK577" s="84"/>
      <c r="AL577" s="84"/>
      <c r="AM577" s="84"/>
      <c r="AN577" s="84"/>
      <c r="AO577" s="84"/>
      <c r="AP577" s="84"/>
      <c r="AQ577" s="95" t="s">
        <v>463</v>
      </c>
      <c r="AR577" s="72"/>
      <c r="AS577" s="72"/>
      <c r="AT577" s="72"/>
      <c r="AU577" s="72"/>
      <c r="AV577" s="72"/>
      <c r="AW577" s="72"/>
      <c r="AX577" s="72"/>
      <c r="AY577" s="72"/>
      <c r="AZ577" s="72"/>
      <c r="BA577" s="72"/>
      <c r="BB577" s="16"/>
      <c r="BC577" s="72"/>
      <c r="BD577" s="20"/>
      <c r="BE577" s="378"/>
    </row>
    <row r="578" spans="1:57" s="81" customFormat="1" ht="12.95" hidden="1" customHeight="1">
      <c r="A578" s="374"/>
      <c r="B578" s="376"/>
      <c r="C578" s="270" t="s">
        <v>1287</v>
      </c>
      <c r="D578" s="239" t="s">
        <v>4049</v>
      </c>
      <c r="E578" s="58"/>
      <c r="F578" s="59" t="s">
        <v>4050</v>
      </c>
      <c r="G578" s="191" t="s">
        <v>2511</v>
      </c>
      <c r="H578" s="192" t="s">
        <v>464</v>
      </c>
      <c r="I578" s="61" t="s">
        <v>2511</v>
      </c>
      <c r="J578" s="61" t="s">
        <v>2511</v>
      </c>
      <c r="K578" s="62" t="s">
        <v>2511</v>
      </c>
      <c r="L578" s="60" t="s">
        <v>2511</v>
      </c>
      <c r="M578" s="61" t="s">
        <v>2389</v>
      </c>
      <c r="N578" s="61" t="s">
        <v>2511</v>
      </c>
      <c r="O578" s="61" t="s">
        <v>2511</v>
      </c>
      <c r="P578" s="62" t="s">
        <v>2511</v>
      </c>
      <c r="Q578" s="82"/>
      <c r="R578" s="82"/>
      <c r="S578" s="82"/>
      <c r="T578" s="82"/>
      <c r="U578" s="82"/>
      <c r="V578" s="138" t="s">
        <v>4051</v>
      </c>
      <c r="W578" s="57" t="s">
        <v>3660</v>
      </c>
      <c r="X578" s="126" t="s">
        <v>2511</v>
      </c>
      <c r="Y578" s="126" t="s">
        <v>2511</v>
      </c>
      <c r="Z578" s="57"/>
      <c r="AA578" s="57" t="s">
        <v>3661</v>
      </c>
      <c r="AB578" s="138"/>
      <c r="AC578" s="138" t="s">
        <v>2631</v>
      </c>
      <c r="AD578" s="96"/>
      <c r="AE578" s="80"/>
      <c r="AF578" s="80"/>
      <c r="AG578" s="80"/>
      <c r="AH578" s="83"/>
      <c r="AI578" s="83"/>
      <c r="AJ578" s="84"/>
      <c r="AK578" s="84"/>
      <c r="AL578" s="84"/>
      <c r="AM578" s="84"/>
      <c r="AN578" s="84"/>
      <c r="AO578" s="84"/>
      <c r="AP578" s="84"/>
      <c r="AQ578" s="95" t="s">
        <v>464</v>
      </c>
      <c r="AR578" s="72"/>
      <c r="AS578" s="72"/>
      <c r="AT578" s="72"/>
      <c r="AU578" s="72"/>
      <c r="AV578" s="72"/>
      <c r="AW578" s="72"/>
      <c r="AX578" s="72"/>
      <c r="AY578" s="72"/>
      <c r="AZ578" s="72"/>
      <c r="BA578" s="72"/>
      <c r="BB578" s="16"/>
      <c r="BC578" s="72"/>
      <c r="BD578" s="20"/>
      <c r="BE578" s="378"/>
    </row>
    <row r="579" spans="1:57" s="81" customFormat="1" ht="12.95" hidden="1" customHeight="1">
      <c r="A579" s="374"/>
      <c r="B579" s="376"/>
      <c r="C579" s="248" t="s">
        <v>1288</v>
      </c>
      <c r="D579" s="239" t="s">
        <v>4052</v>
      </c>
      <c r="E579" s="58"/>
      <c r="F579" s="59" t="s">
        <v>4053</v>
      </c>
      <c r="G579" s="191" t="s">
        <v>2511</v>
      </c>
      <c r="H579" s="192" t="s">
        <v>465</v>
      </c>
      <c r="I579" s="61" t="s">
        <v>2511</v>
      </c>
      <c r="J579" s="61" t="s">
        <v>2511</v>
      </c>
      <c r="K579" s="62" t="s">
        <v>2511</v>
      </c>
      <c r="L579" s="60" t="s">
        <v>2511</v>
      </c>
      <c r="M579" s="61" t="s">
        <v>2389</v>
      </c>
      <c r="N579" s="61" t="s">
        <v>2511</v>
      </c>
      <c r="O579" s="61" t="s">
        <v>2511</v>
      </c>
      <c r="P579" s="62" t="s">
        <v>2511</v>
      </c>
      <c r="Q579" s="82"/>
      <c r="R579" s="82"/>
      <c r="S579" s="82"/>
      <c r="T579" s="82"/>
      <c r="U579" s="82"/>
      <c r="V579" s="138" t="s">
        <v>4054</v>
      </c>
      <c r="W579" s="57" t="s">
        <v>3660</v>
      </c>
      <c r="X579" s="126" t="s">
        <v>2511</v>
      </c>
      <c r="Y579" s="126" t="s">
        <v>2511</v>
      </c>
      <c r="Z579" s="57"/>
      <c r="AA579" s="57" t="s">
        <v>3661</v>
      </c>
      <c r="AB579" s="138"/>
      <c r="AC579" s="138">
        <v>0</v>
      </c>
      <c r="AD579" s="96"/>
      <c r="AE579" s="80"/>
      <c r="AF579" s="80"/>
      <c r="AG579" s="80"/>
      <c r="AH579" s="83"/>
      <c r="AI579" s="83"/>
      <c r="AJ579" s="84"/>
      <c r="AK579" s="84"/>
      <c r="AL579" s="84"/>
      <c r="AM579" s="84"/>
      <c r="AN579" s="84"/>
      <c r="AO579" s="84"/>
      <c r="AP579" s="84"/>
      <c r="AQ579" s="95" t="s">
        <v>465</v>
      </c>
      <c r="AR579" s="72"/>
      <c r="AS579" s="72"/>
      <c r="AT579" s="72"/>
      <c r="AU579" s="72"/>
      <c r="AV579" s="72"/>
      <c r="AW579" s="72"/>
      <c r="AX579" s="72"/>
      <c r="AY579" s="72"/>
      <c r="AZ579" s="72"/>
      <c r="BA579" s="72"/>
      <c r="BB579" s="16"/>
      <c r="BC579" s="72"/>
      <c r="BD579" s="20"/>
      <c r="BE579" s="378"/>
    </row>
    <row r="580" spans="1:57" s="81" customFormat="1" ht="12.95" hidden="1" customHeight="1">
      <c r="A580" s="374"/>
      <c r="B580" s="376"/>
      <c r="C580" s="248" t="s">
        <v>1289</v>
      </c>
      <c r="D580" s="239" t="s">
        <v>4055</v>
      </c>
      <c r="E580" s="58"/>
      <c r="F580" s="59" t="s">
        <v>4056</v>
      </c>
      <c r="G580" s="191" t="s">
        <v>2511</v>
      </c>
      <c r="H580" s="192" t="s">
        <v>466</v>
      </c>
      <c r="I580" s="61" t="s">
        <v>2511</v>
      </c>
      <c r="J580" s="61" t="s">
        <v>2511</v>
      </c>
      <c r="K580" s="62" t="s">
        <v>2511</v>
      </c>
      <c r="L580" s="60" t="s">
        <v>2511</v>
      </c>
      <c r="M580" s="61" t="s">
        <v>2389</v>
      </c>
      <c r="N580" s="61" t="s">
        <v>2511</v>
      </c>
      <c r="O580" s="61" t="s">
        <v>2511</v>
      </c>
      <c r="P580" s="62" t="s">
        <v>2511</v>
      </c>
      <c r="Q580" s="82"/>
      <c r="R580" s="82"/>
      <c r="S580" s="82"/>
      <c r="T580" s="82"/>
      <c r="U580" s="82"/>
      <c r="V580" s="138" t="s">
        <v>4057</v>
      </c>
      <c r="W580" s="57" t="s">
        <v>3660</v>
      </c>
      <c r="X580" s="126" t="s">
        <v>2511</v>
      </c>
      <c r="Y580" s="126" t="s">
        <v>2511</v>
      </c>
      <c r="Z580" s="57"/>
      <c r="AA580" s="57" t="s">
        <v>3661</v>
      </c>
      <c r="AB580" s="138"/>
      <c r="AC580" s="138" t="s">
        <v>2631</v>
      </c>
      <c r="AD580" s="96"/>
      <c r="AE580" s="80"/>
      <c r="AF580" s="80"/>
      <c r="AG580" s="80"/>
      <c r="AH580" s="83"/>
      <c r="AI580" s="83"/>
      <c r="AJ580" s="84"/>
      <c r="AK580" s="84"/>
      <c r="AL580" s="84"/>
      <c r="AM580" s="84"/>
      <c r="AN580" s="84"/>
      <c r="AO580" s="84"/>
      <c r="AP580" s="84"/>
      <c r="AQ580" s="95" t="s">
        <v>466</v>
      </c>
      <c r="AR580" s="72"/>
      <c r="AS580" s="72"/>
      <c r="AT580" s="72"/>
      <c r="AU580" s="72"/>
      <c r="AV580" s="72"/>
      <c r="AW580" s="72"/>
      <c r="AX580" s="72"/>
      <c r="AY580" s="72"/>
      <c r="AZ580" s="72"/>
      <c r="BA580" s="72"/>
      <c r="BB580" s="16"/>
      <c r="BC580" s="72"/>
      <c r="BD580" s="20"/>
      <c r="BE580" s="378"/>
    </row>
    <row r="581" spans="1:57" s="81" customFormat="1" ht="12.95" hidden="1" customHeight="1">
      <c r="A581" s="374"/>
      <c r="B581" s="376"/>
      <c r="C581" s="248" t="s">
        <v>1290</v>
      </c>
      <c r="D581" s="239" t="s">
        <v>4058</v>
      </c>
      <c r="E581" s="58"/>
      <c r="F581" s="59" t="s">
        <v>4059</v>
      </c>
      <c r="G581" s="191" t="s">
        <v>2511</v>
      </c>
      <c r="H581" s="192" t="s">
        <v>467</v>
      </c>
      <c r="I581" s="61" t="s">
        <v>2511</v>
      </c>
      <c r="J581" s="61" t="s">
        <v>2511</v>
      </c>
      <c r="K581" s="62" t="s">
        <v>2511</v>
      </c>
      <c r="L581" s="60" t="s">
        <v>2511</v>
      </c>
      <c r="M581" s="61" t="s">
        <v>2389</v>
      </c>
      <c r="N581" s="61" t="s">
        <v>2511</v>
      </c>
      <c r="O581" s="61" t="s">
        <v>2511</v>
      </c>
      <c r="P581" s="62" t="s">
        <v>2511</v>
      </c>
      <c r="Q581" s="82"/>
      <c r="R581" s="82"/>
      <c r="S581" s="82"/>
      <c r="T581" s="82"/>
      <c r="U581" s="82"/>
      <c r="V581" s="138" t="s">
        <v>4060</v>
      </c>
      <c r="W581" s="57" t="s">
        <v>3660</v>
      </c>
      <c r="X581" s="126" t="s">
        <v>2511</v>
      </c>
      <c r="Y581" s="126" t="s">
        <v>2511</v>
      </c>
      <c r="Z581" s="57"/>
      <c r="AA581" s="57" t="s">
        <v>3661</v>
      </c>
      <c r="AB581" s="138"/>
      <c r="AC581" s="138" t="s">
        <v>2631</v>
      </c>
      <c r="AD581" s="96"/>
      <c r="AE581" s="80"/>
      <c r="AF581" s="80"/>
      <c r="AG581" s="80"/>
      <c r="AH581" s="83"/>
      <c r="AI581" s="83"/>
      <c r="AJ581" s="84"/>
      <c r="AK581" s="84"/>
      <c r="AL581" s="84"/>
      <c r="AM581" s="84"/>
      <c r="AN581" s="84"/>
      <c r="AO581" s="84"/>
      <c r="AP581" s="84"/>
      <c r="AQ581" s="95" t="s">
        <v>467</v>
      </c>
      <c r="AR581" s="72"/>
      <c r="AS581" s="72"/>
      <c r="AT581" s="72"/>
      <c r="AU581" s="72"/>
      <c r="AV581" s="72"/>
      <c r="AW581" s="72"/>
      <c r="AX581" s="72"/>
      <c r="AY581" s="72"/>
      <c r="AZ581" s="72"/>
      <c r="BA581" s="72"/>
      <c r="BB581" s="16"/>
      <c r="BC581" s="72"/>
      <c r="BD581" s="20"/>
      <c r="BE581" s="378"/>
    </row>
    <row r="582" spans="1:57" s="81" customFormat="1" ht="12.95" hidden="1" customHeight="1">
      <c r="A582" s="374"/>
      <c r="B582" s="376"/>
      <c r="C582" s="248" t="s">
        <v>1291</v>
      </c>
      <c r="D582" s="239" t="s">
        <v>4061</v>
      </c>
      <c r="E582" s="58"/>
      <c r="F582" s="59" t="s">
        <v>4062</v>
      </c>
      <c r="G582" s="191" t="s">
        <v>2511</v>
      </c>
      <c r="H582" s="192" t="s">
        <v>468</v>
      </c>
      <c r="I582" s="61" t="s">
        <v>2511</v>
      </c>
      <c r="J582" s="61" t="s">
        <v>2511</v>
      </c>
      <c r="K582" s="62" t="s">
        <v>2511</v>
      </c>
      <c r="L582" s="60" t="s">
        <v>2511</v>
      </c>
      <c r="M582" s="61" t="s">
        <v>2389</v>
      </c>
      <c r="N582" s="61" t="s">
        <v>2511</v>
      </c>
      <c r="O582" s="61" t="s">
        <v>2511</v>
      </c>
      <c r="P582" s="62" t="s">
        <v>2511</v>
      </c>
      <c r="Q582" s="82"/>
      <c r="R582" s="82"/>
      <c r="S582" s="82"/>
      <c r="T582" s="82"/>
      <c r="U582" s="82"/>
      <c r="V582" s="138" t="s">
        <v>4063</v>
      </c>
      <c r="W582" s="57" t="s">
        <v>3660</v>
      </c>
      <c r="X582" s="126" t="s">
        <v>2511</v>
      </c>
      <c r="Y582" s="126" t="s">
        <v>2511</v>
      </c>
      <c r="Z582" s="57"/>
      <c r="AA582" s="57" t="s">
        <v>3661</v>
      </c>
      <c r="AB582" s="138"/>
      <c r="AC582" s="138" t="s">
        <v>2631</v>
      </c>
      <c r="AD582" s="96"/>
      <c r="AE582" s="80"/>
      <c r="AF582" s="80"/>
      <c r="AG582" s="80"/>
      <c r="AH582" s="83"/>
      <c r="AI582" s="83"/>
      <c r="AJ582" s="84"/>
      <c r="AK582" s="84"/>
      <c r="AL582" s="84"/>
      <c r="AM582" s="84"/>
      <c r="AN582" s="84"/>
      <c r="AO582" s="84"/>
      <c r="AP582" s="84"/>
      <c r="AQ582" s="95" t="s">
        <v>468</v>
      </c>
      <c r="AR582" s="72"/>
      <c r="AS582" s="72"/>
      <c r="AT582" s="72"/>
      <c r="AU582" s="72"/>
      <c r="AV582" s="72"/>
      <c r="AW582" s="72"/>
      <c r="AX582" s="72"/>
      <c r="AY582" s="72"/>
      <c r="AZ582" s="72"/>
      <c r="BA582" s="72"/>
      <c r="BB582" s="16"/>
      <c r="BC582" s="72"/>
      <c r="BD582" s="20"/>
      <c r="BE582" s="378"/>
    </row>
    <row r="583" spans="1:57" s="81" customFormat="1" ht="12.95" hidden="1" customHeight="1">
      <c r="A583" s="374"/>
      <c r="B583" s="376"/>
      <c r="C583" s="248" t="s">
        <v>1292</v>
      </c>
      <c r="D583" s="239" t="s">
        <v>4064</v>
      </c>
      <c r="E583" s="58"/>
      <c r="F583" s="59" t="s">
        <v>4065</v>
      </c>
      <c r="G583" s="191" t="s">
        <v>2511</v>
      </c>
      <c r="H583" s="192" t="s">
        <v>469</v>
      </c>
      <c r="I583" s="61" t="s">
        <v>2511</v>
      </c>
      <c r="J583" s="61" t="s">
        <v>2511</v>
      </c>
      <c r="K583" s="62" t="s">
        <v>2511</v>
      </c>
      <c r="L583" s="60" t="s">
        <v>2511</v>
      </c>
      <c r="M583" s="61" t="s">
        <v>2389</v>
      </c>
      <c r="N583" s="61" t="s">
        <v>2511</v>
      </c>
      <c r="O583" s="61" t="s">
        <v>2511</v>
      </c>
      <c r="P583" s="62" t="s">
        <v>2511</v>
      </c>
      <c r="Q583" s="82"/>
      <c r="R583" s="82"/>
      <c r="S583" s="82"/>
      <c r="T583" s="82"/>
      <c r="U583" s="82"/>
      <c r="V583" s="138" t="s">
        <v>4066</v>
      </c>
      <c r="W583" s="57" t="s">
        <v>3660</v>
      </c>
      <c r="X583" s="126" t="s">
        <v>2511</v>
      </c>
      <c r="Y583" s="126" t="s">
        <v>2511</v>
      </c>
      <c r="Z583" s="57"/>
      <c r="AA583" s="57" t="s">
        <v>3661</v>
      </c>
      <c r="AB583" s="138"/>
      <c r="AC583" s="138" t="s">
        <v>2631</v>
      </c>
      <c r="AD583" s="96"/>
      <c r="AE583" s="80"/>
      <c r="AF583" s="80"/>
      <c r="AG583" s="80"/>
      <c r="AH583" s="83"/>
      <c r="AI583" s="83"/>
      <c r="AJ583" s="84"/>
      <c r="AK583" s="84"/>
      <c r="AL583" s="84"/>
      <c r="AM583" s="84"/>
      <c r="AN583" s="84"/>
      <c r="AO583" s="84"/>
      <c r="AP583" s="84"/>
      <c r="AQ583" s="95" t="s">
        <v>469</v>
      </c>
      <c r="AR583" s="72"/>
      <c r="AS583" s="72"/>
      <c r="AT583" s="72"/>
      <c r="AU583" s="72"/>
      <c r="AV583" s="72"/>
      <c r="AW583" s="72"/>
      <c r="AX583" s="72"/>
      <c r="AY583" s="72"/>
      <c r="AZ583" s="72"/>
      <c r="BA583" s="72"/>
      <c r="BB583" s="16"/>
      <c r="BC583" s="72"/>
      <c r="BD583" s="20"/>
      <c r="BE583" s="378"/>
    </row>
    <row r="584" spans="1:57" s="81" customFormat="1" ht="12.95" hidden="1" customHeight="1">
      <c r="A584" s="374"/>
      <c r="B584" s="376"/>
      <c r="C584" s="248" t="s">
        <v>1293</v>
      </c>
      <c r="D584" s="239" t="s">
        <v>4067</v>
      </c>
      <c r="E584" s="58"/>
      <c r="F584" s="59" t="s">
        <v>4068</v>
      </c>
      <c r="G584" s="191" t="s">
        <v>2511</v>
      </c>
      <c r="H584" s="192" t="s">
        <v>470</v>
      </c>
      <c r="I584" s="61" t="s">
        <v>2511</v>
      </c>
      <c r="J584" s="61" t="s">
        <v>2511</v>
      </c>
      <c r="K584" s="62" t="s">
        <v>2511</v>
      </c>
      <c r="L584" s="60" t="s">
        <v>2511</v>
      </c>
      <c r="M584" s="61" t="s">
        <v>2389</v>
      </c>
      <c r="N584" s="61" t="s">
        <v>2511</v>
      </c>
      <c r="O584" s="61" t="s">
        <v>2511</v>
      </c>
      <c r="P584" s="62" t="s">
        <v>2511</v>
      </c>
      <c r="Q584" s="82"/>
      <c r="R584" s="82"/>
      <c r="S584" s="82"/>
      <c r="T584" s="82"/>
      <c r="U584" s="82"/>
      <c r="V584" s="138" t="s">
        <v>4069</v>
      </c>
      <c r="W584" s="57" t="s">
        <v>3660</v>
      </c>
      <c r="X584" s="126" t="s">
        <v>2511</v>
      </c>
      <c r="Y584" s="126" t="s">
        <v>2511</v>
      </c>
      <c r="Z584" s="57"/>
      <c r="AA584" s="57" t="s">
        <v>3661</v>
      </c>
      <c r="AB584" s="138"/>
      <c r="AC584" s="138" t="s">
        <v>2631</v>
      </c>
      <c r="AD584" s="96"/>
      <c r="AE584" s="80"/>
      <c r="AF584" s="80"/>
      <c r="AG584" s="80"/>
      <c r="AH584" s="83"/>
      <c r="AI584" s="83"/>
      <c r="AJ584" s="84"/>
      <c r="AK584" s="84"/>
      <c r="AL584" s="84"/>
      <c r="AM584" s="84"/>
      <c r="AN584" s="84"/>
      <c r="AO584" s="84"/>
      <c r="AP584" s="84"/>
      <c r="AQ584" s="95" t="s">
        <v>470</v>
      </c>
      <c r="AR584" s="72"/>
      <c r="AS584" s="72"/>
      <c r="AT584" s="72"/>
      <c r="AU584" s="72"/>
      <c r="AV584" s="72"/>
      <c r="AW584" s="72"/>
      <c r="AX584" s="72"/>
      <c r="AY584" s="72"/>
      <c r="AZ584" s="72"/>
      <c r="BA584" s="72"/>
      <c r="BB584" s="16"/>
      <c r="BC584" s="72"/>
      <c r="BD584" s="20"/>
      <c r="BE584" s="378"/>
    </row>
    <row r="585" spans="1:57" s="81" customFormat="1" ht="12.95" hidden="1" customHeight="1">
      <c r="A585" s="374"/>
      <c r="B585" s="376"/>
      <c r="C585" s="248" t="s">
        <v>1294</v>
      </c>
      <c r="D585" s="239" t="s">
        <v>4070</v>
      </c>
      <c r="E585" s="58"/>
      <c r="F585" s="59" t="s">
        <v>4071</v>
      </c>
      <c r="G585" s="191" t="s">
        <v>2511</v>
      </c>
      <c r="H585" s="192" t="s">
        <v>471</v>
      </c>
      <c r="I585" s="61" t="s">
        <v>2511</v>
      </c>
      <c r="J585" s="61" t="s">
        <v>2511</v>
      </c>
      <c r="K585" s="62" t="s">
        <v>2511</v>
      </c>
      <c r="L585" s="60" t="s">
        <v>2511</v>
      </c>
      <c r="M585" s="61" t="s">
        <v>2389</v>
      </c>
      <c r="N585" s="61" t="s">
        <v>2511</v>
      </c>
      <c r="O585" s="61" t="s">
        <v>2511</v>
      </c>
      <c r="P585" s="62" t="s">
        <v>2511</v>
      </c>
      <c r="Q585" s="82"/>
      <c r="R585" s="82"/>
      <c r="S585" s="82"/>
      <c r="T585" s="82"/>
      <c r="U585" s="82"/>
      <c r="V585" s="138" t="s">
        <v>4072</v>
      </c>
      <c r="W585" s="57" t="s">
        <v>3660</v>
      </c>
      <c r="X585" s="126" t="s">
        <v>2511</v>
      </c>
      <c r="Y585" s="126" t="s">
        <v>2511</v>
      </c>
      <c r="Z585" s="57"/>
      <c r="AA585" s="57" t="s">
        <v>3661</v>
      </c>
      <c r="AB585" s="138"/>
      <c r="AC585" s="138" t="s">
        <v>2631</v>
      </c>
      <c r="AD585" s="96"/>
      <c r="AE585" s="80"/>
      <c r="AF585" s="80"/>
      <c r="AG585" s="80"/>
      <c r="AH585" s="83"/>
      <c r="AI585" s="83"/>
      <c r="AJ585" s="84"/>
      <c r="AK585" s="84"/>
      <c r="AL585" s="84"/>
      <c r="AM585" s="84"/>
      <c r="AN585" s="84"/>
      <c r="AO585" s="84"/>
      <c r="AP585" s="84"/>
      <c r="AQ585" s="95" t="s">
        <v>471</v>
      </c>
      <c r="AR585" s="72"/>
      <c r="AS585" s="72"/>
      <c r="AT585" s="72"/>
      <c r="AU585" s="72"/>
      <c r="AV585" s="72"/>
      <c r="AW585" s="72"/>
      <c r="AX585" s="72"/>
      <c r="AY585" s="72"/>
      <c r="AZ585" s="72"/>
      <c r="BA585" s="72"/>
      <c r="BB585" s="16"/>
      <c r="BC585" s="72"/>
      <c r="BD585" s="20"/>
      <c r="BE585" s="378"/>
    </row>
    <row r="586" spans="1:57" s="81" customFormat="1" ht="12.95" hidden="1" customHeight="1">
      <c r="A586" s="374"/>
      <c r="B586" s="376"/>
      <c r="C586" s="248" t="s">
        <v>1295</v>
      </c>
      <c r="D586" s="239" t="s">
        <v>4073</v>
      </c>
      <c r="E586" s="58"/>
      <c r="F586" s="59" t="s">
        <v>4074</v>
      </c>
      <c r="G586" s="191" t="s">
        <v>2511</v>
      </c>
      <c r="H586" s="192" t="s">
        <v>472</v>
      </c>
      <c r="I586" s="61" t="s">
        <v>2511</v>
      </c>
      <c r="J586" s="61" t="s">
        <v>2511</v>
      </c>
      <c r="K586" s="62" t="s">
        <v>2511</v>
      </c>
      <c r="L586" s="60" t="s">
        <v>2511</v>
      </c>
      <c r="M586" s="61" t="s">
        <v>2389</v>
      </c>
      <c r="N586" s="61" t="s">
        <v>2511</v>
      </c>
      <c r="O586" s="61" t="s">
        <v>2511</v>
      </c>
      <c r="P586" s="62" t="s">
        <v>2511</v>
      </c>
      <c r="Q586" s="82"/>
      <c r="R586" s="82"/>
      <c r="S586" s="82"/>
      <c r="T586" s="82"/>
      <c r="U586" s="82"/>
      <c r="V586" s="138" t="s">
        <v>4075</v>
      </c>
      <c r="W586" s="57" t="s">
        <v>3660</v>
      </c>
      <c r="X586" s="126" t="s">
        <v>2511</v>
      </c>
      <c r="Y586" s="126" t="s">
        <v>2511</v>
      </c>
      <c r="Z586" s="57"/>
      <c r="AA586" s="57" t="s">
        <v>3661</v>
      </c>
      <c r="AB586" s="138"/>
      <c r="AC586" s="138" t="s">
        <v>2631</v>
      </c>
      <c r="AD586" s="96"/>
      <c r="AE586" s="80"/>
      <c r="AF586" s="80"/>
      <c r="AG586" s="80"/>
      <c r="AH586" s="83"/>
      <c r="AI586" s="83"/>
      <c r="AJ586" s="84"/>
      <c r="AK586" s="84"/>
      <c r="AL586" s="84"/>
      <c r="AM586" s="84"/>
      <c r="AN586" s="84"/>
      <c r="AO586" s="84"/>
      <c r="AP586" s="84"/>
      <c r="AQ586" s="95" t="s">
        <v>472</v>
      </c>
      <c r="AR586" s="72"/>
      <c r="AS586" s="72"/>
      <c r="AT586" s="72"/>
      <c r="AU586" s="72"/>
      <c r="AV586" s="72"/>
      <c r="AW586" s="72"/>
      <c r="AX586" s="72"/>
      <c r="AY586" s="72"/>
      <c r="AZ586" s="72"/>
      <c r="BA586" s="72"/>
      <c r="BB586" s="16"/>
      <c r="BC586" s="72"/>
      <c r="BD586" s="20"/>
      <c r="BE586" s="378"/>
    </row>
    <row r="587" spans="1:57" s="81" customFormat="1" ht="12.95" hidden="1" customHeight="1">
      <c r="A587" s="374"/>
      <c r="B587" s="376"/>
      <c r="C587" s="248" t="s">
        <v>1296</v>
      </c>
      <c r="D587" s="239" t="s">
        <v>4076</v>
      </c>
      <c r="E587" s="58"/>
      <c r="F587" s="59" t="s">
        <v>4077</v>
      </c>
      <c r="G587" s="191" t="s">
        <v>2511</v>
      </c>
      <c r="H587" s="192" t="s">
        <v>473</v>
      </c>
      <c r="I587" s="61" t="s">
        <v>2511</v>
      </c>
      <c r="J587" s="61" t="s">
        <v>2511</v>
      </c>
      <c r="K587" s="62" t="s">
        <v>2511</v>
      </c>
      <c r="L587" s="60" t="s">
        <v>2511</v>
      </c>
      <c r="M587" s="61" t="s">
        <v>2389</v>
      </c>
      <c r="N587" s="61" t="s">
        <v>2511</v>
      </c>
      <c r="O587" s="61" t="s">
        <v>2511</v>
      </c>
      <c r="P587" s="62" t="s">
        <v>2511</v>
      </c>
      <c r="Q587" s="82"/>
      <c r="R587" s="82"/>
      <c r="S587" s="82"/>
      <c r="T587" s="82"/>
      <c r="U587" s="82"/>
      <c r="V587" s="138" t="s">
        <v>4078</v>
      </c>
      <c r="W587" s="57" t="s">
        <v>3660</v>
      </c>
      <c r="X587" s="126" t="s">
        <v>2511</v>
      </c>
      <c r="Y587" s="126" t="s">
        <v>2511</v>
      </c>
      <c r="Z587" s="57"/>
      <c r="AA587" s="57" t="s">
        <v>3661</v>
      </c>
      <c r="AB587" s="138"/>
      <c r="AC587" s="138" t="s">
        <v>2631</v>
      </c>
      <c r="AD587" s="96"/>
      <c r="AE587" s="80"/>
      <c r="AF587" s="80"/>
      <c r="AG587" s="80"/>
      <c r="AH587" s="83"/>
      <c r="AI587" s="83"/>
      <c r="AJ587" s="84"/>
      <c r="AK587" s="84"/>
      <c r="AL587" s="84"/>
      <c r="AM587" s="84"/>
      <c r="AN587" s="84"/>
      <c r="AO587" s="84"/>
      <c r="AP587" s="84"/>
      <c r="AQ587" s="95" t="s">
        <v>473</v>
      </c>
      <c r="AR587" s="72"/>
      <c r="AS587" s="72"/>
      <c r="AT587" s="72"/>
      <c r="AU587" s="72"/>
      <c r="AV587" s="72"/>
      <c r="AW587" s="72"/>
      <c r="AX587" s="72"/>
      <c r="AY587" s="72"/>
      <c r="AZ587" s="72"/>
      <c r="BA587" s="72"/>
      <c r="BB587" s="16"/>
      <c r="BC587" s="72"/>
      <c r="BD587" s="20"/>
      <c r="BE587" s="378"/>
    </row>
    <row r="588" spans="1:57" s="81" customFormat="1" ht="12.95" hidden="1" customHeight="1">
      <c r="A588" s="374"/>
      <c r="B588" s="376"/>
      <c r="C588" s="248" t="s">
        <v>1297</v>
      </c>
      <c r="D588" s="239" t="s">
        <v>4079</v>
      </c>
      <c r="E588" s="58"/>
      <c r="F588" s="59" t="s">
        <v>4080</v>
      </c>
      <c r="G588" s="191" t="s">
        <v>2511</v>
      </c>
      <c r="H588" s="192" t="s">
        <v>474</v>
      </c>
      <c r="I588" s="61" t="s">
        <v>2511</v>
      </c>
      <c r="J588" s="61" t="s">
        <v>2511</v>
      </c>
      <c r="K588" s="62" t="s">
        <v>2511</v>
      </c>
      <c r="L588" s="60" t="s">
        <v>2511</v>
      </c>
      <c r="M588" s="61" t="s">
        <v>2389</v>
      </c>
      <c r="N588" s="61" t="s">
        <v>2511</v>
      </c>
      <c r="O588" s="61" t="s">
        <v>2511</v>
      </c>
      <c r="P588" s="62" t="s">
        <v>2511</v>
      </c>
      <c r="Q588" s="82"/>
      <c r="R588" s="82"/>
      <c r="S588" s="82"/>
      <c r="T588" s="82"/>
      <c r="U588" s="82"/>
      <c r="V588" s="138" t="s">
        <v>4081</v>
      </c>
      <c r="W588" s="57" t="s">
        <v>3660</v>
      </c>
      <c r="X588" s="126" t="s">
        <v>2511</v>
      </c>
      <c r="Y588" s="126" t="s">
        <v>2511</v>
      </c>
      <c r="Z588" s="57"/>
      <c r="AA588" s="57" t="s">
        <v>3661</v>
      </c>
      <c r="AB588" s="138"/>
      <c r="AC588" s="138" t="s">
        <v>2631</v>
      </c>
      <c r="AD588" s="96"/>
      <c r="AE588" s="80"/>
      <c r="AF588" s="80"/>
      <c r="AG588" s="80"/>
      <c r="AH588" s="83"/>
      <c r="AI588" s="83"/>
      <c r="AJ588" s="84"/>
      <c r="AK588" s="84"/>
      <c r="AL588" s="84"/>
      <c r="AM588" s="84"/>
      <c r="AN588" s="84"/>
      <c r="AO588" s="84"/>
      <c r="AP588" s="84"/>
      <c r="AQ588" s="95" t="s">
        <v>474</v>
      </c>
      <c r="AR588" s="72"/>
      <c r="AS588" s="72"/>
      <c r="AT588" s="72"/>
      <c r="AU588" s="72"/>
      <c r="AV588" s="72"/>
      <c r="AW588" s="72"/>
      <c r="AX588" s="72"/>
      <c r="AY588" s="72"/>
      <c r="AZ588" s="72"/>
      <c r="BA588" s="72"/>
      <c r="BB588" s="16"/>
      <c r="BC588" s="72"/>
      <c r="BD588" s="20"/>
      <c r="BE588" s="378"/>
    </row>
    <row r="589" spans="1:57" s="81" customFormat="1" ht="12.95" hidden="1" customHeight="1">
      <c r="A589" s="374"/>
      <c r="B589" s="376"/>
      <c r="C589" s="270" t="s">
        <v>1298</v>
      </c>
      <c r="D589" s="239" t="s">
        <v>4082</v>
      </c>
      <c r="E589" s="58"/>
      <c r="F589" s="59" t="s">
        <v>4083</v>
      </c>
      <c r="G589" s="191" t="s">
        <v>2511</v>
      </c>
      <c r="H589" s="192" t="s">
        <v>475</v>
      </c>
      <c r="I589" s="61" t="s">
        <v>2511</v>
      </c>
      <c r="J589" s="61" t="s">
        <v>2511</v>
      </c>
      <c r="K589" s="62" t="s">
        <v>2511</v>
      </c>
      <c r="L589" s="60" t="s">
        <v>2511</v>
      </c>
      <c r="M589" s="61" t="s">
        <v>2389</v>
      </c>
      <c r="N589" s="61" t="s">
        <v>2511</v>
      </c>
      <c r="O589" s="61" t="s">
        <v>2511</v>
      </c>
      <c r="P589" s="62" t="s">
        <v>2511</v>
      </c>
      <c r="Q589" s="82"/>
      <c r="R589" s="82"/>
      <c r="S589" s="82"/>
      <c r="T589" s="82"/>
      <c r="U589" s="82"/>
      <c r="V589" s="138" t="s">
        <v>4084</v>
      </c>
      <c r="W589" s="57" t="s">
        <v>3660</v>
      </c>
      <c r="X589" s="126" t="s">
        <v>2511</v>
      </c>
      <c r="Y589" s="126" t="s">
        <v>2511</v>
      </c>
      <c r="Z589" s="57"/>
      <c r="AA589" s="57" t="s">
        <v>3661</v>
      </c>
      <c r="AB589" s="138"/>
      <c r="AC589" s="138" t="s">
        <v>2631</v>
      </c>
      <c r="AD589" s="96"/>
      <c r="AE589" s="80"/>
      <c r="AF589" s="80"/>
      <c r="AG589" s="80"/>
      <c r="AH589" s="83"/>
      <c r="AI589" s="83"/>
      <c r="AJ589" s="84"/>
      <c r="AK589" s="84"/>
      <c r="AL589" s="84"/>
      <c r="AM589" s="84"/>
      <c r="AN589" s="84"/>
      <c r="AO589" s="84"/>
      <c r="AP589" s="84"/>
      <c r="AQ589" s="95" t="s">
        <v>475</v>
      </c>
      <c r="AR589" s="72"/>
      <c r="AS589" s="72"/>
      <c r="AT589" s="72"/>
      <c r="AU589" s="72"/>
      <c r="AV589" s="72"/>
      <c r="AW589" s="72"/>
      <c r="AX589" s="72"/>
      <c r="AY589" s="72"/>
      <c r="AZ589" s="72"/>
      <c r="BA589" s="72"/>
      <c r="BB589" s="16"/>
      <c r="BC589" s="72"/>
      <c r="BD589" s="20"/>
      <c r="BE589" s="378"/>
    </row>
    <row r="590" spans="1:57" s="81" customFormat="1" ht="12.95" hidden="1" customHeight="1">
      <c r="A590" s="374"/>
      <c r="B590" s="376"/>
      <c r="C590" s="270" t="s">
        <v>1299</v>
      </c>
      <c r="D590" s="239" t="s">
        <v>4085</v>
      </c>
      <c r="E590" s="58"/>
      <c r="F590" s="59" t="s">
        <v>4086</v>
      </c>
      <c r="G590" s="191" t="s">
        <v>2511</v>
      </c>
      <c r="H590" s="192" t="s">
        <v>476</v>
      </c>
      <c r="I590" s="61" t="s">
        <v>2511</v>
      </c>
      <c r="J590" s="61" t="s">
        <v>2511</v>
      </c>
      <c r="K590" s="62" t="s">
        <v>2511</v>
      </c>
      <c r="L590" s="60" t="s">
        <v>2511</v>
      </c>
      <c r="M590" s="61" t="s">
        <v>2389</v>
      </c>
      <c r="N590" s="61" t="s">
        <v>2511</v>
      </c>
      <c r="O590" s="61" t="s">
        <v>2511</v>
      </c>
      <c r="P590" s="62" t="s">
        <v>2511</v>
      </c>
      <c r="Q590" s="82"/>
      <c r="R590" s="82"/>
      <c r="S590" s="82"/>
      <c r="T590" s="82"/>
      <c r="U590" s="82"/>
      <c r="V590" s="138" t="s">
        <v>4087</v>
      </c>
      <c r="W590" s="57" t="s">
        <v>3660</v>
      </c>
      <c r="X590" s="126" t="s">
        <v>2511</v>
      </c>
      <c r="Y590" s="126" t="s">
        <v>2511</v>
      </c>
      <c r="Z590" s="57"/>
      <c r="AA590" s="57" t="s">
        <v>3661</v>
      </c>
      <c r="AB590" s="138"/>
      <c r="AC590" s="138" t="s">
        <v>2631</v>
      </c>
      <c r="AD590" s="96"/>
      <c r="AE590" s="80"/>
      <c r="AF590" s="80"/>
      <c r="AG590" s="80"/>
      <c r="AH590" s="83"/>
      <c r="AI590" s="83"/>
      <c r="AJ590" s="84"/>
      <c r="AK590" s="84"/>
      <c r="AL590" s="84"/>
      <c r="AM590" s="84"/>
      <c r="AN590" s="84"/>
      <c r="AO590" s="84"/>
      <c r="AP590" s="84"/>
      <c r="AQ590" s="95" t="s">
        <v>476</v>
      </c>
      <c r="AR590" s="72"/>
      <c r="AS590" s="72"/>
      <c r="AT590" s="72"/>
      <c r="AU590" s="72"/>
      <c r="AV590" s="72"/>
      <c r="AW590" s="72"/>
      <c r="AX590" s="72"/>
      <c r="AY590" s="72"/>
      <c r="AZ590" s="72"/>
      <c r="BA590" s="72"/>
      <c r="BB590" s="16"/>
      <c r="BC590" s="72"/>
      <c r="BD590" s="20"/>
      <c r="BE590" s="378"/>
    </row>
    <row r="591" spans="1:57" s="81" customFormat="1" ht="12.95" hidden="1" customHeight="1">
      <c r="A591" s="374"/>
      <c r="B591" s="376"/>
      <c r="C591" s="270" t="s">
        <v>1300</v>
      </c>
      <c r="D591" s="239" t="s">
        <v>4088</v>
      </c>
      <c r="E591" s="58"/>
      <c r="F591" s="59" t="s">
        <v>4089</v>
      </c>
      <c r="G591" s="191" t="s">
        <v>2511</v>
      </c>
      <c r="H591" s="192" t="s">
        <v>477</v>
      </c>
      <c r="I591" s="61" t="s">
        <v>2511</v>
      </c>
      <c r="J591" s="61" t="s">
        <v>2511</v>
      </c>
      <c r="K591" s="62" t="s">
        <v>2511</v>
      </c>
      <c r="L591" s="60" t="s">
        <v>2511</v>
      </c>
      <c r="M591" s="61" t="s">
        <v>2389</v>
      </c>
      <c r="N591" s="61" t="s">
        <v>2511</v>
      </c>
      <c r="O591" s="61" t="s">
        <v>2511</v>
      </c>
      <c r="P591" s="62" t="s">
        <v>2511</v>
      </c>
      <c r="Q591" s="82"/>
      <c r="R591" s="82"/>
      <c r="S591" s="82"/>
      <c r="T591" s="82"/>
      <c r="U591" s="82"/>
      <c r="V591" s="138" t="s">
        <v>4090</v>
      </c>
      <c r="W591" s="57" t="s">
        <v>3660</v>
      </c>
      <c r="X591" s="126" t="s">
        <v>2511</v>
      </c>
      <c r="Y591" s="126" t="s">
        <v>2511</v>
      </c>
      <c r="Z591" s="57"/>
      <c r="AA591" s="57" t="s">
        <v>3661</v>
      </c>
      <c r="AB591" s="138"/>
      <c r="AC591" s="138">
        <v>0</v>
      </c>
      <c r="AD591" s="96"/>
      <c r="AE591" s="80"/>
      <c r="AF591" s="80"/>
      <c r="AG591" s="80"/>
      <c r="AH591" s="83"/>
      <c r="AI591" s="83"/>
      <c r="AJ591" s="84"/>
      <c r="AK591" s="84"/>
      <c r="AL591" s="84"/>
      <c r="AM591" s="84"/>
      <c r="AN591" s="84"/>
      <c r="AO591" s="84"/>
      <c r="AP591" s="84"/>
      <c r="AQ591" s="95" t="s">
        <v>477</v>
      </c>
      <c r="AR591" s="72"/>
      <c r="AS591" s="72"/>
      <c r="AT591" s="72"/>
      <c r="AU591" s="72"/>
      <c r="AV591" s="72"/>
      <c r="AW591" s="72"/>
      <c r="AX591" s="72"/>
      <c r="AY591" s="72"/>
      <c r="AZ591" s="72"/>
      <c r="BA591" s="72"/>
      <c r="BB591" s="16"/>
      <c r="BC591" s="72"/>
      <c r="BD591" s="20"/>
      <c r="BE591" s="378"/>
    </row>
    <row r="592" spans="1:57" s="91" customFormat="1" ht="18" hidden="1" customHeight="1">
      <c r="A592" s="233"/>
      <c r="B592" s="89"/>
      <c r="C592" s="268" t="s">
        <v>564</v>
      </c>
      <c r="D592" s="268"/>
      <c r="E592" s="86"/>
      <c r="F592" s="86"/>
      <c r="G592" s="87"/>
      <c r="H592" s="87"/>
      <c r="I592" s="87"/>
      <c r="J592" s="87"/>
      <c r="K592" s="87"/>
      <c r="L592" s="86"/>
      <c r="M592" s="86"/>
      <c r="N592" s="86"/>
      <c r="O592" s="86"/>
      <c r="P592" s="86"/>
      <c r="Q592" s="86"/>
      <c r="R592" s="86"/>
      <c r="S592" s="86"/>
      <c r="T592" s="86"/>
      <c r="U592" s="86"/>
      <c r="V592" s="86"/>
      <c r="W592" s="86"/>
      <c r="X592" s="129"/>
      <c r="Y592" s="129"/>
      <c r="Z592" s="88"/>
      <c r="AA592" s="88"/>
      <c r="AB592" s="88"/>
      <c r="AC592" s="88"/>
      <c r="AD592" s="88"/>
      <c r="AE592" s="88"/>
      <c r="AF592" s="88"/>
      <c r="AG592" s="88"/>
      <c r="AH592" s="88"/>
      <c r="AI592" s="88"/>
      <c r="AJ592" s="88"/>
      <c r="AK592" s="88"/>
      <c r="AL592" s="88"/>
      <c r="AM592" s="88"/>
      <c r="AN592" s="88"/>
      <c r="AO592" s="88"/>
      <c r="AP592" s="88"/>
      <c r="AQ592" s="89"/>
      <c r="AR592" s="89"/>
      <c r="AS592" s="90"/>
      <c r="AT592" s="90"/>
      <c r="AU592" s="90"/>
      <c r="AV592" s="90"/>
      <c r="AW592" s="90"/>
      <c r="AX592" s="90"/>
      <c r="AY592" s="90"/>
      <c r="AZ592" s="90"/>
      <c r="BA592" s="90"/>
      <c r="BB592" s="90"/>
      <c r="BC592" s="175" t="s">
        <v>2153</v>
      </c>
      <c r="BD592" s="90"/>
      <c r="BE592" s="233" t="s">
        <v>564</v>
      </c>
    </row>
    <row r="593" spans="1:57" s="81" customFormat="1" ht="12.95" hidden="1" customHeight="1">
      <c r="A593" s="373"/>
      <c r="B593" s="375"/>
      <c r="C593" s="248" t="s">
        <v>1301</v>
      </c>
      <c r="D593" s="239" t="s">
        <v>4091</v>
      </c>
      <c r="E593" s="58"/>
      <c r="F593" s="59" t="s">
        <v>4092</v>
      </c>
      <c r="G593" s="191" t="s">
        <v>2511</v>
      </c>
      <c r="H593" s="192" t="s">
        <v>565</v>
      </c>
      <c r="I593" s="61" t="s">
        <v>2511</v>
      </c>
      <c r="J593" s="61" t="s">
        <v>2511</v>
      </c>
      <c r="K593" s="62" t="s">
        <v>2511</v>
      </c>
      <c r="L593" s="60" t="s">
        <v>2511</v>
      </c>
      <c r="M593" s="61" t="s">
        <v>2389</v>
      </c>
      <c r="N593" s="61" t="s">
        <v>2511</v>
      </c>
      <c r="O593" s="61" t="s">
        <v>2511</v>
      </c>
      <c r="P593" s="62" t="s">
        <v>2511</v>
      </c>
      <c r="Q593" s="82"/>
      <c r="R593" s="82"/>
      <c r="S593" s="82"/>
      <c r="T593" s="82"/>
      <c r="U593" s="82"/>
      <c r="V593" s="138" t="s">
        <v>4093</v>
      </c>
      <c r="W593" s="57" t="s">
        <v>4094</v>
      </c>
      <c r="X593" s="126" t="s">
        <v>2511</v>
      </c>
      <c r="Y593" s="126" t="s">
        <v>2511</v>
      </c>
      <c r="Z593" s="57"/>
      <c r="AA593" s="57" t="s">
        <v>3661</v>
      </c>
      <c r="AB593" s="138"/>
      <c r="AC593" s="138" t="s">
        <v>2631</v>
      </c>
      <c r="AD593" s="92"/>
      <c r="AE593" s="93"/>
      <c r="AF593" s="93"/>
      <c r="AG593" s="93"/>
      <c r="AH593" s="94"/>
      <c r="AI593" s="83"/>
      <c r="AJ593" s="84"/>
      <c r="AK593" s="84"/>
      <c r="AL593" s="84"/>
      <c r="AM593" s="84"/>
      <c r="AN593" s="84"/>
      <c r="AO593" s="84"/>
      <c r="AP593" s="84"/>
      <c r="AQ593" s="95" t="s">
        <v>565</v>
      </c>
      <c r="AR593" s="72"/>
      <c r="AS593" s="72"/>
      <c r="AT593" s="72"/>
      <c r="AU593" s="72"/>
      <c r="AV593" s="72"/>
      <c r="AW593" s="72"/>
      <c r="AX593" s="72"/>
      <c r="AY593" s="72"/>
      <c r="AZ593" s="72"/>
      <c r="BA593" s="72"/>
      <c r="BB593" s="16"/>
      <c r="BC593" s="22"/>
      <c r="BD593" s="19"/>
      <c r="BE593" s="377" t="s">
        <v>2216</v>
      </c>
    </row>
    <row r="594" spans="1:57" s="81" customFormat="1" ht="12.95" hidden="1" customHeight="1">
      <c r="A594" s="374"/>
      <c r="B594" s="376"/>
      <c r="C594" s="248" t="s">
        <v>1302</v>
      </c>
      <c r="D594" s="239" t="s">
        <v>4095</v>
      </c>
      <c r="E594" s="58"/>
      <c r="F594" s="59" t="s">
        <v>4096</v>
      </c>
      <c r="G594" s="191" t="s">
        <v>2511</v>
      </c>
      <c r="H594" s="192" t="s">
        <v>566</v>
      </c>
      <c r="I594" s="61" t="s">
        <v>2511</v>
      </c>
      <c r="J594" s="61" t="s">
        <v>2511</v>
      </c>
      <c r="K594" s="62" t="s">
        <v>2511</v>
      </c>
      <c r="L594" s="60" t="s">
        <v>2511</v>
      </c>
      <c r="M594" s="61" t="s">
        <v>2389</v>
      </c>
      <c r="N594" s="61" t="s">
        <v>2511</v>
      </c>
      <c r="O594" s="61" t="s">
        <v>2511</v>
      </c>
      <c r="P594" s="62" t="s">
        <v>2511</v>
      </c>
      <c r="Q594" s="82"/>
      <c r="R594" s="82"/>
      <c r="S594" s="82"/>
      <c r="T594" s="82"/>
      <c r="U594" s="82"/>
      <c r="V594" s="138" t="s">
        <v>4097</v>
      </c>
      <c r="W594" s="57" t="s">
        <v>4094</v>
      </c>
      <c r="X594" s="126" t="s">
        <v>2511</v>
      </c>
      <c r="Y594" s="126" t="s">
        <v>2511</v>
      </c>
      <c r="Z594" s="57"/>
      <c r="AA594" s="57" t="s">
        <v>3661</v>
      </c>
      <c r="AB594" s="138"/>
      <c r="AC594" s="138" t="s">
        <v>2631</v>
      </c>
      <c r="AD594" s="96"/>
      <c r="AE594" s="80"/>
      <c r="AF594" s="80"/>
      <c r="AG594" s="80"/>
      <c r="AH594" s="83"/>
      <c r="AI594" s="83"/>
      <c r="AJ594" s="84"/>
      <c r="AK594" s="84"/>
      <c r="AL594" s="84"/>
      <c r="AM594" s="84"/>
      <c r="AN594" s="84"/>
      <c r="AO594" s="84"/>
      <c r="AP594" s="84"/>
      <c r="AQ594" s="95" t="s">
        <v>566</v>
      </c>
      <c r="AR594" s="72"/>
      <c r="AS594" s="72"/>
      <c r="AT594" s="72"/>
      <c r="AU594" s="72"/>
      <c r="AV594" s="72"/>
      <c r="AW594" s="72"/>
      <c r="AX594" s="72"/>
      <c r="AY594" s="72"/>
      <c r="AZ594" s="72"/>
      <c r="BA594" s="72"/>
      <c r="BB594" s="16"/>
      <c r="BC594" s="72"/>
      <c r="BD594" s="20"/>
      <c r="BE594" s="378"/>
    </row>
    <row r="595" spans="1:57" s="81" customFormat="1" ht="12.95" hidden="1" customHeight="1">
      <c r="A595" s="374"/>
      <c r="B595" s="376"/>
      <c r="C595" s="248" t="s">
        <v>1303</v>
      </c>
      <c r="D595" s="239" t="s">
        <v>4098</v>
      </c>
      <c r="E595" s="58"/>
      <c r="F595" s="59" t="s">
        <v>4099</v>
      </c>
      <c r="G595" s="191" t="s">
        <v>2511</v>
      </c>
      <c r="H595" s="192" t="s">
        <v>567</v>
      </c>
      <c r="I595" s="61" t="s">
        <v>2511</v>
      </c>
      <c r="J595" s="61" t="s">
        <v>2511</v>
      </c>
      <c r="K595" s="62" t="s">
        <v>2511</v>
      </c>
      <c r="L595" s="60" t="s">
        <v>2511</v>
      </c>
      <c r="M595" s="61" t="s">
        <v>2389</v>
      </c>
      <c r="N595" s="61" t="s">
        <v>2511</v>
      </c>
      <c r="O595" s="61" t="s">
        <v>2511</v>
      </c>
      <c r="P595" s="62" t="s">
        <v>2511</v>
      </c>
      <c r="Q595" s="82"/>
      <c r="R595" s="82"/>
      <c r="S595" s="82"/>
      <c r="T595" s="82"/>
      <c r="U595" s="82"/>
      <c r="V595" s="138" t="s">
        <v>4100</v>
      </c>
      <c r="W595" s="57" t="s">
        <v>4094</v>
      </c>
      <c r="X595" s="126" t="s">
        <v>2511</v>
      </c>
      <c r="Y595" s="126" t="s">
        <v>2511</v>
      </c>
      <c r="Z595" s="57"/>
      <c r="AA595" s="57" t="s">
        <v>3661</v>
      </c>
      <c r="AB595" s="138"/>
      <c r="AC595" s="138" t="s">
        <v>2631</v>
      </c>
      <c r="AD595" s="96"/>
      <c r="AE595" s="80"/>
      <c r="AF595" s="80"/>
      <c r="AG595" s="80"/>
      <c r="AH595" s="83"/>
      <c r="AI595" s="83"/>
      <c r="AJ595" s="84"/>
      <c r="AK595" s="84"/>
      <c r="AL595" s="84"/>
      <c r="AM595" s="84"/>
      <c r="AN595" s="84"/>
      <c r="AO595" s="84"/>
      <c r="AP595" s="84"/>
      <c r="AQ595" s="95" t="s">
        <v>567</v>
      </c>
      <c r="AR595" s="72"/>
      <c r="AS595" s="72"/>
      <c r="AT595" s="72"/>
      <c r="AU595" s="72"/>
      <c r="AV595" s="72"/>
      <c r="AW595" s="72"/>
      <c r="AX595" s="72"/>
      <c r="AY595" s="72"/>
      <c r="AZ595" s="72"/>
      <c r="BA595" s="72"/>
      <c r="BB595" s="16"/>
      <c r="BC595" s="72"/>
      <c r="BD595" s="20"/>
      <c r="BE595" s="378"/>
    </row>
    <row r="596" spans="1:57" s="81" customFormat="1" ht="12.95" hidden="1" customHeight="1">
      <c r="A596" s="374"/>
      <c r="B596" s="376"/>
      <c r="C596" s="248" t="s">
        <v>1304</v>
      </c>
      <c r="D596" s="239" t="s">
        <v>4101</v>
      </c>
      <c r="E596" s="58"/>
      <c r="F596" s="59" t="s">
        <v>4102</v>
      </c>
      <c r="G596" s="191" t="s">
        <v>2511</v>
      </c>
      <c r="H596" s="192" t="s">
        <v>568</v>
      </c>
      <c r="I596" s="61" t="s">
        <v>2511</v>
      </c>
      <c r="J596" s="61" t="s">
        <v>2511</v>
      </c>
      <c r="K596" s="62" t="s">
        <v>2511</v>
      </c>
      <c r="L596" s="60" t="s">
        <v>2511</v>
      </c>
      <c r="M596" s="61" t="s">
        <v>2389</v>
      </c>
      <c r="N596" s="61" t="s">
        <v>2511</v>
      </c>
      <c r="O596" s="61" t="s">
        <v>2511</v>
      </c>
      <c r="P596" s="62" t="s">
        <v>2511</v>
      </c>
      <c r="Q596" s="82"/>
      <c r="R596" s="82"/>
      <c r="S596" s="82"/>
      <c r="T596" s="82"/>
      <c r="U596" s="82"/>
      <c r="V596" s="138" t="s">
        <v>4103</v>
      </c>
      <c r="W596" s="57" t="s">
        <v>4094</v>
      </c>
      <c r="X596" s="126" t="s">
        <v>2511</v>
      </c>
      <c r="Y596" s="126" t="s">
        <v>2511</v>
      </c>
      <c r="Z596" s="57"/>
      <c r="AA596" s="57" t="s">
        <v>3661</v>
      </c>
      <c r="AB596" s="138"/>
      <c r="AC596" s="138" t="s">
        <v>2631</v>
      </c>
      <c r="AD596" s="96"/>
      <c r="AE596" s="80"/>
      <c r="AF596" s="80"/>
      <c r="AG596" s="80"/>
      <c r="AH596" s="83"/>
      <c r="AI596" s="83"/>
      <c r="AJ596" s="84"/>
      <c r="AK596" s="84"/>
      <c r="AL596" s="84"/>
      <c r="AM596" s="84"/>
      <c r="AN596" s="84"/>
      <c r="AO596" s="84"/>
      <c r="AP596" s="84"/>
      <c r="AQ596" s="95" t="s">
        <v>568</v>
      </c>
      <c r="AR596" s="72"/>
      <c r="AS596" s="72"/>
      <c r="AT596" s="72"/>
      <c r="AU596" s="72"/>
      <c r="AV596" s="72"/>
      <c r="AW596" s="72"/>
      <c r="AX596" s="72"/>
      <c r="AY596" s="72"/>
      <c r="AZ596" s="72"/>
      <c r="BA596" s="72"/>
      <c r="BB596" s="16"/>
      <c r="BC596" s="72"/>
      <c r="BD596" s="20"/>
      <c r="BE596" s="378"/>
    </row>
    <row r="597" spans="1:57" s="81" customFormat="1" ht="12.95" hidden="1" customHeight="1">
      <c r="A597" s="374"/>
      <c r="B597" s="376"/>
      <c r="C597" s="248" t="s">
        <v>1305</v>
      </c>
      <c r="D597" s="239" t="s">
        <v>4104</v>
      </c>
      <c r="E597" s="58"/>
      <c r="F597" s="59" t="s">
        <v>4105</v>
      </c>
      <c r="G597" s="191" t="s">
        <v>2511</v>
      </c>
      <c r="H597" s="192" t="s">
        <v>569</v>
      </c>
      <c r="I597" s="61" t="s">
        <v>2511</v>
      </c>
      <c r="J597" s="61" t="s">
        <v>2511</v>
      </c>
      <c r="K597" s="62" t="s">
        <v>2511</v>
      </c>
      <c r="L597" s="60" t="s">
        <v>2511</v>
      </c>
      <c r="M597" s="61" t="s">
        <v>2389</v>
      </c>
      <c r="N597" s="61" t="s">
        <v>2511</v>
      </c>
      <c r="O597" s="61" t="s">
        <v>2511</v>
      </c>
      <c r="P597" s="62" t="s">
        <v>2511</v>
      </c>
      <c r="Q597" s="82"/>
      <c r="R597" s="82"/>
      <c r="S597" s="82"/>
      <c r="T597" s="82"/>
      <c r="U597" s="82"/>
      <c r="V597" s="138" t="s">
        <v>4106</v>
      </c>
      <c r="W597" s="57" t="s">
        <v>4094</v>
      </c>
      <c r="X597" s="126" t="s">
        <v>2511</v>
      </c>
      <c r="Y597" s="126" t="s">
        <v>2511</v>
      </c>
      <c r="Z597" s="57"/>
      <c r="AA597" s="57" t="s">
        <v>3661</v>
      </c>
      <c r="AB597" s="138"/>
      <c r="AC597" s="138" t="s">
        <v>2631</v>
      </c>
      <c r="AD597" s="96"/>
      <c r="AE597" s="80"/>
      <c r="AF597" s="80"/>
      <c r="AG597" s="80"/>
      <c r="AH597" s="83"/>
      <c r="AI597" s="83"/>
      <c r="AJ597" s="84"/>
      <c r="AK597" s="84"/>
      <c r="AL597" s="84"/>
      <c r="AM597" s="84"/>
      <c r="AN597" s="84"/>
      <c r="AO597" s="84"/>
      <c r="AP597" s="84"/>
      <c r="AQ597" s="95" t="s">
        <v>569</v>
      </c>
      <c r="AR597" s="72"/>
      <c r="AS597" s="72"/>
      <c r="AT597" s="72"/>
      <c r="AU597" s="72"/>
      <c r="AV597" s="72"/>
      <c r="AW597" s="72"/>
      <c r="AX597" s="72"/>
      <c r="AY597" s="72"/>
      <c r="AZ597" s="72"/>
      <c r="BA597" s="72"/>
      <c r="BB597" s="16"/>
      <c r="BC597" s="72"/>
      <c r="BD597" s="20"/>
      <c r="BE597" s="378"/>
    </row>
    <row r="598" spans="1:57" s="81" customFormat="1" ht="12.95" hidden="1" customHeight="1">
      <c r="A598" s="374"/>
      <c r="B598" s="376"/>
      <c r="C598" s="248" t="s">
        <v>1306</v>
      </c>
      <c r="D598" s="239" t="s">
        <v>4107</v>
      </c>
      <c r="E598" s="58"/>
      <c r="F598" s="59" t="s">
        <v>4108</v>
      </c>
      <c r="G598" s="191" t="s">
        <v>2511</v>
      </c>
      <c r="H598" s="192" t="s">
        <v>570</v>
      </c>
      <c r="I598" s="61" t="s">
        <v>2511</v>
      </c>
      <c r="J598" s="61" t="s">
        <v>2511</v>
      </c>
      <c r="K598" s="62" t="s">
        <v>2511</v>
      </c>
      <c r="L598" s="60" t="s">
        <v>2511</v>
      </c>
      <c r="M598" s="61" t="s">
        <v>2389</v>
      </c>
      <c r="N598" s="61" t="s">
        <v>2511</v>
      </c>
      <c r="O598" s="61" t="s">
        <v>2511</v>
      </c>
      <c r="P598" s="62" t="s">
        <v>2511</v>
      </c>
      <c r="Q598" s="82"/>
      <c r="R598" s="82"/>
      <c r="S598" s="82"/>
      <c r="T598" s="82"/>
      <c r="U598" s="82"/>
      <c r="V598" s="138" t="s">
        <v>4109</v>
      </c>
      <c r="W598" s="57" t="s">
        <v>4094</v>
      </c>
      <c r="X598" s="126" t="s">
        <v>2511</v>
      </c>
      <c r="Y598" s="126" t="s">
        <v>2511</v>
      </c>
      <c r="Z598" s="57"/>
      <c r="AA598" s="57" t="s">
        <v>3661</v>
      </c>
      <c r="AB598" s="138"/>
      <c r="AC598" s="138" t="s">
        <v>2631</v>
      </c>
      <c r="AD598" s="96"/>
      <c r="AE598" s="80"/>
      <c r="AF598" s="80"/>
      <c r="AG598" s="80"/>
      <c r="AH598" s="83"/>
      <c r="AI598" s="83"/>
      <c r="AJ598" s="84"/>
      <c r="AK598" s="84"/>
      <c r="AL598" s="84"/>
      <c r="AM598" s="84"/>
      <c r="AN598" s="84"/>
      <c r="AO598" s="84"/>
      <c r="AP598" s="84"/>
      <c r="AQ598" s="95" t="s">
        <v>570</v>
      </c>
      <c r="AR598" s="72"/>
      <c r="AS598" s="72"/>
      <c r="AT598" s="72"/>
      <c r="AU598" s="72"/>
      <c r="AV598" s="72"/>
      <c r="AW598" s="72"/>
      <c r="AX598" s="72"/>
      <c r="AY598" s="72"/>
      <c r="AZ598" s="72"/>
      <c r="BA598" s="72"/>
      <c r="BB598" s="16"/>
      <c r="BC598" s="72"/>
      <c r="BD598" s="20"/>
      <c r="BE598" s="378"/>
    </row>
    <row r="599" spans="1:57" s="81" customFormat="1" ht="12.95" hidden="1" customHeight="1">
      <c r="A599" s="374"/>
      <c r="B599" s="376"/>
      <c r="C599" s="248" t="s">
        <v>1307</v>
      </c>
      <c r="D599" s="239" t="s">
        <v>4110</v>
      </c>
      <c r="E599" s="58"/>
      <c r="F599" s="59" t="s">
        <v>4111</v>
      </c>
      <c r="G599" s="191" t="s">
        <v>2511</v>
      </c>
      <c r="H599" s="192" t="s">
        <v>571</v>
      </c>
      <c r="I599" s="61" t="s">
        <v>2511</v>
      </c>
      <c r="J599" s="61" t="s">
        <v>2511</v>
      </c>
      <c r="K599" s="62" t="s">
        <v>2511</v>
      </c>
      <c r="L599" s="60" t="s">
        <v>2511</v>
      </c>
      <c r="M599" s="61" t="s">
        <v>2389</v>
      </c>
      <c r="N599" s="61" t="s">
        <v>2511</v>
      </c>
      <c r="O599" s="61" t="s">
        <v>2511</v>
      </c>
      <c r="P599" s="62" t="s">
        <v>2511</v>
      </c>
      <c r="Q599" s="82"/>
      <c r="R599" s="82"/>
      <c r="S599" s="82"/>
      <c r="T599" s="82"/>
      <c r="U599" s="82"/>
      <c r="V599" s="138" t="s">
        <v>4112</v>
      </c>
      <c r="W599" s="57" t="s">
        <v>4094</v>
      </c>
      <c r="X599" s="126" t="s">
        <v>2511</v>
      </c>
      <c r="Y599" s="126" t="s">
        <v>2511</v>
      </c>
      <c r="Z599" s="57"/>
      <c r="AA599" s="57" t="s">
        <v>3661</v>
      </c>
      <c r="AB599" s="138"/>
      <c r="AC599" s="138" t="s">
        <v>2631</v>
      </c>
      <c r="AD599" s="96"/>
      <c r="AE599" s="80"/>
      <c r="AF599" s="80"/>
      <c r="AG599" s="80"/>
      <c r="AH599" s="83"/>
      <c r="AI599" s="83"/>
      <c r="AJ599" s="84"/>
      <c r="AK599" s="84"/>
      <c r="AL599" s="84"/>
      <c r="AM599" s="84"/>
      <c r="AN599" s="84"/>
      <c r="AO599" s="84"/>
      <c r="AP599" s="84"/>
      <c r="AQ599" s="95" t="s">
        <v>571</v>
      </c>
      <c r="AR599" s="72"/>
      <c r="AS599" s="72"/>
      <c r="AT599" s="72"/>
      <c r="AU599" s="72"/>
      <c r="AV599" s="72"/>
      <c r="AW599" s="72"/>
      <c r="AX599" s="72"/>
      <c r="AY599" s="72"/>
      <c r="AZ599" s="72"/>
      <c r="BA599" s="72"/>
      <c r="BB599" s="16"/>
      <c r="BC599" s="72"/>
      <c r="BD599" s="20"/>
      <c r="BE599" s="378"/>
    </row>
    <row r="600" spans="1:57" s="81" customFormat="1" ht="12.95" hidden="1" customHeight="1">
      <c r="A600" s="374"/>
      <c r="B600" s="376"/>
      <c r="C600" s="248" t="s">
        <v>1308</v>
      </c>
      <c r="D600" s="239" t="s">
        <v>4113</v>
      </c>
      <c r="E600" s="58"/>
      <c r="F600" s="59" t="s">
        <v>4114</v>
      </c>
      <c r="G600" s="191" t="s">
        <v>2511</v>
      </c>
      <c r="H600" s="192" t="s">
        <v>572</v>
      </c>
      <c r="I600" s="61" t="s">
        <v>2511</v>
      </c>
      <c r="J600" s="61" t="s">
        <v>2511</v>
      </c>
      <c r="K600" s="62" t="s">
        <v>2511</v>
      </c>
      <c r="L600" s="60" t="s">
        <v>2511</v>
      </c>
      <c r="M600" s="61" t="s">
        <v>2389</v>
      </c>
      <c r="N600" s="61" t="s">
        <v>2511</v>
      </c>
      <c r="O600" s="61" t="s">
        <v>2511</v>
      </c>
      <c r="P600" s="62" t="s">
        <v>2511</v>
      </c>
      <c r="Q600" s="82"/>
      <c r="R600" s="82"/>
      <c r="S600" s="82"/>
      <c r="T600" s="82"/>
      <c r="U600" s="82"/>
      <c r="V600" s="138" t="s">
        <v>4115</v>
      </c>
      <c r="W600" s="57" t="s">
        <v>4094</v>
      </c>
      <c r="X600" s="126" t="s">
        <v>2511</v>
      </c>
      <c r="Y600" s="126" t="s">
        <v>2511</v>
      </c>
      <c r="Z600" s="57"/>
      <c r="AA600" s="57" t="s">
        <v>3661</v>
      </c>
      <c r="AB600" s="138"/>
      <c r="AC600" s="138" t="s">
        <v>2631</v>
      </c>
      <c r="AD600" s="96"/>
      <c r="AE600" s="80"/>
      <c r="AF600" s="80"/>
      <c r="AG600" s="80"/>
      <c r="AH600" s="83"/>
      <c r="AI600" s="83"/>
      <c r="AJ600" s="84"/>
      <c r="AK600" s="84"/>
      <c r="AL600" s="84"/>
      <c r="AM600" s="84"/>
      <c r="AN600" s="84"/>
      <c r="AO600" s="84"/>
      <c r="AP600" s="84"/>
      <c r="AQ600" s="95" t="s">
        <v>572</v>
      </c>
      <c r="AR600" s="72"/>
      <c r="AS600" s="72"/>
      <c r="AT600" s="72"/>
      <c r="AU600" s="72"/>
      <c r="AV600" s="72"/>
      <c r="AW600" s="72"/>
      <c r="AX600" s="72"/>
      <c r="AY600" s="72"/>
      <c r="AZ600" s="72"/>
      <c r="BA600" s="72"/>
      <c r="BB600" s="16"/>
      <c r="BC600" s="72"/>
      <c r="BD600" s="20"/>
      <c r="BE600" s="378"/>
    </row>
    <row r="601" spans="1:57" s="81" customFormat="1" ht="12.95" hidden="1" customHeight="1">
      <c r="A601" s="374"/>
      <c r="B601" s="376"/>
      <c r="C601" s="248" t="s">
        <v>1309</v>
      </c>
      <c r="D601" s="239" t="s">
        <v>4116</v>
      </c>
      <c r="E601" s="58"/>
      <c r="F601" s="59" t="s">
        <v>4117</v>
      </c>
      <c r="G601" s="191" t="s">
        <v>2511</v>
      </c>
      <c r="H601" s="192" t="s">
        <v>573</v>
      </c>
      <c r="I601" s="61" t="s">
        <v>2511</v>
      </c>
      <c r="J601" s="61" t="s">
        <v>2511</v>
      </c>
      <c r="K601" s="62" t="s">
        <v>2511</v>
      </c>
      <c r="L601" s="60" t="s">
        <v>2511</v>
      </c>
      <c r="M601" s="61" t="s">
        <v>2389</v>
      </c>
      <c r="N601" s="61" t="s">
        <v>2511</v>
      </c>
      <c r="O601" s="61" t="s">
        <v>2511</v>
      </c>
      <c r="P601" s="62" t="s">
        <v>2511</v>
      </c>
      <c r="Q601" s="82"/>
      <c r="R601" s="82"/>
      <c r="S601" s="82"/>
      <c r="T601" s="82"/>
      <c r="U601" s="82"/>
      <c r="V601" s="138" t="s">
        <v>4118</v>
      </c>
      <c r="W601" s="57" t="s">
        <v>4094</v>
      </c>
      <c r="X601" s="126" t="s">
        <v>2511</v>
      </c>
      <c r="Y601" s="126" t="s">
        <v>2511</v>
      </c>
      <c r="Z601" s="57"/>
      <c r="AA601" s="57" t="s">
        <v>3661</v>
      </c>
      <c r="AB601" s="138"/>
      <c r="AC601" s="138" t="s">
        <v>2631</v>
      </c>
      <c r="AD601" s="96"/>
      <c r="AE601" s="80"/>
      <c r="AF601" s="80"/>
      <c r="AG601" s="80"/>
      <c r="AH601" s="83"/>
      <c r="AI601" s="83"/>
      <c r="AJ601" s="84"/>
      <c r="AK601" s="84"/>
      <c r="AL601" s="84"/>
      <c r="AM601" s="84"/>
      <c r="AN601" s="84"/>
      <c r="AO601" s="84"/>
      <c r="AP601" s="84"/>
      <c r="AQ601" s="95" t="s">
        <v>573</v>
      </c>
      <c r="AR601" s="72"/>
      <c r="AS601" s="72"/>
      <c r="AT601" s="72"/>
      <c r="AU601" s="72"/>
      <c r="AV601" s="72"/>
      <c r="AW601" s="72"/>
      <c r="AX601" s="72"/>
      <c r="AY601" s="72"/>
      <c r="AZ601" s="72"/>
      <c r="BA601" s="72"/>
      <c r="BB601" s="16"/>
      <c r="BC601" s="72"/>
      <c r="BD601" s="20"/>
      <c r="BE601" s="378"/>
    </row>
    <row r="602" spans="1:57" s="81" customFormat="1" ht="12.95" hidden="1" customHeight="1">
      <c r="A602" s="374"/>
      <c r="B602" s="376"/>
      <c r="C602" s="270" t="s">
        <v>1310</v>
      </c>
      <c r="D602" s="239" t="s">
        <v>4119</v>
      </c>
      <c r="E602" s="58"/>
      <c r="F602" s="59" t="s">
        <v>4120</v>
      </c>
      <c r="G602" s="191" t="s">
        <v>2511</v>
      </c>
      <c r="H602" s="192" t="s">
        <v>574</v>
      </c>
      <c r="I602" s="61" t="s">
        <v>2511</v>
      </c>
      <c r="J602" s="61" t="s">
        <v>2511</v>
      </c>
      <c r="K602" s="62" t="s">
        <v>2511</v>
      </c>
      <c r="L602" s="60" t="s">
        <v>2511</v>
      </c>
      <c r="M602" s="61" t="s">
        <v>2389</v>
      </c>
      <c r="N602" s="61" t="s">
        <v>2511</v>
      </c>
      <c r="O602" s="61" t="s">
        <v>2511</v>
      </c>
      <c r="P602" s="62" t="s">
        <v>2511</v>
      </c>
      <c r="Q602" s="82"/>
      <c r="R602" s="82"/>
      <c r="S602" s="82"/>
      <c r="T602" s="82"/>
      <c r="U602" s="82"/>
      <c r="V602" s="138" t="s">
        <v>4121</v>
      </c>
      <c r="W602" s="57" t="s">
        <v>4094</v>
      </c>
      <c r="X602" s="126" t="s">
        <v>2511</v>
      </c>
      <c r="Y602" s="126" t="s">
        <v>2511</v>
      </c>
      <c r="Z602" s="57"/>
      <c r="AA602" s="57" t="s">
        <v>3661</v>
      </c>
      <c r="AB602" s="138"/>
      <c r="AC602" s="138" t="s">
        <v>2631</v>
      </c>
      <c r="AD602" s="96"/>
      <c r="AE602" s="80"/>
      <c r="AF602" s="80"/>
      <c r="AG602" s="80"/>
      <c r="AH602" s="83"/>
      <c r="AI602" s="83"/>
      <c r="AJ602" s="84"/>
      <c r="AK602" s="84"/>
      <c r="AL602" s="84"/>
      <c r="AM602" s="84"/>
      <c r="AN602" s="84"/>
      <c r="AO602" s="84"/>
      <c r="AP602" s="84"/>
      <c r="AQ602" s="95" t="s">
        <v>574</v>
      </c>
      <c r="AR602" s="72"/>
      <c r="AS602" s="72"/>
      <c r="AT602" s="72"/>
      <c r="AU602" s="72"/>
      <c r="AV602" s="72"/>
      <c r="AW602" s="72"/>
      <c r="AX602" s="72"/>
      <c r="AY602" s="72"/>
      <c r="AZ602" s="72"/>
      <c r="BA602" s="72"/>
      <c r="BB602" s="16"/>
      <c r="BC602" s="72"/>
      <c r="BD602" s="20"/>
      <c r="BE602" s="378"/>
    </row>
    <row r="603" spans="1:57" s="81" customFormat="1" ht="12.95" hidden="1" customHeight="1">
      <c r="A603" s="374"/>
      <c r="B603" s="376"/>
      <c r="C603" s="270" t="s">
        <v>1311</v>
      </c>
      <c r="D603" s="239" t="s">
        <v>4122</v>
      </c>
      <c r="E603" s="58"/>
      <c r="F603" s="59" t="s">
        <v>4123</v>
      </c>
      <c r="G603" s="191" t="s">
        <v>2511</v>
      </c>
      <c r="H603" s="192" t="s">
        <v>575</v>
      </c>
      <c r="I603" s="61" t="s">
        <v>2511</v>
      </c>
      <c r="J603" s="61" t="s">
        <v>2511</v>
      </c>
      <c r="K603" s="62" t="s">
        <v>2511</v>
      </c>
      <c r="L603" s="60" t="s">
        <v>2511</v>
      </c>
      <c r="M603" s="61" t="s">
        <v>2389</v>
      </c>
      <c r="N603" s="61" t="s">
        <v>2511</v>
      </c>
      <c r="O603" s="61" t="s">
        <v>2511</v>
      </c>
      <c r="P603" s="62" t="s">
        <v>2511</v>
      </c>
      <c r="Q603" s="82"/>
      <c r="R603" s="82"/>
      <c r="S603" s="82"/>
      <c r="T603" s="82"/>
      <c r="U603" s="82"/>
      <c r="V603" s="138" t="s">
        <v>4124</v>
      </c>
      <c r="W603" s="57" t="s">
        <v>4094</v>
      </c>
      <c r="X603" s="126" t="s">
        <v>2511</v>
      </c>
      <c r="Y603" s="126" t="s">
        <v>2511</v>
      </c>
      <c r="Z603" s="57"/>
      <c r="AA603" s="57" t="s">
        <v>3661</v>
      </c>
      <c r="AB603" s="138"/>
      <c r="AC603" s="138" t="s">
        <v>2631</v>
      </c>
      <c r="AD603" s="96"/>
      <c r="AE603" s="80"/>
      <c r="AF603" s="80"/>
      <c r="AG603" s="80"/>
      <c r="AH603" s="83"/>
      <c r="AI603" s="83"/>
      <c r="AJ603" s="84"/>
      <c r="AK603" s="84"/>
      <c r="AL603" s="84"/>
      <c r="AM603" s="84"/>
      <c r="AN603" s="84"/>
      <c r="AO603" s="84"/>
      <c r="AP603" s="84"/>
      <c r="AQ603" s="95" t="s">
        <v>575</v>
      </c>
      <c r="AR603" s="72"/>
      <c r="AS603" s="72"/>
      <c r="AT603" s="72"/>
      <c r="AU603" s="72"/>
      <c r="AV603" s="72"/>
      <c r="AW603" s="72"/>
      <c r="AX603" s="72"/>
      <c r="AY603" s="72"/>
      <c r="AZ603" s="72"/>
      <c r="BA603" s="72"/>
      <c r="BB603" s="16"/>
      <c r="BC603" s="72"/>
      <c r="BD603" s="20"/>
      <c r="BE603" s="378"/>
    </row>
    <row r="604" spans="1:57" s="81" customFormat="1" ht="12.95" hidden="1" customHeight="1">
      <c r="A604" s="374"/>
      <c r="B604" s="376"/>
      <c r="C604" s="248" t="s">
        <v>1312</v>
      </c>
      <c r="D604" s="239" t="s">
        <v>4125</v>
      </c>
      <c r="E604" s="58"/>
      <c r="F604" s="59" t="s">
        <v>4126</v>
      </c>
      <c r="G604" s="191" t="s">
        <v>2511</v>
      </c>
      <c r="H604" s="192" t="s">
        <v>576</v>
      </c>
      <c r="I604" s="61" t="s">
        <v>2511</v>
      </c>
      <c r="J604" s="61" t="s">
        <v>2511</v>
      </c>
      <c r="K604" s="62" t="s">
        <v>2511</v>
      </c>
      <c r="L604" s="60" t="s">
        <v>2511</v>
      </c>
      <c r="M604" s="61" t="s">
        <v>2389</v>
      </c>
      <c r="N604" s="61" t="s">
        <v>2511</v>
      </c>
      <c r="O604" s="61" t="s">
        <v>2511</v>
      </c>
      <c r="P604" s="62" t="s">
        <v>2511</v>
      </c>
      <c r="Q604" s="82"/>
      <c r="R604" s="82"/>
      <c r="S604" s="82"/>
      <c r="T604" s="82"/>
      <c r="U604" s="82"/>
      <c r="V604" s="138" t="s">
        <v>4127</v>
      </c>
      <c r="W604" s="57" t="s">
        <v>4094</v>
      </c>
      <c r="X604" s="126" t="s">
        <v>2511</v>
      </c>
      <c r="Y604" s="126" t="s">
        <v>2511</v>
      </c>
      <c r="Z604" s="57"/>
      <c r="AA604" s="57" t="s">
        <v>3661</v>
      </c>
      <c r="AB604" s="138"/>
      <c r="AC604" s="138">
        <v>0</v>
      </c>
      <c r="AD604" s="96"/>
      <c r="AE604" s="80"/>
      <c r="AF604" s="80"/>
      <c r="AG604" s="80"/>
      <c r="AH604" s="83"/>
      <c r="AI604" s="83"/>
      <c r="AJ604" s="84"/>
      <c r="AK604" s="84"/>
      <c r="AL604" s="84"/>
      <c r="AM604" s="84"/>
      <c r="AN604" s="84"/>
      <c r="AO604" s="84"/>
      <c r="AP604" s="84"/>
      <c r="AQ604" s="95" t="s">
        <v>576</v>
      </c>
      <c r="AR604" s="72"/>
      <c r="AS604" s="72"/>
      <c r="AT604" s="72"/>
      <c r="AU604" s="72"/>
      <c r="AV604" s="72"/>
      <c r="AW604" s="72"/>
      <c r="AX604" s="72"/>
      <c r="AY604" s="72"/>
      <c r="AZ604" s="72"/>
      <c r="BA604" s="72"/>
      <c r="BB604" s="16"/>
      <c r="BC604" s="72"/>
      <c r="BD604" s="20"/>
      <c r="BE604" s="378"/>
    </row>
    <row r="605" spans="1:57" s="81" customFormat="1" ht="12.95" hidden="1" customHeight="1">
      <c r="A605" s="374"/>
      <c r="B605" s="376"/>
      <c r="C605" s="248" t="s">
        <v>1313</v>
      </c>
      <c r="D605" s="239" t="s">
        <v>4128</v>
      </c>
      <c r="E605" s="58"/>
      <c r="F605" s="59" t="s">
        <v>4129</v>
      </c>
      <c r="G605" s="191" t="s">
        <v>2511</v>
      </c>
      <c r="H605" s="192" t="s">
        <v>577</v>
      </c>
      <c r="I605" s="61" t="s">
        <v>2511</v>
      </c>
      <c r="J605" s="61" t="s">
        <v>2511</v>
      </c>
      <c r="K605" s="62" t="s">
        <v>2511</v>
      </c>
      <c r="L605" s="60" t="s">
        <v>2511</v>
      </c>
      <c r="M605" s="61" t="s">
        <v>2389</v>
      </c>
      <c r="N605" s="61" t="s">
        <v>2511</v>
      </c>
      <c r="O605" s="61" t="s">
        <v>2511</v>
      </c>
      <c r="P605" s="62" t="s">
        <v>2511</v>
      </c>
      <c r="Q605" s="82"/>
      <c r="R605" s="82"/>
      <c r="S605" s="82"/>
      <c r="T605" s="82"/>
      <c r="U605" s="82"/>
      <c r="V605" s="138" t="s">
        <v>4130</v>
      </c>
      <c r="W605" s="57" t="s">
        <v>4094</v>
      </c>
      <c r="X605" s="126" t="s">
        <v>2511</v>
      </c>
      <c r="Y605" s="126" t="s">
        <v>2511</v>
      </c>
      <c r="Z605" s="57"/>
      <c r="AA605" s="57" t="s">
        <v>3661</v>
      </c>
      <c r="AB605" s="138"/>
      <c r="AC605" s="138" t="s">
        <v>2631</v>
      </c>
      <c r="AD605" s="96"/>
      <c r="AE605" s="80"/>
      <c r="AF605" s="80"/>
      <c r="AG605" s="80"/>
      <c r="AH605" s="83"/>
      <c r="AI605" s="83"/>
      <c r="AJ605" s="84"/>
      <c r="AK605" s="84"/>
      <c r="AL605" s="84"/>
      <c r="AM605" s="84"/>
      <c r="AN605" s="84"/>
      <c r="AO605" s="84"/>
      <c r="AP605" s="84"/>
      <c r="AQ605" s="95" t="s">
        <v>577</v>
      </c>
      <c r="AR605" s="72"/>
      <c r="AS605" s="72"/>
      <c r="AT605" s="72"/>
      <c r="AU605" s="72"/>
      <c r="AV605" s="72"/>
      <c r="AW605" s="72"/>
      <c r="AX605" s="72"/>
      <c r="AY605" s="72"/>
      <c r="AZ605" s="72"/>
      <c r="BA605" s="72"/>
      <c r="BB605" s="16"/>
      <c r="BC605" s="72"/>
      <c r="BD605" s="20"/>
      <c r="BE605" s="378"/>
    </row>
    <row r="606" spans="1:57" s="81" customFormat="1" ht="12.95" hidden="1" customHeight="1">
      <c r="A606" s="374"/>
      <c r="B606" s="376"/>
      <c r="C606" s="248" t="s">
        <v>1314</v>
      </c>
      <c r="D606" s="239" t="s">
        <v>4131</v>
      </c>
      <c r="E606" s="58"/>
      <c r="F606" s="59" t="s">
        <v>4132</v>
      </c>
      <c r="G606" s="191" t="s">
        <v>2511</v>
      </c>
      <c r="H606" s="192" t="s">
        <v>578</v>
      </c>
      <c r="I606" s="61" t="s">
        <v>2511</v>
      </c>
      <c r="J606" s="61" t="s">
        <v>2511</v>
      </c>
      <c r="K606" s="62" t="s">
        <v>2511</v>
      </c>
      <c r="L606" s="60" t="s">
        <v>2511</v>
      </c>
      <c r="M606" s="61" t="s">
        <v>2389</v>
      </c>
      <c r="N606" s="61" t="s">
        <v>2511</v>
      </c>
      <c r="O606" s="61" t="s">
        <v>2511</v>
      </c>
      <c r="P606" s="62" t="s">
        <v>2511</v>
      </c>
      <c r="Q606" s="82"/>
      <c r="R606" s="82"/>
      <c r="S606" s="82"/>
      <c r="T606" s="82"/>
      <c r="U606" s="82"/>
      <c r="V606" s="138" t="s">
        <v>4133</v>
      </c>
      <c r="W606" s="57" t="s">
        <v>4094</v>
      </c>
      <c r="X606" s="126" t="s">
        <v>2511</v>
      </c>
      <c r="Y606" s="126" t="s">
        <v>2511</v>
      </c>
      <c r="Z606" s="57"/>
      <c r="AA606" s="57" t="s">
        <v>3661</v>
      </c>
      <c r="AB606" s="138"/>
      <c r="AC606" s="138" t="s">
        <v>2631</v>
      </c>
      <c r="AD606" s="96"/>
      <c r="AE606" s="80"/>
      <c r="AF606" s="80"/>
      <c r="AG606" s="80"/>
      <c r="AH606" s="83"/>
      <c r="AI606" s="83"/>
      <c r="AJ606" s="84"/>
      <c r="AK606" s="84"/>
      <c r="AL606" s="84"/>
      <c r="AM606" s="84"/>
      <c r="AN606" s="84"/>
      <c r="AO606" s="84"/>
      <c r="AP606" s="84"/>
      <c r="AQ606" s="95" t="s">
        <v>578</v>
      </c>
      <c r="AR606" s="72"/>
      <c r="AS606" s="72"/>
      <c r="AT606" s="72"/>
      <c r="AU606" s="72"/>
      <c r="AV606" s="72"/>
      <c r="AW606" s="72"/>
      <c r="AX606" s="72"/>
      <c r="AY606" s="72"/>
      <c r="AZ606" s="72"/>
      <c r="BA606" s="72"/>
      <c r="BB606" s="16"/>
      <c r="BC606" s="72"/>
      <c r="BD606" s="20"/>
      <c r="BE606" s="378"/>
    </row>
    <row r="607" spans="1:57" s="81" customFormat="1" ht="12.95" hidden="1" customHeight="1">
      <c r="A607" s="374"/>
      <c r="B607" s="376"/>
      <c r="C607" s="248" t="s">
        <v>1315</v>
      </c>
      <c r="D607" s="239" t="s">
        <v>4134</v>
      </c>
      <c r="E607" s="58"/>
      <c r="F607" s="59" t="s">
        <v>4135</v>
      </c>
      <c r="G607" s="191" t="s">
        <v>2511</v>
      </c>
      <c r="H607" s="192" t="s">
        <v>579</v>
      </c>
      <c r="I607" s="61" t="s">
        <v>2511</v>
      </c>
      <c r="J607" s="61" t="s">
        <v>2511</v>
      </c>
      <c r="K607" s="62" t="s">
        <v>2511</v>
      </c>
      <c r="L607" s="60" t="s">
        <v>2511</v>
      </c>
      <c r="M607" s="61" t="s">
        <v>2389</v>
      </c>
      <c r="N607" s="61" t="s">
        <v>2511</v>
      </c>
      <c r="O607" s="61" t="s">
        <v>2511</v>
      </c>
      <c r="P607" s="62" t="s">
        <v>2511</v>
      </c>
      <c r="Q607" s="82"/>
      <c r="R607" s="82"/>
      <c r="S607" s="82"/>
      <c r="T607" s="82"/>
      <c r="U607" s="82"/>
      <c r="V607" s="138" t="s">
        <v>4136</v>
      </c>
      <c r="W607" s="57" t="s">
        <v>4094</v>
      </c>
      <c r="X607" s="126" t="s">
        <v>2511</v>
      </c>
      <c r="Y607" s="126" t="s">
        <v>2511</v>
      </c>
      <c r="Z607" s="57"/>
      <c r="AA607" s="57" t="s">
        <v>3661</v>
      </c>
      <c r="AB607" s="138"/>
      <c r="AC607" s="138" t="s">
        <v>2631</v>
      </c>
      <c r="AD607" s="96"/>
      <c r="AE607" s="80"/>
      <c r="AF607" s="80"/>
      <c r="AG607" s="80"/>
      <c r="AH607" s="83"/>
      <c r="AI607" s="83"/>
      <c r="AJ607" s="84"/>
      <c r="AK607" s="84"/>
      <c r="AL607" s="84"/>
      <c r="AM607" s="84"/>
      <c r="AN607" s="84"/>
      <c r="AO607" s="84"/>
      <c r="AP607" s="84"/>
      <c r="AQ607" s="95" t="s">
        <v>579</v>
      </c>
      <c r="AR607" s="72"/>
      <c r="AS607" s="72"/>
      <c r="AT607" s="72"/>
      <c r="AU607" s="72"/>
      <c r="AV607" s="72"/>
      <c r="AW607" s="72"/>
      <c r="AX607" s="72"/>
      <c r="AY607" s="72"/>
      <c r="AZ607" s="72"/>
      <c r="BA607" s="72"/>
      <c r="BB607" s="16"/>
      <c r="BC607" s="72"/>
      <c r="BD607" s="20"/>
      <c r="BE607" s="378"/>
    </row>
    <row r="608" spans="1:57" s="81" customFormat="1" ht="12.95" hidden="1" customHeight="1">
      <c r="A608" s="374"/>
      <c r="B608" s="376"/>
      <c r="C608" s="248" t="s">
        <v>1316</v>
      </c>
      <c r="D608" s="239" t="s">
        <v>4137</v>
      </c>
      <c r="E608" s="58"/>
      <c r="F608" s="59" t="s">
        <v>4138</v>
      </c>
      <c r="G608" s="191" t="s">
        <v>2511</v>
      </c>
      <c r="H608" s="192" t="s">
        <v>580</v>
      </c>
      <c r="I608" s="61" t="s">
        <v>2511</v>
      </c>
      <c r="J608" s="61" t="s">
        <v>2511</v>
      </c>
      <c r="K608" s="62" t="s">
        <v>2511</v>
      </c>
      <c r="L608" s="60" t="s">
        <v>2511</v>
      </c>
      <c r="M608" s="61" t="s">
        <v>2389</v>
      </c>
      <c r="N608" s="61" t="s">
        <v>2511</v>
      </c>
      <c r="O608" s="61" t="s">
        <v>2511</v>
      </c>
      <c r="P608" s="62" t="s">
        <v>2511</v>
      </c>
      <c r="Q608" s="82"/>
      <c r="R608" s="82"/>
      <c r="S608" s="82"/>
      <c r="T608" s="82"/>
      <c r="U608" s="82"/>
      <c r="V608" s="138" t="s">
        <v>4139</v>
      </c>
      <c r="W608" s="57" t="s">
        <v>4094</v>
      </c>
      <c r="X608" s="126" t="s">
        <v>2511</v>
      </c>
      <c r="Y608" s="126" t="s">
        <v>2511</v>
      </c>
      <c r="Z608" s="57"/>
      <c r="AA608" s="57" t="s">
        <v>3661</v>
      </c>
      <c r="AB608" s="138"/>
      <c r="AC608" s="138" t="s">
        <v>2631</v>
      </c>
      <c r="AD608" s="96"/>
      <c r="AE608" s="80"/>
      <c r="AF608" s="80"/>
      <c r="AG608" s="80"/>
      <c r="AH608" s="83"/>
      <c r="AI608" s="83"/>
      <c r="AJ608" s="84"/>
      <c r="AK608" s="84"/>
      <c r="AL608" s="84"/>
      <c r="AM608" s="84"/>
      <c r="AN608" s="84"/>
      <c r="AO608" s="84"/>
      <c r="AP608" s="84"/>
      <c r="AQ608" s="95" t="s">
        <v>580</v>
      </c>
      <c r="AR608" s="72"/>
      <c r="AS608" s="72"/>
      <c r="AT608" s="72"/>
      <c r="AU608" s="72"/>
      <c r="AV608" s="72"/>
      <c r="AW608" s="72"/>
      <c r="AX608" s="72"/>
      <c r="AY608" s="72"/>
      <c r="AZ608" s="72"/>
      <c r="BA608" s="72"/>
      <c r="BB608" s="16"/>
      <c r="BC608" s="72"/>
      <c r="BD608" s="20"/>
      <c r="BE608" s="378"/>
    </row>
    <row r="609" spans="1:57" s="81" customFormat="1" ht="12.95" hidden="1" customHeight="1">
      <c r="A609" s="374"/>
      <c r="B609" s="376"/>
      <c r="C609" s="248" t="s">
        <v>1317</v>
      </c>
      <c r="D609" s="239" t="s">
        <v>4140</v>
      </c>
      <c r="E609" s="58"/>
      <c r="F609" s="59" t="s">
        <v>4141</v>
      </c>
      <c r="G609" s="191" t="s">
        <v>2511</v>
      </c>
      <c r="H609" s="192" t="s">
        <v>581</v>
      </c>
      <c r="I609" s="61" t="s">
        <v>2511</v>
      </c>
      <c r="J609" s="61" t="s">
        <v>2511</v>
      </c>
      <c r="K609" s="62" t="s">
        <v>2511</v>
      </c>
      <c r="L609" s="60" t="s">
        <v>2511</v>
      </c>
      <c r="M609" s="61" t="s">
        <v>2389</v>
      </c>
      <c r="N609" s="61" t="s">
        <v>2511</v>
      </c>
      <c r="O609" s="61" t="s">
        <v>2511</v>
      </c>
      <c r="P609" s="62" t="s">
        <v>2511</v>
      </c>
      <c r="Q609" s="82"/>
      <c r="R609" s="82"/>
      <c r="S609" s="82"/>
      <c r="T609" s="82"/>
      <c r="U609" s="82"/>
      <c r="V609" s="138" t="s">
        <v>4142</v>
      </c>
      <c r="W609" s="57" t="s">
        <v>4094</v>
      </c>
      <c r="X609" s="126" t="s">
        <v>2511</v>
      </c>
      <c r="Y609" s="126" t="s">
        <v>2511</v>
      </c>
      <c r="Z609" s="57"/>
      <c r="AA609" s="57" t="s">
        <v>3661</v>
      </c>
      <c r="AB609" s="138"/>
      <c r="AC609" s="138" t="s">
        <v>2631</v>
      </c>
      <c r="AD609" s="96"/>
      <c r="AE609" s="80"/>
      <c r="AF609" s="80"/>
      <c r="AG609" s="80"/>
      <c r="AH609" s="83"/>
      <c r="AI609" s="83"/>
      <c r="AJ609" s="84"/>
      <c r="AK609" s="84"/>
      <c r="AL609" s="84"/>
      <c r="AM609" s="84"/>
      <c r="AN609" s="84"/>
      <c r="AO609" s="84"/>
      <c r="AP609" s="84"/>
      <c r="AQ609" s="95" t="s">
        <v>581</v>
      </c>
      <c r="AR609" s="72"/>
      <c r="AS609" s="72"/>
      <c r="AT609" s="72"/>
      <c r="AU609" s="72"/>
      <c r="AV609" s="72"/>
      <c r="AW609" s="72"/>
      <c r="AX609" s="72"/>
      <c r="AY609" s="72"/>
      <c r="AZ609" s="72"/>
      <c r="BA609" s="72"/>
      <c r="BB609" s="16"/>
      <c r="BC609" s="72"/>
      <c r="BD609" s="20"/>
      <c r="BE609" s="378"/>
    </row>
    <row r="610" spans="1:57" s="81" customFormat="1" ht="12.95" hidden="1" customHeight="1">
      <c r="A610" s="374"/>
      <c r="B610" s="376"/>
      <c r="C610" s="248" t="s">
        <v>1318</v>
      </c>
      <c r="D610" s="239" t="s">
        <v>4143</v>
      </c>
      <c r="E610" s="58"/>
      <c r="F610" s="59" t="s">
        <v>4144</v>
      </c>
      <c r="G610" s="191" t="s">
        <v>2511</v>
      </c>
      <c r="H610" s="192" t="s">
        <v>582</v>
      </c>
      <c r="I610" s="61" t="s">
        <v>2511</v>
      </c>
      <c r="J610" s="61" t="s">
        <v>2511</v>
      </c>
      <c r="K610" s="62" t="s">
        <v>2511</v>
      </c>
      <c r="L610" s="60" t="s">
        <v>2511</v>
      </c>
      <c r="M610" s="61" t="s">
        <v>2389</v>
      </c>
      <c r="N610" s="61" t="s">
        <v>2511</v>
      </c>
      <c r="O610" s="61" t="s">
        <v>2511</v>
      </c>
      <c r="P610" s="62" t="s">
        <v>2511</v>
      </c>
      <c r="Q610" s="82"/>
      <c r="R610" s="82"/>
      <c r="S610" s="82"/>
      <c r="T610" s="82"/>
      <c r="U610" s="82"/>
      <c r="V610" s="138" t="s">
        <v>4145</v>
      </c>
      <c r="W610" s="57" t="s">
        <v>4094</v>
      </c>
      <c r="X610" s="126" t="s">
        <v>2511</v>
      </c>
      <c r="Y610" s="126" t="s">
        <v>2511</v>
      </c>
      <c r="Z610" s="57"/>
      <c r="AA610" s="57" t="s">
        <v>3661</v>
      </c>
      <c r="AB610" s="138"/>
      <c r="AC610" s="138" t="s">
        <v>2631</v>
      </c>
      <c r="AD610" s="96"/>
      <c r="AE610" s="80"/>
      <c r="AF610" s="80"/>
      <c r="AG610" s="80"/>
      <c r="AH610" s="83"/>
      <c r="AI610" s="83"/>
      <c r="AJ610" s="84"/>
      <c r="AK610" s="84"/>
      <c r="AL610" s="84"/>
      <c r="AM610" s="84"/>
      <c r="AN610" s="84"/>
      <c r="AO610" s="84"/>
      <c r="AP610" s="84"/>
      <c r="AQ610" s="95" t="s">
        <v>582</v>
      </c>
      <c r="AR610" s="72"/>
      <c r="AS610" s="72"/>
      <c r="AT610" s="72"/>
      <c r="AU610" s="72"/>
      <c r="AV610" s="72"/>
      <c r="AW610" s="72"/>
      <c r="AX610" s="72"/>
      <c r="AY610" s="72"/>
      <c r="AZ610" s="72"/>
      <c r="BA610" s="72"/>
      <c r="BB610" s="16"/>
      <c r="BC610" s="72"/>
      <c r="BD610" s="20"/>
      <c r="BE610" s="378"/>
    </row>
    <row r="611" spans="1:57" s="81" customFormat="1" ht="12.95" hidden="1" customHeight="1">
      <c r="A611" s="374"/>
      <c r="B611" s="376"/>
      <c r="C611" s="248" t="s">
        <v>1319</v>
      </c>
      <c r="D611" s="239" t="s">
        <v>4146</v>
      </c>
      <c r="E611" s="58"/>
      <c r="F611" s="59" t="s">
        <v>4147</v>
      </c>
      <c r="G611" s="191" t="s">
        <v>2511</v>
      </c>
      <c r="H611" s="192" t="s">
        <v>583</v>
      </c>
      <c r="I611" s="61" t="s">
        <v>2511</v>
      </c>
      <c r="J611" s="61" t="s">
        <v>2511</v>
      </c>
      <c r="K611" s="62" t="s">
        <v>2511</v>
      </c>
      <c r="L611" s="60" t="s">
        <v>2511</v>
      </c>
      <c r="M611" s="61" t="s">
        <v>2389</v>
      </c>
      <c r="N611" s="61" t="s">
        <v>2511</v>
      </c>
      <c r="O611" s="61" t="s">
        <v>2511</v>
      </c>
      <c r="P611" s="62" t="s">
        <v>2511</v>
      </c>
      <c r="Q611" s="82"/>
      <c r="R611" s="82"/>
      <c r="S611" s="82"/>
      <c r="T611" s="82"/>
      <c r="U611" s="82"/>
      <c r="V611" s="138" t="s">
        <v>4148</v>
      </c>
      <c r="W611" s="57" t="s">
        <v>4094</v>
      </c>
      <c r="X611" s="126" t="s">
        <v>2511</v>
      </c>
      <c r="Y611" s="126" t="s">
        <v>2511</v>
      </c>
      <c r="Z611" s="57"/>
      <c r="AA611" s="57" t="s">
        <v>3661</v>
      </c>
      <c r="AB611" s="138"/>
      <c r="AC611" s="138" t="s">
        <v>2631</v>
      </c>
      <c r="AD611" s="96"/>
      <c r="AE611" s="80"/>
      <c r="AF611" s="80"/>
      <c r="AG611" s="80"/>
      <c r="AH611" s="83"/>
      <c r="AI611" s="83"/>
      <c r="AJ611" s="84"/>
      <c r="AK611" s="84"/>
      <c r="AL611" s="84"/>
      <c r="AM611" s="84"/>
      <c r="AN611" s="84"/>
      <c r="AO611" s="84"/>
      <c r="AP611" s="84"/>
      <c r="AQ611" s="95" t="s">
        <v>583</v>
      </c>
      <c r="AR611" s="72"/>
      <c r="AS611" s="72"/>
      <c r="AT611" s="72"/>
      <c r="AU611" s="72"/>
      <c r="AV611" s="72"/>
      <c r="AW611" s="72"/>
      <c r="AX611" s="72"/>
      <c r="AY611" s="72"/>
      <c r="AZ611" s="72"/>
      <c r="BA611" s="72"/>
      <c r="BB611" s="16"/>
      <c r="BC611" s="72"/>
      <c r="BD611" s="20"/>
      <c r="BE611" s="378"/>
    </row>
    <row r="612" spans="1:57" s="81" customFormat="1" ht="12.95" hidden="1" customHeight="1">
      <c r="A612" s="374"/>
      <c r="B612" s="376"/>
      <c r="C612" s="248" t="s">
        <v>1320</v>
      </c>
      <c r="D612" s="239" t="s">
        <v>4149</v>
      </c>
      <c r="E612" s="58"/>
      <c r="F612" s="59" t="s">
        <v>4150</v>
      </c>
      <c r="G612" s="191" t="s">
        <v>2511</v>
      </c>
      <c r="H612" s="192" t="s">
        <v>584</v>
      </c>
      <c r="I612" s="61" t="s">
        <v>2511</v>
      </c>
      <c r="J612" s="61" t="s">
        <v>2511</v>
      </c>
      <c r="K612" s="62" t="s">
        <v>2511</v>
      </c>
      <c r="L612" s="60" t="s">
        <v>2511</v>
      </c>
      <c r="M612" s="61" t="s">
        <v>2389</v>
      </c>
      <c r="N612" s="61" t="s">
        <v>2511</v>
      </c>
      <c r="O612" s="61" t="s">
        <v>2511</v>
      </c>
      <c r="P612" s="62" t="s">
        <v>2511</v>
      </c>
      <c r="Q612" s="82"/>
      <c r="R612" s="82"/>
      <c r="S612" s="82"/>
      <c r="T612" s="82"/>
      <c r="U612" s="82"/>
      <c r="V612" s="138" t="s">
        <v>4151</v>
      </c>
      <c r="W612" s="57" t="s">
        <v>4094</v>
      </c>
      <c r="X612" s="126" t="s">
        <v>2511</v>
      </c>
      <c r="Y612" s="126" t="s">
        <v>2511</v>
      </c>
      <c r="Z612" s="57"/>
      <c r="AA612" s="57" t="s">
        <v>3661</v>
      </c>
      <c r="AB612" s="138"/>
      <c r="AC612" s="138" t="s">
        <v>2631</v>
      </c>
      <c r="AD612" s="96"/>
      <c r="AE612" s="80"/>
      <c r="AF612" s="80"/>
      <c r="AG612" s="80"/>
      <c r="AH612" s="83"/>
      <c r="AI612" s="83"/>
      <c r="AJ612" s="84"/>
      <c r="AK612" s="84"/>
      <c r="AL612" s="84"/>
      <c r="AM612" s="84"/>
      <c r="AN612" s="84"/>
      <c r="AO612" s="84"/>
      <c r="AP612" s="84"/>
      <c r="AQ612" s="95" t="s">
        <v>584</v>
      </c>
      <c r="AR612" s="72"/>
      <c r="AS612" s="72"/>
      <c r="AT612" s="72"/>
      <c r="AU612" s="72"/>
      <c r="AV612" s="72"/>
      <c r="AW612" s="72"/>
      <c r="AX612" s="72"/>
      <c r="AY612" s="72"/>
      <c r="AZ612" s="72"/>
      <c r="BA612" s="72"/>
      <c r="BB612" s="16"/>
      <c r="BC612" s="72"/>
      <c r="BD612" s="20"/>
      <c r="BE612" s="378"/>
    </row>
    <row r="613" spans="1:57" s="81" customFormat="1" ht="12.95" hidden="1" customHeight="1">
      <c r="A613" s="374"/>
      <c r="B613" s="376"/>
      <c r="C613" s="248" t="s">
        <v>1321</v>
      </c>
      <c r="D613" s="239" t="s">
        <v>4152</v>
      </c>
      <c r="E613" s="58"/>
      <c r="F613" s="59" t="s">
        <v>4153</v>
      </c>
      <c r="G613" s="191" t="s">
        <v>2511</v>
      </c>
      <c r="H613" s="192" t="s">
        <v>585</v>
      </c>
      <c r="I613" s="61" t="s">
        <v>2511</v>
      </c>
      <c r="J613" s="61" t="s">
        <v>2511</v>
      </c>
      <c r="K613" s="62" t="s">
        <v>2511</v>
      </c>
      <c r="L613" s="60" t="s">
        <v>2511</v>
      </c>
      <c r="M613" s="61" t="s">
        <v>2389</v>
      </c>
      <c r="N613" s="61" t="s">
        <v>2511</v>
      </c>
      <c r="O613" s="61" t="s">
        <v>2511</v>
      </c>
      <c r="P613" s="62" t="s">
        <v>2511</v>
      </c>
      <c r="Q613" s="82"/>
      <c r="R613" s="82"/>
      <c r="S613" s="82"/>
      <c r="T613" s="82"/>
      <c r="U613" s="82"/>
      <c r="V613" s="138" t="s">
        <v>4154</v>
      </c>
      <c r="W613" s="57" t="s">
        <v>4094</v>
      </c>
      <c r="X613" s="126" t="s">
        <v>2511</v>
      </c>
      <c r="Y613" s="126" t="s">
        <v>2511</v>
      </c>
      <c r="Z613" s="57"/>
      <c r="AA613" s="57" t="s">
        <v>3661</v>
      </c>
      <c r="AB613" s="138"/>
      <c r="AC613" s="138" t="s">
        <v>2631</v>
      </c>
      <c r="AD613" s="96"/>
      <c r="AE613" s="80"/>
      <c r="AF613" s="80"/>
      <c r="AG613" s="80"/>
      <c r="AH613" s="83"/>
      <c r="AI613" s="83"/>
      <c r="AJ613" s="84"/>
      <c r="AK613" s="84"/>
      <c r="AL613" s="84"/>
      <c r="AM613" s="84"/>
      <c r="AN613" s="84"/>
      <c r="AO613" s="84"/>
      <c r="AP613" s="84"/>
      <c r="AQ613" s="95" t="s">
        <v>585</v>
      </c>
      <c r="AR613" s="72"/>
      <c r="AS613" s="72"/>
      <c r="AT613" s="72"/>
      <c r="AU613" s="72"/>
      <c r="AV613" s="72"/>
      <c r="AW613" s="72"/>
      <c r="AX613" s="72"/>
      <c r="AY613" s="72"/>
      <c r="AZ613" s="72"/>
      <c r="BA613" s="72"/>
      <c r="BB613" s="16"/>
      <c r="BC613" s="72"/>
      <c r="BD613" s="20"/>
      <c r="BE613" s="378"/>
    </row>
    <row r="614" spans="1:57" s="81" customFormat="1" ht="12.95" hidden="1" customHeight="1">
      <c r="A614" s="374"/>
      <c r="B614" s="376"/>
      <c r="C614" s="270" t="s">
        <v>1322</v>
      </c>
      <c r="D614" s="239" t="s">
        <v>4155</v>
      </c>
      <c r="E614" s="58"/>
      <c r="F614" s="59" t="s">
        <v>4156</v>
      </c>
      <c r="G614" s="191" t="s">
        <v>2511</v>
      </c>
      <c r="H614" s="192" t="s">
        <v>586</v>
      </c>
      <c r="I614" s="61" t="s">
        <v>2511</v>
      </c>
      <c r="J614" s="61" t="s">
        <v>2511</v>
      </c>
      <c r="K614" s="62" t="s">
        <v>2511</v>
      </c>
      <c r="L614" s="60" t="s">
        <v>2511</v>
      </c>
      <c r="M614" s="61" t="s">
        <v>2389</v>
      </c>
      <c r="N614" s="61" t="s">
        <v>2511</v>
      </c>
      <c r="O614" s="61" t="s">
        <v>2511</v>
      </c>
      <c r="P614" s="62" t="s">
        <v>2511</v>
      </c>
      <c r="Q614" s="82"/>
      <c r="R614" s="82"/>
      <c r="S614" s="82"/>
      <c r="T614" s="82"/>
      <c r="U614" s="82"/>
      <c r="V614" s="138" t="s">
        <v>4157</v>
      </c>
      <c r="W614" s="57" t="s">
        <v>4094</v>
      </c>
      <c r="X614" s="126" t="s">
        <v>2511</v>
      </c>
      <c r="Y614" s="126" t="s">
        <v>2511</v>
      </c>
      <c r="Z614" s="57"/>
      <c r="AA614" s="57" t="s">
        <v>3661</v>
      </c>
      <c r="AB614" s="138"/>
      <c r="AC614" s="138" t="s">
        <v>2631</v>
      </c>
      <c r="AD614" s="96"/>
      <c r="AE614" s="80"/>
      <c r="AF614" s="80"/>
      <c r="AG614" s="80"/>
      <c r="AH614" s="83"/>
      <c r="AI614" s="83"/>
      <c r="AJ614" s="84"/>
      <c r="AK614" s="84"/>
      <c r="AL614" s="84"/>
      <c r="AM614" s="84"/>
      <c r="AN614" s="84"/>
      <c r="AO614" s="84"/>
      <c r="AP614" s="84"/>
      <c r="AQ614" s="95" t="s">
        <v>586</v>
      </c>
      <c r="AR614" s="72"/>
      <c r="AS614" s="72"/>
      <c r="AT614" s="72"/>
      <c r="AU614" s="72"/>
      <c r="AV614" s="72"/>
      <c r="AW614" s="72"/>
      <c r="AX614" s="72"/>
      <c r="AY614" s="72"/>
      <c r="AZ614" s="72"/>
      <c r="BA614" s="72"/>
      <c r="BB614" s="16"/>
      <c r="BC614" s="72"/>
      <c r="BD614" s="20"/>
      <c r="BE614" s="378"/>
    </row>
    <row r="615" spans="1:57" s="81" customFormat="1" ht="12.95" hidden="1" customHeight="1">
      <c r="A615" s="374"/>
      <c r="B615" s="376"/>
      <c r="C615" s="270" t="s">
        <v>1323</v>
      </c>
      <c r="D615" s="239" t="s">
        <v>4158</v>
      </c>
      <c r="E615" s="58"/>
      <c r="F615" s="59" t="s">
        <v>4159</v>
      </c>
      <c r="G615" s="191" t="s">
        <v>2511</v>
      </c>
      <c r="H615" s="192" t="s">
        <v>587</v>
      </c>
      <c r="I615" s="61" t="s">
        <v>2511</v>
      </c>
      <c r="J615" s="61" t="s">
        <v>2511</v>
      </c>
      <c r="K615" s="62" t="s">
        <v>2511</v>
      </c>
      <c r="L615" s="60" t="s">
        <v>2511</v>
      </c>
      <c r="M615" s="61" t="s">
        <v>2389</v>
      </c>
      <c r="N615" s="61" t="s">
        <v>2511</v>
      </c>
      <c r="O615" s="61" t="s">
        <v>2511</v>
      </c>
      <c r="P615" s="62" t="s">
        <v>2511</v>
      </c>
      <c r="Q615" s="82"/>
      <c r="R615" s="82"/>
      <c r="S615" s="82"/>
      <c r="T615" s="82"/>
      <c r="U615" s="82"/>
      <c r="V615" s="138" t="s">
        <v>4160</v>
      </c>
      <c r="W615" s="57" t="s">
        <v>4094</v>
      </c>
      <c r="X615" s="126" t="s">
        <v>2511</v>
      </c>
      <c r="Y615" s="126" t="s">
        <v>2511</v>
      </c>
      <c r="Z615" s="57"/>
      <c r="AA615" s="57" t="s">
        <v>3661</v>
      </c>
      <c r="AB615" s="138"/>
      <c r="AC615" s="138" t="s">
        <v>2631</v>
      </c>
      <c r="AD615" s="96"/>
      <c r="AE615" s="80"/>
      <c r="AF615" s="80"/>
      <c r="AG615" s="80"/>
      <c r="AH615" s="83"/>
      <c r="AI615" s="83"/>
      <c r="AJ615" s="84"/>
      <c r="AK615" s="84"/>
      <c r="AL615" s="84"/>
      <c r="AM615" s="84"/>
      <c r="AN615" s="84"/>
      <c r="AO615" s="84"/>
      <c r="AP615" s="84"/>
      <c r="AQ615" s="95" t="s">
        <v>587</v>
      </c>
      <c r="AR615" s="72"/>
      <c r="AS615" s="72"/>
      <c r="AT615" s="72"/>
      <c r="AU615" s="72"/>
      <c r="AV615" s="72"/>
      <c r="AW615" s="72"/>
      <c r="AX615" s="72"/>
      <c r="AY615" s="72"/>
      <c r="AZ615" s="72"/>
      <c r="BA615" s="72"/>
      <c r="BB615" s="16"/>
      <c r="BC615" s="72"/>
      <c r="BD615" s="20"/>
      <c r="BE615" s="378"/>
    </row>
    <row r="616" spans="1:57" s="81" customFormat="1" ht="12.95" hidden="1" customHeight="1">
      <c r="A616" s="374"/>
      <c r="B616" s="376"/>
      <c r="C616" s="248" t="s">
        <v>1324</v>
      </c>
      <c r="D616" s="239" t="s">
        <v>4161</v>
      </c>
      <c r="E616" s="58"/>
      <c r="F616" s="59" t="s">
        <v>4162</v>
      </c>
      <c r="G616" s="191" t="s">
        <v>2511</v>
      </c>
      <c r="H616" s="192" t="s">
        <v>588</v>
      </c>
      <c r="I616" s="61" t="s">
        <v>2511</v>
      </c>
      <c r="J616" s="61" t="s">
        <v>2511</v>
      </c>
      <c r="K616" s="62" t="s">
        <v>2511</v>
      </c>
      <c r="L616" s="60" t="s">
        <v>2511</v>
      </c>
      <c r="M616" s="61" t="s">
        <v>2389</v>
      </c>
      <c r="N616" s="61" t="s">
        <v>2511</v>
      </c>
      <c r="O616" s="61" t="s">
        <v>2511</v>
      </c>
      <c r="P616" s="62" t="s">
        <v>2511</v>
      </c>
      <c r="Q616" s="82"/>
      <c r="R616" s="82"/>
      <c r="S616" s="82"/>
      <c r="T616" s="82"/>
      <c r="U616" s="82"/>
      <c r="V616" s="138" t="s">
        <v>4163</v>
      </c>
      <c r="W616" s="57" t="s">
        <v>4094</v>
      </c>
      <c r="X616" s="126" t="s">
        <v>2511</v>
      </c>
      <c r="Y616" s="126" t="s">
        <v>2511</v>
      </c>
      <c r="Z616" s="57"/>
      <c r="AA616" s="57" t="s">
        <v>3661</v>
      </c>
      <c r="AB616" s="138"/>
      <c r="AC616" s="138">
        <v>0</v>
      </c>
      <c r="AD616" s="96"/>
      <c r="AE616" s="80"/>
      <c r="AF616" s="80"/>
      <c r="AG616" s="80"/>
      <c r="AH616" s="83"/>
      <c r="AI616" s="83"/>
      <c r="AJ616" s="84"/>
      <c r="AK616" s="84"/>
      <c r="AL616" s="84"/>
      <c r="AM616" s="84"/>
      <c r="AN616" s="84"/>
      <c r="AO616" s="84"/>
      <c r="AP616" s="84"/>
      <c r="AQ616" s="95" t="s">
        <v>588</v>
      </c>
      <c r="AR616" s="72"/>
      <c r="AS616" s="72"/>
      <c r="AT616" s="72"/>
      <c r="AU616" s="72"/>
      <c r="AV616" s="72"/>
      <c r="AW616" s="72"/>
      <c r="AX616" s="72"/>
      <c r="AY616" s="72"/>
      <c r="AZ616" s="72"/>
      <c r="BA616" s="72"/>
      <c r="BB616" s="16"/>
      <c r="BC616" s="72"/>
      <c r="BD616" s="20"/>
      <c r="BE616" s="378"/>
    </row>
    <row r="617" spans="1:57" s="81" customFormat="1" ht="12.95" hidden="1" customHeight="1">
      <c r="A617" s="374"/>
      <c r="B617" s="376"/>
      <c r="C617" s="248" t="s">
        <v>1325</v>
      </c>
      <c r="D617" s="239" t="s">
        <v>4164</v>
      </c>
      <c r="E617" s="58"/>
      <c r="F617" s="59" t="s">
        <v>4165</v>
      </c>
      <c r="G617" s="191" t="s">
        <v>2511</v>
      </c>
      <c r="H617" s="192" t="s">
        <v>589</v>
      </c>
      <c r="I617" s="61" t="s">
        <v>2511</v>
      </c>
      <c r="J617" s="61" t="s">
        <v>2511</v>
      </c>
      <c r="K617" s="62" t="s">
        <v>2511</v>
      </c>
      <c r="L617" s="60" t="s">
        <v>2511</v>
      </c>
      <c r="M617" s="61" t="s">
        <v>2389</v>
      </c>
      <c r="N617" s="61" t="s">
        <v>2511</v>
      </c>
      <c r="O617" s="61" t="s">
        <v>2511</v>
      </c>
      <c r="P617" s="62" t="s">
        <v>2511</v>
      </c>
      <c r="Q617" s="82"/>
      <c r="R617" s="82"/>
      <c r="S617" s="82"/>
      <c r="T617" s="82"/>
      <c r="U617" s="82"/>
      <c r="V617" s="138" t="s">
        <v>4166</v>
      </c>
      <c r="W617" s="57" t="s">
        <v>4094</v>
      </c>
      <c r="X617" s="126" t="s">
        <v>2511</v>
      </c>
      <c r="Y617" s="126" t="s">
        <v>2511</v>
      </c>
      <c r="Z617" s="57"/>
      <c r="AA617" s="57" t="s">
        <v>3661</v>
      </c>
      <c r="AB617" s="138"/>
      <c r="AC617" s="138" t="s">
        <v>2631</v>
      </c>
      <c r="AD617" s="96"/>
      <c r="AE617" s="80"/>
      <c r="AF617" s="80"/>
      <c r="AG617" s="80"/>
      <c r="AH617" s="83"/>
      <c r="AI617" s="83"/>
      <c r="AJ617" s="84"/>
      <c r="AK617" s="84"/>
      <c r="AL617" s="84"/>
      <c r="AM617" s="84"/>
      <c r="AN617" s="84"/>
      <c r="AO617" s="84"/>
      <c r="AP617" s="84"/>
      <c r="AQ617" s="95" t="s">
        <v>589</v>
      </c>
      <c r="AR617" s="72"/>
      <c r="AS617" s="72"/>
      <c r="AT617" s="72"/>
      <c r="AU617" s="72"/>
      <c r="AV617" s="72"/>
      <c r="AW617" s="72"/>
      <c r="AX617" s="72"/>
      <c r="AY617" s="72"/>
      <c r="AZ617" s="72"/>
      <c r="BA617" s="72"/>
      <c r="BB617" s="16"/>
      <c r="BC617" s="72"/>
      <c r="BD617" s="20"/>
      <c r="BE617" s="378"/>
    </row>
    <row r="618" spans="1:57" s="81" customFormat="1" ht="12.95" hidden="1" customHeight="1">
      <c r="A618" s="374"/>
      <c r="B618" s="376"/>
      <c r="C618" s="248" t="s">
        <v>1326</v>
      </c>
      <c r="D618" s="239" t="s">
        <v>4167</v>
      </c>
      <c r="E618" s="58"/>
      <c r="F618" s="59" t="s">
        <v>4168</v>
      </c>
      <c r="G618" s="191" t="s">
        <v>2511</v>
      </c>
      <c r="H618" s="192" t="s">
        <v>590</v>
      </c>
      <c r="I618" s="61" t="s">
        <v>2511</v>
      </c>
      <c r="J618" s="61" t="s">
        <v>2511</v>
      </c>
      <c r="K618" s="62" t="s">
        <v>2511</v>
      </c>
      <c r="L618" s="60" t="s">
        <v>2511</v>
      </c>
      <c r="M618" s="61" t="s">
        <v>2389</v>
      </c>
      <c r="N618" s="61" t="s">
        <v>2511</v>
      </c>
      <c r="O618" s="61" t="s">
        <v>2511</v>
      </c>
      <c r="P618" s="62" t="s">
        <v>2511</v>
      </c>
      <c r="Q618" s="82"/>
      <c r="R618" s="82"/>
      <c r="S618" s="82"/>
      <c r="T618" s="82"/>
      <c r="U618" s="82"/>
      <c r="V618" s="138" t="s">
        <v>4169</v>
      </c>
      <c r="W618" s="57" t="s">
        <v>4094</v>
      </c>
      <c r="X618" s="126" t="s">
        <v>2511</v>
      </c>
      <c r="Y618" s="126" t="s">
        <v>2511</v>
      </c>
      <c r="Z618" s="57"/>
      <c r="AA618" s="57" t="s">
        <v>3661</v>
      </c>
      <c r="AB618" s="138"/>
      <c r="AC618" s="138" t="s">
        <v>2631</v>
      </c>
      <c r="AD618" s="96"/>
      <c r="AE618" s="80"/>
      <c r="AF618" s="80"/>
      <c r="AG618" s="80"/>
      <c r="AH618" s="83"/>
      <c r="AI618" s="83"/>
      <c r="AJ618" s="84"/>
      <c r="AK618" s="84"/>
      <c r="AL618" s="84"/>
      <c r="AM618" s="84"/>
      <c r="AN618" s="84"/>
      <c r="AO618" s="84"/>
      <c r="AP618" s="84"/>
      <c r="AQ618" s="95" t="s">
        <v>590</v>
      </c>
      <c r="AR618" s="72"/>
      <c r="AS618" s="72"/>
      <c r="AT618" s="72"/>
      <c r="AU618" s="72"/>
      <c r="AV618" s="72"/>
      <c r="AW618" s="72"/>
      <c r="AX618" s="72"/>
      <c r="AY618" s="72"/>
      <c r="AZ618" s="72"/>
      <c r="BA618" s="72"/>
      <c r="BB618" s="16"/>
      <c r="BC618" s="72"/>
      <c r="BD618" s="20"/>
      <c r="BE618" s="378"/>
    </row>
    <row r="619" spans="1:57" s="81" customFormat="1" ht="12.95" hidden="1" customHeight="1">
      <c r="A619" s="374"/>
      <c r="B619" s="376"/>
      <c r="C619" s="248" t="s">
        <v>1327</v>
      </c>
      <c r="D619" s="239" t="s">
        <v>4170</v>
      </c>
      <c r="E619" s="58"/>
      <c r="F619" s="59" t="s">
        <v>4171</v>
      </c>
      <c r="G619" s="191" t="s">
        <v>2511</v>
      </c>
      <c r="H619" s="192" t="s">
        <v>591</v>
      </c>
      <c r="I619" s="61" t="s">
        <v>2511</v>
      </c>
      <c r="J619" s="61" t="s">
        <v>2511</v>
      </c>
      <c r="K619" s="62" t="s">
        <v>2511</v>
      </c>
      <c r="L619" s="60" t="s">
        <v>2511</v>
      </c>
      <c r="M619" s="61" t="s">
        <v>2389</v>
      </c>
      <c r="N619" s="61" t="s">
        <v>2511</v>
      </c>
      <c r="O619" s="61" t="s">
        <v>2511</v>
      </c>
      <c r="P619" s="62" t="s">
        <v>2511</v>
      </c>
      <c r="Q619" s="82"/>
      <c r="R619" s="82"/>
      <c r="S619" s="82"/>
      <c r="T619" s="82"/>
      <c r="U619" s="82"/>
      <c r="V619" s="138" t="s">
        <v>4172</v>
      </c>
      <c r="W619" s="57" t="s">
        <v>4094</v>
      </c>
      <c r="X619" s="126" t="s">
        <v>2511</v>
      </c>
      <c r="Y619" s="126" t="s">
        <v>2511</v>
      </c>
      <c r="Z619" s="57"/>
      <c r="AA619" s="57" t="s">
        <v>3661</v>
      </c>
      <c r="AB619" s="138"/>
      <c r="AC619" s="138" t="s">
        <v>2631</v>
      </c>
      <c r="AD619" s="96"/>
      <c r="AE619" s="80"/>
      <c r="AF619" s="80"/>
      <c r="AG619" s="80"/>
      <c r="AH619" s="83"/>
      <c r="AI619" s="83"/>
      <c r="AJ619" s="84"/>
      <c r="AK619" s="84"/>
      <c r="AL619" s="84"/>
      <c r="AM619" s="84"/>
      <c r="AN619" s="84"/>
      <c r="AO619" s="84"/>
      <c r="AP619" s="84"/>
      <c r="AQ619" s="95" t="s">
        <v>591</v>
      </c>
      <c r="AR619" s="72"/>
      <c r="AS619" s="72"/>
      <c r="AT619" s="72"/>
      <c r="AU619" s="72"/>
      <c r="AV619" s="72"/>
      <c r="AW619" s="72"/>
      <c r="AX619" s="72"/>
      <c r="AY619" s="72"/>
      <c r="AZ619" s="72"/>
      <c r="BA619" s="72"/>
      <c r="BB619" s="16"/>
      <c r="BC619" s="72"/>
      <c r="BD619" s="20"/>
      <c r="BE619" s="378"/>
    </row>
    <row r="620" spans="1:57" s="81" customFormat="1" ht="12.95" hidden="1" customHeight="1">
      <c r="A620" s="374"/>
      <c r="B620" s="376"/>
      <c r="C620" s="248" t="s">
        <v>1328</v>
      </c>
      <c r="D620" s="239" t="s">
        <v>4173</v>
      </c>
      <c r="E620" s="58"/>
      <c r="F620" s="59" t="s">
        <v>4174</v>
      </c>
      <c r="G620" s="191" t="s">
        <v>2511</v>
      </c>
      <c r="H620" s="192" t="s">
        <v>592</v>
      </c>
      <c r="I620" s="61" t="s">
        <v>2511</v>
      </c>
      <c r="J620" s="61" t="s">
        <v>2511</v>
      </c>
      <c r="K620" s="62" t="s">
        <v>2511</v>
      </c>
      <c r="L620" s="60" t="s">
        <v>2511</v>
      </c>
      <c r="M620" s="61" t="s">
        <v>2389</v>
      </c>
      <c r="N620" s="61" t="s">
        <v>2511</v>
      </c>
      <c r="O620" s="61" t="s">
        <v>2511</v>
      </c>
      <c r="P620" s="62" t="s">
        <v>2511</v>
      </c>
      <c r="Q620" s="82"/>
      <c r="R620" s="82"/>
      <c r="S620" s="82"/>
      <c r="T620" s="82"/>
      <c r="U620" s="82"/>
      <c r="V620" s="138" t="s">
        <v>4175</v>
      </c>
      <c r="W620" s="57" t="s">
        <v>4094</v>
      </c>
      <c r="X620" s="126" t="s">
        <v>2511</v>
      </c>
      <c r="Y620" s="126" t="s">
        <v>2511</v>
      </c>
      <c r="Z620" s="57"/>
      <c r="AA620" s="57" t="s">
        <v>3661</v>
      </c>
      <c r="AB620" s="138"/>
      <c r="AC620" s="138" t="s">
        <v>2631</v>
      </c>
      <c r="AD620" s="96"/>
      <c r="AE620" s="80"/>
      <c r="AF620" s="80"/>
      <c r="AG620" s="80"/>
      <c r="AH620" s="83"/>
      <c r="AI620" s="83"/>
      <c r="AJ620" s="84"/>
      <c r="AK620" s="84"/>
      <c r="AL620" s="84"/>
      <c r="AM620" s="84"/>
      <c r="AN620" s="84"/>
      <c r="AO620" s="84"/>
      <c r="AP620" s="84"/>
      <c r="AQ620" s="95" t="s">
        <v>592</v>
      </c>
      <c r="AR620" s="72"/>
      <c r="AS620" s="72"/>
      <c r="AT620" s="72"/>
      <c r="AU620" s="72"/>
      <c r="AV620" s="72"/>
      <c r="AW620" s="72"/>
      <c r="AX620" s="72"/>
      <c r="AY620" s="72"/>
      <c r="AZ620" s="72"/>
      <c r="BA620" s="72"/>
      <c r="BB620" s="16"/>
      <c r="BC620" s="72"/>
      <c r="BD620" s="20"/>
      <c r="BE620" s="378"/>
    </row>
    <row r="621" spans="1:57" s="81" customFormat="1" ht="12.95" hidden="1" customHeight="1">
      <c r="A621" s="374"/>
      <c r="B621" s="376"/>
      <c r="C621" s="248" t="s">
        <v>1329</v>
      </c>
      <c r="D621" s="239" t="s">
        <v>4176</v>
      </c>
      <c r="E621" s="58"/>
      <c r="F621" s="59" t="s">
        <v>4177</v>
      </c>
      <c r="G621" s="191" t="s">
        <v>2511</v>
      </c>
      <c r="H621" s="192" t="s">
        <v>593</v>
      </c>
      <c r="I621" s="61" t="s">
        <v>2511</v>
      </c>
      <c r="J621" s="61" t="s">
        <v>2511</v>
      </c>
      <c r="K621" s="62" t="s">
        <v>2511</v>
      </c>
      <c r="L621" s="60" t="s">
        <v>2511</v>
      </c>
      <c r="M621" s="61" t="s">
        <v>2389</v>
      </c>
      <c r="N621" s="61" t="s">
        <v>2511</v>
      </c>
      <c r="O621" s="61" t="s">
        <v>2511</v>
      </c>
      <c r="P621" s="62" t="s">
        <v>2511</v>
      </c>
      <c r="Q621" s="82"/>
      <c r="R621" s="82"/>
      <c r="S621" s="82"/>
      <c r="T621" s="82"/>
      <c r="U621" s="82"/>
      <c r="V621" s="138" t="s">
        <v>4178</v>
      </c>
      <c r="W621" s="57" t="s">
        <v>4094</v>
      </c>
      <c r="X621" s="126" t="s">
        <v>2511</v>
      </c>
      <c r="Y621" s="126" t="s">
        <v>2511</v>
      </c>
      <c r="Z621" s="57"/>
      <c r="AA621" s="57" t="s">
        <v>3661</v>
      </c>
      <c r="AB621" s="138"/>
      <c r="AC621" s="138" t="s">
        <v>2631</v>
      </c>
      <c r="AD621" s="96"/>
      <c r="AE621" s="80"/>
      <c r="AF621" s="80"/>
      <c r="AG621" s="80"/>
      <c r="AH621" s="83"/>
      <c r="AI621" s="83"/>
      <c r="AJ621" s="84"/>
      <c r="AK621" s="84"/>
      <c r="AL621" s="84"/>
      <c r="AM621" s="84"/>
      <c r="AN621" s="84"/>
      <c r="AO621" s="84"/>
      <c r="AP621" s="84"/>
      <c r="AQ621" s="95" t="s">
        <v>593</v>
      </c>
      <c r="AR621" s="72"/>
      <c r="AS621" s="72"/>
      <c r="AT621" s="72"/>
      <c r="AU621" s="72"/>
      <c r="AV621" s="72"/>
      <c r="AW621" s="72"/>
      <c r="AX621" s="72"/>
      <c r="AY621" s="72"/>
      <c r="AZ621" s="72"/>
      <c r="BA621" s="72"/>
      <c r="BB621" s="16"/>
      <c r="BC621" s="72"/>
      <c r="BD621" s="20"/>
      <c r="BE621" s="378"/>
    </row>
    <row r="622" spans="1:57" s="81" customFormat="1" ht="12.95" hidden="1" customHeight="1">
      <c r="A622" s="374"/>
      <c r="B622" s="376"/>
      <c r="C622" s="248" t="s">
        <v>1330</v>
      </c>
      <c r="D622" s="239" t="s">
        <v>4179</v>
      </c>
      <c r="E622" s="58"/>
      <c r="F622" s="59" t="s">
        <v>4180</v>
      </c>
      <c r="G622" s="191" t="s">
        <v>2511</v>
      </c>
      <c r="H622" s="192" t="s">
        <v>594</v>
      </c>
      <c r="I622" s="61" t="s">
        <v>2511</v>
      </c>
      <c r="J622" s="61" t="s">
        <v>2511</v>
      </c>
      <c r="K622" s="62" t="s">
        <v>2511</v>
      </c>
      <c r="L622" s="60" t="s">
        <v>2511</v>
      </c>
      <c r="M622" s="61" t="s">
        <v>2389</v>
      </c>
      <c r="N622" s="61" t="s">
        <v>2511</v>
      </c>
      <c r="O622" s="61" t="s">
        <v>2511</v>
      </c>
      <c r="P622" s="62" t="s">
        <v>2511</v>
      </c>
      <c r="Q622" s="82"/>
      <c r="R622" s="82"/>
      <c r="S622" s="82"/>
      <c r="T622" s="82"/>
      <c r="U622" s="82"/>
      <c r="V622" s="138" t="s">
        <v>4181</v>
      </c>
      <c r="W622" s="57" t="s">
        <v>4094</v>
      </c>
      <c r="X622" s="126" t="s">
        <v>2511</v>
      </c>
      <c r="Y622" s="126" t="s">
        <v>2511</v>
      </c>
      <c r="Z622" s="57"/>
      <c r="AA622" s="57" t="s">
        <v>3661</v>
      </c>
      <c r="AB622" s="138"/>
      <c r="AC622" s="138" t="s">
        <v>2631</v>
      </c>
      <c r="AD622" s="96"/>
      <c r="AE622" s="80"/>
      <c r="AF622" s="80"/>
      <c r="AG622" s="80"/>
      <c r="AH622" s="83"/>
      <c r="AI622" s="83"/>
      <c r="AJ622" s="84"/>
      <c r="AK622" s="84"/>
      <c r="AL622" s="84"/>
      <c r="AM622" s="84"/>
      <c r="AN622" s="84"/>
      <c r="AO622" s="84"/>
      <c r="AP622" s="84"/>
      <c r="AQ622" s="95" t="s">
        <v>594</v>
      </c>
      <c r="AR622" s="72"/>
      <c r="AS622" s="72"/>
      <c r="AT622" s="72"/>
      <c r="AU622" s="72"/>
      <c r="AV622" s="72"/>
      <c r="AW622" s="72"/>
      <c r="AX622" s="72"/>
      <c r="AY622" s="72"/>
      <c r="AZ622" s="72"/>
      <c r="BA622" s="72"/>
      <c r="BB622" s="16"/>
      <c r="BC622" s="72"/>
      <c r="BD622" s="20"/>
      <c r="BE622" s="378"/>
    </row>
    <row r="623" spans="1:57" s="81" customFormat="1" ht="12.95" hidden="1" customHeight="1">
      <c r="A623" s="374"/>
      <c r="B623" s="376"/>
      <c r="C623" s="248" t="s">
        <v>1331</v>
      </c>
      <c r="D623" s="239" t="s">
        <v>4182</v>
      </c>
      <c r="E623" s="58"/>
      <c r="F623" s="59" t="s">
        <v>4183</v>
      </c>
      <c r="G623" s="191" t="s">
        <v>2511</v>
      </c>
      <c r="H623" s="192" t="s">
        <v>595</v>
      </c>
      <c r="I623" s="61" t="s">
        <v>2511</v>
      </c>
      <c r="J623" s="61" t="s">
        <v>2511</v>
      </c>
      <c r="K623" s="62" t="s">
        <v>2511</v>
      </c>
      <c r="L623" s="60" t="s">
        <v>2511</v>
      </c>
      <c r="M623" s="61" t="s">
        <v>2389</v>
      </c>
      <c r="N623" s="61" t="s">
        <v>2511</v>
      </c>
      <c r="O623" s="61" t="s">
        <v>2511</v>
      </c>
      <c r="P623" s="62" t="s">
        <v>2511</v>
      </c>
      <c r="Q623" s="82"/>
      <c r="R623" s="82"/>
      <c r="S623" s="82"/>
      <c r="T623" s="82"/>
      <c r="U623" s="82"/>
      <c r="V623" s="138" t="s">
        <v>4184</v>
      </c>
      <c r="W623" s="57" t="s">
        <v>4094</v>
      </c>
      <c r="X623" s="126" t="s">
        <v>2511</v>
      </c>
      <c r="Y623" s="126" t="s">
        <v>2511</v>
      </c>
      <c r="Z623" s="57"/>
      <c r="AA623" s="57" t="s">
        <v>3661</v>
      </c>
      <c r="AB623" s="138"/>
      <c r="AC623" s="138" t="s">
        <v>2631</v>
      </c>
      <c r="AD623" s="96"/>
      <c r="AE623" s="80"/>
      <c r="AF623" s="80"/>
      <c r="AG623" s="80"/>
      <c r="AH623" s="83"/>
      <c r="AI623" s="83"/>
      <c r="AJ623" s="84"/>
      <c r="AK623" s="84"/>
      <c r="AL623" s="84"/>
      <c r="AM623" s="84"/>
      <c r="AN623" s="84"/>
      <c r="AO623" s="84"/>
      <c r="AP623" s="84"/>
      <c r="AQ623" s="95" t="s">
        <v>595</v>
      </c>
      <c r="AR623" s="72"/>
      <c r="AS623" s="72"/>
      <c r="AT623" s="72"/>
      <c r="AU623" s="72"/>
      <c r="AV623" s="72"/>
      <c r="AW623" s="72"/>
      <c r="AX623" s="72"/>
      <c r="AY623" s="72"/>
      <c r="AZ623" s="72"/>
      <c r="BA623" s="72"/>
      <c r="BB623" s="16"/>
      <c r="BC623" s="72"/>
      <c r="BD623" s="20"/>
      <c r="BE623" s="378"/>
    </row>
    <row r="624" spans="1:57" s="81" customFormat="1" ht="12.95" hidden="1" customHeight="1">
      <c r="A624" s="374"/>
      <c r="B624" s="376"/>
      <c r="C624" s="248" t="s">
        <v>1332</v>
      </c>
      <c r="D624" s="239" t="s">
        <v>4185</v>
      </c>
      <c r="E624" s="58"/>
      <c r="F624" s="59" t="s">
        <v>4186</v>
      </c>
      <c r="G624" s="191" t="s">
        <v>2511</v>
      </c>
      <c r="H624" s="192" t="s">
        <v>596</v>
      </c>
      <c r="I624" s="61" t="s">
        <v>2511</v>
      </c>
      <c r="J624" s="61" t="s">
        <v>2511</v>
      </c>
      <c r="K624" s="62" t="s">
        <v>2511</v>
      </c>
      <c r="L624" s="60" t="s">
        <v>2511</v>
      </c>
      <c r="M624" s="61" t="s">
        <v>2389</v>
      </c>
      <c r="N624" s="61" t="s">
        <v>2511</v>
      </c>
      <c r="O624" s="61" t="s">
        <v>2511</v>
      </c>
      <c r="P624" s="62" t="s">
        <v>2511</v>
      </c>
      <c r="Q624" s="82"/>
      <c r="R624" s="82"/>
      <c r="S624" s="82"/>
      <c r="T624" s="82"/>
      <c r="U624" s="82"/>
      <c r="V624" s="138" t="s">
        <v>4187</v>
      </c>
      <c r="W624" s="57" t="s">
        <v>4094</v>
      </c>
      <c r="X624" s="126" t="s">
        <v>2511</v>
      </c>
      <c r="Y624" s="126" t="s">
        <v>2511</v>
      </c>
      <c r="Z624" s="57"/>
      <c r="AA624" s="57" t="s">
        <v>3661</v>
      </c>
      <c r="AB624" s="138"/>
      <c r="AC624" s="138" t="s">
        <v>2631</v>
      </c>
      <c r="AD624" s="96"/>
      <c r="AE624" s="80"/>
      <c r="AF624" s="80"/>
      <c r="AG624" s="80"/>
      <c r="AH624" s="83"/>
      <c r="AI624" s="83"/>
      <c r="AJ624" s="84"/>
      <c r="AK624" s="84"/>
      <c r="AL624" s="84"/>
      <c r="AM624" s="84"/>
      <c r="AN624" s="84"/>
      <c r="AO624" s="84"/>
      <c r="AP624" s="84"/>
      <c r="AQ624" s="95" t="s">
        <v>596</v>
      </c>
      <c r="AR624" s="72"/>
      <c r="AS624" s="72"/>
      <c r="AT624" s="72"/>
      <c r="AU624" s="72"/>
      <c r="AV624" s="72"/>
      <c r="AW624" s="72"/>
      <c r="AX624" s="72"/>
      <c r="AY624" s="72"/>
      <c r="AZ624" s="72"/>
      <c r="BA624" s="72"/>
      <c r="BB624" s="16"/>
      <c r="BC624" s="72"/>
      <c r="BD624" s="20"/>
      <c r="BE624" s="378"/>
    </row>
    <row r="625" spans="1:57" s="81" customFormat="1" ht="12.95" hidden="1" customHeight="1">
      <c r="A625" s="374"/>
      <c r="B625" s="376"/>
      <c r="C625" s="248" t="s">
        <v>1333</v>
      </c>
      <c r="D625" s="239" t="s">
        <v>4188</v>
      </c>
      <c r="E625" s="58"/>
      <c r="F625" s="59" t="s">
        <v>4189</v>
      </c>
      <c r="G625" s="191" t="s">
        <v>2511</v>
      </c>
      <c r="H625" s="192" t="s">
        <v>597</v>
      </c>
      <c r="I625" s="61" t="s">
        <v>2511</v>
      </c>
      <c r="J625" s="61" t="s">
        <v>2511</v>
      </c>
      <c r="K625" s="62" t="s">
        <v>2511</v>
      </c>
      <c r="L625" s="60" t="s">
        <v>2511</v>
      </c>
      <c r="M625" s="61" t="s">
        <v>2389</v>
      </c>
      <c r="N625" s="61" t="s">
        <v>2511</v>
      </c>
      <c r="O625" s="61" t="s">
        <v>2511</v>
      </c>
      <c r="P625" s="62" t="s">
        <v>2511</v>
      </c>
      <c r="Q625" s="82"/>
      <c r="R625" s="82"/>
      <c r="S625" s="82"/>
      <c r="T625" s="82"/>
      <c r="U625" s="82"/>
      <c r="V625" s="138" t="s">
        <v>4190</v>
      </c>
      <c r="W625" s="57" t="s">
        <v>4094</v>
      </c>
      <c r="X625" s="126" t="s">
        <v>2511</v>
      </c>
      <c r="Y625" s="126" t="s">
        <v>2511</v>
      </c>
      <c r="Z625" s="57"/>
      <c r="AA625" s="57" t="s">
        <v>3661</v>
      </c>
      <c r="AB625" s="138"/>
      <c r="AC625" s="138" t="s">
        <v>2631</v>
      </c>
      <c r="AD625" s="96"/>
      <c r="AE625" s="80"/>
      <c r="AF625" s="80"/>
      <c r="AG625" s="80"/>
      <c r="AH625" s="83"/>
      <c r="AI625" s="83"/>
      <c r="AJ625" s="84"/>
      <c r="AK625" s="84"/>
      <c r="AL625" s="84"/>
      <c r="AM625" s="84"/>
      <c r="AN625" s="84"/>
      <c r="AO625" s="84"/>
      <c r="AP625" s="84"/>
      <c r="AQ625" s="95" t="s">
        <v>597</v>
      </c>
      <c r="AR625" s="72"/>
      <c r="AS625" s="72"/>
      <c r="AT625" s="72"/>
      <c r="AU625" s="72"/>
      <c r="AV625" s="72"/>
      <c r="AW625" s="72"/>
      <c r="AX625" s="72"/>
      <c r="AY625" s="72"/>
      <c r="AZ625" s="72"/>
      <c r="BA625" s="72"/>
      <c r="BB625" s="16"/>
      <c r="BC625" s="72"/>
      <c r="BD625" s="20"/>
      <c r="BE625" s="378"/>
    </row>
    <row r="626" spans="1:57" s="81" customFormat="1" ht="12.95" hidden="1" customHeight="1">
      <c r="A626" s="374"/>
      <c r="B626" s="376"/>
      <c r="C626" s="270" t="s">
        <v>1334</v>
      </c>
      <c r="D626" s="239" t="s">
        <v>4191</v>
      </c>
      <c r="E626" s="58"/>
      <c r="F626" s="59" t="s">
        <v>4192</v>
      </c>
      <c r="G626" s="191" t="s">
        <v>2511</v>
      </c>
      <c r="H626" s="192" t="s">
        <v>598</v>
      </c>
      <c r="I626" s="61" t="s">
        <v>2511</v>
      </c>
      <c r="J626" s="61" t="s">
        <v>2511</v>
      </c>
      <c r="K626" s="62" t="s">
        <v>2511</v>
      </c>
      <c r="L626" s="60" t="s">
        <v>2511</v>
      </c>
      <c r="M626" s="61" t="s">
        <v>2389</v>
      </c>
      <c r="N626" s="61" t="s">
        <v>2511</v>
      </c>
      <c r="O626" s="61" t="s">
        <v>2511</v>
      </c>
      <c r="P626" s="62" t="s">
        <v>2511</v>
      </c>
      <c r="Q626" s="82"/>
      <c r="R626" s="82"/>
      <c r="S626" s="82"/>
      <c r="T626" s="82"/>
      <c r="U626" s="82"/>
      <c r="V626" s="138" t="s">
        <v>4193</v>
      </c>
      <c r="W626" s="57" t="s">
        <v>4094</v>
      </c>
      <c r="X626" s="126" t="s">
        <v>2511</v>
      </c>
      <c r="Y626" s="126" t="s">
        <v>2511</v>
      </c>
      <c r="Z626" s="57"/>
      <c r="AA626" s="57" t="s">
        <v>3661</v>
      </c>
      <c r="AB626" s="138"/>
      <c r="AC626" s="138" t="s">
        <v>2631</v>
      </c>
      <c r="AD626" s="96"/>
      <c r="AE626" s="80"/>
      <c r="AF626" s="80"/>
      <c r="AG626" s="80"/>
      <c r="AH626" s="83"/>
      <c r="AI626" s="83"/>
      <c r="AJ626" s="84"/>
      <c r="AK626" s="84"/>
      <c r="AL626" s="84"/>
      <c r="AM626" s="84"/>
      <c r="AN626" s="84"/>
      <c r="AO626" s="84"/>
      <c r="AP626" s="84"/>
      <c r="AQ626" s="95" t="s">
        <v>598</v>
      </c>
      <c r="AR626" s="72"/>
      <c r="AS626" s="72"/>
      <c r="AT626" s="72"/>
      <c r="AU626" s="72"/>
      <c r="AV626" s="72"/>
      <c r="AW626" s="72"/>
      <c r="AX626" s="72"/>
      <c r="AY626" s="72"/>
      <c r="AZ626" s="72"/>
      <c r="BA626" s="72"/>
      <c r="BB626" s="16"/>
      <c r="BC626" s="72"/>
      <c r="BD626" s="20"/>
      <c r="BE626" s="378"/>
    </row>
    <row r="627" spans="1:57" s="81" customFormat="1" ht="12.95" hidden="1" customHeight="1">
      <c r="A627" s="374"/>
      <c r="B627" s="376"/>
      <c r="C627" s="270" t="s">
        <v>1335</v>
      </c>
      <c r="D627" s="239" t="s">
        <v>4194</v>
      </c>
      <c r="E627" s="58"/>
      <c r="F627" s="59" t="s">
        <v>4195</v>
      </c>
      <c r="G627" s="191" t="s">
        <v>2511</v>
      </c>
      <c r="H627" s="192" t="s">
        <v>599</v>
      </c>
      <c r="I627" s="61" t="s">
        <v>2511</v>
      </c>
      <c r="J627" s="61" t="s">
        <v>2511</v>
      </c>
      <c r="K627" s="62" t="s">
        <v>2511</v>
      </c>
      <c r="L627" s="60" t="s">
        <v>2511</v>
      </c>
      <c r="M627" s="61" t="s">
        <v>2389</v>
      </c>
      <c r="N627" s="61" t="s">
        <v>2511</v>
      </c>
      <c r="O627" s="61" t="s">
        <v>2511</v>
      </c>
      <c r="P627" s="62" t="s">
        <v>2511</v>
      </c>
      <c r="Q627" s="82"/>
      <c r="R627" s="82"/>
      <c r="S627" s="82"/>
      <c r="T627" s="82"/>
      <c r="U627" s="82"/>
      <c r="V627" s="138" t="s">
        <v>4196</v>
      </c>
      <c r="W627" s="57" t="s">
        <v>4094</v>
      </c>
      <c r="X627" s="126" t="s">
        <v>2511</v>
      </c>
      <c r="Y627" s="126" t="s">
        <v>2511</v>
      </c>
      <c r="Z627" s="57"/>
      <c r="AA627" s="57" t="s">
        <v>3661</v>
      </c>
      <c r="AB627" s="138"/>
      <c r="AC627" s="138" t="s">
        <v>2631</v>
      </c>
      <c r="AD627" s="96"/>
      <c r="AE627" s="80"/>
      <c r="AF627" s="80"/>
      <c r="AG627" s="80"/>
      <c r="AH627" s="83"/>
      <c r="AI627" s="83"/>
      <c r="AJ627" s="84"/>
      <c r="AK627" s="84"/>
      <c r="AL627" s="84"/>
      <c r="AM627" s="84"/>
      <c r="AN627" s="84"/>
      <c r="AO627" s="84"/>
      <c r="AP627" s="84"/>
      <c r="AQ627" s="95" t="s">
        <v>599</v>
      </c>
      <c r="AR627" s="72"/>
      <c r="AS627" s="72"/>
      <c r="AT627" s="72"/>
      <c r="AU627" s="72"/>
      <c r="AV627" s="72"/>
      <c r="AW627" s="72"/>
      <c r="AX627" s="72"/>
      <c r="AY627" s="72"/>
      <c r="AZ627" s="72"/>
      <c r="BA627" s="72"/>
      <c r="BB627" s="16"/>
      <c r="BC627" s="72"/>
      <c r="BD627" s="20"/>
      <c r="BE627" s="378"/>
    </row>
    <row r="628" spans="1:57" s="81" customFormat="1" ht="12.95" hidden="1" customHeight="1">
      <c r="A628" s="374"/>
      <c r="B628" s="376"/>
      <c r="C628" s="248" t="s">
        <v>1336</v>
      </c>
      <c r="D628" s="239" t="s">
        <v>4197</v>
      </c>
      <c r="E628" s="58"/>
      <c r="F628" s="59" t="s">
        <v>4198</v>
      </c>
      <c r="G628" s="191" t="s">
        <v>2511</v>
      </c>
      <c r="H628" s="192" t="s">
        <v>600</v>
      </c>
      <c r="I628" s="61" t="s">
        <v>2511</v>
      </c>
      <c r="J628" s="61" t="s">
        <v>2511</v>
      </c>
      <c r="K628" s="62" t="s">
        <v>2511</v>
      </c>
      <c r="L628" s="60" t="s">
        <v>2511</v>
      </c>
      <c r="M628" s="61" t="s">
        <v>2389</v>
      </c>
      <c r="N628" s="61" t="s">
        <v>2511</v>
      </c>
      <c r="O628" s="61" t="s">
        <v>2511</v>
      </c>
      <c r="P628" s="62" t="s">
        <v>2511</v>
      </c>
      <c r="Q628" s="82"/>
      <c r="R628" s="82"/>
      <c r="S628" s="82"/>
      <c r="T628" s="82"/>
      <c r="U628" s="82"/>
      <c r="V628" s="138" t="s">
        <v>4199</v>
      </c>
      <c r="W628" s="57" t="s">
        <v>4094</v>
      </c>
      <c r="X628" s="126" t="s">
        <v>2511</v>
      </c>
      <c r="Y628" s="126" t="s">
        <v>2511</v>
      </c>
      <c r="Z628" s="57"/>
      <c r="AA628" s="57" t="s">
        <v>3661</v>
      </c>
      <c r="AB628" s="138"/>
      <c r="AC628" s="138">
        <v>0</v>
      </c>
      <c r="AD628" s="96"/>
      <c r="AE628" s="80"/>
      <c r="AF628" s="80"/>
      <c r="AG628" s="80"/>
      <c r="AH628" s="83"/>
      <c r="AI628" s="83"/>
      <c r="AJ628" s="84"/>
      <c r="AK628" s="84"/>
      <c r="AL628" s="84"/>
      <c r="AM628" s="84"/>
      <c r="AN628" s="84"/>
      <c r="AO628" s="84"/>
      <c r="AP628" s="84"/>
      <c r="AQ628" s="95" t="s">
        <v>600</v>
      </c>
      <c r="AR628" s="72"/>
      <c r="AS628" s="72"/>
      <c r="AT628" s="72"/>
      <c r="AU628" s="72"/>
      <c r="AV628" s="72"/>
      <c r="AW628" s="72"/>
      <c r="AX628" s="72"/>
      <c r="AY628" s="72"/>
      <c r="AZ628" s="72"/>
      <c r="BA628" s="72"/>
      <c r="BB628" s="16"/>
      <c r="BC628" s="72"/>
      <c r="BD628" s="20"/>
      <c r="BE628" s="378"/>
    </row>
    <row r="629" spans="1:57" s="81" customFormat="1" ht="12.95" hidden="1" customHeight="1">
      <c r="A629" s="374"/>
      <c r="B629" s="376"/>
      <c r="C629" s="248" t="s">
        <v>1337</v>
      </c>
      <c r="D629" s="239" t="s">
        <v>4200</v>
      </c>
      <c r="E629" s="58"/>
      <c r="F629" s="59" t="s">
        <v>4201</v>
      </c>
      <c r="G629" s="191" t="s">
        <v>2511</v>
      </c>
      <c r="H629" s="192" t="s">
        <v>601</v>
      </c>
      <c r="I629" s="61" t="s">
        <v>2511</v>
      </c>
      <c r="J629" s="61" t="s">
        <v>2511</v>
      </c>
      <c r="K629" s="62" t="s">
        <v>2511</v>
      </c>
      <c r="L629" s="60" t="s">
        <v>2511</v>
      </c>
      <c r="M629" s="61" t="s">
        <v>2389</v>
      </c>
      <c r="N629" s="61" t="s">
        <v>2511</v>
      </c>
      <c r="O629" s="61" t="s">
        <v>2511</v>
      </c>
      <c r="P629" s="62" t="s">
        <v>2511</v>
      </c>
      <c r="Q629" s="82"/>
      <c r="R629" s="82"/>
      <c r="S629" s="82"/>
      <c r="T629" s="82"/>
      <c r="U629" s="82"/>
      <c r="V629" s="138" t="s">
        <v>4202</v>
      </c>
      <c r="W629" s="57" t="s">
        <v>4094</v>
      </c>
      <c r="X629" s="126" t="s">
        <v>2511</v>
      </c>
      <c r="Y629" s="126" t="s">
        <v>2511</v>
      </c>
      <c r="Z629" s="57"/>
      <c r="AA629" s="57" t="s">
        <v>3661</v>
      </c>
      <c r="AB629" s="138"/>
      <c r="AC629" s="138" t="s">
        <v>2631</v>
      </c>
      <c r="AD629" s="96"/>
      <c r="AE629" s="80"/>
      <c r="AF629" s="80"/>
      <c r="AG629" s="80"/>
      <c r="AH629" s="83"/>
      <c r="AI629" s="83"/>
      <c r="AJ629" s="84"/>
      <c r="AK629" s="84"/>
      <c r="AL629" s="84"/>
      <c r="AM629" s="84"/>
      <c r="AN629" s="84"/>
      <c r="AO629" s="84"/>
      <c r="AP629" s="84"/>
      <c r="AQ629" s="95" t="s">
        <v>601</v>
      </c>
      <c r="AR629" s="72"/>
      <c r="AS629" s="72"/>
      <c r="AT629" s="72"/>
      <c r="AU629" s="72"/>
      <c r="AV629" s="72"/>
      <c r="AW629" s="72"/>
      <c r="AX629" s="72"/>
      <c r="AY629" s="72"/>
      <c r="AZ629" s="72"/>
      <c r="BA629" s="72"/>
      <c r="BB629" s="16"/>
      <c r="BC629" s="72"/>
      <c r="BD629" s="20"/>
      <c r="BE629" s="378"/>
    </row>
    <row r="630" spans="1:57" s="81" customFormat="1" ht="12.95" hidden="1" customHeight="1">
      <c r="A630" s="374"/>
      <c r="B630" s="376"/>
      <c r="C630" s="248" t="s">
        <v>1338</v>
      </c>
      <c r="D630" s="239" t="s">
        <v>4203</v>
      </c>
      <c r="E630" s="58"/>
      <c r="F630" s="59" t="s">
        <v>4204</v>
      </c>
      <c r="G630" s="191" t="s">
        <v>2511</v>
      </c>
      <c r="H630" s="192" t="s">
        <v>602</v>
      </c>
      <c r="I630" s="61" t="s">
        <v>2511</v>
      </c>
      <c r="J630" s="61" t="s">
        <v>2511</v>
      </c>
      <c r="K630" s="62" t="s">
        <v>2511</v>
      </c>
      <c r="L630" s="60" t="s">
        <v>2511</v>
      </c>
      <c r="M630" s="61" t="s">
        <v>2389</v>
      </c>
      <c r="N630" s="61" t="s">
        <v>2511</v>
      </c>
      <c r="O630" s="61" t="s">
        <v>2511</v>
      </c>
      <c r="P630" s="62" t="s">
        <v>2511</v>
      </c>
      <c r="Q630" s="82"/>
      <c r="R630" s="82"/>
      <c r="S630" s="82"/>
      <c r="T630" s="82"/>
      <c r="U630" s="82"/>
      <c r="V630" s="138" t="s">
        <v>4205</v>
      </c>
      <c r="W630" s="57" t="s">
        <v>4094</v>
      </c>
      <c r="X630" s="126" t="s">
        <v>2511</v>
      </c>
      <c r="Y630" s="126" t="s">
        <v>2511</v>
      </c>
      <c r="Z630" s="57"/>
      <c r="AA630" s="57" t="s">
        <v>3661</v>
      </c>
      <c r="AB630" s="138"/>
      <c r="AC630" s="138" t="s">
        <v>2631</v>
      </c>
      <c r="AD630" s="96"/>
      <c r="AE630" s="80"/>
      <c r="AF630" s="80"/>
      <c r="AG630" s="80"/>
      <c r="AH630" s="83"/>
      <c r="AI630" s="83"/>
      <c r="AJ630" s="84"/>
      <c r="AK630" s="84"/>
      <c r="AL630" s="84"/>
      <c r="AM630" s="84"/>
      <c r="AN630" s="84"/>
      <c r="AO630" s="84"/>
      <c r="AP630" s="84"/>
      <c r="AQ630" s="95" t="s">
        <v>602</v>
      </c>
      <c r="AR630" s="72"/>
      <c r="AS630" s="72"/>
      <c r="AT630" s="72"/>
      <c r="AU630" s="72"/>
      <c r="AV630" s="72"/>
      <c r="AW630" s="72"/>
      <c r="AX630" s="72"/>
      <c r="AY630" s="72"/>
      <c r="AZ630" s="72"/>
      <c r="BA630" s="72"/>
      <c r="BB630" s="16"/>
      <c r="BC630" s="72"/>
      <c r="BD630" s="20"/>
      <c r="BE630" s="378"/>
    </row>
    <row r="631" spans="1:57" s="81" customFormat="1" ht="12.95" hidden="1" customHeight="1">
      <c r="A631" s="374"/>
      <c r="B631" s="376"/>
      <c r="C631" s="248" t="s">
        <v>1339</v>
      </c>
      <c r="D631" s="239" t="s">
        <v>4206</v>
      </c>
      <c r="E631" s="58"/>
      <c r="F631" s="59" t="s">
        <v>4207</v>
      </c>
      <c r="G631" s="191" t="s">
        <v>2511</v>
      </c>
      <c r="H631" s="192" t="s">
        <v>603</v>
      </c>
      <c r="I631" s="61" t="s">
        <v>2511</v>
      </c>
      <c r="J631" s="61" t="s">
        <v>2511</v>
      </c>
      <c r="K631" s="62" t="s">
        <v>2511</v>
      </c>
      <c r="L631" s="60" t="s">
        <v>2511</v>
      </c>
      <c r="M631" s="61" t="s">
        <v>2389</v>
      </c>
      <c r="N631" s="61" t="s">
        <v>2511</v>
      </c>
      <c r="O631" s="61" t="s">
        <v>2511</v>
      </c>
      <c r="P631" s="62" t="s">
        <v>2511</v>
      </c>
      <c r="Q631" s="82"/>
      <c r="R631" s="82"/>
      <c r="S631" s="82"/>
      <c r="T631" s="82"/>
      <c r="U631" s="82"/>
      <c r="V631" s="138" t="s">
        <v>4208</v>
      </c>
      <c r="W631" s="57" t="s">
        <v>4094</v>
      </c>
      <c r="X631" s="126" t="s">
        <v>2511</v>
      </c>
      <c r="Y631" s="126" t="s">
        <v>2511</v>
      </c>
      <c r="Z631" s="57"/>
      <c r="AA631" s="57" t="s">
        <v>3661</v>
      </c>
      <c r="AB631" s="138"/>
      <c r="AC631" s="138" t="s">
        <v>2631</v>
      </c>
      <c r="AD631" s="96"/>
      <c r="AE631" s="80"/>
      <c r="AF631" s="80"/>
      <c r="AG631" s="80"/>
      <c r="AH631" s="83"/>
      <c r="AI631" s="83"/>
      <c r="AJ631" s="84"/>
      <c r="AK631" s="84"/>
      <c r="AL631" s="84"/>
      <c r="AM631" s="84"/>
      <c r="AN631" s="84"/>
      <c r="AO631" s="84"/>
      <c r="AP631" s="84"/>
      <c r="AQ631" s="95" t="s">
        <v>603</v>
      </c>
      <c r="AR631" s="72"/>
      <c r="AS631" s="72"/>
      <c r="AT631" s="72"/>
      <c r="AU631" s="72"/>
      <c r="AV631" s="72"/>
      <c r="AW631" s="72"/>
      <c r="AX631" s="72"/>
      <c r="AY631" s="72"/>
      <c r="AZ631" s="72"/>
      <c r="BA631" s="72"/>
      <c r="BB631" s="16"/>
      <c r="BC631" s="72"/>
      <c r="BD631" s="20"/>
      <c r="BE631" s="378"/>
    </row>
    <row r="632" spans="1:57" s="81" customFormat="1" ht="12.95" hidden="1" customHeight="1">
      <c r="A632" s="374"/>
      <c r="B632" s="376"/>
      <c r="C632" s="248" t="s">
        <v>1340</v>
      </c>
      <c r="D632" s="239" t="s">
        <v>4209</v>
      </c>
      <c r="E632" s="58"/>
      <c r="F632" s="59" t="s">
        <v>4210</v>
      </c>
      <c r="G632" s="191" t="s">
        <v>2511</v>
      </c>
      <c r="H632" s="192" t="s">
        <v>604</v>
      </c>
      <c r="I632" s="61" t="s">
        <v>2511</v>
      </c>
      <c r="J632" s="61" t="s">
        <v>2511</v>
      </c>
      <c r="K632" s="62" t="s">
        <v>2511</v>
      </c>
      <c r="L632" s="60" t="s">
        <v>2511</v>
      </c>
      <c r="M632" s="61" t="s">
        <v>2389</v>
      </c>
      <c r="N632" s="61" t="s">
        <v>2511</v>
      </c>
      <c r="O632" s="61" t="s">
        <v>2511</v>
      </c>
      <c r="P632" s="62" t="s">
        <v>2511</v>
      </c>
      <c r="Q632" s="82"/>
      <c r="R632" s="82"/>
      <c r="S632" s="82"/>
      <c r="T632" s="82"/>
      <c r="U632" s="82"/>
      <c r="V632" s="138" t="s">
        <v>4211</v>
      </c>
      <c r="W632" s="57" t="s">
        <v>4094</v>
      </c>
      <c r="X632" s="126" t="s">
        <v>2511</v>
      </c>
      <c r="Y632" s="126" t="s">
        <v>2511</v>
      </c>
      <c r="Z632" s="57"/>
      <c r="AA632" s="57" t="s">
        <v>3661</v>
      </c>
      <c r="AB632" s="138"/>
      <c r="AC632" s="138" t="s">
        <v>2631</v>
      </c>
      <c r="AD632" s="96"/>
      <c r="AE632" s="80"/>
      <c r="AF632" s="80"/>
      <c r="AG632" s="80"/>
      <c r="AH632" s="83"/>
      <c r="AI632" s="83"/>
      <c r="AJ632" s="84"/>
      <c r="AK632" s="84"/>
      <c r="AL632" s="84"/>
      <c r="AM632" s="84"/>
      <c r="AN632" s="84"/>
      <c r="AO632" s="84"/>
      <c r="AP632" s="84"/>
      <c r="AQ632" s="95" t="s">
        <v>604</v>
      </c>
      <c r="AR632" s="72"/>
      <c r="AS632" s="72"/>
      <c r="AT632" s="72"/>
      <c r="AU632" s="72"/>
      <c r="AV632" s="72"/>
      <c r="AW632" s="72"/>
      <c r="AX632" s="72"/>
      <c r="AY632" s="72"/>
      <c r="AZ632" s="72"/>
      <c r="BA632" s="72"/>
      <c r="BB632" s="16"/>
      <c r="BC632" s="72"/>
      <c r="BD632" s="20"/>
      <c r="BE632" s="378"/>
    </row>
    <row r="633" spans="1:57" s="81" customFormat="1" ht="12.95" hidden="1" customHeight="1">
      <c r="A633" s="374"/>
      <c r="B633" s="376"/>
      <c r="C633" s="248" t="s">
        <v>1341</v>
      </c>
      <c r="D633" s="239" t="s">
        <v>4212</v>
      </c>
      <c r="E633" s="58"/>
      <c r="F633" s="59" t="s">
        <v>4213</v>
      </c>
      <c r="G633" s="191" t="s">
        <v>2511</v>
      </c>
      <c r="H633" s="192" t="s">
        <v>605</v>
      </c>
      <c r="I633" s="61" t="s">
        <v>2511</v>
      </c>
      <c r="J633" s="61" t="s">
        <v>2511</v>
      </c>
      <c r="K633" s="62" t="s">
        <v>2511</v>
      </c>
      <c r="L633" s="60" t="s">
        <v>2511</v>
      </c>
      <c r="M633" s="61" t="s">
        <v>2389</v>
      </c>
      <c r="N633" s="61" t="s">
        <v>2511</v>
      </c>
      <c r="O633" s="61" t="s">
        <v>2511</v>
      </c>
      <c r="P633" s="62" t="s">
        <v>2511</v>
      </c>
      <c r="Q633" s="82"/>
      <c r="R633" s="82"/>
      <c r="S633" s="82"/>
      <c r="T633" s="82"/>
      <c r="U633" s="82"/>
      <c r="V633" s="138" t="s">
        <v>4214</v>
      </c>
      <c r="W633" s="57" t="s">
        <v>4094</v>
      </c>
      <c r="X633" s="126" t="s">
        <v>2511</v>
      </c>
      <c r="Y633" s="126" t="s">
        <v>2511</v>
      </c>
      <c r="Z633" s="57"/>
      <c r="AA633" s="57" t="s">
        <v>3661</v>
      </c>
      <c r="AB633" s="138"/>
      <c r="AC633" s="138" t="s">
        <v>2631</v>
      </c>
      <c r="AD633" s="96"/>
      <c r="AE633" s="80"/>
      <c r="AF633" s="80"/>
      <c r="AG633" s="80"/>
      <c r="AH633" s="83"/>
      <c r="AI633" s="83"/>
      <c r="AJ633" s="84"/>
      <c r="AK633" s="84"/>
      <c r="AL633" s="84"/>
      <c r="AM633" s="84"/>
      <c r="AN633" s="84"/>
      <c r="AO633" s="84"/>
      <c r="AP633" s="84"/>
      <c r="AQ633" s="95" t="s">
        <v>605</v>
      </c>
      <c r="AR633" s="72"/>
      <c r="AS633" s="72"/>
      <c r="AT633" s="72"/>
      <c r="AU633" s="72"/>
      <c r="AV633" s="72"/>
      <c r="AW633" s="72"/>
      <c r="AX633" s="72"/>
      <c r="AY633" s="72"/>
      <c r="AZ633" s="72"/>
      <c r="BA633" s="72"/>
      <c r="BB633" s="16"/>
      <c r="BC633" s="72"/>
      <c r="BD633" s="20"/>
      <c r="BE633" s="378"/>
    </row>
    <row r="634" spans="1:57" s="81" customFormat="1" ht="12.95" hidden="1" customHeight="1">
      <c r="A634" s="374"/>
      <c r="B634" s="376"/>
      <c r="C634" s="248" t="s">
        <v>1342</v>
      </c>
      <c r="D634" s="239" t="s">
        <v>4215</v>
      </c>
      <c r="E634" s="58"/>
      <c r="F634" s="59" t="s">
        <v>4216</v>
      </c>
      <c r="G634" s="191" t="s">
        <v>2511</v>
      </c>
      <c r="H634" s="192" t="s">
        <v>606</v>
      </c>
      <c r="I634" s="61" t="s">
        <v>2511</v>
      </c>
      <c r="J634" s="61" t="s">
        <v>2511</v>
      </c>
      <c r="K634" s="62" t="s">
        <v>2511</v>
      </c>
      <c r="L634" s="60" t="s">
        <v>2511</v>
      </c>
      <c r="M634" s="61" t="s">
        <v>2389</v>
      </c>
      <c r="N634" s="61" t="s">
        <v>2511</v>
      </c>
      <c r="O634" s="61" t="s">
        <v>2511</v>
      </c>
      <c r="P634" s="62" t="s">
        <v>2511</v>
      </c>
      <c r="Q634" s="82"/>
      <c r="R634" s="82"/>
      <c r="S634" s="82"/>
      <c r="T634" s="82"/>
      <c r="U634" s="82"/>
      <c r="V634" s="138" t="s">
        <v>4217</v>
      </c>
      <c r="W634" s="57" t="s">
        <v>4094</v>
      </c>
      <c r="X634" s="126" t="s">
        <v>2511</v>
      </c>
      <c r="Y634" s="126" t="s">
        <v>2511</v>
      </c>
      <c r="Z634" s="57"/>
      <c r="AA634" s="57" t="s">
        <v>3661</v>
      </c>
      <c r="AB634" s="138"/>
      <c r="AC634" s="138" t="s">
        <v>2631</v>
      </c>
      <c r="AD634" s="96"/>
      <c r="AE634" s="80"/>
      <c r="AF634" s="80"/>
      <c r="AG634" s="80"/>
      <c r="AH634" s="83"/>
      <c r="AI634" s="83"/>
      <c r="AJ634" s="84"/>
      <c r="AK634" s="84"/>
      <c r="AL634" s="84"/>
      <c r="AM634" s="84"/>
      <c r="AN634" s="84"/>
      <c r="AO634" s="84"/>
      <c r="AP634" s="84"/>
      <c r="AQ634" s="95" t="s">
        <v>606</v>
      </c>
      <c r="AR634" s="72"/>
      <c r="AS634" s="72"/>
      <c r="AT634" s="72"/>
      <c r="AU634" s="72"/>
      <c r="AV634" s="72"/>
      <c r="AW634" s="72"/>
      <c r="AX634" s="72"/>
      <c r="AY634" s="72"/>
      <c r="AZ634" s="72"/>
      <c r="BA634" s="72"/>
      <c r="BB634" s="16"/>
      <c r="BC634" s="72"/>
      <c r="BD634" s="20"/>
      <c r="BE634" s="378"/>
    </row>
    <row r="635" spans="1:57" s="81" customFormat="1" ht="12.95" hidden="1" customHeight="1">
      <c r="A635" s="374"/>
      <c r="B635" s="376"/>
      <c r="C635" s="248" t="s">
        <v>1343</v>
      </c>
      <c r="D635" s="239" t="s">
        <v>4218</v>
      </c>
      <c r="E635" s="58"/>
      <c r="F635" s="59" t="s">
        <v>4219</v>
      </c>
      <c r="G635" s="191" t="s">
        <v>2511</v>
      </c>
      <c r="H635" s="192" t="s">
        <v>607</v>
      </c>
      <c r="I635" s="61" t="s">
        <v>2511</v>
      </c>
      <c r="J635" s="61" t="s">
        <v>2511</v>
      </c>
      <c r="K635" s="62" t="s">
        <v>2511</v>
      </c>
      <c r="L635" s="60" t="s">
        <v>2511</v>
      </c>
      <c r="M635" s="61" t="s">
        <v>2389</v>
      </c>
      <c r="N635" s="61" t="s">
        <v>2511</v>
      </c>
      <c r="O635" s="61" t="s">
        <v>2511</v>
      </c>
      <c r="P635" s="62" t="s">
        <v>2511</v>
      </c>
      <c r="Q635" s="82"/>
      <c r="R635" s="82"/>
      <c r="S635" s="82"/>
      <c r="T635" s="82"/>
      <c r="U635" s="82"/>
      <c r="V635" s="138" t="s">
        <v>4220</v>
      </c>
      <c r="W635" s="57" t="s">
        <v>4094</v>
      </c>
      <c r="X635" s="126" t="s">
        <v>2511</v>
      </c>
      <c r="Y635" s="126" t="s">
        <v>2511</v>
      </c>
      <c r="Z635" s="57"/>
      <c r="AA635" s="57" t="s">
        <v>3661</v>
      </c>
      <c r="AB635" s="138"/>
      <c r="AC635" s="138" t="s">
        <v>2631</v>
      </c>
      <c r="AD635" s="96"/>
      <c r="AE635" s="80"/>
      <c r="AF635" s="80"/>
      <c r="AG635" s="80"/>
      <c r="AH635" s="83"/>
      <c r="AI635" s="83"/>
      <c r="AJ635" s="84"/>
      <c r="AK635" s="84"/>
      <c r="AL635" s="84"/>
      <c r="AM635" s="84"/>
      <c r="AN635" s="84"/>
      <c r="AO635" s="84"/>
      <c r="AP635" s="84"/>
      <c r="AQ635" s="95" t="s">
        <v>607</v>
      </c>
      <c r="AR635" s="72"/>
      <c r="AS635" s="72"/>
      <c r="AT635" s="72"/>
      <c r="AU635" s="72"/>
      <c r="AV635" s="72"/>
      <c r="AW635" s="72"/>
      <c r="AX635" s="72"/>
      <c r="AY635" s="72"/>
      <c r="AZ635" s="72"/>
      <c r="BA635" s="72"/>
      <c r="BB635" s="16"/>
      <c r="BC635" s="72"/>
      <c r="BD635" s="20"/>
      <c r="BE635" s="378"/>
    </row>
    <row r="636" spans="1:57" s="81" customFormat="1" ht="12.95" hidden="1" customHeight="1">
      <c r="A636" s="374"/>
      <c r="B636" s="376"/>
      <c r="C636" s="248" t="s">
        <v>1344</v>
      </c>
      <c r="D636" s="239" t="s">
        <v>4221</v>
      </c>
      <c r="E636" s="58"/>
      <c r="F636" s="59" t="s">
        <v>4222</v>
      </c>
      <c r="G636" s="191" t="s">
        <v>2511</v>
      </c>
      <c r="H636" s="192" t="s">
        <v>608</v>
      </c>
      <c r="I636" s="61" t="s">
        <v>2511</v>
      </c>
      <c r="J636" s="61" t="s">
        <v>2511</v>
      </c>
      <c r="K636" s="62" t="s">
        <v>2511</v>
      </c>
      <c r="L636" s="60" t="s">
        <v>2511</v>
      </c>
      <c r="M636" s="61" t="s">
        <v>2389</v>
      </c>
      <c r="N636" s="61" t="s">
        <v>2511</v>
      </c>
      <c r="O636" s="61" t="s">
        <v>2511</v>
      </c>
      <c r="P636" s="62" t="s">
        <v>2511</v>
      </c>
      <c r="Q636" s="82"/>
      <c r="R636" s="82"/>
      <c r="S636" s="82"/>
      <c r="T636" s="82"/>
      <c r="U636" s="82"/>
      <c r="V636" s="138" t="s">
        <v>4223</v>
      </c>
      <c r="W636" s="57" t="s">
        <v>4094</v>
      </c>
      <c r="X636" s="126" t="s">
        <v>2511</v>
      </c>
      <c r="Y636" s="126" t="s">
        <v>2511</v>
      </c>
      <c r="Z636" s="57"/>
      <c r="AA636" s="57" t="s">
        <v>3661</v>
      </c>
      <c r="AB636" s="138"/>
      <c r="AC636" s="138" t="s">
        <v>2631</v>
      </c>
      <c r="AD636" s="96"/>
      <c r="AE636" s="80"/>
      <c r="AF636" s="80"/>
      <c r="AG636" s="80"/>
      <c r="AH636" s="83"/>
      <c r="AI636" s="83"/>
      <c r="AJ636" s="84"/>
      <c r="AK636" s="84"/>
      <c r="AL636" s="84"/>
      <c r="AM636" s="84"/>
      <c r="AN636" s="84"/>
      <c r="AO636" s="84"/>
      <c r="AP636" s="84"/>
      <c r="AQ636" s="95" t="s">
        <v>608</v>
      </c>
      <c r="AR636" s="72"/>
      <c r="AS636" s="72"/>
      <c r="AT636" s="72"/>
      <c r="AU636" s="72"/>
      <c r="AV636" s="72"/>
      <c r="AW636" s="72"/>
      <c r="AX636" s="72"/>
      <c r="AY636" s="72"/>
      <c r="AZ636" s="72"/>
      <c r="BA636" s="72"/>
      <c r="BB636" s="16"/>
      <c r="BC636" s="72"/>
      <c r="BD636" s="20"/>
      <c r="BE636" s="378"/>
    </row>
    <row r="637" spans="1:57" s="81" customFormat="1" ht="12.95" hidden="1" customHeight="1">
      <c r="A637" s="374"/>
      <c r="B637" s="376"/>
      <c r="C637" s="248" t="s">
        <v>1345</v>
      </c>
      <c r="D637" s="239" t="s">
        <v>4224</v>
      </c>
      <c r="E637" s="58"/>
      <c r="F637" s="59" t="s">
        <v>4225</v>
      </c>
      <c r="G637" s="191" t="s">
        <v>2511</v>
      </c>
      <c r="H637" s="192" t="s">
        <v>609</v>
      </c>
      <c r="I637" s="61" t="s">
        <v>2511</v>
      </c>
      <c r="J637" s="61" t="s">
        <v>2511</v>
      </c>
      <c r="K637" s="62" t="s">
        <v>2511</v>
      </c>
      <c r="L637" s="60" t="s">
        <v>2511</v>
      </c>
      <c r="M637" s="61" t="s">
        <v>2389</v>
      </c>
      <c r="N637" s="61" t="s">
        <v>2511</v>
      </c>
      <c r="O637" s="61" t="s">
        <v>2511</v>
      </c>
      <c r="P637" s="62" t="s">
        <v>2511</v>
      </c>
      <c r="Q637" s="82"/>
      <c r="R637" s="82"/>
      <c r="S637" s="82"/>
      <c r="T637" s="82"/>
      <c r="U637" s="82"/>
      <c r="V637" s="138" t="s">
        <v>4226</v>
      </c>
      <c r="W637" s="57" t="s">
        <v>4094</v>
      </c>
      <c r="X637" s="126" t="s">
        <v>2511</v>
      </c>
      <c r="Y637" s="126" t="s">
        <v>2511</v>
      </c>
      <c r="Z637" s="57"/>
      <c r="AA637" s="57" t="s">
        <v>3661</v>
      </c>
      <c r="AB637" s="138"/>
      <c r="AC637" s="138" t="s">
        <v>2631</v>
      </c>
      <c r="AD637" s="96"/>
      <c r="AE637" s="80"/>
      <c r="AF637" s="80"/>
      <c r="AG637" s="80"/>
      <c r="AH637" s="83"/>
      <c r="AI637" s="83"/>
      <c r="AJ637" s="84"/>
      <c r="AK637" s="84"/>
      <c r="AL637" s="84"/>
      <c r="AM637" s="84"/>
      <c r="AN637" s="84"/>
      <c r="AO637" s="84"/>
      <c r="AP637" s="84"/>
      <c r="AQ637" s="95" t="s">
        <v>609</v>
      </c>
      <c r="AR637" s="72"/>
      <c r="AS637" s="72"/>
      <c r="AT637" s="72"/>
      <c r="AU637" s="72"/>
      <c r="AV637" s="72"/>
      <c r="AW637" s="72"/>
      <c r="AX637" s="72"/>
      <c r="AY637" s="72"/>
      <c r="AZ637" s="72"/>
      <c r="BA637" s="72"/>
      <c r="BB637" s="16"/>
      <c r="BC637" s="72"/>
      <c r="BD637" s="20"/>
      <c r="BE637" s="378"/>
    </row>
    <row r="638" spans="1:57" s="81" customFormat="1" ht="12.95" hidden="1" customHeight="1">
      <c r="A638" s="374"/>
      <c r="B638" s="376"/>
      <c r="C638" s="270" t="s">
        <v>1346</v>
      </c>
      <c r="D638" s="239" t="s">
        <v>4227</v>
      </c>
      <c r="E638" s="58"/>
      <c r="F638" s="59" t="s">
        <v>4228</v>
      </c>
      <c r="G638" s="191" t="s">
        <v>2511</v>
      </c>
      <c r="H638" s="192" t="s">
        <v>610</v>
      </c>
      <c r="I638" s="61" t="s">
        <v>2511</v>
      </c>
      <c r="J638" s="61" t="s">
        <v>2511</v>
      </c>
      <c r="K638" s="62" t="s">
        <v>2511</v>
      </c>
      <c r="L638" s="60" t="s">
        <v>2511</v>
      </c>
      <c r="M638" s="61" t="s">
        <v>2389</v>
      </c>
      <c r="N638" s="61" t="s">
        <v>2511</v>
      </c>
      <c r="O638" s="61" t="s">
        <v>2511</v>
      </c>
      <c r="P638" s="62" t="s">
        <v>2511</v>
      </c>
      <c r="Q638" s="82"/>
      <c r="R638" s="82"/>
      <c r="S638" s="82"/>
      <c r="T638" s="82"/>
      <c r="U638" s="82"/>
      <c r="V638" s="138" t="s">
        <v>4229</v>
      </c>
      <c r="W638" s="57" t="s">
        <v>4094</v>
      </c>
      <c r="X638" s="126" t="s">
        <v>2511</v>
      </c>
      <c r="Y638" s="126" t="s">
        <v>2511</v>
      </c>
      <c r="Z638" s="57"/>
      <c r="AA638" s="57" t="s">
        <v>3661</v>
      </c>
      <c r="AB638" s="138"/>
      <c r="AC638" s="138" t="s">
        <v>2631</v>
      </c>
      <c r="AD638" s="96"/>
      <c r="AE638" s="80"/>
      <c r="AF638" s="80"/>
      <c r="AG638" s="80"/>
      <c r="AH638" s="83"/>
      <c r="AI638" s="83"/>
      <c r="AJ638" s="84"/>
      <c r="AK638" s="84"/>
      <c r="AL638" s="84"/>
      <c r="AM638" s="84"/>
      <c r="AN638" s="84"/>
      <c r="AO638" s="84"/>
      <c r="AP638" s="84"/>
      <c r="AQ638" s="95" t="s">
        <v>610</v>
      </c>
      <c r="AR638" s="72"/>
      <c r="AS638" s="72"/>
      <c r="AT638" s="72"/>
      <c r="AU638" s="72"/>
      <c r="AV638" s="72"/>
      <c r="AW638" s="72"/>
      <c r="AX638" s="72"/>
      <c r="AY638" s="72"/>
      <c r="AZ638" s="72"/>
      <c r="BA638" s="72"/>
      <c r="BB638" s="16"/>
      <c r="BC638" s="72"/>
      <c r="BD638" s="20"/>
      <c r="BE638" s="378"/>
    </row>
    <row r="639" spans="1:57" s="81" customFormat="1" ht="12.95" hidden="1" customHeight="1">
      <c r="A639" s="374"/>
      <c r="B639" s="376"/>
      <c r="C639" s="270" t="s">
        <v>1347</v>
      </c>
      <c r="D639" s="239" t="s">
        <v>4230</v>
      </c>
      <c r="E639" s="58"/>
      <c r="F639" s="59" t="s">
        <v>4231</v>
      </c>
      <c r="G639" s="191" t="s">
        <v>2511</v>
      </c>
      <c r="H639" s="192" t="s">
        <v>611</v>
      </c>
      <c r="I639" s="61" t="s">
        <v>2511</v>
      </c>
      <c r="J639" s="61" t="s">
        <v>2511</v>
      </c>
      <c r="K639" s="62" t="s">
        <v>2511</v>
      </c>
      <c r="L639" s="60" t="s">
        <v>2511</v>
      </c>
      <c r="M639" s="61" t="s">
        <v>2389</v>
      </c>
      <c r="N639" s="61" t="s">
        <v>2511</v>
      </c>
      <c r="O639" s="61" t="s">
        <v>2511</v>
      </c>
      <c r="P639" s="62" t="s">
        <v>2511</v>
      </c>
      <c r="Q639" s="82"/>
      <c r="R639" s="82"/>
      <c r="S639" s="82"/>
      <c r="T639" s="82"/>
      <c r="U639" s="82"/>
      <c r="V639" s="138" t="s">
        <v>4232</v>
      </c>
      <c r="W639" s="57" t="s">
        <v>4094</v>
      </c>
      <c r="X639" s="126" t="s">
        <v>2511</v>
      </c>
      <c r="Y639" s="126" t="s">
        <v>2511</v>
      </c>
      <c r="Z639" s="57"/>
      <c r="AA639" s="57" t="s">
        <v>3661</v>
      </c>
      <c r="AB639" s="138"/>
      <c r="AC639" s="138" t="s">
        <v>2631</v>
      </c>
      <c r="AD639" s="96"/>
      <c r="AE639" s="80"/>
      <c r="AF639" s="80"/>
      <c r="AG639" s="80"/>
      <c r="AH639" s="83"/>
      <c r="AI639" s="83"/>
      <c r="AJ639" s="84"/>
      <c r="AK639" s="84"/>
      <c r="AL639" s="84"/>
      <c r="AM639" s="84"/>
      <c r="AN639" s="84"/>
      <c r="AO639" s="84"/>
      <c r="AP639" s="84"/>
      <c r="AQ639" s="95" t="s">
        <v>611</v>
      </c>
      <c r="AR639" s="72"/>
      <c r="AS639" s="72"/>
      <c r="AT639" s="72"/>
      <c r="AU639" s="72"/>
      <c r="AV639" s="72"/>
      <c r="AW639" s="72"/>
      <c r="AX639" s="72"/>
      <c r="AY639" s="72"/>
      <c r="AZ639" s="72"/>
      <c r="BA639" s="72"/>
      <c r="BB639" s="16"/>
      <c r="BC639" s="72"/>
      <c r="BD639" s="20"/>
      <c r="BE639" s="378"/>
    </row>
    <row r="640" spans="1:57" s="81" customFormat="1" ht="12.95" hidden="1" customHeight="1">
      <c r="A640" s="374"/>
      <c r="B640" s="376"/>
      <c r="C640" s="248" t="s">
        <v>1348</v>
      </c>
      <c r="D640" s="239" t="s">
        <v>4233</v>
      </c>
      <c r="E640" s="58"/>
      <c r="F640" s="59" t="s">
        <v>4234</v>
      </c>
      <c r="G640" s="191" t="s">
        <v>2511</v>
      </c>
      <c r="H640" s="192" t="s">
        <v>612</v>
      </c>
      <c r="I640" s="61" t="s">
        <v>2511</v>
      </c>
      <c r="J640" s="61" t="s">
        <v>2511</v>
      </c>
      <c r="K640" s="62" t="s">
        <v>2511</v>
      </c>
      <c r="L640" s="60" t="s">
        <v>2511</v>
      </c>
      <c r="M640" s="61" t="s">
        <v>2389</v>
      </c>
      <c r="N640" s="61" t="s">
        <v>2511</v>
      </c>
      <c r="O640" s="61" t="s">
        <v>2511</v>
      </c>
      <c r="P640" s="62" t="s">
        <v>2511</v>
      </c>
      <c r="Q640" s="82"/>
      <c r="R640" s="82"/>
      <c r="S640" s="82"/>
      <c r="T640" s="82"/>
      <c r="U640" s="82"/>
      <c r="V640" s="138" t="s">
        <v>4235</v>
      </c>
      <c r="W640" s="57" t="s">
        <v>4094</v>
      </c>
      <c r="X640" s="126" t="s">
        <v>2511</v>
      </c>
      <c r="Y640" s="126" t="s">
        <v>2511</v>
      </c>
      <c r="Z640" s="57"/>
      <c r="AA640" s="57" t="s">
        <v>3661</v>
      </c>
      <c r="AB640" s="138"/>
      <c r="AC640" s="138">
        <v>0</v>
      </c>
      <c r="AD640" s="96"/>
      <c r="AE640" s="80"/>
      <c r="AF640" s="80"/>
      <c r="AG640" s="80"/>
      <c r="AH640" s="83"/>
      <c r="AI640" s="83"/>
      <c r="AJ640" s="84"/>
      <c r="AK640" s="84"/>
      <c r="AL640" s="84"/>
      <c r="AM640" s="84"/>
      <c r="AN640" s="84"/>
      <c r="AO640" s="84"/>
      <c r="AP640" s="84"/>
      <c r="AQ640" s="95" t="s">
        <v>612</v>
      </c>
      <c r="AR640" s="72"/>
      <c r="AS640" s="72"/>
      <c r="AT640" s="72"/>
      <c r="AU640" s="72"/>
      <c r="AV640" s="72"/>
      <c r="AW640" s="72"/>
      <c r="AX640" s="72"/>
      <c r="AY640" s="72"/>
      <c r="AZ640" s="72"/>
      <c r="BA640" s="72"/>
      <c r="BB640" s="16"/>
      <c r="BC640" s="72"/>
      <c r="BD640" s="20"/>
      <c r="BE640" s="378"/>
    </row>
    <row r="641" spans="1:57" s="81" customFormat="1" ht="12.95" hidden="1" customHeight="1">
      <c r="A641" s="374"/>
      <c r="B641" s="376"/>
      <c r="C641" s="248" t="s">
        <v>1349</v>
      </c>
      <c r="D641" s="239" t="s">
        <v>4236</v>
      </c>
      <c r="E641" s="58"/>
      <c r="F641" s="59" t="s">
        <v>4237</v>
      </c>
      <c r="G641" s="191" t="s">
        <v>2511</v>
      </c>
      <c r="H641" s="192" t="s">
        <v>613</v>
      </c>
      <c r="I641" s="61" t="s">
        <v>2511</v>
      </c>
      <c r="J641" s="61" t="s">
        <v>2511</v>
      </c>
      <c r="K641" s="62" t="s">
        <v>2511</v>
      </c>
      <c r="L641" s="60" t="s">
        <v>2511</v>
      </c>
      <c r="M641" s="61" t="s">
        <v>2389</v>
      </c>
      <c r="N641" s="61" t="s">
        <v>2511</v>
      </c>
      <c r="O641" s="61" t="s">
        <v>2511</v>
      </c>
      <c r="P641" s="62" t="s">
        <v>2511</v>
      </c>
      <c r="Q641" s="82"/>
      <c r="R641" s="82"/>
      <c r="S641" s="82"/>
      <c r="T641" s="82"/>
      <c r="U641" s="82"/>
      <c r="V641" s="138" t="s">
        <v>4238</v>
      </c>
      <c r="W641" s="57" t="s">
        <v>4094</v>
      </c>
      <c r="X641" s="126" t="s">
        <v>2511</v>
      </c>
      <c r="Y641" s="126" t="s">
        <v>2511</v>
      </c>
      <c r="Z641" s="57"/>
      <c r="AA641" s="57" t="s">
        <v>3661</v>
      </c>
      <c r="AB641" s="138"/>
      <c r="AC641" s="138" t="s">
        <v>2631</v>
      </c>
      <c r="AD641" s="96"/>
      <c r="AE641" s="80"/>
      <c r="AF641" s="80"/>
      <c r="AG641" s="80"/>
      <c r="AH641" s="83"/>
      <c r="AI641" s="83"/>
      <c r="AJ641" s="84"/>
      <c r="AK641" s="84"/>
      <c r="AL641" s="84"/>
      <c r="AM641" s="84"/>
      <c r="AN641" s="84"/>
      <c r="AO641" s="84"/>
      <c r="AP641" s="84"/>
      <c r="AQ641" s="95" t="s">
        <v>613</v>
      </c>
      <c r="AR641" s="72"/>
      <c r="AS641" s="72"/>
      <c r="AT641" s="72"/>
      <c r="AU641" s="72"/>
      <c r="AV641" s="72"/>
      <c r="AW641" s="72"/>
      <c r="AX641" s="72"/>
      <c r="AY641" s="72"/>
      <c r="AZ641" s="72"/>
      <c r="BA641" s="72"/>
      <c r="BB641" s="16"/>
      <c r="BC641" s="72"/>
      <c r="BD641" s="20"/>
      <c r="BE641" s="378"/>
    </row>
    <row r="642" spans="1:57" s="81" customFormat="1" ht="12.95" hidden="1" customHeight="1">
      <c r="A642" s="374"/>
      <c r="B642" s="376"/>
      <c r="C642" s="248" t="s">
        <v>1350</v>
      </c>
      <c r="D642" s="239" t="s">
        <v>4239</v>
      </c>
      <c r="E642" s="58"/>
      <c r="F642" s="59" t="s">
        <v>4240</v>
      </c>
      <c r="G642" s="191" t="s">
        <v>2511</v>
      </c>
      <c r="H642" s="192" t="s">
        <v>614</v>
      </c>
      <c r="I642" s="61" t="s">
        <v>2511</v>
      </c>
      <c r="J642" s="61" t="s">
        <v>2511</v>
      </c>
      <c r="K642" s="62" t="s">
        <v>2511</v>
      </c>
      <c r="L642" s="60" t="s">
        <v>2511</v>
      </c>
      <c r="M642" s="61" t="s">
        <v>2389</v>
      </c>
      <c r="N642" s="61" t="s">
        <v>2511</v>
      </c>
      <c r="O642" s="61" t="s">
        <v>2511</v>
      </c>
      <c r="P642" s="62" t="s">
        <v>2511</v>
      </c>
      <c r="Q642" s="82"/>
      <c r="R642" s="82"/>
      <c r="S642" s="82"/>
      <c r="T642" s="82"/>
      <c r="U642" s="82"/>
      <c r="V642" s="138" t="s">
        <v>4241</v>
      </c>
      <c r="W642" s="57" t="s">
        <v>4094</v>
      </c>
      <c r="X642" s="126" t="s">
        <v>2511</v>
      </c>
      <c r="Y642" s="126" t="s">
        <v>2511</v>
      </c>
      <c r="Z642" s="57"/>
      <c r="AA642" s="57" t="s">
        <v>3661</v>
      </c>
      <c r="AB642" s="138"/>
      <c r="AC642" s="138" t="s">
        <v>2631</v>
      </c>
      <c r="AD642" s="96"/>
      <c r="AE642" s="80"/>
      <c r="AF642" s="80"/>
      <c r="AG642" s="80"/>
      <c r="AH642" s="83"/>
      <c r="AI642" s="83"/>
      <c r="AJ642" s="84"/>
      <c r="AK642" s="84"/>
      <c r="AL642" s="84"/>
      <c r="AM642" s="84"/>
      <c r="AN642" s="84"/>
      <c r="AO642" s="84"/>
      <c r="AP642" s="84"/>
      <c r="AQ642" s="95" t="s">
        <v>614</v>
      </c>
      <c r="AR642" s="72"/>
      <c r="AS642" s="72"/>
      <c r="AT642" s="72"/>
      <c r="AU642" s="72"/>
      <c r="AV642" s="72"/>
      <c r="AW642" s="72"/>
      <c r="AX642" s="72"/>
      <c r="AY642" s="72"/>
      <c r="AZ642" s="72"/>
      <c r="BA642" s="72"/>
      <c r="BB642" s="16"/>
      <c r="BC642" s="72"/>
      <c r="BD642" s="20"/>
      <c r="BE642" s="378"/>
    </row>
    <row r="643" spans="1:57" s="81" customFormat="1" ht="12.95" hidden="1" customHeight="1">
      <c r="A643" s="374"/>
      <c r="B643" s="376"/>
      <c r="C643" s="248" t="s">
        <v>1351</v>
      </c>
      <c r="D643" s="239" t="s">
        <v>4242</v>
      </c>
      <c r="E643" s="58"/>
      <c r="F643" s="59" t="s">
        <v>4243</v>
      </c>
      <c r="G643" s="191" t="s">
        <v>2511</v>
      </c>
      <c r="H643" s="192" t="s">
        <v>615</v>
      </c>
      <c r="I643" s="61" t="s">
        <v>2511</v>
      </c>
      <c r="J643" s="61" t="s">
        <v>2511</v>
      </c>
      <c r="K643" s="62" t="s">
        <v>2511</v>
      </c>
      <c r="L643" s="60" t="s">
        <v>2511</v>
      </c>
      <c r="M643" s="61" t="s">
        <v>2389</v>
      </c>
      <c r="N643" s="61" t="s">
        <v>2511</v>
      </c>
      <c r="O643" s="61" t="s">
        <v>2511</v>
      </c>
      <c r="P643" s="62" t="s">
        <v>2511</v>
      </c>
      <c r="Q643" s="82"/>
      <c r="R643" s="82"/>
      <c r="S643" s="82"/>
      <c r="T643" s="82"/>
      <c r="U643" s="82"/>
      <c r="V643" s="138" t="s">
        <v>4244</v>
      </c>
      <c r="W643" s="57" t="s">
        <v>4094</v>
      </c>
      <c r="X643" s="126" t="s">
        <v>2511</v>
      </c>
      <c r="Y643" s="126" t="s">
        <v>2511</v>
      </c>
      <c r="Z643" s="57"/>
      <c r="AA643" s="57" t="s">
        <v>3661</v>
      </c>
      <c r="AB643" s="138"/>
      <c r="AC643" s="138" t="s">
        <v>2631</v>
      </c>
      <c r="AD643" s="96"/>
      <c r="AE643" s="80"/>
      <c r="AF643" s="80"/>
      <c r="AG643" s="80"/>
      <c r="AH643" s="83"/>
      <c r="AI643" s="83"/>
      <c r="AJ643" s="84"/>
      <c r="AK643" s="84"/>
      <c r="AL643" s="84"/>
      <c r="AM643" s="84"/>
      <c r="AN643" s="84"/>
      <c r="AO643" s="84"/>
      <c r="AP643" s="84"/>
      <c r="AQ643" s="95" t="s">
        <v>615</v>
      </c>
      <c r="AR643" s="72"/>
      <c r="AS643" s="72"/>
      <c r="AT643" s="72"/>
      <c r="AU643" s="72"/>
      <c r="AV643" s="72"/>
      <c r="AW643" s="72"/>
      <c r="AX643" s="72"/>
      <c r="AY643" s="72"/>
      <c r="AZ643" s="72"/>
      <c r="BA643" s="72"/>
      <c r="BB643" s="16"/>
      <c r="BC643" s="72"/>
      <c r="BD643" s="20"/>
      <c r="BE643" s="378"/>
    </row>
    <row r="644" spans="1:57" s="81" customFormat="1" ht="12.95" hidden="1" customHeight="1">
      <c r="A644" s="374"/>
      <c r="B644" s="376"/>
      <c r="C644" s="248" t="s">
        <v>1352</v>
      </c>
      <c r="D644" s="239" t="s">
        <v>4245</v>
      </c>
      <c r="E644" s="58"/>
      <c r="F644" s="59" t="s">
        <v>4246</v>
      </c>
      <c r="G644" s="191" t="s">
        <v>2511</v>
      </c>
      <c r="H644" s="192" t="s">
        <v>616</v>
      </c>
      <c r="I644" s="61" t="s">
        <v>2511</v>
      </c>
      <c r="J644" s="61" t="s">
        <v>2511</v>
      </c>
      <c r="K644" s="62" t="s">
        <v>2511</v>
      </c>
      <c r="L644" s="60" t="s">
        <v>2511</v>
      </c>
      <c r="M644" s="61" t="s">
        <v>2389</v>
      </c>
      <c r="N644" s="61" t="s">
        <v>2511</v>
      </c>
      <c r="O644" s="61" t="s">
        <v>2511</v>
      </c>
      <c r="P644" s="62" t="s">
        <v>2511</v>
      </c>
      <c r="Q644" s="82"/>
      <c r="R644" s="82"/>
      <c r="S644" s="82"/>
      <c r="T644" s="82"/>
      <c r="U644" s="82"/>
      <c r="V644" s="138" t="s">
        <v>4247</v>
      </c>
      <c r="W644" s="57" t="s">
        <v>4094</v>
      </c>
      <c r="X644" s="126" t="s">
        <v>2511</v>
      </c>
      <c r="Y644" s="126" t="s">
        <v>2511</v>
      </c>
      <c r="Z644" s="57"/>
      <c r="AA644" s="57" t="s">
        <v>3661</v>
      </c>
      <c r="AB644" s="138"/>
      <c r="AC644" s="138" t="s">
        <v>2631</v>
      </c>
      <c r="AD644" s="96"/>
      <c r="AE644" s="80"/>
      <c r="AF644" s="80"/>
      <c r="AG644" s="80"/>
      <c r="AH644" s="83"/>
      <c r="AI644" s="83"/>
      <c r="AJ644" s="84"/>
      <c r="AK644" s="84"/>
      <c r="AL644" s="84"/>
      <c r="AM644" s="84"/>
      <c r="AN644" s="84"/>
      <c r="AO644" s="84"/>
      <c r="AP644" s="84"/>
      <c r="AQ644" s="95" t="s">
        <v>616</v>
      </c>
      <c r="AR644" s="72"/>
      <c r="AS644" s="72"/>
      <c r="AT644" s="72"/>
      <c r="AU644" s="72"/>
      <c r="AV644" s="72"/>
      <c r="AW644" s="72"/>
      <c r="AX644" s="72"/>
      <c r="AY644" s="72"/>
      <c r="AZ644" s="72"/>
      <c r="BA644" s="72"/>
      <c r="BB644" s="16"/>
      <c r="BC644" s="72"/>
      <c r="BD644" s="20"/>
      <c r="BE644" s="378"/>
    </row>
    <row r="645" spans="1:57" s="81" customFormat="1" ht="12.95" hidden="1" customHeight="1">
      <c r="A645" s="374"/>
      <c r="B645" s="376"/>
      <c r="C645" s="248" t="s">
        <v>1353</v>
      </c>
      <c r="D645" s="239" t="s">
        <v>4248</v>
      </c>
      <c r="E645" s="58"/>
      <c r="F645" s="59" t="s">
        <v>4249</v>
      </c>
      <c r="G645" s="191" t="s">
        <v>2511</v>
      </c>
      <c r="H645" s="192" t="s">
        <v>617</v>
      </c>
      <c r="I645" s="61" t="s">
        <v>2511</v>
      </c>
      <c r="J645" s="61" t="s">
        <v>2511</v>
      </c>
      <c r="K645" s="62" t="s">
        <v>2511</v>
      </c>
      <c r="L645" s="60" t="s">
        <v>2511</v>
      </c>
      <c r="M645" s="61" t="s">
        <v>2389</v>
      </c>
      <c r="N645" s="61" t="s">
        <v>2511</v>
      </c>
      <c r="O645" s="61" t="s">
        <v>2511</v>
      </c>
      <c r="P645" s="62" t="s">
        <v>2511</v>
      </c>
      <c r="Q645" s="82"/>
      <c r="R645" s="82"/>
      <c r="S645" s="82"/>
      <c r="T645" s="82"/>
      <c r="U645" s="82"/>
      <c r="V645" s="138" t="s">
        <v>4250</v>
      </c>
      <c r="W645" s="57" t="s">
        <v>4094</v>
      </c>
      <c r="X645" s="126" t="s">
        <v>2511</v>
      </c>
      <c r="Y645" s="126" t="s">
        <v>2511</v>
      </c>
      <c r="Z645" s="57"/>
      <c r="AA645" s="57" t="s">
        <v>3661</v>
      </c>
      <c r="AB645" s="138"/>
      <c r="AC645" s="138" t="s">
        <v>2631</v>
      </c>
      <c r="AD645" s="96"/>
      <c r="AE645" s="80"/>
      <c r="AF645" s="80"/>
      <c r="AG645" s="80"/>
      <c r="AH645" s="83"/>
      <c r="AI645" s="83"/>
      <c r="AJ645" s="84"/>
      <c r="AK645" s="84"/>
      <c r="AL645" s="84"/>
      <c r="AM645" s="84"/>
      <c r="AN645" s="84"/>
      <c r="AO645" s="84"/>
      <c r="AP645" s="84"/>
      <c r="AQ645" s="95" t="s">
        <v>617</v>
      </c>
      <c r="AR645" s="72"/>
      <c r="AS645" s="72"/>
      <c r="AT645" s="72"/>
      <c r="AU645" s="72"/>
      <c r="AV645" s="72"/>
      <c r="AW645" s="72"/>
      <c r="AX645" s="72"/>
      <c r="AY645" s="72"/>
      <c r="AZ645" s="72"/>
      <c r="BA645" s="72"/>
      <c r="BB645" s="16"/>
      <c r="BC645" s="72"/>
      <c r="BD645" s="20"/>
      <c r="BE645" s="378"/>
    </row>
    <row r="646" spans="1:57" s="81" customFormat="1" ht="12.95" hidden="1" customHeight="1">
      <c r="A646" s="374"/>
      <c r="B646" s="376"/>
      <c r="C646" s="248" t="s">
        <v>1354</v>
      </c>
      <c r="D646" s="239" t="s">
        <v>4251</v>
      </c>
      <c r="E646" s="58"/>
      <c r="F646" s="59" t="s">
        <v>4252</v>
      </c>
      <c r="G646" s="191" t="s">
        <v>2511</v>
      </c>
      <c r="H646" s="192" t="s">
        <v>618</v>
      </c>
      <c r="I646" s="61" t="s">
        <v>2511</v>
      </c>
      <c r="J646" s="61" t="s">
        <v>2511</v>
      </c>
      <c r="K646" s="62" t="s">
        <v>2511</v>
      </c>
      <c r="L646" s="60" t="s">
        <v>2511</v>
      </c>
      <c r="M646" s="61" t="s">
        <v>2389</v>
      </c>
      <c r="N646" s="61" t="s">
        <v>2511</v>
      </c>
      <c r="O646" s="61" t="s">
        <v>2511</v>
      </c>
      <c r="P646" s="62" t="s">
        <v>2511</v>
      </c>
      <c r="Q646" s="82"/>
      <c r="R646" s="82"/>
      <c r="S646" s="82"/>
      <c r="T646" s="82"/>
      <c r="U646" s="82"/>
      <c r="V646" s="138" t="s">
        <v>4253</v>
      </c>
      <c r="W646" s="57" t="s">
        <v>4094</v>
      </c>
      <c r="X646" s="126" t="s">
        <v>2511</v>
      </c>
      <c r="Y646" s="126" t="s">
        <v>2511</v>
      </c>
      <c r="Z646" s="57"/>
      <c r="AA646" s="57" t="s">
        <v>3661</v>
      </c>
      <c r="AB646" s="138"/>
      <c r="AC646" s="138" t="s">
        <v>2631</v>
      </c>
      <c r="AD646" s="96"/>
      <c r="AE646" s="80"/>
      <c r="AF646" s="80"/>
      <c r="AG646" s="80"/>
      <c r="AH646" s="83"/>
      <c r="AI646" s="83"/>
      <c r="AJ646" s="84"/>
      <c r="AK646" s="84"/>
      <c r="AL646" s="84"/>
      <c r="AM646" s="84"/>
      <c r="AN646" s="84"/>
      <c r="AO646" s="84"/>
      <c r="AP646" s="84"/>
      <c r="AQ646" s="95" t="s">
        <v>618</v>
      </c>
      <c r="AR646" s="72"/>
      <c r="AS646" s="72"/>
      <c r="AT646" s="72"/>
      <c r="AU646" s="72"/>
      <c r="AV646" s="72"/>
      <c r="AW646" s="72"/>
      <c r="AX646" s="72"/>
      <c r="AY646" s="72"/>
      <c r="AZ646" s="72"/>
      <c r="BA646" s="72"/>
      <c r="BB646" s="16"/>
      <c r="BC646" s="72"/>
      <c r="BD646" s="20"/>
      <c r="BE646" s="378"/>
    </row>
    <row r="647" spans="1:57" s="81" customFormat="1" ht="12.95" hidden="1" customHeight="1">
      <c r="A647" s="374"/>
      <c r="B647" s="376"/>
      <c r="C647" s="248" t="s">
        <v>1355</v>
      </c>
      <c r="D647" s="239" t="s">
        <v>4254</v>
      </c>
      <c r="E647" s="58"/>
      <c r="F647" s="59" t="s">
        <v>4255</v>
      </c>
      <c r="G647" s="191" t="s">
        <v>2511</v>
      </c>
      <c r="H647" s="192" t="s">
        <v>619</v>
      </c>
      <c r="I647" s="61" t="s">
        <v>2511</v>
      </c>
      <c r="J647" s="61" t="s">
        <v>2511</v>
      </c>
      <c r="K647" s="62" t="s">
        <v>2511</v>
      </c>
      <c r="L647" s="60" t="s">
        <v>2511</v>
      </c>
      <c r="M647" s="61" t="s">
        <v>2389</v>
      </c>
      <c r="N647" s="61" t="s">
        <v>2511</v>
      </c>
      <c r="O647" s="61" t="s">
        <v>2511</v>
      </c>
      <c r="P647" s="62" t="s">
        <v>2511</v>
      </c>
      <c r="Q647" s="82"/>
      <c r="R647" s="82"/>
      <c r="S647" s="82"/>
      <c r="T647" s="82"/>
      <c r="U647" s="82"/>
      <c r="V647" s="138" t="s">
        <v>4256</v>
      </c>
      <c r="W647" s="57" t="s">
        <v>4094</v>
      </c>
      <c r="X647" s="126" t="s">
        <v>2511</v>
      </c>
      <c r="Y647" s="126" t="s">
        <v>2511</v>
      </c>
      <c r="Z647" s="57"/>
      <c r="AA647" s="57" t="s">
        <v>3661</v>
      </c>
      <c r="AB647" s="138"/>
      <c r="AC647" s="138" t="s">
        <v>2631</v>
      </c>
      <c r="AD647" s="96"/>
      <c r="AE647" s="80"/>
      <c r="AF647" s="80"/>
      <c r="AG647" s="80"/>
      <c r="AH647" s="83"/>
      <c r="AI647" s="83"/>
      <c r="AJ647" s="84"/>
      <c r="AK647" s="84"/>
      <c r="AL647" s="84"/>
      <c r="AM647" s="84"/>
      <c r="AN647" s="84"/>
      <c r="AO647" s="84"/>
      <c r="AP647" s="84"/>
      <c r="AQ647" s="95" t="s">
        <v>619</v>
      </c>
      <c r="AR647" s="72"/>
      <c r="AS647" s="72"/>
      <c r="AT647" s="72"/>
      <c r="AU647" s="72"/>
      <c r="AV647" s="72"/>
      <c r="AW647" s="72"/>
      <c r="AX647" s="72"/>
      <c r="AY647" s="72"/>
      <c r="AZ647" s="72"/>
      <c r="BA647" s="72"/>
      <c r="BB647" s="16"/>
      <c r="BC647" s="72"/>
      <c r="BD647" s="20"/>
      <c r="BE647" s="378"/>
    </row>
    <row r="648" spans="1:57" s="81" customFormat="1" ht="12.95" hidden="1" customHeight="1">
      <c r="A648" s="374"/>
      <c r="B648" s="376"/>
      <c r="C648" s="248" t="s">
        <v>1356</v>
      </c>
      <c r="D648" s="239" t="s">
        <v>4257</v>
      </c>
      <c r="E648" s="58"/>
      <c r="F648" s="59" t="s">
        <v>4258</v>
      </c>
      <c r="G648" s="191" t="s">
        <v>2511</v>
      </c>
      <c r="H648" s="192" t="s">
        <v>620</v>
      </c>
      <c r="I648" s="61" t="s">
        <v>2511</v>
      </c>
      <c r="J648" s="61" t="s">
        <v>2511</v>
      </c>
      <c r="K648" s="62" t="s">
        <v>2511</v>
      </c>
      <c r="L648" s="60" t="s">
        <v>2511</v>
      </c>
      <c r="M648" s="61" t="s">
        <v>2389</v>
      </c>
      <c r="N648" s="61" t="s">
        <v>2511</v>
      </c>
      <c r="O648" s="61" t="s">
        <v>2511</v>
      </c>
      <c r="P648" s="62" t="s">
        <v>2511</v>
      </c>
      <c r="Q648" s="82"/>
      <c r="R648" s="82"/>
      <c r="S648" s="82"/>
      <c r="T648" s="82"/>
      <c r="U648" s="82"/>
      <c r="V648" s="138" t="s">
        <v>4259</v>
      </c>
      <c r="W648" s="57" t="s">
        <v>4094</v>
      </c>
      <c r="X648" s="126" t="s">
        <v>2511</v>
      </c>
      <c r="Y648" s="126" t="s">
        <v>2511</v>
      </c>
      <c r="Z648" s="57"/>
      <c r="AA648" s="57" t="s">
        <v>3661</v>
      </c>
      <c r="AB648" s="138"/>
      <c r="AC648" s="138" t="s">
        <v>2631</v>
      </c>
      <c r="AD648" s="96"/>
      <c r="AE648" s="80"/>
      <c r="AF648" s="80"/>
      <c r="AG648" s="80"/>
      <c r="AH648" s="83"/>
      <c r="AI648" s="83"/>
      <c r="AJ648" s="84"/>
      <c r="AK648" s="84"/>
      <c r="AL648" s="84"/>
      <c r="AM648" s="84"/>
      <c r="AN648" s="84"/>
      <c r="AO648" s="84"/>
      <c r="AP648" s="84"/>
      <c r="AQ648" s="95" t="s">
        <v>620</v>
      </c>
      <c r="AR648" s="72"/>
      <c r="AS648" s="72"/>
      <c r="AT648" s="72"/>
      <c r="AU648" s="72"/>
      <c r="AV648" s="72"/>
      <c r="AW648" s="72"/>
      <c r="AX648" s="72"/>
      <c r="AY648" s="72"/>
      <c r="AZ648" s="72"/>
      <c r="BA648" s="72"/>
      <c r="BB648" s="16"/>
      <c r="BC648" s="72"/>
      <c r="BD648" s="20"/>
      <c r="BE648" s="378"/>
    </row>
    <row r="649" spans="1:57" s="81" customFormat="1" ht="12.95" hidden="1" customHeight="1">
      <c r="A649" s="374"/>
      <c r="B649" s="376"/>
      <c r="C649" s="248" t="s">
        <v>1357</v>
      </c>
      <c r="D649" s="239" t="s">
        <v>4260</v>
      </c>
      <c r="E649" s="58"/>
      <c r="F649" s="59" t="s">
        <v>4261</v>
      </c>
      <c r="G649" s="191" t="s">
        <v>2511</v>
      </c>
      <c r="H649" s="192" t="s">
        <v>621</v>
      </c>
      <c r="I649" s="61" t="s">
        <v>2511</v>
      </c>
      <c r="J649" s="61" t="s">
        <v>2511</v>
      </c>
      <c r="K649" s="62" t="s">
        <v>2511</v>
      </c>
      <c r="L649" s="60" t="s">
        <v>2511</v>
      </c>
      <c r="M649" s="61" t="s">
        <v>2389</v>
      </c>
      <c r="N649" s="61" t="s">
        <v>2511</v>
      </c>
      <c r="O649" s="61" t="s">
        <v>2511</v>
      </c>
      <c r="P649" s="62" t="s">
        <v>2511</v>
      </c>
      <c r="Q649" s="82"/>
      <c r="R649" s="82"/>
      <c r="S649" s="82"/>
      <c r="T649" s="82"/>
      <c r="U649" s="82"/>
      <c r="V649" s="138" t="s">
        <v>4262</v>
      </c>
      <c r="W649" s="57" t="s">
        <v>4094</v>
      </c>
      <c r="X649" s="126" t="s">
        <v>2511</v>
      </c>
      <c r="Y649" s="126" t="s">
        <v>2511</v>
      </c>
      <c r="Z649" s="57"/>
      <c r="AA649" s="57" t="s">
        <v>3661</v>
      </c>
      <c r="AB649" s="138"/>
      <c r="AC649" s="138" t="s">
        <v>2631</v>
      </c>
      <c r="AD649" s="96"/>
      <c r="AE649" s="80"/>
      <c r="AF649" s="80"/>
      <c r="AG649" s="80"/>
      <c r="AH649" s="83"/>
      <c r="AI649" s="83"/>
      <c r="AJ649" s="84"/>
      <c r="AK649" s="84"/>
      <c r="AL649" s="84"/>
      <c r="AM649" s="84"/>
      <c r="AN649" s="84"/>
      <c r="AO649" s="84"/>
      <c r="AP649" s="84"/>
      <c r="AQ649" s="95" t="s">
        <v>621</v>
      </c>
      <c r="AR649" s="72"/>
      <c r="AS649" s="72"/>
      <c r="AT649" s="72"/>
      <c r="AU649" s="72"/>
      <c r="AV649" s="72"/>
      <c r="AW649" s="72"/>
      <c r="AX649" s="72"/>
      <c r="AY649" s="72"/>
      <c r="AZ649" s="72"/>
      <c r="BA649" s="72"/>
      <c r="BB649" s="16"/>
      <c r="BC649" s="72"/>
      <c r="BD649" s="20"/>
      <c r="BE649" s="378"/>
    </row>
    <row r="650" spans="1:57" s="81" customFormat="1" ht="12.95" hidden="1" customHeight="1">
      <c r="A650" s="374"/>
      <c r="B650" s="376"/>
      <c r="C650" s="270" t="s">
        <v>1358</v>
      </c>
      <c r="D650" s="239" t="s">
        <v>4263</v>
      </c>
      <c r="E650" s="58"/>
      <c r="F650" s="59" t="s">
        <v>4264</v>
      </c>
      <c r="G650" s="191" t="s">
        <v>2511</v>
      </c>
      <c r="H650" s="192" t="s">
        <v>622</v>
      </c>
      <c r="I650" s="61" t="s">
        <v>2511</v>
      </c>
      <c r="J650" s="61" t="s">
        <v>2511</v>
      </c>
      <c r="K650" s="62" t="s">
        <v>2511</v>
      </c>
      <c r="L650" s="60" t="s">
        <v>2511</v>
      </c>
      <c r="M650" s="61" t="s">
        <v>2389</v>
      </c>
      <c r="N650" s="61" t="s">
        <v>2511</v>
      </c>
      <c r="O650" s="61" t="s">
        <v>2511</v>
      </c>
      <c r="P650" s="62" t="s">
        <v>2511</v>
      </c>
      <c r="Q650" s="82"/>
      <c r="R650" s="82"/>
      <c r="S650" s="82"/>
      <c r="T650" s="82"/>
      <c r="U650" s="82"/>
      <c r="V650" s="138" t="s">
        <v>4265</v>
      </c>
      <c r="W650" s="57" t="s">
        <v>4094</v>
      </c>
      <c r="X650" s="126" t="s">
        <v>2511</v>
      </c>
      <c r="Y650" s="126" t="s">
        <v>2511</v>
      </c>
      <c r="Z650" s="57"/>
      <c r="AA650" s="57" t="s">
        <v>3661</v>
      </c>
      <c r="AB650" s="138"/>
      <c r="AC650" s="138" t="s">
        <v>2631</v>
      </c>
      <c r="AD650" s="96"/>
      <c r="AE650" s="80"/>
      <c r="AF650" s="80"/>
      <c r="AG650" s="80"/>
      <c r="AH650" s="83"/>
      <c r="AI650" s="83"/>
      <c r="AJ650" s="84"/>
      <c r="AK650" s="84"/>
      <c r="AL650" s="84"/>
      <c r="AM650" s="84"/>
      <c r="AN650" s="84"/>
      <c r="AO650" s="84"/>
      <c r="AP650" s="84"/>
      <c r="AQ650" s="95" t="s">
        <v>622</v>
      </c>
      <c r="AR650" s="72"/>
      <c r="AS650" s="72"/>
      <c r="AT650" s="72"/>
      <c r="AU650" s="72"/>
      <c r="AV650" s="72"/>
      <c r="AW650" s="72"/>
      <c r="AX650" s="72"/>
      <c r="AY650" s="72"/>
      <c r="AZ650" s="72"/>
      <c r="BA650" s="72"/>
      <c r="BB650" s="16"/>
      <c r="BC650" s="72"/>
      <c r="BD650" s="20"/>
      <c r="BE650" s="378"/>
    </row>
    <row r="651" spans="1:57" s="81" customFormat="1" ht="12.95" hidden="1" customHeight="1">
      <c r="A651" s="374"/>
      <c r="B651" s="376"/>
      <c r="C651" s="270" t="s">
        <v>1359</v>
      </c>
      <c r="D651" s="239" t="s">
        <v>4266</v>
      </c>
      <c r="E651" s="58"/>
      <c r="F651" s="59" t="s">
        <v>4267</v>
      </c>
      <c r="G651" s="191" t="s">
        <v>2511</v>
      </c>
      <c r="H651" s="192" t="s">
        <v>623</v>
      </c>
      <c r="I651" s="61" t="s">
        <v>2511</v>
      </c>
      <c r="J651" s="61" t="s">
        <v>2511</v>
      </c>
      <c r="K651" s="62" t="s">
        <v>2511</v>
      </c>
      <c r="L651" s="60" t="s">
        <v>2511</v>
      </c>
      <c r="M651" s="61" t="s">
        <v>2389</v>
      </c>
      <c r="N651" s="61" t="s">
        <v>2511</v>
      </c>
      <c r="O651" s="61" t="s">
        <v>2511</v>
      </c>
      <c r="P651" s="62" t="s">
        <v>2511</v>
      </c>
      <c r="Q651" s="82"/>
      <c r="R651" s="82"/>
      <c r="S651" s="82"/>
      <c r="T651" s="82"/>
      <c r="U651" s="82"/>
      <c r="V651" s="138" t="s">
        <v>4268</v>
      </c>
      <c r="W651" s="57" t="s">
        <v>4094</v>
      </c>
      <c r="X651" s="126" t="s">
        <v>2511</v>
      </c>
      <c r="Y651" s="126" t="s">
        <v>2511</v>
      </c>
      <c r="Z651" s="57"/>
      <c r="AA651" s="57" t="s">
        <v>3661</v>
      </c>
      <c r="AB651" s="138"/>
      <c r="AC651" s="138" t="s">
        <v>2631</v>
      </c>
      <c r="AD651" s="96"/>
      <c r="AE651" s="80"/>
      <c r="AF651" s="80"/>
      <c r="AG651" s="80"/>
      <c r="AH651" s="83"/>
      <c r="AI651" s="83"/>
      <c r="AJ651" s="84"/>
      <c r="AK651" s="84"/>
      <c r="AL651" s="84"/>
      <c r="AM651" s="84"/>
      <c r="AN651" s="84"/>
      <c r="AO651" s="84"/>
      <c r="AP651" s="84"/>
      <c r="AQ651" s="95" t="s">
        <v>623</v>
      </c>
      <c r="AR651" s="72"/>
      <c r="AS651" s="72"/>
      <c r="AT651" s="72"/>
      <c r="AU651" s="72"/>
      <c r="AV651" s="72"/>
      <c r="AW651" s="72"/>
      <c r="AX651" s="72"/>
      <c r="AY651" s="72"/>
      <c r="AZ651" s="72"/>
      <c r="BA651" s="72"/>
      <c r="BB651" s="16"/>
      <c r="BC651" s="72"/>
      <c r="BD651" s="20"/>
      <c r="BE651" s="378"/>
    </row>
    <row r="652" spans="1:57" s="81" customFormat="1" ht="12.95" hidden="1" customHeight="1">
      <c r="A652" s="374"/>
      <c r="B652" s="376"/>
      <c r="C652" s="248" t="s">
        <v>1360</v>
      </c>
      <c r="D652" s="239" t="s">
        <v>4269</v>
      </c>
      <c r="E652" s="58"/>
      <c r="F652" s="59" t="s">
        <v>4270</v>
      </c>
      <c r="G652" s="191" t="s">
        <v>2511</v>
      </c>
      <c r="H652" s="192" t="s">
        <v>624</v>
      </c>
      <c r="I652" s="61" t="s">
        <v>2511</v>
      </c>
      <c r="J652" s="61" t="s">
        <v>2511</v>
      </c>
      <c r="K652" s="62" t="s">
        <v>2511</v>
      </c>
      <c r="L652" s="60" t="s">
        <v>2511</v>
      </c>
      <c r="M652" s="61" t="s">
        <v>2389</v>
      </c>
      <c r="N652" s="61" t="s">
        <v>2511</v>
      </c>
      <c r="O652" s="61" t="s">
        <v>2511</v>
      </c>
      <c r="P652" s="62" t="s">
        <v>2511</v>
      </c>
      <c r="Q652" s="82"/>
      <c r="R652" s="82"/>
      <c r="S652" s="82"/>
      <c r="T652" s="82"/>
      <c r="U652" s="82"/>
      <c r="V652" s="138" t="s">
        <v>4271</v>
      </c>
      <c r="W652" s="57" t="s">
        <v>4094</v>
      </c>
      <c r="X652" s="126" t="s">
        <v>2511</v>
      </c>
      <c r="Y652" s="126" t="s">
        <v>2511</v>
      </c>
      <c r="Z652" s="57"/>
      <c r="AA652" s="57" t="s">
        <v>3661</v>
      </c>
      <c r="AB652" s="138"/>
      <c r="AC652" s="138">
        <v>0</v>
      </c>
      <c r="AD652" s="96"/>
      <c r="AE652" s="80"/>
      <c r="AF652" s="80"/>
      <c r="AG652" s="80"/>
      <c r="AH652" s="83"/>
      <c r="AI652" s="83"/>
      <c r="AJ652" s="84"/>
      <c r="AK652" s="84"/>
      <c r="AL652" s="84"/>
      <c r="AM652" s="84"/>
      <c r="AN652" s="84"/>
      <c r="AO652" s="84"/>
      <c r="AP652" s="84"/>
      <c r="AQ652" s="95" t="s">
        <v>624</v>
      </c>
      <c r="AR652" s="72"/>
      <c r="AS652" s="72"/>
      <c r="AT652" s="72"/>
      <c r="AU652" s="72"/>
      <c r="AV652" s="72"/>
      <c r="AW652" s="72"/>
      <c r="AX652" s="72"/>
      <c r="AY652" s="72"/>
      <c r="AZ652" s="72"/>
      <c r="BA652" s="72"/>
      <c r="BB652" s="16"/>
      <c r="BC652" s="72"/>
      <c r="BD652" s="20"/>
      <c r="BE652" s="378"/>
    </row>
    <row r="653" spans="1:57" s="81" customFormat="1" ht="12.95" hidden="1" customHeight="1">
      <c r="A653" s="374"/>
      <c r="B653" s="376"/>
      <c r="C653" s="248" t="s">
        <v>1361</v>
      </c>
      <c r="D653" s="239" t="s">
        <v>4272</v>
      </c>
      <c r="E653" s="58"/>
      <c r="F653" s="59" t="s">
        <v>4273</v>
      </c>
      <c r="G653" s="191" t="s">
        <v>2511</v>
      </c>
      <c r="H653" s="192" t="s">
        <v>625</v>
      </c>
      <c r="I653" s="61" t="s">
        <v>2511</v>
      </c>
      <c r="J653" s="61" t="s">
        <v>2511</v>
      </c>
      <c r="K653" s="62" t="s">
        <v>2511</v>
      </c>
      <c r="L653" s="60" t="s">
        <v>2511</v>
      </c>
      <c r="M653" s="61" t="s">
        <v>2389</v>
      </c>
      <c r="N653" s="61" t="s">
        <v>2511</v>
      </c>
      <c r="O653" s="61" t="s">
        <v>2511</v>
      </c>
      <c r="P653" s="62" t="s">
        <v>2511</v>
      </c>
      <c r="Q653" s="82"/>
      <c r="R653" s="82"/>
      <c r="S653" s="82"/>
      <c r="T653" s="82"/>
      <c r="U653" s="82"/>
      <c r="V653" s="138" t="s">
        <v>4274</v>
      </c>
      <c r="W653" s="57" t="s">
        <v>4094</v>
      </c>
      <c r="X653" s="126" t="s">
        <v>2511</v>
      </c>
      <c r="Y653" s="126" t="s">
        <v>2511</v>
      </c>
      <c r="Z653" s="57"/>
      <c r="AA653" s="57" t="s">
        <v>3661</v>
      </c>
      <c r="AB653" s="138"/>
      <c r="AC653" s="138" t="s">
        <v>2631</v>
      </c>
      <c r="AD653" s="96"/>
      <c r="AE653" s="80"/>
      <c r="AF653" s="80"/>
      <c r="AG653" s="80"/>
      <c r="AH653" s="83"/>
      <c r="AI653" s="83"/>
      <c r="AJ653" s="84"/>
      <c r="AK653" s="84"/>
      <c r="AL653" s="84"/>
      <c r="AM653" s="84"/>
      <c r="AN653" s="84"/>
      <c r="AO653" s="84"/>
      <c r="AP653" s="84"/>
      <c r="AQ653" s="95" t="s">
        <v>625</v>
      </c>
      <c r="AR653" s="72"/>
      <c r="AS653" s="72"/>
      <c r="AT653" s="72"/>
      <c r="AU653" s="72"/>
      <c r="AV653" s="72"/>
      <c r="AW653" s="72"/>
      <c r="AX653" s="72"/>
      <c r="AY653" s="72"/>
      <c r="AZ653" s="72"/>
      <c r="BA653" s="72"/>
      <c r="BB653" s="16"/>
      <c r="BC653" s="72"/>
      <c r="BD653" s="20"/>
      <c r="BE653" s="378"/>
    </row>
    <row r="654" spans="1:57" s="81" customFormat="1" ht="12.95" hidden="1" customHeight="1">
      <c r="A654" s="374"/>
      <c r="B654" s="376"/>
      <c r="C654" s="248" t="s">
        <v>1362</v>
      </c>
      <c r="D654" s="239" t="s">
        <v>4275</v>
      </c>
      <c r="E654" s="58"/>
      <c r="F654" s="59" t="s">
        <v>4276</v>
      </c>
      <c r="G654" s="191" t="s">
        <v>2511</v>
      </c>
      <c r="H654" s="192" t="s">
        <v>626</v>
      </c>
      <c r="I654" s="61" t="s">
        <v>2511</v>
      </c>
      <c r="J654" s="61" t="s">
        <v>2511</v>
      </c>
      <c r="K654" s="62" t="s">
        <v>2511</v>
      </c>
      <c r="L654" s="60" t="s">
        <v>2511</v>
      </c>
      <c r="M654" s="61" t="s">
        <v>2389</v>
      </c>
      <c r="N654" s="61" t="s">
        <v>2511</v>
      </c>
      <c r="O654" s="61" t="s">
        <v>2511</v>
      </c>
      <c r="P654" s="62" t="s">
        <v>2511</v>
      </c>
      <c r="Q654" s="82"/>
      <c r="R654" s="82"/>
      <c r="S654" s="82"/>
      <c r="T654" s="82"/>
      <c r="U654" s="82"/>
      <c r="V654" s="138" t="s">
        <v>4277</v>
      </c>
      <c r="W654" s="57" t="s">
        <v>4094</v>
      </c>
      <c r="X654" s="126" t="s">
        <v>2511</v>
      </c>
      <c r="Y654" s="126" t="s">
        <v>2511</v>
      </c>
      <c r="Z654" s="57"/>
      <c r="AA654" s="57" t="s">
        <v>3661</v>
      </c>
      <c r="AB654" s="138"/>
      <c r="AC654" s="138" t="s">
        <v>2631</v>
      </c>
      <c r="AD654" s="96"/>
      <c r="AE654" s="80"/>
      <c r="AF654" s="80"/>
      <c r="AG654" s="80"/>
      <c r="AH654" s="83"/>
      <c r="AI654" s="83"/>
      <c r="AJ654" s="84"/>
      <c r="AK654" s="84"/>
      <c r="AL654" s="84"/>
      <c r="AM654" s="84"/>
      <c r="AN654" s="84"/>
      <c r="AO654" s="84"/>
      <c r="AP654" s="84"/>
      <c r="AQ654" s="95" t="s">
        <v>626</v>
      </c>
      <c r="AR654" s="72"/>
      <c r="AS654" s="72"/>
      <c r="AT654" s="72"/>
      <c r="AU654" s="72"/>
      <c r="AV654" s="72"/>
      <c r="AW654" s="72"/>
      <c r="AX654" s="72"/>
      <c r="AY654" s="72"/>
      <c r="AZ654" s="72"/>
      <c r="BA654" s="72"/>
      <c r="BB654" s="16"/>
      <c r="BC654" s="72"/>
      <c r="BD654" s="20"/>
      <c r="BE654" s="378"/>
    </row>
    <row r="655" spans="1:57" s="81" customFormat="1" ht="12.95" hidden="1" customHeight="1">
      <c r="A655" s="374"/>
      <c r="B655" s="376"/>
      <c r="C655" s="248" t="s">
        <v>1363</v>
      </c>
      <c r="D655" s="239" t="s">
        <v>4278</v>
      </c>
      <c r="E655" s="58"/>
      <c r="F655" s="59" t="s">
        <v>4279</v>
      </c>
      <c r="G655" s="191" t="s">
        <v>2511</v>
      </c>
      <c r="H655" s="192" t="s">
        <v>627</v>
      </c>
      <c r="I655" s="61" t="s">
        <v>2511</v>
      </c>
      <c r="J655" s="61" t="s">
        <v>2511</v>
      </c>
      <c r="K655" s="62" t="s">
        <v>2511</v>
      </c>
      <c r="L655" s="60" t="s">
        <v>2511</v>
      </c>
      <c r="M655" s="61" t="s">
        <v>2389</v>
      </c>
      <c r="N655" s="61" t="s">
        <v>2511</v>
      </c>
      <c r="O655" s="61" t="s">
        <v>2511</v>
      </c>
      <c r="P655" s="62" t="s">
        <v>2511</v>
      </c>
      <c r="Q655" s="82"/>
      <c r="R655" s="82"/>
      <c r="S655" s="82"/>
      <c r="T655" s="82"/>
      <c r="U655" s="82"/>
      <c r="V655" s="138" t="s">
        <v>4280</v>
      </c>
      <c r="W655" s="57" t="s">
        <v>4094</v>
      </c>
      <c r="X655" s="126" t="s">
        <v>2511</v>
      </c>
      <c r="Y655" s="126" t="s">
        <v>2511</v>
      </c>
      <c r="Z655" s="57"/>
      <c r="AA655" s="57" t="s">
        <v>3661</v>
      </c>
      <c r="AB655" s="138"/>
      <c r="AC655" s="138" t="s">
        <v>2631</v>
      </c>
      <c r="AD655" s="96"/>
      <c r="AE655" s="80"/>
      <c r="AF655" s="80"/>
      <c r="AG655" s="80"/>
      <c r="AH655" s="83"/>
      <c r="AI655" s="83"/>
      <c r="AJ655" s="84"/>
      <c r="AK655" s="84"/>
      <c r="AL655" s="84"/>
      <c r="AM655" s="84"/>
      <c r="AN655" s="84"/>
      <c r="AO655" s="84"/>
      <c r="AP655" s="84"/>
      <c r="AQ655" s="95" t="s">
        <v>627</v>
      </c>
      <c r="AR655" s="72"/>
      <c r="AS655" s="72"/>
      <c r="AT655" s="72"/>
      <c r="AU655" s="72"/>
      <c r="AV655" s="72"/>
      <c r="AW655" s="72"/>
      <c r="AX655" s="72"/>
      <c r="AY655" s="72"/>
      <c r="AZ655" s="72"/>
      <c r="BA655" s="72"/>
      <c r="BB655" s="16"/>
      <c r="BC655" s="72"/>
      <c r="BD655" s="20"/>
      <c r="BE655" s="378"/>
    </row>
    <row r="656" spans="1:57" s="81" customFormat="1" ht="12.95" hidden="1" customHeight="1">
      <c r="A656" s="374"/>
      <c r="B656" s="376"/>
      <c r="C656" s="248" t="s">
        <v>1364</v>
      </c>
      <c r="D656" s="239" t="s">
        <v>4281</v>
      </c>
      <c r="E656" s="58"/>
      <c r="F656" s="59" t="s">
        <v>4282</v>
      </c>
      <c r="G656" s="191" t="s">
        <v>2511</v>
      </c>
      <c r="H656" s="192" t="s">
        <v>628</v>
      </c>
      <c r="I656" s="61" t="s">
        <v>2511</v>
      </c>
      <c r="J656" s="61" t="s">
        <v>2511</v>
      </c>
      <c r="K656" s="62" t="s">
        <v>2511</v>
      </c>
      <c r="L656" s="60" t="s">
        <v>2511</v>
      </c>
      <c r="M656" s="61" t="s">
        <v>2389</v>
      </c>
      <c r="N656" s="61" t="s">
        <v>2511</v>
      </c>
      <c r="O656" s="61" t="s">
        <v>2511</v>
      </c>
      <c r="P656" s="62" t="s">
        <v>2511</v>
      </c>
      <c r="Q656" s="82"/>
      <c r="R656" s="82"/>
      <c r="S656" s="82"/>
      <c r="T656" s="82"/>
      <c r="U656" s="82"/>
      <c r="V656" s="138" t="s">
        <v>4283</v>
      </c>
      <c r="W656" s="57" t="s">
        <v>4094</v>
      </c>
      <c r="X656" s="126" t="s">
        <v>2511</v>
      </c>
      <c r="Y656" s="126" t="s">
        <v>2511</v>
      </c>
      <c r="Z656" s="57"/>
      <c r="AA656" s="57" t="s">
        <v>3661</v>
      </c>
      <c r="AB656" s="138"/>
      <c r="AC656" s="138" t="s">
        <v>2631</v>
      </c>
      <c r="AD656" s="96"/>
      <c r="AE656" s="80"/>
      <c r="AF656" s="80"/>
      <c r="AG656" s="80"/>
      <c r="AH656" s="83"/>
      <c r="AI656" s="83"/>
      <c r="AJ656" s="84"/>
      <c r="AK656" s="84"/>
      <c r="AL656" s="84"/>
      <c r="AM656" s="84"/>
      <c r="AN656" s="84"/>
      <c r="AO656" s="84"/>
      <c r="AP656" s="84"/>
      <c r="AQ656" s="95" t="s">
        <v>628</v>
      </c>
      <c r="AR656" s="72"/>
      <c r="AS656" s="72"/>
      <c r="AT656" s="72"/>
      <c r="AU656" s="72"/>
      <c r="AV656" s="72"/>
      <c r="AW656" s="72"/>
      <c r="AX656" s="72"/>
      <c r="AY656" s="72"/>
      <c r="AZ656" s="72"/>
      <c r="BA656" s="72"/>
      <c r="BB656" s="16"/>
      <c r="BC656" s="72"/>
      <c r="BD656" s="20"/>
      <c r="BE656" s="378"/>
    </row>
    <row r="657" spans="1:57" s="81" customFormat="1" ht="12.95" hidden="1" customHeight="1">
      <c r="A657" s="374"/>
      <c r="B657" s="376"/>
      <c r="C657" s="248" t="s">
        <v>1365</v>
      </c>
      <c r="D657" s="239" t="s">
        <v>4284</v>
      </c>
      <c r="E657" s="58"/>
      <c r="F657" s="59" t="s">
        <v>4285</v>
      </c>
      <c r="G657" s="191" t="s">
        <v>2511</v>
      </c>
      <c r="H657" s="192" t="s">
        <v>629</v>
      </c>
      <c r="I657" s="61" t="s">
        <v>2511</v>
      </c>
      <c r="J657" s="61" t="s">
        <v>2511</v>
      </c>
      <c r="K657" s="62" t="s">
        <v>2511</v>
      </c>
      <c r="L657" s="60" t="s">
        <v>2511</v>
      </c>
      <c r="M657" s="61" t="s">
        <v>2389</v>
      </c>
      <c r="N657" s="61" t="s">
        <v>2511</v>
      </c>
      <c r="O657" s="61" t="s">
        <v>2511</v>
      </c>
      <c r="P657" s="62" t="s">
        <v>2511</v>
      </c>
      <c r="Q657" s="82"/>
      <c r="R657" s="82"/>
      <c r="S657" s="82"/>
      <c r="T657" s="82"/>
      <c r="U657" s="82"/>
      <c r="V657" s="138" t="s">
        <v>4286</v>
      </c>
      <c r="W657" s="57" t="s">
        <v>4094</v>
      </c>
      <c r="X657" s="126" t="s">
        <v>2511</v>
      </c>
      <c r="Y657" s="126" t="s">
        <v>2511</v>
      </c>
      <c r="Z657" s="57"/>
      <c r="AA657" s="57" t="s">
        <v>3661</v>
      </c>
      <c r="AB657" s="138"/>
      <c r="AC657" s="138" t="s">
        <v>2631</v>
      </c>
      <c r="AD657" s="96"/>
      <c r="AE657" s="80"/>
      <c r="AF657" s="80"/>
      <c r="AG657" s="80"/>
      <c r="AH657" s="83"/>
      <c r="AI657" s="83"/>
      <c r="AJ657" s="84"/>
      <c r="AK657" s="84"/>
      <c r="AL657" s="84"/>
      <c r="AM657" s="84"/>
      <c r="AN657" s="84"/>
      <c r="AO657" s="84"/>
      <c r="AP657" s="84"/>
      <c r="AQ657" s="95" t="s">
        <v>629</v>
      </c>
      <c r="AR657" s="72"/>
      <c r="AS657" s="72"/>
      <c r="AT657" s="72"/>
      <c r="AU657" s="72"/>
      <c r="AV657" s="72"/>
      <c r="AW657" s="72"/>
      <c r="AX657" s="72"/>
      <c r="AY657" s="72"/>
      <c r="AZ657" s="72"/>
      <c r="BA657" s="72"/>
      <c r="BB657" s="16"/>
      <c r="BC657" s="72"/>
      <c r="BD657" s="20"/>
      <c r="BE657" s="378"/>
    </row>
    <row r="658" spans="1:57" s="81" customFormat="1" ht="12.95" hidden="1" customHeight="1">
      <c r="A658" s="374"/>
      <c r="B658" s="376"/>
      <c r="C658" s="248" t="s">
        <v>1366</v>
      </c>
      <c r="D658" s="239" t="s">
        <v>4287</v>
      </c>
      <c r="E658" s="58"/>
      <c r="F658" s="59" t="s">
        <v>4288</v>
      </c>
      <c r="G658" s="191" t="s">
        <v>2511</v>
      </c>
      <c r="H658" s="192" t="s">
        <v>630</v>
      </c>
      <c r="I658" s="61" t="s">
        <v>2511</v>
      </c>
      <c r="J658" s="61" t="s">
        <v>2511</v>
      </c>
      <c r="K658" s="62" t="s">
        <v>2511</v>
      </c>
      <c r="L658" s="60" t="s">
        <v>2511</v>
      </c>
      <c r="M658" s="61" t="s">
        <v>2389</v>
      </c>
      <c r="N658" s="61" t="s">
        <v>2511</v>
      </c>
      <c r="O658" s="61" t="s">
        <v>2511</v>
      </c>
      <c r="P658" s="62" t="s">
        <v>2511</v>
      </c>
      <c r="Q658" s="82"/>
      <c r="R658" s="82"/>
      <c r="S658" s="82"/>
      <c r="T658" s="82"/>
      <c r="U658" s="82"/>
      <c r="V658" s="138" t="s">
        <v>4289</v>
      </c>
      <c r="W658" s="57" t="s">
        <v>4094</v>
      </c>
      <c r="X658" s="126" t="s">
        <v>2511</v>
      </c>
      <c r="Y658" s="126" t="s">
        <v>2511</v>
      </c>
      <c r="Z658" s="57"/>
      <c r="AA658" s="57" t="s">
        <v>3661</v>
      </c>
      <c r="AB658" s="138"/>
      <c r="AC658" s="138" t="s">
        <v>2631</v>
      </c>
      <c r="AD658" s="96"/>
      <c r="AE658" s="80"/>
      <c r="AF658" s="80"/>
      <c r="AG658" s="80"/>
      <c r="AH658" s="83"/>
      <c r="AI658" s="83"/>
      <c r="AJ658" s="84"/>
      <c r="AK658" s="84"/>
      <c r="AL658" s="84"/>
      <c r="AM658" s="84"/>
      <c r="AN658" s="84"/>
      <c r="AO658" s="84"/>
      <c r="AP658" s="84"/>
      <c r="AQ658" s="95" t="s">
        <v>630</v>
      </c>
      <c r="AR658" s="72"/>
      <c r="AS658" s="72"/>
      <c r="AT658" s="72"/>
      <c r="AU658" s="72"/>
      <c r="AV658" s="72"/>
      <c r="AW658" s="72"/>
      <c r="AX658" s="72"/>
      <c r="AY658" s="72"/>
      <c r="AZ658" s="72"/>
      <c r="BA658" s="72"/>
      <c r="BB658" s="16"/>
      <c r="BC658" s="72"/>
      <c r="BD658" s="20"/>
      <c r="BE658" s="378"/>
    </row>
    <row r="659" spans="1:57" s="81" customFormat="1" ht="12.95" hidden="1" customHeight="1">
      <c r="A659" s="374"/>
      <c r="B659" s="376"/>
      <c r="C659" s="248" t="s">
        <v>1367</v>
      </c>
      <c r="D659" s="239" t="s">
        <v>4290</v>
      </c>
      <c r="E659" s="58"/>
      <c r="F659" s="59" t="s">
        <v>4291</v>
      </c>
      <c r="G659" s="191" t="s">
        <v>2511</v>
      </c>
      <c r="H659" s="192" t="s">
        <v>631</v>
      </c>
      <c r="I659" s="61" t="s">
        <v>2511</v>
      </c>
      <c r="J659" s="61" t="s">
        <v>2511</v>
      </c>
      <c r="K659" s="62" t="s">
        <v>2511</v>
      </c>
      <c r="L659" s="60" t="s">
        <v>2511</v>
      </c>
      <c r="M659" s="61" t="s">
        <v>2389</v>
      </c>
      <c r="N659" s="61" t="s">
        <v>2511</v>
      </c>
      <c r="O659" s="61" t="s">
        <v>2511</v>
      </c>
      <c r="P659" s="62" t="s">
        <v>2511</v>
      </c>
      <c r="Q659" s="82"/>
      <c r="R659" s="82"/>
      <c r="S659" s="82"/>
      <c r="T659" s="82"/>
      <c r="U659" s="82"/>
      <c r="V659" s="138" t="s">
        <v>4292</v>
      </c>
      <c r="W659" s="57" t="s">
        <v>4094</v>
      </c>
      <c r="X659" s="126" t="s">
        <v>2511</v>
      </c>
      <c r="Y659" s="126" t="s">
        <v>2511</v>
      </c>
      <c r="Z659" s="57"/>
      <c r="AA659" s="57" t="s">
        <v>3661</v>
      </c>
      <c r="AB659" s="138"/>
      <c r="AC659" s="138" t="s">
        <v>2631</v>
      </c>
      <c r="AD659" s="96"/>
      <c r="AE659" s="80"/>
      <c r="AF659" s="80"/>
      <c r="AG659" s="80"/>
      <c r="AH659" s="83"/>
      <c r="AI659" s="83"/>
      <c r="AJ659" s="84"/>
      <c r="AK659" s="84"/>
      <c r="AL659" s="84"/>
      <c r="AM659" s="84"/>
      <c r="AN659" s="84"/>
      <c r="AO659" s="84"/>
      <c r="AP659" s="84"/>
      <c r="AQ659" s="95" t="s">
        <v>631</v>
      </c>
      <c r="AR659" s="72"/>
      <c r="AS659" s="72"/>
      <c r="AT659" s="72"/>
      <c r="AU659" s="72"/>
      <c r="AV659" s="72"/>
      <c r="AW659" s="72"/>
      <c r="AX659" s="72"/>
      <c r="AY659" s="72"/>
      <c r="AZ659" s="72"/>
      <c r="BA659" s="72"/>
      <c r="BB659" s="16"/>
      <c r="BC659" s="72"/>
      <c r="BD659" s="20"/>
      <c r="BE659" s="378"/>
    </row>
    <row r="660" spans="1:57" s="81" customFormat="1" ht="12.95" hidden="1" customHeight="1">
      <c r="A660" s="374"/>
      <c r="B660" s="376"/>
      <c r="C660" s="248" t="s">
        <v>1368</v>
      </c>
      <c r="D660" s="239" t="s">
        <v>4293</v>
      </c>
      <c r="E660" s="58"/>
      <c r="F660" s="59" t="s">
        <v>4294</v>
      </c>
      <c r="G660" s="191" t="s">
        <v>2511</v>
      </c>
      <c r="H660" s="192" t="s">
        <v>632</v>
      </c>
      <c r="I660" s="61" t="s">
        <v>2511</v>
      </c>
      <c r="J660" s="61" t="s">
        <v>2511</v>
      </c>
      <c r="K660" s="62" t="s">
        <v>2511</v>
      </c>
      <c r="L660" s="60" t="s">
        <v>2511</v>
      </c>
      <c r="M660" s="61" t="s">
        <v>2389</v>
      </c>
      <c r="N660" s="61" t="s">
        <v>2511</v>
      </c>
      <c r="O660" s="61" t="s">
        <v>2511</v>
      </c>
      <c r="P660" s="62" t="s">
        <v>2511</v>
      </c>
      <c r="Q660" s="82"/>
      <c r="R660" s="82"/>
      <c r="S660" s="82"/>
      <c r="T660" s="82"/>
      <c r="U660" s="82"/>
      <c r="V660" s="138" t="s">
        <v>4295</v>
      </c>
      <c r="W660" s="57" t="s">
        <v>4094</v>
      </c>
      <c r="X660" s="126" t="s">
        <v>2511</v>
      </c>
      <c r="Y660" s="126" t="s">
        <v>2511</v>
      </c>
      <c r="Z660" s="57"/>
      <c r="AA660" s="57" t="s">
        <v>3661</v>
      </c>
      <c r="AB660" s="138"/>
      <c r="AC660" s="138" t="s">
        <v>2631</v>
      </c>
      <c r="AD660" s="96"/>
      <c r="AE660" s="80"/>
      <c r="AF660" s="80"/>
      <c r="AG660" s="80"/>
      <c r="AH660" s="83"/>
      <c r="AI660" s="83"/>
      <c r="AJ660" s="84"/>
      <c r="AK660" s="84"/>
      <c r="AL660" s="84"/>
      <c r="AM660" s="84"/>
      <c r="AN660" s="84"/>
      <c r="AO660" s="84"/>
      <c r="AP660" s="84"/>
      <c r="AQ660" s="95" t="s">
        <v>632</v>
      </c>
      <c r="AR660" s="72"/>
      <c r="AS660" s="72"/>
      <c r="AT660" s="72"/>
      <c r="AU660" s="72"/>
      <c r="AV660" s="72"/>
      <c r="AW660" s="72"/>
      <c r="AX660" s="72"/>
      <c r="AY660" s="72"/>
      <c r="AZ660" s="72"/>
      <c r="BA660" s="72"/>
      <c r="BB660" s="16"/>
      <c r="BC660" s="72"/>
      <c r="BD660" s="20"/>
      <c r="BE660" s="378"/>
    </row>
    <row r="661" spans="1:57" s="81" customFormat="1" ht="12.95" hidden="1" customHeight="1">
      <c r="A661" s="374"/>
      <c r="B661" s="376"/>
      <c r="C661" s="248" t="s">
        <v>1369</v>
      </c>
      <c r="D661" s="239" t="s">
        <v>4296</v>
      </c>
      <c r="E661" s="58"/>
      <c r="F661" s="59" t="s">
        <v>4297</v>
      </c>
      <c r="G661" s="191" t="s">
        <v>2511</v>
      </c>
      <c r="H661" s="192" t="s">
        <v>633</v>
      </c>
      <c r="I661" s="61" t="s">
        <v>2511</v>
      </c>
      <c r="J661" s="61" t="s">
        <v>2511</v>
      </c>
      <c r="K661" s="62" t="s">
        <v>2511</v>
      </c>
      <c r="L661" s="60" t="s">
        <v>2511</v>
      </c>
      <c r="M661" s="61" t="s">
        <v>2389</v>
      </c>
      <c r="N661" s="61" t="s">
        <v>2511</v>
      </c>
      <c r="O661" s="61" t="s">
        <v>2511</v>
      </c>
      <c r="P661" s="62" t="s">
        <v>2511</v>
      </c>
      <c r="Q661" s="82"/>
      <c r="R661" s="82"/>
      <c r="S661" s="82"/>
      <c r="T661" s="82"/>
      <c r="U661" s="82"/>
      <c r="V661" s="138" t="s">
        <v>4298</v>
      </c>
      <c r="W661" s="57" t="s">
        <v>4094</v>
      </c>
      <c r="X661" s="126" t="s">
        <v>2511</v>
      </c>
      <c r="Y661" s="126" t="s">
        <v>2511</v>
      </c>
      <c r="Z661" s="57"/>
      <c r="AA661" s="57" t="s">
        <v>3661</v>
      </c>
      <c r="AB661" s="138"/>
      <c r="AC661" s="138" t="s">
        <v>2631</v>
      </c>
      <c r="AD661" s="96"/>
      <c r="AE661" s="80"/>
      <c r="AF661" s="80"/>
      <c r="AG661" s="80"/>
      <c r="AH661" s="83"/>
      <c r="AI661" s="83"/>
      <c r="AJ661" s="84"/>
      <c r="AK661" s="84"/>
      <c r="AL661" s="84"/>
      <c r="AM661" s="84"/>
      <c r="AN661" s="84"/>
      <c r="AO661" s="84"/>
      <c r="AP661" s="84"/>
      <c r="AQ661" s="95" t="s">
        <v>633</v>
      </c>
      <c r="AR661" s="72"/>
      <c r="AS661" s="72"/>
      <c r="AT661" s="72"/>
      <c r="AU661" s="72"/>
      <c r="AV661" s="72"/>
      <c r="AW661" s="72"/>
      <c r="AX661" s="72"/>
      <c r="AY661" s="72"/>
      <c r="AZ661" s="72"/>
      <c r="BA661" s="72"/>
      <c r="BB661" s="16"/>
      <c r="BC661" s="72"/>
      <c r="BD661" s="20"/>
      <c r="BE661" s="378"/>
    </row>
    <row r="662" spans="1:57" s="81" customFormat="1" ht="12.95" hidden="1" customHeight="1">
      <c r="A662" s="374"/>
      <c r="B662" s="376"/>
      <c r="C662" s="270" t="s">
        <v>1370</v>
      </c>
      <c r="D662" s="239" t="s">
        <v>4299</v>
      </c>
      <c r="E662" s="58"/>
      <c r="F662" s="59" t="s">
        <v>4300</v>
      </c>
      <c r="G662" s="191" t="s">
        <v>2511</v>
      </c>
      <c r="H662" s="192" t="s">
        <v>634</v>
      </c>
      <c r="I662" s="61" t="s">
        <v>2511</v>
      </c>
      <c r="J662" s="61" t="s">
        <v>2511</v>
      </c>
      <c r="K662" s="62" t="s">
        <v>2511</v>
      </c>
      <c r="L662" s="60" t="s">
        <v>2511</v>
      </c>
      <c r="M662" s="61" t="s">
        <v>2389</v>
      </c>
      <c r="N662" s="61" t="s">
        <v>2511</v>
      </c>
      <c r="O662" s="61" t="s">
        <v>2511</v>
      </c>
      <c r="P662" s="62" t="s">
        <v>2511</v>
      </c>
      <c r="Q662" s="82"/>
      <c r="R662" s="82"/>
      <c r="S662" s="82"/>
      <c r="T662" s="82"/>
      <c r="U662" s="82"/>
      <c r="V662" s="138" t="s">
        <v>4301</v>
      </c>
      <c r="W662" s="57" t="s">
        <v>4094</v>
      </c>
      <c r="X662" s="126" t="s">
        <v>2511</v>
      </c>
      <c r="Y662" s="126" t="s">
        <v>2511</v>
      </c>
      <c r="Z662" s="57"/>
      <c r="AA662" s="57" t="s">
        <v>3661</v>
      </c>
      <c r="AB662" s="138"/>
      <c r="AC662" s="138" t="s">
        <v>2631</v>
      </c>
      <c r="AD662" s="96"/>
      <c r="AE662" s="80"/>
      <c r="AF662" s="80"/>
      <c r="AG662" s="80"/>
      <c r="AH662" s="83"/>
      <c r="AI662" s="83"/>
      <c r="AJ662" s="84"/>
      <c r="AK662" s="84"/>
      <c r="AL662" s="84"/>
      <c r="AM662" s="84"/>
      <c r="AN662" s="84"/>
      <c r="AO662" s="84"/>
      <c r="AP662" s="84"/>
      <c r="AQ662" s="95" t="s">
        <v>634</v>
      </c>
      <c r="AR662" s="72"/>
      <c r="AS662" s="72"/>
      <c r="AT662" s="72"/>
      <c r="AU662" s="72"/>
      <c r="AV662" s="72"/>
      <c r="AW662" s="72"/>
      <c r="AX662" s="72"/>
      <c r="AY662" s="72"/>
      <c r="AZ662" s="72"/>
      <c r="BA662" s="72"/>
      <c r="BB662" s="16"/>
      <c r="BC662" s="72"/>
      <c r="BD662" s="20"/>
      <c r="BE662" s="378"/>
    </row>
    <row r="663" spans="1:57" s="81" customFormat="1" ht="12.95" hidden="1" customHeight="1">
      <c r="A663" s="374"/>
      <c r="B663" s="376"/>
      <c r="C663" s="270" t="s">
        <v>1371</v>
      </c>
      <c r="D663" s="239" t="s">
        <v>4302</v>
      </c>
      <c r="E663" s="58"/>
      <c r="F663" s="59" t="s">
        <v>4303</v>
      </c>
      <c r="G663" s="191" t="s">
        <v>2511</v>
      </c>
      <c r="H663" s="192" t="s">
        <v>635</v>
      </c>
      <c r="I663" s="61" t="s">
        <v>2511</v>
      </c>
      <c r="J663" s="61" t="s">
        <v>2511</v>
      </c>
      <c r="K663" s="62" t="s">
        <v>2511</v>
      </c>
      <c r="L663" s="60" t="s">
        <v>2511</v>
      </c>
      <c r="M663" s="61" t="s">
        <v>2389</v>
      </c>
      <c r="N663" s="61" t="s">
        <v>2511</v>
      </c>
      <c r="O663" s="61" t="s">
        <v>2511</v>
      </c>
      <c r="P663" s="62" t="s">
        <v>2511</v>
      </c>
      <c r="Q663" s="82"/>
      <c r="R663" s="82"/>
      <c r="S663" s="82"/>
      <c r="T663" s="82"/>
      <c r="U663" s="82"/>
      <c r="V663" s="138" t="s">
        <v>4304</v>
      </c>
      <c r="W663" s="57" t="s">
        <v>4094</v>
      </c>
      <c r="X663" s="126" t="s">
        <v>2511</v>
      </c>
      <c r="Y663" s="126" t="s">
        <v>2511</v>
      </c>
      <c r="Z663" s="57"/>
      <c r="AA663" s="57" t="s">
        <v>3661</v>
      </c>
      <c r="AB663" s="138"/>
      <c r="AC663" s="138" t="s">
        <v>2631</v>
      </c>
      <c r="AD663" s="96"/>
      <c r="AE663" s="80"/>
      <c r="AF663" s="80"/>
      <c r="AG663" s="80"/>
      <c r="AH663" s="83"/>
      <c r="AI663" s="83"/>
      <c r="AJ663" s="84"/>
      <c r="AK663" s="84"/>
      <c r="AL663" s="84"/>
      <c r="AM663" s="84"/>
      <c r="AN663" s="84"/>
      <c r="AO663" s="84"/>
      <c r="AP663" s="84"/>
      <c r="AQ663" s="95" t="s">
        <v>635</v>
      </c>
      <c r="AR663" s="72"/>
      <c r="AS663" s="72"/>
      <c r="AT663" s="72"/>
      <c r="AU663" s="72"/>
      <c r="AV663" s="72"/>
      <c r="AW663" s="72"/>
      <c r="AX663" s="72"/>
      <c r="AY663" s="72"/>
      <c r="AZ663" s="72"/>
      <c r="BA663" s="72"/>
      <c r="BB663" s="16"/>
      <c r="BC663" s="72"/>
      <c r="BD663" s="20"/>
      <c r="BE663" s="378"/>
    </row>
    <row r="664" spans="1:57" s="81" customFormat="1" ht="12.95" hidden="1" customHeight="1">
      <c r="A664" s="374"/>
      <c r="B664" s="376"/>
      <c r="C664" s="248" t="s">
        <v>1372</v>
      </c>
      <c r="D664" s="239" t="s">
        <v>4305</v>
      </c>
      <c r="E664" s="58"/>
      <c r="F664" s="59" t="s">
        <v>4306</v>
      </c>
      <c r="G664" s="191" t="s">
        <v>2511</v>
      </c>
      <c r="H664" s="192" t="s">
        <v>636</v>
      </c>
      <c r="I664" s="61" t="s">
        <v>2511</v>
      </c>
      <c r="J664" s="61" t="s">
        <v>2511</v>
      </c>
      <c r="K664" s="62" t="s">
        <v>2511</v>
      </c>
      <c r="L664" s="60" t="s">
        <v>2511</v>
      </c>
      <c r="M664" s="61" t="s">
        <v>2389</v>
      </c>
      <c r="N664" s="61" t="s">
        <v>2511</v>
      </c>
      <c r="O664" s="61" t="s">
        <v>2511</v>
      </c>
      <c r="P664" s="62" t="s">
        <v>2511</v>
      </c>
      <c r="Q664" s="82"/>
      <c r="R664" s="82"/>
      <c r="S664" s="82"/>
      <c r="T664" s="82"/>
      <c r="U664" s="82"/>
      <c r="V664" s="138" t="s">
        <v>4307</v>
      </c>
      <c r="W664" s="57" t="s">
        <v>4094</v>
      </c>
      <c r="X664" s="126" t="s">
        <v>2511</v>
      </c>
      <c r="Y664" s="126" t="s">
        <v>2511</v>
      </c>
      <c r="Z664" s="57"/>
      <c r="AA664" s="57" t="s">
        <v>3661</v>
      </c>
      <c r="AB664" s="138"/>
      <c r="AC664" s="138">
        <v>0</v>
      </c>
      <c r="AD664" s="96"/>
      <c r="AE664" s="80"/>
      <c r="AF664" s="80"/>
      <c r="AG664" s="80"/>
      <c r="AH664" s="83"/>
      <c r="AI664" s="83"/>
      <c r="AJ664" s="84"/>
      <c r="AK664" s="84"/>
      <c r="AL664" s="84"/>
      <c r="AM664" s="84"/>
      <c r="AN664" s="84"/>
      <c r="AO664" s="84"/>
      <c r="AP664" s="84"/>
      <c r="AQ664" s="95" t="s">
        <v>636</v>
      </c>
      <c r="AR664" s="72"/>
      <c r="AS664" s="72"/>
      <c r="AT664" s="72"/>
      <c r="AU664" s="72"/>
      <c r="AV664" s="72"/>
      <c r="AW664" s="72"/>
      <c r="AX664" s="72"/>
      <c r="AY664" s="72"/>
      <c r="AZ664" s="72"/>
      <c r="BA664" s="72"/>
      <c r="BB664" s="16"/>
      <c r="BC664" s="72"/>
      <c r="BD664" s="20"/>
      <c r="BE664" s="378"/>
    </row>
    <row r="665" spans="1:57" s="81" customFormat="1" ht="12.95" hidden="1" customHeight="1">
      <c r="A665" s="374"/>
      <c r="B665" s="376"/>
      <c r="C665" s="248" t="s">
        <v>1373</v>
      </c>
      <c r="D665" s="239" t="s">
        <v>4308</v>
      </c>
      <c r="E665" s="58"/>
      <c r="F665" s="59" t="s">
        <v>4309</v>
      </c>
      <c r="G665" s="191" t="s">
        <v>2511</v>
      </c>
      <c r="H665" s="192" t="s">
        <v>637</v>
      </c>
      <c r="I665" s="61" t="s">
        <v>2511</v>
      </c>
      <c r="J665" s="61" t="s">
        <v>2511</v>
      </c>
      <c r="K665" s="62" t="s">
        <v>2511</v>
      </c>
      <c r="L665" s="60" t="s">
        <v>2511</v>
      </c>
      <c r="M665" s="61" t="s">
        <v>2389</v>
      </c>
      <c r="N665" s="61" t="s">
        <v>2511</v>
      </c>
      <c r="O665" s="61" t="s">
        <v>2511</v>
      </c>
      <c r="P665" s="62" t="s">
        <v>2511</v>
      </c>
      <c r="Q665" s="82"/>
      <c r="R665" s="82"/>
      <c r="S665" s="82"/>
      <c r="T665" s="82"/>
      <c r="U665" s="82"/>
      <c r="V665" s="138" t="s">
        <v>4310</v>
      </c>
      <c r="W665" s="57" t="s">
        <v>4094</v>
      </c>
      <c r="X665" s="126" t="s">
        <v>2511</v>
      </c>
      <c r="Y665" s="126" t="s">
        <v>2511</v>
      </c>
      <c r="Z665" s="57"/>
      <c r="AA665" s="57" t="s">
        <v>3661</v>
      </c>
      <c r="AB665" s="138"/>
      <c r="AC665" s="138" t="s">
        <v>2631</v>
      </c>
      <c r="AD665" s="96"/>
      <c r="AE665" s="80"/>
      <c r="AF665" s="80"/>
      <c r="AG665" s="80"/>
      <c r="AH665" s="83"/>
      <c r="AI665" s="83"/>
      <c r="AJ665" s="84"/>
      <c r="AK665" s="84"/>
      <c r="AL665" s="84"/>
      <c r="AM665" s="84"/>
      <c r="AN665" s="84"/>
      <c r="AO665" s="84"/>
      <c r="AP665" s="84"/>
      <c r="AQ665" s="95" t="s">
        <v>637</v>
      </c>
      <c r="AR665" s="72"/>
      <c r="AS665" s="72"/>
      <c r="AT665" s="72"/>
      <c r="AU665" s="72"/>
      <c r="AV665" s="72"/>
      <c r="AW665" s="72"/>
      <c r="AX665" s="72"/>
      <c r="AY665" s="72"/>
      <c r="AZ665" s="72"/>
      <c r="BA665" s="72"/>
      <c r="BB665" s="16"/>
      <c r="BC665" s="72"/>
      <c r="BD665" s="20"/>
      <c r="BE665" s="378"/>
    </row>
    <row r="666" spans="1:57" s="81" customFormat="1" ht="12.95" hidden="1" customHeight="1">
      <c r="A666" s="374"/>
      <c r="B666" s="376"/>
      <c r="C666" s="248" t="s">
        <v>1374</v>
      </c>
      <c r="D666" s="239" t="s">
        <v>4311</v>
      </c>
      <c r="E666" s="58"/>
      <c r="F666" s="59" t="s">
        <v>4312</v>
      </c>
      <c r="G666" s="191" t="s">
        <v>2511</v>
      </c>
      <c r="H666" s="192" t="s">
        <v>638</v>
      </c>
      <c r="I666" s="61" t="s">
        <v>2511</v>
      </c>
      <c r="J666" s="61" t="s">
        <v>2511</v>
      </c>
      <c r="K666" s="62" t="s">
        <v>2511</v>
      </c>
      <c r="L666" s="60" t="s">
        <v>2511</v>
      </c>
      <c r="M666" s="61" t="s">
        <v>2389</v>
      </c>
      <c r="N666" s="61" t="s">
        <v>2511</v>
      </c>
      <c r="O666" s="61" t="s">
        <v>2511</v>
      </c>
      <c r="P666" s="62" t="s">
        <v>2511</v>
      </c>
      <c r="Q666" s="82"/>
      <c r="R666" s="82"/>
      <c r="S666" s="82"/>
      <c r="T666" s="82"/>
      <c r="U666" s="82"/>
      <c r="V666" s="138" t="s">
        <v>4313</v>
      </c>
      <c r="W666" s="57" t="s">
        <v>4094</v>
      </c>
      <c r="X666" s="126" t="s">
        <v>2511</v>
      </c>
      <c r="Y666" s="126" t="s">
        <v>2511</v>
      </c>
      <c r="Z666" s="57"/>
      <c r="AA666" s="57" t="s">
        <v>3661</v>
      </c>
      <c r="AB666" s="138"/>
      <c r="AC666" s="138" t="s">
        <v>2631</v>
      </c>
      <c r="AD666" s="96"/>
      <c r="AE666" s="80"/>
      <c r="AF666" s="80"/>
      <c r="AG666" s="80"/>
      <c r="AH666" s="83"/>
      <c r="AI666" s="83"/>
      <c r="AJ666" s="84"/>
      <c r="AK666" s="84"/>
      <c r="AL666" s="84"/>
      <c r="AM666" s="84"/>
      <c r="AN666" s="84"/>
      <c r="AO666" s="84"/>
      <c r="AP666" s="84"/>
      <c r="AQ666" s="95" t="s">
        <v>638</v>
      </c>
      <c r="AR666" s="72"/>
      <c r="AS666" s="72"/>
      <c r="AT666" s="72"/>
      <c r="AU666" s="72"/>
      <c r="AV666" s="72"/>
      <c r="AW666" s="72"/>
      <c r="AX666" s="72"/>
      <c r="AY666" s="72"/>
      <c r="AZ666" s="72"/>
      <c r="BA666" s="72"/>
      <c r="BB666" s="16"/>
      <c r="BC666" s="72"/>
      <c r="BD666" s="20"/>
      <c r="BE666" s="378"/>
    </row>
    <row r="667" spans="1:57" s="81" customFormat="1" ht="12.95" hidden="1" customHeight="1">
      <c r="A667" s="374"/>
      <c r="B667" s="376"/>
      <c r="C667" s="248" t="s">
        <v>1375</v>
      </c>
      <c r="D667" s="239" t="s">
        <v>4314</v>
      </c>
      <c r="E667" s="58"/>
      <c r="F667" s="59" t="s">
        <v>4315</v>
      </c>
      <c r="G667" s="191" t="s">
        <v>2511</v>
      </c>
      <c r="H667" s="192" t="s">
        <v>639</v>
      </c>
      <c r="I667" s="61" t="s">
        <v>2511</v>
      </c>
      <c r="J667" s="61" t="s">
        <v>2511</v>
      </c>
      <c r="K667" s="62" t="s">
        <v>2511</v>
      </c>
      <c r="L667" s="60" t="s">
        <v>2511</v>
      </c>
      <c r="M667" s="61" t="s">
        <v>2389</v>
      </c>
      <c r="N667" s="61" t="s">
        <v>2511</v>
      </c>
      <c r="O667" s="61" t="s">
        <v>2511</v>
      </c>
      <c r="P667" s="62" t="s">
        <v>2511</v>
      </c>
      <c r="Q667" s="82"/>
      <c r="R667" s="82"/>
      <c r="S667" s="82"/>
      <c r="T667" s="82"/>
      <c r="U667" s="82"/>
      <c r="V667" s="138" t="s">
        <v>4316</v>
      </c>
      <c r="W667" s="57" t="s">
        <v>4094</v>
      </c>
      <c r="X667" s="126" t="s">
        <v>2511</v>
      </c>
      <c r="Y667" s="126" t="s">
        <v>2511</v>
      </c>
      <c r="Z667" s="57"/>
      <c r="AA667" s="57" t="s">
        <v>3661</v>
      </c>
      <c r="AB667" s="138"/>
      <c r="AC667" s="138" t="s">
        <v>2631</v>
      </c>
      <c r="AD667" s="96"/>
      <c r="AE667" s="80"/>
      <c r="AF667" s="80"/>
      <c r="AG667" s="80"/>
      <c r="AH667" s="83"/>
      <c r="AI667" s="83"/>
      <c r="AJ667" s="84"/>
      <c r="AK667" s="84"/>
      <c r="AL667" s="84"/>
      <c r="AM667" s="84"/>
      <c r="AN667" s="84"/>
      <c r="AO667" s="84"/>
      <c r="AP667" s="84"/>
      <c r="AQ667" s="95" t="s">
        <v>639</v>
      </c>
      <c r="AR667" s="72"/>
      <c r="AS667" s="72"/>
      <c r="AT667" s="72"/>
      <c r="AU667" s="72"/>
      <c r="AV667" s="72"/>
      <c r="AW667" s="72"/>
      <c r="AX667" s="72"/>
      <c r="AY667" s="72"/>
      <c r="AZ667" s="72"/>
      <c r="BA667" s="72"/>
      <c r="BB667" s="16"/>
      <c r="BC667" s="72"/>
      <c r="BD667" s="20"/>
      <c r="BE667" s="378"/>
    </row>
    <row r="668" spans="1:57" s="81" customFormat="1" ht="12.95" hidden="1" customHeight="1">
      <c r="A668" s="374"/>
      <c r="B668" s="376"/>
      <c r="C668" s="248" t="s">
        <v>1376</v>
      </c>
      <c r="D668" s="239" t="s">
        <v>4317</v>
      </c>
      <c r="E668" s="58"/>
      <c r="F668" s="59" t="s">
        <v>4318</v>
      </c>
      <c r="G668" s="191" t="s">
        <v>2511</v>
      </c>
      <c r="H668" s="192" t="s">
        <v>640</v>
      </c>
      <c r="I668" s="61" t="s">
        <v>2511</v>
      </c>
      <c r="J668" s="61" t="s">
        <v>2511</v>
      </c>
      <c r="K668" s="62" t="s">
        <v>2511</v>
      </c>
      <c r="L668" s="60" t="s">
        <v>2511</v>
      </c>
      <c r="M668" s="61" t="s">
        <v>2389</v>
      </c>
      <c r="N668" s="61" t="s">
        <v>2511</v>
      </c>
      <c r="O668" s="61" t="s">
        <v>2511</v>
      </c>
      <c r="P668" s="62" t="s">
        <v>2511</v>
      </c>
      <c r="Q668" s="82"/>
      <c r="R668" s="82"/>
      <c r="S668" s="82"/>
      <c r="T668" s="82"/>
      <c r="U668" s="82"/>
      <c r="V668" s="138" t="s">
        <v>4319</v>
      </c>
      <c r="W668" s="57" t="s">
        <v>4094</v>
      </c>
      <c r="X668" s="126" t="s">
        <v>2511</v>
      </c>
      <c r="Y668" s="126" t="s">
        <v>2511</v>
      </c>
      <c r="Z668" s="57"/>
      <c r="AA668" s="57" t="s">
        <v>3661</v>
      </c>
      <c r="AB668" s="138"/>
      <c r="AC668" s="138" t="s">
        <v>2631</v>
      </c>
      <c r="AD668" s="96"/>
      <c r="AE668" s="80"/>
      <c r="AF668" s="80"/>
      <c r="AG668" s="80"/>
      <c r="AH668" s="83"/>
      <c r="AI668" s="83"/>
      <c r="AJ668" s="84"/>
      <c r="AK668" s="84"/>
      <c r="AL668" s="84"/>
      <c r="AM668" s="84"/>
      <c r="AN668" s="84"/>
      <c r="AO668" s="84"/>
      <c r="AP668" s="84"/>
      <c r="AQ668" s="95" t="s">
        <v>640</v>
      </c>
      <c r="AR668" s="72"/>
      <c r="AS668" s="72"/>
      <c r="AT668" s="72"/>
      <c r="AU668" s="72"/>
      <c r="AV668" s="72"/>
      <c r="AW668" s="72"/>
      <c r="AX668" s="72"/>
      <c r="AY668" s="72"/>
      <c r="AZ668" s="72"/>
      <c r="BA668" s="72"/>
      <c r="BB668" s="16"/>
      <c r="BC668" s="72"/>
      <c r="BD668" s="20"/>
      <c r="BE668" s="378"/>
    </row>
    <row r="669" spans="1:57" s="81" customFormat="1" ht="12.95" hidden="1" customHeight="1">
      <c r="A669" s="374"/>
      <c r="B669" s="376"/>
      <c r="C669" s="248" t="s">
        <v>1377</v>
      </c>
      <c r="D669" s="239" t="s">
        <v>4320</v>
      </c>
      <c r="E669" s="58"/>
      <c r="F669" s="59" t="s">
        <v>4321</v>
      </c>
      <c r="G669" s="191" t="s">
        <v>2511</v>
      </c>
      <c r="H669" s="192" t="s">
        <v>641</v>
      </c>
      <c r="I669" s="61" t="s">
        <v>2511</v>
      </c>
      <c r="J669" s="61" t="s">
        <v>2511</v>
      </c>
      <c r="K669" s="62" t="s">
        <v>2511</v>
      </c>
      <c r="L669" s="60" t="s">
        <v>2511</v>
      </c>
      <c r="M669" s="61" t="s">
        <v>2389</v>
      </c>
      <c r="N669" s="61" t="s">
        <v>2511</v>
      </c>
      <c r="O669" s="61" t="s">
        <v>2511</v>
      </c>
      <c r="P669" s="62" t="s">
        <v>2511</v>
      </c>
      <c r="Q669" s="82"/>
      <c r="R669" s="82"/>
      <c r="S669" s="82"/>
      <c r="T669" s="82"/>
      <c r="U669" s="82"/>
      <c r="V669" s="138" t="s">
        <v>4322</v>
      </c>
      <c r="W669" s="57" t="s">
        <v>4094</v>
      </c>
      <c r="X669" s="126" t="s">
        <v>2511</v>
      </c>
      <c r="Y669" s="126" t="s">
        <v>2511</v>
      </c>
      <c r="Z669" s="57"/>
      <c r="AA669" s="57" t="s">
        <v>3661</v>
      </c>
      <c r="AB669" s="138"/>
      <c r="AC669" s="138" t="s">
        <v>2631</v>
      </c>
      <c r="AD669" s="96"/>
      <c r="AE669" s="80"/>
      <c r="AF669" s="80"/>
      <c r="AG669" s="80"/>
      <c r="AH669" s="83"/>
      <c r="AI669" s="83"/>
      <c r="AJ669" s="84"/>
      <c r="AK669" s="84"/>
      <c r="AL669" s="84"/>
      <c r="AM669" s="84"/>
      <c r="AN669" s="84"/>
      <c r="AO669" s="84"/>
      <c r="AP669" s="84"/>
      <c r="AQ669" s="95" t="s">
        <v>641</v>
      </c>
      <c r="AR669" s="72"/>
      <c r="AS669" s="72"/>
      <c r="AT669" s="72"/>
      <c r="AU669" s="72"/>
      <c r="AV669" s="72"/>
      <c r="AW669" s="72"/>
      <c r="AX669" s="72"/>
      <c r="AY669" s="72"/>
      <c r="AZ669" s="72"/>
      <c r="BA669" s="72"/>
      <c r="BB669" s="16"/>
      <c r="BC669" s="72"/>
      <c r="BD669" s="20"/>
      <c r="BE669" s="378"/>
    </row>
    <row r="670" spans="1:57" s="81" customFormat="1" ht="12.95" hidden="1" customHeight="1">
      <c r="A670" s="374"/>
      <c r="B670" s="376"/>
      <c r="C670" s="248" t="s">
        <v>1378</v>
      </c>
      <c r="D670" s="239" t="s">
        <v>4323</v>
      </c>
      <c r="E670" s="58"/>
      <c r="F670" s="59" t="s">
        <v>4324</v>
      </c>
      <c r="G670" s="191" t="s">
        <v>2511</v>
      </c>
      <c r="H670" s="192" t="s">
        <v>642</v>
      </c>
      <c r="I670" s="61" t="s">
        <v>2511</v>
      </c>
      <c r="J670" s="61" t="s">
        <v>2511</v>
      </c>
      <c r="K670" s="62" t="s">
        <v>2511</v>
      </c>
      <c r="L670" s="60" t="s">
        <v>2511</v>
      </c>
      <c r="M670" s="61" t="s">
        <v>2389</v>
      </c>
      <c r="N670" s="61" t="s">
        <v>2511</v>
      </c>
      <c r="O670" s="61" t="s">
        <v>2511</v>
      </c>
      <c r="P670" s="62" t="s">
        <v>2511</v>
      </c>
      <c r="Q670" s="82"/>
      <c r="R670" s="82"/>
      <c r="S670" s="82"/>
      <c r="T670" s="82"/>
      <c r="U670" s="82"/>
      <c r="V670" s="138" t="s">
        <v>4325</v>
      </c>
      <c r="W670" s="57" t="s">
        <v>4094</v>
      </c>
      <c r="X670" s="126" t="s">
        <v>2511</v>
      </c>
      <c r="Y670" s="126" t="s">
        <v>2511</v>
      </c>
      <c r="Z670" s="57"/>
      <c r="AA670" s="57" t="s">
        <v>3661</v>
      </c>
      <c r="AB670" s="138"/>
      <c r="AC670" s="138" t="s">
        <v>2631</v>
      </c>
      <c r="AD670" s="96"/>
      <c r="AE670" s="80"/>
      <c r="AF670" s="80"/>
      <c r="AG670" s="80"/>
      <c r="AH670" s="83"/>
      <c r="AI670" s="83"/>
      <c r="AJ670" s="84"/>
      <c r="AK670" s="84"/>
      <c r="AL670" s="84"/>
      <c r="AM670" s="84"/>
      <c r="AN670" s="84"/>
      <c r="AO670" s="84"/>
      <c r="AP670" s="84"/>
      <c r="AQ670" s="95" t="s">
        <v>642</v>
      </c>
      <c r="AR670" s="72"/>
      <c r="AS670" s="72"/>
      <c r="AT670" s="72"/>
      <c r="AU670" s="72"/>
      <c r="AV670" s="72"/>
      <c r="AW670" s="72"/>
      <c r="AX670" s="72"/>
      <c r="AY670" s="72"/>
      <c r="AZ670" s="72"/>
      <c r="BA670" s="72"/>
      <c r="BB670" s="16"/>
      <c r="BC670" s="72"/>
      <c r="BD670" s="20"/>
      <c r="BE670" s="378"/>
    </row>
    <row r="671" spans="1:57" s="81" customFormat="1" ht="12.95" hidden="1" customHeight="1">
      <c r="A671" s="374"/>
      <c r="B671" s="376"/>
      <c r="C671" s="248" t="s">
        <v>1379</v>
      </c>
      <c r="D671" s="239" t="s">
        <v>4326</v>
      </c>
      <c r="E671" s="58"/>
      <c r="F671" s="59" t="s">
        <v>4327</v>
      </c>
      <c r="G671" s="191" t="s">
        <v>2511</v>
      </c>
      <c r="H671" s="192" t="s">
        <v>643</v>
      </c>
      <c r="I671" s="61" t="s">
        <v>2511</v>
      </c>
      <c r="J671" s="61" t="s">
        <v>2511</v>
      </c>
      <c r="K671" s="62" t="s">
        <v>2511</v>
      </c>
      <c r="L671" s="60" t="s">
        <v>2511</v>
      </c>
      <c r="M671" s="61" t="s">
        <v>2389</v>
      </c>
      <c r="N671" s="61" t="s">
        <v>2511</v>
      </c>
      <c r="O671" s="61" t="s">
        <v>2511</v>
      </c>
      <c r="P671" s="62" t="s">
        <v>2511</v>
      </c>
      <c r="Q671" s="82"/>
      <c r="R671" s="82"/>
      <c r="S671" s="82"/>
      <c r="T671" s="82"/>
      <c r="U671" s="82"/>
      <c r="V671" s="138" t="s">
        <v>4328</v>
      </c>
      <c r="W671" s="57" t="s">
        <v>4094</v>
      </c>
      <c r="X671" s="126" t="s">
        <v>2511</v>
      </c>
      <c r="Y671" s="126" t="s">
        <v>2511</v>
      </c>
      <c r="Z671" s="57"/>
      <c r="AA671" s="57" t="s">
        <v>3661</v>
      </c>
      <c r="AB671" s="138"/>
      <c r="AC671" s="138" t="s">
        <v>2631</v>
      </c>
      <c r="AD671" s="96"/>
      <c r="AE671" s="80"/>
      <c r="AF671" s="80"/>
      <c r="AG671" s="80"/>
      <c r="AH671" s="83"/>
      <c r="AI671" s="83"/>
      <c r="AJ671" s="84"/>
      <c r="AK671" s="84"/>
      <c r="AL671" s="84"/>
      <c r="AM671" s="84"/>
      <c r="AN671" s="84"/>
      <c r="AO671" s="84"/>
      <c r="AP671" s="84"/>
      <c r="AQ671" s="95" t="s">
        <v>643</v>
      </c>
      <c r="AR671" s="72"/>
      <c r="AS671" s="72"/>
      <c r="AT671" s="72"/>
      <c r="AU671" s="72"/>
      <c r="AV671" s="72"/>
      <c r="AW671" s="72"/>
      <c r="AX671" s="72"/>
      <c r="AY671" s="72"/>
      <c r="AZ671" s="72"/>
      <c r="BA671" s="72"/>
      <c r="BB671" s="16"/>
      <c r="BC671" s="72"/>
      <c r="BD671" s="20"/>
      <c r="BE671" s="378"/>
    </row>
    <row r="672" spans="1:57" s="81" customFormat="1" ht="12.95" hidden="1" customHeight="1">
      <c r="A672" s="374"/>
      <c r="B672" s="376"/>
      <c r="C672" s="248" t="s">
        <v>1380</v>
      </c>
      <c r="D672" s="239" t="s">
        <v>4329</v>
      </c>
      <c r="E672" s="58"/>
      <c r="F672" s="59" t="s">
        <v>4330</v>
      </c>
      <c r="G672" s="191" t="s">
        <v>2511</v>
      </c>
      <c r="H672" s="192" t="s">
        <v>644</v>
      </c>
      <c r="I672" s="61" t="s">
        <v>2511</v>
      </c>
      <c r="J672" s="61" t="s">
        <v>2511</v>
      </c>
      <c r="K672" s="62" t="s">
        <v>2511</v>
      </c>
      <c r="L672" s="60" t="s">
        <v>2511</v>
      </c>
      <c r="M672" s="61" t="s">
        <v>2389</v>
      </c>
      <c r="N672" s="61" t="s">
        <v>2511</v>
      </c>
      <c r="O672" s="61" t="s">
        <v>2511</v>
      </c>
      <c r="P672" s="62" t="s">
        <v>2511</v>
      </c>
      <c r="Q672" s="82"/>
      <c r="R672" s="82"/>
      <c r="S672" s="82"/>
      <c r="T672" s="82"/>
      <c r="U672" s="82"/>
      <c r="V672" s="138" t="s">
        <v>4331</v>
      </c>
      <c r="W672" s="57" t="s">
        <v>4094</v>
      </c>
      <c r="X672" s="126" t="s">
        <v>2511</v>
      </c>
      <c r="Y672" s="126" t="s">
        <v>2511</v>
      </c>
      <c r="Z672" s="57"/>
      <c r="AA672" s="57" t="s">
        <v>3661</v>
      </c>
      <c r="AB672" s="138"/>
      <c r="AC672" s="138" t="s">
        <v>2631</v>
      </c>
      <c r="AD672" s="96"/>
      <c r="AE672" s="80"/>
      <c r="AF672" s="80"/>
      <c r="AG672" s="80"/>
      <c r="AH672" s="83"/>
      <c r="AI672" s="83"/>
      <c r="AJ672" s="84"/>
      <c r="AK672" s="84"/>
      <c r="AL672" s="84"/>
      <c r="AM672" s="84"/>
      <c r="AN672" s="84"/>
      <c r="AO672" s="84"/>
      <c r="AP672" s="84"/>
      <c r="AQ672" s="95" t="s">
        <v>644</v>
      </c>
      <c r="AR672" s="72"/>
      <c r="AS672" s="72"/>
      <c r="AT672" s="72"/>
      <c r="AU672" s="72"/>
      <c r="AV672" s="72"/>
      <c r="AW672" s="72"/>
      <c r="AX672" s="72"/>
      <c r="AY672" s="72"/>
      <c r="AZ672" s="72"/>
      <c r="BA672" s="72"/>
      <c r="BB672" s="16"/>
      <c r="BC672" s="72"/>
      <c r="BD672" s="20"/>
      <c r="BE672" s="378"/>
    </row>
    <row r="673" spans="1:57" s="81" customFormat="1" ht="12.95" hidden="1" customHeight="1">
      <c r="A673" s="374"/>
      <c r="B673" s="376"/>
      <c r="C673" s="248" t="s">
        <v>1381</v>
      </c>
      <c r="D673" s="239" t="s">
        <v>4332</v>
      </c>
      <c r="E673" s="58"/>
      <c r="F673" s="59" t="s">
        <v>4333</v>
      </c>
      <c r="G673" s="191" t="s">
        <v>2511</v>
      </c>
      <c r="H673" s="192" t="s">
        <v>645</v>
      </c>
      <c r="I673" s="61" t="s">
        <v>2511</v>
      </c>
      <c r="J673" s="61" t="s">
        <v>2511</v>
      </c>
      <c r="K673" s="62" t="s">
        <v>2511</v>
      </c>
      <c r="L673" s="60" t="s">
        <v>2511</v>
      </c>
      <c r="M673" s="61" t="s">
        <v>2389</v>
      </c>
      <c r="N673" s="61" t="s">
        <v>2511</v>
      </c>
      <c r="O673" s="61" t="s">
        <v>2511</v>
      </c>
      <c r="P673" s="62" t="s">
        <v>2511</v>
      </c>
      <c r="Q673" s="82"/>
      <c r="R673" s="82"/>
      <c r="S673" s="82"/>
      <c r="T673" s="82"/>
      <c r="U673" s="82"/>
      <c r="V673" s="138" t="s">
        <v>4334</v>
      </c>
      <c r="W673" s="57" t="s">
        <v>4094</v>
      </c>
      <c r="X673" s="126" t="s">
        <v>2511</v>
      </c>
      <c r="Y673" s="126" t="s">
        <v>2511</v>
      </c>
      <c r="Z673" s="57"/>
      <c r="AA673" s="57" t="s">
        <v>3661</v>
      </c>
      <c r="AB673" s="138"/>
      <c r="AC673" s="138" t="s">
        <v>2631</v>
      </c>
      <c r="AD673" s="96"/>
      <c r="AE673" s="80"/>
      <c r="AF673" s="80"/>
      <c r="AG673" s="80"/>
      <c r="AH673" s="83"/>
      <c r="AI673" s="83"/>
      <c r="AJ673" s="84"/>
      <c r="AK673" s="84"/>
      <c r="AL673" s="84"/>
      <c r="AM673" s="84"/>
      <c r="AN673" s="84"/>
      <c r="AO673" s="84"/>
      <c r="AP673" s="84"/>
      <c r="AQ673" s="95" t="s">
        <v>645</v>
      </c>
      <c r="AR673" s="72"/>
      <c r="AS673" s="72"/>
      <c r="AT673" s="72"/>
      <c r="AU673" s="72"/>
      <c r="AV673" s="72"/>
      <c r="AW673" s="72"/>
      <c r="AX673" s="72"/>
      <c r="AY673" s="72"/>
      <c r="AZ673" s="72"/>
      <c r="BA673" s="72"/>
      <c r="BB673" s="16"/>
      <c r="BC673" s="72"/>
      <c r="BD673" s="20"/>
      <c r="BE673" s="378"/>
    </row>
    <row r="674" spans="1:57" s="81" customFormat="1" ht="12.95" hidden="1" customHeight="1">
      <c r="A674" s="374"/>
      <c r="B674" s="376"/>
      <c r="C674" s="270" t="s">
        <v>1382</v>
      </c>
      <c r="D674" s="239" t="s">
        <v>4335</v>
      </c>
      <c r="E674" s="58"/>
      <c r="F674" s="59" t="s">
        <v>4336</v>
      </c>
      <c r="G674" s="191" t="s">
        <v>2511</v>
      </c>
      <c r="H674" s="192" t="s">
        <v>646</v>
      </c>
      <c r="I674" s="61" t="s">
        <v>2511</v>
      </c>
      <c r="J674" s="61" t="s">
        <v>2511</v>
      </c>
      <c r="K674" s="62" t="s">
        <v>2511</v>
      </c>
      <c r="L674" s="60" t="s">
        <v>2511</v>
      </c>
      <c r="M674" s="61" t="s">
        <v>2389</v>
      </c>
      <c r="N674" s="61" t="s">
        <v>2511</v>
      </c>
      <c r="O674" s="61" t="s">
        <v>2511</v>
      </c>
      <c r="P674" s="62" t="s">
        <v>2511</v>
      </c>
      <c r="Q674" s="82"/>
      <c r="R674" s="82"/>
      <c r="S674" s="82"/>
      <c r="T674" s="82"/>
      <c r="U674" s="82"/>
      <c r="V674" s="138" t="s">
        <v>4337</v>
      </c>
      <c r="W674" s="57" t="s">
        <v>4094</v>
      </c>
      <c r="X674" s="126" t="s">
        <v>2511</v>
      </c>
      <c r="Y674" s="126" t="s">
        <v>2511</v>
      </c>
      <c r="Z674" s="57"/>
      <c r="AA674" s="57" t="s">
        <v>3661</v>
      </c>
      <c r="AB674" s="138"/>
      <c r="AC674" s="138" t="s">
        <v>2631</v>
      </c>
      <c r="AD674" s="96"/>
      <c r="AE674" s="80"/>
      <c r="AF674" s="80"/>
      <c r="AG674" s="80"/>
      <c r="AH674" s="83"/>
      <c r="AI674" s="83"/>
      <c r="AJ674" s="84"/>
      <c r="AK674" s="84"/>
      <c r="AL674" s="84"/>
      <c r="AM674" s="84"/>
      <c r="AN674" s="84"/>
      <c r="AO674" s="84"/>
      <c r="AP674" s="84"/>
      <c r="AQ674" s="95" t="s">
        <v>646</v>
      </c>
      <c r="AR674" s="72"/>
      <c r="AS674" s="72"/>
      <c r="AT674" s="72"/>
      <c r="AU674" s="72"/>
      <c r="AV674" s="72"/>
      <c r="AW674" s="72"/>
      <c r="AX674" s="72"/>
      <c r="AY674" s="72"/>
      <c r="AZ674" s="72"/>
      <c r="BA674" s="72"/>
      <c r="BB674" s="16"/>
      <c r="BC674" s="72"/>
      <c r="BD674" s="20"/>
      <c r="BE674" s="378"/>
    </row>
    <row r="675" spans="1:57" s="81" customFormat="1" ht="12.95" hidden="1" customHeight="1">
      <c r="A675" s="374"/>
      <c r="B675" s="376"/>
      <c r="C675" s="270" t="s">
        <v>1383</v>
      </c>
      <c r="D675" s="239" t="s">
        <v>4338</v>
      </c>
      <c r="E675" s="58"/>
      <c r="F675" s="59" t="s">
        <v>4339</v>
      </c>
      <c r="G675" s="191" t="s">
        <v>2511</v>
      </c>
      <c r="H675" s="192" t="s">
        <v>647</v>
      </c>
      <c r="I675" s="61" t="s">
        <v>2511</v>
      </c>
      <c r="J675" s="61" t="s">
        <v>2511</v>
      </c>
      <c r="K675" s="62" t="s">
        <v>2511</v>
      </c>
      <c r="L675" s="60" t="s">
        <v>2511</v>
      </c>
      <c r="M675" s="61" t="s">
        <v>2389</v>
      </c>
      <c r="N675" s="61" t="s">
        <v>2511</v>
      </c>
      <c r="O675" s="61" t="s">
        <v>2511</v>
      </c>
      <c r="P675" s="62" t="s">
        <v>2511</v>
      </c>
      <c r="Q675" s="82"/>
      <c r="R675" s="82"/>
      <c r="S675" s="82"/>
      <c r="T675" s="82"/>
      <c r="U675" s="82"/>
      <c r="V675" s="138" t="s">
        <v>4340</v>
      </c>
      <c r="W675" s="57" t="s">
        <v>4094</v>
      </c>
      <c r="X675" s="126" t="s">
        <v>2511</v>
      </c>
      <c r="Y675" s="126" t="s">
        <v>2511</v>
      </c>
      <c r="Z675" s="57"/>
      <c r="AA675" s="57" t="s">
        <v>3661</v>
      </c>
      <c r="AB675" s="138"/>
      <c r="AC675" s="138" t="s">
        <v>2631</v>
      </c>
      <c r="AD675" s="96"/>
      <c r="AE675" s="80"/>
      <c r="AF675" s="80"/>
      <c r="AG675" s="80"/>
      <c r="AH675" s="83"/>
      <c r="AI675" s="83"/>
      <c r="AJ675" s="84"/>
      <c r="AK675" s="84"/>
      <c r="AL675" s="84"/>
      <c r="AM675" s="84"/>
      <c r="AN675" s="84"/>
      <c r="AO675" s="84"/>
      <c r="AP675" s="84"/>
      <c r="AQ675" s="95" t="s">
        <v>647</v>
      </c>
      <c r="AR675" s="72"/>
      <c r="AS675" s="72"/>
      <c r="AT675" s="72"/>
      <c r="AU675" s="72"/>
      <c r="AV675" s="72"/>
      <c r="AW675" s="72"/>
      <c r="AX675" s="72"/>
      <c r="AY675" s="72"/>
      <c r="AZ675" s="72"/>
      <c r="BA675" s="72"/>
      <c r="BB675" s="16"/>
      <c r="BC675" s="72"/>
      <c r="BD675" s="20"/>
      <c r="BE675" s="378"/>
    </row>
    <row r="676" spans="1:57" s="81" customFormat="1" ht="12.75" hidden="1" customHeight="1">
      <c r="A676" s="374"/>
      <c r="B676" s="376"/>
      <c r="C676" s="248" t="s">
        <v>1384</v>
      </c>
      <c r="D676" s="239" t="s">
        <v>4341</v>
      </c>
      <c r="E676" s="58"/>
      <c r="F676" s="59" t="s">
        <v>4342</v>
      </c>
      <c r="G676" s="191" t="s">
        <v>2511</v>
      </c>
      <c r="H676" s="192" t="s">
        <v>648</v>
      </c>
      <c r="I676" s="61" t="s">
        <v>2511</v>
      </c>
      <c r="J676" s="61" t="s">
        <v>2511</v>
      </c>
      <c r="K676" s="62" t="s">
        <v>2511</v>
      </c>
      <c r="L676" s="60" t="s">
        <v>2511</v>
      </c>
      <c r="M676" s="61" t="s">
        <v>2389</v>
      </c>
      <c r="N676" s="61" t="s">
        <v>2511</v>
      </c>
      <c r="O676" s="61" t="s">
        <v>2511</v>
      </c>
      <c r="P676" s="62" t="s">
        <v>2511</v>
      </c>
      <c r="Q676" s="82"/>
      <c r="R676" s="82"/>
      <c r="S676" s="82"/>
      <c r="T676" s="82"/>
      <c r="U676" s="82"/>
      <c r="V676" s="138" t="s">
        <v>4343</v>
      </c>
      <c r="W676" s="57" t="s">
        <v>4094</v>
      </c>
      <c r="X676" s="126" t="s">
        <v>2511</v>
      </c>
      <c r="Y676" s="126" t="s">
        <v>2511</v>
      </c>
      <c r="Z676" s="57"/>
      <c r="AA676" s="57" t="s">
        <v>3661</v>
      </c>
      <c r="AB676" s="138"/>
      <c r="AC676" s="138">
        <v>0</v>
      </c>
      <c r="AD676" s="96"/>
      <c r="AE676" s="80"/>
      <c r="AF676" s="80"/>
      <c r="AG676" s="80"/>
      <c r="AH676" s="83"/>
      <c r="AI676" s="83"/>
      <c r="AJ676" s="84"/>
      <c r="AK676" s="84"/>
      <c r="AL676" s="84"/>
      <c r="AM676" s="84"/>
      <c r="AN676" s="84"/>
      <c r="AO676" s="84"/>
      <c r="AP676" s="84"/>
      <c r="AQ676" s="95" t="s">
        <v>648</v>
      </c>
      <c r="AR676" s="72"/>
      <c r="AS676" s="72"/>
      <c r="AT676" s="72"/>
      <c r="AU676" s="72"/>
      <c r="AV676" s="72"/>
      <c r="AW676" s="72"/>
      <c r="AX676" s="72"/>
      <c r="AY676" s="72"/>
      <c r="AZ676" s="72"/>
      <c r="BA676" s="72"/>
      <c r="BB676" s="16"/>
      <c r="BC676" s="72"/>
      <c r="BD676" s="20"/>
      <c r="BE676" s="378"/>
    </row>
    <row r="677" spans="1:57" s="81" customFormat="1" ht="12.95" hidden="1" customHeight="1">
      <c r="A677" s="374"/>
      <c r="B677" s="376"/>
      <c r="C677" s="248" t="s">
        <v>1385</v>
      </c>
      <c r="D677" s="239" t="s">
        <v>4344</v>
      </c>
      <c r="E677" s="58"/>
      <c r="F677" s="59" t="s">
        <v>4345</v>
      </c>
      <c r="G677" s="191" t="s">
        <v>2511</v>
      </c>
      <c r="H677" s="192" t="s">
        <v>649</v>
      </c>
      <c r="I677" s="61" t="s">
        <v>2511</v>
      </c>
      <c r="J677" s="61" t="s">
        <v>2511</v>
      </c>
      <c r="K677" s="62" t="s">
        <v>2511</v>
      </c>
      <c r="L677" s="60" t="s">
        <v>2511</v>
      </c>
      <c r="M677" s="61" t="s">
        <v>2389</v>
      </c>
      <c r="N677" s="61" t="s">
        <v>2511</v>
      </c>
      <c r="O677" s="61" t="s">
        <v>2511</v>
      </c>
      <c r="P677" s="62" t="s">
        <v>2511</v>
      </c>
      <c r="Q677" s="82"/>
      <c r="R677" s="82"/>
      <c r="S677" s="82"/>
      <c r="T677" s="82"/>
      <c r="U677" s="82"/>
      <c r="V677" s="138" t="s">
        <v>4346</v>
      </c>
      <c r="W677" s="57" t="s">
        <v>4094</v>
      </c>
      <c r="X677" s="126" t="s">
        <v>2511</v>
      </c>
      <c r="Y677" s="126" t="s">
        <v>2511</v>
      </c>
      <c r="Z677" s="57"/>
      <c r="AA677" s="57" t="s">
        <v>3661</v>
      </c>
      <c r="AB677" s="138"/>
      <c r="AC677" s="138" t="s">
        <v>2631</v>
      </c>
      <c r="AD677" s="96"/>
      <c r="AE677" s="80"/>
      <c r="AF677" s="80"/>
      <c r="AG677" s="80"/>
      <c r="AH677" s="83"/>
      <c r="AI677" s="83"/>
      <c r="AJ677" s="84"/>
      <c r="AK677" s="84"/>
      <c r="AL677" s="84"/>
      <c r="AM677" s="84"/>
      <c r="AN677" s="84"/>
      <c r="AO677" s="84"/>
      <c r="AP677" s="84"/>
      <c r="AQ677" s="95" t="s">
        <v>649</v>
      </c>
      <c r="AR677" s="72"/>
      <c r="AS677" s="72"/>
      <c r="AT677" s="72"/>
      <c r="AU677" s="72"/>
      <c r="AV677" s="72"/>
      <c r="AW677" s="72"/>
      <c r="AX677" s="72"/>
      <c r="AY677" s="72"/>
      <c r="AZ677" s="72"/>
      <c r="BA677" s="72"/>
      <c r="BB677" s="16"/>
      <c r="BC677" s="72"/>
      <c r="BD677" s="20"/>
      <c r="BE677" s="378"/>
    </row>
    <row r="678" spans="1:57" s="81" customFormat="1" ht="12.95" hidden="1" customHeight="1">
      <c r="A678" s="374"/>
      <c r="B678" s="376"/>
      <c r="C678" s="248" t="s">
        <v>1386</v>
      </c>
      <c r="D678" s="239" t="s">
        <v>4347</v>
      </c>
      <c r="E678" s="58"/>
      <c r="F678" s="59" t="s">
        <v>4348</v>
      </c>
      <c r="G678" s="191" t="s">
        <v>2511</v>
      </c>
      <c r="H678" s="192" t="s">
        <v>650</v>
      </c>
      <c r="I678" s="61" t="s">
        <v>2511</v>
      </c>
      <c r="J678" s="61" t="s">
        <v>2511</v>
      </c>
      <c r="K678" s="62" t="s">
        <v>2511</v>
      </c>
      <c r="L678" s="60" t="s">
        <v>2511</v>
      </c>
      <c r="M678" s="61" t="s">
        <v>2389</v>
      </c>
      <c r="N678" s="61" t="s">
        <v>2511</v>
      </c>
      <c r="O678" s="61" t="s">
        <v>2511</v>
      </c>
      <c r="P678" s="62" t="s">
        <v>2511</v>
      </c>
      <c r="Q678" s="82"/>
      <c r="R678" s="82"/>
      <c r="S678" s="82"/>
      <c r="T678" s="82"/>
      <c r="U678" s="82"/>
      <c r="V678" s="138" t="s">
        <v>4349</v>
      </c>
      <c r="W678" s="57" t="s">
        <v>4094</v>
      </c>
      <c r="X678" s="126" t="s">
        <v>2511</v>
      </c>
      <c r="Y678" s="126" t="s">
        <v>2511</v>
      </c>
      <c r="Z678" s="57"/>
      <c r="AA678" s="57" t="s">
        <v>3661</v>
      </c>
      <c r="AB678" s="138"/>
      <c r="AC678" s="138" t="s">
        <v>2631</v>
      </c>
      <c r="AD678" s="96"/>
      <c r="AE678" s="80"/>
      <c r="AF678" s="80"/>
      <c r="AG678" s="80"/>
      <c r="AH678" s="83"/>
      <c r="AI678" s="83"/>
      <c r="AJ678" s="84"/>
      <c r="AK678" s="84"/>
      <c r="AL678" s="84"/>
      <c r="AM678" s="84"/>
      <c r="AN678" s="84"/>
      <c r="AO678" s="84"/>
      <c r="AP678" s="84"/>
      <c r="AQ678" s="95" t="s">
        <v>650</v>
      </c>
      <c r="AR678" s="72"/>
      <c r="AS678" s="72"/>
      <c r="AT678" s="72"/>
      <c r="AU678" s="72"/>
      <c r="AV678" s="72"/>
      <c r="AW678" s="72"/>
      <c r="AX678" s="72"/>
      <c r="AY678" s="72"/>
      <c r="AZ678" s="72"/>
      <c r="BA678" s="72"/>
      <c r="BB678" s="16"/>
      <c r="BC678" s="72"/>
      <c r="BD678" s="20"/>
      <c r="BE678" s="378"/>
    </row>
    <row r="679" spans="1:57" s="81" customFormat="1" ht="12.95" hidden="1" customHeight="1">
      <c r="A679" s="374"/>
      <c r="B679" s="376"/>
      <c r="C679" s="248" t="s">
        <v>1387</v>
      </c>
      <c r="D679" s="239" t="s">
        <v>4350</v>
      </c>
      <c r="E679" s="58"/>
      <c r="F679" s="59" t="s">
        <v>4351</v>
      </c>
      <c r="G679" s="191" t="s">
        <v>2511</v>
      </c>
      <c r="H679" s="192" t="s">
        <v>651</v>
      </c>
      <c r="I679" s="61" t="s">
        <v>2511</v>
      </c>
      <c r="J679" s="61" t="s">
        <v>2511</v>
      </c>
      <c r="K679" s="62" t="s">
        <v>2511</v>
      </c>
      <c r="L679" s="60" t="s">
        <v>2511</v>
      </c>
      <c r="M679" s="61" t="s">
        <v>2389</v>
      </c>
      <c r="N679" s="61" t="s">
        <v>2511</v>
      </c>
      <c r="O679" s="61" t="s">
        <v>2511</v>
      </c>
      <c r="P679" s="62" t="s">
        <v>2511</v>
      </c>
      <c r="Q679" s="82"/>
      <c r="R679" s="82"/>
      <c r="S679" s="82"/>
      <c r="T679" s="82"/>
      <c r="U679" s="82"/>
      <c r="V679" s="138" t="s">
        <v>4352</v>
      </c>
      <c r="W679" s="57" t="s">
        <v>4094</v>
      </c>
      <c r="X679" s="126" t="s">
        <v>2511</v>
      </c>
      <c r="Y679" s="126" t="s">
        <v>2511</v>
      </c>
      <c r="Z679" s="57"/>
      <c r="AA679" s="57" t="s">
        <v>3661</v>
      </c>
      <c r="AB679" s="138"/>
      <c r="AC679" s="138" t="s">
        <v>2631</v>
      </c>
      <c r="AD679" s="96"/>
      <c r="AE679" s="80"/>
      <c r="AF679" s="80"/>
      <c r="AG679" s="80"/>
      <c r="AH679" s="83"/>
      <c r="AI679" s="83"/>
      <c r="AJ679" s="84"/>
      <c r="AK679" s="84"/>
      <c r="AL679" s="84"/>
      <c r="AM679" s="84"/>
      <c r="AN679" s="84"/>
      <c r="AO679" s="84"/>
      <c r="AP679" s="84"/>
      <c r="AQ679" s="95" t="s">
        <v>651</v>
      </c>
      <c r="AR679" s="72"/>
      <c r="AS679" s="72"/>
      <c r="AT679" s="72"/>
      <c r="AU679" s="72"/>
      <c r="AV679" s="72"/>
      <c r="AW679" s="72"/>
      <c r="AX679" s="72"/>
      <c r="AY679" s="72"/>
      <c r="AZ679" s="72"/>
      <c r="BA679" s="72"/>
      <c r="BB679" s="16"/>
      <c r="BC679" s="72"/>
      <c r="BD679" s="20"/>
      <c r="BE679" s="378"/>
    </row>
    <row r="680" spans="1:57" s="81" customFormat="1" ht="12.95" hidden="1" customHeight="1">
      <c r="A680" s="374"/>
      <c r="B680" s="376"/>
      <c r="C680" s="248" t="s">
        <v>1388</v>
      </c>
      <c r="D680" s="239" t="s">
        <v>4353</v>
      </c>
      <c r="E680" s="58"/>
      <c r="F680" s="59" t="s">
        <v>4354</v>
      </c>
      <c r="G680" s="191" t="s">
        <v>2511</v>
      </c>
      <c r="H680" s="192" t="s">
        <v>652</v>
      </c>
      <c r="I680" s="61" t="s">
        <v>2511</v>
      </c>
      <c r="J680" s="61" t="s">
        <v>2511</v>
      </c>
      <c r="K680" s="62" t="s">
        <v>2511</v>
      </c>
      <c r="L680" s="60" t="s">
        <v>2511</v>
      </c>
      <c r="M680" s="61" t="s">
        <v>2389</v>
      </c>
      <c r="N680" s="61" t="s">
        <v>2511</v>
      </c>
      <c r="O680" s="61" t="s">
        <v>2511</v>
      </c>
      <c r="P680" s="62" t="s">
        <v>2511</v>
      </c>
      <c r="Q680" s="82"/>
      <c r="R680" s="82"/>
      <c r="S680" s="82"/>
      <c r="T680" s="82"/>
      <c r="U680" s="82"/>
      <c r="V680" s="138" t="s">
        <v>4355</v>
      </c>
      <c r="W680" s="57" t="s">
        <v>4094</v>
      </c>
      <c r="X680" s="126" t="s">
        <v>2511</v>
      </c>
      <c r="Y680" s="126" t="s">
        <v>2511</v>
      </c>
      <c r="Z680" s="57"/>
      <c r="AA680" s="57" t="s">
        <v>3661</v>
      </c>
      <c r="AB680" s="138"/>
      <c r="AC680" s="138" t="s">
        <v>2631</v>
      </c>
      <c r="AD680" s="96"/>
      <c r="AE680" s="80"/>
      <c r="AF680" s="80"/>
      <c r="AG680" s="80"/>
      <c r="AH680" s="83"/>
      <c r="AI680" s="83"/>
      <c r="AJ680" s="84"/>
      <c r="AK680" s="84"/>
      <c r="AL680" s="84"/>
      <c r="AM680" s="84"/>
      <c r="AN680" s="84"/>
      <c r="AO680" s="84"/>
      <c r="AP680" s="84"/>
      <c r="AQ680" s="95" t="s">
        <v>652</v>
      </c>
      <c r="AR680" s="72"/>
      <c r="AS680" s="72"/>
      <c r="AT680" s="72"/>
      <c r="AU680" s="72"/>
      <c r="AV680" s="72"/>
      <c r="AW680" s="72"/>
      <c r="AX680" s="72"/>
      <c r="AY680" s="72"/>
      <c r="AZ680" s="72"/>
      <c r="BA680" s="72"/>
      <c r="BB680" s="16"/>
      <c r="BC680" s="72"/>
      <c r="BD680" s="20"/>
      <c r="BE680" s="378"/>
    </row>
    <row r="681" spans="1:57" s="81" customFormat="1" ht="12.95" hidden="1" customHeight="1">
      <c r="A681" s="374"/>
      <c r="B681" s="376"/>
      <c r="C681" s="248" t="s">
        <v>1389</v>
      </c>
      <c r="D681" s="239" t="s">
        <v>4356</v>
      </c>
      <c r="E681" s="58"/>
      <c r="F681" s="59" t="s">
        <v>4357</v>
      </c>
      <c r="G681" s="191" t="s">
        <v>2511</v>
      </c>
      <c r="H681" s="192" t="s">
        <v>653</v>
      </c>
      <c r="I681" s="61" t="s">
        <v>2511</v>
      </c>
      <c r="J681" s="61" t="s">
        <v>2511</v>
      </c>
      <c r="K681" s="62" t="s">
        <v>2511</v>
      </c>
      <c r="L681" s="60" t="s">
        <v>2511</v>
      </c>
      <c r="M681" s="61" t="s">
        <v>2389</v>
      </c>
      <c r="N681" s="61" t="s">
        <v>2511</v>
      </c>
      <c r="O681" s="61" t="s">
        <v>2511</v>
      </c>
      <c r="P681" s="62" t="s">
        <v>2511</v>
      </c>
      <c r="Q681" s="82"/>
      <c r="R681" s="82"/>
      <c r="S681" s="82"/>
      <c r="T681" s="82"/>
      <c r="U681" s="82"/>
      <c r="V681" s="138" t="s">
        <v>4358</v>
      </c>
      <c r="W681" s="57" t="s">
        <v>4094</v>
      </c>
      <c r="X681" s="126" t="s">
        <v>2511</v>
      </c>
      <c r="Y681" s="126" t="s">
        <v>2511</v>
      </c>
      <c r="Z681" s="57"/>
      <c r="AA681" s="57" t="s">
        <v>3661</v>
      </c>
      <c r="AB681" s="138"/>
      <c r="AC681" s="138" t="s">
        <v>2631</v>
      </c>
      <c r="AD681" s="96"/>
      <c r="AE681" s="80"/>
      <c r="AF681" s="80"/>
      <c r="AG681" s="80"/>
      <c r="AH681" s="83"/>
      <c r="AI681" s="83"/>
      <c r="AJ681" s="84"/>
      <c r="AK681" s="84"/>
      <c r="AL681" s="84"/>
      <c r="AM681" s="84"/>
      <c r="AN681" s="84"/>
      <c r="AO681" s="84"/>
      <c r="AP681" s="84"/>
      <c r="AQ681" s="95" t="s">
        <v>653</v>
      </c>
      <c r="AR681" s="72"/>
      <c r="AS681" s="72"/>
      <c r="AT681" s="72"/>
      <c r="AU681" s="72"/>
      <c r="AV681" s="72"/>
      <c r="AW681" s="72"/>
      <c r="AX681" s="72"/>
      <c r="AY681" s="72"/>
      <c r="AZ681" s="72"/>
      <c r="BA681" s="72"/>
      <c r="BB681" s="16"/>
      <c r="BC681" s="72"/>
      <c r="BD681" s="20"/>
      <c r="BE681" s="378"/>
    </row>
    <row r="682" spans="1:57" s="81" customFormat="1" ht="12.95" hidden="1" customHeight="1">
      <c r="A682" s="374"/>
      <c r="B682" s="376"/>
      <c r="C682" s="248" t="s">
        <v>1390</v>
      </c>
      <c r="D682" s="239" t="s">
        <v>4359</v>
      </c>
      <c r="E682" s="58"/>
      <c r="F682" s="59" t="s">
        <v>4360</v>
      </c>
      <c r="G682" s="191" t="s">
        <v>2511</v>
      </c>
      <c r="H682" s="192" t="s">
        <v>654</v>
      </c>
      <c r="I682" s="61" t="s">
        <v>2511</v>
      </c>
      <c r="J682" s="61" t="s">
        <v>2511</v>
      </c>
      <c r="K682" s="62" t="s">
        <v>2511</v>
      </c>
      <c r="L682" s="60" t="s">
        <v>2511</v>
      </c>
      <c r="M682" s="61" t="s">
        <v>2389</v>
      </c>
      <c r="N682" s="61" t="s">
        <v>2511</v>
      </c>
      <c r="O682" s="61" t="s">
        <v>2511</v>
      </c>
      <c r="P682" s="62" t="s">
        <v>2511</v>
      </c>
      <c r="Q682" s="82"/>
      <c r="R682" s="82"/>
      <c r="S682" s="82"/>
      <c r="T682" s="82"/>
      <c r="U682" s="82"/>
      <c r="V682" s="138" t="s">
        <v>4361</v>
      </c>
      <c r="W682" s="57" t="s">
        <v>4094</v>
      </c>
      <c r="X682" s="126" t="s">
        <v>2511</v>
      </c>
      <c r="Y682" s="126" t="s">
        <v>2511</v>
      </c>
      <c r="Z682" s="57"/>
      <c r="AA682" s="57" t="s">
        <v>3661</v>
      </c>
      <c r="AB682" s="138"/>
      <c r="AC682" s="138" t="s">
        <v>2631</v>
      </c>
      <c r="AD682" s="96"/>
      <c r="AE682" s="80"/>
      <c r="AF682" s="80"/>
      <c r="AG682" s="80"/>
      <c r="AH682" s="83"/>
      <c r="AI682" s="83"/>
      <c r="AJ682" s="84"/>
      <c r="AK682" s="84"/>
      <c r="AL682" s="84"/>
      <c r="AM682" s="84"/>
      <c r="AN682" s="84"/>
      <c r="AO682" s="84"/>
      <c r="AP682" s="84"/>
      <c r="AQ682" s="95" t="s">
        <v>654</v>
      </c>
      <c r="AR682" s="72"/>
      <c r="AS682" s="72"/>
      <c r="AT682" s="72"/>
      <c r="AU682" s="72"/>
      <c r="AV682" s="72"/>
      <c r="AW682" s="72"/>
      <c r="AX682" s="72"/>
      <c r="AY682" s="72"/>
      <c r="AZ682" s="72"/>
      <c r="BA682" s="72"/>
      <c r="BB682" s="16"/>
      <c r="BC682" s="72"/>
      <c r="BD682" s="20"/>
      <c r="BE682" s="378"/>
    </row>
    <row r="683" spans="1:57" s="81" customFormat="1" ht="12.95" hidden="1" customHeight="1">
      <c r="A683" s="374"/>
      <c r="B683" s="376"/>
      <c r="C683" s="248" t="s">
        <v>1391</v>
      </c>
      <c r="D683" s="239" t="s">
        <v>4362</v>
      </c>
      <c r="E683" s="58"/>
      <c r="F683" s="59" t="s">
        <v>4363</v>
      </c>
      <c r="G683" s="191" t="s">
        <v>2511</v>
      </c>
      <c r="H683" s="192" t="s">
        <v>655</v>
      </c>
      <c r="I683" s="61" t="s">
        <v>2511</v>
      </c>
      <c r="J683" s="61" t="s">
        <v>2511</v>
      </c>
      <c r="K683" s="62" t="s">
        <v>2511</v>
      </c>
      <c r="L683" s="60" t="s">
        <v>2511</v>
      </c>
      <c r="M683" s="61" t="s">
        <v>2389</v>
      </c>
      <c r="N683" s="61" t="s">
        <v>2511</v>
      </c>
      <c r="O683" s="61" t="s">
        <v>2511</v>
      </c>
      <c r="P683" s="62" t="s">
        <v>2511</v>
      </c>
      <c r="Q683" s="82"/>
      <c r="R683" s="82"/>
      <c r="S683" s="82"/>
      <c r="T683" s="82"/>
      <c r="U683" s="82"/>
      <c r="V683" s="138" t="s">
        <v>4364</v>
      </c>
      <c r="W683" s="57" t="s">
        <v>4094</v>
      </c>
      <c r="X683" s="126" t="s">
        <v>2511</v>
      </c>
      <c r="Y683" s="126" t="s">
        <v>2511</v>
      </c>
      <c r="Z683" s="57"/>
      <c r="AA683" s="57" t="s">
        <v>3661</v>
      </c>
      <c r="AB683" s="138"/>
      <c r="AC683" s="138" t="s">
        <v>2631</v>
      </c>
      <c r="AD683" s="96"/>
      <c r="AE683" s="80"/>
      <c r="AF683" s="80"/>
      <c r="AG683" s="80"/>
      <c r="AH683" s="83"/>
      <c r="AI683" s="83"/>
      <c r="AJ683" s="84"/>
      <c r="AK683" s="84"/>
      <c r="AL683" s="84"/>
      <c r="AM683" s="84"/>
      <c r="AN683" s="84"/>
      <c r="AO683" s="84"/>
      <c r="AP683" s="84"/>
      <c r="AQ683" s="95" t="s">
        <v>655</v>
      </c>
      <c r="AR683" s="72"/>
      <c r="AS683" s="72"/>
      <c r="AT683" s="72"/>
      <c r="AU683" s="72"/>
      <c r="AV683" s="72"/>
      <c r="AW683" s="72"/>
      <c r="AX683" s="72"/>
      <c r="AY683" s="72"/>
      <c r="AZ683" s="72"/>
      <c r="BA683" s="72"/>
      <c r="BB683" s="16"/>
      <c r="BC683" s="72"/>
      <c r="BD683" s="20"/>
      <c r="BE683" s="378"/>
    </row>
    <row r="684" spans="1:57" s="81" customFormat="1" ht="12.95" hidden="1" customHeight="1">
      <c r="A684" s="374"/>
      <c r="B684" s="376"/>
      <c r="C684" s="248" t="s">
        <v>1392</v>
      </c>
      <c r="D684" s="239" t="s">
        <v>4365</v>
      </c>
      <c r="E684" s="58"/>
      <c r="F684" s="59" t="s">
        <v>4366</v>
      </c>
      <c r="G684" s="191" t="s">
        <v>2511</v>
      </c>
      <c r="H684" s="192" t="s">
        <v>656</v>
      </c>
      <c r="I684" s="61" t="s">
        <v>2511</v>
      </c>
      <c r="J684" s="61" t="s">
        <v>2511</v>
      </c>
      <c r="K684" s="62" t="s">
        <v>2511</v>
      </c>
      <c r="L684" s="60" t="s">
        <v>2511</v>
      </c>
      <c r="M684" s="61" t="s">
        <v>2389</v>
      </c>
      <c r="N684" s="61" t="s">
        <v>2511</v>
      </c>
      <c r="O684" s="61" t="s">
        <v>2511</v>
      </c>
      <c r="P684" s="62" t="s">
        <v>2511</v>
      </c>
      <c r="Q684" s="82"/>
      <c r="R684" s="82"/>
      <c r="S684" s="82"/>
      <c r="T684" s="82"/>
      <c r="U684" s="82"/>
      <c r="V684" s="138" t="s">
        <v>4367</v>
      </c>
      <c r="W684" s="57" t="s">
        <v>4094</v>
      </c>
      <c r="X684" s="126" t="s">
        <v>2511</v>
      </c>
      <c r="Y684" s="126" t="s">
        <v>2511</v>
      </c>
      <c r="Z684" s="57"/>
      <c r="AA684" s="57" t="s">
        <v>3661</v>
      </c>
      <c r="AB684" s="138"/>
      <c r="AC684" s="138" t="s">
        <v>2631</v>
      </c>
      <c r="AD684" s="96"/>
      <c r="AE684" s="80"/>
      <c r="AF684" s="80"/>
      <c r="AG684" s="80"/>
      <c r="AH684" s="83"/>
      <c r="AI684" s="83"/>
      <c r="AJ684" s="84"/>
      <c r="AK684" s="84"/>
      <c r="AL684" s="84"/>
      <c r="AM684" s="84"/>
      <c r="AN684" s="84"/>
      <c r="AO684" s="84"/>
      <c r="AP684" s="84"/>
      <c r="AQ684" s="95" t="s">
        <v>656</v>
      </c>
      <c r="AR684" s="72"/>
      <c r="AS684" s="72"/>
      <c r="AT684" s="72"/>
      <c r="AU684" s="72"/>
      <c r="AV684" s="72"/>
      <c r="AW684" s="72"/>
      <c r="AX684" s="72"/>
      <c r="AY684" s="72"/>
      <c r="AZ684" s="72"/>
      <c r="BA684" s="72"/>
      <c r="BB684" s="16"/>
      <c r="BC684" s="72"/>
      <c r="BD684" s="20"/>
      <c r="BE684" s="378"/>
    </row>
    <row r="685" spans="1:57" s="81" customFormat="1" ht="12.95" hidden="1" customHeight="1">
      <c r="A685" s="374"/>
      <c r="B685" s="376"/>
      <c r="C685" s="248" t="s">
        <v>1393</v>
      </c>
      <c r="D685" s="239" t="s">
        <v>4368</v>
      </c>
      <c r="E685" s="58"/>
      <c r="F685" s="59" t="s">
        <v>4369</v>
      </c>
      <c r="G685" s="191" t="s">
        <v>2511</v>
      </c>
      <c r="H685" s="192" t="s">
        <v>657</v>
      </c>
      <c r="I685" s="61" t="s">
        <v>2511</v>
      </c>
      <c r="J685" s="61" t="s">
        <v>2511</v>
      </c>
      <c r="K685" s="62" t="s">
        <v>2511</v>
      </c>
      <c r="L685" s="60" t="s">
        <v>2511</v>
      </c>
      <c r="M685" s="61" t="s">
        <v>2389</v>
      </c>
      <c r="N685" s="61" t="s">
        <v>2511</v>
      </c>
      <c r="O685" s="61" t="s">
        <v>2511</v>
      </c>
      <c r="P685" s="62" t="s">
        <v>2511</v>
      </c>
      <c r="Q685" s="82"/>
      <c r="R685" s="82"/>
      <c r="S685" s="82"/>
      <c r="T685" s="82"/>
      <c r="U685" s="82"/>
      <c r="V685" s="138" t="s">
        <v>4370</v>
      </c>
      <c r="W685" s="57" t="s">
        <v>4094</v>
      </c>
      <c r="X685" s="126" t="s">
        <v>2511</v>
      </c>
      <c r="Y685" s="126" t="s">
        <v>2511</v>
      </c>
      <c r="Z685" s="57"/>
      <c r="AA685" s="57" t="s">
        <v>3661</v>
      </c>
      <c r="AB685" s="138"/>
      <c r="AC685" s="138" t="s">
        <v>2631</v>
      </c>
      <c r="AD685" s="96"/>
      <c r="AE685" s="80"/>
      <c r="AF685" s="80"/>
      <c r="AG685" s="80"/>
      <c r="AH685" s="83"/>
      <c r="AI685" s="83"/>
      <c r="AJ685" s="84"/>
      <c r="AK685" s="84"/>
      <c r="AL685" s="84"/>
      <c r="AM685" s="84"/>
      <c r="AN685" s="84"/>
      <c r="AO685" s="84"/>
      <c r="AP685" s="84"/>
      <c r="AQ685" s="95" t="s">
        <v>657</v>
      </c>
      <c r="AR685" s="72"/>
      <c r="AS685" s="72"/>
      <c r="AT685" s="72"/>
      <c r="AU685" s="72"/>
      <c r="AV685" s="72"/>
      <c r="AW685" s="72"/>
      <c r="AX685" s="72"/>
      <c r="AY685" s="72"/>
      <c r="AZ685" s="72"/>
      <c r="BA685" s="72"/>
      <c r="BB685" s="16"/>
      <c r="BC685" s="72"/>
      <c r="BD685" s="20"/>
      <c r="BE685" s="378"/>
    </row>
    <row r="686" spans="1:57" s="81" customFormat="1" ht="12.95" hidden="1" customHeight="1">
      <c r="A686" s="374"/>
      <c r="B686" s="376"/>
      <c r="C686" s="270" t="s">
        <v>1394</v>
      </c>
      <c r="D686" s="239" t="s">
        <v>4371</v>
      </c>
      <c r="E686" s="58"/>
      <c r="F686" s="59" t="s">
        <v>4372</v>
      </c>
      <c r="G686" s="191" t="s">
        <v>2511</v>
      </c>
      <c r="H686" s="192" t="s">
        <v>658</v>
      </c>
      <c r="I686" s="61" t="s">
        <v>2511</v>
      </c>
      <c r="J686" s="61" t="s">
        <v>2511</v>
      </c>
      <c r="K686" s="62" t="s">
        <v>2511</v>
      </c>
      <c r="L686" s="60" t="s">
        <v>2511</v>
      </c>
      <c r="M686" s="61" t="s">
        <v>2389</v>
      </c>
      <c r="N686" s="61" t="s">
        <v>2511</v>
      </c>
      <c r="O686" s="61" t="s">
        <v>2511</v>
      </c>
      <c r="P686" s="62" t="s">
        <v>2511</v>
      </c>
      <c r="Q686" s="82"/>
      <c r="R686" s="82"/>
      <c r="S686" s="82"/>
      <c r="T686" s="82"/>
      <c r="U686" s="82"/>
      <c r="V686" s="138" t="s">
        <v>4373</v>
      </c>
      <c r="W686" s="57" t="s">
        <v>4094</v>
      </c>
      <c r="X686" s="126" t="s">
        <v>2511</v>
      </c>
      <c r="Y686" s="126" t="s">
        <v>2511</v>
      </c>
      <c r="Z686" s="57"/>
      <c r="AA686" s="57" t="s">
        <v>3661</v>
      </c>
      <c r="AB686" s="138"/>
      <c r="AC686" s="138" t="s">
        <v>2631</v>
      </c>
      <c r="AD686" s="96"/>
      <c r="AE686" s="80"/>
      <c r="AF686" s="80"/>
      <c r="AG686" s="80"/>
      <c r="AH686" s="83"/>
      <c r="AI686" s="83"/>
      <c r="AJ686" s="84"/>
      <c r="AK686" s="84"/>
      <c r="AL686" s="84"/>
      <c r="AM686" s="84"/>
      <c r="AN686" s="84"/>
      <c r="AO686" s="84"/>
      <c r="AP686" s="84"/>
      <c r="AQ686" s="95" t="s">
        <v>658</v>
      </c>
      <c r="AR686" s="72"/>
      <c r="AS686" s="72"/>
      <c r="AT686" s="72"/>
      <c r="AU686" s="72"/>
      <c r="AV686" s="72"/>
      <c r="AW686" s="72"/>
      <c r="AX686" s="72"/>
      <c r="AY686" s="72"/>
      <c r="AZ686" s="72"/>
      <c r="BA686" s="72"/>
      <c r="BB686" s="16"/>
      <c r="BC686" s="72"/>
      <c r="BD686" s="20"/>
      <c r="BE686" s="378"/>
    </row>
    <row r="687" spans="1:57" s="81" customFormat="1" ht="12.95" hidden="1" customHeight="1">
      <c r="A687" s="374"/>
      <c r="B687" s="376"/>
      <c r="C687" s="270" t="s">
        <v>1395</v>
      </c>
      <c r="D687" s="239" t="s">
        <v>4374</v>
      </c>
      <c r="E687" s="58"/>
      <c r="F687" s="59" t="s">
        <v>4375</v>
      </c>
      <c r="G687" s="191" t="s">
        <v>2511</v>
      </c>
      <c r="H687" s="192" t="s">
        <v>659</v>
      </c>
      <c r="I687" s="61" t="s">
        <v>2511</v>
      </c>
      <c r="J687" s="61" t="s">
        <v>2511</v>
      </c>
      <c r="K687" s="62" t="s">
        <v>2511</v>
      </c>
      <c r="L687" s="60" t="s">
        <v>2511</v>
      </c>
      <c r="M687" s="61" t="s">
        <v>2389</v>
      </c>
      <c r="N687" s="61" t="s">
        <v>2511</v>
      </c>
      <c r="O687" s="61" t="s">
        <v>2511</v>
      </c>
      <c r="P687" s="62" t="s">
        <v>2511</v>
      </c>
      <c r="Q687" s="82"/>
      <c r="R687" s="82"/>
      <c r="S687" s="82"/>
      <c r="T687" s="82"/>
      <c r="U687" s="82"/>
      <c r="V687" s="138" t="s">
        <v>4376</v>
      </c>
      <c r="W687" s="57" t="s">
        <v>4094</v>
      </c>
      <c r="X687" s="126" t="s">
        <v>2511</v>
      </c>
      <c r="Y687" s="126" t="s">
        <v>2511</v>
      </c>
      <c r="Z687" s="57"/>
      <c r="AA687" s="57" t="s">
        <v>3661</v>
      </c>
      <c r="AB687" s="138"/>
      <c r="AC687" s="138" t="s">
        <v>2631</v>
      </c>
      <c r="AD687" s="96"/>
      <c r="AE687" s="80"/>
      <c r="AF687" s="80"/>
      <c r="AG687" s="80"/>
      <c r="AH687" s="83"/>
      <c r="AI687" s="83"/>
      <c r="AJ687" s="84"/>
      <c r="AK687" s="84"/>
      <c r="AL687" s="84"/>
      <c r="AM687" s="84"/>
      <c r="AN687" s="84"/>
      <c r="AO687" s="84"/>
      <c r="AP687" s="84"/>
      <c r="AQ687" s="95" t="s">
        <v>659</v>
      </c>
      <c r="AR687" s="72"/>
      <c r="AS687" s="72"/>
      <c r="AT687" s="72"/>
      <c r="AU687" s="72"/>
      <c r="AV687" s="72"/>
      <c r="AW687" s="72"/>
      <c r="AX687" s="72"/>
      <c r="AY687" s="72"/>
      <c r="AZ687" s="72"/>
      <c r="BA687" s="72"/>
      <c r="BB687" s="16"/>
      <c r="BC687" s="72"/>
      <c r="BD687" s="20"/>
      <c r="BE687" s="378"/>
    </row>
    <row r="688" spans="1:57" s="81" customFormat="1" ht="12.95" hidden="1" customHeight="1">
      <c r="A688" s="374"/>
      <c r="B688" s="376"/>
      <c r="C688" s="248" t="s">
        <v>1396</v>
      </c>
      <c r="D688" s="239" t="s">
        <v>4377</v>
      </c>
      <c r="E688" s="58"/>
      <c r="F688" s="59" t="s">
        <v>4378</v>
      </c>
      <c r="G688" s="191" t="s">
        <v>2511</v>
      </c>
      <c r="H688" s="192" t="s">
        <v>660</v>
      </c>
      <c r="I688" s="61" t="s">
        <v>2511</v>
      </c>
      <c r="J688" s="61" t="s">
        <v>2511</v>
      </c>
      <c r="K688" s="62" t="s">
        <v>2511</v>
      </c>
      <c r="L688" s="60" t="s">
        <v>2511</v>
      </c>
      <c r="M688" s="61" t="s">
        <v>2389</v>
      </c>
      <c r="N688" s="61" t="s">
        <v>2511</v>
      </c>
      <c r="O688" s="61" t="s">
        <v>2511</v>
      </c>
      <c r="P688" s="62" t="s">
        <v>2511</v>
      </c>
      <c r="Q688" s="82"/>
      <c r="R688" s="82"/>
      <c r="S688" s="82"/>
      <c r="T688" s="82"/>
      <c r="U688" s="82"/>
      <c r="V688" s="138" t="s">
        <v>4379</v>
      </c>
      <c r="W688" s="57" t="s">
        <v>4094</v>
      </c>
      <c r="X688" s="126" t="s">
        <v>2511</v>
      </c>
      <c r="Y688" s="126" t="s">
        <v>2511</v>
      </c>
      <c r="Z688" s="57"/>
      <c r="AA688" s="57" t="s">
        <v>3661</v>
      </c>
      <c r="AB688" s="138"/>
      <c r="AC688" s="138">
        <v>0</v>
      </c>
      <c r="AD688" s="96"/>
      <c r="AE688" s="80"/>
      <c r="AF688" s="80"/>
      <c r="AG688" s="80"/>
      <c r="AH688" s="83"/>
      <c r="AI688" s="83"/>
      <c r="AJ688" s="84"/>
      <c r="AK688" s="84"/>
      <c r="AL688" s="84"/>
      <c r="AM688" s="84"/>
      <c r="AN688" s="84"/>
      <c r="AO688" s="84"/>
      <c r="AP688" s="84"/>
      <c r="AQ688" s="95" t="s">
        <v>660</v>
      </c>
      <c r="AR688" s="72"/>
      <c r="AS688" s="72"/>
      <c r="AT688" s="72"/>
      <c r="AU688" s="72"/>
      <c r="AV688" s="72"/>
      <c r="AW688" s="72"/>
      <c r="AX688" s="72"/>
      <c r="AY688" s="72"/>
      <c r="AZ688" s="72"/>
      <c r="BA688" s="72"/>
      <c r="BB688" s="16"/>
      <c r="BC688" s="72"/>
      <c r="BD688" s="20"/>
      <c r="BE688" s="378"/>
    </row>
    <row r="689" spans="1:57" s="81" customFormat="1" ht="12.95" hidden="1" customHeight="1">
      <c r="A689" s="374"/>
      <c r="B689" s="376"/>
      <c r="C689" s="248" t="s">
        <v>1397</v>
      </c>
      <c r="D689" s="239" t="s">
        <v>4380</v>
      </c>
      <c r="E689" s="58"/>
      <c r="F689" s="59" t="s">
        <v>4381</v>
      </c>
      <c r="G689" s="191" t="s">
        <v>2511</v>
      </c>
      <c r="H689" s="192" t="s">
        <v>661</v>
      </c>
      <c r="I689" s="61" t="s">
        <v>2511</v>
      </c>
      <c r="J689" s="61" t="s">
        <v>2511</v>
      </c>
      <c r="K689" s="62" t="s">
        <v>2511</v>
      </c>
      <c r="L689" s="60" t="s">
        <v>2511</v>
      </c>
      <c r="M689" s="61" t="s">
        <v>2389</v>
      </c>
      <c r="N689" s="61" t="s">
        <v>2511</v>
      </c>
      <c r="O689" s="61" t="s">
        <v>2511</v>
      </c>
      <c r="P689" s="62" t="s">
        <v>2511</v>
      </c>
      <c r="Q689" s="82"/>
      <c r="R689" s="82"/>
      <c r="S689" s="82"/>
      <c r="T689" s="82"/>
      <c r="U689" s="82"/>
      <c r="V689" s="138" t="s">
        <v>4382</v>
      </c>
      <c r="W689" s="57" t="s">
        <v>4094</v>
      </c>
      <c r="X689" s="126" t="s">
        <v>2511</v>
      </c>
      <c r="Y689" s="126" t="s">
        <v>2511</v>
      </c>
      <c r="Z689" s="57"/>
      <c r="AA689" s="57" t="s">
        <v>3661</v>
      </c>
      <c r="AB689" s="138"/>
      <c r="AC689" s="138" t="s">
        <v>2631</v>
      </c>
      <c r="AD689" s="96"/>
      <c r="AE689" s="80"/>
      <c r="AF689" s="80"/>
      <c r="AG689" s="80"/>
      <c r="AH689" s="83"/>
      <c r="AI689" s="83"/>
      <c r="AJ689" s="84"/>
      <c r="AK689" s="84"/>
      <c r="AL689" s="84"/>
      <c r="AM689" s="84"/>
      <c r="AN689" s="84"/>
      <c r="AO689" s="84"/>
      <c r="AP689" s="84"/>
      <c r="AQ689" s="95" t="s">
        <v>661</v>
      </c>
      <c r="AR689" s="72"/>
      <c r="AS689" s="72"/>
      <c r="AT689" s="72"/>
      <c r="AU689" s="72"/>
      <c r="AV689" s="72"/>
      <c r="AW689" s="72"/>
      <c r="AX689" s="72"/>
      <c r="AY689" s="72"/>
      <c r="AZ689" s="72"/>
      <c r="BA689" s="72"/>
      <c r="BB689" s="16"/>
      <c r="BC689" s="72"/>
      <c r="BD689" s="20"/>
      <c r="BE689" s="378"/>
    </row>
    <row r="690" spans="1:57" s="81" customFormat="1" ht="12.95" hidden="1" customHeight="1">
      <c r="A690" s="374"/>
      <c r="B690" s="376"/>
      <c r="C690" s="248" t="s">
        <v>1398</v>
      </c>
      <c r="D690" s="239" t="s">
        <v>4383</v>
      </c>
      <c r="E690" s="58"/>
      <c r="F690" s="59" t="s">
        <v>4384</v>
      </c>
      <c r="G690" s="191" t="s">
        <v>2511</v>
      </c>
      <c r="H690" s="192" t="s">
        <v>662</v>
      </c>
      <c r="I690" s="61" t="s">
        <v>2511</v>
      </c>
      <c r="J690" s="61" t="s">
        <v>2511</v>
      </c>
      <c r="K690" s="62" t="s">
        <v>2511</v>
      </c>
      <c r="L690" s="60" t="s">
        <v>2511</v>
      </c>
      <c r="M690" s="61" t="s">
        <v>2389</v>
      </c>
      <c r="N690" s="61" t="s">
        <v>2511</v>
      </c>
      <c r="O690" s="61" t="s">
        <v>2511</v>
      </c>
      <c r="P690" s="62" t="s">
        <v>2511</v>
      </c>
      <c r="Q690" s="82"/>
      <c r="R690" s="82"/>
      <c r="S690" s="82"/>
      <c r="T690" s="82"/>
      <c r="U690" s="82"/>
      <c r="V690" s="138" t="s">
        <v>4385</v>
      </c>
      <c r="W690" s="57" t="s">
        <v>4094</v>
      </c>
      <c r="X690" s="126" t="s">
        <v>2511</v>
      </c>
      <c r="Y690" s="126" t="s">
        <v>2511</v>
      </c>
      <c r="Z690" s="57"/>
      <c r="AA690" s="57" t="s">
        <v>3661</v>
      </c>
      <c r="AB690" s="138"/>
      <c r="AC690" s="138" t="s">
        <v>2631</v>
      </c>
      <c r="AD690" s="96"/>
      <c r="AE690" s="80"/>
      <c r="AF690" s="80"/>
      <c r="AG690" s="80"/>
      <c r="AH690" s="83"/>
      <c r="AI690" s="83"/>
      <c r="AJ690" s="84"/>
      <c r="AK690" s="84"/>
      <c r="AL690" s="84"/>
      <c r="AM690" s="84"/>
      <c r="AN690" s="84"/>
      <c r="AO690" s="84"/>
      <c r="AP690" s="84"/>
      <c r="AQ690" s="95" t="s">
        <v>662</v>
      </c>
      <c r="AR690" s="72"/>
      <c r="AS690" s="72"/>
      <c r="AT690" s="72"/>
      <c r="AU690" s="72"/>
      <c r="AV690" s="72"/>
      <c r="AW690" s="72"/>
      <c r="AX690" s="72"/>
      <c r="AY690" s="72"/>
      <c r="AZ690" s="72"/>
      <c r="BA690" s="72"/>
      <c r="BB690" s="16"/>
      <c r="BC690" s="72"/>
      <c r="BD690" s="20"/>
      <c r="BE690" s="378"/>
    </row>
    <row r="691" spans="1:57" s="81" customFormat="1" ht="12.95" hidden="1" customHeight="1">
      <c r="A691" s="374"/>
      <c r="B691" s="376"/>
      <c r="C691" s="248" t="s">
        <v>1399</v>
      </c>
      <c r="D691" s="239" t="s">
        <v>4386</v>
      </c>
      <c r="E691" s="58"/>
      <c r="F691" s="59" t="s">
        <v>4387</v>
      </c>
      <c r="G691" s="191" t="s">
        <v>2511</v>
      </c>
      <c r="H691" s="192" t="s">
        <v>663</v>
      </c>
      <c r="I691" s="61" t="s">
        <v>2511</v>
      </c>
      <c r="J691" s="61" t="s">
        <v>2511</v>
      </c>
      <c r="K691" s="62" t="s">
        <v>2511</v>
      </c>
      <c r="L691" s="60" t="s">
        <v>2511</v>
      </c>
      <c r="M691" s="61" t="s">
        <v>2389</v>
      </c>
      <c r="N691" s="61" t="s">
        <v>2511</v>
      </c>
      <c r="O691" s="61" t="s">
        <v>2511</v>
      </c>
      <c r="P691" s="62" t="s">
        <v>2511</v>
      </c>
      <c r="Q691" s="82"/>
      <c r="R691" s="82"/>
      <c r="S691" s="82"/>
      <c r="T691" s="82"/>
      <c r="U691" s="82"/>
      <c r="V691" s="138" t="s">
        <v>4388</v>
      </c>
      <c r="W691" s="57" t="s">
        <v>4094</v>
      </c>
      <c r="X691" s="126" t="s">
        <v>2511</v>
      </c>
      <c r="Y691" s="126" t="s">
        <v>2511</v>
      </c>
      <c r="Z691" s="57"/>
      <c r="AA691" s="57" t="s">
        <v>3661</v>
      </c>
      <c r="AB691" s="138"/>
      <c r="AC691" s="138" t="s">
        <v>2631</v>
      </c>
      <c r="AD691" s="96"/>
      <c r="AE691" s="80"/>
      <c r="AF691" s="80"/>
      <c r="AG691" s="80"/>
      <c r="AH691" s="83"/>
      <c r="AI691" s="83"/>
      <c r="AJ691" s="84"/>
      <c r="AK691" s="84"/>
      <c r="AL691" s="84"/>
      <c r="AM691" s="84"/>
      <c r="AN691" s="84"/>
      <c r="AO691" s="84"/>
      <c r="AP691" s="84"/>
      <c r="AQ691" s="95" t="s">
        <v>663</v>
      </c>
      <c r="AR691" s="72"/>
      <c r="AS691" s="72"/>
      <c r="AT691" s="72"/>
      <c r="AU691" s="72"/>
      <c r="AV691" s="72"/>
      <c r="AW691" s="72"/>
      <c r="AX691" s="72"/>
      <c r="AY691" s="72"/>
      <c r="AZ691" s="72"/>
      <c r="BA691" s="72"/>
      <c r="BB691" s="16"/>
      <c r="BC691" s="72"/>
      <c r="BD691" s="20"/>
      <c r="BE691" s="378"/>
    </row>
    <row r="692" spans="1:57" s="81" customFormat="1" ht="12.95" hidden="1" customHeight="1">
      <c r="A692" s="374"/>
      <c r="B692" s="376"/>
      <c r="C692" s="248" t="s">
        <v>1400</v>
      </c>
      <c r="D692" s="239" t="s">
        <v>4389</v>
      </c>
      <c r="E692" s="58"/>
      <c r="F692" s="59" t="s">
        <v>4390</v>
      </c>
      <c r="G692" s="191" t="s">
        <v>2511</v>
      </c>
      <c r="H692" s="192" t="s">
        <v>664</v>
      </c>
      <c r="I692" s="61" t="s">
        <v>2511</v>
      </c>
      <c r="J692" s="61" t="s">
        <v>2511</v>
      </c>
      <c r="K692" s="62" t="s">
        <v>2511</v>
      </c>
      <c r="L692" s="60" t="s">
        <v>2511</v>
      </c>
      <c r="M692" s="61" t="s">
        <v>2389</v>
      </c>
      <c r="N692" s="61" t="s">
        <v>2511</v>
      </c>
      <c r="O692" s="61" t="s">
        <v>2511</v>
      </c>
      <c r="P692" s="62" t="s">
        <v>2511</v>
      </c>
      <c r="Q692" s="82"/>
      <c r="R692" s="82"/>
      <c r="S692" s="82"/>
      <c r="T692" s="82"/>
      <c r="U692" s="82"/>
      <c r="V692" s="138" t="s">
        <v>4391</v>
      </c>
      <c r="W692" s="57" t="s">
        <v>4094</v>
      </c>
      <c r="X692" s="126" t="s">
        <v>2511</v>
      </c>
      <c r="Y692" s="126" t="s">
        <v>2511</v>
      </c>
      <c r="Z692" s="57"/>
      <c r="AA692" s="57" t="s">
        <v>3661</v>
      </c>
      <c r="AB692" s="138"/>
      <c r="AC692" s="138" t="s">
        <v>2631</v>
      </c>
      <c r="AD692" s="96"/>
      <c r="AE692" s="80"/>
      <c r="AF692" s="80"/>
      <c r="AG692" s="80"/>
      <c r="AH692" s="83"/>
      <c r="AI692" s="83"/>
      <c r="AJ692" s="84"/>
      <c r="AK692" s="84"/>
      <c r="AL692" s="84"/>
      <c r="AM692" s="84"/>
      <c r="AN692" s="84"/>
      <c r="AO692" s="84"/>
      <c r="AP692" s="84"/>
      <c r="AQ692" s="95" t="s">
        <v>664</v>
      </c>
      <c r="AR692" s="72"/>
      <c r="AS692" s="72"/>
      <c r="AT692" s="72"/>
      <c r="AU692" s="72"/>
      <c r="AV692" s="72"/>
      <c r="AW692" s="72"/>
      <c r="AX692" s="72"/>
      <c r="AY692" s="72"/>
      <c r="AZ692" s="72"/>
      <c r="BA692" s="72"/>
      <c r="BB692" s="16"/>
      <c r="BC692" s="72"/>
      <c r="BD692" s="20"/>
      <c r="BE692" s="378"/>
    </row>
    <row r="693" spans="1:57" s="81" customFormat="1" ht="12.95" hidden="1" customHeight="1">
      <c r="A693" s="374"/>
      <c r="B693" s="376"/>
      <c r="C693" s="248" t="s">
        <v>1401</v>
      </c>
      <c r="D693" s="239" t="s">
        <v>4392</v>
      </c>
      <c r="E693" s="58"/>
      <c r="F693" s="59" t="s">
        <v>4393</v>
      </c>
      <c r="G693" s="191" t="s">
        <v>2511</v>
      </c>
      <c r="H693" s="192" t="s">
        <v>665</v>
      </c>
      <c r="I693" s="61" t="s">
        <v>2511</v>
      </c>
      <c r="J693" s="61" t="s">
        <v>2511</v>
      </c>
      <c r="K693" s="62" t="s">
        <v>2511</v>
      </c>
      <c r="L693" s="60" t="s">
        <v>2511</v>
      </c>
      <c r="M693" s="61" t="s">
        <v>2389</v>
      </c>
      <c r="N693" s="61" t="s">
        <v>2511</v>
      </c>
      <c r="O693" s="61" t="s">
        <v>2511</v>
      </c>
      <c r="P693" s="62" t="s">
        <v>2511</v>
      </c>
      <c r="Q693" s="82"/>
      <c r="R693" s="82"/>
      <c r="S693" s="82"/>
      <c r="T693" s="82"/>
      <c r="U693" s="82"/>
      <c r="V693" s="138" t="s">
        <v>4394</v>
      </c>
      <c r="W693" s="57" t="s">
        <v>4094</v>
      </c>
      <c r="X693" s="126" t="s">
        <v>2511</v>
      </c>
      <c r="Y693" s="126" t="s">
        <v>2511</v>
      </c>
      <c r="Z693" s="57"/>
      <c r="AA693" s="57" t="s">
        <v>3661</v>
      </c>
      <c r="AB693" s="138"/>
      <c r="AC693" s="138" t="s">
        <v>2631</v>
      </c>
      <c r="AD693" s="96"/>
      <c r="AE693" s="80"/>
      <c r="AF693" s="80"/>
      <c r="AG693" s="80"/>
      <c r="AH693" s="83"/>
      <c r="AI693" s="83"/>
      <c r="AJ693" s="84"/>
      <c r="AK693" s="84"/>
      <c r="AL693" s="84"/>
      <c r="AM693" s="84"/>
      <c r="AN693" s="84"/>
      <c r="AO693" s="84"/>
      <c r="AP693" s="84"/>
      <c r="AQ693" s="95" t="s">
        <v>665</v>
      </c>
      <c r="AR693" s="72"/>
      <c r="AS693" s="72"/>
      <c r="AT693" s="72"/>
      <c r="AU693" s="72"/>
      <c r="AV693" s="72"/>
      <c r="AW693" s="72"/>
      <c r="AX693" s="72"/>
      <c r="AY693" s="72"/>
      <c r="AZ693" s="72"/>
      <c r="BA693" s="72"/>
      <c r="BB693" s="16"/>
      <c r="BC693" s="72"/>
      <c r="BD693" s="20"/>
      <c r="BE693" s="378"/>
    </row>
    <row r="694" spans="1:57" s="81" customFormat="1" ht="12.95" hidden="1" customHeight="1">
      <c r="A694" s="374"/>
      <c r="B694" s="376"/>
      <c r="C694" s="248" t="s">
        <v>1402</v>
      </c>
      <c r="D694" s="239" t="s">
        <v>4395</v>
      </c>
      <c r="E694" s="58"/>
      <c r="F694" s="59" t="s">
        <v>4396</v>
      </c>
      <c r="G694" s="191" t="s">
        <v>2511</v>
      </c>
      <c r="H694" s="192" t="s">
        <v>666</v>
      </c>
      <c r="I694" s="61" t="s">
        <v>2511</v>
      </c>
      <c r="J694" s="61" t="s">
        <v>2511</v>
      </c>
      <c r="K694" s="62" t="s">
        <v>2511</v>
      </c>
      <c r="L694" s="60" t="s">
        <v>2511</v>
      </c>
      <c r="M694" s="61" t="s">
        <v>2389</v>
      </c>
      <c r="N694" s="61" t="s">
        <v>2511</v>
      </c>
      <c r="O694" s="61" t="s">
        <v>2511</v>
      </c>
      <c r="P694" s="62" t="s">
        <v>2511</v>
      </c>
      <c r="Q694" s="82"/>
      <c r="R694" s="82"/>
      <c r="S694" s="82"/>
      <c r="T694" s="82"/>
      <c r="U694" s="82"/>
      <c r="V694" s="138" t="s">
        <v>4397</v>
      </c>
      <c r="W694" s="57" t="s">
        <v>4094</v>
      </c>
      <c r="X694" s="126" t="s">
        <v>2511</v>
      </c>
      <c r="Y694" s="126" t="s">
        <v>2511</v>
      </c>
      <c r="Z694" s="57"/>
      <c r="AA694" s="57" t="s">
        <v>3661</v>
      </c>
      <c r="AB694" s="138"/>
      <c r="AC694" s="138" t="s">
        <v>2631</v>
      </c>
      <c r="AD694" s="96"/>
      <c r="AE694" s="80"/>
      <c r="AF694" s="80"/>
      <c r="AG694" s="80"/>
      <c r="AH694" s="83"/>
      <c r="AI694" s="83"/>
      <c r="AJ694" s="84"/>
      <c r="AK694" s="84"/>
      <c r="AL694" s="84"/>
      <c r="AM694" s="84"/>
      <c r="AN694" s="84"/>
      <c r="AO694" s="84"/>
      <c r="AP694" s="84"/>
      <c r="AQ694" s="95" t="s">
        <v>666</v>
      </c>
      <c r="AR694" s="72"/>
      <c r="AS694" s="72"/>
      <c r="AT694" s="72"/>
      <c r="AU694" s="72"/>
      <c r="AV694" s="72"/>
      <c r="AW694" s="72"/>
      <c r="AX694" s="72"/>
      <c r="AY694" s="72"/>
      <c r="AZ694" s="72"/>
      <c r="BA694" s="72"/>
      <c r="BB694" s="16"/>
      <c r="BC694" s="72"/>
      <c r="BD694" s="20"/>
      <c r="BE694" s="378"/>
    </row>
    <row r="695" spans="1:57" s="81" customFormat="1" ht="12.95" hidden="1" customHeight="1">
      <c r="A695" s="374"/>
      <c r="B695" s="376"/>
      <c r="C695" s="248" t="s">
        <v>1403</v>
      </c>
      <c r="D695" s="239" t="s">
        <v>4398</v>
      </c>
      <c r="E695" s="58"/>
      <c r="F695" s="59" t="s">
        <v>4399</v>
      </c>
      <c r="G695" s="191" t="s">
        <v>2511</v>
      </c>
      <c r="H695" s="192" t="s">
        <v>667</v>
      </c>
      <c r="I695" s="61" t="s">
        <v>2511</v>
      </c>
      <c r="J695" s="61" t="s">
        <v>2511</v>
      </c>
      <c r="K695" s="62" t="s">
        <v>2511</v>
      </c>
      <c r="L695" s="60" t="s">
        <v>2511</v>
      </c>
      <c r="M695" s="61" t="s">
        <v>2389</v>
      </c>
      <c r="N695" s="61" t="s">
        <v>2511</v>
      </c>
      <c r="O695" s="61" t="s">
        <v>2511</v>
      </c>
      <c r="P695" s="62" t="s">
        <v>2511</v>
      </c>
      <c r="Q695" s="82"/>
      <c r="R695" s="82"/>
      <c r="S695" s="82"/>
      <c r="T695" s="82"/>
      <c r="U695" s="82"/>
      <c r="V695" s="138" t="s">
        <v>4400</v>
      </c>
      <c r="W695" s="57" t="s">
        <v>4094</v>
      </c>
      <c r="X695" s="126" t="s">
        <v>2511</v>
      </c>
      <c r="Y695" s="126" t="s">
        <v>2511</v>
      </c>
      <c r="Z695" s="57"/>
      <c r="AA695" s="57" t="s">
        <v>3661</v>
      </c>
      <c r="AB695" s="138"/>
      <c r="AC695" s="138" t="s">
        <v>2631</v>
      </c>
      <c r="AD695" s="96"/>
      <c r="AE695" s="80"/>
      <c r="AF695" s="80"/>
      <c r="AG695" s="80"/>
      <c r="AH695" s="83"/>
      <c r="AI695" s="83"/>
      <c r="AJ695" s="84"/>
      <c r="AK695" s="84"/>
      <c r="AL695" s="84"/>
      <c r="AM695" s="84"/>
      <c r="AN695" s="84"/>
      <c r="AO695" s="84"/>
      <c r="AP695" s="84"/>
      <c r="AQ695" s="95" t="s">
        <v>667</v>
      </c>
      <c r="AR695" s="72"/>
      <c r="AS695" s="72"/>
      <c r="AT695" s="72"/>
      <c r="AU695" s="72"/>
      <c r="AV695" s="72"/>
      <c r="AW695" s="72"/>
      <c r="AX695" s="72"/>
      <c r="AY695" s="72"/>
      <c r="AZ695" s="72"/>
      <c r="BA695" s="72"/>
      <c r="BB695" s="16"/>
      <c r="BC695" s="72"/>
      <c r="BD695" s="20"/>
      <c r="BE695" s="378"/>
    </row>
    <row r="696" spans="1:57" s="81" customFormat="1" ht="12.95" hidden="1" customHeight="1">
      <c r="A696" s="374"/>
      <c r="B696" s="376"/>
      <c r="C696" s="248" t="s">
        <v>1404</v>
      </c>
      <c r="D696" s="239" t="s">
        <v>4401</v>
      </c>
      <c r="E696" s="58"/>
      <c r="F696" s="59" t="s">
        <v>4402</v>
      </c>
      <c r="G696" s="191" t="s">
        <v>2511</v>
      </c>
      <c r="H696" s="192" t="s">
        <v>668</v>
      </c>
      <c r="I696" s="61" t="s">
        <v>2511</v>
      </c>
      <c r="J696" s="61" t="s">
        <v>2511</v>
      </c>
      <c r="K696" s="62" t="s">
        <v>2511</v>
      </c>
      <c r="L696" s="60" t="s">
        <v>2511</v>
      </c>
      <c r="M696" s="61" t="s">
        <v>2389</v>
      </c>
      <c r="N696" s="61" t="s">
        <v>2511</v>
      </c>
      <c r="O696" s="61" t="s">
        <v>2511</v>
      </c>
      <c r="P696" s="62" t="s">
        <v>2511</v>
      </c>
      <c r="Q696" s="82"/>
      <c r="R696" s="82"/>
      <c r="S696" s="82"/>
      <c r="T696" s="82"/>
      <c r="U696" s="82"/>
      <c r="V696" s="138" t="s">
        <v>4403</v>
      </c>
      <c r="W696" s="57" t="s">
        <v>4094</v>
      </c>
      <c r="X696" s="126" t="s">
        <v>2511</v>
      </c>
      <c r="Y696" s="126" t="s">
        <v>2511</v>
      </c>
      <c r="Z696" s="57"/>
      <c r="AA696" s="57" t="s">
        <v>3661</v>
      </c>
      <c r="AB696" s="138"/>
      <c r="AC696" s="138" t="s">
        <v>2631</v>
      </c>
      <c r="AD696" s="96"/>
      <c r="AE696" s="80"/>
      <c r="AF696" s="80"/>
      <c r="AG696" s="80"/>
      <c r="AH696" s="83"/>
      <c r="AI696" s="83"/>
      <c r="AJ696" s="84"/>
      <c r="AK696" s="84"/>
      <c r="AL696" s="84"/>
      <c r="AM696" s="84"/>
      <c r="AN696" s="84"/>
      <c r="AO696" s="84"/>
      <c r="AP696" s="84"/>
      <c r="AQ696" s="95" t="s">
        <v>668</v>
      </c>
      <c r="AR696" s="72"/>
      <c r="AS696" s="72"/>
      <c r="AT696" s="72"/>
      <c r="AU696" s="72"/>
      <c r="AV696" s="72"/>
      <c r="AW696" s="72"/>
      <c r="AX696" s="72"/>
      <c r="AY696" s="72"/>
      <c r="AZ696" s="72"/>
      <c r="BA696" s="72"/>
      <c r="BB696" s="16"/>
      <c r="BC696" s="72"/>
      <c r="BD696" s="20"/>
      <c r="BE696" s="378"/>
    </row>
    <row r="697" spans="1:57" s="81" customFormat="1" ht="12.95" hidden="1" customHeight="1">
      <c r="A697" s="374"/>
      <c r="B697" s="376"/>
      <c r="C697" s="248" t="s">
        <v>1405</v>
      </c>
      <c r="D697" s="239" t="s">
        <v>4404</v>
      </c>
      <c r="E697" s="58"/>
      <c r="F697" s="59" t="s">
        <v>4405</v>
      </c>
      <c r="G697" s="191" t="s">
        <v>2511</v>
      </c>
      <c r="H697" s="192" t="s">
        <v>669</v>
      </c>
      <c r="I697" s="61" t="s">
        <v>2511</v>
      </c>
      <c r="J697" s="61" t="s">
        <v>2511</v>
      </c>
      <c r="K697" s="62" t="s">
        <v>2511</v>
      </c>
      <c r="L697" s="60" t="s">
        <v>2511</v>
      </c>
      <c r="M697" s="61" t="s">
        <v>2389</v>
      </c>
      <c r="N697" s="61" t="s">
        <v>2511</v>
      </c>
      <c r="O697" s="61" t="s">
        <v>2511</v>
      </c>
      <c r="P697" s="62" t="s">
        <v>2511</v>
      </c>
      <c r="Q697" s="82"/>
      <c r="R697" s="82"/>
      <c r="S697" s="82"/>
      <c r="T697" s="82"/>
      <c r="U697" s="82"/>
      <c r="V697" s="138" t="s">
        <v>4406</v>
      </c>
      <c r="W697" s="57" t="s">
        <v>4094</v>
      </c>
      <c r="X697" s="126" t="s">
        <v>2511</v>
      </c>
      <c r="Y697" s="126" t="s">
        <v>2511</v>
      </c>
      <c r="Z697" s="57"/>
      <c r="AA697" s="57" t="s">
        <v>3661</v>
      </c>
      <c r="AB697" s="138"/>
      <c r="AC697" s="138" t="s">
        <v>2631</v>
      </c>
      <c r="AD697" s="96"/>
      <c r="AE697" s="80"/>
      <c r="AF697" s="80"/>
      <c r="AG697" s="80"/>
      <c r="AH697" s="83"/>
      <c r="AI697" s="83"/>
      <c r="AJ697" s="84"/>
      <c r="AK697" s="84"/>
      <c r="AL697" s="84"/>
      <c r="AM697" s="84"/>
      <c r="AN697" s="84"/>
      <c r="AO697" s="84"/>
      <c r="AP697" s="84"/>
      <c r="AQ697" s="95" t="s">
        <v>669</v>
      </c>
      <c r="AR697" s="72"/>
      <c r="AS697" s="72"/>
      <c r="AT697" s="72"/>
      <c r="AU697" s="72"/>
      <c r="AV697" s="72"/>
      <c r="AW697" s="72"/>
      <c r="AX697" s="72"/>
      <c r="AY697" s="72"/>
      <c r="AZ697" s="72"/>
      <c r="BA697" s="72"/>
      <c r="BB697" s="16"/>
      <c r="BC697" s="72"/>
      <c r="BD697" s="20"/>
      <c r="BE697" s="378"/>
    </row>
    <row r="698" spans="1:57" s="81" customFormat="1" ht="12.95" hidden="1" customHeight="1">
      <c r="A698" s="374"/>
      <c r="B698" s="376"/>
      <c r="C698" s="270" t="s">
        <v>1406</v>
      </c>
      <c r="D698" s="239" t="s">
        <v>4407</v>
      </c>
      <c r="E698" s="58"/>
      <c r="F698" s="59" t="s">
        <v>4408</v>
      </c>
      <c r="G698" s="191" t="s">
        <v>2511</v>
      </c>
      <c r="H698" s="192" t="s">
        <v>670</v>
      </c>
      <c r="I698" s="61" t="s">
        <v>2511</v>
      </c>
      <c r="J698" s="61" t="s">
        <v>2511</v>
      </c>
      <c r="K698" s="62" t="s">
        <v>2511</v>
      </c>
      <c r="L698" s="60" t="s">
        <v>2511</v>
      </c>
      <c r="M698" s="61" t="s">
        <v>2389</v>
      </c>
      <c r="N698" s="61" t="s">
        <v>2511</v>
      </c>
      <c r="O698" s="61" t="s">
        <v>2511</v>
      </c>
      <c r="P698" s="62" t="s">
        <v>2511</v>
      </c>
      <c r="Q698" s="82"/>
      <c r="R698" s="82"/>
      <c r="S698" s="82"/>
      <c r="T698" s="82"/>
      <c r="U698" s="82"/>
      <c r="V698" s="138" t="s">
        <v>4409</v>
      </c>
      <c r="W698" s="57" t="s">
        <v>4094</v>
      </c>
      <c r="X698" s="126" t="s">
        <v>2511</v>
      </c>
      <c r="Y698" s="126" t="s">
        <v>2511</v>
      </c>
      <c r="Z698" s="57"/>
      <c r="AA698" s="57" t="s">
        <v>3661</v>
      </c>
      <c r="AB698" s="138"/>
      <c r="AC698" s="138" t="s">
        <v>2631</v>
      </c>
      <c r="AD698" s="96"/>
      <c r="AE698" s="80"/>
      <c r="AF698" s="80"/>
      <c r="AG698" s="80"/>
      <c r="AH698" s="83"/>
      <c r="AI698" s="83"/>
      <c r="AJ698" s="84"/>
      <c r="AK698" s="84"/>
      <c r="AL698" s="84"/>
      <c r="AM698" s="84"/>
      <c r="AN698" s="84"/>
      <c r="AO698" s="84"/>
      <c r="AP698" s="84"/>
      <c r="AQ698" s="95" t="s">
        <v>670</v>
      </c>
      <c r="AR698" s="72"/>
      <c r="AS698" s="72"/>
      <c r="AT698" s="72"/>
      <c r="AU698" s="72"/>
      <c r="AV698" s="72"/>
      <c r="AW698" s="72"/>
      <c r="AX698" s="72"/>
      <c r="AY698" s="72"/>
      <c r="AZ698" s="72"/>
      <c r="BA698" s="72"/>
      <c r="BB698" s="16"/>
      <c r="BC698" s="72"/>
      <c r="BD698" s="20"/>
      <c r="BE698" s="378"/>
    </row>
    <row r="699" spans="1:57" s="81" customFormat="1" ht="12.95" hidden="1" customHeight="1">
      <c r="A699" s="374"/>
      <c r="B699" s="376"/>
      <c r="C699" s="270" t="s">
        <v>1407</v>
      </c>
      <c r="D699" s="239" t="s">
        <v>4410</v>
      </c>
      <c r="E699" s="58"/>
      <c r="F699" s="59" t="s">
        <v>4411</v>
      </c>
      <c r="G699" s="191" t="s">
        <v>2511</v>
      </c>
      <c r="H699" s="192" t="s">
        <v>671</v>
      </c>
      <c r="I699" s="61" t="s">
        <v>2511</v>
      </c>
      <c r="J699" s="61" t="s">
        <v>2511</v>
      </c>
      <c r="K699" s="62" t="s">
        <v>2511</v>
      </c>
      <c r="L699" s="60" t="s">
        <v>2511</v>
      </c>
      <c r="M699" s="61" t="s">
        <v>2389</v>
      </c>
      <c r="N699" s="61" t="s">
        <v>2511</v>
      </c>
      <c r="O699" s="61" t="s">
        <v>2511</v>
      </c>
      <c r="P699" s="62" t="s">
        <v>2511</v>
      </c>
      <c r="Q699" s="82"/>
      <c r="R699" s="82"/>
      <c r="S699" s="82"/>
      <c r="T699" s="82"/>
      <c r="U699" s="82"/>
      <c r="V699" s="138" t="s">
        <v>4412</v>
      </c>
      <c r="W699" s="57" t="s">
        <v>4094</v>
      </c>
      <c r="X699" s="126" t="s">
        <v>2511</v>
      </c>
      <c r="Y699" s="126" t="s">
        <v>2511</v>
      </c>
      <c r="Z699" s="57"/>
      <c r="AA699" s="57" t="s">
        <v>3661</v>
      </c>
      <c r="AB699" s="138"/>
      <c r="AC699" s="138" t="s">
        <v>2631</v>
      </c>
      <c r="AD699" s="96"/>
      <c r="AE699" s="80"/>
      <c r="AF699" s="80"/>
      <c r="AG699" s="80"/>
      <c r="AH699" s="83"/>
      <c r="AI699" s="83"/>
      <c r="AJ699" s="84"/>
      <c r="AK699" s="84"/>
      <c r="AL699" s="84"/>
      <c r="AM699" s="84"/>
      <c r="AN699" s="84"/>
      <c r="AO699" s="84"/>
      <c r="AP699" s="84"/>
      <c r="AQ699" s="95" t="s">
        <v>671</v>
      </c>
      <c r="AR699" s="72"/>
      <c r="AS699" s="72"/>
      <c r="AT699" s="72"/>
      <c r="AU699" s="72"/>
      <c r="AV699" s="72"/>
      <c r="AW699" s="72"/>
      <c r="AX699" s="72"/>
      <c r="AY699" s="72"/>
      <c r="AZ699" s="72"/>
      <c r="BA699" s="72"/>
      <c r="BB699" s="16"/>
      <c r="BC699" s="72"/>
      <c r="BD699" s="20"/>
      <c r="BE699" s="378"/>
    </row>
    <row r="700" spans="1:57" s="81" customFormat="1" ht="12.95" hidden="1" customHeight="1">
      <c r="A700" s="374"/>
      <c r="B700" s="376"/>
      <c r="C700" s="248" t="s">
        <v>1408</v>
      </c>
      <c r="D700" s="239" t="s">
        <v>4413</v>
      </c>
      <c r="E700" s="58"/>
      <c r="F700" s="59" t="s">
        <v>4414</v>
      </c>
      <c r="G700" s="191" t="s">
        <v>2511</v>
      </c>
      <c r="H700" s="192" t="s">
        <v>672</v>
      </c>
      <c r="I700" s="61" t="s">
        <v>2511</v>
      </c>
      <c r="J700" s="61" t="s">
        <v>2511</v>
      </c>
      <c r="K700" s="62" t="s">
        <v>2511</v>
      </c>
      <c r="L700" s="60" t="s">
        <v>2511</v>
      </c>
      <c r="M700" s="61" t="s">
        <v>2389</v>
      </c>
      <c r="N700" s="61" t="s">
        <v>2511</v>
      </c>
      <c r="O700" s="61" t="s">
        <v>2511</v>
      </c>
      <c r="P700" s="62" t="s">
        <v>2511</v>
      </c>
      <c r="Q700" s="82"/>
      <c r="R700" s="82"/>
      <c r="S700" s="82"/>
      <c r="T700" s="82"/>
      <c r="U700" s="82"/>
      <c r="V700" s="138" t="s">
        <v>4415</v>
      </c>
      <c r="W700" s="57" t="s">
        <v>4094</v>
      </c>
      <c r="X700" s="126" t="s">
        <v>2511</v>
      </c>
      <c r="Y700" s="126" t="s">
        <v>2511</v>
      </c>
      <c r="Z700" s="57"/>
      <c r="AA700" s="57" t="s">
        <v>3661</v>
      </c>
      <c r="AB700" s="138"/>
      <c r="AC700" s="138">
        <v>0</v>
      </c>
      <c r="AD700" s="96"/>
      <c r="AE700" s="80"/>
      <c r="AF700" s="80"/>
      <c r="AG700" s="80"/>
      <c r="AH700" s="83"/>
      <c r="AI700" s="83"/>
      <c r="AJ700" s="84"/>
      <c r="AK700" s="84"/>
      <c r="AL700" s="84"/>
      <c r="AM700" s="84"/>
      <c r="AN700" s="84"/>
      <c r="AO700" s="84"/>
      <c r="AP700" s="84"/>
      <c r="AQ700" s="95" t="s">
        <v>672</v>
      </c>
      <c r="AR700" s="72"/>
      <c r="AS700" s="72"/>
      <c r="AT700" s="72"/>
      <c r="AU700" s="72"/>
      <c r="AV700" s="72"/>
      <c r="AW700" s="72"/>
      <c r="AX700" s="72"/>
      <c r="AY700" s="72"/>
      <c r="AZ700" s="72"/>
      <c r="BA700" s="72"/>
      <c r="BB700" s="16"/>
      <c r="BC700" s="72"/>
      <c r="BD700" s="20"/>
      <c r="BE700" s="378"/>
    </row>
    <row r="701" spans="1:57" s="81" customFormat="1" ht="12.95" hidden="1" customHeight="1">
      <c r="A701" s="374"/>
      <c r="B701" s="376"/>
      <c r="C701" s="248" t="s">
        <v>1409</v>
      </c>
      <c r="D701" s="239" t="s">
        <v>4416</v>
      </c>
      <c r="E701" s="58"/>
      <c r="F701" s="59" t="s">
        <v>4417</v>
      </c>
      <c r="G701" s="191" t="s">
        <v>2511</v>
      </c>
      <c r="H701" s="192" t="s">
        <v>673</v>
      </c>
      <c r="I701" s="61" t="s">
        <v>2511</v>
      </c>
      <c r="J701" s="61" t="s">
        <v>2511</v>
      </c>
      <c r="K701" s="62" t="s">
        <v>2511</v>
      </c>
      <c r="L701" s="60" t="s">
        <v>2511</v>
      </c>
      <c r="M701" s="61" t="s">
        <v>2389</v>
      </c>
      <c r="N701" s="61" t="s">
        <v>2511</v>
      </c>
      <c r="O701" s="61" t="s">
        <v>2511</v>
      </c>
      <c r="P701" s="62" t="s">
        <v>2511</v>
      </c>
      <c r="Q701" s="82"/>
      <c r="R701" s="82"/>
      <c r="S701" s="82"/>
      <c r="T701" s="82"/>
      <c r="U701" s="82"/>
      <c r="V701" s="138" t="s">
        <v>4418</v>
      </c>
      <c r="W701" s="57" t="s">
        <v>4094</v>
      </c>
      <c r="X701" s="126" t="s">
        <v>2511</v>
      </c>
      <c r="Y701" s="126" t="s">
        <v>2511</v>
      </c>
      <c r="Z701" s="57"/>
      <c r="AA701" s="57" t="s">
        <v>3661</v>
      </c>
      <c r="AB701" s="138"/>
      <c r="AC701" s="138" t="s">
        <v>2631</v>
      </c>
      <c r="AD701" s="96"/>
      <c r="AE701" s="80"/>
      <c r="AF701" s="80"/>
      <c r="AG701" s="80"/>
      <c r="AH701" s="83"/>
      <c r="AI701" s="83"/>
      <c r="AJ701" s="84"/>
      <c r="AK701" s="84"/>
      <c r="AL701" s="84"/>
      <c r="AM701" s="84"/>
      <c r="AN701" s="84"/>
      <c r="AO701" s="84"/>
      <c r="AP701" s="84"/>
      <c r="AQ701" s="95" t="s">
        <v>673</v>
      </c>
      <c r="AR701" s="72"/>
      <c r="AS701" s="72"/>
      <c r="AT701" s="72"/>
      <c r="AU701" s="72"/>
      <c r="AV701" s="72"/>
      <c r="AW701" s="72"/>
      <c r="AX701" s="72"/>
      <c r="AY701" s="72"/>
      <c r="AZ701" s="72"/>
      <c r="BA701" s="72"/>
      <c r="BB701" s="16"/>
      <c r="BC701" s="72"/>
      <c r="BD701" s="20"/>
      <c r="BE701" s="378"/>
    </row>
    <row r="702" spans="1:57" s="81" customFormat="1" ht="12.95" hidden="1" customHeight="1">
      <c r="A702" s="374"/>
      <c r="B702" s="376"/>
      <c r="C702" s="248" t="s">
        <v>1410</v>
      </c>
      <c r="D702" s="239" t="s">
        <v>4419</v>
      </c>
      <c r="E702" s="58"/>
      <c r="F702" s="59" t="s">
        <v>4420</v>
      </c>
      <c r="G702" s="191" t="s">
        <v>2511</v>
      </c>
      <c r="H702" s="192" t="s">
        <v>674</v>
      </c>
      <c r="I702" s="61" t="s">
        <v>2511</v>
      </c>
      <c r="J702" s="61" t="s">
        <v>2511</v>
      </c>
      <c r="K702" s="62" t="s">
        <v>2511</v>
      </c>
      <c r="L702" s="60" t="s">
        <v>2511</v>
      </c>
      <c r="M702" s="61" t="s">
        <v>2389</v>
      </c>
      <c r="N702" s="61" t="s">
        <v>2511</v>
      </c>
      <c r="O702" s="61" t="s">
        <v>2511</v>
      </c>
      <c r="P702" s="62" t="s">
        <v>2511</v>
      </c>
      <c r="Q702" s="82"/>
      <c r="R702" s="82"/>
      <c r="S702" s="82"/>
      <c r="T702" s="82"/>
      <c r="U702" s="82"/>
      <c r="V702" s="138" t="s">
        <v>4421</v>
      </c>
      <c r="W702" s="57" t="s">
        <v>4094</v>
      </c>
      <c r="X702" s="126" t="s">
        <v>2511</v>
      </c>
      <c r="Y702" s="126" t="s">
        <v>2511</v>
      </c>
      <c r="Z702" s="57"/>
      <c r="AA702" s="57" t="s">
        <v>3661</v>
      </c>
      <c r="AB702" s="138"/>
      <c r="AC702" s="138" t="s">
        <v>2631</v>
      </c>
      <c r="AD702" s="96"/>
      <c r="AE702" s="80"/>
      <c r="AF702" s="80"/>
      <c r="AG702" s="80"/>
      <c r="AH702" s="83"/>
      <c r="AI702" s="83"/>
      <c r="AJ702" s="84"/>
      <c r="AK702" s="84"/>
      <c r="AL702" s="84"/>
      <c r="AM702" s="84"/>
      <c r="AN702" s="84"/>
      <c r="AO702" s="84"/>
      <c r="AP702" s="84"/>
      <c r="AQ702" s="95" t="s">
        <v>674</v>
      </c>
      <c r="AR702" s="72"/>
      <c r="AS702" s="72"/>
      <c r="AT702" s="72"/>
      <c r="AU702" s="72"/>
      <c r="AV702" s="72"/>
      <c r="AW702" s="72"/>
      <c r="AX702" s="72"/>
      <c r="AY702" s="72"/>
      <c r="AZ702" s="72"/>
      <c r="BA702" s="72"/>
      <c r="BB702" s="16"/>
      <c r="BC702" s="72"/>
      <c r="BD702" s="20"/>
      <c r="BE702" s="378"/>
    </row>
    <row r="703" spans="1:57" s="81" customFormat="1" ht="12.95" hidden="1" customHeight="1">
      <c r="A703" s="374"/>
      <c r="B703" s="376"/>
      <c r="C703" s="248" t="s">
        <v>1411</v>
      </c>
      <c r="D703" s="239" t="s">
        <v>4422</v>
      </c>
      <c r="E703" s="58"/>
      <c r="F703" s="59" t="s">
        <v>4423</v>
      </c>
      <c r="G703" s="191" t="s">
        <v>2511</v>
      </c>
      <c r="H703" s="192" t="s">
        <v>675</v>
      </c>
      <c r="I703" s="61" t="s">
        <v>2511</v>
      </c>
      <c r="J703" s="61" t="s">
        <v>2511</v>
      </c>
      <c r="K703" s="62" t="s">
        <v>2511</v>
      </c>
      <c r="L703" s="60" t="s">
        <v>2511</v>
      </c>
      <c r="M703" s="61" t="s">
        <v>2389</v>
      </c>
      <c r="N703" s="61" t="s">
        <v>2511</v>
      </c>
      <c r="O703" s="61" t="s">
        <v>2511</v>
      </c>
      <c r="P703" s="62" t="s">
        <v>2511</v>
      </c>
      <c r="Q703" s="82"/>
      <c r="R703" s="82"/>
      <c r="S703" s="82"/>
      <c r="T703" s="82"/>
      <c r="U703" s="82"/>
      <c r="V703" s="138" t="s">
        <v>4424</v>
      </c>
      <c r="W703" s="57" t="s">
        <v>4094</v>
      </c>
      <c r="X703" s="126" t="s">
        <v>2511</v>
      </c>
      <c r="Y703" s="126" t="s">
        <v>2511</v>
      </c>
      <c r="Z703" s="57"/>
      <c r="AA703" s="57" t="s">
        <v>3661</v>
      </c>
      <c r="AB703" s="138"/>
      <c r="AC703" s="138" t="s">
        <v>2631</v>
      </c>
      <c r="AD703" s="96"/>
      <c r="AE703" s="80"/>
      <c r="AF703" s="80"/>
      <c r="AG703" s="80"/>
      <c r="AH703" s="83"/>
      <c r="AI703" s="83"/>
      <c r="AJ703" s="84"/>
      <c r="AK703" s="84"/>
      <c r="AL703" s="84"/>
      <c r="AM703" s="84"/>
      <c r="AN703" s="84"/>
      <c r="AO703" s="84"/>
      <c r="AP703" s="84"/>
      <c r="AQ703" s="95" t="s">
        <v>675</v>
      </c>
      <c r="AR703" s="72"/>
      <c r="AS703" s="72"/>
      <c r="AT703" s="72"/>
      <c r="AU703" s="72"/>
      <c r="AV703" s="72"/>
      <c r="AW703" s="72"/>
      <c r="AX703" s="72"/>
      <c r="AY703" s="72"/>
      <c r="AZ703" s="72"/>
      <c r="BA703" s="72"/>
      <c r="BB703" s="16"/>
      <c r="BC703" s="72"/>
      <c r="BD703" s="20"/>
      <c r="BE703" s="378"/>
    </row>
    <row r="704" spans="1:57" s="81" customFormat="1" ht="12.95" hidden="1" customHeight="1">
      <c r="A704" s="374"/>
      <c r="B704" s="376"/>
      <c r="C704" s="248" t="s">
        <v>1412</v>
      </c>
      <c r="D704" s="239" t="s">
        <v>4425</v>
      </c>
      <c r="E704" s="58"/>
      <c r="F704" s="59" t="s">
        <v>4426</v>
      </c>
      <c r="G704" s="191" t="s">
        <v>2511</v>
      </c>
      <c r="H704" s="192" t="s">
        <v>676</v>
      </c>
      <c r="I704" s="61" t="s">
        <v>2511</v>
      </c>
      <c r="J704" s="61" t="s">
        <v>2511</v>
      </c>
      <c r="K704" s="62" t="s">
        <v>2511</v>
      </c>
      <c r="L704" s="60" t="s">
        <v>2511</v>
      </c>
      <c r="M704" s="61" t="s">
        <v>2389</v>
      </c>
      <c r="N704" s="61" t="s">
        <v>2511</v>
      </c>
      <c r="O704" s="61" t="s">
        <v>2511</v>
      </c>
      <c r="P704" s="62" t="s">
        <v>2511</v>
      </c>
      <c r="Q704" s="82"/>
      <c r="R704" s="82"/>
      <c r="S704" s="82"/>
      <c r="T704" s="82"/>
      <c r="U704" s="82"/>
      <c r="V704" s="138" t="s">
        <v>4427</v>
      </c>
      <c r="W704" s="57" t="s">
        <v>4094</v>
      </c>
      <c r="X704" s="126" t="s">
        <v>2511</v>
      </c>
      <c r="Y704" s="126" t="s">
        <v>2511</v>
      </c>
      <c r="Z704" s="57"/>
      <c r="AA704" s="57" t="s">
        <v>3661</v>
      </c>
      <c r="AB704" s="138"/>
      <c r="AC704" s="138" t="s">
        <v>2631</v>
      </c>
      <c r="AD704" s="96"/>
      <c r="AE704" s="80"/>
      <c r="AF704" s="80"/>
      <c r="AG704" s="80"/>
      <c r="AH704" s="83"/>
      <c r="AI704" s="83"/>
      <c r="AJ704" s="84"/>
      <c r="AK704" s="84"/>
      <c r="AL704" s="84"/>
      <c r="AM704" s="84"/>
      <c r="AN704" s="84"/>
      <c r="AO704" s="84"/>
      <c r="AP704" s="84"/>
      <c r="AQ704" s="95" t="s">
        <v>676</v>
      </c>
      <c r="AR704" s="72"/>
      <c r="AS704" s="72"/>
      <c r="AT704" s="72"/>
      <c r="AU704" s="72"/>
      <c r="AV704" s="72"/>
      <c r="AW704" s="72"/>
      <c r="AX704" s="72"/>
      <c r="AY704" s="72"/>
      <c r="AZ704" s="72"/>
      <c r="BA704" s="72"/>
      <c r="BB704" s="16"/>
      <c r="BC704" s="72"/>
      <c r="BD704" s="20"/>
      <c r="BE704" s="378"/>
    </row>
    <row r="705" spans="1:57" s="81" customFormat="1" ht="12.95" hidden="1" customHeight="1">
      <c r="A705" s="374"/>
      <c r="B705" s="376"/>
      <c r="C705" s="248" t="s">
        <v>1413</v>
      </c>
      <c r="D705" s="239" t="s">
        <v>4428</v>
      </c>
      <c r="E705" s="58"/>
      <c r="F705" s="59" t="s">
        <v>4429</v>
      </c>
      <c r="G705" s="191" t="s">
        <v>2511</v>
      </c>
      <c r="H705" s="192" t="s">
        <v>677</v>
      </c>
      <c r="I705" s="61" t="s">
        <v>2511</v>
      </c>
      <c r="J705" s="61" t="s">
        <v>2511</v>
      </c>
      <c r="K705" s="62" t="s">
        <v>2511</v>
      </c>
      <c r="L705" s="60" t="s">
        <v>2511</v>
      </c>
      <c r="M705" s="61" t="s">
        <v>2389</v>
      </c>
      <c r="N705" s="61" t="s">
        <v>2511</v>
      </c>
      <c r="O705" s="61" t="s">
        <v>2511</v>
      </c>
      <c r="P705" s="62" t="s">
        <v>2511</v>
      </c>
      <c r="Q705" s="82"/>
      <c r="R705" s="82"/>
      <c r="S705" s="82"/>
      <c r="T705" s="82"/>
      <c r="U705" s="82"/>
      <c r="V705" s="138" t="s">
        <v>4430</v>
      </c>
      <c r="W705" s="57" t="s">
        <v>4094</v>
      </c>
      <c r="X705" s="126" t="s">
        <v>2511</v>
      </c>
      <c r="Y705" s="126" t="s">
        <v>2511</v>
      </c>
      <c r="Z705" s="57"/>
      <c r="AA705" s="57" t="s">
        <v>3661</v>
      </c>
      <c r="AB705" s="138"/>
      <c r="AC705" s="138" t="s">
        <v>2631</v>
      </c>
      <c r="AD705" s="96"/>
      <c r="AE705" s="80"/>
      <c r="AF705" s="80"/>
      <c r="AG705" s="80"/>
      <c r="AH705" s="83"/>
      <c r="AI705" s="83"/>
      <c r="AJ705" s="84"/>
      <c r="AK705" s="84"/>
      <c r="AL705" s="84"/>
      <c r="AM705" s="84"/>
      <c r="AN705" s="84"/>
      <c r="AO705" s="84"/>
      <c r="AP705" s="84"/>
      <c r="AQ705" s="95" t="s">
        <v>677</v>
      </c>
      <c r="AR705" s="72"/>
      <c r="AS705" s="72"/>
      <c r="AT705" s="72"/>
      <c r="AU705" s="72"/>
      <c r="AV705" s="72"/>
      <c r="AW705" s="72"/>
      <c r="AX705" s="72"/>
      <c r="AY705" s="72"/>
      <c r="AZ705" s="72"/>
      <c r="BA705" s="72"/>
      <c r="BB705" s="16"/>
      <c r="BC705" s="72"/>
      <c r="BD705" s="20"/>
      <c r="BE705" s="378"/>
    </row>
    <row r="706" spans="1:57" s="81" customFormat="1" ht="12.95" hidden="1" customHeight="1">
      <c r="A706" s="374"/>
      <c r="B706" s="376"/>
      <c r="C706" s="248" t="s">
        <v>1414</v>
      </c>
      <c r="D706" s="239" t="s">
        <v>4431</v>
      </c>
      <c r="E706" s="58"/>
      <c r="F706" s="59" t="s">
        <v>4432</v>
      </c>
      <c r="G706" s="191" t="s">
        <v>2511</v>
      </c>
      <c r="H706" s="192" t="s">
        <v>678</v>
      </c>
      <c r="I706" s="61" t="s">
        <v>2511</v>
      </c>
      <c r="J706" s="61" t="s">
        <v>2511</v>
      </c>
      <c r="K706" s="62" t="s">
        <v>2511</v>
      </c>
      <c r="L706" s="60" t="s">
        <v>2511</v>
      </c>
      <c r="M706" s="61" t="s">
        <v>2389</v>
      </c>
      <c r="N706" s="61" t="s">
        <v>2511</v>
      </c>
      <c r="O706" s="61" t="s">
        <v>2511</v>
      </c>
      <c r="P706" s="62" t="s">
        <v>2511</v>
      </c>
      <c r="Q706" s="82"/>
      <c r="R706" s="82"/>
      <c r="S706" s="82"/>
      <c r="T706" s="82"/>
      <c r="U706" s="82"/>
      <c r="V706" s="138" t="s">
        <v>4433</v>
      </c>
      <c r="W706" s="57" t="s">
        <v>4094</v>
      </c>
      <c r="X706" s="126" t="s">
        <v>2511</v>
      </c>
      <c r="Y706" s="126" t="s">
        <v>2511</v>
      </c>
      <c r="Z706" s="57"/>
      <c r="AA706" s="57" t="s">
        <v>3661</v>
      </c>
      <c r="AB706" s="138"/>
      <c r="AC706" s="138" t="s">
        <v>2631</v>
      </c>
      <c r="AD706" s="96"/>
      <c r="AE706" s="80"/>
      <c r="AF706" s="80"/>
      <c r="AG706" s="80"/>
      <c r="AH706" s="83"/>
      <c r="AI706" s="83"/>
      <c r="AJ706" s="84"/>
      <c r="AK706" s="84"/>
      <c r="AL706" s="84"/>
      <c r="AM706" s="84"/>
      <c r="AN706" s="84"/>
      <c r="AO706" s="84"/>
      <c r="AP706" s="84"/>
      <c r="AQ706" s="95" t="s">
        <v>678</v>
      </c>
      <c r="AR706" s="72"/>
      <c r="AS706" s="72"/>
      <c r="AT706" s="72"/>
      <c r="AU706" s="72"/>
      <c r="AV706" s="72"/>
      <c r="AW706" s="72"/>
      <c r="AX706" s="72"/>
      <c r="AY706" s="72"/>
      <c r="AZ706" s="72"/>
      <c r="BA706" s="72"/>
      <c r="BB706" s="16"/>
      <c r="BC706" s="72"/>
      <c r="BD706" s="20"/>
      <c r="BE706" s="378"/>
    </row>
    <row r="707" spans="1:57" s="81" customFormat="1" ht="12.95" hidden="1" customHeight="1">
      <c r="A707" s="374"/>
      <c r="B707" s="376"/>
      <c r="C707" s="248" t="s">
        <v>1415</v>
      </c>
      <c r="D707" s="239" t="s">
        <v>4434</v>
      </c>
      <c r="E707" s="58"/>
      <c r="F707" s="59" t="s">
        <v>4435</v>
      </c>
      <c r="G707" s="191" t="s">
        <v>2511</v>
      </c>
      <c r="H707" s="192" t="s">
        <v>679</v>
      </c>
      <c r="I707" s="61" t="s">
        <v>2511</v>
      </c>
      <c r="J707" s="61" t="s">
        <v>2511</v>
      </c>
      <c r="K707" s="62" t="s">
        <v>2511</v>
      </c>
      <c r="L707" s="60" t="s">
        <v>2511</v>
      </c>
      <c r="M707" s="61" t="s">
        <v>2389</v>
      </c>
      <c r="N707" s="61" t="s">
        <v>2511</v>
      </c>
      <c r="O707" s="61" t="s">
        <v>2511</v>
      </c>
      <c r="P707" s="62" t="s">
        <v>2511</v>
      </c>
      <c r="Q707" s="82"/>
      <c r="R707" s="82"/>
      <c r="S707" s="82"/>
      <c r="T707" s="82"/>
      <c r="U707" s="82"/>
      <c r="V707" s="138" t="s">
        <v>4436</v>
      </c>
      <c r="W707" s="57" t="s">
        <v>4094</v>
      </c>
      <c r="X707" s="126" t="s">
        <v>2511</v>
      </c>
      <c r="Y707" s="126" t="s">
        <v>2511</v>
      </c>
      <c r="Z707" s="57"/>
      <c r="AA707" s="57" t="s">
        <v>3661</v>
      </c>
      <c r="AB707" s="138"/>
      <c r="AC707" s="138" t="s">
        <v>2631</v>
      </c>
      <c r="AD707" s="96"/>
      <c r="AE707" s="80"/>
      <c r="AF707" s="80"/>
      <c r="AG707" s="80"/>
      <c r="AH707" s="83"/>
      <c r="AI707" s="83"/>
      <c r="AJ707" s="84"/>
      <c r="AK707" s="84"/>
      <c r="AL707" s="84"/>
      <c r="AM707" s="84"/>
      <c r="AN707" s="84"/>
      <c r="AO707" s="84"/>
      <c r="AP707" s="84"/>
      <c r="AQ707" s="95" t="s">
        <v>679</v>
      </c>
      <c r="AR707" s="72"/>
      <c r="AS707" s="72"/>
      <c r="AT707" s="72"/>
      <c r="AU707" s="72"/>
      <c r="AV707" s="72"/>
      <c r="AW707" s="72"/>
      <c r="AX707" s="72"/>
      <c r="AY707" s="72"/>
      <c r="AZ707" s="72"/>
      <c r="BA707" s="72"/>
      <c r="BB707" s="16"/>
      <c r="BC707" s="72"/>
      <c r="BD707" s="20"/>
      <c r="BE707" s="378"/>
    </row>
    <row r="708" spans="1:57" s="81" customFormat="1" ht="12.95" hidden="1" customHeight="1">
      <c r="A708" s="374"/>
      <c r="B708" s="376"/>
      <c r="C708" s="248" t="s">
        <v>1416</v>
      </c>
      <c r="D708" s="239" t="s">
        <v>4437</v>
      </c>
      <c r="E708" s="58"/>
      <c r="F708" s="59" t="s">
        <v>4438</v>
      </c>
      <c r="G708" s="191" t="s">
        <v>2511</v>
      </c>
      <c r="H708" s="192" t="s">
        <v>680</v>
      </c>
      <c r="I708" s="61" t="s">
        <v>2511</v>
      </c>
      <c r="J708" s="61" t="s">
        <v>2511</v>
      </c>
      <c r="K708" s="62" t="s">
        <v>2511</v>
      </c>
      <c r="L708" s="60" t="s">
        <v>2511</v>
      </c>
      <c r="M708" s="61" t="s">
        <v>2389</v>
      </c>
      <c r="N708" s="61" t="s">
        <v>2511</v>
      </c>
      <c r="O708" s="61" t="s">
        <v>2511</v>
      </c>
      <c r="P708" s="62" t="s">
        <v>2511</v>
      </c>
      <c r="Q708" s="82"/>
      <c r="R708" s="82"/>
      <c r="S708" s="82"/>
      <c r="T708" s="82"/>
      <c r="U708" s="82"/>
      <c r="V708" s="138" t="s">
        <v>4439</v>
      </c>
      <c r="W708" s="57" t="s">
        <v>4094</v>
      </c>
      <c r="X708" s="126" t="s">
        <v>2511</v>
      </c>
      <c r="Y708" s="126" t="s">
        <v>2511</v>
      </c>
      <c r="Z708" s="57"/>
      <c r="AA708" s="57" t="s">
        <v>3661</v>
      </c>
      <c r="AB708" s="138"/>
      <c r="AC708" s="138" t="s">
        <v>2631</v>
      </c>
      <c r="AD708" s="96"/>
      <c r="AE708" s="80"/>
      <c r="AF708" s="80"/>
      <c r="AG708" s="80"/>
      <c r="AH708" s="83"/>
      <c r="AI708" s="83"/>
      <c r="AJ708" s="84"/>
      <c r="AK708" s="84"/>
      <c r="AL708" s="84"/>
      <c r="AM708" s="84"/>
      <c r="AN708" s="84"/>
      <c r="AO708" s="84"/>
      <c r="AP708" s="84"/>
      <c r="AQ708" s="95" t="s">
        <v>680</v>
      </c>
      <c r="AR708" s="72"/>
      <c r="AS708" s="72"/>
      <c r="AT708" s="72"/>
      <c r="AU708" s="72"/>
      <c r="AV708" s="72"/>
      <c r="AW708" s="72"/>
      <c r="AX708" s="72"/>
      <c r="AY708" s="72"/>
      <c r="AZ708" s="72"/>
      <c r="BA708" s="72"/>
      <c r="BB708" s="16"/>
      <c r="BC708" s="72"/>
      <c r="BD708" s="20"/>
      <c r="BE708" s="378"/>
    </row>
    <row r="709" spans="1:57" s="81" customFormat="1" ht="12.95" hidden="1" customHeight="1">
      <c r="A709" s="374"/>
      <c r="B709" s="376"/>
      <c r="C709" s="248" t="s">
        <v>1417</v>
      </c>
      <c r="D709" s="239" t="s">
        <v>4440</v>
      </c>
      <c r="E709" s="58"/>
      <c r="F709" s="59" t="s">
        <v>4441</v>
      </c>
      <c r="G709" s="191" t="s">
        <v>2511</v>
      </c>
      <c r="H709" s="192" t="s">
        <v>681</v>
      </c>
      <c r="I709" s="61" t="s">
        <v>2511</v>
      </c>
      <c r="J709" s="61" t="s">
        <v>2511</v>
      </c>
      <c r="K709" s="62" t="s">
        <v>2511</v>
      </c>
      <c r="L709" s="60" t="s">
        <v>2511</v>
      </c>
      <c r="M709" s="61" t="s">
        <v>2389</v>
      </c>
      <c r="N709" s="61" t="s">
        <v>2511</v>
      </c>
      <c r="O709" s="61" t="s">
        <v>2511</v>
      </c>
      <c r="P709" s="62" t="s">
        <v>2511</v>
      </c>
      <c r="Q709" s="82"/>
      <c r="R709" s="82"/>
      <c r="S709" s="82"/>
      <c r="T709" s="82"/>
      <c r="U709" s="82"/>
      <c r="V709" s="138" t="s">
        <v>4442</v>
      </c>
      <c r="W709" s="57" t="s">
        <v>4094</v>
      </c>
      <c r="X709" s="126" t="s">
        <v>2511</v>
      </c>
      <c r="Y709" s="126" t="s">
        <v>2511</v>
      </c>
      <c r="Z709" s="57"/>
      <c r="AA709" s="57" t="s">
        <v>3661</v>
      </c>
      <c r="AB709" s="138"/>
      <c r="AC709" s="138" t="s">
        <v>2631</v>
      </c>
      <c r="AD709" s="96"/>
      <c r="AE709" s="80"/>
      <c r="AF709" s="80"/>
      <c r="AG709" s="80"/>
      <c r="AH709" s="83"/>
      <c r="AI709" s="83"/>
      <c r="AJ709" s="84"/>
      <c r="AK709" s="84"/>
      <c r="AL709" s="84"/>
      <c r="AM709" s="84"/>
      <c r="AN709" s="84"/>
      <c r="AO709" s="84"/>
      <c r="AP709" s="84"/>
      <c r="AQ709" s="95" t="s">
        <v>681</v>
      </c>
      <c r="AR709" s="72"/>
      <c r="AS709" s="72"/>
      <c r="AT709" s="72"/>
      <c r="AU709" s="72"/>
      <c r="AV709" s="72"/>
      <c r="AW709" s="72"/>
      <c r="AX709" s="72"/>
      <c r="AY709" s="72"/>
      <c r="AZ709" s="72"/>
      <c r="BA709" s="72"/>
      <c r="BB709" s="16"/>
      <c r="BC709" s="72"/>
      <c r="BD709" s="20"/>
      <c r="BE709" s="378"/>
    </row>
    <row r="710" spans="1:57" s="81" customFormat="1" ht="12.95" hidden="1" customHeight="1">
      <c r="A710" s="374"/>
      <c r="B710" s="376"/>
      <c r="C710" s="270" t="s">
        <v>1418</v>
      </c>
      <c r="D710" s="239" t="s">
        <v>4443</v>
      </c>
      <c r="E710" s="58"/>
      <c r="F710" s="59" t="s">
        <v>4444</v>
      </c>
      <c r="G710" s="191" t="s">
        <v>2511</v>
      </c>
      <c r="H710" s="192" t="s">
        <v>682</v>
      </c>
      <c r="I710" s="61" t="s">
        <v>2511</v>
      </c>
      <c r="J710" s="61" t="s">
        <v>2511</v>
      </c>
      <c r="K710" s="62" t="s">
        <v>2511</v>
      </c>
      <c r="L710" s="60" t="s">
        <v>2511</v>
      </c>
      <c r="M710" s="61" t="s">
        <v>2389</v>
      </c>
      <c r="N710" s="61" t="s">
        <v>2511</v>
      </c>
      <c r="O710" s="61" t="s">
        <v>2511</v>
      </c>
      <c r="P710" s="62" t="s">
        <v>2511</v>
      </c>
      <c r="Q710" s="82"/>
      <c r="R710" s="82"/>
      <c r="S710" s="82"/>
      <c r="T710" s="82"/>
      <c r="U710" s="82"/>
      <c r="V710" s="138" t="s">
        <v>4445</v>
      </c>
      <c r="W710" s="57" t="s">
        <v>4094</v>
      </c>
      <c r="X710" s="126" t="s">
        <v>2511</v>
      </c>
      <c r="Y710" s="126" t="s">
        <v>2511</v>
      </c>
      <c r="Z710" s="57"/>
      <c r="AA710" s="57" t="s">
        <v>3661</v>
      </c>
      <c r="AB710" s="138"/>
      <c r="AC710" s="138" t="s">
        <v>2631</v>
      </c>
      <c r="AD710" s="96"/>
      <c r="AE710" s="80"/>
      <c r="AF710" s="80"/>
      <c r="AG710" s="80"/>
      <c r="AH710" s="83"/>
      <c r="AI710" s="83"/>
      <c r="AJ710" s="84"/>
      <c r="AK710" s="84"/>
      <c r="AL710" s="84"/>
      <c r="AM710" s="84"/>
      <c r="AN710" s="84"/>
      <c r="AO710" s="84"/>
      <c r="AP710" s="84"/>
      <c r="AQ710" s="95" t="s">
        <v>682</v>
      </c>
      <c r="AR710" s="72"/>
      <c r="AS710" s="72"/>
      <c r="AT710" s="72"/>
      <c r="AU710" s="72"/>
      <c r="AV710" s="72"/>
      <c r="AW710" s="72"/>
      <c r="AX710" s="72"/>
      <c r="AY710" s="72"/>
      <c r="AZ710" s="72"/>
      <c r="BA710" s="72"/>
      <c r="BB710" s="16"/>
      <c r="BC710" s="72"/>
      <c r="BD710" s="20"/>
      <c r="BE710" s="378"/>
    </row>
    <row r="711" spans="1:57" s="81" customFormat="1" ht="12.95" hidden="1" customHeight="1">
      <c r="A711" s="374"/>
      <c r="B711" s="376"/>
      <c r="C711" s="270" t="s">
        <v>1419</v>
      </c>
      <c r="D711" s="239" t="s">
        <v>4446</v>
      </c>
      <c r="E711" s="58"/>
      <c r="F711" s="59" t="s">
        <v>4447</v>
      </c>
      <c r="G711" s="191" t="s">
        <v>2511</v>
      </c>
      <c r="H711" s="192" t="s">
        <v>683</v>
      </c>
      <c r="I711" s="61" t="s">
        <v>2511</v>
      </c>
      <c r="J711" s="61" t="s">
        <v>2511</v>
      </c>
      <c r="K711" s="62" t="s">
        <v>2511</v>
      </c>
      <c r="L711" s="60" t="s">
        <v>2511</v>
      </c>
      <c r="M711" s="61" t="s">
        <v>2389</v>
      </c>
      <c r="N711" s="61" t="s">
        <v>2511</v>
      </c>
      <c r="O711" s="61" t="s">
        <v>2511</v>
      </c>
      <c r="P711" s="62" t="s">
        <v>2511</v>
      </c>
      <c r="Q711" s="82"/>
      <c r="R711" s="82"/>
      <c r="S711" s="82"/>
      <c r="T711" s="82"/>
      <c r="U711" s="82"/>
      <c r="V711" s="138" t="s">
        <v>4448</v>
      </c>
      <c r="W711" s="57" t="s">
        <v>4094</v>
      </c>
      <c r="X711" s="126" t="s">
        <v>2511</v>
      </c>
      <c r="Y711" s="126" t="s">
        <v>2511</v>
      </c>
      <c r="Z711" s="57"/>
      <c r="AA711" s="57" t="s">
        <v>3661</v>
      </c>
      <c r="AB711" s="138"/>
      <c r="AC711" s="138" t="s">
        <v>2631</v>
      </c>
      <c r="AD711" s="96"/>
      <c r="AE711" s="80"/>
      <c r="AF711" s="80"/>
      <c r="AG711" s="80"/>
      <c r="AH711" s="83"/>
      <c r="AI711" s="83"/>
      <c r="AJ711" s="84"/>
      <c r="AK711" s="84"/>
      <c r="AL711" s="84"/>
      <c r="AM711" s="84"/>
      <c r="AN711" s="84"/>
      <c r="AO711" s="84"/>
      <c r="AP711" s="84"/>
      <c r="AQ711" s="95" t="s">
        <v>683</v>
      </c>
      <c r="AR711" s="72"/>
      <c r="AS711" s="72"/>
      <c r="AT711" s="72"/>
      <c r="AU711" s="72"/>
      <c r="AV711" s="72"/>
      <c r="AW711" s="72"/>
      <c r="AX711" s="72"/>
      <c r="AY711" s="72"/>
      <c r="AZ711" s="72"/>
      <c r="BA711" s="72"/>
      <c r="BB711" s="16"/>
      <c r="BC711" s="72"/>
      <c r="BD711" s="20"/>
      <c r="BE711" s="378"/>
    </row>
    <row r="712" spans="1:57" s="81" customFormat="1" ht="12.95" hidden="1" customHeight="1">
      <c r="A712" s="374"/>
      <c r="B712" s="376"/>
      <c r="C712" s="248" t="s">
        <v>1420</v>
      </c>
      <c r="D712" s="239" t="s">
        <v>4449</v>
      </c>
      <c r="E712" s="58"/>
      <c r="F712" s="59" t="s">
        <v>4450</v>
      </c>
      <c r="G712" s="191" t="s">
        <v>2511</v>
      </c>
      <c r="H712" s="192" t="s">
        <v>684</v>
      </c>
      <c r="I712" s="61" t="s">
        <v>2511</v>
      </c>
      <c r="J712" s="61" t="s">
        <v>2511</v>
      </c>
      <c r="K712" s="62" t="s">
        <v>2511</v>
      </c>
      <c r="L712" s="60" t="s">
        <v>2511</v>
      </c>
      <c r="M712" s="61" t="s">
        <v>2389</v>
      </c>
      <c r="N712" s="61" t="s">
        <v>2511</v>
      </c>
      <c r="O712" s="61" t="s">
        <v>2511</v>
      </c>
      <c r="P712" s="62" t="s">
        <v>2511</v>
      </c>
      <c r="Q712" s="82"/>
      <c r="R712" s="82"/>
      <c r="S712" s="82"/>
      <c r="T712" s="82"/>
      <c r="U712" s="82"/>
      <c r="V712" s="138" t="s">
        <v>4451</v>
      </c>
      <c r="W712" s="57" t="s">
        <v>4094</v>
      </c>
      <c r="X712" s="126" t="s">
        <v>2511</v>
      </c>
      <c r="Y712" s="126" t="s">
        <v>2511</v>
      </c>
      <c r="Z712" s="57"/>
      <c r="AA712" s="57" t="s">
        <v>3661</v>
      </c>
      <c r="AB712" s="138"/>
      <c r="AC712" s="138">
        <v>0</v>
      </c>
      <c r="AD712" s="96"/>
      <c r="AE712" s="80"/>
      <c r="AF712" s="80"/>
      <c r="AG712" s="80"/>
      <c r="AH712" s="83"/>
      <c r="AI712" s="83"/>
      <c r="AJ712" s="84"/>
      <c r="AK712" s="84"/>
      <c r="AL712" s="84"/>
      <c r="AM712" s="84"/>
      <c r="AN712" s="84"/>
      <c r="AO712" s="84"/>
      <c r="AP712" s="84"/>
      <c r="AQ712" s="95" t="s">
        <v>684</v>
      </c>
      <c r="AR712" s="72"/>
      <c r="AS712" s="72"/>
      <c r="AT712" s="72"/>
      <c r="AU712" s="72"/>
      <c r="AV712" s="72"/>
      <c r="AW712" s="72"/>
      <c r="AX712" s="72"/>
      <c r="AY712" s="72"/>
      <c r="AZ712" s="72"/>
      <c r="BA712" s="72"/>
      <c r="BB712" s="16"/>
      <c r="BC712" s="72"/>
      <c r="BD712" s="20"/>
      <c r="BE712" s="378"/>
    </row>
    <row r="713" spans="1:57" s="81" customFormat="1" ht="12.95" hidden="1" customHeight="1">
      <c r="A713" s="374"/>
      <c r="B713" s="376"/>
      <c r="C713" s="248" t="s">
        <v>1421</v>
      </c>
      <c r="D713" s="239" t="s">
        <v>4452</v>
      </c>
      <c r="E713" s="58"/>
      <c r="F713" s="59" t="s">
        <v>4453</v>
      </c>
      <c r="G713" s="191" t="s">
        <v>2511</v>
      </c>
      <c r="H713" s="192" t="s">
        <v>685</v>
      </c>
      <c r="I713" s="61" t="s">
        <v>2511</v>
      </c>
      <c r="J713" s="61" t="s">
        <v>2511</v>
      </c>
      <c r="K713" s="62" t="s">
        <v>2511</v>
      </c>
      <c r="L713" s="60" t="s">
        <v>2511</v>
      </c>
      <c r="M713" s="61" t="s">
        <v>2389</v>
      </c>
      <c r="N713" s="61" t="s">
        <v>2511</v>
      </c>
      <c r="O713" s="61" t="s">
        <v>2511</v>
      </c>
      <c r="P713" s="62" t="s">
        <v>2511</v>
      </c>
      <c r="Q713" s="82"/>
      <c r="R713" s="82"/>
      <c r="S713" s="82"/>
      <c r="T713" s="82"/>
      <c r="U713" s="82"/>
      <c r="V713" s="138" t="s">
        <v>4454</v>
      </c>
      <c r="W713" s="57" t="s">
        <v>4094</v>
      </c>
      <c r="X713" s="126" t="s">
        <v>2511</v>
      </c>
      <c r="Y713" s="126" t="s">
        <v>2511</v>
      </c>
      <c r="Z713" s="57"/>
      <c r="AA713" s="57" t="s">
        <v>3661</v>
      </c>
      <c r="AB713" s="138"/>
      <c r="AC713" s="138" t="s">
        <v>2631</v>
      </c>
      <c r="AD713" s="96"/>
      <c r="AE713" s="80"/>
      <c r="AF713" s="80"/>
      <c r="AG713" s="80"/>
      <c r="AH713" s="83"/>
      <c r="AI713" s="83"/>
      <c r="AJ713" s="84"/>
      <c r="AK713" s="84"/>
      <c r="AL713" s="84"/>
      <c r="AM713" s="84"/>
      <c r="AN713" s="84"/>
      <c r="AO713" s="84"/>
      <c r="AP713" s="84"/>
      <c r="AQ713" s="95" t="s">
        <v>685</v>
      </c>
      <c r="AR713" s="72"/>
      <c r="AS713" s="72"/>
      <c r="AT713" s="72"/>
      <c r="AU713" s="72"/>
      <c r="AV713" s="72"/>
      <c r="AW713" s="72"/>
      <c r="AX713" s="72"/>
      <c r="AY713" s="72"/>
      <c r="AZ713" s="72"/>
      <c r="BA713" s="72"/>
      <c r="BB713" s="16"/>
      <c r="BC713" s="72"/>
      <c r="BD713" s="20"/>
      <c r="BE713" s="378"/>
    </row>
    <row r="714" spans="1:57" s="81" customFormat="1" ht="12.95" hidden="1" customHeight="1">
      <c r="A714" s="374"/>
      <c r="B714" s="376"/>
      <c r="C714" s="248" t="s">
        <v>1422</v>
      </c>
      <c r="D714" s="239" t="s">
        <v>4455</v>
      </c>
      <c r="E714" s="58"/>
      <c r="F714" s="59" t="s">
        <v>4456</v>
      </c>
      <c r="G714" s="191" t="s">
        <v>2511</v>
      </c>
      <c r="H714" s="192" t="s">
        <v>686</v>
      </c>
      <c r="I714" s="61" t="s">
        <v>2511</v>
      </c>
      <c r="J714" s="61" t="s">
        <v>2511</v>
      </c>
      <c r="K714" s="62" t="s">
        <v>2511</v>
      </c>
      <c r="L714" s="60" t="s">
        <v>2511</v>
      </c>
      <c r="M714" s="61" t="s">
        <v>2389</v>
      </c>
      <c r="N714" s="61" t="s">
        <v>2511</v>
      </c>
      <c r="O714" s="61" t="s">
        <v>2511</v>
      </c>
      <c r="P714" s="62" t="s">
        <v>2511</v>
      </c>
      <c r="Q714" s="82"/>
      <c r="R714" s="82"/>
      <c r="S714" s="82"/>
      <c r="T714" s="82"/>
      <c r="U714" s="82"/>
      <c r="V714" s="138" t="s">
        <v>4457</v>
      </c>
      <c r="W714" s="57" t="s">
        <v>4094</v>
      </c>
      <c r="X714" s="126" t="s">
        <v>2511</v>
      </c>
      <c r="Y714" s="126" t="s">
        <v>2511</v>
      </c>
      <c r="Z714" s="57"/>
      <c r="AA714" s="57" t="s">
        <v>3661</v>
      </c>
      <c r="AB714" s="138"/>
      <c r="AC714" s="138" t="s">
        <v>2631</v>
      </c>
      <c r="AD714" s="96"/>
      <c r="AE714" s="80"/>
      <c r="AF714" s="80"/>
      <c r="AG714" s="80"/>
      <c r="AH714" s="83"/>
      <c r="AI714" s="83"/>
      <c r="AJ714" s="84"/>
      <c r="AK714" s="84"/>
      <c r="AL714" s="84"/>
      <c r="AM714" s="84"/>
      <c r="AN714" s="84"/>
      <c r="AO714" s="84"/>
      <c r="AP714" s="84"/>
      <c r="AQ714" s="95" t="s">
        <v>686</v>
      </c>
      <c r="AR714" s="72"/>
      <c r="AS714" s="72"/>
      <c r="AT714" s="72"/>
      <c r="AU714" s="72"/>
      <c r="AV714" s="72"/>
      <c r="AW714" s="72"/>
      <c r="AX714" s="72"/>
      <c r="AY714" s="72"/>
      <c r="AZ714" s="72"/>
      <c r="BA714" s="72"/>
      <c r="BB714" s="16"/>
      <c r="BC714" s="72"/>
      <c r="BD714" s="20"/>
      <c r="BE714" s="378"/>
    </row>
    <row r="715" spans="1:57" s="81" customFormat="1" ht="12.95" hidden="1" customHeight="1">
      <c r="A715" s="374"/>
      <c r="B715" s="376"/>
      <c r="C715" s="248" t="s">
        <v>1423</v>
      </c>
      <c r="D715" s="239" t="s">
        <v>4458</v>
      </c>
      <c r="E715" s="58"/>
      <c r="F715" s="59" t="s">
        <v>4459</v>
      </c>
      <c r="G715" s="191" t="s">
        <v>2511</v>
      </c>
      <c r="H715" s="192" t="s">
        <v>687</v>
      </c>
      <c r="I715" s="61" t="s">
        <v>2511</v>
      </c>
      <c r="J715" s="61" t="s">
        <v>2511</v>
      </c>
      <c r="K715" s="62" t="s">
        <v>2511</v>
      </c>
      <c r="L715" s="60" t="s">
        <v>2511</v>
      </c>
      <c r="M715" s="61" t="s">
        <v>2389</v>
      </c>
      <c r="N715" s="61" t="s">
        <v>2511</v>
      </c>
      <c r="O715" s="61" t="s">
        <v>2511</v>
      </c>
      <c r="P715" s="62" t="s">
        <v>2511</v>
      </c>
      <c r="Q715" s="82"/>
      <c r="R715" s="82"/>
      <c r="S715" s="82"/>
      <c r="T715" s="82"/>
      <c r="U715" s="82"/>
      <c r="V715" s="138" t="s">
        <v>4460</v>
      </c>
      <c r="W715" s="57" t="s">
        <v>4094</v>
      </c>
      <c r="X715" s="126" t="s">
        <v>2511</v>
      </c>
      <c r="Y715" s="126" t="s">
        <v>2511</v>
      </c>
      <c r="Z715" s="57"/>
      <c r="AA715" s="57" t="s">
        <v>3661</v>
      </c>
      <c r="AB715" s="138"/>
      <c r="AC715" s="138" t="s">
        <v>2631</v>
      </c>
      <c r="AD715" s="96"/>
      <c r="AE715" s="80"/>
      <c r="AF715" s="80"/>
      <c r="AG715" s="80"/>
      <c r="AH715" s="83"/>
      <c r="AI715" s="83"/>
      <c r="AJ715" s="84"/>
      <c r="AK715" s="84"/>
      <c r="AL715" s="84"/>
      <c r="AM715" s="84"/>
      <c r="AN715" s="84"/>
      <c r="AO715" s="84"/>
      <c r="AP715" s="84"/>
      <c r="AQ715" s="95" t="s">
        <v>687</v>
      </c>
      <c r="AR715" s="72"/>
      <c r="AS715" s="72"/>
      <c r="AT715" s="72"/>
      <c r="AU715" s="72"/>
      <c r="AV715" s="72"/>
      <c r="AW715" s="72"/>
      <c r="AX715" s="72"/>
      <c r="AY715" s="72"/>
      <c r="AZ715" s="72"/>
      <c r="BA715" s="72"/>
      <c r="BB715" s="16"/>
      <c r="BC715" s="72"/>
      <c r="BD715" s="20"/>
      <c r="BE715" s="378"/>
    </row>
    <row r="716" spans="1:57" s="81" customFormat="1" ht="12.95" hidden="1" customHeight="1">
      <c r="A716" s="374"/>
      <c r="B716" s="376"/>
      <c r="C716" s="248" t="s">
        <v>1424</v>
      </c>
      <c r="D716" s="239" t="s">
        <v>4461</v>
      </c>
      <c r="E716" s="58"/>
      <c r="F716" s="59" t="s">
        <v>4462</v>
      </c>
      <c r="G716" s="191" t="s">
        <v>2511</v>
      </c>
      <c r="H716" s="192" t="s">
        <v>688</v>
      </c>
      <c r="I716" s="61" t="s">
        <v>2511</v>
      </c>
      <c r="J716" s="61" t="s">
        <v>2511</v>
      </c>
      <c r="K716" s="62" t="s">
        <v>2511</v>
      </c>
      <c r="L716" s="60" t="s">
        <v>2511</v>
      </c>
      <c r="M716" s="61" t="s">
        <v>2389</v>
      </c>
      <c r="N716" s="61" t="s">
        <v>2511</v>
      </c>
      <c r="O716" s="61" t="s">
        <v>2511</v>
      </c>
      <c r="P716" s="62" t="s">
        <v>2511</v>
      </c>
      <c r="Q716" s="82"/>
      <c r="R716" s="82"/>
      <c r="S716" s="82"/>
      <c r="T716" s="82"/>
      <c r="U716" s="82"/>
      <c r="V716" s="138" t="s">
        <v>4463</v>
      </c>
      <c r="W716" s="57" t="s">
        <v>4094</v>
      </c>
      <c r="X716" s="126" t="s">
        <v>2511</v>
      </c>
      <c r="Y716" s="126" t="s">
        <v>2511</v>
      </c>
      <c r="Z716" s="57"/>
      <c r="AA716" s="57" t="s">
        <v>3661</v>
      </c>
      <c r="AB716" s="138"/>
      <c r="AC716" s="138" t="s">
        <v>2631</v>
      </c>
      <c r="AD716" s="96"/>
      <c r="AE716" s="80"/>
      <c r="AF716" s="80"/>
      <c r="AG716" s="80"/>
      <c r="AH716" s="83"/>
      <c r="AI716" s="83"/>
      <c r="AJ716" s="84"/>
      <c r="AK716" s="84"/>
      <c r="AL716" s="84"/>
      <c r="AM716" s="84"/>
      <c r="AN716" s="84"/>
      <c r="AO716" s="84"/>
      <c r="AP716" s="84"/>
      <c r="AQ716" s="95" t="s">
        <v>688</v>
      </c>
      <c r="AR716" s="72"/>
      <c r="AS716" s="72"/>
      <c r="AT716" s="72"/>
      <c r="AU716" s="72"/>
      <c r="AV716" s="72"/>
      <c r="AW716" s="72"/>
      <c r="AX716" s="72"/>
      <c r="AY716" s="72"/>
      <c r="AZ716" s="72"/>
      <c r="BA716" s="72"/>
      <c r="BB716" s="16"/>
      <c r="BC716" s="72"/>
      <c r="BD716" s="20"/>
      <c r="BE716" s="378"/>
    </row>
    <row r="717" spans="1:57" s="81" customFormat="1" ht="12.95" hidden="1" customHeight="1">
      <c r="A717" s="374"/>
      <c r="B717" s="376"/>
      <c r="C717" s="248" t="s">
        <v>1425</v>
      </c>
      <c r="D717" s="239" t="s">
        <v>4464</v>
      </c>
      <c r="E717" s="58"/>
      <c r="F717" s="59" t="s">
        <v>4465</v>
      </c>
      <c r="G717" s="191" t="s">
        <v>2511</v>
      </c>
      <c r="H717" s="192" t="s">
        <v>689</v>
      </c>
      <c r="I717" s="61" t="s">
        <v>2511</v>
      </c>
      <c r="J717" s="61" t="s">
        <v>2511</v>
      </c>
      <c r="K717" s="62" t="s">
        <v>2511</v>
      </c>
      <c r="L717" s="60" t="s">
        <v>2511</v>
      </c>
      <c r="M717" s="61" t="s">
        <v>2389</v>
      </c>
      <c r="N717" s="61" t="s">
        <v>2511</v>
      </c>
      <c r="O717" s="61" t="s">
        <v>2511</v>
      </c>
      <c r="P717" s="62" t="s">
        <v>2511</v>
      </c>
      <c r="Q717" s="82"/>
      <c r="R717" s="82"/>
      <c r="S717" s="82"/>
      <c r="T717" s="82"/>
      <c r="U717" s="82"/>
      <c r="V717" s="138" t="s">
        <v>4466</v>
      </c>
      <c r="W717" s="57" t="s">
        <v>4094</v>
      </c>
      <c r="X717" s="126" t="s">
        <v>2511</v>
      </c>
      <c r="Y717" s="126" t="s">
        <v>2511</v>
      </c>
      <c r="Z717" s="57"/>
      <c r="AA717" s="57" t="s">
        <v>3661</v>
      </c>
      <c r="AB717" s="138"/>
      <c r="AC717" s="138" t="s">
        <v>2631</v>
      </c>
      <c r="AD717" s="96"/>
      <c r="AE717" s="80"/>
      <c r="AF717" s="80"/>
      <c r="AG717" s="80"/>
      <c r="AH717" s="83"/>
      <c r="AI717" s="83"/>
      <c r="AJ717" s="84"/>
      <c r="AK717" s="84"/>
      <c r="AL717" s="84"/>
      <c r="AM717" s="84"/>
      <c r="AN717" s="84"/>
      <c r="AO717" s="84"/>
      <c r="AP717" s="84"/>
      <c r="AQ717" s="95" t="s">
        <v>689</v>
      </c>
      <c r="AR717" s="72"/>
      <c r="AS717" s="72"/>
      <c r="AT717" s="72"/>
      <c r="AU717" s="72"/>
      <c r="AV717" s="72"/>
      <c r="AW717" s="72"/>
      <c r="AX717" s="72"/>
      <c r="AY717" s="72"/>
      <c r="AZ717" s="72"/>
      <c r="BA717" s="72"/>
      <c r="BB717" s="16"/>
      <c r="BC717" s="72"/>
      <c r="BD717" s="20"/>
      <c r="BE717" s="378"/>
    </row>
    <row r="718" spans="1:57" s="81" customFormat="1" ht="12.95" hidden="1" customHeight="1">
      <c r="A718" s="374"/>
      <c r="B718" s="376"/>
      <c r="C718" s="248" t="s">
        <v>1426</v>
      </c>
      <c r="D718" s="239" t="s">
        <v>4467</v>
      </c>
      <c r="E718" s="58"/>
      <c r="F718" s="59" t="s">
        <v>4468</v>
      </c>
      <c r="G718" s="191" t="s">
        <v>2511</v>
      </c>
      <c r="H718" s="192" t="s">
        <v>690</v>
      </c>
      <c r="I718" s="61" t="s">
        <v>2511</v>
      </c>
      <c r="J718" s="61" t="s">
        <v>2511</v>
      </c>
      <c r="K718" s="62" t="s">
        <v>2511</v>
      </c>
      <c r="L718" s="60" t="s">
        <v>2511</v>
      </c>
      <c r="M718" s="61" t="s">
        <v>2389</v>
      </c>
      <c r="N718" s="61" t="s">
        <v>2511</v>
      </c>
      <c r="O718" s="61" t="s">
        <v>2511</v>
      </c>
      <c r="P718" s="62" t="s">
        <v>2511</v>
      </c>
      <c r="Q718" s="82"/>
      <c r="R718" s="82"/>
      <c r="S718" s="82"/>
      <c r="T718" s="82"/>
      <c r="U718" s="82"/>
      <c r="V718" s="138" t="s">
        <v>4469</v>
      </c>
      <c r="W718" s="57" t="s">
        <v>4094</v>
      </c>
      <c r="X718" s="126" t="s">
        <v>2511</v>
      </c>
      <c r="Y718" s="126" t="s">
        <v>2511</v>
      </c>
      <c r="Z718" s="57"/>
      <c r="AA718" s="57" t="s">
        <v>3661</v>
      </c>
      <c r="AB718" s="138"/>
      <c r="AC718" s="138" t="s">
        <v>2631</v>
      </c>
      <c r="AD718" s="96"/>
      <c r="AE718" s="80"/>
      <c r="AF718" s="80"/>
      <c r="AG718" s="80"/>
      <c r="AH718" s="83"/>
      <c r="AI718" s="83"/>
      <c r="AJ718" s="84"/>
      <c r="AK718" s="84"/>
      <c r="AL718" s="84"/>
      <c r="AM718" s="84"/>
      <c r="AN718" s="84"/>
      <c r="AO718" s="84"/>
      <c r="AP718" s="84"/>
      <c r="AQ718" s="95" t="s">
        <v>690</v>
      </c>
      <c r="AR718" s="72"/>
      <c r="AS718" s="72"/>
      <c r="AT718" s="72"/>
      <c r="AU718" s="72"/>
      <c r="AV718" s="72"/>
      <c r="AW718" s="72"/>
      <c r="AX718" s="72"/>
      <c r="AY718" s="72"/>
      <c r="AZ718" s="72"/>
      <c r="BA718" s="72"/>
      <c r="BB718" s="16"/>
      <c r="BC718" s="72"/>
      <c r="BD718" s="20"/>
      <c r="BE718" s="378"/>
    </row>
    <row r="719" spans="1:57" s="81" customFormat="1" ht="12.95" hidden="1" customHeight="1">
      <c r="A719" s="374"/>
      <c r="B719" s="376"/>
      <c r="C719" s="248" t="s">
        <v>1427</v>
      </c>
      <c r="D719" s="239" t="s">
        <v>4470</v>
      </c>
      <c r="E719" s="58"/>
      <c r="F719" s="59" t="s">
        <v>4471</v>
      </c>
      <c r="G719" s="191" t="s">
        <v>2511</v>
      </c>
      <c r="H719" s="192" t="s">
        <v>691</v>
      </c>
      <c r="I719" s="61" t="s">
        <v>2511</v>
      </c>
      <c r="J719" s="61" t="s">
        <v>2511</v>
      </c>
      <c r="K719" s="62" t="s">
        <v>2511</v>
      </c>
      <c r="L719" s="60" t="s">
        <v>2511</v>
      </c>
      <c r="M719" s="61" t="s">
        <v>2389</v>
      </c>
      <c r="N719" s="61" t="s">
        <v>2511</v>
      </c>
      <c r="O719" s="61" t="s">
        <v>2511</v>
      </c>
      <c r="P719" s="62" t="s">
        <v>2511</v>
      </c>
      <c r="Q719" s="82"/>
      <c r="R719" s="82"/>
      <c r="S719" s="82"/>
      <c r="T719" s="82"/>
      <c r="U719" s="82"/>
      <c r="V719" s="138" t="s">
        <v>4472</v>
      </c>
      <c r="W719" s="57" t="s">
        <v>4094</v>
      </c>
      <c r="X719" s="126" t="s">
        <v>2511</v>
      </c>
      <c r="Y719" s="126" t="s">
        <v>2511</v>
      </c>
      <c r="Z719" s="57"/>
      <c r="AA719" s="57" t="s">
        <v>3661</v>
      </c>
      <c r="AB719" s="138"/>
      <c r="AC719" s="138" t="s">
        <v>2631</v>
      </c>
      <c r="AD719" s="96"/>
      <c r="AE719" s="80"/>
      <c r="AF719" s="80"/>
      <c r="AG719" s="80"/>
      <c r="AH719" s="83"/>
      <c r="AI719" s="83"/>
      <c r="AJ719" s="84"/>
      <c r="AK719" s="84"/>
      <c r="AL719" s="84"/>
      <c r="AM719" s="84"/>
      <c r="AN719" s="84"/>
      <c r="AO719" s="84"/>
      <c r="AP719" s="84"/>
      <c r="AQ719" s="95" t="s">
        <v>691</v>
      </c>
      <c r="AR719" s="72"/>
      <c r="AS719" s="72"/>
      <c r="AT719" s="72"/>
      <c r="AU719" s="72"/>
      <c r="AV719" s="72"/>
      <c r="AW719" s="72"/>
      <c r="AX719" s="72"/>
      <c r="AY719" s="72"/>
      <c r="AZ719" s="72"/>
      <c r="BA719" s="72"/>
      <c r="BB719" s="16"/>
      <c r="BC719" s="72"/>
      <c r="BD719" s="20"/>
      <c r="BE719" s="378"/>
    </row>
    <row r="720" spans="1:57" s="81" customFormat="1" ht="12.95" hidden="1" customHeight="1">
      <c r="A720" s="374"/>
      <c r="B720" s="376"/>
      <c r="C720" s="248" t="s">
        <v>1428</v>
      </c>
      <c r="D720" s="239" t="s">
        <v>4473</v>
      </c>
      <c r="E720" s="58"/>
      <c r="F720" s="59" t="s">
        <v>4474</v>
      </c>
      <c r="G720" s="191" t="s">
        <v>2511</v>
      </c>
      <c r="H720" s="192" t="s">
        <v>692</v>
      </c>
      <c r="I720" s="61" t="s">
        <v>2511</v>
      </c>
      <c r="J720" s="61" t="s">
        <v>2511</v>
      </c>
      <c r="K720" s="62" t="s">
        <v>2511</v>
      </c>
      <c r="L720" s="60" t="s">
        <v>2511</v>
      </c>
      <c r="M720" s="61" t="s">
        <v>2389</v>
      </c>
      <c r="N720" s="61" t="s">
        <v>2511</v>
      </c>
      <c r="O720" s="61" t="s">
        <v>2511</v>
      </c>
      <c r="P720" s="62" t="s">
        <v>2511</v>
      </c>
      <c r="Q720" s="82"/>
      <c r="R720" s="82"/>
      <c r="S720" s="82"/>
      <c r="T720" s="82"/>
      <c r="U720" s="82"/>
      <c r="V720" s="138" t="s">
        <v>4475</v>
      </c>
      <c r="W720" s="57" t="s">
        <v>4094</v>
      </c>
      <c r="X720" s="126" t="s">
        <v>2511</v>
      </c>
      <c r="Y720" s="126" t="s">
        <v>2511</v>
      </c>
      <c r="Z720" s="57"/>
      <c r="AA720" s="57" t="s">
        <v>3661</v>
      </c>
      <c r="AB720" s="138"/>
      <c r="AC720" s="138" t="s">
        <v>2631</v>
      </c>
      <c r="AD720" s="96"/>
      <c r="AE720" s="80"/>
      <c r="AF720" s="80"/>
      <c r="AG720" s="80"/>
      <c r="AH720" s="83"/>
      <c r="AI720" s="83"/>
      <c r="AJ720" s="84"/>
      <c r="AK720" s="84"/>
      <c r="AL720" s="84"/>
      <c r="AM720" s="84"/>
      <c r="AN720" s="84"/>
      <c r="AO720" s="84"/>
      <c r="AP720" s="84"/>
      <c r="AQ720" s="95" t="s">
        <v>692</v>
      </c>
      <c r="AR720" s="72"/>
      <c r="AS720" s="72"/>
      <c r="AT720" s="72"/>
      <c r="AU720" s="72"/>
      <c r="AV720" s="72"/>
      <c r="AW720" s="72"/>
      <c r="AX720" s="72"/>
      <c r="AY720" s="72"/>
      <c r="AZ720" s="72"/>
      <c r="BA720" s="72"/>
      <c r="BB720" s="16"/>
      <c r="BC720" s="72"/>
      <c r="BD720" s="20"/>
      <c r="BE720" s="378"/>
    </row>
    <row r="721" spans="1:57" s="81" customFormat="1" ht="12.95" hidden="1" customHeight="1">
      <c r="A721" s="374"/>
      <c r="B721" s="376"/>
      <c r="C721" s="248" t="s">
        <v>1429</v>
      </c>
      <c r="D721" s="239" t="s">
        <v>4476</v>
      </c>
      <c r="E721" s="58"/>
      <c r="F721" s="59" t="s">
        <v>4477</v>
      </c>
      <c r="G721" s="191" t="s">
        <v>2511</v>
      </c>
      <c r="H721" s="192" t="s">
        <v>693</v>
      </c>
      <c r="I721" s="61" t="s">
        <v>2511</v>
      </c>
      <c r="J721" s="61" t="s">
        <v>2511</v>
      </c>
      <c r="K721" s="62" t="s">
        <v>2511</v>
      </c>
      <c r="L721" s="60" t="s">
        <v>2511</v>
      </c>
      <c r="M721" s="61" t="s">
        <v>2389</v>
      </c>
      <c r="N721" s="61" t="s">
        <v>2511</v>
      </c>
      <c r="O721" s="61" t="s">
        <v>2511</v>
      </c>
      <c r="P721" s="62" t="s">
        <v>2511</v>
      </c>
      <c r="Q721" s="82"/>
      <c r="R721" s="82"/>
      <c r="S721" s="82"/>
      <c r="T721" s="82"/>
      <c r="U721" s="82"/>
      <c r="V721" s="138" t="s">
        <v>4478</v>
      </c>
      <c r="W721" s="57" t="s">
        <v>4094</v>
      </c>
      <c r="X721" s="126" t="s">
        <v>2511</v>
      </c>
      <c r="Y721" s="126" t="s">
        <v>2511</v>
      </c>
      <c r="Z721" s="57"/>
      <c r="AA721" s="57" t="s">
        <v>3661</v>
      </c>
      <c r="AB721" s="138"/>
      <c r="AC721" s="138" t="s">
        <v>2631</v>
      </c>
      <c r="AD721" s="96"/>
      <c r="AE721" s="80"/>
      <c r="AF721" s="80"/>
      <c r="AG721" s="80"/>
      <c r="AH721" s="83"/>
      <c r="AI721" s="83"/>
      <c r="AJ721" s="84"/>
      <c r="AK721" s="84"/>
      <c r="AL721" s="84"/>
      <c r="AM721" s="84"/>
      <c r="AN721" s="84"/>
      <c r="AO721" s="84"/>
      <c r="AP721" s="84"/>
      <c r="AQ721" s="95" t="s">
        <v>693</v>
      </c>
      <c r="AR721" s="72"/>
      <c r="AS721" s="72"/>
      <c r="AT721" s="72"/>
      <c r="AU721" s="72"/>
      <c r="AV721" s="72"/>
      <c r="AW721" s="72"/>
      <c r="AX721" s="72"/>
      <c r="AY721" s="72"/>
      <c r="AZ721" s="72"/>
      <c r="BA721" s="72"/>
      <c r="BB721" s="16"/>
      <c r="BC721" s="72"/>
      <c r="BD721" s="20"/>
      <c r="BE721" s="378"/>
    </row>
    <row r="722" spans="1:57" s="81" customFormat="1" ht="12.95" hidden="1" customHeight="1">
      <c r="A722" s="374"/>
      <c r="B722" s="376"/>
      <c r="C722" s="270" t="s">
        <v>1430</v>
      </c>
      <c r="D722" s="239" t="s">
        <v>4479</v>
      </c>
      <c r="E722" s="58"/>
      <c r="F722" s="59" t="s">
        <v>4480</v>
      </c>
      <c r="G722" s="191" t="s">
        <v>2511</v>
      </c>
      <c r="H722" s="192" t="s">
        <v>694</v>
      </c>
      <c r="I722" s="61" t="s">
        <v>2511</v>
      </c>
      <c r="J722" s="61" t="s">
        <v>2511</v>
      </c>
      <c r="K722" s="62" t="s">
        <v>2511</v>
      </c>
      <c r="L722" s="60" t="s">
        <v>2511</v>
      </c>
      <c r="M722" s="61" t="s">
        <v>2389</v>
      </c>
      <c r="N722" s="61" t="s">
        <v>2511</v>
      </c>
      <c r="O722" s="61" t="s">
        <v>2511</v>
      </c>
      <c r="P722" s="62" t="s">
        <v>2511</v>
      </c>
      <c r="Q722" s="82"/>
      <c r="R722" s="82"/>
      <c r="S722" s="82"/>
      <c r="T722" s="82"/>
      <c r="U722" s="82"/>
      <c r="V722" s="138" t="s">
        <v>4481</v>
      </c>
      <c r="W722" s="57" t="s">
        <v>4094</v>
      </c>
      <c r="X722" s="126" t="s">
        <v>2511</v>
      </c>
      <c r="Y722" s="126" t="s">
        <v>2511</v>
      </c>
      <c r="Z722" s="57"/>
      <c r="AA722" s="57" t="s">
        <v>3661</v>
      </c>
      <c r="AB722" s="138"/>
      <c r="AC722" s="138" t="s">
        <v>2631</v>
      </c>
      <c r="AD722" s="96"/>
      <c r="AE722" s="80"/>
      <c r="AF722" s="80"/>
      <c r="AG722" s="80"/>
      <c r="AH722" s="83"/>
      <c r="AI722" s="83"/>
      <c r="AJ722" s="84"/>
      <c r="AK722" s="84"/>
      <c r="AL722" s="84"/>
      <c r="AM722" s="84"/>
      <c r="AN722" s="84"/>
      <c r="AO722" s="84"/>
      <c r="AP722" s="84"/>
      <c r="AQ722" s="95" t="s">
        <v>694</v>
      </c>
      <c r="AR722" s="72"/>
      <c r="AS722" s="72"/>
      <c r="AT722" s="72"/>
      <c r="AU722" s="72"/>
      <c r="AV722" s="72"/>
      <c r="AW722" s="72"/>
      <c r="AX722" s="72"/>
      <c r="AY722" s="72"/>
      <c r="AZ722" s="72"/>
      <c r="BA722" s="72"/>
      <c r="BB722" s="16"/>
      <c r="BC722" s="72"/>
      <c r="BD722" s="20"/>
      <c r="BE722" s="378"/>
    </row>
    <row r="723" spans="1:57" s="81" customFormat="1" ht="12.95" hidden="1" customHeight="1">
      <c r="A723" s="374"/>
      <c r="B723" s="376"/>
      <c r="C723" s="270" t="s">
        <v>1431</v>
      </c>
      <c r="D723" s="239" t="s">
        <v>4482</v>
      </c>
      <c r="E723" s="58"/>
      <c r="F723" s="59" t="s">
        <v>4483</v>
      </c>
      <c r="G723" s="191" t="s">
        <v>2511</v>
      </c>
      <c r="H723" s="192" t="s">
        <v>695</v>
      </c>
      <c r="I723" s="61" t="s">
        <v>2511</v>
      </c>
      <c r="J723" s="61" t="s">
        <v>2511</v>
      </c>
      <c r="K723" s="62" t="s">
        <v>2511</v>
      </c>
      <c r="L723" s="60" t="s">
        <v>2511</v>
      </c>
      <c r="M723" s="61" t="s">
        <v>2389</v>
      </c>
      <c r="N723" s="61" t="s">
        <v>2511</v>
      </c>
      <c r="O723" s="61" t="s">
        <v>2511</v>
      </c>
      <c r="P723" s="62" t="s">
        <v>2511</v>
      </c>
      <c r="Q723" s="82"/>
      <c r="R723" s="82"/>
      <c r="S723" s="82"/>
      <c r="T723" s="82"/>
      <c r="U723" s="82"/>
      <c r="V723" s="138" t="s">
        <v>4484</v>
      </c>
      <c r="W723" s="57" t="s">
        <v>4094</v>
      </c>
      <c r="X723" s="126" t="s">
        <v>2511</v>
      </c>
      <c r="Y723" s="126" t="s">
        <v>2511</v>
      </c>
      <c r="Z723" s="57"/>
      <c r="AA723" s="57" t="s">
        <v>3661</v>
      </c>
      <c r="AB723" s="138"/>
      <c r="AC723" s="138" t="s">
        <v>2631</v>
      </c>
      <c r="AD723" s="96"/>
      <c r="AE723" s="80"/>
      <c r="AF723" s="80"/>
      <c r="AG723" s="80"/>
      <c r="AH723" s="83"/>
      <c r="AI723" s="83"/>
      <c r="AJ723" s="84"/>
      <c r="AK723" s="84"/>
      <c r="AL723" s="84"/>
      <c r="AM723" s="84"/>
      <c r="AN723" s="84"/>
      <c r="AO723" s="84"/>
      <c r="AP723" s="84"/>
      <c r="AQ723" s="95" t="s">
        <v>695</v>
      </c>
      <c r="AR723" s="72"/>
      <c r="AS723" s="72"/>
      <c r="AT723" s="72"/>
      <c r="AU723" s="72"/>
      <c r="AV723" s="72"/>
      <c r="AW723" s="72"/>
      <c r="AX723" s="72"/>
      <c r="AY723" s="72"/>
      <c r="AZ723" s="72"/>
      <c r="BA723" s="72"/>
      <c r="BB723" s="16"/>
      <c r="BC723" s="72"/>
      <c r="BD723" s="20"/>
      <c r="BE723" s="378"/>
    </row>
    <row r="724" spans="1:57" s="81" customFormat="1" ht="12.95" hidden="1" customHeight="1">
      <c r="A724" s="374"/>
      <c r="B724" s="376"/>
      <c r="C724" s="248" t="s">
        <v>1432</v>
      </c>
      <c r="D724" s="239" t="s">
        <v>4485</v>
      </c>
      <c r="E724" s="58"/>
      <c r="F724" s="59" t="s">
        <v>4486</v>
      </c>
      <c r="G724" s="191" t="s">
        <v>2511</v>
      </c>
      <c r="H724" s="192" t="s">
        <v>696</v>
      </c>
      <c r="I724" s="61" t="s">
        <v>2511</v>
      </c>
      <c r="J724" s="61" t="s">
        <v>2511</v>
      </c>
      <c r="K724" s="62" t="s">
        <v>2511</v>
      </c>
      <c r="L724" s="60" t="s">
        <v>2511</v>
      </c>
      <c r="M724" s="61" t="s">
        <v>2389</v>
      </c>
      <c r="N724" s="61" t="s">
        <v>2511</v>
      </c>
      <c r="O724" s="61" t="s">
        <v>2511</v>
      </c>
      <c r="P724" s="62" t="s">
        <v>2511</v>
      </c>
      <c r="Q724" s="82"/>
      <c r="R724" s="82"/>
      <c r="S724" s="82"/>
      <c r="T724" s="82"/>
      <c r="U724" s="82"/>
      <c r="V724" s="138" t="s">
        <v>4487</v>
      </c>
      <c r="W724" s="57" t="s">
        <v>4094</v>
      </c>
      <c r="X724" s="126" t="s">
        <v>2511</v>
      </c>
      <c r="Y724" s="126" t="s">
        <v>2511</v>
      </c>
      <c r="Z724" s="57"/>
      <c r="AA724" s="57" t="s">
        <v>3661</v>
      </c>
      <c r="AB724" s="138"/>
      <c r="AC724" s="138">
        <v>0</v>
      </c>
      <c r="AD724" s="96"/>
      <c r="AE724" s="80"/>
      <c r="AF724" s="80"/>
      <c r="AG724" s="80"/>
      <c r="AH724" s="83"/>
      <c r="AI724" s="83"/>
      <c r="AJ724" s="84"/>
      <c r="AK724" s="84"/>
      <c r="AL724" s="84"/>
      <c r="AM724" s="84"/>
      <c r="AN724" s="84"/>
      <c r="AO724" s="84"/>
      <c r="AP724" s="84"/>
      <c r="AQ724" s="95" t="s">
        <v>696</v>
      </c>
      <c r="AR724" s="72"/>
      <c r="AS724" s="72"/>
      <c r="AT724" s="72"/>
      <c r="AU724" s="72"/>
      <c r="AV724" s="72"/>
      <c r="AW724" s="72"/>
      <c r="AX724" s="72"/>
      <c r="AY724" s="72"/>
      <c r="AZ724" s="72"/>
      <c r="BA724" s="72"/>
      <c r="BB724" s="16"/>
      <c r="BC724" s="72"/>
      <c r="BD724" s="20"/>
      <c r="BE724" s="378"/>
    </row>
    <row r="725" spans="1:57" s="81" customFormat="1" ht="12.95" hidden="1" customHeight="1">
      <c r="A725" s="374"/>
      <c r="B725" s="376"/>
      <c r="C725" s="248" t="s">
        <v>1433</v>
      </c>
      <c r="D725" s="239" t="s">
        <v>4488</v>
      </c>
      <c r="E725" s="58"/>
      <c r="F725" s="59" t="s">
        <v>4489</v>
      </c>
      <c r="G725" s="191" t="s">
        <v>2511</v>
      </c>
      <c r="H725" s="192" t="s">
        <v>697</v>
      </c>
      <c r="I725" s="61" t="s">
        <v>2511</v>
      </c>
      <c r="J725" s="61" t="s">
        <v>2511</v>
      </c>
      <c r="K725" s="62" t="s">
        <v>2511</v>
      </c>
      <c r="L725" s="60" t="s">
        <v>2511</v>
      </c>
      <c r="M725" s="61" t="s">
        <v>2389</v>
      </c>
      <c r="N725" s="61" t="s">
        <v>2511</v>
      </c>
      <c r="O725" s="61" t="s">
        <v>2511</v>
      </c>
      <c r="P725" s="62" t="s">
        <v>2511</v>
      </c>
      <c r="Q725" s="82"/>
      <c r="R725" s="82"/>
      <c r="S725" s="82"/>
      <c r="T725" s="82"/>
      <c r="U725" s="82"/>
      <c r="V725" s="138" t="s">
        <v>4490</v>
      </c>
      <c r="W725" s="57" t="s">
        <v>4094</v>
      </c>
      <c r="X725" s="126" t="s">
        <v>2511</v>
      </c>
      <c r="Y725" s="126" t="s">
        <v>2511</v>
      </c>
      <c r="Z725" s="57"/>
      <c r="AA725" s="57" t="s">
        <v>3661</v>
      </c>
      <c r="AB725" s="138"/>
      <c r="AC725" s="138" t="s">
        <v>2631</v>
      </c>
      <c r="AD725" s="96"/>
      <c r="AE725" s="80"/>
      <c r="AF725" s="80"/>
      <c r="AG725" s="80"/>
      <c r="AH725" s="83"/>
      <c r="AI725" s="83"/>
      <c r="AJ725" s="84"/>
      <c r="AK725" s="84"/>
      <c r="AL725" s="84"/>
      <c r="AM725" s="84"/>
      <c r="AN725" s="84"/>
      <c r="AO725" s="84"/>
      <c r="AP725" s="84"/>
      <c r="AQ725" s="95" t="s">
        <v>697</v>
      </c>
      <c r="AR725" s="72"/>
      <c r="AS725" s="72"/>
      <c r="AT725" s="72"/>
      <c r="AU725" s="72"/>
      <c r="AV725" s="72"/>
      <c r="AW725" s="72"/>
      <c r="AX725" s="72"/>
      <c r="AY725" s="72"/>
      <c r="AZ725" s="72"/>
      <c r="BA725" s="72"/>
      <c r="BB725" s="16"/>
      <c r="BC725" s="72"/>
      <c r="BD725" s="20"/>
      <c r="BE725" s="378"/>
    </row>
    <row r="726" spans="1:57" s="81" customFormat="1" ht="12.95" hidden="1" customHeight="1">
      <c r="A726" s="374"/>
      <c r="B726" s="376"/>
      <c r="C726" s="248" t="s">
        <v>1434</v>
      </c>
      <c r="D726" s="239" t="s">
        <v>4491</v>
      </c>
      <c r="E726" s="58"/>
      <c r="F726" s="59" t="s">
        <v>4492</v>
      </c>
      <c r="G726" s="191" t="s">
        <v>2511</v>
      </c>
      <c r="H726" s="192" t="s">
        <v>698</v>
      </c>
      <c r="I726" s="61" t="s">
        <v>2511</v>
      </c>
      <c r="J726" s="61" t="s">
        <v>2511</v>
      </c>
      <c r="K726" s="62" t="s">
        <v>2511</v>
      </c>
      <c r="L726" s="60" t="s">
        <v>2511</v>
      </c>
      <c r="M726" s="61" t="s">
        <v>2389</v>
      </c>
      <c r="N726" s="61" t="s">
        <v>2511</v>
      </c>
      <c r="O726" s="61" t="s">
        <v>2511</v>
      </c>
      <c r="P726" s="62" t="s">
        <v>2511</v>
      </c>
      <c r="Q726" s="82"/>
      <c r="R726" s="82"/>
      <c r="S726" s="82"/>
      <c r="T726" s="82"/>
      <c r="U726" s="82"/>
      <c r="V726" s="138" t="s">
        <v>4493</v>
      </c>
      <c r="W726" s="57" t="s">
        <v>4094</v>
      </c>
      <c r="X726" s="126" t="s">
        <v>2511</v>
      </c>
      <c r="Y726" s="126" t="s">
        <v>2511</v>
      </c>
      <c r="Z726" s="57"/>
      <c r="AA726" s="57" t="s">
        <v>3661</v>
      </c>
      <c r="AB726" s="138"/>
      <c r="AC726" s="138" t="s">
        <v>2631</v>
      </c>
      <c r="AD726" s="96"/>
      <c r="AE726" s="80"/>
      <c r="AF726" s="80"/>
      <c r="AG726" s="80"/>
      <c r="AH726" s="83"/>
      <c r="AI726" s="83"/>
      <c r="AJ726" s="84"/>
      <c r="AK726" s="84"/>
      <c r="AL726" s="84"/>
      <c r="AM726" s="84"/>
      <c r="AN726" s="84"/>
      <c r="AO726" s="84"/>
      <c r="AP726" s="84"/>
      <c r="AQ726" s="95" t="s">
        <v>698</v>
      </c>
      <c r="AR726" s="72"/>
      <c r="AS726" s="72"/>
      <c r="AT726" s="72"/>
      <c r="AU726" s="72"/>
      <c r="AV726" s="72"/>
      <c r="AW726" s="72"/>
      <c r="AX726" s="72"/>
      <c r="AY726" s="72"/>
      <c r="AZ726" s="72"/>
      <c r="BA726" s="72"/>
      <c r="BB726" s="16"/>
      <c r="BC726" s="72"/>
      <c r="BD726" s="20"/>
      <c r="BE726" s="378"/>
    </row>
    <row r="727" spans="1:57" s="81" customFormat="1" ht="12.95" hidden="1" customHeight="1">
      <c r="A727" s="374"/>
      <c r="B727" s="376"/>
      <c r="C727" s="248" t="s">
        <v>1435</v>
      </c>
      <c r="D727" s="239" t="s">
        <v>4494</v>
      </c>
      <c r="E727" s="58"/>
      <c r="F727" s="59" t="s">
        <v>4495</v>
      </c>
      <c r="G727" s="191" t="s">
        <v>2511</v>
      </c>
      <c r="H727" s="192" t="s">
        <v>699</v>
      </c>
      <c r="I727" s="61" t="s">
        <v>2511</v>
      </c>
      <c r="J727" s="61" t="s">
        <v>2511</v>
      </c>
      <c r="K727" s="62" t="s">
        <v>2511</v>
      </c>
      <c r="L727" s="60" t="s">
        <v>2511</v>
      </c>
      <c r="M727" s="61" t="s">
        <v>2389</v>
      </c>
      <c r="N727" s="61" t="s">
        <v>2511</v>
      </c>
      <c r="O727" s="61" t="s">
        <v>2511</v>
      </c>
      <c r="P727" s="62" t="s">
        <v>2511</v>
      </c>
      <c r="Q727" s="82"/>
      <c r="R727" s="82"/>
      <c r="S727" s="82"/>
      <c r="T727" s="82"/>
      <c r="U727" s="82"/>
      <c r="V727" s="138" t="s">
        <v>4496</v>
      </c>
      <c r="W727" s="57" t="s">
        <v>4094</v>
      </c>
      <c r="X727" s="126" t="s">
        <v>2511</v>
      </c>
      <c r="Y727" s="126" t="s">
        <v>2511</v>
      </c>
      <c r="Z727" s="57"/>
      <c r="AA727" s="57" t="s">
        <v>3661</v>
      </c>
      <c r="AB727" s="138"/>
      <c r="AC727" s="138" t="s">
        <v>2631</v>
      </c>
      <c r="AD727" s="96"/>
      <c r="AE727" s="80"/>
      <c r="AF727" s="80"/>
      <c r="AG727" s="80"/>
      <c r="AH727" s="83"/>
      <c r="AI727" s="83"/>
      <c r="AJ727" s="84"/>
      <c r="AK727" s="84"/>
      <c r="AL727" s="84"/>
      <c r="AM727" s="84"/>
      <c r="AN727" s="84"/>
      <c r="AO727" s="84"/>
      <c r="AP727" s="84"/>
      <c r="AQ727" s="95" t="s">
        <v>699</v>
      </c>
      <c r="AR727" s="72"/>
      <c r="AS727" s="72"/>
      <c r="AT727" s="72"/>
      <c r="AU727" s="72"/>
      <c r="AV727" s="72"/>
      <c r="AW727" s="72"/>
      <c r="AX727" s="72"/>
      <c r="AY727" s="72"/>
      <c r="AZ727" s="72"/>
      <c r="BA727" s="72"/>
      <c r="BB727" s="16"/>
      <c r="BC727" s="72"/>
      <c r="BD727" s="20"/>
      <c r="BE727" s="378"/>
    </row>
    <row r="728" spans="1:57" s="81" customFormat="1" ht="12.95" hidden="1" customHeight="1">
      <c r="A728" s="374"/>
      <c r="B728" s="376"/>
      <c r="C728" s="248" t="s">
        <v>1436</v>
      </c>
      <c r="D728" s="239" t="s">
        <v>4497</v>
      </c>
      <c r="E728" s="58"/>
      <c r="F728" s="59" t="s">
        <v>4498</v>
      </c>
      <c r="G728" s="191" t="s">
        <v>2511</v>
      </c>
      <c r="H728" s="192" t="s">
        <v>700</v>
      </c>
      <c r="I728" s="61" t="s">
        <v>2511</v>
      </c>
      <c r="J728" s="61" t="s">
        <v>2511</v>
      </c>
      <c r="K728" s="62" t="s">
        <v>2511</v>
      </c>
      <c r="L728" s="60" t="s">
        <v>2511</v>
      </c>
      <c r="M728" s="61" t="s">
        <v>2389</v>
      </c>
      <c r="N728" s="61" t="s">
        <v>2511</v>
      </c>
      <c r="O728" s="61" t="s">
        <v>2511</v>
      </c>
      <c r="P728" s="62" t="s">
        <v>2511</v>
      </c>
      <c r="Q728" s="82"/>
      <c r="R728" s="82"/>
      <c r="S728" s="82"/>
      <c r="T728" s="82"/>
      <c r="U728" s="82"/>
      <c r="V728" s="138" t="s">
        <v>4499</v>
      </c>
      <c r="W728" s="57" t="s">
        <v>4094</v>
      </c>
      <c r="X728" s="126" t="s">
        <v>2511</v>
      </c>
      <c r="Y728" s="126" t="s">
        <v>2511</v>
      </c>
      <c r="Z728" s="57"/>
      <c r="AA728" s="57" t="s">
        <v>3661</v>
      </c>
      <c r="AB728" s="138"/>
      <c r="AC728" s="138" t="s">
        <v>2631</v>
      </c>
      <c r="AD728" s="96"/>
      <c r="AE728" s="80"/>
      <c r="AF728" s="80"/>
      <c r="AG728" s="80"/>
      <c r="AH728" s="83"/>
      <c r="AI728" s="83"/>
      <c r="AJ728" s="84"/>
      <c r="AK728" s="84"/>
      <c r="AL728" s="84"/>
      <c r="AM728" s="84"/>
      <c r="AN728" s="84"/>
      <c r="AO728" s="84"/>
      <c r="AP728" s="84"/>
      <c r="AQ728" s="95" t="s">
        <v>700</v>
      </c>
      <c r="AR728" s="72"/>
      <c r="AS728" s="72"/>
      <c r="AT728" s="72"/>
      <c r="AU728" s="72"/>
      <c r="AV728" s="72"/>
      <c r="AW728" s="72"/>
      <c r="AX728" s="72"/>
      <c r="AY728" s="72"/>
      <c r="AZ728" s="72"/>
      <c r="BA728" s="72"/>
      <c r="BB728" s="16"/>
      <c r="BC728" s="72"/>
      <c r="BD728" s="20"/>
      <c r="BE728" s="378"/>
    </row>
    <row r="729" spans="1:57" s="81" customFormat="1" ht="12.95" hidden="1" customHeight="1">
      <c r="A729" s="374"/>
      <c r="B729" s="376"/>
      <c r="C729" s="248" t="s">
        <v>1437</v>
      </c>
      <c r="D729" s="239" t="s">
        <v>4500</v>
      </c>
      <c r="E729" s="58"/>
      <c r="F729" s="59" t="s">
        <v>4501</v>
      </c>
      <c r="G729" s="191" t="s">
        <v>2511</v>
      </c>
      <c r="H729" s="192" t="s">
        <v>701</v>
      </c>
      <c r="I729" s="61" t="s">
        <v>2511</v>
      </c>
      <c r="J729" s="61" t="s">
        <v>2511</v>
      </c>
      <c r="K729" s="62" t="s">
        <v>2511</v>
      </c>
      <c r="L729" s="60" t="s">
        <v>2511</v>
      </c>
      <c r="M729" s="61" t="s">
        <v>2389</v>
      </c>
      <c r="N729" s="61" t="s">
        <v>2511</v>
      </c>
      <c r="O729" s="61" t="s">
        <v>2511</v>
      </c>
      <c r="P729" s="62" t="s">
        <v>2511</v>
      </c>
      <c r="Q729" s="82"/>
      <c r="R729" s="82"/>
      <c r="S729" s="82"/>
      <c r="T729" s="82"/>
      <c r="U729" s="82"/>
      <c r="V729" s="138" t="s">
        <v>4502</v>
      </c>
      <c r="W729" s="57" t="s">
        <v>4094</v>
      </c>
      <c r="X729" s="126" t="s">
        <v>2511</v>
      </c>
      <c r="Y729" s="126" t="s">
        <v>2511</v>
      </c>
      <c r="Z729" s="57"/>
      <c r="AA729" s="57" t="s">
        <v>3661</v>
      </c>
      <c r="AB729" s="138"/>
      <c r="AC729" s="138" t="s">
        <v>2631</v>
      </c>
      <c r="AD729" s="96"/>
      <c r="AE729" s="80"/>
      <c r="AF729" s="80"/>
      <c r="AG729" s="80"/>
      <c r="AH729" s="83"/>
      <c r="AI729" s="83"/>
      <c r="AJ729" s="84"/>
      <c r="AK729" s="84"/>
      <c r="AL729" s="84"/>
      <c r="AM729" s="84"/>
      <c r="AN729" s="84"/>
      <c r="AO729" s="84"/>
      <c r="AP729" s="84"/>
      <c r="AQ729" s="95" t="s">
        <v>701</v>
      </c>
      <c r="AR729" s="72"/>
      <c r="AS729" s="72"/>
      <c r="AT729" s="72"/>
      <c r="AU729" s="72"/>
      <c r="AV729" s="72"/>
      <c r="AW729" s="72"/>
      <c r="AX729" s="72"/>
      <c r="AY729" s="72"/>
      <c r="AZ729" s="72"/>
      <c r="BA729" s="72"/>
      <c r="BB729" s="16"/>
      <c r="BC729" s="72"/>
      <c r="BD729" s="20"/>
      <c r="BE729" s="378"/>
    </row>
    <row r="730" spans="1:57" s="81" customFormat="1" ht="12.95" hidden="1" customHeight="1">
      <c r="A730" s="374"/>
      <c r="B730" s="376"/>
      <c r="C730" s="248" t="s">
        <v>1438</v>
      </c>
      <c r="D730" s="239" t="s">
        <v>4503</v>
      </c>
      <c r="E730" s="58"/>
      <c r="F730" s="59" t="s">
        <v>4504</v>
      </c>
      <c r="G730" s="191" t="s">
        <v>2511</v>
      </c>
      <c r="H730" s="192" t="s">
        <v>702</v>
      </c>
      <c r="I730" s="61" t="s">
        <v>2511</v>
      </c>
      <c r="J730" s="61" t="s">
        <v>2511</v>
      </c>
      <c r="K730" s="62" t="s">
        <v>2511</v>
      </c>
      <c r="L730" s="60" t="s">
        <v>2511</v>
      </c>
      <c r="M730" s="61" t="s">
        <v>2389</v>
      </c>
      <c r="N730" s="61" t="s">
        <v>2511</v>
      </c>
      <c r="O730" s="61" t="s">
        <v>2511</v>
      </c>
      <c r="P730" s="62" t="s">
        <v>2511</v>
      </c>
      <c r="Q730" s="82"/>
      <c r="R730" s="82"/>
      <c r="S730" s="82"/>
      <c r="T730" s="82"/>
      <c r="U730" s="82"/>
      <c r="V730" s="138" t="s">
        <v>4505</v>
      </c>
      <c r="W730" s="57" t="s">
        <v>4094</v>
      </c>
      <c r="X730" s="126" t="s">
        <v>2511</v>
      </c>
      <c r="Y730" s="126" t="s">
        <v>2511</v>
      </c>
      <c r="Z730" s="57"/>
      <c r="AA730" s="57" t="s">
        <v>3661</v>
      </c>
      <c r="AB730" s="138"/>
      <c r="AC730" s="138" t="s">
        <v>2631</v>
      </c>
      <c r="AD730" s="96"/>
      <c r="AE730" s="80"/>
      <c r="AF730" s="80"/>
      <c r="AG730" s="80"/>
      <c r="AH730" s="83"/>
      <c r="AI730" s="83"/>
      <c r="AJ730" s="84"/>
      <c r="AK730" s="84"/>
      <c r="AL730" s="84"/>
      <c r="AM730" s="84"/>
      <c r="AN730" s="84"/>
      <c r="AO730" s="84"/>
      <c r="AP730" s="84"/>
      <c r="AQ730" s="95" t="s">
        <v>702</v>
      </c>
      <c r="AR730" s="72"/>
      <c r="AS730" s="72"/>
      <c r="AT730" s="72"/>
      <c r="AU730" s="72"/>
      <c r="AV730" s="72"/>
      <c r="AW730" s="72"/>
      <c r="AX730" s="72"/>
      <c r="AY730" s="72"/>
      <c r="AZ730" s="72"/>
      <c r="BA730" s="72"/>
      <c r="BB730" s="16"/>
      <c r="BC730" s="72"/>
      <c r="BD730" s="20"/>
      <c r="BE730" s="378"/>
    </row>
    <row r="731" spans="1:57" s="81" customFormat="1" ht="12.95" hidden="1" customHeight="1">
      <c r="A731" s="374"/>
      <c r="B731" s="376"/>
      <c r="C731" s="248" t="s">
        <v>1439</v>
      </c>
      <c r="D731" s="239" t="s">
        <v>4506</v>
      </c>
      <c r="E731" s="58"/>
      <c r="F731" s="59" t="s">
        <v>4507</v>
      </c>
      <c r="G731" s="191" t="s">
        <v>2511</v>
      </c>
      <c r="H731" s="192" t="s">
        <v>703</v>
      </c>
      <c r="I731" s="61" t="s">
        <v>2511</v>
      </c>
      <c r="J731" s="61" t="s">
        <v>2511</v>
      </c>
      <c r="K731" s="62" t="s">
        <v>2511</v>
      </c>
      <c r="L731" s="60" t="s">
        <v>2511</v>
      </c>
      <c r="M731" s="61" t="s">
        <v>2389</v>
      </c>
      <c r="N731" s="61" t="s">
        <v>2511</v>
      </c>
      <c r="O731" s="61" t="s">
        <v>2511</v>
      </c>
      <c r="P731" s="62" t="s">
        <v>2511</v>
      </c>
      <c r="Q731" s="82"/>
      <c r="R731" s="82"/>
      <c r="S731" s="82"/>
      <c r="T731" s="82"/>
      <c r="U731" s="82"/>
      <c r="V731" s="138" t="s">
        <v>4508</v>
      </c>
      <c r="W731" s="57" t="s">
        <v>4094</v>
      </c>
      <c r="X731" s="126" t="s">
        <v>2511</v>
      </c>
      <c r="Y731" s="126" t="s">
        <v>2511</v>
      </c>
      <c r="Z731" s="57"/>
      <c r="AA731" s="57" t="s">
        <v>3661</v>
      </c>
      <c r="AB731" s="138"/>
      <c r="AC731" s="138" t="s">
        <v>2631</v>
      </c>
      <c r="AD731" s="96"/>
      <c r="AE731" s="80"/>
      <c r="AF731" s="80"/>
      <c r="AG731" s="80"/>
      <c r="AH731" s="83"/>
      <c r="AI731" s="83"/>
      <c r="AJ731" s="84"/>
      <c r="AK731" s="84"/>
      <c r="AL731" s="84"/>
      <c r="AM731" s="84"/>
      <c r="AN731" s="84"/>
      <c r="AO731" s="84"/>
      <c r="AP731" s="84"/>
      <c r="AQ731" s="95" t="s">
        <v>703</v>
      </c>
      <c r="AR731" s="72"/>
      <c r="AS731" s="72"/>
      <c r="AT731" s="72"/>
      <c r="AU731" s="72"/>
      <c r="AV731" s="72"/>
      <c r="AW731" s="72"/>
      <c r="AX731" s="72"/>
      <c r="AY731" s="72"/>
      <c r="AZ731" s="72"/>
      <c r="BA731" s="72"/>
      <c r="BB731" s="16"/>
      <c r="BC731" s="72"/>
      <c r="BD731" s="20"/>
      <c r="BE731" s="378"/>
    </row>
    <row r="732" spans="1:57" s="81" customFormat="1" ht="12.95" hidden="1" customHeight="1">
      <c r="A732" s="374"/>
      <c r="B732" s="376"/>
      <c r="C732" s="248" t="s">
        <v>1440</v>
      </c>
      <c r="D732" s="239" t="s">
        <v>4509</v>
      </c>
      <c r="E732" s="58"/>
      <c r="F732" s="59" t="s">
        <v>4510</v>
      </c>
      <c r="G732" s="191" t="s">
        <v>2511</v>
      </c>
      <c r="H732" s="192" t="s">
        <v>704</v>
      </c>
      <c r="I732" s="61" t="s">
        <v>2511</v>
      </c>
      <c r="J732" s="61" t="s">
        <v>2511</v>
      </c>
      <c r="K732" s="62" t="s">
        <v>2511</v>
      </c>
      <c r="L732" s="60" t="s">
        <v>2511</v>
      </c>
      <c r="M732" s="61" t="s">
        <v>2389</v>
      </c>
      <c r="N732" s="61" t="s">
        <v>2511</v>
      </c>
      <c r="O732" s="61" t="s">
        <v>2511</v>
      </c>
      <c r="P732" s="62" t="s">
        <v>2511</v>
      </c>
      <c r="Q732" s="82"/>
      <c r="R732" s="82"/>
      <c r="S732" s="82"/>
      <c r="T732" s="82"/>
      <c r="U732" s="82"/>
      <c r="V732" s="138" t="s">
        <v>4511</v>
      </c>
      <c r="W732" s="57" t="s">
        <v>4094</v>
      </c>
      <c r="X732" s="126" t="s">
        <v>2511</v>
      </c>
      <c r="Y732" s="126" t="s">
        <v>2511</v>
      </c>
      <c r="Z732" s="57"/>
      <c r="AA732" s="57" t="s">
        <v>3661</v>
      </c>
      <c r="AB732" s="138"/>
      <c r="AC732" s="138" t="s">
        <v>2631</v>
      </c>
      <c r="AD732" s="96"/>
      <c r="AE732" s="80"/>
      <c r="AF732" s="80"/>
      <c r="AG732" s="80"/>
      <c r="AH732" s="83"/>
      <c r="AI732" s="83"/>
      <c r="AJ732" s="84"/>
      <c r="AK732" s="84"/>
      <c r="AL732" s="84"/>
      <c r="AM732" s="84"/>
      <c r="AN732" s="84"/>
      <c r="AO732" s="84"/>
      <c r="AP732" s="84"/>
      <c r="AQ732" s="95" t="s">
        <v>704</v>
      </c>
      <c r="AR732" s="72"/>
      <c r="AS732" s="72"/>
      <c r="AT732" s="72"/>
      <c r="AU732" s="72"/>
      <c r="AV732" s="72"/>
      <c r="AW732" s="72"/>
      <c r="AX732" s="72"/>
      <c r="AY732" s="72"/>
      <c r="AZ732" s="72"/>
      <c r="BA732" s="72"/>
      <c r="BB732" s="16"/>
      <c r="BC732" s="72"/>
      <c r="BD732" s="20"/>
      <c r="BE732" s="378"/>
    </row>
    <row r="733" spans="1:57" s="81" customFormat="1" ht="12.95" hidden="1" customHeight="1">
      <c r="A733" s="374"/>
      <c r="B733" s="376"/>
      <c r="C733" s="248" t="s">
        <v>1441</v>
      </c>
      <c r="D733" s="239" t="s">
        <v>4512</v>
      </c>
      <c r="E733" s="58"/>
      <c r="F733" s="59" t="s">
        <v>4513</v>
      </c>
      <c r="G733" s="191" t="s">
        <v>2511</v>
      </c>
      <c r="H733" s="192" t="s">
        <v>705</v>
      </c>
      <c r="I733" s="61" t="s">
        <v>2511</v>
      </c>
      <c r="J733" s="61" t="s">
        <v>2511</v>
      </c>
      <c r="K733" s="62" t="s">
        <v>2511</v>
      </c>
      <c r="L733" s="60" t="s">
        <v>2511</v>
      </c>
      <c r="M733" s="61" t="s">
        <v>2389</v>
      </c>
      <c r="N733" s="61" t="s">
        <v>2511</v>
      </c>
      <c r="O733" s="61" t="s">
        <v>2511</v>
      </c>
      <c r="P733" s="62" t="s">
        <v>2511</v>
      </c>
      <c r="Q733" s="82"/>
      <c r="R733" s="82"/>
      <c r="S733" s="82"/>
      <c r="T733" s="82"/>
      <c r="U733" s="82"/>
      <c r="V733" s="138" t="s">
        <v>4514</v>
      </c>
      <c r="W733" s="57" t="s">
        <v>4094</v>
      </c>
      <c r="X733" s="126" t="s">
        <v>2511</v>
      </c>
      <c r="Y733" s="126" t="s">
        <v>2511</v>
      </c>
      <c r="Z733" s="57"/>
      <c r="AA733" s="57" t="s">
        <v>3661</v>
      </c>
      <c r="AB733" s="138"/>
      <c r="AC733" s="138" t="s">
        <v>2631</v>
      </c>
      <c r="AD733" s="96"/>
      <c r="AE733" s="80"/>
      <c r="AF733" s="80"/>
      <c r="AG733" s="80"/>
      <c r="AH733" s="83"/>
      <c r="AI733" s="83"/>
      <c r="AJ733" s="84"/>
      <c r="AK733" s="84"/>
      <c r="AL733" s="84"/>
      <c r="AM733" s="84"/>
      <c r="AN733" s="84"/>
      <c r="AO733" s="84"/>
      <c r="AP733" s="84"/>
      <c r="AQ733" s="95" t="s">
        <v>705</v>
      </c>
      <c r="AR733" s="72"/>
      <c r="AS733" s="72"/>
      <c r="AT733" s="72"/>
      <c r="AU733" s="72"/>
      <c r="AV733" s="72"/>
      <c r="AW733" s="72"/>
      <c r="AX733" s="72"/>
      <c r="AY733" s="72"/>
      <c r="AZ733" s="72"/>
      <c r="BA733" s="72"/>
      <c r="BB733" s="16"/>
      <c r="BC733" s="72"/>
      <c r="BD733" s="20"/>
      <c r="BE733" s="378"/>
    </row>
    <row r="734" spans="1:57" s="81" customFormat="1" ht="12.95" hidden="1" customHeight="1">
      <c r="A734" s="374"/>
      <c r="B734" s="376"/>
      <c r="C734" s="270" t="s">
        <v>1442</v>
      </c>
      <c r="D734" s="239" t="s">
        <v>4515</v>
      </c>
      <c r="E734" s="58"/>
      <c r="F734" s="59" t="s">
        <v>4516</v>
      </c>
      <c r="G734" s="191" t="s">
        <v>2511</v>
      </c>
      <c r="H734" s="192" t="s">
        <v>706</v>
      </c>
      <c r="I734" s="61" t="s">
        <v>2511</v>
      </c>
      <c r="J734" s="61" t="s">
        <v>2511</v>
      </c>
      <c r="K734" s="62" t="s">
        <v>2511</v>
      </c>
      <c r="L734" s="60" t="s">
        <v>2511</v>
      </c>
      <c r="M734" s="61" t="s">
        <v>2389</v>
      </c>
      <c r="N734" s="61" t="s">
        <v>2511</v>
      </c>
      <c r="O734" s="61" t="s">
        <v>2511</v>
      </c>
      <c r="P734" s="62" t="s">
        <v>2511</v>
      </c>
      <c r="Q734" s="82"/>
      <c r="R734" s="82"/>
      <c r="S734" s="82"/>
      <c r="T734" s="82"/>
      <c r="U734" s="82"/>
      <c r="V734" s="138" t="s">
        <v>4517</v>
      </c>
      <c r="W734" s="57" t="s">
        <v>4094</v>
      </c>
      <c r="X734" s="126" t="s">
        <v>2511</v>
      </c>
      <c r="Y734" s="126" t="s">
        <v>2511</v>
      </c>
      <c r="Z734" s="57"/>
      <c r="AA734" s="57" t="s">
        <v>3661</v>
      </c>
      <c r="AB734" s="138"/>
      <c r="AC734" s="138" t="s">
        <v>2631</v>
      </c>
      <c r="AD734" s="96"/>
      <c r="AE734" s="80"/>
      <c r="AF734" s="80"/>
      <c r="AG734" s="80"/>
      <c r="AH734" s="83"/>
      <c r="AI734" s="83"/>
      <c r="AJ734" s="84"/>
      <c r="AK734" s="84"/>
      <c r="AL734" s="84"/>
      <c r="AM734" s="84"/>
      <c r="AN734" s="84"/>
      <c r="AO734" s="84"/>
      <c r="AP734" s="84"/>
      <c r="AQ734" s="95" t="s">
        <v>706</v>
      </c>
      <c r="AR734" s="72"/>
      <c r="AS734" s="72"/>
      <c r="AT734" s="72"/>
      <c r="AU734" s="72"/>
      <c r="AV734" s="72"/>
      <c r="AW734" s="72"/>
      <c r="AX734" s="72"/>
      <c r="AY734" s="72"/>
      <c r="AZ734" s="72"/>
      <c r="BA734" s="72"/>
      <c r="BB734" s="16"/>
      <c r="BC734" s="72"/>
      <c r="BD734" s="20"/>
      <c r="BE734" s="378"/>
    </row>
    <row r="735" spans="1:57" s="81" customFormat="1" ht="12.95" hidden="1" customHeight="1">
      <c r="A735" s="374"/>
      <c r="B735" s="376"/>
      <c r="C735" s="270" t="s">
        <v>1443</v>
      </c>
      <c r="D735" s="239" t="s">
        <v>4518</v>
      </c>
      <c r="E735" s="58"/>
      <c r="F735" s="59" t="s">
        <v>4519</v>
      </c>
      <c r="G735" s="191" t="s">
        <v>2511</v>
      </c>
      <c r="H735" s="192" t="s">
        <v>707</v>
      </c>
      <c r="I735" s="61" t="s">
        <v>2511</v>
      </c>
      <c r="J735" s="61" t="s">
        <v>2511</v>
      </c>
      <c r="K735" s="62" t="s">
        <v>2511</v>
      </c>
      <c r="L735" s="60" t="s">
        <v>2511</v>
      </c>
      <c r="M735" s="61" t="s">
        <v>2389</v>
      </c>
      <c r="N735" s="61" t="s">
        <v>2511</v>
      </c>
      <c r="O735" s="61" t="s">
        <v>2511</v>
      </c>
      <c r="P735" s="62" t="s">
        <v>2511</v>
      </c>
      <c r="Q735" s="82"/>
      <c r="R735" s="82"/>
      <c r="S735" s="82"/>
      <c r="T735" s="82"/>
      <c r="U735" s="82"/>
      <c r="V735" s="138" t="s">
        <v>4520</v>
      </c>
      <c r="W735" s="57" t="s">
        <v>4094</v>
      </c>
      <c r="X735" s="126" t="s">
        <v>2511</v>
      </c>
      <c r="Y735" s="126" t="s">
        <v>2511</v>
      </c>
      <c r="Z735" s="57"/>
      <c r="AA735" s="57" t="s">
        <v>3661</v>
      </c>
      <c r="AB735" s="138"/>
      <c r="AC735" s="138" t="s">
        <v>2631</v>
      </c>
      <c r="AD735" s="96"/>
      <c r="AE735" s="80"/>
      <c r="AF735" s="80"/>
      <c r="AG735" s="80"/>
      <c r="AH735" s="83"/>
      <c r="AI735" s="83"/>
      <c r="AJ735" s="84"/>
      <c r="AK735" s="84"/>
      <c r="AL735" s="84"/>
      <c r="AM735" s="84"/>
      <c r="AN735" s="84"/>
      <c r="AO735" s="84"/>
      <c r="AP735" s="84"/>
      <c r="AQ735" s="95" t="s">
        <v>707</v>
      </c>
      <c r="AR735" s="72"/>
      <c r="AS735" s="72"/>
      <c r="AT735" s="72"/>
      <c r="AU735" s="72"/>
      <c r="AV735" s="72"/>
      <c r="AW735" s="72"/>
      <c r="AX735" s="72"/>
      <c r="AY735" s="72"/>
      <c r="AZ735" s="72"/>
      <c r="BA735" s="72"/>
      <c r="BB735" s="16"/>
      <c r="BC735" s="72"/>
      <c r="BD735" s="20"/>
      <c r="BE735" s="378"/>
    </row>
    <row r="736" spans="1:57" s="81" customFormat="1" ht="12.95" hidden="1" customHeight="1">
      <c r="A736" s="374"/>
      <c r="B736" s="376"/>
      <c r="C736" s="270" t="s">
        <v>1444</v>
      </c>
      <c r="D736" s="239" t="s">
        <v>4521</v>
      </c>
      <c r="E736" s="58"/>
      <c r="F736" s="59" t="s">
        <v>4522</v>
      </c>
      <c r="G736" s="191" t="s">
        <v>2511</v>
      </c>
      <c r="H736" s="192" t="s">
        <v>708</v>
      </c>
      <c r="I736" s="61" t="s">
        <v>2511</v>
      </c>
      <c r="J736" s="61" t="s">
        <v>2511</v>
      </c>
      <c r="K736" s="62" t="s">
        <v>2511</v>
      </c>
      <c r="L736" s="60" t="s">
        <v>2511</v>
      </c>
      <c r="M736" s="61" t="s">
        <v>2389</v>
      </c>
      <c r="N736" s="61" t="s">
        <v>2511</v>
      </c>
      <c r="O736" s="61" t="s">
        <v>2511</v>
      </c>
      <c r="P736" s="62" t="s">
        <v>2511</v>
      </c>
      <c r="Q736" s="82"/>
      <c r="R736" s="82"/>
      <c r="S736" s="82"/>
      <c r="T736" s="82"/>
      <c r="U736" s="82"/>
      <c r="V736" s="138" t="s">
        <v>4523</v>
      </c>
      <c r="W736" s="57" t="s">
        <v>4094</v>
      </c>
      <c r="X736" s="126" t="s">
        <v>2511</v>
      </c>
      <c r="Y736" s="126" t="s">
        <v>2511</v>
      </c>
      <c r="Z736" s="57"/>
      <c r="AA736" s="57" t="s">
        <v>3661</v>
      </c>
      <c r="AB736" s="138"/>
      <c r="AC736" s="138">
        <v>0</v>
      </c>
      <c r="AD736" s="96"/>
      <c r="AE736" s="80"/>
      <c r="AF736" s="80"/>
      <c r="AG736" s="80"/>
      <c r="AH736" s="83"/>
      <c r="AI736" s="83"/>
      <c r="AJ736" s="84"/>
      <c r="AK736" s="84"/>
      <c r="AL736" s="84"/>
      <c r="AM736" s="84"/>
      <c r="AN736" s="84"/>
      <c r="AO736" s="84"/>
      <c r="AP736" s="84"/>
      <c r="AQ736" s="95" t="s">
        <v>708</v>
      </c>
      <c r="AR736" s="72"/>
      <c r="AS736" s="72"/>
      <c r="AT736" s="72"/>
      <c r="AU736" s="72"/>
      <c r="AV736" s="72"/>
      <c r="AW736" s="72"/>
      <c r="AX736" s="72"/>
      <c r="AY736" s="72"/>
      <c r="AZ736" s="72"/>
      <c r="BA736" s="72"/>
      <c r="BB736" s="16"/>
      <c r="BC736" s="72"/>
      <c r="BD736" s="20"/>
      <c r="BE736" s="378"/>
    </row>
    <row r="737" spans="1:57" s="91" customFormat="1" ht="18" hidden="1" customHeight="1">
      <c r="A737" s="277"/>
      <c r="B737" s="277"/>
      <c r="C737" s="268" t="s">
        <v>1734</v>
      </c>
      <c r="D737" s="268"/>
      <c r="E737" s="86"/>
      <c r="F737" s="86"/>
      <c r="G737" s="87"/>
      <c r="H737" s="87"/>
      <c r="I737" s="87"/>
      <c r="J737" s="87"/>
      <c r="K737" s="87"/>
      <c r="L737" s="86"/>
      <c r="M737" s="86"/>
      <c r="N737" s="86"/>
      <c r="O737" s="86"/>
      <c r="P737" s="86"/>
      <c r="Q737" s="86"/>
      <c r="R737" s="86"/>
      <c r="S737" s="86"/>
      <c r="T737" s="86"/>
      <c r="U737" s="86"/>
      <c r="V737" s="86"/>
      <c r="W737" s="86"/>
      <c r="X737" s="129"/>
      <c r="Y737" s="129"/>
      <c r="Z737" s="88"/>
      <c r="AA737" s="88"/>
      <c r="AB737" s="88"/>
      <c r="AC737" s="88"/>
      <c r="AD737" s="88"/>
      <c r="AE737" s="88"/>
      <c r="AF737" s="88"/>
      <c r="AG737" s="88"/>
      <c r="AH737" s="88"/>
      <c r="AI737" s="88"/>
      <c r="AJ737" s="88"/>
      <c r="AK737" s="88"/>
      <c r="AL737" s="88"/>
      <c r="AM737" s="88"/>
      <c r="AN737" s="88"/>
      <c r="AO737" s="88"/>
      <c r="AP737" s="88"/>
      <c r="AQ737" s="89"/>
      <c r="AR737" s="89"/>
      <c r="AS737" s="90"/>
      <c r="AT737" s="90"/>
      <c r="AU737" s="90"/>
      <c r="AV737" s="90"/>
      <c r="AW737" s="90"/>
      <c r="AX737" s="90"/>
      <c r="AY737" s="90"/>
      <c r="AZ737" s="90"/>
      <c r="BA737" s="90"/>
      <c r="BB737" s="90"/>
      <c r="BC737" s="175" t="s">
        <v>478</v>
      </c>
      <c r="BD737" s="90"/>
      <c r="BE737" s="235" t="s">
        <v>1734</v>
      </c>
    </row>
    <row r="738" spans="1:57" s="81" customFormat="1" ht="12.95" hidden="1" customHeight="1">
      <c r="A738" s="249"/>
      <c r="B738" s="254"/>
      <c r="C738" s="271" t="s">
        <v>1733</v>
      </c>
      <c r="D738" s="239" t="s">
        <v>4524</v>
      </c>
      <c r="E738" s="58"/>
      <c r="F738" s="59" t="s">
        <v>4525</v>
      </c>
      <c r="G738" s="191" t="s">
        <v>2511</v>
      </c>
      <c r="H738" s="192" t="s">
        <v>885</v>
      </c>
      <c r="I738" s="61" t="s">
        <v>2511</v>
      </c>
      <c r="J738" s="61" t="s">
        <v>2511</v>
      </c>
      <c r="K738" s="62" t="s">
        <v>2511</v>
      </c>
      <c r="L738" s="60" t="s">
        <v>2511</v>
      </c>
      <c r="M738" s="61" t="s">
        <v>2389</v>
      </c>
      <c r="N738" s="61" t="s">
        <v>2511</v>
      </c>
      <c r="O738" s="61" t="s">
        <v>2511</v>
      </c>
      <c r="P738" s="62" t="s">
        <v>2511</v>
      </c>
      <c r="Q738" s="82"/>
      <c r="R738" s="82"/>
      <c r="S738" s="82"/>
      <c r="T738" s="82"/>
      <c r="U738" s="82"/>
      <c r="V738" s="138" t="s">
        <v>4526</v>
      </c>
      <c r="W738" s="57" t="s">
        <v>4527</v>
      </c>
      <c r="X738" s="126" t="s">
        <v>2511</v>
      </c>
      <c r="Y738" s="126" t="s">
        <v>2511</v>
      </c>
      <c r="Z738" s="57"/>
      <c r="AA738" s="57" t="s">
        <v>4528</v>
      </c>
      <c r="AB738" s="138"/>
      <c r="AC738" s="138">
        <v>0</v>
      </c>
      <c r="AD738" s="96"/>
      <c r="AE738" s="80"/>
      <c r="AF738" s="80"/>
      <c r="AG738" s="80"/>
      <c r="AH738" s="83"/>
      <c r="AI738" s="83"/>
      <c r="AJ738" s="84"/>
      <c r="AK738" s="84"/>
      <c r="AL738" s="84"/>
      <c r="AM738" s="84"/>
      <c r="AN738" s="84"/>
      <c r="AO738" s="84"/>
      <c r="AP738" s="84"/>
      <c r="AQ738" s="95" t="s">
        <v>885</v>
      </c>
      <c r="AR738" s="72"/>
      <c r="AS738" s="72"/>
      <c r="AT738" s="72"/>
      <c r="AU738" s="72"/>
      <c r="AV738" s="72"/>
      <c r="AW738" s="72"/>
      <c r="AX738" s="72"/>
      <c r="AY738" s="72"/>
      <c r="AZ738" s="72"/>
      <c r="BA738" s="72"/>
      <c r="BB738" s="16"/>
      <c r="BC738" s="72"/>
      <c r="BD738" s="20"/>
      <c r="BE738" s="238" t="s">
        <v>2217</v>
      </c>
    </row>
    <row r="739" spans="1:57" s="91" customFormat="1" ht="18" hidden="1" customHeight="1">
      <c r="A739" s="233"/>
      <c r="B739" s="89"/>
      <c r="C739" s="268" t="s">
        <v>1735</v>
      </c>
      <c r="D739" s="268"/>
      <c r="E739" s="86"/>
      <c r="F739" s="86"/>
      <c r="G739" s="87"/>
      <c r="H739" s="87"/>
      <c r="I739" s="87"/>
      <c r="J739" s="87"/>
      <c r="K739" s="87"/>
      <c r="L739" s="86"/>
      <c r="M739" s="86"/>
      <c r="N739" s="86"/>
      <c r="O739" s="86"/>
      <c r="P739" s="86"/>
      <c r="Q739" s="86"/>
      <c r="R739" s="86"/>
      <c r="S739" s="86"/>
      <c r="T739" s="86"/>
      <c r="U739" s="86"/>
      <c r="V739" s="86"/>
      <c r="W739" s="86"/>
      <c r="X739" s="129"/>
      <c r="Y739" s="129"/>
      <c r="Z739" s="88"/>
      <c r="AA739" s="88"/>
      <c r="AB739" s="88"/>
      <c r="AC739" s="88"/>
      <c r="AD739" s="88"/>
      <c r="AE739" s="88"/>
      <c r="AF739" s="88"/>
      <c r="AG739" s="88"/>
      <c r="AH739" s="88"/>
      <c r="AI739" s="88"/>
      <c r="AJ739" s="88"/>
      <c r="AK739" s="88"/>
      <c r="AL739" s="88"/>
      <c r="AM739" s="88"/>
      <c r="AN739" s="88"/>
      <c r="AO739" s="88"/>
      <c r="AP739" s="88"/>
      <c r="AQ739" s="89"/>
      <c r="AR739" s="89"/>
      <c r="AS739" s="90"/>
      <c r="AT739" s="90"/>
      <c r="AU739" s="90"/>
      <c r="AV739" s="90"/>
      <c r="AW739" s="90"/>
      <c r="AX739" s="90"/>
      <c r="AY739" s="90"/>
      <c r="AZ739" s="90"/>
      <c r="BA739" s="90"/>
      <c r="BB739" s="90"/>
      <c r="BC739" s="175" t="s">
        <v>2153</v>
      </c>
      <c r="BD739" s="90"/>
      <c r="BE739" s="233" t="s">
        <v>1735</v>
      </c>
    </row>
    <row r="740" spans="1:57" s="81" customFormat="1" ht="12.95" hidden="1" customHeight="1">
      <c r="A740" s="373"/>
      <c r="B740" s="375"/>
      <c r="C740" s="248" t="s">
        <v>1589</v>
      </c>
      <c r="D740" s="239" t="s">
        <v>4529</v>
      </c>
      <c r="E740" s="58"/>
      <c r="F740" s="59" t="s">
        <v>4530</v>
      </c>
      <c r="G740" s="191" t="s">
        <v>2511</v>
      </c>
      <c r="H740" s="192" t="s">
        <v>1859</v>
      </c>
      <c r="I740" s="61" t="s">
        <v>2511</v>
      </c>
      <c r="J740" s="61" t="s">
        <v>2511</v>
      </c>
      <c r="K740" s="62" t="s">
        <v>2511</v>
      </c>
      <c r="L740" s="60" t="s">
        <v>2511</v>
      </c>
      <c r="M740" s="61" t="s">
        <v>2389</v>
      </c>
      <c r="N740" s="61" t="s">
        <v>2511</v>
      </c>
      <c r="O740" s="61" t="s">
        <v>2511</v>
      </c>
      <c r="P740" s="62" t="s">
        <v>2511</v>
      </c>
      <c r="Q740" s="82"/>
      <c r="R740" s="82"/>
      <c r="S740" s="82"/>
      <c r="T740" s="82"/>
      <c r="U740" s="82"/>
      <c r="V740" s="138" t="s">
        <v>4531</v>
      </c>
      <c r="W740" s="57" t="s">
        <v>4532</v>
      </c>
      <c r="X740" s="126" t="s">
        <v>2511</v>
      </c>
      <c r="Y740" s="126" t="s">
        <v>2511</v>
      </c>
      <c r="Z740" s="57"/>
      <c r="AA740" s="57" t="s">
        <v>4533</v>
      </c>
      <c r="AB740" s="137"/>
      <c r="AC740" s="137" t="s">
        <v>2631</v>
      </c>
      <c r="AD740" s="92"/>
      <c r="AE740" s="93"/>
      <c r="AF740" s="93"/>
      <c r="AG740" s="93"/>
      <c r="AH740" s="94"/>
      <c r="AI740" s="83"/>
      <c r="AJ740" s="84"/>
      <c r="AK740" s="84"/>
      <c r="AL740" s="84"/>
      <c r="AM740" s="84"/>
      <c r="AN740" s="84"/>
      <c r="AO740" s="84"/>
      <c r="AP740" s="84"/>
      <c r="AQ740" s="95" t="s">
        <v>1859</v>
      </c>
      <c r="AR740" s="72"/>
      <c r="AS740" s="72"/>
      <c r="AT740" s="72"/>
      <c r="AU740" s="72"/>
      <c r="AV740" s="72"/>
      <c r="AW740" s="72"/>
      <c r="AX740" s="72"/>
      <c r="AY740" s="72"/>
      <c r="AZ740" s="72"/>
      <c r="BA740" s="72"/>
      <c r="BB740" s="16"/>
      <c r="BC740" s="22"/>
      <c r="BD740" s="19"/>
      <c r="BE740" s="377" t="s">
        <v>2216</v>
      </c>
    </row>
    <row r="741" spans="1:57" s="81" customFormat="1" ht="12.95" hidden="1" customHeight="1">
      <c r="A741" s="374"/>
      <c r="B741" s="376"/>
      <c r="C741" s="248" t="s">
        <v>1590</v>
      </c>
      <c r="D741" s="239" t="s">
        <v>4534</v>
      </c>
      <c r="E741" s="58"/>
      <c r="F741" s="59" t="s">
        <v>4535</v>
      </c>
      <c r="G741" s="191" t="s">
        <v>2511</v>
      </c>
      <c r="H741" s="192" t="s">
        <v>1860</v>
      </c>
      <c r="I741" s="61" t="s">
        <v>2511</v>
      </c>
      <c r="J741" s="61" t="s">
        <v>2511</v>
      </c>
      <c r="K741" s="62" t="s">
        <v>2511</v>
      </c>
      <c r="L741" s="60" t="s">
        <v>2511</v>
      </c>
      <c r="M741" s="61" t="s">
        <v>2389</v>
      </c>
      <c r="N741" s="61" t="s">
        <v>2511</v>
      </c>
      <c r="O741" s="61" t="s">
        <v>2511</v>
      </c>
      <c r="P741" s="62" t="s">
        <v>2511</v>
      </c>
      <c r="Q741" s="82"/>
      <c r="R741" s="82"/>
      <c r="S741" s="82"/>
      <c r="T741" s="82"/>
      <c r="U741" s="82"/>
      <c r="V741" s="138" t="s">
        <v>4536</v>
      </c>
      <c r="W741" s="57" t="s">
        <v>4532</v>
      </c>
      <c r="X741" s="126" t="s">
        <v>2511</v>
      </c>
      <c r="Y741" s="126" t="s">
        <v>2511</v>
      </c>
      <c r="Z741" s="57"/>
      <c r="AA741" s="57" t="s">
        <v>4533</v>
      </c>
      <c r="AB741" s="138"/>
      <c r="AC741" s="138" t="s">
        <v>2631</v>
      </c>
      <c r="AD741" s="96"/>
      <c r="AE741" s="80"/>
      <c r="AF741" s="80"/>
      <c r="AG741" s="80"/>
      <c r="AH741" s="83"/>
      <c r="AI741" s="83"/>
      <c r="AJ741" s="84"/>
      <c r="AK741" s="84"/>
      <c r="AL741" s="84"/>
      <c r="AM741" s="84"/>
      <c r="AN741" s="84"/>
      <c r="AO741" s="84"/>
      <c r="AP741" s="84"/>
      <c r="AQ741" s="95" t="s">
        <v>1860</v>
      </c>
      <c r="AR741" s="72"/>
      <c r="AS741" s="72"/>
      <c r="AT741" s="72"/>
      <c r="AU741" s="72"/>
      <c r="AV741" s="72"/>
      <c r="AW741" s="72"/>
      <c r="AX741" s="72"/>
      <c r="AY741" s="72"/>
      <c r="AZ741" s="72"/>
      <c r="BA741" s="72"/>
      <c r="BB741" s="16"/>
      <c r="BC741" s="72"/>
      <c r="BD741" s="20"/>
      <c r="BE741" s="378"/>
    </row>
    <row r="742" spans="1:57" s="81" customFormat="1" ht="12.95" hidden="1" customHeight="1">
      <c r="A742" s="374"/>
      <c r="B742" s="376"/>
      <c r="C742" s="248" t="s">
        <v>1591</v>
      </c>
      <c r="D742" s="239" t="s">
        <v>4537</v>
      </c>
      <c r="E742" s="58"/>
      <c r="F742" s="59" t="s">
        <v>4538</v>
      </c>
      <c r="G742" s="191" t="s">
        <v>2511</v>
      </c>
      <c r="H742" s="192" t="s">
        <v>1861</v>
      </c>
      <c r="I742" s="61" t="s">
        <v>2511</v>
      </c>
      <c r="J742" s="61" t="s">
        <v>2511</v>
      </c>
      <c r="K742" s="62" t="s">
        <v>2511</v>
      </c>
      <c r="L742" s="60" t="s">
        <v>2511</v>
      </c>
      <c r="M742" s="61" t="s">
        <v>2389</v>
      </c>
      <c r="N742" s="61" t="s">
        <v>2511</v>
      </c>
      <c r="O742" s="61" t="s">
        <v>2511</v>
      </c>
      <c r="P742" s="62" t="s">
        <v>2511</v>
      </c>
      <c r="Q742" s="82"/>
      <c r="R742" s="82"/>
      <c r="S742" s="82"/>
      <c r="T742" s="82"/>
      <c r="U742" s="82"/>
      <c r="V742" s="138" t="s">
        <v>4539</v>
      </c>
      <c r="W742" s="57" t="s">
        <v>4532</v>
      </c>
      <c r="X742" s="126" t="s">
        <v>2511</v>
      </c>
      <c r="Y742" s="126" t="s">
        <v>2511</v>
      </c>
      <c r="Z742" s="57"/>
      <c r="AA742" s="57" t="s">
        <v>4533</v>
      </c>
      <c r="AB742" s="138"/>
      <c r="AC742" s="138" t="s">
        <v>2631</v>
      </c>
      <c r="AD742" s="96"/>
      <c r="AE742" s="80"/>
      <c r="AF742" s="80"/>
      <c r="AG742" s="80"/>
      <c r="AH742" s="83"/>
      <c r="AI742" s="83"/>
      <c r="AJ742" s="84"/>
      <c r="AK742" s="84"/>
      <c r="AL742" s="84"/>
      <c r="AM742" s="84"/>
      <c r="AN742" s="84"/>
      <c r="AO742" s="84"/>
      <c r="AP742" s="84"/>
      <c r="AQ742" s="95" t="s">
        <v>1861</v>
      </c>
      <c r="AR742" s="72"/>
      <c r="AS742" s="72"/>
      <c r="AT742" s="72"/>
      <c r="AU742" s="72"/>
      <c r="AV742" s="72"/>
      <c r="AW742" s="72"/>
      <c r="AX742" s="72"/>
      <c r="AY742" s="72"/>
      <c r="AZ742" s="72"/>
      <c r="BA742" s="72"/>
      <c r="BB742" s="16"/>
      <c r="BC742" s="72"/>
      <c r="BD742" s="20"/>
      <c r="BE742" s="378"/>
    </row>
    <row r="743" spans="1:57" s="81" customFormat="1" ht="12.95" hidden="1" customHeight="1">
      <c r="A743" s="374"/>
      <c r="B743" s="376"/>
      <c r="C743" s="248" t="s">
        <v>1592</v>
      </c>
      <c r="D743" s="239" t="s">
        <v>4540</v>
      </c>
      <c r="E743" s="58"/>
      <c r="F743" s="59" t="s">
        <v>4541</v>
      </c>
      <c r="G743" s="191" t="s">
        <v>2511</v>
      </c>
      <c r="H743" s="192" t="s">
        <v>1862</v>
      </c>
      <c r="I743" s="61" t="s">
        <v>2511</v>
      </c>
      <c r="J743" s="61" t="s">
        <v>2511</v>
      </c>
      <c r="K743" s="62" t="s">
        <v>2511</v>
      </c>
      <c r="L743" s="60" t="s">
        <v>2511</v>
      </c>
      <c r="M743" s="61" t="s">
        <v>2389</v>
      </c>
      <c r="N743" s="61" t="s">
        <v>2511</v>
      </c>
      <c r="O743" s="61" t="s">
        <v>2511</v>
      </c>
      <c r="P743" s="62" t="s">
        <v>2511</v>
      </c>
      <c r="Q743" s="82"/>
      <c r="R743" s="82"/>
      <c r="S743" s="82"/>
      <c r="T743" s="82"/>
      <c r="U743" s="82"/>
      <c r="V743" s="138" t="s">
        <v>4542</v>
      </c>
      <c r="W743" s="57" t="s">
        <v>4532</v>
      </c>
      <c r="X743" s="126" t="s">
        <v>2511</v>
      </c>
      <c r="Y743" s="126" t="s">
        <v>2511</v>
      </c>
      <c r="Z743" s="57"/>
      <c r="AA743" s="57" t="s">
        <v>4533</v>
      </c>
      <c r="AB743" s="138"/>
      <c r="AC743" s="138" t="s">
        <v>2631</v>
      </c>
      <c r="AD743" s="96"/>
      <c r="AE743" s="80"/>
      <c r="AF743" s="80"/>
      <c r="AG743" s="80"/>
      <c r="AH743" s="83"/>
      <c r="AI743" s="83"/>
      <c r="AJ743" s="84"/>
      <c r="AK743" s="84"/>
      <c r="AL743" s="84"/>
      <c r="AM743" s="84"/>
      <c r="AN743" s="84"/>
      <c r="AO743" s="84"/>
      <c r="AP743" s="84"/>
      <c r="AQ743" s="95" t="s">
        <v>1862</v>
      </c>
      <c r="AR743" s="72"/>
      <c r="AS743" s="72"/>
      <c r="AT743" s="72"/>
      <c r="AU743" s="72"/>
      <c r="AV743" s="72"/>
      <c r="AW743" s="72"/>
      <c r="AX743" s="72"/>
      <c r="AY743" s="72"/>
      <c r="AZ743" s="72"/>
      <c r="BA743" s="72"/>
      <c r="BB743" s="16"/>
      <c r="BC743" s="72"/>
      <c r="BD743" s="20"/>
      <c r="BE743" s="378"/>
    </row>
    <row r="744" spans="1:57" s="81" customFormat="1" ht="12.95" hidden="1" customHeight="1">
      <c r="A744" s="374"/>
      <c r="B744" s="376"/>
      <c r="C744" s="248" t="s">
        <v>1593</v>
      </c>
      <c r="D744" s="239" t="s">
        <v>4543</v>
      </c>
      <c r="E744" s="58"/>
      <c r="F744" s="59" t="s">
        <v>4544</v>
      </c>
      <c r="G744" s="191" t="s">
        <v>2511</v>
      </c>
      <c r="H744" s="192" t="s">
        <v>1863</v>
      </c>
      <c r="I744" s="61" t="s">
        <v>2511</v>
      </c>
      <c r="J744" s="61" t="s">
        <v>2511</v>
      </c>
      <c r="K744" s="62" t="s">
        <v>2511</v>
      </c>
      <c r="L744" s="60" t="s">
        <v>2511</v>
      </c>
      <c r="M744" s="61" t="s">
        <v>2389</v>
      </c>
      <c r="N744" s="61" t="s">
        <v>2511</v>
      </c>
      <c r="O744" s="61" t="s">
        <v>2511</v>
      </c>
      <c r="P744" s="62" t="s">
        <v>2511</v>
      </c>
      <c r="Q744" s="82"/>
      <c r="R744" s="82"/>
      <c r="S744" s="82"/>
      <c r="T744" s="82"/>
      <c r="U744" s="82"/>
      <c r="V744" s="138" t="s">
        <v>4545</v>
      </c>
      <c r="W744" s="57" t="s">
        <v>4532</v>
      </c>
      <c r="X744" s="126" t="s">
        <v>2511</v>
      </c>
      <c r="Y744" s="126" t="s">
        <v>2511</v>
      </c>
      <c r="Z744" s="57"/>
      <c r="AA744" s="57" t="s">
        <v>4533</v>
      </c>
      <c r="AB744" s="138"/>
      <c r="AC744" s="138" t="s">
        <v>2631</v>
      </c>
      <c r="AD744" s="96"/>
      <c r="AE744" s="80"/>
      <c r="AF744" s="80"/>
      <c r="AG744" s="80"/>
      <c r="AH744" s="83"/>
      <c r="AI744" s="83"/>
      <c r="AJ744" s="84"/>
      <c r="AK744" s="84"/>
      <c r="AL744" s="84"/>
      <c r="AM744" s="84"/>
      <c r="AN744" s="84"/>
      <c r="AO744" s="84"/>
      <c r="AP744" s="84"/>
      <c r="AQ744" s="95" t="s">
        <v>1863</v>
      </c>
      <c r="AR744" s="72"/>
      <c r="AS744" s="72"/>
      <c r="AT744" s="72"/>
      <c r="AU744" s="72"/>
      <c r="AV744" s="72"/>
      <c r="AW744" s="72"/>
      <c r="AX744" s="72"/>
      <c r="AY744" s="72"/>
      <c r="AZ744" s="72"/>
      <c r="BA744" s="72"/>
      <c r="BB744" s="16"/>
      <c r="BC744" s="72"/>
      <c r="BD744" s="20"/>
      <c r="BE744" s="378"/>
    </row>
    <row r="745" spans="1:57" s="81" customFormat="1" ht="12.95" hidden="1" customHeight="1">
      <c r="A745" s="374"/>
      <c r="B745" s="376"/>
      <c r="C745" s="248" t="s">
        <v>1594</v>
      </c>
      <c r="D745" s="239" t="s">
        <v>4546</v>
      </c>
      <c r="E745" s="58"/>
      <c r="F745" s="59" t="s">
        <v>4547</v>
      </c>
      <c r="G745" s="191" t="s">
        <v>2511</v>
      </c>
      <c r="H745" s="192" t="s">
        <v>1864</v>
      </c>
      <c r="I745" s="61" t="s">
        <v>2511</v>
      </c>
      <c r="J745" s="61" t="s">
        <v>2511</v>
      </c>
      <c r="K745" s="62" t="s">
        <v>2511</v>
      </c>
      <c r="L745" s="60" t="s">
        <v>2511</v>
      </c>
      <c r="M745" s="61" t="s">
        <v>2389</v>
      </c>
      <c r="N745" s="61" t="s">
        <v>2511</v>
      </c>
      <c r="O745" s="61" t="s">
        <v>2511</v>
      </c>
      <c r="P745" s="62" t="s">
        <v>2511</v>
      </c>
      <c r="Q745" s="82"/>
      <c r="R745" s="82"/>
      <c r="S745" s="82"/>
      <c r="T745" s="82"/>
      <c r="U745" s="82"/>
      <c r="V745" s="138" t="s">
        <v>4548</v>
      </c>
      <c r="W745" s="57" t="s">
        <v>4532</v>
      </c>
      <c r="X745" s="126" t="s">
        <v>2511</v>
      </c>
      <c r="Y745" s="126" t="s">
        <v>2511</v>
      </c>
      <c r="Z745" s="57"/>
      <c r="AA745" s="57" t="s">
        <v>4533</v>
      </c>
      <c r="AB745" s="138"/>
      <c r="AC745" s="138" t="s">
        <v>2631</v>
      </c>
      <c r="AD745" s="96"/>
      <c r="AE745" s="80"/>
      <c r="AF745" s="80"/>
      <c r="AG745" s="80"/>
      <c r="AH745" s="83"/>
      <c r="AI745" s="83"/>
      <c r="AJ745" s="84"/>
      <c r="AK745" s="84"/>
      <c r="AL745" s="84"/>
      <c r="AM745" s="84"/>
      <c r="AN745" s="84"/>
      <c r="AO745" s="84"/>
      <c r="AP745" s="84"/>
      <c r="AQ745" s="95" t="s">
        <v>1864</v>
      </c>
      <c r="AR745" s="72"/>
      <c r="AS745" s="72"/>
      <c r="AT745" s="72"/>
      <c r="AU745" s="72"/>
      <c r="AV745" s="72"/>
      <c r="AW745" s="72"/>
      <c r="AX745" s="72"/>
      <c r="AY745" s="72"/>
      <c r="AZ745" s="72"/>
      <c r="BA745" s="72"/>
      <c r="BB745" s="16"/>
      <c r="BC745" s="72"/>
      <c r="BD745" s="20"/>
      <c r="BE745" s="378"/>
    </row>
    <row r="746" spans="1:57" s="81" customFormat="1" ht="12.95" hidden="1" customHeight="1">
      <c r="A746" s="374"/>
      <c r="B746" s="376"/>
      <c r="C746" s="248" t="s">
        <v>1595</v>
      </c>
      <c r="D746" s="239" t="s">
        <v>4549</v>
      </c>
      <c r="E746" s="58"/>
      <c r="F746" s="59" t="s">
        <v>4550</v>
      </c>
      <c r="G746" s="191" t="s">
        <v>2511</v>
      </c>
      <c r="H746" s="192" t="s">
        <v>1865</v>
      </c>
      <c r="I746" s="61" t="s">
        <v>2511</v>
      </c>
      <c r="J746" s="61" t="s">
        <v>2511</v>
      </c>
      <c r="K746" s="62" t="s">
        <v>2511</v>
      </c>
      <c r="L746" s="60" t="s">
        <v>2511</v>
      </c>
      <c r="M746" s="61" t="s">
        <v>2389</v>
      </c>
      <c r="N746" s="61" t="s">
        <v>2511</v>
      </c>
      <c r="O746" s="61" t="s">
        <v>2511</v>
      </c>
      <c r="P746" s="62" t="s">
        <v>2511</v>
      </c>
      <c r="Q746" s="82"/>
      <c r="R746" s="82"/>
      <c r="S746" s="82"/>
      <c r="T746" s="82"/>
      <c r="U746" s="82"/>
      <c r="V746" s="138" t="s">
        <v>4551</v>
      </c>
      <c r="W746" s="57" t="s">
        <v>4532</v>
      </c>
      <c r="X746" s="126" t="s">
        <v>2511</v>
      </c>
      <c r="Y746" s="126" t="s">
        <v>2511</v>
      </c>
      <c r="Z746" s="57"/>
      <c r="AA746" s="57" t="s">
        <v>4533</v>
      </c>
      <c r="AB746" s="138"/>
      <c r="AC746" s="138" t="s">
        <v>2631</v>
      </c>
      <c r="AD746" s="96"/>
      <c r="AE746" s="80"/>
      <c r="AF746" s="80"/>
      <c r="AG746" s="80"/>
      <c r="AH746" s="83"/>
      <c r="AI746" s="83"/>
      <c r="AJ746" s="84"/>
      <c r="AK746" s="84"/>
      <c r="AL746" s="84"/>
      <c r="AM746" s="84"/>
      <c r="AN746" s="84"/>
      <c r="AO746" s="84"/>
      <c r="AP746" s="84"/>
      <c r="AQ746" s="95" t="s">
        <v>1865</v>
      </c>
      <c r="AR746" s="72"/>
      <c r="AS746" s="72"/>
      <c r="AT746" s="72"/>
      <c r="AU746" s="72"/>
      <c r="AV746" s="72"/>
      <c r="AW746" s="72"/>
      <c r="AX746" s="72"/>
      <c r="AY746" s="72"/>
      <c r="AZ746" s="72"/>
      <c r="BA746" s="72"/>
      <c r="BB746" s="16"/>
      <c r="BC746" s="72"/>
      <c r="BD746" s="20"/>
      <c r="BE746" s="378"/>
    </row>
    <row r="747" spans="1:57" s="81" customFormat="1" ht="12.95" hidden="1" customHeight="1">
      <c r="A747" s="374"/>
      <c r="B747" s="376"/>
      <c r="C747" s="248" t="s">
        <v>1596</v>
      </c>
      <c r="D747" s="239" t="s">
        <v>4552</v>
      </c>
      <c r="E747" s="58"/>
      <c r="F747" s="59" t="s">
        <v>4553</v>
      </c>
      <c r="G747" s="191" t="s">
        <v>2511</v>
      </c>
      <c r="H747" s="192" t="s">
        <v>1866</v>
      </c>
      <c r="I747" s="61" t="s">
        <v>2511</v>
      </c>
      <c r="J747" s="61" t="s">
        <v>2511</v>
      </c>
      <c r="K747" s="62" t="s">
        <v>2511</v>
      </c>
      <c r="L747" s="60" t="s">
        <v>2511</v>
      </c>
      <c r="M747" s="61" t="s">
        <v>2389</v>
      </c>
      <c r="N747" s="61" t="s">
        <v>2511</v>
      </c>
      <c r="O747" s="61" t="s">
        <v>2511</v>
      </c>
      <c r="P747" s="62" t="s">
        <v>2511</v>
      </c>
      <c r="Q747" s="82"/>
      <c r="R747" s="82"/>
      <c r="S747" s="82"/>
      <c r="T747" s="82"/>
      <c r="U747" s="82"/>
      <c r="V747" s="138" t="s">
        <v>4554</v>
      </c>
      <c r="W747" s="57" t="s">
        <v>4532</v>
      </c>
      <c r="X747" s="126" t="s">
        <v>2511</v>
      </c>
      <c r="Y747" s="126" t="s">
        <v>2511</v>
      </c>
      <c r="Z747" s="57"/>
      <c r="AA747" s="57" t="s">
        <v>4533</v>
      </c>
      <c r="AB747" s="138"/>
      <c r="AC747" s="138" t="s">
        <v>2631</v>
      </c>
      <c r="AD747" s="96"/>
      <c r="AE747" s="80"/>
      <c r="AF747" s="80"/>
      <c r="AG747" s="80"/>
      <c r="AH747" s="83"/>
      <c r="AI747" s="83"/>
      <c r="AJ747" s="84"/>
      <c r="AK747" s="84"/>
      <c r="AL747" s="84"/>
      <c r="AM747" s="84"/>
      <c r="AN747" s="84"/>
      <c r="AO747" s="84"/>
      <c r="AP747" s="84"/>
      <c r="AQ747" s="95" t="s">
        <v>1866</v>
      </c>
      <c r="AR747" s="72"/>
      <c r="AS747" s="72"/>
      <c r="AT747" s="72"/>
      <c r="AU747" s="72"/>
      <c r="AV747" s="72"/>
      <c r="AW747" s="72"/>
      <c r="AX747" s="72"/>
      <c r="AY747" s="72"/>
      <c r="AZ747" s="72"/>
      <c r="BA747" s="72"/>
      <c r="BB747" s="16"/>
      <c r="BC747" s="72"/>
      <c r="BD747" s="20"/>
      <c r="BE747" s="378"/>
    </row>
    <row r="748" spans="1:57" s="81" customFormat="1" ht="12.95" hidden="1" customHeight="1">
      <c r="A748" s="374"/>
      <c r="B748" s="376"/>
      <c r="C748" s="248" t="s">
        <v>1597</v>
      </c>
      <c r="D748" s="239" t="s">
        <v>4555</v>
      </c>
      <c r="E748" s="58"/>
      <c r="F748" s="59" t="s">
        <v>4556</v>
      </c>
      <c r="G748" s="191" t="s">
        <v>2511</v>
      </c>
      <c r="H748" s="192" t="s">
        <v>1867</v>
      </c>
      <c r="I748" s="61" t="s">
        <v>2511</v>
      </c>
      <c r="J748" s="61" t="s">
        <v>2511</v>
      </c>
      <c r="K748" s="62" t="s">
        <v>2511</v>
      </c>
      <c r="L748" s="60" t="s">
        <v>2511</v>
      </c>
      <c r="M748" s="61" t="s">
        <v>2389</v>
      </c>
      <c r="N748" s="61" t="s">
        <v>2511</v>
      </c>
      <c r="O748" s="61" t="s">
        <v>2511</v>
      </c>
      <c r="P748" s="62" t="s">
        <v>2511</v>
      </c>
      <c r="Q748" s="82"/>
      <c r="R748" s="82"/>
      <c r="S748" s="82"/>
      <c r="T748" s="82"/>
      <c r="U748" s="82"/>
      <c r="V748" s="138" t="s">
        <v>4557</v>
      </c>
      <c r="W748" s="57" t="s">
        <v>4532</v>
      </c>
      <c r="X748" s="126" t="s">
        <v>2511</v>
      </c>
      <c r="Y748" s="126" t="s">
        <v>2511</v>
      </c>
      <c r="Z748" s="57"/>
      <c r="AA748" s="57" t="s">
        <v>4533</v>
      </c>
      <c r="AB748" s="138"/>
      <c r="AC748" s="138" t="s">
        <v>2631</v>
      </c>
      <c r="AD748" s="96"/>
      <c r="AE748" s="80"/>
      <c r="AF748" s="80"/>
      <c r="AG748" s="80"/>
      <c r="AH748" s="83"/>
      <c r="AI748" s="83"/>
      <c r="AJ748" s="84"/>
      <c r="AK748" s="84"/>
      <c r="AL748" s="84"/>
      <c r="AM748" s="84"/>
      <c r="AN748" s="84"/>
      <c r="AO748" s="84"/>
      <c r="AP748" s="84"/>
      <c r="AQ748" s="95" t="s">
        <v>1867</v>
      </c>
      <c r="AR748" s="72"/>
      <c r="AS748" s="72"/>
      <c r="AT748" s="72"/>
      <c r="AU748" s="72"/>
      <c r="AV748" s="72"/>
      <c r="AW748" s="72"/>
      <c r="AX748" s="72"/>
      <c r="AY748" s="72"/>
      <c r="AZ748" s="72"/>
      <c r="BA748" s="72"/>
      <c r="BB748" s="16"/>
      <c r="BC748" s="72"/>
      <c r="BD748" s="20"/>
      <c r="BE748" s="378"/>
    </row>
    <row r="749" spans="1:57" s="81" customFormat="1" ht="12.95" hidden="1" customHeight="1">
      <c r="A749" s="374"/>
      <c r="B749" s="376"/>
      <c r="C749" s="270" t="s">
        <v>1598</v>
      </c>
      <c r="D749" s="239" t="s">
        <v>4558</v>
      </c>
      <c r="E749" s="58"/>
      <c r="F749" s="59" t="s">
        <v>4559</v>
      </c>
      <c r="G749" s="191" t="s">
        <v>2511</v>
      </c>
      <c r="H749" s="192" t="s">
        <v>1868</v>
      </c>
      <c r="I749" s="61" t="s">
        <v>2511</v>
      </c>
      <c r="J749" s="61" t="s">
        <v>2511</v>
      </c>
      <c r="K749" s="62" t="s">
        <v>2511</v>
      </c>
      <c r="L749" s="60" t="s">
        <v>2511</v>
      </c>
      <c r="M749" s="61" t="s">
        <v>2389</v>
      </c>
      <c r="N749" s="61" t="s">
        <v>2511</v>
      </c>
      <c r="O749" s="61" t="s">
        <v>2511</v>
      </c>
      <c r="P749" s="62" t="s">
        <v>2511</v>
      </c>
      <c r="Q749" s="82"/>
      <c r="R749" s="82"/>
      <c r="S749" s="82"/>
      <c r="T749" s="82"/>
      <c r="U749" s="82"/>
      <c r="V749" s="138" t="s">
        <v>4560</v>
      </c>
      <c r="W749" s="57" t="s">
        <v>4532</v>
      </c>
      <c r="X749" s="126" t="s">
        <v>2511</v>
      </c>
      <c r="Y749" s="126" t="s">
        <v>2511</v>
      </c>
      <c r="Z749" s="57"/>
      <c r="AA749" s="57" t="s">
        <v>4533</v>
      </c>
      <c r="AB749" s="138"/>
      <c r="AC749" s="138" t="s">
        <v>2631</v>
      </c>
      <c r="AD749" s="96"/>
      <c r="AE749" s="80"/>
      <c r="AF749" s="80"/>
      <c r="AG749" s="80"/>
      <c r="AH749" s="83"/>
      <c r="AI749" s="83"/>
      <c r="AJ749" s="84"/>
      <c r="AK749" s="84"/>
      <c r="AL749" s="84"/>
      <c r="AM749" s="84"/>
      <c r="AN749" s="84"/>
      <c r="AO749" s="84"/>
      <c r="AP749" s="84"/>
      <c r="AQ749" s="95" t="s">
        <v>1868</v>
      </c>
      <c r="AR749" s="72"/>
      <c r="AS749" s="72"/>
      <c r="AT749" s="72"/>
      <c r="AU749" s="72"/>
      <c r="AV749" s="72"/>
      <c r="AW749" s="72"/>
      <c r="AX749" s="72"/>
      <c r="AY749" s="72"/>
      <c r="AZ749" s="72"/>
      <c r="BA749" s="72"/>
      <c r="BB749" s="16"/>
      <c r="BC749" s="72"/>
      <c r="BD749" s="20"/>
      <c r="BE749" s="378"/>
    </row>
    <row r="750" spans="1:57" s="81" customFormat="1" ht="12.95" hidden="1" customHeight="1">
      <c r="A750" s="374"/>
      <c r="B750" s="376"/>
      <c r="C750" s="270" t="s">
        <v>1599</v>
      </c>
      <c r="D750" s="239" t="s">
        <v>4561</v>
      </c>
      <c r="E750" s="58"/>
      <c r="F750" s="59" t="s">
        <v>4562</v>
      </c>
      <c r="G750" s="191" t="s">
        <v>2511</v>
      </c>
      <c r="H750" s="192" t="s">
        <v>1869</v>
      </c>
      <c r="I750" s="61" t="s">
        <v>2511</v>
      </c>
      <c r="J750" s="61" t="s">
        <v>2511</v>
      </c>
      <c r="K750" s="62" t="s">
        <v>2511</v>
      </c>
      <c r="L750" s="60" t="s">
        <v>2511</v>
      </c>
      <c r="M750" s="61" t="s">
        <v>2389</v>
      </c>
      <c r="N750" s="61" t="s">
        <v>2511</v>
      </c>
      <c r="O750" s="61" t="s">
        <v>2511</v>
      </c>
      <c r="P750" s="62" t="s">
        <v>2511</v>
      </c>
      <c r="Q750" s="82"/>
      <c r="R750" s="82"/>
      <c r="S750" s="82"/>
      <c r="T750" s="82"/>
      <c r="U750" s="82"/>
      <c r="V750" s="138" t="s">
        <v>4563</v>
      </c>
      <c r="W750" s="57" t="s">
        <v>4532</v>
      </c>
      <c r="X750" s="126" t="s">
        <v>2511</v>
      </c>
      <c r="Y750" s="126" t="s">
        <v>2511</v>
      </c>
      <c r="Z750" s="57"/>
      <c r="AA750" s="57" t="s">
        <v>4533</v>
      </c>
      <c r="AB750" s="138"/>
      <c r="AC750" s="138" t="s">
        <v>2631</v>
      </c>
      <c r="AD750" s="96"/>
      <c r="AE750" s="80"/>
      <c r="AF750" s="80"/>
      <c r="AG750" s="80"/>
      <c r="AH750" s="83"/>
      <c r="AI750" s="83"/>
      <c r="AJ750" s="84"/>
      <c r="AK750" s="84"/>
      <c r="AL750" s="84"/>
      <c r="AM750" s="84"/>
      <c r="AN750" s="84"/>
      <c r="AO750" s="84"/>
      <c r="AP750" s="84"/>
      <c r="AQ750" s="95" t="s">
        <v>1869</v>
      </c>
      <c r="AR750" s="72"/>
      <c r="AS750" s="72"/>
      <c r="AT750" s="72"/>
      <c r="AU750" s="72"/>
      <c r="AV750" s="72"/>
      <c r="AW750" s="72"/>
      <c r="AX750" s="72"/>
      <c r="AY750" s="72"/>
      <c r="AZ750" s="72"/>
      <c r="BA750" s="72"/>
      <c r="BB750" s="16"/>
      <c r="BC750" s="72"/>
      <c r="BD750" s="20"/>
      <c r="BE750" s="378"/>
    </row>
    <row r="751" spans="1:57" s="81" customFormat="1" ht="12.95" hidden="1" customHeight="1">
      <c r="A751" s="374"/>
      <c r="B751" s="376"/>
      <c r="C751" s="248" t="s">
        <v>1600</v>
      </c>
      <c r="D751" s="239" t="s">
        <v>4564</v>
      </c>
      <c r="E751" s="58"/>
      <c r="F751" s="59" t="s">
        <v>4565</v>
      </c>
      <c r="G751" s="191" t="s">
        <v>2511</v>
      </c>
      <c r="H751" s="192" t="s">
        <v>1870</v>
      </c>
      <c r="I751" s="61" t="s">
        <v>2511</v>
      </c>
      <c r="J751" s="61" t="s">
        <v>2511</v>
      </c>
      <c r="K751" s="62" t="s">
        <v>2511</v>
      </c>
      <c r="L751" s="60" t="s">
        <v>2511</v>
      </c>
      <c r="M751" s="61" t="s">
        <v>2389</v>
      </c>
      <c r="N751" s="61" t="s">
        <v>2511</v>
      </c>
      <c r="O751" s="61" t="s">
        <v>2511</v>
      </c>
      <c r="P751" s="62" t="s">
        <v>2511</v>
      </c>
      <c r="Q751" s="82"/>
      <c r="R751" s="82"/>
      <c r="S751" s="82"/>
      <c r="T751" s="82"/>
      <c r="U751" s="82"/>
      <c r="V751" s="138" t="s">
        <v>4566</v>
      </c>
      <c r="W751" s="57" t="s">
        <v>4532</v>
      </c>
      <c r="X751" s="126" t="s">
        <v>2511</v>
      </c>
      <c r="Y751" s="126" t="s">
        <v>2511</v>
      </c>
      <c r="Z751" s="57"/>
      <c r="AA751" s="57" t="s">
        <v>4533</v>
      </c>
      <c r="AB751" s="138"/>
      <c r="AC751" s="138">
        <v>0</v>
      </c>
      <c r="AD751" s="96"/>
      <c r="AE751" s="80"/>
      <c r="AF751" s="80"/>
      <c r="AG751" s="80"/>
      <c r="AH751" s="83"/>
      <c r="AI751" s="83"/>
      <c r="AJ751" s="84"/>
      <c r="AK751" s="84"/>
      <c r="AL751" s="84"/>
      <c r="AM751" s="84"/>
      <c r="AN751" s="84"/>
      <c r="AO751" s="84"/>
      <c r="AP751" s="84"/>
      <c r="AQ751" s="95" t="s">
        <v>1870</v>
      </c>
      <c r="AR751" s="72"/>
      <c r="AS751" s="72"/>
      <c r="AT751" s="72"/>
      <c r="AU751" s="72"/>
      <c r="AV751" s="72"/>
      <c r="AW751" s="72"/>
      <c r="AX751" s="72"/>
      <c r="AY751" s="72"/>
      <c r="AZ751" s="72"/>
      <c r="BA751" s="72"/>
      <c r="BB751" s="16"/>
      <c r="BC751" s="72"/>
      <c r="BD751" s="20"/>
      <c r="BE751" s="378"/>
    </row>
    <row r="752" spans="1:57" s="81" customFormat="1" ht="12.95" hidden="1" customHeight="1">
      <c r="A752" s="374"/>
      <c r="B752" s="376"/>
      <c r="C752" s="248" t="s">
        <v>1601</v>
      </c>
      <c r="D752" s="239" t="s">
        <v>4567</v>
      </c>
      <c r="E752" s="58"/>
      <c r="F752" s="59" t="s">
        <v>4568</v>
      </c>
      <c r="G752" s="191" t="s">
        <v>2511</v>
      </c>
      <c r="H752" s="192" t="s">
        <v>1871</v>
      </c>
      <c r="I752" s="61" t="s">
        <v>2511</v>
      </c>
      <c r="J752" s="61" t="s">
        <v>2511</v>
      </c>
      <c r="K752" s="62" t="s">
        <v>2511</v>
      </c>
      <c r="L752" s="60" t="s">
        <v>2511</v>
      </c>
      <c r="M752" s="61" t="s">
        <v>2389</v>
      </c>
      <c r="N752" s="61" t="s">
        <v>2511</v>
      </c>
      <c r="O752" s="61" t="s">
        <v>2511</v>
      </c>
      <c r="P752" s="62" t="s">
        <v>2511</v>
      </c>
      <c r="Q752" s="82"/>
      <c r="R752" s="82"/>
      <c r="S752" s="82"/>
      <c r="T752" s="82"/>
      <c r="U752" s="82"/>
      <c r="V752" s="138" t="s">
        <v>4569</v>
      </c>
      <c r="W752" s="57" t="s">
        <v>4532</v>
      </c>
      <c r="X752" s="126" t="s">
        <v>2511</v>
      </c>
      <c r="Y752" s="126" t="s">
        <v>2511</v>
      </c>
      <c r="Z752" s="57"/>
      <c r="AA752" s="57" t="s">
        <v>4533</v>
      </c>
      <c r="AB752" s="138"/>
      <c r="AC752" s="138" t="s">
        <v>2631</v>
      </c>
      <c r="AD752" s="96"/>
      <c r="AE752" s="80"/>
      <c r="AF752" s="80"/>
      <c r="AG752" s="80"/>
      <c r="AH752" s="83"/>
      <c r="AI752" s="83"/>
      <c r="AJ752" s="84"/>
      <c r="AK752" s="84"/>
      <c r="AL752" s="84"/>
      <c r="AM752" s="84"/>
      <c r="AN752" s="84"/>
      <c r="AO752" s="84"/>
      <c r="AP752" s="84"/>
      <c r="AQ752" s="95" t="s">
        <v>1871</v>
      </c>
      <c r="AR752" s="72"/>
      <c r="AS752" s="72"/>
      <c r="AT752" s="72"/>
      <c r="AU752" s="72"/>
      <c r="AV752" s="72"/>
      <c r="AW752" s="72"/>
      <c r="AX752" s="72"/>
      <c r="AY752" s="72"/>
      <c r="AZ752" s="72"/>
      <c r="BA752" s="72"/>
      <c r="BB752" s="16"/>
      <c r="BC752" s="72"/>
      <c r="BD752" s="20"/>
      <c r="BE752" s="378"/>
    </row>
    <row r="753" spans="1:57" s="81" customFormat="1" ht="12.95" hidden="1" customHeight="1">
      <c r="A753" s="374"/>
      <c r="B753" s="376"/>
      <c r="C753" s="248" t="s">
        <v>1602</v>
      </c>
      <c r="D753" s="239" t="s">
        <v>4570</v>
      </c>
      <c r="E753" s="58"/>
      <c r="F753" s="59" t="s">
        <v>4571</v>
      </c>
      <c r="G753" s="191" t="s">
        <v>2511</v>
      </c>
      <c r="H753" s="192" t="s">
        <v>1872</v>
      </c>
      <c r="I753" s="61" t="s">
        <v>2511</v>
      </c>
      <c r="J753" s="61" t="s">
        <v>2511</v>
      </c>
      <c r="K753" s="62" t="s">
        <v>2511</v>
      </c>
      <c r="L753" s="60" t="s">
        <v>2511</v>
      </c>
      <c r="M753" s="61" t="s">
        <v>2389</v>
      </c>
      <c r="N753" s="61" t="s">
        <v>2511</v>
      </c>
      <c r="O753" s="61" t="s">
        <v>2511</v>
      </c>
      <c r="P753" s="62" t="s">
        <v>2511</v>
      </c>
      <c r="Q753" s="82"/>
      <c r="R753" s="82"/>
      <c r="S753" s="82"/>
      <c r="T753" s="82"/>
      <c r="U753" s="82"/>
      <c r="V753" s="138" t="s">
        <v>4572</v>
      </c>
      <c r="W753" s="57" t="s">
        <v>4532</v>
      </c>
      <c r="X753" s="126" t="s">
        <v>2511</v>
      </c>
      <c r="Y753" s="126" t="s">
        <v>2511</v>
      </c>
      <c r="Z753" s="57"/>
      <c r="AA753" s="57" t="s">
        <v>4533</v>
      </c>
      <c r="AB753" s="138"/>
      <c r="AC753" s="138" t="s">
        <v>2631</v>
      </c>
      <c r="AD753" s="96"/>
      <c r="AE753" s="80"/>
      <c r="AF753" s="80"/>
      <c r="AG753" s="80"/>
      <c r="AH753" s="83"/>
      <c r="AI753" s="83"/>
      <c r="AJ753" s="84"/>
      <c r="AK753" s="84"/>
      <c r="AL753" s="84"/>
      <c r="AM753" s="84"/>
      <c r="AN753" s="84"/>
      <c r="AO753" s="84"/>
      <c r="AP753" s="84"/>
      <c r="AQ753" s="95" t="s">
        <v>1872</v>
      </c>
      <c r="AR753" s="72"/>
      <c r="AS753" s="72"/>
      <c r="AT753" s="72"/>
      <c r="AU753" s="72"/>
      <c r="AV753" s="72"/>
      <c r="AW753" s="72"/>
      <c r="AX753" s="72"/>
      <c r="AY753" s="72"/>
      <c r="AZ753" s="72"/>
      <c r="BA753" s="72"/>
      <c r="BB753" s="16"/>
      <c r="BC753" s="72"/>
      <c r="BD753" s="20"/>
      <c r="BE753" s="378"/>
    </row>
    <row r="754" spans="1:57" s="81" customFormat="1" ht="12.95" hidden="1" customHeight="1">
      <c r="A754" s="374"/>
      <c r="B754" s="376"/>
      <c r="C754" s="248" t="s">
        <v>1603</v>
      </c>
      <c r="D754" s="239" t="s">
        <v>4573</v>
      </c>
      <c r="E754" s="58"/>
      <c r="F754" s="59" t="s">
        <v>4574</v>
      </c>
      <c r="G754" s="191" t="s">
        <v>2511</v>
      </c>
      <c r="H754" s="192" t="s">
        <v>1873</v>
      </c>
      <c r="I754" s="61" t="s">
        <v>2511</v>
      </c>
      <c r="J754" s="61" t="s">
        <v>2511</v>
      </c>
      <c r="K754" s="62" t="s">
        <v>2511</v>
      </c>
      <c r="L754" s="60" t="s">
        <v>2511</v>
      </c>
      <c r="M754" s="61" t="s">
        <v>2389</v>
      </c>
      <c r="N754" s="61" t="s">
        <v>2511</v>
      </c>
      <c r="O754" s="61" t="s">
        <v>2511</v>
      </c>
      <c r="P754" s="62" t="s">
        <v>2511</v>
      </c>
      <c r="Q754" s="82"/>
      <c r="R754" s="82"/>
      <c r="S754" s="82"/>
      <c r="T754" s="82"/>
      <c r="U754" s="82"/>
      <c r="V754" s="138" t="s">
        <v>4575</v>
      </c>
      <c r="W754" s="57" t="s">
        <v>4532</v>
      </c>
      <c r="X754" s="126" t="s">
        <v>2511</v>
      </c>
      <c r="Y754" s="126" t="s">
        <v>2511</v>
      </c>
      <c r="Z754" s="57"/>
      <c r="AA754" s="57" t="s">
        <v>4533</v>
      </c>
      <c r="AB754" s="138"/>
      <c r="AC754" s="138" t="s">
        <v>2631</v>
      </c>
      <c r="AD754" s="96"/>
      <c r="AE754" s="80"/>
      <c r="AF754" s="80"/>
      <c r="AG754" s="80"/>
      <c r="AH754" s="83"/>
      <c r="AI754" s="83"/>
      <c r="AJ754" s="84"/>
      <c r="AK754" s="84"/>
      <c r="AL754" s="84"/>
      <c r="AM754" s="84"/>
      <c r="AN754" s="84"/>
      <c r="AO754" s="84"/>
      <c r="AP754" s="84"/>
      <c r="AQ754" s="95" t="s">
        <v>1873</v>
      </c>
      <c r="AR754" s="72"/>
      <c r="AS754" s="72"/>
      <c r="AT754" s="72"/>
      <c r="AU754" s="72"/>
      <c r="AV754" s="72"/>
      <c r="AW754" s="72"/>
      <c r="AX754" s="72"/>
      <c r="AY754" s="72"/>
      <c r="AZ754" s="72"/>
      <c r="BA754" s="72"/>
      <c r="BB754" s="16"/>
      <c r="BC754" s="72"/>
      <c r="BD754" s="20"/>
      <c r="BE754" s="378"/>
    </row>
    <row r="755" spans="1:57" s="81" customFormat="1" ht="12.95" hidden="1" customHeight="1">
      <c r="A755" s="374"/>
      <c r="B755" s="376"/>
      <c r="C755" s="248" t="s">
        <v>1604</v>
      </c>
      <c r="D755" s="239" t="s">
        <v>4576</v>
      </c>
      <c r="E755" s="58"/>
      <c r="F755" s="59" t="s">
        <v>4577</v>
      </c>
      <c r="G755" s="191" t="s">
        <v>2511</v>
      </c>
      <c r="H755" s="192" t="s">
        <v>1874</v>
      </c>
      <c r="I755" s="61" t="s">
        <v>2511</v>
      </c>
      <c r="J755" s="61" t="s">
        <v>2511</v>
      </c>
      <c r="K755" s="62" t="s">
        <v>2511</v>
      </c>
      <c r="L755" s="60" t="s">
        <v>2511</v>
      </c>
      <c r="M755" s="61" t="s">
        <v>2389</v>
      </c>
      <c r="N755" s="61" t="s">
        <v>2511</v>
      </c>
      <c r="O755" s="61" t="s">
        <v>2511</v>
      </c>
      <c r="P755" s="62" t="s">
        <v>2511</v>
      </c>
      <c r="Q755" s="82"/>
      <c r="R755" s="82"/>
      <c r="S755" s="82"/>
      <c r="T755" s="82"/>
      <c r="U755" s="82"/>
      <c r="V755" s="138" t="s">
        <v>4578</v>
      </c>
      <c r="W755" s="57" t="s">
        <v>4532</v>
      </c>
      <c r="X755" s="126" t="s">
        <v>2511</v>
      </c>
      <c r="Y755" s="126" t="s">
        <v>2511</v>
      </c>
      <c r="Z755" s="57"/>
      <c r="AA755" s="57" t="s">
        <v>4533</v>
      </c>
      <c r="AB755" s="138"/>
      <c r="AC755" s="138" t="s">
        <v>2631</v>
      </c>
      <c r="AD755" s="96"/>
      <c r="AE755" s="80"/>
      <c r="AF755" s="80"/>
      <c r="AG755" s="80"/>
      <c r="AH755" s="83"/>
      <c r="AI755" s="83"/>
      <c r="AJ755" s="84"/>
      <c r="AK755" s="84"/>
      <c r="AL755" s="84"/>
      <c r="AM755" s="84"/>
      <c r="AN755" s="84"/>
      <c r="AO755" s="84"/>
      <c r="AP755" s="84"/>
      <c r="AQ755" s="95" t="s">
        <v>1874</v>
      </c>
      <c r="AR755" s="72"/>
      <c r="AS755" s="72"/>
      <c r="AT755" s="72"/>
      <c r="AU755" s="72"/>
      <c r="AV755" s="72"/>
      <c r="AW755" s="72"/>
      <c r="AX755" s="72"/>
      <c r="AY755" s="72"/>
      <c r="AZ755" s="72"/>
      <c r="BA755" s="72"/>
      <c r="BB755" s="16"/>
      <c r="BC755" s="72"/>
      <c r="BD755" s="20"/>
      <c r="BE755" s="378"/>
    </row>
    <row r="756" spans="1:57" s="81" customFormat="1" ht="12.95" hidden="1" customHeight="1">
      <c r="A756" s="374"/>
      <c r="B756" s="376"/>
      <c r="C756" s="248" t="s">
        <v>1605</v>
      </c>
      <c r="D756" s="239" t="s">
        <v>4579</v>
      </c>
      <c r="E756" s="58"/>
      <c r="F756" s="59" t="s">
        <v>4580</v>
      </c>
      <c r="G756" s="191" t="s">
        <v>2511</v>
      </c>
      <c r="H756" s="192" t="s">
        <v>1875</v>
      </c>
      <c r="I756" s="61" t="s">
        <v>2511</v>
      </c>
      <c r="J756" s="61" t="s">
        <v>2511</v>
      </c>
      <c r="K756" s="62" t="s">
        <v>2511</v>
      </c>
      <c r="L756" s="60" t="s">
        <v>2511</v>
      </c>
      <c r="M756" s="61" t="s">
        <v>2389</v>
      </c>
      <c r="N756" s="61" t="s">
        <v>2511</v>
      </c>
      <c r="O756" s="61" t="s">
        <v>2511</v>
      </c>
      <c r="P756" s="62" t="s">
        <v>2511</v>
      </c>
      <c r="Q756" s="82"/>
      <c r="R756" s="82"/>
      <c r="S756" s="82"/>
      <c r="T756" s="82"/>
      <c r="U756" s="82"/>
      <c r="V756" s="138" t="s">
        <v>4581</v>
      </c>
      <c r="W756" s="57" t="s">
        <v>4532</v>
      </c>
      <c r="X756" s="126" t="s">
        <v>2511</v>
      </c>
      <c r="Y756" s="126" t="s">
        <v>2511</v>
      </c>
      <c r="Z756" s="57"/>
      <c r="AA756" s="57" t="s">
        <v>4533</v>
      </c>
      <c r="AB756" s="138"/>
      <c r="AC756" s="138" t="s">
        <v>2631</v>
      </c>
      <c r="AD756" s="96"/>
      <c r="AE756" s="80"/>
      <c r="AF756" s="80"/>
      <c r="AG756" s="80"/>
      <c r="AH756" s="83"/>
      <c r="AI756" s="83"/>
      <c r="AJ756" s="84"/>
      <c r="AK756" s="84"/>
      <c r="AL756" s="84"/>
      <c r="AM756" s="84"/>
      <c r="AN756" s="84"/>
      <c r="AO756" s="84"/>
      <c r="AP756" s="84"/>
      <c r="AQ756" s="95" t="s">
        <v>1875</v>
      </c>
      <c r="AR756" s="72"/>
      <c r="AS756" s="72"/>
      <c r="AT756" s="72"/>
      <c r="AU756" s="72"/>
      <c r="AV756" s="72"/>
      <c r="AW756" s="72"/>
      <c r="AX756" s="72"/>
      <c r="AY756" s="72"/>
      <c r="AZ756" s="72"/>
      <c r="BA756" s="72"/>
      <c r="BB756" s="16"/>
      <c r="BC756" s="72"/>
      <c r="BD756" s="20"/>
      <c r="BE756" s="378"/>
    </row>
    <row r="757" spans="1:57" s="81" customFormat="1" ht="12.95" hidden="1" customHeight="1">
      <c r="A757" s="374"/>
      <c r="B757" s="376"/>
      <c r="C757" s="248" t="s">
        <v>1606</v>
      </c>
      <c r="D757" s="239" t="s">
        <v>4582</v>
      </c>
      <c r="E757" s="58"/>
      <c r="F757" s="59" t="s">
        <v>4583</v>
      </c>
      <c r="G757" s="191" t="s">
        <v>2511</v>
      </c>
      <c r="H757" s="192" t="s">
        <v>1876</v>
      </c>
      <c r="I757" s="61" t="s">
        <v>2511</v>
      </c>
      <c r="J757" s="61" t="s">
        <v>2511</v>
      </c>
      <c r="K757" s="62" t="s">
        <v>2511</v>
      </c>
      <c r="L757" s="60" t="s">
        <v>2511</v>
      </c>
      <c r="M757" s="61" t="s">
        <v>2389</v>
      </c>
      <c r="N757" s="61" t="s">
        <v>2511</v>
      </c>
      <c r="O757" s="61" t="s">
        <v>2511</v>
      </c>
      <c r="P757" s="62" t="s">
        <v>2511</v>
      </c>
      <c r="Q757" s="82"/>
      <c r="R757" s="82"/>
      <c r="S757" s="82"/>
      <c r="T757" s="82"/>
      <c r="U757" s="82"/>
      <c r="V757" s="138" t="s">
        <v>4584</v>
      </c>
      <c r="W757" s="57" t="s">
        <v>4532</v>
      </c>
      <c r="X757" s="126" t="s">
        <v>2511</v>
      </c>
      <c r="Y757" s="126" t="s">
        <v>2511</v>
      </c>
      <c r="Z757" s="57"/>
      <c r="AA757" s="57" t="s">
        <v>4533</v>
      </c>
      <c r="AB757" s="138"/>
      <c r="AC757" s="138" t="s">
        <v>2631</v>
      </c>
      <c r="AD757" s="96"/>
      <c r="AE757" s="80"/>
      <c r="AF757" s="80"/>
      <c r="AG757" s="80"/>
      <c r="AH757" s="83"/>
      <c r="AI757" s="83"/>
      <c r="AJ757" s="84"/>
      <c r="AK757" s="84"/>
      <c r="AL757" s="84"/>
      <c r="AM757" s="84"/>
      <c r="AN757" s="84"/>
      <c r="AO757" s="84"/>
      <c r="AP757" s="84"/>
      <c r="AQ757" s="95" t="s">
        <v>1876</v>
      </c>
      <c r="AR757" s="72"/>
      <c r="AS757" s="72"/>
      <c r="AT757" s="72"/>
      <c r="AU757" s="72"/>
      <c r="AV757" s="72"/>
      <c r="AW757" s="72"/>
      <c r="AX757" s="72"/>
      <c r="AY757" s="72"/>
      <c r="AZ757" s="72"/>
      <c r="BA757" s="72"/>
      <c r="BB757" s="16"/>
      <c r="BC757" s="72"/>
      <c r="BD757" s="20"/>
      <c r="BE757" s="378"/>
    </row>
    <row r="758" spans="1:57" s="81" customFormat="1" ht="12.95" hidden="1" customHeight="1">
      <c r="A758" s="374"/>
      <c r="B758" s="376"/>
      <c r="C758" s="248" t="s">
        <v>1607</v>
      </c>
      <c r="D758" s="239" t="s">
        <v>4585</v>
      </c>
      <c r="E758" s="58"/>
      <c r="F758" s="59" t="s">
        <v>4586</v>
      </c>
      <c r="G758" s="191" t="s">
        <v>2511</v>
      </c>
      <c r="H758" s="192" t="s">
        <v>1877</v>
      </c>
      <c r="I758" s="61" t="s">
        <v>2511</v>
      </c>
      <c r="J758" s="61" t="s">
        <v>2511</v>
      </c>
      <c r="K758" s="62" t="s">
        <v>2511</v>
      </c>
      <c r="L758" s="60" t="s">
        <v>2511</v>
      </c>
      <c r="M758" s="61" t="s">
        <v>2389</v>
      </c>
      <c r="N758" s="61" t="s">
        <v>2511</v>
      </c>
      <c r="O758" s="61" t="s">
        <v>2511</v>
      </c>
      <c r="P758" s="62" t="s">
        <v>2511</v>
      </c>
      <c r="Q758" s="82"/>
      <c r="R758" s="82"/>
      <c r="S758" s="82"/>
      <c r="T758" s="82"/>
      <c r="U758" s="82"/>
      <c r="V758" s="138" t="s">
        <v>4587</v>
      </c>
      <c r="W758" s="57" t="s">
        <v>4532</v>
      </c>
      <c r="X758" s="126" t="s">
        <v>2511</v>
      </c>
      <c r="Y758" s="126" t="s">
        <v>2511</v>
      </c>
      <c r="Z758" s="57"/>
      <c r="AA758" s="57" t="s">
        <v>4533</v>
      </c>
      <c r="AB758" s="138"/>
      <c r="AC758" s="138" t="s">
        <v>2631</v>
      </c>
      <c r="AD758" s="96"/>
      <c r="AE758" s="80"/>
      <c r="AF758" s="80"/>
      <c r="AG758" s="80"/>
      <c r="AH758" s="83"/>
      <c r="AI758" s="83"/>
      <c r="AJ758" s="84"/>
      <c r="AK758" s="84"/>
      <c r="AL758" s="84"/>
      <c r="AM758" s="84"/>
      <c r="AN758" s="84"/>
      <c r="AO758" s="84"/>
      <c r="AP758" s="84"/>
      <c r="AQ758" s="95" t="s">
        <v>1877</v>
      </c>
      <c r="AR758" s="72"/>
      <c r="AS758" s="72"/>
      <c r="AT758" s="72"/>
      <c r="AU758" s="72"/>
      <c r="AV758" s="72"/>
      <c r="AW758" s="72"/>
      <c r="AX758" s="72"/>
      <c r="AY758" s="72"/>
      <c r="AZ758" s="72"/>
      <c r="BA758" s="72"/>
      <c r="BB758" s="16"/>
      <c r="BC758" s="72"/>
      <c r="BD758" s="20"/>
      <c r="BE758" s="378"/>
    </row>
    <row r="759" spans="1:57" s="81" customFormat="1" ht="12.95" hidden="1" customHeight="1">
      <c r="A759" s="374"/>
      <c r="B759" s="376"/>
      <c r="C759" s="248" t="s">
        <v>1608</v>
      </c>
      <c r="D759" s="239" t="s">
        <v>4588</v>
      </c>
      <c r="E759" s="58"/>
      <c r="F759" s="59" t="s">
        <v>4589</v>
      </c>
      <c r="G759" s="191" t="s">
        <v>2511</v>
      </c>
      <c r="H759" s="192" t="s">
        <v>1878</v>
      </c>
      <c r="I759" s="61" t="s">
        <v>2511</v>
      </c>
      <c r="J759" s="61" t="s">
        <v>2511</v>
      </c>
      <c r="K759" s="62" t="s">
        <v>2511</v>
      </c>
      <c r="L759" s="60" t="s">
        <v>2511</v>
      </c>
      <c r="M759" s="61" t="s">
        <v>2389</v>
      </c>
      <c r="N759" s="61" t="s">
        <v>2511</v>
      </c>
      <c r="O759" s="61" t="s">
        <v>2511</v>
      </c>
      <c r="P759" s="62" t="s">
        <v>2511</v>
      </c>
      <c r="Q759" s="82"/>
      <c r="R759" s="82"/>
      <c r="S759" s="82"/>
      <c r="T759" s="82"/>
      <c r="U759" s="82"/>
      <c r="V759" s="138" t="s">
        <v>4590</v>
      </c>
      <c r="W759" s="57" t="s">
        <v>4532</v>
      </c>
      <c r="X759" s="126" t="s">
        <v>2511</v>
      </c>
      <c r="Y759" s="126" t="s">
        <v>2511</v>
      </c>
      <c r="Z759" s="57"/>
      <c r="AA759" s="57" t="s">
        <v>4533</v>
      </c>
      <c r="AB759" s="138"/>
      <c r="AC759" s="138" t="s">
        <v>2631</v>
      </c>
      <c r="AD759" s="96"/>
      <c r="AE759" s="80"/>
      <c r="AF759" s="80"/>
      <c r="AG759" s="80"/>
      <c r="AH759" s="83"/>
      <c r="AI759" s="83"/>
      <c r="AJ759" s="84"/>
      <c r="AK759" s="84"/>
      <c r="AL759" s="84"/>
      <c r="AM759" s="84"/>
      <c r="AN759" s="84"/>
      <c r="AO759" s="84"/>
      <c r="AP759" s="84"/>
      <c r="AQ759" s="95" t="s">
        <v>1878</v>
      </c>
      <c r="AR759" s="72"/>
      <c r="AS759" s="72"/>
      <c r="AT759" s="72"/>
      <c r="AU759" s="72"/>
      <c r="AV759" s="72"/>
      <c r="AW759" s="72"/>
      <c r="AX759" s="72"/>
      <c r="AY759" s="72"/>
      <c r="AZ759" s="72"/>
      <c r="BA759" s="72"/>
      <c r="BB759" s="16"/>
      <c r="BC759" s="72"/>
      <c r="BD759" s="20"/>
      <c r="BE759" s="378"/>
    </row>
    <row r="760" spans="1:57" s="81" customFormat="1" ht="12.95" hidden="1" customHeight="1">
      <c r="A760" s="374"/>
      <c r="B760" s="376"/>
      <c r="C760" s="248" t="s">
        <v>1609</v>
      </c>
      <c r="D760" s="239" t="s">
        <v>4591</v>
      </c>
      <c r="E760" s="58"/>
      <c r="F760" s="59" t="s">
        <v>4592</v>
      </c>
      <c r="G760" s="191" t="s">
        <v>2511</v>
      </c>
      <c r="H760" s="192" t="s">
        <v>1879</v>
      </c>
      <c r="I760" s="61" t="s">
        <v>2511</v>
      </c>
      <c r="J760" s="61" t="s">
        <v>2511</v>
      </c>
      <c r="K760" s="62" t="s">
        <v>2511</v>
      </c>
      <c r="L760" s="60" t="s">
        <v>2511</v>
      </c>
      <c r="M760" s="61" t="s">
        <v>2389</v>
      </c>
      <c r="N760" s="61" t="s">
        <v>2511</v>
      </c>
      <c r="O760" s="61" t="s">
        <v>2511</v>
      </c>
      <c r="P760" s="62" t="s">
        <v>2511</v>
      </c>
      <c r="Q760" s="82"/>
      <c r="R760" s="82"/>
      <c r="S760" s="82"/>
      <c r="T760" s="82"/>
      <c r="U760" s="82"/>
      <c r="V760" s="138" t="s">
        <v>4593</v>
      </c>
      <c r="W760" s="57" t="s">
        <v>4532</v>
      </c>
      <c r="X760" s="126" t="s">
        <v>2511</v>
      </c>
      <c r="Y760" s="126" t="s">
        <v>2511</v>
      </c>
      <c r="Z760" s="57"/>
      <c r="AA760" s="57" t="s">
        <v>4533</v>
      </c>
      <c r="AB760" s="138"/>
      <c r="AC760" s="138" t="s">
        <v>2631</v>
      </c>
      <c r="AD760" s="96"/>
      <c r="AE760" s="80"/>
      <c r="AF760" s="80"/>
      <c r="AG760" s="80"/>
      <c r="AH760" s="83"/>
      <c r="AI760" s="83"/>
      <c r="AJ760" s="84"/>
      <c r="AK760" s="84"/>
      <c r="AL760" s="84"/>
      <c r="AM760" s="84"/>
      <c r="AN760" s="84"/>
      <c r="AO760" s="84"/>
      <c r="AP760" s="84"/>
      <c r="AQ760" s="95" t="s">
        <v>1879</v>
      </c>
      <c r="AR760" s="72"/>
      <c r="AS760" s="72"/>
      <c r="AT760" s="72"/>
      <c r="AU760" s="72"/>
      <c r="AV760" s="72"/>
      <c r="AW760" s="72"/>
      <c r="AX760" s="72"/>
      <c r="AY760" s="72"/>
      <c r="AZ760" s="72"/>
      <c r="BA760" s="72"/>
      <c r="BB760" s="16"/>
      <c r="BC760" s="72"/>
      <c r="BD760" s="20"/>
      <c r="BE760" s="378"/>
    </row>
    <row r="761" spans="1:57" s="81" customFormat="1" ht="12.95" hidden="1" customHeight="1">
      <c r="A761" s="374"/>
      <c r="B761" s="376"/>
      <c r="C761" s="270" t="s">
        <v>1610</v>
      </c>
      <c r="D761" s="239" t="s">
        <v>4594</v>
      </c>
      <c r="E761" s="58"/>
      <c r="F761" s="59" t="s">
        <v>4595</v>
      </c>
      <c r="G761" s="191" t="s">
        <v>2511</v>
      </c>
      <c r="H761" s="192" t="s">
        <v>1880</v>
      </c>
      <c r="I761" s="61" t="s">
        <v>2511</v>
      </c>
      <c r="J761" s="61" t="s">
        <v>2511</v>
      </c>
      <c r="K761" s="62" t="s">
        <v>2511</v>
      </c>
      <c r="L761" s="60" t="s">
        <v>2511</v>
      </c>
      <c r="M761" s="61" t="s">
        <v>2389</v>
      </c>
      <c r="N761" s="61" t="s">
        <v>2511</v>
      </c>
      <c r="O761" s="61" t="s">
        <v>2511</v>
      </c>
      <c r="P761" s="62" t="s">
        <v>2511</v>
      </c>
      <c r="Q761" s="82"/>
      <c r="R761" s="82"/>
      <c r="S761" s="82"/>
      <c r="T761" s="82"/>
      <c r="U761" s="82"/>
      <c r="V761" s="138" t="s">
        <v>4596</v>
      </c>
      <c r="W761" s="57" t="s">
        <v>4532</v>
      </c>
      <c r="X761" s="126" t="s">
        <v>2511</v>
      </c>
      <c r="Y761" s="126" t="s">
        <v>2511</v>
      </c>
      <c r="Z761" s="57"/>
      <c r="AA761" s="57" t="s">
        <v>4533</v>
      </c>
      <c r="AB761" s="138"/>
      <c r="AC761" s="138" t="s">
        <v>2631</v>
      </c>
      <c r="AD761" s="96"/>
      <c r="AE761" s="80"/>
      <c r="AF761" s="80"/>
      <c r="AG761" s="80"/>
      <c r="AH761" s="83"/>
      <c r="AI761" s="83"/>
      <c r="AJ761" s="84"/>
      <c r="AK761" s="84"/>
      <c r="AL761" s="84"/>
      <c r="AM761" s="84"/>
      <c r="AN761" s="84"/>
      <c r="AO761" s="84"/>
      <c r="AP761" s="84"/>
      <c r="AQ761" s="95" t="s">
        <v>1880</v>
      </c>
      <c r="AR761" s="72"/>
      <c r="AS761" s="72"/>
      <c r="AT761" s="72"/>
      <c r="AU761" s="72"/>
      <c r="AV761" s="72"/>
      <c r="AW761" s="72"/>
      <c r="AX761" s="72"/>
      <c r="AY761" s="72"/>
      <c r="AZ761" s="72"/>
      <c r="BA761" s="72"/>
      <c r="BB761" s="16"/>
      <c r="BC761" s="72"/>
      <c r="BD761" s="20"/>
      <c r="BE761" s="378"/>
    </row>
    <row r="762" spans="1:57" s="81" customFormat="1" ht="12.95" hidden="1" customHeight="1">
      <c r="A762" s="374"/>
      <c r="B762" s="376"/>
      <c r="C762" s="270" t="s">
        <v>1611</v>
      </c>
      <c r="D762" s="239" t="s">
        <v>4597</v>
      </c>
      <c r="E762" s="58"/>
      <c r="F762" s="59" t="s">
        <v>4598</v>
      </c>
      <c r="G762" s="191" t="s">
        <v>2511</v>
      </c>
      <c r="H762" s="192" t="s">
        <v>1881</v>
      </c>
      <c r="I762" s="61" t="s">
        <v>2511</v>
      </c>
      <c r="J762" s="61" t="s">
        <v>2511</v>
      </c>
      <c r="K762" s="62" t="s">
        <v>2511</v>
      </c>
      <c r="L762" s="60" t="s">
        <v>2511</v>
      </c>
      <c r="M762" s="61" t="s">
        <v>2389</v>
      </c>
      <c r="N762" s="61" t="s">
        <v>2511</v>
      </c>
      <c r="O762" s="61" t="s">
        <v>2511</v>
      </c>
      <c r="P762" s="62" t="s">
        <v>2511</v>
      </c>
      <c r="Q762" s="82"/>
      <c r="R762" s="82"/>
      <c r="S762" s="82"/>
      <c r="T762" s="82"/>
      <c r="U762" s="82"/>
      <c r="V762" s="138" t="s">
        <v>4599</v>
      </c>
      <c r="W762" s="57" t="s">
        <v>4532</v>
      </c>
      <c r="X762" s="126" t="s">
        <v>2511</v>
      </c>
      <c r="Y762" s="126" t="s">
        <v>2511</v>
      </c>
      <c r="Z762" s="57"/>
      <c r="AA762" s="57" t="s">
        <v>4533</v>
      </c>
      <c r="AB762" s="138"/>
      <c r="AC762" s="138" t="s">
        <v>2631</v>
      </c>
      <c r="AD762" s="96"/>
      <c r="AE762" s="80"/>
      <c r="AF762" s="80"/>
      <c r="AG762" s="80"/>
      <c r="AH762" s="83"/>
      <c r="AI762" s="83"/>
      <c r="AJ762" s="84"/>
      <c r="AK762" s="84"/>
      <c r="AL762" s="84"/>
      <c r="AM762" s="84"/>
      <c r="AN762" s="84"/>
      <c r="AO762" s="84"/>
      <c r="AP762" s="84"/>
      <c r="AQ762" s="95" t="s">
        <v>1881</v>
      </c>
      <c r="AR762" s="72"/>
      <c r="AS762" s="72"/>
      <c r="AT762" s="72"/>
      <c r="AU762" s="72"/>
      <c r="AV762" s="72"/>
      <c r="AW762" s="72"/>
      <c r="AX762" s="72"/>
      <c r="AY762" s="72"/>
      <c r="AZ762" s="72"/>
      <c r="BA762" s="72"/>
      <c r="BB762" s="16"/>
      <c r="BC762" s="72"/>
      <c r="BD762" s="20"/>
      <c r="BE762" s="378"/>
    </row>
    <row r="763" spans="1:57" s="81" customFormat="1" ht="12.95" hidden="1" customHeight="1">
      <c r="A763" s="374"/>
      <c r="B763" s="376"/>
      <c r="C763" s="248" t="s">
        <v>1612</v>
      </c>
      <c r="D763" s="239" t="s">
        <v>4600</v>
      </c>
      <c r="E763" s="58"/>
      <c r="F763" s="59" t="s">
        <v>4601</v>
      </c>
      <c r="G763" s="191" t="s">
        <v>2511</v>
      </c>
      <c r="H763" s="192" t="s">
        <v>1882</v>
      </c>
      <c r="I763" s="61" t="s">
        <v>2511</v>
      </c>
      <c r="J763" s="61" t="s">
        <v>2511</v>
      </c>
      <c r="K763" s="62" t="s">
        <v>2511</v>
      </c>
      <c r="L763" s="60" t="s">
        <v>2511</v>
      </c>
      <c r="M763" s="61" t="s">
        <v>2389</v>
      </c>
      <c r="N763" s="61" t="s">
        <v>2511</v>
      </c>
      <c r="O763" s="61" t="s">
        <v>2511</v>
      </c>
      <c r="P763" s="62" t="s">
        <v>2511</v>
      </c>
      <c r="Q763" s="82"/>
      <c r="R763" s="82"/>
      <c r="S763" s="82"/>
      <c r="T763" s="82"/>
      <c r="U763" s="82"/>
      <c r="V763" s="138" t="s">
        <v>4602</v>
      </c>
      <c r="W763" s="57" t="s">
        <v>4532</v>
      </c>
      <c r="X763" s="126" t="s">
        <v>2511</v>
      </c>
      <c r="Y763" s="126" t="s">
        <v>2511</v>
      </c>
      <c r="Z763" s="57"/>
      <c r="AA763" s="57" t="s">
        <v>4533</v>
      </c>
      <c r="AB763" s="138"/>
      <c r="AC763" s="138">
        <v>0</v>
      </c>
      <c r="AD763" s="96"/>
      <c r="AE763" s="80"/>
      <c r="AF763" s="80"/>
      <c r="AG763" s="80"/>
      <c r="AH763" s="83"/>
      <c r="AI763" s="83"/>
      <c r="AJ763" s="84"/>
      <c r="AK763" s="84"/>
      <c r="AL763" s="84"/>
      <c r="AM763" s="84"/>
      <c r="AN763" s="84"/>
      <c r="AO763" s="84"/>
      <c r="AP763" s="84"/>
      <c r="AQ763" s="95" t="s">
        <v>1882</v>
      </c>
      <c r="AR763" s="72"/>
      <c r="AS763" s="72"/>
      <c r="AT763" s="72"/>
      <c r="AU763" s="72"/>
      <c r="AV763" s="72"/>
      <c r="AW763" s="72"/>
      <c r="AX763" s="72"/>
      <c r="AY763" s="72"/>
      <c r="AZ763" s="72"/>
      <c r="BA763" s="72"/>
      <c r="BB763" s="16"/>
      <c r="BC763" s="72"/>
      <c r="BD763" s="20"/>
      <c r="BE763" s="378"/>
    </row>
    <row r="764" spans="1:57" s="81" customFormat="1" ht="12.95" hidden="1" customHeight="1">
      <c r="A764" s="374"/>
      <c r="B764" s="376"/>
      <c r="C764" s="248" t="s">
        <v>1613</v>
      </c>
      <c r="D764" s="239" t="s">
        <v>4603</v>
      </c>
      <c r="E764" s="58"/>
      <c r="F764" s="59" t="s">
        <v>4604</v>
      </c>
      <c r="G764" s="191" t="s">
        <v>2511</v>
      </c>
      <c r="H764" s="192" t="s">
        <v>1883</v>
      </c>
      <c r="I764" s="61" t="s">
        <v>2511</v>
      </c>
      <c r="J764" s="61" t="s">
        <v>2511</v>
      </c>
      <c r="K764" s="62" t="s">
        <v>2511</v>
      </c>
      <c r="L764" s="60" t="s">
        <v>2511</v>
      </c>
      <c r="M764" s="61" t="s">
        <v>2389</v>
      </c>
      <c r="N764" s="61" t="s">
        <v>2511</v>
      </c>
      <c r="O764" s="61" t="s">
        <v>2511</v>
      </c>
      <c r="P764" s="62" t="s">
        <v>2511</v>
      </c>
      <c r="Q764" s="82"/>
      <c r="R764" s="82"/>
      <c r="S764" s="82"/>
      <c r="T764" s="82"/>
      <c r="U764" s="82"/>
      <c r="V764" s="138" t="s">
        <v>4605</v>
      </c>
      <c r="W764" s="57" t="s">
        <v>4532</v>
      </c>
      <c r="X764" s="126" t="s">
        <v>2511</v>
      </c>
      <c r="Y764" s="126" t="s">
        <v>2511</v>
      </c>
      <c r="Z764" s="57"/>
      <c r="AA764" s="57" t="s">
        <v>4533</v>
      </c>
      <c r="AB764" s="138"/>
      <c r="AC764" s="138" t="s">
        <v>2631</v>
      </c>
      <c r="AD764" s="96"/>
      <c r="AE764" s="80"/>
      <c r="AF764" s="80"/>
      <c r="AG764" s="80"/>
      <c r="AH764" s="83"/>
      <c r="AI764" s="83"/>
      <c r="AJ764" s="84"/>
      <c r="AK764" s="84"/>
      <c r="AL764" s="84"/>
      <c r="AM764" s="84"/>
      <c r="AN764" s="84"/>
      <c r="AO764" s="84"/>
      <c r="AP764" s="84"/>
      <c r="AQ764" s="95" t="s">
        <v>1883</v>
      </c>
      <c r="AR764" s="72"/>
      <c r="AS764" s="72"/>
      <c r="AT764" s="72"/>
      <c r="AU764" s="72"/>
      <c r="AV764" s="72"/>
      <c r="AW764" s="72"/>
      <c r="AX764" s="72"/>
      <c r="AY764" s="72"/>
      <c r="AZ764" s="72"/>
      <c r="BA764" s="72"/>
      <c r="BB764" s="16"/>
      <c r="BC764" s="72"/>
      <c r="BD764" s="20"/>
      <c r="BE764" s="378"/>
    </row>
    <row r="765" spans="1:57" s="81" customFormat="1" ht="12.95" hidden="1" customHeight="1">
      <c r="A765" s="374"/>
      <c r="B765" s="376"/>
      <c r="C765" s="248" t="s">
        <v>1614</v>
      </c>
      <c r="D765" s="239" t="s">
        <v>4606</v>
      </c>
      <c r="E765" s="58"/>
      <c r="F765" s="59" t="s">
        <v>4607</v>
      </c>
      <c r="G765" s="191" t="s">
        <v>2511</v>
      </c>
      <c r="H765" s="192" t="s">
        <v>1884</v>
      </c>
      <c r="I765" s="61" t="s">
        <v>2511</v>
      </c>
      <c r="J765" s="61" t="s">
        <v>2511</v>
      </c>
      <c r="K765" s="62" t="s">
        <v>2511</v>
      </c>
      <c r="L765" s="60" t="s">
        <v>2511</v>
      </c>
      <c r="M765" s="61" t="s">
        <v>2389</v>
      </c>
      <c r="N765" s="61" t="s">
        <v>2511</v>
      </c>
      <c r="O765" s="61" t="s">
        <v>2511</v>
      </c>
      <c r="P765" s="62" t="s">
        <v>2511</v>
      </c>
      <c r="Q765" s="82"/>
      <c r="R765" s="82"/>
      <c r="S765" s="82"/>
      <c r="T765" s="82"/>
      <c r="U765" s="82"/>
      <c r="V765" s="138" t="s">
        <v>4608</v>
      </c>
      <c r="W765" s="57" t="s">
        <v>4532</v>
      </c>
      <c r="X765" s="126" t="s">
        <v>2511</v>
      </c>
      <c r="Y765" s="126" t="s">
        <v>2511</v>
      </c>
      <c r="Z765" s="57"/>
      <c r="AA765" s="57" t="s">
        <v>4533</v>
      </c>
      <c r="AB765" s="138"/>
      <c r="AC765" s="138" t="s">
        <v>2631</v>
      </c>
      <c r="AD765" s="96"/>
      <c r="AE765" s="80"/>
      <c r="AF765" s="80"/>
      <c r="AG765" s="80"/>
      <c r="AH765" s="83"/>
      <c r="AI765" s="83"/>
      <c r="AJ765" s="84"/>
      <c r="AK765" s="84"/>
      <c r="AL765" s="84"/>
      <c r="AM765" s="84"/>
      <c r="AN765" s="84"/>
      <c r="AO765" s="84"/>
      <c r="AP765" s="84"/>
      <c r="AQ765" s="95" t="s">
        <v>1884</v>
      </c>
      <c r="AR765" s="72"/>
      <c r="AS765" s="72"/>
      <c r="AT765" s="72"/>
      <c r="AU765" s="72"/>
      <c r="AV765" s="72"/>
      <c r="AW765" s="72"/>
      <c r="AX765" s="72"/>
      <c r="AY765" s="72"/>
      <c r="AZ765" s="72"/>
      <c r="BA765" s="72"/>
      <c r="BB765" s="16"/>
      <c r="BC765" s="72"/>
      <c r="BD765" s="20"/>
      <c r="BE765" s="378"/>
    </row>
    <row r="766" spans="1:57" s="81" customFormat="1" ht="12.95" hidden="1" customHeight="1">
      <c r="A766" s="374"/>
      <c r="B766" s="376"/>
      <c r="C766" s="248" t="s">
        <v>1615</v>
      </c>
      <c r="D766" s="239" t="s">
        <v>4609</v>
      </c>
      <c r="E766" s="58"/>
      <c r="F766" s="59" t="s">
        <v>4610</v>
      </c>
      <c r="G766" s="191" t="s">
        <v>2511</v>
      </c>
      <c r="H766" s="192" t="s">
        <v>1885</v>
      </c>
      <c r="I766" s="61" t="s">
        <v>2511</v>
      </c>
      <c r="J766" s="61" t="s">
        <v>2511</v>
      </c>
      <c r="K766" s="62" t="s">
        <v>2511</v>
      </c>
      <c r="L766" s="60" t="s">
        <v>2511</v>
      </c>
      <c r="M766" s="61" t="s">
        <v>2389</v>
      </c>
      <c r="N766" s="61" t="s">
        <v>2511</v>
      </c>
      <c r="O766" s="61" t="s">
        <v>2511</v>
      </c>
      <c r="P766" s="62" t="s">
        <v>2511</v>
      </c>
      <c r="Q766" s="82"/>
      <c r="R766" s="82"/>
      <c r="S766" s="82"/>
      <c r="T766" s="82"/>
      <c r="U766" s="82"/>
      <c r="V766" s="138" t="s">
        <v>4611</v>
      </c>
      <c r="W766" s="57" t="s">
        <v>4532</v>
      </c>
      <c r="X766" s="126" t="s">
        <v>2511</v>
      </c>
      <c r="Y766" s="126" t="s">
        <v>2511</v>
      </c>
      <c r="Z766" s="57"/>
      <c r="AA766" s="57" t="s">
        <v>4533</v>
      </c>
      <c r="AB766" s="138"/>
      <c r="AC766" s="138" t="s">
        <v>2631</v>
      </c>
      <c r="AD766" s="96"/>
      <c r="AE766" s="80"/>
      <c r="AF766" s="80"/>
      <c r="AG766" s="80"/>
      <c r="AH766" s="83"/>
      <c r="AI766" s="83"/>
      <c r="AJ766" s="84"/>
      <c r="AK766" s="84"/>
      <c r="AL766" s="84"/>
      <c r="AM766" s="84"/>
      <c r="AN766" s="84"/>
      <c r="AO766" s="84"/>
      <c r="AP766" s="84"/>
      <c r="AQ766" s="95" t="s">
        <v>1885</v>
      </c>
      <c r="AR766" s="72"/>
      <c r="AS766" s="72"/>
      <c r="AT766" s="72"/>
      <c r="AU766" s="72"/>
      <c r="AV766" s="72"/>
      <c r="AW766" s="72"/>
      <c r="AX766" s="72"/>
      <c r="AY766" s="72"/>
      <c r="AZ766" s="72"/>
      <c r="BA766" s="72"/>
      <c r="BB766" s="16"/>
      <c r="BC766" s="72"/>
      <c r="BD766" s="20"/>
      <c r="BE766" s="378"/>
    </row>
    <row r="767" spans="1:57" s="81" customFormat="1" ht="12.95" hidden="1" customHeight="1">
      <c r="A767" s="374"/>
      <c r="B767" s="376"/>
      <c r="C767" s="248" t="s">
        <v>1616</v>
      </c>
      <c r="D767" s="239" t="s">
        <v>4612</v>
      </c>
      <c r="E767" s="58"/>
      <c r="F767" s="59" t="s">
        <v>4613</v>
      </c>
      <c r="G767" s="191" t="s">
        <v>2511</v>
      </c>
      <c r="H767" s="192" t="s">
        <v>1886</v>
      </c>
      <c r="I767" s="61" t="s">
        <v>2511</v>
      </c>
      <c r="J767" s="61" t="s">
        <v>2511</v>
      </c>
      <c r="K767" s="62" t="s">
        <v>2511</v>
      </c>
      <c r="L767" s="60" t="s">
        <v>2511</v>
      </c>
      <c r="M767" s="61" t="s">
        <v>2389</v>
      </c>
      <c r="N767" s="61" t="s">
        <v>2511</v>
      </c>
      <c r="O767" s="61" t="s">
        <v>2511</v>
      </c>
      <c r="P767" s="62" t="s">
        <v>2511</v>
      </c>
      <c r="Q767" s="82"/>
      <c r="R767" s="82"/>
      <c r="S767" s="82"/>
      <c r="T767" s="82"/>
      <c r="U767" s="82"/>
      <c r="V767" s="138" t="s">
        <v>4614</v>
      </c>
      <c r="W767" s="57" t="s">
        <v>4532</v>
      </c>
      <c r="X767" s="126" t="s">
        <v>2511</v>
      </c>
      <c r="Y767" s="126" t="s">
        <v>2511</v>
      </c>
      <c r="Z767" s="57"/>
      <c r="AA767" s="57" t="s">
        <v>4533</v>
      </c>
      <c r="AB767" s="138"/>
      <c r="AC767" s="138" t="s">
        <v>2631</v>
      </c>
      <c r="AD767" s="96"/>
      <c r="AE767" s="80"/>
      <c r="AF767" s="80"/>
      <c r="AG767" s="80"/>
      <c r="AH767" s="83"/>
      <c r="AI767" s="83"/>
      <c r="AJ767" s="84"/>
      <c r="AK767" s="84"/>
      <c r="AL767" s="84"/>
      <c r="AM767" s="84"/>
      <c r="AN767" s="84"/>
      <c r="AO767" s="84"/>
      <c r="AP767" s="84"/>
      <c r="AQ767" s="95" t="s">
        <v>1886</v>
      </c>
      <c r="AR767" s="72"/>
      <c r="AS767" s="72"/>
      <c r="AT767" s="72"/>
      <c r="AU767" s="72"/>
      <c r="AV767" s="72"/>
      <c r="AW767" s="72"/>
      <c r="AX767" s="72"/>
      <c r="AY767" s="72"/>
      <c r="AZ767" s="72"/>
      <c r="BA767" s="72"/>
      <c r="BB767" s="16"/>
      <c r="BC767" s="72"/>
      <c r="BD767" s="20"/>
      <c r="BE767" s="378"/>
    </row>
    <row r="768" spans="1:57" s="81" customFormat="1" ht="12.95" hidden="1" customHeight="1">
      <c r="A768" s="374"/>
      <c r="B768" s="376"/>
      <c r="C768" s="248" t="s">
        <v>1617</v>
      </c>
      <c r="D768" s="239" t="s">
        <v>4615</v>
      </c>
      <c r="E768" s="58"/>
      <c r="F768" s="59" t="s">
        <v>4616</v>
      </c>
      <c r="G768" s="191" t="s">
        <v>2511</v>
      </c>
      <c r="H768" s="192" t="s">
        <v>1887</v>
      </c>
      <c r="I768" s="61" t="s">
        <v>2511</v>
      </c>
      <c r="J768" s="61" t="s">
        <v>2511</v>
      </c>
      <c r="K768" s="62" t="s">
        <v>2511</v>
      </c>
      <c r="L768" s="60" t="s">
        <v>2511</v>
      </c>
      <c r="M768" s="61" t="s">
        <v>2389</v>
      </c>
      <c r="N768" s="61" t="s">
        <v>2511</v>
      </c>
      <c r="O768" s="61" t="s">
        <v>2511</v>
      </c>
      <c r="P768" s="62" t="s">
        <v>2511</v>
      </c>
      <c r="Q768" s="82"/>
      <c r="R768" s="82"/>
      <c r="S768" s="82"/>
      <c r="T768" s="82"/>
      <c r="U768" s="82"/>
      <c r="V768" s="138" t="s">
        <v>4617</v>
      </c>
      <c r="W768" s="57" t="s">
        <v>4532</v>
      </c>
      <c r="X768" s="126" t="s">
        <v>2511</v>
      </c>
      <c r="Y768" s="126" t="s">
        <v>2511</v>
      </c>
      <c r="Z768" s="57"/>
      <c r="AA768" s="57" t="s">
        <v>4533</v>
      </c>
      <c r="AB768" s="138"/>
      <c r="AC768" s="138" t="s">
        <v>2631</v>
      </c>
      <c r="AD768" s="96"/>
      <c r="AE768" s="80"/>
      <c r="AF768" s="80"/>
      <c r="AG768" s="80"/>
      <c r="AH768" s="83"/>
      <c r="AI768" s="83"/>
      <c r="AJ768" s="84"/>
      <c r="AK768" s="84"/>
      <c r="AL768" s="84"/>
      <c r="AM768" s="84"/>
      <c r="AN768" s="84"/>
      <c r="AO768" s="84"/>
      <c r="AP768" s="84"/>
      <c r="AQ768" s="95" t="s">
        <v>1887</v>
      </c>
      <c r="AR768" s="72"/>
      <c r="AS768" s="72"/>
      <c r="AT768" s="72"/>
      <c r="AU768" s="72"/>
      <c r="AV768" s="72"/>
      <c r="AW768" s="72"/>
      <c r="AX768" s="72"/>
      <c r="AY768" s="72"/>
      <c r="AZ768" s="72"/>
      <c r="BA768" s="72"/>
      <c r="BB768" s="16"/>
      <c r="BC768" s="72"/>
      <c r="BD768" s="20"/>
      <c r="BE768" s="378"/>
    </row>
    <row r="769" spans="1:57" s="81" customFormat="1" ht="12.95" hidden="1" customHeight="1">
      <c r="A769" s="374"/>
      <c r="B769" s="376"/>
      <c r="C769" s="248" t="s">
        <v>1618</v>
      </c>
      <c r="D769" s="239" t="s">
        <v>4618</v>
      </c>
      <c r="E769" s="58"/>
      <c r="F769" s="59" t="s">
        <v>4619</v>
      </c>
      <c r="G769" s="191" t="s">
        <v>2511</v>
      </c>
      <c r="H769" s="192" t="s">
        <v>1888</v>
      </c>
      <c r="I769" s="61" t="s">
        <v>2511</v>
      </c>
      <c r="J769" s="61" t="s">
        <v>2511</v>
      </c>
      <c r="K769" s="62" t="s">
        <v>2511</v>
      </c>
      <c r="L769" s="60" t="s">
        <v>2511</v>
      </c>
      <c r="M769" s="61" t="s">
        <v>2389</v>
      </c>
      <c r="N769" s="61" t="s">
        <v>2511</v>
      </c>
      <c r="O769" s="61" t="s">
        <v>2511</v>
      </c>
      <c r="P769" s="62" t="s">
        <v>2511</v>
      </c>
      <c r="Q769" s="82"/>
      <c r="R769" s="82"/>
      <c r="S769" s="82"/>
      <c r="T769" s="82"/>
      <c r="U769" s="82"/>
      <c r="V769" s="138" t="s">
        <v>4620</v>
      </c>
      <c r="W769" s="57" t="s">
        <v>4532</v>
      </c>
      <c r="X769" s="126" t="s">
        <v>2511</v>
      </c>
      <c r="Y769" s="126" t="s">
        <v>2511</v>
      </c>
      <c r="Z769" s="57"/>
      <c r="AA769" s="57" t="s">
        <v>4533</v>
      </c>
      <c r="AB769" s="138"/>
      <c r="AC769" s="138" t="s">
        <v>2631</v>
      </c>
      <c r="AD769" s="96"/>
      <c r="AE769" s="80"/>
      <c r="AF769" s="80"/>
      <c r="AG769" s="80"/>
      <c r="AH769" s="83"/>
      <c r="AI769" s="83"/>
      <c r="AJ769" s="84"/>
      <c r="AK769" s="84"/>
      <c r="AL769" s="84"/>
      <c r="AM769" s="84"/>
      <c r="AN769" s="84"/>
      <c r="AO769" s="84"/>
      <c r="AP769" s="84"/>
      <c r="AQ769" s="95" t="s">
        <v>1888</v>
      </c>
      <c r="AR769" s="72"/>
      <c r="AS769" s="72"/>
      <c r="AT769" s="72"/>
      <c r="AU769" s="72"/>
      <c r="AV769" s="72"/>
      <c r="AW769" s="72"/>
      <c r="AX769" s="72"/>
      <c r="AY769" s="72"/>
      <c r="AZ769" s="72"/>
      <c r="BA769" s="72"/>
      <c r="BB769" s="16"/>
      <c r="BC769" s="72"/>
      <c r="BD769" s="20"/>
      <c r="BE769" s="378"/>
    </row>
    <row r="770" spans="1:57" s="81" customFormat="1" ht="12.95" hidden="1" customHeight="1">
      <c r="A770" s="374"/>
      <c r="B770" s="376"/>
      <c r="C770" s="248" t="s">
        <v>1619</v>
      </c>
      <c r="D770" s="239" t="s">
        <v>4621</v>
      </c>
      <c r="E770" s="58"/>
      <c r="F770" s="59" t="s">
        <v>4622</v>
      </c>
      <c r="G770" s="191" t="s">
        <v>2511</v>
      </c>
      <c r="H770" s="192" t="s">
        <v>1889</v>
      </c>
      <c r="I770" s="61" t="s">
        <v>2511</v>
      </c>
      <c r="J770" s="61" t="s">
        <v>2511</v>
      </c>
      <c r="K770" s="62" t="s">
        <v>2511</v>
      </c>
      <c r="L770" s="60" t="s">
        <v>2511</v>
      </c>
      <c r="M770" s="61" t="s">
        <v>2389</v>
      </c>
      <c r="N770" s="61" t="s">
        <v>2511</v>
      </c>
      <c r="O770" s="61" t="s">
        <v>2511</v>
      </c>
      <c r="P770" s="62" t="s">
        <v>2511</v>
      </c>
      <c r="Q770" s="82"/>
      <c r="R770" s="82"/>
      <c r="S770" s="82"/>
      <c r="T770" s="82"/>
      <c r="U770" s="82"/>
      <c r="V770" s="138" t="s">
        <v>4623</v>
      </c>
      <c r="W770" s="57" t="s">
        <v>4532</v>
      </c>
      <c r="X770" s="126" t="s">
        <v>2511</v>
      </c>
      <c r="Y770" s="126" t="s">
        <v>2511</v>
      </c>
      <c r="Z770" s="57"/>
      <c r="AA770" s="57" t="s">
        <v>4533</v>
      </c>
      <c r="AB770" s="138"/>
      <c r="AC770" s="138" t="s">
        <v>2631</v>
      </c>
      <c r="AD770" s="96"/>
      <c r="AE770" s="80"/>
      <c r="AF770" s="80"/>
      <c r="AG770" s="80"/>
      <c r="AH770" s="83"/>
      <c r="AI770" s="83"/>
      <c r="AJ770" s="84"/>
      <c r="AK770" s="84"/>
      <c r="AL770" s="84"/>
      <c r="AM770" s="84"/>
      <c r="AN770" s="84"/>
      <c r="AO770" s="84"/>
      <c r="AP770" s="84"/>
      <c r="AQ770" s="95" t="s">
        <v>1889</v>
      </c>
      <c r="AR770" s="72"/>
      <c r="AS770" s="72"/>
      <c r="AT770" s="72"/>
      <c r="AU770" s="72"/>
      <c r="AV770" s="72"/>
      <c r="AW770" s="72"/>
      <c r="AX770" s="72"/>
      <c r="AY770" s="72"/>
      <c r="AZ770" s="72"/>
      <c r="BA770" s="72"/>
      <c r="BB770" s="16"/>
      <c r="BC770" s="72"/>
      <c r="BD770" s="20"/>
      <c r="BE770" s="378"/>
    </row>
    <row r="771" spans="1:57" s="81" customFormat="1" ht="12.95" hidden="1" customHeight="1">
      <c r="A771" s="374"/>
      <c r="B771" s="376"/>
      <c r="C771" s="248" t="s">
        <v>1620</v>
      </c>
      <c r="D771" s="239" t="s">
        <v>4624</v>
      </c>
      <c r="E771" s="58"/>
      <c r="F771" s="59" t="s">
        <v>4625</v>
      </c>
      <c r="G771" s="191" t="s">
        <v>2511</v>
      </c>
      <c r="H771" s="192" t="s">
        <v>1890</v>
      </c>
      <c r="I771" s="61" t="s">
        <v>2511</v>
      </c>
      <c r="J771" s="61" t="s">
        <v>2511</v>
      </c>
      <c r="K771" s="62" t="s">
        <v>2511</v>
      </c>
      <c r="L771" s="60" t="s">
        <v>2511</v>
      </c>
      <c r="M771" s="61" t="s">
        <v>2389</v>
      </c>
      <c r="N771" s="61" t="s">
        <v>2511</v>
      </c>
      <c r="O771" s="61" t="s">
        <v>2511</v>
      </c>
      <c r="P771" s="62" t="s">
        <v>2511</v>
      </c>
      <c r="Q771" s="82"/>
      <c r="R771" s="82"/>
      <c r="S771" s="82"/>
      <c r="T771" s="82"/>
      <c r="U771" s="82"/>
      <c r="V771" s="138" t="s">
        <v>4626</v>
      </c>
      <c r="W771" s="57" t="s">
        <v>4532</v>
      </c>
      <c r="X771" s="126" t="s">
        <v>2511</v>
      </c>
      <c r="Y771" s="126" t="s">
        <v>2511</v>
      </c>
      <c r="Z771" s="57"/>
      <c r="AA771" s="57" t="s">
        <v>4533</v>
      </c>
      <c r="AB771" s="138"/>
      <c r="AC771" s="138" t="s">
        <v>2631</v>
      </c>
      <c r="AD771" s="96"/>
      <c r="AE771" s="80"/>
      <c r="AF771" s="80"/>
      <c r="AG771" s="80"/>
      <c r="AH771" s="83"/>
      <c r="AI771" s="83"/>
      <c r="AJ771" s="84"/>
      <c r="AK771" s="84"/>
      <c r="AL771" s="84"/>
      <c r="AM771" s="84"/>
      <c r="AN771" s="84"/>
      <c r="AO771" s="84"/>
      <c r="AP771" s="84"/>
      <c r="AQ771" s="95" t="s">
        <v>1890</v>
      </c>
      <c r="AR771" s="72"/>
      <c r="AS771" s="72"/>
      <c r="AT771" s="72"/>
      <c r="AU771" s="72"/>
      <c r="AV771" s="72"/>
      <c r="AW771" s="72"/>
      <c r="AX771" s="72"/>
      <c r="AY771" s="72"/>
      <c r="AZ771" s="72"/>
      <c r="BA771" s="72"/>
      <c r="BB771" s="16"/>
      <c r="BC771" s="72"/>
      <c r="BD771" s="20"/>
      <c r="BE771" s="378"/>
    </row>
    <row r="772" spans="1:57" s="81" customFormat="1" ht="12.95" hidden="1" customHeight="1">
      <c r="A772" s="374"/>
      <c r="B772" s="376"/>
      <c r="C772" s="248" t="s">
        <v>1621</v>
      </c>
      <c r="D772" s="239" t="s">
        <v>4627</v>
      </c>
      <c r="E772" s="58"/>
      <c r="F772" s="59" t="s">
        <v>4628</v>
      </c>
      <c r="G772" s="191" t="s">
        <v>2511</v>
      </c>
      <c r="H772" s="192" t="s">
        <v>1891</v>
      </c>
      <c r="I772" s="61" t="s">
        <v>2511</v>
      </c>
      <c r="J772" s="61" t="s">
        <v>2511</v>
      </c>
      <c r="K772" s="62" t="s">
        <v>2511</v>
      </c>
      <c r="L772" s="60" t="s">
        <v>2511</v>
      </c>
      <c r="M772" s="61" t="s">
        <v>2389</v>
      </c>
      <c r="N772" s="61" t="s">
        <v>2511</v>
      </c>
      <c r="O772" s="61" t="s">
        <v>2511</v>
      </c>
      <c r="P772" s="62" t="s">
        <v>2511</v>
      </c>
      <c r="Q772" s="82"/>
      <c r="R772" s="82"/>
      <c r="S772" s="82"/>
      <c r="T772" s="82"/>
      <c r="U772" s="82"/>
      <c r="V772" s="138" t="s">
        <v>4629</v>
      </c>
      <c r="W772" s="57" t="s">
        <v>4532</v>
      </c>
      <c r="X772" s="126" t="s">
        <v>2511</v>
      </c>
      <c r="Y772" s="126" t="s">
        <v>2511</v>
      </c>
      <c r="Z772" s="57"/>
      <c r="AA772" s="57" t="s">
        <v>4533</v>
      </c>
      <c r="AB772" s="138"/>
      <c r="AC772" s="138" t="s">
        <v>2631</v>
      </c>
      <c r="AD772" s="96"/>
      <c r="AE772" s="80"/>
      <c r="AF772" s="80"/>
      <c r="AG772" s="80"/>
      <c r="AH772" s="83"/>
      <c r="AI772" s="83"/>
      <c r="AJ772" s="84"/>
      <c r="AK772" s="84"/>
      <c r="AL772" s="84"/>
      <c r="AM772" s="84"/>
      <c r="AN772" s="84"/>
      <c r="AO772" s="84"/>
      <c r="AP772" s="84"/>
      <c r="AQ772" s="95" t="s">
        <v>1891</v>
      </c>
      <c r="AR772" s="72"/>
      <c r="AS772" s="72"/>
      <c r="AT772" s="72"/>
      <c r="AU772" s="72"/>
      <c r="AV772" s="72"/>
      <c r="AW772" s="72"/>
      <c r="AX772" s="72"/>
      <c r="AY772" s="72"/>
      <c r="AZ772" s="72"/>
      <c r="BA772" s="72"/>
      <c r="BB772" s="16"/>
      <c r="BC772" s="72"/>
      <c r="BD772" s="20"/>
      <c r="BE772" s="378"/>
    </row>
    <row r="773" spans="1:57" s="81" customFormat="1" ht="12.95" hidden="1" customHeight="1">
      <c r="A773" s="374"/>
      <c r="B773" s="376"/>
      <c r="C773" s="270" t="s">
        <v>1622</v>
      </c>
      <c r="D773" s="239" t="s">
        <v>4630</v>
      </c>
      <c r="E773" s="58"/>
      <c r="F773" s="59" t="s">
        <v>4631</v>
      </c>
      <c r="G773" s="191" t="s">
        <v>2511</v>
      </c>
      <c r="H773" s="192" t="s">
        <v>1892</v>
      </c>
      <c r="I773" s="61" t="s">
        <v>2511</v>
      </c>
      <c r="J773" s="61" t="s">
        <v>2511</v>
      </c>
      <c r="K773" s="62" t="s">
        <v>2511</v>
      </c>
      <c r="L773" s="60" t="s">
        <v>2511</v>
      </c>
      <c r="M773" s="61" t="s">
        <v>2389</v>
      </c>
      <c r="N773" s="61" t="s">
        <v>2511</v>
      </c>
      <c r="O773" s="61" t="s">
        <v>2511</v>
      </c>
      <c r="P773" s="62" t="s">
        <v>2511</v>
      </c>
      <c r="Q773" s="82"/>
      <c r="R773" s="82"/>
      <c r="S773" s="82"/>
      <c r="T773" s="82"/>
      <c r="U773" s="82"/>
      <c r="V773" s="138" t="s">
        <v>4632</v>
      </c>
      <c r="W773" s="57" t="s">
        <v>4532</v>
      </c>
      <c r="X773" s="126" t="s">
        <v>2511</v>
      </c>
      <c r="Y773" s="126" t="s">
        <v>2511</v>
      </c>
      <c r="Z773" s="57"/>
      <c r="AA773" s="57" t="s">
        <v>4533</v>
      </c>
      <c r="AB773" s="138"/>
      <c r="AC773" s="138" t="s">
        <v>2631</v>
      </c>
      <c r="AD773" s="96"/>
      <c r="AE773" s="80"/>
      <c r="AF773" s="80"/>
      <c r="AG773" s="80"/>
      <c r="AH773" s="83"/>
      <c r="AI773" s="83"/>
      <c r="AJ773" s="84"/>
      <c r="AK773" s="84"/>
      <c r="AL773" s="84"/>
      <c r="AM773" s="84"/>
      <c r="AN773" s="84"/>
      <c r="AO773" s="84"/>
      <c r="AP773" s="84"/>
      <c r="AQ773" s="95" t="s">
        <v>1892</v>
      </c>
      <c r="AR773" s="72"/>
      <c r="AS773" s="72"/>
      <c r="AT773" s="72"/>
      <c r="AU773" s="72"/>
      <c r="AV773" s="72"/>
      <c r="AW773" s="72"/>
      <c r="AX773" s="72"/>
      <c r="AY773" s="72"/>
      <c r="AZ773" s="72"/>
      <c r="BA773" s="72"/>
      <c r="BB773" s="16"/>
      <c r="BC773" s="72"/>
      <c r="BD773" s="20"/>
      <c r="BE773" s="378"/>
    </row>
    <row r="774" spans="1:57" s="81" customFormat="1" ht="12.95" hidden="1" customHeight="1">
      <c r="A774" s="374"/>
      <c r="B774" s="376"/>
      <c r="C774" s="270" t="s">
        <v>1623</v>
      </c>
      <c r="D774" s="239" t="s">
        <v>4633</v>
      </c>
      <c r="E774" s="58"/>
      <c r="F774" s="59" t="s">
        <v>4634</v>
      </c>
      <c r="G774" s="191" t="s">
        <v>2511</v>
      </c>
      <c r="H774" s="192" t="s">
        <v>1893</v>
      </c>
      <c r="I774" s="61" t="s">
        <v>2511</v>
      </c>
      <c r="J774" s="61" t="s">
        <v>2511</v>
      </c>
      <c r="K774" s="62" t="s">
        <v>2511</v>
      </c>
      <c r="L774" s="60" t="s">
        <v>2511</v>
      </c>
      <c r="M774" s="61" t="s">
        <v>2389</v>
      </c>
      <c r="N774" s="61" t="s">
        <v>2511</v>
      </c>
      <c r="O774" s="61" t="s">
        <v>2511</v>
      </c>
      <c r="P774" s="62" t="s">
        <v>2511</v>
      </c>
      <c r="Q774" s="82"/>
      <c r="R774" s="82"/>
      <c r="S774" s="82"/>
      <c r="T774" s="82"/>
      <c r="U774" s="82"/>
      <c r="V774" s="138" t="s">
        <v>4635</v>
      </c>
      <c r="W774" s="57" t="s">
        <v>4532</v>
      </c>
      <c r="X774" s="126" t="s">
        <v>2511</v>
      </c>
      <c r="Y774" s="126" t="s">
        <v>2511</v>
      </c>
      <c r="Z774" s="57"/>
      <c r="AA774" s="57" t="s">
        <v>4533</v>
      </c>
      <c r="AB774" s="138"/>
      <c r="AC774" s="138" t="s">
        <v>2631</v>
      </c>
      <c r="AD774" s="96"/>
      <c r="AE774" s="80"/>
      <c r="AF774" s="80"/>
      <c r="AG774" s="80"/>
      <c r="AH774" s="83"/>
      <c r="AI774" s="83"/>
      <c r="AJ774" s="84"/>
      <c r="AK774" s="84"/>
      <c r="AL774" s="84"/>
      <c r="AM774" s="84"/>
      <c r="AN774" s="84"/>
      <c r="AO774" s="84"/>
      <c r="AP774" s="84"/>
      <c r="AQ774" s="95" t="s">
        <v>1893</v>
      </c>
      <c r="AR774" s="72"/>
      <c r="AS774" s="72"/>
      <c r="AT774" s="72"/>
      <c r="AU774" s="72"/>
      <c r="AV774" s="72"/>
      <c r="AW774" s="72"/>
      <c r="AX774" s="72"/>
      <c r="AY774" s="72"/>
      <c r="AZ774" s="72"/>
      <c r="BA774" s="72"/>
      <c r="BB774" s="16"/>
      <c r="BC774" s="72"/>
      <c r="BD774" s="20"/>
      <c r="BE774" s="378"/>
    </row>
    <row r="775" spans="1:57" s="81" customFormat="1" ht="12.95" hidden="1" customHeight="1">
      <c r="A775" s="374"/>
      <c r="B775" s="376"/>
      <c r="C775" s="248" t="s">
        <v>1624</v>
      </c>
      <c r="D775" s="239" t="s">
        <v>4636</v>
      </c>
      <c r="E775" s="58"/>
      <c r="F775" s="59" t="s">
        <v>4637</v>
      </c>
      <c r="G775" s="191" t="s">
        <v>2511</v>
      </c>
      <c r="H775" s="192" t="s">
        <v>1894</v>
      </c>
      <c r="I775" s="61" t="s">
        <v>2511</v>
      </c>
      <c r="J775" s="61" t="s">
        <v>2511</v>
      </c>
      <c r="K775" s="62" t="s">
        <v>2511</v>
      </c>
      <c r="L775" s="60" t="s">
        <v>2511</v>
      </c>
      <c r="M775" s="61" t="s">
        <v>2389</v>
      </c>
      <c r="N775" s="61" t="s">
        <v>2511</v>
      </c>
      <c r="O775" s="61" t="s">
        <v>2511</v>
      </c>
      <c r="P775" s="62" t="s">
        <v>2511</v>
      </c>
      <c r="Q775" s="82"/>
      <c r="R775" s="82"/>
      <c r="S775" s="82"/>
      <c r="T775" s="82"/>
      <c r="U775" s="82"/>
      <c r="V775" s="138" t="s">
        <v>4638</v>
      </c>
      <c r="W775" s="57" t="s">
        <v>4532</v>
      </c>
      <c r="X775" s="126" t="s">
        <v>2511</v>
      </c>
      <c r="Y775" s="126" t="s">
        <v>2511</v>
      </c>
      <c r="Z775" s="57"/>
      <c r="AA775" s="57" t="s">
        <v>4533</v>
      </c>
      <c r="AB775" s="138"/>
      <c r="AC775" s="138">
        <v>0</v>
      </c>
      <c r="AD775" s="96"/>
      <c r="AE775" s="80"/>
      <c r="AF775" s="80"/>
      <c r="AG775" s="80"/>
      <c r="AH775" s="83"/>
      <c r="AI775" s="83"/>
      <c r="AJ775" s="84"/>
      <c r="AK775" s="84"/>
      <c r="AL775" s="84"/>
      <c r="AM775" s="84"/>
      <c r="AN775" s="84"/>
      <c r="AO775" s="84"/>
      <c r="AP775" s="84"/>
      <c r="AQ775" s="95" t="s">
        <v>1894</v>
      </c>
      <c r="AR775" s="72"/>
      <c r="AS775" s="72"/>
      <c r="AT775" s="72"/>
      <c r="AU775" s="72"/>
      <c r="AV775" s="72"/>
      <c r="AW775" s="72"/>
      <c r="AX775" s="72"/>
      <c r="AY775" s="72"/>
      <c r="AZ775" s="72"/>
      <c r="BA775" s="72"/>
      <c r="BB775" s="16"/>
      <c r="BC775" s="72"/>
      <c r="BD775" s="20"/>
      <c r="BE775" s="378"/>
    </row>
    <row r="776" spans="1:57" s="81" customFormat="1" ht="12.95" hidden="1" customHeight="1">
      <c r="A776" s="374"/>
      <c r="B776" s="376"/>
      <c r="C776" s="248" t="s">
        <v>1625</v>
      </c>
      <c r="D776" s="239" t="s">
        <v>4639</v>
      </c>
      <c r="E776" s="58"/>
      <c r="F776" s="59" t="s">
        <v>4640</v>
      </c>
      <c r="G776" s="191" t="s">
        <v>2511</v>
      </c>
      <c r="H776" s="192" t="s">
        <v>1895</v>
      </c>
      <c r="I776" s="61" t="s">
        <v>2511</v>
      </c>
      <c r="J776" s="61" t="s">
        <v>2511</v>
      </c>
      <c r="K776" s="62" t="s">
        <v>2511</v>
      </c>
      <c r="L776" s="60" t="s">
        <v>2511</v>
      </c>
      <c r="M776" s="61" t="s">
        <v>2389</v>
      </c>
      <c r="N776" s="61" t="s">
        <v>2511</v>
      </c>
      <c r="O776" s="61" t="s">
        <v>2511</v>
      </c>
      <c r="P776" s="62" t="s">
        <v>2511</v>
      </c>
      <c r="Q776" s="82"/>
      <c r="R776" s="82"/>
      <c r="S776" s="82"/>
      <c r="T776" s="82"/>
      <c r="U776" s="82"/>
      <c r="V776" s="138" t="s">
        <v>4641</v>
      </c>
      <c r="W776" s="57" t="s">
        <v>4532</v>
      </c>
      <c r="X776" s="126" t="s">
        <v>2511</v>
      </c>
      <c r="Y776" s="126" t="s">
        <v>2511</v>
      </c>
      <c r="Z776" s="57"/>
      <c r="AA776" s="57" t="s">
        <v>4533</v>
      </c>
      <c r="AB776" s="138"/>
      <c r="AC776" s="138" t="s">
        <v>2631</v>
      </c>
      <c r="AD776" s="96"/>
      <c r="AE776" s="80"/>
      <c r="AF776" s="80"/>
      <c r="AG776" s="80"/>
      <c r="AH776" s="83"/>
      <c r="AI776" s="83"/>
      <c r="AJ776" s="84"/>
      <c r="AK776" s="84"/>
      <c r="AL776" s="84"/>
      <c r="AM776" s="84"/>
      <c r="AN776" s="84"/>
      <c r="AO776" s="84"/>
      <c r="AP776" s="84"/>
      <c r="AQ776" s="95" t="s">
        <v>1895</v>
      </c>
      <c r="AR776" s="72"/>
      <c r="AS776" s="72"/>
      <c r="AT776" s="72"/>
      <c r="AU776" s="72"/>
      <c r="AV776" s="72"/>
      <c r="AW776" s="72"/>
      <c r="AX776" s="72"/>
      <c r="AY776" s="72"/>
      <c r="AZ776" s="72"/>
      <c r="BA776" s="72"/>
      <c r="BB776" s="16"/>
      <c r="BC776" s="72"/>
      <c r="BD776" s="20"/>
      <c r="BE776" s="378"/>
    </row>
    <row r="777" spans="1:57" s="81" customFormat="1" ht="12.95" hidden="1" customHeight="1">
      <c r="A777" s="374"/>
      <c r="B777" s="376"/>
      <c r="C777" s="248" t="s">
        <v>1626</v>
      </c>
      <c r="D777" s="239" t="s">
        <v>4642</v>
      </c>
      <c r="E777" s="58"/>
      <c r="F777" s="59" t="s">
        <v>4643</v>
      </c>
      <c r="G777" s="191" t="s">
        <v>2511</v>
      </c>
      <c r="H777" s="192" t="s">
        <v>1896</v>
      </c>
      <c r="I777" s="61" t="s">
        <v>2511</v>
      </c>
      <c r="J777" s="61" t="s">
        <v>2511</v>
      </c>
      <c r="K777" s="62" t="s">
        <v>2511</v>
      </c>
      <c r="L777" s="60" t="s">
        <v>2511</v>
      </c>
      <c r="M777" s="61" t="s">
        <v>2389</v>
      </c>
      <c r="N777" s="61" t="s">
        <v>2511</v>
      </c>
      <c r="O777" s="61" t="s">
        <v>2511</v>
      </c>
      <c r="P777" s="62" t="s">
        <v>2511</v>
      </c>
      <c r="Q777" s="82"/>
      <c r="R777" s="82"/>
      <c r="S777" s="82"/>
      <c r="T777" s="82"/>
      <c r="U777" s="82"/>
      <c r="V777" s="138" t="s">
        <v>4644</v>
      </c>
      <c r="W777" s="57" t="s">
        <v>4532</v>
      </c>
      <c r="X777" s="126" t="s">
        <v>2511</v>
      </c>
      <c r="Y777" s="126" t="s">
        <v>2511</v>
      </c>
      <c r="Z777" s="57"/>
      <c r="AA777" s="57" t="s">
        <v>4533</v>
      </c>
      <c r="AB777" s="138"/>
      <c r="AC777" s="138" t="s">
        <v>2631</v>
      </c>
      <c r="AD777" s="96"/>
      <c r="AE777" s="80"/>
      <c r="AF777" s="80"/>
      <c r="AG777" s="80"/>
      <c r="AH777" s="83"/>
      <c r="AI777" s="83"/>
      <c r="AJ777" s="84"/>
      <c r="AK777" s="84"/>
      <c r="AL777" s="84"/>
      <c r="AM777" s="84"/>
      <c r="AN777" s="84"/>
      <c r="AO777" s="84"/>
      <c r="AP777" s="84"/>
      <c r="AQ777" s="95" t="s">
        <v>1896</v>
      </c>
      <c r="AR777" s="72"/>
      <c r="AS777" s="72"/>
      <c r="AT777" s="72"/>
      <c r="AU777" s="72"/>
      <c r="AV777" s="72"/>
      <c r="AW777" s="72"/>
      <c r="AX777" s="72"/>
      <c r="AY777" s="72"/>
      <c r="AZ777" s="72"/>
      <c r="BA777" s="72"/>
      <c r="BB777" s="16"/>
      <c r="BC777" s="72"/>
      <c r="BD777" s="20"/>
      <c r="BE777" s="378"/>
    </row>
    <row r="778" spans="1:57" s="81" customFormat="1" ht="12.95" hidden="1" customHeight="1">
      <c r="A778" s="374"/>
      <c r="B778" s="376"/>
      <c r="C778" s="248" t="s">
        <v>1627</v>
      </c>
      <c r="D778" s="239" t="s">
        <v>4645</v>
      </c>
      <c r="E778" s="58"/>
      <c r="F778" s="59" t="s">
        <v>4646</v>
      </c>
      <c r="G778" s="191" t="s">
        <v>2511</v>
      </c>
      <c r="H778" s="192" t="s">
        <v>1897</v>
      </c>
      <c r="I778" s="61" t="s">
        <v>2511</v>
      </c>
      <c r="J778" s="61" t="s">
        <v>2511</v>
      </c>
      <c r="K778" s="62" t="s">
        <v>2511</v>
      </c>
      <c r="L778" s="60" t="s">
        <v>2511</v>
      </c>
      <c r="M778" s="61" t="s">
        <v>2389</v>
      </c>
      <c r="N778" s="61" t="s">
        <v>2511</v>
      </c>
      <c r="O778" s="61" t="s">
        <v>2511</v>
      </c>
      <c r="P778" s="62" t="s">
        <v>2511</v>
      </c>
      <c r="Q778" s="82"/>
      <c r="R778" s="82"/>
      <c r="S778" s="82"/>
      <c r="T778" s="82"/>
      <c r="U778" s="82"/>
      <c r="V778" s="138" t="s">
        <v>4647</v>
      </c>
      <c r="W778" s="57" t="s">
        <v>4532</v>
      </c>
      <c r="X778" s="126" t="s">
        <v>2511</v>
      </c>
      <c r="Y778" s="126" t="s">
        <v>2511</v>
      </c>
      <c r="Z778" s="57"/>
      <c r="AA778" s="57" t="s">
        <v>4533</v>
      </c>
      <c r="AB778" s="138"/>
      <c r="AC778" s="138" t="s">
        <v>2631</v>
      </c>
      <c r="AD778" s="96"/>
      <c r="AE778" s="80"/>
      <c r="AF778" s="80"/>
      <c r="AG778" s="80"/>
      <c r="AH778" s="83"/>
      <c r="AI778" s="83"/>
      <c r="AJ778" s="84"/>
      <c r="AK778" s="84"/>
      <c r="AL778" s="84"/>
      <c r="AM778" s="84"/>
      <c r="AN778" s="84"/>
      <c r="AO778" s="84"/>
      <c r="AP778" s="84"/>
      <c r="AQ778" s="95" t="s">
        <v>1897</v>
      </c>
      <c r="AR778" s="72"/>
      <c r="AS778" s="72"/>
      <c r="AT778" s="72"/>
      <c r="AU778" s="72"/>
      <c r="AV778" s="72"/>
      <c r="AW778" s="72"/>
      <c r="AX778" s="72"/>
      <c r="AY778" s="72"/>
      <c r="AZ778" s="72"/>
      <c r="BA778" s="72"/>
      <c r="BB778" s="16"/>
      <c r="BC778" s="72"/>
      <c r="BD778" s="20"/>
      <c r="BE778" s="378"/>
    </row>
    <row r="779" spans="1:57" s="81" customFormat="1" ht="12.95" hidden="1" customHeight="1">
      <c r="A779" s="374"/>
      <c r="B779" s="376"/>
      <c r="C779" s="248" t="s">
        <v>1628</v>
      </c>
      <c r="D779" s="239" t="s">
        <v>4648</v>
      </c>
      <c r="E779" s="58"/>
      <c r="F779" s="59" t="s">
        <v>4649</v>
      </c>
      <c r="G779" s="191" t="s">
        <v>2511</v>
      </c>
      <c r="H779" s="192" t="s">
        <v>1898</v>
      </c>
      <c r="I779" s="61" t="s">
        <v>2511</v>
      </c>
      <c r="J779" s="61" t="s">
        <v>2511</v>
      </c>
      <c r="K779" s="62" t="s">
        <v>2511</v>
      </c>
      <c r="L779" s="60" t="s">
        <v>2511</v>
      </c>
      <c r="M779" s="61" t="s">
        <v>2389</v>
      </c>
      <c r="N779" s="61" t="s">
        <v>2511</v>
      </c>
      <c r="O779" s="61" t="s">
        <v>2511</v>
      </c>
      <c r="P779" s="62" t="s">
        <v>2511</v>
      </c>
      <c r="Q779" s="82"/>
      <c r="R779" s="82"/>
      <c r="S779" s="82"/>
      <c r="T779" s="82"/>
      <c r="U779" s="82"/>
      <c r="V779" s="138" t="s">
        <v>4650</v>
      </c>
      <c r="W779" s="57" t="s">
        <v>4532</v>
      </c>
      <c r="X779" s="126" t="s">
        <v>2511</v>
      </c>
      <c r="Y779" s="126" t="s">
        <v>2511</v>
      </c>
      <c r="Z779" s="57"/>
      <c r="AA779" s="57" t="s">
        <v>4533</v>
      </c>
      <c r="AB779" s="138"/>
      <c r="AC779" s="138" t="s">
        <v>2631</v>
      </c>
      <c r="AD779" s="96"/>
      <c r="AE779" s="80"/>
      <c r="AF779" s="80"/>
      <c r="AG779" s="80"/>
      <c r="AH779" s="83"/>
      <c r="AI779" s="83"/>
      <c r="AJ779" s="84"/>
      <c r="AK779" s="84"/>
      <c r="AL779" s="84"/>
      <c r="AM779" s="84"/>
      <c r="AN779" s="84"/>
      <c r="AO779" s="84"/>
      <c r="AP779" s="84"/>
      <c r="AQ779" s="95" t="s">
        <v>1898</v>
      </c>
      <c r="AR779" s="72"/>
      <c r="AS779" s="72"/>
      <c r="AT779" s="72"/>
      <c r="AU779" s="72"/>
      <c r="AV779" s="72"/>
      <c r="AW779" s="72"/>
      <c r="AX779" s="72"/>
      <c r="AY779" s="72"/>
      <c r="AZ779" s="72"/>
      <c r="BA779" s="72"/>
      <c r="BB779" s="16"/>
      <c r="BC779" s="72"/>
      <c r="BD779" s="20"/>
      <c r="BE779" s="378"/>
    </row>
    <row r="780" spans="1:57" s="81" customFormat="1" ht="12.95" hidden="1" customHeight="1">
      <c r="A780" s="374"/>
      <c r="B780" s="376"/>
      <c r="C780" s="248" t="s">
        <v>1629</v>
      </c>
      <c r="D780" s="239" t="s">
        <v>4651</v>
      </c>
      <c r="E780" s="58"/>
      <c r="F780" s="59" t="s">
        <v>4652</v>
      </c>
      <c r="G780" s="191" t="s">
        <v>2511</v>
      </c>
      <c r="H780" s="192" t="s">
        <v>1899</v>
      </c>
      <c r="I780" s="61" t="s">
        <v>2511</v>
      </c>
      <c r="J780" s="61" t="s">
        <v>2511</v>
      </c>
      <c r="K780" s="62" t="s">
        <v>2511</v>
      </c>
      <c r="L780" s="60" t="s">
        <v>2511</v>
      </c>
      <c r="M780" s="61" t="s">
        <v>2389</v>
      </c>
      <c r="N780" s="61" t="s">
        <v>2511</v>
      </c>
      <c r="O780" s="61" t="s">
        <v>2511</v>
      </c>
      <c r="P780" s="62" t="s">
        <v>2511</v>
      </c>
      <c r="Q780" s="82"/>
      <c r="R780" s="82"/>
      <c r="S780" s="82"/>
      <c r="T780" s="82"/>
      <c r="U780" s="82"/>
      <c r="V780" s="138" t="s">
        <v>4653</v>
      </c>
      <c r="W780" s="57" t="s">
        <v>4532</v>
      </c>
      <c r="X780" s="126" t="s">
        <v>2511</v>
      </c>
      <c r="Y780" s="126" t="s">
        <v>2511</v>
      </c>
      <c r="Z780" s="57"/>
      <c r="AA780" s="57" t="s">
        <v>4533</v>
      </c>
      <c r="AB780" s="138"/>
      <c r="AC780" s="138" t="s">
        <v>2631</v>
      </c>
      <c r="AD780" s="96"/>
      <c r="AE780" s="80"/>
      <c r="AF780" s="80"/>
      <c r="AG780" s="80"/>
      <c r="AH780" s="83"/>
      <c r="AI780" s="83"/>
      <c r="AJ780" s="84"/>
      <c r="AK780" s="84"/>
      <c r="AL780" s="84"/>
      <c r="AM780" s="84"/>
      <c r="AN780" s="84"/>
      <c r="AO780" s="84"/>
      <c r="AP780" s="84"/>
      <c r="AQ780" s="95" t="s">
        <v>1899</v>
      </c>
      <c r="AR780" s="72"/>
      <c r="AS780" s="72"/>
      <c r="AT780" s="72"/>
      <c r="AU780" s="72"/>
      <c r="AV780" s="72"/>
      <c r="AW780" s="72"/>
      <c r="AX780" s="72"/>
      <c r="AY780" s="72"/>
      <c r="AZ780" s="72"/>
      <c r="BA780" s="72"/>
      <c r="BB780" s="16"/>
      <c r="BC780" s="72"/>
      <c r="BD780" s="20"/>
      <c r="BE780" s="378"/>
    </row>
    <row r="781" spans="1:57" s="81" customFormat="1" ht="12.95" hidden="1" customHeight="1">
      <c r="A781" s="374"/>
      <c r="B781" s="376"/>
      <c r="C781" s="248" t="s">
        <v>1630</v>
      </c>
      <c r="D781" s="239" t="s">
        <v>4654</v>
      </c>
      <c r="E781" s="58"/>
      <c r="F781" s="59" t="s">
        <v>4655</v>
      </c>
      <c r="G781" s="191" t="s">
        <v>2511</v>
      </c>
      <c r="H781" s="192" t="s">
        <v>1900</v>
      </c>
      <c r="I781" s="61" t="s">
        <v>2511</v>
      </c>
      <c r="J781" s="61" t="s">
        <v>2511</v>
      </c>
      <c r="K781" s="62" t="s">
        <v>2511</v>
      </c>
      <c r="L781" s="60" t="s">
        <v>2511</v>
      </c>
      <c r="M781" s="61" t="s">
        <v>2389</v>
      </c>
      <c r="N781" s="61" t="s">
        <v>2511</v>
      </c>
      <c r="O781" s="61" t="s">
        <v>2511</v>
      </c>
      <c r="P781" s="62" t="s">
        <v>2511</v>
      </c>
      <c r="Q781" s="82"/>
      <c r="R781" s="82"/>
      <c r="S781" s="82"/>
      <c r="T781" s="82"/>
      <c r="U781" s="82"/>
      <c r="V781" s="138" t="s">
        <v>4656</v>
      </c>
      <c r="W781" s="57" t="s">
        <v>4532</v>
      </c>
      <c r="X781" s="126" t="s">
        <v>2511</v>
      </c>
      <c r="Y781" s="126" t="s">
        <v>2511</v>
      </c>
      <c r="Z781" s="57"/>
      <c r="AA781" s="57" t="s">
        <v>4533</v>
      </c>
      <c r="AB781" s="138"/>
      <c r="AC781" s="138" t="s">
        <v>2631</v>
      </c>
      <c r="AD781" s="96"/>
      <c r="AE781" s="80"/>
      <c r="AF781" s="80"/>
      <c r="AG781" s="80"/>
      <c r="AH781" s="83"/>
      <c r="AI781" s="83"/>
      <c r="AJ781" s="84"/>
      <c r="AK781" s="84"/>
      <c r="AL781" s="84"/>
      <c r="AM781" s="84"/>
      <c r="AN781" s="84"/>
      <c r="AO781" s="84"/>
      <c r="AP781" s="84"/>
      <c r="AQ781" s="95" t="s">
        <v>1900</v>
      </c>
      <c r="AR781" s="72"/>
      <c r="AS781" s="72"/>
      <c r="AT781" s="72"/>
      <c r="AU781" s="72"/>
      <c r="AV781" s="72"/>
      <c r="AW781" s="72"/>
      <c r="AX781" s="72"/>
      <c r="AY781" s="72"/>
      <c r="AZ781" s="72"/>
      <c r="BA781" s="72"/>
      <c r="BB781" s="16"/>
      <c r="BC781" s="72"/>
      <c r="BD781" s="20"/>
      <c r="BE781" s="378"/>
    </row>
    <row r="782" spans="1:57" s="81" customFormat="1" ht="12.95" hidden="1" customHeight="1">
      <c r="A782" s="374"/>
      <c r="B782" s="376"/>
      <c r="C782" s="248" t="s">
        <v>1631</v>
      </c>
      <c r="D782" s="239" t="s">
        <v>4657</v>
      </c>
      <c r="E782" s="58"/>
      <c r="F782" s="59" t="s">
        <v>4658</v>
      </c>
      <c r="G782" s="191" t="s">
        <v>2511</v>
      </c>
      <c r="H782" s="192" t="s">
        <v>1901</v>
      </c>
      <c r="I782" s="61" t="s">
        <v>2511</v>
      </c>
      <c r="J782" s="61" t="s">
        <v>2511</v>
      </c>
      <c r="K782" s="62" t="s">
        <v>2511</v>
      </c>
      <c r="L782" s="60" t="s">
        <v>2511</v>
      </c>
      <c r="M782" s="61" t="s">
        <v>2389</v>
      </c>
      <c r="N782" s="61" t="s">
        <v>2511</v>
      </c>
      <c r="O782" s="61" t="s">
        <v>2511</v>
      </c>
      <c r="P782" s="62" t="s">
        <v>2511</v>
      </c>
      <c r="Q782" s="82"/>
      <c r="R782" s="82"/>
      <c r="S782" s="82"/>
      <c r="T782" s="82"/>
      <c r="U782" s="82"/>
      <c r="V782" s="138" t="s">
        <v>4659</v>
      </c>
      <c r="W782" s="57" t="s">
        <v>4532</v>
      </c>
      <c r="X782" s="126" t="s">
        <v>2511</v>
      </c>
      <c r="Y782" s="126" t="s">
        <v>2511</v>
      </c>
      <c r="Z782" s="57"/>
      <c r="AA782" s="57" t="s">
        <v>4533</v>
      </c>
      <c r="AB782" s="138"/>
      <c r="AC782" s="138" t="s">
        <v>2631</v>
      </c>
      <c r="AD782" s="96"/>
      <c r="AE782" s="80"/>
      <c r="AF782" s="80"/>
      <c r="AG782" s="80"/>
      <c r="AH782" s="83"/>
      <c r="AI782" s="83"/>
      <c r="AJ782" s="84"/>
      <c r="AK782" s="84"/>
      <c r="AL782" s="84"/>
      <c r="AM782" s="84"/>
      <c r="AN782" s="84"/>
      <c r="AO782" s="84"/>
      <c r="AP782" s="84"/>
      <c r="AQ782" s="95" t="s">
        <v>1901</v>
      </c>
      <c r="AR782" s="72"/>
      <c r="AS782" s="72"/>
      <c r="AT782" s="72"/>
      <c r="AU782" s="72"/>
      <c r="AV782" s="72"/>
      <c r="AW782" s="72"/>
      <c r="AX782" s="72"/>
      <c r="AY782" s="72"/>
      <c r="AZ782" s="72"/>
      <c r="BA782" s="72"/>
      <c r="BB782" s="16"/>
      <c r="BC782" s="72"/>
      <c r="BD782" s="20"/>
      <c r="BE782" s="378"/>
    </row>
    <row r="783" spans="1:57" s="81" customFormat="1" ht="12.95" hidden="1" customHeight="1">
      <c r="A783" s="374"/>
      <c r="B783" s="376"/>
      <c r="C783" s="248" t="s">
        <v>1632</v>
      </c>
      <c r="D783" s="239" t="s">
        <v>4660</v>
      </c>
      <c r="E783" s="58"/>
      <c r="F783" s="59" t="s">
        <v>4661</v>
      </c>
      <c r="G783" s="191" t="s">
        <v>2511</v>
      </c>
      <c r="H783" s="192" t="s">
        <v>1902</v>
      </c>
      <c r="I783" s="61" t="s">
        <v>2511</v>
      </c>
      <c r="J783" s="61" t="s">
        <v>2511</v>
      </c>
      <c r="K783" s="62" t="s">
        <v>2511</v>
      </c>
      <c r="L783" s="60" t="s">
        <v>2511</v>
      </c>
      <c r="M783" s="61" t="s">
        <v>2389</v>
      </c>
      <c r="N783" s="61" t="s">
        <v>2511</v>
      </c>
      <c r="O783" s="61" t="s">
        <v>2511</v>
      </c>
      <c r="P783" s="62" t="s">
        <v>2511</v>
      </c>
      <c r="Q783" s="82"/>
      <c r="R783" s="82"/>
      <c r="S783" s="82"/>
      <c r="T783" s="82"/>
      <c r="U783" s="82"/>
      <c r="V783" s="138" t="s">
        <v>4662</v>
      </c>
      <c r="W783" s="57" t="s">
        <v>4532</v>
      </c>
      <c r="X783" s="126" t="s">
        <v>2511</v>
      </c>
      <c r="Y783" s="126" t="s">
        <v>2511</v>
      </c>
      <c r="Z783" s="57"/>
      <c r="AA783" s="57" t="s">
        <v>4533</v>
      </c>
      <c r="AB783" s="138"/>
      <c r="AC783" s="138" t="s">
        <v>2631</v>
      </c>
      <c r="AD783" s="96"/>
      <c r="AE783" s="80"/>
      <c r="AF783" s="80"/>
      <c r="AG783" s="80"/>
      <c r="AH783" s="83"/>
      <c r="AI783" s="83"/>
      <c r="AJ783" s="84"/>
      <c r="AK783" s="84"/>
      <c r="AL783" s="84"/>
      <c r="AM783" s="84"/>
      <c r="AN783" s="84"/>
      <c r="AO783" s="84"/>
      <c r="AP783" s="84"/>
      <c r="AQ783" s="95" t="s">
        <v>1902</v>
      </c>
      <c r="AR783" s="72"/>
      <c r="AS783" s="72"/>
      <c r="AT783" s="72"/>
      <c r="AU783" s="72"/>
      <c r="AV783" s="72"/>
      <c r="AW783" s="72"/>
      <c r="AX783" s="72"/>
      <c r="AY783" s="72"/>
      <c r="AZ783" s="72"/>
      <c r="BA783" s="72"/>
      <c r="BB783" s="16"/>
      <c r="BC783" s="72"/>
      <c r="BD783" s="20"/>
      <c r="BE783" s="378"/>
    </row>
    <row r="784" spans="1:57" s="81" customFormat="1" ht="12.95" hidden="1" customHeight="1">
      <c r="A784" s="374"/>
      <c r="B784" s="376"/>
      <c r="C784" s="248" t="s">
        <v>1633</v>
      </c>
      <c r="D784" s="239" t="s">
        <v>4663</v>
      </c>
      <c r="E784" s="58"/>
      <c r="F784" s="59" t="s">
        <v>4664</v>
      </c>
      <c r="G784" s="191" t="s">
        <v>2511</v>
      </c>
      <c r="H784" s="192" t="s">
        <v>1903</v>
      </c>
      <c r="I784" s="61" t="s">
        <v>2511</v>
      </c>
      <c r="J784" s="61" t="s">
        <v>2511</v>
      </c>
      <c r="K784" s="62" t="s">
        <v>2511</v>
      </c>
      <c r="L784" s="60" t="s">
        <v>2511</v>
      </c>
      <c r="M784" s="61" t="s">
        <v>2389</v>
      </c>
      <c r="N784" s="61" t="s">
        <v>2511</v>
      </c>
      <c r="O784" s="61" t="s">
        <v>2511</v>
      </c>
      <c r="P784" s="62" t="s">
        <v>2511</v>
      </c>
      <c r="Q784" s="82"/>
      <c r="R784" s="82"/>
      <c r="S784" s="82"/>
      <c r="T784" s="82"/>
      <c r="U784" s="82"/>
      <c r="V784" s="138" t="s">
        <v>4665</v>
      </c>
      <c r="W784" s="57" t="s">
        <v>4532</v>
      </c>
      <c r="X784" s="126" t="s">
        <v>2511</v>
      </c>
      <c r="Y784" s="126" t="s">
        <v>2511</v>
      </c>
      <c r="Z784" s="57"/>
      <c r="AA784" s="57" t="s">
        <v>4533</v>
      </c>
      <c r="AB784" s="138"/>
      <c r="AC784" s="138" t="s">
        <v>2631</v>
      </c>
      <c r="AD784" s="96"/>
      <c r="AE784" s="80"/>
      <c r="AF784" s="80"/>
      <c r="AG784" s="80"/>
      <c r="AH784" s="83"/>
      <c r="AI784" s="83"/>
      <c r="AJ784" s="84"/>
      <c r="AK784" s="84"/>
      <c r="AL784" s="84"/>
      <c r="AM784" s="84"/>
      <c r="AN784" s="84"/>
      <c r="AO784" s="84"/>
      <c r="AP784" s="84"/>
      <c r="AQ784" s="95" t="s">
        <v>1903</v>
      </c>
      <c r="AR784" s="72"/>
      <c r="AS784" s="72"/>
      <c r="AT784" s="72"/>
      <c r="AU784" s="72"/>
      <c r="AV784" s="72"/>
      <c r="AW784" s="72"/>
      <c r="AX784" s="72"/>
      <c r="AY784" s="72"/>
      <c r="AZ784" s="72"/>
      <c r="BA784" s="72"/>
      <c r="BB784" s="16"/>
      <c r="BC784" s="72"/>
      <c r="BD784" s="20"/>
      <c r="BE784" s="378"/>
    </row>
    <row r="785" spans="1:57" s="81" customFormat="1" ht="12.95" hidden="1" customHeight="1">
      <c r="A785" s="374"/>
      <c r="B785" s="376"/>
      <c r="C785" s="270" t="s">
        <v>1634</v>
      </c>
      <c r="D785" s="239" t="s">
        <v>4666</v>
      </c>
      <c r="E785" s="58"/>
      <c r="F785" s="59" t="s">
        <v>4667</v>
      </c>
      <c r="G785" s="191" t="s">
        <v>2511</v>
      </c>
      <c r="H785" s="192" t="s">
        <v>1904</v>
      </c>
      <c r="I785" s="61" t="s">
        <v>2511</v>
      </c>
      <c r="J785" s="61" t="s">
        <v>2511</v>
      </c>
      <c r="K785" s="62" t="s">
        <v>2511</v>
      </c>
      <c r="L785" s="60" t="s">
        <v>2511</v>
      </c>
      <c r="M785" s="61" t="s">
        <v>2389</v>
      </c>
      <c r="N785" s="61" t="s">
        <v>2511</v>
      </c>
      <c r="O785" s="61" t="s">
        <v>2511</v>
      </c>
      <c r="P785" s="62" t="s">
        <v>2511</v>
      </c>
      <c r="Q785" s="82"/>
      <c r="R785" s="82"/>
      <c r="S785" s="82"/>
      <c r="T785" s="82"/>
      <c r="U785" s="82"/>
      <c r="V785" s="138" t="s">
        <v>4668</v>
      </c>
      <c r="W785" s="57" t="s">
        <v>4532</v>
      </c>
      <c r="X785" s="126" t="s">
        <v>2511</v>
      </c>
      <c r="Y785" s="126" t="s">
        <v>2511</v>
      </c>
      <c r="Z785" s="57"/>
      <c r="AA785" s="57" t="s">
        <v>4533</v>
      </c>
      <c r="AB785" s="138"/>
      <c r="AC785" s="138" t="s">
        <v>2631</v>
      </c>
      <c r="AD785" s="96"/>
      <c r="AE785" s="80"/>
      <c r="AF785" s="80"/>
      <c r="AG785" s="80"/>
      <c r="AH785" s="83"/>
      <c r="AI785" s="83"/>
      <c r="AJ785" s="84"/>
      <c r="AK785" s="84"/>
      <c r="AL785" s="84"/>
      <c r="AM785" s="84"/>
      <c r="AN785" s="84"/>
      <c r="AO785" s="84"/>
      <c r="AP785" s="84"/>
      <c r="AQ785" s="95" t="s">
        <v>1904</v>
      </c>
      <c r="AR785" s="72"/>
      <c r="AS785" s="72"/>
      <c r="AT785" s="72"/>
      <c r="AU785" s="72"/>
      <c r="AV785" s="72"/>
      <c r="AW785" s="72"/>
      <c r="AX785" s="72"/>
      <c r="AY785" s="72"/>
      <c r="AZ785" s="72"/>
      <c r="BA785" s="72"/>
      <c r="BB785" s="16"/>
      <c r="BC785" s="72"/>
      <c r="BD785" s="20"/>
      <c r="BE785" s="378"/>
    </row>
    <row r="786" spans="1:57" s="81" customFormat="1" ht="12.95" hidden="1" customHeight="1">
      <c r="A786" s="374"/>
      <c r="B786" s="376"/>
      <c r="C786" s="270" t="s">
        <v>1635</v>
      </c>
      <c r="D786" s="239" t="s">
        <v>4669</v>
      </c>
      <c r="E786" s="58"/>
      <c r="F786" s="59" t="s">
        <v>4670</v>
      </c>
      <c r="G786" s="191" t="s">
        <v>2511</v>
      </c>
      <c r="H786" s="192" t="s">
        <v>1905</v>
      </c>
      <c r="I786" s="61" t="s">
        <v>2511</v>
      </c>
      <c r="J786" s="61" t="s">
        <v>2511</v>
      </c>
      <c r="K786" s="62" t="s">
        <v>2511</v>
      </c>
      <c r="L786" s="60" t="s">
        <v>2511</v>
      </c>
      <c r="M786" s="61" t="s">
        <v>2389</v>
      </c>
      <c r="N786" s="61" t="s">
        <v>2511</v>
      </c>
      <c r="O786" s="61" t="s">
        <v>2511</v>
      </c>
      <c r="P786" s="62" t="s">
        <v>2511</v>
      </c>
      <c r="Q786" s="82"/>
      <c r="R786" s="82"/>
      <c r="S786" s="82"/>
      <c r="T786" s="82"/>
      <c r="U786" s="82"/>
      <c r="V786" s="138" t="s">
        <v>4671</v>
      </c>
      <c r="W786" s="57" t="s">
        <v>4532</v>
      </c>
      <c r="X786" s="126" t="s">
        <v>2511</v>
      </c>
      <c r="Y786" s="126" t="s">
        <v>2511</v>
      </c>
      <c r="Z786" s="57"/>
      <c r="AA786" s="57" t="s">
        <v>4533</v>
      </c>
      <c r="AB786" s="138"/>
      <c r="AC786" s="138" t="s">
        <v>2631</v>
      </c>
      <c r="AD786" s="96"/>
      <c r="AE786" s="80"/>
      <c r="AF786" s="80"/>
      <c r="AG786" s="80"/>
      <c r="AH786" s="83"/>
      <c r="AI786" s="83"/>
      <c r="AJ786" s="84"/>
      <c r="AK786" s="84"/>
      <c r="AL786" s="84"/>
      <c r="AM786" s="84"/>
      <c r="AN786" s="84"/>
      <c r="AO786" s="84"/>
      <c r="AP786" s="84"/>
      <c r="AQ786" s="95" t="s">
        <v>1905</v>
      </c>
      <c r="AR786" s="72"/>
      <c r="AS786" s="72"/>
      <c r="AT786" s="72"/>
      <c r="AU786" s="72"/>
      <c r="AV786" s="72"/>
      <c r="AW786" s="72"/>
      <c r="AX786" s="72"/>
      <c r="AY786" s="72"/>
      <c r="AZ786" s="72"/>
      <c r="BA786" s="72"/>
      <c r="BB786" s="16"/>
      <c r="BC786" s="72"/>
      <c r="BD786" s="20"/>
      <c r="BE786" s="378"/>
    </row>
    <row r="787" spans="1:57" s="81" customFormat="1" ht="12.95" hidden="1" customHeight="1">
      <c r="A787" s="374"/>
      <c r="B787" s="376"/>
      <c r="C787" s="248" t="s">
        <v>1636</v>
      </c>
      <c r="D787" s="239" t="s">
        <v>4672</v>
      </c>
      <c r="E787" s="58"/>
      <c r="F787" s="59" t="s">
        <v>4673</v>
      </c>
      <c r="G787" s="191" t="s">
        <v>2511</v>
      </c>
      <c r="H787" s="192" t="s">
        <v>1906</v>
      </c>
      <c r="I787" s="61" t="s">
        <v>2511</v>
      </c>
      <c r="J787" s="61" t="s">
        <v>2511</v>
      </c>
      <c r="K787" s="62" t="s">
        <v>2511</v>
      </c>
      <c r="L787" s="60" t="s">
        <v>2511</v>
      </c>
      <c r="M787" s="61" t="s">
        <v>2389</v>
      </c>
      <c r="N787" s="61" t="s">
        <v>2511</v>
      </c>
      <c r="O787" s="61" t="s">
        <v>2511</v>
      </c>
      <c r="P787" s="62" t="s">
        <v>2511</v>
      </c>
      <c r="Q787" s="82"/>
      <c r="R787" s="82"/>
      <c r="S787" s="82"/>
      <c r="T787" s="82"/>
      <c r="U787" s="82"/>
      <c r="V787" s="138" t="s">
        <v>4674</v>
      </c>
      <c r="W787" s="57" t="s">
        <v>4532</v>
      </c>
      <c r="X787" s="126" t="s">
        <v>2511</v>
      </c>
      <c r="Y787" s="126" t="s">
        <v>2511</v>
      </c>
      <c r="Z787" s="57"/>
      <c r="AA787" s="57" t="s">
        <v>4533</v>
      </c>
      <c r="AB787" s="138"/>
      <c r="AC787" s="138">
        <v>0</v>
      </c>
      <c r="AD787" s="96"/>
      <c r="AE787" s="80"/>
      <c r="AF787" s="80"/>
      <c r="AG787" s="80"/>
      <c r="AH787" s="83"/>
      <c r="AI787" s="83"/>
      <c r="AJ787" s="84"/>
      <c r="AK787" s="84"/>
      <c r="AL787" s="84"/>
      <c r="AM787" s="84"/>
      <c r="AN787" s="84"/>
      <c r="AO787" s="84"/>
      <c r="AP787" s="84"/>
      <c r="AQ787" s="95" t="s">
        <v>1906</v>
      </c>
      <c r="AR787" s="72"/>
      <c r="AS787" s="72"/>
      <c r="AT787" s="72"/>
      <c r="AU787" s="72"/>
      <c r="AV787" s="72"/>
      <c r="AW787" s="72"/>
      <c r="AX787" s="72"/>
      <c r="AY787" s="72"/>
      <c r="AZ787" s="72"/>
      <c r="BA787" s="72"/>
      <c r="BB787" s="16"/>
      <c r="BC787" s="72"/>
      <c r="BD787" s="20"/>
      <c r="BE787" s="378"/>
    </row>
    <row r="788" spans="1:57" s="81" customFormat="1" ht="12.95" hidden="1" customHeight="1">
      <c r="A788" s="374"/>
      <c r="B788" s="376"/>
      <c r="C788" s="248" t="s">
        <v>1637</v>
      </c>
      <c r="D788" s="239" t="s">
        <v>4675</v>
      </c>
      <c r="E788" s="58"/>
      <c r="F788" s="59" t="s">
        <v>4676</v>
      </c>
      <c r="G788" s="191" t="s">
        <v>2511</v>
      </c>
      <c r="H788" s="192" t="s">
        <v>1907</v>
      </c>
      <c r="I788" s="61" t="s">
        <v>2511</v>
      </c>
      <c r="J788" s="61" t="s">
        <v>2511</v>
      </c>
      <c r="K788" s="62" t="s">
        <v>2511</v>
      </c>
      <c r="L788" s="60" t="s">
        <v>2511</v>
      </c>
      <c r="M788" s="61" t="s">
        <v>2389</v>
      </c>
      <c r="N788" s="61" t="s">
        <v>2511</v>
      </c>
      <c r="O788" s="61" t="s">
        <v>2511</v>
      </c>
      <c r="P788" s="62" t="s">
        <v>2511</v>
      </c>
      <c r="Q788" s="82"/>
      <c r="R788" s="82"/>
      <c r="S788" s="82"/>
      <c r="T788" s="82"/>
      <c r="U788" s="82"/>
      <c r="V788" s="138" t="s">
        <v>4677</v>
      </c>
      <c r="W788" s="57" t="s">
        <v>4532</v>
      </c>
      <c r="X788" s="126" t="s">
        <v>2511</v>
      </c>
      <c r="Y788" s="126" t="s">
        <v>2511</v>
      </c>
      <c r="Z788" s="57"/>
      <c r="AA788" s="57" t="s">
        <v>4533</v>
      </c>
      <c r="AB788" s="138"/>
      <c r="AC788" s="138" t="s">
        <v>2631</v>
      </c>
      <c r="AD788" s="96"/>
      <c r="AE788" s="80"/>
      <c r="AF788" s="80"/>
      <c r="AG788" s="80"/>
      <c r="AH788" s="83"/>
      <c r="AI788" s="83"/>
      <c r="AJ788" s="84"/>
      <c r="AK788" s="84"/>
      <c r="AL788" s="84"/>
      <c r="AM788" s="84"/>
      <c r="AN788" s="84"/>
      <c r="AO788" s="84"/>
      <c r="AP788" s="84"/>
      <c r="AQ788" s="95" t="s">
        <v>1907</v>
      </c>
      <c r="AR788" s="72"/>
      <c r="AS788" s="72"/>
      <c r="AT788" s="72"/>
      <c r="AU788" s="72"/>
      <c r="AV788" s="72"/>
      <c r="AW788" s="72"/>
      <c r="AX788" s="72"/>
      <c r="AY788" s="72"/>
      <c r="AZ788" s="72"/>
      <c r="BA788" s="72"/>
      <c r="BB788" s="16"/>
      <c r="BC788" s="72"/>
      <c r="BD788" s="20"/>
      <c r="BE788" s="378"/>
    </row>
    <row r="789" spans="1:57" s="81" customFormat="1" ht="12.95" hidden="1" customHeight="1">
      <c r="A789" s="374"/>
      <c r="B789" s="376"/>
      <c r="C789" s="248" t="s">
        <v>1638</v>
      </c>
      <c r="D789" s="239" t="s">
        <v>4678</v>
      </c>
      <c r="E789" s="58"/>
      <c r="F789" s="59" t="s">
        <v>4679</v>
      </c>
      <c r="G789" s="191" t="s">
        <v>2511</v>
      </c>
      <c r="H789" s="192" t="s">
        <v>1908</v>
      </c>
      <c r="I789" s="61" t="s">
        <v>2511</v>
      </c>
      <c r="J789" s="61" t="s">
        <v>2511</v>
      </c>
      <c r="K789" s="62" t="s">
        <v>2511</v>
      </c>
      <c r="L789" s="60" t="s">
        <v>2511</v>
      </c>
      <c r="M789" s="61" t="s">
        <v>2389</v>
      </c>
      <c r="N789" s="61" t="s">
        <v>2511</v>
      </c>
      <c r="O789" s="61" t="s">
        <v>2511</v>
      </c>
      <c r="P789" s="62" t="s">
        <v>2511</v>
      </c>
      <c r="Q789" s="82"/>
      <c r="R789" s="82"/>
      <c r="S789" s="82"/>
      <c r="T789" s="82"/>
      <c r="U789" s="82"/>
      <c r="V789" s="138" t="s">
        <v>4680</v>
      </c>
      <c r="W789" s="57" t="s">
        <v>4532</v>
      </c>
      <c r="X789" s="126" t="s">
        <v>2511</v>
      </c>
      <c r="Y789" s="126" t="s">
        <v>2511</v>
      </c>
      <c r="Z789" s="57"/>
      <c r="AA789" s="57" t="s">
        <v>4533</v>
      </c>
      <c r="AB789" s="138"/>
      <c r="AC789" s="138" t="s">
        <v>2631</v>
      </c>
      <c r="AD789" s="96"/>
      <c r="AE789" s="80"/>
      <c r="AF789" s="80"/>
      <c r="AG789" s="80"/>
      <c r="AH789" s="83"/>
      <c r="AI789" s="83"/>
      <c r="AJ789" s="84"/>
      <c r="AK789" s="84"/>
      <c r="AL789" s="84"/>
      <c r="AM789" s="84"/>
      <c r="AN789" s="84"/>
      <c r="AO789" s="84"/>
      <c r="AP789" s="84"/>
      <c r="AQ789" s="95" t="s">
        <v>1908</v>
      </c>
      <c r="AR789" s="72"/>
      <c r="AS789" s="72"/>
      <c r="AT789" s="72"/>
      <c r="AU789" s="72"/>
      <c r="AV789" s="72"/>
      <c r="AW789" s="72"/>
      <c r="AX789" s="72"/>
      <c r="AY789" s="72"/>
      <c r="AZ789" s="72"/>
      <c r="BA789" s="72"/>
      <c r="BB789" s="16"/>
      <c r="BC789" s="72"/>
      <c r="BD789" s="20"/>
      <c r="BE789" s="378"/>
    </row>
    <row r="790" spans="1:57" s="81" customFormat="1" ht="12.95" hidden="1" customHeight="1">
      <c r="A790" s="374"/>
      <c r="B790" s="376"/>
      <c r="C790" s="248" t="s">
        <v>1639</v>
      </c>
      <c r="D790" s="239" t="s">
        <v>4681</v>
      </c>
      <c r="E790" s="58"/>
      <c r="F790" s="59" t="s">
        <v>4682</v>
      </c>
      <c r="G790" s="191" t="s">
        <v>2511</v>
      </c>
      <c r="H790" s="192" t="s">
        <v>1909</v>
      </c>
      <c r="I790" s="61" t="s">
        <v>2511</v>
      </c>
      <c r="J790" s="61" t="s">
        <v>2511</v>
      </c>
      <c r="K790" s="62" t="s">
        <v>2511</v>
      </c>
      <c r="L790" s="60" t="s">
        <v>2511</v>
      </c>
      <c r="M790" s="61" t="s">
        <v>2389</v>
      </c>
      <c r="N790" s="61" t="s">
        <v>2511</v>
      </c>
      <c r="O790" s="61" t="s">
        <v>2511</v>
      </c>
      <c r="P790" s="62" t="s">
        <v>2511</v>
      </c>
      <c r="Q790" s="82"/>
      <c r="R790" s="82"/>
      <c r="S790" s="82"/>
      <c r="T790" s="82"/>
      <c r="U790" s="82"/>
      <c r="V790" s="138" t="s">
        <v>4683</v>
      </c>
      <c r="W790" s="57" t="s">
        <v>4532</v>
      </c>
      <c r="X790" s="126" t="s">
        <v>2511</v>
      </c>
      <c r="Y790" s="126" t="s">
        <v>2511</v>
      </c>
      <c r="Z790" s="57"/>
      <c r="AA790" s="57" t="s">
        <v>4533</v>
      </c>
      <c r="AB790" s="138"/>
      <c r="AC790" s="138" t="s">
        <v>2631</v>
      </c>
      <c r="AD790" s="96"/>
      <c r="AE790" s="80"/>
      <c r="AF790" s="80"/>
      <c r="AG790" s="80"/>
      <c r="AH790" s="83"/>
      <c r="AI790" s="83"/>
      <c r="AJ790" s="84"/>
      <c r="AK790" s="84"/>
      <c r="AL790" s="84"/>
      <c r="AM790" s="84"/>
      <c r="AN790" s="84"/>
      <c r="AO790" s="84"/>
      <c r="AP790" s="84"/>
      <c r="AQ790" s="95" t="s">
        <v>1909</v>
      </c>
      <c r="AR790" s="72"/>
      <c r="AS790" s="72"/>
      <c r="AT790" s="72"/>
      <c r="AU790" s="72"/>
      <c r="AV790" s="72"/>
      <c r="AW790" s="72"/>
      <c r="AX790" s="72"/>
      <c r="AY790" s="72"/>
      <c r="AZ790" s="72"/>
      <c r="BA790" s="72"/>
      <c r="BB790" s="16"/>
      <c r="BC790" s="72"/>
      <c r="BD790" s="20"/>
      <c r="BE790" s="378"/>
    </row>
    <row r="791" spans="1:57" s="81" customFormat="1" ht="12.95" hidden="1" customHeight="1">
      <c r="A791" s="374"/>
      <c r="B791" s="376"/>
      <c r="C791" s="248" t="s">
        <v>1640</v>
      </c>
      <c r="D791" s="239" t="s">
        <v>4684</v>
      </c>
      <c r="E791" s="58"/>
      <c r="F791" s="59" t="s">
        <v>4685</v>
      </c>
      <c r="G791" s="191" t="s">
        <v>2511</v>
      </c>
      <c r="H791" s="192" t="s">
        <v>1910</v>
      </c>
      <c r="I791" s="61" t="s">
        <v>2511</v>
      </c>
      <c r="J791" s="61" t="s">
        <v>2511</v>
      </c>
      <c r="K791" s="62" t="s">
        <v>2511</v>
      </c>
      <c r="L791" s="60" t="s">
        <v>2511</v>
      </c>
      <c r="M791" s="61" t="s">
        <v>2389</v>
      </c>
      <c r="N791" s="61" t="s">
        <v>2511</v>
      </c>
      <c r="O791" s="61" t="s">
        <v>2511</v>
      </c>
      <c r="P791" s="62" t="s">
        <v>2511</v>
      </c>
      <c r="Q791" s="82"/>
      <c r="R791" s="82"/>
      <c r="S791" s="82"/>
      <c r="T791" s="82"/>
      <c r="U791" s="82"/>
      <c r="V791" s="138" t="s">
        <v>4686</v>
      </c>
      <c r="W791" s="57" t="s">
        <v>4532</v>
      </c>
      <c r="X791" s="126" t="s">
        <v>2511</v>
      </c>
      <c r="Y791" s="126" t="s">
        <v>2511</v>
      </c>
      <c r="Z791" s="57"/>
      <c r="AA791" s="57" t="s">
        <v>4533</v>
      </c>
      <c r="AB791" s="138"/>
      <c r="AC791" s="138" t="s">
        <v>2631</v>
      </c>
      <c r="AD791" s="96"/>
      <c r="AE791" s="80"/>
      <c r="AF791" s="80"/>
      <c r="AG791" s="80"/>
      <c r="AH791" s="83"/>
      <c r="AI791" s="83"/>
      <c r="AJ791" s="84"/>
      <c r="AK791" s="84"/>
      <c r="AL791" s="84"/>
      <c r="AM791" s="84"/>
      <c r="AN791" s="84"/>
      <c r="AO791" s="84"/>
      <c r="AP791" s="84"/>
      <c r="AQ791" s="95" t="s">
        <v>1910</v>
      </c>
      <c r="AR791" s="72"/>
      <c r="AS791" s="72"/>
      <c r="AT791" s="72"/>
      <c r="AU791" s="72"/>
      <c r="AV791" s="72"/>
      <c r="AW791" s="72"/>
      <c r="AX791" s="72"/>
      <c r="AY791" s="72"/>
      <c r="AZ791" s="72"/>
      <c r="BA791" s="72"/>
      <c r="BB791" s="16"/>
      <c r="BC791" s="72"/>
      <c r="BD791" s="20"/>
      <c r="BE791" s="378"/>
    </row>
    <row r="792" spans="1:57" s="81" customFormat="1" ht="12.95" hidden="1" customHeight="1">
      <c r="A792" s="374"/>
      <c r="B792" s="376"/>
      <c r="C792" s="248" t="s">
        <v>1641</v>
      </c>
      <c r="D792" s="239" t="s">
        <v>4687</v>
      </c>
      <c r="E792" s="58"/>
      <c r="F792" s="59" t="s">
        <v>4688</v>
      </c>
      <c r="G792" s="191" t="s">
        <v>2511</v>
      </c>
      <c r="H792" s="192" t="s">
        <v>1911</v>
      </c>
      <c r="I792" s="61" t="s">
        <v>2511</v>
      </c>
      <c r="J792" s="61" t="s">
        <v>2511</v>
      </c>
      <c r="K792" s="62" t="s">
        <v>2511</v>
      </c>
      <c r="L792" s="60" t="s">
        <v>2511</v>
      </c>
      <c r="M792" s="61" t="s">
        <v>2389</v>
      </c>
      <c r="N792" s="61" t="s">
        <v>2511</v>
      </c>
      <c r="O792" s="61" t="s">
        <v>2511</v>
      </c>
      <c r="P792" s="62" t="s">
        <v>2511</v>
      </c>
      <c r="Q792" s="82"/>
      <c r="R792" s="82"/>
      <c r="S792" s="82"/>
      <c r="T792" s="82"/>
      <c r="U792" s="82"/>
      <c r="V792" s="138" t="s">
        <v>4689</v>
      </c>
      <c r="W792" s="57" t="s">
        <v>4532</v>
      </c>
      <c r="X792" s="126" t="s">
        <v>2511</v>
      </c>
      <c r="Y792" s="126" t="s">
        <v>2511</v>
      </c>
      <c r="Z792" s="57"/>
      <c r="AA792" s="57" t="s">
        <v>4533</v>
      </c>
      <c r="AB792" s="138"/>
      <c r="AC792" s="138" t="s">
        <v>2631</v>
      </c>
      <c r="AD792" s="96"/>
      <c r="AE792" s="80"/>
      <c r="AF792" s="80"/>
      <c r="AG792" s="80"/>
      <c r="AH792" s="83"/>
      <c r="AI792" s="83"/>
      <c r="AJ792" s="84"/>
      <c r="AK792" s="84"/>
      <c r="AL792" s="84"/>
      <c r="AM792" s="84"/>
      <c r="AN792" s="84"/>
      <c r="AO792" s="84"/>
      <c r="AP792" s="84"/>
      <c r="AQ792" s="95" t="s">
        <v>1911</v>
      </c>
      <c r="AR792" s="72"/>
      <c r="AS792" s="72"/>
      <c r="AT792" s="72"/>
      <c r="AU792" s="72"/>
      <c r="AV792" s="72"/>
      <c r="AW792" s="72"/>
      <c r="AX792" s="72"/>
      <c r="AY792" s="72"/>
      <c r="AZ792" s="72"/>
      <c r="BA792" s="72"/>
      <c r="BB792" s="16"/>
      <c r="BC792" s="72"/>
      <c r="BD792" s="20"/>
      <c r="BE792" s="378"/>
    </row>
    <row r="793" spans="1:57" s="81" customFormat="1" ht="12.95" hidden="1" customHeight="1">
      <c r="A793" s="374"/>
      <c r="B793" s="376"/>
      <c r="C793" s="248" t="s">
        <v>1642</v>
      </c>
      <c r="D793" s="239" t="s">
        <v>4690</v>
      </c>
      <c r="E793" s="58"/>
      <c r="F793" s="59" t="s">
        <v>4691</v>
      </c>
      <c r="G793" s="191" t="s">
        <v>2511</v>
      </c>
      <c r="H793" s="192" t="s">
        <v>1912</v>
      </c>
      <c r="I793" s="61" t="s">
        <v>2511</v>
      </c>
      <c r="J793" s="61" t="s">
        <v>2511</v>
      </c>
      <c r="K793" s="62" t="s">
        <v>2511</v>
      </c>
      <c r="L793" s="60" t="s">
        <v>2511</v>
      </c>
      <c r="M793" s="61" t="s">
        <v>2389</v>
      </c>
      <c r="N793" s="61" t="s">
        <v>2511</v>
      </c>
      <c r="O793" s="61" t="s">
        <v>2511</v>
      </c>
      <c r="P793" s="62" t="s">
        <v>2511</v>
      </c>
      <c r="Q793" s="82"/>
      <c r="R793" s="82"/>
      <c r="S793" s="82"/>
      <c r="T793" s="82"/>
      <c r="U793" s="82"/>
      <c r="V793" s="138" t="s">
        <v>4692</v>
      </c>
      <c r="W793" s="57" t="s">
        <v>4532</v>
      </c>
      <c r="X793" s="126" t="s">
        <v>2511</v>
      </c>
      <c r="Y793" s="126" t="s">
        <v>2511</v>
      </c>
      <c r="Z793" s="57"/>
      <c r="AA793" s="57" t="s">
        <v>4533</v>
      </c>
      <c r="AB793" s="138"/>
      <c r="AC793" s="138" t="s">
        <v>2631</v>
      </c>
      <c r="AD793" s="96"/>
      <c r="AE793" s="80"/>
      <c r="AF793" s="80"/>
      <c r="AG793" s="80"/>
      <c r="AH793" s="83"/>
      <c r="AI793" s="83"/>
      <c r="AJ793" s="84"/>
      <c r="AK793" s="84"/>
      <c r="AL793" s="84"/>
      <c r="AM793" s="84"/>
      <c r="AN793" s="84"/>
      <c r="AO793" s="84"/>
      <c r="AP793" s="84"/>
      <c r="AQ793" s="95" t="s">
        <v>1912</v>
      </c>
      <c r="AR793" s="72"/>
      <c r="AS793" s="72"/>
      <c r="AT793" s="72"/>
      <c r="AU793" s="72"/>
      <c r="AV793" s="72"/>
      <c r="AW793" s="72"/>
      <c r="AX793" s="72"/>
      <c r="AY793" s="72"/>
      <c r="AZ793" s="72"/>
      <c r="BA793" s="72"/>
      <c r="BB793" s="16"/>
      <c r="BC793" s="72"/>
      <c r="BD793" s="20"/>
      <c r="BE793" s="378"/>
    </row>
    <row r="794" spans="1:57" s="81" customFormat="1" ht="12.95" hidden="1" customHeight="1">
      <c r="A794" s="374"/>
      <c r="B794" s="376"/>
      <c r="C794" s="248" t="s">
        <v>1643</v>
      </c>
      <c r="D794" s="239" t="s">
        <v>4693</v>
      </c>
      <c r="E794" s="58"/>
      <c r="F794" s="59" t="s">
        <v>4694</v>
      </c>
      <c r="G794" s="191" t="s">
        <v>2511</v>
      </c>
      <c r="H794" s="192" t="s">
        <v>1913</v>
      </c>
      <c r="I794" s="61" t="s">
        <v>2511</v>
      </c>
      <c r="J794" s="61" t="s">
        <v>2511</v>
      </c>
      <c r="K794" s="62" t="s">
        <v>2511</v>
      </c>
      <c r="L794" s="60" t="s">
        <v>2511</v>
      </c>
      <c r="M794" s="61" t="s">
        <v>2389</v>
      </c>
      <c r="N794" s="61" t="s">
        <v>2511</v>
      </c>
      <c r="O794" s="61" t="s">
        <v>2511</v>
      </c>
      <c r="P794" s="62" t="s">
        <v>2511</v>
      </c>
      <c r="Q794" s="82"/>
      <c r="R794" s="82"/>
      <c r="S794" s="82"/>
      <c r="T794" s="82"/>
      <c r="U794" s="82"/>
      <c r="V794" s="138" t="s">
        <v>4695</v>
      </c>
      <c r="W794" s="57" t="s">
        <v>4532</v>
      </c>
      <c r="X794" s="126" t="s">
        <v>2511</v>
      </c>
      <c r="Y794" s="126" t="s">
        <v>2511</v>
      </c>
      <c r="Z794" s="57"/>
      <c r="AA794" s="57" t="s">
        <v>4533</v>
      </c>
      <c r="AB794" s="138"/>
      <c r="AC794" s="138" t="s">
        <v>2631</v>
      </c>
      <c r="AD794" s="96"/>
      <c r="AE794" s="80"/>
      <c r="AF794" s="80"/>
      <c r="AG794" s="80"/>
      <c r="AH794" s="83"/>
      <c r="AI794" s="83"/>
      <c r="AJ794" s="84"/>
      <c r="AK794" s="84"/>
      <c r="AL794" s="84"/>
      <c r="AM794" s="84"/>
      <c r="AN794" s="84"/>
      <c r="AO794" s="84"/>
      <c r="AP794" s="84"/>
      <c r="AQ794" s="95" t="s">
        <v>1913</v>
      </c>
      <c r="AR794" s="72"/>
      <c r="AS794" s="72"/>
      <c r="AT794" s="72"/>
      <c r="AU794" s="72"/>
      <c r="AV794" s="72"/>
      <c r="AW794" s="72"/>
      <c r="AX794" s="72"/>
      <c r="AY794" s="72"/>
      <c r="AZ794" s="72"/>
      <c r="BA794" s="72"/>
      <c r="BB794" s="16"/>
      <c r="BC794" s="72"/>
      <c r="BD794" s="20"/>
      <c r="BE794" s="378"/>
    </row>
    <row r="795" spans="1:57" s="81" customFormat="1" ht="12.95" hidden="1" customHeight="1">
      <c r="A795" s="374"/>
      <c r="B795" s="376"/>
      <c r="C795" s="248" t="s">
        <v>1644</v>
      </c>
      <c r="D795" s="239" t="s">
        <v>4696</v>
      </c>
      <c r="E795" s="58"/>
      <c r="F795" s="59" t="s">
        <v>4697</v>
      </c>
      <c r="G795" s="191" t="s">
        <v>2511</v>
      </c>
      <c r="H795" s="192" t="s">
        <v>1914</v>
      </c>
      <c r="I795" s="61" t="s">
        <v>2511</v>
      </c>
      <c r="J795" s="61" t="s">
        <v>2511</v>
      </c>
      <c r="K795" s="62" t="s">
        <v>2511</v>
      </c>
      <c r="L795" s="60" t="s">
        <v>2511</v>
      </c>
      <c r="M795" s="61" t="s">
        <v>2389</v>
      </c>
      <c r="N795" s="61" t="s">
        <v>2511</v>
      </c>
      <c r="O795" s="61" t="s">
        <v>2511</v>
      </c>
      <c r="P795" s="62" t="s">
        <v>2511</v>
      </c>
      <c r="Q795" s="82"/>
      <c r="R795" s="82"/>
      <c r="S795" s="82"/>
      <c r="T795" s="82"/>
      <c r="U795" s="82"/>
      <c r="V795" s="138" t="s">
        <v>4698</v>
      </c>
      <c r="W795" s="57" t="s">
        <v>4532</v>
      </c>
      <c r="X795" s="126" t="s">
        <v>2511</v>
      </c>
      <c r="Y795" s="126" t="s">
        <v>2511</v>
      </c>
      <c r="Z795" s="57"/>
      <c r="AA795" s="57" t="s">
        <v>4533</v>
      </c>
      <c r="AB795" s="138"/>
      <c r="AC795" s="138" t="s">
        <v>2631</v>
      </c>
      <c r="AD795" s="96"/>
      <c r="AE795" s="80"/>
      <c r="AF795" s="80"/>
      <c r="AG795" s="80"/>
      <c r="AH795" s="83"/>
      <c r="AI795" s="83"/>
      <c r="AJ795" s="84"/>
      <c r="AK795" s="84"/>
      <c r="AL795" s="84"/>
      <c r="AM795" s="84"/>
      <c r="AN795" s="84"/>
      <c r="AO795" s="84"/>
      <c r="AP795" s="84"/>
      <c r="AQ795" s="95" t="s">
        <v>1914</v>
      </c>
      <c r="AR795" s="72"/>
      <c r="AS795" s="72"/>
      <c r="AT795" s="72"/>
      <c r="AU795" s="72"/>
      <c r="AV795" s="72"/>
      <c r="AW795" s="72"/>
      <c r="AX795" s="72"/>
      <c r="AY795" s="72"/>
      <c r="AZ795" s="72"/>
      <c r="BA795" s="72"/>
      <c r="BB795" s="16"/>
      <c r="BC795" s="72"/>
      <c r="BD795" s="20"/>
      <c r="BE795" s="378"/>
    </row>
    <row r="796" spans="1:57" s="81" customFormat="1" ht="12.95" hidden="1" customHeight="1">
      <c r="A796" s="374"/>
      <c r="B796" s="376"/>
      <c r="C796" s="248" t="s">
        <v>1645</v>
      </c>
      <c r="D796" s="239" t="s">
        <v>4699</v>
      </c>
      <c r="E796" s="58"/>
      <c r="F796" s="59" t="s">
        <v>4700</v>
      </c>
      <c r="G796" s="191" t="s">
        <v>2511</v>
      </c>
      <c r="H796" s="192" t="s">
        <v>1915</v>
      </c>
      <c r="I796" s="61" t="s">
        <v>2511</v>
      </c>
      <c r="J796" s="61" t="s">
        <v>2511</v>
      </c>
      <c r="K796" s="62" t="s">
        <v>2511</v>
      </c>
      <c r="L796" s="60" t="s">
        <v>2511</v>
      </c>
      <c r="M796" s="61" t="s">
        <v>2389</v>
      </c>
      <c r="N796" s="61" t="s">
        <v>2511</v>
      </c>
      <c r="O796" s="61" t="s">
        <v>2511</v>
      </c>
      <c r="P796" s="62" t="s">
        <v>2511</v>
      </c>
      <c r="Q796" s="82"/>
      <c r="R796" s="82"/>
      <c r="S796" s="82"/>
      <c r="T796" s="82"/>
      <c r="U796" s="82"/>
      <c r="V796" s="138" t="s">
        <v>4701</v>
      </c>
      <c r="W796" s="57" t="s">
        <v>4532</v>
      </c>
      <c r="X796" s="126" t="s">
        <v>2511</v>
      </c>
      <c r="Y796" s="126" t="s">
        <v>2511</v>
      </c>
      <c r="Z796" s="57"/>
      <c r="AA796" s="57" t="s">
        <v>4533</v>
      </c>
      <c r="AB796" s="138"/>
      <c r="AC796" s="138" t="s">
        <v>2631</v>
      </c>
      <c r="AD796" s="96"/>
      <c r="AE796" s="80"/>
      <c r="AF796" s="80"/>
      <c r="AG796" s="80"/>
      <c r="AH796" s="83"/>
      <c r="AI796" s="83"/>
      <c r="AJ796" s="84"/>
      <c r="AK796" s="84"/>
      <c r="AL796" s="84"/>
      <c r="AM796" s="84"/>
      <c r="AN796" s="84"/>
      <c r="AO796" s="84"/>
      <c r="AP796" s="84"/>
      <c r="AQ796" s="95" t="s">
        <v>1915</v>
      </c>
      <c r="AR796" s="72"/>
      <c r="AS796" s="72"/>
      <c r="AT796" s="72"/>
      <c r="AU796" s="72"/>
      <c r="AV796" s="72"/>
      <c r="AW796" s="72"/>
      <c r="AX796" s="72"/>
      <c r="AY796" s="72"/>
      <c r="AZ796" s="72"/>
      <c r="BA796" s="72"/>
      <c r="BB796" s="16"/>
      <c r="BC796" s="72"/>
      <c r="BD796" s="20"/>
      <c r="BE796" s="378"/>
    </row>
    <row r="797" spans="1:57" s="81" customFormat="1" ht="12.95" hidden="1" customHeight="1">
      <c r="A797" s="374"/>
      <c r="B797" s="376"/>
      <c r="C797" s="270" t="s">
        <v>1646</v>
      </c>
      <c r="D797" s="239" t="s">
        <v>4702</v>
      </c>
      <c r="E797" s="58"/>
      <c r="F797" s="59" t="s">
        <v>4703</v>
      </c>
      <c r="G797" s="191" t="s">
        <v>2511</v>
      </c>
      <c r="H797" s="192" t="s">
        <v>1916</v>
      </c>
      <c r="I797" s="61" t="s">
        <v>2511</v>
      </c>
      <c r="J797" s="61" t="s">
        <v>2511</v>
      </c>
      <c r="K797" s="62" t="s">
        <v>2511</v>
      </c>
      <c r="L797" s="60" t="s">
        <v>2511</v>
      </c>
      <c r="M797" s="61" t="s">
        <v>2389</v>
      </c>
      <c r="N797" s="61" t="s">
        <v>2511</v>
      </c>
      <c r="O797" s="61" t="s">
        <v>2511</v>
      </c>
      <c r="P797" s="62" t="s">
        <v>2511</v>
      </c>
      <c r="Q797" s="82"/>
      <c r="R797" s="82"/>
      <c r="S797" s="82"/>
      <c r="T797" s="82"/>
      <c r="U797" s="82"/>
      <c r="V797" s="138" t="s">
        <v>4704</v>
      </c>
      <c r="W797" s="57" t="s">
        <v>4532</v>
      </c>
      <c r="X797" s="126" t="s">
        <v>2511</v>
      </c>
      <c r="Y797" s="126" t="s">
        <v>2511</v>
      </c>
      <c r="Z797" s="57"/>
      <c r="AA797" s="57" t="s">
        <v>4533</v>
      </c>
      <c r="AB797" s="138"/>
      <c r="AC797" s="138" t="s">
        <v>2631</v>
      </c>
      <c r="AD797" s="96"/>
      <c r="AE797" s="80"/>
      <c r="AF797" s="80"/>
      <c r="AG797" s="80"/>
      <c r="AH797" s="83"/>
      <c r="AI797" s="83"/>
      <c r="AJ797" s="84"/>
      <c r="AK797" s="84"/>
      <c r="AL797" s="84"/>
      <c r="AM797" s="84"/>
      <c r="AN797" s="84"/>
      <c r="AO797" s="84"/>
      <c r="AP797" s="84"/>
      <c r="AQ797" s="95" t="s">
        <v>1916</v>
      </c>
      <c r="AR797" s="72"/>
      <c r="AS797" s="72"/>
      <c r="AT797" s="72"/>
      <c r="AU797" s="72"/>
      <c r="AV797" s="72"/>
      <c r="AW797" s="72"/>
      <c r="AX797" s="72"/>
      <c r="AY797" s="72"/>
      <c r="AZ797" s="72"/>
      <c r="BA797" s="72"/>
      <c r="BB797" s="16"/>
      <c r="BC797" s="72"/>
      <c r="BD797" s="20"/>
      <c r="BE797" s="378"/>
    </row>
    <row r="798" spans="1:57" s="81" customFormat="1" ht="12.95" hidden="1" customHeight="1">
      <c r="A798" s="374"/>
      <c r="B798" s="376"/>
      <c r="C798" s="270" t="s">
        <v>1647</v>
      </c>
      <c r="D798" s="239" t="s">
        <v>4705</v>
      </c>
      <c r="E798" s="58"/>
      <c r="F798" s="59" t="s">
        <v>4706</v>
      </c>
      <c r="G798" s="191" t="s">
        <v>2511</v>
      </c>
      <c r="H798" s="192" t="s">
        <v>1917</v>
      </c>
      <c r="I798" s="61" t="s">
        <v>2511</v>
      </c>
      <c r="J798" s="61" t="s">
        <v>2511</v>
      </c>
      <c r="K798" s="62" t="s">
        <v>2511</v>
      </c>
      <c r="L798" s="60" t="s">
        <v>2511</v>
      </c>
      <c r="M798" s="61" t="s">
        <v>2389</v>
      </c>
      <c r="N798" s="61" t="s">
        <v>2511</v>
      </c>
      <c r="O798" s="61" t="s">
        <v>2511</v>
      </c>
      <c r="P798" s="62" t="s">
        <v>2511</v>
      </c>
      <c r="Q798" s="82"/>
      <c r="R798" s="82"/>
      <c r="S798" s="82"/>
      <c r="T798" s="82"/>
      <c r="U798" s="82"/>
      <c r="V798" s="138" t="s">
        <v>4707</v>
      </c>
      <c r="W798" s="57" t="s">
        <v>4532</v>
      </c>
      <c r="X798" s="126" t="s">
        <v>2511</v>
      </c>
      <c r="Y798" s="126" t="s">
        <v>2511</v>
      </c>
      <c r="Z798" s="57"/>
      <c r="AA798" s="57" t="s">
        <v>4533</v>
      </c>
      <c r="AB798" s="138"/>
      <c r="AC798" s="138" t="s">
        <v>2631</v>
      </c>
      <c r="AD798" s="96"/>
      <c r="AE798" s="80"/>
      <c r="AF798" s="80"/>
      <c r="AG798" s="80"/>
      <c r="AH798" s="83"/>
      <c r="AI798" s="83"/>
      <c r="AJ798" s="84"/>
      <c r="AK798" s="84"/>
      <c r="AL798" s="84"/>
      <c r="AM798" s="84"/>
      <c r="AN798" s="84"/>
      <c r="AO798" s="84"/>
      <c r="AP798" s="84"/>
      <c r="AQ798" s="95" t="s">
        <v>1917</v>
      </c>
      <c r="AR798" s="72"/>
      <c r="AS798" s="72"/>
      <c r="AT798" s="72"/>
      <c r="AU798" s="72"/>
      <c r="AV798" s="72"/>
      <c r="AW798" s="72"/>
      <c r="AX798" s="72"/>
      <c r="AY798" s="72"/>
      <c r="AZ798" s="72"/>
      <c r="BA798" s="72"/>
      <c r="BB798" s="16"/>
      <c r="BC798" s="72"/>
      <c r="BD798" s="20"/>
      <c r="BE798" s="378"/>
    </row>
    <row r="799" spans="1:57" s="81" customFormat="1" ht="12.95" hidden="1" customHeight="1">
      <c r="A799" s="374"/>
      <c r="B799" s="376"/>
      <c r="C799" s="248" t="s">
        <v>1648</v>
      </c>
      <c r="D799" s="239" t="s">
        <v>4708</v>
      </c>
      <c r="E799" s="58"/>
      <c r="F799" s="59" t="s">
        <v>4709</v>
      </c>
      <c r="G799" s="191" t="s">
        <v>2511</v>
      </c>
      <c r="H799" s="192" t="s">
        <v>1918</v>
      </c>
      <c r="I799" s="61" t="s">
        <v>2511</v>
      </c>
      <c r="J799" s="61" t="s">
        <v>2511</v>
      </c>
      <c r="K799" s="62" t="s">
        <v>2511</v>
      </c>
      <c r="L799" s="60" t="s">
        <v>2511</v>
      </c>
      <c r="M799" s="61" t="s">
        <v>2389</v>
      </c>
      <c r="N799" s="61" t="s">
        <v>2511</v>
      </c>
      <c r="O799" s="61" t="s">
        <v>2511</v>
      </c>
      <c r="P799" s="62" t="s">
        <v>2511</v>
      </c>
      <c r="Q799" s="82"/>
      <c r="R799" s="82"/>
      <c r="S799" s="82"/>
      <c r="T799" s="82"/>
      <c r="U799" s="82"/>
      <c r="V799" s="138" t="s">
        <v>4710</v>
      </c>
      <c r="W799" s="57" t="s">
        <v>4532</v>
      </c>
      <c r="X799" s="126" t="s">
        <v>2511</v>
      </c>
      <c r="Y799" s="126" t="s">
        <v>2511</v>
      </c>
      <c r="Z799" s="57"/>
      <c r="AA799" s="57" t="s">
        <v>4533</v>
      </c>
      <c r="AB799" s="138"/>
      <c r="AC799" s="138">
        <v>0</v>
      </c>
      <c r="AD799" s="96"/>
      <c r="AE799" s="80"/>
      <c r="AF799" s="80"/>
      <c r="AG799" s="80"/>
      <c r="AH799" s="83"/>
      <c r="AI799" s="83"/>
      <c r="AJ799" s="84"/>
      <c r="AK799" s="84"/>
      <c r="AL799" s="84"/>
      <c r="AM799" s="84"/>
      <c r="AN799" s="84"/>
      <c r="AO799" s="84"/>
      <c r="AP799" s="84"/>
      <c r="AQ799" s="95" t="s">
        <v>1918</v>
      </c>
      <c r="AR799" s="72"/>
      <c r="AS799" s="72"/>
      <c r="AT799" s="72"/>
      <c r="AU799" s="72"/>
      <c r="AV799" s="72"/>
      <c r="AW799" s="72"/>
      <c r="AX799" s="72"/>
      <c r="AY799" s="72"/>
      <c r="AZ799" s="72"/>
      <c r="BA799" s="72"/>
      <c r="BB799" s="16"/>
      <c r="BC799" s="72"/>
      <c r="BD799" s="20"/>
      <c r="BE799" s="378"/>
    </row>
    <row r="800" spans="1:57" s="81" customFormat="1" ht="12.95" hidden="1" customHeight="1">
      <c r="A800" s="374"/>
      <c r="B800" s="376"/>
      <c r="C800" s="248" t="s">
        <v>1649</v>
      </c>
      <c r="D800" s="239" t="s">
        <v>4711</v>
      </c>
      <c r="E800" s="58"/>
      <c r="F800" s="59" t="s">
        <v>4712</v>
      </c>
      <c r="G800" s="191" t="s">
        <v>2511</v>
      </c>
      <c r="H800" s="192" t="s">
        <v>1919</v>
      </c>
      <c r="I800" s="61" t="s">
        <v>2511</v>
      </c>
      <c r="J800" s="61" t="s">
        <v>2511</v>
      </c>
      <c r="K800" s="62" t="s">
        <v>2511</v>
      </c>
      <c r="L800" s="60" t="s">
        <v>2511</v>
      </c>
      <c r="M800" s="61" t="s">
        <v>2389</v>
      </c>
      <c r="N800" s="61" t="s">
        <v>2511</v>
      </c>
      <c r="O800" s="61" t="s">
        <v>2511</v>
      </c>
      <c r="P800" s="62" t="s">
        <v>2511</v>
      </c>
      <c r="Q800" s="82"/>
      <c r="R800" s="82"/>
      <c r="S800" s="82"/>
      <c r="T800" s="82"/>
      <c r="U800" s="82"/>
      <c r="V800" s="138" t="s">
        <v>4713</v>
      </c>
      <c r="W800" s="57" t="s">
        <v>4532</v>
      </c>
      <c r="X800" s="126" t="s">
        <v>2511</v>
      </c>
      <c r="Y800" s="126" t="s">
        <v>2511</v>
      </c>
      <c r="Z800" s="57"/>
      <c r="AA800" s="57" t="s">
        <v>4533</v>
      </c>
      <c r="AB800" s="138"/>
      <c r="AC800" s="138" t="s">
        <v>895</v>
      </c>
      <c r="AD800" s="96"/>
      <c r="AE800" s="80"/>
      <c r="AF800" s="80"/>
      <c r="AG800" s="80"/>
      <c r="AH800" s="83"/>
      <c r="AI800" s="83"/>
      <c r="AJ800" s="84"/>
      <c r="AK800" s="84"/>
      <c r="AL800" s="84"/>
      <c r="AM800" s="84"/>
      <c r="AN800" s="84"/>
      <c r="AO800" s="84"/>
      <c r="AP800" s="84"/>
      <c r="AQ800" s="95" t="s">
        <v>1919</v>
      </c>
      <c r="AR800" s="72"/>
      <c r="AS800" s="72"/>
      <c r="AT800" s="72"/>
      <c r="AU800" s="72"/>
      <c r="AV800" s="72"/>
      <c r="AW800" s="72"/>
      <c r="AX800" s="72"/>
      <c r="AY800" s="72"/>
      <c r="AZ800" s="72"/>
      <c r="BA800" s="72"/>
      <c r="BB800" s="16"/>
      <c r="BC800" s="72"/>
      <c r="BD800" s="20"/>
      <c r="BE800" s="378"/>
    </row>
    <row r="801" spans="1:57" s="81" customFormat="1" ht="12.95" hidden="1" customHeight="1">
      <c r="A801" s="374"/>
      <c r="B801" s="376"/>
      <c r="C801" s="248" t="s">
        <v>1650</v>
      </c>
      <c r="D801" s="239" t="s">
        <v>4714</v>
      </c>
      <c r="E801" s="58"/>
      <c r="F801" s="59" t="s">
        <v>4715</v>
      </c>
      <c r="G801" s="191" t="s">
        <v>2511</v>
      </c>
      <c r="H801" s="192" t="s">
        <v>1920</v>
      </c>
      <c r="I801" s="61" t="s">
        <v>2511</v>
      </c>
      <c r="J801" s="61" t="s">
        <v>2511</v>
      </c>
      <c r="K801" s="62" t="s">
        <v>2511</v>
      </c>
      <c r="L801" s="60" t="s">
        <v>2511</v>
      </c>
      <c r="M801" s="61" t="s">
        <v>2389</v>
      </c>
      <c r="N801" s="61" t="s">
        <v>2511</v>
      </c>
      <c r="O801" s="61" t="s">
        <v>2511</v>
      </c>
      <c r="P801" s="62" t="s">
        <v>2511</v>
      </c>
      <c r="Q801" s="82"/>
      <c r="R801" s="82"/>
      <c r="S801" s="82"/>
      <c r="T801" s="82"/>
      <c r="U801" s="82"/>
      <c r="V801" s="138" t="s">
        <v>4716</v>
      </c>
      <c r="W801" s="57" t="s">
        <v>4532</v>
      </c>
      <c r="X801" s="126" t="s">
        <v>2511</v>
      </c>
      <c r="Y801" s="126" t="s">
        <v>2511</v>
      </c>
      <c r="Z801" s="57"/>
      <c r="AA801" s="57" t="s">
        <v>4533</v>
      </c>
      <c r="AB801" s="138"/>
      <c r="AC801" s="138" t="s">
        <v>895</v>
      </c>
      <c r="AD801" s="96"/>
      <c r="AE801" s="80"/>
      <c r="AF801" s="80"/>
      <c r="AG801" s="80"/>
      <c r="AH801" s="83"/>
      <c r="AI801" s="83"/>
      <c r="AJ801" s="84"/>
      <c r="AK801" s="84"/>
      <c r="AL801" s="84"/>
      <c r="AM801" s="84"/>
      <c r="AN801" s="84"/>
      <c r="AO801" s="84"/>
      <c r="AP801" s="84"/>
      <c r="AQ801" s="95" t="s">
        <v>1920</v>
      </c>
      <c r="AR801" s="72"/>
      <c r="AS801" s="72"/>
      <c r="AT801" s="72"/>
      <c r="AU801" s="72"/>
      <c r="AV801" s="72"/>
      <c r="AW801" s="72"/>
      <c r="AX801" s="72"/>
      <c r="AY801" s="72"/>
      <c r="AZ801" s="72"/>
      <c r="BA801" s="72"/>
      <c r="BB801" s="16"/>
      <c r="BC801" s="72"/>
      <c r="BD801" s="20"/>
      <c r="BE801" s="378"/>
    </row>
    <row r="802" spans="1:57" s="81" customFormat="1" ht="12.95" hidden="1" customHeight="1">
      <c r="A802" s="374"/>
      <c r="B802" s="376"/>
      <c r="C802" s="248" t="s">
        <v>1651</v>
      </c>
      <c r="D802" s="239" t="s">
        <v>4717</v>
      </c>
      <c r="E802" s="58"/>
      <c r="F802" s="59" t="s">
        <v>4718</v>
      </c>
      <c r="G802" s="191" t="s">
        <v>2511</v>
      </c>
      <c r="H802" s="192" t="s">
        <v>1921</v>
      </c>
      <c r="I802" s="61" t="s">
        <v>2511</v>
      </c>
      <c r="J802" s="61" t="s">
        <v>2511</v>
      </c>
      <c r="K802" s="62" t="s">
        <v>2511</v>
      </c>
      <c r="L802" s="60" t="s">
        <v>2511</v>
      </c>
      <c r="M802" s="61" t="s">
        <v>2389</v>
      </c>
      <c r="N802" s="61" t="s">
        <v>2511</v>
      </c>
      <c r="O802" s="61" t="s">
        <v>2511</v>
      </c>
      <c r="P802" s="62" t="s">
        <v>2511</v>
      </c>
      <c r="Q802" s="82"/>
      <c r="R802" s="82"/>
      <c r="S802" s="82"/>
      <c r="T802" s="82"/>
      <c r="U802" s="82"/>
      <c r="V802" s="138" t="s">
        <v>4719</v>
      </c>
      <c r="W802" s="57" t="s">
        <v>4532</v>
      </c>
      <c r="X802" s="126" t="s">
        <v>2511</v>
      </c>
      <c r="Y802" s="126" t="s">
        <v>2511</v>
      </c>
      <c r="Z802" s="57"/>
      <c r="AA802" s="57" t="s">
        <v>4533</v>
      </c>
      <c r="AB802" s="138"/>
      <c r="AC802" s="138" t="s">
        <v>895</v>
      </c>
      <c r="AD802" s="96"/>
      <c r="AE802" s="80"/>
      <c r="AF802" s="80"/>
      <c r="AG802" s="80"/>
      <c r="AH802" s="83"/>
      <c r="AI802" s="83"/>
      <c r="AJ802" s="84"/>
      <c r="AK802" s="84"/>
      <c r="AL802" s="84"/>
      <c r="AM802" s="84"/>
      <c r="AN802" s="84"/>
      <c r="AO802" s="84"/>
      <c r="AP802" s="84"/>
      <c r="AQ802" s="95" t="s">
        <v>1921</v>
      </c>
      <c r="AR802" s="72"/>
      <c r="AS802" s="72"/>
      <c r="AT802" s="72"/>
      <c r="AU802" s="72"/>
      <c r="AV802" s="72"/>
      <c r="AW802" s="72"/>
      <c r="AX802" s="72"/>
      <c r="AY802" s="72"/>
      <c r="AZ802" s="72"/>
      <c r="BA802" s="72"/>
      <c r="BB802" s="16"/>
      <c r="BC802" s="72"/>
      <c r="BD802" s="20"/>
      <c r="BE802" s="378"/>
    </row>
    <row r="803" spans="1:57" s="81" customFormat="1" ht="12.95" hidden="1" customHeight="1">
      <c r="A803" s="374"/>
      <c r="B803" s="376"/>
      <c r="C803" s="248" t="s">
        <v>1652</v>
      </c>
      <c r="D803" s="239" t="s">
        <v>4720</v>
      </c>
      <c r="E803" s="58"/>
      <c r="F803" s="59" t="s">
        <v>4721</v>
      </c>
      <c r="G803" s="191" t="s">
        <v>2511</v>
      </c>
      <c r="H803" s="192" t="s">
        <v>1922</v>
      </c>
      <c r="I803" s="61" t="s">
        <v>2511</v>
      </c>
      <c r="J803" s="61" t="s">
        <v>2511</v>
      </c>
      <c r="K803" s="62" t="s">
        <v>2511</v>
      </c>
      <c r="L803" s="60" t="s">
        <v>2511</v>
      </c>
      <c r="M803" s="61" t="s">
        <v>2389</v>
      </c>
      <c r="N803" s="61" t="s">
        <v>2511</v>
      </c>
      <c r="O803" s="61" t="s">
        <v>2511</v>
      </c>
      <c r="P803" s="62" t="s">
        <v>2511</v>
      </c>
      <c r="Q803" s="82"/>
      <c r="R803" s="82"/>
      <c r="S803" s="82"/>
      <c r="T803" s="82"/>
      <c r="U803" s="82"/>
      <c r="V803" s="138" t="s">
        <v>4722</v>
      </c>
      <c r="W803" s="57" t="s">
        <v>4532</v>
      </c>
      <c r="X803" s="126" t="s">
        <v>2511</v>
      </c>
      <c r="Y803" s="126" t="s">
        <v>2511</v>
      </c>
      <c r="Z803" s="57"/>
      <c r="AA803" s="57" t="s">
        <v>4533</v>
      </c>
      <c r="AB803" s="138"/>
      <c r="AC803" s="138" t="s">
        <v>895</v>
      </c>
      <c r="AD803" s="96"/>
      <c r="AE803" s="80"/>
      <c r="AF803" s="80"/>
      <c r="AG803" s="80"/>
      <c r="AH803" s="83"/>
      <c r="AI803" s="83"/>
      <c r="AJ803" s="84"/>
      <c r="AK803" s="84"/>
      <c r="AL803" s="84"/>
      <c r="AM803" s="84"/>
      <c r="AN803" s="84"/>
      <c r="AO803" s="84"/>
      <c r="AP803" s="84"/>
      <c r="AQ803" s="95" t="s">
        <v>1922</v>
      </c>
      <c r="AR803" s="72"/>
      <c r="AS803" s="72"/>
      <c r="AT803" s="72"/>
      <c r="AU803" s="72"/>
      <c r="AV803" s="72"/>
      <c r="AW803" s="72"/>
      <c r="AX803" s="72"/>
      <c r="AY803" s="72"/>
      <c r="AZ803" s="72"/>
      <c r="BA803" s="72"/>
      <c r="BB803" s="16"/>
      <c r="BC803" s="72"/>
      <c r="BD803" s="20"/>
      <c r="BE803" s="378"/>
    </row>
    <row r="804" spans="1:57" s="81" customFormat="1" ht="12.95" hidden="1" customHeight="1">
      <c r="A804" s="374"/>
      <c r="B804" s="376"/>
      <c r="C804" s="248" t="s">
        <v>1653</v>
      </c>
      <c r="D804" s="239" t="s">
        <v>4723</v>
      </c>
      <c r="E804" s="58"/>
      <c r="F804" s="59" t="s">
        <v>4724</v>
      </c>
      <c r="G804" s="191" t="s">
        <v>2511</v>
      </c>
      <c r="H804" s="192" t="s">
        <v>1923</v>
      </c>
      <c r="I804" s="61" t="s">
        <v>2511</v>
      </c>
      <c r="J804" s="61" t="s">
        <v>2511</v>
      </c>
      <c r="K804" s="62" t="s">
        <v>2511</v>
      </c>
      <c r="L804" s="60" t="s">
        <v>2511</v>
      </c>
      <c r="M804" s="61" t="s">
        <v>2389</v>
      </c>
      <c r="N804" s="61" t="s">
        <v>2511</v>
      </c>
      <c r="O804" s="61" t="s">
        <v>2511</v>
      </c>
      <c r="P804" s="62" t="s">
        <v>2511</v>
      </c>
      <c r="Q804" s="82"/>
      <c r="R804" s="82"/>
      <c r="S804" s="82"/>
      <c r="T804" s="82"/>
      <c r="U804" s="82"/>
      <c r="V804" s="138" t="s">
        <v>4725</v>
      </c>
      <c r="W804" s="57" t="s">
        <v>4532</v>
      </c>
      <c r="X804" s="126" t="s">
        <v>2511</v>
      </c>
      <c r="Y804" s="126" t="s">
        <v>2511</v>
      </c>
      <c r="Z804" s="57"/>
      <c r="AA804" s="57" t="s">
        <v>4533</v>
      </c>
      <c r="AB804" s="138"/>
      <c r="AC804" s="138" t="s">
        <v>895</v>
      </c>
      <c r="AD804" s="96"/>
      <c r="AE804" s="80"/>
      <c r="AF804" s="80"/>
      <c r="AG804" s="80"/>
      <c r="AH804" s="83"/>
      <c r="AI804" s="83"/>
      <c r="AJ804" s="84"/>
      <c r="AK804" s="84"/>
      <c r="AL804" s="84"/>
      <c r="AM804" s="84"/>
      <c r="AN804" s="84"/>
      <c r="AO804" s="84"/>
      <c r="AP804" s="84"/>
      <c r="AQ804" s="95" t="s">
        <v>1923</v>
      </c>
      <c r="AR804" s="72"/>
      <c r="AS804" s="72"/>
      <c r="AT804" s="72"/>
      <c r="AU804" s="72"/>
      <c r="AV804" s="72"/>
      <c r="AW804" s="72"/>
      <c r="AX804" s="72"/>
      <c r="AY804" s="72"/>
      <c r="AZ804" s="72"/>
      <c r="BA804" s="72"/>
      <c r="BB804" s="16"/>
      <c r="BC804" s="72"/>
      <c r="BD804" s="20"/>
      <c r="BE804" s="378"/>
    </row>
    <row r="805" spans="1:57" s="81" customFormat="1" ht="12.95" hidden="1" customHeight="1">
      <c r="A805" s="374"/>
      <c r="B805" s="376"/>
      <c r="C805" s="248" t="s">
        <v>1654</v>
      </c>
      <c r="D805" s="239" t="s">
        <v>4726</v>
      </c>
      <c r="E805" s="58"/>
      <c r="F805" s="59" t="s">
        <v>4727</v>
      </c>
      <c r="G805" s="191" t="s">
        <v>2511</v>
      </c>
      <c r="H805" s="192" t="s">
        <v>1924</v>
      </c>
      <c r="I805" s="61" t="s">
        <v>2511</v>
      </c>
      <c r="J805" s="61" t="s">
        <v>2511</v>
      </c>
      <c r="K805" s="62" t="s">
        <v>2511</v>
      </c>
      <c r="L805" s="60" t="s">
        <v>2511</v>
      </c>
      <c r="M805" s="61" t="s">
        <v>2389</v>
      </c>
      <c r="N805" s="61" t="s">
        <v>2511</v>
      </c>
      <c r="O805" s="61" t="s">
        <v>2511</v>
      </c>
      <c r="P805" s="62" t="s">
        <v>2511</v>
      </c>
      <c r="Q805" s="82"/>
      <c r="R805" s="82"/>
      <c r="S805" s="82"/>
      <c r="T805" s="82"/>
      <c r="U805" s="82"/>
      <c r="V805" s="138" t="s">
        <v>4728</v>
      </c>
      <c r="W805" s="57" t="s">
        <v>4532</v>
      </c>
      <c r="X805" s="126" t="s">
        <v>2511</v>
      </c>
      <c r="Y805" s="126" t="s">
        <v>2511</v>
      </c>
      <c r="Z805" s="57"/>
      <c r="AA805" s="57" t="s">
        <v>4533</v>
      </c>
      <c r="AB805" s="138"/>
      <c r="AC805" s="138" t="s">
        <v>895</v>
      </c>
      <c r="AD805" s="96"/>
      <c r="AE805" s="80"/>
      <c r="AF805" s="80"/>
      <c r="AG805" s="80"/>
      <c r="AH805" s="83"/>
      <c r="AI805" s="83"/>
      <c r="AJ805" s="84"/>
      <c r="AK805" s="84"/>
      <c r="AL805" s="84"/>
      <c r="AM805" s="84"/>
      <c r="AN805" s="84"/>
      <c r="AO805" s="84"/>
      <c r="AP805" s="84"/>
      <c r="AQ805" s="95" t="s">
        <v>1924</v>
      </c>
      <c r="AR805" s="72"/>
      <c r="AS805" s="72"/>
      <c r="AT805" s="72"/>
      <c r="AU805" s="72"/>
      <c r="AV805" s="72"/>
      <c r="AW805" s="72"/>
      <c r="AX805" s="72"/>
      <c r="AY805" s="72"/>
      <c r="AZ805" s="72"/>
      <c r="BA805" s="72"/>
      <c r="BB805" s="16"/>
      <c r="BC805" s="72"/>
      <c r="BD805" s="20"/>
      <c r="BE805" s="378"/>
    </row>
    <row r="806" spans="1:57" s="81" customFormat="1" ht="12.95" hidden="1" customHeight="1">
      <c r="A806" s="374"/>
      <c r="B806" s="376"/>
      <c r="C806" s="248" t="s">
        <v>1655</v>
      </c>
      <c r="D806" s="239" t="s">
        <v>4729</v>
      </c>
      <c r="E806" s="58"/>
      <c r="F806" s="59" t="s">
        <v>4730</v>
      </c>
      <c r="G806" s="191" t="s">
        <v>2511</v>
      </c>
      <c r="H806" s="192" t="s">
        <v>1925</v>
      </c>
      <c r="I806" s="61" t="s">
        <v>2511</v>
      </c>
      <c r="J806" s="61" t="s">
        <v>2511</v>
      </c>
      <c r="K806" s="62" t="s">
        <v>2511</v>
      </c>
      <c r="L806" s="60" t="s">
        <v>2511</v>
      </c>
      <c r="M806" s="61" t="s">
        <v>2389</v>
      </c>
      <c r="N806" s="61" t="s">
        <v>2511</v>
      </c>
      <c r="O806" s="61" t="s">
        <v>2511</v>
      </c>
      <c r="P806" s="62" t="s">
        <v>2511</v>
      </c>
      <c r="Q806" s="82"/>
      <c r="R806" s="82"/>
      <c r="S806" s="82"/>
      <c r="T806" s="82"/>
      <c r="U806" s="82"/>
      <c r="V806" s="138" t="s">
        <v>4731</v>
      </c>
      <c r="W806" s="57" t="s">
        <v>4532</v>
      </c>
      <c r="X806" s="126" t="s">
        <v>2511</v>
      </c>
      <c r="Y806" s="126" t="s">
        <v>2511</v>
      </c>
      <c r="Z806" s="57"/>
      <c r="AA806" s="57" t="s">
        <v>4533</v>
      </c>
      <c r="AB806" s="138"/>
      <c r="AC806" s="138" t="s">
        <v>895</v>
      </c>
      <c r="AD806" s="96"/>
      <c r="AE806" s="80"/>
      <c r="AF806" s="80"/>
      <c r="AG806" s="80"/>
      <c r="AH806" s="83"/>
      <c r="AI806" s="83"/>
      <c r="AJ806" s="84"/>
      <c r="AK806" s="84"/>
      <c r="AL806" s="84"/>
      <c r="AM806" s="84"/>
      <c r="AN806" s="84"/>
      <c r="AO806" s="84"/>
      <c r="AP806" s="84"/>
      <c r="AQ806" s="95" t="s">
        <v>1925</v>
      </c>
      <c r="AR806" s="72"/>
      <c r="AS806" s="72"/>
      <c r="AT806" s="72"/>
      <c r="AU806" s="72"/>
      <c r="AV806" s="72"/>
      <c r="AW806" s="72"/>
      <c r="AX806" s="72"/>
      <c r="AY806" s="72"/>
      <c r="AZ806" s="72"/>
      <c r="BA806" s="72"/>
      <c r="BB806" s="16"/>
      <c r="BC806" s="72"/>
      <c r="BD806" s="20"/>
      <c r="BE806" s="378"/>
    </row>
    <row r="807" spans="1:57" s="81" customFormat="1" ht="12.95" hidden="1" customHeight="1">
      <c r="A807" s="374"/>
      <c r="B807" s="376"/>
      <c r="C807" s="248" t="s">
        <v>1656</v>
      </c>
      <c r="D807" s="239" t="s">
        <v>4732</v>
      </c>
      <c r="E807" s="58"/>
      <c r="F807" s="59" t="s">
        <v>4733</v>
      </c>
      <c r="G807" s="191" t="s">
        <v>2511</v>
      </c>
      <c r="H807" s="192" t="s">
        <v>1926</v>
      </c>
      <c r="I807" s="61" t="s">
        <v>2511</v>
      </c>
      <c r="J807" s="61" t="s">
        <v>2511</v>
      </c>
      <c r="K807" s="62" t="s">
        <v>2511</v>
      </c>
      <c r="L807" s="60" t="s">
        <v>2511</v>
      </c>
      <c r="M807" s="61" t="s">
        <v>2389</v>
      </c>
      <c r="N807" s="61" t="s">
        <v>2511</v>
      </c>
      <c r="O807" s="61" t="s">
        <v>2511</v>
      </c>
      <c r="P807" s="62" t="s">
        <v>2511</v>
      </c>
      <c r="Q807" s="82"/>
      <c r="R807" s="82"/>
      <c r="S807" s="82"/>
      <c r="T807" s="82"/>
      <c r="U807" s="82"/>
      <c r="V807" s="138" t="s">
        <v>4734</v>
      </c>
      <c r="W807" s="57" t="s">
        <v>4532</v>
      </c>
      <c r="X807" s="126" t="s">
        <v>2511</v>
      </c>
      <c r="Y807" s="126" t="s">
        <v>2511</v>
      </c>
      <c r="Z807" s="57"/>
      <c r="AA807" s="57" t="s">
        <v>4533</v>
      </c>
      <c r="AB807" s="138"/>
      <c r="AC807" s="138" t="s">
        <v>895</v>
      </c>
      <c r="AD807" s="96"/>
      <c r="AE807" s="80"/>
      <c r="AF807" s="80"/>
      <c r="AG807" s="80"/>
      <c r="AH807" s="83"/>
      <c r="AI807" s="83"/>
      <c r="AJ807" s="84"/>
      <c r="AK807" s="84"/>
      <c r="AL807" s="84"/>
      <c r="AM807" s="84"/>
      <c r="AN807" s="84"/>
      <c r="AO807" s="84"/>
      <c r="AP807" s="84"/>
      <c r="AQ807" s="95" t="s">
        <v>1926</v>
      </c>
      <c r="AR807" s="72"/>
      <c r="AS807" s="72"/>
      <c r="AT807" s="72"/>
      <c r="AU807" s="72"/>
      <c r="AV807" s="72"/>
      <c r="AW807" s="72"/>
      <c r="AX807" s="72"/>
      <c r="AY807" s="72"/>
      <c r="AZ807" s="72"/>
      <c r="BA807" s="72"/>
      <c r="BB807" s="16"/>
      <c r="BC807" s="72"/>
      <c r="BD807" s="20"/>
      <c r="BE807" s="378"/>
    </row>
    <row r="808" spans="1:57" s="81" customFormat="1" ht="12.95" hidden="1" customHeight="1">
      <c r="A808" s="374"/>
      <c r="B808" s="376"/>
      <c r="C808" s="248" t="s">
        <v>1657</v>
      </c>
      <c r="D808" s="239" t="s">
        <v>4735</v>
      </c>
      <c r="E808" s="58"/>
      <c r="F808" s="59" t="s">
        <v>4736</v>
      </c>
      <c r="G808" s="191" t="s">
        <v>2511</v>
      </c>
      <c r="H808" s="192" t="s">
        <v>1927</v>
      </c>
      <c r="I808" s="61" t="s">
        <v>2511</v>
      </c>
      <c r="J808" s="61" t="s">
        <v>2511</v>
      </c>
      <c r="K808" s="62" t="s">
        <v>2511</v>
      </c>
      <c r="L808" s="60" t="s">
        <v>2511</v>
      </c>
      <c r="M808" s="61" t="s">
        <v>2389</v>
      </c>
      <c r="N808" s="61" t="s">
        <v>2511</v>
      </c>
      <c r="O808" s="61" t="s">
        <v>2511</v>
      </c>
      <c r="P808" s="62" t="s">
        <v>2511</v>
      </c>
      <c r="Q808" s="82"/>
      <c r="R808" s="82"/>
      <c r="S808" s="82"/>
      <c r="T808" s="82"/>
      <c r="U808" s="82"/>
      <c r="V808" s="138" t="s">
        <v>4737</v>
      </c>
      <c r="W808" s="57" t="s">
        <v>4532</v>
      </c>
      <c r="X808" s="126" t="s">
        <v>2511</v>
      </c>
      <c r="Y808" s="126" t="s">
        <v>2511</v>
      </c>
      <c r="Z808" s="57"/>
      <c r="AA808" s="57" t="s">
        <v>4533</v>
      </c>
      <c r="AB808" s="138"/>
      <c r="AC808" s="138" t="s">
        <v>895</v>
      </c>
      <c r="AD808" s="96"/>
      <c r="AE808" s="80"/>
      <c r="AF808" s="80"/>
      <c r="AG808" s="80"/>
      <c r="AH808" s="83"/>
      <c r="AI808" s="83"/>
      <c r="AJ808" s="84"/>
      <c r="AK808" s="84"/>
      <c r="AL808" s="84"/>
      <c r="AM808" s="84"/>
      <c r="AN808" s="84"/>
      <c r="AO808" s="84"/>
      <c r="AP808" s="84"/>
      <c r="AQ808" s="95" t="s">
        <v>1927</v>
      </c>
      <c r="AR808" s="72"/>
      <c r="AS808" s="72"/>
      <c r="AT808" s="72"/>
      <c r="AU808" s="72"/>
      <c r="AV808" s="72"/>
      <c r="AW808" s="72"/>
      <c r="AX808" s="72"/>
      <c r="AY808" s="72"/>
      <c r="AZ808" s="72"/>
      <c r="BA808" s="72"/>
      <c r="BB808" s="16"/>
      <c r="BC808" s="72"/>
      <c r="BD808" s="20"/>
      <c r="BE808" s="378"/>
    </row>
    <row r="809" spans="1:57" s="81" customFormat="1" ht="12.95" hidden="1" customHeight="1">
      <c r="A809" s="374"/>
      <c r="B809" s="376"/>
      <c r="C809" s="270" t="s">
        <v>1658</v>
      </c>
      <c r="D809" s="239" t="s">
        <v>4738</v>
      </c>
      <c r="E809" s="58"/>
      <c r="F809" s="59" t="s">
        <v>4739</v>
      </c>
      <c r="G809" s="191" t="s">
        <v>2511</v>
      </c>
      <c r="H809" s="192" t="s">
        <v>1928</v>
      </c>
      <c r="I809" s="61" t="s">
        <v>2511</v>
      </c>
      <c r="J809" s="61" t="s">
        <v>2511</v>
      </c>
      <c r="K809" s="62" t="s">
        <v>2511</v>
      </c>
      <c r="L809" s="60" t="s">
        <v>2511</v>
      </c>
      <c r="M809" s="61" t="s">
        <v>2389</v>
      </c>
      <c r="N809" s="61" t="s">
        <v>2511</v>
      </c>
      <c r="O809" s="61" t="s">
        <v>2511</v>
      </c>
      <c r="P809" s="62" t="s">
        <v>2511</v>
      </c>
      <c r="Q809" s="82"/>
      <c r="R809" s="82"/>
      <c r="S809" s="82"/>
      <c r="T809" s="82"/>
      <c r="U809" s="82"/>
      <c r="V809" s="138" t="s">
        <v>4740</v>
      </c>
      <c r="W809" s="57" t="s">
        <v>4532</v>
      </c>
      <c r="X809" s="126" t="s">
        <v>2511</v>
      </c>
      <c r="Y809" s="126" t="s">
        <v>2511</v>
      </c>
      <c r="Z809" s="57"/>
      <c r="AA809" s="57" t="s">
        <v>4533</v>
      </c>
      <c r="AB809" s="138"/>
      <c r="AC809" s="138" t="s">
        <v>895</v>
      </c>
      <c r="AD809" s="96"/>
      <c r="AE809" s="80"/>
      <c r="AF809" s="80"/>
      <c r="AG809" s="80"/>
      <c r="AH809" s="83"/>
      <c r="AI809" s="83"/>
      <c r="AJ809" s="84"/>
      <c r="AK809" s="84"/>
      <c r="AL809" s="84"/>
      <c r="AM809" s="84"/>
      <c r="AN809" s="84"/>
      <c r="AO809" s="84"/>
      <c r="AP809" s="84"/>
      <c r="AQ809" s="95" t="s">
        <v>1928</v>
      </c>
      <c r="AR809" s="72"/>
      <c r="AS809" s="72"/>
      <c r="AT809" s="72"/>
      <c r="AU809" s="72"/>
      <c r="AV809" s="72"/>
      <c r="AW809" s="72"/>
      <c r="AX809" s="72"/>
      <c r="AY809" s="72"/>
      <c r="AZ809" s="72"/>
      <c r="BA809" s="72"/>
      <c r="BB809" s="16"/>
      <c r="BC809" s="72"/>
      <c r="BD809" s="20"/>
      <c r="BE809" s="378"/>
    </row>
    <row r="810" spans="1:57" s="81" customFormat="1" ht="12.95" hidden="1" customHeight="1">
      <c r="A810" s="374"/>
      <c r="B810" s="376"/>
      <c r="C810" s="270" t="s">
        <v>1659</v>
      </c>
      <c r="D810" s="239" t="s">
        <v>4741</v>
      </c>
      <c r="E810" s="58"/>
      <c r="F810" s="59" t="s">
        <v>4742</v>
      </c>
      <c r="G810" s="191" t="s">
        <v>2511</v>
      </c>
      <c r="H810" s="192" t="s">
        <v>1929</v>
      </c>
      <c r="I810" s="61" t="s">
        <v>2511</v>
      </c>
      <c r="J810" s="61" t="s">
        <v>2511</v>
      </c>
      <c r="K810" s="62" t="s">
        <v>2511</v>
      </c>
      <c r="L810" s="60" t="s">
        <v>2511</v>
      </c>
      <c r="M810" s="61" t="s">
        <v>2389</v>
      </c>
      <c r="N810" s="61" t="s">
        <v>2511</v>
      </c>
      <c r="O810" s="61" t="s">
        <v>2511</v>
      </c>
      <c r="P810" s="62" t="s">
        <v>2511</v>
      </c>
      <c r="Q810" s="82"/>
      <c r="R810" s="82"/>
      <c r="S810" s="82"/>
      <c r="T810" s="82"/>
      <c r="U810" s="82"/>
      <c r="V810" s="138" t="s">
        <v>4743</v>
      </c>
      <c r="W810" s="57" t="s">
        <v>4532</v>
      </c>
      <c r="X810" s="126" t="s">
        <v>2511</v>
      </c>
      <c r="Y810" s="126" t="s">
        <v>2511</v>
      </c>
      <c r="Z810" s="57"/>
      <c r="AA810" s="57" t="s">
        <v>4533</v>
      </c>
      <c r="AB810" s="138"/>
      <c r="AC810" s="138" t="s">
        <v>895</v>
      </c>
      <c r="AD810" s="96"/>
      <c r="AE810" s="80"/>
      <c r="AF810" s="80"/>
      <c r="AG810" s="80"/>
      <c r="AH810" s="83"/>
      <c r="AI810" s="83"/>
      <c r="AJ810" s="84"/>
      <c r="AK810" s="84"/>
      <c r="AL810" s="84"/>
      <c r="AM810" s="84"/>
      <c r="AN810" s="84"/>
      <c r="AO810" s="84"/>
      <c r="AP810" s="84"/>
      <c r="AQ810" s="95" t="s">
        <v>1929</v>
      </c>
      <c r="AR810" s="72"/>
      <c r="AS810" s="72"/>
      <c r="AT810" s="72"/>
      <c r="AU810" s="72"/>
      <c r="AV810" s="72"/>
      <c r="AW810" s="72"/>
      <c r="AX810" s="72"/>
      <c r="AY810" s="72"/>
      <c r="AZ810" s="72"/>
      <c r="BA810" s="72"/>
      <c r="BB810" s="16"/>
      <c r="BC810" s="72"/>
      <c r="BD810" s="20"/>
      <c r="BE810" s="378"/>
    </row>
    <row r="811" spans="1:57" s="81" customFormat="1" ht="12.95" hidden="1" customHeight="1">
      <c r="A811" s="374"/>
      <c r="B811" s="376"/>
      <c r="C811" s="248" t="s">
        <v>1660</v>
      </c>
      <c r="D811" s="239" t="s">
        <v>4744</v>
      </c>
      <c r="E811" s="58"/>
      <c r="F811" s="59" t="s">
        <v>4745</v>
      </c>
      <c r="G811" s="191" t="s">
        <v>2511</v>
      </c>
      <c r="H811" s="192" t="s">
        <v>1930</v>
      </c>
      <c r="I811" s="61" t="s">
        <v>2511</v>
      </c>
      <c r="J811" s="61" t="s">
        <v>2511</v>
      </c>
      <c r="K811" s="62" t="s">
        <v>2511</v>
      </c>
      <c r="L811" s="60" t="s">
        <v>2511</v>
      </c>
      <c r="M811" s="61" t="s">
        <v>2389</v>
      </c>
      <c r="N811" s="61" t="s">
        <v>2511</v>
      </c>
      <c r="O811" s="61" t="s">
        <v>2511</v>
      </c>
      <c r="P811" s="62" t="s">
        <v>2511</v>
      </c>
      <c r="Q811" s="82"/>
      <c r="R811" s="82"/>
      <c r="S811" s="82"/>
      <c r="T811" s="82"/>
      <c r="U811" s="82"/>
      <c r="V811" s="138" t="s">
        <v>4746</v>
      </c>
      <c r="W811" s="57" t="s">
        <v>4532</v>
      </c>
      <c r="X811" s="126" t="s">
        <v>2511</v>
      </c>
      <c r="Y811" s="126" t="s">
        <v>2511</v>
      </c>
      <c r="Z811" s="57"/>
      <c r="AA811" s="57" t="s">
        <v>4533</v>
      </c>
      <c r="AB811" s="138"/>
      <c r="AC811" s="138">
        <v>0</v>
      </c>
      <c r="AD811" s="96"/>
      <c r="AE811" s="80"/>
      <c r="AF811" s="80"/>
      <c r="AG811" s="80"/>
      <c r="AH811" s="83"/>
      <c r="AI811" s="83"/>
      <c r="AJ811" s="84"/>
      <c r="AK811" s="84"/>
      <c r="AL811" s="84"/>
      <c r="AM811" s="84"/>
      <c r="AN811" s="84"/>
      <c r="AO811" s="84"/>
      <c r="AP811" s="84"/>
      <c r="AQ811" s="95" t="s">
        <v>1930</v>
      </c>
      <c r="AR811" s="72"/>
      <c r="AS811" s="72"/>
      <c r="AT811" s="72"/>
      <c r="AU811" s="72"/>
      <c r="AV811" s="72"/>
      <c r="AW811" s="72"/>
      <c r="AX811" s="72"/>
      <c r="AY811" s="72"/>
      <c r="AZ811" s="72"/>
      <c r="BA811" s="72"/>
      <c r="BB811" s="16"/>
      <c r="BC811" s="72"/>
      <c r="BD811" s="20"/>
      <c r="BE811" s="378"/>
    </row>
    <row r="812" spans="1:57" s="81" customFormat="1" ht="12.95" hidden="1" customHeight="1">
      <c r="A812" s="374"/>
      <c r="B812" s="376"/>
      <c r="C812" s="248" t="s">
        <v>1661</v>
      </c>
      <c r="D812" s="239" t="s">
        <v>4747</v>
      </c>
      <c r="E812" s="58"/>
      <c r="F812" s="59" t="s">
        <v>4748</v>
      </c>
      <c r="G812" s="191" t="s">
        <v>2511</v>
      </c>
      <c r="H812" s="192" t="s">
        <v>1931</v>
      </c>
      <c r="I812" s="61" t="s">
        <v>2511</v>
      </c>
      <c r="J812" s="61" t="s">
        <v>2511</v>
      </c>
      <c r="K812" s="62" t="s">
        <v>2511</v>
      </c>
      <c r="L812" s="60" t="s">
        <v>2511</v>
      </c>
      <c r="M812" s="61" t="s">
        <v>2389</v>
      </c>
      <c r="N812" s="61" t="s">
        <v>2511</v>
      </c>
      <c r="O812" s="61" t="s">
        <v>2511</v>
      </c>
      <c r="P812" s="62" t="s">
        <v>2511</v>
      </c>
      <c r="Q812" s="82"/>
      <c r="R812" s="82"/>
      <c r="S812" s="82"/>
      <c r="T812" s="82"/>
      <c r="U812" s="82"/>
      <c r="V812" s="138" t="s">
        <v>4749</v>
      </c>
      <c r="W812" s="57" t="s">
        <v>4532</v>
      </c>
      <c r="X812" s="126" t="s">
        <v>2511</v>
      </c>
      <c r="Y812" s="126" t="s">
        <v>2511</v>
      </c>
      <c r="Z812" s="57"/>
      <c r="AA812" s="57" t="s">
        <v>4533</v>
      </c>
      <c r="AB812" s="138"/>
      <c r="AC812" s="138" t="s">
        <v>2631</v>
      </c>
      <c r="AD812" s="96"/>
      <c r="AE812" s="80"/>
      <c r="AF812" s="80"/>
      <c r="AG812" s="80"/>
      <c r="AH812" s="83"/>
      <c r="AI812" s="83"/>
      <c r="AJ812" s="84"/>
      <c r="AK812" s="84"/>
      <c r="AL812" s="84"/>
      <c r="AM812" s="84"/>
      <c r="AN812" s="84"/>
      <c r="AO812" s="84"/>
      <c r="AP812" s="84"/>
      <c r="AQ812" s="95" t="s">
        <v>1931</v>
      </c>
      <c r="AR812" s="72"/>
      <c r="AS812" s="72"/>
      <c r="AT812" s="72"/>
      <c r="AU812" s="72"/>
      <c r="AV812" s="72"/>
      <c r="AW812" s="72"/>
      <c r="AX812" s="72"/>
      <c r="AY812" s="72"/>
      <c r="AZ812" s="72"/>
      <c r="BA812" s="72"/>
      <c r="BB812" s="16"/>
      <c r="BC812" s="72"/>
      <c r="BD812" s="20"/>
      <c r="BE812" s="378"/>
    </row>
    <row r="813" spans="1:57" s="81" customFormat="1" ht="12.95" hidden="1" customHeight="1">
      <c r="A813" s="374"/>
      <c r="B813" s="376"/>
      <c r="C813" s="248" t="s">
        <v>1662</v>
      </c>
      <c r="D813" s="239" t="s">
        <v>4750</v>
      </c>
      <c r="E813" s="58"/>
      <c r="F813" s="59" t="s">
        <v>4751</v>
      </c>
      <c r="G813" s="191" t="s">
        <v>2511</v>
      </c>
      <c r="H813" s="192" t="s">
        <v>1932</v>
      </c>
      <c r="I813" s="61" t="s">
        <v>2511</v>
      </c>
      <c r="J813" s="61" t="s">
        <v>2511</v>
      </c>
      <c r="K813" s="62" t="s">
        <v>2511</v>
      </c>
      <c r="L813" s="60" t="s">
        <v>2511</v>
      </c>
      <c r="M813" s="61" t="s">
        <v>2389</v>
      </c>
      <c r="N813" s="61" t="s">
        <v>2511</v>
      </c>
      <c r="O813" s="61" t="s">
        <v>2511</v>
      </c>
      <c r="P813" s="62" t="s">
        <v>2511</v>
      </c>
      <c r="Q813" s="82"/>
      <c r="R813" s="82"/>
      <c r="S813" s="82"/>
      <c r="T813" s="82"/>
      <c r="U813" s="82"/>
      <c r="V813" s="138" t="s">
        <v>4752</v>
      </c>
      <c r="W813" s="57" t="s">
        <v>4532</v>
      </c>
      <c r="X813" s="126" t="s">
        <v>2511</v>
      </c>
      <c r="Y813" s="126" t="s">
        <v>2511</v>
      </c>
      <c r="Z813" s="57"/>
      <c r="AA813" s="57" t="s">
        <v>4533</v>
      </c>
      <c r="AB813" s="138"/>
      <c r="AC813" s="138" t="s">
        <v>2631</v>
      </c>
      <c r="AD813" s="96"/>
      <c r="AE813" s="80"/>
      <c r="AF813" s="80"/>
      <c r="AG813" s="80"/>
      <c r="AH813" s="83"/>
      <c r="AI813" s="83"/>
      <c r="AJ813" s="84"/>
      <c r="AK813" s="84"/>
      <c r="AL813" s="84"/>
      <c r="AM813" s="84"/>
      <c r="AN813" s="84"/>
      <c r="AO813" s="84"/>
      <c r="AP813" s="84"/>
      <c r="AQ813" s="95" t="s">
        <v>1932</v>
      </c>
      <c r="AR813" s="72"/>
      <c r="AS813" s="72"/>
      <c r="AT813" s="72"/>
      <c r="AU813" s="72"/>
      <c r="AV813" s="72"/>
      <c r="AW813" s="72"/>
      <c r="AX813" s="72"/>
      <c r="AY813" s="72"/>
      <c r="AZ813" s="72"/>
      <c r="BA813" s="72"/>
      <c r="BB813" s="16"/>
      <c r="BC813" s="72"/>
      <c r="BD813" s="20"/>
      <c r="BE813" s="378"/>
    </row>
    <row r="814" spans="1:57" s="81" customFormat="1" ht="12.95" hidden="1" customHeight="1">
      <c r="A814" s="374"/>
      <c r="B814" s="376"/>
      <c r="C814" s="248" t="s">
        <v>1663</v>
      </c>
      <c r="D814" s="239" t="s">
        <v>4753</v>
      </c>
      <c r="E814" s="58"/>
      <c r="F814" s="59" t="s">
        <v>4754</v>
      </c>
      <c r="G814" s="191" t="s">
        <v>2511</v>
      </c>
      <c r="H814" s="192" t="s">
        <v>1933</v>
      </c>
      <c r="I814" s="61" t="s">
        <v>2511</v>
      </c>
      <c r="J814" s="61" t="s">
        <v>2511</v>
      </c>
      <c r="K814" s="62" t="s">
        <v>2511</v>
      </c>
      <c r="L814" s="60" t="s">
        <v>2511</v>
      </c>
      <c r="M814" s="61" t="s">
        <v>2389</v>
      </c>
      <c r="N814" s="61" t="s">
        <v>2511</v>
      </c>
      <c r="O814" s="61" t="s">
        <v>2511</v>
      </c>
      <c r="P814" s="62" t="s">
        <v>2511</v>
      </c>
      <c r="Q814" s="82"/>
      <c r="R814" s="82"/>
      <c r="S814" s="82"/>
      <c r="T814" s="82"/>
      <c r="U814" s="82"/>
      <c r="V814" s="138" t="s">
        <v>4755</v>
      </c>
      <c r="W814" s="57" t="s">
        <v>4532</v>
      </c>
      <c r="X814" s="126" t="s">
        <v>2511</v>
      </c>
      <c r="Y814" s="126" t="s">
        <v>2511</v>
      </c>
      <c r="Z814" s="57"/>
      <c r="AA814" s="57" t="s">
        <v>4533</v>
      </c>
      <c r="AB814" s="138"/>
      <c r="AC814" s="138" t="s">
        <v>2631</v>
      </c>
      <c r="AD814" s="96"/>
      <c r="AE814" s="80"/>
      <c r="AF814" s="80"/>
      <c r="AG814" s="80"/>
      <c r="AH814" s="83"/>
      <c r="AI814" s="83"/>
      <c r="AJ814" s="84"/>
      <c r="AK814" s="84"/>
      <c r="AL814" s="84"/>
      <c r="AM814" s="84"/>
      <c r="AN814" s="84"/>
      <c r="AO814" s="84"/>
      <c r="AP814" s="84"/>
      <c r="AQ814" s="95" t="s">
        <v>1933</v>
      </c>
      <c r="AR814" s="72"/>
      <c r="AS814" s="72"/>
      <c r="AT814" s="72"/>
      <c r="AU814" s="72"/>
      <c r="AV814" s="72"/>
      <c r="AW814" s="72"/>
      <c r="AX814" s="72"/>
      <c r="AY814" s="72"/>
      <c r="AZ814" s="72"/>
      <c r="BA814" s="72"/>
      <c r="BB814" s="16"/>
      <c r="BC814" s="72"/>
      <c r="BD814" s="20"/>
      <c r="BE814" s="378"/>
    </row>
    <row r="815" spans="1:57" s="81" customFormat="1" ht="12.95" hidden="1" customHeight="1">
      <c r="A815" s="374"/>
      <c r="B815" s="376"/>
      <c r="C815" s="248" t="s">
        <v>1664</v>
      </c>
      <c r="D815" s="239" t="s">
        <v>4756</v>
      </c>
      <c r="E815" s="58"/>
      <c r="F815" s="59" t="s">
        <v>4757</v>
      </c>
      <c r="G815" s="191" t="s">
        <v>2511</v>
      </c>
      <c r="H815" s="192" t="s">
        <v>1934</v>
      </c>
      <c r="I815" s="61" t="s">
        <v>2511</v>
      </c>
      <c r="J815" s="61" t="s">
        <v>2511</v>
      </c>
      <c r="K815" s="62" t="s">
        <v>2511</v>
      </c>
      <c r="L815" s="60" t="s">
        <v>2511</v>
      </c>
      <c r="M815" s="61" t="s">
        <v>2389</v>
      </c>
      <c r="N815" s="61" t="s">
        <v>2511</v>
      </c>
      <c r="O815" s="61" t="s">
        <v>2511</v>
      </c>
      <c r="P815" s="62" t="s">
        <v>2511</v>
      </c>
      <c r="Q815" s="82"/>
      <c r="R815" s="82"/>
      <c r="S815" s="82"/>
      <c r="T815" s="82"/>
      <c r="U815" s="82"/>
      <c r="V815" s="138" t="s">
        <v>4758</v>
      </c>
      <c r="W815" s="57" t="s">
        <v>4532</v>
      </c>
      <c r="X815" s="126" t="s">
        <v>2511</v>
      </c>
      <c r="Y815" s="126" t="s">
        <v>2511</v>
      </c>
      <c r="Z815" s="57"/>
      <c r="AA815" s="57" t="s">
        <v>4533</v>
      </c>
      <c r="AB815" s="138"/>
      <c r="AC815" s="138" t="s">
        <v>2631</v>
      </c>
      <c r="AD815" s="96"/>
      <c r="AE815" s="80"/>
      <c r="AF815" s="80"/>
      <c r="AG815" s="80"/>
      <c r="AH815" s="83"/>
      <c r="AI815" s="83"/>
      <c r="AJ815" s="84"/>
      <c r="AK815" s="84"/>
      <c r="AL815" s="84"/>
      <c r="AM815" s="84"/>
      <c r="AN815" s="84"/>
      <c r="AO815" s="84"/>
      <c r="AP815" s="84"/>
      <c r="AQ815" s="95" t="s">
        <v>1934</v>
      </c>
      <c r="AR815" s="72"/>
      <c r="AS815" s="72"/>
      <c r="AT815" s="72"/>
      <c r="AU815" s="72"/>
      <c r="AV815" s="72"/>
      <c r="AW815" s="72"/>
      <c r="AX815" s="72"/>
      <c r="AY815" s="72"/>
      <c r="AZ815" s="72"/>
      <c r="BA815" s="72"/>
      <c r="BB815" s="16"/>
      <c r="BC815" s="72"/>
      <c r="BD815" s="20"/>
      <c r="BE815" s="378"/>
    </row>
    <row r="816" spans="1:57" s="81" customFormat="1" ht="12.95" hidden="1" customHeight="1">
      <c r="A816" s="374"/>
      <c r="B816" s="376"/>
      <c r="C816" s="248" t="s">
        <v>1665</v>
      </c>
      <c r="D816" s="239" t="s">
        <v>4759</v>
      </c>
      <c r="E816" s="58"/>
      <c r="F816" s="59" t="s">
        <v>4760</v>
      </c>
      <c r="G816" s="191" t="s">
        <v>2511</v>
      </c>
      <c r="H816" s="192" t="s">
        <v>1935</v>
      </c>
      <c r="I816" s="61" t="s">
        <v>2511</v>
      </c>
      <c r="J816" s="61" t="s">
        <v>2511</v>
      </c>
      <c r="K816" s="62" t="s">
        <v>2511</v>
      </c>
      <c r="L816" s="60" t="s">
        <v>2511</v>
      </c>
      <c r="M816" s="61" t="s">
        <v>2389</v>
      </c>
      <c r="N816" s="61" t="s">
        <v>2511</v>
      </c>
      <c r="O816" s="61" t="s">
        <v>2511</v>
      </c>
      <c r="P816" s="62" t="s">
        <v>2511</v>
      </c>
      <c r="Q816" s="82"/>
      <c r="R816" s="82"/>
      <c r="S816" s="82"/>
      <c r="T816" s="82"/>
      <c r="U816" s="82"/>
      <c r="V816" s="138" t="s">
        <v>4761</v>
      </c>
      <c r="W816" s="57" t="s">
        <v>4532</v>
      </c>
      <c r="X816" s="126" t="s">
        <v>2511</v>
      </c>
      <c r="Y816" s="126" t="s">
        <v>2511</v>
      </c>
      <c r="Z816" s="57"/>
      <c r="AA816" s="57" t="s">
        <v>4533</v>
      </c>
      <c r="AB816" s="138"/>
      <c r="AC816" s="138" t="s">
        <v>2631</v>
      </c>
      <c r="AD816" s="96"/>
      <c r="AE816" s="80"/>
      <c r="AF816" s="80"/>
      <c r="AG816" s="80"/>
      <c r="AH816" s="83"/>
      <c r="AI816" s="83"/>
      <c r="AJ816" s="84"/>
      <c r="AK816" s="84"/>
      <c r="AL816" s="84"/>
      <c r="AM816" s="84"/>
      <c r="AN816" s="84"/>
      <c r="AO816" s="84"/>
      <c r="AP816" s="84"/>
      <c r="AQ816" s="95" t="s">
        <v>1935</v>
      </c>
      <c r="AR816" s="72"/>
      <c r="AS816" s="72"/>
      <c r="AT816" s="72"/>
      <c r="AU816" s="72"/>
      <c r="AV816" s="72"/>
      <c r="AW816" s="72"/>
      <c r="AX816" s="72"/>
      <c r="AY816" s="72"/>
      <c r="AZ816" s="72"/>
      <c r="BA816" s="72"/>
      <c r="BB816" s="16"/>
      <c r="BC816" s="72"/>
      <c r="BD816" s="20"/>
      <c r="BE816" s="378"/>
    </row>
    <row r="817" spans="1:57" s="81" customFormat="1" ht="12.95" hidden="1" customHeight="1">
      <c r="A817" s="374"/>
      <c r="B817" s="376"/>
      <c r="C817" s="248" t="s">
        <v>1666</v>
      </c>
      <c r="D817" s="239" t="s">
        <v>4762</v>
      </c>
      <c r="E817" s="58"/>
      <c r="F817" s="59" t="s">
        <v>4763</v>
      </c>
      <c r="G817" s="191" t="s">
        <v>2511</v>
      </c>
      <c r="H817" s="192" t="s">
        <v>1936</v>
      </c>
      <c r="I817" s="61" t="s">
        <v>2511</v>
      </c>
      <c r="J817" s="61" t="s">
        <v>2511</v>
      </c>
      <c r="K817" s="62" t="s">
        <v>2511</v>
      </c>
      <c r="L817" s="60" t="s">
        <v>2511</v>
      </c>
      <c r="M817" s="61" t="s">
        <v>2389</v>
      </c>
      <c r="N817" s="61" t="s">
        <v>2511</v>
      </c>
      <c r="O817" s="61" t="s">
        <v>2511</v>
      </c>
      <c r="P817" s="62" t="s">
        <v>2511</v>
      </c>
      <c r="Q817" s="82"/>
      <c r="R817" s="82"/>
      <c r="S817" s="82"/>
      <c r="T817" s="82"/>
      <c r="U817" s="82"/>
      <c r="V817" s="138" t="s">
        <v>4764</v>
      </c>
      <c r="W817" s="57" t="s">
        <v>4532</v>
      </c>
      <c r="X817" s="126" t="s">
        <v>2511</v>
      </c>
      <c r="Y817" s="126" t="s">
        <v>2511</v>
      </c>
      <c r="Z817" s="57"/>
      <c r="AA817" s="57" t="s">
        <v>4533</v>
      </c>
      <c r="AB817" s="138"/>
      <c r="AC817" s="138" t="s">
        <v>2631</v>
      </c>
      <c r="AD817" s="96"/>
      <c r="AE817" s="80"/>
      <c r="AF817" s="80"/>
      <c r="AG817" s="80"/>
      <c r="AH817" s="83"/>
      <c r="AI817" s="83"/>
      <c r="AJ817" s="84"/>
      <c r="AK817" s="84"/>
      <c r="AL817" s="84"/>
      <c r="AM817" s="84"/>
      <c r="AN817" s="84"/>
      <c r="AO817" s="84"/>
      <c r="AP817" s="84"/>
      <c r="AQ817" s="95" t="s">
        <v>1936</v>
      </c>
      <c r="AR817" s="72"/>
      <c r="AS817" s="72"/>
      <c r="AT817" s="72"/>
      <c r="AU817" s="72"/>
      <c r="AV817" s="72"/>
      <c r="AW817" s="72"/>
      <c r="AX817" s="72"/>
      <c r="AY817" s="72"/>
      <c r="AZ817" s="72"/>
      <c r="BA817" s="72"/>
      <c r="BB817" s="16"/>
      <c r="BC817" s="72"/>
      <c r="BD817" s="20"/>
      <c r="BE817" s="378"/>
    </row>
    <row r="818" spans="1:57" s="81" customFormat="1" ht="12.95" hidden="1" customHeight="1">
      <c r="A818" s="374"/>
      <c r="B818" s="376"/>
      <c r="C818" s="248" t="s">
        <v>1667</v>
      </c>
      <c r="D818" s="239" t="s">
        <v>4765</v>
      </c>
      <c r="E818" s="58"/>
      <c r="F818" s="59" t="s">
        <v>4766</v>
      </c>
      <c r="G818" s="191" t="s">
        <v>2511</v>
      </c>
      <c r="H818" s="192" t="s">
        <v>1937</v>
      </c>
      <c r="I818" s="61" t="s">
        <v>2511</v>
      </c>
      <c r="J818" s="61" t="s">
        <v>2511</v>
      </c>
      <c r="K818" s="62" t="s">
        <v>2511</v>
      </c>
      <c r="L818" s="60" t="s">
        <v>2511</v>
      </c>
      <c r="M818" s="61" t="s">
        <v>2389</v>
      </c>
      <c r="N818" s="61" t="s">
        <v>2511</v>
      </c>
      <c r="O818" s="61" t="s">
        <v>2511</v>
      </c>
      <c r="P818" s="62" t="s">
        <v>2511</v>
      </c>
      <c r="Q818" s="82"/>
      <c r="R818" s="82"/>
      <c r="S818" s="82"/>
      <c r="T818" s="82"/>
      <c r="U818" s="82"/>
      <c r="V818" s="138" t="s">
        <v>4767</v>
      </c>
      <c r="W818" s="57" t="s">
        <v>4532</v>
      </c>
      <c r="X818" s="126" t="s">
        <v>2511</v>
      </c>
      <c r="Y818" s="126" t="s">
        <v>2511</v>
      </c>
      <c r="Z818" s="57"/>
      <c r="AA818" s="57" t="s">
        <v>4533</v>
      </c>
      <c r="AB818" s="138"/>
      <c r="AC818" s="138" t="s">
        <v>2631</v>
      </c>
      <c r="AD818" s="96"/>
      <c r="AE818" s="80"/>
      <c r="AF818" s="80"/>
      <c r="AG818" s="80"/>
      <c r="AH818" s="83"/>
      <c r="AI818" s="83"/>
      <c r="AJ818" s="84"/>
      <c r="AK818" s="84"/>
      <c r="AL818" s="84"/>
      <c r="AM818" s="84"/>
      <c r="AN818" s="84"/>
      <c r="AO818" s="84"/>
      <c r="AP818" s="84"/>
      <c r="AQ818" s="95" t="s">
        <v>1937</v>
      </c>
      <c r="AR818" s="72"/>
      <c r="AS818" s="72"/>
      <c r="AT818" s="72"/>
      <c r="AU818" s="72"/>
      <c r="AV818" s="72"/>
      <c r="AW818" s="72"/>
      <c r="AX818" s="72"/>
      <c r="AY818" s="72"/>
      <c r="AZ818" s="72"/>
      <c r="BA818" s="72"/>
      <c r="BB818" s="16"/>
      <c r="BC818" s="72"/>
      <c r="BD818" s="20"/>
      <c r="BE818" s="378"/>
    </row>
    <row r="819" spans="1:57" s="81" customFormat="1" ht="12.95" hidden="1" customHeight="1">
      <c r="A819" s="374"/>
      <c r="B819" s="376"/>
      <c r="C819" s="248" t="s">
        <v>1668</v>
      </c>
      <c r="D819" s="239" t="s">
        <v>4768</v>
      </c>
      <c r="E819" s="58"/>
      <c r="F819" s="59" t="s">
        <v>4769</v>
      </c>
      <c r="G819" s="191" t="s">
        <v>2511</v>
      </c>
      <c r="H819" s="192" t="s">
        <v>1938</v>
      </c>
      <c r="I819" s="61" t="s">
        <v>2511</v>
      </c>
      <c r="J819" s="61" t="s">
        <v>2511</v>
      </c>
      <c r="K819" s="62" t="s">
        <v>2511</v>
      </c>
      <c r="L819" s="60" t="s">
        <v>2511</v>
      </c>
      <c r="M819" s="61" t="s">
        <v>2389</v>
      </c>
      <c r="N819" s="61" t="s">
        <v>2511</v>
      </c>
      <c r="O819" s="61" t="s">
        <v>2511</v>
      </c>
      <c r="P819" s="62" t="s">
        <v>2511</v>
      </c>
      <c r="Q819" s="82"/>
      <c r="R819" s="82"/>
      <c r="S819" s="82"/>
      <c r="T819" s="82"/>
      <c r="U819" s="82"/>
      <c r="V819" s="138" t="s">
        <v>4770</v>
      </c>
      <c r="W819" s="57" t="s">
        <v>4532</v>
      </c>
      <c r="X819" s="126" t="s">
        <v>2511</v>
      </c>
      <c r="Y819" s="126" t="s">
        <v>2511</v>
      </c>
      <c r="Z819" s="57"/>
      <c r="AA819" s="57" t="s">
        <v>4533</v>
      </c>
      <c r="AB819" s="138"/>
      <c r="AC819" s="138" t="s">
        <v>2631</v>
      </c>
      <c r="AD819" s="96"/>
      <c r="AE819" s="80"/>
      <c r="AF819" s="80"/>
      <c r="AG819" s="80"/>
      <c r="AH819" s="83"/>
      <c r="AI819" s="83"/>
      <c r="AJ819" s="84"/>
      <c r="AK819" s="84"/>
      <c r="AL819" s="84"/>
      <c r="AM819" s="84"/>
      <c r="AN819" s="84"/>
      <c r="AO819" s="84"/>
      <c r="AP819" s="84"/>
      <c r="AQ819" s="95" t="s">
        <v>1938</v>
      </c>
      <c r="AR819" s="72"/>
      <c r="AS819" s="72"/>
      <c r="AT819" s="72"/>
      <c r="AU819" s="72"/>
      <c r="AV819" s="72"/>
      <c r="AW819" s="72"/>
      <c r="AX819" s="72"/>
      <c r="AY819" s="72"/>
      <c r="AZ819" s="72"/>
      <c r="BA819" s="72"/>
      <c r="BB819" s="16"/>
      <c r="BC819" s="72"/>
      <c r="BD819" s="20"/>
      <c r="BE819" s="378"/>
    </row>
    <row r="820" spans="1:57" s="81" customFormat="1" ht="12.95" hidden="1" customHeight="1">
      <c r="A820" s="374"/>
      <c r="B820" s="376"/>
      <c r="C820" s="248" t="s">
        <v>1669</v>
      </c>
      <c r="D820" s="239" t="s">
        <v>4771</v>
      </c>
      <c r="E820" s="58"/>
      <c r="F820" s="59" t="s">
        <v>4772</v>
      </c>
      <c r="G820" s="191" t="s">
        <v>2511</v>
      </c>
      <c r="H820" s="192" t="s">
        <v>1939</v>
      </c>
      <c r="I820" s="61" t="s">
        <v>2511</v>
      </c>
      <c r="J820" s="61" t="s">
        <v>2511</v>
      </c>
      <c r="K820" s="62" t="s">
        <v>2511</v>
      </c>
      <c r="L820" s="60" t="s">
        <v>2511</v>
      </c>
      <c r="M820" s="61" t="s">
        <v>2389</v>
      </c>
      <c r="N820" s="61" t="s">
        <v>2511</v>
      </c>
      <c r="O820" s="61" t="s">
        <v>2511</v>
      </c>
      <c r="P820" s="62" t="s">
        <v>2511</v>
      </c>
      <c r="Q820" s="82"/>
      <c r="R820" s="82"/>
      <c r="S820" s="82"/>
      <c r="T820" s="82"/>
      <c r="U820" s="82"/>
      <c r="V820" s="138" t="s">
        <v>4773</v>
      </c>
      <c r="W820" s="57" t="s">
        <v>4532</v>
      </c>
      <c r="X820" s="126" t="s">
        <v>2511</v>
      </c>
      <c r="Y820" s="126" t="s">
        <v>2511</v>
      </c>
      <c r="Z820" s="57"/>
      <c r="AA820" s="57" t="s">
        <v>4533</v>
      </c>
      <c r="AB820" s="138"/>
      <c r="AC820" s="138" t="s">
        <v>2631</v>
      </c>
      <c r="AD820" s="96"/>
      <c r="AE820" s="80"/>
      <c r="AF820" s="80"/>
      <c r="AG820" s="80"/>
      <c r="AH820" s="83"/>
      <c r="AI820" s="83"/>
      <c r="AJ820" s="84"/>
      <c r="AK820" s="84"/>
      <c r="AL820" s="84"/>
      <c r="AM820" s="84"/>
      <c r="AN820" s="84"/>
      <c r="AO820" s="84"/>
      <c r="AP820" s="84"/>
      <c r="AQ820" s="95" t="s">
        <v>1939</v>
      </c>
      <c r="AR820" s="72"/>
      <c r="AS820" s="72"/>
      <c r="AT820" s="72"/>
      <c r="AU820" s="72"/>
      <c r="AV820" s="72"/>
      <c r="AW820" s="72"/>
      <c r="AX820" s="72"/>
      <c r="AY820" s="72"/>
      <c r="AZ820" s="72"/>
      <c r="BA820" s="72"/>
      <c r="BB820" s="16"/>
      <c r="BC820" s="72"/>
      <c r="BD820" s="20"/>
      <c r="BE820" s="378"/>
    </row>
    <row r="821" spans="1:57" s="81" customFormat="1" ht="12.95" hidden="1" customHeight="1">
      <c r="A821" s="374"/>
      <c r="B821" s="376"/>
      <c r="C821" s="270" t="s">
        <v>1670</v>
      </c>
      <c r="D821" s="239" t="s">
        <v>4774</v>
      </c>
      <c r="E821" s="58"/>
      <c r="F821" s="59" t="s">
        <v>4775</v>
      </c>
      <c r="G821" s="191" t="s">
        <v>2511</v>
      </c>
      <c r="H821" s="192" t="s">
        <v>1940</v>
      </c>
      <c r="I821" s="61" t="s">
        <v>2511</v>
      </c>
      <c r="J821" s="61" t="s">
        <v>2511</v>
      </c>
      <c r="K821" s="62" t="s">
        <v>2511</v>
      </c>
      <c r="L821" s="60" t="s">
        <v>2511</v>
      </c>
      <c r="M821" s="61" t="s">
        <v>2389</v>
      </c>
      <c r="N821" s="61" t="s">
        <v>2511</v>
      </c>
      <c r="O821" s="61" t="s">
        <v>2511</v>
      </c>
      <c r="P821" s="62" t="s">
        <v>2511</v>
      </c>
      <c r="Q821" s="82"/>
      <c r="R821" s="82"/>
      <c r="S821" s="82"/>
      <c r="T821" s="82"/>
      <c r="U821" s="82"/>
      <c r="V821" s="138" t="s">
        <v>4776</v>
      </c>
      <c r="W821" s="57" t="s">
        <v>4532</v>
      </c>
      <c r="X821" s="126" t="s">
        <v>2511</v>
      </c>
      <c r="Y821" s="126" t="s">
        <v>2511</v>
      </c>
      <c r="Z821" s="57"/>
      <c r="AA821" s="57" t="s">
        <v>4533</v>
      </c>
      <c r="AB821" s="138"/>
      <c r="AC821" s="138" t="s">
        <v>2631</v>
      </c>
      <c r="AD821" s="96"/>
      <c r="AE821" s="80"/>
      <c r="AF821" s="80"/>
      <c r="AG821" s="80"/>
      <c r="AH821" s="83"/>
      <c r="AI821" s="83"/>
      <c r="AJ821" s="84"/>
      <c r="AK821" s="84"/>
      <c r="AL821" s="84"/>
      <c r="AM821" s="84"/>
      <c r="AN821" s="84"/>
      <c r="AO821" s="84"/>
      <c r="AP821" s="84"/>
      <c r="AQ821" s="95" t="s">
        <v>1940</v>
      </c>
      <c r="AR821" s="72"/>
      <c r="AS821" s="72"/>
      <c r="AT821" s="72"/>
      <c r="AU821" s="72"/>
      <c r="AV821" s="72"/>
      <c r="AW821" s="72"/>
      <c r="AX821" s="72"/>
      <c r="AY821" s="72"/>
      <c r="AZ821" s="72"/>
      <c r="BA821" s="72"/>
      <c r="BB821" s="16"/>
      <c r="BC821" s="72"/>
      <c r="BD821" s="20"/>
      <c r="BE821" s="378"/>
    </row>
    <row r="822" spans="1:57" s="81" customFormat="1" ht="12.95" hidden="1" customHeight="1">
      <c r="A822" s="374"/>
      <c r="B822" s="376"/>
      <c r="C822" s="270" t="s">
        <v>1671</v>
      </c>
      <c r="D822" s="239" t="s">
        <v>4777</v>
      </c>
      <c r="E822" s="58"/>
      <c r="F822" s="59" t="s">
        <v>4778</v>
      </c>
      <c r="G822" s="191" t="s">
        <v>2511</v>
      </c>
      <c r="H822" s="192" t="s">
        <v>1941</v>
      </c>
      <c r="I822" s="61" t="s">
        <v>2511</v>
      </c>
      <c r="J822" s="61" t="s">
        <v>2511</v>
      </c>
      <c r="K822" s="62" t="s">
        <v>2511</v>
      </c>
      <c r="L822" s="60" t="s">
        <v>2511</v>
      </c>
      <c r="M822" s="61" t="s">
        <v>2389</v>
      </c>
      <c r="N822" s="61" t="s">
        <v>2511</v>
      </c>
      <c r="O822" s="61" t="s">
        <v>2511</v>
      </c>
      <c r="P822" s="62" t="s">
        <v>2511</v>
      </c>
      <c r="Q822" s="82"/>
      <c r="R822" s="82"/>
      <c r="S822" s="82"/>
      <c r="T822" s="82"/>
      <c r="U822" s="82"/>
      <c r="V822" s="138" t="s">
        <v>4779</v>
      </c>
      <c r="W822" s="57" t="s">
        <v>4532</v>
      </c>
      <c r="X822" s="126" t="s">
        <v>2511</v>
      </c>
      <c r="Y822" s="126" t="s">
        <v>2511</v>
      </c>
      <c r="Z822" s="57"/>
      <c r="AA822" s="57" t="s">
        <v>4533</v>
      </c>
      <c r="AB822" s="138"/>
      <c r="AC822" s="138" t="s">
        <v>2631</v>
      </c>
      <c r="AD822" s="96"/>
      <c r="AE822" s="80"/>
      <c r="AF822" s="80"/>
      <c r="AG822" s="80"/>
      <c r="AH822" s="83"/>
      <c r="AI822" s="83"/>
      <c r="AJ822" s="84"/>
      <c r="AK822" s="84"/>
      <c r="AL822" s="84"/>
      <c r="AM822" s="84"/>
      <c r="AN822" s="84"/>
      <c r="AO822" s="84"/>
      <c r="AP822" s="84"/>
      <c r="AQ822" s="95" t="s">
        <v>1941</v>
      </c>
      <c r="AR822" s="72"/>
      <c r="AS822" s="72"/>
      <c r="AT822" s="72"/>
      <c r="AU822" s="72"/>
      <c r="AV822" s="72"/>
      <c r="AW822" s="72"/>
      <c r="AX822" s="72"/>
      <c r="AY822" s="72"/>
      <c r="AZ822" s="72"/>
      <c r="BA822" s="72"/>
      <c r="BB822" s="16"/>
      <c r="BC822" s="72"/>
      <c r="BD822" s="20"/>
      <c r="BE822" s="378"/>
    </row>
    <row r="823" spans="1:57" s="81" customFormat="1" ht="12.75" hidden="1" customHeight="1">
      <c r="A823" s="374"/>
      <c r="B823" s="376"/>
      <c r="C823" s="248" t="s">
        <v>1672</v>
      </c>
      <c r="D823" s="239" t="s">
        <v>4780</v>
      </c>
      <c r="E823" s="58"/>
      <c r="F823" s="59" t="s">
        <v>4781</v>
      </c>
      <c r="G823" s="191" t="s">
        <v>2511</v>
      </c>
      <c r="H823" s="192" t="s">
        <v>1942</v>
      </c>
      <c r="I823" s="61" t="s">
        <v>2511</v>
      </c>
      <c r="J823" s="61" t="s">
        <v>2511</v>
      </c>
      <c r="K823" s="62" t="s">
        <v>2511</v>
      </c>
      <c r="L823" s="60" t="s">
        <v>2511</v>
      </c>
      <c r="M823" s="61" t="s">
        <v>2389</v>
      </c>
      <c r="N823" s="61" t="s">
        <v>2511</v>
      </c>
      <c r="O823" s="61" t="s">
        <v>2511</v>
      </c>
      <c r="P823" s="62" t="s">
        <v>2511</v>
      </c>
      <c r="Q823" s="82"/>
      <c r="R823" s="82"/>
      <c r="S823" s="82"/>
      <c r="T823" s="82"/>
      <c r="U823" s="82"/>
      <c r="V823" s="138" t="s">
        <v>4782</v>
      </c>
      <c r="W823" s="57" t="s">
        <v>4532</v>
      </c>
      <c r="X823" s="126" t="s">
        <v>2511</v>
      </c>
      <c r="Y823" s="126" t="s">
        <v>2511</v>
      </c>
      <c r="Z823" s="57"/>
      <c r="AA823" s="57" t="s">
        <v>4533</v>
      </c>
      <c r="AB823" s="138"/>
      <c r="AC823" s="138">
        <v>0</v>
      </c>
      <c r="AD823" s="96"/>
      <c r="AE823" s="80"/>
      <c r="AF823" s="80"/>
      <c r="AG823" s="80"/>
      <c r="AH823" s="83"/>
      <c r="AI823" s="83"/>
      <c r="AJ823" s="84"/>
      <c r="AK823" s="84"/>
      <c r="AL823" s="84"/>
      <c r="AM823" s="84"/>
      <c r="AN823" s="84"/>
      <c r="AO823" s="84"/>
      <c r="AP823" s="84"/>
      <c r="AQ823" s="95" t="s">
        <v>1942</v>
      </c>
      <c r="AR823" s="72"/>
      <c r="AS823" s="72"/>
      <c r="AT823" s="72"/>
      <c r="AU823" s="72"/>
      <c r="AV823" s="72"/>
      <c r="AW823" s="72"/>
      <c r="AX823" s="72"/>
      <c r="AY823" s="72"/>
      <c r="AZ823" s="72"/>
      <c r="BA823" s="72"/>
      <c r="BB823" s="16"/>
      <c r="BC823" s="72"/>
      <c r="BD823" s="20"/>
      <c r="BE823" s="378"/>
    </row>
    <row r="824" spans="1:57" s="81" customFormat="1" ht="12.95" hidden="1" customHeight="1">
      <c r="A824" s="374"/>
      <c r="B824" s="376"/>
      <c r="C824" s="248" t="s">
        <v>1673</v>
      </c>
      <c r="D824" s="239" t="s">
        <v>4783</v>
      </c>
      <c r="E824" s="58"/>
      <c r="F824" s="59" t="s">
        <v>4784</v>
      </c>
      <c r="G824" s="191" t="s">
        <v>2511</v>
      </c>
      <c r="H824" s="192" t="s">
        <v>1943</v>
      </c>
      <c r="I824" s="61" t="s">
        <v>2511</v>
      </c>
      <c r="J824" s="61" t="s">
        <v>2511</v>
      </c>
      <c r="K824" s="62" t="s">
        <v>2511</v>
      </c>
      <c r="L824" s="60" t="s">
        <v>2511</v>
      </c>
      <c r="M824" s="61" t="s">
        <v>2389</v>
      </c>
      <c r="N824" s="61" t="s">
        <v>2511</v>
      </c>
      <c r="O824" s="61" t="s">
        <v>2511</v>
      </c>
      <c r="P824" s="62" t="s">
        <v>2511</v>
      </c>
      <c r="Q824" s="82"/>
      <c r="R824" s="82"/>
      <c r="S824" s="82"/>
      <c r="T824" s="82"/>
      <c r="U824" s="82"/>
      <c r="V824" s="138" t="s">
        <v>4785</v>
      </c>
      <c r="W824" s="57" t="s">
        <v>4532</v>
      </c>
      <c r="X824" s="126" t="s">
        <v>2511</v>
      </c>
      <c r="Y824" s="126" t="s">
        <v>2511</v>
      </c>
      <c r="Z824" s="57"/>
      <c r="AA824" s="57" t="s">
        <v>4533</v>
      </c>
      <c r="AB824" s="138"/>
      <c r="AC824" s="138" t="s">
        <v>2631</v>
      </c>
      <c r="AD824" s="96"/>
      <c r="AE824" s="80"/>
      <c r="AF824" s="80"/>
      <c r="AG824" s="80"/>
      <c r="AH824" s="83"/>
      <c r="AI824" s="83"/>
      <c r="AJ824" s="84"/>
      <c r="AK824" s="84"/>
      <c r="AL824" s="84"/>
      <c r="AM824" s="84"/>
      <c r="AN824" s="84"/>
      <c r="AO824" s="84"/>
      <c r="AP824" s="84"/>
      <c r="AQ824" s="95" t="s">
        <v>1943</v>
      </c>
      <c r="AR824" s="72"/>
      <c r="AS824" s="72"/>
      <c r="AT824" s="72"/>
      <c r="AU824" s="72"/>
      <c r="AV824" s="72"/>
      <c r="AW824" s="72"/>
      <c r="AX824" s="72"/>
      <c r="AY824" s="72"/>
      <c r="AZ824" s="72"/>
      <c r="BA824" s="72"/>
      <c r="BB824" s="16"/>
      <c r="BC824" s="72"/>
      <c r="BD824" s="20"/>
      <c r="BE824" s="378"/>
    </row>
    <row r="825" spans="1:57" s="81" customFormat="1" ht="12.95" hidden="1" customHeight="1">
      <c r="A825" s="374"/>
      <c r="B825" s="376"/>
      <c r="C825" s="248" t="s">
        <v>1674</v>
      </c>
      <c r="D825" s="239" t="s">
        <v>4786</v>
      </c>
      <c r="E825" s="58"/>
      <c r="F825" s="59" t="s">
        <v>4787</v>
      </c>
      <c r="G825" s="191" t="s">
        <v>2511</v>
      </c>
      <c r="H825" s="192" t="s">
        <v>1944</v>
      </c>
      <c r="I825" s="61" t="s">
        <v>2511</v>
      </c>
      <c r="J825" s="61" t="s">
        <v>2511</v>
      </c>
      <c r="K825" s="62" t="s">
        <v>2511</v>
      </c>
      <c r="L825" s="60" t="s">
        <v>2511</v>
      </c>
      <c r="M825" s="61" t="s">
        <v>2389</v>
      </c>
      <c r="N825" s="61" t="s">
        <v>2511</v>
      </c>
      <c r="O825" s="61" t="s">
        <v>2511</v>
      </c>
      <c r="P825" s="62" t="s">
        <v>2511</v>
      </c>
      <c r="Q825" s="82"/>
      <c r="R825" s="82"/>
      <c r="S825" s="82"/>
      <c r="T825" s="82"/>
      <c r="U825" s="82"/>
      <c r="V825" s="138" t="s">
        <v>4788</v>
      </c>
      <c r="W825" s="57" t="s">
        <v>4532</v>
      </c>
      <c r="X825" s="126" t="s">
        <v>2511</v>
      </c>
      <c r="Y825" s="126" t="s">
        <v>2511</v>
      </c>
      <c r="Z825" s="57"/>
      <c r="AA825" s="57" t="s">
        <v>4533</v>
      </c>
      <c r="AB825" s="138"/>
      <c r="AC825" s="138" t="s">
        <v>2631</v>
      </c>
      <c r="AD825" s="96"/>
      <c r="AE825" s="80"/>
      <c r="AF825" s="80"/>
      <c r="AG825" s="80"/>
      <c r="AH825" s="83"/>
      <c r="AI825" s="83"/>
      <c r="AJ825" s="84"/>
      <c r="AK825" s="84"/>
      <c r="AL825" s="84"/>
      <c r="AM825" s="84"/>
      <c r="AN825" s="84"/>
      <c r="AO825" s="84"/>
      <c r="AP825" s="84"/>
      <c r="AQ825" s="95" t="s">
        <v>1944</v>
      </c>
      <c r="AR825" s="72"/>
      <c r="AS825" s="72"/>
      <c r="AT825" s="72"/>
      <c r="AU825" s="72"/>
      <c r="AV825" s="72"/>
      <c r="AW825" s="72"/>
      <c r="AX825" s="72"/>
      <c r="AY825" s="72"/>
      <c r="AZ825" s="72"/>
      <c r="BA825" s="72"/>
      <c r="BB825" s="16"/>
      <c r="BC825" s="72"/>
      <c r="BD825" s="20"/>
      <c r="BE825" s="378"/>
    </row>
    <row r="826" spans="1:57" s="81" customFormat="1" ht="12.95" hidden="1" customHeight="1">
      <c r="A826" s="374"/>
      <c r="B826" s="376"/>
      <c r="C826" s="248" t="s">
        <v>1675</v>
      </c>
      <c r="D826" s="239" t="s">
        <v>4789</v>
      </c>
      <c r="E826" s="58"/>
      <c r="F826" s="59" t="s">
        <v>4790</v>
      </c>
      <c r="G826" s="191" t="s">
        <v>2511</v>
      </c>
      <c r="H826" s="192" t="s">
        <v>1945</v>
      </c>
      <c r="I826" s="61" t="s">
        <v>2511</v>
      </c>
      <c r="J826" s="61" t="s">
        <v>2511</v>
      </c>
      <c r="K826" s="62" t="s">
        <v>2511</v>
      </c>
      <c r="L826" s="60" t="s">
        <v>2511</v>
      </c>
      <c r="M826" s="61" t="s">
        <v>2389</v>
      </c>
      <c r="N826" s="61" t="s">
        <v>2511</v>
      </c>
      <c r="O826" s="61" t="s">
        <v>2511</v>
      </c>
      <c r="P826" s="62" t="s">
        <v>2511</v>
      </c>
      <c r="Q826" s="82"/>
      <c r="R826" s="82"/>
      <c r="S826" s="82"/>
      <c r="T826" s="82"/>
      <c r="U826" s="82"/>
      <c r="V826" s="138" t="s">
        <v>4791</v>
      </c>
      <c r="W826" s="57" t="s">
        <v>4532</v>
      </c>
      <c r="X826" s="126" t="s">
        <v>2511</v>
      </c>
      <c r="Y826" s="126" t="s">
        <v>2511</v>
      </c>
      <c r="Z826" s="57"/>
      <c r="AA826" s="57" t="s">
        <v>4533</v>
      </c>
      <c r="AB826" s="138"/>
      <c r="AC826" s="138" t="s">
        <v>2631</v>
      </c>
      <c r="AD826" s="96"/>
      <c r="AE826" s="80"/>
      <c r="AF826" s="80"/>
      <c r="AG826" s="80"/>
      <c r="AH826" s="83"/>
      <c r="AI826" s="83"/>
      <c r="AJ826" s="84"/>
      <c r="AK826" s="84"/>
      <c r="AL826" s="84"/>
      <c r="AM826" s="84"/>
      <c r="AN826" s="84"/>
      <c r="AO826" s="84"/>
      <c r="AP826" s="84"/>
      <c r="AQ826" s="95" t="s">
        <v>1945</v>
      </c>
      <c r="AR826" s="72"/>
      <c r="AS826" s="72"/>
      <c r="AT826" s="72"/>
      <c r="AU826" s="72"/>
      <c r="AV826" s="72"/>
      <c r="AW826" s="72"/>
      <c r="AX826" s="72"/>
      <c r="AY826" s="72"/>
      <c r="AZ826" s="72"/>
      <c r="BA826" s="72"/>
      <c r="BB826" s="16"/>
      <c r="BC826" s="72"/>
      <c r="BD826" s="20"/>
      <c r="BE826" s="378"/>
    </row>
    <row r="827" spans="1:57" s="81" customFormat="1" ht="12.95" hidden="1" customHeight="1">
      <c r="A827" s="374"/>
      <c r="B827" s="376"/>
      <c r="C827" s="248" t="s">
        <v>1676</v>
      </c>
      <c r="D827" s="239" t="s">
        <v>4792</v>
      </c>
      <c r="E827" s="58"/>
      <c r="F827" s="59" t="s">
        <v>4793</v>
      </c>
      <c r="G827" s="191" t="s">
        <v>2511</v>
      </c>
      <c r="H827" s="192" t="s">
        <v>1946</v>
      </c>
      <c r="I827" s="61" t="s">
        <v>2511</v>
      </c>
      <c r="J827" s="61" t="s">
        <v>2511</v>
      </c>
      <c r="K827" s="62" t="s">
        <v>2511</v>
      </c>
      <c r="L827" s="60" t="s">
        <v>2511</v>
      </c>
      <c r="M827" s="61" t="s">
        <v>2389</v>
      </c>
      <c r="N827" s="61" t="s">
        <v>2511</v>
      </c>
      <c r="O827" s="61" t="s">
        <v>2511</v>
      </c>
      <c r="P827" s="62" t="s">
        <v>2511</v>
      </c>
      <c r="Q827" s="82"/>
      <c r="R827" s="82"/>
      <c r="S827" s="82"/>
      <c r="T827" s="82"/>
      <c r="U827" s="82"/>
      <c r="V827" s="138" t="s">
        <v>4794</v>
      </c>
      <c r="W827" s="57" t="s">
        <v>4532</v>
      </c>
      <c r="X827" s="126" t="s">
        <v>2511</v>
      </c>
      <c r="Y827" s="126" t="s">
        <v>2511</v>
      </c>
      <c r="Z827" s="57"/>
      <c r="AA827" s="57" t="s">
        <v>4533</v>
      </c>
      <c r="AB827" s="138"/>
      <c r="AC827" s="138" t="s">
        <v>2631</v>
      </c>
      <c r="AD827" s="96"/>
      <c r="AE827" s="80"/>
      <c r="AF827" s="80"/>
      <c r="AG827" s="80"/>
      <c r="AH827" s="83"/>
      <c r="AI827" s="83"/>
      <c r="AJ827" s="84"/>
      <c r="AK827" s="84"/>
      <c r="AL827" s="84"/>
      <c r="AM827" s="84"/>
      <c r="AN827" s="84"/>
      <c r="AO827" s="84"/>
      <c r="AP827" s="84"/>
      <c r="AQ827" s="95" t="s">
        <v>1946</v>
      </c>
      <c r="AR827" s="72"/>
      <c r="AS827" s="72"/>
      <c r="AT827" s="72"/>
      <c r="AU827" s="72"/>
      <c r="AV827" s="72"/>
      <c r="AW827" s="72"/>
      <c r="AX827" s="72"/>
      <c r="AY827" s="72"/>
      <c r="AZ827" s="72"/>
      <c r="BA827" s="72"/>
      <c r="BB827" s="16"/>
      <c r="BC827" s="72"/>
      <c r="BD827" s="20"/>
      <c r="BE827" s="378"/>
    </row>
    <row r="828" spans="1:57" s="81" customFormat="1" ht="12.95" hidden="1" customHeight="1">
      <c r="A828" s="374"/>
      <c r="B828" s="376"/>
      <c r="C828" s="248" t="s">
        <v>1677</v>
      </c>
      <c r="D828" s="239" t="s">
        <v>4795</v>
      </c>
      <c r="E828" s="58"/>
      <c r="F828" s="59" t="s">
        <v>4796</v>
      </c>
      <c r="G828" s="191" t="s">
        <v>2511</v>
      </c>
      <c r="H828" s="192" t="s">
        <v>1947</v>
      </c>
      <c r="I828" s="61" t="s">
        <v>2511</v>
      </c>
      <c r="J828" s="61" t="s">
        <v>2511</v>
      </c>
      <c r="K828" s="62" t="s">
        <v>2511</v>
      </c>
      <c r="L828" s="60" t="s">
        <v>2511</v>
      </c>
      <c r="M828" s="61" t="s">
        <v>2389</v>
      </c>
      <c r="N828" s="61" t="s">
        <v>2511</v>
      </c>
      <c r="O828" s="61" t="s">
        <v>2511</v>
      </c>
      <c r="P828" s="62" t="s">
        <v>2511</v>
      </c>
      <c r="Q828" s="82"/>
      <c r="R828" s="82"/>
      <c r="S828" s="82"/>
      <c r="T828" s="82"/>
      <c r="U828" s="82"/>
      <c r="V828" s="138" t="s">
        <v>4797</v>
      </c>
      <c r="W828" s="57" t="s">
        <v>4532</v>
      </c>
      <c r="X828" s="126" t="s">
        <v>2511</v>
      </c>
      <c r="Y828" s="126" t="s">
        <v>2511</v>
      </c>
      <c r="Z828" s="57"/>
      <c r="AA828" s="57" t="s">
        <v>4533</v>
      </c>
      <c r="AB828" s="138"/>
      <c r="AC828" s="138" t="s">
        <v>2631</v>
      </c>
      <c r="AD828" s="96"/>
      <c r="AE828" s="80"/>
      <c r="AF828" s="80"/>
      <c r="AG828" s="80"/>
      <c r="AH828" s="83"/>
      <c r="AI828" s="83"/>
      <c r="AJ828" s="84"/>
      <c r="AK828" s="84"/>
      <c r="AL828" s="84"/>
      <c r="AM828" s="84"/>
      <c r="AN828" s="84"/>
      <c r="AO828" s="84"/>
      <c r="AP828" s="84"/>
      <c r="AQ828" s="95" t="s">
        <v>1947</v>
      </c>
      <c r="AR828" s="72"/>
      <c r="AS828" s="72"/>
      <c r="AT828" s="72"/>
      <c r="AU828" s="72"/>
      <c r="AV828" s="72"/>
      <c r="AW828" s="72"/>
      <c r="AX828" s="72"/>
      <c r="AY828" s="72"/>
      <c r="AZ828" s="72"/>
      <c r="BA828" s="72"/>
      <c r="BB828" s="16"/>
      <c r="BC828" s="72"/>
      <c r="BD828" s="20"/>
      <c r="BE828" s="378"/>
    </row>
    <row r="829" spans="1:57" s="81" customFormat="1" ht="12.95" hidden="1" customHeight="1">
      <c r="A829" s="374"/>
      <c r="B829" s="376"/>
      <c r="C829" s="248" t="s">
        <v>1678</v>
      </c>
      <c r="D829" s="239" t="s">
        <v>4798</v>
      </c>
      <c r="E829" s="58"/>
      <c r="F829" s="59" t="s">
        <v>4799</v>
      </c>
      <c r="G829" s="191" t="s">
        <v>2511</v>
      </c>
      <c r="H829" s="192" t="s">
        <v>1948</v>
      </c>
      <c r="I829" s="61" t="s">
        <v>2511</v>
      </c>
      <c r="J829" s="61" t="s">
        <v>2511</v>
      </c>
      <c r="K829" s="62" t="s">
        <v>2511</v>
      </c>
      <c r="L829" s="60" t="s">
        <v>2511</v>
      </c>
      <c r="M829" s="61" t="s">
        <v>2389</v>
      </c>
      <c r="N829" s="61" t="s">
        <v>2511</v>
      </c>
      <c r="O829" s="61" t="s">
        <v>2511</v>
      </c>
      <c r="P829" s="62" t="s">
        <v>2511</v>
      </c>
      <c r="Q829" s="82"/>
      <c r="R829" s="82"/>
      <c r="S829" s="82"/>
      <c r="T829" s="82"/>
      <c r="U829" s="82"/>
      <c r="V829" s="138" t="s">
        <v>4800</v>
      </c>
      <c r="W829" s="57" t="s">
        <v>4532</v>
      </c>
      <c r="X829" s="126" t="s">
        <v>2511</v>
      </c>
      <c r="Y829" s="126" t="s">
        <v>2511</v>
      </c>
      <c r="Z829" s="57"/>
      <c r="AA829" s="57" t="s">
        <v>4533</v>
      </c>
      <c r="AB829" s="138"/>
      <c r="AC829" s="138" t="s">
        <v>2631</v>
      </c>
      <c r="AD829" s="96"/>
      <c r="AE829" s="80"/>
      <c r="AF829" s="80"/>
      <c r="AG829" s="80"/>
      <c r="AH829" s="83"/>
      <c r="AI829" s="83"/>
      <c r="AJ829" s="84"/>
      <c r="AK829" s="84"/>
      <c r="AL829" s="84"/>
      <c r="AM829" s="84"/>
      <c r="AN829" s="84"/>
      <c r="AO829" s="84"/>
      <c r="AP829" s="84"/>
      <c r="AQ829" s="95" t="s">
        <v>1948</v>
      </c>
      <c r="AR829" s="72"/>
      <c r="AS829" s="72"/>
      <c r="AT829" s="72"/>
      <c r="AU829" s="72"/>
      <c r="AV829" s="72"/>
      <c r="AW829" s="72"/>
      <c r="AX829" s="72"/>
      <c r="AY829" s="72"/>
      <c r="AZ829" s="72"/>
      <c r="BA829" s="72"/>
      <c r="BB829" s="16"/>
      <c r="BC829" s="72"/>
      <c r="BD829" s="20"/>
      <c r="BE829" s="378"/>
    </row>
    <row r="830" spans="1:57" s="81" customFormat="1" ht="12.95" hidden="1" customHeight="1">
      <c r="A830" s="374"/>
      <c r="B830" s="376"/>
      <c r="C830" s="248" t="s">
        <v>1679</v>
      </c>
      <c r="D830" s="239" t="s">
        <v>4801</v>
      </c>
      <c r="E830" s="58"/>
      <c r="F830" s="59" t="s">
        <v>4802</v>
      </c>
      <c r="G830" s="191" t="s">
        <v>2511</v>
      </c>
      <c r="H830" s="192" t="s">
        <v>1949</v>
      </c>
      <c r="I830" s="61" t="s">
        <v>2511</v>
      </c>
      <c r="J830" s="61" t="s">
        <v>2511</v>
      </c>
      <c r="K830" s="62" t="s">
        <v>2511</v>
      </c>
      <c r="L830" s="60" t="s">
        <v>2511</v>
      </c>
      <c r="M830" s="61" t="s">
        <v>2389</v>
      </c>
      <c r="N830" s="61" t="s">
        <v>2511</v>
      </c>
      <c r="O830" s="61" t="s">
        <v>2511</v>
      </c>
      <c r="P830" s="62" t="s">
        <v>2511</v>
      </c>
      <c r="Q830" s="82"/>
      <c r="R830" s="82"/>
      <c r="S830" s="82"/>
      <c r="T830" s="82"/>
      <c r="U830" s="82"/>
      <c r="V830" s="138" t="s">
        <v>4803</v>
      </c>
      <c r="W830" s="57" t="s">
        <v>4532</v>
      </c>
      <c r="X830" s="126" t="s">
        <v>2511</v>
      </c>
      <c r="Y830" s="126" t="s">
        <v>2511</v>
      </c>
      <c r="Z830" s="57"/>
      <c r="AA830" s="57" t="s">
        <v>4533</v>
      </c>
      <c r="AB830" s="138"/>
      <c r="AC830" s="138" t="s">
        <v>2631</v>
      </c>
      <c r="AD830" s="96"/>
      <c r="AE830" s="80"/>
      <c r="AF830" s="80"/>
      <c r="AG830" s="80"/>
      <c r="AH830" s="83"/>
      <c r="AI830" s="83"/>
      <c r="AJ830" s="84"/>
      <c r="AK830" s="84"/>
      <c r="AL830" s="84"/>
      <c r="AM830" s="84"/>
      <c r="AN830" s="84"/>
      <c r="AO830" s="84"/>
      <c r="AP830" s="84"/>
      <c r="AQ830" s="95" t="s">
        <v>1949</v>
      </c>
      <c r="AR830" s="72"/>
      <c r="AS830" s="72"/>
      <c r="AT830" s="72"/>
      <c r="AU830" s="72"/>
      <c r="AV830" s="72"/>
      <c r="AW830" s="72"/>
      <c r="AX830" s="72"/>
      <c r="AY830" s="72"/>
      <c r="AZ830" s="72"/>
      <c r="BA830" s="72"/>
      <c r="BB830" s="16"/>
      <c r="BC830" s="72"/>
      <c r="BD830" s="20"/>
      <c r="BE830" s="378"/>
    </row>
    <row r="831" spans="1:57" s="81" customFormat="1" ht="12.95" hidden="1" customHeight="1">
      <c r="A831" s="374"/>
      <c r="B831" s="376"/>
      <c r="C831" s="248" t="s">
        <v>1680</v>
      </c>
      <c r="D831" s="239" t="s">
        <v>4804</v>
      </c>
      <c r="E831" s="58"/>
      <c r="F831" s="59" t="s">
        <v>4805</v>
      </c>
      <c r="G831" s="191" t="s">
        <v>2511</v>
      </c>
      <c r="H831" s="192" t="s">
        <v>1950</v>
      </c>
      <c r="I831" s="61" t="s">
        <v>2511</v>
      </c>
      <c r="J831" s="61" t="s">
        <v>2511</v>
      </c>
      <c r="K831" s="62" t="s">
        <v>2511</v>
      </c>
      <c r="L831" s="60" t="s">
        <v>2511</v>
      </c>
      <c r="M831" s="61" t="s">
        <v>2389</v>
      </c>
      <c r="N831" s="61" t="s">
        <v>2511</v>
      </c>
      <c r="O831" s="61" t="s">
        <v>2511</v>
      </c>
      <c r="P831" s="62" t="s">
        <v>2511</v>
      </c>
      <c r="Q831" s="82"/>
      <c r="R831" s="82"/>
      <c r="S831" s="82"/>
      <c r="T831" s="82"/>
      <c r="U831" s="82"/>
      <c r="V831" s="138" t="s">
        <v>4806</v>
      </c>
      <c r="W831" s="57" t="s">
        <v>4532</v>
      </c>
      <c r="X831" s="126" t="s">
        <v>2511</v>
      </c>
      <c r="Y831" s="126" t="s">
        <v>2511</v>
      </c>
      <c r="Z831" s="57"/>
      <c r="AA831" s="57" t="s">
        <v>4533</v>
      </c>
      <c r="AB831" s="138"/>
      <c r="AC831" s="138" t="s">
        <v>2631</v>
      </c>
      <c r="AD831" s="96"/>
      <c r="AE831" s="80"/>
      <c r="AF831" s="80"/>
      <c r="AG831" s="80"/>
      <c r="AH831" s="83"/>
      <c r="AI831" s="83"/>
      <c r="AJ831" s="84"/>
      <c r="AK831" s="84"/>
      <c r="AL831" s="84"/>
      <c r="AM831" s="84"/>
      <c r="AN831" s="84"/>
      <c r="AO831" s="84"/>
      <c r="AP831" s="84"/>
      <c r="AQ831" s="95" t="s">
        <v>1950</v>
      </c>
      <c r="AR831" s="72"/>
      <c r="AS831" s="72"/>
      <c r="AT831" s="72"/>
      <c r="AU831" s="72"/>
      <c r="AV831" s="72"/>
      <c r="AW831" s="72"/>
      <c r="AX831" s="72"/>
      <c r="AY831" s="72"/>
      <c r="AZ831" s="72"/>
      <c r="BA831" s="72"/>
      <c r="BB831" s="16"/>
      <c r="BC831" s="72"/>
      <c r="BD831" s="20"/>
      <c r="BE831" s="378"/>
    </row>
    <row r="832" spans="1:57" s="81" customFormat="1" ht="12.95" hidden="1" customHeight="1">
      <c r="A832" s="374"/>
      <c r="B832" s="376"/>
      <c r="C832" s="248" t="s">
        <v>1681</v>
      </c>
      <c r="D832" s="239" t="s">
        <v>4807</v>
      </c>
      <c r="E832" s="58"/>
      <c r="F832" s="59" t="s">
        <v>4808</v>
      </c>
      <c r="G832" s="191" t="s">
        <v>2511</v>
      </c>
      <c r="H832" s="192" t="s">
        <v>1951</v>
      </c>
      <c r="I832" s="61" t="s">
        <v>2511</v>
      </c>
      <c r="J832" s="61" t="s">
        <v>2511</v>
      </c>
      <c r="K832" s="62" t="s">
        <v>2511</v>
      </c>
      <c r="L832" s="60" t="s">
        <v>2511</v>
      </c>
      <c r="M832" s="61" t="s">
        <v>2389</v>
      </c>
      <c r="N832" s="61" t="s">
        <v>2511</v>
      </c>
      <c r="O832" s="61" t="s">
        <v>2511</v>
      </c>
      <c r="P832" s="62" t="s">
        <v>2511</v>
      </c>
      <c r="Q832" s="82"/>
      <c r="R832" s="82"/>
      <c r="S832" s="82"/>
      <c r="T832" s="82"/>
      <c r="U832" s="82"/>
      <c r="V832" s="138" t="s">
        <v>4809</v>
      </c>
      <c r="W832" s="57" t="s">
        <v>4532</v>
      </c>
      <c r="X832" s="126" t="s">
        <v>2511</v>
      </c>
      <c r="Y832" s="126" t="s">
        <v>2511</v>
      </c>
      <c r="Z832" s="57"/>
      <c r="AA832" s="57" t="s">
        <v>4533</v>
      </c>
      <c r="AB832" s="138"/>
      <c r="AC832" s="138" t="s">
        <v>2631</v>
      </c>
      <c r="AD832" s="96"/>
      <c r="AE832" s="80"/>
      <c r="AF832" s="80"/>
      <c r="AG832" s="80"/>
      <c r="AH832" s="83"/>
      <c r="AI832" s="83"/>
      <c r="AJ832" s="84"/>
      <c r="AK832" s="84"/>
      <c r="AL832" s="84"/>
      <c r="AM832" s="84"/>
      <c r="AN832" s="84"/>
      <c r="AO832" s="84"/>
      <c r="AP832" s="84"/>
      <c r="AQ832" s="95" t="s">
        <v>1951</v>
      </c>
      <c r="AR832" s="72"/>
      <c r="AS832" s="72"/>
      <c r="AT832" s="72"/>
      <c r="AU832" s="72"/>
      <c r="AV832" s="72"/>
      <c r="AW832" s="72"/>
      <c r="AX832" s="72"/>
      <c r="AY832" s="72"/>
      <c r="AZ832" s="72"/>
      <c r="BA832" s="72"/>
      <c r="BB832" s="16"/>
      <c r="BC832" s="72"/>
      <c r="BD832" s="20"/>
      <c r="BE832" s="378"/>
    </row>
    <row r="833" spans="1:57" s="81" customFormat="1" ht="12.95" hidden="1" customHeight="1">
      <c r="A833" s="374"/>
      <c r="B833" s="376"/>
      <c r="C833" s="270" t="s">
        <v>1682</v>
      </c>
      <c r="D833" s="239" t="s">
        <v>4810</v>
      </c>
      <c r="E833" s="58"/>
      <c r="F833" s="59" t="s">
        <v>4811</v>
      </c>
      <c r="G833" s="191" t="s">
        <v>2511</v>
      </c>
      <c r="H833" s="192" t="s">
        <v>1952</v>
      </c>
      <c r="I833" s="61" t="s">
        <v>2511</v>
      </c>
      <c r="J833" s="61" t="s">
        <v>2511</v>
      </c>
      <c r="K833" s="62" t="s">
        <v>2511</v>
      </c>
      <c r="L833" s="60" t="s">
        <v>2511</v>
      </c>
      <c r="M833" s="61" t="s">
        <v>2389</v>
      </c>
      <c r="N833" s="61" t="s">
        <v>2511</v>
      </c>
      <c r="O833" s="61" t="s">
        <v>2511</v>
      </c>
      <c r="P833" s="62" t="s">
        <v>2511</v>
      </c>
      <c r="Q833" s="82"/>
      <c r="R833" s="82"/>
      <c r="S833" s="82"/>
      <c r="T833" s="82"/>
      <c r="U833" s="82"/>
      <c r="V833" s="138" t="s">
        <v>4812</v>
      </c>
      <c r="W833" s="57" t="s">
        <v>4532</v>
      </c>
      <c r="X833" s="126" t="s">
        <v>2511</v>
      </c>
      <c r="Y833" s="126" t="s">
        <v>2511</v>
      </c>
      <c r="Z833" s="57"/>
      <c r="AA833" s="57" t="s">
        <v>4533</v>
      </c>
      <c r="AB833" s="138"/>
      <c r="AC833" s="138" t="s">
        <v>2631</v>
      </c>
      <c r="AD833" s="96"/>
      <c r="AE833" s="80"/>
      <c r="AF833" s="80"/>
      <c r="AG833" s="80"/>
      <c r="AH833" s="83"/>
      <c r="AI833" s="83"/>
      <c r="AJ833" s="84"/>
      <c r="AK833" s="84"/>
      <c r="AL833" s="84"/>
      <c r="AM833" s="84"/>
      <c r="AN833" s="84"/>
      <c r="AO833" s="84"/>
      <c r="AP833" s="84"/>
      <c r="AQ833" s="95" t="s">
        <v>1952</v>
      </c>
      <c r="AR833" s="72"/>
      <c r="AS833" s="72"/>
      <c r="AT833" s="72"/>
      <c r="AU833" s="72"/>
      <c r="AV833" s="72"/>
      <c r="AW833" s="72"/>
      <c r="AX833" s="72"/>
      <c r="AY833" s="72"/>
      <c r="AZ833" s="72"/>
      <c r="BA833" s="72"/>
      <c r="BB833" s="16"/>
      <c r="BC833" s="72"/>
      <c r="BD833" s="20"/>
      <c r="BE833" s="378"/>
    </row>
    <row r="834" spans="1:57" s="81" customFormat="1" ht="12.95" hidden="1" customHeight="1">
      <c r="A834" s="374"/>
      <c r="B834" s="376"/>
      <c r="C834" s="270" t="s">
        <v>1683</v>
      </c>
      <c r="D834" s="239" t="s">
        <v>4813</v>
      </c>
      <c r="E834" s="58"/>
      <c r="F834" s="59" t="s">
        <v>4814</v>
      </c>
      <c r="G834" s="191" t="s">
        <v>2511</v>
      </c>
      <c r="H834" s="192" t="s">
        <v>1953</v>
      </c>
      <c r="I834" s="61" t="s">
        <v>2511</v>
      </c>
      <c r="J834" s="61" t="s">
        <v>2511</v>
      </c>
      <c r="K834" s="62" t="s">
        <v>2511</v>
      </c>
      <c r="L834" s="60" t="s">
        <v>2511</v>
      </c>
      <c r="M834" s="61" t="s">
        <v>2389</v>
      </c>
      <c r="N834" s="61" t="s">
        <v>2511</v>
      </c>
      <c r="O834" s="61" t="s">
        <v>2511</v>
      </c>
      <c r="P834" s="62" t="s">
        <v>2511</v>
      </c>
      <c r="Q834" s="82"/>
      <c r="R834" s="82"/>
      <c r="S834" s="82"/>
      <c r="T834" s="82"/>
      <c r="U834" s="82"/>
      <c r="V834" s="138" t="s">
        <v>4815</v>
      </c>
      <c r="W834" s="57" t="s">
        <v>4532</v>
      </c>
      <c r="X834" s="126" t="s">
        <v>2511</v>
      </c>
      <c r="Y834" s="126" t="s">
        <v>2511</v>
      </c>
      <c r="Z834" s="57"/>
      <c r="AA834" s="57" t="s">
        <v>4533</v>
      </c>
      <c r="AB834" s="138"/>
      <c r="AC834" s="138" t="s">
        <v>2631</v>
      </c>
      <c r="AD834" s="96"/>
      <c r="AE834" s="80"/>
      <c r="AF834" s="80"/>
      <c r="AG834" s="80"/>
      <c r="AH834" s="83"/>
      <c r="AI834" s="83"/>
      <c r="AJ834" s="84"/>
      <c r="AK834" s="84"/>
      <c r="AL834" s="84"/>
      <c r="AM834" s="84"/>
      <c r="AN834" s="84"/>
      <c r="AO834" s="84"/>
      <c r="AP834" s="84"/>
      <c r="AQ834" s="95" t="s">
        <v>1953</v>
      </c>
      <c r="AR834" s="72"/>
      <c r="AS834" s="72"/>
      <c r="AT834" s="72"/>
      <c r="AU834" s="72"/>
      <c r="AV834" s="72"/>
      <c r="AW834" s="72"/>
      <c r="AX834" s="72"/>
      <c r="AY834" s="72"/>
      <c r="AZ834" s="72"/>
      <c r="BA834" s="72"/>
      <c r="BB834" s="16"/>
      <c r="BC834" s="72"/>
      <c r="BD834" s="20"/>
      <c r="BE834" s="378"/>
    </row>
    <row r="835" spans="1:57" s="81" customFormat="1" ht="12.95" hidden="1" customHeight="1">
      <c r="A835" s="374"/>
      <c r="B835" s="376"/>
      <c r="C835" s="248" t="s">
        <v>1684</v>
      </c>
      <c r="D835" s="239" t="s">
        <v>4816</v>
      </c>
      <c r="E835" s="58"/>
      <c r="F835" s="59" t="s">
        <v>4817</v>
      </c>
      <c r="G835" s="191" t="s">
        <v>2511</v>
      </c>
      <c r="H835" s="192" t="s">
        <v>1954</v>
      </c>
      <c r="I835" s="61" t="s">
        <v>2511</v>
      </c>
      <c r="J835" s="61" t="s">
        <v>2511</v>
      </c>
      <c r="K835" s="62" t="s">
        <v>2511</v>
      </c>
      <c r="L835" s="60" t="s">
        <v>2511</v>
      </c>
      <c r="M835" s="61" t="s">
        <v>2389</v>
      </c>
      <c r="N835" s="61" t="s">
        <v>2511</v>
      </c>
      <c r="O835" s="61" t="s">
        <v>2511</v>
      </c>
      <c r="P835" s="62" t="s">
        <v>2511</v>
      </c>
      <c r="Q835" s="82"/>
      <c r="R835" s="82"/>
      <c r="S835" s="82"/>
      <c r="T835" s="82"/>
      <c r="U835" s="82"/>
      <c r="V835" s="138" t="s">
        <v>4818</v>
      </c>
      <c r="W835" s="57" t="s">
        <v>4532</v>
      </c>
      <c r="X835" s="126" t="s">
        <v>2511</v>
      </c>
      <c r="Y835" s="126" t="s">
        <v>2511</v>
      </c>
      <c r="Z835" s="57"/>
      <c r="AA835" s="57" t="s">
        <v>4533</v>
      </c>
      <c r="AB835" s="138"/>
      <c r="AC835" s="138">
        <v>0</v>
      </c>
      <c r="AD835" s="96"/>
      <c r="AE835" s="80"/>
      <c r="AF835" s="80"/>
      <c r="AG835" s="80"/>
      <c r="AH835" s="83"/>
      <c r="AI835" s="83"/>
      <c r="AJ835" s="84"/>
      <c r="AK835" s="84"/>
      <c r="AL835" s="84"/>
      <c r="AM835" s="84"/>
      <c r="AN835" s="84"/>
      <c r="AO835" s="84"/>
      <c r="AP835" s="84"/>
      <c r="AQ835" s="95" t="s">
        <v>1954</v>
      </c>
      <c r="AR835" s="72"/>
      <c r="AS835" s="72"/>
      <c r="AT835" s="72"/>
      <c r="AU835" s="72"/>
      <c r="AV835" s="72"/>
      <c r="AW835" s="72"/>
      <c r="AX835" s="72"/>
      <c r="AY835" s="72"/>
      <c r="AZ835" s="72"/>
      <c r="BA835" s="72"/>
      <c r="BB835" s="16"/>
      <c r="BC835" s="72"/>
      <c r="BD835" s="20"/>
      <c r="BE835" s="378"/>
    </row>
    <row r="836" spans="1:57" s="81" customFormat="1" ht="12.95" hidden="1" customHeight="1">
      <c r="A836" s="374"/>
      <c r="B836" s="376"/>
      <c r="C836" s="248" t="s">
        <v>1685</v>
      </c>
      <c r="D836" s="239" t="s">
        <v>4819</v>
      </c>
      <c r="E836" s="58"/>
      <c r="F836" s="59" t="s">
        <v>4820</v>
      </c>
      <c r="G836" s="191" t="s">
        <v>2511</v>
      </c>
      <c r="H836" s="192" t="s">
        <v>1955</v>
      </c>
      <c r="I836" s="61" t="s">
        <v>2511</v>
      </c>
      <c r="J836" s="61" t="s">
        <v>2511</v>
      </c>
      <c r="K836" s="62" t="s">
        <v>2511</v>
      </c>
      <c r="L836" s="60" t="s">
        <v>2511</v>
      </c>
      <c r="M836" s="61" t="s">
        <v>2389</v>
      </c>
      <c r="N836" s="61" t="s">
        <v>2511</v>
      </c>
      <c r="O836" s="61" t="s">
        <v>2511</v>
      </c>
      <c r="P836" s="62" t="s">
        <v>2511</v>
      </c>
      <c r="Q836" s="82"/>
      <c r="R836" s="82"/>
      <c r="S836" s="82"/>
      <c r="T836" s="82"/>
      <c r="U836" s="82"/>
      <c r="V836" s="138" t="s">
        <v>4821</v>
      </c>
      <c r="W836" s="57" t="s">
        <v>4532</v>
      </c>
      <c r="X836" s="126" t="s">
        <v>2511</v>
      </c>
      <c r="Y836" s="126" t="s">
        <v>2511</v>
      </c>
      <c r="Z836" s="57"/>
      <c r="AA836" s="57" t="s">
        <v>4533</v>
      </c>
      <c r="AB836" s="138"/>
      <c r="AC836" s="138" t="s">
        <v>2631</v>
      </c>
      <c r="AD836" s="96"/>
      <c r="AE836" s="80"/>
      <c r="AF836" s="80"/>
      <c r="AG836" s="80"/>
      <c r="AH836" s="83"/>
      <c r="AI836" s="83"/>
      <c r="AJ836" s="84"/>
      <c r="AK836" s="84"/>
      <c r="AL836" s="84"/>
      <c r="AM836" s="84"/>
      <c r="AN836" s="84"/>
      <c r="AO836" s="84"/>
      <c r="AP836" s="84"/>
      <c r="AQ836" s="95" t="s">
        <v>1955</v>
      </c>
      <c r="AR836" s="72"/>
      <c r="AS836" s="72"/>
      <c r="AT836" s="72"/>
      <c r="AU836" s="72"/>
      <c r="AV836" s="72"/>
      <c r="AW836" s="72"/>
      <c r="AX836" s="72"/>
      <c r="AY836" s="72"/>
      <c r="AZ836" s="72"/>
      <c r="BA836" s="72"/>
      <c r="BB836" s="16"/>
      <c r="BC836" s="72"/>
      <c r="BD836" s="20"/>
      <c r="BE836" s="378"/>
    </row>
    <row r="837" spans="1:57" s="81" customFormat="1" ht="12.95" hidden="1" customHeight="1">
      <c r="A837" s="374"/>
      <c r="B837" s="376"/>
      <c r="C837" s="248" t="s">
        <v>1686</v>
      </c>
      <c r="D837" s="239" t="s">
        <v>4822</v>
      </c>
      <c r="E837" s="58"/>
      <c r="F837" s="59" t="s">
        <v>4823</v>
      </c>
      <c r="G837" s="191" t="s">
        <v>2511</v>
      </c>
      <c r="H837" s="192" t="s">
        <v>1956</v>
      </c>
      <c r="I837" s="61" t="s">
        <v>2511</v>
      </c>
      <c r="J837" s="61" t="s">
        <v>2511</v>
      </c>
      <c r="K837" s="62" t="s">
        <v>2511</v>
      </c>
      <c r="L837" s="60" t="s">
        <v>2511</v>
      </c>
      <c r="M837" s="61" t="s">
        <v>2389</v>
      </c>
      <c r="N837" s="61" t="s">
        <v>2511</v>
      </c>
      <c r="O837" s="61" t="s">
        <v>2511</v>
      </c>
      <c r="P837" s="62" t="s">
        <v>2511</v>
      </c>
      <c r="Q837" s="82"/>
      <c r="R837" s="82"/>
      <c r="S837" s="82"/>
      <c r="T837" s="82"/>
      <c r="U837" s="82"/>
      <c r="V837" s="138" t="s">
        <v>4824</v>
      </c>
      <c r="W837" s="57" t="s">
        <v>4532</v>
      </c>
      <c r="X837" s="126" t="s">
        <v>2511</v>
      </c>
      <c r="Y837" s="126" t="s">
        <v>2511</v>
      </c>
      <c r="Z837" s="57"/>
      <c r="AA837" s="57" t="s">
        <v>4533</v>
      </c>
      <c r="AB837" s="138"/>
      <c r="AC837" s="138" t="s">
        <v>2631</v>
      </c>
      <c r="AD837" s="96"/>
      <c r="AE837" s="80"/>
      <c r="AF837" s="80"/>
      <c r="AG837" s="80"/>
      <c r="AH837" s="83"/>
      <c r="AI837" s="83"/>
      <c r="AJ837" s="84"/>
      <c r="AK837" s="84"/>
      <c r="AL837" s="84"/>
      <c r="AM837" s="84"/>
      <c r="AN837" s="84"/>
      <c r="AO837" s="84"/>
      <c r="AP837" s="84"/>
      <c r="AQ837" s="95" t="s">
        <v>1956</v>
      </c>
      <c r="AR837" s="72"/>
      <c r="AS837" s="72"/>
      <c r="AT837" s="72"/>
      <c r="AU837" s="72"/>
      <c r="AV837" s="72"/>
      <c r="AW837" s="72"/>
      <c r="AX837" s="72"/>
      <c r="AY837" s="72"/>
      <c r="AZ837" s="72"/>
      <c r="BA837" s="72"/>
      <c r="BB837" s="16"/>
      <c r="BC837" s="72"/>
      <c r="BD837" s="20"/>
      <c r="BE837" s="378"/>
    </row>
    <row r="838" spans="1:57" s="81" customFormat="1" ht="12.95" hidden="1" customHeight="1">
      <c r="A838" s="374"/>
      <c r="B838" s="376"/>
      <c r="C838" s="248" t="s">
        <v>1687</v>
      </c>
      <c r="D838" s="239" t="s">
        <v>4825</v>
      </c>
      <c r="E838" s="58"/>
      <c r="F838" s="59" t="s">
        <v>4826</v>
      </c>
      <c r="G838" s="191" t="s">
        <v>2511</v>
      </c>
      <c r="H838" s="192" t="s">
        <v>1957</v>
      </c>
      <c r="I838" s="61" t="s">
        <v>2511</v>
      </c>
      <c r="J838" s="61" t="s">
        <v>2511</v>
      </c>
      <c r="K838" s="62" t="s">
        <v>2511</v>
      </c>
      <c r="L838" s="60" t="s">
        <v>2511</v>
      </c>
      <c r="M838" s="61" t="s">
        <v>2389</v>
      </c>
      <c r="N838" s="61" t="s">
        <v>2511</v>
      </c>
      <c r="O838" s="61" t="s">
        <v>2511</v>
      </c>
      <c r="P838" s="62" t="s">
        <v>2511</v>
      </c>
      <c r="Q838" s="82"/>
      <c r="R838" s="82"/>
      <c r="S838" s="82"/>
      <c r="T838" s="82"/>
      <c r="U838" s="82"/>
      <c r="V838" s="138" t="s">
        <v>4827</v>
      </c>
      <c r="W838" s="57" t="s">
        <v>4532</v>
      </c>
      <c r="X838" s="126" t="s">
        <v>2511</v>
      </c>
      <c r="Y838" s="126" t="s">
        <v>2511</v>
      </c>
      <c r="Z838" s="57"/>
      <c r="AA838" s="57" t="s">
        <v>4533</v>
      </c>
      <c r="AB838" s="138"/>
      <c r="AC838" s="138" t="s">
        <v>2631</v>
      </c>
      <c r="AD838" s="96"/>
      <c r="AE838" s="80"/>
      <c r="AF838" s="80"/>
      <c r="AG838" s="80"/>
      <c r="AH838" s="83"/>
      <c r="AI838" s="83"/>
      <c r="AJ838" s="84"/>
      <c r="AK838" s="84"/>
      <c r="AL838" s="84"/>
      <c r="AM838" s="84"/>
      <c r="AN838" s="84"/>
      <c r="AO838" s="84"/>
      <c r="AP838" s="84"/>
      <c r="AQ838" s="95" t="s">
        <v>1957</v>
      </c>
      <c r="AR838" s="72"/>
      <c r="AS838" s="72"/>
      <c r="AT838" s="72"/>
      <c r="AU838" s="72"/>
      <c r="AV838" s="72"/>
      <c r="AW838" s="72"/>
      <c r="AX838" s="72"/>
      <c r="AY838" s="72"/>
      <c r="AZ838" s="72"/>
      <c r="BA838" s="72"/>
      <c r="BB838" s="16"/>
      <c r="BC838" s="72"/>
      <c r="BD838" s="20"/>
      <c r="BE838" s="378"/>
    </row>
    <row r="839" spans="1:57" s="81" customFormat="1" ht="12.95" hidden="1" customHeight="1">
      <c r="A839" s="374"/>
      <c r="B839" s="376"/>
      <c r="C839" s="248" t="s">
        <v>1688</v>
      </c>
      <c r="D839" s="239" t="s">
        <v>4828</v>
      </c>
      <c r="E839" s="58"/>
      <c r="F839" s="59" t="s">
        <v>4829</v>
      </c>
      <c r="G839" s="191" t="s">
        <v>2511</v>
      </c>
      <c r="H839" s="192" t="s">
        <v>1958</v>
      </c>
      <c r="I839" s="61" t="s">
        <v>2511</v>
      </c>
      <c r="J839" s="61" t="s">
        <v>2511</v>
      </c>
      <c r="K839" s="62" t="s">
        <v>2511</v>
      </c>
      <c r="L839" s="60" t="s">
        <v>2511</v>
      </c>
      <c r="M839" s="61" t="s">
        <v>2389</v>
      </c>
      <c r="N839" s="61" t="s">
        <v>2511</v>
      </c>
      <c r="O839" s="61" t="s">
        <v>2511</v>
      </c>
      <c r="P839" s="62" t="s">
        <v>2511</v>
      </c>
      <c r="Q839" s="82"/>
      <c r="R839" s="82"/>
      <c r="S839" s="82"/>
      <c r="T839" s="82"/>
      <c r="U839" s="82"/>
      <c r="V839" s="138" t="s">
        <v>4830</v>
      </c>
      <c r="W839" s="57" t="s">
        <v>4532</v>
      </c>
      <c r="X839" s="126" t="s">
        <v>2511</v>
      </c>
      <c r="Y839" s="126" t="s">
        <v>2511</v>
      </c>
      <c r="Z839" s="57"/>
      <c r="AA839" s="57" t="s">
        <v>4533</v>
      </c>
      <c r="AB839" s="138"/>
      <c r="AC839" s="138" t="s">
        <v>2631</v>
      </c>
      <c r="AD839" s="96"/>
      <c r="AE839" s="80"/>
      <c r="AF839" s="80"/>
      <c r="AG839" s="80"/>
      <c r="AH839" s="83"/>
      <c r="AI839" s="83"/>
      <c r="AJ839" s="84"/>
      <c r="AK839" s="84"/>
      <c r="AL839" s="84"/>
      <c r="AM839" s="84"/>
      <c r="AN839" s="84"/>
      <c r="AO839" s="84"/>
      <c r="AP839" s="84"/>
      <c r="AQ839" s="95" t="s">
        <v>1958</v>
      </c>
      <c r="AR839" s="72"/>
      <c r="AS839" s="72"/>
      <c r="AT839" s="72"/>
      <c r="AU839" s="72"/>
      <c r="AV839" s="72"/>
      <c r="AW839" s="72"/>
      <c r="AX839" s="72"/>
      <c r="AY839" s="72"/>
      <c r="AZ839" s="72"/>
      <c r="BA839" s="72"/>
      <c r="BB839" s="16"/>
      <c r="BC839" s="72"/>
      <c r="BD839" s="20"/>
      <c r="BE839" s="378"/>
    </row>
    <row r="840" spans="1:57" s="81" customFormat="1" ht="12.95" hidden="1" customHeight="1">
      <c r="A840" s="374"/>
      <c r="B840" s="376"/>
      <c r="C840" s="248" t="s">
        <v>1689</v>
      </c>
      <c r="D840" s="239" t="s">
        <v>4831</v>
      </c>
      <c r="E840" s="58"/>
      <c r="F840" s="59" t="s">
        <v>4832</v>
      </c>
      <c r="G840" s="191" t="s">
        <v>2511</v>
      </c>
      <c r="H840" s="192" t="s">
        <v>1959</v>
      </c>
      <c r="I840" s="61" t="s">
        <v>2511</v>
      </c>
      <c r="J840" s="61" t="s">
        <v>2511</v>
      </c>
      <c r="K840" s="62" t="s">
        <v>2511</v>
      </c>
      <c r="L840" s="60" t="s">
        <v>2511</v>
      </c>
      <c r="M840" s="61" t="s">
        <v>2389</v>
      </c>
      <c r="N840" s="61" t="s">
        <v>2511</v>
      </c>
      <c r="O840" s="61" t="s">
        <v>2511</v>
      </c>
      <c r="P840" s="62" t="s">
        <v>2511</v>
      </c>
      <c r="Q840" s="82"/>
      <c r="R840" s="82"/>
      <c r="S840" s="82"/>
      <c r="T840" s="82"/>
      <c r="U840" s="82"/>
      <c r="V840" s="138" t="s">
        <v>4833</v>
      </c>
      <c r="W840" s="57" t="s">
        <v>4532</v>
      </c>
      <c r="X840" s="126" t="s">
        <v>2511</v>
      </c>
      <c r="Y840" s="126" t="s">
        <v>2511</v>
      </c>
      <c r="Z840" s="57"/>
      <c r="AA840" s="57" t="s">
        <v>4533</v>
      </c>
      <c r="AB840" s="138"/>
      <c r="AC840" s="138" t="s">
        <v>2631</v>
      </c>
      <c r="AD840" s="96"/>
      <c r="AE840" s="80"/>
      <c r="AF840" s="80"/>
      <c r="AG840" s="80"/>
      <c r="AH840" s="83"/>
      <c r="AI840" s="83"/>
      <c r="AJ840" s="84"/>
      <c r="AK840" s="84"/>
      <c r="AL840" s="84"/>
      <c r="AM840" s="84"/>
      <c r="AN840" s="84"/>
      <c r="AO840" s="84"/>
      <c r="AP840" s="84"/>
      <c r="AQ840" s="95" t="s">
        <v>1959</v>
      </c>
      <c r="AR840" s="72"/>
      <c r="AS840" s="72"/>
      <c r="AT840" s="72"/>
      <c r="AU840" s="72"/>
      <c r="AV840" s="72"/>
      <c r="AW840" s="72"/>
      <c r="AX840" s="72"/>
      <c r="AY840" s="72"/>
      <c r="AZ840" s="72"/>
      <c r="BA840" s="72"/>
      <c r="BB840" s="16"/>
      <c r="BC840" s="72"/>
      <c r="BD840" s="20"/>
      <c r="BE840" s="378"/>
    </row>
    <row r="841" spans="1:57" s="81" customFormat="1" ht="12.95" hidden="1" customHeight="1">
      <c r="A841" s="374"/>
      <c r="B841" s="376"/>
      <c r="C841" s="248" t="s">
        <v>1690</v>
      </c>
      <c r="D841" s="239" t="s">
        <v>4834</v>
      </c>
      <c r="E841" s="58"/>
      <c r="F841" s="59" t="s">
        <v>4835</v>
      </c>
      <c r="G841" s="191" t="s">
        <v>2511</v>
      </c>
      <c r="H841" s="192" t="s">
        <v>1960</v>
      </c>
      <c r="I841" s="61" t="s">
        <v>2511</v>
      </c>
      <c r="J841" s="61" t="s">
        <v>2511</v>
      </c>
      <c r="K841" s="62" t="s">
        <v>2511</v>
      </c>
      <c r="L841" s="60" t="s">
        <v>2511</v>
      </c>
      <c r="M841" s="61" t="s">
        <v>2389</v>
      </c>
      <c r="N841" s="61" t="s">
        <v>2511</v>
      </c>
      <c r="O841" s="61" t="s">
        <v>2511</v>
      </c>
      <c r="P841" s="62" t="s">
        <v>2511</v>
      </c>
      <c r="Q841" s="82"/>
      <c r="R841" s="82"/>
      <c r="S841" s="82"/>
      <c r="T841" s="82"/>
      <c r="U841" s="82"/>
      <c r="V841" s="138" t="s">
        <v>4836</v>
      </c>
      <c r="W841" s="57" t="s">
        <v>4532</v>
      </c>
      <c r="X841" s="126" t="s">
        <v>2511</v>
      </c>
      <c r="Y841" s="126" t="s">
        <v>2511</v>
      </c>
      <c r="Z841" s="57"/>
      <c r="AA841" s="57" t="s">
        <v>4533</v>
      </c>
      <c r="AB841" s="138"/>
      <c r="AC841" s="138" t="s">
        <v>2631</v>
      </c>
      <c r="AD841" s="96"/>
      <c r="AE841" s="80"/>
      <c r="AF841" s="80"/>
      <c r="AG841" s="80"/>
      <c r="AH841" s="83"/>
      <c r="AI841" s="83"/>
      <c r="AJ841" s="84"/>
      <c r="AK841" s="84"/>
      <c r="AL841" s="84"/>
      <c r="AM841" s="84"/>
      <c r="AN841" s="84"/>
      <c r="AO841" s="84"/>
      <c r="AP841" s="84"/>
      <c r="AQ841" s="95" t="s">
        <v>1960</v>
      </c>
      <c r="AR841" s="72"/>
      <c r="AS841" s="72"/>
      <c r="AT841" s="72"/>
      <c r="AU841" s="72"/>
      <c r="AV841" s="72"/>
      <c r="AW841" s="72"/>
      <c r="AX841" s="72"/>
      <c r="AY841" s="72"/>
      <c r="AZ841" s="72"/>
      <c r="BA841" s="72"/>
      <c r="BB841" s="16"/>
      <c r="BC841" s="72"/>
      <c r="BD841" s="20"/>
      <c r="BE841" s="378"/>
    </row>
    <row r="842" spans="1:57" s="81" customFormat="1" ht="12.95" hidden="1" customHeight="1">
      <c r="A842" s="374"/>
      <c r="B842" s="376"/>
      <c r="C842" s="248" t="s">
        <v>1691</v>
      </c>
      <c r="D842" s="239" t="s">
        <v>4837</v>
      </c>
      <c r="E842" s="58"/>
      <c r="F842" s="59" t="s">
        <v>4838</v>
      </c>
      <c r="G842" s="191" t="s">
        <v>2511</v>
      </c>
      <c r="H842" s="192" t="s">
        <v>1961</v>
      </c>
      <c r="I842" s="61" t="s">
        <v>2511</v>
      </c>
      <c r="J842" s="61" t="s">
        <v>2511</v>
      </c>
      <c r="K842" s="62" t="s">
        <v>2511</v>
      </c>
      <c r="L842" s="60" t="s">
        <v>2511</v>
      </c>
      <c r="M842" s="61" t="s">
        <v>2389</v>
      </c>
      <c r="N842" s="61" t="s">
        <v>2511</v>
      </c>
      <c r="O842" s="61" t="s">
        <v>2511</v>
      </c>
      <c r="P842" s="62" t="s">
        <v>2511</v>
      </c>
      <c r="Q842" s="82"/>
      <c r="R842" s="82"/>
      <c r="S842" s="82"/>
      <c r="T842" s="82"/>
      <c r="U842" s="82"/>
      <c r="V842" s="138" t="s">
        <v>4839</v>
      </c>
      <c r="W842" s="57" t="s">
        <v>4532</v>
      </c>
      <c r="X842" s="126" t="s">
        <v>2511</v>
      </c>
      <c r="Y842" s="126" t="s">
        <v>2511</v>
      </c>
      <c r="Z842" s="57"/>
      <c r="AA842" s="57" t="s">
        <v>4533</v>
      </c>
      <c r="AB842" s="138"/>
      <c r="AC842" s="138" t="s">
        <v>2631</v>
      </c>
      <c r="AD842" s="96"/>
      <c r="AE842" s="80"/>
      <c r="AF842" s="80"/>
      <c r="AG842" s="80"/>
      <c r="AH842" s="83"/>
      <c r="AI842" s="83"/>
      <c r="AJ842" s="84"/>
      <c r="AK842" s="84"/>
      <c r="AL842" s="84"/>
      <c r="AM842" s="84"/>
      <c r="AN842" s="84"/>
      <c r="AO842" s="84"/>
      <c r="AP842" s="84"/>
      <c r="AQ842" s="95" t="s">
        <v>1961</v>
      </c>
      <c r="AR842" s="72"/>
      <c r="AS842" s="72"/>
      <c r="AT842" s="72"/>
      <c r="AU842" s="72"/>
      <c r="AV842" s="72"/>
      <c r="AW842" s="72"/>
      <c r="AX842" s="72"/>
      <c r="AY842" s="72"/>
      <c r="AZ842" s="72"/>
      <c r="BA842" s="72"/>
      <c r="BB842" s="16"/>
      <c r="BC842" s="72"/>
      <c r="BD842" s="20"/>
      <c r="BE842" s="378"/>
    </row>
    <row r="843" spans="1:57" s="81" customFormat="1" ht="12.95" hidden="1" customHeight="1">
      <c r="A843" s="374"/>
      <c r="B843" s="376"/>
      <c r="C843" s="248" t="s">
        <v>1692</v>
      </c>
      <c r="D843" s="239" t="s">
        <v>4840</v>
      </c>
      <c r="E843" s="58"/>
      <c r="F843" s="59" t="s">
        <v>4841</v>
      </c>
      <c r="G843" s="191" t="s">
        <v>2511</v>
      </c>
      <c r="H843" s="192" t="s">
        <v>1962</v>
      </c>
      <c r="I843" s="61" t="s">
        <v>2511</v>
      </c>
      <c r="J843" s="61" t="s">
        <v>2511</v>
      </c>
      <c r="K843" s="62" t="s">
        <v>2511</v>
      </c>
      <c r="L843" s="60" t="s">
        <v>2511</v>
      </c>
      <c r="M843" s="61" t="s">
        <v>2389</v>
      </c>
      <c r="N843" s="61" t="s">
        <v>2511</v>
      </c>
      <c r="O843" s="61" t="s">
        <v>2511</v>
      </c>
      <c r="P843" s="62" t="s">
        <v>2511</v>
      </c>
      <c r="Q843" s="82"/>
      <c r="R843" s="82"/>
      <c r="S843" s="82"/>
      <c r="T843" s="82"/>
      <c r="U843" s="82"/>
      <c r="V843" s="138" t="s">
        <v>4842</v>
      </c>
      <c r="W843" s="57" t="s">
        <v>4532</v>
      </c>
      <c r="X843" s="126" t="s">
        <v>2511</v>
      </c>
      <c r="Y843" s="126" t="s">
        <v>2511</v>
      </c>
      <c r="Z843" s="57"/>
      <c r="AA843" s="57" t="s">
        <v>4533</v>
      </c>
      <c r="AB843" s="138"/>
      <c r="AC843" s="138" t="s">
        <v>2631</v>
      </c>
      <c r="AD843" s="96"/>
      <c r="AE843" s="80"/>
      <c r="AF843" s="80"/>
      <c r="AG843" s="80"/>
      <c r="AH843" s="83"/>
      <c r="AI843" s="83"/>
      <c r="AJ843" s="84"/>
      <c r="AK843" s="84"/>
      <c r="AL843" s="84"/>
      <c r="AM843" s="84"/>
      <c r="AN843" s="84"/>
      <c r="AO843" s="84"/>
      <c r="AP843" s="84"/>
      <c r="AQ843" s="95" t="s">
        <v>1962</v>
      </c>
      <c r="AR843" s="72"/>
      <c r="AS843" s="72"/>
      <c r="AT843" s="72"/>
      <c r="AU843" s="72"/>
      <c r="AV843" s="72"/>
      <c r="AW843" s="72"/>
      <c r="AX843" s="72"/>
      <c r="AY843" s="72"/>
      <c r="AZ843" s="72"/>
      <c r="BA843" s="72"/>
      <c r="BB843" s="16"/>
      <c r="BC843" s="72"/>
      <c r="BD843" s="20"/>
      <c r="BE843" s="378"/>
    </row>
    <row r="844" spans="1:57" s="81" customFormat="1" ht="12.95" hidden="1" customHeight="1">
      <c r="A844" s="374"/>
      <c r="B844" s="376"/>
      <c r="C844" s="248" t="s">
        <v>1693</v>
      </c>
      <c r="D844" s="239" t="s">
        <v>4843</v>
      </c>
      <c r="E844" s="58"/>
      <c r="F844" s="59" t="s">
        <v>4844</v>
      </c>
      <c r="G844" s="191" t="s">
        <v>2511</v>
      </c>
      <c r="H844" s="192" t="s">
        <v>1963</v>
      </c>
      <c r="I844" s="61" t="s">
        <v>2511</v>
      </c>
      <c r="J844" s="61" t="s">
        <v>2511</v>
      </c>
      <c r="K844" s="62" t="s">
        <v>2511</v>
      </c>
      <c r="L844" s="60" t="s">
        <v>2511</v>
      </c>
      <c r="M844" s="61" t="s">
        <v>2389</v>
      </c>
      <c r="N844" s="61" t="s">
        <v>2511</v>
      </c>
      <c r="O844" s="61" t="s">
        <v>2511</v>
      </c>
      <c r="P844" s="62" t="s">
        <v>2511</v>
      </c>
      <c r="Q844" s="82"/>
      <c r="R844" s="82"/>
      <c r="S844" s="82"/>
      <c r="T844" s="82"/>
      <c r="U844" s="82"/>
      <c r="V844" s="138" t="s">
        <v>4845</v>
      </c>
      <c r="W844" s="57" t="s">
        <v>4532</v>
      </c>
      <c r="X844" s="126" t="s">
        <v>2511</v>
      </c>
      <c r="Y844" s="126" t="s">
        <v>2511</v>
      </c>
      <c r="Z844" s="57"/>
      <c r="AA844" s="57" t="s">
        <v>4533</v>
      </c>
      <c r="AB844" s="138"/>
      <c r="AC844" s="138" t="s">
        <v>2631</v>
      </c>
      <c r="AD844" s="96"/>
      <c r="AE844" s="80"/>
      <c r="AF844" s="80"/>
      <c r="AG844" s="80"/>
      <c r="AH844" s="83"/>
      <c r="AI844" s="83"/>
      <c r="AJ844" s="84"/>
      <c r="AK844" s="84"/>
      <c r="AL844" s="84"/>
      <c r="AM844" s="84"/>
      <c r="AN844" s="84"/>
      <c r="AO844" s="84"/>
      <c r="AP844" s="84"/>
      <c r="AQ844" s="95" t="s">
        <v>1963</v>
      </c>
      <c r="AR844" s="72"/>
      <c r="AS844" s="72"/>
      <c r="AT844" s="72"/>
      <c r="AU844" s="72"/>
      <c r="AV844" s="72"/>
      <c r="AW844" s="72"/>
      <c r="AX844" s="72"/>
      <c r="AY844" s="72"/>
      <c r="AZ844" s="72"/>
      <c r="BA844" s="72"/>
      <c r="BB844" s="16"/>
      <c r="BC844" s="72"/>
      <c r="BD844" s="20"/>
      <c r="BE844" s="378"/>
    </row>
    <row r="845" spans="1:57" s="81" customFormat="1" ht="12.95" hidden="1" customHeight="1">
      <c r="A845" s="374"/>
      <c r="B845" s="376"/>
      <c r="C845" s="270" t="s">
        <v>1694</v>
      </c>
      <c r="D845" s="239" t="s">
        <v>4846</v>
      </c>
      <c r="E845" s="58"/>
      <c r="F845" s="59" t="s">
        <v>4847</v>
      </c>
      <c r="G845" s="191" t="s">
        <v>2511</v>
      </c>
      <c r="H845" s="192" t="s">
        <v>1964</v>
      </c>
      <c r="I845" s="61" t="s">
        <v>2511</v>
      </c>
      <c r="J845" s="61" t="s">
        <v>2511</v>
      </c>
      <c r="K845" s="62" t="s">
        <v>2511</v>
      </c>
      <c r="L845" s="60" t="s">
        <v>2511</v>
      </c>
      <c r="M845" s="61" t="s">
        <v>2389</v>
      </c>
      <c r="N845" s="61" t="s">
        <v>2511</v>
      </c>
      <c r="O845" s="61" t="s">
        <v>2511</v>
      </c>
      <c r="P845" s="62" t="s">
        <v>2511</v>
      </c>
      <c r="Q845" s="82"/>
      <c r="R845" s="82"/>
      <c r="S845" s="82"/>
      <c r="T845" s="82"/>
      <c r="U845" s="82"/>
      <c r="V845" s="138" t="s">
        <v>4848</v>
      </c>
      <c r="W845" s="57" t="s">
        <v>4532</v>
      </c>
      <c r="X845" s="126" t="s">
        <v>2511</v>
      </c>
      <c r="Y845" s="126" t="s">
        <v>2511</v>
      </c>
      <c r="Z845" s="57"/>
      <c r="AA845" s="57" t="s">
        <v>4533</v>
      </c>
      <c r="AB845" s="138"/>
      <c r="AC845" s="138" t="s">
        <v>2631</v>
      </c>
      <c r="AD845" s="96"/>
      <c r="AE845" s="80"/>
      <c r="AF845" s="80"/>
      <c r="AG845" s="80"/>
      <c r="AH845" s="83"/>
      <c r="AI845" s="83"/>
      <c r="AJ845" s="84"/>
      <c r="AK845" s="84"/>
      <c r="AL845" s="84"/>
      <c r="AM845" s="84"/>
      <c r="AN845" s="84"/>
      <c r="AO845" s="84"/>
      <c r="AP845" s="84"/>
      <c r="AQ845" s="95" t="s">
        <v>1964</v>
      </c>
      <c r="AR845" s="72"/>
      <c r="AS845" s="72"/>
      <c r="AT845" s="72"/>
      <c r="AU845" s="72"/>
      <c r="AV845" s="72"/>
      <c r="AW845" s="72"/>
      <c r="AX845" s="72"/>
      <c r="AY845" s="72"/>
      <c r="AZ845" s="72"/>
      <c r="BA845" s="72"/>
      <c r="BB845" s="16"/>
      <c r="BC845" s="72"/>
      <c r="BD845" s="20"/>
      <c r="BE845" s="378"/>
    </row>
    <row r="846" spans="1:57" s="81" customFormat="1" ht="12.95" hidden="1" customHeight="1">
      <c r="A846" s="374"/>
      <c r="B846" s="376"/>
      <c r="C846" s="270" t="s">
        <v>1695</v>
      </c>
      <c r="D846" s="239" t="s">
        <v>4849</v>
      </c>
      <c r="E846" s="58"/>
      <c r="F846" s="59" t="s">
        <v>4850</v>
      </c>
      <c r="G846" s="191" t="s">
        <v>2511</v>
      </c>
      <c r="H846" s="192" t="s">
        <v>1965</v>
      </c>
      <c r="I846" s="61" t="s">
        <v>2511</v>
      </c>
      <c r="J846" s="61" t="s">
        <v>2511</v>
      </c>
      <c r="K846" s="62" t="s">
        <v>2511</v>
      </c>
      <c r="L846" s="60" t="s">
        <v>2511</v>
      </c>
      <c r="M846" s="61" t="s">
        <v>2389</v>
      </c>
      <c r="N846" s="61" t="s">
        <v>2511</v>
      </c>
      <c r="O846" s="61" t="s">
        <v>2511</v>
      </c>
      <c r="P846" s="62" t="s">
        <v>2511</v>
      </c>
      <c r="Q846" s="82"/>
      <c r="R846" s="82"/>
      <c r="S846" s="82"/>
      <c r="T846" s="82"/>
      <c r="U846" s="82"/>
      <c r="V846" s="138" t="s">
        <v>4851</v>
      </c>
      <c r="W846" s="57" t="s">
        <v>4532</v>
      </c>
      <c r="X846" s="126" t="s">
        <v>2511</v>
      </c>
      <c r="Y846" s="126" t="s">
        <v>2511</v>
      </c>
      <c r="Z846" s="57"/>
      <c r="AA846" s="57" t="s">
        <v>4533</v>
      </c>
      <c r="AB846" s="138"/>
      <c r="AC846" s="138" t="s">
        <v>2631</v>
      </c>
      <c r="AD846" s="96"/>
      <c r="AE846" s="80"/>
      <c r="AF846" s="80"/>
      <c r="AG846" s="80"/>
      <c r="AH846" s="83"/>
      <c r="AI846" s="83"/>
      <c r="AJ846" s="84"/>
      <c r="AK846" s="84"/>
      <c r="AL846" s="84"/>
      <c r="AM846" s="84"/>
      <c r="AN846" s="84"/>
      <c r="AO846" s="84"/>
      <c r="AP846" s="84"/>
      <c r="AQ846" s="95" t="s">
        <v>1965</v>
      </c>
      <c r="AR846" s="72"/>
      <c r="AS846" s="72"/>
      <c r="AT846" s="72"/>
      <c r="AU846" s="72"/>
      <c r="AV846" s="72"/>
      <c r="AW846" s="72"/>
      <c r="AX846" s="72"/>
      <c r="AY846" s="72"/>
      <c r="AZ846" s="72"/>
      <c r="BA846" s="72"/>
      <c r="BB846" s="16"/>
      <c r="BC846" s="72"/>
      <c r="BD846" s="20"/>
      <c r="BE846" s="378"/>
    </row>
    <row r="847" spans="1:57" s="81" customFormat="1" ht="12.95" hidden="1" customHeight="1">
      <c r="A847" s="374"/>
      <c r="B847" s="376"/>
      <c r="C847" s="248" t="s">
        <v>1696</v>
      </c>
      <c r="D847" s="239" t="s">
        <v>4852</v>
      </c>
      <c r="E847" s="58"/>
      <c r="F847" s="59" t="s">
        <v>4853</v>
      </c>
      <c r="G847" s="191" t="s">
        <v>2511</v>
      </c>
      <c r="H847" s="192" t="s">
        <v>1966</v>
      </c>
      <c r="I847" s="61" t="s">
        <v>2511</v>
      </c>
      <c r="J847" s="61" t="s">
        <v>2511</v>
      </c>
      <c r="K847" s="62" t="s">
        <v>2511</v>
      </c>
      <c r="L847" s="60" t="s">
        <v>2511</v>
      </c>
      <c r="M847" s="61" t="s">
        <v>2389</v>
      </c>
      <c r="N847" s="61" t="s">
        <v>2511</v>
      </c>
      <c r="O847" s="61" t="s">
        <v>2511</v>
      </c>
      <c r="P847" s="62" t="s">
        <v>2511</v>
      </c>
      <c r="Q847" s="82"/>
      <c r="R847" s="82"/>
      <c r="S847" s="82"/>
      <c r="T847" s="82"/>
      <c r="U847" s="82"/>
      <c r="V847" s="138" t="s">
        <v>4854</v>
      </c>
      <c r="W847" s="57" t="s">
        <v>4532</v>
      </c>
      <c r="X847" s="126" t="s">
        <v>2511</v>
      </c>
      <c r="Y847" s="126" t="s">
        <v>2511</v>
      </c>
      <c r="Z847" s="57"/>
      <c r="AA847" s="57" t="s">
        <v>4533</v>
      </c>
      <c r="AB847" s="138"/>
      <c r="AC847" s="138">
        <v>0</v>
      </c>
      <c r="AD847" s="96"/>
      <c r="AE847" s="80"/>
      <c r="AF847" s="80"/>
      <c r="AG847" s="80"/>
      <c r="AH847" s="83"/>
      <c r="AI847" s="83"/>
      <c r="AJ847" s="84"/>
      <c r="AK847" s="84"/>
      <c r="AL847" s="84"/>
      <c r="AM847" s="84"/>
      <c r="AN847" s="84"/>
      <c r="AO847" s="84"/>
      <c r="AP847" s="84"/>
      <c r="AQ847" s="95" t="s">
        <v>1966</v>
      </c>
      <c r="AR847" s="72"/>
      <c r="AS847" s="72"/>
      <c r="AT847" s="72"/>
      <c r="AU847" s="72"/>
      <c r="AV847" s="72"/>
      <c r="AW847" s="72"/>
      <c r="AX847" s="72"/>
      <c r="AY847" s="72"/>
      <c r="AZ847" s="72"/>
      <c r="BA847" s="72"/>
      <c r="BB847" s="16"/>
      <c r="BC847" s="72"/>
      <c r="BD847" s="20"/>
      <c r="BE847" s="378"/>
    </row>
    <row r="848" spans="1:57" s="81" customFormat="1" ht="12.95" hidden="1" customHeight="1">
      <c r="A848" s="374"/>
      <c r="B848" s="376"/>
      <c r="C848" s="248" t="s">
        <v>1697</v>
      </c>
      <c r="D848" s="239" t="s">
        <v>4855</v>
      </c>
      <c r="E848" s="58"/>
      <c r="F848" s="59" t="s">
        <v>4856</v>
      </c>
      <c r="G848" s="191" t="s">
        <v>2511</v>
      </c>
      <c r="H848" s="192" t="s">
        <v>1967</v>
      </c>
      <c r="I848" s="61" t="s">
        <v>2511</v>
      </c>
      <c r="J848" s="61" t="s">
        <v>2511</v>
      </c>
      <c r="K848" s="62" t="s">
        <v>2511</v>
      </c>
      <c r="L848" s="60" t="s">
        <v>2511</v>
      </c>
      <c r="M848" s="61" t="s">
        <v>2389</v>
      </c>
      <c r="N848" s="61" t="s">
        <v>2511</v>
      </c>
      <c r="O848" s="61" t="s">
        <v>2511</v>
      </c>
      <c r="P848" s="62" t="s">
        <v>2511</v>
      </c>
      <c r="Q848" s="82"/>
      <c r="R848" s="82"/>
      <c r="S848" s="82"/>
      <c r="T848" s="82"/>
      <c r="U848" s="82"/>
      <c r="V848" s="138" t="s">
        <v>4857</v>
      </c>
      <c r="W848" s="57" t="s">
        <v>4532</v>
      </c>
      <c r="X848" s="126" t="s">
        <v>2511</v>
      </c>
      <c r="Y848" s="126" t="s">
        <v>2511</v>
      </c>
      <c r="Z848" s="57"/>
      <c r="AA848" s="57" t="s">
        <v>4533</v>
      </c>
      <c r="AB848" s="138"/>
      <c r="AC848" s="138" t="s">
        <v>2631</v>
      </c>
      <c r="AD848" s="96"/>
      <c r="AE848" s="80"/>
      <c r="AF848" s="80"/>
      <c r="AG848" s="80"/>
      <c r="AH848" s="83"/>
      <c r="AI848" s="83"/>
      <c r="AJ848" s="84"/>
      <c r="AK848" s="84"/>
      <c r="AL848" s="84"/>
      <c r="AM848" s="84"/>
      <c r="AN848" s="84"/>
      <c r="AO848" s="84"/>
      <c r="AP848" s="84"/>
      <c r="AQ848" s="95" t="s">
        <v>1967</v>
      </c>
      <c r="AR848" s="72"/>
      <c r="AS848" s="72"/>
      <c r="AT848" s="72"/>
      <c r="AU848" s="72"/>
      <c r="AV848" s="72"/>
      <c r="AW848" s="72"/>
      <c r="AX848" s="72"/>
      <c r="AY848" s="72"/>
      <c r="AZ848" s="72"/>
      <c r="BA848" s="72"/>
      <c r="BB848" s="16"/>
      <c r="BC848" s="72"/>
      <c r="BD848" s="20"/>
      <c r="BE848" s="378"/>
    </row>
    <row r="849" spans="1:57" s="81" customFormat="1" ht="12.95" hidden="1" customHeight="1">
      <c r="A849" s="374"/>
      <c r="B849" s="376"/>
      <c r="C849" s="248" t="s">
        <v>1698</v>
      </c>
      <c r="D849" s="239" t="s">
        <v>4858</v>
      </c>
      <c r="E849" s="58"/>
      <c r="F849" s="59" t="s">
        <v>4859</v>
      </c>
      <c r="G849" s="191" t="s">
        <v>2511</v>
      </c>
      <c r="H849" s="192" t="s">
        <v>1968</v>
      </c>
      <c r="I849" s="61" t="s">
        <v>2511</v>
      </c>
      <c r="J849" s="61" t="s">
        <v>2511</v>
      </c>
      <c r="K849" s="62" t="s">
        <v>2511</v>
      </c>
      <c r="L849" s="60" t="s">
        <v>2511</v>
      </c>
      <c r="M849" s="61" t="s">
        <v>2389</v>
      </c>
      <c r="N849" s="61" t="s">
        <v>2511</v>
      </c>
      <c r="O849" s="61" t="s">
        <v>2511</v>
      </c>
      <c r="P849" s="62" t="s">
        <v>2511</v>
      </c>
      <c r="Q849" s="82"/>
      <c r="R849" s="82"/>
      <c r="S849" s="82"/>
      <c r="T849" s="82"/>
      <c r="U849" s="82"/>
      <c r="V849" s="138" t="s">
        <v>4860</v>
      </c>
      <c r="W849" s="57" t="s">
        <v>4532</v>
      </c>
      <c r="X849" s="126" t="s">
        <v>2511</v>
      </c>
      <c r="Y849" s="126" t="s">
        <v>2511</v>
      </c>
      <c r="Z849" s="57"/>
      <c r="AA849" s="57" t="s">
        <v>4533</v>
      </c>
      <c r="AB849" s="138"/>
      <c r="AC849" s="138" t="s">
        <v>2631</v>
      </c>
      <c r="AD849" s="96"/>
      <c r="AE849" s="80"/>
      <c r="AF849" s="80"/>
      <c r="AG849" s="80"/>
      <c r="AH849" s="83"/>
      <c r="AI849" s="83"/>
      <c r="AJ849" s="84"/>
      <c r="AK849" s="84"/>
      <c r="AL849" s="84"/>
      <c r="AM849" s="84"/>
      <c r="AN849" s="84"/>
      <c r="AO849" s="84"/>
      <c r="AP849" s="84"/>
      <c r="AQ849" s="95" t="s">
        <v>1968</v>
      </c>
      <c r="AR849" s="72"/>
      <c r="AS849" s="72"/>
      <c r="AT849" s="72"/>
      <c r="AU849" s="72"/>
      <c r="AV849" s="72"/>
      <c r="AW849" s="72"/>
      <c r="AX849" s="72"/>
      <c r="AY849" s="72"/>
      <c r="AZ849" s="72"/>
      <c r="BA849" s="72"/>
      <c r="BB849" s="16"/>
      <c r="BC849" s="72"/>
      <c r="BD849" s="20"/>
      <c r="BE849" s="378"/>
    </row>
    <row r="850" spans="1:57" s="81" customFormat="1" ht="12.95" hidden="1" customHeight="1">
      <c r="A850" s="374"/>
      <c r="B850" s="376"/>
      <c r="C850" s="248" t="s">
        <v>1699</v>
      </c>
      <c r="D850" s="239" t="s">
        <v>4861</v>
      </c>
      <c r="E850" s="58"/>
      <c r="F850" s="59" t="s">
        <v>4862</v>
      </c>
      <c r="G850" s="191" t="s">
        <v>2511</v>
      </c>
      <c r="H850" s="192" t="s">
        <v>1969</v>
      </c>
      <c r="I850" s="61" t="s">
        <v>2511</v>
      </c>
      <c r="J850" s="61" t="s">
        <v>2511</v>
      </c>
      <c r="K850" s="62" t="s">
        <v>2511</v>
      </c>
      <c r="L850" s="60" t="s">
        <v>2511</v>
      </c>
      <c r="M850" s="61" t="s">
        <v>2389</v>
      </c>
      <c r="N850" s="61" t="s">
        <v>2511</v>
      </c>
      <c r="O850" s="61" t="s">
        <v>2511</v>
      </c>
      <c r="P850" s="62" t="s">
        <v>2511</v>
      </c>
      <c r="Q850" s="82"/>
      <c r="R850" s="82"/>
      <c r="S850" s="82"/>
      <c r="T850" s="82"/>
      <c r="U850" s="82"/>
      <c r="V850" s="138" t="s">
        <v>4863</v>
      </c>
      <c r="W850" s="57" t="s">
        <v>4532</v>
      </c>
      <c r="X850" s="126" t="s">
        <v>2511</v>
      </c>
      <c r="Y850" s="126" t="s">
        <v>2511</v>
      </c>
      <c r="Z850" s="57"/>
      <c r="AA850" s="57" t="s">
        <v>4533</v>
      </c>
      <c r="AB850" s="138"/>
      <c r="AC850" s="138" t="s">
        <v>2631</v>
      </c>
      <c r="AD850" s="96"/>
      <c r="AE850" s="80"/>
      <c r="AF850" s="80"/>
      <c r="AG850" s="80"/>
      <c r="AH850" s="83"/>
      <c r="AI850" s="83"/>
      <c r="AJ850" s="84"/>
      <c r="AK850" s="84"/>
      <c r="AL850" s="84"/>
      <c r="AM850" s="84"/>
      <c r="AN850" s="84"/>
      <c r="AO850" s="84"/>
      <c r="AP850" s="84"/>
      <c r="AQ850" s="95" t="s">
        <v>1969</v>
      </c>
      <c r="AR850" s="72"/>
      <c r="AS850" s="72"/>
      <c r="AT850" s="72"/>
      <c r="AU850" s="72"/>
      <c r="AV850" s="72"/>
      <c r="AW850" s="72"/>
      <c r="AX850" s="72"/>
      <c r="AY850" s="72"/>
      <c r="AZ850" s="72"/>
      <c r="BA850" s="72"/>
      <c r="BB850" s="16"/>
      <c r="BC850" s="72"/>
      <c r="BD850" s="20"/>
      <c r="BE850" s="378"/>
    </row>
    <row r="851" spans="1:57" s="81" customFormat="1" ht="12.95" hidden="1" customHeight="1">
      <c r="A851" s="374"/>
      <c r="B851" s="376"/>
      <c r="C851" s="248" t="s">
        <v>1700</v>
      </c>
      <c r="D851" s="239" t="s">
        <v>4864</v>
      </c>
      <c r="E851" s="58"/>
      <c r="F851" s="59" t="s">
        <v>4865</v>
      </c>
      <c r="G851" s="191" t="s">
        <v>2511</v>
      </c>
      <c r="H851" s="192" t="s">
        <v>1970</v>
      </c>
      <c r="I851" s="61" t="s">
        <v>2511</v>
      </c>
      <c r="J851" s="61" t="s">
        <v>2511</v>
      </c>
      <c r="K851" s="62" t="s">
        <v>2511</v>
      </c>
      <c r="L851" s="60" t="s">
        <v>2511</v>
      </c>
      <c r="M851" s="61" t="s">
        <v>2389</v>
      </c>
      <c r="N851" s="61" t="s">
        <v>2511</v>
      </c>
      <c r="O851" s="61" t="s">
        <v>2511</v>
      </c>
      <c r="P851" s="62" t="s">
        <v>2511</v>
      </c>
      <c r="Q851" s="82"/>
      <c r="R851" s="82"/>
      <c r="S851" s="82"/>
      <c r="T851" s="82"/>
      <c r="U851" s="82"/>
      <c r="V851" s="138" t="s">
        <v>4866</v>
      </c>
      <c r="W851" s="57" t="s">
        <v>4532</v>
      </c>
      <c r="X851" s="126" t="s">
        <v>2511</v>
      </c>
      <c r="Y851" s="126" t="s">
        <v>2511</v>
      </c>
      <c r="Z851" s="57"/>
      <c r="AA851" s="57" t="s">
        <v>4533</v>
      </c>
      <c r="AB851" s="138"/>
      <c r="AC851" s="138" t="s">
        <v>2631</v>
      </c>
      <c r="AD851" s="96"/>
      <c r="AE851" s="80"/>
      <c r="AF851" s="80"/>
      <c r="AG851" s="80"/>
      <c r="AH851" s="83"/>
      <c r="AI851" s="83"/>
      <c r="AJ851" s="84"/>
      <c r="AK851" s="84"/>
      <c r="AL851" s="84"/>
      <c r="AM851" s="84"/>
      <c r="AN851" s="84"/>
      <c r="AO851" s="84"/>
      <c r="AP851" s="84"/>
      <c r="AQ851" s="95" t="s">
        <v>1970</v>
      </c>
      <c r="AR851" s="72"/>
      <c r="AS851" s="72"/>
      <c r="AT851" s="72"/>
      <c r="AU851" s="72"/>
      <c r="AV851" s="72"/>
      <c r="AW851" s="72"/>
      <c r="AX851" s="72"/>
      <c r="AY851" s="72"/>
      <c r="AZ851" s="72"/>
      <c r="BA851" s="72"/>
      <c r="BB851" s="16"/>
      <c r="BC851" s="72"/>
      <c r="BD851" s="20"/>
      <c r="BE851" s="378"/>
    </row>
    <row r="852" spans="1:57" s="81" customFormat="1" ht="12.95" hidden="1" customHeight="1">
      <c r="A852" s="374"/>
      <c r="B852" s="376"/>
      <c r="C852" s="248" t="s">
        <v>1701</v>
      </c>
      <c r="D852" s="239" t="s">
        <v>4867</v>
      </c>
      <c r="E852" s="58"/>
      <c r="F852" s="59" t="s">
        <v>4868</v>
      </c>
      <c r="G852" s="191" t="s">
        <v>2511</v>
      </c>
      <c r="H852" s="192" t="s">
        <v>1971</v>
      </c>
      <c r="I852" s="61" t="s">
        <v>2511</v>
      </c>
      <c r="J852" s="61" t="s">
        <v>2511</v>
      </c>
      <c r="K852" s="62" t="s">
        <v>2511</v>
      </c>
      <c r="L852" s="60" t="s">
        <v>2511</v>
      </c>
      <c r="M852" s="61" t="s">
        <v>2389</v>
      </c>
      <c r="N852" s="61" t="s">
        <v>2511</v>
      </c>
      <c r="O852" s="61" t="s">
        <v>2511</v>
      </c>
      <c r="P852" s="62" t="s">
        <v>2511</v>
      </c>
      <c r="Q852" s="82"/>
      <c r="R852" s="82"/>
      <c r="S852" s="82"/>
      <c r="T852" s="82"/>
      <c r="U852" s="82"/>
      <c r="V852" s="138" t="s">
        <v>4869</v>
      </c>
      <c r="W852" s="57" t="s">
        <v>4532</v>
      </c>
      <c r="X852" s="126" t="s">
        <v>2511</v>
      </c>
      <c r="Y852" s="126" t="s">
        <v>2511</v>
      </c>
      <c r="Z852" s="57"/>
      <c r="AA852" s="57" t="s">
        <v>4533</v>
      </c>
      <c r="AB852" s="138"/>
      <c r="AC852" s="138" t="s">
        <v>2631</v>
      </c>
      <c r="AD852" s="96"/>
      <c r="AE852" s="80"/>
      <c r="AF852" s="80"/>
      <c r="AG852" s="80"/>
      <c r="AH852" s="83"/>
      <c r="AI852" s="83"/>
      <c r="AJ852" s="84"/>
      <c r="AK852" s="84"/>
      <c r="AL852" s="84"/>
      <c r="AM852" s="84"/>
      <c r="AN852" s="84"/>
      <c r="AO852" s="84"/>
      <c r="AP852" s="84"/>
      <c r="AQ852" s="95" t="s">
        <v>1971</v>
      </c>
      <c r="AR852" s="72"/>
      <c r="AS852" s="72"/>
      <c r="AT852" s="72"/>
      <c r="AU852" s="72"/>
      <c r="AV852" s="72"/>
      <c r="AW852" s="72"/>
      <c r="AX852" s="72"/>
      <c r="AY852" s="72"/>
      <c r="AZ852" s="72"/>
      <c r="BA852" s="72"/>
      <c r="BB852" s="16"/>
      <c r="BC852" s="72"/>
      <c r="BD852" s="20"/>
      <c r="BE852" s="378"/>
    </row>
    <row r="853" spans="1:57" s="81" customFormat="1" ht="12.95" hidden="1" customHeight="1">
      <c r="A853" s="374"/>
      <c r="B853" s="376"/>
      <c r="C853" s="248" t="s">
        <v>1702</v>
      </c>
      <c r="D853" s="239" t="s">
        <v>4870</v>
      </c>
      <c r="E853" s="58"/>
      <c r="F853" s="59" t="s">
        <v>4871</v>
      </c>
      <c r="G853" s="191" t="s">
        <v>2511</v>
      </c>
      <c r="H853" s="192" t="s">
        <v>1972</v>
      </c>
      <c r="I853" s="61" t="s">
        <v>2511</v>
      </c>
      <c r="J853" s="61" t="s">
        <v>2511</v>
      </c>
      <c r="K853" s="62" t="s">
        <v>2511</v>
      </c>
      <c r="L853" s="60" t="s">
        <v>2511</v>
      </c>
      <c r="M853" s="61" t="s">
        <v>2389</v>
      </c>
      <c r="N853" s="61" t="s">
        <v>2511</v>
      </c>
      <c r="O853" s="61" t="s">
        <v>2511</v>
      </c>
      <c r="P853" s="62" t="s">
        <v>2511</v>
      </c>
      <c r="Q853" s="82"/>
      <c r="R853" s="82"/>
      <c r="S853" s="82"/>
      <c r="T853" s="82"/>
      <c r="U853" s="82"/>
      <c r="V853" s="138" t="s">
        <v>4872</v>
      </c>
      <c r="W853" s="57" t="s">
        <v>4532</v>
      </c>
      <c r="X853" s="126" t="s">
        <v>2511</v>
      </c>
      <c r="Y853" s="126" t="s">
        <v>2511</v>
      </c>
      <c r="Z853" s="57"/>
      <c r="AA853" s="57" t="s">
        <v>4533</v>
      </c>
      <c r="AB853" s="138"/>
      <c r="AC853" s="138" t="s">
        <v>2631</v>
      </c>
      <c r="AD853" s="96"/>
      <c r="AE853" s="80"/>
      <c r="AF853" s="80"/>
      <c r="AG853" s="80"/>
      <c r="AH853" s="83"/>
      <c r="AI853" s="83"/>
      <c r="AJ853" s="84"/>
      <c r="AK853" s="84"/>
      <c r="AL853" s="84"/>
      <c r="AM853" s="84"/>
      <c r="AN853" s="84"/>
      <c r="AO853" s="84"/>
      <c r="AP853" s="84"/>
      <c r="AQ853" s="95" t="s">
        <v>1972</v>
      </c>
      <c r="AR853" s="72"/>
      <c r="AS853" s="72"/>
      <c r="AT853" s="72"/>
      <c r="AU853" s="72"/>
      <c r="AV853" s="72"/>
      <c r="AW853" s="72"/>
      <c r="AX853" s="72"/>
      <c r="AY853" s="72"/>
      <c r="AZ853" s="72"/>
      <c r="BA853" s="72"/>
      <c r="BB853" s="16"/>
      <c r="BC853" s="72"/>
      <c r="BD853" s="20"/>
      <c r="BE853" s="378"/>
    </row>
    <row r="854" spans="1:57" s="81" customFormat="1" ht="12.95" hidden="1" customHeight="1">
      <c r="A854" s="374"/>
      <c r="B854" s="376"/>
      <c r="C854" s="248" t="s">
        <v>1703</v>
      </c>
      <c r="D854" s="239" t="s">
        <v>4873</v>
      </c>
      <c r="E854" s="58"/>
      <c r="F854" s="59" t="s">
        <v>4874</v>
      </c>
      <c r="G854" s="191" t="s">
        <v>2511</v>
      </c>
      <c r="H854" s="192" t="s">
        <v>1973</v>
      </c>
      <c r="I854" s="61" t="s">
        <v>2511</v>
      </c>
      <c r="J854" s="61" t="s">
        <v>2511</v>
      </c>
      <c r="K854" s="62" t="s">
        <v>2511</v>
      </c>
      <c r="L854" s="60" t="s">
        <v>2511</v>
      </c>
      <c r="M854" s="61" t="s">
        <v>2389</v>
      </c>
      <c r="N854" s="61" t="s">
        <v>2511</v>
      </c>
      <c r="O854" s="61" t="s">
        <v>2511</v>
      </c>
      <c r="P854" s="62" t="s">
        <v>2511</v>
      </c>
      <c r="Q854" s="82"/>
      <c r="R854" s="82"/>
      <c r="S854" s="82"/>
      <c r="T854" s="82"/>
      <c r="U854" s="82"/>
      <c r="V854" s="138" t="s">
        <v>4875</v>
      </c>
      <c r="W854" s="57" t="s">
        <v>4532</v>
      </c>
      <c r="X854" s="126" t="s">
        <v>2511</v>
      </c>
      <c r="Y854" s="126" t="s">
        <v>2511</v>
      </c>
      <c r="Z854" s="57"/>
      <c r="AA854" s="57" t="s">
        <v>4533</v>
      </c>
      <c r="AB854" s="138"/>
      <c r="AC854" s="138" t="s">
        <v>2631</v>
      </c>
      <c r="AD854" s="96"/>
      <c r="AE854" s="80"/>
      <c r="AF854" s="80"/>
      <c r="AG854" s="80"/>
      <c r="AH854" s="83"/>
      <c r="AI854" s="83"/>
      <c r="AJ854" s="84"/>
      <c r="AK854" s="84"/>
      <c r="AL854" s="84"/>
      <c r="AM854" s="84"/>
      <c r="AN854" s="84"/>
      <c r="AO854" s="84"/>
      <c r="AP854" s="84"/>
      <c r="AQ854" s="95" t="s">
        <v>1973</v>
      </c>
      <c r="AR854" s="72"/>
      <c r="AS854" s="72"/>
      <c r="AT854" s="72"/>
      <c r="AU854" s="72"/>
      <c r="AV854" s="72"/>
      <c r="AW854" s="72"/>
      <c r="AX854" s="72"/>
      <c r="AY854" s="72"/>
      <c r="AZ854" s="72"/>
      <c r="BA854" s="72"/>
      <c r="BB854" s="16"/>
      <c r="BC854" s="72"/>
      <c r="BD854" s="20"/>
      <c r="BE854" s="378"/>
    </row>
    <row r="855" spans="1:57" s="81" customFormat="1" ht="12.95" hidden="1" customHeight="1">
      <c r="A855" s="374"/>
      <c r="B855" s="376"/>
      <c r="C855" s="248" t="s">
        <v>1704</v>
      </c>
      <c r="D855" s="239" t="s">
        <v>4876</v>
      </c>
      <c r="E855" s="58"/>
      <c r="F855" s="59" t="s">
        <v>4877</v>
      </c>
      <c r="G855" s="191" t="s">
        <v>2511</v>
      </c>
      <c r="H855" s="192" t="s">
        <v>1974</v>
      </c>
      <c r="I855" s="61" t="s">
        <v>2511</v>
      </c>
      <c r="J855" s="61" t="s">
        <v>2511</v>
      </c>
      <c r="K855" s="62" t="s">
        <v>2511</v>
      </c>
      <c r="L855" s="60" t="s">
        <v>2511</v>
      </c>
      <c r="M855" s="61" t="s">
        <v>2389</v>
      </c>
      <c r="N855" s="61" t="s">
        <v>2511</v>
      </c>
      <c r="O855" s="61" t="s">
        <v>2511</v>
      </c>
      <c r="P855" s="62" t="s">
        <v>2511</v>
      </c>
      <c r="Q855" s="82"/>
      <c r="R855" s="82"/>
      <c r="S855" s="82"/>
      <c r="T855" s="82"/>
      <c r="U855" s="82"/>
      <c r="V855" s="138" t="s">
        <v>4878</v>
      </c>
      <c r="W855" s="57" t="s">
        <v>4532</v>
      </c>
      <c r="X855" s="126" t="s">
        <v>2511</v>
      </c>
      <c r="Y855" s="126" t="s">
        <v>2511</v>
      </c>
      <c r="Z855" s="57"/>
      <c r="AA855" s="57" t="s">
        <v>4533</v>
      </c>
      <c r="AB855" s="138"/>
      <c r="AC855" s="138" t="s">
        <v>2631</v>
      </c>
      <c r="AD855" s="96"/>
      <c r="AE855" s="80"/>
      <c r="AF855" s="80"/>
      <c r="AG855" s="80"/>
      <c r="AH855" s="83"/>
      <c r="AI855" s="83"/>
      <c r="AJ855" s="84"/>
      <c r="AK855" s="84"/>
      <c r="AL855" s="84"/>
      <c r="AM855" s="84"/>
      <c r="AN855" s="84"/>
      <c r="AO855" s="84"/>
      <c r="AP855" s="84"/>
      <c r="AQ855" s="95" t="s">
        <v>1974</v>
      </c>
      <c r="AR855" s="72"/>
      <c r="AS855" s="72"/>
      <c r="AT855" s="72"/>
      <c r="AU855" s="72"/>
      <c r="AV855" s="72"/>
      <c r="AW855" s="72"/>
      <c r="AX855" s="72"/>
      <c r="AY855" s="72"/>
      <c r="AZ855" s="72"/>
      <c r="BA855" s="72"/>
      <c r="BB855" s="16"/>
      <c r="BC855" s="72"/>
      <c r="BD855" s="20"/>
      <c r="BE855" s="378"/>
    </row>
    <row r="856" spans="1:57" s="81" customFormat="1" ht="12.95" hidden="1" customHeight="1">
      <c r="A856" s="374"/>
      <c r="B856" s="376"/>
      <c r="C856" s="248" t="s">
        <v>1705</v>
      </c>
      <c r="D856" s="239" t="s">
        <v>4879</v>
      </c>
      <c r="E856" s="58"/>
      <c r="F856" s="59" t="s">
        <v>4880</v>
      </c>
      <c r="G856" s="191" t="s">
        <v>2511</v>
      </c>
      <c r="H856" s="192" t="s">
        <v>1975</v>
      </c>
      <c r="I856" s="61" t="s">
        <v>2511</v>
      </c>
      <c r="J856" s="61" t="s">
        <v>2511</v>
      </c>
      <c r="K856" s="62" t="s">
        <v>2511</v>
      </c>
      <c r="L856" s="60" t="s">
        <v>2511</v>
      </c>
      <c r="M856" s="61" t="s">
        <v>2389</v>
      </c>
      <c r="N856" s="61" t="s">
        <v>2511</v>
      </c>
      <c r="O856" s="61" t="s">
        <v>2511</v>
      </c>
      <c r="P856" s="62" t="s">
        <v>2511</v>
      </c>
      <c r="Q856" s="82"/>
      <c r="R856" s="82"/>
      <c r="S856" s="82"/>
      <c r="T856" s="82"/>
      <c r="U856" s="82"/>
      <c r="V856" s="138" t="s">
        <v>4881</v>
      </c>
      <c r="W856" s="57" t="s">
        <v>4532</v>
      </c>
      <c r="X856" s="126" t="s">
        <v>2511</v>
      </c>
      <c r="Y856" s="126" t="s">
        <v>2511</v>
      </c>
      <c r="Z856" s="57"/>
      <c r="AA856" s="57" t="s">
        <v>4533</v>
      </c>
      <c r="AB856" s="138"/>
      <c r="AC856" s="138" t="s">
        <v>2631</v>
      </c>
      <c r="AD856" s="96"/>
      <c r="AE856" s="80"/>
      <c r="AF856" s="80"/>
      <c r="AG856" s="80"/>
      <c r="AH856" s="83"/>
      <c r="AI856" s="83"/>
      <c r="AJ856" s="84"/>
      <c r="AK856" s="84"/>
      <c r="AL856" s="84"/>
      <c r="AM856" s="84"/>
      <c r="AN856" s="84"/>
      <c r="AO856" s="84"/>
      <c r="AP856" s="84"/>
      <c r="AQ856" s="95" t="s">
        <v>1975</v>
      </c>
      <c r="AR856" s="72"/>
      <c r="AS856" s="72"/>
      <c r="AT856" s="72"/>
      <c r="AU856" s="72"/>
      <c r="AV856" s="72"/>
      <c r="AW856" s="72"/>
      <c r="AX856" s="72"/>
      <c r="AY856" s="72"/>
      <c r="AZ856" s="72"/>
      <c r="BA856" s="72"/>
      <c r="BB856" s="16"/>
      <c r="BC856" s="72"/>
      <c r="BD856" s="20"/>
      <c r="BE856" s="378"/>
    </row>
    <row r="857" spans="1:57" s="81" customFormat="1" ht="12.95" hidden="1" customHeight="1">
      <c r="A857" s="374"/>
      <c r="B857" s="376"/>
      <c r="C857" s="270" t="s">
        <v>1706</v>
      </c>
      <c r="D857" s="239" t="s">
        <v>4882</v>
      </c>
      <c r="E857" s="58"/>
      <c r="F857" s="59" t="s">
        <v>4883</v>
      </c>
      <c r="G857" s="191" t="s">
        <v>2511</v>
      </c>
      <c r="H857" s="192" t="s">
        <v>1976</v>
      </c>
      <c r="I857" s="61" t="s">
        <v>2511</v>
      </c>
      <c r="J857" s="61" t="s">
        <v>2511</v>
      </c>
      <c r="K857" s="62" t="s">
        <v>2511</v>
      </c>
      <c r="L857" s="60" t="s">
        <v>2511</v>
      </c>
      <c r="M857" s="61" t="s">
        <v>2389</v>
      </c>
      <c r="N857" s="61" t="s">
        <v>2511</v>
      </c>
      <c r="O857" s="61" t="s">
        <v>2511</v>
      </c>
      <c r="P857" s="62" t="s">
        <v>2511</v>
      </c>
      <c r="Q857" s="82"/>
      <c r="R857" s="82"/>
      <c r="S857" s="82"/>
      <c r="T857" s="82"/>
      <c r="U857" s="82"/>
      <c r="V857" s="138" t="s">
        <v>4884</v>
      </c>
      <c r="W857" s="57" t="s">
        <v>4532</v>
      </c>
      <c r="X857" s="126" t="s">
        <v>2511</v>
      </c>
      <c r="Y857" s="126" t="s">
        <v>2511</v>
      </c>
      <c r="Z857" s="57"/>
      <c r="AA857" s="57" t="s">
        <v>4533</v>
      </c>
      <c r="AB857" s="138"/>
      <c r="AC857" s="138" t="s">
        <v>2631</v>
      </c>
      <c r="AD857" s="96"/>
      <c r="AE857" s="80"/>
      <c r="AF857" s="80"/>
      <c r="AG857" s="80"/>
      <c r="AH857" s="83"/>
      <c r="AI857" s="83"/>
      <c r="AJ857" s="84"/>
      <c r="AK857" s="84"/>
      <c r="AL857" s="84"/>
      <c r="AM857" s="84"/>
      <c r="AN857" s="84"/>
      <c r="AO857" s="84"/>
      <c r="AP857" s="84"/>
      <c r="AQ857" s="95" t="s">
        <v>1976</v>
      </c>
      <c r="AR857" s="72"/>
      <c r="AS857" s="72"/>
      <c r="AT857" s="72"/>
      <c r="AU857" s="72"/>
      <c r="AV857" s="72"/>
      <c r="AW857" s="72"/>
      <c r="AX857" s="72"/>
      <c r="AY857" s="72"/>
      <c r="AZ857" s="72"/>
      <c r="BA857" s="72"/>
      <c r="BB857" s="16"/>
      <c r="BC857" s="72"/>
      <c r="BD857" s="20"/>
      <c r="BE857" s="378"/>
    </row>
    <row r="858" spans="1:57" s="81" customFormat="1" ht="12.95" hidden="1" customHeight="1">
      <c r="A858" s="374"/>
      <c r="B858" s="376"/>
      <c r="C858" s="270" t="s">
        <v>1707</v>
      </c>
      <c r="D858" s="239" t="s">
        <v>4885</v>
      </c>
      <c r="E858" s="58"/>
      <c r="F858" s="59" t="s">
        <v>4886</v>
      </c>
      <c r="G858" s="191" t="s">
        <v>2511</v>
      </c>
      <c r="H858" s="192" t="s">
        <v>1977</v>
      </c>
      <c r="I858" s="61" t="s">
        <v>2511</v>
      </c>
      <c r="J858" s="61" t="s">
        <v>2511</v>
      </c>
      <c r="K858" s="62" t="s">
        <v>2511</v>
      </c>
      <c r="L858" s="60" t="s">
        <v>2511</v>
      </c>
      <c r="M858" s="61" t="s">
        <v>2389</v>
      </c>
      <c r="N858" s="61" t="s">
        <v>2511</v>
      </c>
      <c r="O858" s="61" t="s">
        <v>2511</v>
      </c>
      <c r="P858" s="62" t="s">
        <v>2511</v>
      </c>
      <c r="Q858" s="82"/>
      <c r="R858" s="82"/>
      <c r="S858" s="82"/>
      <c r="T858" s="82"/>
      <c r="U858" s="82"/>
      <c r="V858" s="138" t="s">
        <v>4887</v>
      </c>
      <c r="W858" s="57" t="s">
        <v>4532</v>
      </c>
      <c r="X858" s="126" t="s">
        <v>2511</v>
      </c>
      <c r="Y858" s="126" t="s">
        <v>2511</v>
      </c>
      <c r="Z858" s="57"/>
      <c r="AA858" s="57" t="s">
        <v>4533</v>
      </c>
      <c r="AB858" s="138"/>
      <c r="AC858" s="138" t="s">
        <v>2631</v>
      </c>
      <c r="AD858" s="96"/>
      <c r="AE858" s="80"/>
      <c r="AF858" s="80"/>
      <c r="AG858" s="80"/>
      <c r="AH858" s="83"/>
      <c r="AI858" s="83"/>
      <c r="AJ858" s="84"/>
      <c r="AK858" s="84"/>
      <c r="AL858" s="84"/>
      <c r="AM858" s="84"/>
      <c r="AN858" s="84"/>
      <c r="AO858" s="84"/>
      <c r="AP858" s="84"/>
      <c r="AQ858" s="95" t="s">
        <v>1977</v>
      </c>
      <c r="AR858" s="72"/>
      <c r="AS858" s="72"/>
      <c r="AT858" s="72"/>
      <c r="AU858" s="72"/>
      <c r="AV858" s="72"/>
      <c r="AW858" s="72"/>
      <c r="AX858" s="72"/>
      <c r="AY858" s="72"/>
      <c r="AZ858" s="72"/>
      <c r="BA858" s="72"/>
      <c r="BB858" s="16"/>
      <c r="BC858" s="72"/>
      <c r="BD858" s="20"/>
      <c r="BE858" s="378"/>
    </row>
    <row r="859" spans="1:57" s="81" customFormat="1" ht="12.95" hidden="1" customHeight="1">
      <c r="A859" s="374"/>
      <c r="B859" s="376"/>
      <c r="C859" s="248" t="s">
        <v>1708</v>
      </c>
      <c r="D859" s="239" t="s">
        <v>4888</v>
      </c>
      <c r="E859" s="58"/>
      <c r="F859" s="59" t="s">
        <v>4889</v>
      </c>
      <c r="G859" s="191" t="s">
        <v>2511</v>
      </c>
      <c r="H859" s="192" t="s">
        <v>1978</v>
      </c>
      <c r="I859" s="61" t="s">
        <v>2511</v>
      </c>
      <c r="J859" s="61" t="s">
        <v>2511</v>
      </c>
      <c r="K859" s="62" t="s">
        <v>2511</v>
      </c>
      <c r="L859" s="60" t="s">
        <v>2511</v>
      </c>
      <c r="M859" s="61" t="s">
        <v>2389</v>
      </c>
      <c r="N859" s="61" t="s">
        <v>2511</v>
      </c>
      <c r="O859" s="61" t="s">
        <v>2511</v>
      </c>
      <c r="P859" s="62" t="s">
        <v>2511</v>
      </c>
      <c r="Q859" s="82"/>
      <c r="R859" s="82"/>
      <c r="S859" s="82"/>
      <c r="T859" s="82"/>
      <c r="U859" s="82"/>
      <c r="V859" s="138" t="s">
        <v>4890</v>
      </c>
      <c r="W859" s="57" t="s">
        <v>4532</v>
      </c>
      <c r="X859" s="126" t="s">
        <v>2511</v>
      </c>
      <c r="Y859" s="126" t="s">
        <v>2511</v>
      </c>
      <c r="Z859" s="57"/>
      <c r="AA859" s="57" t="s">
        <v>4533</v>
      </c>
      <c r="AB859" s="138"/>
      <c r="AC859" s="138">
        <v>0</v>
      </c>
      <c r="AD859" s="96"/>
      <c r="AE859" s="80"/>
      <c r="AF859" s="80"/>
      <c r="AG859" s="80"/>
      <c r="AH859" s="83"/>
      <c r="AI859" s="83"/>
      <c r="AJ859" s="84"/>
      <c r="AK859" s="84"/>
      <c r="AL859" s="84"/>
      <c r="AM859" s="84"/>
      <c r="AN859" s="84"/>
      <c r="AO859" s="84"/>
      <c r="AP859" s="84"/>
      <c r="AQ859" s="95" t="s">
        <v>1978</v>
      </c>
      <c r="AR859" s="72"/>
      <c r="AS859" s="72"/>
      <c r="AT859" s="72"/>
      <c r="AU859" s="72"/>
      <c r="AV859" s="72"/>
      <c r="AW859" s="72"/>
      <c r="AX859" s="72"/>
      <c r="AY859" s="72"/>
      <c r="AZ859" s="72"/>
      <c r="BA859" s="72"/>
      <c r="BB859" s="16"/>
      <c r="BC859" s="72"/>
      <c r="BD859" s="20"/>
      <c r="BE859" s="378"/>
    </row>
    <row r="860" spans="1:57" s="81" customFormat="1" ht="12.95" hidden="1" customHeight="1">
      <c r="A860" s="374"/>
      <c r="B860" s="376"/>
      <c r="C860" s="248" t="s">
        <v>1709</v>
      </c>
      <c r="D860" s="239" t="s">
        <v>4891</v>
      </c>
      <c r="E860" s="58"/>
      <c r="F860" s="59" t="s">
        <v>4892</v>
      </c>
      <c r="G860" s="191" t="s">
        <v>2511</v>
      </c>
      <c r="H860" s="192" t="s">
        <v>1979</v>
      </c>
      <c r="I860" s="61" t="s">
        <v>2511</v>
      </c>
      <c r="J860" s="61" t="s">
        <v>2511</v>
      </c>
      <c r="K860" s="62" t="s">
        <v>2511</v>
      </c>
      <c r="L860" s="60" t="s">
        <v>2511</v>
      </c>
      <c r="M860" s="61" t="s">
        <v>2389</v>
      </c>
      <c r="N860" s="61" t="s">
        <v>2511</v>
      </c>
      <c r="O860" s="61" t="s">
        <v>2511</v>
      </c>
      <c r="P860" s="62" t="s">
        <v>2511</v>
      </c>
      <c r="Q860" s="82"/>
      <c r="R860" s="82"/>
      <c r="S860" s="82"/>
      <c r="T860" s="82"/>
      <c r="U860" s="82"/>
      <c r="V860" s="138" t="s">
        <v>4893</v>
      </c>
      <c r="W860" s="57" t="s">
        <v>4532</v>
      </c>
      <c r="X860" s="126" t="s">
        <v>2511</v>
      </c>
      <c r="Y860" s="126" t="s">
        <v>2511</v>
      </c>
      <c r="Z860" s="57"/>
      <c r="AA860" s="57" t="s">
        <v>4533</v>
      </c>
      <c r="AB860" s="138"/>
      <c r="AC860" s="138" t="s">
        <v>2631</v>
      </c>
      <c r="AD860" s="96"/>
      <c r="AE860" s="80"/>
      <c r="AF860" s="80"/>
      <c r="AG860" s="80"/>
      <c r="AH860" s="83"/>
      <c r="AI860" s="83"/>
      <c r="AJ860" s="84"/>
      <c r="AK860" s="84"/>
      <c r="AL860" s="84"/>
      <c r="AM860" s="84"/>
      <c r="AN860" s="84"/>
      <c r="AO860" s="84"/>
      <c r="AP860" s="84"/>
      <c r="AQ860" s="95" t="s">
        <v>1979</v>
      </c>
      <c r="AR860" s="72"/>
      <c r="AS860" s="72"/>
      <c r="AT860" s="72"/>
      <c r="AU860" s="72"/>
      <c r="AV860" s="72"/>
      <c r="AW860" s="72"/>
      <c r="AX860" s="72"/>
      <c r="AY860" s="72"/>
      <c r="AZ860" s="72"/>
      <c r="BA860" s="72"/>
      <c r="BB860" s="16"/>
      <c r="BC860" s="72"/>
      <c r="BD860" s="20"/>
      <c r="BE860" s="378"/>
    </row>
    <row r="861" spans="1:57" s="81" customFormat="1" ht="12.95" hidden="1" customHeight="1">
      <c r="A861" s="374"/>
      <c r="B861" s="376"/>
      <c r="C861" s="248" t="s">
        <v>1710</v>
      </c>
      <c r="D861" s="239" t="s">
        <v>4894</v>
      </c>
      <c r="E861" s="58"/>
      <c r="F861" s="59" t="s">
        <v>4895</v>
      </c>
      <c r="G861" s="191" t="s">
        <v>2511</v>
      </c>
      <c r="H861" s="192" t="s">
        <v>1980</v>
      </c>
      <c r="I861" s="61" t="s">
        <v>2511</v>
      </c>
      <c r="J861" s="61" t="s">
        <v>2511</v>
      </c>
      <c r="K861" s="62" t="s">
        <v>2511</v>
      </c>
      <c r="L861" s="60" t="s">
        <v>2511</v>
      </c>
      <c r="M861" s="61" t="s">
        <v>2389</v>
      </c>
      <c r="N861" s="61" t="s">
        <v>2511</v>
      </c>
      <c r="O861" s="61" t="s">
        <v>2511</v>
      </c>
      <c r="P861" s="62" t="s">
        <v>2511</v>
      </c>
      <c r="Q861" s="82"/>
      <c r="R861" s="82"/>
      <c r="S861" s="82"/>
      <c r="T861" s="82"/>
      <c r="U861" s="82"/>
      <c r="V861" s="138" t="s">
        <v>4896</v>
      </c>
      <c r="W861" s="57" t="s">
        <v>4532</v>
      </c>
      <c r="X861" s="126" t="s">
        <v>2511</v>
      </c>
      <c r="Y861" s="126" t="s">
        <v>2511</v>
      </c>
      <c r="Z861" s="57"/>
      <c r="AA861" s="57" t="s">
        <v>4533</v>
      </c>
      <c r="AB861" s="138"/>
      <c r="AC861" s="138" t="s">
        <v>2631</v>
      </c>
      <c r="AD861" s="96"/>
      <c r="AE861" s="80"/>
      <c r="AF861" s="80"/>
      <c r="AG861" s="80"/>
      <c r="AH861" s="83"/>
      <c r="AI861" s="83"/>
      <c r="AJ861" s="84"/>
      <c r="AK861" s="84"/>
      <c r="AL861" s="84"/>
      <c r="AM861" s="84"/>
      <c r="AN861" s="84"/>
      <c r="AO861" s="84"/>
      <c r="AP861" s="84"/>
      <c r="AQ861" s="95" t="s">
        <v>1980</v>
      </c>
      <c r="AR861" s="72"/>
      <c r="AS861" s="72"/>
      <c r="AT861" s="72"/>
      <c r="AU861" s="72"/>
      <c r="AV861" s="72"/>
      <c r="AW861" s="72"/>
      <c r="AX861" s="72"/>
      <c r="AY861" s="72"/>
      <c r="AZ861" s="72"/>
      <c r="BA861" s="72"/>
      <c r="BB861" s="16"/>
      <c r="BC861" s="72"/>
      <c r="BD861" s="20"/>
      <c r="BE861" s="378"/>
    </row>
    <row r="862" spans="1:57" s="81" customFormat="1" ht="12.95" hidden="1" customHeight="1">
      <c r="A862" s="374"/>
      <c r="B862" s="376"/>
      <c r="C862" s="248" t="s">
        <v>1711</v>
      </c>
      <c r="D862" s="239" t="s">
        <v>4897</v>
      </c>
      <c r="E862" s="58"/>
      <c r="F862" s="59" t="s">
        <v>4898</v>
      </c>
      <c r="G862" s="191" t="s">
        <v>2511</v>
      </c>
      <c r="H862" s="192" t="s">
        <v>1981</v>
      </c>
      <c r="I862" s="61" t="s">
        <v>2511</v>
      </c>
      <c r="J862" s="61" t="s">
        <v>2511</v>
      </c>
      <c r="K862" s="62" t="s">
        <v>2511</v>
      </c>
      <c r="L862" s="60" t="s">
        <v>2511</v>
      </c>
      <c r="M862" s="61" t="s">
        <v>2389</v>
      </c>
      <c r="N862" s="61" t="s">
        <v>2511</v>
      </c>
      <c r="O862" s="61" t="s">
        <v>2511</v>
      </c>
      <c r="P862" s="62" t="s">
        <v>2511</v>
      </c>
      <c r="Q862" s="82"/>
      <c r="R862" s="82"/>
      <c r="S862" s="82"/>
      <c r="T862" s="82"/>
      <c r="U862" s="82"/>
      <c r="V862" s="138" t="s">
        <v>4899</v>
      </c>
      <c r="W862" s="57" t="s">
        <v>4532</v>
      </c>
      <c r="X862" s="126" t="s">
        <v>2511</v>
      </c>
      <c r="Y862" s="126" t="s">
        <v>2511</v>
      </c>
      <c r="Z862" s="57"/>
      <c r="AA862" s="57" t="s">
        <v>4533</v>
      </c>
      <c r="AB862" s="138"/>
      <c r="AC862" s="138" t="s">
        <v>2631</v>
      </c>
      <c r="AD862" s="96"/>
      <c r="AE862" s="80"/>
      <c r="AF862" s="80"/>
      <c r="AG862" s="80"/>
      <c r="AH862" s="83"/>
      <c r="AI862" s="83"/>
      <c r="AJ862" s="84"/>
      <c r="AK862" s="84"/>
      <c r="AL862" s="84"/>
      <c r="AM862" s="84"/>
      <c r="AN862" s="84"/>
      <c r="AO862" s="84"/>
      <c r="AP862" s="84"/>
      <c r="AQ862" s="95" t="s">
        <v>1981</v>
      </c>
      <c r="AR862" s="72"/>
      <c r="AS862" s="72"/>
      <c r="AT862" s="72"/>
      <c r="AU862" s="72"/>
      <c r="AV862" s="72"/>
      <c r="AW862" s="72"/>
      <c r="AX862" s="72"/>
      <c r="AY862" s="72"/>
      <c r="AZ862" s="72"/>
      <c r="BA862" s="72"/>
      <c r="BB862" s="16"/>
      <c r="BC862" s="72"/>
      <c r="BD862" s="20"/>
      <c r="BE862" s="378"/>
    </row>
    <row r="863" spans="1:57" s="81" customFormat="1" ht="12.95" hidden="1" customHeight="1">
      <c r="A863" s="374"/>
      <c r="B863" s="376"/>
      <c r="C863" s="248" t="s">
        <v>1712</v>
      </c>
      <c r="D863" s="239" t="s">
        <v>4900</v>
      </c>
      <c r="E863" s="58"/>
      <c r="F863" s="59" t="s">
        <v>4901</v>
      </c>
      <c r="G863" s="191" t="s">
        <v>2511</v>
      </c>
      <c r="H863" s="192" t="s">
        <v>1982</v>
      </c>
      <c r="I863" s="61" t="s">
        <v>2511</v>
      </c>
      <c r="J863" s="61" t="s">
        <v>2511</v>
      </c>
      <c r="K863" s="62" t="s">
        <v>2511</v>
      </c>
      <c r="L863" s="60" t="s">
        <v>2511</v>
      </c>
      <c r="M863" s="61" t="s">
        <v>2389</v>
      </c>
      <c r="N863" s="61" t="s">
        <v>2511</v>
      </c>
      <c r="O863" s="61" t="s">
        <v>2511</v>
      </c>
      <c r="P863" s="62" t="s">
        <v>2511</v>
      </c>
      <c r="Q863" s="82"/>
      <c r="R863" s="82"/>
      <c r="S863" s="82"/>
      <c r="T863" s="82"/>
      <c r="U863" s="82"/>
      <c r="V863" s="138" t="s">
        <v>4902</v>
      </c>
      <c r="W863" s="57" t="s">
        <v>4532</v>
      </c>
      <c r="X863" s="126" t="s">
        <v>2511</v>
      </c>
      <c r="Y863" s="126" t="s">
        <v>2511</v>
      </c>
      <c r="Z863" s="57"/>
      <c r="AA863" s="57" t="s">
        <v>4533</v>
      </c>
      <c r="AB863" s="138"/>
      <c r="AC863" s="138" t="s">
        <v>2631</v>
      </c>
      <c r="AD863" s="96"/>
      <c r="AE863" s="80"/>
      <c r="AF863" s="80"/>
      <c r="AG863" s="80"/>
      <c r="AH863" s="83"/>
      <c r="AI863" s="83"/>
      <c r="AJ863" s="84"/>
      <c r="AK863" s="84"/>
      <c r="AL863" s="84"/>
      <c r="AM863" s="84"/>
      <c r="AN863" s="84"/>
      <c r="AO863" s="84"/>
      <c r="AP863" s="84"/>
      <c r="AQ863" s="95" t="s">
        <v>1982</v>
      </c>
      <c r="AR863" s="72"/>
      <c r="AS863" s="72"/>
      <c r="AT863" s="72"/>
      <c r="AU863" s="72"/>
      <c r="AV863" s="72"/>
      <c r="AW863" s="72"/>
      <c r="AX863" s="72"/>
      <c r="AY863" s="72"/>
      <c r="AZ863" s="72"/>
      <c r="BA863" s="72"/>
      <c r="BB863" s="16"/>
      <c r="BC863" s="72"/>
      <c r="BD863" s="20"/>
      <c r="BE863" s="378"/>
    </row>
    <row r="864" spans="1:57" s="81" customFormat="1" ht="12.95" hidden="1" customHeight="1">
      <c r="A864" s="374"/>
      <c r="B864" s="376"/>
      <c r="C864" s="248" t="s">
        <v>1713</v>
      </c>
      <c r="D864" s="239" t="s">
        <v>4903</v>
      </c>
      <c r="E864" s="58"/>
      <c r="F864" s="59" t="s">
        <v>4904</v>
      </c>
      <c r="G864" s="191" t="s">
        <v>2511</v>
      </c>
      <c r="H864" s="192" t="s">
        <v>1983</v>
      </c>
      <c r="I864" s="61" t="s">
        <v>2511</v>
      </c>
      <c r="J864" s="61" t="s">
        <v>2511</v>
      </c>
      <c r="K864" s="62" t="s">
        <v>2511</v>
      </c>
      <c r="L864" s="60" t="s">
        <v>2511</v>
      </c>
      <c r="M864" s="61" t="s">
        <v>2389</v>
      </c>
      <c r="N864" s="61" t="s">
        <v>2511</v>
      </c>
      <c r="O864" s="61" t="s">
        <v>2511</v>
      </c>
      <c r="P864" s="62" t="s">
        <v>2511</v>
      </c>
      <c r="Q864" s="82"/>
      <c r="R864" s="82"/>
      <c r="S864" s="82"/>
      <c r="T864" s="82"/>
      <c r="U864" s="82"/>
      <c r="V864" s="138" t="s">
        <v>4905</v>
      </c>
      <c r="W864" s="57" t="s">
        <v>4532</v>
      </c>
      <c r="X864" s="126" t="s">
        <v>2511</v>
      </c>
      <c r="Y864" s="126" t="s">
        <v>2511</v>
      </c>
      <c r="Z864" s="57"/>
      <c r="AA864" s="57" t="s">
        <v>4533</v>
      </c>
      <c r="AB864" s="138"/>
      <c r="AC864" s="138" t="s">
        <v>2631</v>
      </c>
      <c r="AD864" s="96"/>
      <c r="AE864" s="80"/>
      <c r="AF864" s="80"/>
      <c r="AG864" s="80"/>
      <c r="AH864" s="83"/>
      <c r="AI864" s="83"/>
      <c r="AJ864" s="84"/>
      <c r="AK864" s="84"/>
      <c r="AL864" s="84"/>
      <c r="AM864" s="84"/>
      <c r="AN864" s="84"/>
      <c r="AO864" s="84"/>
      <c r="AP864" s="84"/>
      <c r="AQ864" s="95" t="s">
        <v>1983</v>
      </c>
      <c r="AR864" s="72"/>
      <c r="AS864" s="72"/>
      <c r="AT864" s="72"/>
      <c r="AU864" s="72"/>
      <c r="AV864" s="72"/>
      <c r="AW864" s="72"/>
      <c r="AX864" s="72"/>
      <c r="AY864" s="72"/>
      <c r="AZ864" s="72"/>
      <c r="BA864" s="72"/>
      <c r="BB864" s="16"/>
      <c r="BC864" s="72"/>
      <c r="BD864" s="20"/>
      <c r="BE864" s="378"/>
    </row>
    <row r="865" spans="1:57" s="81" customFormat="1" ht="12.95" hidden="1" customHeight="1">
      <c r="A865" s="374"/>
      <c r="B865" s="376"/>
      <c r="C865" s="248" t="s">
        <v>1714</v>
      </c>
      <c r="D865" s="239" t="s">
        <v>4906</v>
      </c>
      <c r="E865" s="58"/>
      <c r="F865" s="59" t="s">
        <v>4907</v>
      </c>
      <c r="G865" s="191" t="s">
        <v>2511</v>
      </c>
      <c r="H865" s="192" t="s">
        <v>1984</v>
      </c>
      <c r="I865" s="61" t="s">
        <v>2511</v>
      </c>
      <c r="J865" s="61" t="s">
        <v>2511</v>
      </c>
      <c r="K865" s="62" t="s">
        <v>2511</v>
      </c>
      <c r="L865" s="60" t="s">
        <v>2511</v>
      </c>
      <c r="M865" s="61" t="s">
        <v>2389</v>
      </c>
      <c r="N865" s="61" t="s">
        <v>2511</v>
      </c>
      <c r="O865" s="61" t="s">
        <v>2511</v>
      </c>
      <c r="P865" s="62" t="s">
        <v>2511</v>
      </c>
      <c r="Q865" s="82"/>
      <c r="R865" s="82"/>
      <c r="S865" s="82"/>
      <c r="T865" s="82"/>
      <c r="U865" s="82"/>
      <c r="V865" s="138" t="s">
        <v>4908</v>
      </c>
      <c r="W865" s="57" t="s">
        <v>4532</v>
      </c>
      <c r="X865" s="126" t="s">
        <v>2511</v>
      </c>
      <c r="Y865" s="126" t="s">
        <v>2511</v>
      </c>
      <c r="Z865" s="57"/>
      <c r="AA865" s="57" t="s">
        <v>4533</v>
      </c>
      <c r="AB865" s="138"/>
      <c r="AC865" s="138" t="s">
        <v>2631</v>
      </c>
      <c r="AD865" s="96"/>
      <c r="AE865" s="80"/>
      <c r="AF865" s="80"/>
      <c r="AG865" s="80"/>
      <c r="AH865" s="83"/>
      <c r="AI865" s="83"/>
      <c r="AJ865" s="84"/>
      <c r="AK865" s="84"/>
      <c r="AL865" s="84"/>
      <c r="AM865" s="84"/>
      <c r="AN865" s="84"/>
      <c r="AO865" s="84"/>
      <c r="AP865" s="84"/>
      <c r="AQ865" s="95" t="s">
        <v>1984</v>
      </c>
      <c r="AR865" s="72"/>
      <c r="AS865" s="72"/>
      <c r="AT865" s="72"/>
      <c r="AU865" s="72"/>
      <c r="AV865" s="72"/>
      <c r="AW865" s="72"/>
      <c r="AX865" s="72"/>
      <c r="AY865" s="72"/>
      <c r="AZ865" s="72"/>
      <c r="BA865" s="72"/>
      <c r="BB865" s="16"/>
      <c r="BC865" s="72"/>
      <c r="BD865" s="20"/>
      <c r="BE865" s="378"/>
    </row>
    <row r="866" spans="1:57" s="81" customFormat="1" ht="12.95" hidden="1" customHeight="1">
      <c r="A866" s="374"/>
      <c r="B866" s="376"/>
      <c r="C866" s="248" t="s">
        <v>1715</v>
      </c>
      <c r="D866" s="239" t="s">
        <v>4909</v>
      </c>
      <c r="E866" s="58"/>
      <c r="F866" s="59" t="s">
        <v>4910</v>
      </c>
      <c r="G866" s="191" t="s">
        <v>2511</v>
      </c>
      <c r="H866" s="192" t="s">
        <v>1985</v>
      </c>
      <c r="I866" s="61" t="s">
        <v>2511</v>
      </c>
      <c r="J866" s="61" t="s">
        <v>2511</v>
      </c>
      <c r="K866" s="62" t="s">
        <v>2511</v>
      </c>
      <c r="L866" s="60" t="s">
        <v>2511</v>
      </c>
      <c r="M866" s="61" t="s">
        <v>2389</v>
      </c>
      <c r="N866" s="61" t="s">
        <v>2511</v>
      </c>
      <c r="O866" s="61" t="s">
        <v>2511</v>
      </c>
      <c r="P866" s="62" t="s">
        <v>2511</v>
      </c>
      <c r="Q866" s="82"/>
      <c r="R866" s="82"/>
      <c r="S866" s="82"/>
      <c r="T866" s="82"/>
      <c r="U866" s="82"/>
      <c r="V866" s="138" t="s">
        <v>4911</v>
      </c>
      <c r="W866" s="57" t="s">
        <v>4532</v>
      </c>
      <c r="X866" s="126" t="s">
        <v>2511</v>
      </c>
      <c r="Y866" s="126" t="s">
        <v>2511</v>
      </c>
      <c r="Z866" s="57"/>
      <c r="AA866" s="57" t="s">
        <v>4533</v>
      </c>
      <c r="AB866" s="138"/>
      <c r="AC866" s="138" t="s">
        <v>2631</v>
      </c>
      <c r="AD866" s="96"/>
      <c r="AE866" s="80"/>
      <c r="AF866" s="80"/>
      <c r="AG866" s="80"/>
      <c r="AH866" s="83"/>
      <c r="AI866" s="83"/>
      <c r="AJ866" s="84"/>
      <c r="AK866" s="84"/>
      <c r="AL866" s="84"/>
      <c r="AM866" s="84"/>
      <c r="AN866" s="84"/>
      <c r="AO866" s="84"/>
      <c r="AP866" s="84"/>
      <c r="AQ866" s="95" t="s">
        <v>1985</v>
      </c>
      <c r="AR866" s="72"/>
      <c r="AS866" s="72"/>
      <c r="AT866" s="72"/>
      <c r="AU866" s="72"/>
      <c r="AV866" s="72"/>
      <c r="AW866" s="72"/>
      <c r="AX866" s="72"/>
      <c r="AY866" s="72"/>
      <c r="AZ866" s="72"/>
      <c r="BA866" s="72"/>
      <c r="BB866" s="16"/>
      <c r="BC866" s="72"/>
      <c r="BD866" s="20"/>
      <c r="BE866" s="378"/>
    </row>
    <row r="867" spans="1:57" s="81" customFormat="1" ht="12.95" hidden="1" customHeight="1">
      <c r="A867" s="374"/>
      <c r="B867" s="376"/>
      <c r="C867" s="248" t="s">
        <v>1716</v>
      </c>
      <c r="D867" s="239" t="s">
        <v>4912</v>
      </c>
      <c r="E867" s="58"/>
      <c r="F867" s="59" t="s">
        <v>4913</v>
      </c>
      <c r="G867" s="191" t="s">
        <v>2511</v>
      </c>
      <c r="H867" s="192" t="s">
        <v>1986</v>
      </c>
      <c r="I867" s="61" t="s">
        <v>2511</v>
      </c>
      <c r="J867" s="61" t="s">
        <v>2511</v>
      </c>
      <c r="K867" s="62" t="s">
        <v>2511</v>
      </c>
      <c r="L867" s="60" t="s">
        <v>2511</v>
      </c>
      <c r="M867" s="61" t="s">
        <v>2389</v>
      </c>
      <c r="N867" s="61" t="s">
        <v>2511</v>
      </c>
      <c r="O867" s="61" t="s">
        <v>2511</v>
      </c>
      <c r="P867" s="62" t="s">
        <v>2511</v>
      </c>
      <c r="Q867" s="82"/>
      <c r="R867" s="82"/>
      <c r="S867" s="82"/>
      <c r="T867" s="82"/>
      <c r="U867" s="82"/>
      <c r="V867" s="138" t="s">
        <v>4914</v>
      </c>
      <c r="W867" s="57" t="s">
        <v>4532</v>
      </c>
      <c r="X867" s="126" t="s">
        <v>2511</v>
      </c>
      <c r="Y867" s="126" t="s">
        <v>2511</v>
      </c>
      <c r="Z867" s="57"/>
      <c r="AA867" s="57" t="s">
        <v>4533</v>
      </c>
      <c r="AB867" s="138"/>
      <c r="AC867" s="138" t="s">
        <v>2631</v>
      </c>
      <c r="AD867" s="96"/>
      <c r="AE867" s="80"/>
      <c r="AF867" s="80"/>
      <c r="AG867" s="80"/>
      <c r="AH867" s="83"/>
      <c r="AI867" s="83"/>
      <c r="AJ867" s="84"/>
      <c r="AK867" s="84"/>
      <c r="AL867" s="84"/>
      <c r="AM867" s="84"/>
      <c r="AN867" s="84"/>
      <c r="AO867" s="84"/>
      <c r="AP867" s="84"/>
      <c r="AQ867" s="95" t="s">
        <v>1986</v>
      </c>
      <c r="AR867" s="72"/>
      <c r="AS867" s="72"/>
      <c r="AT867" s="72"/>
      <c r="AU867" s="72"/>
      <c r="AV867" s="72"/>
      <c r="AW867" s="72"/>
      <c r="AX867" s="72"/>
      <c r="AY867" s="72"/>
      <c r="AZ867" s="72"/>
      <c r="BA867" s="72"/>
      <c r="BB867" s="16"/>
      <c r="BC867" s="72"/>
      <c r="BD867" s="20"/>
      <c r="BE867" s="378"/>
    </row>
    <row r="868" spans="1:57" s="81" customFormat="1" ht="12.95" hidden="1" customHeight="1">
      <c r="A868" s="374"/>
      <c r="B868" s="376"/>
      <c r="C868" s="248" t="s">
        <v>1717</v>
      </c>
      <c r="D868" s="239" t="s">
        <v>4915</v>
      </c>
      <c r="E868" s="58"/>
      <c r="F868" s="59" t="s">
        <v>4916</v>
      </c>
      <c r="G868" s="191" t="s">
        <v>2511</v>
      </c>
      <c r="H868" s="192" t="s">
        <v>1987</v>
      </c>
      <c r="I868" s="61" t="s">
        <v>2511</v>
      </c>
      <c r="J868" s="61" t="s">
        <v>2511</v>
      </c>
      <c r="K868" s="62" t="s">
        <v>2511</v>
      </c>
      <c r="L868" s="60" t="s">
        <v>2511</v>
      </c>
      <c r="M868" s="61" t="s">
        <v>2389</v>
      </c>
      <c r="N868" s="61" t="s">
        <v>2511</v>
      </c>
      <c r="O868" s="61" t="s">
        <v>2511</v>
      </c>
      <c r="P868" s="62" t="s">
        <v>2511</v>
      </c>
      <c r="Q868" s="82"/>
      <c r="R868" s="82"/>
      <c r="S868" s="82"/>
      <c r="T868" s="82"/>
      <c r="U868" s="82"/>
      <c r="V868" s="138" t="s">
        <v>4917</v>
      </c>
      <c r="W868" s="57" t="s">
        <v>4532</v>
      </c>
      <c r="X868" s="126" t="s">
        <v>2511</v>
      </c>
      <c r="Y868" s="126" t="s">
        <v>2511</v>
      </c>
      <c r="Z868" s="57"/>
      <c r="AA868" s="57" t="s">
        <v>4533</v>
      </c>
      <c r="AB868" s="138"/>
      <c r="AC868" s="138" t="s">
        <v>2631</v>
      </c>
      <c r="AD868" s="96"/>
      <c r="AE868" s="80"/>
      <c r="AF868" s="80"/>
      <c r="AG868" s="80"/>
      <c r="AH868" s="83"/>
      <c r="AI868" s="83"/>
      <c r="AJ868" s="84"/>
      <c r="AK868" s="84"/>
      <c r="AL868" s="84"/>
      <c r="AM868" s="84"/>
      <c r="AN868" s="84"/>
      <c r="AO868" s="84"/>
      <c r="AP868" s="84"/>
      <c r="AQ868" s="95" t="s">
        <v>1987</v>
      </c>
      <c r="AR868" s="72"/>
      <c r="AS868" s="72"/>
      <c r="AT868" s="72"/>
      <c r="AU868" s="72"/>
      <c r="AV868" s="72"/>
      <c r="AW868" s="72"/>
      <c r="AX868" s="72"/>
      <c r="AY868" s="72"/>
      <c r="AZ868" s="72"/>
      <c r="BA868" s="72"/>
      <c r="BB868" s="16"/>
      <c r="BC868" s="72"/>
      <c r="BD868" s="20"/>
      <c r="BE868" s="378"/>
    </row>
    <row r="869" spans="1:57" s="81" customFormat="1" ht="12.95" hidden="1" customHeight="1">
      <c r="A869" s="374"/>
      <c r="B869" s="376"/>
      <c r="C869" s="270" t="s">
        <v>1718</v>
      </c>
      <c r="D869" s="239" t="s">
        <v>4918</v>
      </c>
      <c r="E869" s="58"/>
      <c r="F869" s="59" t="s">
        <v>4919</v>
      </c>
      <c r="G869" s="191" t="s">
        <v>2511</v>
      </c>
      <c r="H869" s="192" t="s">
        <v>1988</v>
      </c>
      <c r="I869" s="61" t="s">
        <v>2511</v>
      </c>
      <c r="J869" s="61" t="s">
        <v>2511</v>
      </c>
      <c r="K869" s="62" t="s">
        <v>2511</v>
      </c>
      <c r="L869" s="60" t="s">
        <v>2511</v>
      </c>
      <c r="M869" s="61" t="s">
        <v>2389</v>
      </c>
      <c r="N869" s="61" t="s">
        <v>2511</v>
      </c>
      <c r="O869" s="61" t="s">
        <v>2511</v>
      </c>
      <c r="P869" s="62" t="s">
        <v>2511</v>
      </c>
      <c r="Q869" s="82"/>
      <c r="R869" s="82"/>
      <c r="S869" s="82"/>
      <c r="T869" s="82"/>
      <c r="U869" s="82"/>
      <c r="V869" s="138" t="s">
        <v>4920</v>
      </c>
      <c r="W869" s="57" t="s">
        <v>4532</v>
      </c>
      <c r="X869" s="126" t="s">
        <v>2511</v>
      </c>
      <c r="Y869" s="126" t="s">
        <v>2511</v>
      </c>
      <c r="Z869" s="57"/>
      <c r="AA869" s="57" t="s">
        <v>4533</v>
      </c>
      <c r="AB869" s="138"/>
      <c r="AC869" s="138" t="s">
        <v>2631</v>
      </c>
      <c r="AD869" s="96"/>
      <c r="AE869" s="80"/>
      <c r="AF869" s="80"/>
      <c r="AG869" s="80"/>
      <c r="AH869" s="83"/>
      <c r="AI869" s="83"/>
      <c r="AJ869" s="84"/>
      <c r="AK869" s="84"/>
      <c r="AL869" s="84"/>
      <c r="AM869" s="84"/>
      <c r="AN869" s="84"/>
      <c r="AO869" s="84"/>
      <c r="AP869" s="84"/>
      <c r="AQ869" s="95" t="s">
        <v>1988</v>
      </c>
      <c r="AR869" s="72"/>
      <c r="AS869" s="72"/>
      <c r="AT869" s="72"/>
      <c r="AU869" s="72"/>
      <c r="AV869" s="72"/>
      <c r="AW869" s="72"/>
      <c r="AX869" s="72"/>
      <c r="AY869" s="72"/>
      <c r="AZ869" s="72"/>
      <c r="BA869" s="72"/>
      <c r="BB869" s="16"/>
      <c r="BC869" s="72"/>
      <c r="BD869" s="20"/>
      <c r="BE869" s="378"/>
    </row>
    <row r="870" spans="1:57" s="81" customFormat="1" ht="12.95" hidden="1" customHeight="1">
      <c r="A870" s="374"/>
      <c r="B870" s="376"/>
      <c r="C870" s="270" t="s">
        <v>1719</v>
      </c>
      <c r="D870" s="239" t="s">
        <v>4921</v>
      </c>
      <c r="E870" s="58"/>
      <c r="F870" s="59" t="s">
        <v>4922</v>
      </c>
      <c r="G870" s="191" t="s">
        <v>2511</v>
      </c>
      <c r="H870" s="192" t="s">
        <v>1989</v>
      </c>
      <c r="I870" s="61" t="s">
        <v>2511</v>
      </c>
      <c r="J870" s="61" t="s">
        <v>2511</v>
      </c>
      <c r="K870" s="62" t="s">
        <v>2511</v>
      </c>
      <c r="L870" s="60" t="s">
        <v>2511</v>
      </c>
      <c r="M870" s="61" t="s">
        <v>2389</v>
      </c>
      <c r="N870" s="61" t="s">
        <v>2511</v>
      </c>
      <c r="O870" s="61" t="s">
        <v>2511</v>
      </c>
      <c r="P870" s="62" t="s">
        <v>2511</v>
      </c>
      <c r="Q870" s="82"/>
      <c r="R870" s="82"/>
      <c r="S870" s="82"/>
      <c r="T870" s="82"/>
      <c r="U870" s="82"/>
      <c r="V870" s="138" t="s">
        <v>4923</v>
      </c>
      <c r="W870" s="57" t="s">
        <v>4532</v>
      </c>
      <c r="X870" s="126" t="s">
        <v>2511</v>
      </c>
      <c r="Y870" s="126" t="s">
        <v>2511</v>
      </c>
      <c r="Z870" s="57"/>
      <c r="AA870" s="57" t="s">
        <v>4533</v>
      </c>
      <c r="AB870" s="138"/>
      <c r="AC870" s="138" t="s">
        <v>2631</v>
      </c>
      <c r="AD870" s="96"/>
      <c r="AE870" s="80"/>
      <c r="AF870" s="80"/>
      <c r="AG870" s="80"/>
      <c r="AH870" s="83"/>
      <c r="AI870" s="83"/>
      <c r="AJ870" s="84"/>
      <c r="AK870" s="84"/>
      <c r="AL870" s="84"/>
      <c r="AM870" s="84"/>
      <c r="AN870" s="84"/>
      <c r="AO870" s="84"/>
      <c r="AP870" s="84"/>
      <c r="AQ870" s="95" t="s">
        <v>1989</v>
      </c>
      <c r="AR870" s="72"/>
      <c r="AS870" s="72"/>
      <c r="AT870" s="72"/>
      <c r="AU870" s="72"/>
      <c r="AV870" s="72"/>
      <c r="AW870" s="72"/>
      <c r="AX870" s="72"/>
      <c r="AY870" s="72"/>
      <c r="AZ870" s="72"/>
      <c r="BA870" s="72"/>
      <c r="BB870" s="16"/>
      <c r="BC870" s="72"/>
      <c r="BD870" s="20"/>
      <c r="BE870" s="378"/>
    </row>
    <row r="871" spans="1:57" s="81" customFormat="1" ht="12.95" hidden="1" customHeight="1">
      <c r="A871" s="374"/>
      <c r="B871" s="376"/>
      <c r="C871" s="248" t="s">
        <v>1720</v>
      </c>
      <c r="D871" s="239" t="s">
        <v>4924</v>
      </c>
      <c r="E871" s="58"/>
      <c r="F871" s="59" t="s">
        <v>4925</v>
      </c>
      <c r="G871" s="191" t="s">
        <v>2511</v>
      </c>
      <c r="H871" s="192" t="s">
        <v>1990</v>
      </c>
      <c r="I871" s="61" t="s">
        <v>2511</v>
      </c>
      <c r="J871" s="61" t="s">
        <v>2511</v>
      </c>
      <c r="K871" s="62" t="s">
        <v>2511</v>
      </c>
      <c r="L871" s="60" t="s">
        <v>2511</v>
      </c>
      <c r="M871" s="61" t="s">
        <v>2389</v>
      </c>
      <c r="N871" s="61" t="s">
        <v>2511</v>
      </c>
      <c r="O871" s="61" t="s">
        <v>2511</v>
      </c>
      <c r="P871" s="62" t="s">
        <v>2511</v>
      </c>
      <c r="Q871" s="82"/>
      <c r="R871" s="82"/>
      <c r="S871" s="82"/>
      <c r="T871" s="82"/>
      <c r="U871" s="82"/>
      <c r="V871" s="138" t="s">
        <v>4926</v>
      </c>
      <c r="W871" s="57" t="s">
        <v>4532</v>
      </c>
      <c r="X871" s="126" t="s">
        <v>2511</v>
      </c>
      <c r="Y871" s="126" t="s">
        <v>2511</v>
      </c>
      <c r="Z871" s="57"/>
      <c r="AA871" s="57" t="s">
        <v>4533</v>
      </c>
      <c r="AB871" s="138"/>
      <c r="AC871" s="138">
        <v>0</v>
      </c>
      <c r="AD871" s="96"/>
      <c r="AE871" s="80"/>
      <c r="AF871" s="80"/>
      <c r="AG871" s="80"/>
      <c r="AH871" s="83"/>
      <c r="AI871" s="83"/>
      <c r="AJ871" s="84"/>
      <c r="AK871" s="84"/>
      <c r="AL871" s="84"/>
      <c r="AM871" s="84"/>
      <c r="AN871" s="84"/>
      <c r="AO871" s="84"/>
      <c r="AP871" s="84"/>
      <c r="AQ871" s="95" t="s">
        <v>1990</v>
      </c>
      <c r="AR871" s="72"/>
      <c r="AS871" s="72"/>
      <c r="AT871" s="72"/>
      <c r="AU871" s="72"/>
      <c r="AV871" s="72"/>
      <c r="AW871" s="72"/>
      <c r="AX871" s="72"/>
      <c r="AY871" s="72"/>
      <c r="AZ871" s="72"/>
      <c r="BA871" s="72"/>
      <c r="BB871" s="16"/>
      <c r="BC871" s="72"/>
      <c r="BD871" s="20"/>
      <c r="BE871" s="378"/>
    </row>
    <row r="872" spans="1:57" s="81" customFormat="1" ht="12.95" hidden="1" customHeight="1">
      <c r="A872" s="374"/>
      <c r="B872" s="376"/>
      <c r="C872" s="248" t="s">
        <v>1721</v>
      </c>
      <c r="D872" s="239" t="s">
        <v>4927</v>
      </c>
      <c r="E872" s="58"/>
      <c r="F872" s="59" t="s">
        <v>4928</v>
      </c>
      <c r="G872" s="191" t="s">
        <v>2511</v>
      </c>
      <c r="H872" s="192" t="s">
        <v>1991</v>
      </c>
      <c r="I872" s="61" t="s">
        <v>2511</v>
      </c>
      <c r="J872" s="61" t="s">
        <v>2511</v>
      </c>
      <c r="K872" s="62" t="s">
        <v>2511</v>
      </c>
      <c r="L872" s="60" t="s">
        <v>2511</v>
      </c>
      <c r="M872" s="61" t="s">
        <v>2389</v>
      </c>
      <c r="N872" s="61" t="s">
        <v>2511</v>
      </c>
      <c r="O872" s="61" t="s">
        <v>2511</v>
      </c>
      <c r="P872" s="62" t="s">
        <v>2511</v>
      </c>
      <c r="Q872" s="82"/>
      <c r="R872" s="82"/>
      <c r="S872" s="82"/>
      <c r="T872" s="82"/>
      <c r="U872" s="82"/>
      <c r="V872" s="138" t="s">
        <v>4929</v>
      </c>
      <c r="W872" s="57" t="s">
        <v>4532</v>
      </c>
      <c r="X872" s="126" t="s">
        <v>2511</v>
      </c>
      <c r="Y872" s="126" t="s">
        <v>2511</v>
      </c>
      <c r="Z872" s="57"/>
      <c r="AA872" s="57" t="s">
        <v>4533</v>
      </c>
      <c r="AB872" s="138"/>
      <c r="AC872" s="138" t="s">
        <v>2631</v>
      </c>
      <c r="AD872" s="96"/>
      <c r="AE872" s="80"/>
      <c r="AF872" s="80"/>
      <c r="AG872" s="80"/>
      <c r="AH872" s="83"/>
      <c r="AI872" s="83"/>
      <c r="AJ872" s="84"/>
      <c r="AK872" s="84"/>
      <c r="AL872" s="84"/>
      <c r="AM872" s="84"/>
      <c r="AN872" s="84"/>
      <c r="AO872" s="84"/>
      <c r="AP872" s="84"/>
      <c r="AQ872" s="95" t="s">
        <v>1991</v>
      </c>
      <c r="AR872" s="72"/>
      <c r="AS872" s="72"/>
      <c r="AT872" s="72"/>
      <c r="AU872" s="72"/>
      <c r="AV872" s="72"/>
      <c r="AW872" s="72"/>
      <c r="AX872" s="72"/>
      <c r="AY872" s="72"/>
      <c r="AZ872" s="72"/>
      <c r="BA872" s="72"/>
      <c r="BB872" s="16"/>
      <c r="BC872" s="72"/>
      <c r="BD872" s="20"/>
      <c r="BE872" s="378"/>
    </row>
    <row r="873" spans="1:57" s="81" customFormat="1" ht="12.95" hidden="1" customHeight="1">
      <c r="A873" s="374"/>
      <c r="B873" s="376"/>
      <c r="C873" s="248" t="s">
        <v>1722</v>
      </c>
      <c r="D873" s="239" t="s">
        <v>4930</v>
      </c>
      <c r="E873" s="58"/>
      <c r="F873" s="59" t="s">
        <v>4931</v>
      </c>
      <c r="G873" s="191" t="s">
        <v>2511</v>
      </c>
      <c r="H873" s="192" t="s">
        <v>1992</v>
      </c>
      <c r="I873" s="61" t="s">
        <v>2511</v>
      </c>
      <c r="J873" s="61" t="s">
        <v>2511</v>
      </c>
      <c r="K873" s="62" t="s">
        <v>2511</v>
      </c>
      <c r="L873" s="60" t="s">
        <v>2511</v>
      </c>
      <c r="M873" s="61" t="s">
        <v>2389</v>
      </c>
      <c r="N873" s="61" t="s">
        <v>2511</v>
      </c>
      <c r="O873" s="61" t="s">
        <v>2511</v>
      </c>
      <c r="P873" s="62" t="s">
        <v>2511</v>
      </c>
      <c r="Q873" s="82"/>
      <c r="R873" s="82"/>
      <c r="S873" s="82"/>
      <c r="T873" s="82"/>
      <c r="U873" s="82"/>
      <c r="V873" s="138" t="s">
        <v>4932</v>
      </c>
      <c r="W873" s="57" t="s">
        <v>4532</v>
      </c>
      <c r="X873" s="126" t="s">
        <v>2511</v>
      </c>
      <c r="Y873" s="126" t="s">
        <v>2511</v>
      </c>
      <c r="Z873" s="57"/>
      <c r="AA873" s="57" t="s">
        <v>4533</v>
      </c>
      <c r="AB873" s="138"/>
      <c r="AC873" s="138" t="s">
        <v>2631</v>
      </c>
      <c r="AD873" s="96"/>
      <c r="AE873" s="80"/>
      <c r="AF873" s="80"/>
      <c r="AG873" s="80"/>
      <c r="AH873" s="83"/>
      <c r="AI873" s="83"/>
      <c r="AJ873" s="84"/>
      <c r="AK873" s="84"/>
      <c r="AL873" s="84"/>
      <c r="AM873" s="84"/>
      <c r="AN873" s="84"/>
      <c r="AO873" s="84"/>
      <c r="AP873" s="84"/>
      <c r="AQ873" s="95" t="s">
        <v>1992</v>
      </c>
      <c r="AR873" s="72"/>
      <c r="AS873" s="72"/>
      <c r="AT873" s="72"/>
      <c r="AU873" s="72"/>
      <c r="AV873" s="72"/>
      <c r="AW873" s="72"/>
      <c r="AX873" s="72"/>
      <c r="AY873" s="72"/>
      <c r="AZ873" s="72"/>
      <c r="BA873" s="72"/>
      <c r="BB873" s="16"/>
      <c r="BC873" s="72"/>
      <c r="BD873" s="20"/>
      <c r="BE873" s="378"/>
    </row>
    <row r="874" spans="1:57" s="81" customFormat="1" ht="12.95" hidden="1" customHeight="1">
      <c r="A874" s="374"/>
      <c r="B874" s="376"/>
      <c r="C874" s="248" t="s">
        <v>1723</v>
      </c>
      <c r="D874" s="239" t="s">
        <v>4933</v>
      </c>
      <c r="E874" s="58"/>
      <c r="F874" s="59" t="s">
        <v>4934</v>
      </c>
      <c r="G874" s="191" t="s">
        <v>2511</v>
      </c>
      <c r="H874" s="192" t="s">
        <v>1993</v>
      </c>
      <c r="I874" s="61" t="s">
        <v>2511</v>
      </c>
      <c r="J874" s="61" t="s">
        <v>2511</v>
      </c>
      <c r="K874" s="62" t="s">
        <v>2511</v>
      </c>
      <c r="L874" s="60" t="s">
        <v>2511</v>
      </c>
      <c r="M874" s="61" t="s">
        <v>2389</v>
      </c>
      <c r="N874" s="61" t="s">
        <v>2511</v>
      </c>
      <c r="O874" s="61" t="s">
        <v>2511</v>
      </c>
      <c r="P874" s="62" t="s">
        <v>2511</v>
      </c>
      <c r="Q874" s="82"/>
      <c r="R874" s="82"/>
      <c r="S874" s="82"/>
      <c r="T874" s="82"/>
      <c r="U874" s="82"/>
      <c r="V874" s="138" t="s">
        <v>4935</v>
      </c>
      <c r="W874" s="57" t="s">
        <v>4532</v>
      </c>
      <c r="X874" s="126" t="s">
        <v>2511</v>
      </c>
      <c r="Y874" s="126" t="s">
        <v>2511</v>
      </c>
      <c r="Z874" s="57"/>
      <c r="AA874" s="57" t="s">
        <v>4533</v>
      </c>
      <c r="AB874" s="138"/>
      <c r="AC874" s="138" t="s">
        <v>2631</v>
      </c>
      <c r="AD874" s="96"/>
      <c r="AE874" s="80"/>
      <c r="AF874" s="80"/>
      <c r="AG874" s="80"/>
      <c r="AH874" s="83"/>
      <c r="AI874" s="83"/>
      <c r="AJ874" s="84"/>
      <c r="AK874" s="84"/>
      <c r="AL874" s="84"/>
      <c r="AM874" s="84"/>
      <c r="AN874" s="84"/>
      <c r="AO874" s="84"/>
      <c r="AP874" s="84"/>
      <c r="AQ874" s="95" t="s">
        <v>1993</v>
      </c>
      <c r="AR874" s="72"/>
      <c r="AS874" s="72"/>
      <c r="AT874" s="72"/>
      <c r="AU874" s="72"/>
      <c r="AV874" s="72"/>
      <c r="AW874" s="72"/>
      <c r="AX874" s="72"/>
      <c r="AY874" s="72"/>
      <c r="AZ874" s="72"/>
      <c r="BA874" s="72"/>
      <c r="BB874" s="16"/>
      <c r="BC874" s="72"/>
      <c r="BD874" s="20"/>
      <c r="BE874" s="378"/>
    </row>
    <row r="875" spans="1:57" s="81" customFormat="1" ht="12.95" hidden="1" customHeight="1">
      <c r="A875" s="374"/>
      <c r="B875" s="376"/>
      <c r="C875" s="248" t="s">
        <v>1724</v>
      </c>
      <c r="D875" s="239" t="s">
        <v>4936</v>
      </c>
      <c r="E875" s="58"/>
      <c r="F875" s="59" t="s">
        <v>4937</v>
      </c>
      <c r="G875" s="191" t="s">
        <v>2511</v>
      </c>
      <c r="H875" s="192" t="s">
        <v>1994</v>
      </c>
      <c r="I875" s="61" t="s">
        <v>2511</v>
      </c>
      <c r="J875" s="61" t="s">
        <v>2511</v>
      </c>
      <c r="K875" s="62" t="s">
        <v>2511</v>
      </c>
      <c r="L875" s="60" t="s">
        <v>2511</v>
      </c>
      <c r="M875" s="61" t="s">
        <v>2389</v>
      </c>
      <c r="N875" s="61" t="s">
        <v>2511</v>
      </c>
      <c r="O875" s="61" t="s">
        <v>2511</v>
      </c>
      <c r="P875" s="62" t="s">
        <v>2511</v>
      </c>
      <c r="Q875" s="82"/>
      <c r="R875" s="82"/>
      <c r="S875" s="82"/>
      <c r="T875" s="82"/>
      <c r="U875" s="82"/>
      <c r="V875" s="138" t="s">
        <v>4938</v>
      </c>
      <c r="W875" s="57" t="s">
        <v>4532</v>
      </c>
      <c r="X875" s="126" t="s">
        <v>2511</v>
      </c>
      <c r="Y875" s="126" t="s">
        <v>2511</v>
      </c>
      <c r="Z875" s="57"/>
      <c r="AA875" s="57" t="s">
        <v>4533</v>
      </c>
      <c r="AB875" s="138"/>
      <c r="AC875" s="138" t="s">
        <v>2631</v>
      </c>
      <c r="AD875" s="96"/>
      <c r="AE875" s="80"/>
      <c r="AF875" s="80"/>
      <c r="AG875" s="80"/>
      <c r="AH875" s="83"/>
      <c r="AI875" s="83"/>
      <c r="AJ875" s="84"/>
      <c r="AK875" s="84"/>
      <c r="AL875" s="84"/>
      <c r="AM875" s="84"/>
      <c r="AN875" s="84"/>
      <c r="AO875" s="84"/>
      <c r="AP875" s="84"/>
      <c r="AQ875" s="95" t="s">
        <v>1994</v>
      </c>
      <c r="AR875" s="72"/>
      <c r="AS875" s="72"/>
      <c r="AT875" s="72"/>
      <c r="AU875" s="72"/>
      <c r="AV875" s="72"/>
      <c r="AW875" s="72"/>
      <c r="AX875" s="72"/>
      <c r="AY875" s="72"/>
      <c r="AZ875" s="72"/>
      <c r="BA875" s="72"/>
      <c r="BB875" s="16"/>
      <c r="BC875" s="72"/>
      <c r="BD875" s="20"/>
      <c r="BE875" s="378"/>
    </row>
    <row r="876" spans="1:57" s="81" customFormat="1" ht="12.95" hidden="1" customHeight="1">
      <c r="A876" s="374"/>
      <c r="B876" s="376"/>
      <c r="C876" s="248" t="s">
        <v>1725</v>
      </c>
      <c r="D876" s="239" t="s">
        <v>4939</v>
      </c>
      <c r="E876" s="58"/>
      <c r="F876" s="59" t="s">
        <v>4940</v>
      </c>
      <c r="G876" s="191" t="s">
        <v>2511</v>
      </c>
      <c r="H876" s="192" t="s">
        <v>1995</v>
      </c>
      <c r="I876" s="61" t="s">
        <v>2511</v>
      </c>
      <c r="J876" s="61" t="s">
        <v>2511</v>
      </c>
      <c r="K876" s="62" t="s">
        <v>2511</v>
      </c>
      <c r="L876" s="60" t="s">
        <v>2511</v>
      </c>
      <c r="M876" s="61" t="s">
        <v>2389</v>
      </c>
      <c r="N876" s="61" t="s">
        <v>2511</v>
      </c>
      <c r="O876" s="61" t="s">
        <v>2511</v>
      </c>
      <c r="P876" s="62" t="s">
        <v>2511</v>
      </c>
      <c r="Q876" s="82"/>
      <c r="R876" s="82"/>
      <c r="S876" s="82"/>
      <c r="T876" s="82"/>
      <c r="U876" s="82"/>
      <c r="V876" s="138" t="s">
        <v>4941</v>
      </c>
      <c r="W876" s="57" t="s">
        <v>4532</v>
      </c>
      <c r="X876" s="126" t="s">
        <v>2511</v>
      </c>
      <c r="Y876" s="126" t="s">
        <v>2511</v>
      </c>
      <c r="Z876" s="57"/>
      <c r="AA876" s="57" t="s">
        <v>4533</v>
      </c>
      <c r="AB876" s="138"/>
      <c r="AC876" s="138" t="s">
        <v>2631</v>
      </c>
      <c r="AD876" s="96"/>
      <c r="AE876" s="80"/>
      <c r="AF876" s="80"/>
      <c r="AG876" s="80"/>
      <c r="AH876" s="83"/>
      <c r="AI876" s="83"/>
      <c r="AJ876" s="84"/>
      <c r="AK876" s="84"/>
      <c r="AL876" s="84"/>
      <c r="AM876" s="84"/>
      <c r="AN876" s="84"/>
      <c r="AO876" s="84"/>
      <c r="AP876" s="84"/>
      <c r="AQ876" s="95" t="s">
        <v>1995</v>
      </c>
      <c r="AR876" s="72"/>
      <c r="AS876" s="72"/>
      <c r="AT876" s="72"/>
      <c r="AU876" s="72"/>
      <c r="AV876" s="72"/>
      <c r="AW876" s="72"/>
      <c r="AX876" s="72"/>
      <c r="AY876" s="72"/>
      <c r="AZ876" s="72"/>
      <c r="BA876" s="72"/>
      <c r="BB876" s="16"/>
      <c r="BC876" s="72"/>
      <c r="BD876" s="20"/>
      <c r="BE876" s="378"/>
    </row>
    <row r="877" spans="1:57" s="81" customFormat="1" ht="12.95" hidden="1" customHeight="1">
      <c r="A877" s="374"/>
      <c r="B877" s="376"/>
      <c r="C877" s="248" t="s">
        <v>1726</v>
      </c>
      <c r="D877" s="239" t="s">
        <v>4942</v>
      </c>
      <c r="E877" s="58"/>
      <c r="F877" s="59" t="s">
        <v>4943</v>
      </c>
      <c r="G877" s="191" t="s">
        <v>2511</v>
      </c>
      <c r="H877" s="192" t="s">
        <v>1996</v>
      </c>
      <c r="I877" s="61" t="s">
        <v>2511</v>
      </c>
      <c r="J877" s="61" t="s">
        <v>2511</v>
      </c>
      <c r="K877" s="62" t="s">
        <v>2511</v>
      </c>
      <c r="L877" s="60" t="s">
        <v>2511</v>
      </c>
      <c r="M877" s="61" t="s">
        <v>2389</v>
      </c>
      <c r="N877" s="61" t="s">
        <v>2511</v>
      </c>
      <c r="O877" s="61" t="s">
        <v>2511</v>
      </c>
      <c r="P877" s="62" t="s">
        <v>2511</v>
      </c>
      <c r="Q877" s="82"/>
      <c r="R877" s="82"/>
      <c r="S877" s="82"/>
      <c r="T877" s="82"/>
      <c r="U877" s="82"/>
      <c r="V877" s="138" t="s">
        <v>4944</v>
      </c>
      <c r="W877" s="57" t="s">
        <v>4532</v>
      </c>
      <c r="X877" s="126" t="s">
        <v>2511</v>
      </c>
      <c r="Y877" s="126" t="s">
        <v>2511</v>
      </c>
      <c r="Z877" s="57"/>
      <c r="AA877" s="57" t="s">
        <v>4533</v>
      </c>
      <c r="AB877" s="138"/>
      <c r="AC877" s="138" t="s">
        <v>2631</v>
      </c>
      <c r="AD877" s="96"/>
      <c r="AE877" s="80"/>
      <c r="AF877" s="80"/>
      <c r="AG877" s="80"/>
      <c r="AH877" s="83"/>
      <c r="AI877" s="83"/>
      <c r="AJ877" s="84"/>
      <c r="AK877" s="84"/>
      <c r="AL877" s="84"/>
      <c r="AM877" s="84"/>
      <c r="AN877" s="84"/>
      <c r="AO877" s="84"/>
      <c r="AP877" s="84"/>
      <c r="AQ877" s="95" t="s">
        <v>1996</v>
      </c>
      <c r="AR877" s="72"/>
      <c r="AS877" s="72"/>
      <c r="AT877" s="72"/>
      <c r="AU877" s="72"/>
      <c r="AV877" s="72"/>
      <c r="AW877" s="72"/>
      <c r="AX877" s="72"/>
      <c r="AY877" s="72"/>
      <c r="AZ877" s="72"/>
      <c r="BA877" s="72"/>
      <c r="BB877" s="16"/>
      <c r="BC877" s="72"/>
      <c r="BD877" s="20"/>
      <c r="BE877" s="378"/>
    </row>
    <row r="878" spans="1:57" s="81" customFormat="1" ht="12.95" hidden="1" customHeight="1">
      <c r="A878" s="374"/>
      <c r="B878" s="376"/>
      <c r="C878" s="248" t="s">
        <v>1727</v>
      </c>
      <c r="D878" s="239" t="s">
        <v>4945</v>
      </c>
      <c r="E878" s="58"/>
      <c r="F878" s="59" t="s">
        <v>4946</v>
      </c>
      <c r="G878" s="191" t="s">
        <v>2511</v>
      </c>
      <c r="H878" s="192" t="s">
        <v>1997</v>
      </c>
      <c r="I878" s="61" t="s">
        <v>2511</v>
      </c>
      <c r="J878" s="61" t="s">
        <v>2511</v>
      </c>
      <c r="K878" s="62" t="s">
        <v>2511</v>
      </c>
      <c r="L878" s="60" t="s">
        <v>2511</v>
      </c>
      <c r="M878" s="61" t="s">
        <v>2389</v>
      </c>
      <c r="N878" s="61" t="s">
        <v>2511</v>
      </c>
      <c r="O878" s="61" t="s">
        <v>2511</v>
      </c>
      <c r="P878" s="62" t="s">
        <v>2511</v>
      </c>
      <c r="Q878" s="82"/>
      <c r="R878" s="82"/>
      <c r="S878" s="82"/>
      <c r="T878" s="82"/>
      <c r="U878" s="82"/>
      <c r="V878" s="138" t="s">
        <v>4947</v>
      </c>
      <c r="W878" s="57" t="s">
        <v>4532</v>
      </c>
      <c r="X878" s="126" t="s">
        <v>2511</v>
      </c>
      <c r="Y878" s="126" t="s">
        <v>2511</v>
      </c>
      <c r="Z878" s="57"/>
      <c r="AA878" s="57" t="s">
        <v>4533</v>
      </c>
      <c r="AB878" s="138"/>
      <c r="AC878" s="138" t="s">
        <v>2631</v>
      </c>
      <c r="AD878" s="96"/>
      <c r="AE878" s="80"/>
      <c r="AF878" s="80"/>
      <c r="AG878" s="80"/>
      <c r="AH878" s="83"/>
      <c r="AI878" s="83"/>
      <c r="AJ878" s="84"/>
      <c r="AK878" s="84"/>
      <c r="AL878" s="84"/>
      <c r="AM878" s="84"/>
      <c r="AN878" s="84"/>
      <c r="AO878" s="84"/>
      <c r="AP878" s="84"/>
      <c r="AQ878" s="95" t="s">
        <v>1997</v>
      </c>
      <c r="AR878" s="72"/>
      <c r="AS878" s="72"/>
      <c r="AT878" s="72"/>
      <c r="AU878" s="72"/>
      <c r="AV878" s="72"/>
      <c r="AW878" s="72"/>
      <c r="AX878" s="72"/>
      <c r="AY878" s="72"/>
      <c r="AZ878" s="72"/>
      <c r="BA878" s="72"/>
      <c r="BB878" s="16"/>
      <c r="BC878" s="72"/>
      <c r="BD878" s="20"/>
      <c r="BE878" s="378"/>
    </row>
    <row r="879" spans="1:57" s="81" customFormat="1" ht="12.95" hidden="1" customHeight="1">
      <c r="A879" s="374"/>
      <c r="B879" s="376"/>
      <c r="C879" s="248" t="s">
        <v>1728</v>
      </c>
      <c r="D879" s="239" t="s">
        <v>4948</v>
      </c>
      <c r="E879" s="58"/>
      <c r="F879" s="59" t="s">
        <v>4949</v>
      </c>
      <c r="G879" s="191" t="s">
        <v>2511</v>
      </c>
      <c r="H879" s="192" t="s">
        <v>1998</v>
      </c>
      <c r="I879" s="61" t="s">
        <v>2511</v>
      </c>
      <c r="J879" s="61" t="s">
        <v>2511</v>
      </c>
      <c r="K879" s="62" t="s">
        <v>2511</v>
      </c>
      <c r="L879" s="60" t="s">
        <v>2511</v>
      </c>
      <c r="M879" s="61" t="s">
        <v>2389</v>
      </c>
      <c r="N879" s="61" t="s">
        <v>2511</v>
      </c>
      <c r="O879" s="61" t="s">
        <v>2511</v>
      </c>
      <c r="P879" s="62" t="s">
        <v>2511</v>
      </c>
      <c r="Q879" s="82"/>
      <c r="R879" s="82"/>
      <c r="S879" s="82"/>
      <c r="T879" s="82"/>
      <c r="U879" s="82"/>
      <c r="V879" s="138" t="s">
        <v>4950</v>
      </c>
      <c r="W879" s="57" t="s">
        <v>4532</v>
      </c>
      <c r="X879" s="126" t="s">
        <v>2511</v>
      </c>
      <c r="Y879" s="126" t="s">
        <v>2511</v>
      </c>
      <c r="Z879" s="57"/>
      <c r="AA879" s="57" t="s">
        <v>4533</v>
      </c>
      <c r="AB879" s="138"/>
      <c r="AC879" s="138" t="s">
        <v>2631</v>
      </c>
      <c r="AD879" s="96"/>
      <c r="AE879" s="80"/>
      <c r="AF879" s="80"/>
      <c r="AG879" s="80"/>
      <c r="AH879" s="83"/>
      <c r="AI879" s="83"/>
      <c r="AJ879" s="84"/>
      <c r="AK879" s="84"/>
      <c r="AL879" s="84"/>
      <c r="AM879" s="84"/>
      <c r="AN879" s="84"/>
      <c r="AO879" s="84"/>
      <c r="AP879" s="84"/>
      <c r="AQ879" s="95" t="s">
        <v>1998</v>
      </c>
      <c r="AR879" s="72"/>
      <c r="AS879" s="72"/>
      <c r="AT879" s="72"/>
      <c r="AU879" s="72"/>
      <c r="AV879" s="72"/>
      <c r="AW879" s="72"/>
      <c r="AX879" s="72"/>
      <c r="AY879" s="72"/>
      <c r="AZ879" s="72"/>
      <c r="BA879" s="72"/>
      <c r="BB879" s="16"/>
      <c r="BC879" s="72"/>
      <c r="BD879" s="20"/>
      <c r="BE879" s="378"/>
    </row>
    <row r="880" spans="1:57" s="81" customFormat="1" ht="12.95" hidden="1" customHeight="1">
      <c r="A880" s="374"/>
      <c r="B880" s="376"/>
      <c r="C880" s="248" t="s">
        <v>1729</v>
      </c>
      <c r="D880" s="239" t="s">
        <v>4951</v>
      </c>
      <c r="E880" s="58"/>
      <c r="F880" s="59" t="s">
        <v>4952</v>
      </c>
      <c r="G880" s="191" t="s">
        <v>2511</v>
      </c>
      <c r="H880" s="192" t="s">
        <v>1999</v>
      </c>
      <c r="I880" s="61" t="s">
        <v>2511</v>
      </c>
      <c r="J880" s="61" t="s">
        <v>2511</v>
      </c>
      <c r="K880" s="62" t="s">
        <v>2511</v>
      </c>
      <c r="L880" s="60" t="s">
        <v>2511</v>
      </c>
      <c r="M880" s="61" t="s">
        <v>2389</v>
      </c>
      <c r="N880" s="61" t="s">
        <v>2511</v>
      </c>
      <c r="O880" s="61" t="s">
        <v>2511</v>
      </c>
      <c r="P880" s="62" t="s">
        <v>2511</v>
      </c>
      <c r="Q880" s="82"/>
      <c r="R880" s="82"/>
      <c r="S880" s="82"/>
      <c r="T880" s="82"/>
      <c r="U880" s="82"/>
      <c r="V880" s="138" t="s">
        <v>4953</v>
      </c>
      <c r="W880" s="57" t="s">
        <v>4532</v>
      </c>
      <c r="X880" s="126" t="s">
        <v>2511</v>
      </c>
      <c r="Y880" s="126" t="s">
        <v>2511</v>
      </c>
      <c r="Z880" s="57"/>
      <c r="AA880" s="57" t="s">
        <v>4533</v>
      </c>
      <c r="AB880" s="138"/>
      <c r="AC880" s="138" t="s">
        <v>2631</v>
      </c>
      <c r="AD880" s="96"/>
      <c r="AE880" s="80"/>
      <c r="AF880" s="80"/>
      <c r="AG880" s="80"/>
      <c r="AH880" s="83"/>
      <c r="AI880" s="83"/>
      <c r="AJ880" s="84"/>
      <c r="AK880" s="84"/>
      <c r="AL880" s="84"/>
      <c r="AM880" s="84"/>
      <c r="AN880" s="84"/>
      <c r="AO880" s="84"/>
      <c r="AP880" s="84"/>
      <c r="AQ880" s="95" t="s">
        <v>1999</v>
      </c>
      <c r="AR880" s="72"/>
      <c r="AS880" s="72"/>
      <c r="AT880" s="72"/>
      <c r="AU880" s="72"/>
      <c r="AV880" s="72"/>
      <c r="AW880" s="72"/>
      <c r="AX880" s="72"/>
      <c r="AY880" s="72"/>
      <c r="AZ880" s="72"/>
      <c r="BA880" s="72"/>
      <c r="BB880" s="16"/>
      <c r="BC880" s="72"/>
      <c r="BD880" s="20"/>
      <c r="BE880" s="378"/>
    </row>
    <row r="881" spans="1:57" s="81" customFormat="1" ht="12.95" hidden="1" customHeight="1">
      <c r="A881" s="374"/>
      <c r="B881" s="376"/>
      <c r="C881" s="270" t="s">
        <v>1730</v>
      </c>
      <c r="D881" s="239" t="s">
        <v>4954</v>
      </c>
      <c r="E881" s="58"/>
      <c r="F881" s="59" t="s">
        <v>4955</v>
      </c>
      <c r="G881" s="191" t="s">
        <v>2511</v>
      </c>
      <c r="H881" s="192" t="s">
        <v>2000</v>
      </c>
      <c r="I881" s="61" t="s">
        <v>2511</v>
      </c>
      <c r="J881" s="61" t="s">
        <v>2511</v>
      </c>
      <c r="K881" s="62" t="s">
        <v>2511</v>
      </c>
      <c r="L881" s="60" t="s">
        <v>2511</v>
      </c>
      <c r="M881" s="61" t="s">
        <v>2389</v>
      </c>
      <c r="N881" s="61" t="s">
        <v>2511</v>
      </c>
      <c r="O881" s="61" t="s">
        <v>2511</v>
      </c>
      <c r="P881" s="62" t="s">
        <v>2511</v>
      </c>
      <c r="Q881" s="82"/>
      <c r="R881" s="82"/>
      <c r="S881" s="82"/>
      <c r="T881" s="82"/>
      <c r="U881" s="82"/>
      <c r="V881" s="138" t="s">
        <v>4956</v>
      </c>
      <c r="W881" s="57" t="s">
        <v>4532</v>
      </c>
      <c r="X881" s="126" t="s">
        <v>2511</v>
      </c>
      <c r="Y881" s="126" t="s">
        <v>2511</v>
      </c>
      <c r="Z881" s="57"/>
      <c r="AA881" s="57" t="s">
        <v>4533</v>
      </c>
      <c r="AB881" s="138"/>
      <c r="AC881" s="138" t="s">
        <v>2631</v>
      </c>
      <c r="AD881" s="96"/>
      <c r="AE881" s="80"/>
      <c r="AF881" s="80"/>
      <c r="AG881" s="80"/>
      <c r="AH881" s="83"/>
      <c r="AI881" s="83"/>
      <c r="AJ881" s="84"/>
      <c r="AK881" s="84"/>
      <c r="AL881" s="84"/>
      <c r="AM881" s="84"/>
      <c r="AN881" s="84"/>
      <c r="AO881" s="84"/>
      <c r="AP881" s="84"/>
      <c r="AQ881" s="95" t="s">
        <v>2000</v>
      </c>
      <c r="AR881" s="72"/>
      <c r="AS881" s="72"/>
      <c r="AT881" s="72"/>
      <c r="AU881" s="72"/>
      <c r="AV881" s="72"/>
      <c r="AW881" s="72"/>
      <c r="AX881" s="72"/>
      <c r="AY881" s="72"/>
      <c r="AZ881" s="72"/>
      <c r="BA881" s="72"/>
      <c r="BB881" s="16"/>
      <c r="BC881" s="72"/>
      <c r="BD881" s="20"/>
      <c r="BE881" s="378"/>
    </row>
    <row r="882" spans="1:57" s="81" customFormat="1" ht="12.95" hidden="1" customHeight="1">
      <c r="A882" s="374"/>
      <c r="B882" s="376"/>
      <c r="C882" s="270" t="s">
        <v>1731</v>
      </c>
      <c r="D882" s="239" t="s">
        <v>4957</v>
      </c>
      <c r="E882" s="58"/>
      <c r="F882" s="59" t="s">
        <v>4958</v>
      </c>
      <c r="G882" s="191" t="s">
        <v>2511</v>
      </c>
      <c r="H882" s="192" t="s">
        <v>2001</v>
      </c>
      <c r="I882" s="61" t="s">
        <v>2511</v>
      </c>
      <c r="J882" s="61" t="s">
        <v>2511</v>
      </c>
      <c r="K882" s="62" t="s">
        <v>2511</v>
      </c>
      <c r="L882" s="60" t="s">
        <v>2511</v>
      </c>
      <c r="M882" s="61" t="s">
        <v>2389</v>
      </c>
      <c r="N882" s="61" t="s">
        <v>2511</v>
      </c>
      <c r="O882" s="61" t="s">
        <v>2511</v>
      </c>
      <c r="P882" s="62" t="s">
        <v>2511</v>
      </c>
      <c r="Q882" s="82"/>
      <c r="R882" s="82"/>
      <c r="S882" s="82"/>
      <c r="T882" s="82"/>
      <c r="U882" s="82"/>
      <c r="V882" s="138" t="s">
        <v>4959</v>
      </c>
      <c r="W882" s="57" t="s">
        <v>4532</v>
      </c>
      <c r="X882" s="126" t="s">
        <v>2511</v>
      </c>
      <c r="Y882" s="126" t="s">
        <v>2511</v>
      </c>
      <c r="Z882" s="57"/>
      <c r="AA882" s="57" t="s">
        <v>4533</v>
      </c>
      <c r="AB882" s="138"/>
      <c r="AC882" s="138" t="s">
        <v>2631</v>
      </c>
      <c r="AD882" s="96"/>
      <c r="AE882" s="80"/>
      <c r="AF882" s="80"/>
      <c r="AG882" s="80"/>
      <c r="AH882" s="83"/>
      <c r="AI882" s="83"/>
      <c r="AJ882" s="84"/>
      <c r="AK882" s="84"/>
      <c r="AL882" s="84"/>
      <c r="AM882" s="84"/>
      <c r="AN882" s="84"/>
      <c r="AO882" s="84"/>
      <c r="AP882" s="84"/>
      <c r="AQ882" s="95" t="s">
        <v>2001</v>
      </c>
      <c r="AR882" s="72"/>
      <c r="AS882" s="72"/>
      <c r="AT882" s="72"/>
      <c r="AU882" s="72"/>
      <c r="AV882" s="72"/>
      <c r="AW882" s="72"/>
      <c r="AX882" s="72"/>
      <c r="AY882" s="72"/>
      <c r="AZ882" s="72"/>
      <c r="BA882" s="72"/>
      <c r="BB882" s="16"/>
      <c r="BC882" s="72"/>
      <c r="BD882" s="20"/>
      <c r="BE882" s="378"/>
    </row>
    <row r="883" spans="1:57" s="81" customFormat="1" ht="12.95" hidden="1" customHeight="1">
      <c r="A883" s="374"/>
      <c r="B883" s="376"/>
      <c r="C883" s="270" t="s">
        <v>1732</v>
      </c>
      <c r="D883" s="239" t="s">
        <v>4960</v>
      </c>
      <c r="E883" s="58"/>
      <c r="F883" s="59" t="s">
        <v>4961</v>
      </c>
      <c r="G883" s="191" t="s">
        <v>2511</v>
      </c>
      <c r="H883" s="192" t="s">
        <v>2002</v>
      </c>
      <c r="I883" s="61" t="s">
        <v>2511</v>
      </c>
      <c r="J883" s="61" t="s">
        <v>2511</v>
      </c>
      <c r="K883" s="62" t="s">
        <v>2511</v>
      </c>
      <c r="L883" s="60" t="s">
        <v>2511</v>
      </c>
      <c r="M883" s="61" t="s">
        <v>2389</v>
      </c>
      <c r="N883" s="61" t="s">
        <v>2511</v>
      </c>
      <c r="O883" s="61" t="s">
        <v>2511</v>
      </c>
      <c r="P883" s="62" t="s">
        <v>2511</v>
      </c>
      <c r="Q883" s="82"/>
      <c r="R883" s="82"/>
      <c r="S883" s="82"/>
      <c r="T883" s="82"/>
      <c r="U883" s="82"/>
      <c r="V883" s="138" t="s">
        <v>4962</v>
      </c>
      <c r="W883" s="57" t="s">
        <v>4532</v>
      </c>
      <c r="X883" s="126" t="s">
        <v>2511</v>
      </c>
      <c r="Y883" s="126" t="s">
        <v>2511</v>
      </c>
      <c r="Z883" s="57"/>
      <c r="AA883" s="57" t="s">
        <v>4533</v>
      </c>
      <c r="AB883" s="138"/>
      <c r="AC883" s="138">
        <v>0</v>
      </c>
      <c r="AD883" s="96"/>
      <c r="AE883" s="80"/>
      <c r="AF883" s="80"/>
      <c r="AG883" s="80"/>
      <c r="AH883" s="83"/>
      <c r="AI883" s="83"/>
      <c r="AJ883" s="84"/>
      <c r="AK883" s="84"/>
      <c r="AL883" s="84"/>
      <c r="AM883" s="84"/>
      <c r="AN883" s="84"/>
      <c r="AO883" s="84"/>
      <c r="AP883" s="84"/>
      <c r="AQ883" s="95" t="s">
        <v>2002</v>
      </c>
      <c r="AR883" s="72"/>
      <c r="AS883" s="72"/>
      <c r="AT883" s="72"/>
      <c r="AU883" s="72"/>
      <c r="AV883" s="72"/>
      <c r="AW883" s="72"/>
      <c r="AX883" s="72"/>
      <c r="AY883" s="72"/>
      <c r="AZ883" s="72"/>
      <c r="BA883" s="72"/>
      <c r="BB883" s="16"/>
      <c r="BC883" s="72"/>
      <c r="BD883" s="20"/>
      <c r="BE883" s="378"/>
    </row>
    <row r="884" spans="1:57" s="91" customFormat="1" ht="18" hidden="1" customHeight="1">
      <c r="A884" s="233"/>
      <c r="B884" s="89"/>
      <c r="C884" s="268" t="s">
        <v>1736</v>
      </c>
      <c r="D884" s="268"/>
      <c r="E884" s="86"/>
      <c r="F884" s="86"/>
      <c r="G884" s="87"/>
      <c r="H884" s="87"/>
      <c r="I884" s="87"/>
      <c r="J884" s="87"/>
      <c r="K884" s="87"/>
      <c r="L884" s="86"/>
      <c r="M884" s="86"/>
      <c r="N884" s="86"/>
      <c r="O884" s="86"/>
      <c r="P884" s="86"/>
      <c r="Q884" s="86"/>
      <c r="R884" s="86"/>
      <c r="S884" s="86"/>
      <c r="T884" s="86"/>
      <c r="U884" s="86"/>
      <c r="V884" s="86"/>
      <c r="W884" s="86"/>
      <c r="X884" s="129"/>
      <c r="Y884" s="129"/>
      <c r="Z884" s="88"/>
      <c r="AA884" s="88"/>
      <c r="AB884" s="88"/>
      <c r="AC884" s="88"/>
      <c r="AD884" s="88"/>
      <c r="AE884" s="88"/>
      <c r="AF884" s="88"/>
      <c r="AG884" s="88"/>
      <c r="AH884" s="88"/>
      <c r="AI884" s="88"/>
      <c r="AJ884" s="88"/>
      <c r="AK884" s="88"/>
      <c r="AL884" s="88"/>
      <c r="AM884" s="88"/>
      <c r="AN884" s="88"/>
      <c r="AO884" s="88"/>
      <c r="AP884" s="88"/>
      <c r="AQ884" s="89"/>
      <c r="AR884" s="89"/>
      <c r="AS884" s="90"/>
      <c r="AT884" s="90"/>
      <c r="AU884" s="90"/>
      <c r="AV884" s="90"/>
      <c r="AW884" s="90"/>
      <c r="AX884" s="90"/>
      <c r="AY884" s="90"/>
      <c r="AZ884" s="90"/>
      <c r="BA884" s="90"/>
      <c r="BB884" s="90"/>
      <c r="BC884" s="175" t="s">
        <v>2153</v>
      </c>
      <c r="BD884" s="90"/>
      <c r="BE884" s="233" t="s">
        <v>1736</v>
      </c>
    </row>
    <row r="885" spans="1:57" s="81" customFormat="1" ht="12.95" hidden="1" customHeight="1">
      <c r="A885" s="373"/>
      <c r="B885" s="375"/>
      <c r="C885" s="248" t="s">
        <v>1445</v>
      </c>
      <c r="D885" s="239" t="s">
        <v>4963</v>
      </c>
      <c r="E885" s="58"/>
      <c r="F885" s="59" t="s">
        <v>4964</v>
      </c>
      <c r="G885" s="191" t="s">
        <v>2511</v>
      </c>
      <c r="H885" s="192" t="s">
        <v>2003</v>
      </c>
      <c r="I885" s="61" t="s">
        <v>2511</v>
      </c>
      <c r="J885" s="61" t="s">
        <v>2511</v>
      </c>
      <c r="K885" s="62" t="s">
        <v>2511</v>
      </c>
      <c r="L885" s="60" t="s">
        <v>2511</v>
      </c>
      <c r="M885" s="61" t="s">
        <v>2389</v>
      </c>
      <c r="N885" s="61" t="s">
        <v>2511</v>
      </c>
      <c r="O885" s="61" t="s">
        <v>2511</v>
      </c>
      <c r="P885" s="62" t="s">
        <v>2511</v>
      </c>
      <c r="Q885" s="82"/>
      <c r="R885" s="82"/>
      <c r="S885" s="82"/>
      <c r="T885" s="82"/>
      <c r="U885" s="82"/>
      <c r="V885" s="138" t="s">
        <v>4965</v>
      </c>
      <c r="W885" s="57" t="s">
        <v>4966</v>
      </c>
      <c r="X885" s="126" t="s">
        <v>2511</v>
      </c>
      <c r="Y885" s="126" t="s">
        <v>2511</v>
      </c>
      <c r="Z885" s="57"/>
      <c r="AA885" s="57" t="s">
        <v>4533</v>
      </c>
      <c r="AB885" s="138"/>
      <c r="AC885" s="138" t="s">
        <v>2631</v>
      </c>
      <c r="AD885" s="92"/>
      <c r="AE885" s="93"/>
      <c r="AF885" s="93"/>
      <c r="AG885" s="93"/>
      <c r="AH885" s="94"/>
      <c r="AI885" s="83"/>
      <c r="AJ885" s="84"/>
      <c r="AK885" s="84"/>
      <c r="AL885" s="84"/>
      <c r="AM885" s="84"/>
      <c r="AN885" s="84"/>
      <c r="AO885" s="84"/>
      <c r="AP885" s="84"/>
      <c r="AQ885" s="95" t="s">
        <v>2003</v>
      </c>
      <c r="AR885" s="72"/>
      <c r="AS885" s="72"/>
      <c r="AT885" s="72"/>
      <c r="AU885" s="72"/>
      <c r="AV885" s="72"/>
      <c r="AW885" s="72"/>
      <c r="AX885" s="72"/>
      <c r="AY885" s="72"/>
      <c r="AZ885" s="72"/>
      <c r="BA885" s="72"/>
      <c r="BB885" s="16"/>
      <c r="BC885" s="22"/>
      <c r="BD885" s="19"/>
      <c r="BE885" s="377" t="s">
        <v>2216</v>
      </c>
    </row>
    <row r="886" spans="1:57" s="81" customFormat="1" ht="12.95" hidden="1" customHeight="1">
      <c r="A886" s="374"/>
      <c r="B886" s="376"/>
      <c r="C886" s="248" t="s">
        <v>1446</v>
      </c>
      <c r="D886" s="239" t="s">
        <v>4967</v>
      </c>
      <c r="E886" s="58"/>
      <c r="F886" s="59" t="s">
        <v>4968</v>
      </c>
      <c r="G886" s="191" t="s">
        <v>2511</v>
      </c>
      <c r="H886" s="192" t="s">
        <v>2004</v>
      </c>
      <c r="I886" s="61" t="s">
        <v>2511</v>
      </c>
      <c r="J886" s="61" t="s">
        <v>2511</v>
      </c>
      <c r="K886" s="62" t="s">
        <v>2511</v>
      </c>
      <c r="L886" s="60" t="s">
        <v>2511</v>
      </c>
      <c r="M886" s="61" t="s">
        <v>2389</v>
      </c>
      <c r="N886" s="61" t="s">
        <v>2511</v>
      </c>
      <c r="O886" s="61" t="s">
        <v>2511</v>
      </c>
      <c r="P886" s="62" t="s">
        <v>2511</v>
      </c>
      <c r="Q886" s="82"/>
      <c r="R886" s="82"/>
      <c r="S886" s="82"/>
      <c r="T886" s="82"/>
      <c r="U886" s="82"/>
      <c r="V886" s="138" t="s">
        <v>4969</v>
      </c>
      <c r="W886" s="57" t="s">
        <v>4966</v>
      </c>
      <c r="X886" s="126" t="s">
        <v>2511</v>
      </c>
      <c r="Y886" s="126" t="s">
        <v>2511</v>
      </c>
      <c r="Z886" s="57"/>
      <c r="AA886" s="57" t="s">
        <v>4533</v>
      </c>
      <c r="AB886" s="138"/>
      <c r="AC886" s="138" t="s">
        <v>2631</v>
      </c>
      <c r="AD886" s="96"/>
      <c r="AE886" s="80"/>
      <c r="AF886" s="80"/>
      <c r="AG886" s="80"/>
      <c r="AH886" s="83"/>
      <c r="AI886" s="83"/>
      <c r="AJ886" s="84"/>
      <c r="AK886" s="84"/>
      <c r="AL886" s="84"/>
      <c r="AM886" s="84"/>
      <c r="AN886" s="84"/>
      <c r="AO886" s="84"/>
      <c r="AP886" s="84"/>
      <c r="AQ886" s="95" t="s">
        <v>2004</v>
      </c>
      <c r="AR886" s="72"/>
      <c r="AS886" s="72"/>
      <c r="AT886" s="72"/>
      <c r="AU886" s="72"/>
      <c r="AV886" s="72"/>
      <c r="AW886" s="72"/>
      <c r="AX886" s="72"/>
      <c r="AY886" s="72"/>
      <c r="AZ886" s="72"/>
      <c r="BA886" s="72"/>
      <c r="BB886" s="16"/>
      <c r="BC886" s="72"/>
      <c r="BD886" s="20"/>
      <c r="BE886" s="378"/>
    </row>
    <row r="887" spans="1:57" s="81" customFormat="1" ht="12.95" hidden="1" customHeight="1">
      <c r="A887" s="374"/>
      <c r="B887" s="376"/>
      <c r="C887" s="248" t="s">
        <v>1447</v>
      </c>
      <c r="D887" s="239" t="s">
        <v>4970</v>
      </c>
      <c r="E887" s="58"/>
      <c r="F887" s="59" t="s">
        <v>4971</v>
      </c>
      <c r="G887" s="191" t="s">
        <v>2511</v>
      </c>
      <c r="H887" s="192" t="s">
        <v>2005</v>
      </c>
      <c r="I887" s="61" t="s">
        <v>2511</v>
      </c>
      <c r="J887" s="61" t="s">
        <v>2511</v>
      </c>
      <c r="K887" s="62" t="s">
        <v>2511</v>
      </c>
      <c r="L887" s="60" t="s">
        <v>2511</v>
      </c>
      <c r="M887" s="61" t="s">
        <v>2389</v>
      </c>
      <c r="N887" s="61" t="s">
        <v>2511</v>
      </c>
      <c r="O887" s="61" t="s">
        <v>2511</v>
      </c>
      <c r="P887" s="62" t="s">
        <v>2511</v>
      </c>
      <c r="Q887" s="82"/>
      <c r="R887" s="82"/>
      <c r="S887" s="82"/>
      <c r="T887" s="82"/>
      <c r="U887" s="82"/>
      <c r="V887" s="138" t="s">
        <v>4972</v>
      </c>
      <c r="W887" s="57" t="s">
        <v>4966</v>
      </c>
      <c r="X887" s="126" t="s">
        <v>2511</v>
      </c>
      <c r="Y887" s="126" t="s">
        <v>2511</v>
      </c>
      <c r="Z887" s="57"/>
      <c r="AA887" s="57" t="s">
        <v>4533</v>
      </c>
      <c r="AB887" s="138"/>
      <c r="AC887" s="138" t="s">
        <v>2631</v>
      </c>
      <c r="AD887" s="96"/>
      <c r="AE887" s="80"/>
      <c r="AF887" s="80"/>
      <c r="AG887" s="80"/>
      <c r="AH887" s="83"/>
      <c r="AI887" s="83"/>
      <c r="AJ887" s="84"/>
      <c r="AK887" s="84"/>
      <c r="AL887" s="84"/>
      <c r="AM887" s="84"/>
      <c r="AN887" s="84"/>
      <c r="AO887" s="84"/>
      <c r="AP887" s="84"/>
      <c r="AQ887" s="95" t="s">
        <v>2005</v>
      </c>
      <c r="AR887" s="72"/>
      <c r="AS887" s="72"/>
      <c r="AT887" s="72"/>
      <c r="AU887" s="72"/>
      <c r="AV887" s="72"/>
      <c r="AW887" s="72"/>
      <c r="AX887" s="72"/>
      <c r="AY887" s="72"/>
      <c r="AZ887" s="72"/>
      <c r="BA887" s="72"/>
      <c r="BB887" s="16"/>
      <c r="BC887" s="72"/>
      <c r="BD887" s="20"/>
      <c r="BE887" s="378"/>
    </row>
    <row r="888" spans="1:57" s="81" customFormat="1" ht="12.95" hidden="1" customHeight="1">
      <c r="A888" s="374"/>
      <c r="B888" s="376"/>
      <c r="C888" s="248" t="s">
        <v>1448</v>
      </c>
      <c r="D888" s="239" t="s">
        <v>4973</v>
      </c>
      <c r="E888" s="58"/>
      <c r="F888" s="59" t="s">
        <v>4974</v>
      </c>
      <c r="G888" s="191" t="s">
        <v>2511</v>
      </c>
      <c r="H888" s="192" t="s">
        <v>2006</v>
      </c>
      <c r="I888" s="61" t="s">
        <v>2511</v>
      </c>
      <c r="J888" s="61" t="s">
        <v>2511</v>
      </c>
      <c r="K888" s="62" t="s">
        <v>2511</v>
      </c>
      <c r="L888" s="60" t="s">
        <v>2511</v>
      </c>
      <c r="M888" s="61" t="s">
        <v>2389</v>
      </c>
      <c r="N888" s="61" t="s">
        <v>2511</v>
      </c>
      <c r="O888" s="61" t="s">
        <v>2511</v>
      </c>
      <c r="P888" s="62" t="s">
        <v>2511</v>
      </c>
      <c r="Q888" s="82"/>
      <c r="R888" s="82"/>
      <c r="S888" s="82"/>
      <c r="T888" s="82"/>
      <c r="U888" s="82"/>
      <c r="V888" s="138" t="s">
        <v>4975</v>
      </c>
      <c r="W888" s="57" t="s">
        <v>4966</v>
      </c>
      <c r="X888" s="126" t="s">
        <v>2511</v>
      </c>
      <c r="Y888" s="126" t="s">
        <v>2511</v>
      </c>
      <c r="Z888" s="57"/>
      <c r="AA888" s="57" t="s">
        <v>4533</v>
      </c>
      <c r="AB888" s="138"/>
      <c r="AC888" s="138" t="s">
        <v>2631</v>
      </c>
      <c r="AD888" s="96"/>
      <c r="AE888" s="80"/>
      <c r="AF888" s="80"/>
      <c r="AG888" s="80"/>
      <c r="AH888" s="83"/>
      <c r="AI888" s="83"/>
      <c r="AJ888" s="84"/>
      <c r="AK888" s="84"/>
      <c r="AL888" s="84"/>
      <c r="AM888" s="84"/>
      <c r="AN888" s="84"/>
      <c r="AO888" s="84"/>
      <c r="AP888" s="84"/>
      <c r="AQ888" s="95" t="s">
        <v>2006</v>
      </c>
      <c r="AR888" s="72"/>
      <c r="AS888" s="72"/>
      <c r="AT888" s="72"/>
      <c r="AU888" s="72"/>
      <c r="AV888" s="72"/>
      <c r="AW888" s="72"/>
      <c r="AX888" s="72"/>
      <c r="AY888" s="72"/>
      <c r="AZ888" s="72"/>
      <c r="BA888" s="72"/>
      <c r="BB888" s="16"/>
      <c r="BC888" s="72"/>
      <c r="BD888" s="20"/>
      <c r="BE888" s="378"/>
    </row>
    <row r="889" spans="1:57" s="81" customFormat="1" ht="12.95" hidden="1" customHeight="1">
      <c r="A889" s="374"/>
      <c r="B889" s="376"/>
      <c r="C889" s="248" t="s">
        <v>1449</v>
      </c>
      <c r="D889" s="239" t="s">
        <v>4976</v>
      </c>
      <c r="E889" s="58"/>
      <c r="F889" s="59" t="s">
        <v>4977</v>
      </c>
      <c r="G889" s="191" t="s">
        <v>2511</v>
      </c>
      <c r="H889" s="192" t="s">
        <v>2007</v>
      </c>
      <c r="I889" s="61" t="s">
        <v>2511</v>
      </c>
      <c r="J889" s="61" t="s">
        <v>2511</v>
      </c>
      <c r="K889" s="62" t="s">
        <v>2511</v>
      </c>
      <c r="L889" s="60" t="s">
        <v>2511</v>
      </c>
      <c r="M889" s="61" t="s">
        <v>2389</v>
      </c>
      <c r="N889" s="61" t="s">
        <v>2511</v>
      </c>
      <c r="O889" s="61" t="s">
        <v>2511</v>
      </c>
      <c r="P889" s="62" t="s">
        <v>2511</v>
      </c>
      <c r="Q889" s="82"/>
      <c r="R889" s="82"/>
      <c r="S889" s="82"/>
      <c r="T889" s="82"/>
      <c r="U889" s="82"/>
      <c r="V889" s="138" t="s">
        <v>4978</v>
      </c>
      <c r="W889" s="57" t="s">
        <v>4966</v>
      </c>
      <c r="X889" s="126" t="s">
        <v>2511</v>
      </c>
      <c r="Y889" s="126" t="s">
        <v>2511</v>
      </c>
      <c r="Z889" s="57"/>
      <c r="AA889" s="57" t="s">
        <v>4533</v>
      </c>
      <c r="AB889" s="138"/>
      <c r="AC889" s="138" t="s">
        <v>2631</v>
      </c>
      <c r="AD889" s="96"/>
      <c r="AE889" s="80"/>
      <c r="AF889" s="80"/>
      <c r="AG889" s="80"/>
      <c r="AH889" s="83"/>
      <c r="AI889" s="83"/>
      <c r="AJ889" s="84"/>
      <c r="AK889" s="84"/>
      <c r="AL889" s="84"/>
      <c r="AM889" s="84"/>
      <c r="AN889" s="84"/>
      <c r="AO889" s="84"/>
      <c r="AP889" s="84"/>
      <c r="AQ889" s="95" t="s">
        <v>2007</v>
      </c>
      <c r="AR889" s="72"/>
      <c r="AS889" s="72"/>
      <c r="AT889" s="72"/>
      <c r="AU889" s="72"/>
      <c r="AV889" s="72"/>
      <c r="AW889" s="72"/>
      <c r="AX889" s="72"/>
      <c r="AY889" s="72"/>
      <c r="AZ889" s="72"/>
      <c r="BA889" s="72"/>
      <c r="BB889" s="16"/>
      <c r="BC889" s="72"/>
      <c r="BD889" s="20"/>
      <c r="BE889" s="378"/>
    </row>
    <row r="890" spans="1:57" s="81" customFormat="1" ht="12.95" hidden="1" customHeight="1">
      <c r="A890" s="374"/>
      <c r="B890" s="376"/>
      <c r="C890" s="248" t="s">
        <v>1450</v>
      </c>
      <c r="D890" s="239" t="s">
        <v>4979</v>
      </c>
      <c r="E890" s="58"/>
      <c r="F890" s="59" t="s">
        <v>4980</v>
      </c>
      <c r="G890" s="191" t="s">
        <v>2511</v>
      </c>
      <c r="H890" s="192" t="s">
        <v>2008</v>
      </c>
      <c r="I890" s="61" t="s">
        <v>2511</v>
      </c>
      <c r="J890" s="61" t="s">
        <v>2511</v>
      </c>
      <c r="K890" s="62" t="s">
        <v>2511</v>
      </c>
      <c r="L890" s="60" t="s">
        <v>2511</v>
      </c>
      <c r="M890" s="61" t="s">
        <v>2389</v>
      </c>
      <c r="N890" s="61" t="s">
        <v>2511</v>
      </c>
      <c r="O890" s="61" t="s">
        <v>2511</v>
      </c>
      <c r="P890" s="62" t="s">
        <v>2511</v>
      </c>
      <c r="Q890" s="82"/>
      <c r="R890" s="82"/>
      <c r="S890" s="82"/>
      <c r="T890" s="82"/>
      <c r="U890" s="82"/>
      <c r="V890" s="138" t="s">
        <v>4981</v>
      </c>
      <c r="W890" s="57" t="s">
        <v>4966</v>
      </c>
      <c r="X890" s="126" t="s">
        <v>2511</v>
      </c>
      <c r="Y890" s="126" t="s">
        <v>2511</v>
      </c>
      <c r="Z890" s="57"/>
      <c r="AA890" s="57" t="s">
        <v>4533</v>
      </c>
      <c r="AB890" s="138"/>
      <c r="AC890" s="138" t="s">
        <v>2631</v>
      </c>
      <c r="AD890" s="96"/>
      <c r="AE890" s="80"/>
      <c r="AF890" s="80"/>
      <c r="AG890" s="80"/>
      <c r="AH890" s="83"/>
      <c r="AI890" s="83"/>
      <c r="AJ890" s="84"/>
      <c r="AK890" s="84"/>
      <c r="AL890" s="84"/>
      <c r="AM890" s="84"/>
      <c r="AN890" s="84"/>
      <c r="AO890" s="84"/>
      <c r="AP890" s="84"/>
      <c r="AQ890" s="95" t="s">
        <v>2008</v>
      </c>
      <c r="AR890" s="72"/>
      <c r="AS890" s="72"/>
      <c r="AT890" s="72"/>
      <c r="AU890" s="72"/>
      <c r="AV890" s="72"/>
      <c r="AW890" s="72"/>
      <c r="AX890" s="72"/>
      <c r="AY890" s="72"/>
      <c r="AZ890" s="72"/>
      <c r="BA890" s="72"/>
      <c r="BB890" s="16"/>
      <c r="BC890" s="72"/>
      <c r="BD890" s="20"/>
      <c r="BE890" s="378"/>
    </row>
    <row r="891" spans="1:57" s="81" customFormat="1" ht="12.95" hidden="1" customHeight="1">
      <c r="A891" s="374"/>
      <c r="B891" s="376"/>
      <c r="C891" s="248" t="s">
        <v>1451</v>
      </c>
      <c r="D891" s="239" t="s">
        <v>4982</v>
      </c>
      <c r="E891" s="58"/>
      <c r="F891" s="59" t="s">
        <v>4983</v>
      </c>
      <c r="G891" s="191" t="s">
        <v>2511</v>
      </c>
      <c r="H891" s="192" t="s">
        <v>2009</v>
      </c>
      <c r="I891" s="61" t="s">
        <v>2511</v>
      </c>
      <c r="J891" s="61" t="s">
        <v>2511</v>
      </c>
      <c r="K891" s="62" t="s">
        <v>2511</v>
      </c>
      <c r="L891" s="60" t="s">
        <v>2511</v>
      </c>
      <c r="M891" s="61" t="s">
        <v>2389</v>
      </c>
      <c r="N891" s="61" t="s">
        <v>2511</v>
      </c>
      <c r="O891" s="61" t="s">
        <v>2511</v>
      </c>
      <c r="P891" s="62" t="s">
        <v>2511</v>
      </c>
      <c r="Q891" s="82"/>
      <c r="R891" s="82"/>
      <c r="S891" s="82"/>
      <c r="T891" s="82"/>
      <c r="U891" s="82"/>
      <c r="V891" s="138" t="s">
        <v>4984</v>
      </c>
      <c r="W891" s="57" t="s">
        <v>4966</v>
      </c>
      <c r="X891" s="126" t="s">
        <v>2511</v>
      </c>
      <c r="Y891" s="126" t="s">
        <v>2511</v>
      </c>
      <c r="Z891" s="57"/>
      <c r="AA891" s="57" t="s">
        <v>4533</v>
      </c>
      <c r="AB891" s="138"/>
      <c r="AC891" s="138" t="s">
        <v>2631</v>
      </c>
      <c r="AD891" s="96"/>
      <c r="AE891" s="80"/>
      <c r="AF891" s="80"/>
      <c r="AG891" s="80"/>
      <c r="AH891" s="83"/>
      <c r="AI891" s="83"/>
      <c r="AJ891" s="84"/>
      <c r="AK891" s="84"/>
      <c r="AL891" s="84"/>
      <c r="AM891" s="84"/>
      <c r="AN891" s="84"/>
      <c r="AO891" s="84"/>
      <c r="AP891" s="84"/>
      <c r="AQ891" s="95" t="s">
        <v>2009</v>
      </c>
      <c r="AR891" s="72"/>
      <c r="AS891" s="72"/>
      <c r="AT891" s="72"/>
      <c r="AU891" s="72"/>
      <c r="AV891" s="72"/>
      <c r="AW891" s="72"/>
      <c r="AX891" s="72"/>
      <c r="AY891" s="72"/>
      <c r="AZ891" s="72"/>
      <c r="BA891" s="72"/>
      <c r="BB891" s="16"/>
      <c r="BC891" s="72"/>
      <c r="BD891" s="20"/>
      <c r="BE891" s="378"/>
    </row>
    <row r="892" spans="1:57" s="81" customFormat="1" ht="12.95" hidden="1" customHeight="1">
      <c r="A892" s="374"/>
      <c r="B892" s="376"/>
      <c r="C892" s="248" t="s">
        <v>1452</v>
      </c>
      <c r="D892" s="239" t="s">
        <v>4985</v>
      </c>
      <c r="E892" s="58"/>
      <c r="F892" s="59" t="s">
        <v>4986</v>
      </c>
      <c r="G892" s="191" t="s">
        <v>2511</v>
      </c>
      <c r="H892" s="192" t="s">
        <v>2010</v>
      </c>
      <c r="I892" s="61" t="s">
        <v>2511</v>
      </c>
      <c r="J892" s="61" t="s">
        <v>2511</v>
      </c>
      <c r="K892" s="62" t="s">
        <v>2511</v>
      </c>
      <c r="L892" s="60" t="s">
        <v>2511</v>
      </c>
      <c r="M892" s="61" t="s">
        <v>2389</v>
      </c>
      <c r="N892" s="61" t="s">
        <v>2511</v>
      </c>
      <c r="O892" s="61" t="s">
        <v>2511</v>
      </c>
      <c r="P892" s="62" t="s">
        <v>2511</v>
      </c>
      <c r="Q892" s="82"/>
      <c r="R892" s="82"/>
      <c r="S892" s="82"/>
      <c r="T892" s="82"/>
      <c r="U892" s="82"/>
      <c r="V892" s="138" t="s">
        <v>4987</v>
      </c>
      <c r="W892" s="57" t="s">
        <v>4966</v>
      </c>
      <c r="X892" s="126" t="s">
        <v>2511</v>
      </c>
      <c r="Y892" s="126" t="s">
        <v>2511</v>
      </c>
      <c r="Z892" s="57"/>
      <c r="AA892" s="57" t="s">
        <v>4533</v>
      </c>
      <c r="AB892" s="138"/>
      <c r="AC892" s="138" t="s">
        <v>2631</v>
      </c>
      <c r="AD892" s="96"/>
      <c r="AE892" s="80"/>
      <c r="AF892" s="80"/>
      <c r="AG892" s="80"/>
      <c r="AH892" s="83"/>
      <c r="AI892" s="83"/>
      <c r="AJ892" s="84"/>
      <c r="AK892" s="84"/>
      <c r="AL892" s="84"/>
      <c r="AM892" s="84"/>
      <c r="AN892" s="84"/>
      <c r="AO892" s="84"/>
      <c r="AP892" s="84"/>
      <c r="AQ892" s="95" t="s">
        <v>2010</v>
      </c>
      <c r="AR892" s="72"/>
      <c r="AS892" s="72"/>
      <c r="AT892" s="72"/>
      <c r="AU892" s="72"/>
      <c r="AV892" s="72"/>
      <c r="AW892" s="72"/>
      <c r="AX892" s="72"/>
      <c r="AY892" s="72"/>
      <c r="AZ892" s="72"/>
      <c r="BA892" s="72"/>
      <c r="BB892" s="16"/>
      <c r="BC892" s="72"/>
      <c r="BD892" s="20"/>
      <c r="BE892" s="378"/>
    </row>
    <row r="893" spans="1:57" s="81" customFormat="1" ht="12.95" hidden="1" customHeight="1">
      <c r="A893" s="374"/>
      <c r="B893" s="376"/>
      <c r="C893" s="248" t="s">
        <v>1453</v>
      </c>
      <c r="D893" s="239" t="s">
        <v>4988</v>
      </c>
      <c r="E893" s="58"/>
      <c r="F893" s="59" t="s">
        <v>4989</v>
      </c>
      <c r="G893" s="191" t="s">
        <v>2511</v>
      </c>
      <c r="H893" s="192" t="s">
        <v>2011</v>
      </c>
      <c r="I893" s="61" t="s">
        <v>2511</v>
      </c>
      <c r="J893" s="61" t="s">
        <v>2511</v>
      </c>
      <c r="K893" s="62" t="s">
        <v>2511</v>
      </c>
      <c r="L893" s="60" t="s">
        <v>2511</v>
      </c>
      <c r="M893" s="61" t="s">
        <v>2389</v>
      </c>
      <c r="N893" s="61" t="s">
        <v>2511</v>
      </c>
      <c r="O893" s="61" t="s">
        <v>2511</v>
      </c>
      <c r="P893" s="62" t="s">
        <v>2511</v>
      </c>
      <c r="Q893" s="82"/>
      <c r="R893" s="82"/>
      <c r="S893" s="82"/>
      <c r="T893" s="82"/>
      <c r="U893" s="82"/>
      <c r="V893" s="138" t="s">
        <v>4990</v>
      </c>
      <c r="W893" s="57" t="s">
        <v>4966</v>
      </c>
      <c r="X893" s="126" t="s">
        <v>2511</v>
      </c>
      <c r="Y893" s="126" t="s">
        <v>2511</v>
      </c>
      <c r="Z893" s="57"/>
      <c r="AA893" s="57" t="s">
        <v>4533</v>
      </c>
      <c r="AB893" s="138"/>
      <c r="AC893" s="138" t="s">
        <v>2631</v>
      </c>
      <c r="AD893" s="96"/>
      <c r="AE893" s="80"/>
      <c r="AF893" s="80"/>
      <c r="AG893" s="80"/>
      <c r="AH893" s="83"/>
      <c r="AI893" s="83"/>
      <c r="AJ893" s="84"/>
      <c r="AK893" s="84"/>
      <c r="AL893" s="84"/>
      <c r="AM893" s="84"/>
      <c r="AN893" s="84"/>
      <c r="AO893" s="84"/>
      <c r="AP893" s="84"/>
      <c r="AQ893" s="95" t="s">
        <v>2011</v>
      </c>
      <c r="AR893" s="72"/>
      <c r="AS893" s="72"/>
      <c r="AT893" s="72"/>
      <c r="AU893" s="72"/>
      <c r="AV893" s="72"/>
      <c r="AW893" s="72"/>
      <c r="AX893" s="72"/>
      <c r="AY893" s="72"/>
      <c r="AZ893" s="72"/>
      <c r="BA893" s="72"/>
      <c r="BB893" s="16"/>
      <c r="BC893" s="72"/>
      <c r="BD893" s="20"/>
      <c r="BE893" s="378"/>
    </row>
    <row r="894" spans="1:57" s="81" customFormat="1" ht="12.95" hidden="1" customHeight="1">
      <c r="A894" s="374"/>
      <c r="B894" s="376"/>
      <c r="C894" s="270" t="s">
        <v>1454</v>
      </c>
      <c r="D894" s="239" t="s">
        <v>4991</v>
      </c>
      <c r="E894" s="58"/>
      <c r="F894" s="59" t="s">
        <v>4992</v>
      </c>
      <c r="G894" s="191" t="s">
        <v>2511</v>
      </c>
      <c r="H894" s="192" t="s">
        <v>2012</v>
      </c>
      <c r="I894" s="61" t="s">
        <v>2511</v>
      </c>
      <c r="J894" s="61" t="s">
        <v>2511</v>
      </c>
      <c r="K894" s="62" t="s">
        <v>2511</v>
      </c>
      <c r="L894" s="60" t="s">
        <v>2511</v>
      </c>
      <c r="M894" s="61" t="s">
        <v>2389</v>
      </c>
      <c r="N894" s="61" t="s">
        <v>2511</v>
      </c>
      <c r="O894" s="61" t="s">
        <v>2511</v>
      </c>
      <c r="P894" s="62" t="s">
        <v>2511</v>
      </c>
      <c r="Q894" s="82"/>
      <c r="R894" s="82"/>
      <c r="S894" s="82"/>
      <c r="T894" s="82"/>
      <c r="U894" s="82"/>
      <c r="V894" s="138" t="s">
        <v>4993</v>
      </c>
      <c r="W894" s="57" t="s">
        <v>4966</v>
      </c>
      <c r="X894" s="126" t="s">
        <v>2511</v>
      </c>
      <c r="Y894" s="126" t="s">
        <v>2511</v>
      </c>
      <c r="Z894" s="57"/>
      <c r="AA894" s="57" t="s">
        <v>4533</v>
      </c>
      <c r="AB894" s="138"/>
      <c r="AC894" s="138" t="s">
        <v>2631</v>
      </c>
      <c r="AD894" s="96"/>
      <c r="AE894" s="80"/>
      <c r="AF894" s="80"/>
      <c r="AG894" s="80"/>
      <c r="AH894" s="83"/>
      <c r="AI894" s="83"/>
      <c r="AJ894" s="84"/>
      <c r="AK894" s="84"/>
      <c r="AL894" s="84"/>
      <c r="AM894" s="84"/>
      <c r="AN894" s="84"/>
      <c r="AO894" s="84"/>
      <c r="AP894" s="84"/>
      <c r="AQ894" s="95" t="s">
        <v>2012</v>
      </c>
      <c r="AR894" s="72"/>
      <c r="AS894" s="72"/>
      <c r="AT894" s="72"/>
      <c r="AU894" s="72"/>
      <c r="AV894" s="72"/>
      <c r="AW894" s="72"/>
      <c r="AX894" s="72"/>
      <c r="AY894" s="72"/>
      <c r="AZ894" s="72"/>
      <c r="BA894" s="72"/>
      <c r="BB894" s="16"/>
      <c r="BC894" s="72"/>
      <c r="BD894" s="20"/>
      <c r="BE894" s="378"/>
    </row>
    <row r="895" spans="1:57" s="81" customFormat="1" ht="12.95" hidden="1" customHeight="1">
      <c r="A895" s="374"/>
      <c r="B895" s="376"/>
      <c r="C895" s="270" t="s">
        <v>1455</v>
      </c>
      <c r="D895" s="239" t="s">
        <v>4994</v>
      </c>
      <c r="E895" s="58"/>
      <c r="F895" s="59" t="s">
        <v>4995</v>
      </c>
      <c r="G895" s="191" t="s">
        <v>2511</v>
      </c>
      <c r="H895" s="192" t="s">
        <v>2013</v>
      </c>
      <c r="I895" s="61" t="s">
        <v>2511</v>
      </c>
      <c r="J895" s="61" t="s">
        <v>2511</v>
      </c>
      <c r="K895" s="62" t="s">
        <v>2511</v>
      </c>
      <c r="L895" s="60" t="s">
        <v>2511</v>
      </c>
      <c r="M895" s="61" t="s">
        <v>2389</v>
      </c>
      <c r="N895" s="61" t="s">
        <v>2511</v>
      </c>
      <c r="O895" s="61" t="s">
        <v>2511</v>
      </c>
      <c r="P895" s="62" t="s">
        <v>2511</v>
      </c>
      <c r="Q895" s="82"/>
      <c r="R895" s="82"/>
      <c r="S895" s="82"/>
      <c r="T895" s="82"/>
      <c r="U895" s="82"/>
      <c r="V895" s="138" t="s">
        <v>4996</v>
      </c>
      <c r="W895" s="57" t="s">
        <v>4966</v>
      </c>
      <c r="X895" s="126" t="s">
        <v>2511</v>
      </c>
      <c r="Y895" s="126" t="s">
        <v>2511</v>
      </c>
      <c r="Z895" s="57"/>
      <c r="AA895" s="57" t="s">
        <v>4533</v>
      </c>
      <c r="AB895" s="138"/>
      <c r="AC895" s="138" t="s">
        <v>2631</v>
      </c>
      <c r="AD895" s="96"/>
      <c r="AE895" s="80"/>
      <c r="AF895" s="80"/>
      <c r="AG895" s="80"/>
      <c r="AH895" s="83"/>
      <c r="AI895" s="83"/>
      <c r="AJ895" s="84"/>
      <c r="AK895" s="84"/>
      <c r="AL895" s="84"/>
      <c r="AM895" s="84"/>
      <c r="AN895" s="84"/>
      <c r="AO895" s="84"/>
      <c r="AP895" s="84"/>
      <c r="AQ895" s="95" t="s">
        <v>2013</v>
      </c>
      <c r="AR895" s="72"/>
      <c r="AS895" s="72"/>
      <c r="AT895" s="72"/>
      <c r="AU895" s="72"/>
      <c r="AV895" s="72"/>
      <c r="AW895" s="72"/>
      <c r="AX895" s="72"/>
      <c r="AY895" s="72"/>
      <c r="AZ895" s="72"/>
      <c r="BA895" s="72"/>
      <c r="BB895" s="16"/>
      <c r="BC895" s="72"/>
      <c r="BD895" s="20"/>
      <c r="BE895" s="378"/>
    </row>
    <row r="896" spans="1:57" s="81" customFormat="1" ht="12.95" hidden="1" customHeight="1">
      <c r="A896" s="374"/>
      <c r="B896" s="376"/>
      <c r="C896" s="248" t="s">
        <v>1456</v>
      </c>
      <c r="D896" s="239" t="s">
        <v>4997</v>
      </c>
      <c r="E896" s="58"/>
      <c r="F896" s="59" t="s">
        <v>4998</v>
      </c>
      <c r="G896" s="191" t="s">
        <v>2511</v>
      </c>
      <c r="H896" s="192" t="s">
        <v>2014</v>
      </c>
      <c r="I896" s="61" t="s">
        <v>2511</v>
      </c>
      <c r="J896" s="61" t="s">
        <v>2511</v>
      </c>
      <c r="K896" s="62" t="s">
        <v>2511</v>
      </c>
      <c r="L896" s="60" t="s">
        <v>2511</v>
      </c>
      <c r="M896" s="61" t="s">
        <v>2389</v>
      </c>
      <c r="N896" s="61" t="s">
        <v>2511</v>
      </c>
      <c r="O896" s="61" t="s">
        <v>2511</v>
      </c>
      <c r="P896" s="62" t="s">
        <v>2511</v>
      </c>
      <c r="Q896" s="82"/>
      <c r="R896" s="82"/>
      <c r="S896" s="82"/>
      <c r="T896" s="82"/>
      <c r="U896" s="82"/>
      <c r="V896" s="138" t="s">
        <v>4999</v>
      </c>
      <c r="W896" s="57" t="s">
        <v>4966</v>
      </c>
      <c r="X896" s="126" t="s">
        <v>2511</v>
      </c>
      <c r="Y896" s="126" t="s">
        <v>2511</v>
      </c>
      <c r="Z896" s="57"/>
      <c r="AA896" s="57" t="s">
        <v>4533</v>
      </c>
      <c r="AB896" s="138"/>
      <c r="AC896" s="138">
        <v>0</v>
      </c>
      <c r="AD896" s="96"/>
      <c r="AE896" s="80"/>
      <c r="AF896" s="80"/>
      <c r="AG896" s="80"/>
      <c r="AH896" s="83"/>
      <c r="AI896" s="83"/>
      <c r="AJ896" s="84"/>
      <c r="AK896" s="84"/>
      <c r="AL896" s="84"/>
      <c r="AM896" s="84"/>
      <c r="AN896" s="84"/>
      <c r="AO896" s="84"/>
      <c r="AP896" s="84"/>
      <c r="AQ896" s="95" t="s">
        <v>2014</v>
      </c>
      <c r="AR896" s="72"/>
      <c r="AS896" s="72"/>
      <c r="AT896" s="72"/>
      <c r="AU896" s="72"/>
      <c r="AV896" s="72"/>
      <c r="AW896" s="72"/>
      <c r="AX896" s="72"/>
      <c r="AY896" s="72"/>
      <c r="AZ896" s="72"/>
      <c r="BA896" s="72"/>
      <c r="BB896" s="16"/>
      <c r="BC896" s="72"/>
      <c r="BD896" s="20"/>
      <c r="BE896" s="378"/>
    </row>
    <row r="897" spans="1:57" s="81" customFormat="1" ht="12.95" hidden="1" customHeight="1">
      <c r="A897" s="374"/>
      <c r="B897" s="376"/>
      <c r="C897" s="248" t="s">
        <v>1457</v>
      </c>
      <c r="D897" s="239" t="s">
        <v>5000</v>
      </c>
      <c r="E897" s="58"/>
      <c r="F897" s="59" t="s">
        <v>5001</v>
      </c>
      <c r="G897" s="191" t="s">
        <v>2511</v>
      </c>
      <c r="H897" s="192" t="s">
        <v>2015</v>
      </c>
      <c r="I897" s="61" t="s">
        <v>2511</v>
      </c>
      <c r="J897" s="61" t="s">
        <v>2511</v>
      </c>
      <c r="K897" s="62" t="s">
        <v>2511</v>
      </c>
      <c r="L897" s="60" t="s">
        <v>2511</v>
      </c>
      <c r="M897" s="61" t="s">
        <v>2389</v>
      </c>
      <c r="N897" s="61" t="s">
        <v>2511</v>
      </c>
      <c r="O897" s="61" t="s">
        <v>2511</v>
      </c>
      <c r="P897" s="62" t="s">
        <v>2511</v>
      </c>
      <c r="Q897" s="82"/>
      <c r="R897" s="82"/>
      <c r="S897" s="82"/>
      <c r="T897" s="82"/>
      <c r="U897" s="82"/>
      <c r="V897" s="138" t="s">
        <v>5002</v>
      </c>
      <c r="W897" s="57" t="s">
        <v>4966</v>
      </c>
      <c r="X897" s="126" t="s">
        <v>2511</v>
      </c>
      <c r="Y897" s="126" t="s">
        <v>2511</v>
      </c>
      <c r="Z897" s="57"/>
      <c r="AA897" s="57" t="s">
        <v>4533</v>
      </c>
      <c r="AB897" s="138"/>
      <c r="AC897" s="138" t="s">
        <v>2631</v>
      </c>
      <c r="AD897" s="96"/>
      <c r="AE897" s="80"/>
      <c r="AF897" s="80"/>
      <c r="AG897" s="80"/>
      <c r="AH897" s="83"/>
      <c r="AI897" s="83"/>
      <c r="AJ897" s="84"/>
      <c r="AK897" s="84"/>
      <c r="AL897" s="84"/>
      <c r="AM897" s="84"/>
      <c r="AN897" s="84"/>
      <c r="AO897" s="84"/>
      <c r="AP897" s="84"/>
      <c r="AQ897" s="95" t="s">
        <v>2015</v>
      </c>
      <c r="AR897" s="72"/>
      <c r="AS897" s="72"/>
      <c r="AT897" s="72"/>
      <c r="AU897" s="72"/>
      <c r="AV897" s="72"/>
      <c r="AW897" s="72"/>
      <c r="AX897" s="72"/>
      <c r="AY897" s="72"/>
      <c r="AZ897" s="72"/>
      <c r="BA897" s="72"/>
      <c r="BB897" s="16"/>
      <c r="BC897" s="72"/>
      <c r="BD897" s="20"/>
      <c r="BE897" s="378"/>
    </row>
    <row r="898" spans="1:57" s="81" customFormat="1" ht="12.95" hidden="1" customHeight="1">
      <c r="A898" s="374"/>
      <c r="B898" s="376"/>
      <c r="C898" s="248" t="s">
        <v>1458</v>
      </c>
      <c r="D898" s="239" t="s">
        <v>5003</v>
      </c>
      <c r="E898" s="58"/>
      <c r="F898" s="59" t="s">
        <v>5004</v>
      </c>
      <c r="G898" s="191" t="s">
        <v>2511</v>
      </c>
      <c r="H898" s="192" t="s">
        <v>2016</v>
      </c>
      <c r="I898" s="61" t="s">
        <v>2511</v>
      </c>
      <c r="J898" s="61" t="s">
        <v>2511</v>
      </c>
      <c r="K898" s="62" t="s">
        <v>2511</v>
      </c>
      <c r="L898" s="60" t="s">
        <v>2511</v>
      </c>
      <c r="M898" s="61" t="s">
        <v>2389</v>
      </c>
      <c r="N898" s="61" t="s">
        <v>2511</v>
      </c>
      <c r="O898" s="61" t="s">
        <v>2511</v>
      </c>
      <c r="P898" s="62" t="s">
        <v>2511</v>
      </c>
      <c r="Q898" s="82"/>
      <c r="R898" s="82"/>
      <c r="S898" s="82"/>
      <c r="T898" s="82"/>
      <c r="U898" s="82"/>
      <c r="V898" s="138" t="s">
        <v>5005</v>
      </c>
      <c r="W898" s="57" t="s">
        <v>4966</v>
      </c>
      <c r="X898" s="126" t="s">
        <v>2511</v>
      </c>
      <c r="Y898" s="126" t="s">
        <v>2511</v>
      </c>
      <c r="Z898" s="57"/>
      <c r="AA898" s="57" t="s">
        <v>4533</v>
      </c>
      <c r="AB898" s="138"/>
      <c r="AC898" s="138" t="s">
        <v>2631</v>
      </c>
      <c r="AD898" s="96"/>
      <c r="AE898" s="80"/>
      <c r="AF898" s="80"/>
      <c r="AG898" s="80"/>
      <c r="AH898" s="83"/>
      <c r="AI898" s="83"/>
      <c r="AJ898" s="84"/>
      <c r="AK898" s="84"/>
      <c r="AL898" s="84"/>
      <c r="AM898" s="84"/>
      <c r="AN898" s="84"/>
      <c r="AO898" s="84"/>
      <c r="AP898" s="84"/>
      <c r="AQ898" s="95" t="s">
        <v>2016</v>
      </c>
      <c r="AR898" s="72"/>
      <c r="AS898" s="72"/>
      <c r="AT898" s="72"/>
      <c r="AU898" s="72"/>
      <c r="AV898" s="72"/>
      <c r="AW898" s="72"/>
      <c r="AX898" s="72"/>
      <c r="AY898" s="72"/>
      <c r="AZ898" s="72"/>
      <c r="BA898" s="72"/>
      <c r="BB898" s="16"/>
      <c r="BC898" s="72"/>
      <c r="BD898" s="20"/>
      <c r="BE898" s="378"/>
    </row>
    <row r="899" spans="1:57" s="81" customFormat="1" ht="12.95" hidden="1" customHeight="1">
      <c r="A899" s="374"/>
      <c r="B899" s="376"/>
      <c r="C899" s="248" t="s">
        <v>1459</v>
      </c>
      <c r="D899" s="239" t="s">
        <v>5006</v>
      </c>
      <c r="E899" s="58"/>
      <c r="F899" s="59" t="s">
        <v>5007</v>
      </c>
      <c r="G899" s="191" t="s">
        <v>2511</v>
      </c>
      <c r="H899" s="192" t="s">
        <v>2017</v>
      </c>
      <c r="I899" s="61" t="s">
        <v>2511</v>
      </c>
      <c r="J899" s="61" t="s">
        <v>2511</v>
      </c>
      <c r="K899" s="62" t="s">
        <v>2511</v>
      </c>
      <c r="L899" s="60" t="s">
        <v>2511</v>
      </c>
      <c r="M899" s="61" t="s">
        <v>2389</v>
      </c>
      <c r="N899" s="61" t="s">
        <v>2511</v>
      </c>
      <c r="O899" s="61" t="s">
        <v>2511</v>
      </c>
      <c r="P899" s="62" t="s">
        <v>2511</v>
      </c>
      <c r="Q899" s="82"/>
      <c r="R899" s="82"/>
      <c r="S899" s="82"/>
      <c r="T899" s="82"/>
      <c r="U899" s="82"/>
      <c r="V899" s="138" t="s">
        <v>5008</v>
      </c>
      <c r="W899" s="57" t="s">
        <v>4966</v>
      </c>
      <c r="X899" s="126" t="s">
        <v>2511</v>
      </c>
      <c r="Y899" s="126" t="s">
        <v>2511</v>
      </c>
      <c r="Z899" s="57"/>
      <c r="AA899" s="57" t="s">
        <v>4533</v>
      </c>
      <c r="AB899" s="138"/>
      <c r="AC899" s="138" t="s">
        <v>2631</v>
      </c>
      <c r="AD899" s="96"/>
      <c r="AE899" s="80"/>
      <c r="AF899" s="80"/>
      <c r="AG899" s="80"/>
      <c r="AH899" s="83"/>
      <c r="AI899" s="83"/>
      <c r="AJ899" s="84"/>
      <c r="AK899" s="84"/>
      <c r="AL899" s="84"/>
      <c r="AM899" s="84"/>
      <c r="AN899" s="84"/>
      <c r="AO899" s="84"/>
      <c r="AP899" s="84"/>
      <c r="AQ899" s="95" t="s">
        <v>2017</v>
      </c>
      <c r="AR899" s="72"/>
      <c r="AS899" s="72"/>
      <c r="AT899" s="72"/>
      <c r="AU899" s="72"/>
      <c r="AV899" s="72"/>
      <c r="AW899" s="72"/>
      <c r="AX899" s="72"/>
      <c r="AY899" s="72"/>
      <c r="AZ899" s="72"/>
      <c r="BA899" s="72"/>
      <c r="BB899" s="16"/>
      <c r="BC899" s="72"/>
      <c r="BD899" s="20"/>
      <c r="BE899" s="378"/>
    </row>
    <row r="900" spans="1:57" s="81" customFormat="1" ht="12.95" hidden="1" customHeight="1">
      <c r="A900" s="374"/>
      <c r="B900" s="376"/>
      <c r="C900" s="248" t="s">
        <v>1460</v>
      </c>
      <c r="D900" s="239" t="s">
        <v>5009</v>
      </c>
      <c r="E900" s="58"/>
      <c r="F900" s="59" t="s">
        <v>5010</v>
      </c>
      <c r="G900" s="191" t="s">
        <v>2511</v>
      </c>
      <c r="H900" s="192" t="s">
        <v>2018</v>
      </c>
      <c r="I900" s="61" t="s">
        <v>2511</v>
      </c>
      <c r="J900" s="61" t="s">
        <v>2511</v>
      </c>
      <c r="K900" s="62" t="s">
        <v>2511</v>
      </c>
      <c r="L900" s="60" t="s">
        <v>2511</v>
      </c>
      <c r="M900" s="61" t="s">
        <v>2389</v>
      </c>
      <c r="N900" s="61" t="s">
        <v>2511</v>
      </c>
      <c r="O900" s="61" t="s">
        <v>2511</v>
      </c>
      <c r="P900" s="62" t="s">
        <v>2511</v>
      </c>
      <c r="Q900" s="82"/>
      <c r="R900" s="82"/>
      <c r="S900" s="82"/>
      <c r="T900" s="82"/>
      <c r="U900" s="82"/>
      <c r="V900" s="138" t="s">
        <v>5011</v>
      </c>
      <c r="W900" s="57" t="s">
        <v>4966</v>
      </c>
      <c r="X900" s="126" t="s">
        <v>2511</v>
      </c>
      <c r="Y900" s="126" t="s">
        <v>2511</v>
      </c>
      <c r="Z900" s="57"/>
      <c r="AA900" s="57" t="s">
        <v>4533</v>
      </c>
      <c r="AB900" s="138"/>
      <c r="AC900" s="138" t="s">
        <v>2631</v>
      </c>
      <c r="AD900" s="96"/>
      <c r="AE900" s="80"/>
      <c r="AF900" s="80"/>
      <c r="AG900" s="80"/>
      <c r="AH900" s="83"/>
      <c r="AI900" s="83"/>
      <c r="AJ900" s="84"/>
      <c r="AK900" s="84"/>
      <c r="AL900" s="84"/>
      <c r="AM900" s="84"/>
      <c r="AN900" s="84"/>
      <c r="AO900" s="84"/>
      <c r="AP900" s="84"/>
      <c r="AQ900" s="95" t="s">
        <v>2018</v>
      </c>
      <c r="AR900" s="72"/>
      <c r="AS900" s="72"/>
      <c r="AT900" s="72"/>
      <c r="AU900" s="72"/>
      <c r="AV900" s="72"/>
      <c r="AW900" s="72"/>
      <c r="AX900" s="72"/>
      <c r="AY900" s="72"/>
      <c r="AZ900" s="72"/>
      <c r="BA900" s="72"/>
      <c r="BB900" s="16"/>
      <c r="BC900" s="72"/>
      <c r="BD900" s="20"/>
      <c r="BE900" s="378"/>
    </row>
    <row r="901" spans="1:57" s="81" customFormat="1" ht="12.95" hidden="1" customHeight="1">
      <c r="A901" s="374"/>
      <c r="B901" s="376"/>
      <c r="C901" s="248" t="s">
        <v>1461</v>
      </c>
      <c r="D901" s="239" t="s">
        <v>5012</v>
      </c>
      <c r="E901" s="58"/>
      <c r="F901" s="59" t="s">
        <v>5013</v>
      </c>
      <c r="G901" s="191" t="s">
        <v>2511</v>
      </c>
      <c r="H901" s="192" t="s">
        <v>2019</v>
      </c>
      <c r="I901" s="61" t="s">
        <v>2511</v>
      </c>
      <c r="J901" s="61" t="s">
        <v>2511</v>
      </c>
      <c r="K901" s="62" t="s">
        <v>2511</v>
      </c>
      <c r="L901" s="60" t="s">
        <v>2511</v>
      </c>
      <c r="M901" s="61" t="s">
        <v>2389</v>
      </c>
      <c r="N901" s="61" t="s">
        <v>2511</v>
      </c>
      <c r="O901" s="61" t="s">
        <v>2511</v>
      </c>
      <c r="P901" s="62" t="s">
        <v>2511</v>
      </c>
      <c r="Q901" s="82"/>
      <c r="R901" s="82"/>
      <c r="S901" s="82"/>
      <c r="T901" s="82"/>
      <c r="U901" s="82"/>
      <c r="V901" s="138" t="s">
        <v>5014</v>
      </c>
      <c r="W901" s="57" t="s">
        <v>4966</v>
      </c>
      <c r="X901" s="126" t="s">
        <v>2511</v>
      </c>
      <c r="Y901" s="126" t="s">
        <v>2511</v>
      </c>
      <c r="Z901" s="57"/>
      <c r="AA901" s="57" t="s">
        <v>4533</v>
      </c>
      <c r="AB901" s="138"/>
      <c r="AC901" s="138" t="s">
        <v>2631</v>
      </c>
      <c r="AD901" s="96"/>
      <c r="AE901" s="80"/>
      <c r="AF901" s="80"/>
      <c r="AG901" s="80"/>
      <c r="AH901" s="83"/>
      <c r="AI901" s="83"/>
      <c r="AJ901" s="84"/>
      <c r="AK901" s="84"/>
      <c r="AL901" s="84"/>
      <c r="AM901" s="84"/>
      <c r="AN901" s="84"/>
      <c r="AO901" s="84"/>
      <c r="AP901" s="84"/>
      <c r="AQ901" s="95" t="s">
        <v>2019</v>
      </c>
      <c r="AR901" s="72"/>
      <c r="AS901" s="72"/>
      <c r="AT901" s="72"/>
      <c r="AU901" s="72"/>
      <c r="AV901" s="72"/>
      <c r="AW901" s="72"/>
      <c r="AX901" s="72"/>
      <c r="AY901" s="72"/>
      <c r="AZ901" s="72"/>
      <c r="BA901" s="72"/>
      <c r="BB901" s="16"/>
      <c r="BC901" s="72"/>
      <c r="BD901" s="20"/>
      <c r="BE901" s="378"/>
    </row>
    <row r="902" spans="1:57" s="81" customFormat="1" ht="12.95" hidden="1" customHeight="1">
      <c r="A902" s="374"/>
      <c r="B902" s="376"/>
      <c r="C902" s="248" t="s">
        <v>1462</v>
      </c>
      <c r="D902" s="239" t="s">
        <v>5015</v>
      </c>
      <c r="E902" s="58"/>
      <c r="F902" s="59" t="s">
        <v>5016</v>
      </c>
      <c r="G902" s="191" t="s">
        <v>2511</v>
      </c>
      <c r="H902" s="192" t="s">
        <v>2020</v>
      </c>
      <c r="I902" s="61" t="s">
        <v>2511</v>
      </c>
      <c r="J902" s="61" t="s">
        <v>2511</v>
      </c>
      <c r="K902" s="62" t="s">
        <v>2511</v>
      </c>
      <c r="L902" s="60" t="s">
        <v>2511</v>
      </c>
      <c r="M902" s="61" t="s">
        <v>2389</v>
      </c>
      <c r="N902" s="61" t="s">
        <v>2511</v>
      </c>
      <c r="O902" s="61" t="s">
        <v>2511</v>
      </c>
      <c r="P902" s="62" t="s">
        <v>2511</v>
      </c>
      <c r="Q902" s="82"/>
      <c r="R902" s="82"/>
      <c r="S902" s="82"/>
      <c r="T902" s="82"/>
      <c r="U902" s="82"/>
      <c r="V902" s="138" t="s">
        <v>5017</v>
      </c>
      <c r="W902" s="57" t="s">
        <v>4966</v>
      </c>
      <c r="X902" s="126" t="s">
        <v>2511</v>
      </c>
      <c r="Y902" s="126" t="s">
        <v>2511</v>
      </c>
      <c r="Z902" s="57"/>
      <c r="AA902" s="57" t="s">
        <v>4533</v>
      </c>
      <c r="AB902" s="138"/>
      <c r="AC902" s="138" t="s">
        <v>2631</v>
      </c>
      <c r="AD902" s="96"/>
      <c r="AE902" s="80"/>
      <c r="AF902" s="80"/>
      <c r="AG902" s="80"/>
      <c r="AH902" s="83"/>
      <c r="AI902" s="83"/>
      <c r="AJ902" s="84"/>
      <c r="AK902" s="84"/>
      <c r="AL902" s="84"/>
      <c r="AM902" s="84"/>
      <c r="AN902" s="84"/>
      <c r="AO902" s="84"/>
      <c r="AP902" s="84"/>
      <c r="AQ902" s="95" t="s">
        <v>2020</v>
      </c>
      <c r="AR902" s="72"/>
      <c r="AS902" s="72"/>
      <c r="AT902" s="72"/>
      <c r="AU902" s="72"/>
      <c r="AV902" s="72"/>
      <c r="AW902" s="72"/>
      <c r="AX902" s="72"/>
      <c r="AY902" s="72"/>
      <c r="AZ902" s="72"/>
      <c r="BA902" s="72"/>
      <c r="BB902" s="16"/>
      <c r="BC902" s="72"/>
      <c r="BD902" s="20"/>
      <c r="BE902" s="378"/>
    </row>
    <row r="903" spans="1:57" s="81" customFormat="1" ht="12.95" hidden="1" customHeight="1">
      <c r="A903" s="374"/>
      <c r="B903" s="376"/>
      <c r="C903" s="248" t="s">
        <v>1463</v>
      </c>
      <c r="D903" s="239" t="s">
        <v>5018</v>
      </c>
      <c r="E903" s="58"/>
      <c r="F903" s="59" t="s">
        <v>5019</v>
      </c>
      <c r="G903" s="191" t="s">
        <v>2511</v>
      </c>
      <c r="H903" s="192" t="s">
        <v>2021</v>
      </c>
      <c r="I903" s="61" t="s">
        <v>2511</v>
      </c>
      <c r="J903" s="61" t="s">
        <v>2511</v>
      </c>
      <c r="K903" s="62" t="s">
        <v>2511</v>
      </c>
      <c r="L903" s="60" t="s">
        <v>2511</v>
      </c>
      <c r="M903" s="61" t="s">
        <v>2389</v>
      </c>
      <c r="N903" s="61" t="s">
        <v>2511</v>
      </c>
      <c r="O903" s="61" t="s">
        <v>2511</v>
      </c>
      <c r="P903" s="62" t="s">
        <v>2511</v>
      </c>
      <c r="Q903" s="82"/>
      <c r="R903" s="82"/>
      <c r="S903" s="82"/>
      <c r="T903" s="82"/>
      <c r="U903" s="82"/>
      <c r="V903" s="138" t="s">
        <v>5020</v>
      </c>
      <c r="W903" s="57" t="s">
        <v>4966</v>
      </c>
      <c r="X903" s="126" t="s">
        <v>2511</v>
      </c>
      <c r="Y903" s="126" t="s">
        <v>2511</v>
      </c>
      <c r="Z903" s="57"/>
      <c r="AA903" s="57" t="s">
        <v>4533</v>
      </c>
      <c r="AB903" s="138"/>
      <c r="AC903" s="138" t="s">
        <v>2631</v>
      </c>
      <c r="AD903" s="96"/>
      <c r="AE903" s="80"/>
      <c r="AF903" s="80"/>
      <c r="AG903" s="80"/>
      <c r="AH903" s="83"/>
      <c r="AI903" s="83"/>
      <c r="AJ903" s="84"/>
      <c r="AK903" s="84"/>
      <c r="AL903" s="84"/>
      <c r="AM903" s="84"/>
      <c r="AN903" s="84"/>
      <c r="AO903" s="84"/>
      <c r="AP903" s="84"/>
      <c r="AQ903" s="95" t="s">
        <v>2021</v>
      </c>
      <c r="AR903" s="72"/>
      <c r="AS903" s="72"/>
      <c r="AT903" s="72"/>
      <c r="AU903" s="72"/>
      <c r="AV903" s="72"/>
      <c r="AW903" s="72"/>
      <c r="AX903" s="72"/>
      <c r="AY903" s="72"/>
      <c r="AZ903" s="72"/>
      <c r="BA903" s="72"/>
      <c r="BB903" s="16"/>
      <c r="BC903" s="72"/>
      <c r="BD903" s="20"/>
      <c r="BE903" s="378"/>
    </row>
    <row r="904" spans="1:57" s="81" customFormat="1" ht="12.95" hidden="1" customHeight="1">
      <c r="A904" s="374"/>
      <c r="B904" s="376"/>
      <c r="C904" s="248" t="s">
        <v>1464</v>
      </c>
      <c r="D904" s="239" t="s">
        <v>5021</v>
      </c>
      <c r="E904" s="58"/>
      <c r="F904" s="59" t="s">
        <v>5022</v>
      </c>
      <c r="G904" s="191" t="s">
        <v>2511</v>
      </c>
      <c r="H904" s="192" t="s">
        <v>2022</v>
      </c>
      <c r="I904" s="61" t="s">
        <v>2511</v>
      </c>
      <c r="J904" s="61" t="s">
        <v>2511</v>
      </c>
      <c r="K904" s="62" t="s">
        <v>2511</v>
      </c>
      <c r="L904" s="60" t="s">
        <v>2511</v>
      </c>
      <c r="M904" s="61" t="s">
        <v>2389</v>
      </c>
      <c r="N904" s="61" t="s">
        <v>2511</v>
      </c>
      <c r="O904" s="61" t="s">
        <v>2511</v>
      </c>
      <c r="P904" s="62" t="s">
        <v>2511</v>
      </c>
      <c r="Q904" s="82"/>
      <c r="R904" s="82"/>
      <c r="S904" s="82"/>
      <c r="T904" s="82"/>
      <c r="U904" s="82"/>
      <c r="V904" s="138" t="s">
        <v>5023</v>
      </c>
      <c r="W904" s="57" t="s">
        <v>4966</v>
      </c>
      <c r="X904" s="126" t="s">
        <v>2511</v>
      </c>
      <c r="Y904" s="126" t="s">
        <v>2511</v>
      </c>
      <c r="Z904" s="57"/>
      <c r="AA904" s="57" t="s">
        <v>4533</v>
      </c>
      <c r="AB904" s="138"/>
      <c r="AC904" s="138" t="s">
        <v>2631</v>
      </c>
      <c r="AD904" s="96"/>
      <c r="AE904" s="80"/>
      <c r="AF904" s="80"/>
      <c r="AG904" s="80"/>
      <c r="AH904" s="83"/>
      <c r="AI904" s="83"/>
      <c r="AJ904" s="84"/>
      <c r="AK904" s="84"/>
      <c r="AL904" s="84"/>
      <c r="AM904" s="84"/>
      <c r="AN904" s="84"/>
      <c r="AO904" s="84"/>
      <c r="AP904" s="84"/>
      <c r="AQ904" s="95" t="s">
        <v>2022</v>
      </c>
      <c r="AR904" s="72"/>
      <c r="AS904" s="72"/>
      <c r="AT904" s="72"/>
      <c r="AU904" s="72"/>
      <c r="AV904" s="72"/>
      <c r="AW904" s="72"/>
      <c r="AX904" s="72"/>
      <c r="AY904" s="72"/>
      <c r="AZ904" s="72"/>
      <c r="BA904" s="72"/>
      <c r="BB904" s="16"/>
      <c r="BC904" s="72"/>
      <c r="BD904" s="20"/>
      <c r="BE904" s="378"/>
    </row>
    <row r="905" spans="1:57" s="81" customFormat="1" ht="12.95" hidden="1" customHeight="1">
      <c r="A905" s="374"/>
      <c r="B905" s="376"/>
      <c r="C905" s="248" t="s">
        <v>1465</v>
      </c>
      <c r="D905" s="239" t="s">
        <v>5024</v>
      </c>
      <c r="E905" s="58"/>
      <c r="F905" s="59" t="s">
        <v>5025</v>
      </c>
      <c r="G905" s="191" t="s">
        <v>2511</v>
      </c>
      <c r="H905" s="192" t="s">
        <v>2023</v>
      </c>
      <c r="I905" s="61" t="s">
        <v>2511</v>
      </c>
      <c r="J905" s="61" t="s">
        <v>2511</v>
      </c>
      <c r="K905" s="62" t="s">
        <v>2511</v>
      </c>
      <c r="L905" s="60" t="s">
        <v>2511</v>
      </c>
      <c r="M905" s="61" t="s">
        <v>2389</v>
      </c>
      <c r="N905" s="61" t="s">
        <v>2511</v>
      </c>
      <c r="O905" s="61" t="s">
        <v>2511</v>
      </c>
      <c r="P905" s="62" t="s">
        <v>2511</v>
      </c>
      <c r="Q905" s="82"/>
      <c r="R905" s="82"/>
      <c r="S905" s="82"/>
      <c r="T905" s="82"/>
      <c r="U905" s="82"/>
      <c r="V905" s="138" t="s">
        <v>5026</v>
      </c>
      <c r="W905" s="57" t="s">
        <v>4966</v>
      </c>
      <c r="X905" s="126" t="s">
        <v>2511</v>
      </c>
      <c r="Y905" s="126" t="s">
        <v>2511</v>
      </c>
      <c r="Z905" s="57"/>
      <c r="AA905" s="57" t="s">
        <v>4533</v>
      </c>
      <c r="AB905" s="138"/>
      <c r="AC905" s="138" t="s">
        <v>2631</v>
      </c>
      <c r="AD905" s="96"/>
      <c r="AE905" s="80"/>
      <c r="AF905" s="80"/>
      <c r="AG905" s="80"/>
      <c r="AH905" s="83"/>
      <c r="AI905" s="83"/>
      <c r="AJ905" s="84"/>
      <c r="AK905" s="84"/>
      <c r="AL905" s="84"/>
      <c r="AM905" s="84"/>
      <c r="AN905" s="84"/>
      <c r="AO905" s="84"/>
      <c r="AP905" s="84"/>
      <c r="AQ905" s="95" t="s">
        <v>2023</v>
      </c>
      <c r="AR905" s="72"/>
      <c r="AS905" s="72"/>
      <c r="AT905" s="72"/>
      <c r="AU905" s="72"/>
      <c r="AV905" s="72"/>
      <c r="AW905" s="72"/>
      <c r="AX905" s="72"/>
      <c r="AY905" s="72"/>
      <c r="AZ905" s="72"/>
      <c r="BA905" s="72"/>
      <c r="BB905" s="16"/>
      <c r="BC905" s="72"/>
      <c r="BD905" s="20"/>
      <c r="BE905" s="378"/>
    </row>
    <row r="906" spans="1:57" s="81" customFormat="1" ht="12.95" hidden="1" customHeight="1">
      <c r="A906" s="374"/>
      <c r="B906" s="376"/>
      <c r="C906" s="270" t="s">
        <v>1466</v>
      </c>
      <c r="D906" s="239" t="s">
        <v>5027</v>
      </c>
      <c r="E906" s="58"/>
      <c r="F906" s="59" t="s">
        <v>5028</v>
      </c>
      <c r="G906" s="191" t="s">
        <v>2511</v>
      </c>
      <c r="H906" s="192" t="s">
        <v>2024</v>
      </c>
      <c r="I906" s="61" t="s">
        <v>2511</v>
      </c>
      <c r="J906" s="61" t="s">
        <v>2511</v>
      </c>
      <c r="K906" s="62" t="s">
        <v>2511</v>
      </c>
      <c r="L906" s="60" t="s">
        <v>2511</v>
      </c>
      <c r="M906" s="61" t="s">
        <v>2389</v>
      </c>
      <c r="N906" s="61" t="s">
        <v>2511</v>
      </c>
      <c r="O906" s="61" t="s">
        <v>2511</v>
      </c>
      <c r="P906" s="62" t="s">
        <v>2511</v>
      </c>
      <c r="Q906" s="82"/>
      <c r="R906" s="82"/>
      <c r="S906" s="82"/>
      <c r="T906" s="82"/>
      <c r="U906" s="82"/>
      <c r="V906" s="138" t="s">
        <v>5029</v>
      </c>
      <c r="W906" s="57" t="s">
        <v>4966</v>
      </c>
      <c r="X906" s="126" t="s">
        <v>2511</v>
      </c>
      <c r="Y906" s="126" t="s">
        <v>2511</v>
      </c>
      <c r="Z906" s="57"/>
      <c r="AA906" s="57" t="s">
        <v>4533</v>
      </c>
      <c r="AB906" s="138"/>
      <c r="AC906" s="138" t="s">
        <v>2631</v>
      </c>
      <c r="AD906" s="96"/>
      <c r="AE906" s="80"/>
      <c r="AF906" s="80"/>
      <c r="AG906" s="80"/>
      <c r="AH906" s="83"/>
      <c r="AI906" s="83"/>
      <c r="AJ906" s="84"/>
      <c r="AK906" s="84"/>
      <c r="AL906" s="84"/>
      <c r="AM906" s="84"/>
      <c r="AN906" s="84"/>
      <c r="AO906" s="84"/>
      <c r="AP906" s="84"/>
      <c r="AQ906" s="95" t="s">
        <v>2024</v>
      </c>
      <c r="AR906" s="72"/>
      <c r="AS906" s="72"/>
      <c r="AT906" s="72"/>
      <c r="AU906" s="72"/>
      <c r="AV906" s="72"/>
      <c r="AW906" s="72"/>
      <c r="AX906" s="72"/>
      <c r="AY906" s="72"/>
      <c r="AZ906" s="72"/>
      <c r="BA906" s="72"/>
      <c r="BB906" s="16"/>
      <c r="BC906" s="72"/>
      <c r="BD906" s="20"/>
      <c r="BE906" s="378"/>
    </row>
    <row r="907" spans="1:57" s="81" customFormat="1" ht="12.95" hidden="1" customHeight="1">
      <c r="A907" s="374"/>
      <c r="B907" s="376"/>
      <c r="C907" s="270" t="s">
        <v>1467</v>
      </c>
      <c r="D907" s="239" t="s">
        <v>5030</v>
      </c>
      <c r="E907" s="58"/>
      <c r="F907" s="59" t="s">
        <v>5031</v>
      </c>
      <c r="G907" s="191" t="s">
        <v>2511</v>
      </c>
      <c r="H907" s="192" t="s">
        <v>2025</v>
      </c>
      <c r="I907" s="61" t="s">
        <v>2511</v>
      </c>
      <c r="J907" s="61" t="s">
        <v>2511</v>
      </c>
      <c r="K907" s="62" t="s">
        <v>2511</v>
      </c>
      <c r="L907" s="60" t="s">
        <v>2511</v>
      </c>
      <c r="M907" s="61" t="s">
        <v>2389</v>
      </c>
      <c r="N907" s="61" t="s">
        <v>2511</v>
      </c>
      <c r="O907" s="61" t="s">
        <v>2511</v>
      </c>
      <c r="P907" s="62" t="s">
        <v>2511</v>
      </c>
      <c r="Q907" s="82"/>
      <c r="R907" s="82"/>
      <c r="S907" s="82"/>
      <c r="T907" s="82"/>
      <c r="U907" s="82"/>
      <c r="V907" s="138" t="s">
        <v>5032</v>
      </c>
      <c r="W907" s="57" t="s">
        <v>4966</v>
      </c>
      <c r="X907" s="126" t="s">
        <v>2511</v>
      </c>
      <c r="Y907" s="126" t="s">
        <v>2511</v>
      </c>
      <c r="Z907" s="57"/>
      <c r="AA907" s="57" t="s">
        <v>4533</v>
      </c>
      <c r="AB907" s="138"/>
      <c r="AC907" s="138" t="s">
        <v>2631</v>
      </c>
      <c r="AD907" s="96"/>
      <c r="AE907" s="80"/>
      <c r="AF907" s="80"/>
      <c r="AG907" s="80"/>
      <c r="AH907" s="83"/>
      <c r="AI907" s="83"/>
      <c r="AJ907" s="84"/>
      <c r="AK907" s="84"/>
      <c r="AL907" s="84"/>
      <c r="AM907" s="84"/>
      <c r="AN907" s="84"/>
      <c r="AO907" s="84"/>
      <c r="AP907" s="84"/>
      <c r="AQ907" s="95" t="s">
        <v>2025</v>
      </c>
      <c r="AR907" s="72"/>
      <c r="AS907" s="72"/>
      <c r="AT907" s="72"/>
      <c r="AU907" s="72"/>
      <c r="AV907" s="72"/>
      <c r="AW907" s="72"/>
      <c r="AX907" s="72"/>
      <c r="AY907" s="72"/>
      <c r="AZ907" s="72"/>
      <c r="BA907" s="72"/>
      <c r="BB907" s="16"/>
      <c r="BC907" s="72"/>
      <c r="BD907" s="20"/>
      <c r="BE907" s="378"/>
    </row>
    <row r="908" spans="1:57" s="81" customFormat="1" ht="12.95" hidden="1" customHeight="1">
      <c r="A908" s="374"/>
      <c r="B908" s="376"/>
      <c r="C908" s="248" t="s">
        <v>1468</v>
      </c>
      <c r="D908" s="239" t="s">
        <v>5033</v>
      </c>
      <c r="E908" s="58"/>
      <c r="F908" s="59" t="s">
        <v>5034</v>
      </c>
      <c r="G908" s="191" t="s">
        <v>2511</v>
      </c>
      <c r="H908" s="192" t="s">
        <v>2026</v>
      </c>
      <c r="I908" s="61" t="s">
        <v>2511</v>
      </c>
      <c r="J908" s="61" t="s">
        <v>2511</v>
      </c>
      <c r="K908" s="62" t="s">
        <v>2511</v>
      </c>
      <c r="L908" s="60" t="s">
        <v>2511</v>
      </c>
      <c r="M908" s="61" t="s">
        <v>2389</v>
      </c>
      <c r="N908" s="61" t="s">
        <v>2511</v>
      </c>
      <c r="O908" s="61" t="s">
        <v>2511</v>
      </c>
      <c r="P908" s="62" t="s">
        <v>2511</v>
      </c>
      <c r="Q908" s="82"/>
      <c r="R908" s="82"/>
      <c r="S908" s="82"/>
      <c r="T908" s="82"/>
      <c r="U908" s="82"/>
      <c r="V908" s="138" t="s">
        <v>5035</v>
      </c>
      <c r="W908" s="57" t="s">
        <v>4966</v>
      </c>
      <c r="X908" s="126" t="s">
        <v>2511</v>
      </c>
      <c r="Y908" s="126" t="s">
        <v>2511</v>
      </c>
      <c r="Z908" s="57"/>
      <c r="AA908" s="57" t="s">
        <v>4533</v>
      </c>
      <c r="AB908" s="138"/>
      <c r="AC908" s="138">
        <v>0</v>
      </c>
      <c r="AD908" s="96"/>
      <c r="AE908" s="80"/>
      <c r="AF908" s="80"/>
      <c r="AG908" s="80"/>
      <c r="AH908" s="83"/>
      <c r="AI908" s="83"/>
      <c r="AJ908" s="84"/>
      <c r="AK908" s="84"/>
      <c r="AL908" s="84"/>
      <c r="AM908" s="84"/>
      <c r="AN908" s="84"/>
      <c r="AO908" s="84"/>
      <c r="AP908" s="84"/>
      <c r="AQ908" s="95" t="s">
        <v>2026</v>
      </c>
      <c r="AR908" s="72"/>
      <c r="AS908" s="72"/>
      <c r="AT908" s="72"/>
      <c r="AU908" s="72"/>
      <c r="AV908" s="72"/>
      <c r="AW908" s="72"/>
      <c r="AX908" s="72"/>
      <c r="AY908" s="72"/>
      <c r="AZ908" s="72"/>
      <c r="BA908" s="72"/>
      <c r="BB908" s="16"/>
      <c r="BC908" s="72"/>
      <c r="BD908" s="20"/>
      <c r="BE908" s="378"/>
    </row>
    <row r="909" spans="1:57" s="81" customFormat="1" ht="12.95" hidden="1" customHeight="1">
      <c r="A909" s="374"/>
      <c r="B909" s="376"/>
      <c r="C909" s="248" t="s">
        <v>1469</v>
      </c>
      <c r="D909" s="239" t="s">
        <v>5036</v>
      </c>
      <c r="E909" s="58"/>
      <c r="F909" s="59" t="s">
        <v>5037</v>
      </c>
      <c r="G909" s="191" t="s">
        <v>2511</v>
      </c>
      <c r="H909" s="192" t="s">
        <v>2027</v>
      </c>
      <c r="I909" s="61" t="s">
        <v>2511</v>
      </c>
      <c r="J909" s="61" t="s">
        <v>2511</v>
      </c>
      <c r="K909" s="62" t="s">
        <v>2511</v>
      </c>
      <c r="L909" s="60" t="s">
        <v>2511</v>
      </c>
      <c r="M909" s="61" t="s">
        <v>2389</v>
      </c>
      <c r="N909" s="61" t="s">
        <v>2511</v>
      </c>
      <c r="O909" s="61" t="s">
        <v>2511</v>
      </c>
      <c r="P909" s="62" t="s">
        <v>2511</v>
      </c>
      <c r="Q909" s="82"/>
      <c r="R909" s="82"/>
      <c r="S909" s="82"/>
      <c r="T909" s="82"/>
      <c r="U909" s="82"/>
      <c r="V909" s="138" t="s">
        <v>5038</v>
      </c>
      <c r="W909" s="57" t="s">
        <v>4966</v>
      </c>
      <c r="X909" s="126" t="s">
        <v>2511</v>
      </c>
      <c r="Y909" s="126" t="s">
        <v>2511</v>
      </c>
      <c r="Z909" s="57"/>
      <c r="AA909" s="57" t="s">
        <v>4533</v>
      </c>
      <c r="AB909" s="138"/>
      <c r="AC909" s="138" t="s">
        <v>2631</v>
      </c>
      <c r="AD909" s="96"/>
      <c r="AE909" s="80"/>
      <c r="AF909" s="80"/>
      <c r="AG909" s="80"/>
      <c r="AH909" s="83"/>
      <c r="AI909" s="83"/>
      <c r="AJ909" s="84"/>
      <c r="AK909" s="84"/>
      <c r="AL909" s="84"/>
      <c r="AM909" s="84"/>
      <c r="AN909" s="84"/>
      <c r="AO909" s="84"/>
      <c r="AP909" s="84"/>
      <c r="AQ909" s="95" t="s">
        <v>2027</v>
      </c>
      <c r="AR909" s="72"/>
      <c r="AS909" s="72"/>
      <c r="AT909" s="72"/>
      <c r="AU909" s="72"/>
      <c r="AV909" s="72"/>
      <c r="AW909" s="72"/>
      <c r="AX909" s="72"/>
      <c r="AY909" s="72"/>
      <c r="AZ909" s="72"/>
      <c r="BA909" s="72"/>
      <c r="BB909" s="16"/>
      <c r="BC909" s="72"/>
      <c r="BD909" s="20"/>
      <c r="BE909" s="378"/>
    </row>
    <row r="910" spans="1:57" s="81" customFormat="1" ht="12.95" hidden="1" customHeight="1">
      <c r="A910" s="374"/>
      <c r="B910" s="376"/>
      <c r="C910" s="248" t="s">
        <v>1470</v>
      </c>
      <c r="D910" s="239" t="s">
        <v>5039</v>
      </c>
      <c r="E910" s="58"/>
      <c r="F910" s="59" t="s">
        <v>5040</v>
      </c>
      <c r="G910" s="191" t="s">
        <v>2511</v>
      </c>
      <c r="H910" s="192" t="s">
        <v>2028</v>
      </c>
      <c r="I910" s="61" t="s">
        <v>2511</v>
      </c>
      <c r="J910" s="61" t="s">
        <v>2511</v>
      </c>
      <c r="K910" s="62" t="s">
        <v>2511</v>
      </c>
      <c r="L910" s="60" t="s">
        <v>2511</v>
      </c>
      <c r="M910" s="61" t="s">
        <v>2389</v>
      </c>
      <c r="N910" s="61" t="s">
        <v>2511</v>
      </c>
      <c r="O910" s="61" t="s">
        <v>2511</v>
      </c>
      <c r="P910" s="62" t="s">
        <v>2511</v>
      </c>
      <c r="Q910" s="82"/>
      <c r="R910" s="82"/>
      <c r="S910" s="82"/>
      <c r="T910" s="82"/>
      <c r="U910" s="82"/>
      <c r="V910" s="138" t="s">
        <v>5041</v>
      </c>
      <c r="W910" s="57" t="s">
        <v>4966</v>
      </c>
      <c r="X910" s="126" t="s">
        <v>2511</v>
      </c>
      <c r="Y910" s="126" t="s">
        <v>2511</v>
      </c>
      <c r="Z910" s="57"/>
      <c r="AA910" s="57" t="s">
        <v>4533</v>
      </c>
      <c r="AB910" s="138"/>
      <c r="AC910" s="138" t="s">
        <v>2631</v>
      </c>
      <c r="AD910" s="96"/>
      <c r="AE910" s="80"/>
      <c r="AF910" s="80"/>
      <c r="AG910" s="80"/>
      <c r="AH910" s="83"/>
      <c r="AI910" s="83"/>
      <c r="AJ910" s="84"/>
      <c r="AK910" s="84"/>
      <c r="AL910" s="84"/>
      <c r="AM910" s="84"/>
      <c r="AN910" s="84"/>
      <c r="AO910" s="84"/>
      <c r="AP910" s="84"/>
      <c r="AQ910" s="95" t="s">
        <v>2028</v>
      </c>
      <c r="AR910" s="72"/>
      <c r="AS910" s="72"/>
      <c r="AT910" s="72"/>
      <c r="AU910" s="72"/>
      <c r="AV910" s="72"/>
      <c r="AW910" s="72"/>
      <c r="AX910" s="72"/>
      <c r="AY910" s="72"/>
      <c r="AZ910" s="72"/>
      <c r="BA910" s="72"/>
      <c r="BB910" s="16"/>
      <c r="BC910" s="72"/>
      <c r="BD910" s="20"/>
      <c r="BE910" s="378"/>
    </row>
    <row r="911" spans="1:57" s="81" customFormat="1" ht="12.95" hidden="1" customHeight="1">
      <c r="A911" s="374"/>
      <c r="B911" s="376"/>
      <c r="C911" s="248" t="s">
        <v>1471</v>
      </c>
      <c r="D911" s="239" t="s">
        <v>5042</v>
      </c>
      <c r="E911" s="58"/>
      <c r="F911" s="59" t="s">
        <v>5043</v>
      </c>
      <c r="G911" s="191" t="s">
        <v>2511</v>
      </c>
      <c r="H911" s="192" t="s">
        <v>2029</v>
      </c>
      <c r="I911" s="61" t="s">
        <v>2511</v>
      </c>
      <c r="J911" s="61" t="s">
        <v>2511</v>
      </c>
      <c r="K911" s="62" t="s">
        <v>2511</v>
      </c>
      <c r="L911" s="60" t="s">
        <v>2511</v>
      </c>
      <c r="M911" s="61" t="s">
        <v>2389</v>
      </c>
      <c r="N911" s="61" t="s">
        <v>2511</v>
      </c>
      <c r="O911" s="61" t="s">
        <v>2511</v>
      </c>
      <c r="P911" s="62" t="s">
        <v>2511</v>
      </c>
      <c r="Q911" s="82"/>
      <c r="R911" s="82"/>
      <c r="S911" s="82"/>
      <c r="T911" s="82"/>
      <c r="U911" s="82"/>
      <c r="V911" s="138" t="s">
        <v>5044</v>
      </c>
      <c r="W911" s="57" t="s">
        <v>4966</v>
      </c>
      <c r="X911" s="126" t="s">
        <v>2511</v>
      </c>
      <c r="Y911" s="126" t="s">
        <v>2511</v>
      </c>
      <c r="Z911" s="57"/>
      <c r="AA911" s="57" t="s">
        <v>4533</v>
      </c>
      <c r="AB911" s="138"/>
      <c r="AC911" s="138" t="s">
        <v>2631</v>
      </c>
      <c r="AD911" s="96"/>
      <c r="AE911" s="80"/>
      <c r="AF911" s="80"/>
      <c r="AG911" s="80"/>
      <c r="AH911" s="83"/>
      <c r="AI911" s="83"/>
      <c r="AJ911" s="84"/>
      <c r="AK911" s="84"/>
      <c r="AL911" s="84"/>
      <c r="AM911" s="84"/>
      <c r="AN911" s="84"/>
      <c r="AO911" s="84"/>
      <c r="AP911" s="84"/>
      <c r="AQ911" s="95" t="s">
        <v>2029</v>
      </c>
      <c r="AR911" s="72"/>
      <c r="AS911" s="72"/>
      <c r="AT911" s="72"/>
      <c r="AU911" s="72"/>
      <c r="AV911" s="72"/>
      <c r="AW911" s="72"/>
      <c r="AX911" s="72"/>
      <c r="AY911" s="72"/>
      <c r="AZ911" s="72"/>
      <c r="BA911" s="72"/>
      <c r="BB911" s="16"/>
      <c r="BC911" s="72"/>
      <c r="BD911" s="20"/>
      <c r="BE911" s="378"/>
    </row>
    <row r="912" spans="1:57" s="81" customFormat="1" ht="12.95" hidden="1" customHeight="1">
      <c r="A912" s="374"/>
      <c r="B912" s="376"/>
      <c r="C912" s="248" t="s">
        <v>1472</v>
      </c>
      <c r="D912" s="239" t="s">
        <v>5045</v>
      </c>
      <c r="E912" s="58"/>
      <c r="F912" s="59" t="s">
        <v>5046</v>
      </c>
      <c r="G912" s="191" t="s">
        <v>2511</v>
      </c>
      <c r="H912" s="192" t="s">
        <v>2030</v>
      </c>
      <c r="I912" s="61" t="s">
        <v>2511</v>
      </c>
      <c r="J912" s="61" t="s">
        <v>2511</v>
      </c>
      <c r="K912" s="62" t="s">
        <v>2511</v>
      </c>
      <c r="L912" s="60" t="s">
        <v>2511</v>
      </c>
      <c r="M912" s="61" t="s">
        <v>2389</v>
      </c>
      <c r="N912" s="61" t="s">
        <v>2511</v>
      </c>
      <c r="O912" s="61" t="s">
        <v>2511</v>
      </c>
      <c r="P912" s="62" t="s">
        <v>2511</v>
      </c>
      <c r="Q912" s="82"/>
      <c r="R912" s="82"/>
      <c r="S912" s="82"/>
      <c r="T912" s="82"/>
      <c r="U912" s="82"/>
      <c r="V912" s="138" t="s">
        <v>5047</v>
      </c>
      <c r="W912" s="57" t="s">
        <v>4966</v>
      </c>
      <c r="X912" s="126" t="s">
        <v>2511</v>
      </c>
      <c r="Y912" s="126" t="s">
        <v>2511</v>
      </c>
      <c r="Z912" s="57"/>
      <c r="AA912" s="57" t="s">
        <v>4533</v>
      </c>
      <c r="AB912" s="138"/>
      <c r="AC912" s="138" t="s">
        <v>2631</v>
      </c>
      <c r="AD912" s="96"/>
      <c r="AE912" s="80"/>
      <c r="AF912" s="80"/>
      <c r="AG912" s="80"/>
      <c r="AH912" s="83"/>
      <c r="AI912" s="83"/>
      <c r="AJ912" s="84"/>
      <c r="AK912" s="84"/>
      <c r="AL912" s="84"/>
      <c r="AM912" s="84"/>
      <c r="AN912" s="84"/>
      <c r="AO912" s="84"/>
      <c r="AP912" s="84"/>
      <c r="AQ912" s="95" t="s">
        <v>2030</v>
      </c>
      <c r="AR912" s="72"/>
      <c r="AS912" s="72"/>
      <c r="AT912" s="72"/>
      <c r="AU912" s="72"/>
      <c r="AV912" s="72"/>
      <c r="AW912" s="72"/>
      <c r="AX912" s="72"/>
      <c r="AY912" s="72"/>
      <c r="AZ912" s="72"/>
      <c r="BA912" s="72"/>
      <c r="BB912" s="16"/>
      <c r="BC912" s="72"/>
      <c r="BD912" s="20"/>
      <c r="BE912" s="378"/>
    </row>
    <row r="913" spans="1:57" s="81" customFormat="1" ht="12.95" hidden="1" customHeight="1">
      <c r="A913" s="374"/>
      <c r="B913" s="376"/>
      <c r="C913" s="248" t="s">
        <v>1473</v>
      </c>
      <c r="D913" s="239" t="s">
        <v>5048</v>
      </c>
      <c r="E913" s="58"/>
      <c r="F913" s="59" t="s">
        <v>5049</v>
      </c>
      <c r="G913" s="191" t="s">
        <v>2511</v>
      </c>
      <c r="H913" s="192" t="s">
        <v>2031</v>
      </c>
      <c r="I913" s="61" t="s">
        <v>2511</v>
      </c>
      <c r="J913" s="61" t="s">
        <v>2511</v>
      </c>
      <c r="K913" s="62" t="s">
        <v>2511</v>
      </c>
      <c r="L913" s="60" t="s">
        <v>2511</v>
      </c>
      <c r="M913" s="61" t="s">
        <v>2389</v>
      </c>
      <c r="N913" s="61" t="s">
        <v>2511</v>
      </c>
      <c r="O913" s="61" t="s">
        <v>2511</v>
      </c>
      <c r="P913" s="62" t="s">
        <v>2511</v>
      </c>
      <c r="Q913" s="82"/>
      <c r="R913" s="82"/>
      <c r="S913" s="82"/>
      <c r="T913" s="82"/>
      <c r="U913" s="82"/>
      <c r="V913" s="138" t="s">
        <v>5050</v>
      </c>
      <c r="W913" s="57" t="s">
        <v>4966</v>
      </c>
      <c r="X913" s="126" t="s">
        <v>2511</v>
      </c>
      <c r="Y913" s="126" t="s">
        <v>2511</v>
      </c>
      <c r="Z913" s="57"/>
      <c r="AA913" s="57" t="s">
        <v>4533</v>
      </c>
      <c r="AB913" s="138"/>
      <c r="AC913" s="138" t="s">
        <v>2631</v>
      </c>
      <c r="AD913" s="96"/>
      <c r="AE913" s="80"/>
      <c r="AF913" s="80"/>
      <c r="AG913" s="80"/>
      <c r="AH913" s="83"/>
      <c r="AI913" s="83"/>
      <c r="AJ913" s="84"/>
      <c r="AK913" s="84"/>
      <c r="AL913" s="84"/>
      <c r="AM913" s="84"/>
      <c r="AN913" s="84"/>
      <c r="AO913" s="84"/>
      <c r="AP913" s="84"/>
      <c r="AQ913" s="95" t="s">
        <v>2031</v>
      </c>
      <c r="AR913" s="72"/>
      <c r="AS913" s="72"/>
      <c r="AT913" s="72"/>
      <c r="AU913" s="72"/>
      <c r="AV913" s="72"/>
      <c r="AW913" s="72"/>
      <c r="AX913" s="72"/>
      <c r="AY913" s="72"/>
      <c r="AZ913" s="72"/>
      <c r="BA913" s="72"/>
      <c r="BB913" s="16"/>
      <c r="BC913" s="72"/>
      <c r="BD913" s="20"/>
      <c r="BE913" s="378"/>
    </row>
    <row r="914" spans="1:57" s="81" customFormat="1" ht="12.95" hidden="1" customHeight="1">
      <c r="A914" s="374"/>
      <c r="B914" s="376"/>
      <c r="C914" s="248" t="s">
        <v>1474</v>
      </c>
      <c r="D914" s="239" t="s">
        <v>5051</v>
      </c>
      <c r="E914" s="58"/>
      <c r="F914" s="59" t="s">
        <v>5052</v>
      </c>
      <c r="G914" s="191" t="s">
        <v>2511</v>
      </c>
      <c r="H914" s="192" t="s">
        <v>2032</v>
      </c>
      <c r="I914" s="61" t="s">
        <v>2511</v>
      </c>
      <c r="J914" s="61" t="s">
        <v>2511</v>
      </c>
      <c r="K914" s="62" t="s">
        <v>2511</v>
      </c>
      <c r="L914" s="60" t="s">
        <v>2511</v>
      </c>
      <c r="M914" s="61" t="s">
        <v>2389</v>
      </c>
      <c r="N914" s="61" t="s">
        <v>2511</v>
      </c>
      <c r="O914" s="61" t="s">
        <v>2511</v>
      </c>
      <c r="P914" s="62" t="s">
        <v>2511</v>
      </c>
      <c r="Q914" s="82"/>
      <c r="R914" s="82"/>
      <c r="S914" s="82"/>
      <c r="T914" s="82"/>
      <c r="U914" s="82"/>
      <c r="V914" s="138" t="s">
        <v>5053</v>
      </c>
      <c r="W914" s="57" t="s">
        <v>4966</v>
      </c>
      <c r="X914" s="126" t="s">
        <v>2511</v>
      </c>
      <c r="Y914" s="126" t="s">
        <v>2511</v>
      </c>
      <c r="Z914" s="57"/>
      <c r="AA914" s="57" t="s">
        <v>4533</v>
      </c>
      <c r="AB914" s="138"/>
      <c r="AC914" s="138" t="s">
        <v>2631</v>
      </c>
      <c r="AD914" s="96"/>
      <c r="AE914" s="80"/>
      <c r="AF914" s="80"/>
      <c r="AG914" s="80"/>
      <c r="AH914" s="83"/>
      <c r="AI914" s="83"/>
      <c r="AJ914" s="84"/>
      <c r="AK914" s="84"/>
      <c r="AL914" s="84"/>
      <c r="AM914" s="84"/>
      <c r="AN914" s="84"/>
      <c r="AO914" s="84"/>
      <c r="AP914" s="84"/>
      <c r="AQ914" s="95" t="s">
        <v>2032</v>
      </c>
      <c r="AR914" s="72"/>
      <c r="AS914" s="72"/>
      <c r="AT914" s="72"/>
      <c r="AU914" s="72"/>
      <c r="AV914" s="72"/>
      <c r="AW914" s="72"/>
      <c r="AX914" s="72"/>
      <c r="AY914" s="72"/>
      <c r="AZ914" s="72"/>
      <c r="BA914" s="72"/>
      <c r="BB914" s="16"/>
      <c r="BC914" s="72"/>
      <c r="BD914" s="20"/>
      <c r="BE914" s="378"/>
    </row>
    <row r="915" spans="1:57" s="81" customFormat="1" ht="12.95" hidden="1" customHeight="1">
      <c r="A915" s="374"/>
      <c r="B915" s="376"/>
      <c r="C915" s="248" t="s">
        <v>1475</v>
      </c>
      <c r="D915" s="239" t="s">
        <v>5054</v>
      </c>
      <c r="E915" s="58"/>
      <c r="F915" s="59" t="s">
        <v>5055</v>
      </c>
      <c r="G915" s="191" t="s">
        <v>2511</v>
      </c>
      <c r="H915" s="192" t="s">
        <v>2033</v>
      </c>
      <c r="I915" s="61" t="s">
        <v>2511</v>
      </c>
      <c r="J915" s="61" t="s">
        <v>2511</v>
      </c>
      <c r="K915" s="62" t="s">
        <v>2511</v>
      </c>
      <c r="L915" s="60" t="s">
        <v>2511</v>
      </c>
      <c r="M915" s="61" t="s">
        <v>2389</v>
      </c>
      <c r="N915" s="61" t="s">
        <v>2511</v>
      </c>
      <c r="O915" s="61" t="s">
        <v>2511</v>
      </c>
      <c r="P915" s="62" t="s">
        <v>2511</v>
      </c>
      <c r="Q915" s="82"/>
      <c r="R915" s="82"/>
      <c r="S915" s="82"/>
      <c r="T915" s="82"/>
      <c r="U915" s="82"/>
      <c r="V915" s="138" t="s">
        <v>5056</v>
      </c>
      <c r="W915" s="57" t="s">
        <v>4966</v>
      </c>
      <c r="X915" s="126" t="s">
        <v>2511</v>
      </c>
      <c r="Y915" s="126" t="s">
        <v>2511</v>
      </c>
      <c r="Z915" s="57"/>
      <c r="AA915" s="57" t="s">
        <v>4533</v>
      </c>
      <c r="AB915" s="138"/>
      <c r="AC915" s="138" t="s">
        <v>2631</v>
      </c>
      <c r="AD915" s="96"/>
      <c r="AE915" s="80"/>
      <c r="AF915" s="80"/>
      <c r="AG915" s="80"/>
      <c r="AH915" s="83"/>
      <c r="AI915" s="83"/>
      <c r="AJ915" s="84"/>
      <c r="AK915" s="84"/>
      <c r="AL915" s="84"/>
      <c r="AM915" s="84"/>
      <c r="AN915" s="84"/>
      <c r="AO915" s="84"/>
      <c r="AP915" s="84"/>
      <c r="AQ915" s="95" t="s">
        <v>2033</v>
      </c>
      <c r="AR915" s="72"/>
      <c r="AS915" s="72"/>
      <c r="AT915" s="72"/>
      <c r="AU915" s="72"/>
      <c r="AV915" s="72"/>
      <c r="AW915" s="72"/>
      <c r="AX915" s="72"/>
      <c r="AY915" s="72"/>
      <c r="AZ915" s="72"/>
      <c r="BA915" s="72"/>
      <c r="BB915" s="16"/>
      <c r="BC915" s="72"/>
      <c r="BD915" s="20"/>
      <c r="BE915" s="378"/>
    </row>
    <row r="916" spans="1:57" s="81" customFormat="1" ht="12.95" hidden="1" customHeight="1">
      <c r="A916" s="374"/>
      <c r="B916" s="376"/>
      <c r="C916" s="248" t="s">
        <v>1476</v>
      </c>
      <c r="D916" s="239" t="s">
        <v>5057</v>
      </c>
      <c r="E916" s="58"/>
      <c r="F916" s="59" t="s">
        <v>5058</v>
      </c>
      <c r="G916" s="191" t="s">
        <v>2511</v>
      </c>
      <c r="H916" s="192" t="s">
        <v>2034</v>
      </c>
      <c r="I916" s="61" t="s">
        <v>2511</v>
      </c>
      <c r="J916" s="61" t="s">
        <v>2511</v>
      </c>
      <c r="K916" s="62" t="s">
        <v>2511</v>
      </c>
      <c r="L916" s="60" t="s">
        <v>2511</v>
      </c>
      <c r="M916" s="61" t="s">
        <v>2389</v>
      </c>
      <c r="N916" s="61" t="s">
        <v>2511</v>
      </c>
      <c r="O916" s="61" t="s">
        <v>2511</v>
      </c>
      <c r="P916" s="62" t="s">
        <v>2511</v>
      </c>
      <c r="Q916" s="82"/>
      <c r="R916" s="82"/>
      <c r="S916" s="82"/>
      <c r="T916" s="82"/>
      <c r="U916" s="82"/>
      <c r="V916" s="138" t="s">
        <v>5059</v>
      </c>
      <c r="W916" s="57" t="s">
        <v>4966</v>
      </c>
      <c r="X916" s="126" t="s">
        <v>2511</v>
      </c>
      <c r="Y916" s="126" t="s">
        <v>2511</v>
      </c>
      <c r="Z916" s="57"/>
      <c r="AA916" s="57" t="s">
        <v>4533</v>
      </c>
      <c r="AB916" s="138"/>
      <c r="AC916" s="138" t="s">
        <v>2631</v>
      </c>
      <c r="AD916" s="96"/>
      <c r="AE916" s="80"/>
      <c r="AF916" s="80"/>
      <c r="AG916" s="80"/>
      <c r="AH916" s="83"/>
      <c r="AI916" s="83"/>
      <c r="AJ916" s="84"/>
      <c r="AK916" s="84"/>
      <c r="AL916" s="84"/>
      <c r="AM916" s="84"/>
      <c r="AN916" s="84"/>
      <c r="AO916" s="84"/>
      <c r="AP916" s="84"/>
      <c r="AQ916" s="95" t="s">
        <v>2034</v>
      </c>
      <c r="AR916" s="72"/>
      <c r="AS916" s="72"/>
      <c r="AT916" s="72"/>
      <c r="AU916" s="72"/>
      <c r="AV916" s="72"/>
      <c r="AW916" s="72"/>
      <c r="AX916" s="72"/>
      <c r="AY916" s="72"/>
      <c r="AZ916" s="72"/>
      <c r="BA916" s="72"/>
      <c r="BB916" s="16"/>
      <c r="BC916" s="72"/>
      <c r="BD916" s="20"/>
      <c r="BE916" s="378"/>
    </row>
    <row r="917" spans="1:57" s="81" customFormat="1" ht="12.95" hidden="1" customHeight="1">
      <c r="A917" s="374"/>
      <c r="B917" s="376"/>
      <c r="C917" s="248" t="s">
        <v>1477</v>
      </c>
      <c r="D917" s="239" t="s">
        <v>5060</v>
      </c>
      <c r="E917" s="58"/>
      <c r="F917" s="59" t="s">
        <v>5061</v>
      </c>
      <c r="G917" s="191" t="s">
        <v>2511</v>
      </c>
      <c r="H917" s="192" t="s">
        <v>2035</v>
      </c>
      <c r="I917" s="61" t="s">
        <v>2511</v>
      </c>
      <c r="J917" s="61" t="s">
        <v>2511</v>
      </c>
      <c r="K917" s="62" t="s">
        <v>2511</v>
      </c>
      <c r="L917" s="60" t="s">
        <v>2511</v>
      </c>
      <c r="M917" s="61" t="s">
        <v>2389</v>
      </c>
      <c r="N917" s="61" t="s">
        <v>2511</v>
      </c>
      <c r="O917" s="61" t="s">
        <v>2511</v>
      </c>
      <c r="P917" s="62" t="s">
        <v>2511</v>
      </c>
      <c r="Q917" s="82"/>
      <c r="R917" s="82"/>
      <c r="S917" s="82"/>
      <c r="T917" s="82"/>
      <c r="U917" s="82"/>
      <c r="V917" s="138" t="s">
        <v>5062</v>
      </c>
      <c r="W917" s="57" t="s">
        <v>4966</v>
      </c>
      <c r="X917" s="126" t="s">
        <v>2511</v>
      </c>
      <c r="Y917" s="126" t="s">
        <v>2511</v>
      </c>
      <c r="Z917" s="57"/>
      <c r="AA917" s="57" t="s">
        <v>4533</v>
      </c>
      <c r="AB917" s="138"/>
      <c r="AC917" s="138" t="s">
        <v>2631</v>
      </c>
      <c r="AD917" s="96"/>
      <c r="AE917" s="80"/>
      <c r="AF917" s="80"/>
      <c r="AG917" s="80"/>
      <c r="AH917" s="83"/>
      <c r="AI917" s="83"/>
      <c r="AJ917" s="84"/>
      <c r="AK917" s="84"/>
      <c r="AL917" s="84"/>
      <c r="AM917" s="84"/>
      <c r="AN917" s="84"/>
      <c r="AO917" s="84"/>
      <c r="AP917" s="84"/>
      <c r="AQ917" s="95" t="s">
        <v>2035</v>
      </c>
      <c r="AR917" s="72"/>
      <c r="AS917" s="72"/>
      <c r="AT917" s="72"/>
      <c r="AU917" s="72"/>
      <c r="AV917" s="72"/>
      <c r="AW917" s="72"/>
      <c r="AX917" s="72"/>
      <c r="AY917" s="72"/>
      <c r="AZ917" s="72"/>
      <c r="BA917" s="72"/>
      <c r="BB917" s="16"/>
      <c r="BC917" s="72"/>
      <c r="BD917" s="20"/>
      <c r="BE917" s="378"/>
    </row>
    <row r="918" spans="1:57" s="81" customFormat="1" ht="12.95" hidden="1" customHeight="1">
      <c r="A918" s="374"/>
      <c r="B918" s="376"/>
      <c r="C918" s="270" t="s">
        <v>1478</v>
      </c>
      <c r="D918" s="239" t="s">
        <v>5063</v>
      </c>
      <c r="E918" s="58"/>
      <c r="F918" s="59" t="s">
        <v>5064</v>
      </c>
      <c r="G918" s="191" t="s">
        <v>2511</v>
      </c>
      <c r="H918" s="192" t="s">
        <v>2036</v>
      </c>
      <c r="I918" s="61" t="s">
        <v>2511</v>
      </c>
      <c r="J918" s="61" t="s">
        <v>2511</v>
      </c>
      <c r="K918" s="62" t="s">
        <v>2511</v>
      </c>
      <c r="L918" s="60" t="s">
        <v>2511</v>
      </c>
      <c r="M918" s="61" t="s">
        <v>2389</v>
      </c>
      <c r="N918" s="61" t="s">
        <v>2511</v>
      </c>
      <c r="O918" s="61" t="s">
        <v>2511</v>
      </c>
      <c r="P918" s="62" t="s">
        <v>2511</v>
      </c>
      <c r="Q918" s="82"/>
      <c r="R918" s="82"/>
      <c r="S918" s="82"/>
      <c r="T918" s="82"/>
      <c r="U918" s="82"/>
      <c r="V918" s="138" t="s">
        <v>5065</v>
      </c>
      <c r="W918" s="57" t="s">
        <v>4966</v>
      </c>
      <c r="X918" s="126" t="s">
        <v>2511</v>
      </c>
      <c r="Y918" s="126" t="s">
        <v>2511</v>
      </c>
      <c r="Z918" s="57"/>
      <c r="AA918" s="57" t="s">
        <v>4533</v>
      </c>
      <c r="AB918" s="138"/>
      <c r="AC918" s="138" t="s">
        <v>2631</v>
      </c>
      <c r="AD918" s="96"/>
      <c r="AE918" s="80"/>
      <c r="AF918" s="80"/>
      <c r="AG918" s="80"/>
      <c r="AH918" s="83"/>
      <c r="AI918" s="83"/>
      <c r="AJ918" s="84"/>
      <c r="AK918" s="84"/>
      <c r="AL918" s="84"/>
      <c r="AM918" s="84"/>
      <c r="AN918" s="84"/>
      <c r="AO918" s="84"/>
      <c r="AP918" s="84"/>
      <c r="AQ918" s="95" t="s">
        <v>2036</v>
      </c>
      <c r="AR918" s="72"/>
      <c r="AS918" s="72"/>
      <c r="AT918" s="72"/>
      <c r="AU918" s="72"/>
      <c r="AV918" s="72"/>
      <c r="AW918" s="72"/>
      <c r="AX918" s="72"/>
      <c r="AY918" s="72"/>
      <c r="AZ918" s="72"/>
      <c r="BA918" s="72"/>
      <c r="BB918" s="16"/>
      <c r="BC918" s="72"/>
      <c r="BD918" s="20"/>
      <c r="BE918" s="378"/>
    </row>
    <row r="919" spans="1:57" s="81" customFormat="1" ht="12.95" hidden="1" customHeight="1">
      <c r="A919" s="374"/>
      <c r="B919" s="376"/>
      <c r="C919" s="270" t="s">
        <v>1479</v>
      </c>
      <c r="D919" s="239" t="s">
        <v>5066</v>
      </c>
      <c r="E919" s="58"/>
      <c r="F919" s="59" t="s">
        <v>5067</v>
      </c>
      <c r="G919" s="191" t="s">
        <v>2511</v>
      </c>
      <c r="H919" s="192" t="s">
        <v>2037</v>
      </c>
      <c r="I919" s="61" t="s">
        <v>2511</v>
      </c>
      <c r="J919" s="61" t="s">
        <v>2511</v>
      </c>
      <c r="K919" s="62" t="s">
        <v>2511</v>
      </c>
      <c r="L919" s="60" t="s">
        <v>2511</v>
      </c>
      <c r="M919" s="61" t="s">
        <v>2389</v>
      </c>
      <c r="N919" s="61" t="s">
        <v>2511</v>
      </c>
      <c r="O919" s="61" t="s">
        <v>2511</v>
      </c>
      <c r="P919" s="62" t="s">
        <v>2511</v>
      </c>
      <c r="Q919" s="82"/>
      <c r="R919" s="82"/>
      <c r="S919" s="82"/>
      <c r="T919" s="82"/>
      <c r="U919" s="82"/>
      <c r="V919" s="138" t="s">
        <v>5068</v>
      </c>
      <c r="W919" s="57" t="s">
        <v>4966</v>
      </c>
      <c r="X919" s="126" t="s">
        <v>2511</v>
      </c>
      <c r="Y919" s="126" t="s">
        <v>2511</v>
      </c>
      <c r="Z919" s="57"/>
      <c r="AA919" s="57" t="s">
        <v>4533</v>
      </c>
      <c r="AB919" s="138"/>
      <c r="AC919" s="138" t="s">
        <v>2631</v>
      </c>
      <c r="AD919" s="96"/>
      <c r="AE919" s="80"/>
      <c r="AF919" s="80"/>
      <c r="AG919" s="80"/>
      <c r="AH919" s="83"/>
      <c r="AI919" s="83"/>
      <c r="AJ919" s="84"/>
      <c r="AK919" s="84"/>
      <c r="AL919" s="84"/>
      <c r="AM919" s="84"/>
      <c r="AN919" s="84"/>
      <c r="AO919" s="84"/>
      <c r="AP919" s="84"/>
      <c r="AQ919" s="95" t="s">
        <v>2037</v>
      </c>
      <c r="AR919" s="72"/>
      <c r="AS919" s="72"/>
      <c r="AT919" s="72"/>
      <c r="AU919" s="72"/>
      <c r="AV919" s="72"/>
      <c r="AW919" s="72"/>
      <c r="AX919" s="72"/>
      <c r="AY919" s="72"/>
      <c r="AZ919" s="72"/>
      <c r="BA919" s="72"/>
      <c r="BB919" s="16"/>
      <c r="BC919" s="72"/>
      <c r="BD919" s="20"/>
      <c r="BE919" s="378"/>
    </row>
    <row r="920" spans="1:57" s="81" customFormat="1" ht="12.95" hidden="1" customHeight="1">
      <c r="A920" s="374"/>
      <c r="B920" s="376"/>
      <c r="C920" s="248" t="s">
        <v>1480</v>
      </c>
      <c r="D920" s="239" t="s">
        <v>5069</v>
      </c>
      <c r="E920" s="58"/>
      <c r="F920" s="59" t="s">
        <v>5070</v>
      </c>
      <c r="G920" s="191" t="s">
        <v>2511</v>
      </c>
      <c r="H920" s="192" t="s">
        <v>2038</v>
      </c>
      <c r="I920" s="61" t="s">
        <v>2511</v>
      </c>
      <c r="J920" s="61" t="s">
        <v>2511</v>
      </c>
      <c r="K920" s="62" t="s">
        <v>2511</v>
      </c>
      <c r="L920" s="60" t="s">
        <v>2511</v>
      </c>
      <c r="M920" s="61" t="s">
        <v>2389</v>
      </c>
      <c r="N920" s="61" t="s">
        <v>2511</v>
      </c>
      <c r="O920" s="61" t="s">
        <v>2511</v>
      </c>
      <c r="P920" s="62" t="s">
        <v>2511</v>
      </c>
      <c r="Q920" s="82"/>
      <c r="R920" s="82"/>
      <c r="S920" s="82"/>
      <c r="T920" s="82"/>
      <c r="U920" s="82"/>
      <c r="V920" s="138" t="s">
        <v>5071</v>
      </c>
      <c r="W920" s="57" t="s">
        <v>4966</v>
      </c>
      <c r="X920" s="126" t="s">
        <v>2511</v>
      </c>
      <c r="Y920" s="126" t="s">
        <v>2511</v>
      </c>
      <c r="Z920" s="57"/>
      <c r="AA920" s="57" t="s">
        <v>4533</v>
      </c>
      <c r="AB920" s="138"/>
      <c r="AC920" s="138">
        <v>0</v>
      </c>
      <c r="AD920" s="96"/>
      <c r="AE920" s="80"/>
      <c r="AF920" s="80"/>
      <c r="AG920" s="80"/>
      <c r="AH920" s="83"/>
      <c r="AI920" s="83"/>
      <c r="AJ920" s="84"/>
      <c r="AK920" s="84"/>
      <c r="AL920" s="84"/>
      <c r="AM920" s="84"/>
      <c r="AN920" s="84"/>
      <c r="AO920" s="84"/>
      <c r="AP920" s="84"/>
      <c r="AQ920" s="95" t="s">
        <v>2038</v>
      </c>
      <c r="AR920" s="72"/>
      <c r="AS920" s="72"/>
      <c r="AT920" s="72"/>
      <c r="AU920" s="72"/>
      <c r="AV920" s="72"/>
      <c r="AW920" s="72"/>
      <c r="AX920" s="72"/>
      <c r="AY920" s="72"/>
      <c r="AZ920" s="72"/>
      <c r="BA920" s="72"/>
      <c r="BB920" s="16"/>
      <c r="BC920" s="72"/>
      <c r="BD920" s="20"/>
      <c r="BE920" s="378"/>
    </row>
    <row r="921" spans="1:57" s="81" customFormat="1" ht="12.95" hidden="1" customHeight="1">
      <c r="A921" s="374"/>
      <c r="B921" s="376"/>
      <c r="C921" s="248" t="s">
        <v>1481</v>
      </c>
      <c r="D921" s="239" t="s">
        <v>5072</v>
      </c>
      <c r="E921" s="58"/>
      <c r="F921" s="59" t="s">
        <v>5073</v>
      </c>
      <c r="G921" s="191" t="s">
        <v>2511</v>
      </c>
      <c r="H921" s="192" t="s">
        <v>2039</v>
      </c>
      <c r="I921" s="61" t="s">
        <v>2511</v>
      </c>
      <c r="J921" s="61" t="s">
        <v>2511</v>
      </c>
      <c r="K921" s="62" t="s">
        <v>2511</v>
      </c>
      <c r="L921" s="60" t="s">
        <v>2511</v>
      </c>
      <c r="M921" s="61" t="s">
        <v>2389</v>
      </c>
      <c r="N921" s="61" t="s">
        <v>2511</v>
      </c>
      <c r="O921" s="61" t="s">
        <v>2511</v>
      </c>
      <c r="P921" s="62" t="s">
        <v>2511</v>
      </c>
      <c r="Q921" s="82"/>
      <c r="R921" s="82"/>
      <c r="S921" s="82"/>
      <c r="T921" s="82"/>
      <c r="U921" s="82"/>
      <c r="V921" s="138" t="s">
        <v>5074</v>
      </c>
      <c r="W921" s="57" t="s">
        <v>4966</v>
      </c>
      <c r="X921" s="126" t="s">
        <v>2511</v>
      </c>
      <c r="Y921" s="126" t="s">
        <v>2511</v>
      </c>
      <c r="Z921" s="57"/>
      <c r="AA921" s="57" t="s">
        <v>4533</v>
      </c>
      <c r="AB921" s="138"/>
      <c r="AC921" s="138" t="s">
        <v>2631</v>
      </c>
      <c r="AD921" s="96"/>
      <c r="AE921" s="80"/>
      <c r="AF921" s="80"/>
      <c r="AG921" s="80"/>
      <c r="AH921" s="83"/>
      <c r="AI921" s="83"/>
      <c r="AJ921" s="84"/>
      <c r="AK921" s="84"/>
      <c r="AL921" s="84"/>
      <c r="AM921" s="84"/>
      <c r="AN921" s="84"/>
      <c r="AO921" s="84"/>
      <c r="AP921" s="84"/>
      <c r="AQ921" s="95" t="s">
        <v>2039</v>
      </c>
      <c r="AR921" s="72"/>
      <c r="AS921" s="72"/>
      <c r="AT921" s="72"/>
      <c r="AU921" s="72"/>
      <c r="AV921" s="72"/>
      <c r="AW921" s="72"/>
      <c r="AX921" s="72"/>
      <c r="AY921" s="72"/>
      <c r="AZ921" s="72"/>
      <c r="BA921" s="72"/>
      <c r="BB921" s="16"/>
      <c r="BC921" s="72"/>
      <c r="BD921" s="20"/>
      <c r="BE921" s="378"/>
    </row>
    <row r="922" spans="1:57" s="81" customFormat="1" ht="12.95" hidden="1" customHeight="1">
      <c r="A922" s="374"/>
      <c r="B922" s="376"/>
      <c r="C922" s="248" t="s">
        <v>1482</v>
      </c>
      <c r="D922" s="239" t="s">
        <v>5075</v>
      </c>
      <c r="E922" s="58"/>
      <c r="F922" s="59" t="s">
        <v>5076</v>
      </c>
      <c r="G922" s="191" t="s">
        <v>2511</v>
      </c>
      <c r="H922" s="192" t="s">
        <v>2040</v>
      </c>
      <c r="I922" s="61" t="s">
        <v>2511</v>
      </c>
      <c r="J922" s="61" t="s">
        <v>2511</v>
      </c>
      <c r="K922" s="62" t="s">
        <v>2511</v>
      </c>
      <c r="L922" s="60" t="s">
        <v>2511</v>
      </c>
      <c r="M922" s="61" t="s">
        <v>2389</v>
      </c>
      <c r="N922" s="61" t="s">
        <v>2511</v>
      </c>
      <c r="O922" s="61" t="s">
        <v>2511</v>
      </c>
      <c r="P922" s="62" t="s">
        <v>2511</v>
      </c>
      <c r="Q922" s="82"/>
      <c r="R922" s="82"/>
      <c r="S922" s="82"/>
      <c r="T922" s="82"/>
      <c r="U922" s="82"/>
      <c r="V922" s="138" t="s">
        <v>5077</v>
      </c>
      <c r="W922" s="57" t="s">
        <v>4966</v>
      </c>
      <c r="X922" s="126" t="s">
        <v>2511</v>
      </c>
      <c r="Y922" s="126" t="s">
        <v>2511</v>
      </c>
      <c r="Z922" s="57"/>
      <c r="AA922" s="57" t="s">
        <v>4533</v>
      </c>
      <c r="AB922" s="138"/>
      <c r="AC922" s="138" t="s">
        <v>2631</v>
      </c>
      <c r="AD922" s="96"/>
      <c r="AE922" s="80"/>
      <c r="AF922" s="80"/>
      <c r="AG922" s="80"/>
      <c r="AH922" s="83"/>
      <c r="AI922" s="83"/>
      <c r="AJ922" s="84"/>
      <c r="AK922" s="84"/>
      <c r="AL922" s="84"/>
      <c r="AM922" s="84"/>
      <c r="AN922" s="84"/>
      <c r="AO922" s="84"/>
      <c r="AP922" s="84"/>
      <c r="AQ922" s="95" t="s">
        <v>2040</v>
      </c>
      <c r="AR922" s="72"/>
      <c r="AS922" s="72"/>
      <c r="AT922" s="72"/>
      <c r="AU922" s="72"/>
      <c r="AV922" s="72"/>
      <c r="AW922" s="72"/>
      <c r="AX922" s="72"/>
      <c r="AY922" s="72"/>
      <c r="AZ922" s="72"/>
      <c r="BA922" s="72"/>
      <c r="BB922" s="16"/>
      <c r="BC922" s="72"/>
      <c r="BD922" s="20"/>
      <c r="BE922" s="378"/>
    </row>
    <row r="923" spans="1:57" s="81" customFormat="1" ht="12.95" hidden="1" customHeight="1">
      <c r="A923" s="374"/>
      <c r="B923" s="376"/>
      <c r="C923" s="248" t="s">
        <v>1483</v>
      </c>
      <c r="D923" s="239" t="s">
        <v>5078</v>
      </c>
      <c r="E923" s="58"/>
      <c r="F923" s="59" t="s">
        <v>5079</v>
      </c>
      <c r="G923" s="191" t="s">
        <v>2511</v>
      </c>
      <c r="H923" s="192" t="s">
        <v>2041</v>
      </c>
      <c r="I923" s="61" t="s">
        <v>2511</v>
      </c>
      <c r="J923" s="61" t="s">
        <v>2511</v>
      </c>
      <c r="K923" s="62" t="s">
        <v>2511</v>
      </c>
      <c r="L923" s="60" t="s">
        <v>2511</v>
      </c>
      <c r="M923" s="61" t="s">
        <v>2389</v>
      </c>
      <c r="N923" s="61" t="s">
        <v>2511</v>
      </c>
      <c r="O923" s="61" t="s">
        <v>2511</v>
      </c>
      <c r="P923" s="62" t="s">
        <v>2511</v>
      </c>
      <c r="Q923" s="82"/>
      <c r="R923" s="82"/>
      <c r="S923" s="82"/>
      <c r="T923" s="82"/>
      <c r="U923" s="82"/>
      <c r="V923" s="138" t="s">
        <v>5080</v>
      </c>
      <c r="W923" s="57" t="s">
        <v>4966</v>
      </c>
      <c r="X923" s="126" t="s">
        <v>2511</v>
      </c>
      <c r="Y923" s="126" t="s">
        <v>2511</v>
      </c>
      <c r="Z923" s="57"/>
      <c r="AA923" s="57" t="s">
        <v>4533</v>
      </c>
      <c r="AB923" s="138"/>
      <c r="AC923" s="138" t="s">
        <v>2631</v>
      </c>
      <c r="AD923" s="96"/>
      <c r="AE923" s="80"/>
      <c r="AF923" s="80"/>
      <c r="AG923" s="80"/>
      <c r="AH923" s="83"/>
      <c r="AI923" s="83"/>
      <c r="AJ923" s="84"/>
      <c r="AK923" s="84"/>
      <c r="AL923" s="84"/>
      <c r="AM923" s="84"/>
      <c r="AN923" s="84"/>
      <c r="AO923" s="84"/>
      <c r="AP923" s="84"/>
      <c r="AQ923" s="95" t="s">
        <v>2041</v>
      </c>
      <c r="AR923" s="72"/>
      <c r="AS923" s="72"/>
      <c r="AT923" s="72"/>
      <c r="AU923" s="72"/>
      <c r="AV923" s="72"/>
      <c r="AW923" s="72"/>
      <c r="AX923" s="72"/>
      <c r="AY923" s="72"/>
      <c r="AZ923" s="72"/>
      <c r="BA923" s="72"/>
      <c r="BB923" s="16"/>
      <c r="BC923" s="72"/>
      <c r="BD923" s="20"/>
      <c r="BE923" s="378"/>
    </row>
    <row r="924" spans="1:57" s="81" customFormat="1" ht="12.95" hidden="1" customHeight="1">
      <c r="A924" s="374"/>
      <c r="B924" s="376"/>
      <c r="C924" s="248" t="s">
        <v>1484</v>
      </c>
      <c r="D924" s="239" t="s">
        <v>5081</v>
      </c>
      <c r="E924" s="58"/>
      <c r="F924" s="59" t="s">
        <v>5082</v>
      </c>
      <c r="G924" s="191" t="s">
        <v>2511</v>
      </c>
      <c r="H924" s="192" t="s">
        <v>2042</v>
      </c>
      <c r="I924" s="61" t="s">
        <v>2511</v>
      </c>
      <c r="J924" s="61" t="s">
        <v>2511</v>
      </c>
      <c r="K924" s="62" t="s">
        <v>2511</v>
      </c>
      <c r="L924" s="60" t="s">
        <v>2511</v>
      </c>
      <c r="M924" s="61" t="s">
        <v>2389</v>
      </c>
      <c r="N924" s="61" t="s">
        <v>2511</v>
      </c>
      <c r="O924" s="61" t="s">
        <v>2511</v>
      </c>
      <c r="P924" s="62" t="s">
        <v>2511</v>
      </c>
      <c r="Q924" s="82"/>
      <c r="R924" s="82"/>
      <c r="S924" s="82"/>
      <c r="T924" s="82"/>
      <c r="U924" s="82"/>
      <c r="V924" s="138" t="s">
        <v>5083</v>
      </c>
      <c r="W924" s="57" t="s">
        <v>4966</v>
      </c>
      <c r="X924" s="126" t="s">
        <v>2511</v>
      </c>
      <c r="Y924" s="126" t="s">
        <v>2511</v>
      </c>
      <c r="Z924" s="57"/>
      <c r="AA924" s="57" t="s">
        <v>4533</v>
      </c>
      <c r="AB924" s="138"/>
      <c r="AC924" s="138" t="s">
        <v>2631</v>
      </c>
      <c r="AD924" s="96"/>
      <c r="AE924" s="80"/>
      <c r="AF924" s="80"/>
      <c r="AG924" s="80"/>
      <c r="AH924" s="83"/>
      <c r="AI924" s="83"/>
      <c r="AJ924" s="84"/>
      <c r="AK924" s="84"/>
      <c r="AL924" s="84"/>
      <c r="AM924" s="84"/>
      <c r="AN924" s="84"/>
      <c r="AO924" s="84"/>
      <c r="AP924" s="84"/>
      <c r="AQ924" s="95" t="s">
        <v>2042</v>
      </c>
      <c r="AR924" s="72"/>
      <c r="AS924" s="72"/>
      <c r="AT924" s="72"/>
      <c r="AU924" s="72"/>
      <c r="AV924" s="72"/>
      <c r="AW924" s="72"/>
      <c r="AX924" s="72"/>
      <c r="AY924" s="72"/>
      <c r="AZ924" s="72"/>
      <c r="BA924" s="72"/>
      <c r="BB924" s="16"/>
      <c r="BC924" s="72"/>
      <c r="BD924" s="20"/>
      <c r="BE924" s="378"/>
    </row>
    <row r="925" spans="1:57" s="81" customFormat="1" ht="12.95" hidden="1" customHeight="1">
      <c r="A925" s="374"/>
      <c r="B925" s="376"/>
      <c r="C925" s="248" t="s">
        <v>1485</v>
      </c>
      <c r="D925" s="239" t="s">
        <v>5084</v>
      </c>
      <c r="E925" s="58"/>
      <c r="F925" s="59" t="s">
        <v>5085</v>
      </c>
      <c r="G925" s="191" t="s">
        <v>2511</v>
      </c>
      <c r="H925" s="192" t="s">
        <v>2043</v>
      </c>
      <c r="I925" s="61" t="s">
        <v>2511</v>
      </c>
      <c r="J925" s="61" t="s">
        <v>2511</v>
      </c>
      <c r="K925" s="62" t="s">
        <v>2511</v>
      </c>
      <c r="L925" s="60" t="s">
        <v>2511</v>
      </c>
      <c r="M925" s="61" t="s">
        <v>2389</v>
      </c>
      <c r="N925" s="61" t="s">
        <v>2511</v>
      </c>
      <c r="O925" s="61" t="s">
        <v>2511</v>
      </c>
      <c r="P925" s="62" t="s">
        <v>2511</v>
      </c>
      <c r="Q925" s="82"/>
      <c r="R925" s="82"/>
      <c r="S925" s="82"/>
      <c r="T925" s="82"/>
      <c r="U925" s="82"/>
      <c r="V925" s="138" t="s">
        <v>5086</v>
      </c>
      <c r="W925" s="57" t="s">
        <v>4966</v>
      </c>
      <c r="X925" s="126" t="s">
        <v>2511</v>
      </c>
      <c r="Y925" s="126" t="s">
        <v>2511</v>
      </c>
      <c r="Z925" s="57"/>
      <c r="AA925" s="57" t="s">
        <v>4533</v>
      </c>
      <c r="AB925" s="138"/>
      <c r="AC925" s="138" t="s">
        <v>2631</v>
      </c>
      <c r="AD925" s="96"/>
      <c r="AE925" s="80"/>
      <c r="AF925" s="80"/>
      <c r="AG925" s="80"/>
      <c r="AH925" s="83"/>
      <c r="AI925" s="83"/>
      <c r="AJ925" s="84"/>
      <c r="AK925" s="84"/>
      <c r="AL925" s="84"/>
      <c r="AM925" s="84"/>
      <c r="AN925" s="84"/>
      <c r="AO925" s="84"/>
      <c r="AP925" s="84"/>
      <c r="AQ925" s="95" t="s">
        <v>2043</v>
      </c>
      <c r="AR925" s="72"/>
      <c r="AS925" s="72"/>
      <c r="AT925" s="72"/>
      <c r="AU925" s="72"/>
      <c r="AV925" s="72"/>
      <c r="AW925" s="72"/>
      <c r="AX925" s="72"/>
      <c r="AY925" s="72"/>
      <c r="AZ925" s="72"/>
      <c r="BA925" s="72"/>
      <c r="BB925" s="16"/>
      <c r="BC925" s="72"/>
      <c r="BD925" s="20"/>
      <c r="BE925" s="378"/>
    </row>
    <row r="926" spans="1:57" s="81" customFormat="1" ht="12.95" hidden="1" customHeight="1">
      <c r="A926" s="374"/>
      <c r="B926" s="376"/>
      <c r="C926" s="248" t="s">
        <v>1486</v>
      </c>
      <c r="D926" s="239" t="s">
        <v>5087</v>
      </c>
      <c r="E926" s="58"/>
      <c r="F926" s="59" t="s">
        <v>5088</v>
      </c>
      <c r="G926" s="191" t="s">
        <v>2511</v>
      </c>
      <c r="H926" s="192" t="s">
        <v>2044</v>
      </c>
      <c r="I926" s="61" t="s">
        <v>2511</v>
      </c>
      <c r="J926" s="61" t="s">
        <v>2511</v>
      </c>
      <c r="K926" s="62" t="s">
        <v>2511</v>
      </c>
      <c r="L926" s="60" t="s">
        <v>2511</v>
      </c>
      <c r="M926" s="61" t="s">
        <v>2389</v>
      </c>
      <c r="N926" s="61" t="s">
        <v>2511</v>
      </c>
      <c r="O926" s="61" t="s">
        <v>2511</v>
      </c>
      <c r="P926" s="62" t="s">
        <v>2511</v>
      </c>
      <c r="Q926" s="82"/>
      <c r="R926" s="82"/>
      <c r="S926" s="82"/>
      <c r="T926" s="82"/>
      <c r="U926" s="82"/>
      <c r="V926" s="138" t="s">
        <v>5089</v>
      </c>
      <c r="W926" s="57" t="s">
        <v>4966</v>
      </c>
      <c r="X926" s="126" t="s">
        <v>2511</v>
      </c>
      <c r="Y926" s="126" t="s">
        <v>2511</v>
      </c>
      <c r="Z926" s="57"/>
      <c r="AA926" s="57" t="s">
        <v>4533</v>
      </c>
      <c r="AB926" s="138"/>
      <c r="AC926" s="138" t="s">
        <v>2631</v>
      </c>
      <c r="AD926" s="96"/>
      <c r="AE926" s="80"/>
      <c r="AF926" s="80"/>
      <c r="AG926" s="80"/>
      <c r="AH926" s="83"/>
      <c r="AI926" s="83"/>
      <c r="AJ926" s="84"/>
      <c r="AK926" s="84"/>
      <c r="AL926" s="84"/>
      <c r="AM926" s="84"/>
      <c r="AN926" s="84"/>
      <c r="AO926" s="84"/>
      <c r="AP926" s="84"/>
      <c r="AQ926" s="95" t="s">
        <v>2044</v>
      </c>
      <c r="AR926" s="72"/>
      <c r="AS926" s="72"/>
      <c r="AT926" s="72"/>
      <c r="AU926" s="72"/>
      <c r="AV926" s="72"/>
      <c r="AW926" s="72"/>
      <c r="AX926" s="72"/>
      <c r="AY926" s="72"/>
      <c r="AZ926" s="72"/>
      <c r="BA926" s="72"/>
      <c r="BB926" s="16"/>
      <c r="BC926" s="72"/>
      <c r="BD926" s="20"/>
      <c r="BE926" s="378"/>
    </row>
    <row r="927" spans="1:57" s="81" customFormat="1" ht="12.95" hidden="1" customHeight="1">
      <c r="A927" s="374"/>
      <c r="B927" s="376"/>
      <c r="C927" s="248" t="s">
        <v>1487</v>
      </c>
      <c r="D927" s="239" t="s">
        <v>5090</v>
      </c>
      <c r="E927" s="58"/>
      <c r="F927" s="59" t="s">
        <v>5091</v>
      </c>
      <c r="G927" s="191" t="s">
        <v>2511</v>
      </c>
      <c r="H927" s="192" t="s">
        <v>2045</v>
      </c>
      <c r="I927" s="61" t="s">
        <v>2511</v>
      </c>
      <c r="J927" s="61" t="s">
        <v>2511</v>
      </c>
      <c r="K927" s="62" t="s">
        <v>2511</v>
      </c>
      <c r="L927" s="60" t="s">
        <v>2511</v>
      </c>
      <c r="M927" s="61" t="s">
        <v>2389</v>
      </c>
      <c r="N927" s="61" t="s">
        <v>2511</v>
      </c>
      <c r="O927" s="61" t="s">
        <v>2511</v>
      </c>
      <c r="P927" s="62" t="s">
        <v>2511</v>
      </c>
      <c r="Q927" s="82"/>
      <c r="R927" s="82"/>
      <c r="S927" s="82"/>
      <c r="T927" s="82"/>
      <c r="U927" s="82"/>
      <c r="V927" s="138" t="s">
        <v>5092</v>
      </c>
      <c r="W927" s="57" t="s">
        <v>4966</v>
      </c>
      <c r="X927" s="126" t="s">
        <v>2511</v>
      </c>
      <c r="Y927" s="126" t="s">
        <v>2511</v>
      </c>
      <c r="Z927" s="57"/>
      <c r="AA927" s="57" t="s">
        <v>4533</v>
      </c>
      <c r="AB927" s="138"/>
      <c r="AC927" s="138" t="s">
        <v>2631</v>
      </c>
      <c r="AD927" s="96"/>
      <c r="AE927" s="80"/>
      <c r="AF927" s="80"/>
      <c r="AG927" s="80"/>
      <c r="AH927" s="83"/>
      <c r="AI927" s="83"/>
      <c r="AJ927" s="84"/>
      <c r="AK927" s="84"/>
      <c r="AL927" s="84"/>
      <c r="AM927" s="84"/>
      <c r="AN927" s="84"/>
      <c r="AO927" s="84"/>
      <c r="AP927" s="84"/>
      <c r="AQ927" s="95" t="s">
        <v>2045</v>
      </c>
      <c r="AR927" s="72"/>
      <c r="AS927" s="72"/>
      <c r="AT927" s="72"/>
      <c r="AU927" s="72"/>
      <c r="AV927" s="72"/>
      <c r="AW927" s="72"/>
      <c r="AX927" s="72"/>
      <c r="AY927" s="72"/>
      <c r="AZ927" s="72"/>
      <c r="BA927" s="72"/>
      <c r="BB927" s="16"/>
      <c r="BC927" s="72"/>
      <c r="BD927" s="20"/>
      <c r="BE927" s="378"/>
    </row>
    <row r="928" spans="1:57" s="81" customFormat="1" ht="12.95" hidden="1" customHeight="1">
      <c r="A928" s="374"/>
      <c r="B928" s="376"/>
      <c r="C928" s="248" t="s">
        <v>1488</v>
      </c>
      <c r="D928" s="239" t="s">
        <v>5093</v>
      </c>
      <c r="E928" s="58"/>
      <c r="F928" s="59" t="s">
        <v>5094</v>
      </c>
      <c r="G928" s="191" t="s">
        <v>2511</v>
      </c>
      <c r="H928" s="192" t="s">
        <v>2046</v>
      </c>
      <c r="I928" s="61" t="s">
        <v>2511</v>
      </c>
      <c r="J928" s="61" t="s">
        <v>2511</v>
      </c>
      <c r="K928" s="62" t="s">
        <v>2511</v>
      </c>
      <c r="L928" s="60" t="s">
        <v>2511</v>
      </c>
      <c r="M928" s="61" t="s">
        <v>2389</v>
      </c>
      <c r="N928" s="61" t="s">
        <v>2511</v>
      </c>
      <c r="O928" s="61" t="s">
        <v>2511</v>
      </c>
      <c r="P928" s="62" t="s">
        <v>2511</v>
      </c>
      <c r="Q928" s="82"/>
      <c r="R928" s="82"/>
      <c r="S928" s="82"/>
      <c r="T928" s="82"/>
      <c r="U928" s="82"/>
      <c r="V928" s="138" t="s">
        <v>5095</v>
      </c>
      <c r="W928" s="57" t="s">
        <v>4966</v>
      </c>
      <c r="X928" s="126" t="s">
        <v>2511</v>
      </c>
      <c r="Y928" s="126" t="s">
        <v>2511</v>
      </c>
      <c r="Z928" s="57"/>
      <c r="AA928" s="57" t="s">
        <v>4533</v>
      </c>
      <c r="AB928" s="138"/>
      <c r="AC928" s="138" t="s">
        <v>2631</v>
      </c>
      <c r="AD928" s="96"/>
      <c r="AE928" s="80"/>
      <c r="AF928" s="80"/>
      <c r="AG928" s="80"/>
      <c r="AH928" s="83"/>
      <c r="AI928" s="83"/>
      <c r="AJ928" s="84"/>
      <c r="AK928" s="84"/>
      <c r="AL928" s="84"/>
      <c r="AM928" s="84"/>
      <c r="AN928" s="84"/>
      <c r="AO928" s="84"/>
      <c r="AP928" s="84"/>
      <c r="AQ928" s="95" t="s">
        <v>2046</v>
      </c>
      <c r="AR928" s="72"/>
      <c r="AS928" s="72"/>
      <c r="AT928" s="72"/>
      <c r="AU928" s="72"/>
      <c r="AV928" s="72"/>
      <c r="AW928" s="72"/>
      <c r="AX928" s="72"/>
      <c r="AY928" s="72"/>
      <c r="AZ928" s="72"/>
      <c r="BA928" s="72"/>
      <c r="BB928" s="16"/>
      <c r="BC928" s="72"/>
      <c r="BD928" s="20"/>
      <c r="BE928" s="378"/>
    </row>
    <row r="929" spans="1:57" s="81" customFormat="1" ht="12.95" hidden="1" customHeight="1">
      <c r="A929" s="374"/>
      <c r="B929" s="376"/>
      <c r="C929" s="248" t="s">
        <v>1489</v>
      </c>
      <c r="D929" s="239" t="s">
        <v>5096</v>
      </c>
      <c r="E929" s="58"/>
      <c r="F929" s="59" t="s">
        <v>5097</v>
      </c>
      <c r="G929" s="191" t="s">
        <v>2511</v>
      </c>
      <c r="H929" s="192" t="s">
        <v>2047</v>
      </c>
      <c r="I929" s="61" t="s">
        <v>2511</v>
      </c>
      <c r="J929" s="61" t="s">
        <v>2511</v>
      </c>
      <c r="K929" s="62" t="s">
        <v>2511</v>
      </c>
      <c r="L929" s="60" t="s">
        <v>2511</v>
      </c>
      <c r="M929" s="61" t="s">
        <v>2389</v>
      </c>
      <c r="N929" s="61" t="s">
        <v>2511</v>
      </c>
      <c r="O929" s="61" t="s">
        <v>2511</v>
      </c>
      <c r="P929" s="62" t="s">
        <v>2511</v>
      </c>
      <c r="Q929" s="82"/>
      <c r="R929" s="82"/>
      <c r="S929" s="82"/>
      <c r="T929" s="82"/>
      <c r="U929" s="82"/>
      <c r="V929" s="138" t="s">
        <v>5098</v>
      </c>
      <c r="W929" s="57" t="s">
        <v>4966</v>
      </c>
      <c r="X929" s="126" t="s">
        <v>2511</v>
      </c>
      <c r="Y929" s="126" t="s">
        <v>2511</v>
      </c>
      <c r="Z929" s="57"/>
      <c r="AA929" s="57" t="s">
        <v>4533</v>
      </c>
      <c r="AB929" s="138"/>
      <c r="AC929" s="138" t="s">
        <v>2631</v>
      </c>
      <c r="AD929" s="96"/>
      <c r="AE929" s="80"/>
      <c r="AF929" s="80"/>
      <c r="AG929" s="80"/>
      <c r="AH929" s="83"/>
      <c r="AI929" s="83"/>
      <c r="AJ929" s="84"/>
      <c r="AK929" s="84"/>
      <c r="AL929" s="84"/>
      <c r="AM929" s="84"/>
      <c r="AN929" s="84"/>
      <c r="AO929" s="84"/>
      <c r="AP929" s="84"/>
      <c r="AQ929" s="95" t="s">
        <v>2047</v>
      </c>
      <c r="AR929" s="72"/>
      <c r="AS929" s="72"/>
      <c r="AT929" s="72"/>
      <c r="AU929" s="72"/>
      <c r="AV929" s="72"/>
      <c r="AW929" s="72"/>
      <c r="AX929" s="72"/>
      <c r="AY929" s="72"/>
      <c r="AZ929" s="72"/>
      <c r="BA929" s="72"/>
      <c r="BB929" s="16"/>
      <c r="BC929" s="72"/>
      <c r="BD929" s="20"/>
      <c r="BE929" s="378"/>
    </row>
    <row r="930" spans="1:57" s="81" customFormat="1" ht="12.95" hidden="1" customHeight="1">
      <c r="A930" s="374"/>
      <c r="B930" s="376"/>
      <c r="C930" s="270" t="s">
        <v>1490</v>
      </c>
      <c r="D930" s="239" t="s">
        <v>5099</v>
      </c>
      <c r="E930" s="58"/>
      <c r="F930" s="59" t="s">
        <v>5100</v>
      </c>
      <c r="G930" s="191" t="s">
        <v>2511</v>
      </c>
      <c r="H930" s="192" t="s">
        <v>2048</v>
      </c>
      <c r="I930" s="61" t="s">
        <v>2511</v>
      </c>
      <c r="J930" s="61" t="s">
        <v>2511</v>
      </c>
      <c r="K930" s="62" t="s">
        <v>2511</v>
      </c>
      <c r="L930" s="60" t="s">
        <v>2511</v>
      </c>
      <c r="M930" s="61" t="s">
        <v>2389</v>
      </c>
      <c r="N930" s="61" t="s">
        <v>2511</v>
      </c>
      <c r="O930" s="61" t="s">
        <v>2511</v>
      </c>
      <c r="P930" s="62" t="s">
        <v>2511</v>
      </c>
      <c r="Q930" s="82"/>
      <c r="R930" s="82"/>
      <c r="S930" s="82"/>
      <c r="T930" s="82"/>
      <c r="U930" s="82"/>
      <c r="V930" s="138" t="s">
        <v>5101</v>
      </c>
      <c r="W930" s="57" t="s">
        <v>4966</v>
      </c>
      <c r="X930" s="126" t="s">
        <v>2511</v>
      </c>
      <c r="Y930" s="126" t="s">
        <v>2511</v>
      </c>
      <c r="Z930" s="57"/>
      <c r="AA930" s="57" t="s">
        <v>4533</v>
      </c>
      <c r="AB930" s="138"/>
      <c r="AC930" s="138" t="s">
        <v>2631</v>
      </c>
      <c r="AD930" s="96"/>
      <c r="AE930" s="80"/>
      <c r="AF930" s="80"/>
      <c r="AG930" s="80"/>
      <c r="AH930" s="83"/>
      <c r="AI930" s="83"/>
      <c r="AJ930" s="84"/>
      <c r="AK930" s="84"/>
      <c r="AL930" s="84"/>
      <c r="AM930" s="84"/>
      <c r="AN930" s="84"/>
      <c r="AO930" s="84"/>
      <c r="AP930" s="84"/>
      <c r="AQ930" s="95" t="s">
        <v>2048</v>
      </c>
      <c r="AR930" s="72"/>
      <c r="AS930" s="72"/>
      <c r="AT930" s="72"/>
      <c r="AU930" s="72"/>
      <c r="AV930" s="72"/>
      <c r="AW930" s="72"/>
      <c r="AX930" s="72"/>
      <c r="AY930" s="72"/>
      <c r="AZ930" s="72"/>
      <c r="BA930" s="72"/>
      <c r="BB930" s="16"/>
      <c r="BC930" s="72"/>
      <c r="BD930" s="20"/>
      <c r="BE930" s="378"/>
    </row>
    <row r="931" spans="1:57" s="81" customFormat="1" ht="12.95" hidden="1" customHeight="1">
      <c r="A931" s="374"/>
      <c r="B931" s="376"/>
      <c r="C931" s="270" t="s">
        <v>1491</v>
      </c>
      <c r="D931" s="239" t="s">
        <v>5102</v>
      </c>
      <c r="E931" s="58"/>
      <c r="F931" s="59" t="s">
        <v>5103</v>
      </c>
      <c r="G931" s="191" t="s">
        <v>2511</v>
      </c>
      <c r="H931" s="192" t="s">
        <v>2049</v>
      </c>
      <c r="I931" s="61" t="s">
        <v>2511</v>
      </c>
      <c r="J931" s="61" t="s">
        <v>2511</v>
      </c>
      <c r="K931" s="62" t="s">
        <v>2511</v>
      </c>
      <c r="L931" s="60" t="s">
        <v>2511</v>
      </c>
      <c r="M931" s="61" t="s">
        <v>2389</v>
      </c>
      <c r="N931" s="61" t="s">
        <v>2511</v>
      </c>
      <c r="O931" s="61" t="s">
        <v>2511</v>
      </c>
      <c r="P931" s="62" t="s">
        <v>2511</v>
      </c>
      <c r="Q931" s="82"/>
      <c r="R931" s="82"/>
      <c r="S931" s="82"/>
      <c r="T931" s="82"/>
      <c r="U931" s="82"/>
      <c r="V931" s="138" t="s">
        <v>5104</v>
      </c>
      <c r="W931" s="57" t="s">
        <v>4966</v>
      </c>
      <c r="X931" s="126" t="s">
        <v>2511</v>
      </c>
      <c r="Y931" s="126" t="s">
        <v>2511</v>
      </c>
      <c r="Z931" s="57"/>
      <c r="AA931" s="57" t="s">
        <v>4533</v>
      </c>
      <c r="AB931" s="138"/>
      <c r="AC931" s="138" t="s">
        <v>2631</v>
      </c>
      <c r="AD931" s="96"/>
      <c r="AE931" s="80"/>
      <c r="AF931" s="80"/>
      <c r="AG931" s="80"/>
      <c r="AH931" s="83"/>
      <c r="AI931" s="83"/>
      <c r="AJ931" s="84"/>
      <c r="AK931" s="84"/>
      <c r="AL931" s="84"/>
      <c r="AM931" s="84"/>
      <c r="AN931" s="84"/>
      <c r="AO931" s="84"/>
      <c r="AP931" s="84"/>
      <c r="AQ931" s="95" t="s">
        <v>2049</v>
      </c>
      <c r="AR931" s="72"/>
      <c r="AS931" s="72"/>
      <c r="AT931" s="72"/>
      <c r="AU931" s="72"/>
      <c r="AV931" s="72"/>
      <c r="AW931" s="72"/>
      <c r="AX931" s="72"/>
      <c r="AY931" s="72"/>
      <c r="AZ931" s="72"/>
      <c r="BA931" s="72"/>
      <c r="BB931" s="16"/>
      <c r="BC931" s="72"/>
      <c r="BD931" s="20"/>
      <c r="BE931" s="378"/>
    </row>
    <row r="932" spans="1:57" s="81" customFormat="1" ht="12.95" hidden="1" customHeight="1">
      <c r="A932" s="374"/>
      <c r="B932" s="376"/>
      <c r="C932" s="248" t="s">
        <v>1492</v>
      </c>
      <c r="D932" s="239" t="s">
        <v>5105</v>
      </c>
      <c r="E932" s="58"/>
      <c r="F932" s="59" t="s">
        <v>5106</v>
      </c>
      <c r="G932" s="191" t="s">
        <v>2511</v>
      </c>
      <c r="H932" s="192" t="s">
        <v>2050</v>
      </c>
      <c r="I932" s="61" t="s">
        <v>2511</v>
      </c>
      <c r="J932" s="61" t="s">
        <v>2511</v>
      </c>
      <c r="K932" s="62" t="s">
        <v>2511</v>
      </c>
      <c r="L932" s="60" t="s">
        <v>2511</v>
      </c>
      <c r="M932" s="61" t="s">
        <v>2389</v>
      </c>
      <c r="N932" s="61" t="s">
        <v>2511</v>
      </c>
      <c r="O932" s="61" t="s">
        <v>2511</v>
      </c>
      <c r="P932" s="62" t="s">
        <v>2511</v>
      </c>
      <c r="Q932" s="82"/>
      <c r="R932" s="82"/>
      <c r="S932" s="82"/>
      <c r="T932" s="82"/>
      <c r="U932" s="82"/>
      <c r="V932" s="138" t="s">
        <v>5107</v>
      </c>
      <c r="W932" s="57" t="s">
        <v>4966</v>
      </c>
      <c r="X932" s="126" t="s">
        <v>2511</v>
      </c>
      <c r="Y932" s="126" t="s">
        <v>2511</v>
      </c>
      <c r="Z932" s="57"/>
      <c r="AA932" s="57" t="s">
        <v>4533</v>
      </c>
      <c r="AB932" s="138"/>
      <c r="AC932" s="138">
        <v>0</v>
      </c>
      <c r="AD932" s="96"/>
      <c r="AE932" s="80"/>
      <c r="AF932" s="80"/>
      <c r="AG932" s="80"/>
      <c r="AH932" s="83"/>
      <c r="AI932" s="83"/>
      <c r="AJ932" s="84"/>
      <c r="AK932" s="84"/>
      <c r="AL932" s="84"/>
      <c r="AM932" s="84"/>
      <c r="AN932" s="84"/>
      <c r="AO932" s="84"/>
      <c r="AP932" s="84"/>
      <c r="AQ932" s="95" t="s">
        <v>2050</v>
      </c>
      <c r="AR932" s="72"/>
      <c r="AS932" s="72"/>
      <c r="AT932" s="72"/>
      <c r="AU932" s="72"/>
      <c r="AV932" s="72"/>
      <c r="AW932" s="72"/>
      <c r="AX932" s="72"/>
      <c r="AY932" s="72"/>
      <c r="AZ932" s="72"/>
      <c r="BA932" s="72"/>
      <c r="BB932" s="16"/>
      <c r="BC932" s="72"/>
      <c r="BD932" s="20"/>
      <c r="BE932" s="378"/>
    </row>
    <row r="933" spans="1:57" s="81" customFormat="1" ht="12.95" hidden="1" customHeight="1">
      <c r="A933" s="374"/>
      <c r="B933" s="376"/>
      <c r="C933" s="248" t="s">
        <v>1493</v>
      </c>
      <c r="D933" s="239" t="s">
        <v>5108</v>
      </c>
      <c r="E933" s="58"/>
      <c r="F933" s="59" t="s">
        <v>5109</v>
      </c>
      <c r="G933" s="191" t="s">
        <v>2511</v>
      </c>
      <c r="H933" s="192" t="s">
        <v>2051</v>
      </c>
      <c r="I933" s="61" t="s">
        <v>2511</v>
      </c>
      <c r="J933" s="61" t="s">
        <v>2511</v>
      </c>
      <c r="K933" s="62" t="s">
        <v>2511</v>
      </c>
      <c r="L933" s="60" t="s">
        <v>2511</v>
      </c>
      <c r="M933" s="61" t="s">
        <v>2389</v>
      </c>
      <c r="N933" s="61" t="s">
        <v>2511</v>
      </c>
      <c r="O933" s="61" t="s">
        <v>2511</v>
      </c>
      <c r="P933" s="62" t="s">
        <v>2511</v>
      </c>
      <c r="Q933" s="82"/>
      <c r="R933" s="82"/>
      <c r="S933" s="82"/>
      <c r="T933" s="82"/>
      <c r="U933" s="82"/>
      <c r="V933" s="138" t="s">
        <v>5110</v>
      </c>
      <c r="W933" s="57" t="s">
        <v>4966</v>
      </c>
      <c r="X933" s="126" t="s">
        <v>2511</v>
      </c>
      <c r="Y933" s="126" t="s">
        <v>2511</v>
      </c>
      <c r="Z933" s="57"/>
      <c r="AA933" s="57" t="s">
        <v>4533</v>
      </c>
      <c r="AB933" s="138"/>
      <c r="AC933" s="138" t="s">
        <v>2631</v>
      </c>
      <c r="AD933" s="96"/>
      <c r="AE933" s="80"/>
      <c r="AF933" s="80"/>
      <c r="AG933" s="80"/>
      <c r="AH933" s="83"/>
      <c r="AI933" s="83"/>
      <c r="AJ933" s="84"/>
      <c r="AK933" s="84"/>
      <c r="AL933" s="84"/>
      <c r="AM933" s="84"/>
      <c r="AN933" s="84"/>
      <c r="AO933" s="84"/>
      <c r="AP933" s="84"/>
      <c r="AQ933" s="95" t="s">
        <v>2051</v>
      </c>
      <c r="AR933" s="72"/>
      <c r="AS933" s="72"/>
      <c r="AT933" s="72"/>
      <c r="AU933" s="72"/>
      <c r="AV933" s="72"/>
      <c r="AW933" s="72"/>
      <c r="AX933" s="72"/>
      <c r="AY933" s="72"/>
      <c r="AZ933" s="72"/>
      <c r="BA933" s="72"/>
      <c r="BB933" s="16"/>
      <c r="BC933" s="72"/>
      <c r="BD933" s="20"/>
      <c r="BE933" s="378"/>
    </row>
    <row r="934" spans="1:57" s="81" customFormat="1" ht="12.95" hidden="1" customHeight="1">
      <c r="A934" s="374"/>
      <c r="B934" s="376"/>
      <c r="C934" s="248" t="s">
        <v>1494</v>
      </c>
      <c r="D934" s="239" t="s">
        <v>5111</v>
      </c>
      <c r="E934" s="58"/>
      <c r="F934" s="59" t="s">
        <v>5112</v>
      </c>
      <c r="G934" s="191" t="s">
        <v>2511</v>
      </c>
      <c r="H934" s="192" t="s">
        <v>2052</v>
      </c>
      <c r="I934" s="61" t="s">
        <v>2511</v>
      </c>
      <c r="J934" s="61" t="s">
        <v>2511</v>
      </c>
      <c r="K934" s="62" t="s">
        <v>2511</v>
      </c>
      <c r="L934" s="60" t="s">
        <v>2511</v>
      </c>
      <c r="M934" s="61" t="s">
        <v>2389</v>
      </c>
      <c r="N934" s="61" t="s">
        <v>2511</v>
      </c>
      <c r="O934" s="61" t="s">
        <v>2511</v>
      </c>
      <c r="P934" s="62" t="s">
        <v>2511</v>
      </c>
      <c r="Q934" s="82"/>
      <c r="R934" s="82"/>
      <c r="S934" s="82"/>
      <c r="T934" s="82"/>
      <c r="U934" s="82"/>
      <c r="V934" s="138" t="s">
        <v>5113</v>
      </c>
      <c r="W934" s="57" t="s">
        <v>4966</v>
      </c>
      <c r="X934" s="126" t="s">
        <v>2511</v>
      </c>
      <c r="Y934" s="126" t="s">
        <v>2511</v>
      </c>
      <c r="Z934" s="57"/>
      <c r="AA934" s="57" t="s">
        <v>4533</v>
      </c>
      <c r="AB934" s="138"/>
      <c r="AC934" s="138" t="s">
        <v>2631</v>
      </c>
      <c r="AD934" s="96"/>
      <c r="AE934" s="80"/>
      <c r="AF934" s="80"/>
      <c r="AG934" s="80"/>
      <c r="AH934" s="83"/>
      <c r="AI934" s="83"/>
      <c r="AJ934" s="84"/>
      <c r="AK934" s="84"/>
      <c r="AL934" s="84"/>
      <c r="AM934" s="84"/>
      <c r="AN934" s="84"/>
      <c r="AO934" s="84"/>
      <c r="AP934" s="84"/>
      <c r="AQ934" s="95" t="s">
        <v>2052</v>
      </c>
      <c r="AR934" s="72"/>
      <c r="AS934" s="72"/>
      <c r="AT934" s="72"/>
      <c r="AU934" s="72"/>
      <c r="AV934" s="72"/>
      <c r="AW934" s="72"/>
      <c r="AX934" s="72"/>
      <c r="AY934" s="72"/>
      <c r="AZ934" s="72"/>
      <c r="BA934" s="72"/>
      <c r="BB934" s="16"/>
      <c r="BC934" s="72"/>
      <c r="BD934" s="20"/>
      <c r="BE934" s="378"/>
    </row>
    <row r="935" spans="1:57" s="81" customFormat="1" ht="12.95" hidden="1" customHeight="1">
      <c r="A935" s="374"/>
      <c r="B935" s="376"/>
      <c r="C935" s="248" t="s">
        <v>1495</v>
      </c>
      <c r="D935" s="239" t="s">
        <v>5114</v>
      </c>
      <c r="E935" s="58"/>
      <c r="F935" s="59" t="s">
        <v>5115</v>
      </c>
      <c r="G935" s="191" t="s">
        <v>2511</v>
      </c>
      <c r="H935" s="192" t="s">
        <v>2053</v>
      </c>
      <c r="I935" s="61" t="s">
        <v>2511</v>
      </c>
      <c r="J935" s="61" t="s">
        <v>2511</v>
      </c>
      <c r="K935" s="62" t="s">
        <v>2511</v>
      </c>
      <c r="L935" s="60" t="s">
        <v>2511</v>
      </c>
      <c r="M935" s="61" t="s">
        <v>2389</v>
      </c>
      <c r="N935" s="61" t="s">
        <v>2511</v>
      </c>
      <c r="O935" s="61" t="s">
        <v>2511</v>
      </c>
      <c r="P935" s="62" t="s">
        <v>2511</v>
      </c>
      <c r="Q935" s="82"/>
      <c r="R935" s="82"/>
      <c r="S935" s="82"/>
      <c r="T935" s="82"/>
      <c r="U935" s="82"/>
      <c r="V935" s="138" t="s">
        <v>5116</v>
      </c>
      <c r="W935" s="57" t="s">
        <v>4966</v>
      </c>
      <c r="X935" s="126" t="s">
        <v>2511</v>
      </c>
      <c r="Y935" s="126" t="s">
        <v>2511</v>
      </c>
      <c r="Z935" s="57"/>
      <c r="AA935" s="57" t="s">
        <v>4533</v>
      </c>
      <c r="AB935" s="138"/>
      <c r="AC935" s="138" t="s">
        <v>2631</v>
      </c>
      <c r="AD935" s="96"/>
      <c r="AE935" s="80"/>
      <c r="AF935" s="80"/>
      <c r="AG935" s="80"/>
      <c r="AH935" s="83"/>
      <c r="AI935" s="83"/>
      <c r="AJ935" s="84"/>
      <c r="AK935" s="84"/>
      <c r="AL935" s="84"/>
      <c r="AM935" s="84"/>
      <c r="AN935" s="84"/>
      <c r="AO935" s="84"/>
      <c r="AP935" s="84"/>
      <c r="AQ935" s="95" t="s">
        <v>2053</v>
      </c>
      <c r="AR935" s="72"/>
      <c r="AS935" s="72"/>
      <c r="AT935" s="72"/>
      <c r="AU935" s="72"/>
      <c r="AV935" s="72"/>
      <c r="AW935" s="72"/>
      <c r="AX935" s="72"/>
      <c r="AY935" s="72"/>
      <c r="AZ935" s="72"/>
      <c r="BA935" s="72"/>
      <c r="BB935" s="16"/>
      <c r="BC935" s="72"/>
      <c r="BD935" s="20"/>
      <c r="BE935" s="378"/>
    </row>
    <row r="936" spans="1:57" s="81" customFormat="1" ht="12.95" hidden="1" customHeight="1">
      <c r="A936" s="374"/>
      <c r="B936" s="376"/>
      <c r="C936" s="248" t="s">
        <v>1496</v>
      </c>
      <c r="D936" s="239" t="s">
        <v>5117</v>
      </c>
      <c r="E936" s="58"/>
      <c r="F936" s="59" t="s">
        <v>5118</v>
      </c>
      <c r="G936" s="191" t="s">
        <v>2511</v>
      </c>
      <c r="H936" s="192" t="s">
        <v>2054</v>
      </c>
      <c r="I936" s="61" t="s">
        <v>2511</v>
      </c>
      <c r="J936" s="61" t="s">
        <v>2511</v>
      </c>
      <c r="K936" s="62" t="s">
        <v>2511</v>
      </c>
      <c r="L936" s="60" t="s">
        <v>2511</v>
      </c>
      <c r="M936" s="61" t="s">
        <v>2389</v>
      </c>
      <c r="N936" s="61" t="s">
        <v>2511</v>
      </c>
      <c r="O936" s="61" t="s">
        <v>2511</v>
      </c>
      <c r="P936" s="62" t="s">
        <v>2511</v>
      </c>
      <c r="Q936" s="82"/>
      <c r="R936" s="82"/>
      <c r="S936" s="82"/>
      <c r="T936" s="82"/>
      <c r="U936" s="82"/>
      <c r="V936" s="138" t="s">
        <v>5119</v>
      </c>
      <c r="W936" s="57" t="s">
        <v>4966</v>
      </c>
      <c r="X936" s="126" t="s">
        <v>2511</v>
      </c>
      <c r="Y936" s="126" t="s">
        <v>2511</v>
      </c>
      <c r="Z936" s="57"/>
      <c r="AA936" s="57" t="s">
        <v>4533</v>
      </c>
      <c r="AB936" s="138"/>
      <c r="AC936" s="138" t="s">
        <v>2631</v>
      </c>
      <c r="AD936" s="96"/>
      <c r="AE936" s="80"/>
      <c r="AF936" s="80"/>
      <c r="AG936" s="80"/>
      <c r="AH936" s="83"/>
      <c r="AI936" s="83"/>
      <c r="AJ936" s="84"/>
      <c r="AK936" s="84"/>
      <c r="AL936" s="84"/>
      <c r="AM936" s="84"/>
      <c r="AN936" s="84"/>
      <c r="AO936" s="84"/>
      <c r="AP936" s="84"/>
      <c r="AQ936" s="95" t="s">
        <v>2054</v>
      </c>
      <c r="AR936" s="72"/>
      <c r="AS936" s="72"/>
      <c r="AT936" s="72"/>
      <c r="AU936" s="72"/>
      <c r="AV936" s="72"/>
      <c r="AW936" s="72"/>
      <c r="AX936" s="72"/>
      <c r="AY936" s="72"/>
      <c r="AZ936" s="72"/>
      <c r="BA936" s="72"/>
      <c r="BB936" s="16"/>
      <c r="BC936" s="72"/>
      <c r="BD936" s="20"/>
      <c r="BE936" s="378"/>
    </row>
    <row r="937" spans="1:57" s="81" customFormat="1" ht="12.95" hidden="1" customHeight="1">
      <c r="A937" s="374"/>
      <c r="B937" s="376"/>
      <c r="C937" s="248" t="s">
        <v>1497</v>
      </c>
      <c r="D937" s="239" t="s">
        <v>5120</v>
      </c>
      <c r="E937" s="58"/>
      <c r="F937" s="59" t="s">
        <v>5121</v>
      </c>
      <c r="G937" s="191" t="s">
        <v>2511</v>
      </c>
      <c r="H937" s="192" t="s">
        <v>2055</v>
      </c>
      <c r="I937" s="61" t="s">
        <v>2511</v>
      </c>
      <c r="J937" s="61" t="s">
        <v>2511</v>
      </c>
      <c r="K937" s="62" t="s">
        <v>2511</v>
      </c>
      <c r="L937" s="60" t="s">
        <v>2511</v>
      </c>
      <c r="M937" s="61" t="s">
        <v>2389</v>
      </c>
      <c r="N937" s="61" t="s">
        <v>2511</v>
      </c>
      <c r="O937" s="61" t="s">
        <v>2511</v>
      </c>
      <c r="P937" s="62" t="s">
        <v>2511</v>
      </c>
      <c r="Q937" s="82"/>
      <c r="R937" s="82"/>
      <c r="S937" s="82"/>
      <c r="T937" s="82"/>
      <c r="U937" s="82"/>
      <c r="V937" s="138" t="s">
        <v>5122</v>
      </c>
      <c r="W937" s="57" t="s">
        <v>4966</v>
      </c>
      <c r="X937" s="126" t="s">
        <v>2511</v>
      </c>
      <c r="Y937" s="126" t="s">
        <v>2511</v>
      </c>
      <c r="Z937" s="57"/>
      <c r="AA937" s="57" t="s">
        <v>4533</v>
      </c>
      <c r="AB937" s="138"/>
      <c r="AC937" s="138" t="s">
        <v>2631</v>
      </c>
      <c r="AD937" s="96"/>
      <c r="AE937" s="80"/>
      <c r="AF937" s="80"/>
      <c r="AG937" s="80"/>
      <c r="AH937" s="83"/>
      <c r="AI937" s="83"/>
      <c r="AJ937" s="84"/>
      <c r="AK937" s="84"/>
      <c r="AL937" s="84"/>
      <c r="AM937" s="84"/>
      <c r="AN937" s="84"/>
      <c r="AO937" s="84"/>
      <c r="AP937" s="84"/>
      <c r="AQ937" s="95" t="s">
        <v>2055</v>
      </c>
      <c r="AR937" s="72"/>
      <c r="AS937" s="72"/>
      <c r="AT937" s="72"/>
      <c r="AU937" s="72"/>
      <c r="AV937" s="72"/>
      <c r="AW937" s="72"/>
      <c r="AX937" s="72"/>
      <c r="AY937" s="72"/>
      <c r="AZ937" s="72"/>
      <c r="BA937" s="72"/>
      <c r="BB937" s="16"/>
      <c r="BC937" s="72"/>
      <c r="BD937" s="20"/>
      <c r="BE937" s="378"/>
    </row>
    <row r="938" spans="1:57" s="81" customFormat="1" ht="12.95" hidden="1" customHeight="1">
      <c r="A938" s="374"/>
      <c r="B938" s="376"/>
      <c r="C938" s="248" t="s">
        <v>1498</v>
      </c>
      <c r="D938" s="239" t="s">
        <v>5123</v>
      </c>
      <c r="E938" s="58"/>
      <c r="F938" s="59" t="s">
        <v>5124</v>
      </c>
      <c r="G938" s="191" t="s">
        <v>2511</v>
      </c>
      <c r="H938" s="192" t="s">
        <v>2056</v>
      </c>
      <c r="I938" s="61" t="s">
        <v>2511</v>
      </c>
      <c r="J938" s="61" t="s">
        <v>2511</v>
      </c>
      <c r="K938" s="62" t="s">
        <v>2511</v>
      </c>
      <c r="L938" s="60" t="s">
        <v>2511</v>
      </c>
      <c r="M938" s="61" t="s">
        <v>2389</v>
      </c>
      <c r="N938" s="61" t="s">
        <v>2511</v>
      </c>
      <c r="O938" s="61" t="s">
        <v>2511</v>
      </c>
      <c r="P938" s="62" t="s">
        <v>2511</v>
      </c>
      <c r="Q938" s="82"/>
      <c r="R938" s="82"/>
      <c r="S938" s="82"/>
      <c r="T938" s="82"/>
      <c r="U938" s="82"/>
      <c r="V938" s="138" t="s">
        <v>5125</v>
      </c>
      <c r="W938" s="57" t="s">
        <v>4966</v>
      </c>
      <c r="X938" s="126" t="s">
        <v>2511</v>
      </c>
      <c r="Y938" s="126" t="s">
        <v>2511</v>
      </c>
      <c r="Z938" s="57"/>
      <c r="AA938" s="57" t="s">
        <v>4533</v>
      </c>
      <c r="AB938" s="138"/>
      <c r="AC938" s="138" t="s">
        <v>2631</v>
      </c>
      <c r="AD938" s="96"/>
      <c r="AE938" s="80"/>
      <c r="AF938" s="80"/>
      <c r="AG938" s="80"/>
      <c r="AH938" s="83"/>
      <c r="AI938" s="83"/>
      <c r="AJ938" s="84"/>
      <c r="AK938" s="84"/>
      <c r="AL938" s="84"/>
      <c r="AM938" s="84"/>
      <c r="AN938" s="84"/>
      <c r="AO938" s="84"/>
      <c r="AP938" s="84"/>
      <c r="AQ938" s="95" t="s">
        <v>2056</v>
      </c>
      <c r="AR938" s="72"/>
      <c r="AS938" s="72"/>
      <c r="AT938" s="72"/>
      <c r="AU938" s="72"/>
      <c r="AV938" s="72"/>
      <c r="AW938" s="72"/>
      <c r="AX938" s="72"/>
      <c r="AY938" s="72"/>
      <c r="AZ938" s="72"/>
      <c r="BA938" s="72"/>
      <c r="BB938" s="16"/>
      <c r="BC938" s="72"/>
      <c r="BD938" s="20"/>
      <c r="BE938" s="378"/>
    </row>
    <row r="939" spans="1:57" s="81" customFormat="1" ht="12.95" hidden="1" customHeight="1">
      <c r="A939" s="374"/>
      <c r="B939" s="376"/>
      <c r="C939" s="248" t="s">
        <v>1499</v>
      </c>
      <c r="D939" s="239" t="s">
        <v>5126</v>
      </c>
      <c r="E939" s="58"/>
      <c r="F939" s="59" t="s">
        <v>5127</v>
      </c>
      <c r="G939" s="191" t="s">
        <v>2511</v>
      </c>
      <c r="H939" s="192" t="s">
        <v>2057</v>
      </c>
      <c r="I939" s="61" t="s">
        <v>2511</v>
      </c>
      <c r="J939" s="61" t="s">
        <v>2511</v>
      </c>
      <c r="K939" s="62" t="s">
        <v>2511</v>
      </c>
      <c r="L939" s="60" t="s">
        <v>2511</v>
      </c>
      <c r="M939" s="61" t="s">
        <v>2389</v>
      </c>
      <c r="N939" s="61" t="s">
        <v>2511</v>
      </c>
      <c r="O939" s="61" t="s">
        <v>2511</v>
      </c>
      <c r="P939" s="62" t="s">
        <v>2511</v>
      </c>
      <c r="Q939" s="82"/>
      <c r="R939" s="82"/>
      <c r="S939" s="82"/>
      <c r="T939" s="82"/>
      <c r="U939" s="82"/>
      <c r="V939" s="138" t="s">
        <v>5128</v>
      </c>
      <c r="W939" s="57" t="s">
        <v>4966</v>
      </c>
      <c r="X939" s="126" t="s">
        <v>2511</v>
      </c>
      <c r="Y939" s="126" t="s">
        <v>2511</v>
      </c>
      <c r="Z939" s="57"/>
      <c r="AA939" s="57" t="s">
        <v>4533</v>
      </c>
      <c r="AB939" s="138"/>
      <c r="AC939" s="138" t="s">
        <v>2631</v>
      </c>
      <c r="AD939" s="96"/>
      <c r="AE939" s="80"/>
      <c r="AF939" s="80"/>
      <c r="AG939" s="80"/>
      <c r="AH939" s="83"/>
      <c r="AI939" s="83"/>
      <c r="AJ939" s="84"/>
      <c r="AK939" s="84"/>
      <c r="AL939" s="84"/>
      <c r="AM939" s="84"/>
      <c r="AN939" s="84"/>
      <c r="AO939" s="84"/>
      <c r="AP939" s="84"/>
      <c r="AQ939" s="95" t="s">
        <v>2057</v>
      </c>
      <c r="AR939" s="72"/>
      <c r="AS939" s="72"/>
      <c r="AT939" s="72"/>
      <c r="AU939" s="72"/>
      <c r="AV939" s="72"/>
      <c r="AW939" s="72"/>
      <c r="AX939" s="72"/>
      <c r="AY939" s="72"/>
      <c r="AZ939" s="72"/>
      <c r="BA939" s="72"/>
      <c r="BB939" s="16"/>
      <c r="BC939" s="72"/>
      <c r="BD939" s="20"/>
      <c r="BE939" s="378"/>
    </row>
    <row r="940" spans="1:57" s="81" customFormat="1" ht="12.95" hidden="1" customHeight="1">
      <c r="A940" s="374"/>
      <c r="B940" s="376"/>
      <c r="C940" s="248" t="s">
        <v>1500</v>
      </c>
      <c r="D940" s="239" t="s">
        <v>5129</v>
      </c>
      <c r="E940" s="58"/>
      <c r="F940" s="59" t="s">
        <v>5130</v>
      </c>
      <c r="G940" s="191" t="s">
        <v>2511</v>
      </c>
      <c r="H940" s="192" t="s">
        <v>2058</v>
      </c>
      <c r="I940" s="61" t="s">
        <v>2511</v>
      </c>
      <c r="J940" s="61" t="s">
        <v>2511</v>
      </c>
      <c r="K940" s="62" t="s">
        <v>2511</v>
      </c>
      <c r="L940" s="60" t="s">
        <v>2511</v>
      </c>
      <c r="M940" s="61" t="s">
        <v>2389</v>
      </c>
      <c r="N940" s="61" t="s">
        <v>2511</v>
      </c>
      <c r="O940" s="61" t="s">
        <v>2511</v>
      </c>
      <c r="P940" s="62" t="s">
        <v>2511</v>
      </c>
      <c r="Q940" s="82"/>
      <c r="R940" s="82"/>
      <c r="S940" s="82"/>
      <c r="T940" s="82"/>
      <c r="U940" s="82"/>
      <c r="V940" s="138" t="s">
        <v>5131</v>
      </c>
      <c r="W940" s="57" t="s">
        <v>4966</v>
      </c>
      <c r="X940" s="126" t="s">
        <v>2511</v>
      </c>
      <c r="Y940" s="126" t="s">
        <v>2511</v>
      </c>
      <c r="Z940" s="57"/>
      <c r="AA940" s="57" t="s">
        <v>4533</v>
      </c>
      <c r="AB940" s="138"/>
      <c r="AC940" s="138" t="s">
        <v>2631</v>
      </c>
      <c r="AD940" s="96"/>
      <c r="AE940" s="80"/>
      <c r="AF940" s="80"/>
      <c r="AG940" s="80"/>
      <c r="AH940" s="83"/>
      <c r="AI940" s="83"/>
      <c r="AJ940" s="84"/>
      <c r="AK940" s="84"/>
      <c r="AL940" s="84"/>
      <c r="AM940" s="84"/>
      <c r="AN940" s="84"/>
      <c r="AO940" s="84"/>
      <c r="AP940" s="84"/>
      <c r="AQ940" s="95" t="s">
        <v>2058</v>
      </c>
      <c r="AR940" s="72"/>
      <c r="AS940" s="72"/>
      <c r="AT940" s="72"/>
      <c r="AU940" s="72"/>
      <c r="AV940" s="72"/>
      <c r="AW940" s="72"/>
      <c r="AX940" s="72"/>
      <c r="AY940" s="72"/>
      <c r="AZ940" s="72"/>
      <c r="BA940" s="72"/>
      <c r="BB940" s="16"/>
      <c r="BC940" s="72"/>
      <c r="BD940" s="20"/>
      <c r="BE940" s="378"/>
    </row>
    <row r="941" spans="1:57" s="81" customFormat="1" ht="12.95" hidden="1" customHeight="1">
      <c r="A941" s="374"/>
      <c r="B941" s="376"/>
      <c r="C941" s="248" t="s">
        <v>1501</v>
      </c>
      <c r="D941" s="239" t="s">
        <v>5132</v>
      </c>
      <c r="E941" s="58"/>
      <c r="F941" s="59" t="s">
        <v>5133</v>
      </c>
      <c r="G941" s="191" t="s">
        <v>2511</v>
      </c>
      <c r="H941" s="192" t="s">
        <v>2059</v>
      </c>
      <c r="I941" s="61" t="s">
        <v>2511</v>
      </c>
      <c r="J941" s="61" t="s">
        <v>2511</v>
      </c>
      <c r="K941" s="62" t="s">
        <v>2511</v>
      </c>
      <c r="L941" s="60" t="s">
        <v>2511</v>
      </c>
      <c r="M941" s="61" t="s">
        <v>2389</v>
      </c>
      <c r="N941" s="61" t="s">
        <v>2511</v>
      </c>
      <c r="O941" s="61" t="s">
        <v>2511</v>
      </c>
      <c r="P941" s="62" t="s">
        <v>2511</v>
      </c>
      <c r="Q941" s="82"/>
      <c r="R941" s="82"/>
      <c r="S941" s="82"/>
      <c r="T941" s="82"/>
      <c r="U941" s="82"/>
      <c r="V941" s="138" t="s">
        <v>5134</v>
      </c>
      <c r="W941" s="57" t="s">
        <v>4966</v>
      </c>
      <c r="X941" s="126" t="s">
        <v>2511</v>
      </c>
      <c r="Y941" s="126" t="s">
        <v>2511</v>
      </c>
      <c r="Z941" s="57"/>
      <c r="AA941" s="57" t="s">
        <v>4533</v>
      </c>
      <c r="AB941" s="138"/>
      <c r="AC941" s="138" t="s">
        <v>2631</v>
      </c>
      <c r="AD941" s="96"/>
      <c r="AE941" s="80"/>
      <c r="AF941" s="80"/>
      <c r="AG941" s="80"/>
      <c r="AH941" s="83"/>
      <c r="AI941" s="83"/>
      <c r="AJ941" s="84"/>
      <c r="AK941" s="84"/>
      <c r="AL941" s="84"/>
      <c r="AM941" s="84"/>
      <c r="AN941" s="84"/>
      <c r="AO941" s="84"/>
      <c r="AP941" s="84"/>
      <c r="AQ941" s="95" t="s">
        <v>2059</v>
      </c>
      <c r="AR941" s="72"/>
      <c r="AS941" s="72"/>
      <c r="AT941" s="72"/>
      <c r="AU941" s="72"/>
      <c r="AV941" s="72"/>
      <c r="AW941" s="72"/>
      <c r="AX941" s="72"/>
      <c r="AY941" s="72"/>
      <c r="AZ941" s="72"/>
      <c r="BA941" s="72"/>
      <c r="BB941" s="16"/>
      <c r="BC941" s="72"/>
      <c r="BD941" s="20"/>
      <c r="BE941" s="378"/>
    </row>
    <row r="942" spans="1:57" s="81" customFormat="1" ht="12.95" hidden="1" customHeight="1">
      <c r="A942" s="374"/>
      <c r="B942" s="376"/>
      <c r="C942" s="270" t="s">
        <v>1502</v>
      </c>
      <c r="D942" s="239" t="s">
        <v>5135</v>
      </c>
      <c r="E942" s="58"/>
      <c r="F942" s="59" t="s">
        <v>5136</v>
      </c>
      <c r="G942" s="191" t="s">
        <v>2511</v>
      </c>
      <c r="H942" s="192" t="s">
        <v>2060</v>
      </c>
      <c r="I942" s="61" t="s">
        <v>2511</v>
      </c>
      <c r="J942" s="61" t="s">
        <v>2511</v>
      </c>
      <c r="K942" s="62" t="s">
        <v>2511</v>
      </c>
      <c r="L942" s="60" t="s">
        <v>2511</v>
      </c>
      <c r="M942" s="61" t="s">
        <v>2389</v>
      </c>
      <c r="N942" s="61" t="s">
        <v>2511</v>
      </c>
      <c r="O942" s="61" t="s">
        <v>2511</v>
      </c>
      <c r="P942" s="62" t="s">
        <v>2511</v>
      </c>
      <c r="Q942" s="82"/>
      <c r="R942" s="82"/>
      <c r="S942" s="82"/>
      <c r="T942" s="82"/>
      <c r="U942" s="82"/>
      <c r="V942" s="138" t="s">
        <v>5137</v>
      </c>
      <c r="W942" s="57" t="s">
        <v>4966</v>
      </c>
      <c r="X942" s="126" t="s">
        <v>2511</v>
      </c>
      <c r="Y942" s="126" t="s">
        <v>2511</v>
      </c>
      <c r="Z942" s="57"/>
      <c r="AA942" s="57" t="s">
        <v>4533</v>
      </c>
      <c r="AB942" s="138"/>
      <c r="AC942" s="138" t="s">
        <v>2631</v>
      </c>
      <c r="AD942" s="96"/>
      <c r="AE942" s="80"/>
      <c r="AF942" s="80"/>
      <c r="AG942" s="80"/>
      <c r="AH942" s="83"/>
      <c r="AI942" s="83"/>
      <c r="AJ942" s="84"/>
      <c r="AK942" s="84"/>
      <c r="AL942" s="84"/>
      <c r="AM942" s="84"/>
      <c r="AN942" s="84"/>
      <c r="AO942" s="84"/>
      <c r="AP942" s="84"/>
      <c r="AQ942" s="95" t="s">
        <v>2060</v>
      </c>
      <c r="AR942" s="72"/>
      <c r="AS942" s="72"/>
      <c r="AT942" s="72"/>
      <c r="AU942" s="72"/>
      <c r="AV942" s="72"/>
      <c r="AW942" s="72"/>
      <c r="AX942" s="72"/>
      <c r="AY942" s="72"/>
      <c r="AZ942" s="72"/>
      <c r="BA942" s="72"/>
      <c r="BB942" s="16"/>
      <c r="BC942" s="72"/>
      <c r="BD942" s="20"/>
      <c r="BE942" s="378"/>
    </row>
    <row r="943" spans="1:57" s="81" customFormat="1" ht="12.95" hidden="1" customHeight="1">
      <c r="A943" s="374"/>
      <c r="B943" s="376"/>
      <c r="C943" s="270" t="s">
        <v>1503</v>
      </c>
      <c r="D943" s="239" t="s">
        <v>5138</v>
      </c>
      <c r="E943" s="58"/>
      <c r="F943" s="59" t="s">
        <v>5139</v>
      </c>
      <c r="G943" s="191" t="s">
        <v>2511</v>
      </c>
      <c r="H943" s="192" t="s">
        <v>2061</v>
      </c>
      <c r="I943" s="61" t="s">
        <v>2511</v>
      </c>
      <c r="J943" s="61" t="s">
        <v>2511</v>
      </c>
      <c r="K943" s="62" t="s">
        <v>2511</v>
      </c>
      <c r="L943" s="60" t="s">
        <v>2511</v>
      </c>
      <c r="M943" s="61" t="s">
        <v>2389</v>
      </c>
      <c r="N943" s="61" t="s">
        <v>2511</v>
      </c>
      <c r="O943" s="61" t="s">
        <v>2511</v>
      </c>
      <c r="P943" s="62" t="s">
        <v>2511</v>
      </c>
      <c r="Q943" s="82"/>
      <c r="R943" s="82"/>
      <c r="S943" s="82"/>
      <c r="T943" s="82"/>
      <c r="U943" s="82"/>
      <c r="V943" s="138" t="s">
        <v>5140</v>
      </c>
      <c r="W943" s="57" t="s">
        <v>4966</v>
      </c>
      <c r="X943" s="126" t="s">
        <v>2511</v>
      </c>
      <c r="Y943" s="126" t="s">
        <v>2511</v>
      </c>
      <c r="Z943" s="57"/>
      <c r="AA943" s="57" t="s">
        <v>4533</v>
      </c>
      <c r="AB943" s="138"/>
      <c r="AC943" s="138" t="s">
        <v>2631</v>
      </c>
      <c r="AD943" s="96"/>
      <c r="AE943" s="80"/>
      <c r="AF943" s="80"/>
      <c r="AG943" s="80"/>
      <c r="AH943" s="83"/>
      <c r="AI943" s="83"/>
      <c r="AJ943" s="84"/>
      <c r="AK943" s="84"/>
      <c r="AL943" s="84"/>
      <c r="AM943" s="84"/>
      <c r="AN943" s="84"/>
      <c r="AO943" s="84"/>
      <c r="AP943" s="84"/>
      <c r="AQ943" s="95" t="s">
        <v>2061</v>
      </c>
      <c r="AR943" s="72"/>
      <c r="AS943" s="72"/>
      <c r="AT943" s="72"/>
      <c r="AU943" s="72"/>
      <c r="AV943" s="72"/>
      <c r="AW943" s="72"/>
      <c r="AX943" s="72"/>
      <c r="AY943" s="72"/>
      <c r="AZ943" s="72"/>
      <c r="BA943" s="72"/>
      <c r="BB943" s="16"/>
      <c r="BC943" s="72"/>
      <c r="BD943" s="20"/>
      <c r="BE943" s="378"/>
    </row>
    <row r="944" spans="1:57" s="81" customFormat="1" ht="12.95" hidden="1" customHeight="1">
      <c r="A944" s="374"/>
      <c r="B944" s="376"/>
      <c r="C944" s="248" t="s">
        <v>1504</v>
      </c>
      <c r="D944" s="239" t="s">
        <v>5141</v>
      </c>
      <c r="E944" s="58"/>
      <c r="F944" s="59" t="s">
        <v>5142</v>
      </c>
      <c r="G944" s="191" t="s">
        <v>2511</v>
      </c>
      <c r="H944" s="192" t="s">
        <v>2062</v>
      </c>
      <c r="I944" s="61" t="s">
        <v>2511</v>
      </c>
      <c r="J944" s="61" t="s">
        <v>2511</v>
      </c>
      <c r="K944" s="62" t="s">
        <v>2511</v>
      </c>
      <c r="L944" s="60" t="s">
        <v>2511</v>
      </c>
      <c r="M944" s="61" t="s">
        <v>2389</v>
      </c>
      <c r="N944" s="61" t="s">
        <v>2511</v>
      </c>
      <c r="O944" s="61" t="s">
        <v>2511</v>
      </c>
      <c r="P944" s="62" t="s">
        <v>2511</v>
      </c>
      <c r="Q944" s="82"/>
      <c r="R944" s="82"/>
      <c r="S944" s="82"/>
      <c r="T944" s="82"/>
      <c r="U944" s="82"/>
      <c r="V944" s="138" t="s">
        <v>5143</v>
      </c>
      <c r="W944" s="57" t="s">
        <v>4966</v>
      </c>
      <c r="X944" s="126" t="s">
        <v>2511</v>
      </c>
      <c r="Y944" s="126" t="s">
        <v>2511</v>
      </c>
      <c r="Z944" s="57"/>
      <c r="AA944" s="57" t="s">
        <v>4533</v>
      </c>
      <c r="AB944" s="138"/>
      <c r="AC944" s="138">
        <v>0</v>
      </c>
      <c r="AD944" s="96"/>
      <c r="AE944" s="80"/>
      <c r="AF944" s="80"/>
      <c r="AG944" s="80"/>
      <c r="AH944" s="83"/>
      <c r="AI944" s="83"/>
      <c r="AJ944" s="84"/>
      <c r="AK944" s="84"/>
      <c r="AL944" s="84"/>
      <c r="AM944" s="84"/>
      <c r="AN944" s="84"/>
      <c r="AO944" s="84"/>
      <c r="AP944" s="84"/>
      <c r="AQ944" s="95" t="s">
        <v>2062</v>
      </c>
      <c r="AR944" s="72"/>
      <c r="AS944" s="72"/>
      <c r="AT944" s="72"/>
      <c r="AU944" s="72"/>
      <c r="AV944" s="72"/>
      <c r="AW944" s="72"/>
      <c r="AX944" s="72"/>
      <c r="AY944" s="72"/>
      <c r="AZ944" s="72"/>
      <c r="BA944" s="72"/>
      <c r="BB944" s="16"/>
      <c r="BC944" s="72"/>
      <c r="BD944" s="20"/>
      <c r="BE944" s="378"/>
    </row>
    <row r="945" spans="1:57" s="81" customFormat="1" ht="12.95" hidden="1" customHeight="1">
      <c r="A945" s="374"/>
      <c r="B945" s="376"/>
      <c r="C945" s="248" t="s">
        <v>1505</v>
      </c>
      <c r="D945" s="239" t="s">
        <v>5144</v>
      </c>
      <c r="E945" s="58"/>
      <c r="F945" s="59" t="s">
        <v>5145</v>
      </c>
      <c r="G945" s="191" t="s">
        <v>2511</v>
      </c>
      <c r="H945" s="192" t="s">
        <v>2063</v>
      </c>
      <c r="I945" s="61" t="s">
        <v>2511</v>
      </c>
      <c r="J945" s="61" t="s">
        <v>2511</v>
      </c>
      <c r="K945" s="62" t="s">
        <v>2511</v>
      </c>
      <c r="L945" s="60" t="s">
        <v>2511</v>
      </c>
      <c r="M945" s="61" t="s">
        <v>2389</v>
      </c>
      <c r="N945" s="61" t="s">
        <v>2511</v>
      </c>
      <c r="O945" s="61" t="s">
        <v>2511</v>
      </c>
      <c r="P945" s="62" t="s">
        <v>2511</v>
      </c>
      <c r="Q945" s="82"/>
      <c r="R945" s="82"/>
      <c r="S945" s="82"/>
      <c r="T945" s="82"/>
      <c r="U945" s="82"/>
      <c r="V945" s="138" t="s">
        <v>5146</v>
      </c>
      <c r="W945" s="57" t="s">
        <v>4966</v>
      </c>
      <c r="X945" s="126" t="s">
        <v>2511</v>
      </c>
      <c r="Y945" s="126" t="s">
        <v>2511</v>
      </c>
      <c r="Z945" s="57"/>
      <c r="AA945" s="57" t="s">
        <v>4533</v>
      </c>
      <c r="AB945" s="138"/>
      <c r="AC945" s="138" t="s">
        <v>2631</v>
      </c>
      <c r="AD945" s="96"/>
      <c r="AE945" s="80"/>
      <c r="AF945" s="80"/>
      <c r="AG945" s="80"/>
      <c r="AH945" s="83"/>
      <c r="AI945" s="83"/>
      <c r="AJ945" s="84"/>
      <c r="AK945" s="84"/>
      <c r="AL945" s="84"/>
      <c r="AM945" s="84"/>
      <c r="AN945" s="84"/>
      <c r="AO945" s="84"/>
      <c r="AP945" s="84"/>
      <c r="AQ945" s="95" t="s">
        <v>2063</v>
      </c>
      <c r="AR945" s="72"/>
      <c r="AS945" s="72"/>
      <c r="AT945" s="72"/>
      <c r="AU945" s="72"/>
      <c r="AV945" s="72"/>
      <c r="AW945" s="72"/>
      <c r="AX945" s="72"/>
      <c r="AY945" s="72"/>
      <c r="AZ945" s="72"/>
      <c r="BA945" s="72"/>
      <c r="BB945" s="16"/>
      <c r="BC945" s="72"/>
      <c r="BD945" s="20"/>
      <c r="BE945" s="378"/>
    </row>
    <row r="946" spans="1:57" s="81" customFormat="1" ht="12.95" hidden="1" customHeight="1">
      <c r="A946" s="374"/>
      <c r="B946" s="376"/>
      <c r="C946" s="248" t="s">
        <v>1506</v>
      </c>
      <c r="D946" s="239" t="s">
        <v>5147</v>
      </c>
      <c r="E946" s="58"/>
      <c r="F946" s="59" t="s">
        <v>5148</v>
      </c>
      <c r="G946" s="191" t="s">
        <v>2511</v>
      </c>
      <c r="H946" s="192" t="s">
        <v>2064</v>
      </c>
      <c r="I946" s="61" t="s">
        <v>2511</v>
      </c>
      <c r="J946" s="61" t="s">
        <v>2511</v>
      </c>
      <c r="K946" s="62" t="s">
        <v>2511</v>
      </c>
      <c r="L946" s="60" t="s">
        <v>2511</v>
      </c>
      <c r="M946" s="61" t="s">
        <v>2389</v>
      </c>
      <c r="N946" s="61" t="s">
        <v>2511</v>
      </c>
      <c r="O946" s="61" t="s">
        <v>2511</v>
      </c>
      <c r="P946" s="62" t="s">
        <v>2511</v>
      </c>
      <c r="Q946" s="82"/>
      <c r="R946" s="82"/>
      <c r="S946" s="82"/>
      <c r="T946" s="82"/>
      <c r="U946" s="82"/>
      <c r="V946" s="138" t="s">
        <v>5149</v>
      </c>
      <c r="W946" s="57" t="s">
        <v>4966</v>
      </c>
      <c r="X946" s="126" t="s">
        <v>2511</v>
      </c>
      <c r="Y946" s="126" t="s">
        <v>2511</v>
      </c>
      <c r="Z946" s="57"/>
      <c r="AA946" s="57" t="s">
        <v>4533</v>
      </c>
      <c r="AB946" s="138"/>
      <c r="AC946" s="138" t="s">
        <v>2631</v>
      </c>
      <c r="AD946" s="96"/>
      <c r="AE946" s="80"/>
      <c r="AF946" s="80"/>
      <c r="AG946" s="80"/>
      <c r="AH946" s="83"/>
      <c r="AI946" s="83"/>
      <c r="AJ946" s="84"/>
      <c r="AK946" s="84"/>
      <c r="AL946" s="84"/>
      <c r="AM946" s="84"/>
      <c r="AN946" s="84"/>
      <c r="AO946" s="84"/>
      <c r="AP946" s="84"/>
      <c r="AQ946" s="95" t="s">
        <v>2064</v>
      </c>
      <c r="AR946" s="72"/>
      <c r="AS946" s="72"/>
      <c r="AT946" s="72"/>
      <c r="AU946" s="72"/>
      <c r="AV946" s="72"/>
      <c r="AW946" s="72"/>
      <c r="AX946" s="72"/>
      <c r="AY946" s="72"/>
      <c r="AZ946" s="72"/>
      <c r="BA946" s="72"/>
      <c r="BB946" s="16"/>
      <c r="BC946" s="72"/>
      <c r="BD946" s="20"/>
      <c r="BE946" s="378"/>
    </row>
    <row r="947" spans="1:57" s="81" customFormat="1" ht="12.95" hidden="1" customHeight="1">
      <c r="A947" s="374"/>
      <c r="B947" s="376"/>
      <c r="C947" s="248" t="s">
        <v>1507</v>
      </c>
      <c r="D947" s="239" t="s">
        <v>5150</v>
      </c>
      <c r="E947" s="58"/>
      <c r="F947" s="59" t="s">
        <v>5151</v>
      </c>
      <c r="G947" s="191" t="s">
        <v>2511</v>
      </c>
      <c r="H947" s="192" t="s">
        <v>2065</v>
      </c>
      <c r="I947" s="61" t="s">
        <v>2511</v>
      </c>
      <c r="J947" s="61" t="s">
        <v>2511</v>
      </c>
      <c r="K947" s="62" t="s">
        <v>2511</v>
      </c>
      <c r="L947" s="60" t="s">
        <v>2511</v>
      </c>
      <c r="M947" s="61" t="s">
        <v>2389</v>
      </c>
      <c r="N947" s="61" t="s">
        <v>2511</v>
      </c>
      <c r="O947" s="61" t="s">
        <v>2511</v>
      </c>
      <c r="P947" s="62" t="s">
        <v>2511</v>
      </c>
      <c r="Q947" s="82"/>
      <c r="R947" s="82"/>
      <c r="S947" s="82"/>
      <c r="T947" s="82"/>
      <c r="U947" s="82"/>
      <c r="V947" s="138" t="s">
        <v>5152</v>
      </c>
      <c r="W947" s="57" t="s">
        <v>4966</v>
      </c>
      <c r="X947" s="126" t="s">
        <v>2511</v>
      </c>
      <c r="Y947" s="126" t="s">
        <v>2511</v>
      </c>
      <c r="Z947" s="57"/>
      <c r="AA947" s="57" t="s">
        <v>4533</v>
      </c>
      <c r="AB947" s="138"/>
      <c r="AC947" s="138" t="s">
        <v>2631</v>
      </c>
      <c r="AD947" s="96"/>
      <c r="AE947" s="80"/>
      <c r="AF947" s="80"/>
      <c r="AG947" s="80"/>
      <c r="AH947" s="83"/>
      <c r="AI947" s="83"/>
      <c r="AJ947" s="84"/>
      <c r="AK947" s="84"/>
      <c r="AL947" s="84"/>
      <c r="AM947" s="84"/>
      <c r="AN947" s="84"/>
      <c r="AO947" s="84"/>
      <c r="AP947" s="84"/>
      <c r="AQ947" s="95" t="s">
        <v>2065</v>
      </c>
      <c r="AR947" s="72"/>
      <c r="AS947" s="72"/>
      <c r="AT947" s="72"/>
      <c r="AU947" s="72"/>
      <c r="AV947" s="72"/>
      <c r="AW947" s="72"/>
      <c r="AX947" s="72"/>
      <c r="AY947" s="72"/>
      <c r="AZ947" s="72"/>
      <c r="BA947" s="72"/>
      <c r="BB947" s="16"/>
      <c r="BC947" s="72"/>
      <c r="BD947" s="20"/>
      <c r="BE947" s="378"/>
    </row>
    <row r="948" spans="1:57" s="81" customFormat="1" ht="12.95" hidden="1" customHeight="1">
      <c r="A948" s="374"/>
      <c r="B948" s="376"/>
      <c r="C948" s="248" t="s">
        <v>1508</v>
      </c>
      <c r="D948" s="239" t="s">
        <v>5153</v>
      </c>
      <c r="E948" s="58"/>
      <c r="F948" s="59" t="s">
        <v>5154</v>
      </c>
      <c r="G948" s="191" t="s">
        <v>2511</v>
      </c>
      <c r="H948" s="192" t="s">
        <v>2066</v>
      </c>
      <c r="I948" s="61" t="s">
        <v>2511</v>
      </c>
      <c r="J948" s="61" t="s">
        <v>2511</v>
      </c>
      <c r="K948" s="62" t="s">
        <v>2511</v>
      </c>
      <c r="L948" s="60" t="s">
        <v>2511</v>
      </c>
      <c r="M948" s="61" t="s">
        <v>2389</v>
      </c>
      <c r="N948" s="61" t="s">
        <v>2511</v>
      </c>
      <c r="O948" s="61" t="s">
        <v>2511</v>
      </c>
      <c r="P948" s="62" t="s">
        <v>2511</v>
      </c>
      <c r="Q948" s="82"/>
      <c r="R948" s="82"/>
      <c r="S948" s="82"/>
      <c r="T948" s="82"/>
      <c r="U948" s="82"/>
      <c r="V948" s="138" t="s">
        <v>5155</v>
      </c>
      <c r="W948" s="57" t="s">
        <v>4966</v>
      </c>
      <c r="X948" s="126" t="s">
        <v>2511</v>
      </c>
      <c r="Y948" s="126" t="s">
        <v>2511</v>
      </c>
      <c r="Z948" s="57"/>
      <c r="AA948" s="57" t="s">
        <v>4533</v>
      </c>
      <c r="AB948" s="138"/>
      <c r="AC948" s="138" t="s">
        <v>2631</v>
      </c>
      <c r="AD948" s="96"/>
      <c r="AE948" s="80"/>
      <c r="AF948" s="80"/>
      <c r="AG948" s="80"/>
      <c r="AH948" s="83"/>
      <c r="AI948" s="83"/>
      <c r="AJ948" s="84"/>
      <c r="AK948" s="84"/>
      <c r="AL948" s="84"/>
      <c r="AM948" s="84"/>
      <c r="AN948" s="84"/>
      <c r="AO948" s="84"/>
      <c r="AP948" s="84"/>
      <c r="AQ948" s="95" t="s">
        <v>2066</v>
      </c>
      <c r="AR948" s="72"/>
      <c r="AS948" s="72"/>
      <c r="AT948" s="72"/>
      <c r="AU948" s="72"/>
      <c r="AV948" s="72"/>
      <c r="AW948" s="72"/>
      <c r="AX948" s="72"/>
      <c r="AY948" s="72"/>
      <c r="AZ948" s="72"/>
      <c r="BA948" s="72"/>
      <c r="BB948" s="16"/>
      <c r="BC948" s="72"/>
      <c r="BD948" s="20"/>
      <c r="BE948" s="378"/>
    </row>
    <row r="949" spans="1:57" s="81" customFormat="1" ht="12.95" hidden="1" customHeight="1">
      <c r="A949" s="374"/>
      <c r="B949" s="376"/>
      <c r="C949" s="248" t="s">
        <v>1509</v>
      </c>
      <c r="D949" s="239" t="s">
        <v>5156</v>
      </c>
      <c r="E949" s="58"/>
      <c r="F949" s="59" t="s">
        <v>5157</v>
      </c>
      <c r="G949" s="191" t="s">
        <v>2511</v>
      </c>
      <c r="H949" s="192" t="s">
        <v>2067</v>
      </c>
      <c r="I949" s="61" t="s">
        <v>2511</v>
      </c>
      <c r="J949" s="61" t="s">
        <v>2511</v>
      </c>
      <c r="K949" s="62" t="s">
        <v>2511</v>
      </c>
      <c r="L949" s="60" t="s">
        <v>2511</v>
      </c>
      <c r="M949" s="61" t="s">
        <v>2389</v>
      </c>
      <c r="N949" s="61" t="s">
        <v>2511</v>
      </c>
      <c r="O949" s="61" t="s">
        <v>2511</v>
      </c>
      <c r="P949" s="62" t="s">
        <v>2511</v>
      </c>
      <c r="Q949" s="82"/>
      <c r="R949" s="82"/>
      <c r="S949" s="82"/>
      <c r="T949" s="82"/>
      <c r="U949" s="82"/>
      <c r="V949" s="138" t="s">
        <v>5158</v>
      </c>
      <c r="W949" s="57" t="s">
        <v>4966</v>
      </c>
      <c r="X949" s="126" t="s">
        <v>2511</v>
      </c>
      <c r="Y949" s="126" t="s">
        <v>2511</v>
      </c>
      <c r="Z949" s="57"/>
      <c r="AA949" s="57" t="s">
        <v>4533</v>
      </c>
      <c r="AB949" s="138"/>
      <c r="AC949" s="138" t="s">
        <v>2631</v>
      </c>
      <c r="AD949" s="96"/>
      <c r="AE949" s="80"/>
      <c r="AF949" s="80"/>
      <c r="AG949" s="80"/>
      <c r="AH949" s="83"/>
      <c r="AI949" s="83"/>
      <c r="AJ949" s="84"/>
      <c r="AK949" s="84"/>
      <c r="AL949" s="84"/>
      <c r="AM949" s="84"/>
      <c r="AN949" s="84"/>
      <c r="AO949" s="84"/>
      <c r="AP949" s="84"/>
      <c r="AQ949" s="95" t="s">
        <v>2067</v>
      </c>
      <c r="AR949" s="72"/>
      <c r="AS949" s="72"/>
      <c r="AT949" s="72"/>
      <c r="AU949" s="72"/>
      <c r="AV949" s="72"/>
      <c r="AW949" s="72"/>
      <c r="AX949" s="72"/>
      <c r="AY949" s="72"/>
      <c r="AZ949" s="72"/>
      <c r="BA949" s="72"/>
      <c r="BB949" s="16"/>
      <c r="BC949" s="72"/>
      <c r="BD949" s="20"/>
      <c r="BE949" s="378"/>
    </row>
    <row r="950" spans="1:57" s="81" customFormat="1" ht="12.95" hidden="1" customHeight="1">
      <c r="A950" s="374"/>
      <c r="B950" s="376"/>
      <c r="C950" s="248" t="s">
        <v>1510</v>
      </c>
      <c r="D950" s="239" t="s">
        <v>5159</v>
      </c>
      <c r="E950" s="58"/>
      <c r="F950" s="59" t="s">
        <v>5160</v>
      </c>
      <c r="G950" s="191" t="s">
        <v>2511</v>
      </c>
      <c r="H950" s="192" t="s">
        <v>2068</v>
      </c>
      <c r="I950" s="61" t="s">
        <v>2511</v>
      </c>
      <c r="J950" s="61" t="s">
        <v>2511</v>
      </c>
      <c r="K950" s="62" t="s">
        <v>2511</v>
      </c>
      <c r="L950" s="60" t="s">
        <v>2511</v>
      </c>
      <c r="M950" s="61" t="s">
        <v>2389</v>
      </c>
      <c r="N950" s="61" t="s">
        <v>2511</v>
      </c>
      <c r="O950" s="61" t="s">
        <v>2511</v>
      </c>
      <c r="P950" s="62" t="s">
        <v>2511</v>
      </c>
      <c r="Q950" s="82"/>
      <c r="R950" s="82"/>
      <c r="S950" s="82"/>
      <c r="T950" s="82"/>
      <c r="U950" s="82"/>
      <c r="V950" s="138" t="s">
        <v>5161</v>
      </c>
      <c r="W950" s="57" t="s">
        <v>4966</v>
      </c>
      <c r="X950" s="126" t="s">
        <v>2511</v>
      </c>
      <c r="Y950" s="126" t="s">
        <v>2511</v>
      </c>
      <c r="Z950" s="57"/>
      <c r="AA950" s="57" t="s">
        <v>4533</v>
      </c>
      <c r="AB950" s="138"/>
      <c r="AC950" s="138" t="s">
        <v>2631</v>
      </c>
      <c r="AD950" s="96"/>
      <c r="AE950" s="80"/>
      <c r="AF950" s="80"/>
      <c r="AG950" s="80"/>
      <c r="AH950" s="83"/>
      <c r="AI950" s="83"/>
      <c r="AJ950" s="84"/>
      <c r="AK950" s="84"/>
      <c r="AL950" s="84"/>
      <c r="AM950" s="84"/>
      <c r="AN950" s="84"/>
      <c r="AO950" s="84"/>
      <c r="AP950" s="84"/>
      <c r="AQ950" s="95" t="s">
        <v>2068</v>
      </c>
      <c r="AR950" s="72"/>
      <c r="AS950" s="72"/>
      <c r="AT950" s="72"/>
      <c r="AU950" s="72"/>
      <c r="AV950" s="72"/>
      <c r="AW950" s="72"/>
      <c r="AX950" s="72"/>
      <c r="AY950" s="72"/>
      <c r="AZ950" s="72"/>
      <c r="BA950" s="72"/>
      <c r="BB950" s="16"/>
      <c r="BC950" s="72"/>
      <c r="BD950" s="20"/>
      <c r="BE950" s="378"/>
    </row>
    <row r="951" spans="1:57" s="81" customFormat="1" ht="12.95" hidden="1" customHeight="1">
      <c r="A951" s="374"/>
      <c r="B951" s="376"/>
      <c r="C951" s="248" t="s">
        <v>1511</v>
      </c>
      <c r="D951" s="239" t="s">
        <v>5162</v>
      </c>
      <c r="E951" s="58"/>
      <c r="F951" s="59" t="s">
        <v>5163</v>
      </c>
      <c r="G951" s="191" t="s">
        <v>2511</v>
      </c>
      <c r="H951" s="192" t="s">
        <v>2069</v>
      </c>
      <c r="I951" s="61" t="s">
        <v>2511</v>
      </c>
      <c r="J951" s="61" t="s">
        <v>2511</v>
      </c>
      <c r="K951" s="62" t="s">
        <v>2511</v>
      </c>
      <c r="L951" s="60" t="s">
        <v>2511</v>
      </c>
      <c r="M951" s="61" t="s">
        <v>2389</v>
      </c>
      <c r="N951" s="61" t="s">
        <v>2511</v>
      </c>
      <c r="O951" s="61" t="s">
        <v>2511</v>
      </c>
      <c r="P951" s="62" t="s">
        <v>2511</v>
      </c>
      <c r="Q951" s="82"/>
      <c r="R951" s="82"/>
      <c r="S951" s="82"/>
      <c r="T951" s="82"/>
      <c r="U951" s="82"/>
      <c r="V951" s="138" t="s">
        <v>5164</v>
      </c>
      <c r="W951" s="57" t="s">
        <v>4966</v>
      </c>
      <c r="X951" s="126" t="s">
        <v>2511</v>
      </c>
      <c r="Y951" s="126" t="s">
        <v>2511</v>
      </c>
      <c r="Z951" s="57"/>
      <c r="AA951" s="57" t="s">
        <v>4533</v>
      </c>
      <c r="AB951" s="138"/>
      <c r="AC951" s="138" t="s">
        <v>2631</v>
      </c>
      <c r="AD951" s="96"/>
      <c r="AE951" s="80"/>
      <c r="AF951" s="80"/>
      <c r="AG951" s="80"/>
      <c r="AH951" s="83"/>
      <c r="AI951" s="83"/>
      <c r="AJ951" s="84"/>
      <c r="AK951" s="84"/>
      <c r="AL951" s="84"/>
      <c r="AM951" s="84"/>
      <c r="AN951" s="84"/>
      <c r="AO951" s="84"/>
      <c r="AP951" s="84"/>
      <c r="AQ951" s="95" t="s">
        <v>2069</v>
      </c>
      <c r="AR951" s="72"/>
      <c r="AS951" s="72"/>
      <c r="AT951" s="72"/>
      <c r="AU951" s="72"/>
      <c r="AV951" s="72"/>
      <c r="AW951" s="72"/>
      <c r="AX951" s="72"/>
      <c r="AY951" s="72"/>
      <c r="AZ951" s="72"/>
      <c r="BA951" s="72"/>
      <c r="BB951" s="16"/>
      <c r="BC951" s="72"/>
      <c r="BD951" s="20"/>
      <c r="BE951" s="378"/>
    </row>
    <row r="952" spans="1:57" s="81" customFormat="1" ht="12.95" hidden="1" customHeight="1">
      <c r="A952" s="374"/>
      <c r="B952" s="376"/>
      <c r="C952" s="248" t="s">
        <v>1512</v>
      </c>
      <c r="D952" s="239" t="s">
        <v>5165</v>
      </c>
      <c r="E952" s="58"/>
      <c r="F952" s="59" t="s">
        <v>5166</v>
      </c>
      <c r="G952" s="191" t="s">
        <v>2511</v>
      </c>
      <c r="H952" s="192" t="s">
        <v>2070</v>
      </c>
      <c r="I952" s="61" t="s">
        <v>2511</v>
      </c>
      <c r="J952" s="61" t="s">
        <v>2511</v>
      </c>
      <c r="K952" s="62" t="s">
        <v>2511</v>
      </c>
      <c r="L952" s="60" t="s">
        <v>2511</v>
      </c>
      <c r="M952" s="61" t="s">
        <v>2389</v>
      </c>
      <c r="N952" s="61" t="s">
        <v>2511</v>
      </c>
      <c r="O952" s="61" t="s">
        <v>2511</v>
      </c>
      <c r="P952" s="62" t="s">
        <v>2511</v>
      </c>
      <c r="Q952" s="82"/>
      <c r="R952" s="82"/>
      <c r="S952" s="82"/>
      <c r="T952" s="82"/>
      <c r="U952" s="82"/>
      <c r="V952" s="138" t="s">
        <v>5167</v>
      </c>
      <c r="W952" s="57" t="s">
        <v>4966</v>
      </c>
      <c r="X952" s="126" t="s">
        <v>2511</v>
      </c>
      <c r="Y952" s="126" t="s">
        <v>2511</v>
      </c>
      <c r="Z952" s="57"/>
      <c r="AA952" s="57" t="s">
        <v>4533</v>
      </c>
      <c r="AB952" s="138"/>
      <c r="AC952" s="138" t="s">
        <v>2631</v>
      </c>
      <c r="AD952" s="96"/>
      <c r="AE952" s="80"/>
      <c r="AF952" s="80"/>
      <c r="AG952" s="80"/>
      <c r="AH952" s="83"/>
      <c r="AI952" s="83"/>
      <c r="AJ952" s="84"/>
      <c r="AK952" s="84"/>
      <c r="AL952" s="84"/>
      <c r="AM952" s="84"/>
      <c r="AN952" s="84"/>
      <c r="AO952" s="84"/>
      <c r="AP952" s="84"/>
      <c r="AQ952" s="95" t="s">
        <v>2070</v>
      </c>
      <c r="AR952" s="72"/>
      <c r="AS952" s="72"/>
      <c r="AT952" s="72"/>
      <c r="AU952" s="72"/>
      <c r="AV952" s="72"/>
      <c r="AW952" s="72"/>
      <c r="AX952" s="72"/>
      <c r="AY952" s="72"/>
      <c r="AZ952" s="72"/>
      <c r="BA952" s="72"/>
      <c r="BB952" s="16"/>
      <c r="BC952" s="72"/>
      <c r="BD952" s="20"/>
      <c r="BE952" s="378"/>
    </row>
    <row r="953" spans="1:57" s="81" customFormat="1" ht="12.95" hidden="1" customHeight="1">
      <c r="A953" s="374"/>
      <c r="B953" s="376"/>
      <c r="C953" s="248" t="s">
        <v>1513</v>
      </c>
      <c r="D953" s="239" t="s">
        <v>5168</v>
      </c>
      <c r="E953" s="58"/>
      <c r="F953" s="59" t="s">
        <v>5169</v>
      </c>
      <c r="G953" s="191" t="s">
        <v>2511</v>
      </c>
      <c r="H953" s="192" t="s">
        <v>2071</v>
      </c>
      <c r="I953" s="61" t="s">
        <v>2511</v>
      </c>
      <c r="J953" s="61" t="s">
        <v>2511</v>
      </c>
      <c r="K953" s="62" t="s">
        <v>2511</v>
      </c>
      <c r="L953" s="60" t="s">
        <v>2511</v>
      </c>
      <c r="M953" s="61" t="s">
        <v>2389</v>
      </c>
      <c r="N953" s="61" t="s">
        <v>2511</v>
      </c>
      <c r="O953" s="61" t="s">
        <v>2511</v>
      </c>
      <c r="P953" s="62" t="s">
        <v>2511</v>
      </c>
      <c r="Q953" s="82"/>
      <c r="R953" s="82"/>
      <c r="S953" s="82"/>
      <c r="T953" s="82"/>
      <c r="U953" s="82"/>
      <c r="V953" s="138" t="s">
        <v>5170</v>
      </c>
      <c r="W953" s="57" t="s">
        <v>4966</v>
      </c>
      <c r="X953" s="126" t="s">
        <v>2511</v>
      </c>
      <c r="Y953" s="126" t="s">
        <v>2511</v>
      </c>
      <c r="Z953" s="57"/>
      <c r="AA953" s="57" t="s">
        <v>4533</v>
      </c>
      <c r="AB953" s="138"/>
      <c r="AC953" s="138" t="s">
        <v>2631</v>
      </c>
      <c r="AD953" s="96"/>
      <c r="AE953" s="80"/>
      <c r="AF953" s="80"/>
      <c r="AG953" s="80"/>
      <c r="AH953" s="83"/>
      <c r="AI953" s="83"/>
      <c r="AJ953" s="84"/>
      <c r="AK953" s="84"/>
      <c r="AL953" s="84"/>
      <c r="AM953" s="84"/>
      <c r="AN953" s="84"/>
      <c r="AO953" s="84"/>
      <c r="AP953" s="84"/>
      <c r="AQ953" s="95" t="s">
        <v>2071</v>
      </c>
      <c r="AR953" s="72"/>
      <c r="AS953" s="72"/>
      <c r="AT953" s="72"/>
      <c r="AU953" s="72"/>
      <c r="AV953" s="72"/>
      <c r="AW953" s="72"/>
      <c r="AX953" s="72"/>
      <c r="AY953" s="72"/>
      <c r="AZ953" s="72"/>
      <c r="BA953" s="72"/>
      <c r="BB953" s="16"/>
      <c r="BC953" s="72"/>
      <c r="BD953" s="20"/>
      <c r="BE953" s="378"/>
    </row>
    <row r="954" spans="1:57" s="81" customFormat="1" ht="12.95" hidden="1" customHeight="1">
      <c r="A954" s="374"/>
      <c r="B954" s="376"/>
      <c r="C954" s="270" t="s">
        <v>1514</v>
      </c>
      <c r="D954" s="239" t="s">
        <v>5171</v>
      </c>
      <c r="E954" s="58"/>
      <c r="F954" s="59" t="s">
        <v>5172</v>
      </c>
      <c r="G954" s="191" t="s">
        <v>2511</v>
      </c>
      <c r="H954" s="192" t="s">
        <v>2072</v>
      </c>
      <c r="I954" s="61" t="s">
        <v>2511</v>
      </c>
      <c r="J954" s="61" t="s">
        <v>2511</v>
      </c>
      <c r="K954" s="62" t="s">
        <v>2511</v>
      </c>
      <c r="L954" s="60" t="s">
        <v>2511</v>
      </c>
      <c r="M954" s="61" t="s">
        <v>2389</v>
      </c>
      <c r="N954" s="61" t="s">
        <v>2511</v>
      </c>
      <c r="O954" s="61" t="s">
        <v>2511</v>
      </c>
      <c r="P954" s="62" t="s">
        <v>2511</v>
      </c>
      <c r="Q954" s="82"/>
      <c r="R954" s="82"/>
      <c r="S954" s="82"/>
      <c r="T954" s="82"/>
      <c r="U954" s="82"/>
      <c r="V954" s="138" t="s">
        <v>5173</v>
      </c>
      <c r="W954" s="57" t="s">
        <v>4966</v>
      </c>
      <c r="X954" s="126" t="s">
        <v>2511</v>
      </c>
      <c r="Y954" s="126" t="s">
        <v>2511</v>
      </c>
      <c r="Z954" s="57"/>
      <c r="AA954" s="57" t="s">
        <v>4533</v>
      </c>
      <c r="AB954" s="138"/>
      <c r="AC954" s="138" t="s">
        <v>2631</v>
      </c>
      <c r="AD954" s="96"/>
      <c r="AE954" s="80"/>
      <c r="AF954" s="80"/>
      <c r="AG954" s="80"/>
      <c r="AH954" s="83"/>
      <c r="AI954" s="83"/>
      <c r="AJ954" s="84"/>
      <c r="AK954" s="84"/>
      <c r="AL954" s="84"/>
      <c r="AM954" s="84"/>
      <c r="AN954" s="84"/>
      <c r="AO954" s="84"/>
      <c r="AP954" s="84"/>
      <c r="AQ954" s="95" t="s">
        <v>2072</v>
      </c>
      <c r="AR954" s="72"/>
      <c r="AS954" s="72"/>
      <c r="AT954" s="72"/>
      <c r="AU954" s="72"/>
      <c r="AV954" s="72"/>
      <c r="AW954" s="72"/>
      <c r="AX954" s="72"/>
      <c r="AY954" s="72"/>
      <c r="AZ954" s="72"/>
      <c r="BA954" s="72"/>
      <c r="BB954" s="16"/>
      <c r="BC954" s="72"/>
      <c r="BD954" s="20"/>
      <c r="BE954" s="378"/>
    </row>
    <row r="955" spans="1:57" s="81" customFormat="1" ht="12.95" hidden="1" customHeight="1">
      <c r="A955" s="374"/>
      <c r="B955" s="376"/>
      <c r="C955" s="270" t="s">
        <v>1515</v>
      </c>
      <c r="D955" s="239" t="s">
        <v>5174</v>
      </c>
      <c r="E955" s="58"/>
      <c r="F955" s="59" t="s">
        <v>5175</v>
      </c>
      <c r="G955" s="191" t="s">
        <v>2511</v>
      </c>
      <c r="H955" s="192" t="s">
        <v>2073</v>
      </c>
      <c r="I955" s="61" t="s">
        <v>2511</v>
      </c>
      <c r="J955" s="61" t="s">
        <v>2511</v>
      </c>
      <c r="K955" s="62" t="s">
        <v>2511</v>
      </c>
      <c r="L955" s="60" t="s">
        <v>2511</v>
      </c>
      <c r="M955" s="61" t="s">
        <v>2389</v>
      </c>
      <c r="N955" s="61" t="s">
        <v>2511</v>
      </c>
      <c r="O955" s="61" t="s">
        <v>2511</v>
      </c>
      <c r="P955" s="62" t="s">
        <v>2511</v>
      </c>
      <c r="Q955" s="82"/>
      <c r="R955" s="82"/>
      <c r="S955" s="82"/>
      <c r="T955" s="82"/>
      <c r="U955" s="82"/>
      <c r="V955" s="138" t="s">
        <v>5176</v>
      </c>
      <c r="W955" s="57" t="s">
        <v>4966</v>
      </c>
      <c r="X955" s="126" t="s">
        <v>2511</v>
      </c>
      <c r="Y955" s="126" t="s">
        <v>2511</v>
      </c>
      <c r="Z955" s="57"/>
      <c r="AA955" s="57" t="s">
        <v>4533</v>
      </c>
      <c r="AB955" s="138"/>
      <c r="AC955" s="138" t="s">
        <v>2631</v>
      </c>
      <c r="AD955" s="96"/>
      <c r="AE955" s="80"/>
      <c r="AF955" s="80"/>
      <c r="AG955" s="80"/>
      <c r="AH955" s="83"/>
      <c r="AI955" s="83"/>
      <c r="AJ955" s="84"/>
      <c r="AK955" s="84"/>
      <c r="AL955" s="84"/>
      <c r="AM955" s="84"/>
      <c r="AN955" s="84"/>
      <c r="AO955" s="84"/>
      <c r="AP955" s="84"/>
      <c r="AQ955" s="95" t="s">
        <v>2073</v>
      </c>
      <c r="AR955" s="72"/>
      <c r="AS955" s="72"/>
      <c r="AT955" s="72"/>
      <c r="AU955" s="72"/>
      <c r="AV955" s="72"/>
      <c r="AW955" s="72"/>
      <c r="AX955" s="72"/>
      <c r="AY955" s="72"/>
      <c r="AZ955" s="72"/>
      <c r="BA955" s="72"/>
      <c r="BB955" s="16"/>
      <c r="BC955" s="72"/>
      <c r="BD955" s="20"/>
      <c r="BE955" s="378"/>
    </row>
    <row r="956" spans="1:57" s="81" customFormat="1" ht="12.95" hidden="1" customHeight="1">
      <c r="A956" s="374"/>
      <c r="B956" s="376"/>
      <c r="C956" s="248" t="s">
        <v>1516</v>
      </c>
      <c r="D956" s="239" t="s">
        <v>5177</v>
      </c>
      <c r="E956" s="58"/>
      <c r="F956" s="59" t="s">
        <v>5178</v>
      </c>
      <c r="G956" s="191" t="s">
        <v>2511</v>
      </c>
      <c r="H956" s="192" t="s">
        <v>2074</v>
      </c>
      <c r="I956" s="61" t="s">
        <v>2511</v>
      </c>
      <c r="J956" s="61" t="s">
        <v>2511</v>
      </c>
      <c r="K956" s="62" t="s">
        <v>2511</v>
      </c>
      <c r="L956" s="60" t="s">
        <v>2511</v>
      </c>
      <c r="M956" s="61" t="s">
        <v>2389</v>
      </c>
      <c r="N956" s="61" t="s">
        <v>2511</v>
      </c>
      <c r="O956" s="61" t="s">
        <v>2511</v>
      </c>
      <c r="P956" s="62" t="s">
        <v>2511</v>
      </c>
      <c r="Q956" s="82"/>
      <c r="R956" s="82"/>
      <c r="S956" s="82"/>
      <c r="T956" s="82"/>
      <c r="U956" s="82"/>
      <c r="V956" s="138" t="s">
        <v>5179</v>
      </c>
      <c r="W956" s="57" t="s">
        <v>4966</v>
      </c>
      <c r="X956" s="126" t="s">
        <v>2511</v>
      </c>
      <c r="Y956" s="126" t="s">
        <v>2511</v>
      </c>
      <c r="Z956" s="57"/>
      <c r="AA956" s="57" t="s">
        <v>4533</v>
      </c>
      <c r="AB956" s="138"/>
      <c r="AC956" s="138">
        <v>0</v>
      </c>
      <c r="AD956" s="96"/>
      <c r="AE956" s="80"/>
      <c r="AF956" s="80"/>
      <c r="AG956" s="80"/>
      <c r="AH956" s="83"/>
      <c r="AI956" s="83"/>
      <c r="AJ956" s="84"/>
      <c r="AK956" s="84"/>
      <c r="AL956" s="84"/>
      <c r="AM956" s="84"/>
      <c r="AN956" s="84"/>
      <c r="AO956" s="84"/>
      <c r="AP956" s="84"/>
      <c r="AQ956" s="95" t="s">
        <v>2074</v>
      </c>
      <c r="AR956" s="72"/>
      <c r="AS956" s="72"/>
      <c r="AT956" s="72"/>
      <c r="AU956" s="72"/>
      <c r="AV956" s="72"/>
      <c r="AW956" s="72"/>
      <c r="AX956" s="72"/>
      <c r="AY956" s="72"/>
      <c r="AZ956" s="72"/>
      <c r="BA956" s="72"/>
      <c r="BB956" s="16"/>
      <c r="BC956" s="72"/>
      <c r="BD956" s="20"/>
      <c r="BE956" s="378"/>
    </row>
    <row r="957" spans="1:57" s="81" customFormat="1" ht="12.95" hidden="1" customHeight="1">
      <c r="A957" s="374"/>
      <c r="B957" s="376"/>
      <c r="C957" s="248" t="s">
        <v>1517</v>
      </c>
      <c r="D957" s="239" t="s">
        <v>5180</v>
      </c>
      <c r="E957" s="58"/>
      <c r="F957" s="59" t="s">
        <v>5181</v>
      </c>
      <c r="G957" s="191" t="s">
        <v>2511</v>
      </c>
      <c r="H957" s="192" t="s">
        <v>2075</v>
      </c>
      <c r="I957" s="61" t="s">
        <v>2511</v>
      </c>
      <c r="J957" s="61" t="s">
        <v>2511</v>
      </c>
      <c r="K957" s="62" t="s">
        <v>2511</v>
      </c>
      <c r="L957" s="60" t="s">
        <v>2511</v>
      </c>
      <c r="M957" s="61" t="s">
        <v>2389</v>
      </c>
      <c r="N957" s="61" t="s">
        <v>2511</v>
      </c>
      <c r="O957" s="61" t="s">
        <v>2511</v>
      </c>
      <c r="P957" s="62" t="s">
        <v>2511</v>
      </c>
      <c r="Q957" s="82"/>
      <c r="R957" s="82"/>
      <c r="S957" s="82"/>
      <c r="T957" s="82"/>
      <c r="U957" s="82"/>
      <c r="V957" s="138" t="s">
        <v>5182</v>
      </c>
      <c r="W957" s="57" t="s">
        <v>4966</v>
      </c>
      <c r="X957" s="126" t="s">
        <v>2511</v>
      </c>
      <c r="Y957" s="126" t="s">
        <v>2511</v>
      </c>
      <c r="Z957" s="57"/>
      <c r="AA957" s="57" t="s">
        <v>4533</v>
      </c>
      <c r="AB957" s="138"/>
      <c r="AC957" s="138" t="s">
        <v>2631</v>
      </c>
      <c r="AD957" s="96"/>
      <c r="AE957" s="80"/>
      <c r="AF957" s="80"/>
      <c r="AG957" s="80"/>
      <c r="AH957" s="83"/>
      <c r="AI957" s="83"/>
      <c r="AJ957" s="84"/>
      <c r="AK957" s="84"/>
      <c r="AL957" s="84"/>
      <c r="AM957" s="84"/>
      <c r="AN957" s="84"/>
      <c r="AO957" s="84"/>
      <c r="AP957" s="84"/>
      <c r="AQ957" s="95" t="s">
        <v>2075</v>
      </c>
      <c r="AR957" s="72"/>
      <c r="AS957" s="72"/>
      <c r="AT957" s="72"/>
      <c r="AU957" s="72"/>
      <c r="AV957" s="72"/>
      <c r="AW957" s="72"/>
      <c r="AX957" s="72"/>
      <c r="AY957" s="72"/>
      <c r="AZ957" s="72"/>
      <c r="BA957" s="72"/>
      <c r="BB957" s="16"/>
      <c r="BC957" s="72"/>
      <c r="BD957" s="20"/>
      <c r="BE957" s="378"/>
    </row>
    <row r="958" spans="1:57" s="81" customFormat="1" ht="12.95" hidden="1" customHeight="1">
      <c r="A958" s="374"/>
      <c r="B958" s="376"/>
      <c r="C958" s="248" t="s">
        <v>1518</v>
      </c>
      <c r="D958" s="239" t="s">
        <v>5183</v>
      </c>
      <c r="E958" s="58"/>
      <c r="F958" s="59" t="s">
        <v>5184</v>
      </c>
      <c r="G958" s="191" t="s">
        <v>2511</v>
      </c>
      <c r="H958" s="192" t="s">
        <v>2076</v>
      </c>
      <c r="I958" s="61" t="s">
        <v>2511</v>
      </c>
      <c r="J958" s="61" t="s">
        <v>2511</v>
      </c>
      <c r="K958" s="62" t="s">
        <v>2511</v>
      </c>
      <c r="L958" s="60" t="s">
        <v>2511</v>
      </c>
      <c r="M958" s="61" t="s">
        <v>2389</v>
      </c>
      <c r="N958" s="61" t="s">
        <v>2511</v>
      </c>
      <c r="O958" s="61" t="s">
        <v>2511</v>
      </c>
      <c r="P958" s="62" t="s">
        <v>2511</v>
      </c>
      <c r="Q958" s="82"/>
      <c r="R958" s="82"/>
      <c r="S958" s="82"/>
      <c r="T958" s="82"/>
      <c r="U958" s="82"/>
      <c r="V958" s="138" t="s">
        <v>5185</v>
      </c>
      <c r="W958" s="57" t="s">
        <v>4966</v>
      </c>
      <c r="X958" s="126" t="s">
        <v>2511</v>
      </c>
      <c r="Y958" s="126" t="s">
        <v>2511</v>
      </c>
      <c r="Z958" s="57"/>
      <c r="AA958" s="57" t="s">
        <v>4533</v>
      </c>
      <c r="AB958" s="138"/>
      <c r="AC958" s="138" t="s">
        <v>2631</v>
      </c>
      <c r="AD958" s="96"/>
      <c r="AE958" s="80"/>
      <c r="AF958" s="80"/>
      <c r="AG958" s="80"/>
      <c r="AH958" s="83"/>
      <c r="AI958" s="83"/>
      <c r="AJ958" s="84"/>
      <c r="AK958" s="84"/>
      <c r="AL958" s="84"/>
      <c r="AM958" s="84"/>
      <c r="AN958" s="84"/>
      <c r="AO958" s="84"/>
      <c r="AP958" s="84"/>
      <c r="AQ958" s="95" t="s">
        <v>2076</v>
      </c>
      <c r="AR958" s="72"/>
      <c r="AS958" s="72"/>
      <c r="AT958" s="72"/>
      <c r="AU958" s="72"/>
      <c r="AV958" s="72"/>
      <c r="AW958" s="72"/>
      <c r="AX958" s="72"/>
      <c r="AY958" s="72"/>
      <c r="AZ958" s="72"/>
      <c r="BA958" s="72"/>
      <c r="BB958" s="16"/>
      <c r="BC958" s="72"/>
      <c r="BD958" s="20"/>
      <c r="BE958" s="378"/>
    </row>
    <row r="959" spans="1:57" s="81" customFormat="1" ht="12.95" hidden="1" customHeight="1">
      <c r="A959" s="374"/>
      <c r="B959" s="376"/>
      <c r="C959" s="248" t="s">
        <v>1519</v>
      </c>
      <c r="D959" s="239" t="s">
        <v>5186</v>
      </c>
      <c r="E959" s="58"/>
      <c r="F959" s="59" t="s">
        <v>5187</v>
      </c>
      <c r="G959" s="191" t="s">
        <v>2511</v>
      </c>
      <c r="H959" s="192" t="s">
        <v>2077</v>
      </c>
      <c r="I959" s="61" t="s">
        <v>2511</v>
      </c>
      <c r="J959" s="61" t="s">
        <v>2511</v>
      </c>
      <c r="K959" s="62" t="s">
        <v>2511</v>
      </c>
      <c r="L959" s="60" t="s">
        <v>2511</v>
      </c>
      <c r="M959" s="61" t="s">
        <v>2389</v>
      </c>
      <c r="N959" s="61" t="s">
        <v>2511</v>
      </c>
      <c r="O959" s="61" t="s">
        <v>2511</v>
      </c>
      <c r="P959" s="62" t="s">
        <v>2511</v>
      </c>
      <c r="Q959" s="82"/>
      <c r="R959" s="82"/>
      <c r="S959" s="82"/>
      <c r="T959" s="82"/>
      <c r="U959" s="82"/>
      <c r="V959" s="138" t="s">
        <v>5188</v>
      </c>
      <c r="W959" s="57" t="s">
        <v>4966</v>
      </c>
      <c r="X959" s="126" t="s">
        <v>2511</v>
      </c>
      <c r="Y959" s="126" t="s">
        <v>2511</v>
      </c>
      <c r="Z959" s="57"/>
      <c r="AA959" s="57" t="s">
        <v>4533</v>
      </c>
      <c r="AB959" s="138"/>
      <c r="AC959" s="138" t="s">
        <v>2631</v>
      </c>
      <c r="AD959" s="96"/>
      <c r="AE959" s="80"/>
      <c r="AF959" s="80"/>
      <c r="AG959" s="80"/>
      <c r="AH959" s="83"/>
      <c r="AI959" s="83"/>
      <c r="AJ959" s="84"/>
      <c r="AK959" s="84"/>
      <c r="AL959" s="84"/>
      <c r="AM959" s="84"/>
      <c r="AN959" s="84"/>
      <c r="AO959" s="84"/>
      <c r="AP959" s="84"/>
      <c r="AQ959" s="95" t="s">
        <v>2077</v>
      </c>
      <c r="AR959" s="72"/>
      <c r="AS959" s="72"/>
      <c r="AT959" s="72"/>
      <c r="AU959" s="72"/>
      <c r="AV959" s="72"/>
      <c r="AW959" s="72"/>
      <c r="AX959" s="72"/>
      <c r="AY959" s="72"/>
      <c r="AZ959" s="72"/>
      <c r="BA959" s="72"/>
      <c r="BB959" s="16"/>
      <c r="BC959" s="72"/>
      <c r="BD959" s="20"/>
      <c r="BE959" s="378"/>
    </row>
    <row r="960" spans="1:57" s="81" customFormat="1" ht="12.95" hidden="1" customHeight="1">
      <c r="A960" s="374"/>
      <c r="B960" s="376"/>
      <c r="C960" s="248" t="s">
        <v>1520</v>
      </c>
      <c r="D960" s="239" t="s">
        <v>5189</v>
      </c>
      <c r="E960" s="58"/>
      <c r="F960" s="59" t="s">
        <v>5190</v>
      </c>
      <c r="G960" s="191" t="s">
        <v>2511</v>
      </c>
      <c r="H960" s="192" t="s">
        <v>2078</v>
      </c>
      <c r="I960" s="61" t="s">
        <v>2511</v>
      </c>
      <c r="J960" s="61" t="s">
        <v>2511</v>
      </c>
      <c r="K960" s="62" t="s">
        <v>2511</v>
      </c>
      <c r="L960" s="60" t="s">
        <v>2511</v>
      </c>
      <c r="M960" s="61" t="s">
        <v>2389</v>
      </c>
      <c r="N960" s="61" t="s">
        <v>2511</v>
      </c>
      <c r="O960" s="61" t="s">
        <v>2511</v>
      </c>
      <c r="P960" s="62" t="s">
        <v>2511</v>
      </c>
      <c r="Q960" s="82"/>
      <c r="R960" s="82"/>
      <c r="S960" s="82"/>
      <c r="T960" s="82"/>
      <c r="U960" s="82"/>
      <c r="V960" s="138" t="s">
        <v>5191</v>
      </c>
      <c r="W960" s="57" t="s">
        <v>4966</v>
      </c>
      <c r="X960" s="126" t="s">
        <v>2511</v>
      </c>
      <c r="Y960" s="126" t="s">
        <v>2511</v>
      </c>
      <c r="Z960" s="57"/>
      <c r="AA960" s="57" t="s">
        <v>4533</v>
      </c>
      <c r="AB960" s="138"/>
      <c r="AC960" s="138" t="s">
        <v>2631</v>
      </c>
      <c r="AD960" s="96"/>
      <c r="AE960" s="80"/>
      <c r="AF960" s="80"/>
      <c r="AG960" s="80"/>
      <c r="AH960" s="83"/>
      <c r="AI960" s="83"/>
      <c r="AJ960" s="84"/>
      <c r="AK960" s="84"/>
      <c r="AL960" s="84"/>
      <c r="AM960" s="84"/>
      <c r="AN960" s="84"/>
      <c r="AO960" s="84"/>
      <c r="AP960" s="84"/>
      <c r="AQ960" s="95" t="s">
        <v>2078</v>
      </c>
      <c r="AR960" s="72"/>
      <c r="AS960" s="72"/>
      <c r="AT960" s="72"/>
      <c r="AU960" s="72"/>
      <c r="AV960" s="72"/>
      <c r="AW960" s="72"/>
      <c r="AX960" s="72"/>
      <c r="AY960" s="72"/>
      <c r="AZ960" s="72"/>
      <c r="BA960" s="72"/>
      <c r="BB960" s="16"/>
      <c r="BC960" s="72"/>
      <c r="BD960" s="20"/>
      <c r="BE960" s="378"/>
    </row>
    <row r="961" spans="1:57" s="81" customFormat="1" ht="12.95" hidden="1" customHeight="1">
      <c r="A961" s="374"/>
      <c r="B961" s="376"/>
      <c r="C961" s="248" t="s">
        <v>1521</v>
      </c>
      <c r="D961" s="239" t="s">
        <v>5192</v>
      </c>
      <c r="E961" s="58"/>
      <c r="F961" s="59" t="s">
        <v>5193</v>
      </c>
      <c r="G961" s="191" t="s">
        <v>2511</v>
      </c>
      <c r="H961" s="192" t="s">
        <v>2079</v>
      </c>
      <c r="I961" s="61" t="s">
        <v>2511</v>
      </c>
      <c r="J961" s="61" t="s">
        <v>2511</v>
      </c>
      <c r="K961" s="62" t="s">
        <v>2511</v>
      </c>
      <c r="L961" s="60" t="s">
        <v>2511</v>
      </c>
      <c r="M961" s="61" t="s">
        <v>2389</v>
      </c>
      <c r="N961" s="61" t="s">
        <v>2511</v>
      </c>
      <c r="O961" s="61" t="s">
        <v>2511</v>
      </c>
      <c r="P961" s="62" t="s">
        <v>2511</v>
      </c>
      <c r="Q961" s="82"/>
      <c r="R961" s="82"/>
      <c r="S961" s="82"/>
      <c r="T961" s="82"/>
      <c r="U961" s="82"/>
      <c r="V961" s="138" t="s">
        <v>5194</v>
      </c>
      <c r="W961" s="57" t="s">
        <v>4966</v>
      </c>
      <c r="X961" s="126" t="s">
        <v>2511</v>
      </c>
      <c r="Y961" s="126" t="s">
        <v>2511</v>
      </c>
      <c r="Z961" s="57"/>
      <c r="AA961" s="57" t="s">
        <v>4533</v>
      </c>
      <c r="AB961" s="138"/>
      <c r="AC961" s="138" t="s">
        <v>2631</v>
      </c>
      <c r="AD961" s="96"/>
      <c r="AE961" s="80"/>
      <c r="AF961" s="80"/>
      <c r="AG961" s="80"/>
      <c r="AH961" s="83"/>
      <c r="AI961" s="83"/>
      <c r="AJ961" s="84"/>
      <c r="AK961" s="84"/>
      <c r="AL961" s="84"/>
      <c r="AM961" s="84"/>
      <c r="AN961" s="84"/>
      <c r="AO961" s="84"/>
      <c r="AP961" s="84"/>
      <c r="AQ961" s="95" t="s">
        <v>2079</v>
      </c>
      <c r="AR961" s="72"/>
      <c r="AS961" s="72"/>
      <c r="AT961" s="72"/>
      <c r="AU961" s="72"/>
      <c r="AV961" s="72"/>
      <c r="AW961" s="72"/>
      <c r="AX961" s="72"/>
      <c r="AY961" s="72"/>
      <c r="AZ961" s="72"/>
      <c r="BA961" s="72"/>
      <c r="BB961" s="16"/>
      <c r="BC961" s="72"/>
      <c r="BD961" s="20"/>
      <c r="BE961" s="378"/>
    </row>
    <row r="962" spans="1:57" s="81" customFormat="1" ht="12.95" hidden="1" customHeight="1">
      <c r="A962" s="374"/>
      <c r="B962" s="376"/>
      <c r="C962" s="248" t="s">
        <v>1522</v>
      </c>
      <c r="D962" s="239" t="s">
        <v>5195</v>
      </c>
      <c r="E962" s="58"/>
      <c r="F962" s="59" t="s">
        <v>5196</v>
      </c>
      <c r="G962" s="191" t="s">
        <v>2511</v>
      </c>
      <c r="H962" s="192" t="s">
        <v>2080</v>
      </c>
      <c r="I962" s="61" t="s">
        <v>2511</v>
      </c>
      <c r="J962" s="61" t="s">
        <v>2511</v>
      </c>
      <c r="K962" s="62" t="s">
        <v>2511</v>
      </c>
      <c r="L962" s="60" t="s">
        <v>2511</v>
      </c>
      <c r="M962" s="61" t="s">
        <v>2389</v>
      </c>
      <c r="N962" s="61" t="s">
        <v>2511</v>
      </c>
      <c r="O962" s="61" t="s">
        <v>2511</v>
      </c>
      <c r="P962" s="62" t="s">
        <v>2511</v>
      </c>
      <c r="Q962" s="82"/>
      <c r="R962" s="82"/>
      <c r="S962" s="82"/>
      <c r="T962" s="82"/>
      <c r="U962" s="82"/>
      <c r="V962" s="138" t="s">
        <v>5197</v>
      </c>
      <c r="W962" s="57" t="s">
        <v>4966</v>
      </c>
      <c r="X962" s="126" t="s">
        <v>2511</v>
      </c>
      <c r="Y962" s="126" t="s">
        <v>2511</v>
      </c>
      <c r="Z962" s="57"/>
      <c r="AA962" s="57" t="s">
        <v>4533</v>
      </c>
      <c r="AB962" s="138"/>
      <c r="AC962" s="138" t="s">
        <v>2631</v>
      </c>
      <c r="AD962" s="96"/>
      <c r="AE962" s="80"/>
      <c r="AF962" s="80"/>
      <c r="AG962" s="80"/>
      <c r="AH962" s="83"/>
      <c r="AI962" s="83"/>
      <c r="AJ962" s="84"/>
      <c r="AK962" s="84"/>
      <c r="AL962" s="84"/>
      <c r="AM962" s="84"/>
      <c r="AN962" s="84"/>
      <c r="AO962" s="84"/>
      <c r="AP962" s="84"/>
      <c r="AQ962" s="95" t="s">
        <v>2080</v>
      </c>
      <c r="AR962" s="72"/>
      <c r="AS962" s="72"/>
      <c r="AT962" s="72"/>
      <c r="AU962" s="72"/>
      <c r="AV962" s="72"/>
      <c r="AW962" s="72"/>
      <c r="AX962" s="72"/>
      <c r="AY962" s="72"/>
      <c r="AZ962" s="72"/>
      <c r="BA962" s="72"/>
      <c r="BB962" s="16"/>
      <c r="BC962" s="72"/>
      <c r="BD962" s="20"/>
      <c r="BE962" s="378"/>
    </row>
    <row r="963" spans="1:57" s="81" customFormat="1" ht="12.95" hidden="1" customHeight="1">
      <c r="A963" s="374"/>
      <c r="B963" s="376"/>
      <c r="C963" s="248" t="s">
        <v>1523</v>
      </c>
      <c r="D963" s="239" t="s">
        <v>5198</v>
      </c>
      <c r="E963" s="58"/>
      <c r="F963" s="59" t="s">
        <v>5199</v>
      </c>
      <c r="G963" s="191" t="s">
        <v>2511</v>
      </c>
      <c r="H963" s="192" t="s">
        <v>2081</v>
      </c>
      <c r="I963" s="61" t="s">
        <v>2511</v>
      </c>
      <c r="J963" s="61" t="s">
        <v>2511</v>
      </c>
      <c r="K963" s="62" t="s">
        <v>2511</v>
      </c>
      <c r="L963" s="60" t="s">
        <v>2511</v>
      </c>
      <c r="M963" s="61" t="s">
        <v>2389</v>
      </c>
      <c r="N963" s="61" t="s">
        <v>2511</v>
      </c>
      <c r="O963" s="61" t="s">
        <v>2511</v>
      </c>
      <c r="P963" s="62" t="s">
        <v>2511</v>
      </c>
      <c r="Q963" s="82"/>
      <c r="R963" s="82"/>
      <c r="S963" s="82"/>
      <c r="T963" s="82"/>
      <c r="U963" s="82"/>
      <c r="V963" s="138" t="s">
        <v>5200</v>
      </c>
      <c r="W963" s="57" t="s">
        <v>4966</v>
      </c>
      <c r="X963" s="126" t="s">
        <v>2511</v>
      </c>
      <c r="Y963" s="126" t="s">
        <v>2511</v>
      </c>
      <c r="Z963" s="57"/>
      <c r="AA963" s="57" t="s">
        <v>4533</v>
      </c>
      <c r="AB963" s="138"/>
      <c r="AC963" s="138" t="s">
        <v>2631</v>
      </c>
      <c r="AD963" s="96"/>
      <c r="AE963" s="80"/>
      <c r="AF963" s="80"/>
      <c r="AG963" s="80"/>
      <c r="AH963" s="83"/>
      <c r="AI963" s="83"/>
      <c r="AJ963" s="84"/>
      <c r="AK963" s="84"/>
      <c r="AL963" s="84"/>
      <c r="AM963" s="84"/>
      <c r="AN963" s="84"/>
      <c r="AO963" s="84"/>
      <c r="AP963" s="84"/>
      <c r="AQ963" s="95" t="s">
        <v>2081</v>
      </c>
      <c r="AR963" s="72"/>
      <c r="AS963" s="72"/>
      <c r="AT963" s="72"/>
      <c r="AU963" s="72"/>
      <c r="AV963" s="72"/>
      <c r="AW963" s="72"/>
      <c r="AX963" s="72"/>
      <c r="AY963" s="72"/>
      <c r="AZ963" s="72"/>
      <c r="BA963" s="72"/>
      <c r="BB963" s="16"/>
      <c r="BC963" s="72"/>
      <c r="BD963" s="20"/>
      <c r="BE963" s="378"/>
    </row>
    <row r="964" spans="1:57" s="81" customFormat="1" ht="12.95" hidden="1" customHeight="1">
      <c r="A964" s="374"/>
      <c r="B964" s="376"/>
      <c r="C964" s="248" t="s">
        <v>1524</v>
      </c>
      <c r="D964" s="239" t="s">
        <v>5201</v>
      </c>
      <c r="E964" s="58"/>
      <c r="F964" s="59" t="s">
        <v>5202</v>
      </c>
      <c r="G964" s="191" t="s">
        <v>2511</v>
      </c>
      <c r="H964" s="192" t="s">
        <v>2082</v>
      </c>
      <c r="I964" s="61" t="s">
        <v>2511</v>
      </c>
      <c r="J964" s="61" t="s">
        <v>2511</v>
      </c>
      <c r="K964" s="62" t="s">
        <v>2511</v>
      </c>
      <c r="L964" s="60" t="s">
        <v>2511</v>
      </c>
      <c r="M964" s="61" t="s">
        <v>2389</v>
      </c>
      <c r="N964" s="61" t="s">
        <v>2511</v>
      </c>
      <c r="O964" s="61" t="s">
        <v>2511</v>
      </c>
      <c r="P964" s="62" t="s">
        <v>2511</v>
      </c>
      <c r="Q964" s="82"/>
      <c r="R964" s="82"/>
      <c r="S964" s="82"/>
      <c r="T964" s="82"/>
      <c r="U964" s="82"/>
      <c r="V964" s="138" t="s">
        <v>5203</v>
      </c>
      <c r="W964" s="57" t="s">
        <v>4966</v>
      </c>
      <c r="X964" s="126" t="s">
        <v>2511</v>
      </c>
      <c r="Y964" s="126" t="s">
        <v>2511</v>
      </c>
      <c r="Z964" s="57"/>
      <c r="AA964" s="57" t="s">
        <v>4533</v>
      </c>
      <c r="AB964" s="138"/>
      <c r="AC964" s="138" t="s">
        <v>2631</v>
      </c>
      <c r="AD964" s="96"/>
      <c r="AE964" s="80"/>
      <c r="AF964" s="80"/>
      <c r="AG964" s="80"/>
      <c r="AH964" s="83"/>
      <c r="AI964" s="83"/>
      <c r="AJ964" s="84"/>
      <c r="AK964" s="84"/>
      <c r="AL964" s="84"/>
      <c r="AM964" s="84"/>
      <c r="AN964" s="84"/>
      <c r="AO964" s="84"/>
      <c r="AP964" s="84"/>
      <c r="AQ964" s="95" t="s">
        <v>2082</v>
      </c>
      <c r="AR964" s="72"/>
      <c r="AS964" s="72"/>
      <c r="AT964" s="72"/>
      <c r="AU964" s="72"/>
      <c r="AV964" s="72"/>
      <c r="AW964" s="72"/>
      <c r="AX964" s="72"/>
      <c r="AY964" s="72"/>
      <c r="AZ964" s="72"/>
      <c r="BA964" s="72"/>
      <c r="BB964" s="16"/>
      <c r="BC964" s="72"/>
      <c r="BD964" s="20"/>
      <c r="BE964" s="378"/>
    </row>
    <row r="965" spans="1:57" s="81" customFormat="1" ht="12.95" hidden="1" customHeight="1">
      <c r="A965" s="374"/>
      <c r="B965" s="376"/>
      <c r="C965" s="248" t="s">
        <v>1525</v>
      </c>
      <c r="D965" s="239" t="s">
        <v>5204</v>
      </c>
      <c r="E965" s="58"/>
      <c r="F965" s="59" t="s">
        <v>5205</v>
      </c>
      <c r="G965" s="191" t="s">
        <v>2511</v>
      </c>
      <c r="H965" s="192" t="s">
        <v>2083</v>
      </c>
      <c r="I965" s="61" t="s">
        <v>2511</v>
      </c>
      <c r="J965" s="61" t="s">
        <v>2511</v>
      </c>
      <c r="K965" s="62" t="s">
        <v>2511</v>
      </c>
      <c r="L965" s="60" t="s">
        <v>2511</v>
      </c>
      <c r="M965" s="61" t="s">
        <v>2389</v>
      </c>
      <c r="N965" s="61" t="s">
        <v>2511</v>
      </c>
      <c r="O965" s="61" t="s">
        <v>2511</v>
      </c>
      <c r="P965" s="62" t="s">
        <v>2511</v>
      </c>
      <c r="Q965" s="82"/>
      <c r="R965" s="82"/>
      <c r="S965" s="82"/>
      <c r="T965" s="82"/>
      <c r="U965" s="82"/>
      <c r="V965" s="138" t="s">
        <v>5206</v>
      </c>
      <c r="W965" s="57" t="s">
        <v>4966</v>
      </c>
      <c r="X965" s="126" t="s">
        <v>2511</v>
      </c>
      <c r="Y965" s="126" t="s">
        <v>2511</v>
      </c>
      <c r="Z965" s="57"/>
      <c r="AA965" s="57" t="s">
        <v>4533</v>
      </c>
      <c r="AB965" s="138"/>
      <c r="AC965" s="138" t="s">
        <v>2631</v>
      </c>
      <c r="AD965" s="96"/>
      <c r="AE965" s="80"/>
      <c r="AF965" s="80"/>
      <c r="AG965" s="80"/>
      <c r="AH965" s="83"/>
      <c r="AI965" s="83"/>
      <c r="AJ965" s="84"/>
      <c r="AK965" s="84"/>
      <c r="AL965" s="84"/>
      <c r="AM965" s="84"/>
      <c r="AN965" s="84"/>
      <c r="AO965" s="84"/>
      <c r="AP965" s="84"/>
      <c r="AQ965" s="95" t="s">
        <v>2083</v>
      </c>
      <c r="AR965" s="72"/>
      <c r="AS965" s="72"/>
      <c r="AT965" s="72"/>
      <c r="AU965" s="72"/>
      <c r="AV965" s="72"/>
      <c r="AW965" s="72"/>
      <c r="AX965" s="72"/>
      <c r="AY965" s="72"/>
      <c r="AZ965" s="72"/>
      <c r="BA965" s="72"/>
      <c r="BB965" s="16"/>
      <c r="BC965" s="72"/>
      <c r="BD965" s="20"/>
      <c r="BE965" s="378"/>
    </row>
    <row r="966" spans="1:57" s="81" customFormat="1" ht="12.95" hidden="1" customHeight="1">
      <c r="A966" s="374"/>
      <c r="B966" s="376"/>
      <c r="C966" s="270" t="s">
        <v>1526</v>
      </c>
      <c r="D966" s="239" t="s">
        <v>5207</v>
      </c>
      <c r="E966" s="58"/>
      <c r="F966" s="59" t="s">
        <v>5208</v>
      </c>
      <c r="G966" s="191" t="s">
        <v>2511</v>
      </c>
      <c r="H966" s="192" t="s">
        <v>2084</v>
      </c>
      <c r="I966" s="61" t="s">
        <v>2511</v>
      </c>
      <c r="J966" s="61" t="s">
        <v>2511</v>
      </c>
      <c r="K966" s="62" t="s">
        <v>2511</v>
      </c>
      <c r="L966" s="60" t="s">
        <v>2511</v>
      </c>
      <c r="M966" s="61" t="s">
        <v>2389</v>
      </c>
      <c r="N966" s="61" t="s">
        <v>2511</v>
      </c>
      <c r="O966" s="61" t="s">
        <v>2511</v>
      </c>
      <c r="P966" s="62" t="s">
        <v>2511</v>
      </c>
      <c r="Q966" s="82"/>
      <c r="R966" s="82"/>
      <c r="S966" s="82"/>
      <c r="T966" s="82"/>
      <c r="U966" s="82"/>
      <c r="V966" s="138" t="s">
        <v>5209</v>
      </c>
      <c r="W966" s="57" t="s">
        <v>4966</v>
      </c>
      <c r="X966" s="126" t="s">
        <v>2511</v>
      </c>
      <c r="Y966" s="126" t="s">
        <v>2511</v>
      </c>
      <c r="Z966" s="57"/>
      <c r="AA966" s="57" t="s">
        <v>4533</v>
      </c>
      <c r="AB966" s="138"/>
      <c r="AC966" s="138" t="s">
        <v>2631</v>
      </c>
      <c r="AD966" s="96"/>
      <c r="AE966" s="80"/>
      <c r="AF966" s="80"/>
      <c r="AG966" s="80"/>
      <c r="AH966" s="83"/>
      <c r="AI966" s="83"/>
      <c r="AJ966" s="84"/>
      <c r="AK966" s="84"/>
      <c r="AL966" s="84"/>
      <c r="AM966" s="84"/>
      <c r="AN966" s="84"/>
      <c r="AO966" s="84"/>
      <c r="AP966" s="84"/>
      <c r="AQ966" s="95" t="s">
        <v>2084</v>
      </c>
      <c r="AR966" s="72"/>
      <c r="AS966" s="72"/>
      <c r="AT966" s="72"/>
      <c r="AU966" s="72"/>
      <c r="AV966" s="72"/>
      <c r="AW966" s="72"/>
      <c r="AX966" s="72"/>
      <c r="AY966" s="72"/>
      <c r="AZ966" s="72"/>
      <c r="BA966" s="72"/>
      <c r="BB966" s="16"/>
      <c r="BC966" s="72"/>
      <c r="BD966" s="20"/>
      <c r="BE966" s="378"/>
    </row>
    <row r="967" spans="1:57" s="81" customFormat="1" ht="12.95" hidden="1" customHeight="1">
      <c r="A967" s="374"/>
      <c r="B967" s="376"/>
      <c r="C967" s="270" t="s">
        <v>1527</v>
      </c>
      <c r="D967" s="239" t="s">
        <v>5210</v>
      </c>
      <c r="E967" s="58"/>
      <c r="F967" s="59" t="s">
        <v>5211</v>
      </c>
      <c r="G967" s="191" t="s">
        <v>2511</v>
      </c>
      <c r="H967" s="192" t="s">
        <v>2085</v>
      </c>
      <c r="I967" s="61" t="s">
        <v>2511</v>
      </c>
      <c r="J967" s="61" t="s">
        <v>2511</v>
      </c>
      <c r="K967" s="62" t="s">
        <v>2511</v>
      </c>
      <c r="L967" s="60" t="s">
        <v>2511</v>
      </c>
      <c r="M967" s="61" t="s">
        <v>2389</v>
      </c>
      <c r="N967" s="61" t="s">
        <v>2511</v>
      </c>
      <c r="O967" s="61" t="s">
        <v>2511</v>
      </c>
      <c r="P967" s="62" t="s">
        <v>2511</v>
      </c>
      <c r="Q967" s="82"/>
      <c r="R967" s="82"/>
      <c r="S967" s="82"/>
      <c r="T967" s="82"/>
      <c r="U967" s="82"/>
      <c r="V967" s="138" t="s">
        <v>5212</v>
      </c>
      <c r="W967" s="57" t="s">
        <v>4966</v>
      </c>
      <c r="X967" s="126" t="s">
        <v>2511</v>
      </c>
      <c r="Y967" s="126" t="s">
        <v>2511</v>
      </c>
      <c r="Z967" s="57"/>
      <c r="AA967" s="57" t="s">
        <v>4533</v>
      </c>
      <c r="AB967" s="138"/>
      <c r="AC967" s="138" t="s">
        <v>2631</v>
      </c>
      <c r="AD967" s="96"/>
      <c r="AE967" s="80"/>
      <c r="AF967" s="80"/>
      <c r="AG967" s="80"/>
      <c r="AH967" s="83"/>
      <c r="AI967" s="83"/>
      <c r="AJ967" s="84"/>
      <c r="AK967" s="84"/>
      <c r="AL967" s="84"/>
      <c r="AM967" s="84"/>
      <c r="AN967" s="84"/>
      <c r="AO967" s="84"/>
      <c r="AP967" s="84"/>
      <c r="AQ967" s="95" t="s">
        <v>2085</v>
      </c>
      <c r="AR967" s="72"/>
      <c r="AS967" s="72"/>
      <c r="AT967" s="72"/>
      <c r="AU967" s="72"/>
      <c r="AV967" s="72"/>
      <c r="AW967" s="72"/>
      <c r="AX967" s="72"/>
      <c r="AY967" s="72"/>
      <c r="AZ967" s="72"/>
      <c r="BA967" s="72"/>
      <c r="BB967" s="16"/>
      <c r="BC967" s="72"/>
      <c r="BD967" s="20"/>
      <c r="BE967" s="378"/>
    </row>
    <row r="968" spans="1:57" s="81" customFormat="1" ht="12.75" hidden="1" customHeight="1">
      <c r="A968" s="374"/>
      <c r="B968" s="376"/>
      <c r="C968" s="248" t="s">
        <v>1528</v>
      </c>
      <c r="D968" s="239" t="s">
        <v>5213</v>
      </c>
      <c r="E968" s="58"/>
      <c r="F968" s="59" t="s">
        <v>5214</v>
      </c>
      <c r="G968" s="191" t="s">
        <v>2511</v>
      </c>
      <c r="H968" s="192" t="s">
        <v>2086</v>
      </c>
      <c r="I968" s="61" t="s">
        <v>2511</v>
      </c>
      <c r="J968" s="61" t="s">
        <v>2511</v>
      </c>
      <c r="K968" s="62" t="s">
        <v>2511</v>
      </c>
      <c r="L968" s="60" t="s">
        <v>2511</v>
      </c>
      <c r="M968" s="61" t="s">
        <v>2389</v>
      </c>
      <c r="N968" s="61" t="s">
        <v>2511</v>
      </c>
      <c r="O968" s="61" t="s">
        <v>2511</v>
      </c>
      <c r="P968" s="62" t="s">
        <v>2511</v>
      </c>
      <c r="Q968" s="82"/>
      <c r="R968" s="82"/>
      <c r="S968" s="82"/>
      <c r="T968" s="82"/>
      <c r="U968" s="82"/>
      <c r="V968" s="138" t="s">
        <v>5215</v>
      </c>
      <c r="W968" s="57" t="s">
        <v>4966</v>
      </c>
      <c r="X968" s="126" t="s">
        <v>2511</v>
      </c>
      <c r="Y968" s="126" t="s">
        <v>2511</v>
      </c>
      <c r="Z968" s="57"/>
      <c r="AA968" s="57" t="s">
        <v>4533</v>
      </c>
      <c r="AB968" s="138"/>
      <c r="AC968" s="138">
        <v>0</v>
      </c>
      <c r="AD968" s="96"/>
      <c r="AE968" s="80"/>
      <c r="AF968" s="80"/>
      <c r="AG968" s="80"/>
      <c r="AH968" s="83"/>
      <c r="AI968" s="83"/>
      <c r="AJ968" s="84"/>
      <c r="AK968" s="84"/>
      <c r="AL968" s="84"/>
      <c r="AM968" s="84"/>
      <c r="AN968" s="84"/>
      <c r="AO968" s="84"/>
      <c r="AP968" s="84"/>
      <c r="AQ968" s="95" t="s">
        <v>2086</v>
      </c>
      <c r="AR968" s="72"/>
      <c r="AS968" s="72"/>
      <c r="AT968" s="72"/>
      <c r="AU968" s="72"/>
      <c r="AV968" s="72"/>
      <c r="AW968" s="72"/>
      <c r="AX968" s="72"/>
      <c r="AY968" s="72"/>
      <c r="AZ968" s="72"/>
      <c r="BA968" s="72"/>
      <c r="BB968" s="16"/>
      <c r="BC968" s="72"/>
      <c r="BD968" s="20"/>
      <c r="BE968" s="378"/>
    </row>
    <row r="969" spans="1:57" s="81" customFormat="1" ht="12.95" hidden="1" customHeight="1">
      <c r="A969" s="374"/>
      <c r="B969" s="376"/>
      <c r="C969" s="248" t="s">
        <v>1529</v>
      </c>
      <c r="D969" s="239" t="s">
        <v>5216</v>
      </c>
      <c r="E969" s="58"/>
      <c r="F969" s="59" t="s">
        <v>5217</v>
      </c>
      <c r="G969" s="191" t="s">
        <v>2511</v>
      </c>
      <c r="H969" s="192" t="s">
        <v>2087</v>
      </c>
      <c r="I969" s="61" t="s">
        <v>2511</v>
      </c>
      <c r="J969" s="61" t="s">
        <v>2511</v>
      </c>
      <c r="K969" s="62" t="s">
        <v>2511</v>
      </c>
      <c r="L969" s="60" t="s">
        <v>2511</v>
      </c>
      <c r="M969" s="61" t="s">
        <v>2389</v>
      </c>
      <c r="N969" s="61" t="s">
        <v>2511</v>
      </c>
      <c r="O969" s="61" t="s">
        <v>2511</v>
      </c>
      <c r="P969" s="62" t="s">
        <v>2511</v>
      </c>
      <c r="Q969" s="82"/>
      <c r="R969" s="82"/>
      <c r="S969" s="82"/>
      <c r="T969" s="82"/>
      <c r="U969" s="82"/>
      <c r="V969" s="138" t="s">
        <v>5218</v>
      </c>
      <c r="W969" s="57" t="s">
        <v>4966</v>
      </c>
      <c r="X969" s="126" t="s">
        <v>2511</v>
      </c>
      <c r="Y969" s="126" t="s">
        <v>2511</v>
      </c>
      <c r="Z969" s="57"/>
      <c r="AA969" s="57" t="s">
        <v>4533</v>
      </c>
      <c r="AB969" s="138"/>
      <c r="AC969" s="138" t="s">
        <v>2631</v>
      </c>
      <c r="AD969" s="96"/>
      <c r="AE969" s="80"/>
      <c r="AF969" s="80"/>
      <c r="AG969" s="80"/>
      <c r="AH969" s="83"/>
      <c r="AI969" s="83"/>
      <c r="AJ969" s="84"/>
      <c r="AK969" s="84"/>
      <c r="AL969" s="84"/>
      <c r="AM969" s="84"/>
      <c r="AN969" s="84"/>
      <c r="AO969" s="84"/>
      <c r="AP969" s="84"/>
      <c r="AQ969" s="95" t="s">
        <v>2087</v>
      </c>
      <c r="AR969" s="72"/>
      <c r="AS969" s="72"/>
      <c r="AT969" s="72"/>
      <c r="AU969" s="72"/>
      <c r="AV969" s="72"/>
      <c r="AW969" s="72"/>
      <c r="AX969" s="72"/>
      <c r="AY969" s="72"/>
      <c r="AZ969" s="72"/>
      <c r="BA969" s="72"/>
      <c r="BB969" s="16"/>
      <c r="BC969" s="72"/>
      <c r="BD969" s="20"/>
      <c r="BE969" s="378"/>
    </row>
    <row r="970" spans="1:57" s="81" customFormat="1" ht="12.95" hidden="1" customHeight="1">
      <c r="A970" s="374"/>
      <c r="B970" s="376"/>
      <c r="C970" s="248" t="s">
        <v>1530</v>
      </c>
      <c r="D970" s="239" t="s">
        <v>5219</v>
      </c>
      <c r="E970" s="58"/>
      <c r="F970" s="59" t="s">
        <v>5220</v>
      </c>
      <c r="G970" s="191" t="s">
        <v>2511</v>
      </c>
      <c r="H970" s="192" t="s">
        <v>2088</v>
      </c>
      <c r="I970" s="61" t="s">
        <v>2511</v>
      </c>
      <c r="J970" s="61" t="s">
        <v>2511</v>
      </c>
      <c r="K970" s="62" t="s">
        <v>2511</v>
      </c>
      <c r="L970" s="60" t="s">
        <v>2511</v>
      </c>
      <c r="M970" s="61" t="s">
        <v>2389</v>
      </c>
      <c r="N970" s="61" t="s">
        <v>2511</v>
      </c>
      <c r="O970" s="61" t="s">
        <v>2511</v>
      </c>
      <c r="P970" s="62" t="s">
        <v>2511</v>
      </c>
      <c r="Q970" s="82"/>
      <c r="R970" s="82"/>
      <c r="S970" s="82"/>
      <c r="T970" s="82"/>
      <c r="U970" s="82"/>
      <c r="V970" s="138" t="s">
        <v>5221</v>
      </c>
      <c r="W970" s="57" t="s">
        <v>4966</v>
      </c>
      <c r="X970" s="126" t="s">
        <v>2511</v>
      </c>
      <c r="Y970" s="126" t="s">
        <v>2511</v>
      </c>
      <c r="Z970" s="57"/>
      <c r="AA970" s="57" t="s">
        <v>4533</v>
      </c>
      <c r="AB970" s="138"/>
      <c r="AC970" s="138" t="s">
        <v>2631</v>
      </c>
      <c r="AD970" s="96"/>
      <c r="AE970" s="80"/>
      <c r="AF970" s="80"/>
      <c r="AG970" s="80"/>
      <c r="AH970" s="83"/>
      <c r="AI970" s="83"/>
      <c r="AJ970" s="84"/>
      <c r="AK970" s="84"/>
      <c r="AL970" s="84"/>
      <c r="AM970" s="84"/>
      <c r="AN970" s="84"/>
      <c r="AO970" s="84"/>
      <c r="AP970" s="84"/>
      <c r="AQ970" s="95" t="s">
        <v>2088</v>
      </c>
      <c r="AR970" s="72"/>
      <c r="AS970" s="72"/>
      <c r="AT970" s="72"/>
      <c r="AU970" s="72"/>
      <c r="AV970" s="72"/>
      <c r="AW970" s="72"/>
      <c r="AX970" s="72"/>
      <c r="AY970" s="72"/>
      <c r="AZ970" s="72"/>
      <c r="BA970" s="72"/>
      <c r="BB970" s="16"/>
      <c r="BC970" s="72"/>
      <c r="BD970" s="20"/>
      <c r="BE970" s="378"/>
    </row>
    <row r="971" spans="1:57" s="81" customFormat="1" ht="12.95" hidden="1" customHeight="1">
      <c r="A971" s="374"/>
      <c r="B971" s="376"/>
      <c r="C971" s="248" t="s">
        <v>1531</v>
      </c>
      <c r="D971" s="239" t="s">
        <v>5222</v>
      </c>
      <c r="E971" s="58"/>
      <c r="F971" s="59" t="s">
        <v>5223</v>
      </c>
      <c r="G971" s="191" t="s">
        <v>2511</v>
      </c>
      <c r="H971" s="192" t="s">
        <v>2089</v>
      </c>
      <c r="I971" s="61" t="s">
        <v>2511</v>
      </c>
      <c r="J971" s="61" t="s">
        <v>2511</v>
      </c>
      <c r="K971" s="62" t="s">
        <v>2511</v>
      </c>
      <c r="L971" s="60" t="s">
        <v>2511</v>
      </c>
      <c r="M971" s="61" t="s">
        <v>2389</v>
      </c>
      <c r="N971" s="61" t="s">
        <v>2511</v>
      </c>
      <c r="O971" s="61" t="s">
        <v>2511</v>
      </c>
      <c r="P971" s="62" t="s">
        <v>2511</v>
      </c>
      <c r="Q971" s="82"/>
      <c r="R971" s="82"/>
      <c r="S971" s="82"/>
      <c r="T971" s="82"/>
      <c r="U971" s="82"/>
      <c r="V971" s="138" t="s">
        <v>5224</v>
      </c>
      <c r="W971" s="57" t="s">
        <v>4966</v>
      </c>
      <c r="X971" s="126" t="s">
        <v>2511</v>
      </c>
      <c r="Y971" s="126" t="s">
        <v>2511</v>
      </c>
      <c r="Z971" s="57"/>
      <c r="AA971" s="57" t="s">
        <v>4533</v>
      </c>
      <c r="AB971" s="138"/>
      <c r="AC971" s="138" t="s">
        <v>2631</v>
      </c>
      <c r="AD971" s="96"/>
      <c r="AE971" s="80"/>
      <c r="AF971" s="80"/>
      <c r="AG971" s="80"/>
      <c r="AH971" s="83"/>
      <c r="AI971" s="83"/>
      <c r="AJ971" s="84"/>
      <c r="AK971" s="84"/>
      <c r="AL971" s="84"/>
      <c r="AM971" s="84"/>
      <c r="AN971" s="84"/>
      <c r="AO971" s="84"/>
      <c r="AP971" s="84"/>
      <c r="AQ971" s="95" t="s">
        <v>2089</v>
      </c>
      <c r="AR971" s="72"/>
      <c r="AS971" s="72"/>
      <c r="AT971" s="72"/>
      <c r="AU971" s="72"/>
      <c r="AV971" s="72"/>
      <c r="AW971" s="72"/>
      <c r="AX971" s="72"/>
      <c r="AY971" s="72"/>
      <c r="AZ971" s="72"/>
      <c r="BA971" s="72"/>
      <c r="BB971" s="16"/>
      <c r="BC971" s="72"/>
      <c r="BD971" s="20"/>
      <c r="BE971" s="378"/>
    </row>
    <row r="972" spans="1:57" s="81" customFormat="1" ht="12.95" hidden="1" customHeight="1">
      <c r="A972" s="374"/>
      <c r="B972" s="376"/>
      <c r="C972" s="248" t="s">
        <v>1532</v>
      </c>
      <c r="D972" s="239" t="s">
        <v>5225</v>
      </c>
      <c r="E972" s="58"/>
      <c r="F972" s="59" t="s">
        <v>5226</v>
      </c>
      <c r="G972" s="191" t="s">
        <v>2511</v>
      </c>
      <c r="H972" s="192" t="s">
        <v>2090</v>
      </c>
      <c r="I972" s="61" t="s">
        <v>2511</v>
      </c>
      <c r="J972" s="61" t="s">
        <v>2511</v>
      </c>
      <c r="K972" s="62" t="s">
        <v>2511</v>
      </c>
      <c r="L972" s="60" t="s">
        <v>2511</v>
      </c>
      <c r="M972" s="61" t="s">
        <v>2389</v>
      </c>
      <c r="N972" s="61" t="s">
        <v>2511</v>
      </c>
      <c r="O972" s="61" t="s">
        <v>2511</v>
      </c>
      <c r="P972" s="62" t="s">
        <v>2511</v>
      </c>
      <c r="Q972" s="82"/>
      <c r="R972" s="82"/>
      <c r="S972" s="82"/>
      <c r="T972" s="82"/>
      <c r="U972" s="82"/>
      <c r="V972" s="138" t="s">
        <v>5227</v>
      </c>
      <c r="W972" s="57" t="s">
        <v>4966</v>
      </c>
      <c r="X972" s="126" t="s">
        <v>2511</v>
      </c>
      <c r="Y972" s="126" t="s">
        <v>2511</v>
      </c>
      <c r="Z972" s="57"/>
      <c r="AA972" s="57" t="s">
        <v>4533</v>
      </c>
      <c r="AB972" s="138"/>
      <c r="AC972" s="138" t="s">
        <v>2631</v>
      </c>
      <c r="AD972" s="96"/>
      <c r="AE972" s="80"/>
      <c r="AF972" s="80"/>
      <c r="AG972" s="80"/>
      <c r="AH972" s="83"/>
      <c r="AI972" s="83"/>
      <c r="AJ972" s="84"/>
      <c r="AK972" s="84"/>
      <c r="AL972" s="84"/>
      <c r="AM972" s="84"/>
      <c r="AN972" s="84"/>
      <c r="AO972" s="84"/>
      <c r="AP972" s="84"/>
      <c r="AQ972" s="95" t="s">
        <v>2090</v>
      </c>
      <c r="AR972" s="72"/>
      <c r="AS972" s="72"/>
      <c r="AT972" s="72"/>
      <c r="AU972" s="72"/>
      <c r="AV972" s="72"/>
      <c r="AW972" s="72"/>
      <c r="AX972" s="72"/>
      <c r="AY972" s="72"/>
      <c r="AZ972" s="72"/>
      <c r="BA972" s="72"/>
      <c r="BB972" s="16"/>
      <c r="BC972" s="72"/>
      <c r="BD972" s="20"/>
      <c r="BE972" s="378"/>
    </row>
    <row r="973" spans="1:57" s="81" customFormat="1" ht="12.95" hidden="1" customHeight="1">
      <c r="A973" s="374"/>
      <c r="B973" s="376"/>
      <c r="C973" s="248" t="s">
        <v>1533</v>
      </c>
      <c r="D973" s="239" t="s">
        <v>5228</v>
      </c>
      <c r="E973" s="58"/>
      <c r="F973" s="59" t="s">
        <v>5229</v>
      </c>
      <c r="G973" s="191" t="s">
        <v>2511</v>
      </c>
      <c r="H973" s="192" t="s">
        <v>2091</v>
      </c>
      <c r="I973" s="61" t="s">
        <v>2511</v>
      </c>
      <c r="J973" s="61" t="s">
        <v>2511</v>
      </c>
      <c r="K973" s="62" t="s">
        <v>2511</v>
      </c>
      <c r="L973" s="60" t="s">
        <v>2511</v>
      </c>
      <c r="M973" s="61" t="s">
        <v>2389</v>
      </c>
      <c r="N973" s="61" t="s">
        <v>2511</v>
      </c>
      <c r="O973" s="61" t="s">
        <v>2511</v>
      </c>
      <c r="P973" s="62" t="s">
        <v>2511</v>
      </c>
      <c r="Q973" s="82"/>
      <c r="R973" s="82"/>
      <c r="S973" s="82"/>
      <c r="T973" s="82"/>
      <c r="U973" s="82"/>
      <c r="V973" s="138" t="s">
        <v>5230</v>
      </c>
      <c r="W973" s="57" t="s">
        <v>4966</v>
      </c>
      <c r="X973" s="126" t="s">
        <v>2511</v>
      </c>
      <c r="Y973" s="126" t="s">
        <v>2511</v>
      </c>
      <c r="Z973" s="57"/>
      <c r="AA973" s="57" t="s">
        <v>4533</v>
      </c>
      <c r="AB973" s="138"/>
      <c r="AC973" s="138" t="s">
        <v>2631</v>
      </c>
      <c r="AD973" s="96"/>
      <c r="AE973" s="80"/>
      <c r="AF973" s="80"/>
      <c r="AG973" s="80"/>
      <c r="AH973" s="83"/>
      <c r="AI973" s="83"/>
      <c r="AJ973" s="84"/>
      <c r="AK973" s="84"/>
      <c r="AL973" s="84"/>
      <c r="AM973" s="84"/>
      <c r="AN973" s="84"/>
      <c r="AO973" s="84"/>
      <c r="AP973" s="84"/>
      <c r="AQ973" s="95" t="s">
        <v>2091</v>
      </c>
      <c r="AR973" s="72"/>
      <c r="AS973" s="72"/>
      <c r="AT973" s="72"/>
      <c r="AU973" s="72"/>
      <c r="AV973" s="72"/>
      <c r="AW973" s="72"/>
      <c r="AX973" s="72"/>
      <c r="AY973" s="72"/>
      <c r="AZ973" s="72"/>
      <c r="BA973" s="72"/>
      <c r="BB973" s="16"/>
      <c r="BC973" s="72"/>
      <c r="BD973" s="20"/>
      <c r="BE973" s="378"/>
    </row>
    <row r="974" spans="1:57" s="81" customFormat="1" ht="12.95" hidden="1" customHeight="1">
      <c r="A974" s="374"/>
      <c r="B974" s="376"/>
      <c r="C974" s="248" t="s">
        <v>1534</v>
      </c>
      <c r="D974" s="239" t="s">
        <v>5231</v>
      </c>
      <c r="E974" s="58"/>
      <c r="F974" s="59" t="s">
        <v>5232</v>
      </c>
      <c r="G974" s="191" t="s">
        <v>2511</v>
      </c>
      <c r="H974" s="192" t="s">
        <v>2092</v>
      </c>
      <c r="I974" s="61" t="s">
        <v>2511</v>
      </c>
      <c r="J974" s="61" t="s">
        <v>2511</v>
      </c>
      <c r="K974" s="62" t="s">
        <v>2511</v>
      </c>
      <c r="L974" s="60" t="s">
        <v>2511</v>
      </c>
      <c r="M974" s="61" t="s">
        <v>2389</v>
      </c>
      <c r="N974" s="61" t="s">
        <v>2511</v>
      </c>
      <c r="O974" s="61" t="s">
        <v>2511</v>
      </c>
      <c r="P974" s="62" t="s">
        <v>2511</v>
      </c>
      <c r="Q974" s="82"/>
      <c r="R974" s="82"/>
      <c r="S974" s="82"/>
      <c r="T974" s="82"/>
      <c r="U974" s="82"/>
      <c r="V974" s="138" t="s">
        <v>5233</v>
      </c>
      <c r="W974" s="57" t="s">
        <v>4966</v>
      </c>
      <c r="X974" s="126" t="s">
        <v>2511</v>
      </c>
      <c r="Y974" s="126" t="s">
        <v>2511</v>
      </c>
      <c r="Z974" s="57"/>
      <c r="AA974" s="57" t="s">
        <v>4533</v>
      </c>
      <c r="AB974" s="138"/>
      <c r="AC974" s="138" t="s">
        <v>2631</v>
      </c>
      <c r="AD974" s="96"/>
      <c r="AE974" s="80"/>
      <c r="AF974" s="80"/>
      <c r="AG974" s="80"/>
      <c r="AH974" s="83"/>
      <c r="AI974" s="83"/>
      <c r="AJ974" s="84"/>
      <c r="AK974" s="84"/>
      <c r="AL974" s="84"/>
      <c r="AM974" s="84"/>
      <c r="AN974" s="84"/>
      <c r="AO974" s="84"/>
      <c r="AP974" s="84"/>
      <c r="AQ974" s="95" t="s">
        <v>2092</v>
      </c>
      <c r="AR974" s="72"/>
      <c r="AS974" s="72"/>
      <c r="AT974" s="72"/>
      <c r="AU974" s="72"/>
      <c r="AV974" s="72"/>
      <c r="AW974" s="72"/>
      <c r="AX974" s="72"/>
      <c r="AY974" s="72"/>
      <c r="AZ974" s="72"/>
      <c r="BA974" s="72"/>
      <c r="BB974" s="16"/>
      <c r="BC974" s="72"/>
      <c r="BD974" s="20"/>
      <c r="BE974" s="378"/>
    </row>
    <row r="975" spans="1:57" s="81" customFormat="1" ht="12.95" hidden="1" customHeight="1">
      <c r="A975" s="374"/>
      <c r="B975" s="376"/>
      <c r="C975" s="248" t="s">
        <v>1535</v>
      </c>
      <c r="D975" s="239" t="s">
        <v>5234</v>
      </c>
      <c r="E975" s="58"/>
      <c r="F975" s="59" t="s">
        <v>5235</v>
      </c>
      <c r="G975" s="191" t="s">
        <v>2511</v>
      </c>
      <c r="H975" s="192" t="s">
        <v>2093</v>
      </c>
      <c r="I975" s="61" t="s">
        <v>2511</v>
      </c>
      <c r="J975" s="61" t="s">
        <v>2511</v>
      </c>
      <c r="K975" s="62" t="s">
        <v>2511</v>
      </c>
      <c r="L975" s="60" t="s">
        <v>2511</v>
      </c>
      <c r="M975" s="61" t="s">
        <v>2389</v>
      </c>
      <c r="N975" s="61" t="s">
        <v>2511</v>
      </c>
      <c r="O975" s="61" t="s">
        <v>2511</v>
      </c>
      <c r="P975" s="62" t="s">
        <v>2511</v>
      </c>
      <c r="Q975" s="82"/>
      <c r="R975" s="82"/>
      <c r="S975" s="82"/>
      <c r="T975" s="82"/>
      <c r="U975" s="82"/>
      <c r="V975" s="138" t="s">
        <v>5236</v>
      </c>
      <c r="W975" s="57" t="s">
        <v>4966</v>
      </c>
      <c r="X975" s="126" t="s">
        <v>2511</v>
      </c>
      <c r="Y975" s="126" t="s">
        <v>2511</v>
      </c>
      <c r="Z975" s="57"/>
      <c r="AA975" s="57" t="s">
        <v>4533</v>
      </c>
      <c r="AB975" s="138"/>
      <c r="AC975" s="138" t="s">
        <v>2631</v>
      </c>
      <c r="AD975" s="96"/>
      <c r="AE975" s="80"/>
      <c r="AF975" s="80"/>
      <c r="AG975" s="80"/>
      <c r="AH975" s="83"/>
      <c r="AI975" s="83"/>
      <c r="AJ975" s="84"/>
      <c r="AK975" s="84"/>
      <c r="AL975" s="84"/>
      <c r="AM975" s="84"/>
      <c r="AN975" s="84"/>
      <c r="AO975" s="84"/>
      <c r="AP975" s="84"/>
      <c r="AQ975" s="95" t="s">
        <v>2093</v>
      </c>
      <c r="AR975" s="72"/>
      <c r="AS975" s="72"/>
      <c r="AT975" s="72"/>
      <c r="AU975" s="72"/>
      <c r="AV975" s="72"/>
      <c r="AW975" s="72"/>
      <c r="AX975" s="72"/>
      <c r="AY975" s="72"/>
      <c r="AZ975" s="72"/>
      <c r="BA975" s="72"/>
      <c r="BB975" s="16"/>
      <c r="BC975" s="72"/>
      <c r="BD975" s="20"/>
      <c r="BE975" s="378"/>
    </row>
    <row r="976" spans="1:57" s="81" customFormat="1" ht="12.95" hidden="1" customHeight="1">
      <c r="A976" s="374"/>
      <c r="B976" s="376"/>
      <c r="C976" s="248" t="s">
        <v>1536</v>
      </c>
      <c r="D976" s="239" t="s">
        <v>5237</v>
      </c>
      <c r="E976" s="58"/>
      <c r="F976" s="59" t="s">
        <v>5238</v>
      </c>
      <c r="G976" s="191" t="s">
        <v>2511</v>
      </c>
      <c r="H976" s="192" t="s">
        <v>2094</v>
      </c>
      <c r="I976" s="61" t="s">
        <v>2511</v>
      </c>
      <c r="J976" s="61" t="s">
        <v>2511</v>
      </c>
      <c r="K976" s="62" t="s">
        <v>2511</v>
      </c>
      <c r="L976" s="60" t="s">
        <v>2511</v>
      </c>
      <c r="M976" s="61" t="s">
        <v>2389</v>
      </c>
      <c r="N976" s="61" t="s">
        <v>2511</v>
      </c>
      <c r="O976" s="61" t="s">
        <v>2511</v>
      </c>
      <c r="P976" s="62" t="s">
        <v>2511</v>
      </c>
      <c r="Q976" s="82"/>
      <c r="R976" s="82"/>
      <c r="S976" s="82"/>
      <c r="T976" s="82"/>
      <c r="U976" s="82"/>
      <c r="V976" s="138" t="s">
        <v>5239</v>
      </c>
      <c r="W976" s="57" t="s">
        <v>4966</v>
      </c>
      <c r="X976" s="126" t="s">
        <v>2511</v>
      </c>
      <c r="Y976" s="126" t="s">
        <v>2511</v>
      </c>
      <c r="Z976" s="57"/>
      <c r="AA976" s="57" t="s">
        <v>4533</v>
      </c>
      <c r="AB976" s="138"/>
      <c r="AC976" s="138" t="s">
        <v>2631</v>
      </c>
      <c r="AD976" s="96"/>
      <c r="AE976" s="80"/>
      <c r="AF976" s="80"/>
      <c r="AG976" s="80"/>
      <c r="AH976" s="83"/>
      <c r="AI976" s="83"/>
      <c r="AJ976" s="84"/>
      <c r="AK976" s="84"/>
      <c r="AL976" s="84"/>
      <c r="AM976" s="84"/>
      <c r="AN976" s="84"/>
      <c r="AO976" s="84"/>
      <c r="AP976" s="84"/>
      <c r="AQ976" s="95" t="s">
        <v>2094</v>
      </c>
      <c r="AR976" s="72"/>
      <c r="AS976" s="72"/>
      <c r="AT976" s="72"/>
      <c r="AU976" s="72"/>
      <c r="AV976" s="72"/>
      <c r="AW976" s="72"/>
      <c r="AX976" s="72"/>
      <c r="AY976" s="72"/>
      <c r="AZ976" s="72"/>
      <c r="BA976" s="72"/>
      <c r="BB976" s="16"/>
      <c r="BC976" s="72"/>
      <c r="BD976" s="20"/>
      <c r="BE976" s="378"/>
    </row>
    <row r="977" spans="1:57" s="81" customFormat="1" ht="12.95" hidden="1" customHeight="1">
      <c r="A977" s="374"/>
      <c r="B977" s="376"/>
      <c r="C977" s="248" t="s">
        <v>1537</v>
      </c>
      <c r="D977" s="239" t="s">
        <v>5240</v>
      </c>
      <c r="E977" s="58"/>
      <c r="F977" s="59" t="s">
        <v>5241</v>
      </c>
      <c r="G977" s="191" t="s">
        <v>2511</v>
      </c>
      <c r="H977" s="192" t="s">
        <v>2095</v>
      </c>
      <c r="I977" s="61" t="s">
        <v>2511</v>
      </c>
      <c r="J977" s="61" t="s">
        <v>2511</v>
      </c>
      <c r="K977" s="62" t="s">
        <v>2511</v>
      </c>
      <c r="L977" s="60" t="s">
        <v>2511</v>
      </c>
      <c r="M977" s="61" t="s">
        <v>2389</v>
      </c>
      <c r="N977" s="61" t="s">
        <v>2511</v>
      </c>
      <c r="O977" s="61" t="s">
        <v>2511</v>
      </c>
      <c r="P977" s="62" t="s">
        <v>2511</v>
      </c>
      <c r="Q977" s="82"/>
      <c r="R977" s="82"/>
      <c r="S977" s="82"/>
      <c r="T977" s="82"/>
      <c r="U977" s="82"/>
      <c r="V977" s="138" t="s">
        <v>5242</v>
      </c>
      <c r="W977" s="57" t="s">
        <v>4966</v>
      </c>
      <c r="X977" s="126" t="s">
        <v>2511</v>
      </c>
      <c r="Y977" s="126" t="s">
        <v>2511</v>
      </c>
      <c r="Z977" s="57"/>
      <c r="AA977" s="57" t="s">
        <v>4533</v>
      </c>
      <c r="AB977" s="138"/>
      <c r="AC977" s="138" t="s">
        <v>2631</v>
      </c>
      <c r="AD977" s="96"/>
      <c r="AE977" s="80"/>
      <c r="AF977" s="80"/>
      <c r="AG977" s="80"/>
      <c r="AH977" s="83"/>
      <c r="AI977" s="83"/>
      <c r="AJ977" s="84"/>
      <c r="AK977" s="84"/>
      <c r="AL977" s="84"/>
      <c r="AM977" s="84"/>
      <c r="AN977" s="84"/>
      <c r="AO977" s="84"/>
      <c r="AP977" s="84"/>
      <c r="AQ977" s="95" t="s">
        <v>2095</v>
      </c>
      <c r="AR977" s="72"/>
      <c r="AS977" s="72"/>
      <c r="AT977" s="72"/>
      <c r="AU977" s="72"/>
      <c r="AV977" s="72"/>
      <c r="AW977" s="72"/>
      <c r="AX977" s="72"/>
      <c r="AY977" s="72"/>
      <c r="AZ977" s="72"/>
      <c r="BA977" s="72"/>
      <c r="BB977" s="16"/>
      <c r="BC977" s="72"/>
      <c r="BD977" s="20"/>
      <c r="BE977" s="378"/>
    </row>
    <row r="978" spans="1:57" s="81" customFormat="1" ht="12.95" hidden="1" customHeight="1">
      <c r="A978" s="374"/>
      <c r="B978" s="376"/>
      <c r="C978" s="270" t="s">
        <v>1538</v>
      </c>
      <c r="D978" s="239" t="s">
        <v>5243</v>
      </c>
      <c r="E978" s="58"/>
      <c r="F978" s="59" t="s">
        <v>5244</v>
      </c>
      <c r="G978" s="191" t="s">
        <v>2511</v>
      </c>
      <c r="H978" s="192" t="s">
        <v>2096</v>
      </c>
      <c r="I978" s="61" t="s">
        <v>2511</v>
      </c>
      <c r="J978" s="61" t="s">
        <v>2511</v>
      </c>
      <c r="K978" s="62" t="s">
        <v>2511</v>
      </c>
      <c r="L978" s="60" t="s">
        <v>2511</v>
      </c>
      <c r="M978" s="61" t="s">
        <v>2389</v>
      </c>
      <c r="N978" s="61" t="s">
        <v>2511</v>
      </c>
      <c r="O978" s="61" t="s">
        <v>2511</v>
      </c>
      <c r="P978" s="62" t="s">
        <v>2511</v>
      </c>
      <c r="Q978" s="82"/>
      <c r="R978" s="82"/>
      <c r="S978" s="82"/>
      <c r="T978" s="82"/>
      <c r="U978" s="82"/>
      <c r="V978" s="138" t="s">
        <v>5245</v>
      </c>
      <c r="W978" s="57" t="s">
        <v>4966</v>
      </c>
      <c r="X978" s="126" t="s">
        <v>2511</v>
      </c>
      <c r="Y978" s="126" t="s">
        <v>2511</v>
      </c>
      <c r="Z978" s="57"/>
      <c r="AA978" s="57" t="s">
        <v>4533</v>
      </c>
      <c r="AB978" s="138"/>
      <c r="AC978" s="138" t="s">
        <v>2631</v>
      </c>
      <c r="AD978" s="96"/>
      <c r="AE978" s="80"/>
      <c r="AF978" s="80"/>
      <c r="AG978" s="80"/>
      <c r="AH978" s="83"/>
      <c r="AI978" s="83"/>
      <c r="AJ978" s="84"/>
      <c r="AK978" s="84"/>
      <c r="AL978" s="84"/>
      <c r="AM978" s="84"/>
      <c r="AN978" s="84"/>
      <c r="AO978" s="84"/>
      <c r="AP978" s="84"/>
      <c r="AQ978" s="95" t="s">
        <v>2096</v>
      </c>
      <c r="AR978" s="72"/>
      <c r="AS978" s="72"/>
      <c r="AT978" s="72"/>
      <c r="AU978" s="72"/>
      <c r="AV978" s="72"/>
      <c r="AW978" s="72"/>
      <c r="AX978" s="72"/>
      <c r="AY978" s="72"/>
      <c r="AZ978" s="72"/>
      <c r="BA978" s="72"/>
      <c r="BB978" s="16"/>
      <c r="BC978" s="72"/>
      <c r="BD978" s="20"/>
      <c r="BE978" s="378"/>
    </row>
    <row r="979" spans="1:57" s="81" customFormat="1" ht="12.95" hidden="1" customHeight="1">
      <c r="A979" s="374"/>
      <c r="B979" s="376"/>
      <c r="C979" s="270" t="s">
        <v>1539</v>
      </c>
      <c r="D979" s="239" t="s">
        <v>5246</v>
      </c>
      <c r="E979" s="58"/>
      <c r="F979" s="59" t="s">
        <v>5247</v>
      </c>
      <c r="G979" s="191" t="s">
        <v>2511</v>
      </c>
      <c r="H979" s="192" t="s">
        <v>2097</v>
      </c>
      <c r="I979" s="61" t="s">
        <v>2511</v>
      </c>
      <c r="J979" s="61" t="s">
        <v>2511</v>
      </c>
      <c r="K979" s="62" t="s">
        <v>2511</v>
      </c>
      <c r="L979" s="60" t="s">
        <v>2511</v>
      </c>
      <c r="M979" s="61" t="s">
        <v>2389</v>
      </c>
      <c r="N979" s="61" t="s">
        <v>2511</v>
      </c>
      <c r="O979" s="61" t="s">
        <v>2511</v>
      </c>
      <c r="P979" s="62" t="s">
        <v>2511</v>
      </c>
      <c r="Q979" s="82"/>
      <c r="R979" s="82"/>
      <c r="S979" s="82"/>
      <c r="T979" s="82"/>
      <c r="U979" s="82"/>
      <c r="V979" s="138" t="s">
        <v>5248</v>
      </c>
      <c r="W979" s="57" t="s">
        <v>4966</v>
      </c>
      <c r="X979" s="126" t="s">
        <v>2511</v>
      </c>
      <c r="Y979" s="126" t="s">
        <v>2511</v>
      </c>
      <c r="Z979" s="57"/>
      <c r="AA979" s="57" t="s">
        <v>4533</v>
      </c>
      <c r="AB979" s="138"/>
      <c r="AC979" s="138" t="s">
        <v>2631</v>
      </c>
      <c r="AD979" s="96"/>
      <c r="AE979" s="80"/>
      <c r="AF979" s="80"/>
      <c r="AG979" s="80"/>
      <c r="AH979" s="83"/>
      <c r="AI979" s="83"/>
      <c r="AJ979" s="84"/>
      <c r="AK979" s="84"/>
      <c r="AL979" s="84"/>
      <c r="AM979" s="84"/>
      <c r="AN979" s="84"/>
      <c r="AO979" s="84"/>
      <c r="AP979" s="84"/>
      <c r="AQ979" s="95" t="s">
        <v>2097</v>
      </c>
      <c r="AR979" s="72"/>
      <c r="AS979" s="72"/>
      <c r="AT979" s="72"/>
      <c r="AU979" s="72"/>
      <c r="AV979" s="72"/>
      <c r="AW979" s="72"/>
      <c r="AX979" s="72"/>
      <c r="AY979" s="72"/>
      <c r="AZ979" s="72"/>
      <c r="BA979" s="72"/>
      <c r="BB979" s="16"/>
      <c r="BC979" s="72"/>
      <c r="BD979" s="20"/>
      <c r="BE979" s="378"/>
    </row>
    <row r="980" spans="1:57" s="81" customFormat="1" ht="12.95" hidden="1" customHeight="1">
      <c r="A980" s="374"/>
      <c r="B980" s="376"/>
      <c r="C980" s="248" t="s">
        <v>1540</v>
      </c>
      <c r="D980" s="239" t="s">
        <v>5249</v>
      </c>
      <c r="E980" s="58"/>
      <c r="F980" s="59" t="s">
        <v>5250</v>
      </c>
      <c r="G980" s="191" t="s">
        <v>2511</v>
      </c>
      <c r="H980" s="192" t="s">
        <v>2098</v>
      </c>
      <c r="I980" s="61" t="s">
        <v>2511</v>
      </c>
      <c r="J980" s="61" t="s">
        <v>2511</v>
      </c>
      <c r="K980" s="62" t="s">
        <v>2511</v>
      </c>
      <c r="L980" s="60" t="s">
        <v>2511</v>
      </c>
      <c r="M980" s="61" t="s">
        <v>2389</v>
      </c>
      <c r="N980" s="61" t="s">
        <v>2511</v>
      </c>
      <c r="O980" s="61" t="s">
        <v>2511</v>
      </c>
      <c r="P980" s="62" t="s">
        <v>2511</v>
      </c>
      <c r="Q980" s="82"/>
      <c r="R980" s="82"/>
      <c r="S980" s="82"/>
      <c r="T980" s="82"/>
      <c r="U980" s="82"/>
      <c r="V980" s="138" t="s">
        <v>5251</v>
      </c>
      <c r="W980" s="57" t="s">
        <v>4966</v>
      </c>
      <c r="X980" s="126" t="s">
        <v>2511</v>
      </c>
      <c r="Y980" s="126" t="s">
        <v>2511</v>
      </c>
      <c r="Z980" s="57"/>
      <c r="AA980" s="57" t="s">
        <v>4533</v>
      </c>
      <c r="AB980" s="138"/>
      <c r="AC980" s="138">
        <v>0</v>
      </c>
      <c r="AD980" s="96"/>
      <c r="AE980" s="80"/>
      <c r="AF980" s="80"/>
      <c r="AG980" s="80"/>
      <c r="AH980" s="83"/>
      <c r="AI980" s="83"/>
      <c r="AJ980" s="84"/>
      <c r="AK980" s="84"/>
      <c r="AL980" s="84"/>
      <c r="AM980" s="84"/>
      <c r="AN980" s="84"/>
      <c r="AO980" s="84"/>
      <c r="AP980" s="84"/>
      <c r="AQ980" s="95" t="s">
        <v>2098</v>
      </c>
      <c r="AR980" s="72"/>
      <c r="AS980" s="72"/>
      <c r="AT980" s="72"/>
      <c r="AU980" s="72"/>
      <c r="AV980" s="72"/>
      <c r="AW980" s="72"/>
      <c r="AX980" s="72"/>
      <c r="AY980" s="72"/>
      <c r="AZ980" s="72"/>
      <c r="BA980" s="72"/>
      <c r="BB980" s="16"/>
      <c r="BC980" s="72"/>
      <c r="BD980" s="20"/>
      <c r="BE980" s="378"/>
    </row>
    <row r="981" spans="1:57" s="81" customFormat="1" ht="12.95" hidden="1" customHeight="1">
      <c r="A981" s="374"/>
      <c r="B981" s="376"/>
      <c r="C981" s="248" t="s">
        <v>1541</v>
      </c>
      <c r="D981" s="239" t="s">
        <v>5252</v>
      </c>
      <c r="E981" s="58"/>
      <c r="F981" s="59" t="s">
        <v>5253</v>
      </c>
      <c r="G981" s="191" t="s">
        <v>2511</v>
      </c>
      <c r="H981" s="192" t="s">
        <v>2099</v>
      </c>
      <c r="I981" s="61" t="s">
        <v>2511</v>
      </c>
      <c r="J981" s="61" t="s">
        <v>2511</v>
      </c>
      <c r="K981" s="62" t="s">
        <v>2511</v>
      </c>
      <c r="L981" s="60" t="s">
        <v>2511</v>
      </c>
      <c r="M981" s="61" t="s">
        <v>2389</v>
      </c>
      <c r="N981" s="61" t="s">
        <v>2511</v>
      </c>
      <c r="O981" s="61" t="s">
        <v>2511</v>
      </c>
      <c r="P981" s="62" t="s">
        <v>2511</v>
      </c>
      <c r="Q981" s="82"/>
      <c r="R981" s="82"/>
      <c r="S981" s="82"/>
      <c r="T981" s="82"/>
      <c r="U981" s="82"/>
      <c r="V981" s="138" t="s">
        <v>5254</v>
      </c>
      <c r="W981" s="57" t="s">
        <v>4966</v>
      </c>
      <c r="X981" s="126" t="s">
        <v>2511</v>
      </c>
      <c r="Y981" s="126" t="s">
        <v>2511</v>
      </c>
      <c r="Z981" s="57"/>
      <c r="AA981" s="57" t="s">
        <v>4533</v>
      </c>
      <c r="AB981" s="138"/>
      <c r="AC981" s="138" t="s">
        <v>2631</v>
      </c>
      <c r="AD981" s="96"/>
      <c r="AE981" s="80"/>
      <c r="AF981" s="80"/>
      <c r="AG981" s="80"/>
      <c r="AH981" s="83"/>
      <c r="AI981" s="83"/>
      <c r="AJ981" s="84"/>
      <c r="AK981" s="84"/>
      <c r="AL981" s="84"/>
      <c r="AM981" s="84"/>
      <c r="AN981" s="84"/>
      <c r="AO981" s="84"/>
      <c r="AP981" s="84"/>
      <c r="AQ981" s="95" t="s">
        <v>2099</v>
      </c>
      <c r="AR981" s="72"/>
      <c r="AS981" s="72"/>
      <c r="AT981" s="72"/>
      <c r="AU981" s="72"/>
      <c r="AV981" s="72"/>
      <c r="AW981" s="72"/>
      <c r="AX981" s="72"/>
      <c r="AY981" s="72"/>
      <c r="AZ981" s="72"/>
      <c r="BA981" s="72"/>
      <c r="BB981" s="16"/>
      <c r="BC981" s="72"/>
      <c r="BD981" s="20"/>
      <c r="BE981" s="378"/>
    </row>
    <row r="982" spans="1:57" s="81" customFormat="1" ht="12.95" hidden="1" customHeight="1">
      <c r="A982" s="374"/>
      <c r="B982" s="376"/>
      <c r="C982" s="248" t="s">
        <v>1542</v>
      </c>
      <c r="D982" s="239" t="s">
        <v>5255</v>
      </c>
      <c r="E982" s="58"/>
      <c r="F982" s="59" t="s">
        <v>5256</v>
      </c>
      <c r="G982" s="191" t="s">
        <v>2511</v>
      </c>
      <c r="H982" s="192" t="s">
        <v>2100</v>
      </c>
      <c r="I982" s="61" t="s">
        <v>2511</v>
      </c>
      <c r="J982" s="61" t="s">
        <v>2511</v>
      </c>
      <c r="K982" s="62" t="s">
        <v>2511</v>
      </c>
      <c r="L982" s="60" t="s">
        <v>2511</v>
      </c>
      <c r="M982" s="61" t="s">
        <v>2389</v>
      </c>
      <c r="N982" s="61" t="s">
        <v>2511</v>
      </c>
      <c r="O982" s="61" t="s">
        <v>2511</v>
      </c>
      <c r="P982" s="62" t="s">
        <v>2511</v>
      </c>
      <c r="Q982" s="82"/>
      <c r="R982" s="82"/>
      <c r="S982" s="82"/>
      <c r="T982" s="82"/>
      <c r="U982" s="82"/>
      <c r="V982" s="138" t="s">
        <v>5257</v>
      </c>
      <c r="W982" s="57" t="s">
        <v>4966</v>
      </c>
      <c r="X982" s="126" t="s">
        <v>2511</v>
      </c>
      <c r="Y982" s="126" t="s">
        <v>2511</v>
      </c>
      <c r="Z982" s="57"/>
      <c r="AA982" s="57" t="s">
        <v>4533</v>
      </c>
      <c r="AB982" s="138"/>
      <c r="AC982" s="138" t="s">
        <v>2631</v>
      </c>
      <c r="AD982" s="96"/>
      <c r="AE982" s="80"/>
      <c r="AF982" s="80"/>
      <c r="AG982" s="80"/>
      <c r="AH982" s="83"/>
      <c r="AI982" s="83"/>
      <c r="AJ982" s="84"/>
      <c r="AK982" s="84"/>
      <c r="AL982" s="84"/>
      <c r="AM982" s="84"/>
      <c r="AN982" s="84"/>
      <c r="AO982" s="84"/>
      <c r="AP982" s="84"/>
      <c r="AQ982" s="95" t="s">
        <v>2100</v>
      </c>
      <c r="AR982" s="72"/>
      <c r="AS982" s="72"/>
      <c r="AT982" s="72"/>
      <c r="AU982" s="72"/>
      <c r="AV982" s="72"/>
      <c r="AW982" s="72"/>
      <c r="AX982" s="72"/>
      <c r="AY982" s="72"/>
      <c r="AZ982" s="72"/>
      <c r="BA982" s="72"/>
      <c r="BB982" s="16"/>
      <c r="BC982" s="72"/>
      <c r="BD982" s="20"/>
      <c r="BE982" s="378"/>
    </row>
    <row r="983" spans="1:57" s="81" customFormat="1" ht="12.95" hidden="1" customHeight="1">
      <c r="A983" s="374"/>
      <c r="B983" s="376"/>
      <c r="C983" s="248" t="s">
        <v>1543</v>
      </c>
      <c r="D983" s="239" t="s">
        <v>5258</v>
      </c>
      <c r="E983" s="58"/>
      <c r="F983" s="59" t="s">
        <v>5259</v>
      </c>
      <c r="G983" s="191" t="s">
        <v>2511</v>
      </c>
      <c r="H983" s="192" t="s">
        <v>2101</v>
      </c>
      <c r="I983" s="61" t="s">
        <v>2511</v>
      </c>
      <c r="J983" s="61" t="s">
        <v>2511</v>
      </c>
      <c r="K983" s="62" t="s">
        <v>2511</v>
      </c>
      <c r="L983" s="60" t="s">
        <v>2511</v>
      </c>
      <c r="M983" s="61" t="s">
        <v>2389</v>
      </c>
      <c r="N983" s="61" t="s">
        <v>2511</v>
      </c>
      <c r="O983" s="61" t="s">
        <v>2511</v>
      </c>
      <c r="P983" s="62" t="s">
        <v>2511</v>
      </c>
      <c r="Q983" s="82"/>
      <c r="R983" s="82"/>
      <c r="S983" s="82"/>
      <c r="T983" s="82"/>
      <c r="U983" s="82"/>
      <c r="V983" s="138" t="s">
        <v>5260</v>
      </c>
      <c r="W983" s="57" t="s">
        <v>4966</v>
      </c>
      <c r="X983" s="126" t="s">
        <v>2511</v>
      </c>
      <c r="Y983" s="126" t="s">
        <v>2511</v>
      </c>
      <c r="Z983" s="57"/>
      <c r="AA983" s="57" t="s">
        <v>4533</v>
      </c>
      <c r="AB983" s="138"/>
      <c r="AC983" s="138" t="s">
        <v>2631</v>
      </c>
      <c r="AD983" s="96"/>
      <c r="AE983" s="80"/>
      <c r="AF983" s="80"/>
      <c r="AG983" s="80"/>
      <c r="AH983" s="83"/>
      <c r="AI983" s="83"/>
      <c r="AJ983" s="84"/>
      <c r="AK983" s="84"/>
      <c r="AL983" s="84"/>
      <c r="AM983" s="84"/>
      <c r="AN983" s="84"/>
      <c r="AO983" s="84"/>
      <c r="AP983" s="84"/>
      <c r="AQ983" s="95" t="s">
        <v>2101</v>
      </c>
      <c r="AR983" s="72"/>
      <c r="AS983" s="72"/>
      <c r="AT983" s="72"/>
      <c r="AU983" s="72"/>
      <c r="AV983" s="72"/>
      <c r="AW983" s="72"/>
      <c r="AX983" s="72"/>
      <c r="AY983" s="72"/>
      <c r="AZ983" s="72"/>
      <c r="BA983" s="72"/>
      <c r="BB983" s="16"/>
      <c r="BC983" s="72"/>
      <c r="BD983" s="20"/>
      <c r="BE983" s="378"/>
    </row>
    <row r="984" spans="1:57" s="81" customFormat="1" ht="12.95" hidden="1" customHeight="1">
      <c r="A984" s="374"/>
      <c r="B984" s="376"/>
      <c r="C984" s="248" t="s">
        <v>1544</v>
      </c>
      <c r="D984" s="239" t="s">
        <v>5261</v>
      </c>
      <c r="E984" s="58"/>
      <c r="F984" s="59" t="s">
        <v>5262</v>
      </c>
      <c r="G984" s="191" t="s">
        <v>2511</v>
      </c>
      <c r="H984" s="192" t="s">
        <v>2102</v>
      </c>
      <c r="I984" s="61" t="s">
        <v>2511</v>
      </c>
      <c r="J984" s="61" t="s">
        <v>2511</v>
      </c>
      <c r="K984" s="62" t="s">
        <v>2511</v>
      </c>
      <c r="L984" s="60" t="s">
        <v>2511</v>
      </c>
      <c r="M984" s="61" t="s">
        <v>2389</v>
      </c>
      <c r="N984" s="61" t="s">
        <v>2511</v>
      </c>
      <c r="O984" s="61" t="s">
        <v>2511</v>
      </c>
      <c r="P984" s="62" t="s">
        <v>2511</v>
      </c>
      <c r="Q984" s="82"/>
      <c r="R984" s="82"/>
      <c r="S984" s="82"/>
      <c r="T984" s="82"/>
      <c r="U984" s="82"/>
      <c r="V984" s="138" t="s">
        <v>5263</v>
      </c>
      <c r="W984" s="57" t="s">
        <v>4966</v>
      </c>
      <c r="X984" s="126" t="s">
        <v>2511</v>
      </c>
      <c r="Y984" s="126" t="s">
        <v>2511</v>
      </c>
      <c r="Z984" s="57"/>
      <c r="AA984" s="57" t="s">
        <v>4533</v>
      </c>
      <c r="AB984" s="138"/>
      <c r="AC984" s="138" t="s">
        <v>2631</v>
      </c>
      <c r="AD984" s="96"/>
      <c r="AE984" s="80"/>
      <c r="AF984" s="80"/>
      <c r="AG984" s="80"/>
      <c r="AH984" s="83"/>
      <c r="AI984" s="83"/>
      <c r="AJ984" s="84"/>
      <c r="AK984" s="84"/>
      <c r="AL984" s="84"/>
      <c r="AM984" s="84"/>
      <c r="AN984" s="84"/>
      <c r="AO984" s="84"/>
      <c r="AP984" s="84"/>
      <c r="AQ984" s="95" t="s">
        <v>2102</v>
      </c>
      <c r="AR984" s="72"/>
      <c r="AS984" s="72"/>
      <c r="AT984" s="72"/>
      <c r="AU984" s="72"/>
      <c r="AV984" s="72"/>
      <c r="AW984" s="72"/>
      <c r="AX984" s="72"/>
      <c r="AY984" s="72"/>
      <c r="AZ984" s="72"/>
      <c r="BA984" s="72"/>
      <c r="BB984" s="16"/>
      <c r="BC984" s="72"/>
      <c r="BD984" s="20"/>
      <c r="BE984" s="378"/>
    </row>
    <row r="985" spans="1:57" s="81" customFormat="1" ht="12.95" hidden="1" customHeight="1">
      <c r="A985" s="374"/>
      <c r="B985" s="376"/>
      <c r="C985" s="248" t="s">
        <v>1545</v>
      </c>
      <c r="D985" s="239" t="s">
        <v>5264</v>
      </c>
      <c r="E985" s="58"/>
      <c r="F985" s="59" t="s">
        <v>5265</v>
      </c>
      <c r="G985" s="191" t="s">
        <v>2511</v>
      </c>
      <c r="H985" s="192" t="s">
        <v>2103</v>
      </c>
      <c r="I985" s="61" t="s">
        <v>2511</v>
      </c>
      <c r="J985" s="61" t="s">
        <v>2511</v>
      </c>
      <c r="K985" s="62" t="s">
        <v>2511</v>
      </c>
      <c r="L985" s="60" t="s">
        <v>2511</v>
      </c>
      <c r="M985" s="61" t="s">
        <v>2389</v>
      </c>
      <c r="N985" s="61" t="s">
        <v>2511</v>
      </c>
      <c r="O985" s="61" t="s">
        <v>2511</v>
      </c>
      <c r="P985" s="62" t="s">
        <v>2511</v>
      </c>
      <c r="Q985" s="82"/>
      <c r="R985" s="82"/>
      <c r="S985" s="82"/>
      <c r="T985" s="82"/>
      <c r="U985" s="82"/>
      <c r="V985" s="138" t="s">
        <v>5266</v>
      </c>
      <c r="W985" s="57" t="s">
        <v>4966</v>
      </c>
      <c r="X985" s="126" t="s">
        <v>2511</v>
      </c>
      <c r="Y985" s="126" t="s">
        <v>2511</v>
      </c>
      <c r="Z985" s="57"/>
      <c r="AA985" s="57" t="s">
        <v>4533</v>
      </c>
      <c r="AB985" s="138"/>
      <c r="AC985" s="138" t="s">
        <v>2631</v>
      </c>
      <c r="AD985" s="96"/>
      <c r="AE985" s="80"/>
      <c r="AF985" s="80"/>
      <c r="AG985" s="80"/>
      <c r="AH985" s="83"/>
      <c r="AI985" s="83"/>
      <c r="AJ985" s="84"/>
      <c r="AK985" s="84"/>
      <c r="AL985" s="84"/>
      <c r="AM985" s="84"/>
      <c r="AN985" s="84"/>
      <c r="AO985" s="84"/>
      <c r="AP985" s="84"/>
      <c r="AQ985" s="95" t="s">
        <v>2103</v>
      </c>
      <c r="AR985" s="72"/>
      <c r="AS985" s="72"/>
      <c r="AT985" s="72"/>
      <c r="AU985" s="72"/>
      <c r="AV985" s="72"/>
      <c r="AW985" s="72"/>
      <c r="AX985" s="72"/>
      <c r="AY985" s="72"/>
      <c r="AZ985" s="72"/>
      <c r="BA985" s="72"/>
      <c r="BB985" s="16"/>
      <c r="BC985" s="72"/>
      <c r="BD985" s="20"/>
      <c r="BE985" s="378"/>
    </row>
    <row r="986" spans="1:57" s="81" customFormat="1" ht="12.95" hidden="1" customHeight="1">
      <c r="A986" s="374"/>
      <c r="B986" s="376"/>
      <c r="C986" s="248" t="s">
        <v>1546</v>
      </c>
      <c r="D986" s="239" t="s">
        <v>5267</v>
      </c>
      <c r="E986" s="58"/>
      <c r="F986" s="59" t="s">
        <v>5268</v>
      </c>
      <c r="G986" s="191" t="s">
        <v>2511</v>
      </c>
      <c r="H986" s="192" t="s">
        <v>2104</v>
      </c>
      <c r="I986" s="61" t="s">
        <v>2511</v>
      </c>
      <c r="J986" s="61" t="s">
        <v>2511</v>
      </c>
      <c r="K986" s="62" t="s">
        <v>2511</v>
      </c>
      <c r="L986" s="60" t="s">
        <v>2511</v>
      </c>
      <c r="M986" s="61" t="s">
        <v>2389</v>
      </c>
      <c r="N986" s="61" t="s">
        <v>2511</v>
      </c>
      <c r="O986" s="61" t="s">
        <v>2511</v>
      </c>
      <c r="P986" s="62" t="s">
        <v>2511</v>
      </c>
      <c r="Q986" s="82"/>
      <c r="R986" s="82"/>
      <c r="S986" s="82"/>
      <c r="T986" s="82"/>
      <c r="U986" s="82"/>
      <c r="V986" s="138" t="s">
        <v>5269</v>
      </c>
      <c r="W986" s="57" t="s">
        <v>4966</v>
      </c>
      <c r="X986" s="126" t="s">
        <v>2511</v>
      </c>
      <c r="Y986" s="126" t="s">
        <v>2511</v>
      </c>
      <c r="Z986" s="57"/>
      <c r="AA986" s="57" t="s">
        <v>4533</v>
      </c>
      <c r="AB986" s="138"/>
      <c r="AC986" s="138" t="s">
        <v>2631</v>
      </c>
      <c r="AD986" s="96"/>
      <c r="AE986" s="80"/>
      <c r="AF986" s="80"/>
      <c r="AG986" s="80"/>
      <c r="AH986" s="83"/>
      <c r="AI986" s="83"/>
      <c r="AJ986" s="84"/>
      <c r="AK986" s="84"/>
      <c r="AL986" s="84"/>
      <c r="AM986" s="84"/>
      <c r="AN986" s="84"/>
      <c r="AO986" s="84"/>
      <c r="AP986" s="84"/>
      <c r="AQ986" s="95" t="s">
        <v>2104</v>
      </c>
      <c r="AR986" s="72"/>
      <c r="AS986" s="72"/>
      <c r="AT986" s="72"/>
      <c r="AU986" s="72"/>
      <c r="AV986" s="72"/>
      <c r="AW986" s="72"/>
      <c r="AX986" s="72"/>
      <c r="AY986" s="72"/>
      <c r="AZ986" s="72"/>
      <c r="BA986" s="72"/>
      <c r="BB986" s="16"/>
      <c r="BC986" s="72"/>
      <c r="BD986" s="20"/>
      <c r="BE986" s="378"/>
    </row>
    <row r="987" spans="1:57" s="81" customFormat="1" ht="12.95" hidden="1" customHeight="1">
      <c r="A987" s="374"/>
      <c r="B987" s="376"/>
      <c r="C987" s="248" t="s">
        <v>1547</v>
      </c>
      <c r="D987" s="239" t="s">
        <v>5270</v>
      </c>
      <c r="E987" s="58"/>
      <c r="F987" s="59" t="s">
        <v>5271</v>
      </c>
      <c r="G987" s="191" t="s">
        <v>2511</v>
      </c>
      <c r="H987" s="192" t="s">
        <v>2105</v>
      </c>
      <c r="I987" s="61" t="s">
        <v>2511</v>
      </c>
      <c r="J987" s="61" t="s">
        <v>2511</v>
      </c>
      <c r="K987" s="62" t="s">
        <v>2511</v>
      </c>
      <c r="L987" s="60" t="s">
        <v>2511</v>
      </c>
      <c r="M987" s="61" t="s">
        <v>2389</v>
      </c>
      <c r="N987" s="61" t="s">
        <v>2511</v>
      </c>
      <c r="O987" s="61" t="s">
        <v>2511</v>
      </c>
      <c r="P987" s="62" t="s">
        <v>2511</v>
      </c>
      <c r="Q987" s="82"/>
      <c r="R987" s="82"/>
      <c r="S987" s="82"/>
      <c r="T987" s="82"/>
      <c r="U987" s="82"/>
      <c r="V987" s="138" t="s">
        <v>5272</v>
      </c>
      <c r="W987" s="57" t="s">
        <v>4966</v>
      </c>
      <c r="X987" s="126" t="s">
        <v>2511</v>
      </c>
      <c r="Y987" s="126" t="s">
        <v>2511</v>
      </c>
      <c r="Z987" s="57"/>
      <c r="AA987" s="57" t="s">
        <v>4533</v>
      </c>
      <c r="AB987" s="138"/>
      <c r="AC987" s="138" t="s">
        <v>2631</v>
      </c>
      <c r="AD987" s="96"/>
      <c r="AE987" s="80"/>
      <c r="AF987" s="80"/>
      <c r="AG987" s="80"/>
      <c r="AH987" s="83"/>
      <c r="AI987" s="83"/>
      <c r="AJ987" s="84"/>
      <c r="AK987" s="84"/>
      <c r="AL987" s="84"/>
      <c r="AM987" s="84"/>
      <c r="AN987" s="84"/>
      <c r="AO987" s="84"/>
      <c r="AP987" s="84"/>
      <c r="AQ987" s="95" t="s">
        <v>2105</v>
      </c>
      <c r="AR987" s="72"/>
      <c r="AS987" s="72"/>
      <c r="AT987" s="72"/>
      <c r="AU987" s="72"/>
      <c r="AV987" s="72"/>
      <c r="AW987" s="72"/>
      <c r="AX987" s="72"/>
      <c r="AY987" s="72"/>
      <c r="AZ987" s="72"/>
      <c r="BA987" s="72"/>
      <c r="BB987" s="16"/>
      <c r="BC987" s="72"/>
      <c r="BD987" s="20"/>
      <c r="BE987" s="378"/>
    </row>
    <row r="988" spans="1:57" s="81" customFormat="1" ht="12.95" hidden="1" customHeight="1">
      <c r="A988" s="374"/>
      <c r="B988" s="376"/>
      <c r="C988" s="248" t="s">
        <v>1548</v>
      </c>
      <c r="D988" s="239" t="s">
        <v>5273</v>
      </c>
      <c r="E988" s="58"/>
      <c r="F988" s="59" t="s">
        <v>5274</v>
      </c>
      <c r="G988" s="191" t="s">
        <v>2511</v>
      </c>
      <c r="H988" s="192" t="s">
        <v>2106</v>
      </c>
      <c r="I988" s="61" t="s">
        <v>2511</v>
      </c>
      <c r="J988" s="61" t="s">
        <v>2511</v>
      </c>
      <c r="K988" s="62" t="s">
        <v>2511</v>
      </c>
      <c r="L988" s="60" t="s">
        <v>2511</v>
      </c>
      <c r="M988" s="61" t="s">
        <v>2389</v>
      </c>
      <c r="N988" s="61" t="s">
        <v>2511</v>
      </c>
      <c r="O988" s="61" t="s">
        <v>2511</v>
      </c>
      <c r="P988" s="62" t="s">
        <v>2511</v>
      </c>
      <c r="Q988" s="82"/>
      <c r="R988" s="82"/>
      <c r="S988" s="82"/>
      <c r="T988" s="82"/>
      <c r="U988" s="82"/>
      <c r="V988" s="138" t="s">
        <v>5275</v>
      </c>
      <c r="W988" s="57" t="s">
        <v>4966</v>
      </c>
      <c r="X988" s="126" t="s">
        <v>2511</v>
      </c>
      <c r="Y988" s="126" t="s">
        <v>2511</v>
      </c>
      <c r="Z988" s="57"/>
      <c r="AA988" s="57" t="s">
        <v>4533</v>
      </c>
      <c r="AB988" s="138"/>
      <c r="AC988" s="138" t="s">
        <v>2631</v>
      </c>
      <c r="AD988" s="96"/>
      <c r="AE988" s="80"/>
      <c r="AF988" s="80"/>
      <c r="AG988" s="80"/>
      <c r="AH988" s="83"/>
      <c r="AI988" s="83"/>
      <c r="AJ988" s="84"/>
      <c r="AK988" s="84"/>
      <c r="AL988" s="84"/>
      <c r="AM988" s="84"/>
      <c r="AN988" s="84"/>
      <c r="AO988" s="84"/>
      <c r="AP988" s="84"/>
      <c r="AQ988" s="95" t="s">
        <v>2106</v>
      </c>
      <c r="AR988" s="72"/>
      <c r="AS988" s="72"/>
      <c r="AT988" s="72"/>
      <c r="AU988" s="72"/>
      <c r="AV988" s="72"/>
      <c r="AW988" s="72"/>
      <c r="AX988" s="72"/>
      <c r="AY988" s="72"/>
      <c r="AZ988" s="72"/>
      <c r="BA988" s="72"/>
      <c r="BB988" s="16"/>
      <c r="BC988" s="72"/>
      <c r="BD988" s="20"/>
      <c r="BE988" s="378"/>
    </row>
    <row r="989" spans="1:57" s="81" customFormat="1" ht="12.95" hidden="1" customHeight="1">
      <c r="A989" s="374"/>
      <c r="B989" s="376"/>
      <c r="C989" s="248" t="s">
        <v>1549</v>
      </c>
      <c r="D989" s="239" t="s">
        <v>5276</v>
      </c>
      <c r="E989" s="58"/>
      <c r="F989" s="59" t="s">
        <v>5277</v>
      </c>
      <c r="G989" s="191" t="s">
        <v>2511</v>
      </c>
      <c r="H989" s="192" t="s">
        <v>2107</v>
      </c>
      <c r="I989" s="61" t="s">
        <v>2511</v>
      </c>
      <c r="J989" s="61" t="s">
        <v>2511</v>
      </c>
      <c r="K989" s="62" t="s">
        <v>2511</v>
      </c>
      <c r="L989" s="60" t="s">
        <v>2511</v>
      </c>
      <c r="M989" s="61" t="s">
        <v>2389</v>
      </c>
      <c r="N989" s="61" t="s">
        <v>2511</v>
      </c>
      <c r="O989" s="61" t="s">
        <v>2511</v>
      </c>
      <c r="P989" s="62" t="s">
        <v>2511</v>
      </c>
      <c r="Q989" s="82"/>
      <c r="R989" s="82"/>
      <c r="S989" s="82"/>
      <c r="T989" s="82"/>
      <c r="U989" s="82"/>
      <c r="V989" s="138" t="s">
        <v>5278</v>
      </c>
      <c r="W989" s="57" t="s">
        <v>4966</v>
      </c>
      <c r="X989" s="126" t="s">
        <v>2511</v>
      </c>
      <c r="Y989" s="126" t="s">
        <v>2511</v>
      </c>
      <c r="Z989" s="57"/>
      <c r="AA989" s="57" t="s">
        <v>4533</v>
      </c>
      <c r="AB989" s="138"/>
      <c r="AC989" s="138" t="s">
        <v>2631</v>
      </c>
      <c r="AD989" s="96"/>
      <c r="AE989" s="80"/>
      <c r="AF989" s="80"/>
      <c r="AG989" s="80"/>
      <c r="AH989" s="83"/>
      <c r="AI989" s="83"/>
      <c r="AJ989" s="84"/>
      <c r="AK989" s="84"/>
      <c r="AL989" s="84"/>
      <c r="AM989" s="84"/>
      <c r="AN989" s="84"/>
      <c r="AO989" s="84"/>
      <c r="AP989" s="84"/>
      <c r="AQ989" s="95" t="s">
        <v>2107</v>
      </c>
      <c r="AR989" s="72"/>
      <c r="AS989" s="72"/>
      <c r="AT989" s="72"/>
      <c r="AU989" s="72"/>
      <c r="AV989" s="72"/>
      <c r="AW989" s="72"/>
      <c r="AX989" s="72"/>
      <c r="AY989" s="72"/>
      <c r="AZ989" s="72"/>
      <c r="BA989" s="72"/>
      <c r="BB989" s="16"/>
      <c r="BC989" s="72"/>
      <c r="BD989" s="20"/>
      <c r="BE989" s="378"/>
    </row>
    <row r="990" spans="1:57" s="81" customFormat="1" ht="12.95" hidden="1" customHeight="1">
      <c r="A990" s="374"/>
      <c r="B990" s="376"/>
      <c r="C990" s="270" t="s">
        <v>1550</v>
      </c>
      <c r="D990" s="239" t="s">
        <v>5279</v>
      </c>
      <c r="E990" s="58"/>
      <c r="F990" s="59" t="s">
        <v>5280</v>
      </c>
      <c r="G990" s="191" t="s">
        <v>2511</v>
      </c>
      <c r="H990" s="192" t="s">
        <v>2108</v>
      </c>
      <c r="I990" s="61" t="s">
        <v>2511</v>
      </c>
      <c r="J990" s="61" t="s">
        <v>2511</v>
      </c>
      <c r="K990" s="62" t="s">
        <v>2511</v>
      </c>
      <c r="L990" s="60" t="s">
        <v>2511</v>
      </c>
      <c r="M990" s="61" t="s">
        <v>2389</v>
      </c>
      <c r="N990" s="61" t="s">
        <v>2511</v>
      </c>
      <c r="O990" s="61" t="s">
        <v>2511</v>
      </c>
      <c r="P990" s="62" t="s">
        <v>2511</v>
      </c>
      <c r="Q990" s="82"/>
      <c r="R990" s="82"/>
      <c r="S990" s="82"/>
      <c r="T990" s="82"/>
      <c r="U990" s="82"/>
      <c r="V990" s="138" t="s">
        <v>5281</v>
      </c>
      <c r="W990" s="57" t="s">
        <v>4966</v>
      </c>
      <c r="X990" s="126" t="s">
        <v>2511</v>
      </c>
      <c r="Y990" s="126" t="s">
        <v>2511</v>
      </c>
      <c r="Z990" s="57"/>
      <c r="AA990" s="57" t="s">
        <v>4533</v>
      </c>
      <c r="AB990" s="138"/>
      <c r="AC990" s="138" t="s">
        <v>2631</v>
      </c>
      <c r="AD990" s="96"/>
      <c r="AE990" s="80"/>
      <c r="AF990" s="80"/>
      <c r="AG990" s="80"/>
      <c r="AH990" s="83"/>
      <c r="AI990" s="83"/>
      <c r="AJ990" s="84"/>
      <c r="AK990" s="84"/>
      <c r="AL990" s="84"/>
      <c r="AM990" s="84"/>
      <c r="AN990" s="84"/>
      <c r="AO990" s="84"/>
      <c r="AP990" s="84"/>
      <c r="AQ990" s="95" t="s">
        <v>2108</v>
      </c>
      <c r="AR990" s="72"/>
      <c r="AS990" s="72"/>
      <c r="AT990" s="72"/>
      <c r="AU990" s="72"/>
      <c r="AV990" s="72"/>
      <c r="AW990" s="72"/>
      <c r="AX990" s="72"/>
      <c r="AY990" s="72"/>
      <c r="AZ990" s="72"/>
      <c r="BA990" s="72"/>
      <c r="BB990" s="16"/>
      <c r="BC990" s="72"/>
      <c r="BD990" s="20"/>
      <c r="BE990" s="378"/>
    </row>
    <row r="991" spans="1:57" s="81" customFormat="1" ht="12.95" hidden="1" customHeight="1">
      <c r="A991" s="374"/>
      <c r="B991" s="376"/>
      <c r="C991" s="270" t="s">
        <v>1551</v>
      </c>
      <c r="D991" s="239" t="s">
        <v>5282</v>
      </c>
      <c r="E991" s="58"/>
      <c r="F991" s="59" t="s">
        <v>5283</v>
      </c>
      <c r="G991" s="191" t="s">
        <v>2511</v>
      </c>
      <c r="H991" s="192" t="s">
        <v>2109</v>
      </c>
      <c r="I991" s="61" t="s">
        <v>2511</v>
      </c>
      <c r="J991" s="61" t="s">
        <v>2511</v>
      </c>
      <c r="K991" s="62" t="s">
        <v>2511</v>
      </c>
      <c r="L991" s="60" t="s">
        <v>2511</v>
      </c>
      <c r="M991" s="61" t="s">
        <v>2389</v>
      </c>
      <c r="N991" s="61" t="s">
        <v>2511</v>
      </c>
      <c r="O991" s="61" t="s">
        <v>2511</v>
      </c>
      <c r="P991" s="62" t="s">
        <v>2511</v>
      </c>
      <c r="Q991" s="82"/>
      <c r="R991" s="82"/>
      <c r="S991" s="82"/>
      <c r="T991" s="82"/>
      <c r="U991" s="82"/>
      <c r="V991" s="138" t="s">
        <v>5284</v>
      </c>
      <c r="W991" s="57" t="s">
        <v>4966</v>
      </c>
      <c r="X991" s="126" t="s">
        <v>2511</v>
      </c>
      <c r="Y991" s="126" t="s">
        <v>2511</v>
      </c>
      <c r="Z991" s="57"/>
      <c r="AA991" s="57" t="s">
        <v>4533</v>
      </c>
      <c r="AB991" s="138"/>
      <c r="AC991" s="138" t="s">
        <v>2631</v>
      </c>
      <c r="AD991" s="96"/>
      <c r="AE991" s="80"/>
      <c r="AF991" s="80"/>
      <c r="AG991" s="80"/>
      <c r="AH991" s="83"/>
      <c r="AI991" s="83"/>
      <c r="AJ991" s="84"/>
      <c r="AK991" s="84"/>
      <c r="AL991" s="84"/>
      <c r="AM991" s="84"/>
      <c r="AN991" s="84"/>
      <c r="AO991" s="84"/>
      <c r="AP991" s="84"/>
      <c r="AQ991" s="95" t="s">
        <v>2109</v>
      </c>
      <c r="AR991" s="72"/>
      <c r="AS991" s="72"/>
      <c r="AT991" s="72"/>
      <c r="AU991" s="72"/>
      <c r="AV991" s="72"/>
      <c r="AW991" s="72"/>
      <c r="AX991" s="72"/>
      <c r="AY991" s="72"/>
      <c r="AZ991" s="72"/>
      <c r="BA991" s="72"/>
      <c r="BB991" s="16"/>
      <c r="BC991" s="72"/>
      <c r="BD991" s="20"/>
      <c r="BE991" s="378"/>
    </row>
    <row r="992" spans="1:57" s="81" customFormat="1" ht="12.95" hidden="1" customHeight="1">
      <c r="A992" s="374"/>
      <c r="B992" s="376"/>
      <c r="C992" s="248" t="s">
        <v>1552</v>
      </c>
      <c r="D992" s="239" t="s">
        <v>5285</v>
      </c>
      <c r="E992" s="58"/>
      <c r="F992" s="59" t="s">
        <v>5286</v>
      </c>
      <c r="G992" s="191" t="s">
        <v>2511</v>
      </c>
      <c r="H992" s="192" t="s">
        <v>2110</v>
      </c>
      <c r="I992" s="61" t="s">
        <v>2511</v>
      </c>
      <c r="J992" s="61" t="s">
        <v>2511</v>
      </c>
      <c r="K992" s="62" t="s">
        <v>2511</v>
      </c>
      <c r="L992" s="60" t="s">
        <v>2511</v>
      </c>
      <c r="M992" s="61" t="s">
        <v>2389</v>
      </c>
      <c r="N992" s="61" t="s">
        <v>2511</v>
      </c>
      <c r="O992" s="61" t="s">
        <v>2511</v>
      </c>
      <c r="P992" s="62" t="s">
        <v>2511</v>
      </c>
      <c r="Q992" s="82"/>
      <c r="R992" s="82"/>
      <c r="S992" s="82"/>
      <c r="T992" s="82"/>
      <c r="U992" s="82"/>
      <c r="V992" s="138" t="s">
        <v>5287</v>
      </c>
      <c r="W992" s="57" t="s">
        <v>4966</v>
      </c>
      <c r="X992" s="126" t="s">
        <v>2511</v>
      </c>
      <c r="Y992" s="126" t="s">
        <v>2511</v>
      </c>
      <c r="Z992" s="57"/>
      <c r="AA992" s="57" t="s">
        <v>4533</v>
      </c>
      <c r="AB992" s="138"/>
      <c r="AC992" s="138">
        <v>0</v>
      </c>
      <c r="AD992" s="96"/>
      <c r="AE992" s="80"/>
      <c r="AF992" s="80"/>
      <c r="AG992" s="80"/>
      <c r="AH992" s="83"/>
      <c r="AI992" s="83"/>
      <c r="AJ992" s="84"/>
      <c r="AK992" s="84"/>
      <c r="AL992" s="84"/>
      <c r="AM992" s="84"/>
      <c r="AN992" s="84"/>
      <c r="AO992" s="84"/>
      <c r="AP992" s="84"/>
      <c r="AQ992" s="95" t="s">
        <v>2110</v>
      </c>
      <c r="AR992" s="72"/>
      <c r="AS992" s="72"/>
      <c r="AT992" s="72"/>
      <c r="AU992" s="72"/>
      <c r="AV992" s="72"/>
      <c r="AW992" s="72"/>
      <c r="AX992" s="72"/>
      <c r="AY992" s="72"/>
      <c r="AZ992" s="72"/>
      <c r="BA992" s="72"/>
      <c r="BB992" s="16"/>
      <c r="BC992" s="72"/>
      <c r="BD992" s="20"/>
      <c r="BE992" s="378"/>
    </row>
    <row r="993" spans="1:57" s="81" customFormat="1" ht="12.95" hidden="1" customHeight="1">
      <c r="A993" s="374"/>
      <c r="B993" s="376"/>
      <c r="C993" s="248" t="s">
        <v>1553</v>
      </c>
      <c r="D993" s="239" t="s">
        <v>5288</v>
      </c>
      <c r="E993" s="58"/>
      <c r="F993" s="59" t="s">
        <v>5289</v>
      </c>
      <c r="G993" s="191" t="s">
        <v>2511</v>
      </c>
      <c r="H993" s="192" t="s">
        <v>2111</v>
      </c>
      <c r="I993" s="61" t="s">
        <v>2511</v>
      </c>
      <c r="J993" s="61" t="s">
        <v>2511</v>
      </c>
      <c r="K993" s="62" t="s">
        <v>2511</v>
      </c>
      <c r="L993" s="60" t="s">
        <v>2511</v>
      </c>
      <c r="M993" s="61" t="s">
        <v>2389</v>
      </c>
      <c r="N993" s="61" t="s">
        <v>2511</v>
      </c>
      <c r="O993" s="61" t="s">
        <v>2511</v>
      </c>
      <c r="P993" s="62" t="s">
        <v>2511</v>
      </c>
      <c r="Q993" s="82"/>
      <c r="R993" s="82"/>
      <c r="S993" s="82"/>
      <c r="T993" s="82"/>
      <c r="U993" s="82"/>
      <c r="V993" s="138" t="s">
        <v>5290</v>
      </c>
      <c r="W993" s="57" t="s">
        <v>4966</v>
      </c>
      <c r="X993" s="126" t="s">
        <v>2511</v>
      </c>
      <c r="Y993" s="126" t="s">
        <v>2511</v>
      </c>
      <c r="Z993" s="57"/>
      <c r="AA993" s="57" t="s">
        <v>4533</v>
      </c>
      <c r="AB993" s="138"/>
      <c r="AC993" s="138" t="s">
        <v>2631</v>
      </c>
      <c r="AD993" s="96"/>
      <c r="AE993" s="80"/>
      <c r="AF993" s="80"/>
      <c r="AG993" s="80"/>
      <c r="AH993" s="83"/>
      <c r="AI993" s="83"/>
      <c r="AJ993" s="84"/>
      <c r="AK993" s="84"/>
      <c r="AL993" s="84"/>
      <c r="AM993" s="84"/>
      <c r="AN993" s="84"/>
      <c r="AO993" s="84"/>
      <c r="AP993" s="84"/>
      <c r="AQ993" s="95" t="s">
        <v>2111</v>
      </c>
      <c r="AR993" s="72"/>
      <c r="AS993" s="72"/>
      <c r="AT993" s="72"/>
      <c r="AU993" s="72"/>
      <c r="AV993" s="72"/>
      <c r="AW993" s="72"/>
      <c r="AX993" s="72"/>
      <c r="AY993" s="72"/>
      <c r="AZ993" s="72"/>
      <c r="BA993" s="72"/>
      <c r="BB993" s="16"/>
      <c r="BC993" s="72"/>
      <c r="BD993" s="20"/>
      <c r="BE993" s="378"/>
    </row>
    <row r="994" spans="1:57" s="81" customFormat="1" ht="12.95" hidden="1" customHeight="1">
      <c r="A994" s="374"/>
      <c r="B994" s="376"/>
      <c r="C994" s="248" t="s">
        <v>1554</v>
      </c>
      <c r="D994" s="239" t="s">
        <v>5291</v>
      </c>
      <c r="E994" s="58"/>
      <c r="F994" s="59" t="s">
        <v>5292</v>
      </c>
      <c r="G994" s="191" t="s">
        <v>2511</v>
      </c>
      <c r="H994" s="192" t="s">
        <v>2112</v>
      </c>
      <c r="I994" s="61" t="s">
        <v>2511</v>
      </c>
      <c r="J994" s="61" t="s">
        <v>2511</v>
      </c>
      <c r="K994" s="62" t="s">
        <v>2511</v>
      </c>
      <c r="L994" s="60" t="s">
        <v>2511</v>
      </c>
      <c r="M994" s="61" t="s">
        <v>2389</v>
      </c>
      <c r="N994" s="61" t="s">
        <v>2511</v>
      </c>
      <c r="O994" s="61" t="s">
        <v>2511</v>
      </c>
      <c r="P994" s="62" t="s">
        <v>2511</v>
      </c>
      <c r="Q994" s="82"/>
      <c r="R994" s="82"/>
      <c r="S994" s="82"/>
      <c r="T994" s="82"/>
      <c r="U994" s="82"/>
      <c r="V994" s="138" t="s">
        <v>5293</v>
      </c>
      <c r="W994" s="57" t="s">
        <v>4966</v>
      </c>
      <c r="X994" s="126" t="s">
        <v>2511</v>
      </c>
      <c r="Y994" s="126" t="s">
        <v>2511</v>
      </c>
      <c r="Z994" s="57"/>
      <c r="AA994" s="57" t="s">
        <v>4533</v>
      </c>
      <c r="AB994" s="138"/>
      <c r="AC994" s="138" t="s">
        <v>2631</v>
      </c>
      <c r="AD994" s="96"/>
      <c r="AE994" s="80"/>
      <c r="AF994" s="80"/>
      <c r="AG994" s="80"/>
      <c r="AH994" s="83"/>
      <c r="AI994" s="83"/>
      <c r="AJ994" s="84"/>
      <c r="AK994" s="84"/>
      <c r="AL994" s="84"/>
      <c r="AM994" s="84"/>
      <c r="AN994" s="84"/>
      <c r="AO994" s="84"/>
      <c r="AP994" s="84"/>
      <c r="AQ994" s="95" t="s">
        <v>2112</v>
      </c>
      <c r="AR994" s="72"/>
      <c r="AS994" s="72"/>
      <c r="AT994" s="72"/>
      <c r="AU994" s="72"/>
      <c r="AV994" s="72"/>
      <c r="AW994" s="72"/>
      <c r="AX994" s="72"/>
      <c r="AY994" s="72"/>
      <c r="AZ994" s="72"/>
      <c r="BA994" s="72"/>
      <c r="BB994" s="16"/>
      <c r="BC994" s="72"/>
      <c r="BD994" s="20"/>
      <c r="BE994" s="378"/>
    </row>
    <row r="995" spans="1:57" s="81" customFormat="1" ht="12.95" hidden="1" customHeight="1">
      <c r="A995" s="374"/>
      <c r="B995" s="376"/>
      <c r="C995" s="248" t="s">
        <v>1555</v>
      </c>
      <c r="D995" s="239" t="s">
        <v>5294</v>
      </c>
      <c r="E995" s="58"/>
      <c r="F995" s="59" t="s">
        <v>5295</v>
      </c>
      <c r="G995" s="191" t="s">
        <v>2511</v>
      </c>
      <c r="H995" s="192" t="s">
        <v>2113</v>
      </c>
      <c r="I995" s="61" t="s">
        <v>2511</v>
      </c>
      <c r="J995" s="61" t="s">
        <v>2511</v>
      </c>
      <c r="K995" s="62" t="s">
        <v>2511</v>
      </c>
      <c r="L995" s="60" t="s">
        <v>2511</v>
      </c>
      <c r="M995" s="61" t="s">
        <v>2389</v>
      </c>
      <c r="N995" s="61" t="s">
        <v>2511</v>
      </c>
      <c r="O995" s="61" t="s">
        <v>2511</v>
      </c>
      <c r="P995" s="62" t="s">
        <v>2511</v>
      </c>
      <c r="Q995" s="82"/>
      <c r="R995" s="82"/>
      <c r="S995" s="82"/>
      <c r="T995" s="82"/>
      <c r="U995" s="82"/>
      <c r="V995" s="138" t="s">
        <v>5296</v>
      </c>
      <c r="W995" s="57" t="s">
        <v>4966</v>
      </c>
      <c r="X995" s="126" t="s">
        <v>2511</v>
      </c>
      <c r="Y995" s="126" t="s">
        <v>2511</v>
      </c>
      <c r="Z995" s="57"/>
      <c r="AA995" s="57" t="s">
        <v>4533</v>
      </c>
      <c r="AB995" s="138"/>
      <c r="AC995" s="138" t="s">
        <v>2631</v>
      </c>
      <c r="AD995" s="96"/>
      <c r="AE995" s="80"/>
      <c r="AF995" s="80"/>
      <c r="AG995" s="80"/>
      <c r="AH995" s="83"/>
      <c r="AI995" s="83"/>
      <c r="AJ995" s="84"/>
      <c r="AK995" s="84"/>
      <c r="AL995" s="84"/>
      <c r="AM995" s="84"/>
      <c r="AN995" s="84"/>
      <c r="AO995" s="84"/>
      <c r="AP995" s="84"/>
      <c r="AQ995" s="95" t="s">
        <v>2113</v>
      </c>
      <c r="AR995" s="72"/>
      <c r="AS995" s="72"/>
      <c r="AT995" s="72"/>
      <c r="AU995" s="72"/>
      <c r="AV995" s="72"/>
      <c r="AW995" s="72"/>
      <c r="AX995" s="72"/>
      <c r="AY995" s="72"/>
      <c r="AZ995" s="72"/>
      <c r="BA995" s="72"/>
      <c r="BB995" s="16"/>
      <c r="BC995" s="72"/>
      <c r="BD995" s="20"/>
      <c r="BE995" s="378"/>
    </row>
    <row r="996" spans="1:57" s="81" customFormat="1" ht="12.95" hidden="1" customHeight="1">
      <c r="A996" s="374"/>
      <c r="B996" s="376"/>
      <c r="C996" s="248" t="s">
        <v>1556</v>
      </c>
      <c r="D996" s="239" t="s">
        <v>5297</v>
      </c>
      <c r="E996" s="58"/>
      <c r="F996" s="59" t="s">
        <v>5298</v>
      </c>
      <c r="G996" s="191" t="s">
        <v>2511</v>
      </c>
      <c r="H996" s="192" t="s">
        <v>2114</v>
      </c>
      <c r="I996" s="61" t="s">
        <v>2511</v>
      </c>
      <c r="J996" s="61" t="s">
        <v>2511</v>
      </c>
      <c r="K996" s="62" t="s">
        <v>2511</v>
      </c>
      <c r="L996" s="60" t="s">
        <v>2511</v>
      </c>
      <c r="M996" s="61" t="s">
        <v>2389</v>
      </c>
      <c r="N996" s="61" t="s">
        <v>2511</v>
      </c>
      <c r="O996" s="61" t="s">
        <v>2511</v>
      </c>
      <c r="P996" s="62" t="s">
        <v>2511</v>
      </c>
      <c r="Q996" s="82"/>
      <c r="R996" s="82"/>
      <c r="S996" s="82"/>
      <c r="T996" s="82"/>
      <c r="U996" s="82"/>
      <c r="V996" s="138" t="s">
        <v>5299</v>
      </c>
      <c r="W996" s="57" t="s">
        <v>4966</v>
      </c>
      <c r="X996" s="126" t="s">
        <v>2511</v>
      </c>
      <c r="Y996" s="126" t="s">
        <v>2511</v>
      </c>
      <c r="Z996" s="57"/>
      <c r="AA996" s="57" t="s">
        <v>4533</v>
      </c>
      <c r="AB996" s="138"/>
      <c r="AC996" s="138" t="s">
        <v>2631</v>
      </c>
      <c r="AD996" s="96"/>
      <c r="AE996" s="80"/>
      <c r="AF996" s="80"/>
      <c r="AG996" s="80"/>
      <c r="AH996" s="83"/>
      <c r="AI996" s="83"/>
      <c r="AJ996" s="84"/>
      <c r="AK996" s="84"/>
      <c r="AL996" s="84"/>
      <c r="AM996" s="84"/>
      <c r="AN996" s="84"/>
      <c r="AO996" s="84"/>
      <c r="AP996" s="84"/>
      <c r="AQ996" s="95" t="s">
        <v>2114</v>
      </c>
      <c r="AR996" s="72"/>
      <c r="AS996" s="72"/>
      <c r="AT996" s="72"/>
      <c r="AU996" s="72"/>
      <c r="AV996" s="72"/>
      <c r="AW996" s="72"/>
      <c r="AX996" s="72"/>
      <c r="AY996" s="72"/>
      <c r="AZ996" s="72"/>
      <c r="BA996" s="72"/>
      <c r="BB996" s="16"/>
      <c r="BC996" s="72"/>
      <c r="BD996" s="20"/>
      <c r="BE996" s="378"/>
    </row>
    <row r="997" spans="1:57" s="81" customFormat="1" ht="12.95" hidden="1" customHeight="1">
      <c r="A997" s="374"/>
      <c r="B997" s="376"/>
      <c r="C997" s="248" t="s">
        <v>1557</v>
      </c>
      <c r="D997" s="239" t="s">
        <v>5300</v>
      </c>
      <c r="E997" s="58"/>
      <c r="F997" s="59" t="s">
        <v>5301</v>
      </c>
      <c r="G997" s="191" t="s">
        <v>2511</v>
      </c>
      <c r="H997" s="192" t="s">
        <v>2115</v>
      </c>
      <c r="I997" s="61" t="s">
        <v>2511</v>
      </c>
      <c r="J997" s="61" t="s">
        <v>2511</v>
      </c>
      <c r="K997" s="62" t="s">
        <v>2511</v>
      </c>
      <c r="L997" s="60" t="s">
        <v>2511</v>
      </c>
      <c r="M997" s="61" t="s">
        <v>2389</v>
      </c>
      <c r="N997" s="61" t="s">
        <v>2511</v>
      </c>
      <c r="O997" s="61" t="s">
        <v>2511</v>
      </c>
      <c r="P997" s="62" t="s">
        <v>2511</v>
      </c>
      <c r="Q997" s="82"/>
      <c r="R997" s="82"/>
      <c r="S997" s="82"/>
      <c r="T997" s="82"/>
      <c r="U997" s="82"/>
      <c r="V997" s="138" t="s">
        <v>5302</v>
      </c>
      <c r="W997" s="57" t="s">
        <v>4966</v>
      </c>
      <c r="X997" s="126" t="s">
        <v>2511</v>
      </c>
      <c r="Y997" s="126" t="s">
        <v>2511</v>
      </c>
      <c r="Z997" s="57"/>
      <c r="AA997" s="57" t="s">
        <v>4533</v>
      </c>
      <c r="AB997" s="138"/>
      <c r="AC997" s="138" t="s">
        <v>2631</v>
      </c>
      <c r="AD997" s="96"/>
      <c r="AE997" s="80"/>
      <c r="AF997" s="80"/>
      <c r="AG997" s="80"/>
      <c r="AH997" s="83"/>
      <c r="AI997" s="83"/>
      <c r="AJ997" s="84"/>
      <c r="AK997" s="84"/>
      <c r="AL997" s="84"/>
      <c r="AM997" s="84"/>
      <c r="AN997" s="84"/>
      <c r="AO997" s="84"/>
      <c r="AP997" s="84"/>
      <c r="AQ997" s="95" t="s">
        <v>2115</v>
      </c>
      <c r="AR997" s="72"/>
      <c r="AS997" s="72"/>
      <c r="AT997" s="72"/>
      <c r="AU997" s="72"/>
      <c r="AV997" s="72"/>
      <c r="AW997" s="72"/>
      <c r="AX997" s="72"/>
      <c r="AY997" s="72"/>
      <c r="AZ997" s="72"/>
      <c r="BA997" s="72"/>
      <c r="BB997" s="16"/>
      <c r="BC997" s="72"/>
      <c r="BD997" s="20"/>
      <c r="BE997" s="378"/>
    </row>
    <row r="998" spans="1:57" s="81" customFormat="1" ht="12.95" hidden="1" customHeight="1">
      <c r="A998" s="374"/>
      <c r="B998" s="376"/>
      <c r="C998" s="248" t="s">
        <v>1558</v>
      </c>
      <c r="D998" s="239" t="s">
        <v>5303</v>
      </c>
      <c r="E998" s="58"/>
      <c r="F998" s="59" t="s">
        <v>5304</v>
      </c>
      <c r="G998" s="191" t="s">
        <v>2511</v>
      </c>
      <c r="H998" s="192" t="s">
        <v>2116</v>
      </c>
      <c r="I998" s="61" t="s">
        <v>2511</v>
      </c>
      <c r="J998" s="61" t="s">
        <v>2511</v>
      </c>
      <c r="K998" s="62" t="s">
        <v>2511</v>
      </c>
      <c r="L998" s="60" t="s">
        <v>2511</v>
      </c>
      <c r="M998" s="61" t="s">
        <v>2389</v>
      </c>
      <c r="N998" s="61" t="s">
        <v>2511</v>
      </c>
      <c r="O998" s="61" t="s">
        <v>2511</v>
      </c>
      <c r="P998" s="62" t="s">
        <v>2511</v>
      </c>
      <c r="Q998" s="82"/>
      <c r="R998" s="82"/>
      <c r="S998" s="82"/>
      <c r="T998" s="82"/>
      <c r="U998" s="82"/>
      <c r="V998" s="138" t="s">
        <v>5305</v>
      </c>
      <c r="W998" s="57" t="s">
        <v>4966</v>
      </c>
      <c r="X998" s="126" t="s">
        <v>2511</v>
      </c>
      <c r="Y998" s="126" t="s">
        <v>2511</v>
      </c>
      <c r="Z998" s="57"/>
      <c r="AA998" s="57" t="s">
        <v>4533</v>
      </c>
      <c r="AB998" s="138"/>
      <c r="AC998" s="138" t="s">
        <v>2631</v>
      </c>
      <c r="AD998" s="96"/>
      <c r="AE998" s="80"/>
      <c r="AF998" s="80"/>
      <c r="AG998" s="80"/>
      <c r="AH998" s="83"/>
      <c r="AI998" s="83"/>
      <c r="AJ998" s="84"/>
      <c r="AK998" s="84"/>
      <c r="AL998" s="84"/>
      <c r="AM998" s="84"/>
      <c r="AN998" s="84"/>
      <c r="AO998" s="84"/>
      <c r="AP998" s="84"/>
      <c r="AQ998" s="95" t="s">
        <v>2116</v>
      </c>
      <c r="AR998" s="72"/>
      <c r="AS998" s="72"/>
      <c r="AT998" s="72"/>
      <c r="AU998" s="72"/>
      <c r="AV998" s="72"/>
      <c r="AW998" s="72"/>
      <c r="AX998" s="72"/>
      <c r="AY998" s="72"/>
      <c r="AZ998" s="72"/>
      <c r="BA998" s="72"/>
      <c r="BB998" s="16"/>
      <c r="BC998" s="72"/>
      <c r="BD998" s="20"/>
      <c r="BE998" s="378"/>
    </row>
    <row r="999" spans="1:57" s="81" customFormat="1" ht="12.95" hidden="1" customHeight="1">
      <c r="A999" s="374"/>
      <c r="B999" s="376"/>
      <c r="C999" s="248" t="s">
        <v>1559</v>
      </c>
      <c r="D999" s="239" t="s">
        <v>5306</v>
      </c>
      <c r="E999" s="58"/>
      <c r="F999" s="59" t="s">
        <v>5307</v>
      </c>
      <c r="G999" s="191" t="s">
        <v>2511</v>
      </c>
      <c r="H999" s="192" t="s">
        <v>2117</v>
      </c>
      <c r="I999" s="61" t="s">
        <v>2511</v>
      </c>
      <c r="J999" s="61" t="s">
        <v>2511</v>
      </c>
      <c r="K999" s="62" t="s">
        <v>2511</v>
      </c>
      <c r="L999" s="60" t="s">
        <v>2511</v>
      </c>
      <c r="M999" s="61" t="s">
        <v>2389</v>
      </c>
      <c r="N999" s="61" t="s">
        <v>2511</v>
      </c>
      <c r="O999" s="61" t="s">
        <v>2511</v>
      </c>
      <c r="P999" s="62" t="s">
        <v>2511</v>
      </c>
      <c r="Q999" s="82"/>
      <c r="R999" s="82"/>
      <c r="S999" s="82"/>
      <c r="T999" s="82"/>
      <c r="U999" s="82"/>
      <c r="V999" s="138" t="s">
        <v>5308</v>
      </c>
      <c r="W999" s="57" t="s">
        <v>4966</v>
      </c>
      <c r="X999" s="126" t="s">
        <v>2511</v>
      </c>
      <c r="Y999" s="126" t="s">
        <v>2511</v>
      </c>
      <c r="Z999" s="57"/>
      <c r="AA999" s="57" t="s">
        <v>4533</v>
      </c>
      <c r="AB999" s="138"/>
      <c r="AC999" s="138" t="s">
        <v>2631</v>
      </c>
      <c r="AD999" s="96"/>
      <c r="AE999" s="80"/>
      <c r="AF999" s="80"/>
      <c r="AG999" s="80"/>
      <c r="AH999" s="83"/>
      <c r="AI999" s="83"/>
      <c r="AJ999" s="84"/>
      <c r="AK999" s="84"/>
      <c r="AL999" s="84"/>
      <c r="AM999" s="84"/>
      <c r="AN999" s="84"/>
      <c r="AO999" s="84"/>
      <c r="AP999" s="84"/>
      <c r="AQ999" s="95" t="s">
        <v>2117</v>
      </c>
      <c r="AR999" s="72"/>
      <c r="AS999" s="72"/>
      <c r="AT999" s="72"/>
      <c r="AU999" s="72"/>
      <c r="AV999" s="72"/>
      <c r="AW999" s="72"/>
      <c r="AX999" s="72"/>
      <c r="AY999" s="72"/>
      <c r="AZ999" s="72"/>
      <c r="BA999" s="72"/>
      <c r="BB999" s="16"/>
      <c r="BC999" s="72"/>
      <c r="BD999" s="20"/>
      <c r="BE999" s="378"/>
    </row>
    <row r="1000" spans="1:57" s="81" customFormat="1" ht="12.95" hidden="1" customHeight="1">
      <c r="A1000" s="374"/>
      <c r="B1000" s="376"/>
      <c r="C1000" s="248" t="s">
        <v>1560</v>
      </c>
      <c r="D1000" s="239" t="s">
        <v>5309</v>
      </c>
      <c r="E1000" s="58"/>
      <c r="F1000" s="59" t="s">
        <v>5310</v>
      </c>
      <c r="G1000" s="191" t="s">
        <v>2511</v>
      </c>
      <c r="H1000" s="192" t="s">
        <v>2118</v>
      </c>
      <c r="I1000" s="61" t="s">
        <v>2511</v>
      </c>
      <c r="J1000" s="61" t="s">
        <v>2511</v>
      </c>
      <c r="K1000" s="62" t="s">
        <v>2511</v>
      </c>
      <c r="L1000" s="60" t="s">
        <v>2511</v>
      </c>
      <c r="M1000" s="61" t="s">
        <v>2389</v>
      </c>
      <c r="N1000" s="61" t="s">
        <v>2511</v>
      </c>
      <c r="O1000" s="61" t="s">
        <v>2511</v>
      </c>
      <c r="P1000" s="62" t="s">
        <v>2511</v>
      </c>
      <c r="Q1000" s="82"/>
      <c r="R1000" s="82"/>
      <c r="S1000" s="82"/>
      <c r="T1000" s="82"/>
      <c r="U1000" s="82"/>
      <c r="V1000" s="138" t="s">
        <v>5311</v>
      </c>
      <c r="W1000" s="57" t="s">
        <v>4966</v>
      </c>
      <c r="X1000" s="126" t="s">
        <v>2511</v>
      </c>
      <c r="Y1000" s="126" t="s">
        <v>2511</v>
      </c>
      <c r="Z1000" s="57"/>
      <c r="AA1000" s="57" t="s">
        <v>4533</v>
      </c>
      <c r="AB1000" s="138"/>
      <c r="AC1000" s="138" t="s">
        <v>2631</v>
      </c>
      <c r="AD1000" s="96"/>
      <c r="AE1000" s="80"/>
      <c r="AF1000" s="80"/>
      <c r="AG1000" s="80"/>
      <c r="AH1000" s="83"/>
      <c r="AI1000" s="83"/>
      <c r="AJ1000" s="84"/>
      <c r="AK1000" s="84"/>
      <c r="AL1000" s="84"/>
      <c r="AM1000" s="84"/>
      <c r="AN1000" s="84"/>
      <c r="AO1000" s="84"/>
      <c r="AP1000" s="84"/>
      <c r="AQ1000" s="95" t="s">
        <v>2118</v>
      </c>
      <c r="AR1000" s="72"/>
      <c r="AS1000" s="72"/>
      <c r="AT1000" s="72"/>
      <c r="AU1000" s="72"/>
      <c r="AV1000" s="72"/>
      <c r="AW1000" s="72"/>
      <c r="AX1000" s="72"/>
      <c r="AY1000" s="72"/>
      <c r="AZ1000" s="72"/>
      <c r="BA1000" s="72"/>
      <c r="BB1000" s="16"/>
      <c r="BC1000" s="72"/>
      <c r="BD1000" s="20"/>
      <c r="BE1000" s="378"/>
    </row>
    <row r="1001" spans="1:57" s="81" customFormat="1" ht="12.95" hidden="1" customHeight="1">
      <c r="A1001" s="374"/>
      <c r="B1001" s="376"/>
      <c r="C1001" s="248" t="s">
        <v>1561</v>
      </c>
      <c r="D1001" s="239" t="s">
        <v>5312</v>
      </c>
      <c r="E1001" s="58"/>
      <c r="F1001" s="59" t="s">
        <v>5313</v>
      </c>
      <c r="G1001" s="191" t="s">
        <v>2511</v>
      </c>
      <c r="H1001" s="192" t="s">
        <v>2119</v>
      </c>
      <c r="I1001" s="61" t="s">
        <v>2511</v>
      </c>
      <c r="J1001" s="61" t="s">
        <v>2511</v>
      </c>
      <c r="K1001" s="62" t="s">
        <v>2511</v>
      </c>
      <c r="L1001" s="60" t="s">
        <v>2511</v>
      </c>
      <c r="M1001" s="61" t="s">
        <v>2389</v>
      </c>
      <c r="N1001" s="61" t="s">
        <v>2511</v>
      </c>
      <c r="O1001" s="61" t="s">
        <v>2511</v>
      </c>
      <c r="P1001" s="62" t="s">
        <v>2511</v>
      </c>
      <c r="Q1001" s="82"/>
      <c r="R1001" s="82"/>
      <c r="S1001" s="82"/>
      <c r="T1001" s="82"/>
      <c r="U1001" s="82"/>
      <c r="V1001" s="138" t="s">
        <v>5314</v>
      </c>
      <c r="W1001" s="57" t="s">
        <v>4966</v>
      </c>
      <c r="X1001" s="126" t="s">
        <v>2511</v>
      </c>
      <c r="Y1001" s="126" t="s">
        <v>2511</v>
      </c>
      <c r="Z1001" s="57"/>
      <c r="AA1001" s="57" t="s">
        <v>4533</v>
      </c>
      <c r="AB1001" s="138"/>
      <c r="AC1001" s="138" t="s">
        <v>2631</v>
      </c>
      <c r="AD1001" s="96"/>
      <c r="AE1001" s="80"/>
      <c r="AF1001" s="80"/>
      <c r="AG1001" s="80"/>
      <c r="AH1001" s="83"/>
      <c r="AI1001" s="83"/>
      <c r="AJ1001" s="84"/>
      <c r="AK1001" s="84"/>
      <c r="AL1001" s="84"/>
      <c r="AM1001" s="84"/>
      <c r="AN1001" s="84"/>
      <c r="AO1001" s="84"/>
      <c r="AP1001" s="84"/>
      <c r="AQ1001" s="95" t="s">
        <v>2119</v>
      </c>
      <c r="AR1001" s="72"/>
      <c r="AS1001" s="72"/>
      <c r="AT1001" s="72"/>
      <c r="AU1001" s="72"/>
      <c r="AV1001" s="72"/>
      <c r="AW1001" s="72"/>
      <c r="AX1001" s="72"/>
      <c r="AY1001" s="72"/>
      <c r="AZ1001" s="72"/>
      <c r="BA1001" s="72"/>
      <c r="BB1001" s="16"/>
      <c r="BC1001" s="72"/>
      <c r="BD1001" s="20"/>
      <c r="BE1001" s="378"/>
    </row>
    <row r="1002" spans="1:57" s="81" customFormat="1" ht="12.95" hidden="1" customHeight="1">
      <c r="A1002" s="374"/>
      <c r="B1002" s="376"/>
      <c r="C1002" s="270" t="s">
        <v>1562</v>
      </c>
      <c r="D1002" s="239" t="s">
        <v>5315</v>
      </c>
      <c r="E1002" s="58"/>
      <c r="F1002" s="59" t="s">
        <v>5316</v>
      </c>
      <c r="G1002" s="191" t="s">
        <v>2511</v>
      </c>
      <c r="H1002" s="192" t="s">
        <v>2120</v>
      </c>
      <c r="I1002" s="61" t="s">
        <v>2511</v>
      </c>
      <c r="J1002" s="61" t="s">
        <v>2511</v>
      </c>
      <c r="K1002" s="62" t="s">
        <v>2511</v>
      </c>
      <c r="L1002" s="60" t="s">
        <v>2511</v>
      </c>
      <c r="M1002" s="61" t="s">
        <v>2389</v>
      </c>
      <c r="N1002" s="61" t="s">
        <v>2511</v>
      </c>
      <c r="O1002" s="61" t="s">
        <v>2511</v>
      </c>
      <c r="P1002" s="62" t="s">
        <v>2511</v>
      </c>
      <c r="Q1002" s="82"/>
      <c r="R1002" s="82"/>
      <c r="S1002" s="82"/>
      <c r="T1002" s="82"/>
      <c r="U1002" s="82"/>
      <c r="V1002" s="138" t="s">
        <v>5317</v>
      </c>
      <c r="W1002" s="57" t="s">
        <v>4966</v>
      </c>
      <c r="X1002" s="126" t="s">
        <v>2511</v>
      </c>
      <c r="Y1002" s="126" t="s">
        <v>2511</v>
      </c>
      <c r="Z1002" s="57"/>
      <c r="AA1002" s="57" t="s">
        <v>4533</v>
      </c>
      <c r="AB1002" s="138"/>
      <c r="AC1002" s="138" t="s">
        <v>2631</v>
      </c>
      <c r="AD1002" s="96"/>
      <c r="AE1002" s="80"/>
      <c r="AF1002" s="80"/>
      <c r="AG1002" s="80"/>
      <c r="AH1002" s="83"/>
      <c r="AI1002" s="83"/>
      <c r="AJ1002" s="84"/>
      <c r="AK1002" s="84"/>
      <c r="AL1002" s="84"/>
      <c r="AM1002" s="84"/>
      <c r="AN1002" s="84"/>
      <c r="AO1002" s="84"/>
      <c r="AP1002" s="84"/>
      <c r="AQ1002" s="95" t="s">
        <v>2120</v>
      </c>
      <c r="AR1002" s="72"/>
      <c r="AS1002" s="72"/>
      <c r="AT1002" s="72"/>
      <c r="AU1002" s="72"/>
      <c r="AV1002" s="72"/>
      <c r="AW1002" s="72"/>
      <c r="AX1002" s="72"/>
      <c r="AY1002" s="72"/>
      <c r="AZ1002" s="72"/>
      <c r="BA1002" s="72"/>
      <c r="BB1002" s="16"/>
      <c r="BC1002" s="72"/>
      <c r="BD1002" s="20"/>
      <c r="BE1002" s="378"/>
    </row>
    <row r="1003" spans="1:57" s="81" customFormat="1" ht="12.95" hidden="1" customHeight="1">
      <c r="A1003" s="374"/>
      <c r="B1003" s="376"/>
      <c r="C1003" s="270" t="s">
        <v>1563</v>
      </c>
      <c r="D1003" s="239" t="s">
        <v>5318</v>
      </c>
      <c r="E1003" s="58"/>
      <c r="F1003" s="59" t="s">
        <v>5319</v>
      </c>
      <c r="G1003" s="191" t="s">
        <v>2511</v>
      </c>
      <c r="H1003" s="192" t="s">
        <v>2121</v>
      </c>
      <c r="I1003" s="61" t="s">
        <v>2511</v>
      </c>
      <c r="J1003" s="61" t="s">
        <v>2511</v>
      </c>
      <c r="K1003" s="62" t="s">
        <v>2511</v>
      </c>
      <c r="L1003" s="60" t="s">
        <v>2511</v>
      </c>
      <c r="M1003" s="61" t="s">
        <v>2389</v>
      </c>
      <c r="N1003" s="61" t="s">
        <v>2511</v>
      </c>
      <c r="O1003" s="61" t="s">
        <v>2511</v>
      </c>
      <c r="P1003" s="62" t="s">
        <v>2511</v>
      </c>
      <c r="Q1003" s="82"/>
      <c r="R1003" s="82"/>
      <c r="S1003" s="82"/>
      <c r="T1003" s="82"/>
      <c r="U1003" s="82"/>
      <c r="V1003" s="138" t="s">
        <v>5320</v>
      </c>
      <c r="W1003" s="57" t="s">
        <v>4966</v>
      </c>
      <c r="X1003" s="126" t="s">
        <v>2511</v>
      </c>
      <c r="Y1003" s="126" t="s">
        <v>2511</v>
      </c>
      <c r="Z1003" s="57"/>
      <c r="AA1003" s="57" t="s">
        <v>4533</v>
      </c>
      <c r="AB1003" s="138"/>
      <c r="AC1003" s="138" t="s">
        <v>2631</v>
      </c>
      <c r="AD1003" s="96"/>
      <c r="AE1003" s="80"/>
      <c r="AF1003" s="80"/>
      <c r="AG1003" s="80"/>
      <c r="AH1003" s="83"/>
      <c r="AI1003" s="83"/>
      <c r="AJ1003" s="84"/>
      <c r="AK1003" s="84"/>
      <c r="AL1003" s="84"/>
      <c r="AM1003" s="84"/>
      <c r="AN1003" s="84"/>
      <c r="AO1003" s="84"/>
      <c r="AP1003" s="84"/>
      <c r="AQ1003" s="95" t="s">
        <v>2121</v>
      </c>
      <c r="AR1003" s="72"/>
      <c r="AS1003" s="72"/>
      <c r="AT1003" s="72"/>
      <c r="AU1003" s="72"/>
      <c r="AV1003" s="72"/>
      <c r="AW1003" s="72"/>
      <c r="AX1003" s="72"/>
      <c r="AY1003" s="72"/>
      <c r="AZ1003" s="72"/>
      <c r="BA1003" s="72"/>
      <c r="BB1003" s="16"/>
      <c r="BC1003" s="72"/>
      <c r="BD1003" s="20"/>
      <c r="BE1003" s="378"/>
    </row>
    <row r="1004" spans="1:57" s="81" customFormat="1" ht="12.95" hidden="1" customHeight="1">
      <c r="A1004" s="374"/>
      <c r="B1004" s="376"/>
      <c r="C1004" s="248" t="s">
        <v>1564</v>
      </c>
      <c r="D1004" s="239" t="s">
        <v>5321</v>
      </c>
      <c r="E1004" s="58"/>
      <c r="F1004" s="59" t="s">
        <v>5322</v>
      </c>
      <c r="G1004" s="191" t="s">
        <v>2511</v>
      </c>
      <c r="H1004" s="192" t="s">
        <v>2122</v>
      </c>
      <c r="I1004" s="61" t="s">
        <v>2511</v>
      </c>
      <c r="J1004" s="61" t="s">
        <v>2511</v>
      </c>
      <c r="K1004" s="62" t="s">
        <v>2511</v>
      </c>
      <c r="L1004" s="60" t="s">
        <v>2511</v>
      </c>
      <c r="M1004" s="61" t="s">
        <v>2389</v>
      </c>
      <c r="N1004" s="61" t="s">
        <v>2511</v>
      </c>
      <c r="O1004" s="61" t="s">
        <v>2511</v>
      </c>
      <c r="P1004" s="62" t="s">
        <v>2511</v>
      </c>
      <c r="Q1004" s="82"/>
      <c r="R1004" s="82"/>
      <c r="S1004" s="82"/>
      <c r="T1004" s="82"/>
      <c r="U1004" s="82"/>
      <c r="V1004" s="138" t="s">
        <v>5323</v>
      </c>
      <c r="W1004" s="57" t="s">
        <v>4966</v>
      </c>
      <c r="X1004" s="126" t="s">
        <v>2511</v>
      </c>
      <c r="Y1004" s="126" t="s">
        <v>2511</v>
      </c>
      <c r="Z1004" s="57"/>
      <c r="AA1004" s="57" t="s">
        <v>4533</v>
      </c>
      <c r="AB1004" s="138"/>
      <c r="AC1004" s="138">
        <v>0</v>
      </c>
      <c r="AD1004" s="96"/>
      <c r="AE1004" s="80"/>
      <c r="AF1004" s="80"/>
      <c r="AG1004" s="80"/>
      <c r="AH1004" s="83"/>
      <c r="AI1004" s="83"/>
      <c r="AJ1004" s="84"/>
      <c r="AK1004" s="84"/>
      <c r="AL1004" s="84"/>
      <c r="AM1004" s="84"/>
      <c r="AN1004" s="84"/>
      <c r="AO1004" s="84"/>
      <c r="AP1004" s="84"/>
      <c r="AQ1004" s="95" t="s">
        <v>2122</v>
      </c>
      <c r="AR1004" s="72"/>
      <c r="AS1004" s="72"/>
      <c r="AT1004" s="72"/>
      <c r="AU1004" s="72"/>
      <c r="AV1004" s="72"/>
      <c r="AW1004" s="72"/>
      <c r="AX1004" s="72"/>
      <c r="AY1004" s="72"/>
      <c r="AZ1004" s="72"/>
      <c r="BA1004" s="72"/>
      <c r="BB1004" s="16"/>
      <c r="BC1004" s="72"/>
      <c r="BD1004" s="20"/>
      <c r="BE1004" s="378"/>
    </row>
    <row r="1005" spans="1:57" s="81" customFormat="1" ht="12.95" hidden="1" customHeight="1">
      <c r="A1005" s="374"/>
      <c r="B1005" s="376"/>
      <c r="C1005" s="248" t="s">
        <v>1565</v>
      </c>
      <c r="D1005" s="239" t="s">
        <v>5324</v>
      </c>
      <c r="E1005" s="58"/>
      <c r="F1005" s="59" t="s">
        <v>5325</v>
      </c>
      <c r="G1005" s="191" t="s">
        <v>2511</v>
      </c>
      <c r="H1005" s="192" t="s">
        <v>2123</v>
      </c>
      <c r="I1005" s="61" t="s">
        <v>2511</v>
      </c>
      <c r="J1005" s="61" t="s">
        <v>2511</v>
      </c>
      <c r="K1005" s="62" t="s">
        <v>2511</v>
      </c>
      <c r="L1005" s="60" t="s">
        <v>2511</v>
      </c>
      <c r="M1005" s="61" t="s">
        <v>2389</v>
      </c>
      <c r="N1005" s="61" t="s">
        <v>2511</v>
      </c>
      <c r="O1005" s="61" t="s">
        <v>2511</v>
      </c>
      <c r="P1005" s="62" t="s">
        <v>2511</v>
      </c>
      <c r="Q1005" s="82"/>
      <c r="R1005" s="82"/>
      <c r="S1005" s="82"/>
      <c r="T1005" s="82"/>
      <c r="U1005" s="82"/>
      <c r="V1005" s="138" t="s">
        <v>5326</v>
      </c>
      <c r="W1005" s="57" t="s">
        <v>4966</v>
      </c>
      <c r="X1005" s="126" t="s">
        <v>2511</v>
      </c>
      <c r="Y1005" s="126" t="s">
        <v>2511</v>
      </c>
      <c r="Z1005" s="57"/>
      <c r="AA1005" s="57" t="s">
        <v>4533</v>
      </c>
      <c r="AB1005" s="138"/>
      <c r="AC1005" s="138" t="s">
        <v>2631</v>
      </c>
      <c r="AD1005" s="96"/>
      <c r="AE1005" s="80"/>
      <c r="AF1005" s="80"/>
      <c r="AG1005" s="80"/>
      <c r="AH1005" s="83"/>
      <c r="AI1005" s="83"/>
      <c r="AJ1005" s="84"/>
      <c r="AK1005" s="84"/>
      <c r="AL1005" s="84"/>
      <c r="AM1005" s="84"/>
      <c r="AN1005" s="84"/>
      <c r="AO1005" s="84"/>
      <c r="AP1005" s="84"/>
      <c r="AQ1005" s="95" t="s">
        <v>2123</v>
      </c>
      <c r="AR1005" s="72"/>
      <c r="AS1005" s="72"/>
      <c r="AT1005" s="72"/>
      <c r="AU1005" s="72"/>
      <c r="AV1005" s="72"/>
      <c r="AW1005" s="72"/>
      <c r="AX1005" s="72"/>
      <c r="AY1005" s="72"/>
      <c r="AZ1005" s="72"/>
      <c r="BA1005" s="72"/>
      <c r="BB1005" s="16"/>
      <c r="BC1005" s="72"/>
      <c r="BD1005" s="20"/>
      <c r="BE1005" s="378"/>
    </row>
    <row r="1006" spans="1:57" s="81" customFormat="1" ht="12.95" hidden="1" customHeight="1">
      <c r="A1006" s="374"/>
      <c r="B1006" s="376"/>
      <c r="C1006" s="248" t="s">
        <v>1566</v>
      </c>
      <c r="D1006" s="239" t="s">
        <v>5327</v>
      </c>
      <c r="E1006" s="58"/>
      <c r="F1006" s="59" t="s">
        <v>5328</v>
      </c>
      <c r="G1006" s="191" t="s">
        <v>2511</v>
      </c>
      <c r="H1006" s="192" t="s">
        <v>2124</v>
      </c>
      <c r="I1006" s="61" t="s">
        <v>2511</v>
      </c>
      <c r="J1006" s="61" t="s">
        <v>2511</v>
      </c>
      <c r="K1006" s="62" t="s">
        <v>2511</v>
      </c>
      <c r="L1006" s="60" t="s">
        <v>2511</v>
      </c>
      <c r="M1006" s="61" t="s">
        <v>2389</v>
      </c>
      <c r="N1006" s="61" t="s">
        <v>2511</v>
      </c>
      <c r="O1006" s="61" t="s">
        <v>2511</v>
      </c>
      <c r="P1006" s="62" t="s">
        <v>2511</v>
      </c>
      <c r="Q1006" s="82"/>
      <c r="R1006" s="82"/>
      <c r="S1006" s="82"/>
      <c r="T1006" s="82"/>
      <c r="U1006" s="82"/>
      <c r="V1006" s="138" t="s">
        <v>5329</v>
      </c>
      <c r="W1006" s="57" t="s">
        <v>4966</v>
      </c>
      <c r="X1006" s="126" t="s">
        <v>2511</v>
      </c>
      <c r="Y1006" s="126" t="s">
        <v>2511</v>
      </c>
      <c r="Z1006" s="57"/>
      <c r="AA1006" s="57" t="s">
        <v>4533</v>
      </c>
      <c r="AB1006" s="138"/>
      <c r="AC1006" s="138" t="s">
        <v>2631</v>
      </c>
      <c r="AD1006" s="96"/>
      <c r="AE1006" s="80"/>
      <c r="AF1006" s="80"/>
      <c r="AG1006" s="80"/>
      <c r="AH1006" s="83"/>
      <c r="AI1006" s="83"/>
      <c r="AJ1006" s="84"/>
      <c r="AK1006" s="84"/>
      <c r="AL1006" s="84"/>
      <c r="AM1006" s="84"/>
      <c r="AN1006" s="84"/>
      <c r="AO1006" s="84"/>
      <c r="AP1006" s="84"/>
      <c r="AQ1006" s="95" t="s">
        <v>2124</v>
      </c>
      <c r="AR1006" s="72"/>
      <c r="AS1006" s="72"/>
      <c r="AT1006" s="72"/>
      <c r="AU1006" s="72"/>
      <c r="AV1006" s="72"/>
      <c r="AW1006" s="72"/>
      <c r="AX1006" s="72"/>
      <c r="AY1006" s="72"/>
      <c r="AZ1006" s="72"/>
      <c r="BA1006" s="72"/>
      <c r="BB1006" s="16"/>
      <c r="BC1006" s="72"/>
      <c r="BD1006" s="20"/>
      <c r="BE1006" s="378"/>
    </row>
    <row r="1007" spans="1:57" s="81" customFormat="1" ht="12.95" hidden="1" customHeight="1">
      <c r="A1007" s="374"/>
      <c r="B1007" s="376"/>
      <c r="C1007" s="248" t="s">
        <v>1567</v>
      </c>
      <c r="D1007" s="239" t="s">
        <v>5330</v>
      </c>
      <c r="E1007" s="58"/>
      <c r="F1007" s="59" t="s">
        <v>5331</v>
      </c>
      <c r="G1007" s="191" t="s">
        <v>2511</v>
      </c>
      <c r="H1007" s="192" t="s">
        <v>2125</v>
      </c>
      <c r="I1007" s="61" t="s">
        <v>2511</v>
      </c>
      <c r="J1007" s="61" t="s">
        <v>2511</v>
      </c>
      <c r="K1007" s="62" t="s">
        <v>2511</v>
      </c>
      <c r="L1007" s="60" t="s">
        <v>2511</v>
      </c>
      <c r="M1007" s="61" t="s">
        <v>2389</v>
      </c>
      <c r="N1007" s="61" t="s">
        <v>2511</v>
      </c>
      <c r="O1007" s="61" t="s">
        <v>2511</v>
      </c>
      <c r="P1007" s="62" t="s">
        <v>2511</v>
      </c>
      <c r="Q1007" s="82"/>
      <c r="R1007" s="82"/>
      <c r="S1007" s="82"/>
      <c r="T1007" s="82"/>
      <c r="U1007" s="82"/>
      <c r="V1007" s="138" t="s">
        <v>5332</v>
      </c>
      <c r="W1007" s="57" t="s">
        <v>4966</v>
      </c>
      <c r="X1007" s="126" t="s">
        <v>2511</v>
      </c>
      <c r="Y1007" s="126" t="s">
        <v>2511</v>
      </c>
      <c r="Z1007" s="57"/>
      <c r="AA1007" s="57" t="s">
        <v>4533</v>
      </c>
      <c r="AB1007" s="138"/>
      <c r="AC1007" s="138" t="s">
        <v>2631</v>
      </c>
      <c r="AD1007" s="96"/>
      <c r="AE1007" s="80"/>
      <c r="AF1007" s="80"/>
      <c r="AG1007" s="80"/>
      <c r="AH1007" s="83"/>
      <c r="AI1007" s="83"/>
      <c r="AJ1007" s="84"/>
      <c r="AK1007" s="84"/>
      <c r="AL1007" s="84"/>
      <c r="AM1007" s="84"/>
      <c r="AN1007" s="84"/>
      <c r="AO1007" s="84"/>
      <c r="AP1007" s="84"/>
      <c r="AQ1007" s="95" t="s">
        <v>2125</v>
      </c>
      <c r="AR1007" s="72"/>
      <c r="AS1007" s="72"/>
      <c r="AT1007" s="72"/>
      <c r="AU1007" s="72"/>
      <c r="AV1007" s="72"/>
      <c r="AW1007" s="72"/>
      <c r="AX1007" s="72"/>
      <c r="AY1007" s="72"/>
      <c r="AZ1007" s="72"/>
      <c r="BA1007" s="72"/>
      <c r="BB1007" s="16"/>
      <c r="BC1007" s="72"/>
      <c r="BD1007" s="20"/>
      <c r="BE1007" s="378"/>
    </row>
    <row r="1008" spans="1:57" s="81" customFormat="1" ht="12.95" hidden="1" customHeight="1">
      <c r="A1008" s="374"/>
      <c r="B1008" s="376"/>
      <c r="C1008" s="248" t="s">
        <v>1568</v>
      </c>
      <c r="D1008" s="239" t="s">
        <v>5333</v>
      </c>
      <c r="E1008" s="58"/>
      <c r="F1008" s="59" t="s">
        <v>5334</v>
      </c>
      <c r="G1008" s="191" t="s">
        <v>2511</v>
      </c>
      <c r="H1008" s="192" t="s">
        <v>2126</v>
      </c>
      <c r="I1008" s="61" t="s">
        <v>2511</v>
      </c>
      <c r="J1008" s="61" t="s">
        <v>2511</v>
      </c>
      <c r="K1008" s="62" t="s">
        <v>2511</v>
      </c>
      <c r="L1008" s="60" t="s">
        <v>2511</v>
      </c>
      <c r="M1008" s="61" t="s">
        <v>2389</v>
      </c>
      <c r="N1008" s="61" t="s">
        <v>2511</v>
      </c>
      <c r="O1008" s="61" t="s">
        <v>2511</v>
      </c>
      <c r="P1008" s="62" t="s">
        <v>2511</v>
      </c>
      <c r="Q1008" s="82"/>
      <c r="R1008" s="82"/>
      <c r="S1008" s="82"/>
      <c r="T1008" s="82"/>
      <c r="U1008" s="82"/>
      <c r="V1008" s="138" t="s">
        <v>5335</v>
      </c>
      <c r="W1008" s="57" t="s">
        <v>4966</v>
      </c>
      <c r="X1008" s="126" t="s">
        <v>2511</v>
      </c>
      <c r="Y1008" s="126" t="s">
        <v>2511</v>
      </c>
      <c r="Z1008" s="57"/>
      <c r="AA1008" s="57" t="s">
        <v>4533</v>
      </c>
      <c r="AB1008" s="138"/>
      <c r="AC1008" s="138" t="s">
        <v>2631</v>
      </c>
      <c r="AD1008" s="96"/>
      <c r="AE1008" s="80"/>
      <c r="AF1008" s="80"/>
      <c r="AG1008" s="80"/>
      <c r="AH1008" s="83"/>
      <c r="AI1008" s="83"/>
      <c r="AJ1008" s="84"/>
      <c r="AK1008" s="84"/>
      <c r="AL1008" s="84"/>
      <c r="AM1008" s="84"/>
      <c r="AN1008" s="84"/>
      <c r="AO1008" s="84"/>
      <c r="AP1008" s="84"/>
      <c r="AQ1008" s="95" t="s">
        <v>2126</v>
      </c>
      <c r="AR1008" s="72"/>
      <c r="AS1008" s="72"/>
      <c r="AT1008" s="72"/>
      <c r="AU1008" s="72"/>
      <c r="AV1008" s="72"/>
      <c r="AW1008" s="72"/>
      <c r="AX1008" s="72"/>
      <c r="AY1008" s="72"/>
      <c r="AZ1008" s="72"/>
      <c r="BA1008" s="72"/>
      <c r="BB1008" s="16"/>
      <c r="BC1008" s="72"/>
      <c r="BD1008" s="20"/>
      <c r="BE1008" s="378"/>
    </row>
    <row r="1009" spans="1:57" s="81" customFormat="1" ht="12.95" hidden="1" customHeight="1">
      <c r="A1009" s="374"/>
      <c r="B1009" s="376"/>
      <c r="C1009" s="248" t="s">
        <v>1569</v>
      </c>
      <c r="D1009" s="239" t="s">
        <v>5336</v>
      </c>
      <c r="E1009" s="58"/>
      <c r="F1009" s="59" t="s">
        <v>5337</v>
      </c>
      <c r="G1009" s="191" t="s">
        <v>2511</v>
      </c>
      <c r="H1009" s="192" t="s">
        <v>2127</v>
      </c>
      <c r="I1009" s="61" t="s">
        <v>2511</v>
      </c>
      <c r="J1009" s="61" t="s">
        <v>2511</v>
      </c>
      <c r="K1009" s="62" t="s">
        <v>2511</v>
      </c>
      <c r="L1009" s="60" t="s">
        <v>2511</v>
      </c>
      <c r="M1009" s="61" t="s">
        <v>2389</v>
      </c>
      <c r="N1009" s="61" t="s">
        <v>2511</v>
      </c>
      <c r="O1009" s="61" t="s">
        <v>2511</v>
      </c>
      <c r="P1009" s="62" t="s">
        <v>2511</v>
      </c>
      <c r="Q1009" s="82"/>
      <c r="R1009" s="82"/>
      <c r="S1009" s="82"/>
      <c r="T1009" s="82"/>
      <c r="U1009" s="82"/>
      <c r="V1009" s="138" t="s">
        <v>5338</v>
      </c>
      <c r="W1009" s="57" t="s">
        <v>4966</v>
      </c>
      <c r="X1009" s="126" t="s">
        <v>2511</v>
      </c>
      <c r="Y1009" s="126" t="s">
        <v>2511</v>
      </c>
      <c r="Z1009" s="57"/>
      <c r="AA1009" s="57" t="s">
        <v>4533</v>
      </c>
      <c r="AB1009" s="138"/>
      <c r="AC1009" s="138" t="s">
        <v>2631</v>
      </c>
      <c r="AD1009" s="96"/>
      <c r="AE1009" s="80"/>
      <c r="AF1009" s="80"/>
      <c r="AG1009" s="80"/>
      <c r="AH1009" s="83"/>
      <c r="AI1009" s="83"/>
      <c r="AJ1009" s="84"/>
      <c r="AK1009" s="84"/>
      <c r="AL1009" s="84"/>
      <c r="AM1009" s="84"/>
      <c r="AN1009" s="84"/>
      <c r="AO1009" s="84"/>
      <c r="AP1009" s="84"/>
      <c r="AQ1009" s="95" t="s">
        <v>2127</v>
      </c>
      <c r="AR1009" s="72"/>
      <c r="AS1009" s="72"/>
      <c r="AT1009" s="72"/>
      <c r="AU1009" s="72"/>
      <c r="AV1009" s="72"/>
      <c r="AW1009" s="72"/>
      <c r="AX1009" s="72"/>
      <c r="AY1009" s="72"/>
      <c r="AZ1009" s="72"/>
      <c r="BA1009" s="72"/>
      <c r="BB1009" s="16"/>
      <c r="BC1009" s="72"/>
      <c r="BD1009" s="20"/>
      <c r="BE1009" s="378"/>
    </row>
    <row r="1010" spans="1:57" s="81" customFormat="1" ht="12.95" hidden="1" customHeight="1">
      <c r="A1010" s="374"/>
      <c r="B1010" s="376"/>
      <c r="C1010" s="248" t="s">
        <v>1570</v>
      </c>
      <c r="D1010" s="239" t="s">
        <v>5339</v>
      </c>
      <c r="E1010" s="58"/>
      <c r="F1010" s="59" t="s">
        <v>5340</v>
      </c>
      <c r="G1010" s="191" t="s">
        <v>2511</v>
      </c>
      <c r="H1010" s="192" t="s">
        <v>2128</v>
      </c>
      <c r="I1010" s="61" t="s">
        <v>2511</v>
      </c>
      <c r="J1010" s="61" t="s">
        <v>2511</v>
      </c>
      <c r="K1010" s="62" t="s">
        <v>2511</v>
      </c>
      <c r="L1010" s="60" t="s">
        <v>2511</v>
      </c>
      <c r="M1010" s="61" t="s">
        <v>2389</v>
      </c>
      <c r="N1010" s="61" t="s">
        <v>2511</v>
      </c>
      <c r="O1010" s="61" t="s">
        <v>2511</v>
      </c>
      <c r="P1010" s="62" t="s">
        <v>2511</v>
      </c>
      <c r="Q1010" s="82"/>
      <c r="R1010" s="82"/>
      <c r="S1010" s="82"/>
      <c r="T1010" s="82"/>
      <c r="U1010" s="82"/>
      <c r="V1010" s="138" t="s">
        <v>5341</v>
      </c>
      <c r="W1010" s="57" t="s">
        <v>4966</v>
      </c>
      <c r="X1010" s="126" t="s">
        <v>2511</v>
      </c>
      <c r="Y1010" s="126" t="s">
        <v>2511</v>
      </c>
      <c r="Z1010" s="57"/>
      <c r="AA1010" s="57" t="s">
        <v>4533</v>
      </c>
      <c r="AB1010" s="138"/>
      <c r="AC1010" s="138" t="s">
        <v>2631</v>
      </c>
      <c r="AD1010" s="96"/>
      <c r="AE1010" s="80"/>
      <c r="AF1010" s="80"/>
      <c r="AG1010" s="80"/>
      <c r="AH1010" s="83"/>
      <c r="AI1010" s="83"/>
      <c r="AJ1010" s="84"/>
      <c r="AK1010" s="84"/>
      <c r="AL1010" s="84"/>
      <c r="AM1010" s="84"/>
      <c r="AN1010" s="84"/>
      <c r="AO1010" s="84"/>
      <c r="AP1010" s="84"/>
      <c r="AQ1010" s="95" t="s">
        <v>2128</v>
      </c>
      <c r="AR1010" s="72"/>
      <c r="AS1010" s="72"/>
      <c r="AT1010" s="72"/>
      <c r="AU1010" s="72"/>
      <c r="AV1010" s="72"/>
      <c r="AW1010" s="72"/>
      <c r="AX1010" s="72"/>
      <c r="AY1010" s="72"/>
      <c r="AZ1010" s="72"/>
      <c r="BA1010" s="72"/>
      <c r="BB1010" s="16"/>
      <c r="BC1010" s="72"/>
      <c r="BD1010" s="20"/>
      <c r="BE1010" s="378"/>
    </row>
    <row r="1011" spans="1:57" s="81" customFormat="1" ht="12.95" hidden="1" customHeight="1">
      <c r="A1011" s="374"/>
      <c r="B1011" s="376"/>
      <c r="C1011" s="248" t="s">
        <v>1571</v>
      </c>
      <c r="D1011" s="239" t="s">
        <v>5342</v>
      </c>
      <c r="E1011" s="58"/>
      <c r="F1011" s="59" t="s">
        <v>5343</v>
      </c>
      <c r="G1011" s="191" t="s">
        <v>2511</v>
      </c>
      <c r="H1011" s="192" t="s">
        <v>2129</v>
      </c>
      <c r="I1011" s="61" t="s">
        <v>2511</v>
      </c>
      <c r="J1011" s="61" t="s">
        <v>2511</v>
      </c>
      <c r="K1011" s="62" t="s">
        <v>2511</v>
      </c>
      <c r="L1011" s="60" t="s">
        <v>2511</v>
      </c>
      <c r="M1011" s="61" t="s">
        <v>2389</v>
      </c>
      <c r="N1011" s="61" t="s">
        <v>2511</v>
      </c>
      <c r="O1011" s="61" t="s">
        <v>2511</v>
      </c>
      <c r="P1011" s="62" t="s">
        <v>2511</v>
      </c>
      <c r="Q1011" s="82"/>
      <c r="R1011" s="82"/>
      <c r="S1011" s="82"/>
      <c r="T1011" s="82"/>
      <c r="U1011" s="82"/>
      <c r="V1011" s="138" t="s">
        <v>5344</v>
      </c>
      <c r="W1011" s="57" t="s">
        <v>4966</v>
      </c>
      <c r="X1011" s="126" t="s">
        <v>2511</v>
      </c>
      <c r="Y1011" s="126" t="s">
        <v>2511</v>
      </c>
      <c r="Z1011" s="57"/>
      <c r="AA1011" s="57" t="s">
        <v>4533</v>
      </c>
      <c r="AB1011" s="138"/>
      <c r="AC1011" s="138" t="s">
        <v>2631</v>
      </c>
      <c r="AD1011" s="96"/>
      <c r="AE1011" s="80"/>
      <c r="AF1011" s="80"/>
      <c r="AG1011" s="80"/>
      <c r="AH1011" s="83"/>
      <c r="AI1011" s="83"/>
      <c r="AJ1011" s="84"/>
      <c r="AK1011" s="84"/>
      <c r="AL1011" s="84"/>
      <c r="AM1011" s="84"/>
      <c r="AN1011" s="84"/>
      <c r="AO1011" s="84"/>
      <c r="AP1011" s="84"/>
      <c r="AQ1011" s="95" t="s">
        <v>2129</v>
      </c>
      <c r="AR1011" s="72"/>
      <c r="AS1011" s="72"/>
      <c r="AT1011" s="72"/>
      <c r="AU1011" s="72"/>
      <c r="AV1011" s="72"/>
      <c r="AW1011" s="72"/>
      <c r="AX1011" s="72"/>
      <c r="AY1011" s="72"/>
      <c r="AZ1011" s="72"/>
      <c r="BA1011" s="72"/>
      <c r="BB1011" s="16"/>
      <c r="BC1011" s="72"/>
      <c r="BD1011" s="20"/>
      <c r="BE1011" s="378"/>
    </row>
    <row r="1012" spans="1:57" s="81" customFormat="1" ht="12.95" hidden="1" customHeight="1">
      <c r="A1012" s="374"/>
      <c r="B1012" s="376"/>
      <c r="C1012" s="248" t="s">
        <v>1572</v>
      </c>
      <c r="D1012" s="239" t="s">
        <v>5345</v>
      </c>
      <c r="E1012" s="58"/>
      <c r="F1012" s="59" t="s">
        <v>5346</v>
      </c>
      <c r="G1012" s="191" t="s">
        <v>2511</v>
      </c>
      <c r="H1012" s="192" t="s">
        <v>2130</v>
      </c>
      <c r="I1012" s="61" t="s">
        <v>2511</v>
      </c>
      <c r="J1012" s="61" t="s">
        <v>2511</v>
      </c>
      <c r="K1012" s="62" t="s">
        <v>2511</v>
      </c>
      <c r="L1012" s="60" t="s">
        <v>2511</v>
      </c>
      <c r="M1012" s="61" t="s">
        <v>2389</v>
      </c>
      <c r="N1012" s="61" t="s">
        <v>2511</v>
      </c>
      <c r="O1012" s="61" t="s">
        <v>2511</v>
      </c>
      <c r="P1012" s="62" t="s">
        <v>2511</v>
      </c>
      <c r="Q1012" s="82"/>
      <c r="R1012" s="82"/>
      <c r="S1012" s="82"/>
      <c r="T1012" s="82"/>
      <c r="U1012" s="82"/>
      <c r="V1012" s="138" t="s">
        <v>5347</v>
      </c>
      <c r="W1012" s="57" t="s">
        <v>4966</v>
      </c>
      <c r="X1012" s="126" t="s">
        <v>2511</v>
      </c>
      <c r="Y1012" s="126" t="s">
        <v>2511</v>
      </c>
      <c r="Z1012" s="57"/>
      <c r="AA1012" s="57" t="s">
        <v>4533</v>
      </c>
      <c r="AB1012" s="138"/>
      <c r="AC1012" s="138" t="s">
        <v>2631</v>
      </c>
      <c r="AD1012" s="96"/>
      <c r="AE1012" s="80"/>
      <c r="AF1012" s="80"/>
      <c r="AG1012" s="80"/>
      <c r="AH1012" s="83"/>
      <c r="AI1012" s="83"/>
      <c r="AJ1012" s="84"/>
      <c r="AK1012" s="84"/>
      <c r="AL1012" s="84"/>
      <c r="AM1012" s="84"/>
      <c r="AN1012" s="84"/>
      <c r="AO1012" s="84"/>
      <c r="AP1012" s="84"/>
      <c r="AQ1012" s="95" t="s">
        <v>2130</v>
      </c>
      <c r="AR1012" s="72"/>
      <c r="AS1012" s="72"/>
      <c r="AT1012" s="72"/>
      <c r="AU1012" s="72"/>
      <c r="AV1012" s="72"/>
      <c r="AW1012" s="72"/>
      <c r="AX1012" s="72"/>
      <c r="AY1012" s="72"/>
      <c r="AZ1012" s="72"/>
      <c r="BA1012" s="72"/>
      <c r="BB1012" s="16"/>
      <c r="BC1012" s="72"/>
      <c r="BD1012" s="20"/>
      <c r="BE1012" s="378"/>
    </row>
    <row r="1013" spans="1:57" s="81" customFormat="1" ht="12.95" hidden="1" customHeight="1">
      <c r="A1013" s="374"/>
      <c r="B1013" s="376"/>
      <c r="C1013" s="248" t="s">
        <v>1573</v>
      </c>
      <c r="D1013" s="239" t="s">
        <v>5348</v>
      </c>
      <c r="E1013" s="58"/>
      <c r="F1013" s="59" t="s">
        <v>5349</v>
      </c>
      <c r="G1013" s="191" t="s">
        <v>2511</v>
      </c>
      <c r="H1013" s="192" t="s">
        <v>2131</v>
      </c>
      <c r="I1013" s="61" t="s">
        <v>2511</v>
      </c>
      <c r="J1013" s="61" t="s">
        <v>2511</v>
      </c>
      <c r="K1013" s="62" t="s">
        <v>2511</v>
      </c>
      <c r="L1013" s="60" t="s">
        <v>2511</v>
      </c>
      <c r="M1013" s="61" t="s">
        <v>2389</v>
      </c>
      <c r="N1013" s="61" t="s">
        <v>2511</v>
      </c>
      <c r="O1013" s="61" t="s">
        <v>2511</v>
      </c>
      <c r="P1013" s="62" t="s">
        <v>2511</v>
      </c>
      <c r="Q1013" s="82"/>
      <c r="R1013" s="82"/>
      <c r="S1013" s="82"/>
      <c r="T1013" s="82"/>
      <c r="U1013" s="82"/>
      <c r="V1013" s="138" t="s">
        <v>5350</v>
      </c>
      <c r="W1013" s="57" t="s">
        <v>4966</v>
      </c>
      <c r="X1013" s="126" t="s">
        <v>2511</v>
      </c>
      <c r="Y1013" s="126" t="s">
        <v>2511</v>
      </c>
      <c r="Z1013" s="57"/>
      <c r="AA1013" s="57" t="s">
        <v>4533</v>
      </c>
      <c r="AB1013" s="138"/>
      <c r="AC1013" s="138" t="s">
        <v>2631</v>
      </c>
      <c r="AD1013" s="96"/>
      <c r="AE1013" s="80"/>
      <c r="AF1013" s="80"/>
      <c r="AG1013" s="80"/>
      <c r="AH1013" s="83"/>
      <c r="AI1013" s="83"/>
      <c r="AJ1013" s="84"/>
      <c r="AK1013" s="84"/>
      <c r="AL1013" s="84"/>
      <c r="AM1013" s="84"/>
      <c r="AN1013" s="84"/>
      <c r="AO1013" s="84"/>
      <c r="AP1013" s="84"/>
      <c r="AQ1013" s="95" t="s">
        <v>2131</v>
      </c>
      <c r="AR1013" s="72"/>
      <c r="AS1013" s="72"/>
      <c r="AT1013" s="72"/>
      <c r="AU1013" s="72"/>
      <c r="AV1013" s="72"/>
      <c r="AW1013" s="72"/>
      <c r="AX1013" s="72"/>
      <c r="AY1013" s="72"/>
      <c r="AZ1013" s="72"/>
      <c r="BA1013" s="72"/>
      <c r="BB1013" s="16"/>
      <c r="BC1013" s="72"/>
      <c r="BD1013" s="20"/>
      <c r="BE1013" s="378"/>
    </row>
    <row r="1014" spans="1:57" s="81" customFormat="1" ht="12.95" hidden="1" customHeight="1">
      <c r="A1014" s="374"/>
      <c r="B1014" s="376"/>
      <c r="C1014" s="270" t="s">
        <v>1574</v>
      </c>
      <c r="D1014" s="239" t="s">
        <v>5351</v>
      </c>
      <c r="E1014" s="58"/>
      <c r="F1014" s="59" t="s">
        <v>5352</v>
      </c>
      <c r="G1014" s="191" t="s">
        <v>2511</v>
      </c>
      <c r="H1014" s="192" t="s">
        <v>2132</v>
      </c>
      <c r="I1014" s="61" t="s">
        <v>2511</v>
      </c>
      <c r="J1014" s="61" t="s">
        <v>2511</v>
      </c>
      <c r="K1014" s="62" t="s">
        <v>2511</v>
      </c>
      <c r="L1014" s="60" t="s">
        <v>2511</v>
      </c>
      <c r="M1014" s="61" t="s">
        <v>2389</v>
      </c>
      <c r="N1014" s="61" t="s">
        <v>2511</v>
      </c>
      <c r="O1014" s="61" t="s">
        <v>2511</v>
      </c>
      <c r="P1014" s="62" t="s">
        <v>2511</v>
      </c>
      <c r="Q1014" s="82"/>
      <c r="R1014" s="82"/>
      <c r="S1014" s="82"/>
      <c r="T1014" s="82"/>
      <c r="U1014" s="82"/>
      <c r="V1014" s="138" t="s">
        <v>5353</v>
      </c>
      <c r="W1014" s="57" t="s">
        <v>4966</v>
      </c>
      <c r="X1014" s="126" t="s">
        <v>2511</v>
      </c>
      <c r="Y1014" s="126" t="s">
        <v>2511</v>
      </c>
      <c r="Z1014" s="57"/>
      <c r="AA1014" s="57" t="s">
        <v>4533</v>
      </c>
      <c r="AB1014" s="138"/>
      <c r="AC1014" s="138" t="s">
        <v>2631</v>
      </c>
      <c r="AD1014" s="96"/>
      <c r="AE1014" s="80"/>
      <c r="AF1014" s="80"/>
      <c r="AG1014" s="80"/>
      <c r="AH1014" s="83"/>
      <c r="AI1014" s="83"/>
      <c r="AJ1014" s="84"/>
      <c r="AK1014" s="84"/>
      <c r="AL1014" s="84"/>
      <c r="AM1014" s="84"/>
      <c r="AN1014" s="84"/>
      <c r="AO1014" s="84"/>
      <c r="AP1014" s="84"/>
      <c r="AQ1014" s="95" t="s">
        <v>2132</v>
      </c>
      <c r="AR1014" s="72"/>
      <c r="AS1014" s="72"/>
      <c r="AT1014" s="72"/>
      <c r="AU1014" s="72"/>
      <c r="AV1014" s="72"/>
      <c r="AW1014" s="72"/>
      <c r="AX1014" s="72"/>
      <c r="AY1014" s="72"/>
      <c r="AZ1014" s="72"/>
      <c r="BA1014" s="72"/>
      <c r="BB1014" s="16"/>
      <c r="BC1014" s="72"/>
      <c r="BD1014" s="20"/>
      <c r="BE1014" s="378"/>
    </row>
    <row r="1015" spans="1:57" s="81" customFormat="1" ht="12.95" hidden="1" customHeight="1">
      <c r="A1015" s="374"/>
      <c r="B1015" s="376"/>
      <c r="C1015" s="270" t="s">
        <v>1575</v>
      </c>
      <c r="D1015" s="239" t="s">
        <v>5354</v>
      </c>
      <c r="E1015" s="58"/>
      <c r="F1015" s="59" t="s">
        <v>5355</v>
      </c>
      <c r="G1015" s="191" t="s">
        <v>2511</v>
      </c>
      <c r="H1015" s="192" t="s">
        <v>2133</v>
      </c>
      <c r="I1015" s="61" t="s">
        <v>2511</v>
      </c>
      <c r="J1015" s="61" t="s">
        <v>2511</v>
      </c>
      <c r="K1015" s="62" t="s">
        <v>2511</v>
      </c>
      <c r="L1015" s="60" t="s">
        <v>2511</v>
      </c>
      <c r="M1015" s="61" t="s">
        <v>2389</v>
      </c>
      <c r="N1015" s="61" t="s">
        <v>2511</v>
      </c>
      <c r="O1015" s="61" t="s">
        <v>2511</v>
      </c>
      <c r="P1015" s="62" t="s">
        <v>2511</v>
      </c>
      <c r="Q1015" s="82"/>
      <c r="R1015" s="82"/>
      <c r="S1015" s="82"/>
      <c r="T1015" s="82"/>
      <c r="U1015" s="82"/>
      <c r="V1015" s="138" t="s">
        <v>5356</v>
      </c>
      <c r="W1015" s="57" t="s">
        <v>4966</v>
      </c>
      <c r="X1015" s="126" t="s">
        <v>2511</v>
      </c>
      <c r="Y1015" s="126" t="s">
        <v>2511</v>
      </c>
      <c r="Z1015" s="57"/>
      <c r="AA1015" s="57" t="s">
        <v>4533</v>
      </c>
      <c r="AB1015" s="138"/>
      <c r="AC1015" s="138" t="s">
        <v>2631</v>
      </c>
      <c r="AD1015" s="96"/>
      <c r="AE1015" s="80"/>
      <c r="AF1015" s="80"/>
      <c r="AG1015" s="80"/>
      <c r="AH1015" s="83"/>
      <c r="AI1015" s="83"/>
      <c r="AJ1015" s="84"/>
      <c r="AK1015" s="84"/>
      <c r="AL1015" s="84"/>
      <c r="AM1015" s="84"/>
      <c r="AN1015" s="84"/>
      <c r="AO1015" s="84"/>
      <c r="AP1015" s="84"/>
      <c r="AQ1015" s="95" t="s">
        <v>2133</v>
      </c>
      <c r="AR1015" s="72"/>
      <c r="AS1015" s="72"/>
      <c r="AT1015" s="72"/>
      <c r="AU1015" s="72"/>
      <c r="AV1015" s="72"/>
      <c r="AW1015" s="72"/>
      <c r="AX1015" s="72"/>
      <c r="AY1015" s="72"/>
      <c r="AZ1015" s="72"/>
      <c r="BA1015" s="72"/>
      <c r="BB1015" s="16"/>
      <c r="BC1015" s="72"/>
      <c r="BD1015" s="20"/>
      <c r="BE1015" s="378"/>
    </row>
    <row r="1016" spans="1:57" s="81" customFormat="1" ht="12.95" hidden="1" customHeight="1">
      <c r="A1016" s="374"/>
      <c r="B1016" s="376"/>
      <c r="C1016" s="248" t="s">
        <v>1576</v>
      </c>
      <c r="D1016" s="239" t="s">
        <v>5357</v>
      </c>
      <c r="E1016" s="58"/>
      <c r="F1016" s="59" t="s">
        <v>5358</v>
      </c>
      <c r="G1016" s="191" t="s">
        <v>2511</v>
      </c>
      <c r="H1016" s="192" t="s">
        <v>2134</v>
      </c>
      <c r="I1016" s="61" t="s">
        <v>2511</v>
      </c>
      <c r="J1016" s="61" t="s">
        <v>2511</v>
      </c>
      <c r="K1016" s="62" t="s">
        <v>2511</v>
      </c>
      <c r="L1016" s="60" t="s">
        <v>2511</v>
      </c>
      <c r="M1016" s="61" t="s">
        <v>2389</v>
      </c>
      <c r="N1016" s="61" t="s">
        <v>2511</v>
      </c>
      <c r="O1016" s="61" t="s">
        <v>2511</v>
      </c>
      <c r="P1016" s="62" t="s">
        <v>2511</v>
      </c>
      <c r="Q1016" s="82"/>
      <c r="R1016" s="82"/>
      <c r="S1016" s="82"/>
      <c r="T1016" s="82"/>
      <c r="U1016" s="82"/>
      <c r="V1016" s="138" t="s">
        <v>5359</v>
      </c>
      <c r="W1016" s="57" t="s">
        <v>4966</v>
      </c>
      <c r="X1016" s="126" t="s">
        <v>2511</v>
      </c>
      <c r="Y1016" s="126" t="s">
        <v>2511</v>
      </c>
      <c r="Z1016" s="57"/>
      <c r="AA1016" s="57" t="s">
        <v>4533</v>
      </c>
      <c r="AB1016" s="138"/>
      <c r="AC1016" s="138">
        <v>0</v>
      </c>
      <c r="AD1016" s="96"/>
      <c r="AE1016" s="80"/>
      <c r="AF1016" s="80"/>
      <c r="AG1016" s="80"/>
      <c r="AH1016" s="83"/>
      <c r="AI1016" s="83"/>
      <c r="AJ1016" s="84"/>
      <c r="AK1016" s="84"/>
      <c r="AL1016" s="84"/>
      <c r="AM1016" s="84"/>
      <c r="AN1016" s="84"/>
      <c r="AO1016" s="84"/>
      <c r="AP1016" s="84"/>
      <c r="AQ1016" s="95" t="s">
        <v>2134</v>
      </c>
      <c r="AR1016" s="72"/>
      <c r="AS1016" s="72"/>
      <c r="AT1016" s="72"/>
      <c r="AU1016" s="72"/>
      <c r="AV1016" s="72"/>
      <c r="AW1016" s="72"/>
      <c r="AX1016" s="72"/>
      <c r="AY1016" s="72"/>
      <c r="AZ1016" s="72"/>
      <c r="BA1016" s="72"/>
      <c r="BB1016" s="16"/>
      <c r="BC1016" s="72"/>
      <c r="BD1016" s="20"/>
      <c r="BE1016" s="378"/>
    </row>
    <row r="1017" spans="1:57" s="81" customFormat="1" ht="12.95" hidden="1" customHeight="1">
      <c r="A1017" s="374"/>
      <c r="B1017" s="376"/>
      <c r="C1017" s="248" t="s">
        <v>1577</v>
      </c>
      <c r="D1017" s="239" t="s">
        <v>5360</v>
      </c>
      <c r="E1017" s="58"/>
      <c r="F1017" s="59" t="s">
        <v>5361</v>
      </c>
      <c r="G1017" s="191" t="s">
        <v>2511</v>
      </c>
      <c r="H1017" s="192" t="s">
        <v>2135</v>
      </c>
      <c r="I1017" s="61" t="s">
        <v>2511</v>
      </c>
      <c r="J1017" s="61" t="s">
        <v>2511</v>
      </c>
      <c r="K1017" s="62" t="s">
        <v>2511</v>
      </c>
      <c r="L1017" s="60" t="s">
        <v>2511</v>
      </c>
      <c r="M1017" s="61" t="s">
        <v>2389</v>
      </c>
      <c r="N1017" s="61" t="s">
        <v>2511</v>
      </c>
      <c r="O1017" s="61" t="s">
        <v>2511</v>
      </c>
      <c r="P1017" s="62" t="s">
        <v>2511</v>
      </c>
      <c r="Q1017" s="82"/>
      <c r="R1017" s="82"/>
      <c r="S1017" s="82"/>
      <c r="T1017" s="82"/>
      <c r="U1017" s="82"/>
      <c r="V1017" s="138" t="s">
        <v>5362</v>
      </c>
      <c r="W1017" s="57" t="s">
        <v>4966</v>
      </c>
      <c r="X1017" s="126" t="s">
        <v>2511</v>
      </c>
      <c r="Y1017" s="126" t="s">
        <v>2511</v>
      </c>
      <c r="Z1017" s="57"/>
      <c r="AA1017" s="57" t="s">
        <v>4533</v>
      </c>
      <c r="AB1017" s="138"/>
      <c r="AC1017" s="138" t="s">
        <v>2631</v>
      </c>
      <c r="AD1017" s="96"/>
      <c r="AE1017" s="80"/>
      <c r="AF1017" s="80"/>
      <c r="AG1017" s="80"/>
      <c r="AH1017" s="83"/>
      <c r="AI1017" s="83"/>
      <c r="AJ1017" s="84"/>
      <c r="AK1017" s="84"/>
      <c r="AL1017" s="84"/>
      <c r="AM1017" s="84"/>
      <c r="AN1017" s="84"/>
      <c r="AO1017" s="84"/>
      <c r="AP1017" s="84"/>
      <c r="AQ1017" s="95" t="s">
        <v>2135</v>
      </c>
      <c r="AR1017" s="72"/>
      <c r="AS1017" s="72"/>
      <c r="AT1017" s="72"/>
      <c r="AU1017" s="72"/>
      <c r="AV1017" s="72"/>
      <c r="AW1017" s="72"/>
      <c r="AX1017" s="72"/>
      <c r="AY1017" s="72"/>
      <c r="AZ1017" s="72"/>
      <c r="BA1017" s="72"/>
      <c r="BB1017" s="16"/>
      <c r="BC1017" s="72"/>
      <c r="BD1017" s="20"/>
      <c r="BE1017" s="378"/>
    </row>
    <row r="1018" spans="1:57" s="81" customFormat="1" ht="12.95" hidden="1" customHeight="1">
      <c r="A1018" s="374"/>
      <c r="B1018" s="376"/>
      <c r="C1018" s="248" t="s">
        <v>1578</v>
      </c>
      <c r="D1018" s="239" t="s">
        <v>5363</v>
      </c>
      <c r="E1018" s="58"/>
      <c r="F1018" s="59" t="s">
        <v>5364</v>
      </c>
      <c r="G1018" s="191" t="s">
        <v>2511</v>
      </c>
      <c r="H1018" s="192" t="s">
        <v>2136</v>
      </c>
      <c r="I1018" s="61" t="s">
        <v>2511</v>
      </c>
      <c r="J1018" s="61" t="s">
        <v>2511</v>
      </c>
      <c r="K1018" s="62" t="s">
        <v>2511</v>
      </c>
      <c r="L1018" s="60" t="s">
        <v>2511</v>
      </c>
      <c r="M1018" s="61" t="s">
        <v>2389</v>
      </c>
      <c r="N1018" s="61" t="s">
        <v>2511</v>
      </c>
      <c r="O1018" s="61" t="s">
        <v>2511</v>
      </c>
      <c r="P1018" s="62" t="s">
        <v>2511</v>
      </c>
      <c r="Q1018" s="82"/>
      <c r="R1018" s="82"/>
      <c r="S1018" s="82"/>
      <c r="T1018" s="82"/>
      <c r="U1018" s="82"/>
      <c r="V1018" s="138" t="s">
        <v>5365</v>
      </c>
      <c r="W1018" s="57" t="s">
        <v>4966</v>
      </c>
      <c r="X1018" s="126" t="s">
        <v>2511</v>
      </c>
      <c r="Y1018" s="126" t="s">
        <v>2511</v>
      </c>
      <c r="Z1018" s="57"/>
      <c r="AA1018" s="57" t="s">
        <v>4533</v>
      </c>
      <c r="AB1018" s="138"/>
      <c r="AC1018" s="138" t="s">
        <v>2631</v>
      </c>
      <c r="AD1018" s="96"/>
      <c r="AE1018" s="80"/>
      <c r="AF1018" s="80"/>
      <c r="AG1018" s="80"/>
      <c r="AH1018" s="83"/>
      <c r="AI1018" s="83"/>
      <c r="AJ1018" s="84"/>
      <c r="AK1018" s="84"/>
      <c r="AL1018" s="84"/>
      <c r="AM1018" s="84"/>
      <c r="AN1018" s="84"/>
      <c r="AO1018" s="84"/>
      <c r="AP1018" s="84"/>
      <c r="AQ1018" s="95" t="s">
        <v>2136</v>
      </c>
      <c r="AR1018" s="72"/>
      <c r="AS1018" s="72"/>
      <c r="AT1018" s="72"/>
      <c r="AU1018" s="72"/>
      <c r="AV1018" s="72"/>
      <c r="AW1018" s="72"/>
      <c r="AX1018" s="72"/>
      <c r="AY1018" s="72"/>
      <c r="AZ1018" s="72"/>
      <c r="BA1018" s="72"/>
      <c r="BB1018" s="16"/>
      <c r="BC1018" s="72"/>
      <c r="BD1018" s="20"/>
      <c r="BE1018" s="378"/>
    </row>
    <row r="1019" spans="1:57" s="81" customFormat="1" ht="12.95" hidden="1" customHeight="1">
      <c r="A1019" s="374"/>
      <c r="B1019" s="376"/>
      <c r="C1019" s="248" t="s">
        <v>1579</v>
      </c>
      <c r="D1019" s="239" t="s">
        <v>5366</v>
      </c>
      <c r="E1019" s="58"/>
      <c r="F1019" s="59" t="s">
        <v>5367</v>
      </c>
      <c r="G1019" s="191" t="s">
        <v>2511</v>
      </c>
      <c r="H1019" s="192" t="s">
        <v>2137</v>
      </c>
      <c r="I1019" s="61" t="s">
        <v>2511</v>
      </c>
      <c r="J1019" s="61" t="s">
        <v>2511</v>
      </c>
      <c r="K1019" s="62" t="s">
        <v>2511</v>
      </c>
      <c r="L1019" s="60" t="s">
        <v>2511</v>
      </c>
      <c r="M1019" s="61" t="s">
        <v>2389</v>
      </c>
      <c r="N1019" s="61" t="s">
        <v>2511</v>
      </c>
      <c r="O1019" s="61" t="s">
        <v>2511</v>
      </c>
      <c r="P1019" s="62" t="s">
        <v>2511</v>
      </c>
      <c r="Q1019" s="82"/>
      <c r="R1019" s="82"/>
      <c r="S1019" s="82"/>
      <c r="T1019" s="82"/>
      <c r="U1019" s="82"/>
      <c r="V1019" s="138" t="s">
        <v>5368</v>
      </c>
      <c r="W1019" s="57" t="s">
        <v>4966</v>
      </c>
      <c r="X1019" s="126" t="s">
        <v>2511</v>
      </c>
      <c r="Y1019" s="126" t="s">
        <v>2511</v>
      </c>
      <c r="Z1019" s="57"/>
      <c r="AA1019" s="57" t="s">
        <v>4533</v>
      </c>
      <c r="AB1019" s="138"/>
      <c r="AC1019" s="138" t="s">
        <v>2631</v>
      </c>
      <c r="AD1019" s="96"/>
      <c r="AE1019" s="80"/>
      <c r="AF1019" s="80"/>
      <c r="AG1019" s="80"/>
      <c r="AH1019" s="83"/>
      <c r="AI1019" s="83"/>
      <c r="AJ1019" s="84"/>
      <c r="AK1019" s="84"/>
      <c r="AL1019" s="84"/>
      <c r="AM1019" s="84"/>
      <c r="AN1019" s="84"/>
      <c r="AO1019" s="84"/>
      <c r="AP1019" s="84"/>
      <c r="AQ1019" s="95" t="s">
        <v>2137</v>
      </c>
      <c r="AR1019" s="72"/>
      <c r="AS1019" s="72"/>
      <c r="AT1019" s="72"/>
      <c r="AU1019" s="72"/>
      <c r="AV1019" s="72"/>
      <c r="AW1019" s="72"/>
      <c r="AX1019" s="72"/>
      <c r="AY1019" s="72"/>
      <c r="AZ1019" s="72"/>
      <c r="BA1019" s="72"/>
      <c r="BB1019" s="16"/>
      <c r="BC1019" s="72"/>
      <c r="BD1019" s="20"/>
      <c r="BE1019" s="378"/>
    </row>
    <row r="1020" spans="1:57" s="81" customFormat="1" ht="12.95" hidden="1" customHeight="1">
      <c r="A1020" s="374"/>
      <c r="B1020" s="376"/>
      <c r="C1020" s="248" t="s">
        <v>1580</v>
      </c>
      <c r="D1020" s="239" t="s">
        <v>5369</v>
      </c>
      <c r="E1020" s="58"/>
      <c r="F1020" s="59" t="s">
        <v>5370</v>
      </c>
      <c r="G1020" s="191" t="s">
        <v>2511</v>
      </c>
      <c r="H1020" s="192" t="s">
        <v>2138</v>
      </c>
      <c r="I1020" s="61" t="s">
        <v>2511</v>
      </c>
      <c r="J1020" s="61" t="s">
        <v>2511</v>
      </c>
      <c r="K1020" s="62" t="s">
        <v>2511</v>
      </c>
      <c r="L1020" s="60" t="s">
        <v>2511</v>
      </c>
      <c r="M1020" s="61" t="s">
        <v>2389</v>
      </c>
      <c r="N1020" s="61" t="s">
        <v>2511</v>
      </c>
      <c r="O1020" s="61" t="s">
        <v>2511</v>
      </c>
      <c r="P1020" s="62" t="s">
        <v>2511</v>
      </c>
      <c r="Q1020" s="82"/>
      <c r="R1020" s="82"/>
      <c r="S1020" s="82"/>
      <c r="T1020" s="82"/>
      <c r="U1020" s="82"/>
      <c r="V1020" s="138" t="s">
        <v>5371</v>
      </c>
      <c r="W1020" s="57" t="s">
        <v>4966</v>
      </c>
      <c r="X1020" s="126" t="s">
        <v>2511</v>
      </c>
      <c r="Y1020" s="126" t="s">
        <v>2511</v>
      </c>
      <c r="Z1020" s="57"/>
      <c r="AA1020" s="57" t="s">
        <v>4533</v>
      </c>
      <c r="AB1020" s="138"/>
      <c r="AC1020" s="138" t="s">
        <v>2631</v>
      </c>
      <c r="AD1020" s="96"/>
      <c r="AE1020" s="80"/>
      <c r="AF1020" s="80"/>
      <c r="AG1020" s="80"/>
      <c r="AH1020" s="83"/>
      <c r="AI1020" s="83"/>
      <c r="AJ1020" s="84"/>
      <c r="AK1020" s="84"/>
      <c r="AL1020" s="84"/>
      <c r="AM1020" s="84"/>
      <c r="AN1020" s="84"/>
      <c r="AO1020" s="84"/>
      <c r="AP1020" s="84"/>
      <c r="AQ1020" s="95" t="s">
        <v>2138</v>
      </c>
      <c r="AR1020" s="72"/>
      <c r="AS1020" s="72"/>
      <c r="AT1020" s="72"/>
      <c r="AU1020" s="72"/>
      <c r="AV1020" s="72"/>
      <c r="AW1020" s="72"/>
      <c r="AX1020" s="72"/>
      <c r="AY1020" s="72"/>
      <c r="AZ1020" s="72"/>
      <c r="BA1020" s="72"/>
      <c r="BB1020" s="16"/>
      <c r="BC1020" s="72"/>
      <c r="BD1020" s="20"/>
      <c r="BE1020" s="378"/>
    </row>
    <row r="1021" spans="1:57" s="81" customFormat="1" ht="12.95" hidden="1" customHeight="1">
      <c r="A1021" s="374"/>
      <c r="B1021" s="376"/>
      <c r="C1021" s="248" t="s">
        <v>1581</v>
      </c>
      <c r="D1021" s="239" t="s">
        <v>5372</v>
      </c>
      <c r="E1021" s="58"/>
      <c r="F1021" s="59" t="s">
        <v>5373</v>
      </c>
      <c r="G1021" s="191" t="s">
        <v>2511</v>
      </c>
      <c r="H1021" s="192" t="s">
        <v>2139</v>
      </c>
      <c r="I1021" s="61" t="s">
        <v>2511</v>
      </c>
      <c r="J1021" s="61" t="s">
        <v>2511</v>
      </c>
      <c r="K1021" s="62" t="s">
        <v>2511</v>
      </c>
      <c r="L1021" s="60" t="s">
        <v>2511</v>
      </c>
      <c r="M1021" s="61" t="s">
        <v>2389</v>
      </c>
      <c r="N1021" s="61" t="s">
        <v>2511</v>
      </c>
      <c r="O1021" s="61" t="s">
        <v>2511</v>
      </c>
      <c r="P1021" s="62" t="s">
        <v>2511</v>
      </c>
      <c r="Q1021" s="82"/>
      <c r="R1021" s="82"/>
      <c r="S1021" s="82"/>
      <c r="T1021" s="82"/>
      <c r="U1021" s="82"/>
      <c r="V1021" s="138" t="s">
        <v>5374</v>
      </c>
      <c r="W1021" s="57" t="s">
        <v>4966</v>
      </c>
      <c r="X1021" s="126" t="s">
        <v>2511</v>
      </c>
      <c r="Y1021" s="126" t="s">
        <v>2511</v>
      </c>
      <c r="Z1021" s="57"/>
      <c r="AA1021" s="57" t="s">
        <v>4533</v>
      </c>
      <c r="AB1021" s="138"/>
      <c r="AC1021" s="138" t="s">
        <v>2631</v>
      </c>
      <c r="AD1021" s="96"/>
      <c r="AE1021" s="80"/>
      <c r="AF1021" s="80"/>
      <c r="AG1021" s="80"/>
      <c r="AH1021" s="83"/>
      <c r="AI1021" s="83"/>
      <c r="AJ1021" s="84"/>
      <c r="AK1021" s="84"/>
      <c r="AL1021" s="84"/>
      <c r="AM1021" s="84"/>
      <c r="AN1021" s="84"/>
      <c r="AO1021" s="84"/>
      <c r="AP1021" s="84"/>
      <c r="AQ1021" s="95" t="s">
        <v>2139</v>
      </c>
      <c r="AR1021" s="72"/>
      <c r="AS1021" s="72"/>
      <c r="AT1021" s="72"/>
      <c r="AU1021" s="72"/>
      <c r="AV1021" s="72"/>
      <c r="AW1021" s="72"/>
      <c r="AX1021" s="72"/>
      <c r="AY1021" s="72"/>
      <c r="AZ1021" s="72"/>
      <c r="BA1021" s="72"/>
      <c r="BB1021" s="16"/>
      <c r="BC1021" s="72"/>
      <c r="BD1021" s="20"/>
      <c r="BE1021" s="378"/>
    </row>
    <row r="1022" spans="1:57" s="81" customFormat="1" ht="12.95" hidden="1" customHeight="1">
      <c r="A1022" s="374"/>
      <c r="B1022" s="376"/>
      <c r="C1022" s="248" t="s">
        <v>1582</v>
      </c>
      <c r="D1022" s="239" t="s">
        <v>5375</v>
      </c>
      <c r="E1022" s="58"/>
      <c r="F1022" s="59" t="s">
        <v>5376</v>
      </c>
      <c r="G1022" s="191" t="s">
        <v>2511</v>
      </c>
      <c r="H1022" s="192" t="s">
        <v>2140</v>
      </c>
      <c r="I1022" s="61" t="s">
        <v>2511</v>
      </c>
      <c r="J1022" s="61" t="s">
        <v>2511</v>
      </c>
      <c r="K1022" s="62" t="s">
        <v>2511</v>
      </c>
      <c r="L1022" s="60" t="s">
        <v>2511</v>
      </c>
      <c r="M1022" s="61" t="s">
        <v>2389</v>
      </c>
      <c r="N1022" s="61" t="s">
        <v>2511</v>
      </c>
      <c r="O1022" s="61" t="s">
        <v>2511</v>
      </c>
      <c r="P1022" s="62" t="s">
        <v>2511</v>
      </c>
      <c r="Q1022" s="82"/>
      <c r="R1022" s="82"/>
      <c r="S1022" s="82"/>
      <c r="T1022" s="82"/>
      <c r="U1022" s="82"/>
      <c r="V1022" s="138" t="s">
        <v>5377</v>
      </c>
      <c r="W1022" s="57" t="s">
        <v>4966</v>
      </c>
      <c r="X1022" s="126" t="s">
        <v>2511</v>
      </c>
      <c r="Y1022" s="126" t="s">
        <v>2511</v>
      </c>
      <c r="Z1022" s="57"/>
      <c r="AA1022" s="57" t="s">
        <v>4533</v>
      </c>
      <c r="AB1022" s="138"/>
      <c r="AC1022" s="138" t="s">
        <v>2631</v>
      </c>
      <c r="AD1022" s="96"/>
      <c r="AE1022" s="80"/>
      <c r="AF1022" s="80"/>
      <c r="AG1022" s="80"/>
      <c r="AH1022" s="83"/>
      <c r="AI1022" s="83"/>
      <c r="AJ1022" s="84"/>
      <c r="AK1022" s="84"/>
      <c r="AL1022" s="84"/>
      <c r="AM1022" s="84"/>
      <c r="AN1022" s="84"/>
      <c r="AO1022" s="84"/>
      <c r="AP1022" s="84"/>
      <c r="AQ1022" s="95" t="s">
        <v>2140</v>
      </c>
      <c r="AR1022" s="72"/>
      <c r="AS1022" s="72"/>
      <c r="AT1022" s="72"/>
      <c r="AU1022" s="72"/>
      <c r="AV1022" s="72"/>
      <c r="AW1022" s="72"/>
      <c r="AX1022" s="72"/>
      <c r="AY1022" s="72"/>
      <c r="AZ1022" s="72"/>
      <c r="BA1022" s="72"/>
      <c r="BB1022" s="16"/>
      <c r="BC1022" s="72"/>
      <c r="BD1022" s="20"/>
      <c r="BE1022" s="378"/>
    </row>
    <row r="1023" spans="1:57" s="81" customFormat="1" ht="12.95" hidden="1" customHeight="1">
      <c r="A1023" s="374"/>
      <c r="B1023" s="376"/>
      <c r="C1023" s="248" t="s">
        <v>1583</v>
      </c>
      <c r="D1023" s="239" t="s">
        <v>5378</v>
      </c>
      <c r="E1023" s="58"/>
      <c r="F1023" s="59" t="s">
        <v>5379</v>
      </c>
      <c r="G1023" s="191" t="s">
        <v>2511</v>
      </c>
      <c r="H1023" s="192" t="s">
        <v>2141</v>
      </c>
      <c r="I1023" s="61" t="s">
        <v>2511</v>
      </c>
      <c r="J1023" s="61" t="s">
        <v>2511</v>
      </c>
      <c r="K1023" s="62" t="s">
        <v>2511</v>
      </c>
      <c r="L1023" s="60" t="s">
        <v>2511</v>
      </c>
      <c r="M1023" s="61" t="s">
        <v>2389</v>
      </c>
      <c r="N1023" s="61" t="s">
        <v>2511</v>
      </c>
      <c r="O1023" s="61" t="s">
        <v>2511</v>
      </c>
      <c r="P1023" s="62" t="s">
        <v>2511</v>
      </c>
      <c r="Q1023" s="82"/>
      <c r="R1023" s="82"/>
      <c r="S1023" s="82"/>
      <c r="T1023" s="82"/>
      <c r="U1023" s="82"/>
      <c r="V1023" s="138" t="s">
        <v>5380</v>
      </c>
      <c r="W1023" s="57" t="s">
        <v>4966</v>
      </c>
      <c r="X1023" s="126" t="s">
        <v>2511</v>
      </c>
      <c r="Y1023" s="126" t="s">
        <v>2511</v>
      </c>
      <c r="Z1023" s="57"/>
      <c r="AA1023" s="57" t="s">
        <v>4533</v>
      </c>
      <c r="AB1023" s="138"/>
      <c r="AC1023" s="138" t="s">
        <v>2631</v>
      </c>
      <c r="AD1023" s="96"/>
      <c r="AE1023" s="80"/>
      <c r="AF1023" s="80"/>
      <c r="AG1023" s="80"/>
      <c r="AH1023" s="83"/>
      <c r="AI1023" s="83"/>
      <c r="AJ1023" s="84"/>
      <c r="AK1023" s="84"/>
      <c r="AL1023" s="84"/>
      <c r="AM1023" s="84"/>
      <c r="AN1023" s="84"/>
      <c r="AO1023" s="84"/>
      <c r="AP1023" s="84"/>
      <c r="AQ1023" s="95" t="s">
        <v>2141</v>
      </c>
      <c r="AR1023" s="72"/>
      <c r="AS1023" s="72"/>
      <c r="AT1023" s="72"/>
      <c r="AU1023" s="72"/>
      <c r="AV1023" s="72"/>
      <c r="AW1023" s="72"/>
      <c r="AX1023" s="72"/>
      <c r="AY1023" s="72"/>
      <c r="AZ1023" s="72"/>
      <c r="BA1023" s="72"/>
      <c r="BB1023" s="16"/>
      <c r="BC1023" s="72"/>
      <c r="BD1023" s="20"/>
      <c r="BE1023" s="378"/>
    </row>
    <row r="1024" spans="1:57" s="81" customFormat="1" ht="12.95" hidden="1" customHeight="1">
      <c r="A1024" s="374"/>
      <c r="B1024" s="376"/>
      <c r="C1024" s="248" t="s">
        <v>1584</v>
      </c>
      <c r="D1024" s="239" t="s">
        <v>5381</v>
      </c>
      <c r="E1024" s="58"/>
      <c r="F1024" s="59" t="s">
        <v>5382</v>
      </c>
      <c r="G1024" s="191" t="s">
        <v>2511</v>
      </c>
      <c r="H1024" s="192" t="s">
        <v>2142</v>
      </c>
      <c r="I1024" s="61" t="s">
        <v>2511</v>
      </c>
      <c r="J1024" s="61" t="s">
        <v>2511</v>
      </c>
      <c r="K1024" s="62" t="s">
        <v>2511</v>
      </c>
      <c r="L1024" s="60" t="s">
        <v>2511</v>
      </c>
      <c r="M1024" s="61" t="s">
        <v>2389</v>
      </c>
      <c r="N1024" s="61" t="s">
        <v>2511</v>
      </c>
      <c r="O1024" s="61" t="s">
        <v>2511</v>
      </c>
      <c r="P1024" s="62" t="s">
        <v>2511</v>
      </c>
      <c r="Q1024" s="82"/>
      <c r="R1024" s="82"/>
      <c r="S1024" s="82"/>
      <c r="T1024" s="82"/>
      <c r="U1024" s="82"/>
      <c r="V1024" s="138" t="s">
        <v>5383</v>
      </c>
      <c r="W1024" s="57" t="s">
        <v>4966</v>
      </c>
      <c r="X1024" s="126" t="s">
        <v>2511</v>
      </c>
      <c r="Y1024" s="126" t="s">
        <v>2511</v>
      </c>
      <c r="Z1024" s="57"/>
      <c r="AA1024" s="57" t="s">
        <v>4533</v>
      </c>
      <c r="AB1024" s="138"/>
      <c r="AC1024" s="138" t="s">
        <v>2631</v>
      </c>
      <c r="AD1024" s="96"/>
      <c r="AE1024" s="80"/>
      <c r="AF1024" s="80"/>
      <c r="AG1024" s="80"/>
      <c r="AH1024" s="83"/>
      <c r="AI1024" s="83"/>
      <c r="AJ1024" s="84"/>
      <c r="AK1024" s="84"/>
      <c r="AL1024" s="84"/>
      <c r="AM1024" s="84"/>
      <c r="AN1024" s="84"/>
      <c r="AO1024" s="84"/>
      <c r="AP1024" s="84"/>
      <c r="AQ1024" s="95" t="s">
        <v>2142</v>
      </c>
      <c r="AR1024" s="72"/>
      <c r="AS1024" s="72"/>
      <c r="AT1024" s="72"/>
      <c r="AU1024" s="72"/>
      <c r="AV1024" s="72"/>
      <c r="AW1024" s="72"/>
      <c r="AX1024" s="72"/>
      <c r="AY1024" s="72"/>
      <c r="AZ1024" s="72"/>
      <c r="BA1024" s="72"/>
      <c r="BB1024" s="16"/>
      <c r="BC1024" s="72"/>
      <c r="BD1024" s="20"/>
      <c r="BE1024" s="378"/>
    </row>
    <row r="1025" spans="1:57" s="81" customFormat="1" ht="12.95" hidden="1" customHeight="1">
      <c r="A1025" s="374"/>
      <c r="B1025" s="376"/>
      <c r="C1025" s="248" t="s">
        <v>1585</v>
      </c>
      <c r="D1025" s="239" t="s">
        <v>5384</v>
      </c>
      <c r="E1025" s="58"/>
      <c r="F1025" s="59" t="s">
        <v>5385</v>
      </c>
      <c r="G1025" s="191" t="s">
        <v>2511</v>
      </c>
      <c r="H1025" s="192" t="s">
        <v>2143</v>
      </c>
      <c r="I1025" s="61" t="s">
        <v>2511</v>
      </c>
      <c r="J1025" s="61" t="s">
        <v>2511</v>
      </c>
      <c r="K1025" s="62" t="s">
        <v>2511</v>
      </c>
      <c r="L1025" s="60" t="s">
        <v>2511</v>
      </c>
      <c r="M1025" s="61" t="s">
        <v>2389</v>
      </c>
      <c r="N1025" s="61" t="s">
        <v>2511</v>
      </c>
      <c r="O1025" s="61" t="s">
        <v>2511</v>
      </c>
      <c r="P1025" s="62" t="s">
        <v>2511</v>
      </c>
      <c r="Q1025" s="82"/>
      <c r="R1025" s="82"/>
      <c r="S1025" s="82"/>
      <c r="T1025" s="82"/>
      <c r="U1025" s="82"/>
      <c r="V1025" s="138" t="s">
        <v>5386</v>
      </c>
      <c r="W1025" s="57" t="s">
        <v>4966</v>
      </c>
      <c r="X1025" s="126" t="s">
        <v>2511</v>
      </c>
      <c r="Y1025" s="126" t="s">
        <v>2511</v>
      </c>
      <c r="Z1025" s="57"/>
      <c r="AA1025" s="57" t="s">
        <v>4533</v>
      </c>
      <c r="AB1025" s="138"/>
      <c r="AC1025" s="138" t="s">
        <v>2631</v>
      </c>
      <c r="AD1025" s="96"/>
      <c r="AE1025" s="80"/>
      <c r="AF1025" s="80"/>
      <c r="AG1025" s="80"/>
      <c r="AH1025" s="83"/>
      <c r="AI1025" s="83"/>
      <c r="AJ1025" s="84"/>
      <c r="AK1025" s="84"/>
      <c r="AL1025" s="84"/>
      <c r="AM1025" s="84"/>
      <c r="AN1025" s="84"/>
      <c r="AO1025" s="84"/>
      <c r="AP1025" s="84"/>
      <c r="AQ1025" s="95" t="s">
        <v>2143</v>
      </c>
      <c r="AR1025" s="72"/>
      <c r="AS1025" s="72"/>
      <c r="AT1025" s="72"/>
      <c r="AU1025" s="72"/>
      <c r="AV1025" s="72"/>
      <c r="AW1025" s="72"/>
      <c r="AX1025" s="72"/>
      <c r="AY1025" s="72"/>
      <c r="AZ1025" s="72"/>
      <c r="BA1025" s="72"/>
      <c r="BB1025" s="16"/>
      <c r="BC1025" s="72"/>
      <c r="BD1025" s="20"/>
      <c r="BE1025" s="378"/>
    </row>
    <row r="1026" spans="1:57" s="81" customFormat="1" ht="12.95" hidden="1" customHeight="1">
      <c r="A1026" s="374"/>
      <c r="B1026" s="376"/>
      <c r="C1026" s="270" t="s">
        <v>1586</v>
      </c>
      <c r="D1026" s="239" t="s">
        <v>5387</v>
      </c>
      <c r="E1026" s="58"/>
      <c r="F1026" s="59" t="s">
        <v>5388</v>
      </c>
      <c r="G1026" s="191" t="s">
        <v>2511</v>
      </c>
      <c r="H1026" s="192" t="s">
        <v>2144</v>
      </c>
      <c r="I1026" s="61" t="s">
        <v>2511</v>
      </c>
      <c r="J1026" s="61" t="s">
        <v>2511</v>
      </c>
      <c r="K1026" s="62" t="s">
        <v>2511</v>
      </c>
      <c r="L1026" s="60" t="s">
        <v>2511</v>
      </c>
      <c r="M1026" s="61" t="s">
        <v>2389</v>
      </c>
      <c r="N1026" s="61" t="s">
        <v>2511</v>
      </c>
      <c r="O1026" s="61" t="s">
        <v>2511</v>
      </c>
      <c r="P1026" s="62" t="s">
        <v>2511</v>
      </c>
      <c r="Q1026" s="82"/>
      <c r="R1026" s="82"/>
      <c r="S1026" s="82"/>
      <c r="T1026" s="82"/>
      <c r="U1026" s="82"/>
      <c r="V1026" s="138" t="s">
        <v>5389</v>
      </c>
      <c r="W1026" s="57" t="s">
        <v>4966</v>
      </c>
      <c r="X1026" s="126" t="s">
        <v>2511</v>
      </c>
      <c r="Y1026" s="126" t="s">
        <v>2511</v>
      </c>
      <c r="Z1026" s="57"/>
      <c r="AA1026" s="57" t="s">
        <v>4533</v>
      </c>
      <c r="AB1026" s="138"/>
      <c r="AC1026" s="138" t="s">
        <v>2631</v>
      </c>
      <c r="AD1026" s="96"/>
      <c r="AE1026" s="80"/>
      <c r="AF1026" s="80"/>
      <c r="AG1026" s="80"/>
      <c r="AH1026" s="83"/>
      <c r="AI1026" s="83"/>
      <c r="AJ1026" s="84"/>
      <c r="AK1026" s="84"/>
      <c r="AL1026" s="84"/>
      <c r="AM1026" s="84"/>
      <c r="AN1026" s="84"/>
      <c r="AO1026" s="84"/>
      <c r="AP1026" s="84"/>
      <c r="AQ1026" s="95" t="s">
        <v>2144</v>
      </c>
      <c r="AR1026" s="72"/>
      <c r="AS1026" s="72"/>
      <c r="AT1026" s="72"/>
      <c r="AU1026" s="72"/>
      <c r="AV1026" s="72"/>
      <c r="AW1026" s="72"/>
      <c r="AX1026" s="72"/>
      <c r="AY1026" s="72"/>
      <c r="AZ1026" s="72"/>
      <c r="BA1026" s="72"/>
      <c r="BB1026" s="16"/>
      <c r="BC1026" s="72"/>
      <c r="BD1026" s="20"/>
      <c r="BE1026" s="378"/>
    </row>
    <row r="1027" spans="1:57" s="81" customFormat="1" ht="12.95" hidden="1" customHeight="1">
      <c r="A1027" s="374"/>
      <c r="B1027" s="376"/>
      <c r="C1027" s="270" t="s">
        <v>1587</v>
      </c>
      <c r="D1027" s="239" t="s">
        <v>5390</v>
      </c>
      <c r="E1027" s="58"/>
      <c r="F1027" s="59" t="s">
        <v>5391</v>
      </c>
      <c r="G1027" s="191" t="s">
        <v>2511</v>
      </c>
      <c r="H1027" s="192" t="s">
        <v>2145</v>
      </c>
      <c r="I1027" s="61" t="s">
        <v>2511</v>
      </c>
      <c r="J1027" s="61" t="s">
        <v>2511</v>
      </c>
      <c r="K1027" s="62" t="s">
        <v>2511</v>
      </c>
      <c r="L1027" s="60" t="s">
        <v>2511</v>
      </c>
      <c r="M1027" s="61" t="s">
        <v>2389</v>
      </c>
      <c r="N1027" s="61" t="s">
        <v>2511</v>
      </c>
      <c r="O1027" s="61" t="s">
        <v>2511</v>
      </c>
      <c r="P1027" s="62" t="s">
        <v>2511</v>
      </c>
      <c r="Q1027" s="82"/>
      <c r="R1027" s="82"/>
      <c r="S1027" s="82"/>
      <c r="T1027" s="82"/>
      <c r="U1027" s="82"/>
      <c r="V1027" s="138" t="s">
        <v>5392</v>
      </c>
      <c r="W1027" s="57" t="s">
        <v>4966</v>
      </c>
      <c r="X1027" s="126" t="s">
        <v>2511</v>
      </c>
      <c r="Y1027" s="126" t="s">
        <v>2511</v>
      </c>
      <c r="Z1027" s="57"/>
      <c r="AA1027" s="57" t="s">
        <v>4533</v>
      </c>
      <c r="AB1027" s="138"/>
      <c r="AC1027" s="138" t="s">
        <v>2631</v>
      </c>
      <c r="AD1027" s="96"/>
      <c r="AE1027" s="80"/>
      <c r="AF1027" s="80"/>
      <c r="AG1027" s="80"/>
      <c r="AH1027" s="83"/>
      <c r="AI1027" s="83"/>
      <c r="AJ1027" s="84"/>
      <c r="AK1027" s="84"/>
      <c r="AL1027" s="84"/>
      <c r="AM1027" s="84"/>
      <c r="AN1027" s="84"/>
      <c r="AO1027" s="84"/>
      <c r="AP1027" s="84"/>
      <c r="AQ1027" s="95" t="s">
        <v>2145</v>
      </c>
      <c r="AR1027" s="72"/>
      <c r="AS1027" s="72"/>
      <c r="AT1027" s="72"/>
      <c r="AU1027" s="72"/>
      <c r="AV1027" s="72"/>
      <c r="AW1027" s="72"/>
      <c r="AX1027" s="72"/>
      <c r="AY1027" s="72"/>
      <c r="AZ1027" s="72"/>
      <c r="BA1027" s="72"/>
      <c r="BB1027" s="16"/>
      <c r="BC1027" s="72"/>
      <c r="BD1027" s="20"/>
      <c r="BE1027" s="378"/>
    </row>
    <row r="1028" spans="1:57" s="81" customFormat="1" ht="12.95" hidden="1" customHeight="1">
      <c r="A1028" s="374"/>
      <c r="B1028" s="376"/>
      <c r="C1028" s="270" t="s">
        <v>1588</v>
      </c>
      <c r="D1028" s="239" t="s">
        <v>5393</v>
      </c>
      <c r="E1028" s="58"/>
      <c r="F1028" s="59" t="s">
        <v>5394</v>
      </c>
      <c r="G1028" s="191" t="s">
        <v>2511</v>
      </c>
      <c r="H1028" s="192" t="s">
        <v>2146</v>
      </c>
      <c r="I1028" s="61" t="s">
        <v>2511</v>
      </c>
      <c r="J1028" s="61" t="s">
        <v>2511</v>
      </c>
      <c r="K1028" s="62" t="s">
        <v>2511</v>
      </c>
      <c r="L1028" s="60" t="s">
        <v>2511</v>
      </c>
      <c r="M1028" s="61" t="s">
        <v>2389</v>
      </c>
      <c r="N1028" s="61" t="s">
        <v>2511</v>
      </c>
      <c r="O1028" s="61" t="s">
        <v>2511</v>
      </c>
      <c r="P1028" s="62" t="s">
        <v>2511</v>
      </c>
      <c r="Q1028" s="82"/>
      <c r="R1028" s="82"/>
      <c r="S1028" s="82"/>
      <c r="T1028" s="82"/>
      <c r="U1028" s="82"/>
      <c r="V1028" s="138" t="s">
        <v>5395</v>
      </c>
      <c r="W1028" s="57" t="s">
        <v>4966</v>
      </c>
      <c r="X1028" s="126" t="s">
        <v>2511</v>
      </c>
      <c r="Y1028" s="126" t="s">
        <v>2511</v>
      </c>
      <c r="Z1028" s="57"/>
      <c r="AA1028" s="57" t="s">
        <v>4533</v>
      </c>
      <c r="AB1028" s="138"/>
      <c r="AC1028" s="138">
        <v>0</v>
      </c>
      <c r="AD1028" s="96"/>
      <c r="AE1028" s="80"/>
      <c r="AF1028" s="80"/>
      <c r="AG1028" s="80"/>
      <c r="AH1028" s="83"/>
      <c r="AI1028" s="83"/>
      <c r="AJ1028" s="84"/>
      <c r="AK1028" s="84"/>
      <c r="AL1028" s="84"/>
      <c r="AM1028" s="84"/>
      <c r="AN1028" s="84"/>
      <c r="AO1028" s="84"/>
      <c r="AP1028" s="84"/>
      <c r="AQ1028" s="95" t="s">
        <v>2146</v>
      </c>
      <c r="AR1028" s="72"/>
      <c r="AS1028" s="72"/>
      <c r="AT1028" s="72"/>
      <c r="AU1028" s="72"/>
      <c r="AV1028" s="72"/>
      <c r="AW1028" s="72"/>
      <c r="AX1028" s="72"/>
      <c r="AY1028" s="72"/>
      <c r="AZ1028" s="72"/>
      <c r="BA1028" s="72"/>
      <c r="BB1028" s="16"/>
      <c r="BC1028" s="72"/>
      <c r="BD1028" s="20"/>
      <c r="BE1028" s="378"/>
    </row>
    <row r="1029" spans="1:57" s="91" customFormat="1" ht="18" hidden="1" customHeight="1">
      <c r="A1029" s="278"/>
      <c r="B1029" s="278"/>
      <c r="C1029" s="268" t="s">
        <v>1737</v>
      </c>
      <c r="D1029" s="268"/>
      <c r="E1029" s="86"/>
      <c r="F1029" s="86"/>
      <c r="G1029" s="87"/>
      <c r="H1029" s="87"/>
      <c r="I1029" s="87"/>
      <c r="J1029" s="87"/>
      <c r="K1029" s="87"/>
      <c r="L1029" s="86"/>
      <c r="M1029" s="86"/>
      <c r="N1029" s="86"/>
      <c r="O1029" s="86"/>
      <c r="P1029" s="86"/>
      <c r="Q1029" s="86"/>
      <c r="R1029" s="86"/>
      <c r="S1029" s="86"/>
      <c r="T1029" s="86"/>
      <c r="U1029" s="86"/>
      <c r="V1029" s="86"/>
      <c r="W1029" s="86"/>
      <c r="X1029" s="129"/>
      <c r="Y1029" s="129"/>
      <c r="Z1029" s="88"/>
      <c r="AA1029" s="88"/>
      <c r="AB1029" s="88"/>
      <c r="AC1029" s="88"/>
      <c r="AD1029" s="88"/>
      <c r="AE1029" s="88"/>
      <c r="AF1029" s="88"/>
      <c r="AG1029" s="88"/>
      <c r="AH1029" s="88"/>
      <c r="AI1029" s="88"/>
      <c r="AJ1029" s="88"/>
      <c r="AK1029" s="88"/>
      <c r="AL1029" s="88"/>
      <c r="AM1029" s="88"/>
      <c r="AN1029" s="88"/>
      <c r="AO1029" s="88"/>
      <c r="AP1029" s="88"/>
      <c r="AQ1029" s="89"/>
      <c r="AR1029" s="89"/>
      <c r="AS1029" s="90"/>
      <c r="AT1029" s="90"/>
      <c r="AU1029" s="90"/>
      <c r="AV1029" s="90"/>
      <c r="AW1029" s="90"/>
      <c r="AX1029" s="90"/>
      <c r="AY1029" s="90"/>
      <c r="AZ1029" s="90"/>
      <c r="BA1029" s="90"/>
      <c r="BB1029" s="90"/>
      <c r="BC1029" s="175" t="s">
        <v>478</v>
      </c>
      <c r="BD1029" s="90"/>
      <c r="BE1029" s="234" t="s">
        <v>1737</v>
      </c>
    </row>
    <row r="1030" spans="1:57" s="81" customFormat="1" ht="12.95" hidden="1" customHeight="1">
      <c r="A1030" s="302"/>
      <c r="B1030" s="302"/>
      <c r="C1030" s="271" t="s">
        <v>1738</v>
      </c>
      <c r="D1030" s="239" t="s">
        <v>5396</v>
      </c>
      <c r="E1030" s="58"/>
      <c r="F1030" s="59" t="s">
        <v>5397</v>
      </c>
      <c r="G1030" s="191" t="s">
        <v>2511</v>
      </c>
      <c r="H1030" s="192" t="s">
        <v>886</v>
      </c>
      <c r="I1030" s="61" t="s">
        <v>2511</v>
      </c>
      <c r="J1030" s="61" t="s">
        <v>2511</v>
      </c>
      <c r="K1030" s="62" t="s">
        <v>2511</v>
      </c>
      <c r="L1030" s="60" t="s">
        <v>2511</v>
      </c>
      <c r="M1030" s="61" t="s">
        <v>2389</v>
      </c>
      <c r="N1030" s="61" t="s">
        <v>2511</v>
      </c>
      <c r="O1030" s="61" t="s">
        <v>2511</v>
      </c>
      <c r="P1030" s="62" t="s">
        <v>2511</v>
      </c>
      <c r="Q1030" s="82"/>
      <c r="R1030" s="82"/>
      <c r="S1030" s="82"/>
      <c r="T1030" s="82"/>
      <c r="U1030" s="82"/>
      <c r="V1030" s="138" t="s">
        <v>5398</v>
      </c>
      <c r="W1030" s="57" t="s">
        <v>5399</v>
      </c>
      <c r="X1030" s="126" t="s">
        <v>2511</v>
      </c>
      <c r="Y1030" s="126" t="s">
        <v>2511</v>
      </c>
      <c r="Z1030" s="57"/>
      <c r="AA1030" s="57" t="s">
        <v>4528</v>
      </c>
      <c r="AB1030" s="138"/>
      <c r="AC1030" s="138">
        <v>0</v>
      </c>
      <c r="AD1030" s="96"/>
      <c r="AE1030" s="80"/>
      <c r="AF1030" s="80"/>
      <c r="AG1030" s="80"/>
      <c r="AH1030" s="83"/>
      <c r="AI1030" s="83"/>
      <c r="AJ1030" s="84"/>
      <c r="AK1030" s="84"/>
      <c r="AL1030" s="84"/>
      <c r="AM1030" s="84"/>
      <c r="AN1030" s="84"/>
      <c r="AO1030" s="84"/>
      <c r="AP1030" s="84"/>
      <c r="AQ1030" s="95" t="s">
        <v>886</v>
      </c>
      <c r="AR1030" s="72"/>
      <c r="AS1030" s="72"/>
      <c r="AT1030" s="72"/>
      <c r="AU1030" s="72"/>
      <c r="AV1030" s="72"/>
      <c r="AW1030" s="72"/>
      <c r="AX1030" s="72"/>
      <c r="AY1030" s="72"/>
      <c r="AZ1030" s="72"/>
      <c r="BA1030" s="72"/>
      <c r="BB1030" s="16"/>
      <c r="BC1030" s="72"/>
      <c r="BD1030" s="20"/>
      <c r="BE1030" s="238" t="s">
        <v>2217</v>
      </c>
    </row>
    <row r="1031" spans="1:57" s="91" customFormat="1" ht="18" hidden="1" customHeight="1">
      <c r="A1031" s="229"/>
      <c r="B1031" s="100"/>
      <c r="C1031" s="268" t="s">
        <v>220</v>
      </c>
      <c r="D1031" s="268"/>
      <c r="E1031" s="86"/>
      <c r="F1031" s="86"/>
      <c r="G1031" s="87"/>
      <c r="H1031" s="87"/>
      <c r="I1031" s="87"/>
      <c r="J1031" s="87"/>
      <c r="K1031" s="87"/>
      <c r="L1031" s="86"/>
      <c r="M1031" s="86"/>
      <c r="N1031" s="86"/>
      <c r="O1031" s="86"/>
      <c r="P1031" s="86"/>
      <c r="Q1031" s="86"/>
      <c r="R1031" s="86"/>
      <c r="S1031" s="86"/>
      <c r="T1031" s="86"/>
      <c r="U1031" s="86"/>
      <c r="V1031" s="86"/>
      <c r="W1031" s="86"/>
      <c r="X1031" s="129"/>
      <c r="Y1031" s="129"/>
      <c r="Z1031" s="88"/>
      <c r="AA1031" s="88"/>
      <c r="AB1031" s="88"/>
      <c r="AC1031" s="88"/>
      <c r="AD1031" s="88"/>
      <c r="AE1031" s="88"/>
      <c r="AF1031" s="88"/>
      <c r="AG1031" s="88"/>
      <c r="AH1031" s="88"/>
      <c r="AI1031" s="88"/>
      <c r="AJ1031" s="88"/>
      <c r="AK1031" s="88"/>
      <c r="AL1031" s="88"/>
      <c r="AM1031" s="88"/>
      <c r="AN1031" s="88"/>
      <c r="AO1031" s="88"/>
      <c r="AP1031" s="88"/>
      <c r="AQ1031" s="89"/>
      <c r="AR1031" s="100"/>
      <c r="AS1031" s="101"/>
      <c r="AT1031" s="101"/>
      <c r="AU1031" s="101"/>
      <c r="AV1031" s="101"/>
      <c r="AW1031" s="101"/>
      <c r="AX1031" s="101"/>
      <c r="AY1031" s="101"/>
      <c r="AZ1031" s="101"/>
      <c r="BA1031" s="101"/>
      <c r="BB1031" s="101"/>
      <c r="BC1031" s="175" t="s">
        <v>59</v>
      </c>
      <c r="BD1031" s="101"/>
      <c r="BE1031" s="229" t="s">
        <v>220</v>
      </c>
    </row>
    <row r="1032" spans="1:57" s="81" customFormat="1" ht="12.95" hidden="1" customHeight="1">
      <c r="A1032" s="379"/>
      <c r="B1032" s="379"/>
      <c r="C1032" s="269" t="s">
        <v>221</v>
      </c>
      <c r="D1032" s="239" t="s">
        <v>5400</v>
      </c>
      <c r="E1032" s="58"/>
      <c r="F1032" s="59" t="s">
        <v>5401</v>
      </c>
      <c r="G1032" s="191" t="s">
        <v>2511</v>
      </c>
      <c r="H1032" s="192" t="s">
        <v>5402</v>
      </c>
      <c r="I1032" s="61" t="s">
        <v>2511</v>
      </c>
      <c r="J1032" s="61" t="s">
        <v>2511</v>
      </c>
      <c r="K1032" s="62" t="s">
        <v>2511</v>
      </c>
      <c r="L1032" s="60" t="s">
        <v>2511</v>
      </c>
      <c r="M1032" s="61" t="s">
        <v>2523</v>
      </c>
      <c r="N1032" s="61" t="s">
        <v>2511</v>
      </c>
      <c r="O1032" s="61" t="s">
        <v>2511</v>
      </c>
      <c r="P1032" s="62" t="s">
        <v>2511</v>
      </c>
      <c r="Q1032" s="82"/>
      <c r="R1032" s="82"/>
      <c r="S1032" s="82"/>
      <c r="T1032" s="82"/>
      <c r="U1032" s="82"/>
      <c r="V1032" s="138" t="s">
        <v>5403</v>
      </c>
      <c r="W1032" s="57" t="s">
        <v>5404</v>
      </c>
      <c r="X1032" s="126" t="s">
        <v>2511</v>
      </c>
      <c r="Y1032" s="126" t="s">
        <v>2511</v>
      </c>
      <c r="Z1032" s="57"/>
      <c r="AA1032" s="57" t="s">
        <v>5405</v>
      </c>
      <c r="AB1032" s="138"/>
      <c r="AC1032" s="138" t="s">
        <v>5406</v>
      </c>
      <c r="AD1032" s="93"/>
      <c r="AE1032" s="93"/>
      <c r="AF1032" s="93"/>
      <c r="AG1032" s="93"/>
      <c r="AH1032" s="94"/>
      <c r="AI1032" s="94"/>
      <c r="AJ1032" s="107"/>
      <c r="AK1032" s="107"/>
      <c r="AL1032" s="107"/>
      <c r="AM1032" s="107"/>
      <c r="AN1032" s="107"/>
      <c r="AO1032" s="107"/>
      <c r="AP1032" s="107"/>
      <c r="AQ1032" s="108" t="s">
        <v>221</v>
      </c>
      <c r="AR1032" s="3"/>
      <c r="AS1032" s="3"/>
      <c r="AT1032" s="3"/>
      <c r="AU1032" s="3"/>
      <c r="AV1032" s="3"/>
      <c r="AW1032" s="3"/>
      <c r="AX1032" s="3"/>
      <c r="AY1032" s="3"/>
      <c r="AZ1032" s="3"/>
      <c r="BA1032" s="3"/>
      <c r="BB1032" s="198"/>
      <c r="BC1032" s="3"/>
      <c r="BD1032" s="19"/>
      <c r="BE1032" s="380" t="s">
        <v>5414</v>
      </c>
    </row>
    <row r="1033" spans="1:57" s="81" customFormat="1" ht="12.95" hidden="1" customHeight="1">
      <c r="A1033" s="379"/>
      <c r="B1033" s="379"/>
      <c r="C1033" s="269" t="s">
        <v>222</v>
      </c>
      <c r="D1033" s="239" t="s">
        <v>5407</v>
      </c>
      <c r="E1033" s="109"/>
      <c r="F1033" s="110" t="s">
        <v>5408</v>
      </c>
      <c r="G1033" s="204" t="s">
        <v>2511</v>
      </c>
      <c r="H1033" s="240" t="s">
        <v>5409</v>
      </c>
      <c r="I1033" s="203" t="s">
        <v>2511</v>
      </c>
      <c r="J1033" s="203" t="s">
        <v>2511</v>
      </c>
      <c r="K1033" s="206" t="s">
        <v>2511</v>
      </c>
      <c r="L1033" s="208" t="s">
        <v>2511</v>
      </c>
      <c r="M1033" s="203" t="s">
        <v>2388</v>
      </c>
      <c r="N1033" s="203" t="s">
        <v>2511</v>
      </c>
      <c r="O1033" s="203" t="s">
        <v>2511</v>
      </c>
      <c r="P1033" s="206" t="s">
        <v>2511</v>
      </c>
      <c r="Q1033" s="111"/>
      <c r="R1033" s="111"/>
      <c r="S1033" s="111"/>
      <c r="T1033" s="111"/>
      <c r="U1033" s="111"/>
      <c r="V1033" s="205" t="s">
        <v>5410</v>
      </c>
      <c r="W1033" s="123" t="s">
        <v>5404</v>
      </c>
      <c r="X1033" s="241" t="s">
        <v>2511</v>
      </c>
      <c r="Y1033" s="241" t="s">
        <v>2511</v>
      </c>
      <c r="Z1033" s="123"/>
      <c r="AA1033" s="123" t="s">
        <v>5405</v>
      </c>
      <c r="AB1033" s="205"/>
      <c r="AC1033" s="205" t="s">
        <v>5411</v>
      </c>
      <c r="AD1033" s="97"/>
      <c r="AE1033" s="97"/>
      <c r="AF1033" s="97"/>
      <c r="AG1033" s="97"/>
      <c r="AH1033" s="98"/>
      <c r="AI1033" s="98"/>
      <c r="AJ1033" s="99"/>
      <c r="AK1033" s="99"/>
      <c r="AL1033" s="99"/>
      <c r="AM1033" s="99"/>
      <c r="AN1033" s="99"/>
      <c r="AO1033" s="99"/>
      <c r="AP1033" s="99"/>
      <c r="AQ1033" s="112" t="s">
        <v>222</v>
      </c>
      <c r="AR1033" s="6"/>
      <c r="AS1033" s="6"/>
      <c r="AT1033" s="6"/>
      <c r="AU1033" s="6"/>
      <c r="AV1033" s="6"/>
      <c r="AW1033" s="6"/>
      <c r="AX1033" s="6"/>
      <c r="AY1033" s="6"/>
      <c r="AZ1033" s="6"/>
      <c r="BA1033" s="6"/>
      <c r="BB1033" s="199"/>
      <c r="BC1033" s="6"/>
      <c r="BD1033" s="21"/>
      <c r="BE1033" s="381"/>
    </row>
    <row r="1034" spans="1:57" s="25" customFormat="1" ht="15" hidden="1">
      <c r="A1034" s="148"/>
      <c r="C1034" s="24"/>
      <c r="D1034" s="24"/>
      <c r="E1034" s="24"/>
      <c r="F1034" s="24"/>
      <c r="G1034" s="78"/>
      <c r="H1034" s="78"/>
      <c r="I1034" s="78"/>
      <c r="J1034" s="78"/>
      <c r="K1034" s="78"/>
      <c r="L1034" s="24"/>
      <c r="M1034" s="24"/>
      <c r="N1034" s="24"/>
      <c r="O1034" s="24"/>
      <c r="P1034" s="24"/>
      <c r="Q1034" s="24"/>
      <c r="R1034" s="24"/>
      <c r="S1034" s="24"/>
      <c r="T1034" s="24"/>
      <c r="U1034" s="24"/>
      <c r="V1034" s="24"/>
      <c r="W1034" s="24"/>
      <c r="X1034" s="130"/>
      <c r="Y1034" s="130"/>
      <c r="Z1034" s="113"/>
      <c r="AA1034" s="113"/>
      <c r="AB1034" s="113"/>
      <c r="AC1034" s="113"/>
      <c r="AD1034" s="113"/>
      <c r="AE1034" s="113"/>
      <c r="AF1034" s="113"/>
      <c r="AG1034" s="113"/>
      <c r="AH1034" s="113"/>
      <c r="AI1034" s="113"/>
      <c r="AJ1034" s="113"/>
      <c r="AK1034" s="113"/>
      <c r="AL1034" s="113"/>
      <c r="AM1034" s="113"/>
      <c r="AN1034" s="113"/>
      <c r="AO1034" s="113"/>
      <c r="AP1034" s="113"/>
      <c r="AQ1034" s="118"/>
      <c r="AR1034" s="118"/>
      <c r="AS1034" s="118"/>
      <c r="AT1034" s="118"/>
      <c r="AU1034" s="118"/>
      <c r="AV1034" s="118"/>
      <c r="AW1034" s="118"/>
      <c r="AX1034" s="118"/>
      <c r="AY1034" s="118"/>
      <c r="AZ1034" s="118"/>
      <c r="BA1034" s="118"/>
      <c r="BB1034" s="118"/>
      <c r="BC1034" s="118"/>
      <c r="BD1034" s="115"/>
      <c r="BE1034" s="148"/>
    </row>
    <row r="1035" spans="1:57" s="25" customFormat="1" ht="15" hidden="1">
      <c r="A1035" s="113"/>
      <c r="C1035" s="24"/>
      <c r="D1035" s="24"/>
      <c r="E1035" s="24"/>
      <c r="F1035" s="24"/>
      <c r="G1035" s="78"/>
      <c r="H1035" s="78"/>
      <c r="I1035" s="340"/>
      <c r="J1035" s="340"/>
      <c r="K1035" s="340"/>
      <c r="L1035" s="340"/>
      <c r="M1035" s="340"/>
      <c r="N1035" s="340"/>
      <c r="O1035" s="340"/>
      <c r="P1035" s="340"/>
      <c r="Q1035" s="24"/>
      <c r="R1035" s="24"/>
      <c r="S1035" s="24"/>
      <c r="T1035" s="24"/>
      <c r="U1035" s="24"/>
      <c r="V1035" s="24"/>
      <c r="W1035" s="24"/>
      <c r="X1035" s="130"/>
      <c r="Y1035" s="130"/>
      <c r="Z1035" s="113"/>
      <c r="AA1035" s="113"/>
      <c r="AB1035" s="113"/>
      <c r="AC1035" s="113"/>
      <c r="AD1035" s="113"/>
      <c r="AE1035" s="113"/>
      <c r="AF1035" s="113"/>
      <c r="AG1035" s="113"/>
      <c r="AH1035" s="113"/>
      <c r="AI1035" s="113"/>
      <c r="AJ1035" s="113"/>
      <c r="AK1035" s="113"/>
      <c r="AL1035" s="113"/>
      <c r="AM1035" s="113"/>
      <c r="AN1035" s="113"/>
      <c r="AO1035" s="114"/>
      <c r="AP1035" s="114"/>
      <c r="AQ1035" s="148"/>
      <c r="AR1035" s="148"/>
      <c r="AS1035" s="148"/>
      <c r="AT1035" s="148"/>
      <c r="AU1035" s="148"/>
      <c r="AV1035" s="148"/>
      <c r="AW1035" s="148"/>
      <c r="AX1035" s="148"/>
      <c r="AY1035" s="148"/>
      <c r="AZ1035" s="148"/>
      <c r="BA1035" s="148"/>
      <c r="BB1035" s="148"/>
      <c r="BC1035" s="148"/>
      <c r="BD1035" s="209" t="s">
        <v>880</v>
      </c>
      <c r="BE1035" s="209"/>
    </row>
    <row r="1036" spans="1:57" s="119" customFormat="1" ht="15" hidden="1">
      <c r="A1036" s="116"/>
      <c r="C1036" s="307"/>
      <c r="D1036" s="307"/>
      <c r="E1036" s="307"/>
      <c r="F1036" s="307"/>
      <c r="G1036" s="237"/>
      <c r="H1036" s="237"/>
      <c r="I1036" s="237"/>
      <c r="J1036" s="237"/>
      <c r="K1036" s="237"/>
      <c r="L1036" s="307"/>
      <c r="M1036" s="307"/>
      <c r="N1036" s="307"/>
      <c r="O1036" s="307"/>
      <c r="P1036" s="307"/>
      <c r="Q1036" s="307"/>
      <c r="R1036" s="307"/>
      <c r="S1036" s="307"/>
      <c r="T1036" s="307"/>
      <c r="U1036" s="307"/>
      <c r="V1036" s="307"/>
      <c r="W1036" s="307"/>
      <c r="X1036" s="131"/>
      <c r="Y1036" s="131"/>
      <c r="Z1036" s="116"/>
      <c r="AA1036" s="116"/>
      <c r="AB1036" s="116"/>
      <c r="AC1036" s="116"/>
      <c r="AD1036" s="116"/>
      <c r="AE1036" s="116"/>
      <c r="AF1036" s="116"/>
      <c r="AG1036" s="116"/>
      <c r="AH1036" s="116"/>
      <c r="AI1036" s="116"/>
      <c r="AJ1036" s="116"/>
      <c r="AK1036" s="116"/>
      <c r="AL1036" s="116"/>
      <c r="AM1036" s="116"/>
      <c r="AN1036" s="116"/>
      <c r="AO1036" s="117"/>
      <c r="AP1036" s="117"/>
      <c r="AQ1036" s="149"/>
      <c r="AR1036" s="149"/>
      <c r="AS1036" s="149"/>
      <c r="AT1036" s="149"/>
      <c r="AU1036" s="149"/>
      <c r="AV1036" s="149"/>
      <c r="AW1036" s="149"/>
      <c r="AX1036" s="149"/>
      <c r="AY1036" s="149"/>
      <c r="AZ1036" s="149"/>
      <c r="BA1036" s="149"/>
      <c r="BB1036" s="149"/>
      <c r="BC1036" s="149"/>
      <c r="BD1036" s="210" t="s">
        <v>881</v>
      </c>
      <c r="BE1036" s="210" t="s">
        <v>882</v>
      </c>
    </row>
    <row r="1037" spans="1:57" s="119" customFormat="1" ht="15" hidden="1">
      <c r="A1037" s="279"/>
      <c r="C1037" s="307"/>
      <c r="D1037" s="307"/>
      <c r="E1037" s="307"/>
      <c r="F1037" s="307"/>
      <c r="G1037" s="237"/>
      <c r="H1037" s="237"/>
      <c r="I1037" s="237"/>
      <c r="J1037" s="237"/>
      <c r="K1037" s="237"/>
      <c r="L1037" s="307"/>
      <c r="M1037" s="307"/>
      <c r="N1037" s="307"/>
      <c r="O1037" s="307"/>
      <c r="P1037" s="307"/>
      <c r="Q1037" s="307"/>
      <c r="R1037" s="307"/>
      <c r="S1037" s="307"/>
      <c r="T1037" s="307"/>
      <c r="U1037" s="307"/>
      <c r="V1037" s="307"/>
      <c r="W1037" s="307"/>
      <c r="X1037" s="131"/>
      <c r="Y1037" s="131"/>
      <c r="Z1037" s="116"/>
      <c r="AA1037" s="116"/>
      <c r="AB1037" s="116"/>
      <c r="AC1037" s="116"/>
      <c r="AD1037" s="116"/>
      <c r="AE1037" s="116"/>
      <c r="AF1037" s="116"/>
      <c r="AG1037" s="116"/>
      <c r="AH1037" s="116"/>
      <c r="AI1037" s="116"/>
      <c r="AJ1037" s="116"/>
      <c r="AK1037" s="116"/>
      <c r="AL1037" s="116"/>
      <c r="AM1037" s="116"/>
      <c r="AN1037" s="116"/>
      <c r="AO1037" s="117"/>
      <c r="AP1037" s="117"/>
      <c r="AQ1037" s="149"/>
      <c r="AR1037" s="149"/>
      <c r="AS1037" s="149"/>
      <c r="AT1037" s="149"/>
      <c r="AU1037" s="149"/>
      <c r="AV1037" s="149"/>
      <c r="AW1037" s="149"/>
      <c r="AX1037" s="149"/>
      <c r="AY1037" s="149"/>
      <c r="AZ1037" s="149"/>
      <c r="BA1037" s="149"/>
      <c r="BB1037" s="149"/>
      <c r="BC1037" s="149"/>
      <c r="BD1037" s="211" t="s">
        <v>883</v>
      </c>
      <c r="BE1037" s="211" t="str">
        <f>BC27</f>
        <v>1.8V/3.3V</v>
      </c>
    </row>
    <row r="1038" spans="1:57" s="119" customFormat="1" ht="15" hidden="1">
      <c r="A1038" s="279"/>
      <c r="C1038" s="307"/>
      <c r="D1038" s="307"/>
      <c r="E1038" s="307"/>
      <c r="F1038" s="307"/>
      <c r="G1038" s="237"/>
      <c r="H1038" s="237"/>
      <c r="I1038" s="237"/>
      <c r="J1038" s="237"/>
      <c r="K1038" s="237"/>
      <c r="L1038" s="307"/>
      <c r="M1038" s="307"/>
      <c r="N1038" s="307"/>
      <c r="O1038" s="307"/>
      <c r="P1038" s="307"/>
      <c r="Q1038" s="307"/>
      <c r="R1038" s="307"/>
      <c r="S1038" s="307"/>
      <c r="T1038" s="307"/>
      <c r="U1038" s="307"/>
      <c r="V1038" s="307"/>
      <c r="W1038" s="307"/>
      <c r="X1038" s="131"/>
      <c r="Y1038" s="131"/>
      <c r="Z1038" s="116"/>
      <c r="AA1038" s="116"/>
      <c r="AB1038" s="116"/>
      <c r="AC1038" s="116"/>
      <c r="AD1038" s="116"/>
      <c r="AE1038" s="116"/>
      <c r="AF1038" s="116"/>
      <c r="AG1038" s="116"/>
      <c r="AH1038" s="116"/>
      <c r="AI1038" s="116"/>
      <c r="AJ1038" s="116"/>
      <c r="AK1038" s="116"/>
      <c r="AL1038" s="116"/>
      <c r="AM1038" s="116"/>
      <c r="AN1038" s="116"/>
      <c r="AO1038" s="117"/>
      <c r="AP1038" s="117"/>
      <c r="AQ1038" s="149"/>
      <c r="AR1038" s="149"/>
      <c r="AS1038" s="149"/>
      <c r="AT1038" s="149"/>
      <c r="AU1038" s="149"/>
      <c r="AV1038" s="149"/>
      <c r="AW1038" s="149"/>
      <c r="AX1038" s="149"/>
      <c r="AY1038" s="149"/>
      <c r="AZ1038" s="149"/>
      <c r="BA1038" s="149"/>
      <c r="BB1038" s="149"/>
      <c r="BC1038" s="149"/>
      <c r="BD1038" s="211" t="s">
        <v>884</v>
      </c>
      <c r="BE1038" s="211" t="str">
        <f>BC34</f>
        <v>1.8V/3.3V</v>
      </c>
    </row>
    <row r="1039" spans="1:57" s="25" customFormat="1" ht="15" hidden="1">
      <c r="A1039" s="280"/>
      <c r="C1039" s="24"/>
      <c r="D1039" s="24"/>
      <c r="E1039" s="24"/>
      <c r="F1039" s="24"/>
      <c r="G1039" s="78"/>
      <c r="H1039" s="78"/>
      <c r="I1039" s="78"/>
      <c r="J1039" s="78"/>
      <c r="K1039" s="78"/>
      <c r="L1039" s="24"/>
      <c r="M1039" s="24"/>
      <c r="N1039" s="24"/>
      <c r="O1039" s="24"/>
      <c r="P1039" s="24"/>
      <c r="Q1039" s="24"/>
      <c r="R1039" s="24"/>
      <c r="S1039" s="24"/>
      <c r="T1039" s="24"/>
      <c r="U1039" s="24"/>
      <c r="V1039" s="24"/>
      <c r="W1039" s="24"/>
      <c r="X1039" s="130"/>
      <c r="Y1039" s="130"/>
      <c r="Z1039" s="113"/>
      <c r="AA1039" s="113"/>
      <c r="AB1039" s="113"/>
      <c r="AC1039" s="113"/>
      <c r="AD1039" s="113"/>
      <c r="AE1039" s="113"/>
      <c r="AF1039" s="113"/>
      <c r="AG1039" s="113"/>
      <c r="AH1039" s="113"/>
      <c r="AI1039" s="113"/>
      <c r="AJ1039" s="113"/>
      <c r="AK1039" s="113"/>
      <c r="AL1039" s="113"/>
      <c r="AM1039" s="113"/>
      <c r="AN1039" s="113"/>
      <c r="AO1039" s="114"/>
      <c r="AP1039" s="114"/>
      <c r="AQ1039" s="148"/>
      <c r="AR1039" s="148"/>
      <c r="AS1039" s="148"/>
      <c r="AT1039" s="148"/>
      <c r="AU1039" s="148"/>
      <c r="AV1039" s="148"/>
      <c r="AW1039" s="148"/>
      <c r="AX1039" s="148"/>
      <c r="AY1039" s="148"/>
      <c r="AZ1039" s="148"/>
      <c r="BA1039" s="148"/>
      <c r="BB1039" s="148"/>
      <c r="BC1039" s="148"/>
      <c r="BD1039" s="212" t="s">
        <v>840</v>
      </c>
      <c r="BE1039" s="212" t="str">
        <f>BC41</f>
        <v>1.8V</v>
      </c>
    </row>
    <row r="1040" spans="1:57" s="25" customFormat="1" ht="15" hidden="1">
      <c r="A1040" s="280"/>
      <c r="C1040" s="24"/>
      <c r="D1040" s="24"/>
      <c r="E1040" s="24"/>
      <c r="F1040" s="24"/>
      <c r="G1040" s="78"/>
      <c r="H1040" s="78"/>
      <c r="I1040" s="78"/>
      <c r="J1040" s="78"/>
      <c r="K1040" s="78"/>
      <c r="L1040" s="24"/>
      <c r="M1040" s="24"/>
      <c r="N1040" s="24"/>
      <c r="O1040" s="24"/>
      <c r="P1040" s="24"/>
      <c r="Q1040" s="24"/>
      <c r="R1040" s="24"/>
      <c r="S1040" s="24"/>
      <c r="T1040" s="24"/>
      <c r="U1040" s="24"/>
      <c r="V1040" s="24"/>
      <c r="W1040" s="24"/>
      <c r="X1040" s="130"/>
      <c r="Y1040" s="130"/>
      <c r="Z1040" s="113"/>
      <c r="AA1040" s="113"/>
      <c r="AB1040" s="113"/>
      <c r="AC1040" s="113"/>
      <c r="AD1040" s="113"/>
      <c r="AE1040" s="113"/>
      <c r="AF1040" s="113"/>
      <c r="AG1040" s="113"/>
      <c r="AH1040" s="113"/>
      <c r="AI1040" s="113"/>
      <c r="AJ1040" s="113"/>
      <c r="AK1040" s="113"/>
      <c r="AL1040" s="113"/>
      <c r="AM1040" s="113"/>
      <c r="AN1040" s="113"/>
      <c r="AO1040" s="114"/>
      <c r="AP1040" s="114"/>
      <c r="AQ1040" s="148"/>
      <c r="AR1040" s="148"/>
      <c r="AS1040" s="148"/>
      <c r="AT1040" s="148"/>
      <c r="AU1040" s="148"/>
      <c r="AV1040" s="148"/>
      <c r="AW1040" s="148"/>
      <c r="AX1040" s="148"/>
      <c r="AY1040" s="148"/>
      <c r="AZ1040" s="148"/>
      <c r="BA1040" s="148"/>
      <c r="BB1040" s="148"/>
      <c r="BC1040" s="148"/>
      <c r="BD1040" s="212" t="s">
        <v>551</v>
      </c>
      <c r="BE1040" s="212" t="str">
        <f>BC56</f>
        <v>1.8V</v>
      </c>
    </row>
    <row r="1041" spans="1:57" s="25" customFormat="1" ht="15" hidden="1">
      <c r="A1041" s="280"/>
      <c r="C1041" s="24"/>
      <c r="D1041" s="24"/>
      <c r="E1041" s="24"/>
      <c r="F1041" s="24"/>
      <c r="G1041" s="78"/>
      <c r="H1041" s="78"/>
      <c r="I1041" s="78"/>
      <c r="J1041" s="78"/>
      <c r="K1041" s="78"/>
      <c r="L1041" s="24"/>
      <c r="M1041" s="24"/>
      <c r="N1041" s="24"/>
      <c r="O1041" s="24"/>
      <c r="P1041" s="24"/>
      <c r="Q1041" s="24"/>
      <c r="R1041" s="24"/>
      <c r="S1041" s="24"/>
      <c r="T1041" s="24"/>
      <c r="U1041" s="24"/>
      <c r="V1041" s="24"/>
      <c r="W1041" s="24"/>
      <c r="X1041" s="130"/>
      <c r="Y1041" s="130"/>
      <c r="Z1041" s="113"/>
      <c r="AA1041" s="113"/>
      <c r="AB1041" s="113"/>
      <c r="AC1041" s="113"/>
      <c r="AD1041" s="113"/>
      <c r="AE1041" s="113"/>
      <c r="AF1041" s="113"/>
      <c r="AG1041" s="113"/>
      <c r="AH1041" s="113"/>
      <c r="AI1041" s="113"/>
      <c r="AJ1041" s="113"/>
      <c r="AK1041" s="113"/>
      <c r="AL1041" s="113"/>
      <c r="AM1041" s="113"/>
      <c r="AN1041" s="113"/>
      <c r="AO1041" s="114"/>
      <c r="AP1041" s="114"/>
      <c r="AQ1041" s="148"/>
      <c r="AR1041" s="148"/>
      <c r="AS1041" s="148"/>
      <c r="AT1041" s="148"/>
      <c r="AU1041" s="148"/>
      <c r="AV1041" s="148"/>
      <c r="AW1041" s="148"/>
      <c r="AX1041" s="148"/>
      <c r="AY1041" s="148"/>
      <c r="AZ1041" s="148"/>
      <c r="BA1041" s="148"/>
      <c r="BB1041" s="148"/>
      <c r="BC1041" s="148"/>
      <c r="BD1041" s="212" t="s">
        <v>282</v>
      </c>
      <c r="BE1041" s="212" t="str">
        <f>BC103</f>
        <v>1.8V</v>
      </c>
    </row>
    <row r="1042" spans="1:57" s="25" customFormat="1" ht="15" hidden="1">
      <c r="A1042" s="280"/>
      <c r="C1042" s="24"/>
      <c r="D1042" s="24"/>
      <c r="E1042" s="24"/>
      <c r="F1042" s="24"/>
      <c r="G1042" s="78"/>
      <c r="H1042" s="78"/>
      <c r="I1042" s="78"/>
      <c r="J1042" s="78"/>
      <c r="K1042" s="78"/>
      <c r="L1042" s="24"/>
      <c r="M1042" s="24"/>
      <c r="N1042" s="24"/>
      <c r="O1042" s="24"/>
      <c r="P1042" s="24"/>
      <c r="Q1042" s="24"/>
      <c r="R1042" s="24"/>
      <c r="S1042" s="24"/>
      <c r="T1042" s="24"/>
      <c r="U1042" s="24"/>
      <c r="V1042" s="24"/>
      <c r="W1042" s="24"/>
      <c r="X1042" s="130"/>
      <c r="Y1042" s="130"/>
      <c r="Z1042" s="113"/>
      <c r="AA1042" s="113"/>
      <c r="AB1042" s="113"/>
      <c r="AC1042" s="113"/>
      <c r="AD1042" s="113"/>
      <c r="AE1042" s="113"/>
      <c r="AF1042" s="113"/>
      <c r="AG1042" s="113"/>
      <c r="AH1042" s="113"/>
      <c r="AI1042" s="113"/>
      <c r="AJ1042" s="113"/>
      <c r="AK1042" s="113"/>
      <c r="AL1042" s="113"/>
      <c r="AM1042" s="113"/>
      <c r="AN1042" s="113"/>
      <c r="AO1042" s="114"/>
      <c r="AP1042" s="114"/>
      <c r="AQ1042" s="148"/>
      <c r="AR1042" s="148"/>
      <c r="AS1042" s="148"/>
      <c r="AT1042" s="148"/>
      <c r="AU1042" s="148"/>
      <c r="AV1042" s="148"/>
      <c r="AW1042" s="148"/>
      <c r="AX1042" s="148"/>
      <c r="AY1042" s="148"/>
      <c r="AZ1042" s="148"/>
      <c r="BA1042" s="148"/>
      <c r="BB1042" s="148"/>
      <c r="BC1042" s="148"/>
      <c r="BD1042" s="212" t="s">
        <v>731</v>
      </c>
      <c r="BE1042" s="212" t="str">
        <f>BC151</f>
        <v>3.3V</v>
      </c>
    </row>
    <row r="1043" spans="1:57" s="25" customFormat="1" ht="15" hidden="1">
      <c r="A1043" s="280"/>
      <c r="C1043" s="24"/>
      <c r="D1043" s="382"/>
      <c r="E1043" s="382"/>
      <c r="F1043" s="382"/>
      <c r="G1043" s="382"/>
      <c r="H1043" s="382"/>
      <c r="I1043" s="382"/>
      <c r="J1043" s="382"/>
      <c r="K1043" s="382"/>
      <c r="L1043" s="307"/>
      <c r="M1043" s="307"/>
      <c r="N1043" s="307"/>
      <c r="O1043" s="307"/>
      <c r="P1043" s="307"/>
      <c r="Q1043" s="307"/>
      <c r="R1043" s="307"/>
      <c r="S1043" s="307"/>
      <c r="T1043" s="307"/>
      <c r="U1043" s="307"/>
      <c r="V1043" s="307"/>
      <c r="W1043" s="24"/>
      <c r="X1043" s="130"/>
      <c r="Y1043" s="130"/>
      <c r="Z1043" s="113"/>
      <c r="AA1043" s="113"/>
      <c r="AB1043" s="113"/>
      <c r="AC1043" s="113"/>
      <c r="AD1043" s="113"/>
      <c r="AE1043" s="113"/>
      <c r="AF1043" s="113"/>
      <c r="AG1043" s="113"/>
      <c r="AH1043" s="113"/>
      <c r="AI1043" s="113"/>
      <c r="AJ1043" s="113"/>
      <c r="AK1043" s="113"/>
      <c r="AL1043" s="113"/>
      <c r="AM1043" s="113"/>
      <c r="AN1043" s="113"/>
      <c r="AO1043" s="114"/>
      <c r="AP1043" s="114"/>
      <c r="AQ1043" s="148"/>
      <c r="AR1043" s="148"/>
      <c r="AS1043" s="148"/>
      <c r="AT1043" s="148"/>
      <c r="AU1043" s="148"/>
      <c r="AV1043" s="148"/>
      <c r="AW1043" s="148"/>
      <c r="AX1043" s="148"/>
      <c r="AY1043" s="148"/>
      <c r="AZ1043" s="148"/>
      <c r="BA1043" s="148"/>
      <c r="BB1043" s="148"/>
      <c r="BC1043" s="148"/>
      <c r="BD1043" s="212" t="s">
        <v>292</v>
      </c>
      <c r="BE1043" s="212" t="str">
        <f>BC199</f>
        <v>OFF</v>
      </c>
    </row>
    <row r="1044" spans="1:57" s="25" customFormat="1" hidden="1">
      <c r="A1044" s="281"/>
      <c r="G1044" s="120"/>
      <c r="H1044" s="120"/>
      <c r="I1044" s="120"/>
      <c r="J1044" s="120"/>
      <c r="K1044" s="120"/>
      <c r="X1044" s="130"/>
      <c r="Y1044" s="130"/>
      <c r="Z1044" s="121"/>
      <c r="AA1044" s="121"/>
      <c r="AB1044" s="121"/>
      <c r="AC1044" s="121"/>
      <c r="AD1044" s="121"/>
      <c r="AE1044" s="121"/>
      <c r="AF1044" s="121"/>
      <c r="AG1044" s="121"/>
      <c r="AH1044" s="121"/>
      <c r="AI1044" s="121"/>
      <c r="AJ1044" s="121"/>
      <c r="AK1044" s="121"/>
      <c r="AL1044" s="121"/>
      <c r="AM1044" s="121"/>
      <c r="AN1044" s="121"/>
      <c r="AQ1044" s="130"/>
      <c r="AR1044" s="130"/>
      <c r="AS1044" s="130"/>
      <c r="AT1044" s="130"/>
      <c r="AU1044" s="130"/>
      <c r="AV1044" s="130"/>
      <c r="AW1044" s="130"/>
      <c r="AX1044" s="130"/>
      <c r="AY1044" s="130"/>
      <c r="AZ1044" s="130"/>
      <c r="BA1044" s="130"/>
      <c r="BB1044" s="130"/>
      <c r="BC1044" s="130"/>
      <c r="BD1044" s="213" t="s">
        <v>766</v>
      </c>
      <c r="BE1044" s="213" t="str">
        <f>BC211</f>
        <v>OFF</v>
      </c>
    </row>
    <row r="1045" spans="1:57" s="25" customFormat="1" hidden="1">
      <c r="A1045" s="130"/>
      <c r="G1045" s="120"/>
      <c r="H1045" s="120"/>
      <c r="I1045" s="120"/>
      <c r="J1045" s="120"/>
      <c r="K1045" s="120"/>
      <c r="X1045" s="130"/>
      <c r="Y1045" s="130"/>
      <c r="Z1045" s="121"/>
      <c r="AA1045" s="121"/>
      <c r="AB1045" s="121"/>
      <c r="AC1045" s="121"/>
      <c r="AD1045" s="121"/>
      <c r="AE1045" s="121"/>
      <c r="AF1045" s="121"/>
      <c r="AG1045" s="121"/>
      <c r="AH1045" s="121"/>
      <c r="AI1045" s="121"/>
      <c r="AJ1045" s="121"/>
      <c r="AK1045" s="121"/>
      <c r="AL1045" s="121"/>
      <c r="AM1045" s="121"/>
      <c r="AN1045" s="121"/>
      <c r="AO1045" s="121"/>
      <c r="AP1045" s="121"/>
      <c r="AS1045" s="27"/>
      <c r="AT1045" s="27"/>
      <c r="AU1045" s="27"/>
      <c r="AV1045" s="27"/>
      <c r="AW1045" s="27"/>
      <c r="AX1045" s="27"/>
      <c r="AY1045" s="27"/>
      <c r="AZ1045" s="27"/>
      <c r="BA1045" s="27"/>
      <c r="BB1045" s="27"/>
      <c r="BC1045" s="133"/>
      <c r="BD1045" s="27"/>
      <c r="BE1045" s="130"/>
    </row>
    <row r="1046" spans="1:57" s="25" customFormat="1" hidden="1">
      <c r="A1046" s="130"/>
      <c r="G1046" s="120"/>
      <c r="H1046" s="120"/>
      <c r="I1046" s="120"/>
      <c r="J1046" s="120"/>
      <c r="K1046" s="120"/>
      <c r="X1046" s="130"/>
      <c r="Y1046" s="130"/>
      <c r="Z1046" s="121"/>
      <c r="AA1046" s="121"/>
      <c r="AB1046" s="121"/>
      <c r="AC1046" s="121"/>
      <c r="AD1046" s="121"/>
      <c r="AE1046" s="121"/>
      <c r="AF1046" s="121"/>
      <c r="AG1046" s="121"/>
      <c r="AH1046" s="121"/>
      <c r="AI1046" s="121"/>
      <c r="AJ1046" s="121"/>
      <c r="AK1046" s="121"/>
      <c r="AL1046" s="121"/>
      <c r="AM1046" s="121"/>
      <c r="AN1046" s="121"/>
      <c r="AO1046" s="121"/>
      <c r="AP1046" s="121"/>
      <c r="AS1046" s="27"/>
      <c r="AT1046" s="27"/>
      <c r="AU1046" s="27"/>
      <c r="AV1046" s="27"/>
      <c r="AW1046" s="27"/>
      <c r="AX1046" s="27"/>
      <c r="AY1046" s="27"/>
      <c r="AZ1046" s="27"/>
      <c r="BA1046" s="27"/>
      <c r="BB1046" s="27"/>
      <c r="BC1046" s="133"/>
      <c r="BD1046" s="27"/>
      <c r="BE1046" s="130"/>
    </row>
    <row r="1047" spans="1:57" s="25" customFormat="1" hidden="1">
      <c r="A1047" s="130"/>
      <c r="G1047" s="120"/>
      <c r="H1047" s="120"/>
      <c r="I1047" s="120"/>
      <c r="J1047" s="120"/>
      <c r="K1047" s="120"/>
      <c r="X1047" s="130"/>
      <c r="Y1047" s="130"/>
      <c r="Z1047" s="121"/>
      <c r="AA1047" s="121"/>
      <c r="AB1047" s="121"/>
      <c r="AC1047" s="121"/>
      <c r="AD1047" s="121"/>
      <c r="AE1047" s="121"/>
      <c r="AF1047" s="121"/>
      <c r="AG1047" s="121"/>
      <c r="AH1047" s="121"/>
      <c r="AI1047" s="121"/>
      <c r="AJ1047" s="121"/>
      <c r="AK1047" s="121"/>
      <c r="AL1047" s="121"/>
      <c r="AM1047" s="121"/>
      <c r="AN1047" s="121"/>
      <c r="AO1047" s="121"/>
      <c r="AP1047" s="121"/>
      <c r="AS1047" s="27"/>
      <c r="AT1047" s="27"/>
      <c r="AU1047" s="27"/>
      <c r="AV1047" s="27"/>
      <c r="AW1047" s="27"/>
      <c r="AX1047" s="27"/>
      <c r="AY1047" s="27"/>
      <c r="AZ1047" s="27"/>
      <c r="BA1047" s="27"/>
      <c r="BB1047" s="27"/>
      <c r="BC1047" s="133"/>
      <c r="BD1047" s="27"/>
      <c r="BE1047" s="130"/>
    </row>
    <row r="1048" spans="1:57" s="25" customFormat="1">
      <c r="A1048" s="130"/>
      <c r="G1048" s="120"/>
      <c r="H1048" s="120"/>
      <c r="I1048" s="120"/>
      <c r="J1048" s="120"/>
      <c r="K1048" s="120"/>
      <c r="X1048" s="130"/>
      <c r="Y1048" s="130"/>
      <c r="Z1048" s="121"/>
      <c r="AA1048" s="121"/>
      <c r="AB1048" s="121"/>
      <c r="AC1048" s="121"/>
      <c r="AD1048" s="121"/>
      <c r="AE1048" s="121"/>
      <c r="AF1048" s="121"/>
      <c r="AG1048" s="121"/>
      <c r="AH1048" s="121"/>
      <c r="AI1048" s="121"/>
      <c r="AJ1048" s="121"/>
      <c r="AK1048" s="121"/>
      <c r="AL1048" s="121"/>
      <c r="AM1048" s="121"/>
      <c r="AN1048" s="121"/>
      <c r="AO1048" s="121"/>
      <c r="AP1048" s="121"/>
      <c r="AS1048" s="27"/>
      <c r="AT1048" s="27"/>
      <c r="AU1048" s="27"/>
      <c r="AV1048" s="27"/>
      <c r="AW1048" s="27"/>
      <c r="AX1048" s="27"/>
      <c r="AY1048" s="27"/>
      <c r="AZ1048" s="27"/>
      <c r="BA1048" s="27"/>
      <c r="BB1048" s="27"/>
      <c r="BC1048" s="133"/>
      <c r="BD1048" s="27"/>
      <c r="BE1048" s="130"/>
    </row>
    <row r="1049" spans="1:57" s="25" customFormat="1">
      <c r="A1049" s="130"/>
      <c r="G1049" s="120"/>
      <c r="H1049" s="120"/>
      <c r="I1049" s="120"/>
      <c r="J1049" s="120"/>
      <c r="K1049" s="120"/>
      <c r="X1049" s="130"/>
      <c r="Y1049" s="130"/>
      <c r="Z1049" s="121"/>
      <c r="AA1049" s="121"/>
      <c r="AB1049" s="121"/>
      <c r="AC1049" s="121"/>
      <c r="AD1049" s="121"/>
      <c r="AE1049" s="121"/>
      <c r="AF1049" s="121"/>
      <c r="AG1049" s="121"/>
      <c r="AH1049" s="121"/>
      <c r="AI1049" s="121"/>
      <c r="AJ1049" s="121"/>
      <c r="AK1049" s="121"/>
      <c r="AL1049" s="121"/>
      <c r="AM1049" s="121"/>
      <c r="AN1049" s="121"/>
      <c r="AO1049" s="121"/>
      <c r="AP1049" s="121"/>
      <c r="AS1049" s="27"/>
      <c r="AT1049" s="27"/>
      <c r="AU1049" s="27"/>
      <c r="AV1049" s="27"/>
      <c r="AW1049" s="27"/>
      <c r="AX1049" s="27"/>
      <c r="AY1049" s="27"/>
      <c r="AZ1049" s="27"/>
      <c r="BA1049" s="27"/>
      <c r="BB1049" s="27"/>
      <c r="BC1049" s="133"/>
      <c r="BD1049" s="27"/>
      <c r="BE1049" s="130"/>
    </row>
    <row r="1050" spans="1:57" s="25" customFormat="1">
      <c r="A1050" s="130"/>
      <c r="G1050" s="120"/>
      <c r="H1050" s="120"/>
      <c r="I1050" s="120"/>
      <c r="J1050" s="120"/>
      <c r="K1050" s="120"/>
      <c r="X1050" s="130"/>
      <c r="Y1050" s="130"/>
      <c r="Z1050" s="121"/>
      <c r="AA1050" s="121"/>
      <c r="AB1050" s="121"/>
      <c r="AC1050" s="121"/>
      <c r="AD1050" s="121"/>
      <c r="AE1050" s="121"/>
      <c r="AF1050" s="121"/>
      <c r="AG1050" s="121"/>
      <c r="AH1050" s="121"/>
      <c r="AI1050" s="121"/>
      <c r="AJ1050" s="121"/>
      <c r="AK1050" s="121"/>
      <c r="AL1050" s="121"/>
      <c r="AM1050" s="121"/>
      <c r="AN1050" s="121"/>
      <c r="AO1050" s="121"/>
      <c r="AP1050" s="121"/>
      <c r="AS1050" s="27"/>
      <c r="AT1050" s="27"/>
      <c r="AU1050" s="27"/>
      <c r="AV1050" s="27"/>
      <c r="AW1050" s="27"/>
      <c r="AX1050" s="27"/>
      <c r="AY1050" s="27"/>
      <c r="AZ1050" s="27"/>
      <c r="BA1050" s="27"/>
      <c r="BB1050" s="27"/>
      <c r="BC1050" s="133"/>
      <c r="BD1050" s="27"/>
      <c r="BE1050" s="130"/>
    </row>
    <row r="1051" spans="1:57" s="25" customFormat="1">
      <c r="A1051" s="130"/>
      <c r="G1051" s="120"/>
      <c r="H1051" s="120"/>
      <c r="I1051" s="120"/>
      <c r="J1051" s="120"/>
      <c r="K1051" s="120"/>
      <c r="X1051" s="130"/>
      <c r="Y1051" s="130"/>
      <c r="Z1051" s="121"/>
      <c r="AA1051" s="121"/>
      <c r="AB1051" s="121"/>
      <c r="AC1051" s="121"/>
      <c r="AD1051" s="121"/>
      <c r="AE1051" s="121"/>
      <c r="AF1051" s="121"/>
      <c r="AG1051" s="121"/>
      <c r="AH1051" s="121"/>
      <c r="AI1051" s="121"/>
      <c r="AJ1051" s="121"/>
      <c r="AK1051" s="121"/>
      <c r="AL1051" s="121"/>
      <c r="AM1051" s="121"/>
      <c r="AN1051" s="121"/>
      <c r="AO1051" s="121"/>
      <c r="AP1051" s="121"/>
      <c r="AS1051" s="27"/>
      <c r="AT1051" s="27"/>
      <c r="AU1051" s="27"/>
      <c r="AV1051" s="27"/>
      <c r="AW1051" s="27"/>
      <c r="AX1051" s="27"/>
      <c r="AY1051" s="27"/>
      <c r="AZ1051" s="27"/>
      <c r="BA1051" s="27"/>
      <c r="BB1051" s="27"/>
      <c r="BC1051" s="133"/>
      <c r="BD1051" s="27"/>
      <c r="BE1051" s="130"/>
    </row>
    <row r="1052" spans="1:57" s="25" customFormat="1">
      <c r="A1052" s="130"/>
      <c r="G1052" s="120"/>
      <c r="H1052" s="120"/>
      <c r="I1052" s="120"/>
      <c r="J1052" s="120"/>
      <c r="K1052" s="120"/>
      <c r="X1052" s="130"/>
      <c r="Y1052" s="130"/>
      <c r="Z1052" s="121"/>
      <c r="AA1052" s="121"/>
      <c r="AB1052" s="121"/>
      <c r="AC1052" s="121"/>
      <c r="AD1052" s="121"/>
      <c r="AE1052" s="121"/>
      <c r="AF1052" s="121"/>
      <c r="AG1052" s="121"/>
      <c r="AH1052" s="121"/>
      <c r="AI1052" s="121"/>
      <c r="AJ1052" s="121"/>
      <c r="AK1052" s="121"/>
      <c r="AL1052" s="121"/>
      <c r="AM1052" s="121"/>
      <c r="AN1052" s="121"/>
      <c r="AO1052" s="121"/>
      <c r="AP1052" s="121"/>
      <c r="AS1052" s="27"/>
      <c r="AT1052" s="27"/>
      <c r="AU1052" s="27"/>
      <c r="AV1052" s="27"/>
      <c r="AW1052" s="27"/>
      <c r="AX1052" s="27"/>
      <c r="AY1052" s="27"/>
      <c r="AZ1052" s="27"/>
      <c r="BA1052" s="27"/>
      <c r="BB1052" s="27"/>
      <c r="BC1052" s="133"/>
      <c r="BD1052" s="27"/>
      <c r="BE1052" s="130"/>
    </row>
    <row r="1053" spans="1:57" s="25" customFormat="1">
      <c r="A1053" s="130"/>
      <c r="G1053" s="120"/>
      <c r="H1053" s="120"/>
      <c r="I1053" s="120"/>
      <c r="J1053" s="120"/>
      <c r="K1053" s="120"/>
      <c r="X1053" s="130"/>
      <c r="Y1053" s="130"/>
      <c r="Z1053" s="121"/>
      <c r="AA1053" s="121"/>
      <c r="AB1053" s="121"/>
      <c r="AC1053" s="121"/>
      <c r="AD1053" s="121"/>
      <c r="AE1053" s="121"/>
      <c r="AF1053" s="121"/>
      <c r="AG1053" s="121"/>
      <c r="AH1053" s="121"/>
      <c r="AI1053" s="121"/>
      <c r="AJ1053" s="121"/>
      <c r="AK1053" s="121"/>
      <c r="AL1053" s="121"/>
      <c r="AM1053" s="121"/>
      <c r="AN1053" s="121"/>
      <c r="AO1053" s="121"/>
      <c r="AP1053" s="121"/>
      <c r="AS1053" s="27"/>
      <c r="AT1053" s="27"/>
      <c r="AU1053" s="27"/>
      <c r="AV1053" s="27"/>
      <c r="AW1053" s="27"/>
      <c r="AX1053" s="27"/>
      <c r="AY1053" s="27"/>
      <c r="AZ1053" s="27"/>
      <c r="BA1053" s="27"/>
      <c r="BB1053" s="27"/>
      <c r="BC1053" s="133"/>
      <c r="BD1053" s="27"/>
      <c r="BE1053" s="130"/>
    </row>
    <row r="1054" spans="1:57" s="25" customFormat="1">
      <c r="A1054" s="130"/>
      <c r="G1054" s="120"/>
      <c r="H1054" s="120"/>
      <c r="I1054" s="120"/>
      <c r="J1054" s="120"/>
      <c r="K1054" s="120"/>
      <c r="X1054" s="130"/>
      <c r="Y1054" s="130"/>
      <c r="Z1054" s="121"/>
      <c r="AA1054" s="121"/>
      <c r="AB1054" s="121"/>
      <c r="AC1054" s="121"/>
      <c r="AD1054" s="121"/>
      <c r="AE1054" s="121"/>
      <c r="AF1054" s="121"/>
      <c r="AG1054" s="121"/>
      <c r="AH1054" s="121"/>
      <c r="AI1054" s="121"/>
      <c r="AJ1054" s="121"/>
      <c r="AK1054" s="121"/>
      <c r="AL1054" s="121"/>
      <c r="AM1054" s="121"/>
      <c r="AN1054" s="121"/>
      <c r="AO1054" s="121"/>
      <c r="AP1054" s="121"/>
      <c r="AS1054" s="27"/>
      <c r="AT1054" s="27"/>
      <c r="AU1054" s="27"/>
      <c r="AV1054" s="27"/>
      <c r="AW1054" s="27"/>
      <c r="AX1054" s="27"/>
      <c r="AY1054" s="27"/>
      <c r="AZ1054" s="27"/>
      <c r="BA1054" s="27"/>
      <c r="BB1054" s="27"/>
      <c r="BC1054" s="133"/>
      <c r="BD1054" s="27"/>
      <c r="BE1054" s="130"/>
    </row>
    <row r="1055" spans="1:57" s="25" customFormat="1">
      <c r="A1055" s="130"/>
      <c r="G1055" s="120"/>
      <c r="H1055" s="120"/>
      <c r="I1055" s="120"/>
      <c r="J1055" s="120"/>
      <c r="K1055" s="120"/>
      <c r="X1055" s="130"/>
      <c r="Y1055" s="130"/>
      <c r="Z1055" s="121"/>
      <c r="AA1055" s="121"/>
      <c r="AB1055" s="121"/>
      <c r="AC1055" s="121"/>
      <c r="AD1055" s="121"/>
      <c r="AE1055" s="121"/>
      <c r="AF1055" s="121"/>
      <c r="AG1055" s="121"/>
      <c r="AH1055" s="121"/>
      <c r="AI1055" s="121"/>
      <c r="AJ1055" s="121"/>
      <c r="AK1055" s="121"/>
      <c r="AL1055" s="121"/>
      <c r="AM1055" s="121"/>
      <c r="AN1055" s="121"/>
      <c r="AO1055" s="121"/>
      <c r="AP1055" s="121"/>
      <c r="AS1055" s="27"/>
      <c r="AT1055" s="27"/>
      <c r="AU1055" s="27"/>
      <c r="AV1055" s="27"/>
      <c r="AW1055" s="27"/>
      <c r="AX1055" s="27"/>
      <c r="AY1055" s="27"/>
      <c r="AZ1055" s="27"/>
      <c r="BA1055" s="27"/>
      <c r="BB1055" s="27"/>
      <c r="BC1055" s="133"/>
      <c r="BD1055" s="27"/>
      <c r="BE1055" s="130"/>
    </row>
    <row r="1056" spans="1:57" s="25" customFormat="1">
      <c r="A1056" s="130"/>
      <c r="G1056" s="120"/>
      <c r="H1056" s="120"/>
      <c r="I1056" s="120"/>
      <c r="J1056" s="120"/>
      <c r="K1056" s="120"/>
      <c r="X1056" s="130"/>
      <c r="Y1056" s="130"/>
      <c r="Z1056" s="121"/>
      <c r="AA1056" s="121"/>
      <c r="AB1056" s="121"/>
      <c r="AC1056" s="121"/>
      <c r="AD1056" s="121"/>
      <c r="AE1056" s="121"/>
      <c r="AF1056" s="121"/>
      <c r="AG1056" s="121"/>
      <c r="AH1056" s="121"/>
      <c r="AI1056" s="121"/>
      <c r="AJ1056" s="121"/>
      <c r="AK1056" s="121"/>
      <c r="AL1056" s="121"/>
      <c r="AM1056" s="121"/>
      <c r="AN1056" s="121"/>
      <c r="AO1056" s="121"/>
      <c r="AP1056" s="121"/>
      <c r="AS1056" s="27"/>
      <c r="AT1056" s="27"/>
      <c r="AU1056" s="27"/>
      <c r="AV1056" s="27"/>
      <c r="AW1056" s="27"/>
      <c r="AX1056" s="27"/>
      <c r="AY1056" s="27"/>
      <c r="AZ1056" s="27"/>
      <c r="BA1056" s="27"/>
      <c r="BB1056" s="27"/>
      <c r="BC1056" s="133"/>
      <c r="BD1056" s="27"/>
      <c r="BE1056" s="130"/>
    </row>
    <row r="1057" spans="1:57" s="25" customFormat="1">
      <c r="A1057" s="130"/>
      <c r="G1057" s="120"/>
      <c r="H1057" s="120"/>
      <c r="I1057" s="120"/>
      <c r="J1057" s="120"/>
      <c r="K1057" s="120"/>
      <c r="X1057" s="130"/>
      <c r="Y1057" s="130"/>
      <c r="Z1057" s="121"/>
      <c r="AA1057" s="121"/>
      <c r="AB1057" s="121"/>
      <c r="AC1057" s="121"/>
      <c r="AD1057" s="121"/>
      <c r="AE1057" s="121"/>
      <c r="AF1057" s="121"/>
      <c r="AG1057" s="121"/>
      <c r="AH1057" s="121"/>
      <c r="AI1057" s="121"/>
      <c r="AJ1057" s="121"/>
      <c r="AK1057" s="121"/>
      <c r="AL1057" s="121"/>
      <c r="AM1057" s="121"/>
      <c r="AN1057" s="121"/>
      <c r="AO1057" s="121"/>
      <c r="AP1057" s="121"/>
      <c r="AS1057" s="27"/>
      <c r="AT1057" s="27"/>
      <c r="AU1057" s="27"/>
      <c r="AV1057" s="27"/>
      <c r="AW1057" s="27"/>
      <c r="AX1057" s="27"/>
      <c r="AY1057" s="27"/>
      <c r="AZ1057" s="27"/>
      <c r="BA1057" s="27"/>
      <c r="BB1057" s="27"/>
      <c r="BC1057" s="133"/>
      <c r="BD1057" s="27"/>
      <c r="BE1057" s="130"/>
    </row>
    <row r="1058" spans="1:57" s="25" customFormat="1">
      <c r="A1058" s="130"/>
      <c r="G1058" s="120"/>
      <c r="H1058" s="120"/>
      <c r="I1058" s="120"/>
      <c r="J1058" s="120"/>
      <c r="K1058" s="120"/>
      <c r="X1058" s="130"/>
      <c r="Y1058" s="130"/>
      <c r="Z1058" s="121"/>
      <c r="AA1058" s="121"/>
      <c r="AB1058" s="121"/>
      <c r="AC1058" s="121"/>
      <c r="AD1058" s="121"/>
      <c r="AE1058" s="121"/>
      <c r="AF1058" s="121"/>
      <c r="AG1058" s="121"/>
      <c r="AH1058" s="121"/>
      <c r="AI1058" s="121"/>
      <c r="AJ1058" s="121"/>
      <c r="AK1058" s="121"/>
      <c r="AL1058" s="121"/>
      <c r="AM1058" s="121"/>
      <c r="AN1058" s="121"/>
      <c r="AO1058" s="121"/>
      <c r="AP1058" s="121"/>
      <c r="AS1058" s="27"/>
      <c r="AT1058" s="27"/>
      <c r="AU1058" s="27"/>
      <c r="AV1058" s="27"/>
      <c r="AW1058" s="27"/>
      <c r="AX1058" s="27"/>
      <c r="AY1058" s="27"/>
      <c r="AZ1058" s="27"/>
      <c r="BA1058" s="27"/>
      <c r="BB1058" s="27"/>
      <c r="BC1058" s="133"/>
      <c r="BD1058" s="27"/>
      <c r="BE1058" s="130"/>
    </row>
    <row r="1059" spans="1:57" s="25" customFormat="1">
      <c r="A1059" s="130"/>
      <c r="G1059" s="120"/>
      <c r="H1059" s="120"/>
      <c r="I1059" s="120"/>
      <c r="J1059" s="120"/>
      <c r="K1059" s="120"/>
      <c r="X1059" s="130"/>
      <c r="Y1059" s="130"/>
      <c r="Z1059" s="121"/>
      <c r="AA1059" s="121"/>
      <c r="AB1059" s="121"/>
      <c r="AC1059" s="121"/>
      <c r="AD1059" s="121"/>
      <c r="AE1059" s="121"/>
      <c r="AF1059" s="121"/>
      <c r="AG1059" s="121"/>
      <c r="AH1059" s="121"/>
      <c r="AI1059" s="121"/>
      <c r="AJ1059" s="121"/>
      <c r="AK1059" s="121"/>
      <c r="AL1059" s="121"/>
      <c r="AM1059" s="121"/>
      <c r="AN1059" s="121"/>
      <c r="AO1059" s="121"/>
      <c r="AP1059" s="121"/>
      <c r="AS1059" s="27"/>
      <c r="AT1059" s="27"/>
      <c r="AU1059" s="27"/>
      <c r="AV1059" s="27"/>
      <c r="AW1059" s="27"/>
      <c r="AX1059" s="27"/>
      <c r="AY1059" s="27"/>
      <c r="AZ1059" s="27"/>
      <c r="BA1059" s="27"/>
      <c r="BB1059" s="27"/>
      <c r="BC1059" s="133"/>
      <c r="BD1059" s="27"/>
      <c r="BE1059" s="130"/>
    </row>
    <row r="1060" spans="1:57" s="25" customFormat="1">
      <c r="A1060" s="130"/>
      <c r="G1060" s="120"/>
      <c r="H1060" s="120"/>
      <c r="I1060" s="120"/>
      <c r="J1060" s="120"/>
      <c r="K1060" s="120"/>
      <c r="X1060" s="130"/>
      <c r="Y1060" s="130"/>
      <c r="Z1060" s="121"/>
      <c r="AA1060" s="121"/>
      <c r="AB1060" s="121"/>
      <c r="AC1060" s="121"/>
      <c r="AD1060" s="121"/>
      <c r="AE1060" s="121"/>
      <c r="AF1060" s="121"/>
      <c r="AG1060" s="121"/>
      <c r="AH1060" s="121"/>
      <c r="AI1060" s="121"/>
      <c r="AJ1060" s="121"/>
      <c r="AK1060" s="121"/>
      <c r="AL1060" s="121"/>
      <c r="AM1060" s="121"/>
      <c r="AN1060" s="121"/>
      <c r="AO1060" s="121"/>
      <c r="AP1060" s="121"/>
      <c r="AS1060" s="27"/>
      <c r="AT1060" s="27"/>
      <c r="AU1060" s="27"/>
      <c r="AV1060" s="27"/>
      <c r="AW1060" s="27"/>
      <c r="AX1060" s="27"/>
      <c r="AY1060" s="27"/>
      <c r="AZ1060" s="27"/>
      <c r="BA1060" s="27"/>
      <c r="BB1060" s="27"/>
      <c r="BC1060" s="133"/>
      <c r="BD1060" s="27"/>
      <c r="BE1060" s="130"/>
    </row>
    <row r="1061" spans="1:57" s="25" customFormat="1">
      <c r="A1061" s="130"/>
      <c r="G1061" s="120"/>
      <c r="H1061" s="120"/>
      <c r="I1061" s="120"/>
      <c r="J1061" s="120"/>
      <c r="K1061" s="120"/>
      <c r="X1061" s="130"/>
      <c r="Y1061" s="130"/>
      <c r="Z1061" s="121"/>
      <c r="AA1061" s="121"/>
      <c r="AB1061" s="121"/>
      <c r="AC1061" s="121"/>
      <c r="AD1061" s="121"/>
      <c r="AE1061" s="121"/>
      <c r="AF1061" s="121"/>
      <c r="AG1061" s="121"/>
      <c r="AH1061" s="121"/>
      <c r="AI1061" s="121"/>
      <c r="AJ1061" s="121"/>
      <c r="AK1061" s="121"/>
      <c r="AL1061" s="121"/>
      <c r="AM1061" s="121"/>
      <c r="AN1061" s="121"/>
      <c r="AO1061" s="121"/>
      <c r="AP1061" s="121"/>
      <c r="AS1061" s="27"/>
      <c r="AT1061" s="27"/>
      <c r="AU1061" s="27"/>
      <c r="AV1061" s="27"/>
      <c r="AW1061" s="27"/>
      <c r="AX1061" s="27"/>
      <c r="AY1061" s="27"/>
      <c r="AZ1061" s="27"/>
      <c r="BA1061" s="27"/>
      <c r="BB1061" s="27"/>
      <c r="BC1061" s="133"/>
      <c r="BD1061" s="27"/>
      <c r="BE1061" s="130"/>
    </row>
    <row r="1062" spans="1:57" s="25" customFormat="1">
      <c r="A1062" s="130"/>
      <c r="G1062" s="120"/>
      <c r="H1062" s="120"/>
      <c r="I1062" s="120"/>
      <c r="J1062" s="120"/>
      <c r="K1062" s="120"/>
      <c r="X1062" s="130"/>
      <c r="Y1062" s="130"/>
      <c r="Z1062" s="121"/>
      <c r="AA1062" s="121"/>
      <c r="AB1062" s="121"/>
      <c r="AC1062" s="121"/>
      <c r="AD1062" s="121"/>
      <c r="AE1062" s="121"/>
      <c r="AF1062" s="121"/>
      <c r="AG1062" s="121"/>
      <c r="AH1062" s="121"/>
      <c r="AI1062" s="121"/>
      <c r="AJ1062" s="121"/>
      <c r="AK1062" s="121"/>
      <c r="AL1062" s="121"/>
      <c r="AM1062" s="121"/>
      <c r="AN1062" s="121"/>
      <c r="AO1062" s="121"/>
      <c r="AP1062" s="121"/>
      <c r="AS1062" s="27"/>
      <c r="AT1062" s="27"/>
      <c r="AU1062" s="27"/>
      <c r="AV1062" s="27"/>
      <c r="AW1062" s="27"/>
      <c r="AX1062" s="27"/>
      <c r="AY1062" s="27"/>
      <c r="AZ1062" s="27"/>
      <c r="BA1062" s="27"/>
      <c r="BB1062" s="27"/>
      <c r="BC1062" s="133"/>
      <c r="BD1062" s="27"/>
      <c r="BE1062" s="130"/>
    </row>
    <row r="1063" spans="1:57" s="25" customFormat="1">
      <c r="A1063" s="130"/>
      <c r="G1063" s="120"/>
      <c r="H1063" s="120"/>
      <c r="I1063" s="120"/>
      <c r="J1063" s="120"/>
      <c r="K1063" s="120"/>
      <c r="X1063" s="130"/>
      <c r="Y1063" s="130"/>
      <c r="Z1063" s="121"/>
      <c r="AA1063" s="121"/>
      <c r="AB1063" s="121"/>
      <c r="AC1063" s="121"/>
      <c r="AD1063" s="121"/>
      <c r="AE1063" s="121"/>
      <c r="AF1063" s="121"/>
      <c r="AG1063" s="121"/>
      <c r="AH1063" s="121"/>
      <c r="AI1063" s="121"/>
      <c r="AJ1063" s="121"/>
      <c r="AK1063" s="121"/>
      <c r="AL1063" s="121"/>
      <c r="AM1063" s="121"/>
      <c r="AN1063" s="121"/>
      <c r="AO1063" s="121"/>
      <c r="AP1063" s="121"/>
      <c r="AS1063" s="27"/>
      <c r="AT1063" s="27"/>
      <c r="AU1063" s="27"/>
      <c r="AV1063" s="27"/>
      <c r="AW1063" s="27"/>
      <c r="AX1063" s="27"/>
      <c r="AY1063" s="27"/>
      <c r="AZ1063" s="27"/>
      <c r="BA1063" s="27"/>
      <c r="BB1063" s="27"/>
      <c r="BC1063" s="133"/>
      <c r="BD1063" s="27"/>
      <c r="BE1063" s="130"/>
    </row>
    <row r="1064" spans="1:57" s="25" customFormat="1">
      <c r="A1064" s="130"/>
      <c r="G1064" s="120"/>
      <c r="H1064" s="120"/>
      <c r="I1064" s="120"/>
      <c r="J1064" s="120"/>
      <c r="K1064" s="120"/>
      <c r="X1064" s="130"/>
      <c r="Y1064" s="130"/>
      <c r="Z1064" s="121"/>
      <c r="AA1064" s="121"/>
      <c r="AB1064" s="121"/>
      <c r="AC1064" s="121"/>
      <c r="AD1064" s="121"/>
      <c r="AE1064" s="121"/>
      <c r="AF1064" s="121"/>
      <c r="AG1064" s="121"/>
      <c r="AH1064" s="121"/>
      <c r="AI1064" s="121"/>
      <c r="AJ1064" s="121"/>
      <c r="AK1064" s="121"/>
      <c r="AL1064" s="121"/>
      <c r="AM1064" s="121"/>
      <c r="AN1064" s="121"/>
      <c r="AO1064" s="121"/>
      <c r="AP1064" s="121"/>
      <c r="AS1064" s="27"/>
      <c r="AT1064" s="27"/>
      <c r="AU1064" s="27"/>
      <c r="AV1064" s="27"/>
      <c r="AW1064" s="27"/>
      <c r="AX1064" s="27"/>
      <c r="AY1064" s="27"/>
      <c r="AZ1064" s="27"/>
      <c r="BA1064" s="27"/>
      <c r="BB1064" s="27"/>
      <c r="BC1064" s="133"/>
      <c r="BD1064" s="27"/>
      <c r="BE1064" s="130"/>
    </row>
    <row r="1065" spans="1:57" s="25" customFormat="1">
      <c r="A1065" s="130"/>
      <c r="G1065" s="120"/>
      <c r="H1065" s="120"/>
      <c r="I1065" s="120"/>
      <c r="J1065" s="120"/>
      <c r="K1065" s="120"/>
      <c r="X1065" s="130"/>
      <c r="Y1065" s="130"/>
      <c r="Z1065" s="121"/>
      <c r="AA1065" s="121"/>
      <c r="AB1065" s="121"/>
      <c r="AC1065" s="121"/>
      <c r="AD1065" s="121"/>
      <c r="AE1065" s="121"/>
      <c r="AF1065" s="121"/>
      <c r="AG1065" s="121"/>
      <c r="AH1065" s="121"/>
      <c r="AI1065" s="121"/>
      <c r="AJ1065" s="121"/>
      <c r="AK1065" s="121"/>
      <c r="AL1065" s="121"/>
      <c r="AM1065" s="121"/>
      <c r="AN1065" s="121"/>
      <c r="AO1065" s="121"/>
      <c r="AP1065" s="121"/>
      <c r="AS1065" s="27"/>
      <c r="AT1065" s="27"/>
      <c r="AU1065" s="27"/>
      <c r="AV1065" s="27"/>
      <c r="AW1065" s="27"/>
      <c r="AX1065" s="27"/>
      <c r="AY1065" s="27"/>
      <c r="AZ1065" s="27"/>
      <c r="BA1065" s="27"/>
      <c r="BB1065" s="27"/>
      <c r="BC1065" s="133"/>
      <c r="BD1065" s="27"/>
      <c r="BE1065" s="130"/>
    </row>
    <row r="1066" spans="1:57" s="25" customFormat="1">
      <c r="A1066" s="130"/>
      <c r="G1066" s="120"/>
      <c r="H1066" s="120"/>
      <c r="I1066" s="120"/>
      <c r="J1066" s="120"/>
      <c r="K1066" s="120"/>
      <c r="X1066" s="130"/>
      <c r="Y1066" s="130"/>
      <c r="Z1066" s="121"/>
      <c r="AA1066" s="121"/>
      <c r="AB1066" s="121"/>
      <c r="AC1066" s="121"/>
      <c r="AD1066" s="121"/>
      <c r="AE1066" s="121"/>
      <c r="AF1066" s="121"/>
      <c r="AG1066" s="121"/>
      <c r="AH1066" s="121"/>
      <c r="AI1066" s="121"/>
      <c r="AJ1066" s="121"/>
      <c r="AK1066" s="121"/>
      <c r="AL1066" s="121"/>
      <c r="AM1066" s="121"/>
      <c r="AN1066" s="121"/>
      <c r="AO1066" s="121"/>
      <c r="AP1066" s="121"/>
      <c r="AS1066" s="27"/>
      <c r="AT1066" s="27"/>
      <c r="AU1066" s="27"/>
      <c r="AV1066" s="27"/>
      <c r="AW1066" s="27"/>
      <c r="AX1066" s="27"/>
      <c r="AY1066" s="27"/>
      <c r="AZ1066" s="27"/>
      <c r="BA1066" s="27"/>
      <c r="BB1066" s="27"/>
      <c r="BC1066" s="133"/>
      <c r="BD1066" s="27"/>
      <c r="BE1066" s="130"/>
    </row>
    <row r="1067" spans="1:57" s="25" customFormat="1">
      <c r="A1067" s="130"/>
      <c r="G1067" s="120"/>
      <c r="H1067" s="120"/>
      <c r="I1067" s="120"/>
      <c r="J1067" s="120"/>
      <c r="K1067" s="120"/>
      <c r="X1067" s="130"/>
      <c r="Y1067" s="130"/>
      <c r="Z1067" s="121"/>
      <c r="AA1067" s="121"/>
      <c r="AB1067" s="121"/>
      <c r="AC1067" s="121"/>
      <c r="AD1067" s="121"/>
      <c r="AE1067" s="121"/>
      <c r="AF1067" s="121"/>
      <c r="AG1067" s="121"/>
      <c r="AH1067" s="121"/>
      <c r="AI1067" s="121"/>
      <c r="AJ1067" s="121"/>
      <c r="AK1067" s="121"/>
      <c r="AL1067" s="121"/>
      <c r="AM1067" s="121"/>
      <c r="AN1067" s="121"/>
      <c r="AO1067" s="121"/>
      <c r="AP1067" s="121"/>
      <c r="AS1067" s="27"/>
      <c r="AT1067" s="27"/>
      <c r="AU1067" s="27"/>
      <c r="AV1067" s="27"/>
      <c r="AW1067" s="27"/>
      <c r="AX1067" s="27"/>
      <c r="AY1067" s="27"/>
      <c r="AZ1067" s="27"/>
      <c r="BA1067" s="27"/>
      <c r="BB1067" s="27"/>
      <c r="BC1067" s="133"/>
      <c r="BD1067" s="27"/>
      <c r="BE1067" s="130"/>
    </row>
    <row r="1068" spans="1:57" s="25" customFormat="1">
      <c r="A1068" s="130"/>
      <c r="G1068" s="120"/>
      <c r="H1068" s="120"/>
      <c r="I1068" s="120"/>
      <c r="J1068" s="120"/>
      <c r="K1068" s="120"/>
      <c r="X1068" s="130"/>
      <c r="Y1068" s="130"/>
      <c r="Z1068" s="121"/>
      <c r="AA1068" s="121"/>
      <c r="AB1068" s="121"/>
      <c r="AC1068" s="121"/>
      <c r="AD1068" s="121"/>
      <c r="AE1068" s="121"/>
      <c r="AF1068" s="121"/>
      <c r="AG1068" s="121"/>
      <c r="AH1068" s="121"/>
      <c r="AI1068" s="121"/>
      <c r="AJ1068" s="121"/>
      <c r="AK1068" s="121"/>
      <c r="AL1068" s="121"/>
      <c r="AM1068" s="121"/>
      <c r="AN1068" s="121"/>
      <c r="AO1068" s="121"/>
      <c r="AP1068" s="121"/>
      <c r="AS1068" s="27"/>
      <c r="AT1068" s="27"/>
      <c r="AU1068" s="27"/>
      <c r="AV1068" s="27"/>
      <c r="AW1068" s="27"/>
      <c r="AX1068" s="27"/>
      <c r="AY1068" s="27"/>
      <c r="AZ1068" s="27"/>
      <c r="BA1068" s="27"/>
      <c r="BB1068" s="27"/>
      <c r="BC1068" s="133"/>
      <c r="BD1068" s="27"/>
      <c r="BE1068" s="130"/>
    </row>
    <row r="1069" spans="1:57" s="25" customFormat="1">
      <c r="A1069" s="130"/>
      <c r="G1069" s="120"/>
      <c r="H1069" s="120"/>
      <c r="I1069" s="120"/>
      <c r="J1069" s="120"/>
      <c r="K1069" s="120"/>
      <c r="X1069" s="130"/>
      <c r="Y1069" s="130"/>
      <c r="Z1069" s="121"/>
      <c r="AA1069" s="121"/>
      <c r="AB1069" s="121"/>
      <c r="AC1069" s="121"/>
      <c r="AD1069" s="121"/>
      <c r="AE1069" s="121"/>
      <c r="AF1069" s="121"/>
      <c r="AG1069" s="121"/>
      <c r="AH1069" s="121"/>
      <c r="AI1069" s="121"/>
      <c r="AJ1069" s="121"/>
      <c r="AK1069" s="121"/>
      <c r="AL1069" s="121"/>
      <c r="AM1069" s="121"/>
      <c r="AN1069" s="121"/>
      <c r="AO1069" s="121"/>
      <c r="AP1069" s="121"/>
      <c r="AS1069" s="27"/>
      <c r="AT1069" s="27"/>
      <c r="AU1069" s="27"/>
      <c r="AV1069" s="27"/>
      <c r="AW1069" s="27"/>
      <c r="AX1069" s="27"/>
      <c r="AY1069" s="27"/>
      <c r="AZ1069" s="27"/>
      <c r="BA1069" s="27"/>
      <c r="BB1069" s="27"/>
      <c r="BC1069" s="133"/>
      <c r="BD1069" s="27"/>
      <c r="BE1069" s="130"/>
    </row>
    <row r="1070" spans="1:57" s="25" customFormat="1">
      <c r="A1070" s="130"/>
      <c r="G1070" s="120"/>
      <c r="H1070" s="120"/>
      <c r="I1070" s="120"/>
      <c r="J1070" s="120"/>
      <c r="K1070" s="120"/>
      <c r="X1070" s="130"/>
      <c r="Y1070" s="130"/>
      <c r="Z1070" s="121"/>
      <c r="AA1070" s="121"/>
      <c r="AB1070" s="121"/>
      <c r="AC1070" s="121"/>
      <c r="AD1070" s="121"/>
      <c r="AE1070" s="121"/>
      <c r="AF1070" s="121"/>
      <c r="AG1070" s="121"/>
      <c r="AH1070" s="121"/>
      <c r="AI1070" s="121"/>
      <c r="AJ1070" s="121"/>
      <c r="AK1070" s="121"/>
      <c r="AL1070" s="121"/>
      <c r="AM1070" s="121"/>
      <c r="AN1070" s="121"/>
      <c r="AO1070" s="121"/>
      <c r="AP1070" s="121"/>
      <c r="AS1070" s="27"/>
      <c r="AT1070" s="27"/>
      <c r="AU1070" s="27"/>
      <c r="AV1070" s="27"/>
      <c r="AW1070" s="27"/>
      <c r="AX1070" s="27"/>
      <c r="AY1070" s="27"/>
      <c r="AZ1070" s="27"/>
      <c r="BA1070" s="27"/>
      <c r="BB1070" s="27"/>
      <c r="BC1070" s="133"/>
      <c r="BD1070" s="27"/>
      <c r="BE1070" s="130"/>
    </row>
    <row r="1071" spans="1:57" s="25" customFormat="1">
      <c r="A1071" s="130"/>
      <c r="G1071" s="120"/>
      <c r="H1071" s="120"/>
      <c r="I1071" s="120"/>
      <c r="J1071" s="120"/>
      <c r="K1071" s="120"/>
      <c r="X1071" s="130"/>
      <c r="Y1071" s="130"/>
      <c r="Z1071" s="121"/>
      <c r="AA1071" s="121"/>
      <c r="AB1071" s="121"/>
      <c r="AC1071" s="121"/>
      <c r="AD1071" s="121"/>
      <c r="AE1071" s="121"/>
      <c r="AF1071" s="121"/>
      <c r="AG1071" s="121"/>
      <c r="AH1071" s="121"/>
      <c r="AI1071" s="121"/>
      <c r="AJ1071" s="121"/>
      <c r="AK1071" s="121"/>
      <c r="AL1071" s="121"/>
      <c r="AM1071" s="121"/>
      <c r="AN1071" s="121"/>
      <c r="AO1071" s="121"/>
      <c r="AP1071" s="121"/>
      <c r="AS1071" s="27"/>
      <c r="AT1071" s="27"/>
      <c r="AU1071" s="27"/>
      <c r="AV1071" s="27"/>
      <c r="AW1071" s="27"/>
      <c r="AX1071" s="27"/>
      <c r="AY1071" s="27"/>
      <c r="AZ1071" s="27"/>
      <c r="BA1071" s="27"/>
      <c r="BB1071" s="27"/>
      <c r="BC1071" s="133"/>
      <c r="BD1071" s="27"/>
      <c r="BE1071" s="130"/>
    </row>
    <row r="1072" spans="1:57" s="25" customFormat="1">
      <c r="A1072" s="130"/>
      <c r="G1072" s="120"/>
      <c r="H1072" s="120"/>
      <c r="I1072" s="120"/>
      <c r="J1072" s="120"/>
      <c r="K1072" s="120"/>
      <c r="X1072" s="130"/>
      <c r="Y1072" s="130"/>
      <c r="Z1072" s="121"/>
      <c r="AA1072" s="121"/>
      <c r="AB1072" s="121"/>
      <c r="AC1072" s="121"/>
      <c r="AD1072" s="121"/>
      <c r="AE1072" s="121"/>
      <c r="AF1072" s="121"/>
      <c r="AG1072" s="121"/>
      <c r="AH1072" s="121"/>
      <c r="AI1072" s="121"/>
      <c r="AJ1072" s="121"/>
      <c r="AK1072" s="121"/>
      <c r="AL1072" s="121"/>
      <c r="AM1072" s="121"/>
      <c r="AN1072" s="121"/>
      <c r="AO1072" s="121"/>
      <c r="AP1072" s="121"/>
      <c r="AS1072" s="27"/>
      <c r="AT1072" s="27"/>
      <c r="AU1072" s="27"/>
      <c r="AV1072" s="27"/>
      <c r="AW1072" s="27"/>
      <c r="AX1072" s="27"/>
      <c r="AY1072" s="27"/>
      <c r="AZ1072" s="27"/>
      <c r="BA1072" s="27"/>
      <c r="BB1072" s="27"/>
      <c r="BC1072" s="133"/>
      <c r="BD1072" s="27"/>
      <c r="BE1072" s="130"/>
    </row>
    <row r="1073" spans="1:57" s="25" customFormat="1">
      <c r="A1073" s="130"/>
      <c r="G1073" s="120"/>
      <c r="H1073" s="120"/>
      <c r="I1073" s="120"/>
      <c r="J1073" s="120"/>
      <c r="K1073" s="120"/>
      <c r="X1073" s="130"/>
      <c r="Y1073" s="130"/>
      <c r="Z1073" s="121"/>
      <c r="AA1073" s="121"/>
      <c r="AB1073" s="121"/>
      <c r="AC1073" s="121"/>
      <c r="AD1073" s="121"/>
      <c r="AE1073" s="121"/>
      <c r="AF1073" s="121"/>
      <c r="AG1073" s="121"/>
      <c r="AH1073" s="121"/>
      <c r="AI1073" s="121"/>
      <c r="AJ1073" s="121"/>
      <c r="AK1073" s="121"/>
      <c r="AL1073" s="121"/>
      <c r="AM1073" s="121"/>
      <c r="AN1073" s="121"/>
      <c r="AO1073" s="121"/>
      <c r="AP1073" s="121"/>
      <c r="AS1073" s="27"/>
      <c r="AT1073" s="27"/>
      <c r="AU1073" s="27"/>
      <c r="AV1073" s="27"/>
      <c r="AW1073" s="27"/>
      <c r="AX1073" s="27"/>
      <c r="AY1073" s="27"/>
      <c r="AZ1073" s="27"/>
      <c r="BA1073" s="27"/>
      <c r="BB1073" s="27"/>
      <c r="BC1073" s="133"/>
      <c r="BD1073" s="27"/>
      <c r="BE1073" s="130"/>
    </row>
    <row r="1074" spans="1:57" s="25" customFormat="1">
      <c r="A1074" s="130"/>
      <c r="G1074" s="120"/>
      <c r="H1074" s="120"/>
      <c r="I1074" s="120"/>
      <c r="J1074" s="120"/>
      <c r="K1074" s="120"/>
      <c r="X1074" s="130"/>
      <c r="Y1074" s="130"/>
      <c r="Z1074" s="121"/>
      <c r="AA1074" s="121"/>
      <c r="AB1074" s="121"/>
      <c r="AC1074" s="121"/>
      <c r="AD1074" s="121"/>
      <c r="AE1074" s="121"/>
      <c r="AF1074" s="121"/>
      <c r="AG1074" s="121"/>
      <c r="AH1074" s="121"/>
      <c r="AI1074" s="121"/>
      <c r="AJ1074" s="121"/>
      <c r="AK1074" s="121"/>
      <c r="AL1074" s="121"/>
      <c r="AM1074" s="121"/>
      <c r="AN1074" s="121"/>
      <c r="AO1074" s="121"/>
      <c r="AP1074" s="121"/>
      <c r="AS1074" s="27"/>
      <c r="AT1074" s="27"/>
      <c r="AU1074" s="27"/>
      <c r="AV1074" s="27"/>
      <c r="AW1074" s="27"/>
      <c r="AX1074" s="27"/>
      <c r="AY1074" s="27"/>
      <c r="AZ1074" s="27"/>
      <c r="BA1074" s="27"/>
      <c r="BB1074" s="27"/>
      <c r="BC1074" s="133"/>
      <c r="BD1074" s="27"/>
      <c r="BE1074" s="130"/>
    </row>
    <row r="1075" spans="1:57" s="25" customFormat="1">
      <c r="A1075" s="130"/>
      <c r="G1075" s="120"/>
      <c r="H1075" s="120"/>
      <c r="I1075" s="120"/>
      <c r="J1075" s="120"/>
      <c r="K1075" s="120"/>
      <c r="X1075" s="130"/>
      <c r="Y1075" s="130"/>
      <c r="Z1075" s="121"/>
      <c r="AA1075" s="121"/>
      <c r="AB1075" s="121"/>
      <c r="AC1075" s="121"/>
      <c r="AD1075" s="121"/>
      <c r="AE1075" s="121"/>
      <c r="AF1075" s="121"/>
      <c r="AG1075" s="121"/>
      <c r="AH1075" s="121"/>
      <c r="AI1075" s="121"/>
      <c r="AJ1075" s="121"/>
      <c r="AK1075" s="121"/>
      <c r="AL1075" s="121"/>
      <c r="AM1075" s="121"/>
      <c r="AN1075" s="121"/>
      <c r="AO1075" s="121"/>
      <c r="AP1075" s="121"/>
      <c r="AS1075" s="27"/>
      <c r="AT1075" s="27"/>
      <c r="AU1075" s="27"/>
      <c r="AV1075" s="27"/>
      <c r="AW1075" s="27"/>
      <c r="AX1075" s="27"/>
      <c r="AY1075" s="27"/>
      <c r="AZ1075" s="27"/>
      <c r="BA1075" s="27"/>
      <c r="BB1075" s="27"/>
      <c r="BC1075" s="133"/>
      <c r="BD1075" s="27"/>
      <c r="BE1075" s="130"/>
    </row>
    <row r="1076" spans="1:57" s="25" customFormat="1">
      <c r="A1076" s="130"/>
      <c r="G1076" s="120"/>
      <c r="H1076" s="120"/>
      <c r="I1076" s="120"/>
      <c r="J1076" s="120"/>
      <c r="K1076" s="120"/>
      <c r="X1076" s="130"/>
      <c r="Y1076" s="130"/>
      <c r="Z1076" s="121"/>
      <c r="AA1076" s="121"/>
      <c r="AB1076" s="121"/>
      <c r="AC1076" s="121"/>
      <c r="AD1076" s="121"/>
      <c r="AE1076" s="121"/>
      <c r="AF1076" s="121"/>
      <c r="AG1076" s="121"/>
      <c r="AH1076" s="121"/>
      <c r="AI1076" s="121"/>
      <c r="AJ1076" s="121"/>
      <c r="AK1076" s="121"/>
      <c r="AL1076" s="121"/>
      <c r="AM1076" s="121"/>
      <c r="AN1076" s="121"/>
      <c r="AO1076" s="121"/>
      <c r="AP1076" s="121"/>
      <c r="AS1076" s="27"/>
      <c r="AT1076" s="27"/>
      <c r="AU1076" s="27"/>
      <c r="AV1076" s="27"/>
      <c r="AW1076" s="27"/>
      <c r="AX1076" s="27"/>
      <c r="AY1076" s="27"/>
      <c r="AZ1076" s="27"/>
      <c r="BA1076" s="27"/>
      <c r="BB1076" s="27"/>
      <c r="BC1076" s="133"/>
      <c r="BD1076" s="27"/>
      <c r="BE1076" s="130"/>
    </row>
    <row r="1077" spans="1:57" s="25" customFormat="1">
      <c r="A1077" s="130"/>
      <c r="G1077" s="120"/>
      <c r="H1077" s="120"/>
      <c r="I1077" s="120"/>
      <c r="J1077" s="120"/>
      <c r="K1077" s="120"/>
      <c r="X1077" s="130"/>
      <c r="Y1077" s="130"/>
      <c r="Z1077" s="121"/>
      <c r="AA1077" s="121"/>
      <c r="AB1077" s="121"/>
      <c r="AC1077" s="121"/>
      <c r="AD1077" s="121"/>
      <c r="AE1077" s="121"/>
      <c r="AF1077" s="121"/>
      <c r="AG1077" s="121"/>
      <c r="AH1077" s="121"/>
      <c r="AI1077" s="121"/>
      <c r="AJ1077" s="121"/>
      <c r="AK1077" s="121"/>
      <c r="AL1077" s="121"/>
      <c r="AM1077" s="121"/>
      <c r="AN1077" s="121"/>
      <c r="AO1077" s="121"/>
      <c r="AP1077" s="121"/>
      <c r="AS1077" s="27"/>
      <c r="AT1077" s="27"/>
      <c r="AU1077" s="27"/>
      <c r="AV1077" s="27"/>
      <c r="AW1077" s="27"/>
      <c r="AX1077" s="27"/>
      <c r="AY1077" s="27"/>
      <c r="AZ1077" s="27"/>
      <c r="BA1077" s="27"/>
      <c r="BB1077" s="27"/>
      <c r="BC1077" s="133"/>
      <c r="BD1077" s="27"/>
      <c r="BE1077" s="130"/>
    </row>
    <row r="1078" spans="1:57" s="25" customFormat="1">
      <c r="A1078" s="130"/>
      <c r="G1078" s="120"/>
      <c r="H1078" s="120"/>
      <c r="I1078" s="120"/>
      <c r="J1078" s="120"/>
      <c r="K1078" s="120"/>
      <c r="X1078" s="130"/>
      <c r="Y1078" s="130"/>
      <c r="Z1078" s="121"/>
      <c r="AA1078" s="121"/>
      <c r="AB1078" s="121"/>
      <c r="AC1078" s="121"/>
      <c r="AD1078" s="121"/>
      <c r="AE1078" s="121"/>
      <c r="AF1078" s="121"/>
      <c r="AG1078" s="121"/>
      <c r="AH1078" s="121"/>
      <c r="AI1078" s="121"/>
      <c r="AJ1078" s="121"/>
      <c r="AK1078" s="121"/>
      <c r="AL1078" s="121"/>
      <c r="AM1078" s="121"/>
      <c r="AN1078" s="121"/>
      <c r="AO1078" s="121"/>
      <c r="AP1078" s="121"/>
      <c r="AS1078" s="27"/>
      <c r="AT1078" s="27"/>
      <c r="AU1078" s="27"/>
      <c r="AV1078" s="27"/>
      <c r="AW1078" s="27"/>
      <c r="AX1078" s="27"/>
      <c r="AY1078" s="27"/>
      <c r="AZ1078" s="27"/>
      <c r="BA1078" s="27"/>
      <c r="BB1078" s="27"/>
      <c r="BC1078" s="133"/>
      <c r="BD1078" s="27"/>
      <c r="BE1078" s="130"/>
    </row>
    <row r="1079" spans="1:57" s="25" customFormat="1">
      <c r="A1079" s="130"/>
      <c r="G1079" s="120"/>
      <c r="H1079" s="120"/>
      <c r="I1079" s="120"/>
      <c r="J1079" s="120"/>
      <c r="K1079" s="120"/>
      <c r="X1079" s="130"/>
      <c r="Y1079" s="130"/>
      <c r="Z1079" s="121"/>
      <c r="AA1079" s="121"/>
      <c r="AB1079" s="121"/>
      <c r="AC1079" s="121"/>
      <c r="AD1079" s="121"/>
      <c r="AE1079" s="121"/>
      <c r="AF1079" s="121"/>
      <c r="AG1079" s="121"/>
      <c r="AH1079" s="121"/>
      <c r="AI1079" s="121"/>
      <c r="AJ1079" s="121"/>
      <c r="AK1079" s="121"/>
      <c r="AL1079" s="121"/>
      <c r="AM1079" s="121"/>
      <c r="AN1079" s="121"/>
      <c r="AO1079" s="121"/>
      <c r="AP1079" s="121"/>
      <c r="AS1079" s="27"/>
      <c r="AT1079" s="27"/>
      <c r="AU1079" s="27"/>
      <c r="AV1079" s="27"/>
      <c r="AW1079" s="27"/>
      <c r="AX1079" s="27"/>
      <c r="AY1079" s="27"/>
      <c r="AZ1079" s="27"/>
      <c r="BA1079" s="27"/>
      <c r="BB1079" s="27"/>
      <c r="BC1079" s="133"/>
      <c r="BD1079" s="27"/>
      <c r="BE1079" s="130"/>
    </row>
    <row r="1080" spans="1:57" s="25" customFormat="1">
      <c r="A1080" s="130"/>
      <c r="G1080" s="120"/>
      <c r="H1080" s="120"/>
      <c r="I1080" s="120"/>
      <c r="J1080" s="120"/>
      <c r="K1080" s="120"/>
      <c r="X1080" s="130"/>
      <c r="Y1080" s="130"/>
      <c r="Z1080" s="121"/>
      <c r="AA1080" s="121"/>
      <c r="AB1080" s="121"/>
      <c r="AC1080" s="121"/>
      <c r="AD1080" s="121"/>
      <c r="AE1080" s="121"/>
      <c r="AF1080" s="121"/>
      <c r="AG1080" s="121"/>
      <c r="AH1080" s="121"/>
      <c r="AI1080" s="121"/>
      <c r="AJ1080" s="121"/>
      <c r="AK1080" s="121"/>
      <c r="AL1080" s="121"/>
      <c r="AM1080" s="121"/>
      <c r="AN1080" s="121"/>
      <c r="AO1080" s="121"/>
      <c r="AP1080" s="121"/>
      <c r="AS1080" s="27"/>
      <c r="AT1080" s="27"/>
      <c r="AU1080" s="27"/>
      <c r="AV1080" s="27"/>
      <c r="AW1080" s="27"/>
      <c r="AX1080" s="27"/>
      <c r="AY1080" s="27"/>
      <c r="AZ1080" s="27"/>
      <c r="BA1080" s="27"/>
      <c r="BB1080" s="27"/>
      <c r="BC1080" s="133"/>
      <c r="BD1080" s="27"/>
      <c r="BE1080" s="130"/>
    </row>
    <row r="1081" spans="1:57" s="25" customFormat="1">
      <c r="A1081" s="130"/>
      <c r="G1081" s="120"/>
      <c r="H1081" s="120"/>
      <c r="I1081" s="120"/>
      <c r="J1081" s="120"/>
      <c r="K1081" s="120"/>
      <c r="X1081" s="130"/>
      <c r="Y1081" s="130"/>
      <c r="Z1081" s="121"/>
      <c r="AA1081" s="121"/>
      <c r="AB1081" s="121"/>
      <c r="AC1081" s="121"/>
      <c r="AD1081" s="121"/>
      <c r="AE1081" s="121"/>
      <c r="AF1081" s="121"/>
      <c r="AG1081" s="121"/>
      <c r="AH1081" s="121"/>
      <c r="AI1081" s="121"/>
      <c r="AJ1081" s="121"/>
      <c r="AK1081" s="121"/>
      <c r="AL1081" s="121"/>
      <c r="AM1081" s="121"/>
      <c r="AN1081" s="121"/>
      <c r="AO1081" s="121"/>
      <c r="AP1081" s="121"/>
      <c r="AS1081" s="27"/>
      <c r="AT1081" s="27"/>
      <c r="AU1081" s="27"/>
      <c r="AV1081" s="27"/>
      <c r="AW1081" s="27"/>
      <c r="AX1081" s="27"/>
      <c r="AY1081" s="27"/>
      <c r="AZ1081" s="27"/>
      <c r="BA1081" s="27"/>
      <c r="BB1081" s="27"/>
      <c r="BC1081" s="133"/>
      <c r="BD1081" s="27"/>
      <c r="BE1081" s="130"/>
    </row>
    <row r="1082" spans="1:57" s="25" customFormat="1">
      <c r="A1082" s="130"/>
      <c r="G1082" s="120"/>
      <c r="H1082" s="120"/>
      <c r="I1082" s="120"/>
      <c r="J1082" s="120"/>
      <c r="K1082" s="120"/>
      <c r="X1082" s="130"/>
      <c r="Y1082" s="130"/>
      <c r="Z1082" s="121"/>
      <c r="AA1082" s="121"/>
      <c r="AB1082" s="121"/>
      <c r="AC1082" s="121"/>
      <c r="AD1082" s="121"/>
      <c r="AE1082" s="121"/>
      <c r="AF1082" s="121"/>
      <c r="AG1082" s="121"/>
      <c r="AH1082" s="121"/>
      <c r="AI1082" s="121"/>
      <c r="AJ1082" s="121"/>
      <c r="AK1082" s="121"/>
      <c r="AL1082" s="121"/>
      <c r="AM1082" s="121"/>
      <c r="AN1082" s="121"/>
      <c r="AO1082" s="121"/>
      <c r="AP1082" s="121"/>
      <c r="AS1082" s="27"/>
      <c r="AT1082" s="27"/>
      <c r="AU1082" s="27"/>
      <c r="AV1082" s="27"/>
      <c r="AW1082" s="27"/>
      <c r="AX1082" s="27"/>
      <c r="AY1082" s="27"/>
      <c r="AZ1082" s="27"/>
      <c r="BA1082" s="27"/>
      <c r="BB1082" s="27"/>
      <c r="BC1082" s="133"/>
      <c r="BD1082" s="27"/>
      <c r="BE1082" s="130"/>
    </row>
    <row r="1083" spans="1:57" s="25" customFormat="1">
      <c r="A1083" s="130"/>
      <c r="G1083" s="120"/>
      <c r="H1083" s="120"/>
      <c r="I1083" s="120"/>
      <c r="J1083" s="120"/>
      <c r="K1083" s="120"/>
      <c r="X1083" s="130"/>
      <c r="Y1083" s="130"/>
      <c r="Z1083" s="121"/>
      <c r="AA1083" s="121"/>
      <c r="AB1083" s="121"/>
      <c r="AC1083" s="121"/>
      <c r="AD1083" s="121"/>
      <c r="AE1083" s="121"/>
      <c r="AF1083" s="121"/>
      <c r="AG1083" s="121"/>
      <c r="AH1083" s="121"/>
      <c r="AI1083" s="121"/>
      <c r="AJ1083" s="121"/>
      <c r="AK1083" s="121"/>
      <c r="AL1083" s="121"/>
      <c r="AM1083" s="121"/>
      <c r="AN1083" s="121"/>
      <c r="AO1083" s="121"/>
      <c r="AP1083" s="121"/>
      <c r="AS1083" s="27"/>
      <c r="AT1083" s="27"/>
      <c r="AU1083" s="27"/>
      <c r="AV1083" s="27"/>
      <c r="AW1083" s="27"/>
      <c r="AX1083" s="27"/>
      <c r="AY1083" s="27"/>
      <c r="AZ1083" s="27"/>
      <c r="BA1083" s="27"/>
      <c r="BB1083" s="27"/>
      <c r="BC1083" s="133"/>
      <c r="BD1083" s="27"/>
      <c r="BE1083" s="130"/>
    </row>
    <row r="1084" spans="1:57" s="25" customFormat="1">
      <c r="A1084" s="130"/>
      <c r="G1084" s="120"/>
      <c r="H1084" s="120"/>
      <c r="I1084" s="120"/>
      <c r="J1084" s="120"/>
      <c r="K1084" s="120"/>
      <c r="X1084" s="130"/>
      <c r="Y1084" s="130"/>
      <c r="Z1084" s="121"/>
      <c r="AA1084" s="121"/>
      <c r="AB1084" s="121"/>
      <c r="AC1084" s="121"/>
      <c r="AD1084" s="121"/>
      <c r="AE1084" s="121"/>
      <c r="AF1084" s="121"/>
      <c r="AG1084" s="121"/>
      <c r="AH1084" s="121"/>
      <c r="AI1084" s="121"/>
      <c r="AJ1084" s="121"/>
      <c r="AK1084" s="121"/>
      <c r="AL1084" s="121"/>
      <c r="AM1084" s="121"/>
      <c r="AN1084" s="121"/>
      <c r="AO1084" s="121"/>
      <c r="AP1084" s="121"/>
      <c r="AS1084" s="27"/>
      <c r="AT1084" s="27"/>
      <c r="AU1084" s="27"/>
      <c r="AV1084" s="27"/>
      <c r="AW1084" s="27"/>
      <c r="AX1084" s="27"/>
      <c r="AY1084" s="27"/>
      <c r="AZ1084" s="27"/>
      <c r="BA1084" s="27"/>
      <c r="BB1084" s="27"/>
      <c r="BC1084" s="133"/>
      <c r="BD1084" s="27"/>
      <c r="BE1084" s="130"/>
    </row>
    <row r="1085" spans="1:57" s="25" customFormat="1">
      <c r="A1085" s="130"/>
      <c r="G1085" s="120"/>
      <c r="H1085" s="120"/>
      <c r="I1085" s="120"/>
      <c r="J1085" s="120"/>
      <c r="K1085" s="120"/>
      <c r="X1085" s="130"/>
      <c r="Y1085" s="130"/>
      <c r="Z1085" s="121"/>
      <c r="AA1085" s="121"/>
      <c r="AB1085" s="121"/>
      <c r="AC1085" s="121"/>
      <c r="AD1085" s="121"/>
      <c r="AE1085" s="121"/>
      <c r="AF1085" s="121"/>
      <c r="AG1085" s="121"/>
      <c r="AH1085" s="121"/>
      <c r="AI1085" s="121"/>
      <c r="AJ1085" s="121"/>
      <c r="AK1085" s="121"/>
      <c r="AL1085" s="121"/>
      <c r="AM1085" s="121"/>
      <c r="AN1085" s="121"/>
      <c r="AO1085" s="121"/>
      <c r="AP1085" s="121"/>
      <c r="AS1085" s="27"/>
      <c r="AT1085" s="27"/>
      <c r="AU1085" s="27"/>
      <c r="AV1085" s="27"/>
      <c r="AW1085" s="27"/>
      <c r="AX1085" s="27"/>
      <c r="AY1085" s="27"/>
      <c r="AZ1085" s="27"/>
      <c r="BA1085" s="27"/>
      <c r="BB1085" s="27"/>
      <c r="BC1085" s="133"/>
      <c r="BD1085" s="27"/>
      <c r="BE1085" s="130"/>
    </row>
    <row r="1086" spans="1:57" s="25" customFormat="1">
      <c r="A1086" s="130"/>
      <c r="G1086" s="120"/>
      <c r="H1086" s="120"/>
      <c r="I1086" s="120"/>
      <c r="J1086" s="120"/>
      <c r="K1086" s="120"/>
      <c r="X1086" s="130"/>
      <c r="Y1086" s="130"/>
      <c r="Z1086" s="121"/>
      <c r="AA1086" s="121"/>
      <c r="AB1086" s="121"/>
      <c r="AC1086" s="121"/>
      <c r="AD1086" s="121"/>
      <c r="AE1086" s="121"/>
      <c r="AF1086" s="121"/>
      <c r="AG1086" s="121"/>
      <c r="AH1086" s="121"/>
      <c r="AI1086" s="121"/>
      <c r="AJ1086" s="121"/>
      <c r="AK1086" s="121"/>
      <c r="AL1086" s="121"/>
      <c r="AM1086" s="121"/>
      <c r="AN1086" s="121"/>
      <c r="AO1086" s="121"/>
      <c r="AP1086" s="121"/>
      <c r="AS1086" s="27"/>
      <c r="AT1086" s="27"/>
      <c r="AU1086" s="27"/>
      <c r="AV1086" s="27"/>
      <c r="AW1086" s="27"/>
      <c r="AX1086" s="27"/>
      <c r="AY1086" s="27"/>
      <c r="AZ1086" s="27"/>
      <c r="BA1086" s="27"/>
      <c r="BB1086" s="27"/>
      <c r="BC1086" s="133"/>
      <c r="BD1086" s="27"/>
      <c r="BE1086" s="130"/>
    </row>
    <row r="1087" spans="1:57" s="25" customFormat="1">
      <c r="A1087" s="130"/>
      <c r="G1087" s="120"/>
      <c r="H1087" s="120"/>
      <c r="I1087" s="120"/>
      <c r="J1087" s="120"/>
      <c r="K1087" s="120"/>
      <c r="X1087" s="130"/>
      <c r="Y1087" s="130"/>
      <c r="Z1087" s="121"/>
      <c r="AA1087" s="121"/>
      <c r="AB1087" s="121"/>
      <c r="AC1087" s="121"/>
      <c r="AD1087" s="121"/>
      <c r="AE1087" s="121"/>
      <c r="AF1087" s="121"/>
      <c r="AG1087" s="121"/>
      <c r="AH1087" s="121"/>
      <c r="AI1087" s="121"/>
      <c r="AJ1087" s="121"/>
      <c r="AK1087" s="121"/>
      <c r="AL1087" s="121"/>
      <c r="AM1087" s="121"/>
      <c r="AN1087" s="121"/>
      <c r="AO1087" s="121"/>
      <c r="AP1087" s="121"/>
      <c r="AS1087" s="27"/>
      <c r="AT1087" s="27"/>
      <c r="AU1087" s="27"/>
      <c r="AV1087" s="27"/>
      <c r="AW1087" s="27"/>
      <c r="AX1087" s="27"/>
      <c r="AY1087" s="27"/>
      <c r="AZ1087" s="27"/>
      <c r="BA1087" s="27"/>
      <c r="BB1087" s="27"/>
      <c r="BC1087" s="133"/>
      <c r="BD1087" s="27"/>
      <c r="BE1087" s="130"/>
    </row>
    <row r="1088" spans="1:57" s="25" customFormat="1">
      <c r="A1088" s="130"/>
      <c r="G1088" s="120"/>
      <c r="H1088" s="120"/>
      <c r="I1088" s="120"/>
      <c r="J1088" s="120"/>
      <c r="K1088" s="120"/>
      <c r="X1088" s="130"/>
      <c r="Y1088" s="130"/>
      <c r="Z1088" s="121"/>
      <c r="AA1088" s="121"/>
      <c r="AB1088" s="121"/>
      <c r="AC1088" s="121"/>
      <c r="AD1088" s="121"/>
      <c r="AE1088" s="121"/>
      <c r="AF1088" s="121"/>
      <c r="AG1088" s="121"/>
      <c r="AH1088" s="121"/>
      <c r="AI1088" s="121"/>
      <c r="AJ1088" s="121"/>
      <c r="AK1088" s="121"/>
      <c r="AL1088" s="121"/>
      <c r="AM1088" s="121"/>
      <c r="AN1088" s="121"/>
      <c r="AO1088" s="121"/>
      <c r="AP1088" s="121"/>
      <c r="AS1088" s="27"/>
      <c r="AT1088" s="27"/>
      <c r="AU1088" s="27"/>
      <c r="AV1088" s="27"/>
      <c r="AW1088" s="27"/>
      <c r="AX1088" s="27"/>
      <c r="AY1088" s="27"/>
      <c r="AZ1088" s="27"/>
      <c r="BA1088" s="27"/>
      <c r="BB1088" s="27"/>
      <c r="BC1088" s="133"/>
      <c r="BD1088" s="27"/>
      <c r="BE1088" s="130"/>
    </row>
    <row r="1089" spans="1:57" s="25" customFormat="1">
      <c r="A1089" s="130"/>
      <c r="G1089" s="120"/>
      <c r="H1089" s="120"/>
      <c r="I1089" s="120"/>
      <c r="J1089" s="120"/>
      <c r="K1089" s="120"/>
      <c r="X1089" s="130"/>
      <c r="Y1089" s="130"/>
      <c r="Z1089" s="121"/>
      <c r="AA1089" s="121"/>
      <c r="AB1089" s="121"/>
      <c r="AC1089" s="121"/>
      <c r="AD1089" s="121"/>
      <c r="AE1089" s="121"/>
      <c r="AF1089" s="121"/>
      <c r="AG1089" s="121"/>
      <c r="AH1089" s="121"/>
      <c r="AI1089" s="121"/>
      <c r="AJ1089" s="121"/>
      <c r="AK1089" s="121"/>
      <c r="AL1089" s="121"/>
      <c r="AM1089" s="121"/>
      <c r="AN1089" s="121"/>
      <c r="AO1089" s="121"/>
      <c r="AP1089" s="121"/>
      <c r="AS1089" s="27"/>
      <c r="AT1089" s="27"/>
      <c r="AU1089" s="27"/>
      <c r="AV1089" s="27"/>
      <c r="AW1089" s="27"/>
      <c r="AX1089" s="27"/>
      <c r="AY1089" s="27"/>
      <c r="AZ1089" s="27"/>
      <c r="BA1089" s="27"/>
      <c r="BB1089" s="27"/>
      <c r="BC1089" s="133"/>
      <c r="BD1089" s="27"/>
      <c r="BE1089" s="130"/>
    </row>
    <row r="1090" spans="1:57" s="25" customFormat="1">
      <c r="A1090" s="130"/>
      <c r="G1090" s="120"/>
      <c r="H1090" s="120"/>
      <c r="I1090" s="120"/>
      <c r="J1090" s="120"/>
      <c r="K1090" s="120"/>
      <c r="X1090" s="130"/>
      <c r="Y1090" s="130"/>
      <c r="Z1090" s="121"/>
      <c r="AA1090" s="121"/>
      <c r="AB1090" s="121"/>
      <c r="AC1090" s="121"/>
      <c r="AD1090" s="121"/>
      <c r="AE1090" s="121"/>
      <c r="AF1090" s="121"/>
      <c r="AG1090" s="121"/>
      <c r="AH1090" s="121"/>
      <c r="AI1090" s="121"/>
      <c r="AJ1090" s="121"/>
      <c r="AK1090" s="121"/>
      <c r="AL1090" s="121"/>
      <c r="AM1090" s="121"/>
      <c r="AN1090" s="121"/>
      <c r="AO1090" s="121"/>
      <c r="AP1090" s="121"/>
      <c r="AS1090" s="27"/>
      <c r="AT1090" s="27"/>
      <c r="AU1090" s="27"/>
      <c r="AV1090" s="27"/>
      <c r="AW1090" s="27"/>
      <c r="AX1090" s="27"/>
      <c r="AY1090" s="27"/>
      <c r="AZ1090" s="27"/>
      <c r="BA1090" s="27"/>
      <c r="BB1090" s="27"/>
      <c r="BC1090" s="133"/>
      <c r="BD1090" s="27"/>
      <c r="BE1090" s="130"/>
    </row>
    <row r="1091" spans="1:57" s="25" customFormat="1">
      <c r="A1091" s="130"/>
      <c r="G1091" s="120"/>
      <c r="H1091" s="120"/>
      <c r="I1091" s="120"/>
      <c r="J1091" s="120"/>
      <c r="K1091" s="120"/>
      <c r="X1091" s="130"/>
      <c r="Y1091" s="130"/>
      <c r="Z1091" s="121"/>
      <c r="AA1091" s="121"/>
      <c r="AB1091" s="121"/>
      <c r="AC1091" s="121"/>
      <c r="AD1091" s="121"/>
      <c r="AE1091" s="121"/>
      <c r="AF1091" s="121"/>
      <c r="AG1091" s="121"/>
      <c r="AH1091" s="121"/>
      <c r="AI1091" s="121"/>
      <c r="AJ1091" s="121"/>
      <c r="AK1091" s="121"/>
      <c r="AL1091" s="121"/>
      <c r="AM1091" s="121"/>
      <c r="AN1091" s="121"/>
      <c r="AO1091" s="121"/>
      <c r="AP1091" s="121"/>
      <c r="AS1091" s="27"/>
      <c r="AT1091" s="27"/>
      <c r="AU1091" s="27"/>
      <c r="AV1091" s="27"/>
      <c r="AW1091" s="27"/>
      <c r="AX1091" s="27"/>
      <c r="AY1091" s="27"/>
      <c r="AZ1091" s="27"/>
      <c r="BA1091" s="27"/>
      <c r="BB1091" s="27"/>
      <c r="BC1091" s="133"/>
      <c r="BD1091" s="27"/>
      <c r="BE1091" s="130"/>
    </row>
    <row r="1092" spans="1:57" s="25" customFormat="1">
      <c r="A1092" s="130"/>
      <c r="G1092" s="120"/>
      <c r="H1092" s="120"/>
      <c r="I1092" s="120"/>
      <c r="J1092" s="120"/>
      <c r="K1092" s="120"/>
      <c r="X1092" s="130"/>
      <c r="Y1092" s="130"/>
      <c r="Z1092" s="121"/>
      <c r="AA1092" s="121"/>
      <c r="AB1092" s="121"/>
      <c r="AC1092" s="121"/>
      <c r="AD1092" s="121"/>
      <c r="AE1092" s="121"/>
      <c r="AF1092" s="121"/>
      <c r="AG1092" s="121"/>
      <c r="AH1092" s="121"/>
      <c r="AI1092" s="121"/>
      <c r="AJ1092" s="121"/>
      <c r="AK1092" s="121"/>
      <c r="AL1092" s="121"/>
      <c r="AM1092" s="121"/>
      <c r="AN1092" s="121"/>
      <c r="AO1092" s="121"/>
      <c r="AP1092" s="121"/>
      <c r="AS1092" s="27"/>
      <c r="AT1092" s="27"/>
      <c r="AU1092" s="27"/>
      <c r="AV1092" s="27"/>
      <c r="AW1092" s="27"/>
      <c r="AX1092" s="27"/>
      <c r="AY1092" s="27"/>
      <c r="AZ1092" s="27"/>
      <c r="BA1092" s="27"/>
      <c r="BB1092" s="27"/>
      <c r="BC1092" s="133"/>
      <c r="BD1092" s="27"/>
      <c r="BE1092" s="130"/>
    </row>
    <row r="1093" spans="1:57" s="25" customFormat="1">
      <c r="A1093" s="130"/>
      <c r="G1093" s="120"/>
      <c r="H1093" s="120"/>
      <c r="I1093" s="120"/>
      <c r="J1093" s="120"/>
      <c r="K1093" s="120"/>
      <c r="X1093" s="130"/>
      <c r="Y1093" s="130"/>
      <c r="Z1093" s="121"/>
      <c r="AA1093" s="121"/>
      <c r="AB1093" s="121"/>
      <c r="AC1093" s="121"/>
      <c r="AD1093" s="121"/>
      <c r="AE1093" s="121"/>
      <c r="AF1093" s="121"/>
      <c r="AG1093" s="121"/>
      <c r="AH1093" s="121"/>
      <c r="AI1093" s="121"/>
      <c r="AJ1093" s="121"/>
      <c r="AK1093" s="121"/>
      <c r="AL1093" s="121"/>
      <c r="AM1093" s="121"/>
      <c r="AN1093" s="121"/>
      <c r="AO1093" s="121"/>
      <c r="AP1093" s="121"/>
      <c r="AS1093" s="27"/>
      <c r="AT1093" s="27"/>
      <c r="AU1093" s="27"/>
      <c r="AV1093" s="27"/>
      <c r="AW1093" s="27"/>
      <c r="AX1093" s="27"/>
      <c r="AY1093" s="27"/>
      <c r="AZ1093" s="27"/>
      <c r="BA1093" s="27"/>
      <c r="BB1093" s="27"/>
      <c r="BC1093" s="133"/>
      <c r="BD1093" s="27"/>
      <c r="BE1093" s="130"/>
    </row>
    <row r="1094" spans="1:57" s="25" customFormat="1">
      <c r="A1094" s="130"/>
      <c r="G1094" s="120"/>
      <c r="H1094" s="120"/>
      <c r="I1094" s="120"/>
      <c r="J1094" s="120"/>
      <c r="K1094" s="120"/>
      <c r="X1094" s="130"/>
      <c r="Y1094" s="130"/>
      <c r="Z1094" s="121"/>
      <c r="AA1094" s="121"/>
      <c r="AB1094" s="121"/>
      <c r="AC1094" s="121"/>
      <c r="AD1094" s="121"/>
      <c r="AE1094" s="121"/>
      <c r="AF1094" s="121"/>
      <c r="AG1094" s="121"/>
      <c r="AH1094" s="121"/>
      <c r="AI1094" s="121"/>
      <c r="AJ1094" s="121"/>
      <c r="AK1094" s="121"/>
      <c r="AL1094" s="121"/>
      <c r="AM1094" s="121"/>
      <c r="AN1094" s="121"/>
      <c r="AO1094" s="121"/>
      <c r="AP1094" s="121"/>
      <c r="AS1094" s="27"/>
      <c r="AT1094" s="27"/>
      <c r="AU1094" s="27"/>
      <c r="AV1094" s="27"/>
      <c r="AW1094" s="27"/>
      <c r="AX1094" s="27"/>
      <c r="AY1094" s="27"/>
      <c r="AZ1094" s="27"/>
      <c r="BA1094" s="27"/>
      <c r="BB1094" s="27"/>
      <c r="BC1094" s="133"/>
      <c r="BD1094" s="27"/>
      <c r="BE1094" s="130"/>
    </row>
    <row r="1095" spans="1:57" s="25" customFormat="1">
      <c r="A1095" s="130"/>
      <c r="G1095" s="120"/>
      <c r="H1095" s="120"/>
      <c r="I1095" s="120"/>
      <c r="J1095" s="120"/>
      <c r="K1095" s="120"/>
      <c r="X1095" s="130"/>
      <c r="Y1095" s="130"/>
      <c r="Z1095" s="121"/>
      <c r="AA1095" s="121"/>
      <c r="AB1095" s="121"/>
      <c r="AC1095" s="121"/>
      <c r="AD1095" s="121"/>
      <c r="AE1095" s="121"/>
      <c r="AF1095" s="121"/>
      <c r="AG1095" s="121"/>
      <c r="AH1095" s="121"/>
      <c r="AI1095" s="121"/>
      <c r="AJ1095" s="121"/>
      <c r="AK1095" s="121"/>
      <c r="AL1095" s="121"/>
      <c r="AM1095" s="121"/>
      <c r="AN1095" s="121"/>
      <c r="AO1095" s="121"/>
      <c r="AP1095" s="121"/>
      <c r="AS1095" s="27"/>
      <c r="AT1095" s="27"/>
      <c r="AU1095" s="27"/>
      <c r="AV1095" s="27"/>
      <c r="AW1095" s="27"/>
      <c r="AX1095" s="27"/>
      <c r="AY1095" s="27"/>
      <c r="AZ1095" s="27"/>
      <c r="BA1095" s="27"/>
      <c r="BB1095" s="27"/>
      <c r="BC1095" s="133"/>
      <c r="BD1095" s="27"/>
      <c r="BE1095" s="130"/>
    </row>
    <row r="1096" spans="1:57" s="25" customFormat="1">
      <c r="A1096" s="130"/>
      <c r="G1096" s="120"/>
      <c r="H1096" s="120"/>
      <c r="I1096" s="120"/>
      <c r="J1096" s="120"/>
      <c r="K1096" s="120"/>
      <c r="X1096" s="130"/>
      <c r="Y1096" s="130"/>
      <c r="Z1096" s="121"/>
      <c r="AA1096" s="121"/>
      <c r="AB1096" s="121"/>
      <c r="AC1096" s="121"/>
      <c r="AD1096" s="121"/>
      <c r="AE1096" s="121"/>
      <c r="AF1096" s="121"/>
      <c r="AG1096" s="121"/>
      <c r="AH1096" s="121"/>
      <c r="AI1096" s="121"/>
      <c r="AJ1096" s="121"/>
      <c r="AK1096" s="121"/>
      <c r="AL1096" s="121"/>
      <c r="AM1096" s="121"/>
      <c r="AN1096" s="121"/>
      <c r="AO1096" s="121"/>
      <c r="AP1096" s="121"/>
      <c r="AS1096" s="27"/>
      <c r="AT1096" s="27"/>
      <c r="AU1096" s="27"/>
      <c r="AV1096" s="27"/>
      <c r="AW1096" s="27"/>
      <c r="AX1096" s="27"/>
      <c r="AY1096" s="27"/>
      <c r="AZ1096" s="27"/>
      <c r="BA1096" s="27"/>
      <c r="BB1096" s="27"/>
      <c r="BC1096" s="133"/>
      <c r="BD1096" s="27"/>
      <c r="BE1096" s="130"/>
    </row>
    <row r="1097" spans="1:57" s="25" customFormat="1">
      <c r="A1097" s="130"/>
      <c r="G1097" s="120"/>
      <c r="H1097" s="120"/>
      <c r="I1097" s="120"/>
      <c r="J1097" s="120"/>
      <c r="K1097" s="120"/>
      <c r="X1097" s="130"/>
      <c r="Y1097" s="130"/>
      <c r="Z1097" s="121"/>
      <c r="AA1097" s="121"/>
      <c r="AB1097" s="121"/>
      <c r="AC1097" s="121"/>
      <c r="AD1097" s="121"/>
      <c r="AE1097" s="121"/>
      <c r="AF1097" s="121"/>
      <c r="AG1097" s="121"/>
      <c r="AH1097" s="121"/>
      <c r="AI1097" s="121"/>
      <c r="AJ1097" s="121"/>
      <c r="AK1097" s="121"/>
      <c r="AL1097" s="121"/>
      <c r="AM1097" s="121"/>
      <c r="AN1097" s="121"/>
      <c r="AO1097" s="121"/>
      <c r="AP1097" s="121"/>
      <c r="AS1097" s="27"/>
      <c r="AT1097" s="27"/>
      <c r="AU1097" s="27"/>
      <c r="AV1097" s="27"/>
      <c r="AW1097" s="27"/>
      <c r="AX1097" s="27"/>
      <c r="AY1097" s="27"/>
      <c r="AZ1097" s="27"/>
      <c r="BA1097" s="27"/>
      <c r="BB1097" s="27"/>
      <c r="BC1097" s="133"/>
      <c r="BD1097" s="27"/>
      <c r="BE1097" s="130"/>
    </row>
    <row r="1098" spans="1:57" s="25" customFormat="1">
      <c r="A1098" s="130"/>
      <c r="G1098" s="120"/>
      <c r="H1098" s="120"/>
      <c r="I1098" s="120"/>
      <c r="J1098" s="120"/>
      <c r="K1098" s="120"/>
      <c r="X1098" s="130"/>
      <c r="Y1098" s="130"/>
      <c r="Z1098" s="121"/>
      <c r="AA1098" s="121"/>
      <c r="AB1098" s="121"/>
      <c r="AC1098" s="121"/>
      <c r="AD1098" s="121"/>
      <c r="AE1098" s="121"/>
      <c r="AF1098" s="121"/>
      <c r="AG1098" s="121"/>
      <c r="AH1098" s="121"/>
      <c r="AI1098" s="121"/>
      <c r="AJ1098" s="121"/>
      <c r="AK1098" s="121"/>
      <c r="AL1098" s="121"/>
      <c r="AM1098" s="121"/>
      <c r="AN1098" s="121"/>
      <c r="AO1098" s="121"/>
      <c r="AP1098" s="121"/>
      <c r="AS1098" s="27"/>
      <c r="AT1098" s="27"/>
      <c r="AU1098" s="27"/>
      <c r="AV1098" s="27"/>
      <c r="AW1098" s="27"/>
      <c r="AX1098" s="27"/>
      <c r="AY1098" s="27"/>
      <c r="AZ1098" s="27"/>
      <c r="BA1098" s="27"/>
      <c r="BB1098" s="27"/>
      <c r="BC1098" s="133"/>
      <c r="BD1098" s="27"/>
      <c r="BE1098" s="130"/>
    </row>
    <row r="1099" spans="1:57" s="25" customFormat="1">
      <c r="A1099" s="130"/>
      <c r="G1099" s="120"/>
      <c r="H1099" s="120"/>
      <c r="I1099" s="120"/>
      <c r="J1099" s="120"/>
      <c r="K1099" s="120"/>
      <c r="X1099" s="130"/>
      <c r="Y1099" s="130"/>
      <c r="Z1099" s="121"/>
      <c r="AA1099" s="121"/>
      <c r="AB1099" s="121"/>
      <c r="AC1099" s="121"/>
      <c r="AD1099" s="121"/>
      <c r="AE1099" s="121"/>
      <c r="AF1099" s="121"/>
      <c r="AG1099" s="121"/>
      <c r="AH1099" s="121"/>
      <c r="AI1099" s="121"/>
      <c r="AJ1099" s="121"/>
      <c r="AK1099" s="121"/>
      <c r="AL1099" s="121"/>
      <c r="AM1099" s="121"/>
      <c r="AN1099" s="121"/>
      <c r="AO1099" s="121"/>
      <c r="AP1099" s="121"/>
      <c r="AS1099" s="27"/>
      <c r="AT1099" s="27"/>
      <c r="AU1099" s="27"/>
      <c r="AV1099" s="27"/>
      <c r="AW1099" s="27"/>
      <c r="AX1099" s="27"/>
      <c r="AY1099" s="27"/>
      <c r="AZ1099" s="27"/>
      <c r="BA1099" s="27"/>
      <c r="BB1099" s="27"/>
      <c r="BC1099" s="133"/>
      <c r="BD1099" s="27"/>
      <c r="BE1099" s="130"/>
    </row>
    <row r="1100" spans="1:57" s="25" customFormat="1">
      <c r="A1100" s="130"/>
      <c r="G1100" s="120"/>
      <c r="H1100" s="120"/>
      <c r="I1100" s="120"/>
      <c r="J1100" s="120"/>
      <c r="K1100" s="120"/>
      <c r="X1100" s="130"/>
      <c r="Y1100" s="130"/>
      <c r="Z1100" s="121"/>
      <c r="AA1100" s="121"/>
      <c r="AB1100" s="121"/>
      <c r="AC1100" s="121"/>
      <c r="AD1100" s="121"/>
      <c r="AE1100" s="121"/>
      <c r="AF1100" s="121"/>
      <c r="AG1100" s="121"/>
      <c r="AH1100" s="121"/>
      <c r="AI1100" s="121"/>
      <c r="AJ1100" s="121"/>
      <c r="AK1100" s="121"/>
      <c r="AL1100" s="121"/>
      <c r="AM1100" s="121"/>
      <c r="AN1100" s="121"/>
      <c r="AO1100" s="121"/>
      <c r="AP1100" s="121"/>
      <c r="AS1100" s="27"/>
      <c r="AT1100" s="27"/>
      <c r="AU1100" s="27"/>
      <c r="AV1100" s="27"/>
      <c r="AW1100" s="27"/>
      <c r="AX1100" s="27"/>
      <c r="AY1100" s="27"/>
      <c r="AZ1100" s="27"/>
      <c r="BA1100" s="27"/>
      <c r="BB1100" s="27"/>
      <c r="BC1100" s="133"/>
      <c r="BD1100" s="27"/>
      <c r="BE1100" s="130"/>
    </row>
    <row r="1101" spans="1:57" s="25" customFormat="1">
      <c r="A1101" s="130"/>
      <c r="G1101" s="120"/>
      <c r="H1101" s="120"/>
      <c r="I1101" s="120"/>
      <c r="J1101" s="120"/>
      <c r="K1101" s="120"/>
      <c r="X1101" s="130"/>
      <c r="Y1101" s="130"/>
      <c r="Z1101" s="121"/>
      <c r="AA1101" s="121"/>
      <c r="AB1101" s="121"/>
      <c r="AC1101" s="121"/>
      <c r="AD1101" s="121"/>
      <c r="AE1101" s="121"/>
      <c r="AF1101" s="121"/>
      <c r="AG1101" s="121"/>
      <c r="AH1101" s="121"/>
      <c r="AI1101" s="121"/>
      <c r="AJ1101" s="121"/>
      <c r="AK1101" s="121"/>
      <c r="AL1101" s="121"/>
      <c r="AM1101" s="121"/>
      <c r="AN1101" s="121"/>
      <c r="AO1101" s="121"/>
      <c r="AP1101" s="121"/>
      <c r="AS1101" s="27"/>
      <c r="AT1101" s="27"/>
      <c r="AU1101" s="27"/>
      <c r="AV1101" s="27"/>
      <c r="AW1101" s="27"/>
      <c r="AX1101" s="27"/>
      <c r="AY1101" s="27"/>
      <c r="AZ1101" s="27"/>
      <c r="BA1101" s="27"/>
      <c r="BB1101" s="27"/>
      <c r="BC1101" s="133"/>
      <c r="BD1101" s="27"/>
      <c r="BE1101" s="130"/>
    </row>
    <row r="1102" spans="1:57" s="25" customFormat="1">
      <c r="A1102" s="130"/>
      <c r="G1102" s="120"/>
      <c r="H1102" s="120"/>
      <c r="I1102" s="120"/>
      <c r="J1102" s="120"/>
      <c r="K1102" s="120"/>
      <c r="X1102" s="130"/>
      <c r="Y1102" s="130"/>
      <c r="Z1102" s="121"/>
      <c r="AA1102" s="121"/>
      <c r="AB1102" s="121"/>
      <c r="AC1102" s="121"/>
      <c r="AD1102" s="121"/>
      <c r="AE1102" s="121"/>
      <c r="AF1102" s="121"/>
      <c r="AG1102" s="121"/>
      <c r="AH1102" s="121"/>
      <c r="AI1102" s="121"/>
      <c r="AJ1102" s="121"/>
      <c r="AK1102" s="121"/>
      <c r="AL1102" s="121"/>
      <c r="AM1102" s="121"/>
      <c r="AN1102" s="121"/>
      <c r="AO1102" s="121"/>
      <c r="AP1102" s="121"/>
      <c r="AS1102" s="27"/>
      <c r="AT1102" s="27"/>
      <c r="AU1102" s="27"/>
      <c r="AV1102" s="27"/>
      <c r="AW1102" s="27"/>
      <c r="AX1102" s="27"/>
      <c r="AY1102" s="27"/>
      <c r="AZ1102" s="27"/>
      <c r="BA1102" s="27"/>
      <c r="BB1102" s="27"/>
      <c r="BC1102" s="133"/>
      <c r="BD1102" s="27"/>
      <c r="BE1102" s="130"/>
    </row>
    <row r="1103" spans="1:57" s="25" customFormat="1">
      <c r="A1103" s="130"/>
      <c r="G1103" s="120"/>
      <c r="H1103" s="120"/>
      <c r="I1103" s="120"/>
      <c r="J1103" s="120"/>
      <c r="K1103" s="120"/>
      <c r="X1103" s="130"/>
      <c r="Y1103" s="130"/>
      <c r="Z1103" s="121"/>
      <c r="AA1103" s="121"/>
      <c r="AB1103" s="121"/>
      <c r="AC1103" s="121"/>
      <c r="AD1103" s="121"/>
      <c r="AE1103" s="121"/>
      <c r="AF1103" s="121"/>
      <c r="AG1103" s="121"/>
      <c r="AH1103" s="121"/>
      <c r="AI1103" s="121"/>
      <c r="AJ1103" s="121"/>
      <c r="AK1103" s="121"/>
      <c r="AL1103" s="121"/>
      <c r="AM1103" s="121"/>
      <c r="AN1103" s="121"/>
      <c r="AO1103" s="121"/>
      <c r="AP1103" s="121"/>
      <c r="AS1103" s="27"/>
      <c r="AT1103" s="27"/>
      <c r="AU1103" s="27"/>
      <c r="AV1103" s="27"/>
      <c r="AW1103" s="27"/>
      <c r="AX1103" s="27"/>
      <c r="AY1103" s="27"/>
      <c r="AZ1103" s="27"/>
      <c r="BA1103" s="27"/>
      <c r="BB1103" s="27"/>
      <c r="BC1103" s="133"/>
      <c r="BD1103" s="27"/>
      <c r="BE1103" s="130"/>
    </row>
    <row r="1104" spans="1:57" s="25" customFormat="1">
      <c r="A1104" s="130"/>
      <c r="G1104" s="120"/>
      <c r="H1104" s="120"/>
      <c r="I1104" s="120"/>
      <c r="J1104" s="120"/>
      <c r="K1104" s="120"/>
      <c r="X1104" s="130"/>
      <c r="Y1104" s="130"/>
      <c r="Z1104" s="121"/>
      <c r="AA1104" s="121"/>
      <c r="AB1104" s="121"/>
      <c r="AC1104" s="121"/>
      <c r="AD1104" s="121"/>
      <c r="AE1104" s="121"/>
      <c r="AF1104" s="121"/>
      <c r="AG1104" s="121"/>
      <c r="AH1104" s="121"/>
      <c r="AI1104" s="121"/>
      <c r="AJ1104" s="121"/>
      <c r="AK1104" s="121"/>
      <c r="AL1104" s="121"/>
      <c r="AM1104" s="121"/>
      <c r="AN1104" s="121"/>
      <c r="AO1104" s="121"/>
      <c r="AP1104" s="121"/>
      <c r="AS1104" s="27"/>
      <c r="AT1104" s="27"/>
      <c r="AU1104" s="27"/>
      <c r="AV1104" s="27"/>
      <c r="AW1104" s="27"/>
      <c r="AX1104" s="27"/>
      <c r="AY1104" s="27"/>
      <c r="AZ1104" s="27"/>
      <c r="BA1104" s="27"/>
      <c r="BB1104" s="27"/>
      <c r="BC1104" s="133"/>
      <c r="BD1104" s="27"/>
      <c r="BE1104" s="130"/>
    </row>
    <row r="1105" spans="1:57" s="25" customFormat="1">
      <c r="A1105" s="130"/>
      <c r="G1105" s="120"/>
      <c r="H1105" s="120"/>
      <c r="I1105" s="120"/>
      <c r="J1105" s="120"/>
      <c r="K1105" s="120"/>
      <c r="X1105" s="130"/>
      <c r="Y1105" s="130"/>
      <c r="Z1105" s="121"/>
      <c r="AA1105" s="121"/>
      <c r="AB1105" s="121"/>
      <c r="AC1105" s="121"/>
      <c r="AD1105" s="121"/>
      <c r="AE1105" s="121"/>
      <c r="AF1105" s="121"/>
      <c r="AG1105" s="121"/>
      <c r="AH1105" s="121"/>
      <c r="AI1105" s="121"/>
      <c r="AJ1105" s="121"/>
      <c r="AK1105" s="121"/>
      <c r="AL1105" s="121"/>
      <c r="AM1105" s="121"/>
      <c r="AN1105" s="121"/>
      <c r="AO1105" s="121"/>
      <c r="AP1105" s="121"/>
      <c r="AS1105" s="27"/>
      <c r="AT1105" s="27"/>
      <c r="AU1105" s="27"/>
      <c r="AV1105" s="27"/>
      <c r="AW1105" s="27"/>
      <c r="AX1105" s="27"/>
      <c r="AY1105" s="27"/>
      <c r="AZ1105" s="27"/>
      <c r="BA1105" s="27"/>
      <c r="BB1105" s="27"/>
      <c r="BC1105" s="133"/>
      <c r="BD1105" s="27"/>
      <c r="BE1105" s="130"/>
    </row>
    <row r="1106" spans="1:57" s="25" customFormat="1">
      <c r="A1106" s="130"/>
      <c r="G1106" s="120"/>
      <c r="H1106" s="120"/>
      <c r="I1106" s="120"/>
      <c r="J1106" s="120"/>
      <c r="K1106" s="120"/>
      <c r="X1106" s="130"/>
      <c r="Y1106" s="130"/>
      <c r="Z1106" s="121"/>
      <c r="AA1106" s="121"/>
      <c r="AB1106" s="121"/>
      <c r="AC1106" s="121"/>
      <c r="AD1106" s="121"/>
      <c r="AE1106" s="121"/>
      <c r="AF1106" s="121"/>
      <c r="AG1106" s="121"/>
      <c r="AH1106" s="121"/>
      <c r="AI1106" s="121"/>
      <c r="AJ1106" s="121"/>
      <c r="AK1106" s="121"/>
      <c r="AL1106" s="121"/>
      <c r="AM1106" s="121"/>
      <c r="AN1106" s="121"/>
      <c r="AO1106" s="121"/>
      <c r="AP1106" s="121"/>
      <c r="AS1106" s="27"/>
      <c r="AT1106" s="27"/>
      <c r="AU1106" s="27"/>
      <c r="AV1106" s="27"/>
      <c r="AW1106" s="27"/>
      <c r="AX1106" s="27"/>
      <c r="AY1106" s="27"/>
      <c r="AZ1106" s="27"/>
      <c r="BA1106" s="27"/>
      <c r="BB1106" s="27"/>
      <c r="BC1106" s="133"/>
      <c r="BD1106" s="27"/>
      <c r="BE1106" s="130"/>
    </row>
    <row r="1107" spans="1:57" s="25" customFormat="1">
      <c r="A1107" s="130"/>
      <c r="G1107" s="120"/>
      <c r="H1107" s="120"/>
      <c r="I1107" s="120"/>
      <c r="J1107" s="120"/>
      <c r="K1107" s="120"/>
      <c r="X1107" s="130"/>
      <c r="Y1107" s="130"/>
      <c r="Z1107" s="121"/>
      <c r="AA1107" s="121"/>
      <c r="AB1107" s="121"/>
      <c r="AC1107" s="121"/>
      <c r="AD1107" s="121"/>
      <c r="AE1107" s="121"/>
      <c r="AF1107" s="121"/>
      <c r="AG1107" s="121"/>
      <c r="AH1107" s="121"/>
      <c r="AI1107" s="121"/>
      <c r="AJ1107" s="121"/>
      <c r="AK1107" s="121"/>
      <c r="AL1107" s="121"/>
      <c r="AM1107" s="121"/>
      <c r="AN1107" s="121"/>
      <c r="AO1107" s="121"/>
      <c r="AP1107" s="121"/>
      <c r="AS1107" s="27"/>
      <c r="AT1107" s="27"/>
      <c r="AU1107" s="27"/>
      <c r="AV1107" s="27"/>
      <c r="AW1107" s="27"/>
      <c r="AX1107" s="27"/>
      <c r="AY1107" s="27"/>
      <c r="AZ1107" s="27"/>
      <c r="BA1107" s="27"/>
      <c r="BB1107" s="27"/>
      <c r="BC1107" s="133"/>
      <c r="BD1107" s="27"/>
      <c r="BE1107" s="130"/>
    </row>
    <row r="1108" spans="1:57" s="25" customFormat="1">
      <c r="A1108" s="130"/>
      <c r="G1108" s="120"/>
      <c r="H1108" s="120"/>
      <c r="I1108" s="120"/>
      <c r="J1108" s="120"/>
      <c r="K1108" s="120"/>
      <c r="X1108" s="130"/>
      <c r="Y1108" s="130"/>
      <c r="Z1108" s="121"/>
      <c r="AA1108" s="121"/>
      <c r="AB1108" s="121"/>
      <c r="AC1108" s="121"/>
      <c r="AD1108" s="121"/>
      <c r="AE1108" s="121"/>
      <c r="AF1108" s="121"/>
      <c r="AG1108" s="121"/>
      <c r="AH1108" s="121"/>
      <c r="AI1108" s="121"/>
      <c r="AJ1108" s="121"/>
      <c r="AK1108" s="121"/>
      <c r="AL1108" s="121"/>
      <c r="AM1108" s="121"/>
      <c r="AN1108" s="121"/>
      <c r="AO1108" s="121"/>
      <c r="AP1108" s="121"/>
      <c r="AS1108" s="27"/>
      <c r="AT1108" s="27"/>
      <c r="AU1108" s="27"/>
      <c r="AV1108" s="27"/>
      <c r="AW1108" s="27"/>
      <c r="AX1108" s="27"/>
      <c r="AY1108" s="27"/>
      <c r="AZ1108" s="27"/>
      <c r="BA1108" s="27"/>
      <c r="BB1108" s="27"/>
      <c r="BC1108" s="133"/>
      <c r="BD1108" s="27"/>
      <c r="BE1108" s="130"/>
    </row>
    <row r="1109" spans="1:57" s="25" customFormat="1">
      <c r="A1109" s="130"/>
      <c r="G1109" s="120"/>
      <c r="H1109" s="120"/>
      <c r="I1109" s="120"/>
      <c r="J1109" s="120"/>
      <c r="K1109" s="120"/>
      <c r="X1109" s="130"/>
      <c r="Y1109" s="130"/>
      <c r="Z1109" s="121"/>
      <c r="AA1109" s="121"/>
      <c r="AB1109" s="121"/>
      <c r="AC1109" s="121"/>
      <c r="AD1109" s="121"/>
      <c r="AE1109" s="121"/>
      <c r="AF1109" s="121"/>
      <c r="AG1109" s="121"/>
      <c r="AH1109" s="121"/>
      <c r="AI1109" s="121"/>
      <c r="AJ1109" s="121"/>
      <c r="AK1109" s="121"/>
      <c r="AL1109" s="121"/>
      <c r="AM1109" s="121"/>
      <c r="AN1109" s="121"/>
      <c r="AO1109" s="121"/>
      <c r="AP1109" s="121"/>
      <c r="AS1109" s="27"/>
      <c r="AT1109" s="27"/>
      <c r="AU1109" s="27"/>
      <c r="AV1109" s="27"/>
      <c r="AW1109" s="27"/>
      <c r="AX1109" s="27"/>
      <c r="AY1109" s="27"/>
      <c r="AZ1109" s="27"/>
      <c r="BA1109" s="27"/>
      <c r="BB1109" s="27"/>
      <c r="BC1109" s="133"/>
      <c r="BD1109" s="27"/>
      <c r="BE1109" s="130"/>
    </row>
    <row r="1110" spans="1:57" s="25" customFormat="1">
      <c r="A1110" s="130"/>
      <c r="G1110" s="120"/>
      <c r="H1110" s="120"/>
      <c r="I1110" s="120"/>
      <c r="J1110" s="120"/>
      <c r="K1110" s="120"/>
      <c r="X1110" s="130"/>
      <c r="Y1110" s="130"/>
      <c r="Z1110" s="121"/>
      <c r="AA1110" s="121"/>
      <c r="AB1110" s="121"/>
      <c r="AC1110" s="121"/>
      <c r="AD1110" s="121"/>
      <c r="AE1110" s="121"/>
      <c r="AF1110" s="121"/>
      <c r="AG1110" s="121"/>
      <c r="AH1110" s="121"/>
      <c r="AI1110" s="121"/>
      <c r="AJ1110" s="121"/>
      <c r="AK1110" s="121"/>
      <c r="AL1110" s="121"/>
      <c r="AM1110" s="121"/>
      <c r="AN1110" s="121"/>
      <c r="AO1110" s="121"/>
      <c r="AP1110" s="121"/>
      <c r="AS1110" s="27"/>
      <c r="AT1110" s="27"/>
      <c r="AU1110" s="27"/>
      <c r="AV1110" s="27"/>
      <c r="AW1110" s="27"/>
      <c r="AX1110" s="27"/>
      <c r="AY1110" s="27"/>
      <c r="AZ1110" s="27"/>
      <c r="BA1110" s="27"/>
      <c r="BB1110" s="27"/>
      <c r="BC1110" s="133"/>
      <c r="BD1110" s="27"/>
      <c r="BE1110" s="130"/>
    </row>
    <row r="1111" spans="1:57" s="25" customFormat="1">
      <c r="A1111" s="130"/>
      <c r="G1111" s="120"/>
      <c r="H1111" s="120"/>
      <c r="I1111" s="120"/>
      <c r="J1111" s="120"/>
      <c r="K1111" s="120"/>
      <c r="X1111" s="130"/>
      <c r="Y1111" s="130"/>
      <c r="Z1111" s="121"/>
      <c r="AA1111" s="121"/>
      <c r="AB1111" s="121"/>
      <c r="AC1111" s="121"/>
      <c r="AD1111" s="121"/>
      <c r="AE1111" s="121"/>
      <c r="AF1111" s="121"/>
      <c r="AG1111" s="121"/>
      <c r="AH1111" s="121"/>
      <c r="AI1111" s="121"/>
      <c r="AJ1111" s="121"/>
      <c r="AK1111" s="121"/>
      <c r="AL1111" s="121"/>
      <c r="AM1111" s="121"/>
      <c r="AN1111" s="121"/>
      <c r="AO1111" s="121"/>
      <c r="AP1111" s="121"/>
      <c r="AS1111" s="27"/>
      <c r="AT1111" s="27"/>
      <c r="AU1111" s="27"/>
      <c r="AV1111" s="27"/>
      <c r="AW1111" s="27"/>
      <c r="AX1111" s="27"/>
      <c r="AY1111" s="27"/>
      <c r="AZ1111" s="27"/>
      <c r="BA1111" s="27"/>
      <c r="BB1111" s="27"/>
      <c r="BC1111" s="133"/>
      <c r="BD1111" s="27"/>
      <c r="BE1111" s="130"/>
    </row>
    <row r="1112" spans="1:57" s="25" customFormat="1">
      <c r="A1112" s="130"/>
      <c r="G1112" s="120"/>
      <c r="H1112" s="120"/>
      <c r="I1112" s="120"/>
      <c r="J1112" s="120"/>
      <c r="K1112" s="120"/>
      <c r="X1112" s="130"/>
      <c r="Y1112" s="130"/>
      <c r="Z1112" s="121"/>
      <c r="AA1112" s="121"/>
      <c r="AB1112" s="121"/>
      <c r="AC1112" s="121"/>
      <c r="AD1112" s="121"/>
      <c r="AE1112" s="121"/>
      <c r="AF1112" s="121"/>
      <c r="AG1112" s="121"/>
      <c r="AH1112" s="121"/>
      <c r="AI1112" s="121"/>
      <c r="AJ1112" s="121"/>
      <c r="AK1112" s="121"/>
      <c r="AL1112" s="121"/>
      <c r="AM1112" s="121"/>
      <c r="AN1112" s="121"/>
      <c r="AO1112" s="121"/>
      <c r="AP1112" s="121"/>
      <c r="AS1112" s="27"/>
      <c r="AT1112" s="27"/>
      <c r="AU1112" s="27"/>
      <c r="AV1112" s="27"/>
      <c r="AW1112" s="27"/>
      <c r="AX1112" s="27"/>
      <c r="AY1112" s="27"/>
      <c r="AZ1112" s="27"/>
      <c r="BA1112" s="27"/>
      <c r="BB1112" s="27"/>
      <c r="BC1112" s="133"/>
      <c r="BD1112" s="27"/>
      <c r="BE1112" s="130"/>
    </row>
    <row r="1113" spans="1:57" s="25" customFormat="1">
      <c r="A1113" s="130"/>
      <c r="G1113" s="120"/>
      <c r="H1113" s="120"/>
      <c r="I1113" s="120"/>
      <c r="J1113" s="120"/>
      <c r="K1113" s="120"/>
      <c r="X1113" s="130"/>
      <c r="Y1113" s="130"/>
      <c r="Z1113" s="121"/>
      <c r="AA1113" s="121"/>
      <c r="AB1113" s="121"/>
      <c r="AC1113" s="121"/>
      <c r="AD1113" s="121"/>
      <c r="AE1113" s="121"/>
      <c r="AF1113" s="121"/>
      <c r="AG1113" s="121"/>
      <c r="AH1113" s="121"/>
      <c r="AI1113" s="121"/>
      <c r="AJ1113" s="121"/>
      <c r="AK1113" s="121"/>
      <c r="AL1113" s="121"/>
      <c r="AM1113" s="121"/>
      <c r="AN1113" s="121"/>
      <c r="AO1113" s="121"/>
      <c r="AP1113" s="121"/>
      <c r="AS1113" s="27"/>
      <c r="AT1113" s="27"/>
      <c r="AU1113" s="27"/>
      <c r="AV1113" s="27"/>
      <c r="AW1113" s="27"/>
      <c r="AX1113" s="27"/>
      <c r="AY1113" s="27"/>
      <c r="AZ1113" s="27"/>
      <c r="BA1113" s="27"/>
      <c r="BB1113" s="27"/>
      <c r="BC1113" s="133"/>
      <c r="BD1113" s="27"/>
      <c r="BE1113" s="130"/>
    </row>
    <row r="1114" spans="1:57" s="25" customFormat="1">
      <c r="A1114" s="130"/>
      <c r="G1114" s="120"/>
      <c r="H1114" s="120"/>
      <c r="I1114" s="120"/>
      <c r="J1114" s="120"/>
      <c r="K1114" s="120"/>
      <c r="X1114" s="130"/>
      <c r="Y1114" s="130"/>
      <c r="Z1114" s="121"/>
      <c r="AA1114" s="121"/>
      <c r="AB1114" s="121"/>
      <c r="AC1114" s="121"/>
      <c r="AD1114" s="121"/>
      <c r="AE1114" s="121"/>
      <c r="AF1114" s="121"/>
      <c r="AG1114" s="121"/>
      <c r="AH1114" s="121"/>
      <c r="AI1114" s="121"/>
      <c r="AJ1114" s="121"/>
      <c r="AK1114" s="121"/>
      <c r="AL1114" s="121"/>
      <c r="AM1114" s="121"/>
      <c r="AN1114" s="121"/>
      <c r="AO1114" s="121"/>
      <c r="AP1114" s="121"/>
      <c r="AS1114" s="27"/>
      <c r="AT1114" s="27"/>
      <c r="AU1114" s="27"/>
      <c r="AV1114" s="27"/>
      <c r="AW1114" s="27"/>
      <c r="AX1114" s="27"/>
      <c r="AY1114" s="27"/>
      <c r="AZ1114" s="27"/>
      <c r="BA1114" s="27"/>
      <c r="BB1114" s="27"/>
      <c r="BC1114" s="133"/>
      <c r="BD1114" s="27"/>
      <c r="BE1114" s="130"/>
    </row>
    <row r="1115" spans="1:57" s="25" customFormat="1">
      <c r="A1115" s="130"/>
      <c r="G1115" s="120"/>
      <c r="H1115" s="120"/>
      <c r="I1115" s="120"/>
      <c r="J1115" s="120"/>
      <c r="K1115" s="120"/>
      <c r="X1115" s="130"/>
      <c r="Y1115" s="130"/>
      <c r="Z1115" s="121"/>
      <c r="AA1115" s="121"/>
      <c r="AB1115" s="121"/>
      <c r="AC1115" s="121"/>
      <c r="AD1115" s="121"/>
      <c r="AE1115" s="121"/>
      <c r="AF1115" s="121"/>
      <c r="AG1115" s="121"/>
      <c r="AH1115" s="121"/>
      <c r="AI1115" s="121"/>
      <c r="AJ1115" s="121"/>
      <c r="AK1115" s="121"/>
      <c r="AL1115" s="121"/>
      <c r="AM1115" s="121"/>
      <c r="AN1115" s="121"/>
      <c r="AO1115" s="121"/>
      <c r="AP1115" s="121"/>
      <c r="AS1115" s="27"/>
      <c r="AT1115" s="27"/>
      <c r="AU1115" s="27"/>
      <c r="AV1115" s="27"/>
      <c r="AW1115" s="27"/>
      <c r="AX1115" s="27"/>
      <c r="AY1115" s="27"/>
      <c r="AZ1115" s="27"/>
      <c r="BA1115" s="27"/>
      <c r="BB1115" s="27"/>
      <c r="BC1115" s="133"/>
      <c r="BD1115" s="27"/>
      <c r="BE1115" s="130"/>
    </row>
    <row r="1116" spans="1:57" s="25" customFormat="1">
      <c r="A1116" s="130"/>
      <c r="G1116" s="120"/>
      <c r="H1116" s="120"/>
      <c r="I1116" s="120"/>
      <c r="J1116" s="120"/>
      <c r="K1116" s="120"/>
      <c r="X1116" s="130"/>
      <c r="Y1116" s="130"/>
      <c r="Z1116" s="121"/>
      <c r="AA1116" s="121"/>
      <c r="AB1116" s="121"/>
      <c r="AC1116" s="121"/>
      <c r="AD1116" s="121"/>
      <c r="AE1116" s="121"/>
      <c r="AF1116" s="121"/>
      <c r="AG1116" s="121"/>
      <c r="AH1116" s="121"/>
      <c r="AI1116" s="121"/>
      <c r="AJ1116" s="121"/>
      <c r="AK1116" s="121"/>
      <c r="AL1116" s="121"/>
      <c r="AM1116" s="121"/>
      <c r="AN1116" s="121"/>
      <c r="AO1116" s="121"/>
      <c r="AP1116" s="121"/>
      <c r="AS1116" s="27"/>
      <c r="AT1116" s="27"/>
      <c r="AU1116" s="27"/>
      <c r="AV1116" s="27"/>
      <c r="AW1116" s="27"/>
      <c r="AX1116" s="27"/>
      <c r="AY1116" s="27"/>
      <c r="AZ1116" s="27"/>
      <c r="BA1116" s="27"/>
      <c r="BB1116" s="27"/>
      <c r="BC1116" s="133"/>
      <c r="BD1116" s="27"/>
      <c r="BE1116" s="130"/>
    </row>
    <row r="1117" spans="1:57" s="25" customFormat="1">
      <c r="A1117" s="130"/>
      <c r="G1117" s="120"/>
      <c r="H1117" s="120"/>
      <c r="I1117" s="120"/>
      <c r="J1117" s="120"/>
      <c r="K1117" s="120"/>
      <c r="X1117" s="130"/>
      <c r="Y1117" s="130"/>
      <c r="Z1117" s="121"/>
      <c r="AA1117" s="121"/>
      <c r="AB1117" s="121"/>
      <c r="AC1117" s="121"/>
      <c r="AD1117" s="121"/>
      <c r="AE1117" s="121"/>
      <c r="AF1117" s="121"/>
      <c r="AG1117" s="121"/>
      <c r="AH1117" s="121"/>
      <c r="AI1117" s="121"/>
      <c r="AJ1117" s="121"/>
      <c r="AK1117" s="121"/>
      <c r="AL1117" s="121"/>
      <c r="AM1117" s="121"/>
      <c r="AN1117" s="121"/>
      <c r="AO1117" s="121"/>
      <c r="AP1117" s="121"/>
      <c r="AS1117" s="27"/>
      <c r="AT1117" s="27"/>
      <c r="AU1117" s="27"/>
      <c r="AV1117" s="27"/>
      <c r="AW1117" s="27"/>
      <c r="AX1117" s="27"/>
      <c r="AY1117" s="27"/>
      <c r="AZ1117" s="27"/>
      <c r="BA1117" s="27"/>
      <c r="BB1117" s="27"/>
      <c r="BC1117" s="133"/>
      <c r="BD1117" s="27"/>
      <c r="BE1117" s="130"/>
    </row>
    <row r="1118" spans="1:57" s="25" customFormat="1">
      <c r="A1118" s="130"/>
      <c r="G1118" s="120"/>
      <c r="H1118" s="120"/>
      <c r="I1118" s="120"/>
      <c r="J1118" s="120"/>
      <c r="K1118" s="120"/>
      <c r="X1118" s="130"/>
      <c r="Y1118" s="130"/>
      <c r="Z1118" s="121"/>
      <c r="AA1118" s="121"/>
      <c r="AB1118" s="121"/>
      <c r="AC1118" s="121"/>
      <c r="AD1118" s="121"/>
      <c r="AE1118" s="121"/>
      <c r="AF1118" s="121"/>
      <c r="AG1118" s="121"/>
      <c r="AH1118" s="121"/>
      <c r="AI1118" s="121"/>
      <c r="AJ1118" s="121"/>
      <c r="AK1118" s="121"/>
      <c r="AL1118" s="121"/>
      <c r="AM1118" s="121"/>
      <c r="AN1118" s="121"/>
      <c r="AO1118" s="121"/>
      <c r="AP1118" s="121"/>
      <c r="AS1118" s="27"/>
      <c r="AT1118" s="27"/>
      <c r="AU1118" s="27"/>
      <c r="AV1118" s="27"/>
      <c r="AW1118" s="27"/>
      <c r="AX1118" s="27"/>
      <c r="AY1118" s="27"/>
      <c r="AZ1118" s="27"/>
      <c r="BA1118" s="27"/>
      <c r="BB1118" s="27"/>
      <c r="BC1118" s="133"/>
      <c r="BD1118" s="27"/>
      <c r="BE1118" s="130"/>
    </row>
    <row r="1119" spans="1:57" s="25" customFormat="1">
      <c r="A1119" s="130"/>
      <c r="G1119" s="120"/>
      <c r="H1119" s="120"/>
      <c r="I1119" s="120"/>
      <c r="J1119" s="120"/>
      <c r="K1119" s="120"/>
      <c r="X1119" s="130"/>
      <c r="Y1119" s="130"/>
      <c r="Z1119" s="121"/>
      <c r="AA1119" s="121"/>
      <c r="AB1119" s="121"/>
      <c r="AC1119" s="121"/>
      <c r="AD1119" s="121"/>
      <c r="AE1119" s="121"/>
      <c r="AF1119" s="121"/>
      <c r="AG1119" s="121"/>
      <c r="AH1119" s="121"/>
      <c r="AI1119" s="121"/>
      <c r="AJ1119" s="121"/>
      <c r="AK1119" s="121"/>
      <c r="AL1119" s="121"/>
      <c r="AM1119" s="121"/>
      <c r="AN1119" s="121"/>
      <c r="AO1119" s="121"/>
      <c r="AP1119" s="121"/>
      <c r="AS1119" s="27"/>
      <c r="AT1119" s="27"/>
      <c r="AU1119" s="27"/>
      <c r="AV1119" s="27"/>
      <c r="AW1119" s="27"/>
      <c r="AX1119" s="27"/>
      <c r="AY1119" s="27"/>
      <c r="AZ1119" s="27"/>
      <c r="BA1119" s="27"/>
      <c r="BB1119" s="27"/>
      <c r="BC1119" s="133"/>
      <c r="BD1119" s="27"/>
      <c r="BE1119" s="130"/>
    </row>
    <row r="1120" spans="1:57" s="25" customFormat="1">
      <c r="A1120" s="130"/>
      <c r="G1120" s="120"/>
      <c r="H1120" s="120"/>
      <c r="I1120" s="120"/>
      <c r="J1120" s="120"/>
      <c r="K1120" s="120"/>
      <c r="X1120" s="130"/>
      <c r="Y1120" s="130"/>
      <c r="Z1120" s="121"/>
      <c r="AA1120" s="121"/>
      <c r="AB1120" s="121"/>
      <c r="AC1120" s="121"/>
      <c r="AD1120" s="121"/>
      <c r="AE1120" s="121"/>
      <c r="AF1120" s="121"/>
      <c r="AG1120" s="121"/>
      <c r="AH1120" s="121"/>
      <c r="AI1120" s="121"/>
      <c r="AJ1120" s="121"/>
      <c r="AK1120" s="121"/>
      <c r="AL1120" s="121"/>
      <c r="AM1120" s="121"/>
      <c r="AN1120" s="121"/>
      <c r="AO1120" s="121"/>
      <c r="AP1120" s="121"/>
      <c r="AS1120" s="27"/>
      <c r="AT1120" s="27"/>
      <c r="AU1120" s="27"/>
      <c r="AV1120" s="27"/>
      <c r="AW1120" s="27"/>
      <c r="AX1120" s="27"/>
      <c r="AY1120" s="27"/>
      <c r="AZ1120" s="27"/>
      <c r="BA1120" s="27"/>
      <c r="BB1120" s="27"/>
      <c r="BC1120" s="133"/>
      <c r="BD1120" s="27"/>
      <c r="BE1120" s="130"/>
    </row>
    <row r="1121" spans="1:57" s="25" customFormat="1">
      <c r="A1121" s="130"/>
      <c r="G1121" s="120"/>
      <c r="H1121" s="120"/>
      <c r="I1121" s="120"/>
      <c r="J1121" s="120"/>
      <c r="K1121" s="120"/>
      <c r="X1121" s="130"/>
      <c r="Y1121" s="130"/>
      <c r="Z1121" s="121"/>
      <c r="AA1121" s="121"/>
      <c r="AB1121" s="121"/>
      <c r="AC1121" s="121"/>
      <c r="AD1121" s="121"/>
      <c r="AE1121" s="121"/>
      <c r="AF1121" s="121"/>
      <c r="AG1121" s="121"/>
      <c r="AH1121" s="121"/>
      <c r="AI1121" s="121"/>
      <c r="AJ1121" s="121"/>
      <c r="AK1121" s="121"/>
      <c r="AL1121" s="121"/>
      <c r="AM1121" s="121"/>
      <c r="AN1121" s="121"/>
      <c r="AO1121" s="121"/>
      <c r="AP1121" s="121"/>
      <c r="AS1121" s="27"/>
      <c r="AT1121" s="27"/>
      <c r="AU1121" s="27"/>
      <c r="AV1121" s="27"/>
      <c r="AW1121" s="27"/>
      <c r="AX1121" s="27"/>
      <c r="AY1121" s="27"/>
      <c r="AZ1121" s="27"/>
      <c r="BA1121" s="27"/>
      <c r="BB1121" s="27"/>
      <c r="BC1121" s="133"/>
      <c r="BD1121" s="27"/>
      <c r="BE1121" s="130"/>
    </row>
    <row r="1122" spans="1:57" s="25" customFormat="1">
      <c r="A1122" s="130"/>
      <c r="G1122" s="120"/>
      <c r="H1122" s="120"/>
      <c r="I1122" s="120"/>
      <c r="J1122" s="120"/>
      <c r="K1122" s="120"/>
      <c r="X1122" s="130"/>
      <c r="Y1122" s="130"/>
      <c r="Z1122" s="121"/>
      <c r="AA1122" s="121"/>
      <c r="AB1122" s="121"/>
      <c r="AC1122" s="121"/>
      <c r="AD1122" s="121"/>
      <c r="AE1122" s="121"/>
      <c r="AF1122" s="121"/>
      <c r="AG1122" s="121"/>
      <c r="AH1122" s="121"/>
      <c r="AI1122" s="121"/>
      <c r="AJ1122" s="121"/>
      <c r="AK1122" s="121"/>
      <c r="AL1122" s="121"/>
      <c r="AM1122" s="121"/>
      <c r="AN1122" s="121"/>
      <c r="AO1122" s="121"/>
      <c r="AP1122" s="121"/>
      <c r="AS1122" s="27"/>
      <c r="AT1122" s="27"/>
      <c r="AU1122" s="27"/>
      <c r="AV1122" s="27"/>
      <c r="AW1122" s="27"/>
      <c r="AX1122" s="27"/>
      <c r="AY1122" s="27"/>
      <c r="AZ1122" s="27"/>
      <c r="BA1122" s="27"/>
      <c r="BB1122" s="27"/>
      <c r="BC1122" s="133"/>
      <c r="BD1122" s="27"/>
      <c r="BE1122" s="130"/>
    </row>
    <row r="1123" spans="1:57" s="25" customFormat="1">
      <c r="A1123" s="130"/>
      <c r="G1123" s="120"/>
      <c r="H1123" s="120"/>
      <c r="I1123" s="120"/>
      <c r="J1123" s="120"/>
      <c r="K1123" s="120"/>
      <c r="X1123" s="130"/>
      <c r="Y1123" s="130"/>
      <c r="Z1123" s="121"/>
      <c r="AA1123" s="121"/>
      <c r="AB1123" s="121"/>
      <c r="AC1123" s="121"/>
      <c r="AD1123" s="121"/>
      <c r="AE1123" s="121"/>
      <c r="AF1123" s="121"/>
      <c r="AG1123" s="121"/>
      <c r="AH1123" s="121"/>
      <c r="AI1123" s="121"/>
      <c r="AJ1123" s="121"/>
      <c r="AK1123" s="121"/>
      <c r="AL1123" s="121"/>
      <c r="AM1123" s="121"/>
      <c r="AN1123" s="121"/>
      <c r="AO1123" s="121"/>
      <c r="AP1123" s="121"/>
      <c r="AS1123" s="27"/>
      <c r="AT1123" s="27"/>
      <c r="AU1123" s="27"/>
      <c r="AV1123" s="27"/>
      <c r="AW1123" s="27"/>
      <c r="AX1123" s="27"/>
      <c r="AY1123" s="27"/>
      <c r="AZ1123" s="27"/>
      <c r="BA1123" s="27"/>
      <c r="BB1123" s="27"/>
      <c r="BC1123" s="133"/>
      <c r="BD1123" s="27"/>
      <c r="BE1123" s="130"/>
    </row>
    <row r="1124" spans="1:57" s="25" customFormat="1">
      <c r="A1124" s="130"/>
      <c r="G1124" s="120"/>
      <c r="H1124" s="120"/>
      <c r="I1124" s="120"/>
      <c r="J1124" s="120"/>
      <c r="K1124" s="120"/>
      <c r="X1124" s="130"/>
      <c r="Y1124" s="130"/>
      <c r="Z1124" s="121"/>
      <c r="AA1124" s="121"/>
      <c r="AB1124" s="121"/>
      <c r="AC1124" s="121"/>
      <c r="AD1124" s="121"/>
      <c r="AE1124" s="121"/>
      <c r="AF1124" s="121"/>
      <c r="AG1124" s="121"/>
      <c r="AH1124" s="121"/>
      <c r="AI1124" s="121"/>
      <c r="AJ1124" s="121"/>
      <c r="AK1124" s="121"/>
      <c r="AL1124" s="121"/>
      <c r="AM1124" s="121"/>
      <c r="AN1124" s="121"/>
      <c r="AO1124" s="121"/>
      <c r="AP1124" s="121"/>
      <c r="AS1124" s="27"/>
      <c r="AT1124" s="27"/>
      <c r="AU1124" s="27"/>
      <c r="AV1124" s="27"/>
      <c r="AW1124" s="27"/>
      <c r="AX1124" s="27"/>
      <c r="AY1124" s="27"/>
      <c r="AZ1124" s="27"/>
      <c r="BA1124" s="27"/>
      <c r="BB1124" s="27"/>
      <c r="BC1124" s="133"/>
      <c r="BD1124" s="27"/>
      <c r="BE1124" s="130"/>
    </row>
    <row r="1125" spans="1:57" s="25" customFormat="1">
      <c r="A1125" s="130"/>
      <c r="G1125" s="120"/>
      <c r="H1125" s="120"/>
      <c r="I1125" s="120"/>
      <c r="J1125" s="120"/>
      <c r="K1125" s="120"/>
      <c r="X1125" s="130"/>
      <c r="Y1125" s="130"/>
      <c r="Z1125" s="121"/>
      <c r="AA1125" s="121"/>
      <c r="AB1125" s="121"/>
      <c r="AC1125" s="121"/>
      <c r="AD1125" s="121"/>
      <c r="AE1125" s="121"/>
      <c r="AF1125" s="121"/>
      <c r="AG1125" s="121"/>
      <c r="AH1125" s="121"/>
      <c r="AI1125" s="121"/>
      <c r="AJ1125" s="121"/>
      <c r="AK1125" s="121"/>
      <c r="AL1125" s="121"/>
      <c r="AM1125" s="121"/>
      <c r="AN1125" s="121"/>
      <c r="AO1125" s="121"/>
      <c r="AP1125" s="121"/>
      <c r="AS1125" s="27"/>
      <c r="AT1125" s="27"/>
      <c r="AU1125" s="27"/>
      <c r="AV1125" s="27"/>
      <c r="AW1125" s="27"/>
      <c r="AX1125" s="27"/>
      <c r="AY1125" s="27"/>
      <c r="AZ1125" s="27"/>
      <c r="BA1125" s="27"/>
      <c r="BB1125" s="27"/>
      <c r="BC1125" s="133"/>
      <c r="BD1125" s="27"/>
      <c r="BE1125" s="130"/>
    </row>
    <row r="1126" spans="1:57" s="25" customFormat="1">
      <c r="A1126" s="130"/>
      <c r="G1126" s="120"/>
      <c r="H1126" s="120"/>
      <c r="I1126" s="120"/>
      <c r="J1126" s="120"/>
      <c r="K1126" s="120"/>
      <c r="X1126" s="130"/>
      <c r="Y1126" s="130"/>
      <c r="Z1126" s="121"/>
      <c r="AA1126" s="121"/>
      <c r="AB1126" s="121"/>
      <c r="AC1126" s="121"/>
      <c r="AD1126" s="121"/>
      <c r="AE1126" s="121"/>
      <c r="AF1126" s="121"/>
      <c r="AG1126" s="121"/>
      <c r="AH1126" s="121"/>
      <c r="AI1126" s="121"/>
      <c r="AJ1126" s="121"/>
      <c r="AK1126" s="121"/>
      <c r="AL1126" s="121"/>
      <c r="AM1126" s="121"/>
      <c r="AN1126" s="121"/>
      <c r="AO1126" s="121"/>
      <c r="AP1126" s="121"/>
      <c r="AS1126" s="27"/>
      <c r="AT1126" s="27"/>
      <c r="AU1126" s="27"/>
      <c r="AV1126" s="27"/>
      <c r="AW1126" s="27"/>
      <c r="AX1126" s="27"/>
      <c r="AY1126" s="27"/>
      <c r="AZ1126" s="27"/>
      <c r="BA1126" s="27"/>
      <c r="BB1126" s="27"/>
      <c r="BC1126" s="133"/>
      <c r="BD1126" s="27"/>
      <c r="BE1126" s="130"/>
    </row>
    <row r="1127" spans="1:57" s="25" customFormat="1">
      <c r="A1127" s="130"/>
      <c r="G1127" s="120"/>
      <c r="H1127" s="120"/>
      <c r="I1127" s="120"/>
      <c r="J1127" s="120"/>
      <c r="K1127" s="120"/>
      <c r="X1127" s="130"/>
      <c r="Y1127" s="130"/>
      <c r="Z1127" s="121"/>
      <c r="AA1127" s="121"/>
      <c r="AB1127" s="121"/>
      <c r="AC1127" s="121"/>
      <c r="AD1127" s="121"/>
      <c r="AE1127" s="121"/>
      <c r="AF1127" s="121"/>
      <c r="AG1127" s="121"/>
      <c r="AH1127" s="121"/>
      <c r="AI1127" s="121"/>
      <c r="AJ1127" s="121"/>
      <c r="AK1127" s="121"/>
      <c r="AL1127" s="121"/>
      <c r="AM1127" s="121"/>
      <c r="AN1127" s="121"/>
      <c r="AO1127" s="121"/>
      <c r="AP1127" s="121"/>
      <c r="AS1127" s="27"/>
      <c r="AT1127" s="27"/>
      <c r="AU1127" s="27"/>
      <c r="AV1127" s="27"/>
      <c r="AW1127" s="27"/>
      <c r="AX1127" s="27"/>
      <c r="AY1127" s="27"/>
      <c r="AZ1127" s="27"/>
      <c r="BA1127" s="27"/>
      <c r="BB1127" s="27"/>
      <c r="BC1127" s="133"/>
      <c r="BD1127" s="27"/>
      <c r="BE1127" s="130"/>
    </row>
    <row r="1128" spans="1:57" s="25" customFormat="1">
      <c r="A1128" s="130"/>
      <c r="G1128" s="120"/>
      <c r="H1128" s="120"/>
      <c r="I1128" s="120"/>
      <c r="J1128" s="120"/>
      <c r="K1128" s="120"/>
      <c r="X1128" s="130"/>
      <c r="Y1128" s="130"/>
      <c r="Z1128" s="121"/>
      <c r="AA1128" s="121"/>
      <c r="AB1128" s="121"/>
      <c r="AC1128" s="121"/>
      <c r="AD1128" s="121"/>
      <c r="AE1128" s="121"/>
      <c r="AF1128" s="121"/>
      <c r="AG1128" s="121"/>
      <c r="AH1128" s="121"/>
      <c r="AI1128" s="121"/>
      <c r="AJ1128" s="121"/>
      <c r="AK1128" s="121"/>
      <c r="AL1128" s="121"/>
      <c r="AM1128" s="121"/>
      <c r="AN1128" s="121"/>
      <c r="AO1128" s="121"/>
      <c r="AP1128" s="121"/>
      <c r="AS1128" s="27"/>
      <c r="AT1128" s="27"/>
      <c r="AU1128" s="27"/>
      <c r="AV1128" s="27"/>
      <c r="AW1128" s="27"/>
      <c r="AX1128" s="27"/>
      <c r="AY1128" s="27"/>
      <c r="AZ1128" s="27"/>
      <c r="BA1128" s="27"/>
      <c r="BB1128" s="27"/>
      <c r="BC1128" s="133"/>
      <c r="BD1128" s="27"/>
      <c r="BE1128" s="130"/>
    </row>
    <row r="1129" spans="1:57" s="25" customFormat="1">
      <c r="A1129" s="130"/>
      <c r="G1129" s="120"/>
      <c r="H1129" s="120"/>
      <c r="I1129" s="120"/>
      <c r="J1129" s="120"/>
      <c r="K1129" s="120"/>
      <c r="X1129" s="130"/>
      <c r="Y1129" s="130"/>
      <c r="Z1129" s="121"/>
      <c r="AA1129" s="121"/>
      <c r="AB1129" s="121"/>
      <c r="AC1129" s="121"/>
      <c r="AD1129" s="121"/>
      <c r="AE1129" s="121"/>
      <c r="AF1129" s="121"/>
      <c r="AG1129" s="121"/>
      <c r="AH1129" s="121"/>
      <c r="AI1129" s="121"/>
      <c r="AJ1129" s="121"/>
      <c r="AK1129" s="121"/>
      <c r="AL1129" s="121"/>
      <c r="AM1129" s="121"/>
      <c r="AN1129" s="121"/>
      <c r="AO1129" s="121"/>
      <c r="AP1129" s="121"/>
      <c r="AS1129" s="27"/>
      <c r="AT1129" s="27"/>
      <c r="AU1129" s="27"/>
      <c r="AV1129" s="27"/>
      <c r="AW1129" s="27"/>
      <c r="AX1129" s="27"/>
      <c r="AY1129" s="27"/>
      <c r="AZ1129" s="27"/>
      <c r="BA1129" s="27"/>
      <c r="BB1129" s="27"/>
      <c r="BC1129" s="133"/>
      <c r="BD1129" s="27"/>
      <c r="BE1129" s="130"/>
    </row>
    <row r="1130" spans="1:57" s="25" customFormat="1">
      <c r="A1130" s="130"/>
      <c r="G1130" s="120"/>
      <c r="H1130" s="120"/>
      <c r="I1130" s="120"/>
      <c r="J1130" s="120"/>
      <c r="K1130" s="120"/>
      <c r="X1130" s="130"/>
      <c r="Y1130" s="130"/>
      <c r="Z1130" s="121"/>
      <c r="AA1130" s="121"/>
      <c r="AB1130" s="121"/>
      <c r="AC1130" s="121"/>
      <c r="AD1130" s="121"/>
      <c r="AE1130" s="121"/>
      <c r="AF1130" s="121"/>
      <c r="AG1130" s="121"/>
      <c r="AH1130" s="121"/>
      <c r="AI1130" s="121"/>
      <c r="AJ1130" s="121"/>
      <c r="AK1130" s="121"/>
      <c r="AL1130" s="121"/>
      <c r="AM1130" s="121"/>
      <c r="AN1130" s="121"/>
      <c r="AO1130" s="121"/>
      <c r="AP1130" s="121"/>
      <c r="AS1130" s="27"/>
      <c r="AT1130" s="27"/>
      <c r="AU1130" s="27"/>
      <c r="AV1130" s="27"/>
      <c r="AW1130" s="27"/>
      <c r="AX1130" s="27"/>
      <c r="AY1130" s="27"/>
      <c r="AZ1130" s="27"/>
      <c r="BA1130" s="27"/>
      <c r="BB1130" s="27"/>
      <c r="BC1130" s="133"/>
      <c r="BD1130" s="27"/>
      <c r="BE1130" s="130"/>
    </row>
    <row r="1131" spans="1:57" s="25" customFormat="1">
      <c r="A1131" s="130"/>
      <c r="G1131" s="120"/>
      <c r="H1131" s="120"/>
      <c r="I1131" s="120"/>
      <c r="J1131" s="120"/>
      <c r="K1131" s="120"/>
      <c r="X1131" s="130"/>
      <c r="Y1131" s="130"/>
      <c r="Z1131" s="121"/>
      <c r="AA1131" s="121"/>
      <c r="AB1131" s="121"/>
      <c r="AC1131" s="121"/>
      <c r="AD1131" s="121"/>
      <c r="AE1131" s="121"/>
      <c r="AF1131" s="121"/>
      <c r="AG1131" s="121"/>
      <c r="AH1131" s="121"/>
      <c r="AI1131" s="121"/>
      <c r="AJ1131" s="121"/>
      <c r="AK1131" s="121"/>
      <c r="AL1131" s="121"/>
      <c r="AM1131" s="121"/>
      <c r="AN1131" s="121"/>
      <c r="AO1131" s="121"/>
      <c r="AP1131" s="121"/>
      <c r="AS1131" s="27"/>
      <c r="AT1131" s="27"/>
      <c r="AU1131" s="27"/>
      <c r="AV1131" s="27"/>
      <c r="AW1131" s="27"/>
      <c r="AX1131" s="27"/>
      <c r="AY1131" s="27"/>
      <c r="AZ1131" s="27"/>
      <c r="BA1131" s="27"/>
      <c r="BB1131" s="27"/>
      <c r="BC1131" s="133"/>
      <c r="BD1131" s="27"/>
      <c r="BE1131" s="130"/>
    </row>
    <row r="1132" spans="1:57" s="25" customFormat="1">
      <c r="A1132" s="130"/>
      <c r="G1132" s="120"/>
      <c r="H1132" s="120"/>
      <c r="I1132" s="120"/>
      <c r="J1132" s="120"/>
      <c r="K1132" s="120"/>
      <c r="X1132" s="130"/>
      <c r="Y1132" s="130"/>
      <c r="Z1132" s="121"/>
      <c r="AA1132" s="121"/>
      <c r="AB1132" s="121"/>
      <c r="AC1132" s="121"/>
      <c r="AD1132" s="121"/>
      <c r="AE1132" s="121"/>
      <c r="AF1132" s="121"/>
      <c r="AG1132" s="121"/>
      <c r="AH1132" s="121"/>
      <c r="AI1132" s="121"/>
      <c r="AJ1132" s="121"/>
      <c r="AK1132" s="121"/>
      <c r="AL1132" s="121"/>
      <c r="AM1132" s="121"/>
      <c r="AN1132" s="121"/>
      <c r="AO1132" s="121"/>
      <c r="AP1132" s="121"/>
      <c r="AS1132" s="27"/>
      <c r="AT1132" s="27"/>
      <c r="AU1132" s="27"/>
      <c r="AV1132" s="27"/>
      <c r="AW1132" s="27"/>
      <c r="AX1132" s="27"/>
      <c r="AY1132" s="27"/>
      <c r="AZ1132" s="27"/>
      <c r="BA1132" s="27"/>
      <c r="BB1132" s="27"/>
      <c r="BC1132" s="133"/>
      <c r="BD1132" s="27"/>
      <c r="BE1132" s="130"/>
    </row>
    <row r="1133" spans="1:57" s="25" customFormat="1">
      <c r="A1133" s="130"/>
      <c r="G1133" s="120"/>
      <c r="H1133" s="120"/>
      <c r="I1133" s="120"/>
      <c r="J1133" s="120"/>
      <c r="K1133" s="120"/>
      <c r="X1133" s="130"/>
      <c r="Y1133" s="130"/>
      <c r="Z1133" s="121"/>
      <c r="AA1133" s="121"/>
      <c r="AB1133" s="121"/>
      <c r="AC1133" s="121"/>
      <c r="AD1133" s="121"/>
      <c r="AE1133" s="121"/>
      <c r="AF1133" s="121"/>
      <c r="AG1133" s="121"/>
      <c r="AH1133" s="121"/>
      <c r="AI1133" s="121"/>
      <c r="AJ1133" s="121"/>
      <c r="AK1133" s="121"/>
      <c r="AL1133" s="121"/>
      <c r="AM1133" s="121"/>
      <c r="AN1133" s="121"/>
      <c r="AO1133" s="121"/>
      <c r="AP1133" s="121"/>
      <c r="AS1133" s="27"/>
      <c r="AT1133" s="27"/>
      <c r="AU1133" s="27"/>
      <c r="AV1133" s="27"/>
      <c r="AW1133" s="27"/>
      <c r="AX1133" s="27"/>
      <c r="AY1133" s="27"/>
      <c r="AZ1133" s="27"/>
      <c r="BA1133" s="27"/>
      <c r="BB1133" s="27"/>
      <c r="BC1133" s="133"/>
      <c r="BD1133" s="27"/>
      <c r="BE1133" s="130"/>
    </row>
    <row r="1134" spans="1:57" s="25" customFormat="1">
      <c r="A1134" s="130"/>
      <c r="G1134" s="120"/>
      <c r="H1134" s="120"/>
      <c r="I1134" s="120"/>
      <c r="J1134" s="120"/>
      <c r="K1134" s="120"/>
      <c r="X1134" s="130"/>
      <c r="Y1134" s="130"/>
      <c r="Z1134" s="121"/>
      <c r="AA1134" s="121"/>
      <c r="AB1134" s="121"/>
      <c r="AC1134" s="121"/>
      <c r="AD1134" s="121"/>
      <c r="AE1134" s="121"/>
      <c r="AF1134" s="121"/>
      <c r="AG1134" s="121"/>
      <c r="AH1134" s="121"/>
      <c r="AI1134" s="121"/>
      <c r="AJ1134" s="121"/>
      <c r="AK1134" s="121"/>
      <c r="AL1134" s="121"/>
      <c r="AM1134" s="121"/>
      <c r="AN1134" s="121"/>
      <c r="AO1134" s="121"/>
      <c r="AP1134" s="121"/>
      <c r="AS1134" s="27"/>
      <c r="AT1134" s="27"/>
      <c r="AU1134" s="27"/>
      <c r="AV1134" s="27"/>
      <c r="AW1134" s="27"/>
      <c r="AX1134" s="27"/>
      <c r="AY1134" s="27"/>
      <c r="AZ1134" s="27"/>
      <c r="BA1134" s="27"/>
      <c r="BB1134" s="27"/>
      <c r="BC1134" s="133"/>
      <c r="BD1134" s="27"/>
      <c r="BE1134" s="130"/>
    </row>
    <row r="1135" spans="1:57" s="25" customFormat="1">
      <c r="A1135" s="130"/>
      <c r="G1135" s="120"/>
      <c r="H1135" s="120"/>
      <c r="I1135" s="120"/>
      <c r="J1135" s="120"/>
      <c r="K1135" s="120"/>
      <c r="X1135" s="130"/>
      <c r="Y1135" s="130"/>
      <c r="Z1135" s="121"/>
      <c r="AA1135" s="121"/>
      <c r="AB1135" s="121"/>
      <c r="AC1135" s="121"/>
      <c r="AD1135" s="121"/>
      <c r="AE1135" s="121"/>
      <c r="AF1135" s="121"/>
      <c r="AG1135" s="121"/>
      <c r="AH1135" s="121"/>
      <c r="AI1135" s="121"/>
      <c r="AJ1135" s="121"/>
      <c r="AK1135" s="121"/>
      <c r="AL1135" s="121"/>
      <c r="AM1135" s="121"/>
      <c r="AN1135" s="121"/>
      <c r="AO1135" s="121"/>
      <c r="AP1135" s="121"/>
      <c r="AS1135" s="27"/>
      <c r="AT1135" s="27"/>
      <c r="AU1135" s="27"/>
      <c r="AV1135" s="27"/>
      <c r="AW1135" s="27"/>
      <c r="AX1135" s="27"/>
      <c r="AY1135" s="27"/>
      <c r="AZ1135" s="27"/>
      <c r="BA1135" s="27"/>
      <c r="BB1135" s="27"/>
      <c r="BC1135" s="133"/>
      <c r="BD1135" s="27"/>
      <c r="BE1135" s="130"/>
    </row>
    <row r="1136" spans="1:57" s="25" customFormat="1">
      <c r="A1136" s="130"/>
      <c r="G1136" s="120"/>
      <c r="H1136" s="120"/>
      <c r="I1136" s="120"/>
      <c r="J1136" s="120"/>
      <c r="K1136" s="120"/>
      <c r="X1136" s="130"/>
      <c r="Y1136" s="130"/>
      <c r="Z1136" s="121"/>
      <c r="AA1136" s="121"/>
      <c r="AB1136" s="121"/>
      <c r="AC1136" s="121"/>
      <c r="AD1136" s="121"/>
      <c r="AE1136" s="121"/>
      <c r="AF1136" s="121"/>
      <c r="AG1136" s="121"/>
      <c r="AH1136" s="121"/>
      <c r="AI1136" s="121"/>
      <c r="AJ1136" s="121"/>
      <c r="AK1136" s="121"/>
      <c r="AL1136" s="121"/>
      <c r="AM1136" s="121"/>
      <c r="AN1136" s="121"/>
      <c r="AO1136" s="121"/>
      <c r="AP1136" s="121"/>
      <c r="AS1136" s="27"/>
      <c r="AT1136" s="27"/>
      <c r="AU1136" s="27"/>
      <c r="AV1136" s="27"/>
      <c r="AW1136" s="27"/>
      <c r="AX1136" s="27"/>
      <c r="AY1136" s="27"/>
      <c r="AZ1136" s="27"/>
      <c r="BA1136" s="27"/>
      <c r="BB1136" s="27"/>
      <c r="BC1136" s="133"/>
      <c r="BD1136" s="27"/>
      <c r="BE1136" s="130"/>
    </row>
    <row r="1137" spans="1:57" s="25" customFormat="1">
      <c r="A1137" s="130"/>
      <c r="G1137" s="120"/>
      <c r="H1137" s="120"/>
      <c r="I1137" s="120"/>
      <c r="J1137" s="120"/>
      <c r="K1137" s="120"/>
      <c r="X1137" s="130"/>
      <c r="Y1137" s="130"/>
      <c r="Z1137" s="121"/>
      <c r="AA1137" s="121"/>
      <c r="AB1137" s="121"/>
      <c r="AC1137" s="121"/>
      <c r="AD1137" s="121"/>
      <c r="AE1137" s="121"/>
      <c r="AF1137" s="121"/>
      <c r="AG1137" s="121"/>
      <c r="AH1137" s="121"/>
      <c r="AI1137" s="121"/>
      <c r="AJ1137" s="121"/>
      <c r="AK1137" s="121"/>
      <c r="AL1137" s="121"/>
      <c r="AM1137" s="121"/>
      <c r="AN1137" s="121"/>
      <c r="AO1137" s="121"/>
      <c r="AP1137" s="121"/>
      <c r="AS1137" s="27"/>
      <c r="AT1137" s="27"/>
      <c r="AU1137" s="27"/>
      <c r="AV1137" s="27"/>
      <c r="AW1137" s="27"/>
      <c r="AX1137" s="27"/>
      <c r="AY1137" s="27"/>
      <c r="AZ1137" s="27"/>
      <c r="BA1137" s="27"/>
      <c r="BB1137" s="27"/>
      <c r="BC1137" s="133"/>
      <c r="BD1137" s="27"/>
      <c r="BE1137" s="130"/>
    </row>
    <row r="1138" spans="1:57" s="25" customFormat="1">
      <c r="A1138" s="130"/>
      <c r="G1138" s="120"/>
      <c r="H1138" s="120"/>
      <c r="I1138" s="120"/>
      <c r="J1138" s="120"/>
      <c r="K1138" s="120"/>
      <c r="X1138" s="130"/>
      <c r="Y1138" s="130"/>
      <c r="Z1138" s="121"/>
      <c r="AA1138" s="121"/>
      <c r="AB1138" s="121"/>
      <c r="AC1138" s="121"/>
      <c r="AD1138" s="121"/>
      <c r="AE1138" s="121"/>
      <c r="AF1138" s="121"/>
      <c r="AG1138" s="121"/>
      <c r="AH1138" s="121"/>
      <c r="AI1138" s="121"/>
      <c r="AJ1138" s="121"/>
      <c r="AK1138" s="121"/>
      <c r="AL1138" s="121"/>
      <c r="AM1138" s="121"/>
      <c r="AN1138" s="121"/>
      <c r="AO1138" s="121"/>
      <c r="AP1138" s="121"/>
      <c r="AS1138" s="27"/>
      <c r="AT1138" s="27"/>
      <c r="AU1138" s="27"/>
      <c r="AV1138" s="27"/>
      <c r="AW1138" s="27"/>
      <c r="AX1138" s="27"/>
      <c r="AY1138" s="27"/>
      <c r="AZ1138" s="27"/>
      <c r="BA1138" s="27"/>
      <c r="BB1138" s="27"/>
      <c r="BC1138" s="133"/>
      <c r="BD1138" s="27"/>
      <c r="BE1138" s="130"/>
    </row>
    <row r="1139" spans="1:57" s="25" customFormat="1">
      <c r="A1139" s="130"/>
      <c r="G1139" s="120"/>
      <c r="H1139" s="120"/>
      <c r="I1139" s="120"/>
      <c r="J1139" s="120"/>
      <c r="K1139" s="120"/>
      <c r="X1139" s="130"/>
      <c r="Y1139" s="130"/>
      <c r="Z1139" s="121"/>
      <c r="AA1139" s="121"/>
      <c r="AB1139" s="121"/>
      <c r="AC1139" s="121"/>
      <c r="AD1139" s="121"/>
      <c r="AE1139" s="121"/>
      <c r="AF1139" s="121"/>
      <c r="AG1139" s="121"/>
      <c r="AH1139" s="121"/>
      <c r="AI1139" s="121"/>
      <c r="AJ1139" s="121"/>
      <c r="AK1139" s="121"/>
      <c r="AL1139" s="121"/>
      <c r="AM1139" s="121"/>
      <c r="AN1139" s="121"/>
      <c r="AO1139" s="121"/>
      <c r="AP1139" s="121"/>
      <c r="AS1139" s="27"/>
      <c r="AT1139" s="27"/>
      <c r="AU1139" s="27"/>
      <c r="AV1139" s="27"/>
      <c r="AW1139" s="27"/>
      <c r="AX1139" s="27"/>
      <c r="AY1139" s="27"/>
      <c r="AZ1139" s="27"/>
      <c r="BA1139" s="27"/>
      <c r="BB1139" s="27"/>
      <c r="BC1139" s="133"/>
      <c r="BD1139" s="27"/>
      <c r="BE1139" s="130"/>
    </row>
    <row r="1140" spans="1:57" s="25" customFormat="1">
      <c r="A1140" s="130"/>
      <c r="G1140" s="120"/>
      <c r="H1140" s="120"/>
      <c r="I1140" s="120"/>
      <c r="J1140" s="120"/>
      <c r="K1140" s="120"/>
      <c r="X1140" s="130"/>
      <c r="Y1140" s="130"/>
      <c r="Z1140" s="121"/>
      <c r="AA1140" s="121"/>
      <c r="AB1140" s="121"/>
      <c r="AC1140" s="121"/>
      <c r="AD1140" s="121"/>
      <c r="AE1140" s="121"/>
      <c r="AF1140" s="121"/>
      <c r="AG1140" s="121"/>
      <c r="AH1140" s="121"/>
      <c r="AI1140" s="121"/>
      <c r="AJ1140" s="121"/>
      <c r="AK1140" s="121"/>
      <c r="AL1140" s="121"/>
      <c r="AM1140" s="121"/>
      <c r="AN1140" s="121"/>
      <c r="AO1140" s="121"/>
      <c r="AP1140" s="121"/>
      <c r="AS1140" s="27"/>
      <c r="AT1140" s="27"/>
      <c r="AU1140" s="27"/>
      <c r="AV1140" s="27"/>
      <c r="AW1140" s="27"/>
      <c r="AX1140" s="27"/>
      <c r="AY1140" s="27"/>
      <c r="AZ1140" s="27"/>
      <c r="BA1140" s="27"/>
      <c r="BB1140" s="27"/>
      <c r="BC1140" s="133"/>
      <c r="BD1140" s="27"/>
      <c r="BE1140" s="130"/>
    </row>
    <row r="1141" spans="1:57" s="25" customFormat="1">
      <c r="A1141" s="130"/>
      <c r="G1141" s="120"/>
      <c r="H1141" s="120"/>
      <c r="I1141" s="120"/>
      <c r="J1141" s="120"/>
      <c r="K1141" s="120"/>
      <c r="X1141" s="130"/>
      <c r="Y1141" s="130"/>
      <c r="Z1141" s="121"/>
      <c r="AA1141" s="121"/>
      <c r="AB1141" s="121"/>
      <c r="AC1141" s="121"/>
      <c r="AD1141" s="121"/>
      <c r="AE1141" s="121"/>
      <c r="AF1141" s="121"/>
      <c r="AG1141" s="121"/>
      <c r="AH1141" s="121"/>
      <c r="AI1141" s="121"/>
      <c r="AJ1141" s="121"/>
      <c r="AK1141" s="121"/>
      <c r="AL1141" s="121"/>
      <c r="AM1141" s="121"/>
      <c r="AN1141" s="121"/>
      <c r="AO1141" s="121"/>
      <c r="AP1141" s="121"/>
      <c r="AS1141" s="27"/>
      <c r="AT1141" s="27"/>
      <c r="AU1141" s="27"/>
      <c r="AV1141" s="27"/>
      <c r="AW1141" s="27"/>
      <c r="AX1141" s="27"/>
      <c r="AY1141" s="27"/>
      <c r="AZ1141" s="27"/>
      <c r="BA1141" s="27"/>
      <c r="BB1141" s="27"/>
      <c r="BC1141" s="133"/>
      <c r="BD1141" s="27"/>
      <c r="BE1141" s="130"/>
    </row>
    <row r="1142" spans="1:57" s="25" customFormat="1">
      <c r="A1142" s="130"/>
      <c r="G1142" s="120"/>
      <c r="H1142" s="120"/>
      <c r="I1142" s="120"/>
      <c r="J1142" s="120"/>
      <c r="K1142" s="120"/>
      <c r="X1142" s="130"/>
      <c r="Y1142" s="130"/>
      <c r="Z1142" s="121"/>
      <c r="AA1142" s="121"/>
      <c r="AB1142" s="121"/>
      <c r="AC1142" s="121"/>
      <c r="AD1142" s="121"/>
      <c r="AE1142" s="121"/>
      <c r="AF1142" s="121"/>
      <c r="AG1142" s="121"/>
      <c r="AH1142" s="121"/>
      <c r="AI1142" s="121"/>
      <c r="AJ1142" s="121"/>
      <c r="AK1142" s="121"/>
      <c r="AL1142" s="121"/>
      <c r="AM1142" s="121"/>
      <c r="AN1142" s="121"/>
      <c r="AO1142" s="121"/>
      <c r="AP1142" s="121"/>
      <c r="AS1142" s="27"/>
      <c r="AT1142" s="27"/>
      <c r="AU1142" s="27"/>
      <c r="AV1142" s="27"/>
      <c r="AW1142" s="27"/>
      <c r="AX1142" s="27"/>
      <c r="AY1142" s="27"/>
      <c r="AZ1142" s="27"/>
      <c r="BA1142" s="27"/>
      <c r="BB1142" s="27"/>
      <c r="BC1142" s="133"/>
      <c r="BD1142" s="27"/>
      <c r="BE1142" s="130"/>
    </row>
    <row r="1143" spans="1:57" s="25" customFormat="1">
      <c r="A1143" s="130"/>
      <c r="G1143" s="120"/>
      <c r="H1143" s="120"/>
      <c r="I1143" s="120"/>
      <c r="J1143" s="120"/>
      <c r="K1143" s="120"/>
      <c r="X1143" s="130"/>
      <c r="Y1143" s="130"/>
      <c r="Z1143" s="121"/>
      <c r="AA1143" s="121"/>
      <c r="AB1143" s="121"/>
      <c r="AC1143" s="121"/>
      <c r="AD1143" s="121"/>
      <c r="AE1143" s="121"/>
      <c r="AF1143" s="121"/>
      <c r="AG1143" s="121"/>
      <c r="AH1143" s="121"/>
      <c r="AI1143" s="121"/>
      <c r="AJ1143" s="121"/>
      <c r="AK1143" s="121"/>
      <c r="AL1143" s="121"/>
      <c r="AM1143" s="121"/>
      <c r="AN1143" s="121"/>
      <c r="AO1143" s="121"/>
      <c r="AP1143" s="121"/>
      <c r="AS1143" s="27"/>
      <c r="AT1143" s="27"/>
      <c r="AU1143" s="27"/>
      <c r="AV1143" s="27"/>
      <c r="AW1143" s="27"/>
      <c r="AX1143" s="27"/>
      <c r="AY1143" s="27"/>
      <c r="AZ1143" s="27"/>
      <c r="BA1143" s="27"/>
      <c r="BB1143" s="27"/>
      <c r="BC1143" s="133"/>
      <c r="BD1143" s="27"/>
      <c r="BE1143" s="130"/>
    </row>
    <row r="1144" spans="1:57" s="25" customFormat="1">
      <c r="A1144" s="130"/>
      <c r="G1144" s="120"/>
      <c r="H1144" s="120"/>
      <c r="I1144" s="120"/>
      <c r="J1144" s="120"/>
      <c r="K1144" s="120"/>
      <c r="X1144" s="130"/>
      <c r="Y1144" s="130"/>
      <c r="Z1144" s="121"/>
      <c r="AA1144" s="121"/>
      <c r="AB1144" s="121"/>
      <c r="AC1144" s="121"/>
      <c r="AD1144" s="121"/>
      <c r="AE1144" s="121"/>
      <c r="AF1144" s="121"/>
      <c r="AG1144" s="121"/>
      <c r="AH1144" s="121"/>
      <c r="AI1144" s="121"/>
      <c r="AJ1144" s="121"/>
      <c r="AK1144" s="121"/>
      <c r="AL1144" s="121"/>
      <c r="AM1144" s="121"/>
      <c r="AN1144" s="121"/>
      <c r="AO1144" s="121"/>
      <c r="AP1144" s="121"/>
      <c r="AS1144" s="27"/>
      <c r="AT1144" s="27"/>
      <c r="AU1144" s="27"/>
      <c r="AV1144" s="27"/>
      <c r="AW1144" s="27"/>
      <c r="AX1144" s="27"/>
      <c r="AY1144" s="27"/>
      <c r="AZ1144" s="27"/>
      <c r="BA1144" s="27"/>
      <c r="BB1144" s="27"/>
      <c r="BC1144" s="133"/>
      <c r="BD1144" s="27"/>
      <c r="BE1144" s="130"/>
    </row>
    <row r="1145" spans="1:57" s="25" customFormat="1">
      <c r="A1145" s="130"/>
      <c r="G1145" s="120"/>
      <c r="H1145" s="120"/>
      <c r="I1145" s="120"/>
      <c r="J1145" s="120"/>
      <c r="K1145" s="120"/>
      <c r="X1145" s="130"/>
      <c r="Y1145" s="130"/>
      <c r="Z1145" s="121"/>
      <c r="AA1145" s="121"/>
      <c r="AB1145" s="121"/>
      <c r="AC1145" s="121"/>
      <c r="AD1145" s="121"/>
      <c r="AE1145" s="121"/>
      <c r="AF1145" s="121"/>
      <c r="AG1145" s="121"/>
      <c r="AH1145" s="121"/>
      <c r="AI1145" s="121"/>
      <c r="AJ1145" s="121"/>
      <c r="AK1145" s="121"/>
      <c r="AL1145" s="121"/>
      <c r="AM1145" s="121"/>
      <c r="AN1145" s="121"/>
      <c r="AO1145" s="121"/>
      <c r="AP1145" s="121"/>
      <c r="AS1145" s="27"/>
      <c r="AT1145" s="27"/>
      <c r="AU1145" s="27"/>
      <c r="AV1145" s="27"/>
      <c r="AW1145" s="27"/>
      <c r="AX1145" s="27"/>
      <c r="AY1145" s="27"/>
      <c r="AZ1145" s="27"/>
      <c r="BA1145" s="27"/>
      <c r="BB1145" s="27"/>
      <c r="BC1145" s="133"/>
      <c r="BD1145" s="27"/>
      <c r="BE1145" s="130"/>
    </row>
    <row r="1146" spans="1:57" s="25" customFormat="1">
      <c r="A1146" s="130"/>
      <c r="G1146" s="120"/>
      <c r="H1146" s="120"/>
      <c r="I1146" s="120"/>
      <c r="J1146" s="120"/>
      <c r="K1146" s="120"/>
      <c r="X1146" s="130"/>
      <c r="Y1146" s="130"/>
      <c r="Z1146" s="121"/>
      <c r="AA1146" s="121"/>
      <c r="AB1146" s="121"/>
      <c r="AC1146" s="121"/>
      <c r="AD1146" s="121"/>
      <c r="AE1146" s="121"/>
      <c r="AF1146" s="121"/>
      <c r="AG1146" s="121"/>
      <c r="AH1146" s="121"/>
      <c r="AI1146" s="121"/>
      <c r="AJ1146" s="121"/>
      <c r="AK1146" s="121"/>
      <c r="AL1146" s="121"/>
      <c r="AM1146" s="121"/>
      <c r="AN1146" s="121"/>
      <c r="AO1146" s="121"/>
      <c r="AP1146" s="121"/>
      <c r="AS1146" s="27"/>
      <c r="AT1146" s="27"/>
      <c r="AU1146" s="27"/>
      <c r="AV1146" s="27"/>
      <c r="AW1146" s="27"/>
      <c r="AX1146" s="27"/>
      <c r="AY1146" s="27"/>
      <c r="AZ1146" s="27"/>
      <c r="BA1146" s="27"/>
      <c r="BB1146" s="27"/>
      <c r="BC1146" s="133"/>
      <c r="BD1146" s="27"/>
      <c r="BE1146" s="130"/>
    </row>
    <row r="1147" spans="1:57" s="25" customFormat="1">
      <c r="A1147" s="130"/>
      <c r="G1147" s="120"/>
      <c r="H1147" s="120"/>
      <c r="I1147" s="120"/>
      <c r="J1147" s="120"/>
      <c r="K1147" s="120"/>
      <c r="X1147" s="130"/>
      <c r="Y1147" s="130"/>
      <c r="Z1147" s="121"/>
      <c r="AA1147" s="121"/>
      <c r="AB1147" s="121"/>
      <c r="AC1147" s="121"/>
      <c r="AD1147" s="121"/>
      <c r="AE1147" s="121"/>
      <c r="AF1147" s="121"/>
      <c r="AG1147" s="121"/>
      <c r="AH1147" s="121"/>
      <c r="AI1147" s="121"/>
      <c r="AJ1147" s="121"/>
      <c r="AK1147" s="121"/>
      <c r="AL1147" s="121"/>
      <c r="AM1147" s="121"/>
      <c r="AN1147" s="121"/>
      <c r="AO1147" s="121"/>
      <c r="AP1147" s="121"/>
      <c r="AS1147" s="27"/>
      <c r="AT1147" s="27"/>
      <c r="AU1147" s="27"/>
      <c r="AV1147" s="27"/>
      <c r="AW1147" s="27"/>
      <c r="AX1147" s="27"/>
      <c r="AY1147" s="27"/>
      <c r="AZ1147" s="27"/>
      <c r="BA1147" s="27"/>
      <c r="BB1147" s="27"/>
      <c r="BC1147" s="133"/>
      <c r="BD1147" s="27"/>
      <c r="BE1147" s="130"/>
    </row>
    <row r="1148" spans="1:57" s="25" customFormat="1">
      <c r="A1148" s="130"/>
      <c r="G1148" s="120"/>
      <c r="H1148" s="120"/>
      <c r="I1148" s="120"/>
      <c r="J1148" s="120"/>
      <c r="K1148" s="120"/>
      <c r="X1148" s="130"/>
      <c r="Y1148" s="130"/>
      <c r="Z1148" s="121"/>
      <c r="AA1148" s="121"/>
      <c r="AB1148" s="121"/>
      <c r="AC1148" s="121"/>
      <c r="AD1148" s="121"/>
      <c r="AE1148" s="121"/>
      <c r="AF1148" s="121"/>
      <c r="AG1148" s="121"/>
      <c r="AH1148" s="121"/>
      <c r="AI1148" s="121"/>
      <c r="AJ1148" s="121"/>
      <c r="AK1148" s="121"/>
      <c r="AL1148" s="121"/>
      <c r="AM1148" s="121"/>
      <c r="AN1148" s="121"/>
      <c r="AO1148" s="121"/>
      <c r="AP1148" s="121"/>
      <c r="AS1148" s="27"/>
      <c r="AT1148" s="27"/>
      <c r="AU1148" s="27"/>
      <c r="AV1148" s="27"/>
      <c r="AW1148" s="27"/>
      <c r="AX1148" s="27"/>
      <c r="AY1148" s="27"/>
      <c r="AZ1148" s="27"/>
      <c r="BA1148" s="27"/>
      <c r="BB1148" s="27"/>
      <c r="BC1148" s="133"/>
      <c r="BD1148" s="27"/>
      <c r="BE1148" s="130"/>
    </row>
    <row r="1149" spans="1:57" s="25" customFormat="1">
      <c r="A1149" s="130"/>
      <c r="G1149" s="120"/>
      <c r="H1149" s="120"/>
      <c r="I1149" s="120"/>
      <c r="J1149" s="120"/>
      <c r="K1149" s="120"/>
      <c r="X1149" s="130"/>
      <c r="Y1149" s="130"/>
      <c r="Z1149" s="121"/>
      <c r="AA1149" s="121"/>
      <c r="AB1149" s="121"/>
      <c r="AC1149" s="121"/>
      <c r="AD1149" s="121"/>
      <c r="AE1149" s="121"/>
      <c r="AF1149" s="121"/>
      <c r="AG1149" s="121"/>
      <c r="AH1149" s="121"/>
      <c r="AI1149" s="121"/>
      <c r="AJ1149" s="121"/>
      <c r="AK1149" s="121"/>
      <c r="AL1149" s="121"/>
      <c r="AM1149" s="121"/>
      <c r="AN1149" s="121"/>
      <c r="AO1149" s="121"/>
      <c r="AP1149" s="121"/>
      <c r="AS1149" s="27"/>
      <c r="AT1149" s="27"/>
      <c r="AU1149" s="27"/>
      <c r="AV1149" s="27"/>
      <c r="AW1149" s="27"/>
      <c r="AX1149" s="27"/>
      <c r="AY1149" s="27"/>
      <c r="AZ1149" s="27"/>
      <c r="BA1149" s="27"/>
      <c r="BB1149" s="27"/>
      <c r="BC1149" s="133"/>
      <c r="BD1149" s="27"/>
      <c r="BE1149" s="130"/>
    </row>
    <row r="1150" spans="1:57" s="25" customFormat="1">
      <c r="A1150" s="130"/>
      <c r="G1150" s="120"/>
      <c r="H1150" s="120"/>
      <c r="I1150" s="120"/>
      <c r="J1150" s="120"/>
      <c r="K1150" s="120"/>
      <c r="X1150" s="130"/>
      <c r="Y1150" s="130"/>
      <c r="Z1150" s="121"/>
      <c r="AA1150" s="121"/>
      <c r="AB1150" s="121"/>
      <c r="AC1150" s="121"/>
      <c r="AD1150" s="121"/>
      <c r="AE1150" s="121"/>
      <c r="AF1150" s="121"/>
      <c r="AG1150" s="121"/>
      <c r="AH1150" s="121"/>
      <c r="AI1150" s="121"/>
      <c r="AJ1150" s="121"/>
      <c r="AK1150" s="121"/>
      <c r="AL1150" s="121"/>
      <c r="AM1150" s="121"/>
      <c r="AN1150" s="121"/>
      <c r="AO1150" s="121"/>
      <c r="AP1150" s="121"/>
      <c r="AS1150" s="27"/>
      <c r="AT1150" s="27"/>
      <c r="AU1150" s="27"/>
      <c r="AV1150" s="27"/>
      <c r="AW1150" s="27"/>
      <c r="AX1150" s="27"/>
      <c r="AY1150" s="27"/>
      <c r="AZ1150" s="27"/>
      <c r="BA1150" s="27"/>
      <c r="BB1150" s="27"/>
      <c r="BC1150" s="133"/>
      <c r="BD1150" s="27"/>
      <c r="BE1150" s="130"/>
    </row>
    <row r="1151" spans="1:57" s="25" customFormat="1">
      <c r="A1151" s="130"/>
      <c r="G1151" s="120"/>
      <c r="H1151" s="120"/>
      <c r="I1151" s="120"/>
      <c r="J1151" s="120"/>
      <c r="K1151" s="120"/>
      <c r="X1151" s="130"/>
      <c r="Y1151" s="130"/>
      <c r="Z1151" s="121"/>
      <c r="AA1151" s="121"/>
      <c r="AB1151" s="121"/>
      <c r="AC1151" s="121"/>
      <c r="AD1151" s="121"/>
      <c r="AE1151" s="121"/>
      <c r="AF1151" s="121"/>
      <c r="AG1151" s="121"/>
      <c r="AH1151" s="121"/>
      <c r="AI1151" s="121"/>
      <c r="AJ1151" s="121"/>
      <c r="AK1151" s="121"/>
      <c r="AL1151" s="121"/>
      <c r="AM1151" s="121"/>
      <c r="AN1151" s="121"/>
      <c r="AO1151" s="121"/>
      <c r="AP1151" s="121"/>
      <c r="AS1151" s="27"/>
      <c r="AT1151" s="27"/>
      <c r="AU1151" s="27"/>
      <c r="AV1151" s="27"/>
      <c r="AW1151" s="27"/>
      <c r="AX1151" s="27"/>
      <c r="AY1151" s="27"/>
      <c r="AZ1151" s="27"/>
      <c r="BA1151" s="27"/>
      <c r="BB1151" s="27"/>
      <c r="BC1151" s="133"/>
      <c r="BD1151" s="27"/>
      <c r="BE1151" s="130"/>
    </row>
    <row r="1152" spans="1:57" s="25" customFormat="1">
      <c r="A1152" s="130"/>
      <c r="G1152" s="120"/>
      <c r="H1152" s="120"/>
      <c r="I1152" s="120"/>
      <c r="J1152" s="120"/>
      <c r="K1152" s="120"/>
      <c r="X1152" s="130"/>
      <c r="Y1152" s="130"/>
      <c r="Z1152" s="121"/>
      <c r="AA1152" s="121"/>
      <c r="AB1152" s="121"/>
      <c r="AC1152" s="121"/>
      <c r="AD1152" s="121"/>
      <c r="AE1152" s="121"/>
      <c r="AF1152" s="121"/>
      <c r="AG1152" s="121"/>
      <c r="AH1152" s="121"/>
      <c r="AI1152" s="121"/>
      <c r="AJ1152" s="121"/>
      <c r="AK1152" s="121"/>
      <c r="AL1152" s="121"/>
      <c r="AM1152" s="121"/>
      <c r="AN1152" s="121"/>
      <c r="AO1152" s="121"/>
      <c r="AP1152" s="121"/>
      <c r="AS1152" s="27"/>
      <c r="AT1152" s="27"/>
      <c r="AU1152" s="27"/>
      <c r="AV1152" s="27"/>
      <c r="AW1152" s="27"/>
      <c r="AX1152" s="27"/>
      <c r="AY1152" s="27"/>
      <c r="AZ1152" s="27"/>
      <c r="BA1152" s="27"/>
      <c r="BB1152" s="27"/>
      <c r="BC1152" s="133"/>
      <c r="BD1152" s="27"/>
      <c r="BE1152" s="130"/>
    </row>
    <row r="1153" spans="1:57" s="25" customFormat="1">
      <c r="A1153" s="130"/>
      <c r="G1153" s="120"/>
      <c r="H1153" s="120"/>
      <c r="I1153" s="120"/>
      <c r="J1153" s="120"/>
      <c r="K1153" s="120"/>
      <c r="X1153" s="130"/>
      <c r="Y1153" s="130"/>
      <c r="Z1153" s="121"/>
      <c r="AA1153" s="121"/>
      <c r="AB1153" s="121"/>
      <c r="AC1153" s="121"/>
      <c r="AD1153" s="121"/>
      <c r="AE1153" s="121"/>
      <c r="AF1153" s="121"/>
      <c r="AG1153" s="121"/>
      <c r="AH1153" s="121"/>
      <c r="AI1153" s="121"/>
      <c r="AJ1153" s="121"/>
      <c r="AK1153" s="121"/>
      <c r="AL1153" s="121"/>
      <c r="AM1153" s="121"/>
      <c r="AN1153" s="121"/>
      <c r="AO1153" s="121"/>
      <c r="AP1153" s="121"/>
      <c r="AS1153" s="27"/>
      <c r="AT1153" s="27"/>
      <c r="AU1153" s="27"/>
      <c r="AV1153" s="27"/>
      <c r="AW1153" s="27"/>
      <c r="AX1153" s="27"/>
      <c r="AY1153" s="27"/>
      <c r="AZ1153" s="27"/>
      <c r="BA1153" s="27"/>
      <c r="BB1153" s="27"/>
      <c r="BC1153" s="133"/>
      <c r="BD1153" s="27"/>
      <c r="BE1153" s="130"/>
    </row>
    <row r="1154" spans="1:57" s="25" customFormat="1">
      <c r="A1154" s="130"/>
      <c r="G1154" s="120"/>
      <c r="H1154" s="120"/>
      <c r="I1154" s="120"/>
      <c r="J1154" s="120"/>
      <c r="K1154" s="120"/>
      <c r="X1154" s="130"/>
      <c r="Y1154" s="130"/>
      <c r="Z1154" s="121"/>
      <c r="AA1154" s="121"/>
      <c r="AB1154" s="121"/>
      <c r="AC1154" s="121"/>
      <c r="AD1154" s="121"/>
      <c r="AE1154" s="121"/>
      <c r="AF1154" s="121"/>
      <c r="AG1154" s="121"/>
      <c r="AH1154" s="121"/>
      <c r="AI1154" s="121"/>
      <c r="AJ1154" s="121"/>
      <c r="AK1154" s="121"/>
      <c r="AL1154" s="121"/>
      <c r="AM1154" s="121"/>
      <c r="AN1154" s="121"/>
      <c r="AO1154" s="121"/>
      <c r="AP1154" s="121"/>
      <c r="AS1154" s="27"/>
      <c r="AT1154" s="27"/>
      <c r="AU1154" s="27"/>
      <c r="AV1154" s="27"/>
      <c r="AW1154" s="27"/>
      <c r="AX1154" s="27"/>
      <c r="AY1154" s="27"/>
      <c r="AZ1154" s="27"/>
      <c r="BA1154" s="27"/>
      <c r="BB1154" s="27"/>
      <c r="BC1154" s="133"/>
      <c r="BD1154" s="27"/>
      <c r="BE1154" s="130"/>
    </row>
    <row r="1155" spans="1:57" s="25" customFormat="1">
      <c r="A1155" s="130"/>
      <c r="G1155" s="120"/>
      <c r="H1155" s="120"/>
      <c r="I1155" s="120"/>
      <c r="J1155" s="120"/>
      <c r="K1155" s="120"/>
      <c r="X1155" s="130"/>
      <c r="Y1155" s="130"/>
      <c r="Z1155" s="121"/>
      <c r="AA1155" s="121"/>
      <c r="AB1155" s="121"/>
      <c r="AC1155" s="121"/>
      <c r="AD1155" s="121"/>
      <c r="AE1155" s="121"/>
      <c r="AF1155" s="121"/>
      <c r="AG1155" s="121"/>
      <c r="AH1155" s="121"/>
      <c r="AI1155" s="121"/>
      <c r="AJ1155" s="121"/>
      <c r="AK1155" s="121"/>
      <c r="AL1155" s="121"/>
      <c r="AM1155" s="121"/>
      <c r="AN1155" s="121"/>
      <c r="AO1155" s="121"/>
      <c r="AP1155" s="121"/>
      <c r="AS1155" s="27"/>
      <c r="AT1155" s="27"/>
      <c r="AU1155" s="27"/>
      <c r="AV1155" s="27"/>
      <c r="AW1155" s="27"/>
      <c r="AX1155" s="27"/>
      <c r="AY1155" s="27"/>
      <c r="AZ1155" s="27"/>
      <c r="BA1155" s="27"/>
      <c r="BB1155" s="27"/>
      <c r="BC1155" s="133"/>
      <c r="BD1155" s="27"/>
      <c r="BE1155" s="130"/>
    </row>
    <row r="1156" spans="1:57" s="25" customFormat="1">
      <c r="A1156" s="130"/>
      <c r="G1156" s="120"/>
      <c r="H1156" s="120"/>
      <c r="I1156" s="120"/>
      <c r="J1156" s="120"/>
      <c r="K1156" s="120"/>
      <c r="X1156" s="130"/>
      <c r="Y1156" s="130"/>
      <c r="Z1156" s="121"/>
      <c r="AA1156" s="121"/>
      <c r="AB1156" s="121"/>
      <c r="AC1156" s="121"/>
      <c r="AD1156" s="121"/>
      <c r="AE1156" s="121"/>
      <c r="AF1156" s="121"/>
      <c r="AG1156" s="121"/>
      <c r="AH1156" s="121"/>
      <c r="AI1156" s="121"/>
      <c r="AJ1156" s="121"/>
      <c r="AK1156" s="121"/>
      <c r="AL1156" s="121"/>
      <c r="AM1156" s="121"/>
      <c r="AN1156" s="121"/>
      <c r="AO1156" s="121"/>
      <c r="AP1156" s="121"/>
      <c r="AS1156" s="27"/>
      <c r="AT1156" s="27"/>
      <c r="AU1156" s="27"/>
      <c r="AV1156" s="27"/>
      <c r="AW1156" s="27"/>
      <c r="AX1156" s="27"/>
      <c r="AY1156" s="27"/>
      <c r="AZ1156" s="27"/>
      <c r="BA1156" s="27"/>
      <c r="BB1156" s="27"/>
      <c r="BC1156" s="133"/>
      <c r="BD1156" s="27"/>
      <c r="BE1156" s="130"/>
    </row>
    <row r="1157" spans="1:57" s="25" customFormat="1">
      <c r="A1157" s="130"/>
      <c r="G1157" s="120"/>
      <c r="H1157" s="120"/>
      <c r="I1157" s="120"/>
      <c r="J1157" s="120"/>
      <c r="K1157" s="120"/>
      <c r="X1157" s="130"/>
      <c r="Y1157" s="130"/>
      <c r="Z1157" s="121"/>
      <c r="AA1157" s="121"/>
      <c r="AB1157" s="121"/>
      <c r="AC1157" s="121"/>
      <c r="AD1157" s="121"/>
      <c r="AE1157" s="121"/>
      <c r="AF1157" s="121"/>
      <c r="AG1157" s="121"/>
      <c r="AH1157" s="121"/>
      <c r="AI1157" s="121"/>
      <c r="AJ1157" s="121"/>
      <c r="AK1157" s="121"/>
      <c r="AL1157" s="121"/>
      <c r="AM1157" s="121"/>
      <c r="AN1157" s="121"/>
      <c r="AO1157" s="121"/>
      <c r="AP1157" s="121"/>
      <c r="AS1157" s="27"/>
      <c r="AT1157" s="27"/>
      <c r="AU1157" s="27"/>
      <c r="AV1157" s="27"/>
      <c r="AW1157" s="27"/>
      <c r="AX1157" s="27"/>
      <c r="AY1157" s="27"/>
      <c r="AZ1157" s="27"/>
      <c r="BA1157" s="27"/>
      <c r="BB1157" s="27"/>
      <c r="BC1157" s="133"/>
      <c r="BD1157" s="27"/>
      <c r="BE1157" s="130"/>
    </row>
    <row r="1158" spans="1:57" s="25" customFormat="1">
      <c r="A1158" s="130"/>
      <c r="G1158" s="120"/>
      <c r="H1158" s="120"/>
      <c r="I1158" s="120"/>
      <c r="J1158" s="120"/>
      <c r="K1158" s="120"/>
      <c r="X1158" s="130"/>
      <c r="Y1158" s="130"/>
      <c r="Z1158" s="121"/>
      <c r="AA1158" s="121"/>
      <c r="AB1158" s="121"/>
      <c r="AC1158" s="121"/>
      <c r="AD1158" s="121"/>
      <c r="AE1158" s="121"/>
      <c r="AF1158" s="121"/>
      <c r="AG1158" s="121"/>
      <c r="AH1158" s="121"/>
      <c r="AI1158" s="121"/>
      <c r="AJ1158" s="121"/>
      <c r="AK1158" s="121"/>
      <c r="AL1158" s="121"/>
      <c r="AM1158" s="121"/>
      <c r="AN1158" s="121"/>
      <c r="AO1158" s="121"/>
      <c r="AP1158" s="121"/>
      <c r="AS1158" s="27"/>
      <c r="AT1158" s="27"/>
      <c r="AU1158" s="27"/>
      <c r="AV1158" s="27"/>
      <c r="AW1158" s="27"/>
      <c r="AX1158" s="27"/>
      <c r="AY1158" s="27"/>
      <c r="AZ1158" s="27"/>
      <c r="BA1158" s="27"/>
      <c r="BB1158" s="27"/>
      <c r="BC1158" s="133"/>
      <c r="BD1158" s="27"/>
      <c r="BE1158" s="130"/>
    </row>
    <row r="1159" spans="1:57" s="25" customFormat="1">
      <c r="A1159" s="130"/>
      <c r="G1159" s="120"/>
      <c r="H1159" s="120"/>
      <c r="I1159" s="120"/>
      <c r="J1159" s="120"/>
      <c r="K1159" s="120"/>
      <c r="X1159" s="130"/>
      <c r="Y1159" s="130"/>
      <c r="Z1159" s="121"/>
      <c r="AA1159" s="121"/>
      <c r="AB1159" s="121"/>
      <c r="AC1159" s="121"/>
      <c r="AD1159" s="121"/>
      <c r="AE1159" s="121"/>
      <c r="AF1159" s="121"/>
      <c r="AG1159" s="121"/>
      <c r="AH1159" s="121"/>
      <c r="AI1159" s="121"/>
      <c r="AJ1159" s="121"/>
      <c r="AK1159" s="121"/>
      <c r="AL1159" s="121"/>
      <c r="AM1159" s="121"/>
      <c r="AN1159" s="121"/>
      <c r="AO1159" s="121"/>
      <c r="AP1159" s="121"/>
      <c r="AS1159" s="27"/>
      <c r="AT1159" s="27"/>
      <c r="AU1159" s="27"/>
      <c r="AV1159" s="27"/>
      <c r="AW1159" s="27"/>
      <c r="AX1159" s="27"/>
      <c r="AY1159" s="27"/>
      <c r="AZ1159" s="27"/>
      <c r="BA1159" s="27"/>
      <c r="BB1159" s="27"/>
      <c r="BC1159" s="133"/>
      <c r="BD1159" s="27"/>
      <c r="BE1159" s="130"/>
    </row>
    <row r="1160" spans="1:57" s="25" customFormat="1">
      <c r="A1160" s="130"/>
      <c r="G1160" s="120"/>
      <c r="H1160" s="120"/>
      <c r="I1160" s="120"/>
      <c r="J1160" s="120"/>
      <c r="K1160" s="120"/>
      <c r="X1160" s="130"/>
      <c r="Y1160" s="130"/>
      <c r="Z1160" s="121"/>
      <c r="AA1160" s="121"/>
      <c r="AB1160" s="121"/>
      <c r="AC1160" s="121"/>
      <c r="AD1160" s="121"/>
      <c r="AE1160" s="121"/>
      <c r="AF1160" s="121"/>
      <c r="AG1160" s="121"/>
      <c r="AH1160" s="121"/>
      <c r="AI1160" s="121"/>
      <c r="AJ1160" s="121"/>
      <c r="AK1160" s="121"/>
      <c r="AL1160" s="121"/>
      <c r="AM1160" s="121"/>
      <c r="AN1160" s="121"/>
      <c r="AO1160" s="121"/>
      <c r="AP1160" s="121"/>
      <c r="AS1160" s="27"/>
      <c r="AT1160" s="27"/>
      <c r="AU1160" s="27"/>
      <c r="AV1160" s="27"/>
      <c r="AW1160" s="27"/>
      <c r="AX1160" s="27"/>
      <c r="AY1160" s="27"/>
      <c r="AZ1160" s="27"/>
      <c r="BA1160" s="27"/>
      <c r="BB1160" s="27"/>
      <c r="BC1160" s="133"/>
      <c r="BD1160" s="27"/>
      <c r="BE1160" s="130"/>
    </row>
    <row r="1161" spans="1:57" s="25" customFormat="1">
      <c r="A1161" s="130"/>
      <c r="G1161" s="120"/>
      <c r="H1161" s="120"/>
      <c r="I1161" s="120"/>
      <c r="J1161" s="120"/>
      <c r="K1161" s="120"/>
      <c r="X1161" s="130"/>
      <c r="Y1161" s="130"/>
      <c r="Z1161" s="121"/>
      <c r="AA1161" s="121"/>
      <c r="AB1161" s="121"/>
      <c r="AC1161" s="121"/>
      <c r="AD1161" s="121"/>
      <c r="AE1161" s="121"/>
      <c r="AF1161" s="121"/>
      <c r="AG1161" s="121"/>
      <c r="AH1161" s="121"/>
      <c r="AI1161" s="121"/>
      <c r="AJ1161" s="121"/>
      <c r="AK1161" s="121"/>
      <c r="AL1161" s="121"/>
      <c r="AM1161" s="121"/>
      <c r="AN1161" s="121"/>
      <c r="AO1161" s="121"/>
      <c r="AP1161" s="121"/>
      <c r="AS1161" s="27"/>
      <c r="AT1161" s="27"/>
      <c r="AU1161" s="27"/>
      <c r="AV1161" s="27"/>
      <c r="AW1161" s="27"/>
      <c r="AX1161" s="27"/>
      <c r="AY1161" s="27"/>
      <c r="AZ1161" s="27"/>
      <c r="BA1161" s="27"/>
      <c r="BB1161" s="27"/>
      <c r="BC1161" s="133"/>
      <c r="BD1161" s="27"/>
      <c r="BE1161" s="130"/>
    </row>
    <row r="1162" spans="1:57" s="25" customFormat="1">
      <c r="A1162" s="130"/>
      <c r="G1162" s="120"/>
      <c r="H1162" s="120"/>
      <c r="I1162" s="120"/>
      <c r="J1162" s="120"/>
      <c r="K1162" s="120"/>
      <c r="X1162" s="130"/>
      <c r="Y1162" s="130"/>
      <c r="Z1162" s="121"/>
      <c r="AA1162" s="121"/>
      <c r="AB1162" s="121"/>
      <c r="AC1162" s="121"/>
      <c r="AD1162" s="121"/>
      <c r="AE1162" s="121"/>
      <c r="AF1162" s="121"/>
      <c r="AG1162" s="121"/>
      <c r="AH1162" s="121"/>
      <c r="AI1162" s="121"/>
      <c r="AJ1162" s="121"/>
      <c r="AK1162" s="121"/>
      <c r="AL1162" s="121"/>
      <c r="AM1162" s="121"/>
      <c r="AN1162" s="121"/>
      <c r="AO1162" s="121"/>
      <c r="AP1162" s="121"/>
      <c r="AS1162" s="27"/>
      <c r="AT1162" s="27"/>
      <c r="AU1162" s="27"/>
      <c r="AV1162" s="27"/>
      <c r="AW1162" s="27"/>
      <c r="AX1162" s="27"/>
      <c r="AY1162" s="27"/>
      <c r="AZ1162" s="27"/>
      <c r="BA1162" s="27"/>
      <c r="BB1162" s="27"/>
      <c r="BC1162" s="133"/>
      <c r="BD1162" s="27"/>
      <c r="BE1162" s="130"/>
    </row>
    <row r="1163" spans="1:57" s="25" customFormat="1">
      <c r="A1163" s="130"/>
      <c r="G1163" s="120"/>
      <c r="H1163" s="120"/>
      <c r="I1163" s="120"/>
      <c r="J1163" s="120"/>
      <c r="K1163" s="120"/>
      <c r="X1163" s="130"/>
      <c r="Y1163" s="130"/>
      <c r="Z1163" s="121"/>
      <c r="AA1163" s="121"/>
      <c r="AB1163" s="121"/>
      <c r="AC1163" s="121"/>
      <c r="AD1163" s="121"/>
      <c r="AE1163" s="121"/>
      <c r="AF1163" s="121"/>
      <c r="AG1163" s="121"/>
      <c r="AH1163" s="121"/>
      <c r="AI1163" s="121"/>
      <c r="AJ1163" s="121"/>
      <c r="AK1163" s="121"/>
      <c r="AL1163" s="121"/>
      <c r="AM1163" s="121"/>
      <c r="AN1163" s="121"/>
      <c r="AO1163" s="121"/>
      <c r="AP1163" s="121"/>
      <c r="AS1163" s="27"/>
      <c r="AT1163" s="27"/>
      <c r="AU1163" s="27"/>
      <c r="AV1163" s="27"/>
      <c r="AW1163" s="27"/>
      <c r="AX1163" s="27"/>
      <c r="AY1163" s="27"/>
      <c r="AZ1163" s="27"/>
      <c r="BA1163" s="27"/>
      <c r="BB1163" s="27"/>
      <c r="BC1163" s="133"/>
      <c r="BD1163" s="27"/>
      <c r="BE1163" s="130"/>
    </row>
    <row r="1164" spans="1:57" s="25" customFormat="1">
      <c r="A1164" s="130"/>
      <c r="G1164" s="120"/>
      <c r="H1164" s="120"/>
      <c r="I1164" s="120"/>
      <c r="J1164" s="120"/>
      <c r="K1164" s="120"/>
      <c r="X1164" s="130"/>
      <c r="Y1164" s="130"/>
      <c r="Z1164" s="121"/>
      <c r="AA1164" s="121"/>
      <c r="AB1164" s="121"/>
      <c r="AC1164" s="121"/>
      <c r="AD1164" s="121"/>
      <c r="AE1164" s="121"/>
      <c r="AF1164" s="121"/>
      <c r="AG1164" s="121"/>
      <c r="AH1164" s="121"/>
      <c r="AI1164" s="121"/>
      <c r="AJ1164" s="121"/>
      <c r="AK1164" s="121"/>
      <c r="AL1164" s="121"/>
      <c r="AM1164" s="121"/>
      <c r="AN1164" s="121"/>
      <c r="AO1164" s="121"/>
      <c r="AP1164" s="121"/>
      <c r="AS1164" s="27"/>
      <c r="AT1164" s="27"/>
      <c r="AU1164" s="27"/>
      <c r="AV1164" s="27"/>
      <c r="AW1164" s="27"/>
      <c r="AX1164" s="27"/>
      <c r="AY1164" s="27"/>
      <c r="AZ1164" s="27"/>
      <c r="BA1164" s="27"/>
      <c r="BB1164" s="27"/>
      <c r="BC1164" s="133"/>
      <c r="BD1164" s="27"/>
      <c r="BE1164" s="130"/>
    </row>
    <row r="1165" spans="1:57" s="25" customFormat="1">
      <c r="A1165" s="130"/>
      <c r="G1165" s="120"/>
      <c r="H1165" s="120"/>
      <c r="I1165" s="120"/>
      <c r="J1165" s="120"/>
      <c r="K1165" s="120"/>
      <c r="X1165" s="130"/>
      <c r="Y1165" s="130"/>
      <c r="Z1165" s="121"/>
      <c r="AA1165" s="121"/>
      <c r="AB1165" s="121"/>
      <c r="AC1165" s="121"/>
      <c r="AD1165" s="121"/>
      <c r="AE1165" s="121"/>
      <c r="AF1165" s="121"/>
      <c r="AG1165" s="121"/>
      <c r="AH1165" s="121"/>
      <c r="AI1165" s="121"/>
      <c r="AJ1165" s="121"/>
      <c r="AK1165" s="121"/>
      <c r="AL1165" s="121"/>
      <c r="AM1165" s="121"/>
      <c r="AN1165" s="121"/>
      <c r="AO1165" s="121"/>
      <c r="AP1165" s="121"/>
      <c r="AS1165" s="27"/>
      <c r="AT1165" s="27"/>
      <c r="AU1165" s="27"/>
      <c r="AV1165" s="27"/>
      <c r="AW1165" s="27"/>
      <c r="AX1165" s="27"/>
      <c r="AY1165" s="27"/>
      <c r="AZ1165" s="27"/>
      <c r="BA1165" s="27"/>
      <c r="BB1165" s="27"/>
      <c r="BC1165" s="133"/>
      <c r="BD1165" s="27"/>
      <c r="BE1165" s="130"/>
    </row>
    <row r="1166" spans="1:57">
      <c r="AX1166" s="27"/>
      <c r="AY1166" s="27"/>
    </row>
    <row r="1167" spans="1:57">
      <c r="AX1167" s="27"/>
      <c r="AY1167" s="27"/>
    </row>
    <row r="1168" spans="1:57">
      <c r="AX1168" s="27"/>
      <c r="AY1168" s="27"/>
    </row>
    <row r="1169" spans="50:51">
      <c r="AX1169" s="27"/>
      <c r="AY1169" s="27"/>
    </row>
  </sheetData>
  <protectedRanges>
    <protectedRange sqref="AQ1045:AU1264 AQ1032:AQ1033 AQ315:AQ322 AQ333:AQ340 AQ740:AQ883 AQ324:AQ331 AQ342:AQ349 AQ351:AQ358 AQ360:AQ411 AQ738 AQ1030 AQ413:AQ446 AQ448:AQ591 AQ593:AQ736 AQ885:AQ1028 AZ1045:BC1264 AQ266:AQ313 AW1045:AW1264 AO1035:AP1044 AQ1034:BC1034" name="Usage"/>
    <protectedRange sqref="BD1045:BD1264 BD740:BD883 BD738 BD1030 BD448:BD591 BD593:BD736 BD885:BD1028 BD1032:BD1034" name="Usage_1"/>
    <protectedRange sqref="AQ245:AQ263 AQ212:AQ213 AQ215:AQ226 AQ231:AQ240 AQ10:AQ26 AQ228:AQ229 AQ242:AQ243 AQ200:AQ207 AQ28:AQ33 AQ35:AQ40 AQ42:AQ55 AQ57:AQ68 AQ82:AQ102 AQ112:AQ135 AQ152:AQ163 AQ177:AQ198 AQ209:AQ210 AQ70:AQ80 AQ165:AQ175 AQ104:AQ110 AQ137:AQ150" name="Usage_2"/>
    <protectedRange sqref="AX1045:AY1268" name="Usage_3_1"/>
    <protectedRange sqref="BD266:BD271 BD302:BD307" name="Usage_1_1_5"/>
    <protectedRange sqref="BD272:BD277" name="Usage_1_1_1_1"/>
    <protectedRange sqref="BD278:BD283" name="Usage_1_1_2_1"/>
    <protectedRange sqref="BD284:BD289" name="Usage_1_1_3_1"/>
    <protectedRange sqref="BD290:BD295 BD298:BD301" name="Usage_1_1_4_1"/>
    <protectedRange sqref="BD315:BD322 BD324:BD331" name="Usage_1_2"/>
    <protectedRange sqref="BD351:BD356" name="Usage_1_3"/>
    <protectedRange sqref="BD368:BD371 BD408:BD411" name="Usage_1_4"/>
  </protectedRanges>
  <mergeCells count="89">
    <mergeCell ref="BE368:BE371"/>
    <mergeCell ref="BE415:BE430"/>
    <mergeCell ref="BE324:BE331"/>
    <mergeCell ref="BE351:BE352"/>
    <mergeCell ref="BE353:BE354"/>
    <mergeCell ref="BE355:BE356"/>
    <mergeCell ref="BE408:BE411"/>
    <mergeCell ref="BE195:BE198"/>
    <mergeCell ref="BE245:BE246"/>
    <mergeCell ref="BE248:BE249"/>
    <mergeCell ref="BE254:BE255"/>
    <mergeCell ref="BE315:BE322"/>
    <mergeCell ref="BE141:BE142"/>
    <mergeCell ref="BE170:BE171"/>
    <mergeCell ref="BE172:BE173"/>
    <mergeCell ref="BE174:BE175"/>
    <mergeCell ref="BE179:BE180"/>
    <mergeCell ref="A1032:A1033"/>
    <mergeCell ref="B1032:B1033"/>
    <mergeCell ref="BE1032:BE1033"/>
    <mergeCell ref="I1035:P1035"/>
    <mergeCell ref="D1043:K1043"/>
    <mergeCell ref="A740:A883"/>
    <mergeCell ref="B740:B883"/>
    <mergeCell ref="BE740:BE883"/>
    <mergeCell ref="A885:A1028"/>
    <mergeCell ref="B885:B1028"/>
    <mergeCell ref="BE885:BE1028"/>
    <mergeCell ref="A448:A591"/>
    <mergeCell ref="B448:B591"/>
    <mergeCell ref="BE448:BE591"/>
    <mergeCell ref="A593:A736"/>
    <mergeCell ref="B593:B736"/>
    <mergeCell ref="BE593:BE736"/>
    <mergeCell ref="A412:B412"/>
    <mergeCell ref="A230:B230"/>
    <mergeCell ref="A241:B241"/>
    <mergeCell ref="A244:B244"/>
    <mergeCell ref="A264:B264"/>
    <mergeCell ref="A265:B265"/>
    <mergeCell ref="A314:B314"/>
    <mergeCell ref="A323:B323"/>
    <mergeCell ref="A332:B332"/>
    <mergeCell ref="A341:B341"/>
    <mergeCell ref="A350:B350"/>
    <mergeCell ref="A359:B359"/>
    <mergeCell ref="A227:B227"/>
    <mergeCell ref="A69:B69"/>
    <mergeCell ref="A81:B81"/>
    <mergeCell ref="A103:B103"/>
    <mergeCell ref="A111:B111"/>
    <mergeCell ref="A136:B136"/>
    <mergeCell ref="A151:B151"/>
    <mergeCell ref="A164:B164"/>
    <mergeCell ref="A176:B176"/>
    <mergeCell ref="A199:B199"/>
    <mergeCell ref="A211:B211"/>
    <mergeCell ref="A214:B214"/>
    <mergeCell ref="BE6:BE7"/>
    <mergeCell ref="A9:B9"/>
    <mergeCell ref="A27:B27"/>
    <mergeCell ref="A34:B34"/>
    <mergeCell ref="A41:B41"/>
    <mergeCell ref="AJ6:AP6"/>
    <mergeCell ref="AQ6:BB6"/>
    <mergeCell ref="BE19:BE22"/>
    <mergeCell ref="BE23:BE26"/>
    <mergeCell ref="BE28:BE33"/>
    <mergeCell ref="BE35:BE40"/>
    <mergeCell ref="A56:B56"/>
    <mergeCell ref="Q6:U6"/>
    <mergeCell ref="W6:Y6"/>
    <mergeCell ref="Z6:AB6"/>
    <mergeCell ref="AD6:AI6"/>
    <mergeCell ref="D1:K1"/>
    <mergeCell ref="D2:L2"/>
    <mergeCell ref="D4:K4"/>
    <mergeCell ref="D5:K5"/>
    <mergeCell ref="A6:B7"/>
    <mergeCell ref="D6:E6"/>
    <mergeCell ref="G6:K6"/>
    <mergeCell ref="L6:P6"/>
    <mergeCell ref="BE120:BE124"/>
    <mergeCell ref="BE131:BE135"/>
    <mergeCell ref="BE57:BE62"/>
    <mergeCell ref="BE70:BE80"/>
    <mergeCell ref="BE42:BE55"/>
    <mergeCell ref="BE101:BE102"/>
    <mergeCell ref="BE116:BE119"/>
  </mergeCells>
  <conditionalFormatting sqref="AR323 AR350 AR1031 BD487:BD489 BD509:BD511 BD498:BD500 BD520:BD522 BD531:BD533 BD553:BD555 BD542:BD544 BD464:BD471 BD448:BD462 BD474:BD478 AR68 AR77:AR80 AR245:AR250 AR447 AR27 AR82:AR85 AR177:AR196 AR210 AR212:AR213 AR215:AR221 AR264:AR265 AR1045:AR1048576 AP1035:AP1040 AP1042:AP1044 AR1:AR7 AR104:AR108">
    <cfRule type="cellIs" dxfId="1863" priority="1963" operator="equal">
      <formula>"Not Assigned"</formula>
    </cfRule>
  </conditionalFormatting>
  <conditionalFormatting sqref="AP28:AP32 AD176:AF176 AD28:AF32 AD35:AF40 AD68:AF68 AD77:AF80 AE82:AF85 AJ152:AP162 AD103:AF103 AD136:AF136 AD209:AF210 AE192:AF196 AH29:AI32 AH36:AI40 AH103:AI103 AH82:AI82 AH77:AI80 AI68 AH176:AI176 AH244:AI244 AF152:AF161 AD151:AF151 AG151:AG162 AD199:AI199 AD212:AF213 AD215:AF226 AF137:AF142 AD231:AF240 AD244:AF250 AD253 AD256:AD263 AI28 AI35 AI83:AI85 AH83:AH96 AH136:AI138 AI139:AI142 AH139:AH150 AH151:AI153 AI154:AI161 AH154:AH163 AH209:AP210 AH212:AP213 AH215:AP226 AH228:AP229 AH231:AH240 AH245:AH263 AH101:AH102 AJ104:AP108 AD104:AI110 AD138:AD142 AD228:AF229 AI177:AP196 AK197:AK198">
    <cfRule type="cellIs" dxfId="1862" priority="1962" operator="equal">
      <formula>"INVALID"</formula>
    </cfRule>
  </conditionalFormatting>
  <conditionalFormatting sqref="BD479:BD486 BD564:BD568 BD490:BD497 BD501:BD508 BD512:BD519">
    <cfRule type="cellIs" dxfId="1861" priority="1961" operator="equal">
      <formula>"Not Assigned"</formula>
    </cfRule>
  </conditionalFormatting>
  <conditionalFormatting sqref="BD1032:BD1033">
    <cfRule type="cellIs" dxfId="1860" priority="1958" operator="equal">
      <formula>"Not Assigned"</formula>
    </cfRule>
  </conditionalFormatting>
  <conditionalFormatting sqref="AR28:AR32 AR35:AR40">
    <cfRule type="cellIs" dxfId="1859" priority="1956" operator="equal">
      <formula>"Not Assigned"</formula>
    </cfRule>
  </conditionalFormatting>
  <conditionalFormatting sqref="BD523:BD530 BD534:BD541 BD545:BD552 BD556:BD563">
    <cfRule type="cellIs" dxfId="1858" priority="1955" operator="equal">
      <formula>"Not Assigned"</formula>
    </cfRule>
  </conditionalFormatting>
  <conditionalFormatting sqref="BD463">
    <cfRule type="cellIs" dxfId="1857" priority="1954" operator="equal">
      <formula>"Not Assigned"</formula>
    </cfRule>
  </conditionalFormatting>
  <conditionalFormatting sqref="BD573:BD574">
    <cfRule type="cellIs" dxfId="1856" priority="1953" operator="equal">
      <formula>"Not Assigned"</formula>
    </cfRule>
  </conditionalFormatting>
  <conditionalFormatting sqref="BD571:BD572">
    <cfRule type="cellIs" dxfId="1855" priority="1952" operator="equal">
      <formula>"Not Assigned"</formula>
    </cfRule>
  </conditionalFormatting>
  <conditionalFormatting sqref="BD569:BD570">
    <cfRule type="cellIs" dxfId="1854" priority="1951" operator="equal">
      <formula>"Not Assigned"</formula>
    </cfRule>
  </conditionalFormatting>
  <conditionalFormatting sqref="BD577">
    <cfRule type="cellIs" dxfId="1853" priority="1950" operator="equal">
      <formula>"Not Assigned"</formula>
    </cfRule>
  </conditionalFormatting>
  <conditionalFormatting sqref="BD575:BD576">
    <cfRule type="cellIs" dxfId="1852" priority="1949" operator="equal">
      <formula>"Not Assigned"</formula>
    </cfRule>
  </conditionalFormatting>
  <conditionalFormatting sqref="AR314">
    <cfRule type="cellIs" dxfId="1851" priority="1945" operator="equal">
      <formula>"Not Assigned"</formula>
    </cfRule>
  </conditionalFormatting>
  <conditionalFormatting sqref="AR359">
    <cfRule type="cellIs" dxfId="1850" priority="1943" operator="equal">
      <formula>"Not Assigned"</formula>
    </cfRule>
  </conditionalFormatting>
  <conditionalFormatting sqref="AS137:AS142 AS245:AS250 AS153:AS161 AS231:AS240 AS114:AS122 AS23 AS82:AS85 AS209:AS210 AS128:AS135 AS149:AS150 AS163 AS177:AS198 AS212:AS213 AS215:AS226 AS228:AS229 AS242:AS243 AS28:AS33 AS35:AS40 AS50:AS55 AS68 AS77:AS80 AS104:AS108">
    <cfRule type="expression" dxfId="1849" priority="1931">
      <formula>EXACT(AF23, "INVALID")</formula>
    </cfRule>
  </conditionalFormatting>
  <conditionalFormatting sqref="AS152">
    <cfRule type="expression" dxfId="1848" priority="1930">
      <formula>EXACT(AF152, "INVALID")</formula>
    </cfRule>
  </conditionalFormatting>
  <conditionalFormatting sqref="AZ137:AZ142 AZ245:AZ250 AZ153:AZ161 AZ231:AZ240 AZ114:AZ122 AZ23 AZ82:AZ85 AZ210 AZ128:AZ135 AZ149:AZ150 AZ163 AZ212:AZ213 AZ215:AZ221 AZ228:AZ229 AZ242:AZ243 AZ28:AZ33 AZ35:AZ40 AZ50:AZ55 AZ77:AZ80 AZ67:AZ68 AZ259:AZ263 AZ177:AZ198 AZ104:AZ107">
    <cfRule type="expression" dxfId="1847" priority="1929">
      <formula>AND(NOT(ISBLANK(AZ23)), EXACT(AF23, "INVALID"))</formula>
    </cfRule>
  </conditionalFormatting>
  <conditionalFormatting sqref="BA137:BA142 BA245:BA250 BA153:BA161 BA231:BA240 BA114:BA122 BA23 BA82:BA85 BA210 BA128:BA135 BA149:BA150 BA163 BA177:BA198 BA212:BA213 BA215:BA221 BA228:BA229 BA242:BA243 BA28:BA33 BA35:BA40 BA50:BA55 BA77:BA80 BA67:BA68 BA259:BA263 BA104:BA107">
    <cfRule type="expression" dxfId="1846" priority="1928">
      <formula>AND(NOT(ISBLANK(BA23)), EXACT(AF23, "INVALID"))</formula>
    </cfRule>
  </conditionalFormatting>
  <conditionalFormatting sqref="AZ152">
    <cfRule type="expression" dxfId="1845" priority="1927">
      <formula>AND(NOT(ISBLANK(AZ152)), EXACT(AF152, "INVALID"))</formula>
    </cfRule>
  </conditionalFormatting>
  <conditionalFormatting sqref="BA152">
    <cfRule type="expression" dxfId="1844" priority="1926">
      <formula>AND(NOT(ISBLANK(BA152)), EXACT(AF152, "INVALID"))</formula>
    </cfRule>
  </conditionalFormatting>
  <conditionalFormatting sqref="AZ222:AZ226">
    <cfRule type="expression" dxfId="1843" priority="1925">
      <formula>AND(NOT(ISBLANK(AZ222)), EXACT(AF222, "INVALID"))</formula>
    </cfRule>
  </conditionalFormatting>
  <conditionalFormatting sqref="BA222:BA226">
    <cfRule type="expression" dxfId="1842" priority="1924">
      <formula>AND(NOT(ISBLANK(BA222)), EXACT(AF222, "INVALID"))</formula>
    </cfRule>
  </conditionalFormatting>
  <conditionalFormatting sqref="AR231:AR240 AR137:AR142 AR112:AR124 AR23 AR82:AR85 AR245:AR250 AR210 AR126:AR135 AR149:AR150 AR152:AR163 AR177:AR198 AR212:AR213 AR215:AR226 AR228:AR229 AR242:AR243 AR28:AR33 AR35:AR40 AR50:AR55 AR77:AR80 AR165:AR175 AR67:AR68 AR259:AR263 AR104:AR108">
    <cfRule type="expression" dxfId="1841" priority="1923">
      <formula>NOT($AL23)</formula>
    </cfRule>
  </conditionalFormatting>
  <conditionalFormatting sqref="AR137:AR142">
    <cfRule type="cellIs" dxfId="1840" priority="1922" operator="equal">
      <formula>"Not Assigned"</formula>
    </cfRule>
  </conditionalFormatting>
  <conditionalFormatting sqref="AR152:AR161">
    <cfRule type="cellIs" dxfId="1839" priority="1921" operator="equal">
      <formula>"Not Assigned"</formula>
    </cfRule>
  </conditionalFormatting>
  <conditionalFormatting sqref="AR222:AR226 AR231:AR240 AR228:AR229">
    <cfRule type="cellIs" dxfId="1838" priority="1920" operator="equal">
      <formula>"Not Assigned"</formula>
    </cfRule>
  </conditionalFormatting>
  <conditionalFormatting sqref="BD472:BD473">
    <cfRule type="cellIs" dxfId="1837" priority="1919" operator="equal">
      <formula>"Not Assigned"</formula>
    </cfRule>
  </conditionalFormatting>
  <conditionalFormatting sqref="AF162 AI162">
    <cfRule type="cellIs" dxfId="1836" priority="1918" operator="equal">
      <formula>"INVALID"</formula>
    </cfRule>
  </conditionalFormatting>
  <conditionalFormatting sqref="AQ114:AQ122 AQ231:AQ240 AQ298:AQ301 AQ384:AQ387 AQ265:AQ271 AQ137:AQ142 AQ112 AQ23 AQ274:AQ283 AQ286:AQ295 AQ210 AQ128:AQ135 AQ149:AQ150 AQ152:AQ163 AQ177:AQ198 AQ212:AQ213 AQ215:AQ226 AQ228:AQ229 AQ242:AQ243 AQ28:AQ33 AQ35:AQ40 AQ50:AQ55 AQ77:AQ80 AQ359:AQ379 AQ165:AQ175 AQ442:AQ736 AQ739:AQ1028 AQ1031:AQ1033 AQ1045:AQ1542 AQ314:AQ356 AQ67:AQ68 AQ412:AQ432 AQ104:AQ108">
    <cfRule type="expression" dxfId="1835" priority="1957" stopIfTrue="1">
      <formula>REPLACE($AQ23,8,LEN($AQ23),"")="unused_"</formula>
    </cfRule>
  </conditionalFormatting>
  <conditionalFormatting sqref="AF114:AF122 AI112:AI124 AD111:AF111 AH111:AI111 AD112:AD125 AF112 AH112:AH135">
    <cfRule type="cellIs" dxfId="1834" priority="1916" operator="equal">
      <formula>"INVALID"</formula>
    </cfRule>
  </conditionalFormatting>
  <conditionalFormatting sqref="AS112">
    <cfRule type="expression" dxfId="1833" priority="1915">
      <formula>EXACT(AF112, "INVALID")</formula>
    </cfRule>
  </conditionalFormatting>
  <conditionalFormatting sqref="AZ112">
    <cfRule type="expression" dxfId="1832" priority="1914">
      <formula>AND(NOT(ISBLANK(AZ112)), EXACT(AF112, "INVALID"))</formula>
    </cfRule>
  </conditionalFormatting>
  <conditionalFormatting sqref="BA112">
    <cfRule type="expression" dxfId="1831" priority="1913">
      <formula>AND(NOT(ISBLANK(BA112)), EXACT(AF112, "INVALID"))</formula>
    </cfRule>
  </conditionalFormatting>
  <conditionalFormatting sqref="AR112 AR114:AR122">
    <cfRule type="cellIs" dxfId="1830" priority="1912" operator="equal">
      <formula>"Not Assigned"</formula>
    </cfRule>
  </conditionalFormatting>
  <conditionalFormatting sqref="AQ113 AQ380:AQ383 AQ409:AQ411">
    <cfRule type="expression" dxfId="1829" priority="1910">
      <formula>RIGHT($AQ113, 1)="*"</formula>
    </cfRule>
    <cfRule type="expression" dxfId="1828" priority="1911" stopIfTrue="1">
      <formula>REPLACE($AQ113,8,LEN($AQ113),"")="unused_"</formula>
    </cfRule>
  </conditionalFormatting>
  <conditionalFormatting sqref="AF113 AI113">
    <cfRule type="cellIs" dxfId="1827" priority="1909" operator="equal">
      <formula>"INVALID"</formula>
    </cfRule>
  </conditionalFormatting>
  <conditionalFormatting sqref="AS113">
    <cfRule type="expression" dxfId="1826" priority="1908">
      <formula>EXACT(AF113, "INVALID")</formula>
    </cfRule>
  </conditionalFormatting>
  <conditionalFormatting sqref="AZ113">
    <cfRule type="expression" dxfId="1825" priority="1907">
      <formula>AND(NOT(ISBLANK(AZ113)), EXACT(AF113, "INVALID"))</formula>
    </cfRule>
  </conditionalFormatting>
  <conditionalFormatting sqref="BA113">
    <cfRule type="expression" dxfId="1824" priority="1906">
      <formula>AND(NOT(ISBLANK(BA113)), EXACT(AF113, "INVALID"))</formula>
    </cfRule>
  </conditionalFormatting>
  <conditionalFormatting sqref="AR113">
    <cfRule type="cellIs" dxfId="1823" priority="1905" operator="equal">
      <formula>"Not Assigned"</formula>
    </cfRule>
  </conditionalFormatting>
  <conditionalFormatting sqref="AQ123">
    <cfRule type="expression" dxfId="1822" priority="1903">
      <formula>RIGHT($AQ123, 1)="*"</formula>
    </cfRule>
    <cfRule type="expression" dxfId="1821" priority="1904" stopIfTrue="1">
      <formula>REPLACE($AQ123,8,LEN($AQ123),"")="unused_"</formula>
    </cfRule>
  </conditionalFormatting>
  <conditionalFormatting sqref="AF123 AI123">
    <cfRule type="cellIs" dxfId="1820" priority="1902" operator="equal">
      <formula>"INVALID"</formula>
    </cfRule>
  </conditionalFormatting>
  <conditionalFormatting sqref="AS123">
    <cfRule type="expression" dxfId="1819" priority="1901">
      <formula>EXACT(AF123, "INVALID")</formula>
    </cfRule>
  </conditionalFormatting>
  <conditionalFormatting sqref="AZ123">
    <cfRule type="expression" dxfId="1818" priority="1900">
      <formula>AND(NOT(ISBLANK(AZ123)), EXACT(AF123, "INVALID"))</formula>
    </cfRule>
  </conditionalFormatting>
  <conditionalFormatting sqref="BA123">
    <cfRule type="expression" dxfId="1817" priority="1899">
      <formula>AND(NOT(ISBLANK(BA123)), EXACT(AF123, "INVALID"))</formula>
    </cfRule>
  </conditionalFormatting>
  <conditionalFormatting sqref="AR123">
    <cfRule type="cellIs" dxfId="1816" priority="1898" operator="equal">
      <formula>"Not Assigned"</formula>
    </cfRule>
  </conditionalFormatting>
  <conditionalFormatting sqref="AQ124">
    <cfRule type="expression" dxfId="1815" priority="1896">
      <formula>RIGHT($AQ124, 1)="*"</formula>
    </cfRule>
    <cfRule type="expression" dxfId="1814" priority="1897" stopIfTrue="1">
      <formula>REPLACE($AQ124,8,LEN($AQ124),"")="unused_"</formula>
    </cfRule>
  </conditionalFormatting>
  <conditionalFormatting sqref="AF124 AI124">
    <cfRule type="cellIs" dxfId="1813" priority="1895" operator="equal">
      <formula>"INVALID"</formula>
    </cfRule>
  </conditionalFormatting>
  <conditionalFormatting sqref="AS124">
    <cfRule type="expression" dxfId="1812" priority="1894">
      <formula>EXACT(AF124, "INVALID")</formula>
    </cfRule>
  </conditionalFormatting>
  <conditionalFormatting sqref="AZ124">
    <cfRule type="expression" dxfId="1811" priority="1893">
      <formula>AND(NOT(ISBLANK(AZ124)), EXACT(AF124, "INVALID"))</formula>
    </cfRule>
  </conditionalFormatting>
  <conditionalFormatting sqref="BA124">
    <cfRule type="expression" dxfId="1810" priority="1892">
      <formula>AND(NOT(ISBLANK(BA124)), EXACT(AF124, "INVALID"))</formula>
    </cfRule>
  </conditionalFormatting>
  <conditionalFormatting sqref="AR124">
    <cfRule type="cellIs" dxfId="1809" priority="1891" operator="equal">
      <formula>"Not Assigned"</formula>
    </cfRule>
  </conditionalFormatting>
  <conditionalFormatting sqref="AF230 AH230:AI230">
    <cfRule type="cellIs" dxfId="1808" priority="1890" operator="equal">
      <formula>"INVALID"</formula>
    </cfRule>
  </conditionalFormatting>
  <conditionalFormatting sqref="AD242:AF242 AH242:AH243">
    <cfRule type="cellIs" dxfId="1807" priority="1889" operator="equal">
      <formula>"INVALID"</formula>
    </cfRule>
  </conditionalFormatting>
  <conditionalFormatting sqref="AR242">
    <cfRule type="cellIs" dxfId="1806" priority="1888" operator="equal">
      <formula>"Not Assigned"</formula>
    </cfRule>
  </conditionalFormatting>
  <conditionalFormatting sqref="AH241:AI241">
    <cfRule type="cellIs" dxfId="1805" priority="1887" operator="equal">
      <formula>"INVALID"</formula>
    </cfRule>
  </conditionalFormatting>
  <conditionalFormatting sqref="AQ296:AQ297">
    <cfRule type="expression" dxfId="1804" priority="1884">
      <formula>RIGHT($AQ296, 1)="*"</formula>
    </cfRule>
    <cfRule type="expression" dxfId="1803" priority="1885" stopIfTrue="1">
      <formula>REPLACE($AQ296,8,LEN($AQ296),"")="unused_"</formula>
    </cfRule>
  </conditionalFormatting>
  <conditionalFormatting sqref="AQ304:AQ307">
    <cfRule type="expression" dxfId="1802" priority="1881">
      <formula>RIGHT($AQ304, 1)="*"</formula>
    </cfRule>
    <cfRule type="expression" dxfId="1801" priority="1882" stopIfTrue="1">
      <formula>REPLACE($AQ304,8,LEN($AQ304),"")="unused_"</formula>
    </cfRule>
  </conditionalFormatting>
  <conditionalFormatting sqref="AQ302:AQ303">
    <cfRule type="expression" dxfId="1800" priority="1878">
      <formula>RIGHT($AQ302, 1)="*"</formula>
    </cfRule>
    <cfRule type="expression" dxfId="1799" priority="1879" stopIfTrue="1">
      <formula>REPLACE($AQ302,8,LEN($AQ302),"")="unused_"</formula>
    </cfRule>
  </conditionalFormatting>
  <conditionalFormatting sqref="AQ310:AQ313">
    <cfRule type="expression" dxfId="1798" priority="1875">
      <formula>RIGHT($AQ310, 1)="*"</formula>
    </cfRule>
    <cfRule type="expression" dxfId="1797" priority="1876" stopIfTrue="1">
      <formula>REPLACE($AQ310,8,LEN($AQ310),"")="unused_"</formula>
    </cfRule>
  </conditionalFormatting>
  <conditionalFormatting sqref="AQ308:AQ309">
    <cfRule type="expression" dxfId="1796" priority="1872">
      <formula>RIGHT($AQ308, 1)="*"</formula>
    </cfRule>
    <cfRule type="expression" dxfId="1795" priority="1873" stopIfTrue="1">
      <formula>REPLACE($AQ308,8,LEN($AQ308),"")="unused_"</formula>
    </cfRule>
  </conditionalFormatting>
  <conditionalFormatting sqref="BD584:BD588">
    <cfRule type="cellIs" dxfId="1794" priority="1869" operator="equal">
      <formula>"Not Assigned"</formula>
    </cfRule>
  </conditionalFormatting>
  <conditionalFormatting sqref="BD578:BD583">
    <cfRule type="cellIs" dxfId="1793" priority="1868" operator="equal">
      <formula>"Not Assigned"</formula>
    </cfRule>
  </conditionalFormatting>
  <conditionalFormatting sqref="BD589:BD591">
    <cfRule type="cellIs" dxfId="1792" priority="1867" operator="equal">
      <formula>"Not Assigned"</formula>
    </cfRule>
  </conditionalFormatting>
  <conditionalFormatting sqref="Q250">
    <cfRule type="cellIs" dxfId="1791" priority="1866" operator="equal">
      <formula>"INVALID"</formula>
    </cfRule>
  </conditionalFormatting>
  <conditionalFormatting sqref="R250">
    <cfRule type="cellIs" dxfId="1790" priority="1865" operator="equal">
      <formula>"INVALID"</formula>
    </cfRule>
  </conditionalFormatting>
  <conditionalFormatting sqref="S250">
    <cfRule type="cellIs" dxfId="1789" priority="1864" operator="equal">
      <formula>"INVALID"</formula>
    </cfRule>
  </conditionalFormatting>
  <conditionalFormatting sqref="T250">
    <cfRule type="cellIs" dxfId="1788" priority="1863" operator="equal">
      <formula>"INVALID"</formula>
    </cfRule>
  </conditionalFormatting>
  <conditionalFormatting sqref="U250:V250">
    <cfRule type="cellIs" dxfId="1787" priority="1862" operator="equal">
      <formula>"INVALID"</formula>
    </cfRule>
  </conditionalFormatting>
  <conditionalFormatting sqref="Q236:Q237">
    <cfRule type="cellIs" dxfId="1786" priority="1861" operator="equal">
      <formula>"INVALID"</formula>
    </cfRule>
  </conditionalFormatting>
  <conditionalFormatting sqref="R236:R237">
    <cfRule type="cellIs" dxfId="1785" priority="1860" operator="equal">
      <formula>"INVALID"</formula>
    </cfRule>
  </conditionalFormatting>
  <conditionalFormatting sqref="S236:S237">
    <cfRule type="cellIs" dxfId="1784" priority="1859" operator="equal">
      <formula>"INVALID"</formula>
    </cfRule>
  </conditionalFormatting>
  <conditionalFormatting sqref="T236:T237">
    <cfRule type="cellIs" dxfId="1783" priority="1858" operator="equal">
      <formula>"INVALID"</formula>
    </cfRule>
  </conditionalFormatting>
  <conditionalFormatting sqref="U236:V237">
    <cfRule type="cellIs" dxfId="1782" priority="1857" operator="equal">
      <formula>"INVALID"</formula>
    </cfRule>
  </conditionalFormatting>
  <conditionalFormatting sqref="Q238:Q239">
    <cfRule type="cellIs" dxfId="1781" priority="1856" operator="equal">
      <formula>"INVALID"</formula>
    </cfRule>
  </conditionalFormatting>
  <conditionalFormatting sqref="R238:R239">
    <cfRule type="cellIs" dxfId="1780" priority="1855" operator="equal">
      <formula>"INVALID"</formula>
    </cfRule>
  </conditionalFormatting>
  <conditionalFormatting sqref="S238:S239">
    <cfRule type="cellIs" dxfId="1779" priority="1854" operator="equal">
      <formula>"INVALID"</formula>
    </cfRule>
  </conditionalFormatting>
  <conditionalFormatting sqref="T238:T239">
    <cfRule type="cellIs" dxfId="1778" priority="1853" operator="equal">
      <formula>"INVALID"</formula>
    </cfRule>
  </conditionalFormatting>
  <conditionalFormatting sqref="U238:V239">
    <cfRule type="cellIs" dxfId="1777" priority="1852" operator="equal">
      <formula>"INVALID"</formula>
    </cfRule>
  </conditionalFormatting>
  <conditionalFormatting sqref="Q240">
    <cfRule type="cellIs" dxfId="1776" priority="1851" operator="equal">
      <formula>"INVALID"</formula>
    </cfRule>
  </conditionalFormatting>
  <conditionalFormatting sqref="R240">
    <cfRule type="cellIs" dxfId="1775" priority="1850" operator="equal">
      <formula>"INVALID"</formula>
    </cfRule>
  </conditionalFormatting>
  <conditionalFormatting sqref="S240">
    <cfRule type="cellIs" dxfId="1774" priority="1849" operator="equal">
      <formula>"INVALID"</formula>
    </cfRule>
  </conditionalFormatting>
  <conditionalFormatting sqref="T240">
    <cfRule type="cellIs" dxfId="1773" priority="1848" operator="equal">
      <formula>"INVALID"</formula>
    </cfRule>
  </conditionalFormatting>
  <conditionalFormatting sqref="U240:V240">
    <cfRule type="cellIs" dxfId="1772" priority="1847" operator="equal">
      <formula>"INVALID"</formula>
    </cfRule>
  </conditionalFormatting>
  <conditionalFormatting sqref="AR162">
    <cfRule type="cellIs" dxfId="1771" priority="1846" operator="equal">
      <formula>"Not Assigned"</formula>
    </cfRule>
  </conditionalFormatting>
  <conditionalFormatting sqref="AS162">
    <cfRule type="expression" dxfId="1770" priority="1845">
      <formula>EXACT(AF162, "INVALID")</formula>
    </cfRule>
  </conditionalFormatting>
  <conditionalFormatting sqref="AJ28:AJ32 AJ35:AJ40 AJ68 AJ77:AJ80 AJ231:AJ240 AJ242 AJ245:AJ250 AJ112:AJ124 AJ137:AJ142 AJ82:AJ85 AJ152:AO162 AJ209:AO210 AJ212:AO213 AJ215:AO226 AJ228:AO229 AJ104:AO108 AJ177:AO196 AK197:AK198">
    <cfRule type="cellIs" dxfId="1769" priority="1844" operator="equal">
      <formula>FALSE</formula>
    </cfRule>
  </conditionalFormatting>
  <conditionalFormatting sqref="AK28:AK32 AK35:AK40 AK68 AK77:AK80 AK231:AK240 AK242 AK245:AK250 AK137:AK142 AK112:AK124 AK82:AK85">
    <cfRule type="cellIs" dxfId="1768" priority="1843" operator="equal">
      <formula>FALSE</formula>
    </cfRule>
  </conditionalFormatting>
  <conditionalFormatting sqref="AL28:AL32 AL35:AL40 AL68 AL77:AL80 AL231:AL240 AL242 AL245:AL250 AL137:AL142 AL112:AL124 AL82:AL85">
    <cfRule type="cellIs" dxfId="1767" priority="1842" operator="equal">
      <formula>FALSE</formula>
    </cfRule>
  </conditionalFormatting>
  <conditionalFormatting sqref="AM28:AM32 AM35:AM40 AM68 AM77:AM80 AM231:AM240 AM242 AM245:AM250 AM137:AM142 AM112:AM124 AM82:AM85">
    <cfRule type="cellIs" dxfId="1766" priority="1841" operator="equal">
      <formula>FALSE</formula>
    </cfRule>
  </conditionalFormatting>
  <conditionalFormatting sqref="AN28:AN32 AN35:AN40 AN68 AN77:AN80 AN231:AN240 AN242 AN245:AN250 AN137:AN142 AN112:AN124 AN82:AN85">
    <cfRule type="cellIs" dxfId="1765" priority="1840" operator="equal">
      <formula>FALSE</formula>
    </cfRule>
  </conditionalFormatting>
  <conditionalFormatting sqref="AP35:AP40">
    <cfRule type="cellIs" dxfId="1764" priority="1839" operator="equal">
      <formula>"INVALID"</formula>
    </cfRule>
  </conditionalFormatting>
  <conditionalFormatting sqref="AJ35:AJ40">
    <cfRule type="cellIs" dxfId="1763" priority="1838" operator="equal">
      <formula>"INVALID"</formula>
    </cfRule>
  </conditionalFormatting>
  <conditionalFormatting sqref="AK35:AK40">
    <cfRule type="cellIs" dxfId="1762" priority="1837" operator="equal">
      <formula>"INVALID"</formula>
    </cfRule>
  </conditionalFormatting>
  <conditionalFormatting sqref="AL35:AM40">
    <cfRule type="cellIs" dxfId="1761" priority="1836" operator="equal">
      <formula>"INVALID"</formula>
    </cfRule>
  </conditionalFormatting>
  <conditionalFormatting sqref="AK35:AK40">
    <cfRule type="cellIs" dxfId="1760" priority="1835" operator="equal">
      <formula>"INVALID"</formula>
    </cfRule>
  </conditionalFormatting>
  <conditionalFormatting sqref="AL35:AL40">
    <cfRule type="cellIs" dxfId="1759" priority="1834" operator="equal">
      <formula>"INVALID"</formula>
    </cfRule>
  </conditionalFormatting>
  <conditionalFormatting sqref="AM35:AM40">
    <cfRule type="cellIs" dxfId="1758" priority="1833" operator="equal">
      <formula>"INVALID"</formula>
    </cfRule>
  </conditionalFormatting>
  <conditionalFormatting sqref="AN35:AN40">
    <cfRule type="cellIs" dxfId="1757" priority="1832" operator="equal">
      <formula>"INVALID"</formula>
    </cfRule>
  </conditionalFormatting>
  <conditionalFormatting sqref="AP68">
    <cfRule type="cellIs" dxfId="1756" priority="1831" operator="equal">
      <formula>"INVALID"</formula>
    </cfRule>
  </conditionalFormatting>
  <conditionalFormatting sqref="AJ68">
    <cfRule type="cellIs" dxfId="1755" priority="1830" operator="equal">
      <formula>"INVALID"</formula>
    </cfRule>
  </conditionalFormatting>
  <conditionalFormatting sqref="AK68">
    <cfRule type="cellIs" dxfId="1754" priority="1829" operator="equal">
      <formula>"INVALID"</formula>
    </cfRule>
  </conditionalFormatting>
  <conditionalFormatting sqref="AL68:AM68">
    <cfRule type="cellIs" dxfId="1753" priority="1828" operator="equal">
      <formula>"INVALID"</formula>
    </cfRule>
  </conditionalFormatting>
  <conditionalFormatting sqref="AK68">
    <cfRule type="cellIs" dxfId="1752" priority="1827" operator="equal">
      <formula>"INVALID"</formula>
    </cfRule>
  </conditionalFormatting>
  <conditionalFormatting sqref="AL68">
    <cfRule type="cellIs" dxfId="1751" priority="1826" operator="equal">
      <formula>"INVALID"</formula>
    </cfRule>
  </conditionalFormatting>
  <conditionalFormatting sqref="AM68">
    <cfRule type="cellIs" dxfId="1750" priority="1825" operator="equal">
      <formula>"INVALID"</formula>
    </cfRule>
  </conditionalFormatting>
  <conditionalFormatting sqref="AN68">
    <cfRule type="cellIs" dxfId="1749" priority="1824" operator="equal">
      <formula>"INVALID"</formula>
    </cfRule>
  </conditionalFormatting>
  <conditionalFormatting sqref="AP77:AP80 AP82:AP85">
    <cfRule type="cellIs" dxfId="1748" priority="1823" operator="equal">
      <formula>"INVALID"</formula>
    </cfRule>
  </conditionalFormatting>
  <conditionalFormatting sqref="AJ77:AJ80 AJ82:AJ85">
    <cfRule type="cellIs" dxfId="1747" priority="1822" operator="equal">
      <formula>"INVALID"</formula>
    </cfRule>
  </conditionalFormatting>
  <conditionalFormatting sqref="AK77:AK80 AK82:AK85">
    <cfRule type="cellIs" dxfId="1746" priority="1821" operator="equal">
      <formula>"INVALID"</formula>
    </cfRule>
  </conditionalFormatting>
  <conditionalFormatting sqref="AL77:AM80 AL82:AM85">
    <cfRule type="cellIs" dxfId="1745" priority="1820" operator="equal">
      <formula>"INVALID"</formula>
    </cfRule>
  </conditionalFormatting>
  <conditionalFormatting sqref="AK77:AK80 AK82:AK85">
    <cfRule type="cellIs" dxfId="1744" priority="1819" operator="equal">
      <formula>"INVALID"</formula>
    </cfRule>
  </conditionalFormatting>
  <conditionalFormatting sqref="AL77:AL80 AL82:AL85">
    <cfRule type="cellIs" dxfId="1743" priority="1818" operator="equal">
      <formula>"INVALID"</formula>
    </cfRule>
  </conditionalFormatting>
  <conditionalFormatting sqref="AM77:AM80 AM82:AM85">
    <cfRule type="cellIs" dxfId="1742" priority="1817" operator="equal">
      <formula>"INVALID"</formula>
    </cfRule>
  </conditionalFormatting>
  <conditionalFormatting sqref="AN77:AN80 AN82:AN85">
    <cfRule type="cellIs" dxfId="1741" priority="1816" operator="equal">
      <formula>"INVALID"</formula>
    </cfRule>
  </conditionalFormatting>
  <conditionalFormatting sqref="AP112:AP124">
    <cfRule type="cellIs" dxfId="1740" priority="1815" operator="equal">
      <formula>"INVALID"</formula>
    </cfRule>
  </conditionalFormatting>
  <conditionalFormatting sqref="AJ112:AJ124">
    <cfRule type="cellIs" dxfId="1739" priority="1814" operator="equal">
      <formula>"INVALID"</formula>
    </cfRule>
  </conditionalFormatting>
  <conditionalFormatting sqref="AK112:AK124">
    <cfRule type="cellIs" dxfId="1738" priority="1813" operator="equal">
      <formula>"INVALID"</formula>
    </cfRule>
  </conditionalFormatting>
  <conditionalFormatting sqref="AL112:AM124">
    <cfRule type="cellIs" dxfId="1737" priority="1812" operator="equal">
      <formula>"INVALID"</formula>
    </cfRule>
  </conditionalFormatting>
  <conditionalFormatting sqref="AK112:AK124">
    <cfRule type="cellIs" dxfId="1736" priority="1811" operator="equal">
      <formula>"INVALID"</formula>
    </cfRule>
  </conditionalFormatting>
  <conditionalFormatting sqref="AL112:AL124">
    <cfRule type="cellIs" dxfId="1735" priority="1810" operator="equal">
      <formula>"INVALID"</formula>
    </cfRule>
  </conditionalFormatting>
  <conditionalFormatting sqref="AM112:AM124">
    <cfRule type="cellIs" dxfId="1734" priority="1809" operator="equal">
      <formula>"INVALID"</formula>
    </cfRule>
  </conditionalFormatting>
  <conditionalFormatting sqref="AN112:AN124">
    <cfRule type="cellIs" dxfId="1733" priority="1808" operator="equal">
      <formula>"INVALID"</formula>
    </cfRule>
  </conditionalFormatting>
  <conditionalFormatting sqref="AP137:AP142">
    <cfRule type="cellIs" dxfId="1732" priority="1807" operator="equal">
      <formula>"INVALID"</formula>
    </cfRule>
  </conditionalFormatting>
  <conditionalFormatting sqref="AJ137:AJ142">
    <cfRule type="cellIs" dxfId="1731" priority="1806" operator="equal">
      <formula>"INVALID"</formula>
    </cfRule>
  </conditionalFormatting>
  <conditionalFormatting sqref="AK137:AK142">
    <cfRule type="cellIs" dxfId="1730" priority="1805" operator="equal">
      <formula>"INVALID"</formula>
    </cfRule>
  </conditionalFormatting>
  <conditionalFormatting sqref="AL137:AM142">
    <cfRule type="cellIs" dxfId="1729" priority="1804" operator="equal">
      <formula>"INVALID"</formula>
    </cfRule>
  </conditionalFormatting>
  <conditionalFormatting sqref="AK137:AK142">
    <cfRule type="cellIs" dxfId="1728" priority="1803" operator="equal">
      <formula>"INVALID"</formula>
    </cfRule>
  </conditionalFormatting>
  <conditionalFormatting sqref="AL137:AL142">
    <cfRule type="cellIs" dxfId="1727" priority="1802" operator="equal">
      <formula>"INVALID"</formula>
    </cfRule>
  </conditionalFormatting>
  <conditionalFormatting sqref="AM137:AM142">
    <cfRule type="cellIs" dxfId="1726" priority="1801" operator="equal">
      <formula>"INVALID"</formula>
    </cfRule>
  </conditionalFormatting>
  <conditionalFormatting sqref="AN137:AN142">
    <cfRule type="cellIs" dxfId="1725" priority="1800" operator="equal">
      <formula>"INVALID"</formula>
    </cfRule>
  </conditionalFormatting>
  <conditionalFormatting sqref="AP231:AP240">
    <cfRule type="cellIs" dxfId="1724" priority="1799" operator="equal">
      <formula>"INVALID"</formula>
    </cfRule>
  </conditionalFormatting>
  <conditionalFormatting sqref="AJ231:AJ240">
    <cfRule type="cellIs" dxfId="1723" priority="1798" operator="equal">
      <formula>"INVALID"</formula>
    </cfRule>
  </conditionalFormatting>
  <conditionalFormatting sqref="AK231:AK240">
    <cfRule type="cellIs" dxfId="1722" priority="1797" operator="equal">
      <formula>"INVALID"</formula>
    </cfRule>
  </conditionalFormatting>
  <conditionalFormatting sqref="AL231:AM240">
    <cfRule type="cellIs" dxfId="1721" priority="1796" operator="equal">
      <formula>"INVALID"</formula>
    </cfRule>
  </conditionalFormatting>
  <conditionalFormatting sqref="AK231:AK240">
    <cfRule type="cellIs" dxfId="1720" priority="1795" operator="equal">
      <formula>"INVALID"</formula>
    </cfRule>
  </conditionalFormatting>
  <conditionalFormatting sqref="AL231:AL240">
    <cfRule type="cellIs" dxfId="1719" priority="1794" operator="equal">
      <formula>"INVALID"</formula>
    </cfRule>
  </conditionalFormatting>
  <conditionalFormatting sqref="AM231:AM240">
    <cfRule type="cellIs" dxfId="1718" priority="1793" operator="equal">
      <formula>"INVALID"</formula>
    </cfRule>
  </conditionalFormatting>
  <conditionalFormatting sqref="AN231:AN240">
    <cfRule type="cellIs" dxfId="1717" priority="1792" operator="equal">
      <formula>"INVALID"</formula>
    </cfRule>
  </conditionalFormatting>
  <conditionalFormatting sqref="AP242">
    <cfRule type="cellIs" dxfId="1716" priority="1791" operator="equal">
      <formula>"INVALID"</formula>
    </cfRule>
  </conditionalFormatting>
  <conditionalFormatting sqref="AJ242">
    <cfRule type="cellIs" dxfId="1715" priority="1790" operator="equal">
      <formula>"INVALID"</formula>
    </cfRule>
  </conditionalFormatting>
  <conditionalFormatting sqref="AK242">
    <cfRule type="cellIs" dxfId="1714" priority="1789" operator="equal">
      <formula>"INVALID"</formula>
    </cfRule>
  </conditionalFormatting>
  <conditionalFormatting sqref="AL242:AM242">
    <cfRule type="cellIs" dxfId="1713" priority="1788" operator="equal">
      <formula>"INVALID"</formula>
    </cfRule>
  </conditionalFormatting>
  <conditionalFormatting sqref="AK242">
    <cfRule type="cellIs" dxfId="1712" priority="1787" operator="equal">
      <formula>"INVALID"</formula>
    </cfRule>
  </conditionalFormatting>
  <conditionalFormatting sqref="AL242">
    <cfRule type="cellIs" dxfId="1711" priority="1786" operator="equal">
      <formula>"INVALID"</formula>
    </cfRule>
  </conditionalFormatting>
  <conditionalFormatting sqref="AM242">
    <cfRule type="cellIs" dxfId="1710" priority="1785" operator="equal">
      <formula>"INVALID"</formula>
    </cfRule>
  </conditionalFormatting>
  <conditionalFormatting sqref="AN242">
    <cfRule type="cellIs" dxfId="1709" priority="1784" operator="equal">
      <formula>"INVALID"</formula>
    </cfRule>
  </conditionalFormatting>
  <conditionalFormatting sqref="AP245:AP250">
    <cfRule type="cellIs" dxfId="1708" priority="1783" operator="equal">
      <formula>"INVALID"</formula>
    </cfRule>
  </conditionalFormatting>
  <conditionalFormatting sqref="AJ245:AJ250">
    <cfRule type="cellIs" dxfId="1707" priority="1782" operator="equal">
      <formula>"INVALID"</formula>
    </cfRule>
  </conditionalFormatting>
  <conditionalFormatting sqref="AK245:AK250">
    <cfRule type="cellIs" dxfId="1706" priority="1781" operator="equal">
      <formula>"INVALID"</formula>
    </cfRule>
  </conditionalFormatting>
  <conditionalFormatting sqref="AL245:AM250">
    <cfRule type="cellIs" dxfId="1705" priority="1780" operator="equal">
      <formula>"INVALID"</formula>
    </cfRule>
  </conditionalFormatting>
  <conditionalFormatting sqref="AK245:AK250">
    <cfRule type="cellIs" dxfId="1704" priority="1779" operator="equal">
      <formula>"INVALID"</formula>
    </cfRule>
  </conditionalFormatting>
  <conditionalFormatting sqref="AL245:AL250">
    <cfRule type="cellIs" dxfId="1703" priority="1778" operator="equal">
      <formula>"INVALID"</formula>
    </cfRule>
  </conditionalFormatting>
  <conditionalFormatting sqref="AM245:AM250">
    <cfRule type="cellIs" dxfId="1702" priority="1777" operator="equal">
      <formula>"INVALID"</formula>
    </cfRule>
  </conditionalFormatting>
  <conditionalFormatting sqref="AN245:AN250">
    <cfRule type="cellIs" dxfId="1701" priority="1776" operator="equal">
      <formula>"INVALID"</formula>
    </cfRule>
  </conditionalFormatting>
  <conditionalFormatting sqref="AQ231:AQ240 AQ137:AQ142 AQ112:AQ124 AQ23 AQ210 AQ126:AQ135 AQ149:AQ150 AQ152:AQ163 AQ177:AQ198 AQ212:AQ213 AQ215:AQ226 AQ228:AQ229 AQ242:AQ243 AQ28:AQ33 AQ35:AQ40 AQ50:AQ55 AQ77:AQ80 AQ165:AQ175 AQ67:AQ68 AQ104:AQ108">
    <cfRule type="expression" dxfId="1700" priority="1775">
      <formula>NOT($AJ23)</formula>
    </cfRule>
    <cfRule type="expression" dxfId="1699" priority="1917">
      <formula>RIGHT($AQ23, 1)="*"</formula>
    </cfRule>
  </conditionalFormatting>
  <conditionalFormatting sqref="AZ231:BA240 AZ137:BA142 AZ112:BA124 AS23 AS82:AS85 AZ245:BA250 AZ210:BA210 AS10:AS21 AZ22:BA23 AS200:AS207 AZ26:BA26 AZ126:BA135 AS112:AS135 AZ149:BA150 AZ152:BA163 AS152:AS163 AS177:AS198 AS209:AS210 AS212:AS213 AZ212:BA213 AZ215:BA226 AS215:AS226 AS228:AS229 AZ228:BA229 AS231:AS240 AZ242:BA243 AS242:AS243 AZ28:BA33 AS28:AS33 AS35:AS40 AZ35:BA40 AZ50:BA55 AZ77:BA80 AS165:AS175 AZ165:BA175 AZ177:BA198 AS42:AS55 AS67:AS68 AZ57:BA68 AS70:AS80 AZ82:BA102 AZ259:BA263 AS245:AS263 AS104:AS110 AS137:AS150 AZ104:BA108">
    <cfRule type="expression" dxfId="1698" priority="1774">
      <formula>NOT($AN10)</formula>
    </cfRule>
  </conditionalFormatting>
  <conditionalFormatting sqref="AS231:AS240 AS137:AS142 AS112:AS124 AS23 AS82:AS85 AS245:AS250 AS209:AS210 AS126:AS135 AS149:AS150 AS152:AS163 AS177:AS198 AS212:AS213 AS215:AS226 AS228:AS229 AS242:AS243 AS28:AS33 AS35:AS40 AS50:AS55 AS77:AS80 AS165:AS175 AS67:AS68 AS259:AS263 AS104:AS108">
    <cfRule type="expression" dxfId="1697" priority="1773">
      <formula>NOT($AK23)</formula>
    </cfRule>
  </conditionalFormatting>
  <conditionalFormatting sqref="Q240">
    <cfRule type="cellIs" dxfId="1696" priority="1772" operator="equal">
      <formula>"INVALID"</formula>
    </cfRule>
  </conditionalFormatting>
  <conditionalFormatting sqref="R240">
    <cfRule type="cellIs" dxfId="1695" priority="1771" operator="equal">
      <formula>"INVALID"</formula>
    </cfRule>
  </conditionalFormatting>
  <conditionalFormatting sqref="S240">
    <cfRule type="cellIs" dxfId="1694" priority="1770" operator="equal">
      <formula>"INVALID"</formula>
    </cfRule>
  </conditionalFormatting>
  <conditionalFormatting sqref="T240">
    <cfRule type="cellIs" dxfId="1693" priority="1769" operator="equal">
      <formula>"INVALID"</formula>
    </cfRule>
  </conditionalFormatting>
  <conditionalFormatting sqref="U240:V240">
    <cfRule type="cellIs" dxfId="1692" priority="1768" operator="equal">
      <formula>"INVALID"</formula>
    </cfRule>
  </conditionalFormatting>
  <conditionalFormatting sqref="AD10:AF18 AH14:AI18 AI10:AI13">
    <cfRule type="cellIs" dxfId="1691" priority="1731" operator="equal">
      <formula>"INVALID"</formula>
    </cfRule>
  </conditionalFormatting>
  <conditionalFormatting sqref="AO28:AO32 AO35:AO40 AO68 AO77:AO80 AO231:AO240 AO242 AO245:AO250 AO137:AO142 AO112:AO124 AO82:AO85">
    <cfRule type="cellIs" dxfId="1690" priority="1767" operator="equal">
      <formula>FALSE</formula>
    </cfRule>
  </conditionalFormatting>
  <conditionalFormatting sqref="AO35:AO40">
    <cfRule type="cellIs" dxfId="1689" priority="1766" operator="equal">
      <formula>"INVALID"</formula>
    </cfRule>
  </conditionalFormatting>
  <conditionalFormatting sqref="AO35:AO40">
    <cfRule type="cellIs" dxfId="1688" priority="1765" operator="equal">
      <formula>"INVALID"</formula>
    </cfRule>
  </conditionalFormatting>
  <conditionalFormatting sqref="AO68">
    <cfRule type="cellIs" dxfId="1687" priority="1764" operator="equal">
      <formula>"INVALID"</formula>
    </cfRule>
  </conditionalFormatting>
  <conditionalFormatting sqref="AO68">
    <cfRule type="cellIs" dxfId="1686" priority="1763" operator="equal">
      <formula>"INVALID"</formula>
    </cfRule>
  </conditionalFormatting>
  <conditionalFormatting sqref="AO77:AO80 AO82:AO85">
    <cfRule type="cellIs" dxfId="1685" priority="1762" operator="equal">
      <formula>"INVALID"</formula>
    </cfRule>
  </conditionalFormatting>
  <conditionalFormatting sqref="AO77:AO80 AO82:AO85">
    <cfRule type="cellIs" dxfId="1684" priority="1761" operator="equal">
      <formula>"INVALID"</formula>
    </cfRule>
  </conditionalFormatting>
  <conditionalFormatting sqref="AO112:AO124">
    <cfRule type="cellIs" dxfId="1683" priority="1760" operator="equal">
      <formula>"INVALID"</formula>
    </cfRule>
  </conditionalFormatting>
  <conditionalFormatting sqref="AO112:AO124">
    <cfRule type="cellIs" dxfId="1682" priority="1759" operator="equal">
      <formula>"INVALID"</formula>
    </cfRule>
  </conditionalFormatting>
  <conditionalFormatting sqref="AO137:AO142">
    <cfRule type="cellIs" dxfId="1681" priority="1758" operator="equal">
      <formula>"INVALID"</formula>
    </cfRule>
  </conditionalFormatting>
  <conditionalFormatting sqref="AO137:AO142">
    <cfRule type="cellIs" dxfId="1680" priority="1757" operator="equal">
      <formula>"INVALID"</formula>
    </cfRule>
  </conditionalFormatting>
  <conditionalFormatting sqref="AO231:AO240">
    <cfRule type="cellIs" dxfId="1679" priority="1756" operator="equal">
      <formula>"INVALID"</formula>
    </cfRule>
  </conditionalFormatting>
  <conditionalFormatting sqref="AO231:AO240">
    <cfRule type="cellIs" dxfId="1678" priority="1755" operator="equal">
      <formula>"INVALID"</formula>
    </cfRule>
  </conditionalFormatting>
  <conditionalFormatting sqref="AO242">
    <cfRule type="cellIs" dxfId="1677" priority="1754" operator="equal">
      <formula>"INVALID"</formula>
    </cfRule>
  </conditionalFormatting>
  <conditionalFormatting sqref="AO242">
    <cfRule type="cellIs" dxfId="1676" priority="1753" operator="equal">
      <formula>"INVALID"</formula>
    </cfRule>
  </conditionalFormatting>
  <conditionalFormatting sqref="AO245:AO250">
    <cfRule type="cellIs" dxfId="1675" priority="1752" operator="equal">
      <formula>"INVALID"</formula>
    </cfRule>
  </conditionalFormatting>
  <conditionalFormatting sqref="AO245:AO250">
    <cfRule type="cellIs" dxfId="1674" priority="1751" operator="equal">
      <formula>"INVALID"</formula>
    </cfRule>
  </conditionalFormatting>
  <conditionalFormatting sqref="AD177:AF186 AH177:AH198">
    <cfRule type="cellIs" dxfId="1673" priority="1750" operator="equal">
      <formula>"INVALID"</formula>
    </cfRule>
  </conditionalFormatting>
  <conditionalFormatting sqref="AD187:AF187 AE188:AF191 AD188:AD198">
    <cfRule type="cellIs" dxfId="1672" priority="1749" operator="equal">
      <formula>"INVALID"</formula>
    </cfRule>
  </conditionalFormatting>
  <conditionalFormatting sqref="AH137 AH139 AH141 AH143 AH145 AH147 AH149">
    <cfRule type="cellIs" dxfId="1671" priority="1748" operator="equal">
      <formula>"INVALID"</formula>
    </cfRule>
  </conditionalFormatting>
  <conditionalFormatting sqref="AI112:AI124">
    <cfRule type="cellIs" dxfId="1670" priority="1747" operator="equal">
      <formula>"INVALID"</formula>
    </cfRule>
  </conditionalFormatting>
  <conditionalFormatting sqref="AI137:AI142">
    <cfRule type="cellIs" dxfId="1669" priority="1746" operator="equal">
      <formula>"INVALID"</formula>
    </cfRule>
  </conditionalFormatting>
  <conditionalFormatting sqref="AI137:AI142">
    <cfRule type="cellIs" dxfId="1668" priority="1745" operator="equal">
      <formula>"INVALID"</formula>
    </cfRule>
  </conditionalFormatting>
  <conditionalFormatting sqref="AI137:AI142">
    <cfRule type="cellIs" dxfId="1667" priority="1744" operator="equal">
      <formula>"INVALID"</formula>
    </cfRule>
  </conditionalFormatting>
  <conditionalFormatting sqref="AI231:AI240">
    <cfRule type="cellIs" dxfId="1666" priority="1743" operator="equal">
      <formula>"INVALID"</formula>
    </cfRule>
  </conditionalFormatting>
  <conditionalFormatting sqref="AI231:AI240">
    <cfRule type="cellIs" dxfId="1665" priority="1742" operator="equal">
      <formula>"INVALID"</formula>
    </cfRule>
  </conditionalFormatting>
  <conditionalFormatting sqref="AI231:AI240">
    <cfRule type="cellIs" dxfId="1664" priority="1741" operator="equal">
      <formula>"INVALID"</formula>
    </cfRule>
  </conditionalFormatting>
  <conditionalFormatting sqref="AI231:AI240">
    <cfRule type="cellIs" dxfId="1663" priority="1740" operator="equal">
      <formula>"INVALID"</formula>
    </cfRule>
  </conditionalFormatting>
  <conditionalFormatting sqref="AI242">
    <cfRule type="cellIs" dxfId="1662" priority="1739" operator="equal">
      <formula>"INVALID"</formula>
    </cfRule>
  </conditionalFormatting>
  <conditionalFormatting sqref="AI242">
    <cfRule type="cellIs" dxfId="1661" priority="1738" operator="equal">
      <formula>"INVALID"</formula>
    </cfRule>
  </conditionalFormatting>
  <conditionalFormatting sqref="AI242">
    <cfRule type="cellIs" dxfId="1660" priority="1737" operator="equal">
      <formula>"INVALID"</formula>
    </cfRule>
  </conditionalFormatting>
  <conditionalFormatting sqref="AI242">
    <cfRule type="cellIs" dxfId="1659" priority="1736" operator="equal">
      <formula>"INVALID"</formula>
    </cfRule>
  </conditionalFormatting>
  <conditionalFormatting sqref="AI245:AI250">
    <cfRule type="cellIs" dxfId="1658" priority="1735" operator="equal">
      <formula>"INVALID"</formula>
    </cfRule>
  </conditionalFormatting>
  <conditionalFormatting sqref="AI245:AI250">
    <cfRule type="cellIs" dxfId="1657" priority="1734" operator="equal">
      <formula>"INVALID"</formula>
    </cfRule>
  </conditionalFormatting>
  <conditionalFormatting sqref="AI245:AI250">
    <cfRule type="cellIs" dxfId="1656" priority="1733" operator="equal">
      <formula>"INVALID"</formula>
    </cfRule>
  </conditionalFormatting>
  <conditionalFormatting sqref="AI245:AI250">
    <cfRule type="cellIs" dxfId="1655" priority="1732" operator="equal">
      <formula>"INVALID"</formula>
    </cfRule>
  </conditionalFormatting>
  <conditionalFormatting sqref="AR10:AR18">
    <cfRule type="cellIs" dxfId="1654" priority="1729" operator="equal">
      <formula>"Not Assigned"</formula>
    </cfRule>
  </conditionalFormatting>
  <conditionalFormatting sqref="AS10:AS18">
    <cfRule type="expression" dxfId="1653" priority="1728">
      <formula>EXACT(AF10, "INVALID")</formula>
    </cfRule>
  </conditionalFormatting>
  <conditionalFormatting sqref="AZ10:AZ18">
    <cfRule type="expression" dxfId="1652" priority="1727">
      <formula>AND(NOT(ISBLANK(AZ10)), EXACT(AF10, "INVALID"))</formula>
    </cfRule>
  </conditionalFormatting>
  <conditionalFormatting sqref="BA10:BA18">
    <cfRule type="expression" dxfId="1651" priority="1726">
      <formula>AND(NOT(ISBLANK(BA10)), EXACT(AF10, "INVALID"))</formula>
    </cfRule>
  </conditionalFormatting>
  <conditionalFormatting sqref="AR10:AR18">
    <cfRule type="expression" dxfId="1650" priority="1725">
      <formula>NOT($AL10)</formula>
    </cfRule>
  </conditionalFormatting>
  <conditionalFormatting sqref="AQ10:AQ18">
    <cfRule type="expression" dxfId="1649" priority="1730" stopIfTrue="1">
      <formula>REPLACE($AQ10,8,LEN($AQ10),"")="unused_"</formula>
    </cfRule>
  </conditionalFormatting>
  <conditionalFormatting sqref="AJ10:AJ18">
    <cfRule type="cellIs" dxfId="1648" priority="1723" operator="equal">
      <formula>FALSE</formula>
    </cfRule>
  </conditionalFormatting>
  <conditionalFormatting sqref="AK10:AK18">
    <cfRule type="cellIs" dxfId="1647" priority="1722" operator="equal">
      <formula>FALSE</formula>
    </cfRule>
  </conditionalFormatting>
  <conditionalFormatting sqref="AL10:AL18">
    <cfRule type="cellIs" dxfId="1646" priority="1721" operator="equal">
      <formula>FALSE</formula>
    </cfRule>
  </conditionalFormatting>
  <conditionalFormatting sqref="AM10:AM18">
    <cfRule type="cellIs" dxfId="1645" priority="1720" operator="equal">
      <formula>FALSE</formula>
    </cfRule>
  </conditionalFormatting>
  <conditionalFormatting sqref="AN10:AN18">
    <cfRule type="cellIs" dxfId="1644" priority="1719" operator="equal">
      <formula>FALSE</formula>
    </cfRule>
  </conditionalFormatting>
  <conditionalFormatting sqref="AP10:AP18">
    <cfRule type="cellIs" dxfId="1643" priority="1718" operator="equal">
      <formula>"INVALID"</formula>
    </cfRule>
  </conditionalFormatting>
  <conditionalFormatting sqref="AJ10:AJ18">
    <cfRule type="cellIs" dxfId="1642" priority="1717" operator="equal">
      <formula>"INVALID"</formula>
    </cfRule>
  </conditionalFormatting>
  <conditionalFormatting sqref="AK10:AK18">
    <cfRule type="cellIs" dxfId="1641" priority="1716" operator="equal">
      <formula>"INVALID"</formula>
    </cfRule>
  </conditionalFormatting>
  <conditionalFormatting sqref="AL10:AM18">
    <cfRule type="cellIs" dxfId="1640" priority="1715" operator="equal">
      <formula>"INVALID"</formula>
    </cfRule>
  </conditionalFormatting>
  <conditionalFormatting sqref="AK10:AK18">
    <cfRule type="cellIs" dxfId="1639" priority="1714" operator="equal">
      <formula>"INVALID"</formula>
    </cfRule>
  </conditionalFormatting>
  <conditionalFormatting sqref="AL10:AL18">
    <cfRule type="cellIs" dxfId="1638" priority="1713" operator="equal">
      <formula>"INVALID"</formula>
    </cfRule>
  </conditionalFormatting>
  <conditionalFormatting sqref="AM10:AM18">
    <cfRule type="cellIs" dxfId="1637" priority="1712" operator="equal">
      <formula>"INVALID"</formula>
    </cfRule>
  </conditionalFormatting>
  <conditionalFormatting sqref="AN10:AN18">
    <cfRule type="cellIs" dxfId="1636" priority="1711" operator="equal">
      <formula>"INVALID"</formula>
    </cfRule>
  </conditionalFormatting>
  <conditionalFormatting sqref="AT175">
    <cfRule type="expression" dxfId="1635" priority="1645">
      <formula>NOT($AM175)</formula>
    </cfRule>
  </conditionalFormatting>
  <conditionalFormatting sqref="AQ10:AQ18">
    <cfRule type="expression" dxfId="1634" priority="1710">
      <formula>NOT($AJ10)</formula>
    </cfRule>
    <cfRule type="expression" dxfId="1633" priority="1724">
      <formula>RIGHT($AQ10, 1)="*"</formula>
    </cfRule>
  </conditionalFormatting>
  <conditionalFormatting sqref="AZ10:BA18">
    <cfRule type="expression" dxfId="1632" priority="1709">
      <formula>NOT($AN10)</formula>
    </cfRule>
  </conditionalFormatting>
  <conditionalFormatting sqref="AS10:AS18">
    <cfRule type="expression" dxfId="1631" priority="1708">
      <formula>NOT($AK10)</formula>
    </cfRule>
  </conditionalFormatting>
  <conditionalFormatting sqref="AO10:AO18">
    <cfRule type="cellIs" dxfId="1630" priority="1707" operator="equal">
      <formula>FALSE</formula>
    </cfRule>
  </conditionalFormatting>
  <conditionalFormatting sqref="AO10:AO18">
    <cfRule type="cellIs" dxfId="1629" priority="1706" operator="equal">
      <formula>"INVALID"</formula>
    </cfRule>
  </conditionalFormatting>
  <conditionalFormatting sqref="AO10:AO18">
    <cfRule type="cellIs" dxfId="1628" priority="1705" operator="equal">
      <formula>"INVALID"</formula>
    </cfRule>
  </conditionalFormatting>
  <conditionalFormatting sqref="AD19:AF21 AD23:AF23 AI23 AI19:AI21 AD24:AD25">
    <cfRule type="cellIs" dxfId="1627" priority="1704" operator="equal">
      <formula>"INVALID"</formula>
    </cfRule>
  </conditionalFormatting>
  <conditionalFormatting sqref="AR19:AR21 AR23">
    <cfRule type="cellIs" dxfId="1626" priority="1702" operator="equal">
      <formula>"Not Assigned"</formula>
    </cfRule>
  </conditionalFormatting>
  <conditionalFormatting sqref="AS19:AS21">
    <cfRule type="expression" dxfId="1625" priority="1701">
      <formula>EXACT(AF19, "INVALID")</formula>
    </cfRule>
  </conditionalFormatting>
  <conditionalFormatting sqref="AZ19:AZ21">
    <cfRule type="expression" dxfId="1624" priority="1700">
      <formula>AND(NOT(ISBLANK(AZ19)), EXACT(AF19, "INVALID"))</formula>
    </cfRule>
  </conditionalFormatting>
  <conditionalFormatting sqref="BA19:BA21">
    <cfRule type="expression" dxfId="1623" priority="1699">
      <formula>AND(NOT(ISBLANK(BA19)), EXACT(AF19, "INVALID"))</formula>
    </cfRule>
  </conditionalFormatting>
  <conditionalFormatting sqref="AR19:AR21">
    <cfRule type="expression" dxfId="1622" priority="1698">
      <formula>NOT($AL19)</formula>
    </cfRule>
  </conditionalFormatting>
  <conditionalFormatting sqref="AQ19:AQ21">
    <cfRule type="expression" dxfId="1621" priority="1703" stopIfTrue="1">
      <formula>REPLACE($AQ19,8,LEN($AQ19),"")="unused_"</formula>
    </cfRule>
  </conditionalFormatting>
  <conditionalFormatting sqref="AJ19:AJ21 AJ23">
    <cfRule type="cellIs" dxfId="1620" priority="1696" operator="equal">
      <formula>FALSE</formula>
    </cfRule>
  </conditionalFormatting>
  <conditionalFormatting sqref="AK19:AK21 AK23">
    <cfRule type="cellIs" dxfId="1619" priority="1695" operator="equal">
      <formula>FALSE</formula>
    </cfRule>
  </conditionalFormatting>
  <conditionalFormatting sqref="AL19:AL21 AL23">
    <cfRule type="cellIs" dxfId="1618" priority="1694" operator="equal">
      <formula>FALSE</formula>
    </cfRule>
  </conditionalFormatting>
  <conditionalFormatting sqref="AM19:AM21 AM23">
    <cfRule type="cellIs" dxfId="1617" priority="1693" operator="equal">
      <formula>FALSE</formula>
    </cfRule>
  </conditionalFormatting>
  <conditionalFormatting sqref="AN19:AN21 AN23">
    <cfRule type="cellIs" dxfId="1616" priority="1692" operator="equal">
      <formula>FALSE</formula>
    </cfRule>
  </conditionalFormatting>
  <conditionalFormatting sqref="AP19:AP21 AP23">
    <cfRule type="cellIs" dxfId="1615" priority="1691" operator="equal">
      <formula>"INVALID"</formula>
    </cfRule>
  </conditionalFormatting>
  <conditionalFormatting sqref="AJ19:AJ21 AJ23">
    <cfRule type="cellIs" dxfId="1614" priority="1690" operator="equal">
      <formula>"INVALID"</formula>
    </cfRule>
  </conditionalFormatting>
  <conditionalFormatting sqref="AK19:AK21 AK23">
    <cfRule type="cellIs" dxfId="1613" priority="1689" operator="equal">
      <formula>"INVALID"</formula>
    </cfRule>
  </conditionalFormatting>
  <conditionalFormatting sqref="AL19:AM21 AL23:AM23">
    <cfRule type="cellIs" dxfId="1612" priority="1688" operator="equal">
      <formula>"INVALID"</formula>
    </cfRule>
  </conditionalFormatting>
  <conditionalFormatting sqref="AK19:AK21 AK23">
    <cfRule type="cellIs" dxfId="1611" priority="1687" operator="equal">
      <formula>"INVALID"</formula>
    </cfRule>
  </conditionalFormatting>
  <conditionalFormatting sqref="AL19:AL21 AL23">
    <cfRule type="cellIs" dxfId="1610" priority="1686" operator="equal">
      <formula>"INVALID"</formula>
    </cfRule>
  </conditionalFormatting>
  <conditionalFormatting sqref="AM19:AM21 AM23">
    <cfRule type="cellIs" dxfId="1609" priority="1685" operator="equal">
      <formula>"INVALID"</formula>
    </cfRule>
  </conditionalFormatting>
  <conditionalFormatting sqref="AN19:AN21 AN23">
    <cfRule type="cellIs" dxfId="1608" priority="1684" operator="equal">
      <formula>"INVALID"</formula>
    </cfRule>
  </conditionalFormatting>
  <conditionalFormatting sqref="AQ19:AQ21">
    <cfRule type="expression" dxfId="1607" priority="1683">
      <formula>NOT($AJ19)</formula>
    </cfRule>
    <cfRule type="expression" dxfId="1606" priority="1697">
      <formula>RIGHT($AQ19, 1)="*"</formula>
    </cfRule>
  </conditionalFormatting>
  <conditionalFormatting sqref="AZ19:BA21">
    <cfRule type="expression" dxfId="1605" priority="1682">
      <formula>NOT($AN19)</formula>
    </cfRule>
  </conditionalFormatting>
  <conditionalFormatting sqref="AS19:AS21">
    <cfRule type="expression" dxfId="1604" priority="1681">
      <formula>NOT($AK19)</formula>
    </cfRule>
  </conditionalFormatting>
  <conditionalFormatting sqref="AO19:AO21 AO23">
    <cfRule type="cellIs" dxfId="1603" priority="1680" operator="equal">
      <formula>FALSE</formula>
    </cfRule>
  </conditionalFormatting>
  <conditionalFormatting sqref="AO19:AO21 AO23">
    <cfRule type="cellIs" dxfId="1602" priority="1679" operator="equal">
      <formula>"INVALID"</formula>
    </cfRule>
  </conditionalFormatting>
  <conditionalFormatting sqref="AO19:AO21 AO23">
    <cfRule type="cellIs" dxfId="1601" priority="1678" operator="equal">
      <formula>"INVALID"</formula>
    </cfRule>
  </conditionalFormatting>
  <conditionalFormatting sqref="AD22:AF22 AI22">
    <cfRule type="cellIs" dxfId="1600" priority="1677" operator="equal">
      <formula>"INVALID"</formula>
    </cfRule>
  </conditionalFormatting>
  <conditionalFormatting sqref="AR22">
    <cfRule type="cellIs" dxfId="1599" priority="1675" operator="equal">
      <formula>"Not Assigned"</formula>
    </cfRule>
  </conditionalFormatting>
  <conditionalFormatting sqref="AS22">
    <cfRule type="expression" dxfId="1598" priority="1674">
      <formula>EXACT(AF22, "INVALID")</formula>
    </cfRule>
  </conditionalFormatting>
  <conditionalFormatting sqref="AZ22">
    <cfRule type="expression" dxfId="1597" priority="1673">
      <formula>AND(NOT(ISBLANK(AZ22)), EXACT(AF22, "INVALID"))</formula>
    </cfRule>
  </conditionalFormatting>
  <conditionalFormatting sqref="BA22">
    <cfRule type="expression" dxfId="1596" priority="1672">
      <formula>AND(NOT(ISBLANK(BA22)), EXACT(AF22, "INVALID"))</formula>
    </cfRule>
  </conditionalFormatting>
  <conditionalFormatting sqref="AR22">
    <cfRule type="expression" dxfId="1595" priority="1671">
      <formula>NOT($AL22)</formula>
    </cfRule>
  </conditionalFormatting>
  <conditionalFormatting sqref="AQ22">
    <cfRule type="expression" dxfId="1594" priority="1676" stopIfTrue="1">
      <formula>REPLACE($AQ22,8,LEN($AQ22),"")="unused_"</formula>
    </cfRule>
  </conditionalFormatting>
  <conditionalFormatting sqref="AJ22">
    <cfRule type="cellIs" dxfId="1593" priority="1669" operator="equal">
      <formula>FALSE</formula>
    </cfRule>
  </conditionalFormatting>
  <conditionalFormatting sqref="AK22">
    <cfRule type="cellIs" dxfId="1592" priority="1668" operator="equal">
      <formula>FALSE</formula>
    </cfRule>
  </conditionalFormatting>
  <conditionalFormatting sqref="AL22">
    <cfRule type="cellIs" dxfId="1591" priority="1667" operator="equal">
      <formula>FALSE</formula>
    </cfRule>
  </conditionalFormatting>
  <conditionalFormatting sqref="AM22">
    <cfRule type="cellIs" dxfId="1590" priority="1666" operator="equal">
      <formula>FALSE</formula>
    </cfRule>
  </conditionalFormatting>
  <conditionalFormatting sqref="AN22">
    <cfRule type="cellIs" dxfId="1589" priority="1665" operator="equal">
      <formula>FALSE</formula>
    </cfRule>
  </conditionalFormatting>
  <conditionalFormatting sqref="AP22">
    <cfRule type="cellIs" dxfId="1588" priority="1664" operator="equal">
      <formula>"INVALID"</formula>
    </cfRule>
  </conditionalFormatting>
  <conditionalFormatting sqref="AJ22">
    <cfRule type="cellIs" dxfId="1587" priority="1663" operator="equal">
      <formula>"INVALID"</formula>
    </cfRule>
  </conditionalFormatting>
  <conditionalFormatting sqref="AK22">
    <cfRule type="cellIs" dxfId="1586" priority="1662" operator="equal">
      <formula>"INVALID"</formula>
    </cfRule>
  </conditionalFormatting>
  <conditionalFormatting sqref="AL22:AM22">
    <cfRule type="cellIs" dxfId="1585" priority="1661" operator="equal">
      <formula>"INVALID"</formula>
    </cfRule>
  </conditionalFormatting>
  <conditionalFormatting sqref="AK22">
    <cfRule type="cellIs" dxfId="1584" priority="1660" operator="equal">
      <formula>"INVALID"</formula>
    </cfRule>
  </conditionalFormatting>
  <conditionalFormatting sqref="AL22">
    <cfRule type="cellIs" dxfId="1583" priority="1659" operator="equal">
      <formula>"INVALID"</formula>
    </cfRule>
  </conditionalFormatting>
  <conditionalFormatting sqref="AM22">
    <cfRule type="cellIs" dxfId="1582" priority="1658" operator="equal">
      <formula>"INVALID"</formula>
    </cfRule>
  </conditionalFormatting>
  <conditionalFormatting sqref="AN22">
    <cfRule type="cellIs" dxfId="1581" priority="1657" operator="equal">
      <formula>"INVALID"</formula>
    </cfRule>
  </conditionalFormatting>
  <conditionalFormatting sqref="AQ22">
    <cfRule type="expression" dxfId="1580" priority="1656">
      <formula>NOT($AJ22)</formula>
    </cfRule>
    <cfRule type="expression" dxfId="1579" priority="1670">
      <formula>RIGHT($AQ22, 1)="*"</formula>
    </cfRule>
  </conditionalFormatting>
  <conditionalFormatting sqref="AS22">
    <cfRule type="expression" dxfId="1578" priority="1655">
      <formula>NOT($AN22)</formula>
    </cfRule>
  </conditionalFormatting>
  <conditionalFormatting sqref="AS22">
    <cfRule type="expression" dxfId="1577" priority="1654">
      <formula>NOT($AK22)</formula>
    </cfRule>
  </conditionalFormatting>
  <conditionalFormatting sqref="AO22">
    <cfRule type="cellIs" dxfId="1576" priority="1653" operator="equal">
      <formula>FALSE</formula>
    </cfRule>
  </conditionalFormatting>
  <conditionalFormatting sqref="AO22">
    <cfRule type="cellIs" dxfId="1575" priority="1652" operator="equal">
      <formula>"INVALID"</formula>
    </cfRule>
  </conditionalFormatting>
  <conditionalFormatting sqref="AO22">
    <cfRule type="cellIs" dxfId="1574" priority="1651" operator="equal">
      <formula>"INVALID"</formula>
    </cfRule>
  </conditionalFormatting>
  <conditionalFormatting sqref="AP33 AD33:AF33 AH33:AI33">
    <cfRule type="cellIs" dxfId="1573" priority="1650" operator="equal">
      <formula>"INVALID"</formula>
    </cfRule>
  </conditionalFormatting>
  <conditionalFormatting sqref="AR33">
    <cfRule type="cellIs" dxfId="1572" priority="1649" operator="equal">
      <formula>"Not Assigned"</formula>
    </cfRule>
  </conditionalFormatting>
  <conditionalFormatting sqref="AJ33">
    <cfRule type="cellIs" dxfId="1571" priority="1648" operator="equal">
      <formula>FALSE</formula>
    </cfRule>
  </conditionalFormatting>
  <conditionalFormatting sqref="AK33">
    <cfRule type="cellIs" dxfId="1570" priority="1647" operator="equal">
      <formula>FALSE</formula>
    </cfRule>
  </conditionalFormatting>
  <conditionalFormatting sqref="AL33">
    <cfRule type="cellIs" dxfId="1569" priority="1646" operator="equal">
      <formula>FALSE</formula>
    </cfRule>
  </conditionalFormatting>
  <conditionalFormatting sqref="AN33">
    <cfRule type="cellIs" dxfId="1568" priority="1644" operator="equal">
      <formula>FALSE</formula>
    </cfRule>
  </conditionalFormatting>
  <conditionalFormatting sqref="AO33">
    <cfRule type="cellIs" dxfId="1567" priority="1643" operator="equal">
      <formula>FALSE</formula>
    </cfRule>
  </conditionalFormatting>
  <conditionalFormatting sqref="AL125">
    <cfRule type="cellIs" dxfId="1566" priority="1630" operator="equal">
      <formula>FALSE</formula>
    </cfRule>
  </conditionalFormatting>
  <conditionalFormatting sqref="AM125">
    <cfRule type="cellIs" dxfId="1565" priority="1629" operator="equal">
      <formula>FALSE</formula>
    </cfRule>
  </conditionalFormatting>
  <conditionalFormatting sqref="AN125">
    <cfRule type="cellIs" dxfId="1564" priority="1628" operator="equal">
      <formula>FALSE</formula>
    </cfRule>
  </conditionalFormatting>
  <conditionalFormatting sqref="AK125">
    <cfRule type="cellIs" dxfId="1563" priority="1625" operator="equal">
      <formula>"INVALID"</formula>
    </cfRule>
  </conditionalFormatting>
  <conditionalFormatting sqref="AL125:AM125">
    <cfRule type="cellIs" dxfId="1562" priority="1624" operator="equal">
      <formula>"INVALID"</formula>
    </cfRule>
  </conditionalFormatting>
  <conditionalFormatting sqref="AK125">
    <cfRule type="cellIs" dxfId="1561" priority="1623" operator="equal">
      <formula>"INVALID"</formula>
    </cfRule>
  </conditionalFormatting>
  <conditionalFormatting sqref="AL125">
    <cfRule type="cellIs" dxfId="1560" priority="1622" operator="equal">
      <formula>"INVALID"</formula>
    </cfRule>
  </conditionalFormatting>
  <conditionalFormatting sqref="AM125">
    <cfRule type="cellIs" dxfId="1559" priority="1621" operator="equal">
      <formula>"INVALID"</formula>
    </cfRule>
  </conditionalFormatting>
  <conditionalFormatting sqref="AN125">
    <cfRule type="cellIs" dxfId="1558" priority="1620" operator="equal">
      <formula>"INVALID"</formula>
    </cfRule>
  </conditionalFormatting>
  <conditionalFormatting sqref="AI125">
    <cfRule type="cellIs" dxfId="1557" priority="1613" operator="equal">
      <formula>"INVALID"</formula>
    </cfRule>
  </conditionalFormatting>
  <conditionalFormatting sqref="AR125">
    <cfRule type="expression" dxfId="1556" priority="1642">
      <formula>NOT($AL125)</formula>
    </cfRule>
  </conditionalFormatting>
  <conditionalFormatting sqref="AI125">
    <cfRule type="cellIs" dxfId="1555" priority="1640" operator="equal">
      <formula>"INVALID"</formula>
    </cfRule>
  </conditionalFormatting>
  <conditionalFormatting sqref="AQ125">
    <cfRule type="expression" dxfId="1554" priority="1638">
      <formula>RIGHT($AQ125, 1)="*"</formula>
    </cfRule>
    <cfRule type="expression" dxfId="1553" priority="1639" stopIfTrue="1">
      <formula>REPLACE($AQ125,8,LEN($AQ125),"")="unused_"</formula>
    </cfRule>
  </conditionalFormatting>
  <conditionalFormatting sqref="AF125 AI125">
    <cfRule type="cellIs" dxfId="1552" priority="1637" operator="equal">
      <formula>"INVALID"</formula>
    </cfRule>
  </conditionalFormatting>
  <conditionalFormatting sqref="AS125">
    <cfRule type="expression" dxfId="1551" priority="1636">
      <formula>EXACT(AF125, "INVALID")</formula>
    </cfRule>
  </conditionalFormatting>
  <conditionalFormatting sqref="AZ125">
    <cfRule type="expression" dxfId="1550" priority="1635">
      <formula>AND(NOT(ISBLANK(AZ125)), EXACT(AF125, "INVALID"))</formula>
    </cfRule>
  </conditionalFormatting>
  <conditionalFormatting sqref="BA125">
    <cfRule type="expression" dxfId="1549" priority="1634">
      <formula>AND(NOT(ISBLANK(BA125)), EXACT(AF125, "INVALID"))</formula>
    </cfRule>
  </conditionalFormatting>
  <conditionalFormatting sqref="AR125">
    <cfRule type="cellIs" dxfId="1548" priority="1633" operator="equal">
      <formula>"Not Assigned"</formula>
    </cfRule>
  </conditionalFormatting>
  <conditionalFormatting sqref="AJ125">
    <cfRule type="cellIs" dxfId="1547" priority="1632" operator="equal">
      <formula>FALSE</formula>
    </cfRule>
  </conditionalFormatting>
  <conditionalFormatting sqref="AK125">
    <cfRule type="cellIs" dxfId="1546" priority="1631" operator="equal">
      <formula>FALSE</formula>
    </cfRule>
  </conditionalFormatting>
  <conditionalFormatting sqref="AP125">
    <cfRule type="cellIs" dxfId="1545" priority="1627" operator="equal">
      <formula>"INVALID"</formula>
    </cfRule>
  </conditionalFormatting>
  <conditionalFormatting sqref="AJ125">
    <cfRule type="cellIs" dxfId="1544" priority="1626" operator="equal">
      <formula>"INVALID"</formula>
    </cfRule>
  </conditionalFormatting>
  <conditionalFormatting sqref="AQ125">
    <cfRule type="expression" dxfId="1543" priority="1619">
      <formula>NOT($AJ125)</formula>
    </cfRule>
    <cfRule type="expression" dxfId="1542" priority="1641">
      <formula>RIGHT($AQ125, 1)="*"</formula>
    </cfRule>
  </conditionalFormatting>
  <conditionalFormatting sqref="AZ125:BA125">
    <cfRule type="expression" dxfId="1541" priority="1618">
      <formula>NOT($AN125)</formula>
    </cfRule>
  </conditionalFormatting>
  <conditionalFormatting sqref="AS125">
    <cfRule type="expression" dxfId="1540" priority="1617">
      <formula>NOT($AK125)</formula>
    </cfRule>
  </conditionalFormatting>
  <conditionalFormatting sqref="AO125">
    <cfRule type="cellIs" dxfId="1539" priority="1616" operator="equal">
      <formula>FALSE</formula>
    </cfRule>
  </conditionalFormatting>
  <conditionalFormatting sqref="AO125">
    <cfRule type="cellIs" dxfId="1538" priority="1615" operator="equal">
      <formula>"INVALID"</formula>
    </cfRule>
  </conditionalFormatting>
  <conditionalFormatting sqref="AO125">
    <cfRule type="cellIs" dxfId="1537" priority="1614" operator="equal">
      <formula>"INVALID"</formula>
    </cfRule>
  </conditionalFormatting>
  <conditionalFormatting sqref="AD200:AF207">
    <cfRule type="cellIs" dxfId="1536" priority="1612" operator="equal">
      <formula>"INVALID"</formula>
    </cfRule>
  </conditionalFormatting>
  <conditionalFormatting sqref="AS200:AS207">
    <cfRule type="expression" dxfId="1535" priority="1610">
      <formula>EXACT(AF200, "INVALID")</formula>
    </cfRule>
  </conditionalFormatting>
  <conditionalFormatting sqref="AZ200:AZ207">
    <cfRule type="expression" dxfId="1534" priority="1609">
      <formula>AND(NOT(ISBLANK(AZ200)), EXACT(AF200, "INVALID"))</formula>
    </cfRule>
  </conditionalFormatting>
  <conditionalFormatting sqref="BA200:BA207">
    <cfRule type="expression" dxfId="1533" priority="1608">
      <formula>AND(NOT(ISBLANK(BA200)), EXACT(AF200, "INVALID"))</formula>
    </cfRule>
  </conditionalFormatting>
  <conditionalFormatting sqref="AR200:AR207">
    <cfRule type="expression" dxfId="1532" priority="1607">
      <formula>NOT($AL200)</formula>
    </cfRule>
  </conditionalFormatting>
  <conditionalFormatting sqref="AR200:AR207">
    <cfRule type="cellIs" dxfId="1531" priority="1606" operator="equal">
      <formula>"Not Assigned"</formula>
    </cfRule>
  </conditionalFormatting>
  <conditionalFormatting sqref="AQ200:AQ207">
    <cfRule type="expression" dxfId="1530" priority="1611" stopIfTrue="1">
      <formula>REPLACE($AQ200,8,LEN($AQ200),"")="unused_"</formula>
    </cfRule>
  </conditionalFormatting>
  <conditionalFormatting sqref="AJ200:AJ207">
    <cfRule type="cellIs" dxfId="1529" priority="1604" operator="equal">
      <formula>FALSE</formula>
    </cfRule>
  </conditionalFormatting>
  <conditionalFormatting sqref="AK200:AK207">
    <cfRule type="cellIs" dxfId="1528" priority="1603" operator="equal">
      <formula>FALSE</formula>
    </cfRule>
  </conditionalFormatting>
  <conditionalFormatting sqref="AL200:AL207">
    <cfRule type="cellIs" dxfId="1527" priority="1602" operator="equal">
      <formula>FALSE</formula>
    </cfRule>
  </conditionalFormatting>
  <conditionalFormatting sqref="AM200:AM207">
    <cfRule type="cellIs" dxfId="1526" priority="1601" operator="equal">
      <formula>FALSE</formula>
    </cfRule>
  </conditionalFormatting>
  <conditionalFormatting sqref="AN200:AN207">
    <cfRule type="cellIs" dxfId="1525" priority="1600" operator="equal">
      <formula>FALSE</formula>
    </cfRule>
  </conditionalFormatting>
  <conditionalFormatting sqref="AP200:AP207">
    <cfRule type="cellIs" dxfId="1524" priority="1599" operator="equal">
      <formula>"INVALID"</formula>
    </cfRule>
  </conditionalFormatting>
  <conditionalFormatting sqref="AJ200:AJ207">
    <cfRule type="cellIs" dxfId="1523" priority="1598" operator="equal">
      <formula>"INVALID"</formula>
    </cfRule>
  </conditionalFormatting>
  <conditionalFormatting sqref="AK200:AK207">
    <cfRule type="cellIs" dxfId="1522" priority="1597" operator="equal">
      <formula>"INVALID"</formula>
    </cfRule>
  </conditionalFormatting>
  <conditionalFormatting sqref="AL200:AM207">
    <cfRule type="cellIs" dxfId="1521" priority="1596" operator="equal">
      <formula>"INVALID"</formula>
    </cfRule>
  </conditionalFormatting>
  <conditionalFormatting sqref="AK200:AK207">
    <cfRule type="cellIs" dxfId="1520" priority="1595" operator="equal">
      <formula>"INVALID"</formula>
    </cfRule>
  </conditionalFormatting>
  <conditionalFormatting sqref="AL200:AL207">
    <cfRule type="cellIs" dxfId="1519" priority="1594" operator="equal">
      <formula>"INVALID"</formula>
    </cfRule>
  </conditionalFormatting>
  <conditionalFormatting sqref="AM200:AM207">
    <cfRule type="cellIs" dxfId="1518" priority="1593" operator="equal">
      <formula>"INVALID"</formula>
    </cfRule>
  </conditionalFormatting>
  <conditionalFormatting sqref="AN200:AN207">
    <cfRule type="cellIs" dxfId="1517" priority="1592" operator="equal">
      <formula>"INVALID"</formula>
    </cfRule>
  </conditionalFormatting>
  <conditionalFormatting sqref="AQ200:AQ207">
    <cfRule type="expression" dxfId="1516" priority="1591">
      <formula>NOT($AJ200)</formula>
    </cfRule>
    <cfRule type="expression" dxfId="1515" priority="1605">
      <formula>RIGHT($AQ200, 1)="*"</formula>
    </cfRule>
  </conditionalFormatting>
  <conditionalFormatting sqref="AZ200:BA207">
    <cfRule type="expression" dxfId="1514" priority="1590">
      <formula>NOT($AN200)</formula>
    </cfRule>
  </conditionalFormatting>
  <conditionalFormatting sqref="AS200:AS207">
    <cfRule type="expression" dxfId="1513" priority="1589">
      <formula>NOT($AK200)</formula>
    </cfRule>
  </conditionalFormatting>
  <conditionalFormatting sqref="AO200:AO207">
    <cfRule type="cellIs" dxfId="1512" priority="1588" operator="equal">
      <formula>FALSE</formula>
    </cfRule>
  </conditionalFormatting>
  <conditionalFormatting sqref="AO200:AO207">
    <cfRule type="cellIs" dxfId="1511" priority="1587" operator="equal">
      <formula>"INVALID"</formula>
    </cfRule>
  </conditionalFormatting>
  <conditionalFormatting sqref="AO200:AO207">
    <cfRule type="cellIs" dxfId="1510" priority="1586" operator="equal">
      <formula>"INVALID"</formula>
    </cfRule>
  </conditionalFormatting>
  <conditionalFormatting sqref="AI200:AI207">
    <cfRule type="cellIs" dxfId="1509" priority="1585" operator="equal">
      <formula>"INVALID"</formula>
    </cfRule>
  </conditionalFormatting>
  <conditionalFormatting sqref="AI200:AI207">
    <cfRule type="cellIs" dxfId="1508" priority="1584" operator="equal">
      <formula>"INVALID"</formula>
    </cfRule>
  </conditionalFormatting>
  <conditionalFormatting sqref="AI200:AI207">
    <cfRule type="cellIs" dxfId="1507" priority="1583" operator="equal">
      <formula>"INVALID"</formula>
    </cfRule>
  </conditionalFormatting>
  <conditionalFormatting sqref="AI200:AI207">
    <cfRule type="cellIs" dxfId="1506" priority="1582" operator="equal">
      <formula>"INVALID"</formula>
    </cfRule>
  </conditionalFormatting>
  <conditionalFormatting sqref="AD243:AF243">
    <cfRule type="cellIs" dxfId="1505" priority="1581" operator="equal">
      <formula>"INVALID"</formula>
    </cfRule>
  </conditionalFormatting>
  <conditionalFormatting sqref="AR243">
    <cfRule type="cellIs" dxfId="1504" priority="1580" operator="equal">
      <formula>"Not Assigned"</formula>
    </cfRule>
  </conditionalFormatting>
  <conditionalFormatting sqref="AJ243">
    <cfRule type="cellIs" dxfId="1503" priority="1579" operator="equal">
      <formula>FALSE</formula>
    </cfRule>
  </conditionalFormatting>
  <conditionalFormatting sqref="AK243">
    <cfRule type="cellIs" dxfId="1502" priority="1578" operator="equal">
      <formula>FALSE</formula>
    </cfRule>
  </conditionalFormatting>
  <conditionalFormatting sqref="AL243">
    <cfRule type="cellIs" dxfId="1501" priority="1577" operator="equal">
      <formula>FALSE</formula>
    </cfRule>
  </conditionalFormatting>
  <conditionalFormatting sqref="AM243">
    <cfRule type="cellIs" dxfId="1500" priority="1576" operator="equal">
      <formula>FALSE</formula>
    </cfRule>
  </conditionalFormatting>
  <conditionalFormatting sqref="AN243">
    <cfRule type="cellIs" dxfId="1499" priority="1575" operator="equal">
      <formula>FALSE</formula>
    </cfRule>
  </conditionalFormatting>
  <conditionalFormatting sqref="AP243">
    <cfRule type="cellIs" dxfId="1498" priority="1574" operator="equal">
      <formula>"INVALID"</formula>
    </cfRule>
  </conditionalFormatting>
  <conditionalFormatting sqref="AJ243">
    <cfRule type="cellIs" dxfId="1497" priority="1573" operator="equal">
      <formula>"INVALID"</formula>
    </cfRule>
  </conditionalFormatting>
  <conditionalFormatting sqref="AK243">
    <cfRule type="cellIs" dxfId="1496" priority="1572" operator="equal">
      <formula>"INVALID"</formula>
    </cfRule>
  </conditionalFormatting>
  <conditionalFormatting sqref="AL243:AM243">
    <cfRule type="cellIs" dxfId="1495" priority="1571" operator="equal">
      <formula>"INVALID"</formula>
    </cfRule>
  </conditionalFormatting>
  <conditionalFormatting sqref="AK243">
    <cfRule type="cellIs" dxfId="1494" priority="1570" operator="equal">
      <formula>"INVALID"</formula>
    </cfRule>
  </conditionalFormatting>
  <conditionalFormatting sqref="AL243">
    <cfRule type="cellIs" dxfId="1493" priority="1569" operator="equal">
      <formula>"INVALID"</formula>
    </cfRule>
  </conditionalFormatting>
  <conditionalFormatting sqref="AM243">
    <cfRule type="cellIs" dxfId="1492" priority="1568" operator="equal">
      <formula>"INVALID"</formula>
    </cfRule>
  </conditionalFormatting>
  <conditionalFormatting sqref="AN243">
    <cfRule type="cellIs" dxfId="1491" priority="1567" operator="equal">
      <formula>"INVALID"</formula>
    </cfRule>
  </conditionalFormatting>
  <conditionalFormatting sqref="AO243">
    <cfRule type="cellIs" dxfId="1490" priority="1566" operator="equal">
      <formula>FALSE</formula>
    </cfRule>
  </conditionalFormatting>
  <conditionalFormatting sqref="AO243">
    <cfRule type="cellIs" dxfId="1489" priority="1565" operator="equal">
      <formula>"INVALID"</formula>
    </cfRule>
  </conditionalFormatting>
  <conditionalFormatting sqref="AO243">
    <cfRule type="cellIs" dxfId="1488" priority="1564" operator="equal">
      <formula>"INVALID"</formula>
    </cfRule>
  </conditionalFormatting>
  <conditionalFormatting sqref="AI243">
    <cfRule type="cellIs" dxfId="1487" priority="1563" operator="equal">
      <formula>"INVALID"</formula>
    </cfRule>
  </conditionalFormatting>
  <conditionalFormatting sqref="AI243">
    <cfRule type="cellIs" dxfId="1486" priority="1562" operator="equal">
      <formula>"INVALID"</formula>
    </cfRule>
  </conditionalFormatting>
  <conditionalFormatting sqref="AI243">
    <cfRule type="cellIs" dxfId="1485" priority="1561" operator="equal">
      <formula>"INVALID"</formula>
    </cfRule>
  </conditionalFormatting>
  <conditionalFormatting sqref="AI243">
    <cfRule type="cellIs" dxfId="1484" priority="1560" operator="equal">
      <formula>"INVALID"</formula>
    </cfRule>
  </conditionalFormatting>
  <conditionalFormatting sqref="AQ272:AQ273">
    <cfRule type="expression" dxfId="1483" priority="1558" stopIfTrue="1">
      <formula>REPLACE($AQ272,8,LEN($AQ272),"")="unused_"</formula>
    </cfRule>
  </conditionalFormatting>
  <conditionalFormatting sqref="AQ284:AQ285">
    <cfRule type="expression" dxfId="1482" priority="1557" stopIfTrue="1">
      <formula>REPLACE($AQ284,8,LEN($AQ284),"")="unused_"</formula>
    </cfRule>
  </conditionalFormatting>
  <conditionalFormatting sqref="AQ388">
    <cfRule type="expression" dxfId="1481" priority="1555" stopIfTrue="1">
      <formula>REPLACE($AQ388,8,LEN($AQ388),"")="unused_"</formula>
    </cfRule>
  </conditionalFormatting>
  <conditionalFormatting sqref="BD632:BD634 BD654:BD656 BD643:BD645 BD665:BD667 BD676:BD678 BD698:BD700 BD687:BD689 BD609:BD616 BD593:BD607 BD619:BD623 AR592">
    <cfRule type="cellIs" dxfId="1480" priority="1553" operator="equal">
      <formula>"Not Assigned"</formula>
    </cfRule>
  </conditionalFormatting>
  <conditionalFormatting sqref="BD624:BD631 BD709:BD713 BD635:BD642 BD646:BD653 BD657:BD664">
    <cfRule type="cellIs" dxfId="1479" priority="1552" operator="equal">
      <formula>"Not Assigned"</formula>
    </cfRule>
  </conditionalFormatting>
  <conditionalFormatting sqref="BD668:BD675 BD679:BD686 BD690:BD697 BD701:BD708">
    <cfRule type="cellIs" dxfId="1478" priority="1551" operator="equal">
      <formula>"Not Assigned"</formula>
    </cfRule>
  </conditionalFormatting>
  <conditionalFormatting sqref="BD608">
    <cfRule type="cellIs" dxfId="1477" priority="1550" operator="equal">
      <formula>"Not Assigned"</formula>
    </cfRule>
  </conditionalFormatting>
  <conditionalFormatting sqref="BD718:BD719">
    <cfRule type="cellIs" dxfId="1476" priority="1549" operator="equal">
      <formula>"Not Assigned"</formula>
    </cfRule>
  </conditionalFormatting>
  <conditionalFormatting sqref="BD716:BD717">
    <cfRule type="cellIs" dxfId="1475" priority="1548" operator="equal">
      <formula>"Not Assigned"</formula>
    </cfRule>
  </conditionalFormatting>
  <conditionalFormatting sqref="BD714:BD715">
    <cfRule type="cellIs" dxfId="1474" priority="1547" operator="equal">
      <formula>"Not Assigned"</formula>
    </cfRule>
  </conditionalFormatting>
  <conditionalFormatting sqref="BD722">
    <cfRule type="cellIs" dxfId="1473" priority="1546" operator="equal">
      <formula>"Not Assigned"</formula>
    </cfRule>
  </conditionalFormatting>
  <conditionalFormatting sqref="BD720:BD721">
    <cfRule type="cellIs" dxfId="1472" priority="1545" operator="equal">
      <formula>"Not Assigned"</formula>
    </cfRule>
  </conditionalFormatting>
  <conditionalFormatting sqref="BD617:BD618">
    <cfRule type="cellIs" dxfId="1471" priority="1544" operator="equal">
      <formula>"Not Assigned"</formula>
    </cfRule>
  </conditionalFormatting>
  <conditionalFormatting sqref="BD729:BD733">
    <cfRule type="cellIs" dxfId="1470" priority="1543" operator="equal">
      <formula>"Not Assigned"</formula>
    </cfRule>
  </conditionalFormatting>
  <conditionalFormatting sqref="BD723:BD728">
    <cfRule type="cellIs" dxfId="1469" priority="1542" operator="equal">
      <formula>"Not Assigned"</formula>
    </cfRule>
  </conditionalFormatting>
  <conditionalFormatting sqref="BD734:BD736">
    <cfRule type="cellIs" dxfId="1468" priority="1541" operator="equal">
      <formula>"Not Assigned"</formula>
    </cfRule>
  </conditionalFormatting>
  <conditionalFormatting sqref="AQ82:AQ85">
    <cfRule type="expression" dxfId="1467" priority="1540" stopIfTrue="1">
      <formula>REPLACE($AQ82,8,LEN($AQ82),"")="unused_"</formula>
    </cfRule>
  </conditionalFormatting>
  <conditionalFormatting sqref="AQ82:AQ85">
    <cfRule type="expression" dxfId="1466" priority="1538">
      <formula>NOT($AJ82)</formula>
    </cfRule>
    <cfRule type="expression" dxfId="1465" priority="1539">
      <formula>RIGHT($AQ82, 1)="*"</formula>
    </cfRule>
  </conditionalFormatting>
  <conditionalFormatting sqref="AQ245">
    <cfRule type="expression" dxfId="1464" priority="1537" stopIfTrue="1">
      <formula>REPLACE($AQ245,8,LEN($AQ245),"")="unused_"</formula>
    </cfRule>
  </conditionalFormatting>
  <conditionalFormatting sqref="AQ245">
    <cfRule type="expression" dxfId="1463" priority="1535">
      <formula>NOT($AJ245)</formula>
    </cfRule>
    <cfRule type="expression" dxfId="1462" priority="1536">
      <formula>RIGHT($AQ245, 1)="*"</formula>
    </cfRule>
  </conditionalFormatting>
  <conditionalFormatting sqref="AQ246:AQ250">
    <cfRule type="expression" dxfId="1461" priority="1534" stopIfTrue="1">
      <formula>REPLACE($AQ246,8,LEN($AQ246),"")="unused_"</formula>
    </cfRule>
  </conditionalFormatting>
  <conditionalFormatting sqref="AQ246:AQ250">
    <cfRule type="expression" dxfId="1460" priority="1532">
      <formula>NOT($AJ246)</formula>
    </cfRule>
    <cfRule type="expression" dxfId="1459" priority="1533">
      <formula>RIGHT($AQ246, 1)="*"</formula>
    </cfRule>
  </conditionalFormatting>
  <conditionalFormatting sqref="AQ264">
    <cfRule type="expression" dxfId="1458" priority="1531" stopIfTrue="1">
      <formula>REPLACE($AQ264,8,LEN($AQ264),"")="unused_"</formula>
    </cfRule>
  </conditionalFormatting>
  <conditionalFormatting sqref="AT247">
    <cfRule type="expression" dxfId="1457" priority="1530">
      <formula>NOT($AM247)</formula>
    </cfRule>
  </conditionalFormatting>
  <conditionalFormatting sqref="AT250">
    <cfRule type="expression" dxfId="1456" priority="1529">
      <formula>NOT($AM250)</formula>
    </cfRule>
  </conditionalFormatting>
  <conditionalFormatting sqref="AZ209">
    <cfRule type="expression" dxfId="1455" priority="1528">
      <formula>AND(NOT(ISBLANK(AZ209)), EXACT(AF209, "INVALID"))</formula>
    </cfRule>
  </conditionalFormatting>
  <conditionalFormatting sqref="BA209">
    <cfRule type="expression" dxfId="1454" priority="1527">
      <formula>AND(NOT(ISBLANK(BA209)), EXACT(AF209, "INVALID"))</formula>
    </cfRule>
  </conditionalFormatting>
  <conditionalFormatting sqref="AT139:AT140">
    <cfRule type="expression" dxfId="1453" priority="1522">
      <formula>NOT($AM139)</formula>
    </cfRule>
  </conditionalFormatting>
  <conditionalFormatting sqref="AZ209:BA209">
    <cfRule type="expression" dxfId="1452" priority="1526">
      <formula>NOT($AN209)</formula>
    </cfRule>
  </conditionalFormatting>
  <conditionalFormatting sqref="AT15:AT16">
    <cfRule type="expression" dxfId="1451" priority="1525">
      <formula>NOT($AM15)</formula>
    </cfRule>
  </conditionalFormatting>
  <conditionalFormatting sqref="AT18">
    <cfRule type="expression" dxfId="1450" priority="1524">
      <formula>NOT($AM17)</formula>
    </cfRule>
  </conditionalFormatting>
  <conditionalFormatting sqref="AT124">
    <cfRule type="expression" dxfId="1449" priority="1523">
      <formula>NOT($AM124)</formula>
    </cfRule>
  </conditionalFormatting>
  <conditionalFormatting sqref="AT155">
    <cfRule type="expression" dxfId="1448" priority="1521">
      <formula>NOT($AM155)</formula>
    </cfRule>
  </conditionalFormatting>
  <conditionalFormatting sqref="AT180:AT183">
    <cfRule type="expression" dxfId="1447" priority="1520">
      <formula>NOT($AM180)</formula>
    </cfRule>
  </conditionalFormatting>
  <conditionalFormatting sqref="AT185:AT188">
    <cfRule type="expression" dxfId="1446" priority="1519">
      <formula>NOT($AM185)</formula>
    </cfRule>
  </conditionalFormatting>
  <conditionalFormatting sqref="AT217">
    <cfRule type="expression" dxfId="1445" priority="1518">
      <formula>NOT($AM217)</formula>
    </cfRule>
  </conditionalFormatting>
  <conditionalFormatting sqref="AT219">
    <cfRule type="expression" dxfId="1444" priority="1517">
      <formula>NOT($AM219)</formula>
    </cfRule>
  </conditionalFormatting>
  <conditionalFormatting sqref="AT221">
    <cfRule type="expression" dxfId="1443" priority="1516">
      <formula>NOT($AM221)</formula>
    </cfRule>
  </conditionalFormatting>
  <conditionalFormatting sqref="AT223">
    <cfRule type="expression" dxfId="1442" priority="1515">
      <formula>NOT($AM223)</formula>
    </cfRule>
  </conditionalFormatting>
  <conditionalFormatting sqref="AR209">
    <cfRule type="expression" dxfId="1441" priority="1513">
      <formula>NOT($AL209)</formula>
    </cfRule>
  </conditionalFormatting>
  <conditionalFormatting sqref="AR209">
    <cfRule type="cellIs" dxfId="1440" priority="1512" operator="equal">
      <formula>"Not Assigned"</formula>
    </cfRule>
  </conditionalFormatting>
  <conditionalFormatting sqref="AQ209">
    <cfRule type="expression" dxfId="1439" priority="1514" stopIfTrue="1">
      <formula>REPLACE($AQ209,8,LEN($AQ209),"")="unused_"</formula>
    </cfRule>
  </conditionalFormatting>
  <conditionalFormatting sqref="AQ209">
    <cfRule type="expression" dxfId="1438" priority="1510">
      <formula>NOT($AJ209)</formula>
    </cfRule>
    <cfRule type="expression" dxfId="1437" priority="1511">
      <formula>RIGHT($AQ209, 1)="*"</formula>
    </cfRule>
  </conditionalFormatting>
  <conditionalFormatting sqref="AF162 AI162">
    <cfRule type="cellIs" dxfId="1436" priority="1509" operator="equal">
      <formula>"INVALID"</formula>
    </cfRule>
  </conditionalFormatting>
  <conditionalFormatting sqref="AF241">
    <cfRule type="cellIs" dxfId="1435" priority="1508" operator="equal">
      <formula>"INVALID"</formula>
    </cfRule>
  </conditionalFormatting>
  <conditionalFormatting sqref="AX228:AX229 AX169:AX171">
    <cfRule type="expression" dxfId="1434" priority="1507">
      <formula>NOT($AO169)</formula>
    </cfRule>
  </conditionalFormatting>
  <conditionalFormatting sqref="AX218">
    <cfRule type="expression" dxfId="1433" priority="1506">
      <formula>NOT($AO218)</formula>
    </cfRule>
  </conditionalFormatting>
  <conditionalFormatting sqref="AX219">
    <cfRule type="expression" dxfId="1432" priority="1505">
      <formula>NOT($AO219)</formula>
    </cfRule>
  </conditionalFormatting>
  <conditionalFormatting sqref="AX220">
    <cfRule type="expression" dxfId="1431" priority="1504">
      <formula>NOT($AO220)</formula>
    </cfRule>
  </conditionalFormatting>
  <conditionalFormatting sqref="AX221">
    <cfRule type="expression" dxfId="1430" priority="1503">
      <formula>NOT($AO221)</formula>
    </cfRule>
  </conditionalFormatting>
  <conditionalFormatting sqref="AX222">
    <cfRule type="expression" dxfId="1429" priority="1502">
      <formula>NOT($AO222)</formula>
    </cfRule>
  </conditionalFormatting>
  <conditionalFormatting sqref="AX223">
    <cfRule type="expression" dxfId="1428" priority="1501">
      <formula>NOT($AO223)</formula>
    </cfRule>
  </conditionalFormatting>
  <conditionalFormatting sqref="AX247">
    <cfRule type="expression" dxfId="1427" priority="1500">
      <formula>NOT($AO247)</formula>
    </cfRule>
  </conditionalFormatting>
  <conditionalFormatting sqref="AX250">
    <cfRule type="expression" dxfId="1426" priority="1499">
      <formula>NOT($AO250)</formula>
    </cfRule>
  </conditionalFormatting>
  <conditionalFormatting sqref="AR8">
    <cfRule type="cellIs" dxfId="1425" priority="1498" operator="equal">
      <formula>"Not Assigned"</formula>
    </cfRule>
  </conditionalFormatting>
  <conditionalFormatting sqref="AQ8">
    <cfRule type="expression" dxfId="1424" priority="1497" stopIfTrue="1">
      <formula>REPLACE($AQ8,8,LEN($AQ8),"")="unused_"</formula>
    </cfRule>
  </conditionalFormatting>
  <conditionalFormatting sqref="Q231:Q235">
    <cfRule type="cellIs" dxfId="1423" priority="1496" operator="equal">
      <formula>"INVALID"</formula>
    </cfRule>
  </conditionalFormatting>
  <conditionalFormatting sqref="R231:R235">
    <cfRule type="cellIs" dxfId="1422" priority="1495" operator="equal">
      <formula>"INVALID"</formula>
    </cfRule>
  </conditionalFormatting>
  <conditionalFormatting sqref="S231:S235">
    <cfRule type="cellIs" dxfId="1421" priority="1494" operator="equal">
      <formula>"INVALID"</formula>
    </cfRule>
  </conditionalFormatting>
  <conditionalFormatting sqref="T231:T235">
    <cfRule type="cellIs" dxfId="1420" priority="1493" operator="equal">
      <formula>"INVALID"</formula>
    </cfRule>
  </conditionalFormatting>
  <conditionalFormatting sqref="U235:V235 U231:U234">
    <cfRule type="cellIs" dxfId="1419" priority="1492" operator="equal">
      <formula>"INVALID"</formula>
    </cfRule>
  </conditionalFormatting>
  <conditionalFormatting sqref="Q225">
    <cfRule type="cellIs" dxfId="1418" priority="1491" operator="equal">
      <formula>"INVALID"</formula>
    </cfRule>
  </conditionalFormatting>
  <conditionalFormatting sqref="R225">
    <cfRule type="cellIs" dxfId="1417" priority="1490" operator="equal">
      <formula>"INVALID"</formula>
    </cfRule>
  </conditionalFormatting>
  <conditionalFormatting sqref="S225">
    <cfRule type="cellIs" dxfId="1416" priority="1489" operator="equal">
      <formula>"INVALID"</formula>
    </cfRule>
  </conditionalFormatting>
  <conditionalFormatting sqref="T225">
    <cfRule type="cellIs" dxfId="1415" priority="1488" operator="equal">
      <formula>"INVALID"</formula>
    </cfRule>
  </conditionalFormatting>
  <conditionalFormatting sqref="U225">
    <cfRule type="cellIs" dxfId="1414" priority="1487" operator="equal">
      <formula>"INVALID"</formula>
    </cfRule>
  </conditionalFormatting>
  <conditionalFormatting sqref="V196">
    <cfRule type="cellIs" dxfId="1413" priority="1486" operator="equal">
      <formula>"INVALID"</formula>
    </cfRule>
  </conditionalFormatting>
  <conditionalFormatting sqref="V194">
    <cfRule type="cellIs" dxfId="1412" priority="1485" operator="equal">
      <formula>"INVALID"</formula>
    </cfRule>
  </conditionalFormatting>
  <conditionalFormatting sqref="V189">
    <cfRule type="cellIs" dxfId="1411" priority="1484" operator="equal">
      <formula>"INVALID"</formula>
    </cfRule>
  </conditionalFormatting>
  <conditionalFormatting sqref="V188">
    <cfRule type="cellIs" dxfId="1410" priority="1483" operator="equal">
      <formula>"INVALID"</formula>
    </cfRule>
  </conditionalFormatting>
  <conditionalFormatting sqref="Q245">
    <cfRule type="cellIs" dxfId="1409" priority="1482" operator="equal">
      <formula>"INVALID"</formula>
    </cfRule>
  </conditionalFormatting>
  <conditionalFormatting sqref="R245">
    <cfRule type="cellIs" dxfId="1408" priority="1481" operator="equal">
      <formula>"INVALID"</formula>
    </cfRule>
  </conditionalFormatting>
  <conditionalFormatting sqref="S245">
    <cfRule type="cellIs" dxfId="1407" priority="1480" operator="equal">
      <formula>"INVALID"</formula>
    </cfRule>
  </conditionalFormatting>
  <conditionalFormatting sqref="T245">
    <cfRule type="cellIs" dxfId="1406" priority="1479" operator="equal">
      <formula>"INVALID"</formula>
    </cfRule>
  </conditionalFormatting>
  <conditionalFormatting sqref="U245:V245 V246:V250">
    <cfRule type="cellIs" dxfId="1405" priority="1478" operator="equal">
      <formula>"INVALID"</formula>
    </cfRule>
  </conditionalFormatting>
  <conditionalFormatting sqref="Q246">
    <cfRule type="cellIs" dxfId="1404" priority="1477" operator="equal">
      <formula>"INVALID"</formula>
    </cfRule>
  </conditionalFormatting>
  <conditionalFormatting sqref="R246">
    <cfRule type="cellIs" dxfId="1403" priority="1476" operator="equal">
      <formula>"INVALID"</formula>
    </cfRule>
  </conditionalFormatting>
  <conditionalFormatting sqref="S246">
    <cfRule type="cellIs" dxfId="1402" priority="1475" operator="equal">
      <formula>"INVALID"</formula>
    </cfRule>
  </conditionalFormatting>
  <conditionalFormatting sqref="T246">
    <cfRule type="cellIs" dxfId="1401" priority="1474" operator="equal">
      <formula>"INVALID"</formula>
    </cfRule>
  </conditionalFormatting>
  <conditionalFormatting sqref="U246:V246">
    <cfRule type="cellIs" dxfId="1400" priority="1473" operator="equal">
      <formula>"INVALID"</formula>
    </cfRule>
  </conditionalFormatting>
  <conditionalFormatting sqref="Q248">
    <cfRule type="cellIs" dxfId="1399" priority="1472" operator="equal">
      <formula>"INVALID"</formula>
    </cfRule>
  </conditionalFormatting>
  <conditionalFormatting sqref="R248">
    <cfRule type="cellIs" dxfId="1398" priority="1471" operator="equal">
      <formula>"INVALID"</formula>
    </cfRule>
  </conditionalFormatting>
  <conditionalFormatting sqref="S248">
    <cfRule type="cellIs" dxfId="1397" priority="1470" operator="equal">
      <formula>"INVALID"</formula>
    </cfRule>
  </conditionalFormatting>
  <conditionalFormatting sqref="T248">
    <cfRule type="cellIs" dxfId="1396" priority="1469" operator="equal">
      <formula>"INVALID"</formula>
    </cfRule>
  </conditionalFormatting>
  <conditionalFormatting sqref="U248:V248">
    <cfRule type="cellIs" dxfId="1395" priority="1468" operator="equal">
      <formula>"INVALID"</formula>
    </cfRule>
  </conditionalFormatting>
  <conditionalFormatting sqref="Q249">
    <cfRule type="cellIs" dxfId="1394" priority="1467" operator="equal">
      <formula>"INVALID"</formula>
    </cfRule>
  </conditionalFormatting>
  <conditionalFormatting sqref="R249">
    <cfRule type="cellIs" dxfId="1393" priority="1466" operator="equal">
      <formula>"INVALID"</formula>
    </cfRule>
  </conditionalFormatting>
  <conditionalFormatting sqref="S249">
    <cfRule type="cellIs" dxfId="1392" priority="1465" operator="equal">
      <formula>"INVALID"</formula>
    </cfRule>
  </conditionalFormatting>
  <conditionalFormatting sqref="T249">
    <cfRule type="cellIs" dxfId="1391" priority="1464" operator="equal">
      <formula>"INVALID"</formula>
    </cfRule>
  </conditionalFormatting>
  <conditionalFormatting sqref="U249:V249">
    <cfRule type="cellIs" dxfId="1390" priority="1463" operator="equal">
      <formula>"INVALID"</formula>
    </cfRule>
  </conditionalFormatting>
  <conditionalFormatting sqref="AD225">
    <cfRule type="cellIs" dxfId="1389" priority="1462" operator="equal">
      <formula>"INVALID"</formula>
    </cfRule>
  </conditionalFormatting>
  <conditionalFormatting sqref="AD225">
    <cfRule type="cellIs" dxfId="1388" priority="1461" operator="equal">
      <formula>"INVALID"</formula>
    </cfRule>
  </conditionalFormatting>
  <conditionalFormatting sqref="AD235">
    <cfRule type="cellIs" dxfId="1387" priority="1460" operator="equal">
      <formula>"INVALID"</formula>
    </cfRule>
  </conditionalFormatting>
  <conditionalFormatting sqref="AD235">
    <cfRule type="cellIs" dxfId="1386" priority="1459" operator="equal">
      <formula>"INVALID"</formula>
    </cfRule>
  </conditionalFormatting>
  <conditionalFormatting sqref="AD112:AD125">
    <cfRule type="cellIs" dxfId="1385" priority="1458" operator="equal">
      <formula>"INVALID"</formula>
    </cfRule>
  </conditionalFormatting>
  <conditionalFormatting sqref="AR86:AR87">
    <cfRule type="cellIs" dxfId="1384" priority="1457" operator="equal">
      <formula>"Not Assigned"</formula>
    </cfRule>
  </conditionalFormatting>
  <conditionalFormatting sqref="AE86:AF87 AI86:AI87">
    <cfRule type="cellIs" dxfId="1383" priority="1456" operator="equal">
      <formula>"INVALID"</formula>
    </cfRule>
  </conditionalFormatting>
  <conditionalFormatting sqref="AS86:AS87">
    <cfRule type="expression" dxfId="1382" priority="1455">
      <formula>EXACT(AF86, "INVALID")</formula>
    </cfRule>
  </conditionalFormatting>
  <conditionalFormatting sqref="AZ86:AZ87">
    <cfRule type="expression" dxfId="1381" priority="1454">
      <formula>AND(NOT(ISBLANK(AZ86)), EXACT(AF86, "INVALID"))</formula>
    </cfRule>
  </conditionalFormatting>
  <conditionalFormatting sqref="BA86:BA87">
    <cfRule type="expression" dxfId="1380" priority="1453">
      <formula>AND(NOT(ISBLANK(BA86)), EXACT(AF86, "INVALID"))</formula>
    </cfRule>
  </conditionalFormatting>
  <conditionalFormatting sqref="AR86:AR87">
    <cfRule type="expression" dxfId="1379" priority="1452">
      <formula>NOT($AL86)</formula>
    </cfRule>
  </conditionalFormatting>
  <conditionalFormatting sqref="AJ86:AJ87">
    <cfRule type="cellIs" dxfId="1378" priority="1451" operator="equal">
      <formula>FALSE</formula>
    </cfRule>
  </conditionalFormatting>
  <conditionalFormatting sqref="AK86:AK87">
    <cfRule type="cellIs" dxfId="1377" priority="1450" operator="equal">
      <formula>FALSE</formula>
    </cfRule>
  </conditionalFormatting>
  <conditionalFormatting sqref="AL86:AL87">
    <cfRule type="cellIs" dxfId="1376" priority="1449" operator="equal">
      <formula>FALSE</formula>
    </cfRule>
  </conditionalFormatting>
  <conditionalFormatting sqref="AM86:AM87">
    <cfRule type="cellIs" dxfId="1375" priority="1448" operator="equal">
      <formula>FALSE</formula>
    </cfRule>
  </conditionalFormatting>
  <conditionalFormatting sqref="AN86:AN87">
    <cfRule type="cellIs" dxfId="1374" priority="1447" operator="equal">
      <formula>FALSE</formula>
    </cfRule>
  </conditionalFormatting>
  <conditionalFormatting sqref="AP86:AP87">
    <cfRule type="cellIs" dxfId="1373" priority="1446" operator="equal">
      <formula>"INVALID"</formula>
    </cfRule>
  </conditionalFormatting>
  <conditionalFormatting sqref="AJ86:AJ87">
    <cfRule type="cellIs" dxfId="1372" priority="1445" operator="equal">
      <formula>"INVALID"</formula>
    </cfRule>
  </conditionalFormatting>
  <conditionalFormatting sqref="AK86:AK87">
    <cfRule type="cellIs" dxfId="1371" priority="1444" operator="equal">
      <formula>"INVALID"</formula>
    </cfRule>
  </conditionalFormatting>
  <conditionalFormatting sqref="AL86:AM87">
    <cfRule type="cellIs" dxfId="1370" priority="1443" operator="equal">
      <formula>"INVALID"</formula>
    </cfRule>
  </conditionalFormatting>
  <conditionalFormatting sqref="AK86:AK87">
    <cfRule type="cellIs" dxfId="1369" priority="1442" operator="equal">
      <formula>"INVALID"</formula>
    </cfRule>
  </conditionalFormatting>
  <conditionalFormatting sqref="AL86:AL87">
    <cfRule type="cellIs" dxfId="1368" priority="1441" operator="equal">
      <formula>"INVALID"</formula>
    </cfRule>
  </conditionalFormatting>
  <conditionalFormatting sqref="AM86:AM87">
    <cfRule type="cellIs" dxfId="1367" priority="1440" operator="equal">
      <formula>"INVALID"</formula>
    </cfRule>
  </conditionalFormatting>
  <conditionalFormatting sqref="AN86:AN87">
    <cfRule type="cellIs" dxfId="1366" priority="1439" operator="equal">
      <formula>"INVALID"</formula>
    </cfRule>
  </conditionalFormatting>
  <conditionalFormatting sqref="AS86:AS87">
    <cfRule type="expression" dxfId="1365" priority="1438">
      <formula>NOT($AN86)</formula>
    </cfRule>
  </conditionalFormatting>
  <conditionalFormatting sqref="AS86:AS87">
    <cfRule type="expression" dxfId="1364" priority="1437">
      <formula>NOT($AK86)</formula>
    </cfRule>
  </conditionalFormatting>
  <conditionalFormatting sqref="AO86:AO87">
    <cfRule type="cellIs" dxfId="1363" priority="1436" operator="equal">
      <formula>FALSE</formula>
    </cfRule>
  </conditionalFormatting>
  <conditionalFormatting sqref="AO86:AO87">
    <cfRule type="cellIs" dxfId="1362" priority="1435" operator="equal">
      <formula>"INVALID"</formula>
    </cfRule>
  </conditionalFormatting>
  <conditionalFormatting sqref="AO86:AO87">
    <cfRule type="cellIs" dxfId="1361" priority="1434" operator="equal">
      <formula>"INVALID"</formula>
    </cfRule>
  </conditionalFormatting>
  <conditionalFormatting sqref="AQ86:AQ87">
    <cfRule type="expression" dxfId="1360" priority="1433" stopIfTrue="1">
      <formula>REPLACE($AQ86,8,LEN($AQ86),"")="unused_"</formula>
    </cfRule>
  </conditionalFormatting>
  <conditionalFormatting sqref="AQ86:AQ87">
    <cfRule type="expression" dxfId="1359" priority="1431">
      <formula>NOT($AJ86)</formula>
    </cfRule>
    <cfRule type="expression" dxfId="1358" priority="1432">
      <formula>RIGHT($AQ86, 1)="*"</formula>
    </cfRule>
  </conditionalFormatting>
  <conditionalFormatting sqref="V266:V313">
    <cfRule type="cellIs" dxfId="1357" priority="1430" operator="equal">
      <formula>"INVALID"</formula>
    </cfRule>
  </conditionalFormatting>
  <conditionalFormatting sqref="V266:V313">
    <cfRule type="cellIs" dxfId="1356" priority="1429" operator="equal">
      <formula>"INVALID"</formula>
    </cfRule>
  </conditionalFormatting>
  <conditionalFormatting sqref="V315:V322">
    <cfRule type="cellIs" dxfId="1355" priority="1428" operator="equal">
      <formula>"INVALID"</formula>
    </cfRule>
  </conditionalFormatting>
  <conditionalFormatting sqref="V315:V322">
    <cfRule type="cellIs" dxfId="1354" priority="1427" operator="equal">
      <formula>"INVALID"</formula>
    </cfRule>
  </conditionalFormatting>
  <conditionalFormatting sqref="V324:V331">
    <cfRule type="cellIs" dxfId="1353" priority="1426" operator="equal">
      <formula>"INVALID"</formula>
    </cfRule>
  </conditionalFormatting>
  <conditionalFormatting sqref="V324:V331">
    <cfRule type="cellIs" dxfId="1352" priority="1425" operator="equal">
      <formula>"INVALID"</formula>
    </cfRule>
  </conditionalFormatting>
  <conditionalFormatting sqref="V351:V356">
    <cfRule type="cellIs" dxfId="1351" priority="1424" operator="equal">
      <formula>"INVALID"</formula>
    </cfRule>
  </conditionalFormatting>
  <conditionalFormatting sqref="V351:V356">
    <cfRule type="cellIs" dxfId="1350" priority="1423" operator="equal">
      <formula>"INVALID"</formula>
    </cfRule>
  </conditionalFormatting>
  <conditionalFormatting sqref="V360:V388">
    <cfRule type="cellIs" dxfId="1349" priority="1422" operator="equal">
      <formula>"INVALID"</formula>
    </cfRule>
  </conditionalFormatting>
  <conditionalFormatting sqref="V360:V388">
    <cfRule type="cellIs" dxfId="1348" priority="1421" operator="equal">
      <formula>"INVALID"</formula>
    </cfRule>
  </conditionalFormatting>
  <conditionalFormatting sqref="V448:V591">
    <cfRule type="cellIs" dxfId="1347" priority="1420" operator="equal">
      <formula>"INVALID"</formula>
    </cfRule>
  </conditionalFormatting>
  <conditionalFormatting sqref="V448:V591">
    <cfRule type="cellIs" dxfId="1346" priority="1419" operator="equal">
      <formula>"INVALID"</formula>
    </cfRule>
  </conditionalFormatting>
  <conditionalFormatting sqref="V593:V736">
    <cfRule type="cellIs" dxfId="1345" priority="1418" operator="equal">
      <formula>"INVALID"</formula>
    </cfRule>
  </conditionalFormatting>
  <conditionalFormatting sqref="V593:V736">
    <cfRule type="cellIs" dxfId="1344" priority="1417" operator="equal">
      <formula>"INVALID"</formula>
    </cfRule>
  </conditionalFormatting>
  <conditionalFormatting sqref="AG209:AG210 AG244:AG250 AG28:AG33 AG35:AG40 AG68 AG77:AG80 AG82:AG87 AG136:AG142 AG176:AG196 AG231:AG240 AG103 AG212:AG213 AG215:AG226 AG228:AG229">
    <cfRule type="cellIs" dxfId="1343" priority="1416" operator="equal">
      <formula>"INVALID"</formula>
    </cfRule>
  </conditionalFormatting>
  <conditionalFormatting sqref="AG162">
    <cfRule type="cellIs" dxfId="1342" priority="1415" operator="equal">
      <formula>"INVALID"</formula>
    </cfRule>
  </conditionalFormatting>
  <conditionalFormatting sqref="AG111:AG125">
    <cfRule type="cellIs" dxfId="1341" priority="1414" operator="equal">
      <formula>"INVALID"</formula>
    </cfRule>
  </conditionalFormatting>
  <conditionalFormatting sqref="AG113">
    <cfRule type="cellIs" dxfId="1340" priority="1413" operator="equal">
      <formula>"INVALID"</formula>
    </cfRule>
  </conditionalFormatting>
  <conditionalFormatting sqref="AG123">
    <cfRule type="cellIs" dxfId="1339" priority="1412" operator="equal">
      <formula>"INVALID"</formula>
    </cfRule>
  </conditionalFormatting>
  <conditionalFormatting sqref="AG124">
    <cfRule type="cellIs" dxfId="1338" priority="1411" operator="equal">
      <formula>"INVALID"</formula>
    </cfRule>
  </conditionalFormatting>
  <conditionalFormatting sqref="AG230">
    <cfRule type="cellIs" dxfId="1337" priority="1410" operator="equal">
      <formula>"INVALID"</formula>
    </cfRule>
  </conditionalFormatting>
  <conditionalFormatting sqref="AG242:AG243">
    <cfRule type="cellIs" dxfId="1336" priority="1409" operator="equal">
      <formula>"INVALID"</formula>
    </cfRule>
  </conditionalFormatting>
  <conditionalFormatting sqref="AG241">
    <cfRule type="cellIs" dxfId="1335" priority="1408" operator="equal">
      <formula>"INVALID"</formula>
    </cfRule>
  </conditionalFormatting>
  <conditionalFormatting sqref="AG137:AG142">
    <cfRule type="cellIs" dxfId="1334" priority="1405" operator="equal">
      <formula>"INVALID"</formula>
    </cfRule>
  </conditionalFormatting>
  <conditionalFormatting sqref="AG231:AG240">
    <cfRule type="cellIs" dxfId="1333" priority="1404" operator="equal">
      <formula>"INVALID"</formula>
    </cfRule>
  </conditionalFormatting>
  <conditionalFormatting sqref="AG231:AG240">
    <cfRule type="cellIs" dxfId="1332" priority="1403" operator="equal">
      <formula>"INVALID"</formula>
    </cfRule>
  </conditionalFormatting>
  <conditionalFormatting sqref="AG11:AG12 AG14:AG18 AG20:AG21">
    <cfRule type="cellIs" dxfId="1331" priority="1391" operator="equal">
      <formula>"INVALID"</formula>
    </cfRule>
  </conditionalFormatting>
  <conditionalFormatting sqref="AG112:AG125">
    <cfRule type="cellIs" dxfId="1330" priority="1407" operator="equal">
      <formula>"INVALID"</formula>
    </cfRule>
  </conditionalFormatting>
  <conditionalFormatting sqref="AG137:AG142">
    <cfRule type="cellIs" dxfId="1329" priority="1406" operator="equal">
      <formula>"INVALID"</formula>
    </cfRule>
  </conditionalFormatting>
  <conditionalFormatting sqref="AG242:AG243">
    <cfRule type="cellIs" dxfId="1328" priority="1402" operator="equal">
      <formula>"INVALID"</formula>
    </cfRule>
  </conditionalFormatting>
  <conditionalFormatting sqref="AG242:AG243">
    <cfRule type="cellIs" dxfId="1327" priority="1401" operator="equal">
      <formula>"INVALID"</formula>
    </cfRule>
  </conditionalFormatting>
  <conditionalFormatting sqref="AG242:AG243">
    <cfRule type="cellIs" dxfId="1326" priority="1400" operator="equal">
      <formula>"INVALID"</formula>
    </cfRule>
  </conditionalFormatting>
  <conditionalFormatting sqref="AG245:AG250">
    <cfRule type="cellIs" dxfId="1325" priority="1399" operator="equal">
      <formula>"INVALID"</formula>
    </cfRule>
  </conditionalFormatting>
  <conditionalFormatting sqref="AG245:AG250">
    <cfRule type="cellIs" dxfId="1324" priority="1398" operator="equal">
      <formula>"INVALID"</formula>
    </cfRule>
  </conditionalFormatting>
  <conditionalFormatting sqref="AG245:AG250">
    <cfRule type="cellIs" dxfId="1323" priority="1397" operator="equal">
      <formula>"INVALID"</formula>
    </cfRule>
  </conditionalFormatting>
  <conditionalFormatting sqref="AG245:AG250">
    <cfRule type="cellIs" dxfId="1322" priority="1396" operator="equal">
      <formula>"INVALID"</formula>
    </cfRule>
  </conditionalFormatting>
  <conditionalFormatting sqref="AG245:AG250">
    <cfRule type="cellIs" dxfId="1321" priority="1395" operator="equal">
      <formula>"INVALID"</formula>
    </cfRule>
  </conditionalFormatting>
  <conditionalFormatting sqref="AG245:AG250">
    <cfRule type="cellIs" dxfId="1320" priority="1394" operator="equal">
      <formula>"INVALID"</formula>
    </cfRule>
  </conditionalFormatting>
  <conditionalFormatting sqref="AG245:AG250">
    <cfRule type="cellIs" dxfId="1319" priority="1393" operator="equal">
      <formula>"INVALID"</formula>
    </cfRule>
  </conditionalFormatting>
  <conditionalFormatting sqref="AG187:AG191">
    <cfRule type="cellIs" dxfId="1318" priority="1392" operator="equal">
      <formula>"INVALID"</formula>
    </cfRule>
  </conditionalFormatting>
  <conditionalFormatting sqref="AG20:AG21">
    <cfRule type="cellIs" dxfId="1317" priority="1390" operator="equal">
      <formula>"INVALID"</formula>
    </cfRule>
  </conditionalFormatting>
  <conditionalFormatting sqref="AG33">
    <cfRule type="cellIs" dxfId="1316" priority="1389" operator="equal">
      <formula>"INVALID"</formula>
    </cfRule>
  </conditionalFormatting>
  <conditionalFormatting sqref="AG125">
    <cfRule type="cellIs" dxfId="1315" priority="1386" operator="equal">
      <formula>"INVALID"</formula>
    </cfRule>
  </conditionalFormatting>
  <conditionalFormatting sqref="AG125">
    <cfRule type="cellIs" dxfId="1314" priority="1388" operator="equal">
      <formula>"INVALID"</formula>
    </cfRule>
  </conditionalFormatting>
  <conditionalFormatting sqref="AG125">
    <cfRule type="cellIs" dxfId="1313" priority="1387" operator="equal">
      <formula>"INVALID"</formula>
    </cfRule>
  </conditionalFormatting>
  <conditionalFormatting sqref="AG209:AG210 AG212:AG213 AG215:AG221">
    <cfRule type="cellIs" dxfId="1312" priority="1385" operator="equal">
      <formula>"INVALID"</formula>
    </cfRule>
  </conditionalFormatting>
  <conditionalFormatting sqref="AG201:AG202 AG209:AG210 AG212:AG213 AG215:AG226 AG228:AG229 AG205:AG206">
    <cfRule type="cellIs" dxfId="1311" priority="1384" operator="equal">
      <formula>"INVALID"</formula>
    </cfRule>
  </conditionalFormatting>
  <conditionalFormatting sqref="AG201:AG202 AG209:AG210 AG212:AG213 AG215:AG226 AG228:AG229 AG205:AG206">
    <cfRule type="cellIs" dxfId="1310" priority="1383" operator="equal">
      <formula>"INVALID"</formula>
    </cfRule>
  </conditionalFormatting>
  <conditionalFormatting sqref="AG201:AG202 AG209:AG210 AG212:AG213 AG215:AG226 AG228:AG229 AG205:AG206">
    <cfRule type="cellIs" dxfId="1309" priority="1382" operator="equal">
      <formula>"INVALID"</formula>
    </cfRule>
  </conditionalFormatting>
  <conditionalFormatting sqref="AG243">
    <cfRule type="cellIs" dxfId="1308" priority="1381" operator="equal">
      <formula>"INVALID"</formula>
    </cfRule>
  </conditionalFormatting>
  <conditionalFormatting sqref="AG243">
    <cfRule type="cellIs" dxfId="1307" priority="1380" operator="equal">
      <formula>"INVALID"</formula>
    </cfRule>
  </conditionalFormatting>
  <conditionalFormatting sqref="AG243">
    <cfRule type="cellIs" dxfId="1306" priority="1379" operator="equal">
      <formula>"INVALID"</formula>
    </cfRule>
  </conditionalFormatting>
  <conditionalFormatting sqref="AG243">
    <cfRule type="cellIs" dxfId="1305" priority="1378" operator="equal">
      <formula>"INVALID"</formula>
    </cfRule>
  </conditionalFormatting>
  <conditionalFormatting sqref="AG162">
    <cfRule type="cellIs" dxfId="1304" priority="1377" operator="equal">
      <formula>"INVALID"</formula>
    </cfRule>
  </conditionalFormatting>
  <conditionalFormatting sqref="AG86:AG87">
    <cfRule type="cellIs" dxfId="1303" priority="1376" operator="equal">
      <formula>"INVALID"</formula>
    </cfRule>
  </conditionalFormatting>
  <conditionalFormatting sqref="AG28:AG33">
    <cfRule type="cellIs" dxfId="1302" priority="1375" operator="equal">
      <formula>"INVALID"</formula>
    </cfRule>
  </conditionalFormatting>
  <conditionalFormatting sqref="AG28:AG33">
    <cfRule type="cellIs" dxfId="1301" priority="1374" operator="equal">
      <formula>"INVALID"</formula>
    </cfRule>
  </conditionalFormatting>
  <conditionalFormatting sqref="AG35:AG40">
    <cfRule type="cellIs" dxfId="1300" priority="1373" operator="equal">
      <formula>"INVALID"</formula>
    </cfRule>
  </conditionalFormatting>
  <conditionalFormatting sqref="AG35:AG40">
    <cfRule type="cellIs" dxfId="1299" priority="1372" operator="equal">
      <formula>"INVALID"</formula>
    </cfRule>
  </conditionalFormatting>
  <conditionalFormatting sqref="AG35:AG40">
    <cfRule type="cellIs" dxfId="1298" priority="1371" operator="equal">
      <formula>"INVALID"</formula>
    </cfRule>
  </conditionalFormatting>
  <conditionalFormatting sqref="AG68">
    <cfRule type="cellIs" dxfId="1297" priority="1370" operator="equal">
      <formula>"INVALID"</formula>
    </cfRule>
  </conditionalFormatting>
  <conditionalFormatting sqref="AG68">
    <cfRule type="cellIs" dxfId="1296" priority="1369" operator="equal">
      <formula>"INVALID"</formula>
    </cfRule>
  </conditionalFormatting>
  <conditionalFormatting sqref="AG68">
    <cfRule type="cellIs" dxfId="1295" priority="1368" operator="equal">
      <formula>"INVALID"</formula>
    </cfRule>
  </conditionalFormatting>
  <conditionalFormatting sqref="AG77:AG80">
    <cfRule type="cellIs" dxfId="1294" priority="1367" operator="equal">
      <formula>"INVALID"</formula>
    </cfRule>
  </conditionalFormatting>
  <conditionalFormatting sqref="AG77:AG80">
    <cfRule type="cellIs" dxfId="1293" priority="1366" operator="equal">
      <formula>"INVALID"</formula>
    </cfRule>
  </conditionalFormatting>
  <conditionalFormatting sqref="AG77:AG80">
    <cfRule type="cellIs" dxfId="1292" priority="1365" operator="equal">
      <formula>"INVALID"</formula>
    </cfRule>
  </conditionalFormatting>
  <conditionalFormatting sqref="AG82:AG87">
    <cfRule type="cellIs" dxfId="1291" priority="1364" operator="equal">
      <formula>"INVALID"</formula>
    </cfRule>
  </conditionalFormatting>
  <conditionalFormatting sqref="AG82:AG87">
    <cfRule type="cellIs" dxfId="1290" priority="1363" operator="equal">
      <formula>"INVALID"</formula>
    </cfRule>
  </conditionalFormatting>
  <conditionalFormatting sqref="AG82:AG87">
    <cfRule type="cellIs" dxfId="1289" priority="1362" operator="equal">
      <formula>"INVALID"</formula>
    </cfRule>
  </conditionalFormatting>
  <conditionalFormatting sqref="AG112:AG125">
    <cfRule type="cellIs" dxfId="1288" priority="1361" operator="equal">
      <formula>"INVALID"</formula>
    </cfRule>
  </conditionalFormatting>
  <conditionalFormatting sqref="AG112:AG125">
    <cfRule type="cellIs" dxfId="1287" priority="1360" operator="equal">
      <formula>"INVALID"</formula>
    </cfRule>
  </conditionalFormatting>
  <conditionalFormatting sqref="AG112:AG125">
    <cfRule type="cellIs" dxfId="1286" priority="1359" operator="equal">
      <formula>"INVALID"</formula>
    </cfRule>
  </conditionalFormatting>
  <conditionalFormatting sqref="AG112:AG125">
    <cfRule type="cellIs" dxfId="1285" priority="1358" operator="equal">
      <formula>"INVALID"</formula>
    </cfRule>
  </conditionalFormatting>
  <conditionalFormatting sqref="AG112:AG125">
    <cfRule type="cellIs" dxfId="1284" priority="1357" operator="equal">
      <formula>"INVALID"</formula>
    </cfRule>
  </conditionalFormatting>
  <conditionalFormatting sqref="AG137:AG142">
    <cfRule type="cellIs" dxfId="1283" priority="1356" operator="equal">
      <formula>"INVALID"</formula>
    </cfRule>
  </conditionalFormatting>
  <conditionalFormatting sqref="AG137:AG142">
    <cfRule type="cellIs" dxfId="1282" priority="1355" operator="equal">
      <formula>"INVALID"</formula>
    </cfRule>
  </conditionalFormatting>
  <conditionalFormatting sqref="AG137:AG142">
    <cfRule type="cellIs" dxfId="1281" priority="1352" operator="equal">
      <formula>"INVALID"</formula>
    </cfRule>
  </conditionalFormatting>
  <conditionalFormatting sqref="AG137:AG142">
    <cfRule type="cellIs" dxfId="1280" priority="1354" operator="equal">
      <formula>"INVALID"</formula>
    </cfRule>
  </conditionalFormatting>
  <conditionalFormatting sqref="AG137:AG142">
    <cfRule type="cellIs" dxfId="1279" priority="1353" operator="equal">
      <formula>"INVALID"</formula>
    </cfRule>
  </conditionalFormatting>
  <conditionalFormatting sqref="AG137:AG142">
    <cfRule type="cellIs" dxfId="1278" priority="1351" operator="equal">
      <formula>"INVALID"</formula>
    </cfRule>
  </conditionalFormatting>
  <conditionalFormatting sqref="AG137:AG142">
    <cfRule type="cellIs" dxfId="1277" priority="1350" operator="equal">
      <formula>"INVALID"</formula>
    </cfRule>
  </conditionalFormatting>
  <conditionalFormatting sqref="AG137:AG142">
    <cfRule type="cellIs" dxfId="1276" priority="1349" operator="equal">
      <formula>"INVALID"</formula>
    </cfRule>
  </conditionalFormatting>
  <conditionalFormatting sqref="AG137:AG142">
    <cfRule type="cellIs" dxfId="1275" priority="1348" operator="equal">
      <formula>"INVALID"</formula>
    </cfRule>
  </conditionalFormatting>
  <conditionalFormatting sqref="AG137:AG142">
    <cfRule type="cellIs" dxfId="1274" priority="1347" operator="equal">
      <formula>"INVALID"</formula>
    </cfRule>
  </conditionalFormatting>
  <conditionalFormatting sqref="AG152:AG162">
    <cfRule type="cellIs" dxfId="1273" priority="1345" operator="equal">
      <formula>"INVALID"</formula>
    </cfRule>
  </conditionalFormatting>
  <conditionalFormatting sqref="AG152:AG162">
    <cfRule type="cellIs" dxfId="1272" priority="1346" operator="equal">
      <formula>"INVALID"</formula>
    </cfRule>
  </conditionalFormatting>
  <conditionalFormatting sqref="AG152:AG162">
    <cfRule type="cellIs" dxfId="1271" priority="1344" operator="equal">
      <formula>"INVALID"</formula>
    </cfRule>
  </conditionalFormatting>
  <conditionalFormatting sqref="AG152:AG162">
    <cfRule type="cellIs" dxfId="1270" priority="1343" operator="equal">
      <formula>"INVALID"</formula>
    </cfRule>
  </conditionalFormatting>
  <conditionalFormatting sqref="AG152:AG162">
    <cfRule type="cellIs" dxfId="1269" priority="1340" operator="equal">
      <formula>"INVALID"</formula>
    </cfRule>
  </conditionalFormatting>
  <conditionalFormatting sqref="AG152:AG162">
    <cfRule type="cellIs" dxfId="1268" priority="1342" operator="equal">
      <formula>"INVALID"</formula>
    </cfRule>
  </conditionalFormatting>
  <conditionalFormatting sqref="AG152:AG162">
    <cfRule type="cellIs" dxfId="1267" priority="1341" operator="equal">
      <formula>"INVALID"</formula>
    </cfRule>
  </conditionalFormatting>
  <conditionalFormatting sqref="AG152:AG162">
    <cfRule type="cellIs" dxfId="1266" priority="1339" operator="equal">
      <formula>"INVALID"</formula>
    </cfRule>
  </conditionalFormatting>
  <conditionalFormatting sqref="AG152:AG162">
    <cfRule type="cellIs" dxfId="1265" priority="1338" operator="equal">
      <formula>"INVALID"</formula>
    </cfRule>
  </conditionalFormatting>
  <conditionalFormatting sqref="AG152:AG162">
    <cfRule type="cellIs" dxfId="1264" priority="1337" operator="equal">
      <formula>"INVALID"</formula>
    </cfRule>
  </conditionalFormatting>
  <conditionalFormatting sqref="AG152:AG162">
    <cfRule type="cellIs" dxfId="1263" priority="1336" operator="equal">
      <formula>"INVALID"</formula>
    </cfRule>
  </conditionalFormatting>
  <conditionalFormatting sqref="AG152:AG162">
    <cfRule type="cellIs" dxfId="1262" priority="1335" operator="equal">
      <formula>"INVALID"</formula>
    </cfRule>
  </conditionalFormatting>
  <conditionalFormatting sqref="AG177:AG196">
    <cfRule type="cellIs" dxfId="1261" priority="1334" operator="equal">
      <formula>"INVALID"</formula>
    </cfRule>
  </conditionalFormatting>
  <conditionalFormatting sqref="AG177:AG196">
    <cfRule type="cellIs" dxfId="1260" priority="1333" operator="equal">
      <formula>"INVALID"</formula>
    </cfRule>
  </conditionalFormatting>
  <conditionalFormatting sqref="AG177:AG196">
    <cfRule type="cellIs" dxfId="1259" priority="1331" operator="equal">
      <formula>"INVALID"</formula>
    </cfRule>
  </conditionalFormatting>
  <conditionalFormatting sqref="AG177:AG196">
    <cfRule type="cellIs" dxfId="1258" priority="1332" operator="equal">
      <formula>"INVALID"</formula>
    </cfRule>
  </conditionalFormatting>
  <conditionalFormatting sqref="AG177:AG196">
    <cfRule type="cellIs" dxfId="1257" priority="1330" operator="equal">
      <formula>"INVALID"</formula>
    </cfRule>
  </conditionalFormatting>
  <conditionalFormatting sqref="AG177:AG196">
    <cfRule type="cellIs" dxfId="1256" priority="1329" operator="equal">
      <formula>"INVALID"</formula>
    </cfRule>
  </conditionalFormatting>
  <conditionalFormatting sqref="AG177:AG196">
    <cfRule type="cellIs" dxfId="1255" priority="1326" operator="equal">
      <formula>"INVALID"</formula>
    </cfRule>
  </conditionalFormatting>
  <conditionalFormatting sqref="AG177:AG196">
    <cfRule type="cellIs" dxfId="1254" priority="1328" operator="equal">
      <formula>"INVALID"</formula>
    </cfRule>
  </conditionalFormatting>
  <conditionalFormatting sqref="AG177:AG196">
    <cfRule type="cellIs" dxfId="1253" priority="1327" operator="equal">
      <formula>"INVALID"</formula>
    </cfRule>
  </conditionalFormatting>
  <conditionalFormatting sqref="AG177:AG196">
    <cfRule type="cellIs" dxfId="1252" priority="1325" operator="equal">
      <formula>"INVALID"</formula>
    </cfRule>
  </conditionalFormatting>
  <conditionalFormatting sqref="AG177:AG196">
    <cfRule type="cellIs" dxfId="1251" priority="1324" operator="equal">
      <formula>"INVALID"</formula>
    </cfRule>
  </conditionalFormatting>
  <conditionalFormatting sqref="AG177:AG196">
    <cfRule type="cellIs" dxfId="1250" priority="1323" operator="equal">
      <formula>"INVALID"</formula>
    </cfRule>
  </conditionalFormatting>
  <conditionalFormatting sqref="AG177:AG196">
    <cfRule type="cellIs" dxfId="1249" priority="1322" operator="equal">
      <formula>"INVALID"</formula>
    </cfRule>
  </conditionalFormatting>
  <conditionalFormatting sqref="AG177:AG196">
    <cfRule type="cellIs" dxfId="1248" priority="1321" operator="equal">
      <formula>"INVALID"</formula>
    </cfRule>
  </conditionalFormatting>
  <conditionalFormatting sqref="AG201:AG202 AG209:AG210 AG212:AG213 AG215:AG226 AG228:AG229 AG205:AG206">
    <cfRule type="cellIs" dxfId="1247" priority="1320" operator="equal">
      <formula>"INVALID"</formula>
    </cfRule>
  </conditionalFormatting>
  <conditionalFormatting sqref="AG201:AG202 AG209:AG210 AG212:AG213 AG215:AG226 AG228:AG229 AG205:AG206">
    <cfRule type="cellIs" dxfId="1246" priority="1319" operator="equal">
      <formula>"INVALID"</formula>
    </cfRule>
  </conditionalFormatting>
  <conditionalFormatting sqref="AG201:AG202 AG209:AG210 AG212:AG213 AG215:AG226 AG228:AG229 AG205:AG206">
    <cfRule type="cellIs" dxfId="1245" priority="1318" operator="equal">
      <formula>"INVALID"</formula>
    </cfRule>
  </conditionalFormatting>
  <conditionalFormatting sqref="AG201:AG202 AG209:AG210 AG212:AG213 AG215:AG226 AG228:AG229 AG205:AG206">
    <cfRule type="cellIs" dxfId="1244" priority="1316" operator="equal">
      <formula>"INVALID"</formula>
    </cfRule>
  </conditionalFormatting>
  <conditionalFormatting sqref="AG201:AG202 AG209:AG210 AG212:AG213 AG215:AG226 AG228:AG229 AG205:AG206">
    <cfRule type="cellIs" dxfId="1243" priority="1317" operator="equal">
      <formula>"INVALID"</formula>
    </cfRule>
  </conditionalFormatting>
  <conditionalFormatting sqref="AG201:AG202 AG209:AG210 AG212:AG213 AG215:AG226 AG228:AG229 AG205:AG206">
    <cfRule type="cellIs" dxfId="1242" priority="1315" operator="equal">
      <formula>"INVALID"</formula>
    </cfRule>
  </conditionalFormatting>
  <conditionalFormatting sqref="AG201:AG202 AG209:AG210 AG212:AG213 AG215:AG226 AG228:AG229 AG205:AG206">
    <cfRule type="cellIs" dxfId="1241" priority="1314" operator="equal">
      <formula>"INVALID"</formula>
    </cfRule>
  </conditionalFormatting>
  <conditionalFormatting sqref="AG201:AG202 AG209:AG210 AG212:AG213 AG215:AG226 AG228:AG229 AG205:AG206">
    <cfRule type="cellIs" dxfId="1240" priority="1311" operator="equal">
      <formula>"INVALID"</formula>
    </cfRule>
  </conditionalFormatting>
  <conditionalFormatting sqref="AG201:AG202 AG209:AG210 AG212:AG213 AG215:AG226 AG228:AG229 AG205:AG206">
    <cfRule type="cellIs" dxfId="1239" priority="1313" operator="equal">
      <formula>"INVALID"</formula>
    </cfRule>
  </conditionalFormatting>
  <conditionalFormatting sqref="AG201:AG202 AG209:AG210 AG212:AG213 AG215:AG226 AG228:AG229 AG205:AG206">
    <cfRule type="cellIs" dxfId="1238" priority="1312" operator="equal">
      <formula>"INVALID"</formula>
    </cfRule>
  </conditionalFormatting>
  <conditionalFormatting sqref="AG201:AG202 AG209:AG210 AG212:AG213 AG215:AG226 AG228:AG229 AG205:AG206">
    <cfRule type="cellIs" dxfId="1237" priority="1310" operator="equal">
      <formula>"INVALID"</formula>
    </cfRule>
  </conditionalFormatting>
  <conditionalFormatting sqref="AG201:AG202 AG209:AG210 AG212:AG213 AG215:AG226 AG228:AG229 AG205:AG206">
    <cfRule type="cellIs" dxfId="1236" priority="1309" operator="equal">
      <formula>"INVALID"</formula>
    </cfRule>
  </conditionalFormatting>
  <conditionalFormatting sqref="AG201:AG202 AG209:AG210 AG212:AG213 AG215:AG226 AG228:AG229 AG205:AG206">
    <cfRule type="cellIs" dxfId="1235" priority="1308" operator="equal">
      <formula>"INVALID"</formula>
    </cfRule>
  </conditionalFormatting>
  <conditionalFormatting sqref="AG201:AG202 AG209:AG210 AG212:AG213 AG215:AG226 AG228:AG229 AG205:AG206">
    <cfRule type="cellIs" dxfId="1234" priority="1307" operator="equal">
      <formula>"INVALID"</formula>
    </cfRule>
  </conditionalFormatting>
  <conditionalFormatting sqref="AG201:AG202 AG209:AG210 AG212:AG213 AG215:AG226 AG228:AG229 AG205:AG206">
    <cfRule type="cellIs" dxfId="1233" priority="1306" operator="equal">
      <formula>"INVALID"</formula>
    </cfRule>
  </conditionalFormatting>
  <conditionalFormatting sqref="AG231:AG240">
    <cfRule type="cellIs" dxfId="1232" priority="1305" operator="equal">
      <formula>"INVALID"</formula>
    </cfRule>
  </conditionalFormatting>
  <conditionalFormatting sqref="AG231:AG240">
    <cfRule type="cellIs" dxfId="1231" priority="1304" operator="equal">
      <formula>"INVALID"</formula>
    </cfRule>
  </conditionalFormatting>
  <conditionalFormatting sqref="AG231:AG240">
    <cfRule type="cellIs" dxfId="1230" priority="1303" operator="equal">
      <formula>"INVALID"</formula>
    </cfRule>
  </conditionalFormatting>
  <conditionalFormatting sqref="AG231:AG240">
    <cfRule type="cellIs" dxfId="1229" priority="1302" operator="equal">
      <formula>"INVALID"</formula>
    </cfRule>
  </conditionalFormatting>
  <conditionalFormatting sqref="AG231:AG240">
    <cfRule type="cellIs" dxfId="1228" priority="1301" operator="equal">
      <formula>"INVALID"</formula>
    </cfRule>
  </conditionalFormatting>
  <conditionalFormatting sqref="AG231:AG240">
    <cfRule type="cellIs" dxfId="1227" priority="1300" operator="equal">
      <formula>"INVALID"</formula>
    </cfRule>
  </conditionalFormatting>
  <conditionalFormatting sqref="AG231:AG240">
    <cfRule type="cellIs" dxfId="1226" priority="1298" operator="equal">
      <formula>"INVALID"</formula>
    </cfRule>
  </conditionalFormatting>
  <conditionalFormatting sqref="AG231:AG240">
    <cfRule type="cellIs" dxfId="1225" priority="1299" operator="equal">
      <formula>"INVALID"</formula>
    </cfRule>
  </conditionalFormatting>
  <conditionalFormatting sqref="AG231:AG240">
    <cfRule type="cellIs" dxfId="1224" priority="1297" operator="equal">
      <formula>"INVALID"</formula>
    </cfRule>
  </conditionalFormatting>
  <conditionalFormatting sqref="AG231:AG240">
    <cfRule type="cellIs" dxfId="1223" priority="1296" operator="equal">
      <formula>"INVALID"</formula>
    </cfRule>
  </conditionalFormatting>
  <conditionalFormatting sqref="AG231:AG240">
    <cfRule type="cellIs" dxfId="1222" priority="1293" operator="equal">
      <formula>"INVALID"</formula>
    </cfRule>
  </conditionalFormatting>
  <conditionalFormatting sqref="AG231:AG240">
    <cfRule type="cellIs" dxfId="1221" priority="1295" operator="equal">
      <formula>"INVALID"</formula>
    </cfRule>
  </conditionalFormatting>
  <conditionalFormatting sqref="AG231:AG240">
    <cfRule type="cellIs" dxfId="1220" priority="1294" operator="equal">
      <formula>"INVALID"</formula>
    </cfRule>
  </conditionalFormatting>
  <conditionalFormatting sqref="AG231:AG240">
    <cfRule type="cellIs" dxfId="1219" priority="1292" operator="equal">
      <formula>"INVALID"</formula>
    </cfRule>
  </conditionalFormatting>
  <conditionalFormatting sqref="AG231:AG240">
    <cfRule type="cellIs" dxfId="1218" priority="1291" operator="equal">
      <formula>"INVALID"</formula>
    </cfRule>
  </conditionalFormatting>
  <conditionalFormatting sqref="AG231:AG240">
    <cfRule type="cellIs" dxfId="1217" priority="1290" operator="equal">
      <formula>"INVALID"</formula>
    </cfRule>
  </conditionalFormatting>
  <conditionalFormatting sqref="AG231:AG240">
    <cfRule type="cellIs" dxfId="1216" priority="1289" operator="equal">
      <formula>"INVALID"</formula>
    </cfRule>
  </conditionalFormatting>
  <conditionalFormatting sqref="AG231:AG240">
    <cfRule type="cellIs" dxfId="1215" priority="1288" operator="equal">
      <formula>"INVALID"</formula>
    </cfRule>
  </conditionalFormatting>
  <conditionalFormatting sqref="AG242:AG243">
    <cfRule type="cellIs" dxfId="1214" priority="1287" operator="equal">
      <formula>"INVALID"</formula>
    </cfRule>
  </conditionalFormatting>
  <conditionalFormatting sqref="AG242:AG243">
    <cfRule type="cellIs" dxfId="1213" priority="1286" operator="equal">
      <formula>"INVALID"</formula>
    </cfRule>
  </conditionalFormatting>
  <conditionalFormatting sqref="AG242:AG243">
    <cfRule type="cellIs" dxfId="1212" priority="1285" operator="equal">
      <formula>"INVALID"</formula>
    </cfRule>
  </conditionalFormatting>
  <conditionalFormatting sqref="AG242:AG243">
    <cfRule type="cellIs" dxfId="1211" priority="1284" operator="equal">
      <formula>"INVALID"</formula>
    </cfRule>
  </conditionalFormatting>
  <conditionalFormatting sqref="AG242:AG243">
    <cfRule type="cellIs" dxfId="1210" priority="1283" operator="equal">
      <formula>"INVALID"</formula>
    </cfRule>
  </conditionalFormatting>
  <conditionalFormatting sqref="AG242:AG243">
    <cfRule type="cellIs" dxfId="1209" priority="1282" operator="equal">
      <formula>"INVALID"</formula>
    </cfRule>
  </conditionalFormatting>
  <conditionalFormatting sqref="AG242:AG243">
    <cfRule type="cellIs" dxfId="1208" priority="1281" operator="equal">
      <formula>"INVALID"</formula>
    </cfRule>
  </conditionalFormatting>
  <conditionalFormatting sqref="AG242:AG243">
    <cfRule type="cellIs" dxfId="1207" priority="1280" operator="equal">
      <formula>"INVALID"</formula>
    </cfRule>
  </conditionalFormatting>
  <conditionalFormatting sqref="AG242:AG243">
    <cfRule type="cellIs" dxfId="1206" priority="1279" operator="equal">
      <formula>"INVALID"</formula>
    </cfRule>
  </conditionalFormatting>
  <conditionalFormatting sqref="AG242:AG243">
    <cfRule type="cellIs" dxfId="1205" priority="1278" operator="equal">
      <formula>"INVALID"</formula>
    </cfRule>
  </conditionalFormatting>
  <conditionalFormatting sqref="AG242:AG243">
    <cfRule type="cellIs" dxfId="1204" priority="1277" operator="equal">
      <formula>"INVALID"</formula>
    </cfRule>
  </conditionalFormatting>
  <conditionalFormatting sqref="AG242:AG243">
    <cfRule type="cellIs" dxfId="1203" priority="1276" operator="equal">
      <formula>"INVALID"</formula>
    </cfRule>
  </conditionalFormatting>
  <conditionalFormatting sqref="AG242:AG243">
    <cfRule type="cellIs" dxfId="1202" priority="1274" operator="equal">
      <formula>"INVALID"</formula>
    </cfRule>
  </conditionalFormatting>
  <conditionalFormatting sqref="AG242:AG243">
    <cfRule type="cellIs" dxfId="1201" priority="1275" operator="equal">
      <formula>"INVALID"</formula>
    </cfRule>
  </conditionalFormatting>
  <conditionalFormatting sqref="AG242:AG243">
    <cfRule type="cellIs" dxfId="1200" priority="1273" operator="equal">
      <formula>"INVALID"</formula>
    </cfRule>
  </conditionalFormatting>
  <conditionalFormatting sqref="AG242:AG243">
    <cfRule type="cellIs" dxfId="1199" priority="1272" operator="equal">
      <formula>"INVALID"</formula>
    </cfRule>
  </conditionalFormatting>
  <conditionalFormatting sqref="AG242:AG243">
    <cfRule type="cellIs" dxfId="1198" priority="1269" operator="equal">
      <formula>"INVALID"</formula>
    </cfRule>
  </conditionalFormatting>
  <conditionalFormatting sqref="AG242:AG243">
    <cfRule type="cellIs" dxfId="1197" priority="1271" operator="equal">
      <formula>"INVALID"</formula>
    </cfRule>
  </conditionalFormatting>
  <conditionalFormatting sqref="AG242:AG243">
    <cfRule type="cellIs" dxfId="1196" priority="1270" operator="equal">
      <formula>"INVALID"</formula>
    </cfRule>
  </conditionalFormatting>
  <conditionalFormatting sqref="AG242:AG243">
    <cfRule type="cellIs" dxfId="1195" priority="1268" operator="equal">
      <formula>"INVALID"</formula>
    </cfRule>
  </conditionalFormatting>
  <conditionalFormatting sqref="AG242:AG243">
    <cfRule type="cellIs" dxfId="1194" priority="1267" operator="equal">
      <formula>"INVALID"</formula>
    </cfRule>
  </conditionalFormatting>
  <conditionalFormatting sqref="AG242:AG243">
    <cfRule type="cellIs" dxfId="1193" priority="1266" operator="equal">
      <formula>"INVALID"</formula>
    </cfRule>
  </conditionalFormatting>
  <conditionalFormatting sqref="AG242:AG243">
    <cfRule type="cellIs" dxfId="1192" priority="1265" operator="equal">
      <formula>"INVALID"</formula>
    </cfRule>
  </conditionalFormatting>
  <conditionalFormatting sqref="AG242:AG243">
    <cfRule type="cellIs" dxfId="1191" priority="1264" operator="equal">
      <formula>"INVALID"</formula>
    </cfRule>
  </conditionalFormatting>
  <conditionalFormatting sqref="AG245:AG250">
    <cfRule type="cellIs" dxfId="1190" priority="1263" operator="equal">
      <formula>"INVALID"</formula>
    </cfRule>
  </conditionalFormatting>
  <conditionalFormatting sqref="AG245:AG250">
    <cfRule type="cellIs" dxfId="1189" priority="1262" operator="equal">
      <formula>"INVALID"</formula>
    </cfRule>
  </conditionalFormatting>
  <conditionalFormatting sqref="AG245:AG250">
    <cfRule type="cellIs" dxfId="1188" priority="1261" operator="equal">
      <formula>"INVALID"</formula>
    </cfRule>
  </conditionalFormatting>
  <conditionalFormatting sqref="AG245:AG250">
    <cfRule type="cellIs" dxfId="1187" priority="1260" operator="equal">
      <formula>"INVALID"</formula>
    </cfRule>
  </conditionalFormatting>
  <conditionalFormatting sqref="AG245:AG250">
    <cfRule type="cellIs" dxfId="1186" priority="1259" operator="equal">
      <formula>"INVALID"</formula>
    </cfRule>
  </conditionalFormatting>
  <conditionalFormatting sqref="AG245:AG250">
    <cfRule type="cellIs" dxfId="1185" priority="1258" operator="equal">
      <formula>"INVALID"</formula>
    </cfRule>
  </conditionalFormatting>
  <conditionalFormatting sqref="AG245:AG250">
    <cfRule type="cellIs" dxfId="1184" priority="1257" operator="equal">
      <formula>"INVALID"</formula>
    </cfRule>
  </conditionalFormatting>
  <conditionalFormatting sqref="AG245:AG250">
    <cfRule type="cellIs" dxfId="1183" priority="1256" operator="equal">
      <formula>"INVALID"</formula>
    </cfRule>
  </conditionalFormatting>
  <conditionalFormatting sqref="AG245:AG250">
    <cfRule type="cellIs" dxfId="1182" priority="1255" operator="equal">
      <formula>"INVALID"</formula>
    </cfRule>
  </conditionalFormatting>
  <conditionalFormatting sqref="AG245:AG250">
    <cfRule type="cellIs" dxfId="1181" priority="1254" operator="equal">
      <formula>"INVALID"</formula>
    </cfRule>
  </conditionalFormatting>
  <conditionalFormatting sqref="AG245:AG250">
    <cfRule type="cellIs" dxfId="1180" priority="1253" operator="equal">
      <formula>"INVALID"</formula>
    </cfRule>
  </conditionalFormatting>
  <conditionalFormatting sqref="AG245:AG250">
    <cfRule type="cellIs" dxfId="1179" priority="1252" operator="equal">
      <formula>"INVALID"</formula>
    </cfRule>
  </conditionalFormatting>
  <conditionalFormatting sqref="AG245:AG250">
    <cfRule type="cellIs" dxfId="1178" priority="1251" operator="equal">
      <formula>"INVALID"</formula>
    </cfRule>
  </conditionalFormatting>
  <conditionalFormatting sqref="AG245:AG250">
    <cfRule type="cellIs" dxfId="1177" priority="1250" operator="equal">
      <formula>"INVALID"</formula>
    </cfRule>
  </conditionalFormatting>
  <conditionalFormatting sqref="AG245:AG250">
    <cfRule type="cellIs" dxfId="1176" priority="1249" operator="equal">
      <formula>"INVALID"</formula>
    </cfRule>
  </conditionalFormatting>
  <conditionalFormatting sqref="AG245:AG250">
    <cfRule type="cellIs" dxfId="1175" priority="1248" operator="equal">
      <formula>"INVALID"</formula>
    </cfRule>
  </conditionalFormatting>
  <conditionalFormatting sqref="AG245:AG250">
    <cfRule type="cellIs" dxfId="1174" priority="1247" operator="equal">
      <formula>"INVALID"</formula>
    </cfRule>
  </conditionalFormatting>
  <conditionalFormatting sqref="AG245:AG250">
    <cfRule type="cellIs" dxfId="1173" priority="1246" operator="equal">
      <formula>"INVALID"</formula>
    </cfRule>
  </conditionalFormatting>
  <conditionalFormatting sqref="AG245:AG250">
    <cfRule type="cellIs" dxfId="1172" priority="1245" operator="equal">
      <formula>"INVALID"</formula>
    </cfRule>
  </conditionalFormatting>
  <conditionalFormatting sqref="AG245:AG250">
    <cfRule type="cellIs" dxfId="1171" priority="1244" operator="equal">
      <formula>"INVALID"</formula>
    </cfRule>
  </conditionalFormatting>
  <conditionalFormatting sqref="AG245:AG250">
    <cfRule type="cellIs" dxfId="1170" priority="1243" operator="equal">
      <formula>"INVALID"</formula>
    </cfRule>
  </conditionalFormatting>
  <conditionalFormatting sqref="AG245:AG250">
    <cfRule type="cellIs" dxfId="1169" priority="1242" operator="equal">
      <formula>"INVALID"</formula>
    </cfRule>
  </conditionalFormatting>
  <conditionalFormatting sqref="AG245:AG250">
    <cfRule type="cellIs" dxfId="1168" priority="1241" operator="equal">
      <formula>"INVALID"</formula>
    </cfRule>
  </conditionalFormatting>
  <conditionalFormatting sqref="AG245:AG250">
    <cfRule type="cellIs" dxfId="1167" priority="1240" operator="equal">
      <formula>"INVALID"</formula>
    </cfRule>
  </conditionalFormatting>
  <conditionalFormatting sqref="AG245:AG250">
    <cfRule type="cellIs" dxfId="1166" priority="1239" operator="equal">
      <formula>"INVALID"</formula>
    </cfRule>
  </conditionalFormatting>
  <conditionalFormatting sqref="AG245:AG250">
    <cfRule type="cellIs" dxfId="1165" priority="1238" operator="equal">
      <formula>"INVALID"</formula>
    </cfRule>
  </conditionalFormatting>
  <conditionalFormatting sqref="AG245:AG250">
    <cfRule type="cellIs" dxfId="1164" priority="1237" operator="equal">
      <formula>"INVALID"</formula>
    </cfRule>
  </conditionalFormatting>
  <conditionalFormatting sqref="AG245:AG250">
    <cfRule type="cellIs" dxfId="1163" priority="1236" operator="equal">
      <formula>"INVALID"</formula>
    </cfRule>
  </conditionalFormatting>
  <conditionalFormatting sqref="AG245:AG250">
    <cfRule type="cellIs" dxfId="1162" priority="1234" operator="equal">
      <formula>"INVALID"</formula>
    </cfRule>
  </conditionalFormatting>
  <conditionalFormatting sqref="AG245:AG250">
    <cfRule type="cellIs" dxfId="1161" priority="1235" operator="equal">
      <formula>"INVALID"</formula>
    </cfRule>
  </conditionalFormatting>
  <conditionalFormatting sqref="AG245:AG250">
    <cfRule type="cellIs" dxfId="1160" priority="1233" operator="equal">
      <formula>"INVALID"</formula>
    </cfRule>
  </conditionalFormatting>
  <conditionalFormatting sqref="AG245:AG250">
    <cfRule type="cellIs" dxfId="1159" priority="1232" operator="equal">
      <formula>"INVALID"</formula>
    </cfRule>
  </conditionalFormatting>
  <conditionalFormatting sqref="AG245:AG250">
    <cfRule type="cellIs" dxfId="1158" priority="1229" operator="equal">
      <formula>"INVALID"</formula>
    </cfRule>
  </conditionalFormatting>
  <conditionalFormatting sqref="AG245:AG250">
    <cfRule type="cellIs" dxfId="1157" priority="1231" operator="equal">
      <formula>"INVALID"</formula>
    </cfRule>
  </conditionalFormatting>
  <conditionalFormatting sqref="AG245:AG250">
    <cfRule type="cellIs" dxfId="1156" priority="1230" operator="equal">
      <formula>"INVALID"</formula>
    </cfRule>
  </conditionalFormatting>
  <conditionalFormatting sqref="AG245:AG250">
    <cfRule type="cellIs" dxfId="1155" priority="1228" operator="equal">
      <formula>"INVALID"</formula>
    </cfRule>
  </conditionalFormatting>
  <conditionalFormatting sqref="AG245:AG250">
    <cfRule type="cellIs" dxfId="1154" priority="1227" operator="equal">
      <formula>"INVALID"</formula>
    </cfRule>
  </conditionalFormatting>
  <conditionalFormatting sqref="AG245:AG250">
    <cfRule type="cellIs" dxfId="1153" priority="1226" operator="equal">
      <formula>"INVALID"</formula>
    </cfRule>
  </conditionalFormatting>
  <conditionalFormatting sqref="AG245:AG250">
    <cfRule type="cellIs" dxfId="1152" priority="1225" operator="equal">
      <formula>"INVALID"</formula>
    </cfRule>
  </conditionalFormatting>
  <conditionalFormatting sqref="AG245:AG250">
    <cfRule type="cellIs" dxfId="1151" priority="1224" operator="equal">
      <formula>"INVALID"</formula>
    </cfRule>
  </conditionalFormatting>
  <conditionalFormatting sqref="AD152:AD162">
    <cfRule type="cellIs" dxfId="1150" priority="1223" operator="equal">
      <formula>"INVALID"</formula>
    </cfRule>
  </conditionalFormatting>
  <conditionalFormatting sqref="AX215:AX217">
    <cfRule type="expression" dxfId="1149" priority="1222">
      <formula>NOT($AO215)</formula>
    </cfRule>
  </conditionalFormatting>
  <conditionalFormatting sqref="AX224:AX226">
    <cfRule type="expression" dxfId="1148" priority="1221">
      <formula>NOT($AO224)</formula>
    </cfRule>
  </conditionalFormatting>
  <conditionalFormatting sqref="AS24:AS25">
    <cfRule type="expression" dxfId="1147" priority="1220">
      <formula>NOT($AN24)</formula>
    </cfRule>
  </conditionalFormatting>
  <conditionalFormatting sqref="AE24:AF25 AI24:AI25">
    <cfRule type="cellIs" dxfId="1146" priority="1219" operator="equal">
      <formula>"INVALID"</formula>
    </cfRule>
  </conditionalFormatting>
  <conditionalFormatting sqref="AR24:AR25">
    <cfRule type="cellIs" dxfId="1145" priority="1217" operator="equal">
      <formula>"Not Assigned"</formula>
    </cfRule>
  </conditionalFormatting>
  <conditionalFormatting sqref="AS24:AS25">
    <cfRule type="expression" dxfId="1144" priority="1216">
      <formula>EXACT(AF24, "INVALID")</formula>
    </cfRule>
  </conditionalFormatting>
  <conditionalFormatting sqref="AZ24:AZ25">
    <cfRule type="expression" dxfId="1143" priority="1215">
      <formula>AND(NOT(ISBLANK(AZ24)), EXACT(AF24, "INVALID"))</formula>
    </cfRule>
  </conditionalFormatting>
  <conditionalFormatting sqref="BA24:BA25">
    <cfRule type="expression" dxfId="1142" priority="1214">
      <formula>AND(NOT(ISBLANK(BA24)), EXACT(AF24, "INVALID"))</formula>
    </cfRule>
  </conditionalFormatting>
  <conditionalFormatting sqref="AR24:AR25">
    <cfRule type="expression" dxfId="1141" priority="1213">
      <formula>NOT($AL24)</formula>
    </cfRule>
  </conditionalFormatting>
  <conditionalFormatting sqref="AQ24:AQ25">
    <cfRule type="expression" dxfId="1140" priority="1218" stopIfTrue="1">
      <formula>REPLACE($AQ24,8,LEN($AQ24),"")="unused_"</formula>
    </cfRule>
  </conditionalFormatting>
  <conditionalFormatting sqref="AJ24:AJ25">
    <cfRule type="cellIs" dxfId="1139" priority="1211" operator="equal">
      <formula>FALSE</formula>
    </cfRule>
  </conditionalFormatting>
  <conditionalFormatting sqref="AK24:AK25">
    <cfRule type="cellIs" dxfId="1138" priority="1210" operator="equal">
      <formula>FALSE</formula>
    </cfRule>
  </conditionalFormatting>
  <conditionalFormatting sqref="AL24:AL25">
    <cfRule type="cellIs" dxfId="1137" priority="1209" operator="equal">
      <formula>FALSE</formula>
    </cfRule>
  </conditionalFormatting>
  <conditionalFormatting sqref="AM24:AM25">
    <cfRule type="cellIs" dxfId="1136" priority="1208" operator="equal">
      <formula>FALSE</formula>
    </cfRule>
  </conditionalFormatting>
  <conditionalFormatting sqref="AN24:AN25">
    <cfRule type="cellIs" dxfId="1135" priority="1207" operator="equal">
      <formula>FALSE</formula>
    </cfRule>
  </conditionalFormatting>
  <conditionalFormatting sqref="AP24:AP25">
    <cfRule type="cellIs" dxfId="1134" priority="1206" operator="equal">
      <formula>"INVALID"</formula>
    </cfRule>
  </conditionalFormatting>
  <conditionalFormatting sqref="AJ24:AJ25">
    <cfRule type="cellIs" dxfId="1133" priority="1205" operator="equal">
      <formula>"INVALID"</formula>
    </cfRule>
  </conditionalFormatting>
  <conditionalFormatting sqref="AK24:AK25">
    <cfRule type="cellIs" dxfId="1132" priority="1204" operator="equal">
      <formula>"INVALID"</formula>
    </cfRule>
  </conditionalFormatting>
  <conditionalFormatting sqref="AL24:AM25">
    <cfRule type="cellIs" dxfId="1131" priority="1203" operator="equal">
      <formula>"INVALID"</formula>
    </cfRule>
  </conditionalFormatting>
  <conditionalFormatting sqref="AK24:AK25">
    <cfRule type="cellIs" dxfId="1130" priority="1202" operator="equal">
      <formula>"INVALID"</formula>
    </cfRule>
  </conditionalFormatting>
  <conditionalFormatting sqref="AL24:AL25">
    <cfRule type="cellIs" dxfId="1129" priority="1201" operator="equal">
      <formula>"INVALID"</formula>
    </cfRule>
  </conditionalFormatting>
  <conditionalFormatting sqref="AM24:AM25">
    <cfRule type="cellIs" dxfId="1128" priority="1200" operator="equal">
      <formula>"INVALID"</formula>
    </cfRule>
  </conditionalFormatting>
  <conditionalFormatting sqref="AN24:AN25">
    <cfRule type="cellIs" dxfId="1127" priority="1199" operator="equal">
      <formula>"INVALID"</formula>
    </cfRule>
  </conditionalFormatting>
  <conditionalFormatting sqref="AQ24:AQ25">
    <cfRule type="expression" dxfId="1126" priority="1198">
      <formula>NOT($AJ24)</formula>
    </cfRule>
    <cfRule type="expression" dxfId="1125" priority="1212">
      <formula>RIGHT($AQ24, 1)="*"</formula>
    </cfRule>
  </conditionalFormatting>
  <conditionalFormatting sqref="AZ24:BA25">
    <cfRule type="expression" dxfId="1124" priority="1197">
      <formula>NOT($AN24)</formula>
    </cfRule>
  </conditionalFormatting>
  <conditionalFormatting sqref="AS24:AS25">
    <cfRule type="expression" dxfId="1123" priority="1196">
      <formula>NOT($AK24)</formula>
    </cfRule>
  </conditionalFormatting>
  <conditionalFormatting sqref="AO24:AO25">
    <cfRule type="cellIs" dxfId="1122" priority="1195" operator="equal">
      <formula>FALSE</formula>
    </cfRule>
  </conditionalFormatting>
  <conditionalFormatting sqref="AO24:AO25">
    <cfRule type="cellIs" dxfId="1121" priority="1194" operator="equal">
      <formula>"INVALID"</formula>
    </cfRule>
  </conditionalFormatting>
  <conditionalFormatting sqref="AO24:AO25">
    <cfRule type="cellIs" dxfId="1120" priority="1193" operator="equal">
      <formula>"INVALID"</formula>
    </cfRule>
  </conditionalFormatting>
  <conditionalFormatting sqref="AD26:AF26 AI26">
    <cfRule type="cellIs" dxfId="1119" priority="1192" operator="equal">
      <formula>"INVALID"</formula>
    </cfRule>
  </conditionalFormatting>
  <conditionalFormatting sqref="AR26">
    <cfRule type="cellIs" dxfId="1118" priority="1190" operator="equal">
      <formula>"Not Assigned"</formula>
    </cfRule>
  </conditionalFormatting>
  <conditionalFormatting sqref="AS26">
    <cfRule type="expression" dxfId="1117" priority="1189">
      <formula>EXACT(AF26, "INVALID")</formula>
    </cfRule>
  </conditionalFormatting>
  <conditionalFormatting sqref="AZ26">
    <cfRule type="expression" dxfId="1116" priority="1188">
      <formula>AND(NOT(ISBLANK(AZ26)), EXACT(AF26, "INVALID"))</formula>
    </cfRule>
  </conditionalFormatting>
  <conditionalFormatting sqref="BA26">
    <cfRule type="expression" dxfId="1115" priority="1187">
      <formula>AND(NOT(ISBLANK(BA26)), EXACT(AF26, "INVALID"))</formula>
    </cfRule>
  </conditionalFormatting>
  <conditionalFormatting sqref="AR26">
    <cfRule type="expression" dxfId="1114" priority="1186">
      <formula>NOT($AL26)</formula>
    </cfRule>
  </conditionalFormatting>
  <conditionalFormatting sqref="AQ26">
    <cfRule type="expression" dxfId="1113" priority="1191" stopIfTrue="1">
      <formula>REPLACE($AQ26,8,LEN($AQ26),"")="unused_"</formula>
    </cfRule>
  </conditionalFormatting>
  <conditionalFormatting sqref="AJ26">
    <cfRule type="cellIs" dxfId="1112" priority="1184" operator="equal">
      <formula>FALSE</formula>
    </cfRule>
  </conditionalFormatting>
  <conditionalFormatting sqref="AK26">
    <cfRule type="cellIs" dxfId="1111" priority="1183" operator="equal">
      <formula>FALSE</formula>
    </cfRule>
  </conditionalFormatting>
  <conditionalFormatting sqref="AL26">
    <cfRule type="cellIs" dxfId="1110" priority="1182" operator="equal">
      <formula>FALSE</formula>
    </cfRule>
  </conditionalFormatting>
  <conditionalFormatting sqref="AM26">
    <cfRule type="cellIs" dxfId="1109" priority="1181" operator="equal">
      <formula>FALSE</formula>
    </cfRule>
  </conditionalFormatting>
  <conditionalFormatting sqref="AN26">
    <cfRule type="cellIs" dxfId="1108" priority="1180" operator="equal">
      <formula>FALSE</formula>
    </cfRule>
  </conditionalFormatting>
  <conditionalFormatting sqref="AP26">
    <cfRule type="cellIs" dxfId="1107" priority="1179" operator="equal">
      <formula>"INVALID"</formula>
    </cfRule>
  </conditionalFormatting>
  <conditionalFormatting sqref="AJ26">
    <cfRule type="cellIs" dxfId="1106" priority="1178" operator="equal">
      <formula>"INVALID"</formula>
    </cfRule>
  </conditionalFormatting>
  <conditionalFormatting sqref="AK26">
    <cfRule type="cellIs" dxfId="1105" priority="1177" operator="equal">
      <formula>"INVALID"</formula>
    </cfRule>
  </conditionalFormatting>
  <conditionalFormatting sqref="AL26:AM26">
    <cfRule type="cellIs" dxfId="1104" priority="1176" operator="equal">
      <formula>"INVALID"</formula>
    </cfRule>
  </conditionalFormatting>
  <conditionalFormatting sqref="AK26">
    <cfRule type="cellIs" dxfId="1103" priority="1175" operator="equal">
      <formula>"INVALID"</formula>
    </cfRule>
  </conditionalFormatting>
  <conditionalFormatting sqref="AL26">
    <cfRule type="cellIs" dxfId="1102" priority="1174" operator="equal">
      <formula>"INVALID"</formula>
    </cfRule>
  </conditionalFormatting>
  <conditionalFormatting sqref="AM26">
    <cfRule type="cellIs" dxfId="1101" priority="1173" operator="equal">
      <formula>"INVALID"</formula>
    </cfRule>
  </conditionalFormatting>
  <conditionalFormatting sqref="AN26">
    <cfRule type="cellIs" dxfId="1100" priority="1172" operator="equal">
      <formula>"INVALID"</formula>
    </cfRule>
  </conditionalFormatting>
  <conditionalFormatting sqref="AQ26">
    <cfRule type="expression" dxfId="1099" priority="1171">
      <formula>NOT($AJ26)</formula>
    </cfRule>
    <cfRule type="expression" dxfId="1098" priority="1185">
      <formula>RIGHT($AQ26, 1)="*"</formula>
    </cfRule>
  </conditionalFormatting>
  <conditionalFormatting sqref="AS26">
    <cfRule type="expression" dxfId="1097" priority="1170">
      <formula>NOT($AN26)</formula>
    </cfRule>
  </conditionalFormatting>
  <conditionalFormatting sqref="AS26">
    <cfRule type="expression" dxfId="1096" priority="1169">
      <formula>NOT($AK26)</formula>
    </cfRule>
  </conditionalFormatting>
  <conditionalFormatting sqref="AO26">
    <cfRule type="cellIs" dxfId="1095" priority="1168" operator="equal">
      <formula>FALSE</formula>
    </cfRule>
  </conditionalFormatting>
  <conditionalFormatting sqref="AO26">
    <cfRule type="cellIs" dxfId="1094" priority="1167" operator="equal">
      <formula>"INVALID"</formula>
    </cfRule>
  </conditionalFormatting>
  <conditionalFormatting sqref="AO26">
    <cfRule type="cellIs" dxfId="1093" priority="1166" operator="equal">
      <formula>"INVALID"</formula>
    </cfRule>
  </conditionalFormatting>
  <conditionalFormatting sqref="AG24:AG25">
    <cfRule type="cellIs" dxfId="1092" priority="1165" operator="equal">
      <formula>"INVALID"</formula>
    </cfRule>
  </conditionalFormatting>
  <conditionalFormatting sqref="AG24:AG25">
    <cfRule type="cellIs" dxfId="1091" priority="1164" operator="equal">
      <formula>"INVALID"</formula>
    </cfRule>
  </conditionalFormatting>
  <conditionalFormatting sqref="C35:C40">
    <cfRule type="expression" dxfId="1090" priority="1163" stopIfTrue="1">
      <formula>AND(LEN($D35),NOT(LEN(#REF!)))</formula>
    </cfRule>
  </conditionalFormatting>
  <conditionalFormatting sqref="AR42:AR49">
    <cfRule type="cellIs" dxfId="1089" priority="1162" operator="equal">
      <formula>"Not Assigned"</formula>
    </cfRule>
  </conditionalFormatting>
  <conditionalFormatting sqref="AD42:AF49 AH42:AI49">
    <cfRule type="cellIs" dxfId="1088" priority="1161" operator="equal">
      <formula>"INVALID"</formula>
    </cfRule>
  </conditionalFormatting>
  <conditionalFormatting sqref="AS42:AS49">
    <cfRule type="expression" dxfId="1087" priority="1159">
      <formula>EXACT(AF42, "INVALID")</formula>
    </cfRule>
  </conditionalFormatting>
  <conditionalFormatting sqref="AZ42:AZ49">
    <cfRule type="expression" dxfId="1086" priority="1158">
      <formula>AND(NOT(ISBLANK(AZ42)), EXACT(AF42, "INVALID"))</formula>
    </cfRule>
  </conditionalFormatting>
  <conditionalFormatting sqref="BA42:BA49">
    <cfRule type="expression" dxfId="1085" priority="1157">
      <formula>AND(NOT(ISBLANK(BA42)), EXACT(AF42, "INVALID"))</formula>
    </cfRule>
  </conditionalFormatting>
  <conditionalFormatting sqref="AR42:AR49">
    <cfRule type="expression" dxfId="1084" priority="1156">
      <formula>NOT($AL42)</formula>
    </cfRule>
  </conditionalFormatting>
  <conditionalFormatting sqref="AQ42:AQ49">
    <cfRule type="expression" dxfId="1083" priority="1160" stopIfTrue="1">
      <formula>REPLACE($AQ42,8,LEN($AQ42),"")="unused_"</formula>
    </cfRule>
  </conditionalFormatting>
  <conditionalFormatting sqref="AJ42:AJ49">
    <cfRule type="cellIs" dxfId="1082" priority="1154" operator="equal">
      <formula>FALSE</formula>
    </cfRule>
  </conditionalFormatting>
  <conditionalFormatting sqref="AK42:AK49">
    <cfRule type="cellIs" dxfId="1081" priority="1153" operator="equal">
      <formula>FALSE</formula>
    </cfRule>
  </conditionalFormatting>
  <conditionalFormatting sqref="AL42:AL49">
    <cfRule type="cellIs" dxfId="1080" priority="1152" operator="equal">
      <formula>FALSE</formula>
    </cfRule>
  </conditionalFormatting>
  <conditionalFormatting sqref="AM42:AM49">
    <cfRule type="cellIs" dxfId="1079" priority="1151" operator="equal">
      <formula>FALSE</formula>
    </cfRule>
  </conditionalFormatting>
  <conditionalFormatting sqref="AN42:AN49">
    <cfRule type="cellIs" dxfId="1078" priority="1150" operator="equal">
      <formula>FALSE</formula>
    </cfRule>
  </conditionalFormatting>
  <conditionalFormatting sqref="AP42:AP49">
    <cfRule type="cellIs" dxfId="1077" priority="1149" operator="equal">
      <formula>"INVALID"</formula>
    </cfRule>
  </conditionalFormatting>
  <conditionalFormatting sqref="AJ42:AJ49">
    <cfRule type="cellIs" dxfId="1076" priority="1148" operator="equal">
      <formula>"INVALID"</formula>
    </cfRule>
  </conditionalFormatting>
  <conditionalFormatting sqref="AK42:AK49">
    <cfRule type="cellIs" dxfId="1075" priority="1147" operator="equal">
      <formula>"INVALID"</formula>
    </cfRule>
  </conditionalFormatting>
  <conditionalFormatting sqref="AL42:AM49">
    <cfRule type="cellIs" dxfId="1074" priority="1146" operator="equal">
      <formula>"INVALID"</formula>
    </cfRule>
  </conditionalFormatting>
  <conditionalFormatting sqref="AK42:AK49">
    <cfRule type="cellIs" dxfId="1073" priority="1145" operator="equal">
      <formula>"INVALID"</formula>
    </cfRule>
  </conditionalFormatting>
  <conditionalFormatting sqref="AL42:AL49">
    <cfRule type="cellIs" dxfId="1072" priority="1144" operator="equal">
      <formula>"INVALID"</formula>
    </cfRule>
  </conditionalFormatting>
  <conditionalFormatting sqref="AM42:AM49">
    <cfRule type="cellIs" dxfId="1071" priority="1143" operator="equal">
      <formula>"INVALID"</formula>
    </cfRule>
  </conditionalFormatting>
  <conditionalFormatting sqref="AN42:AN49">
    <cfRule type="cellIs" dxfId="1070" priority="1142" operator="equal">
      <formula>"INVALID"</formula>
    </cfRule>
  </conditionalFormatting>
  <conditionalFormatting sqref="AQ42:AQ49">
    <cfRule type="expression" dxfId="1069" priority="1141">
      <formula>NOT($AJ42)</formula>
    </cfRule>
    <cfRule type="expression" dxfId="1068" priority="1155">
      <formula>RIGHT($AQ42, 1)="*"</formula>
    </cfRule>
  </conditionalFormatting>
  <conditionalFormatting sqref="AZ42:BA49">
    <cfRule type="expression" dxfId="1067" priority="1140">
      <formula>NOT($AN42)</formula>
    </cfRule>
  </conditionalFormatting>
  <conditionalFormatting sqref="AS42:AS49">
    <cfRule type="expression" dxfId="1066" priority="1139">
      <formula>NOT($AK42)</formula>
    </cfRule>
  </conditionalFormatting>
  <conditionalFormatting sqref="AO42:AO49">
    <cfRule type="cellIs" dxfId="1065" priority="1138" operator="equal">
      <formula>FALSE</formula>
    </cfRule>
  </conditionalFormatting>
  <conditionalFormatting sqref="AO42:AO49">
    <cfRule type="cellIs" dxfId="1064" priority="1137" operator="equal">
      <formula>"INVALID"</formula>
    </cfRule>
  </conditionalFormatting>
  <conditionalFormatting sqref="AO42:AO49">
    <cfRule type="cellIs" dxfId="1063" priority="1136" operator="equal">
      <formula>"INVALID"</formula>
    </cfRule>
  </conditionalFormatting>
  <conditionalFormatting sqref="AG42:AG49">
    <cfRule type="cellIs" dxfId="1062" priority="1135" operator="equal">
      <formula>"INVALID"</formula>
    </cfRule>
  </conditionalFormatting>
  <conditionalFormatting sqref="AG42:AG49">
    <cfRule type="cellIs" dxfId="1061" priority="1134" operator="equal">
      <formula>"INVALID"</formula>
    </cfRule>
  </conditionalFormatting>
  <conditionalFormatting sqref="AG42:AG49">
    <cfRule type="cellIs" dxfId="1060" priority="1133" operator="equal">
      <formula>"INVALID"</formula>
    </cfRule>
  </conditionalFormatting>
  <conditionalFormatting sqref="AG42:AG49">
    <cfRule type="cellIs" dxfId="1059" priority="1132" operator="equal">
      <formula>"INVALID"</formula>
    </cfRule>
  </conditionalFormatting>
  <conditionalFormatting sqref="AR50:AR55">
    <cfRule type="cellIs" dxfId="1058" priority="1131" operator="equal">
      <formula>"Not Assigned"</formula>
    </cfRule>
  </conditionalFormatting>
  <conditionalFormatting sqref="AD50:AF55 AH50:AI55">
    <cfRule type="cellIs" dxfId="1057" priority="1130" operator="equal">
      <formula>"INVALID"</formula>
    </cfRule>
  </conditionalFormatting>
  <conditionalFormatting sqref="AJ50:AJ55">
    <cfRule type="cellIs" dxfId="1056" priority="1129" operator="equal">
      <formula>FALSE</formula>
    </cfRule>
  </conditionalFormatting>
  <conditionalFormatting sqref="AK50:AK55">
    <cfRule type="cellIs" dxfId="1055" priority="1128" operator="equal">
      <formula>FALSE</formula>
    </cfRule>
  </conditionalFormatting>
  <conditionalFormatting sqref="AL50:AL55">
    <cfRule type="cellIs" dxfId="1054" priority="1127" operator="equal">
      <formula>FALSE</formula>
    </cfRule>
  </conditionalFormatting>
  <conditionalFormatting sqref="AM50:AM55">
    <cfRule type="cellIs" dxfId="1053" priority="1126" operator="equal">
      <formula>FALSE</formula>
    </cfRule>
  </conditionalFormatting>
  <conditionalFormatting sqref="AN50:AN55">
    <cfRule type="cellIs" dxfId="1052" priority="1125" operator="equal">
      <formula>FALSE</formula>
    </cfRule>
  </conditionalFormatting>
  <conditionalFormatting sqref="AP50:AP55">
    <cfRule type="cellIs" dxfId="1051" priority="1124" operator="equal">
      <formula>"INVALID"</formula>
    </cfRule>
  </conditionalFormatting>
  <conditionalFormatting sqref="AJ50:AJ55">
    <cfRule type="cellIs" dxfId="1050" priority="1123" operator="equal">
      <formula>"INVALID"</formula>
    </cfRule>
  </conditionalFormatting>
  <conditionalFormatting sqref="AK50:AK55">
    <cfRule type="cellIs" dxfId="1049" priority="1122" operator="equal">
      <formula>"INVALID"</formula>
    </cfRule>
  </conditionalFormatting>
  <conditionalFormatting sqref="AL50:AM55">
    <cfRule type="cellIs" dxfId="1048" priority="1121" operator="equal">
      <formula>"INVALID"</formula>
    </cfRule>
  </conditionalFormatting>
  <conditionalFormatting sqref="AK50:AK55">
    <cfRule type="cellIs" dxfId="1047" priority="1120" operator="equal">
      <formula>"INVALID"</formula>
    </cfRule>
  </conditionalFormatting>
  <conditionalFormatting sqref="AL50:AL55">
    <cfRule type="cellIs" dxfId="1046" priority="1119" operator="equal">
      <formula>"INVALID"</formula>
    </cfRule>
  </conditionalFormatting>
  <conditionalFormatting sqref="AM50:AM55">
    <cfRule type="cellIs" dxfId="1045" priority="1118" operator="equal">
      <formula>"INVALID"</formula>
    </cfRule>
  </conditionalFormatting>
  <conditionalFormatting sqref="AN50:AN55">
    <cfRule type="cellIs" dxfId="1044" priority="1117" operator="equal">
      <formula>"INVALID"</formula>
    </cfRule>
  </conditionalFormatting>
  <conditionalFormatting sqref="AO50:AO55">
    <cfRule type="cellIs" dxfId="1043" priority="1116" operator="equal">
      <formula>FALSE</formula>
    </cfRule>
  </conditionalFormatting>
  <conditionalFormatting sqref="AO50:AO55">
    <cfRule type="cellIs" dxfId="1042" priority="1115" operator="equal">
      <formula>"INVALID"</formula>
    </cfRule>
  </conditionalFormatting>
  <conditionalFormatting sqref="AO50:AO55">
    <cfRule type="cellIs" dxfId="1041" priority="1114" operator="equal">
      <formula>"INVALID"</formula>
    </cfRule>
  </conditionalFormatting>
  <conditionalFormatting sqref="AT54">
    <cfRule type="expression" dxfId="1040" priority="1113">
      <formula>NOT($AM54)</formula>
    </cfRule>
  </conditionalFormatting>
  <conditionalFormatting sqref="AG50:AG55">
    <cfRule type="cellIs" dxfId="1039" priority="1112" operator="equal">
      <formula>"INVALID"</formula>
    </cfRule>
  </conditionalFormatting>
  <conditionalFormatting sqref="AG50:AG55">
    <cfRule type="cellIs" dxfId="1038" priority="1111" operator="equal">
      <formula>"INVALID"</formula>
    </cfRule>
  </conditionalFormatting>
  <conditionalFormatting sqref="AG50:AG55">
    <cfRule type="cellIs" dxfId="1037" priority="1110" operator="equal">
      <formula>"INVALID"</formula>
    </cfRule>
  </conditionalFormatting>
  <conditionalFormatting sqref="AG50:AG55">
    <cfRule type="cellIs" dxfId="1036" priority="1109" operator="equal">
      <formula>"INVALID"</formula>
    </cfRule>
  </conditionalFormatting>
  <conditionalFormatting sqref="AR57:AR65 AR67">
    <cfRule type="cellIs" dxfId="1035" priority="1108" operator="equal">
      <formula>"Not Assigned"</formula>
    </cfRule>
  </conditionalFormatting>
  <conditionalFormatting sqref="AD57:AF65 AD67:AF67 AI67 AH57:AI57 AI58:AI65 AH58:AH68">
    <cfRule type="cellIs" dxfId="1034" priority="1107" operator="equal">
      <formula>"INVALID"</formula>
    </cfRule>
  </conditionalFormatting>
  <conditionalFormatting sqref="AS57:AS65 AS67">
    <cfRule type="expression" dxfId="1033" priority="1105">
      <formula>EXACT(AF57, "INVALID")</formula>
    </cfRule>
  </conditionalFormatting>
  <conditionalFormatting sqref="AZ57:AZ65">
    <cfRule type="expression" dxfId="1032" priority="1104">
      <formula>AND(NOT(ISBLANK(AZ57)), EXACT(AF57, "INVALID"))</formula>
    </cfRule>
  </conditionalFormatting>
  <conditionalFormatting sqref="BA57:BA65">
    <cfRule type="expression" dxfId="1031" priority="1103">
      <formula>AND(NOT(ISBLANK(BA57)), EXACT(AF57, "INVALID"))</formula>
    </cfRule>
  </conditionalFormatting>
  <conditionalFormatting sqref="AR57:AR65">
    <cfRule type="expression" dxfId="1030" priority="1102">
      <formula>NOT($AL57)</formula>
    </cfRule>
  </conditionalFormatting>
  <conditionalFormatting sqref="AQ57:AQ65">
    <cfRule type="expression" dxfId="1029" priority="1106" stopIfTrue="1">
      <formula>REPLACE($AQ57,8,LEN($AQ57),"")="unused_"</formula>
    </cfRule>
  </conditionalFormatting>
  <conditionalFormatting sqref="AJ57:AJ65 AJ67">
    <cfRule type="cellIs" dxfId="1028" priority="1100" operator="equal">
      <formula>FALSE</formula>
    </cfRule>
  </conditionalFormatting>
  <conditionalFormatting sqref="AK57:AK65 AK67">
    <cfRule type="cellIs" dxfId="1027" priority="1099" operator="equal">
      <formula>FALSE</formula>
    </cfRule>
  </conditionalFormatting>
  <conditionalFormatting sqref="AL57:AL65 AL67">
    <cfRule type="cellIs" dxfId="1026" priority="1098" operator="equal">
      <formula>FALSE</formula>
    </cfRule>
  </conditionalFormatting>
  <conditionalFormatting sqref="AM57:AM65 AM67">
    <cfRule type="cellIs" dxfId="1025" priority="1097" operator="equal">
      <formula>FALSE</formula>
    </cfRule>
  </conditionalFormatting>
  <conditionalFormatting sqref="AN57:AN65 AN67">
    <cfRule type="cellIs" dxfId="1024" priority="1096" operator="equal">
      <formula>FALSE</formula>
    </cfRule>
  </conditionalFormatting>
  <conditionalFormatting sqref="AP57:AP65 AP67">
    <cfRule type="cellIs" dxfId="1023" priority="1095" operator="equal">
      <formula>"INVALID"</formula>
    </cfRule>
  </conditionalFormatting>
  <conditionalFormatting sqref="AJ57:AJ65 AJ67">
    <cfRule type="cellIs" dxfId="1022" priority="1094" operator="equal">
      <formula>"INVALID"</formula>
    </cfRule>
  </conditionalFormatting>
  <conditionalFormatting sqref="AK57:AK65 AK67">
    <cfRule type="cellIs" dxfId="1021" priority="1093" operator="equal">
      <formula>"INVALID"</formula>
    </cfRule>
  </conditionalFormatting>
  <conditionalFormatting sqref="AL57:AM65 AL67:AM67">
    <cfRule type="cellIs" dxfId="1020" priority="1092" operator="equal">
      <formula>"INVALID"</formula>
    </cfRule>
  </conditionalFormatting>
  <conditionalFormatting sqref="AK57:AK65 AK67">
    <cfRule type="cellIs" dxfId="1019" priority="1091" operator="equal">
      <formula>"INVALID"</formula>
    </cfRule>
  </conditionalFormatting>
  <conditionalFormatting sqref="AL57:AL65 AL67">
    <cfRule type="cellIs" dxfId="1018" priority="1090" operator="equal">
      <formula>"INVALID"</formula>
    </cfRule>
  </conditionalFormatting>
  <conditionalFormatting sqref="AM57:AM65 AM67">
    <cfRule type="cellIs" dxfId="1017" priority="1089" operator="equal">
      <formula>"INVALID"</formula>
    </cfRule>
  </conditionalFormatting>
  <conditionalFormatting sqref="AN57:AN65 AN67">
    <cfRule type="cellIs" dxfId="1016" priority="1088" operator="equal">
      <formula>"INVALID"</formula>
    </cfRule>
  </conditionalFormatting>
  <conditionalFormatting sqref="AQ57:AQ65">
    <cfRule type="expression" dxfId="1015" priority="1087">
      <formula>NOT($AJ57)</formula>
    </cfRule>
    <cfRule type="expression" dxfId="1014" priority="1101">
      <formula>RIGHT($AQ57, 1)="*"</formula>
    </cfRule>
  </conditionalFormatting>
  <conditionalFormatting sqref="AS57:AS65">
    <cfRule type="expression" dxfId="1013" priority="1086">
      <formula>NOT($AN57)</formula>
    </cfRule>
  </conditionalFormatting>
  <conditionalFormatting sqref="AS57:AS65">
    <cfRule type="expression" dxfId="1012" priority="1085">
      <formula>NOT($AK57)</formula>
    </cfRule>
  </conditionalFormatting>
  <conditionalFormatting sqref="AO57:AO65 AO67">
    <cfRule type="cellIs" dxfId="1011" priority="1084" operator="equal">
      <formula>FALSE</formula>
    </cfRule>
  </conditionalFormatting>
  <conditionalFormatting sqref="AO57:AO65 AO67">
    <cfRule type="cellIs" dxfId="1010" priority="1083" operator="equal">
      <formula>"INVALID"</formula>
    </cfRule>
  </conditionalFormatting>
  <conditionalFormatting sqref="AO57:AO65 AO67">
    <cfRule type="cellIs" dxfId="1009" priority="1082" operator="equal">
      <formula>"INVALID"</formula>
    </cfRule>
  </conditionalFormatting>
  <conditionalFormatting sqref="AR66">
    <cfRule type="cellIs" dxfId="1008" priority="1081" operator="equal">
      <formula>"Not Assigned"</formula>
    </cfRule>
  </conditionalFormatting>
  <conditionalFormatting sqref="AD66:AF66 AI66">
    <cfRule type="cellIs" dxfId="1007" priority="1080" operator="equal">
      <formula>"INVALID"</formula>
    </cfRule>
  </conditionalFormatting>
  <conditionalFormatting sqref="AS66">
    <cfRule type="expression" dxfId="1006" priority="1078">
      <formula>EXACT(AF66, "INVALID")</formula>
    </cfRule>
  </conditionalFormatting>
  <conditionalFormatting sqref="AZ66">
    <cfRule type="expression" dxfId="1005" priority="1077">
      <formula>AND(NOT(ISBLANK(AZ66)), EXACT(AF66, "INVALID"))</formula>
    </cfRule>
  </conditionalFormatting>
  <conditionalFormatting sqref="BA66">
    <cfRule type="expression" dxfId="1004" priority="1076">
      <formula>AND(NOT(ISBLANK(BA66)), EXACT(AF66, "INVALID"))</formula>
    </cfRule>
  </conditionalFormatting>
  <conditionalFormatting sqref="AR66">
    <cfRule type="expression" dxfId="1003" priority="1075">
      <formula>NOT($AL66)</formula>
    </cfRule>
  </conditionalFormatting>
  <conditionalFormatting sqref="AQ66">
    <cfRule type="expression" dxfId="1002" priority="1079" stopIfTrue="1">
      <formula>REPLACE($AQ66,8,LEN($AQ66),"")="unused_"</formula>
    </cfRule>
  </conditionalFormatting>
  <conditionalFormatting sqref="AJ66">
    <cfRule type="cellIs" dxfId="1001" priority="1073" operator="equal">
      <formula>FALSE</formula>
    </cfRule>
  </conditionalFormatting>
  <conditionalFormatting sqref="AK66">
    <cfRule type="cellIs" dxfId="1000" priority="1072" operator="equal">
      <formula>FALSE</formula>
    </cfRule>
  </conditionalFormatting>
  <conditionalFormatting sqref="AL66">
    <cfRule type="cellIs" dxfId="999" priority="1071" operator="equal">
      <formula>FALSE</formula>
    </cfRule>
  </conditionalFormatting>
  <conditionalFormatting sqref="AM66">
    <cfRule type="cellIs" dxfId="998" priority="1070" operator="equal">
      <formula>FALSE</formula>
    </cfRule>
  </conditionalFormatting>
  <conditionalFormatting sqref="AN66">
    <cfRule type="cellIs" dxfId="997" priority="1069" operator="equal">
      <formula>FALSE</formula>
    </cfRule>
  </conditionalFormatting>
  <conditionalFormatting sqref="AP66">
    <cfRule type="cellIs" dxfId="996" priority="1068" operator="equal">
      <formula>"INVALID"</formula>
    </cfRule>
  </conditionalFormatting>
  <conditionalFormatting sqref="AJ66">
    <cfRule type="cellIs" dxfId="995" priority="1067" operator="equal">
      <formula>"INVALID"</formula>
    </cfRule>
  </conditionalFormatting>
  <conditionalFormatting sqref="AK66">
    <cfRule type="cellIs" dxfId="994" priority="1066" operator="equal">
      <formula>"INVALID"</formula>
    </cfRule>
  </conditionalFormatting>
  <conditionalFormatting sqref="AL66:AM66">
    <cfRule type="cellIs" dxfId="993" priority="1065" operator="equal">
      <formula>"INVALID"</formula>
    </cfRule>
  </conditionalFormatting>
  <conditionalFormatting sqref="AK66">
    <cfRule type="cellIs" dxfId="992" priority="1064" operator="equal">
      <formula>"INVALID"</formula>
    </cfRule>
  </conditionalFormatting>
  <conditionalFormatting sqref="AL66">
    <cfRule type="cellIs" dxfId="991" priority="1063" operator="equal">
      <formula>"INVALID"</formula>
    </cfRule>
  </conditionalFormatting>
  <conditionalFormatting sqref="AM66">
    <cfRule type="cellIs" dxfId="990" priority="1062" operator="equal">
      <formula>"INVALID"</formula>
    </cfRule>
  </conditionalFormatting>
  <conditionalFormatting sqref="AN66">
    <cfRule type="cellIs" dxfId="989" priority="1061" operator="equal">
      <formula>"INVALID"</formula>
    </cfRule>
  </conditionalFormatting>
  <conditionalFormatting sqref="AQ66">
    <cfRule type="expression" dxfId="988" priority="1060">
      <formula>NOT($AJ66)</formula>
    </cfRule>
    <cfRule type="expression" dxfId="987" priority="1074">
      <formula>RIGHT($AQ66, 1)="*"</formula>
    </cfRule>
  </conditionalFormatting>
  <conditionalFormatting sqref="AS66">
    <cfRule type="expression" dxfId="986" priority="1059">
      <formula>NOT($AN66)</formula>
    </cfRule>
  </conditionalFormatting>
  <conditionalFormatting sqref="AS66">
    <cfRule type="expression" dxfId="985" priority="1058">
      <formula>NOT($AK66)</formula>
    </cfRule>
  </conditionalFormatting>
  <conditionalFormatting sqref="AO66">
    <cfRule type="cellIs" dxfId="984" priority="1057" operator="equal">
      <formula>FALSE</formula>
    </cfRule>
  </conditionalFormatting>
  <conditionalFormatting sqref="AO66">
    <cfRule type="cellIs" dxfId="983" priority="1056" operator="equal">
      <formula>"INVALID"</formula>
    </cfRule>
  </conditionalFormatting>
  <conditionalFormatting sqref="AO66">
    <cfRule type="cellIs" dxfId="982" priority="1055" operator="equal">
      <formula>"INVALID"</formula>
    </cfRule>
  </conditionalFormatting>
  <conditionalFormatting sqref="AT68">
    <cfRule type="expression" dxfId="981" priority="1054">
      <formula>NOT($AM68)</formula>
    </cfRule>
  </conditionalFormatting>
  <conditionalFormatting sqref="AG57:AG67">
    <cfRule type="cellIs" dxfId="980" priority="1053" operator="equal">
      <formula>"INVALID"</formula>
    </cfRule>
  </conditionalFormatting>
  <conditionalFormatting sqref="AG66">
    <cfRule type="cellIs" dxfId="979" priority="1052" operator="equal">
      <formula>"INVALID"</formula>
    </cfRule>
  </conditionalFormatting>
  <conditionalFormatting sqref="AG57:AG67">
    <cfRule type="cellIs" dxfId="978" priority="1051" operator="equal">
      <formula>"INVALID"</formula>
    </cfRule>
  </conditionalFormatting>
  <conditionalFormatting sqref="AG57:AG67">
    <cfRule type="cellIs" dxfId="977" priority="1050" operator="equal">
      <formula>"INVALID"</formula>
    </cfRule>
  </conditionalFormatting>
  <conditionalFormatting sqref="AG57:AG67">
    <cfRule type="cellIs" dxfId="976" priority="1049" operator="equal">
      <formula>"INVALID"</formula>
    </cfRule>
  </conditionalFormatting>
  <conditionalFormatting sqref="AR70:AR76">
    <cfRule type="cellIs" dxfId="975" priority="1048" operator="equal">
      <formula>"Not Assigned"</formula>
    </cfRule>
  </conditionalFormatting>
  <conditionalFormatting sqref="AD70:AF76 AH71:AI76 AI70">
    <cfRule type="cellIs" dxfId="974" priority="1047" operator="equal">
      <formula>"INVALID"</formula>
    </cfRule>
  </conditionalFormatting>
  <conditionalFormatting sqref="AS70:AS76">
    <cfRule type="expression" dxfId="973" priority="1045">
      <formula>EXACT(AF70, "INVALID")</formula>
    </cfRule>
  </conditionalFormatting>
  <conditionalFormatting sqref="AZ70:AZ76">
    <cfRule type="expression" dxfId="972" priority="1044">
      <formula>AND(NOT(ISBLANK(AZ70)), EXACT(AF70, "INVALID"))</formula>
    </cfRule>
  </conditionalFormatting>
  <conditionalFormatting sqref="BA70:BA76">
    <cfRule type="expression" dxfId="971" priority="1043">
      <formula>AND(NOT(ISBLANK(BA70)), EXACT(AF70, "INVALID"))</formula>
    </cfRule>
  </conditionalFormatting>
  <conditionalFormatting sqref="AR70:AR76">
    <cfRule type="expression" dxfId="970" priority="1042">
      <formula>NOT($AL70)</formula>
    </cfRule>
  </conditionalFormatting>
  <conditionalFormatting sqref="AQ70:AQ76">
    <cfRule type="expression" dxfId="969" priority="1046" stopIfTrue="1">
      <formula>REPLACE($AQ70,8,LEN($AQ70),"")="unused_"</formula>
    </cfRule>
  </conditionalFormatting>
  <conditionalFormatting sqref="AJ70:AJ76">
    <cfRule type="cellIs" dxfId="968" priority="1040" operator="equal">
      <formula>FALSE</formula>
    </cfRule>
  </conditionalFormatting>
  <conditionalFormatting sqref="AK70:AK76">
    <cfRule type="cellIs" dxfId="967" priority="1039" operator="equal">
      <formula>FALSE</formula>
    </cfRule>
  </conditionalFormatting>
  <conditionalFormatting sqref="AL70:AL76">
    <cfRule type="cellIs" dxfId="966" priority="1038" operator="equal">
      <formula>FALSE</formula>
    </cfRule>
  </conditionalFormatting>
  <conditionalFormatting sqref="AM70:AM76">
    <cfRule type="cellIs" dxfId="965" priority="1037" operator="equal">
      <formula>FALSE</formula>
    </cfRule>
  </conditionalFormatting>
  <conditionalFormatting sqref="AN70:AN76">
    <cfRule type="cellIs" dxfId="964" priority="1036" operator="equal">
      <formula>FALSE</formula>
    </cfRule>
  </conditionalFormatting>
  <conditionalFormatting sqref="AP70:AP76">
    <cfRule type="cellIs" dxfId="963" priority="1035" operator="equal">
      <formula>"INVALID"</formula>
    </cfRule>
  </conditionalFormatting>
  <conditionalFormatting sqref="AJ70:AJ76">
    <cfRule type="cellIs" dxfId="962" priority="1034" operator="equal">
      <formula>"INVALID"</formula>
    </cfRule>
  </conditionalFormatting>
  <conditionalFormatting sqref="AK70:AK76">
    <cfRule type="cellIs" dxfId="961" priority="1033" operator="equal">
      <formula>"INVALID"</formula>
    </cfRule>
  </conditionalFormatting>
  <conditionalFormatting sqref="AL70:AM76">
    <cfRule type="cellIs" dxfId="960" priority="1032" operator="equal">
      <formula>"INVALID"</formula>
    </cfRule>
  </conditionalFormatting>
  <conditionalFormatting sqref="AK70:AK76">
    <cfRule type="cellIs" dxfId="959" priority="1031" operator="equal">
      <formula>"INVALID"</formula>
    </cfRule>
  </conditionalFormatting>
  <conditionalFormatting sqref="AL70:AL76">
    <cfRule type="cellIs" dxfId="958" priority="1030" operator="equal">
      <formula>"INVALID"</formula>
    </cfRule>
  </conditionalFormatting>
  <conditionalFormatting sqref="AM70:AM76">
    <cfRule type="cellIs" dxfId="957" priority="1029" operator="equal">
      <formula>"INVALID"</formula>
    </cfRule>
  </conditionalFormatting>
  <conditionalFormatting sqref="AN70:AN76">
    <cfRule type="cellIs" dxfId="956" priority="1028" operator="equal">
      <formula>"INVALID"</formula>
    </cfRule>
  </conditionalFormatting>
  <conditionalFormatting sqref="AQ70:AQ76">
    <cfRule type="expression" dxfId="955" priority="1027">
      <formula>NOT($AJ70)</formula>
    </cfRule>
    <cfRule type="expression" dxfId="954" priority="1041">
      <formula>RIGHT($AQ70, 1)="*"</formula>
    </cfRule>
  </conditionalFormatting>
  <conditionalFormatting sqref="AZ70:BA76">
    <cfRule type="expression" dxfId="953" priority="1026">
      <formula>NOT($AN70)</formula>
    </cfRule>
  </conditionalFormatting>
  <conditionalFormatting sqref="AS70:AS76">
    <cfRule type="expression" dxfId="952" priority="1025">
      <formula>NOT($AK70)</formula>
    </cfRule>
  </conditionalFormatting>
  <conditionalFormatting sqref="AO70:AO76">
    <cfRule type="cellIs" dxfId="951" priority="1024" operator="equal">
      <formula>FALSE</formula>
    </cfRule>
  </conditionalFormatting>
  <conditionalFormatting sqref="AO70:AO76">
    <cfRule type="cellIs" dxfId="950" priority="1023" operator="equal">
      <formula>"INVALID"</formula>
    </cfRule>
  </conditionalFormatting>
  <conditionalFormatting sqref="AO70:AO76">
    <cfRule type="cellIs" dxfId="949" priority="1022" operator="equal">
      <formula>"INVALID"</formula>
    </cfRule>
  </conditionalFormatting>
  <conditionalFormatting sqref="AT73">
    <cfRule type="expression" dxfId="948" priority="1021">
      <formula>NOT($AM73)</formula>
    </cfRule>
  </conditionalFormatting>
  <conditionalFormatting sqref="AG70:AG76">
    <cfRule type="cellIs" dxfId="947" priority="1020" operator="equal">
      <formula>"INVALID"</formula>
    </cfRule>
  </conditionalFormatting>
  <conditionalFormatting sqref="AG70:AG76">
    <cfRule type="cellIs" dxfId="946" priority="1019" operator="equal">
      <formula>"INVALID"</formula>
    </cfRule>
  </conditionalFormatting>
  <conditionalFormatting sqref="AG70:AG76">
    <cfRule type="cellIs" dxfId="945" priority="1018" operator="equal">
      <formula>"INVALID"</formula>
    </cfRule>
  </conditionalFormatting>
  <conditionalFormatting sqref="AG70:AG76">
    <cfRule type="cellIs" dxfId="944" priority="1017" operator="equal">
      <formula>"INVALID"</formula>
    </cfRule>
  </conditionalFormatting>
  <conditionalFormatting sqref="AR88:AR91">
    <cfRule type="cellIs" dxfId="943" priority="1016" operator="equal">
      <formula>"Not Assigned"</formula>
    </cfRule>
  </conditionalFormatting>
  <conditionalFormatting sqref="AE88:AF91 AI88:AI91">
    <cfRule type="cellIs" dxfId="942" priority="1015" operator="equal">
      <formula>"INVALID"</formula>
    </cfRule>
  </conditionalFormatting>
  <conditionalFormatting sqref="AS88:AS91">
    <cfRule type="expression" dxfId="941" priority="1014">
      <formula>EXACT(AF88, "INVALID")</formula>
    </cfRule>
  </conditionalFormatting>
  <conditionalFormatting sqref="AZ88:AZ91">
    <cfRule type="expression" dxfId="940" priority="1013">
      <formula>AND(NOT(ISBLANK(AZ88)), EXACT(AF88, "INVALID"))</formula>
    </cfRule>
  </conditionalFormatting>
  <conditionalFormatting sqref="BA88:BA91">
    <cfRule type="expression" dxfId="939" priority="1012">
      <formula>AND(NOT(ISBLANK(BA88)), EXACT(AF88, "INVALID"))</formula>
    </cfRule>
  </conditionalFormatting>
  <conditionalFormatting sqref="AR88:AR91">
    <cfRule type="expression" dxfId="938" priority="1011">
      <formula>NOT($AL88)</formula>
    </cfRule>
  </conditionalFormatting>
  <conditionalFormatting sqref="AJ88:AJ91">
    <cfRule type="cellIs" dxfId="937" priority="1010" operator="equal">
      <formula>FALSE</formula>
    </cfRule>
  </conditionalFormatting>
  <conditionalFormatting sqref="AK88:AK91">
    <cfRule type="cellIs" dxfId="936" priority="1009" operator="equal">
      <formula>FALSE</formula>
    </cfRule>
  </conditionalFormatting>
  <conditionalFormatting sqref="AL88:AL91">
    <cfRule type="cellIs" dxfId="935" priority="1008" operator="equal">
      <formula>FALSE</formula>
    </cfRule>
  </conditionalFormatting>
  <conditionalFormatting sqref="AM88:AM91">
    <cfRule type="cellIs" dxfId="934" priority="1007" operator="equal">
      <formula>FALSE</formula>
    </cfRule>
  </conditionalFormatting>
  <conditionalFormatting sqref="AN88:AN91">
    <cfRule type="cellIs" dxfId="933" priority="1006" operator="equal">
      <formula>FALSE</formula>
    </cfRule>
  </conditionalFormatting>
  <conditionalFormatting sqref="AP88:AP91">
    <cfRule type="cellIs" dxfId="932" priority="1005" operator="equal">
      <formula>"INVALID"</formula>
    </cfRule>
  </conditionalFormatting>
  <conditionalFormatting sqref="AJ88:AJ91">
    <cfRule type="cellIs" dxfId="931" priority="1004" operator="equal">
      <formula>"INVALID"</formula>
    </cfRule>
  </conditionalFormatting>
  <conditionalFormatting sqref="AK88:AK91">
    <cfRule type="cellIs" dxfId="930" priority="1003" operator="equal">
      <formula>"INVALID"</formula>
    </cfRule>
  </conditionalFormatting>
  <conditionalFormatting sqref="AL88:AM91">
    <cfRule type="cellIs" dxfId="929" priority="1002" operator="equal">
      <formula>"INVALID"</formula>
    </cfRule>
  </conditionalFormatting>
  <conditionalFormatting sqref="AK88:AK91">
    <cfRule type="cellIs" dxfId="928" priority="1001" operator="equal">
      <formula>"INVALID"</formula>
    </cfRule>
  </conditionalFormatting>
  <conditionalFormatting sqref="AL88:AL91">
    <cfRule type="cellIs" dxfId="927" priority="1000" operator="equal">
      <formula>"INVALID"</formula>
    </cfRule>
  </conditionalFormatting>
  <conditionalFormatting sqref="AM88:AM91">
    <cfRule type="cellIs" dxfId="926" priority="999" operator="equal">
      <formula>"INVALID"</formula>
    </cfRule>
  </conditionalFormatting>
  <conditionalFormatting sqref="AN88:AN91">
    <cfRule type="cellIs" dxfId="925" priority="998" operator="equal">
      <formula>"INVALID"</formula>
    </cfRule>
  </conditionalFormatting>
  <conditionalFormatting sqref="AS88:AS91">
    <cfRule type="expression" dxfId="924" priority="997">
      <formula>NOT($AN88)</formula>
    </cfRule>
  </conditionalFormatting>
  <conditionalFormatting sqref="AS88:AS91">
    <cfRule type="expression" dxfId="923" priority="996">
      <formula>NOT($AK88)</formula>
    </cfRule>
  </conditionalFormatting>
  <conditionalFormatting sqref="AO88:AO91">
    <cfRule type="cellIs" dxfId="922" priority="995" operator="equal">
      <formula>FALSE</formula>
    </cfRule>
  </conditionalFormatting>
  <conditionalFormatting sqref="AO88:AO91">
    <cfRule type="cellIs" dxfId="921" priority="994" operator="equal">
      <formula>"INVALID"</formula>
    </cfRule>
  </conditionalFormatting>
  <conditionalFormatting sqref="AO88:AO91">
    <cfRule type="cellIs" dxfId="920" priority="993" operator="equal">
      <formula>"INVALID"</formula>
    </cfRule>
  </conditionalFormatting>
  <conditionalFormatting sqref="AQ88:AQ91">
    <cfRule type="expression" dxfId="919" priority="992" stopIfTrue="1">
      <formula>REPLACE($AQ88,8,LEN($AQ88),"")="unused_"</formula>
    </cfRule>
  </conditionalFormatting>
  <conditionalFormatting sqref="AQ88:AQ91">
    <cfRule type="expression" dxfId="918" priority="990">
      <formula>NOT($AJ88)</formula>
    </cfRule>
    <cfRule type="expression" dxfId="917" priority="991">
      <formula>RIGHT($AQ88, 1)="*"</formula>
    </cfRule>
  </conditionalFormatting>
  <conditionalFormatting sqref="AR99">
    <cfRule type="cellIs" dxfId="916" priority="989" operator="equal">
      <formula>"Not Assigned"</formula>
    </cfRule>
  </conditionalFormatting>
  <conditionalFormatting sqref="AE99:AF99 AI99">
    <cfRule type="cellIs" dxfId="915" priority="988" operator="equal">
      <formula>"INVALID"</formula>
    </cfRule>
  </conditionalFormatting>
  <conditionalFormatting sqref="AS99">
    <cfRule type="expression" dxfId="914" priority="987">
      <formula>EXACT(AF99, "INVALID")</formula>
    </cfRule>
  </conditionalFormatting>
  <conditionalFormatting sqref="AZ99">
    <cfRule type="expression" dxfId="913" priority="986">
      <formula>AND(NOT(ISBLANK(AZ99)), EXACT(AF99, "INVALID"))</formula>
    </cfRule>
  </conditionalFormatting>
  <conditionalFormatting sqref="BA99">
    <cfRule type="expression" dxfId="912" priority="985">
      <formula>AND(NOT(ISBLANK(BA99)), EXACT(AF99, "INVALID"))</formula>
    </cfRule>
  </conditionalFormatting>
  <conditionalFormatting sqref="AR99">
    <cfRule type="expression" dxfId="911" priority="984">
      <formula>NOT($AL99)</formula>
    </cfRule>
  </conditionalFormatting>
  <conditionalFormatting sqref="AJ99">
    <cfRule type="cellIs" dxfId="910" priority="983" operator="equal">
      <formula>FALSE</formula>
    </cfRule>
  </conditionalFormatting>
  <conditionalFormatting sqref="AK99">
    <cfRule type="cellIs" dxfId="909" priority="982" operator="equal">
      <formula>FALSE</formula>
    </cfRule>
  </conditionalFormatting>
  <conditionalFormatting sqref="AL99">
    <cfRule type="cellIs" dxfId="908" priority="981" operator="equal">
      <formula>FALSE</formula>
    </cfRule>
  </conditionalFormatting>
  <conditionalFormatting sqref="AM99">
    <cfRule type="cellIs" dxfId="907" priority="980" operator="equal">
      <formula>FALSE</formula>
    </cfRule>
  </conditionalFormatting>
  <conditionalFormatting sqref="AN99">
    <cfRule type="cellIs" dxfId="906" priority="979" operator="equal">
      <formula>FALSE</formula>
    </cfRule>
  </conditionalFormatting>
  <conditionalFormatting sqref="AP99">
    <cfRule type="cellIs" dxfId="905" priority="978" operator="equal">
      <formula>"INVALID"</formula>
    </cfRule>
  </conditionalFormatting>
  <conditionalFormatting sqref="AJ99">
    <cfRule type="cellIs" dxfId="904" priority="977" operator="equal">
      <formula>"INVALID"</formula>
    </cfRule>
  </conditionalFormatting>
  <conditionalFormatting sqref="AK99">
    <cfRule type="cellIs" dxfId="903" priority="976" operator="equal">
      <formula>"INVALID"</formula>
    </cfRule>
  </conditionalFormatting>
  <conditionalFormatting sqref="AL99:AM99">
    <cfRule type="cellIs" dxfId="902" priority="975" operator="equal">
      <formula>"INVALID"</formula>
    </cfRule>
  </conditionalFormatting>
  <conditionalFormatting sqref="AK99">
    <cfRule type="cellIs" dxfId="901" priority="974" operator="equal">
      <formula>"INVALID"</formula>
    </cfRule>
  </conditionalFormatting>
  <conditionalFormatting sqref="AL99">
    <cfRule type="cellIs" dxfId="900" priority="973" operator="equal">
      <formula>"INVALID"</formula>
    </cfRule>
  </conditionalFormatting>
  <conditionalFormatting sqref="AM99">
    <cfRule type="cellIs" dxfId="899" priority="972" operator="equal">
      <formula>"INVALID"</formula>
    </cfRule>
  </conditionalFormatting>
  <conditionalFormatting sqref="AN99">
    <cfRule type="cellIs" dxfId="898" priority="971" operator="equal">
      <formula>"INVALID"</formula>
    </cfRule>
  </conditionalFormatting>
  <conditionalFormatting sqref="AS99">
    <cfRule type="expression" dxfId="897" priority="970">
      <formula>NOT($AN99)</formula>
    </cfRule>
  </conditionalFormatting>
  <conditionalFormatting sqref="AS99">
    <cfRule type="expression" dxfId="896" priority="969">
      <formula>NOT($AK99)</formula>
    </cfRule>
  </conditionalFormatting>
  <conditionalFormatting sqref="AO99">
    <cfRule type="cellIs" dxfId="895" priority="968" operator="equal">
      <formula>FALSE</formula>
    </cfRule>
  </conditionalFormatting>
  <conditionalFormatting sqref="AO99">
    <cfRule type="cellIs" dxfId="894" priority="967" operator="equal">
      <formula>"INVALID"</formula>
    </cfRule>
  </conditionalFormatting>
  <conditionalFormatting sqref="AO99">
    <cfRule type="cellIs" dxfId="893" priority="966" operator="equal">
      <formula>"INVALID"</formula>
    </cfRule>
  </conditionalFormatting>
  <conditionalFormatting sqref="AQ99">
    <cfRule type="expression" dxfId="892" priority="965" stopIfTrue="1">
      <formula>REPLACE($AQ99,8,LEN($AQ99),"")="unused_"</formula>
    </cfRule>
  </conditionalFormatting>
  <conditionalFormatting sqref="AQ99">
    <cfRule type="expression" dxfId="891" priority="963">
      <formula>NOT($AJ99)</formula>
    </cfRule>
    <cfRule type="expression" dxfId="890" priority="964">
      <formula>RIGHT($AQ99, 1)="*"</formula>
    </cfRule>
  </conditionalFormatting>
  <conditionalFormatting sqref="AG88:AG91 AG99">
    <cfRule type="cellIs" dxfId="889" priority="962" operator="equal">
      <formula>"INVALID"</formula>
    </cfRule>
  </conditionalFormatting>
  <conditionalFormatting sqref="AG99">
    <cfRule type="cellIs" dxfId="888" priority="961" operator="equal">
      <formula>"INVALID"</formula>
    </cfRule>
  </conditionalFormatting>
  <conditionalFormatting sqref="AG88:AG91 AG99">
    <cfRule type="cellIs" dxfId="887" priority="960" operator="equal">
      <formula>"INVALID"</formula>
    </cfRule>
  </conditionalFormatting>
  <conditionalFormatting sqref="AG88:AG91 AG99">
    <cfRule type="cellIs" dxfId="886" priority="959" operator="equal">
      <formula>"INVALID"</formula>
    </cfRule>
  </conditionalFormatting>
  <conditionalFormatting sqref="AG88:AG91 AG99">
    <cfRule type="cellIs" dxfId="885" priority="958" operator="equal">
      <formula>"INVALID"</formula>
    </cfRule>
  </conditionalFormatting>
  <conditionalFormatting sqref="AR92:AR95">
    <cfRule type="cellIs" dxfId="884" priority="957" operator="equal">
      <formula>"Not Assigned"</formula>
    </cfRule>
  </conditionalFormatting>
  <conditionalFormatting sqref="AE92:AF95 AI92:AI95">
    <cfRule type="cellIs" dxfId="883" priority="956" operator="equal">
      <formula>"INVALID"</formula>
    </cfRule>
  </conditionalFormatting>
  <conditionalFormatting sqref="AS92:AS95">
    <cfRule type="expression" dxfId="882" priority="955">
      <formula>EXACT(AF92, "INVALID")</formula>
    </cfRule>
  </conditionalFormatting>
  <conditionalFormatting sqref="AZ92:AZ95">
    <cfRule type="expression" dxfId="881" priority="954">
      <formula>AND(NOT(ISBLANK(AZ92)), EXACT(AF92, "INVALID"))</formula>
    </cfRule>
  </conditionalFormatting>
  <conditionalFormatting sqref="BA92:BA95">
    <cfRule type="expression" dxfId="880" priority="953">
      <formula>AND(NOT(ISBLANK(BA92)), EXACT(AF92, "INVALID"))</formula>
    </cfRule>
  </conditionalFormatting>
  <conditionalFormatting sqref="AR92:AR95">
    <cfRule type="expression" dxfId="879" priority="952">
      <formula>NOT($AL92)</formula>
    </cfRule>
  </conditionalFormatting>
  <conditionalFormatting sqref="AJ92:AJ95">
    <cfRule type="cellIs" dxfId="878" priority="951" operator="equal">
      <formula>FALSE</formula>
    </cfRule>
  </conditionalFormatting>
  <conditionalFormatting sqref="AK92:AK95">
    <cfRule type="cellIs" dxfId="877" priority="950" operator="equal">
      <formula>FALSE</formula>
    </cfRule>
  </conditionalFormatting>
  <conditionalFormatting sqref="AL92:AL95">
    <cfRule type="cellIs" dxfId="876" priority="949" operator="equal">
      <formula>FALSE</formula>
    </cfRule>
  </conditionalFormatting>
  <conditionalFormatting sqref="AM92:AM95">
    <cfRule type="cellIs" dxfId="875" priority="948" operator="equal">
      <formula>FALSE</formula>
    </cfRule>
  </conditionalFormatting>
  <conditionalFormatting sqref="AN92:AN95">
    <cfRule type="cellIs" dxfId="874" priority="947" operator="equal">
      <formula>FALSE</formula>
    </cfRule>
  </conditionalFormatting>
  <conditionalFormatting sqref="AP92:AP95">
    <cfRule type="cellIs" dxfId="873" priority="946" operator="equal">
      <formula>"INVALID"</formula>
    </cfRule>
  </conditionalFormatting>
  <conditionalFormatting sqref="AJ92:AJ95">
    <cfRule type="cellIs" dxfId="872" priority="945" operator="equal">
      <formula>"INVALID"</formula>
    </cfRule>
  </conditionalFormatting>
  <conditionalFormatting sqref="AK92:AK95">
    <cfRule type="cellIs" dxfId="871" priority="944" operator="equal">
      <formula>"INVALID"</formula>
    </cfRule>
  </conditionalFormatting>
  <conditionalFormatting sqref="AL92:AM95">
    <cfRule type="cellIs" dxfId="870" priority="943" operator="equal">
      <formula>"INVALID"</formula>
    </cfRule>
  </conditionalFormatting>
  <conditionalFormatting sqref="AK92:AK95">
    <cfRule type="cellIs" dxfId="869" priority="942" operator="equal">
      <formula>"INVALID"</formula>
    </cfRule>
  </conditionalFormatting>
  <conditionalFormatting sqref="AL92:AL95">
    <cfRule type="cellIs" dxfId="868" priority="941" operator="equal">
      <formula>"INVALID"</formula>
    </cfRule>
  </conditionalFormatting>
  <conditionalFormatting sqref="AM92:AM95">
    <cfRule type="cellIs" dxfId="867" priority="940" operator="equal">
      <formula>"INVALID"</formula>
    </cfRule>
  </conditionalFormatting>
  <conditionalFormatting sqref="AN92:AN95">
    <cfRule type="cellIs" dxfId="866" priority="939" operator="equal">
      <formula>"INVALID"</formula>
    </cfRule>
  </conditionalFormatting>
  <conditionalFormatting sqref="AS92:AS95">
    <cfRule type="expression" dxfId="865" priority="938">
      <formula>NOT($AN92)</formula>
    </cfRule>
  </conditionalFormatting>
  <conditionalFormatting sqref="AS92:AS95">
    <cfRule type="expression" dxfId="864" priority="937">
      <formula>NOT($AK92)</formula>
    </cfRule>
  </conditionalFormatting>
  <conditionalFormatting sqref="AO92:AO95">
    <cfRule type="cellIs" dxfId="863" priority="936" operator="equal">
      <formula>FALSE</formula>
    </cfRule>
  </conditionalFormatting>
  <conditionalFormatting sqref="AO92:AO95">
    <cfRule type="cellIs" dxfId="862" priority="935" operator="equal">
      <formula>"INVALID"</formula>
    </cfRule>
  </conditionalFormatting>
  <conditionalFormatting sqref="AO92:AO95">
    <cfRule type="cellIs" dxfId="861" priority="934" operator="equal">
      <formula>"INVALID"</formula>
    </cfRule>
  </conditionalFormatting>
  <conditionalFormatting sqref="AQ92:AQ95">
    <cfRule type="expression" dxfId="860" priority="933" stopIfTrue="1">
      <formula>REPLACE($AQ92,8,LEN($AQ92),"")="unused_"</formula>
    </cfRule>
  </conditionalFormatting>
  <conditionalFormatting sqref="AQ92:AQ95">
    <cfRule type="expression" dxfId="859" priority="931">
      <formula>NOT($AJ92)</formula>
    </cfRule>
    <cfRule type="expression" dxfId="858" priority="932">
      <formula>RIGHT($AQ92, 1)="*"</formula>
    </cfRule>
  </conditionalFormatting>
  <conditionalFormatting sqref="AR96:AR97">
    <cfRule type="cellIs" dxfId="857" priority="930" operator="equal">
      <formula>"Not Assigned"</formula>
    </cfRule>
  </conditionalFormatting>
  <conditionalFormatting sqref="AE96:AF97 AI96:AI97">
    <cfRule type="cellIs" dxfId="856" priority="929" operator="equal">
      <formula>"INVALID"</formula>
    </cfRule>
  </conditionalFormatting>
  <conditionalFormatting sqref="AS96:AS97">
    <cfRule type="expression" dxfId="855" priority="928">
      <formula>EXACT(AF96, "INVALID")</formula>
    </cfRule>
  </conditionalFormatting>
  <conditionalFormatting sqref="AZ96:AZ97">
    <cfRule type="expression" dxfId="854" priority="927">
      <formula>AND(NOT(ISBLANK(AZ96)), EXACT(AF96, "INVALID"))</formula>
    </cfRule>
  </conditionalFormatting>
  <conditionalFormatting sqref="BA96:BA97">
    <cfRule type="expression" dxfId="853" priority="926">
      <formula>AND(NOT(ISBLANK(BA96)), EXACT(AF96, "INVALID"))</formula>
    </cfRule>
  </conditionalFormatting>
  <conditionalFormatting sqref="AR96:AR97">
    <cfRule type="expression" dxfId="852" priority="925">
      <formula>NOT($AL96)</formula>
    </cfRule>
  </conditionalFormatting>
  <conditionalFormatting sqref="AJ96:AJ97">
    <cfRule type="cellIs" dxfId="851" priority="924" operator="equal">
      <formula>FALSE</formula>
    </cfRule>
  </conditionalFormatting>
  <conditionalFormatting sqref="AK96:AK97">
    <cfRule type="cellIs" dxfId="850" priority="923" operator="equal">
      <formula>FALSE</formula>
    </cfRule>
  </conditionalFormatting>
  <conditionalFormatting sqref="AL96:AL97">
    <cfRule type="cellIs" dxfId="849" priority="922" operator="equal">
      <formula>FALSE</formula>
    </cfRule>
  </conditionalFormatting>
  <conditionalFormatting sqref="AM96:AM97">
    <cfRule type="cellIs" dxfId="848" priority="921" operator="equal">
      <formula>FALSE</formula>
    </cfRule>
  </conditionalFormatting>
  <conditionalFormatting sqref="AN96:AN97">
    <cfRule type="cellIs" dxfId="847" priority="920" operator="equal">
      <formula>FALSE</formula>
    </cfRule>
  </conditionalFormatting>
  <conditionalFormatting sqref="AP96:AP97">
    <cfRule type="cellIs" dxfId="846" priority="919" operator="equal">
      <formula>"INVALID"</formula>
    </cfRule>
  </conditionalFormatting>
  <conditionalFormatting sqref="AJ96:AJ97">
    <cfRule type="cellIs" dxfId="845" priority="918" operator="equal">
      <formula>"INVALID"</formula>
    </cfRule>
  </conditionalFormatting>
  <conditionalFormatting sqref="AK96:AK97">
    <cfRule type="cellIs" dxfId="844" priority="917" operator="equal">
      <formula>"INVALID"</formula>
    </cfRule>
  </conditionalFormatting>
  <conditionalFormatting sqref="AL96:AM97">
    <cfRule type="cellIs" dxfId="843" priority="916" operator="equal">
      <formula>"INVALID"</formula>
    </cfRule>
  </conditionalFormatting>
  <conditionalFormatting sqref="AK96:AK97">
    <cfRule type="cellIs" dxfId="842" priority="915" operator="equal">
      <formula>"INVALID"</formula>
    </cfRule>
  </conditionalFormatting>
  <conditionalFormatting sqref="AL96:AL97">
    <cfRule type="cellIs" dxfId="841" priority="914" operator="equal">
      <formula>"INVALID"</formula>
    </cfRule>
  </conditionalFormatting>
  <conditionalFormatting sqref="AM96:AM97">
    <cfRule type="cellIs" dxfId="840" priority="913" operator="equal">
      <formula>"INVALID"</formula>
    </cfRule>
  </conditionalFormatting>
  <conditionalFormatting sqref="AN96:AN97">
    <cfRule type="cellIs" dxfId="839" priority="912" operator="equal">
      <formula>"INVALID"</formula>
    </cfRule>
  </conditionalFormatting>
  <conditionalFormatting sqref="AS96:AS97">
    <cfRule type="expression" dxfId="838" priority="911">
      <formula>NOT($AN96)</formula>
    </cfRule>
  </conditionalFormatting>
  <conditionalFormatting sqref="AS96:AS97">
    <cfRule type="expression" dxfId="837" priority="910">
      <formula>NOT($AK96)</formula>
    </cfRule>
  </conditionalFormatting>
  <conditionalFormatting sqref="AO96:AO97">
    <cfRule type="cellIs" dxfId="836" priority="909" operator="equal">
      <formula>FALSE</formula>
    </cfRule>
  </conditionalFormatting>
  <conditionalFormatting sqref="AO96:AO97">
    <cfRule type="cellIs" dxfId="835" priority="908" operator="equal">
      <formula>"INVALID"</formula>
    </cfRule>
  </conditionalFormatting>
  <conditionalFormatting sqref="AO96:AO97">
    <cfRule type="cellIs" dxfId="834" priority="907" operator="equal">
      <formula>"INVALID"</formula>
    </cfRule>
  </conditionalFormatting>
  <conditionalFormatting sqref="AQ96:AQ97">
    <cfRule type="expression" dxfId="833" priority="906" stopIfTrue="1">
      <formula>REPLACE($AQ96,8,LEN($AQ96),"")="unused_"</formula>
    </cfRule>
  </conditionalFormatting>
  <conditionalFormatting sqref="AQ96:AQ97">
    <cfRule type="expression" dxfId="832" priority="904">
      <formula>NOT($AJ96)</formula>
    </cfRule>
    <cfRule type="expression" dxfId="831" priority="905">
      <formula>RIGHT($AQ96, 1)="*"</formula>
    </cfRule>
  </conditionalFormatting>
  <conditionalFormatting sqref="AG92:AG96">
    <cfRule type="cellIs" dxfId="830" priority="903" operator="equal">
      <formula>"INVALID"</formula>
    </cfRule>
  </conditionalFormatting>
  <conditionalFormatting sqref="AG96">
    <cfRule type="cellIs" dxfId="829" priority="902" operator="equal">
      <formula>"INVALID"</formula>
    </cfRule>
  </conditionalFormatting>
  <conditionalFormatting sqref="AG92:AG96">
    <cfRule type="cellIs" dxfId="828" priority="901" operator="equal">
      <formula>"INVALID"</formula>
    </cfRule>
  </conditionalFormatting>
  <conditionalFormatting sqref="AG92:AG96">
    <cfRule type="cellIs" dxfId="827" priority="900" operator="equal">
      <formula>"INVALID"</formula>
    </cfRule>
  </conditionalFormatting>
  <conditionalFormatting sqref="AG92:AG96">
    <cfRule type="cellIs" dxfId="826" priority="899" operator="equal">
      <formula>"INVALID"</formula>
    </cfRule>
  </conditionalFormatting>
  <conditionalFormatting sqref="AR98">
    <cfRule type="cellIs" dxfId="825" priority="898" operator="equal">
      <formula>"Not Assigned"</formula>
    </cfRule>
  </conditionalFormatting>
  <conditionalFormatting sqref="AE98:AF98 AI98">
    <cfRule type="cellIs" dxfId="824" priority="897" operator="equal">
      <formula>"INVALID"</formula>
    </cfRule>
  </conditionalFormatting>
  <conditionalFormatting sqref="AS98">
    <cfRule type="expression" dxfId="823" priority="896">
      <formula>EXACT(AF98, "INVALID")</formula>
    </cfRule>
  </conditionalFormatting>
  <conditionalFormatting sqref="AZ98">
    <cfRule type="expression" dxfId="822" priority="895">
      <formula>AND(NOT(ISBLANK(AZ98)), EXACT(AF98, "INVALID"))</formula>
    </cfRule>
  </conditionalFormatting>
  <conditionalFormatting sqref="BA98">
    <cfRule type="expression" dxfId="821" priority="894">
      <formula>AND(NOT(ISBLANK(BA98)), EXACT(AF98, "INVALID"))</formula>
    </cfRule>
  </conditionalFormatting>
  <conditionalFormatting sqref="AR98">
    <cfRule type="expression" dxfId="820" priority="893">
      <formula>NOT($AL98)</formula>
    </cfRule>
  </conditionalFormatting>
  <conditionalFormatting sqref="AJ98">
    <cfRule type="cellIs" dxfId="819" priority="892" operator="equal">
      <formula>FALSE</formula>
    </cfRule>
  </conditionalFormatting>
  <conditionalFormatting sqref="AK98">
    <cfRule type="cellIs" dxfId="818" priority="891" operator="equal">
      <formula>FALSE</formula>
    </cfRule>
  </conditionalFormatting>
  <conditionalFormatting sqref="AL98">
    <cfRule type="cellIs" dxfId="817" priority="890" operator="equal">
      <formula>FALSE</formula>
    </cfRule>
  </conditionalFormatting>
  <conditionalFormatting sqref="AM98">
    <cfRule type="cellIs" dxfId="816" priority="889" operator="equal">
      <formula>FALSE</formula>
    </cfRule>
  </conditionalFormatting>
  <conditionalFormatting sqref="AN98">
    <cfRule type="cellIs" dxfId="815" priority="888" operator="equal">
      <formula>FALSE</formula>
    </cfRule>
  </conditionalFormatting>
  <conditionalFormatting sqref="AP98">
    <cfRule type="cellIs" dxfId="814" priority="887" operator="equal">
      <formula>"INVALID"</formula>
    </cfRule>
  </conditionalFormatting>
  <conditionalFormatting sqref="AJ98">
    <cfRule type="cellIs" dxfId="813" priority="886" operator="equal">
      <formula>"INVALID"</formula>
    </cfRule>
  </conditionalFormatting>
  <conditionalFormatting sqref="AK98">
    <cfRule type="cellIs" dxfId="812" priority="885" operator="equal">
      <formula>"INVALID"</formula>
    </cfRule>
  </conditionalFormatting>
  <conditionalFormatting sqref="AL98:AM98">
    <cfRule type="cellIs" dxfId="811" priority="884" operator="equal">
      <formula>"INVALID"</formula>
    </cfRule>
  </conditionalFormatting>
  <conditionalFormatting sqref="AK98">
    <cfRule type="cellIs" dxfId="810" priority="883" operator="equal">
      <formula>"INVALID"</formula>
    </cfRule>
  </conditionalFormatting>
  <conditionalFormatting sqref="AL98">
    <cfRule type="cellIs" dxfId="809" priority="882" operator="equal">
      <formula>"INVALID"</formula>
    </cfRule>
  </conditionalFormatting>
  <conditionalFormatting sqref="AM98">
    <cfRule type="cellIs" dxfId="808" priority="881" operator="equal">
      <formula>"INVALID"</formula>
    </cfRule>
  </conditionalFormatting>
  <conditionalFormatting sqref="AN98">
    <cfRule type="cellIs" dxfId="807" priority="880" operator="equal">
      <formula>"INVALID"</formula>
    </cfRule>
  </conditionalFormatting>
  <conditionalFormatting sqref="AS98">
    <cfRule type="expression" dxfId="806" priority="879">
      <formula>NOT($AN98)</formula>
    </cfRule>
  </conditionalFormatting>
  <conditionalFormatting sqref="AS98">
    <cfRule type="expression" dxfId="805" priority="878">
      <formula>NOT($AK98)</formula>
    </cfRule>
  </conditionalFormatting>
  <conditionalFormatting sqref="AO98">
    <cfRule type="cellIs" dxfId="804" priority="877" operator="equal">
      <formula>FALSE</formula>
    </cfRule>
  </conditionalFormatting>
  <conditionalFormatting sqref="AO98">
    <cfRule type="cellIs" dxfId="803" priority="876" operator="equal">
      <formula>"INVALID"</formula>
    </cfRule>
  </conditionalFormatting>
  <conditionalFormatting sqref="AO98">
    <cfRule type="cellIs" dxfId="802" priority="875" operator="equal">
      <formula>"INVALID"</formula>
    </cfRule>
  </conditionalFormatting>
  <conditionalFormatting sqref="AQ98">
    <cfRule type="expression" dxfId="801" priority="874" stopIfTrue="1">
      <formula>REPLACE($AQ98,8,LEN($AQ98),"")="unused_"</formula>
    </cfRule>
  </conditionalFormatting>
  <conditionalFormatting sqref="AQ98">
    <cfRule type="expression" dxfId="800" priority="872">
      <formula>NOT($AJ98)</formula>
    </cfRule>
    <cfRule type="expression" dxfId="799" priority="873">
      <formula>RIGHT($AQ98, 1)="*"</formula>
    </cfRule>
  </conditionalFormatting>
  <conditionalFormatting sqref="AG98">
    <cfRule type="cellIs" dxfId="798" priority="871" operator="equal">
      <formula>"INVALID"</formula>
    </cfRule>
  </conditionalFormatting>
  <conditionalFormatting sqref="AG98">
    <cfRule type="cellIs" dxfId="797" priority="870" operator="equal">
      <formula>"INVALID"</formula>
    </cfRule>
  </conditionalFormatting>
  <conditionalFormatting sqref="AG98">
    <cfRule type="cellIs" dxfId="796" priority="869" operator="equal">
      <formula>"INVALID"</formula>
    </cfRule>
  </conditionalFormatting>
  <conditionalFormatting sqref="AG98">
    <cfRule type="cellIs" dxfId="795" priority="868" operator="equal">
      <formula>"INVALID"</formula>
    </cfRule>
  </conditionalFormatting>
  <conditionalFormatting sqref="AL100">
    <cfRule type="cellIs" dxfId="794" priority="859" operator="equal">
      <formula>FALSE</formula>
    </cfRule>
  </conditionalFormatting>
  <conditionalFormatting sqref="AM100">
    <cfRule type="cellIs" dxfId="793" priority="858" operator="equal">
      <formula>FALSE</formula>
    </cfRule>
  </conditionalFormatting>
  <conditionalFormatting sqref="AN100">
    <cfRule type="cellIs" dxfId="792" priority="857" operator="equal">
      <formula>FALSE</formula>
    </cfRule>
  </conditionalFormatting>
  <conditionalFormatting sqref="AK100">
    <cfRule type="cellIs" dxfId="791" priority="854" operator="equal">
      <formula>"INVALID"</formula>
    </cfRule>
  </conditionalFormatting>
  <conditionalFormatting sqref="AL100:AM100">
    <cfRule type="cellIs" dxfId="790" priority="853" operator="equal">
      <formula>"INVALID"</formula>
    </cfRule>
  </conditionalFormatting>
  <conditionalFormatting sqref="AK100">
    <cfRule type="cellIs" dxfId="789" priority="852" operator="equal">
      <formula>"INVALID"</formula>
    </cfRule>
  </conditionalFormatting>
  <conditionalFormatting sqref="AL100">
    <cfRule type="cellIs" dxfId="788" priority="851" operator="equal">
      <formula>"INVALID"</formula>
    </cfRule>
  </conditionalFormatting>
  <conditionalFormatting sqref="AM100">
    <cfRule type="cellIs" dxfId="787" priority="850" operator="equal">
      <formula>"INVALID"</formula>
    </cfRule>
  </conditionalFormatting>
  <conditionalFormatting sqref="AN100">
    <cfRule type="cellIs" dxfId="786" priority="849" operator="equal">
      <formula>"INVALID"</formula>
    </cfRule>
  </conditionalFormatting>
  <conditionalFormatting sqref="AR100">
    <cfRule type="cellIs" dxfId="785" priority="867" operator="equal">
      <formula>"Not Assigned"</formula>
    </cfRule>
  </conditionalFormatting>
  <conditionalFormatting sqref="AE100:AF100 AI100">
    <cfRule type="cellIs" dxfId="784" priority="866" operator="equal">
      <formula>"INVALID"</formula>
    </cfRule>
  </conditionalFormatting>
  <conditionalFormatting sqref="AS100">
    <cfRule type="expression" dxfId="783" priority="865">
      <formula>EXACT(AF100, "INVALID")</formula>
    </cfRule>
  </conditionalFormatting>
  <conditionalFormatting sqref="AZ100">
    <cfRule type="expression" dxfId="782" priority="864">
      <formula>AND(NOT(ISBLANK(AZ100)), EXACT(AF100, "INVALID"))</formula>
    </cfRule>
  </conditionalFormatting>
  <conditionalFormatting sqref="BA100">
    <cfRule type="expression" dxfId="781" priority="863">
      <formula>AND(NOT(ISBLANK(BA100)), EXACT(AF100, "INVALID"))</formula>
    </cfRule>
  </conditionalFormatting>
  <conditionalFormatting sqref="AR100">
    <cfRule type="expression" dxfId="780" priority="862">
      <formula>NOT($AL100)</formula>
    </cfRule>
  </conditionalFormatting>
  <conditionalFormatting sqref="AJ100">
    <cfRule type="cellIs" dxfId="779" priority="861" operator="equal">
      <formula>FALSE</formula>
    </cfRule>
  </conditionalFormatting>
  <conditionalFormatting sqref="AK100">
    <cfRule type="cellIs" dxfId="778" priority="860" operator="equal">
      <formula>FALSE</formula>
    </cfRule>
  </conditionalFormatting>
  <conditionalFormatting sqref="AP100">
    <cfRule type="cellIs" dxfId="777" priority="856" operator="equal">
      <formula>"INVALID"</formula>
    </cfRule>
  </conditionalFormatting>
  <conditionalFormatting sqref="AJ100">
    <cfRule type="cellIs" dxfId="776" priority="855" operator="equal">
      <formula>"INVALID"</formula>
    </cfRule>
  </conditionalFormatting>
  <conditionalFormatting sqref="AS100">
    <cfRule type="expression" dxfId="775" priority="848">
      <formula>NOT($AN100)</formula>
    </cfRule>
  </conditionalFormatting>
  <conditionalFormatting sqref="AS100">
    <cfRule type="expression" dxfId="774" priority="847">
      <formula>NOT($AK100)</formula>
    </cfRule>
  </conditionalFormatting>
  <conditionalFormatting sqref="AO100">
    <cfRule type="cellIs" dxfId="773" priority="846" operator="equal">
      <formula>FALSE</formula>
    </cfRule>
  </conditionalFormatting>
  <conditionalFormatting sqref="AO100">
    <cfRule type="cellIs" dxfId="772" priority="845" operator="equal">
      <formula>"INVALID"</formula>
    </cfRule>
  </conditionalFormatting>
  <conditionalFormatting sqref="AO100">
    <cfRule type="cellIs" dxfId="771" priority="844" operator="equal">
      <formula>"INVALID"</formula>
    </cfRule>
  </conditionalFormatting>
  <conditionalFormatting sqref="AQ100">
    <cfRule type="expression" dxfId="770" priority="843" stopIfTrue="1">
      <formula>REPLACE($AQ100,8,LEN($AQ100),"")="unused_"</formula>
    </cfRule>
  </conditionalFormatting>
  <conditionalFormatting sqref="AQ100">
    <cfRule type="expression" dxfId="769" priority="841">
      <formula>NOT($AJ100)</formula>
    </cfRule>
    <cfRule type="expression" dxfId="768" priority="842">
      <formula>RIGHT($AQ100, 1)="*"</formula>
    </cfRule>
  </conditionalFormatting>
  <conditionalFormatting sqref="AR101:AR102">
    <cfRule type="cellIs" dxfId="767" priority="840" operator="equal">
      <formula>"Not Assigned"</formula>
    </cfRule>
  </conditionalFormatting>
  <conditionalFormatting sqref="AE101:AF102 AI101:AI102">
    <cfRule type="cellIs" dxfId="766" priority="839" operator="equal">
      <formula>"INVALID"</formula>
    </cfRule>
  </conditionalFormatting>
  <conditionalFormatting sqref="AS101:AS102">
    <cfRule type="expression" dxfId="765" priority="838">
      <formula>EXACT(AF101, "INVALID")</formula>
    </cfRule>
  </conditionalFormatting>
  <conditionalFormatting sqref="AZ101:AZ102">
    <cfRule type="expression" dxfId="764" priority="837">
      <formula>AND(NOT(ISBLANK(AZ101)), EXACT(AF101, "INVALID"))</formula>
    </cfRule>
  </conditionalFormatting>
  <conditionalFormatting sqref="BA101:BA102">
    <cfRule type="expression" dxfId="763" priority="836">
      <formula>AND(NOT(ISBLANK(BA101)), EXACT(AF101, "INVALID"))</formula>
    </cfRule>
  </conditionalFormatting>
  <conditionalFormatting sqref="AR101:AR102">
    <cfRule type="expression" dxfId="762" priority="835">
      <formula>NOT($AL101)</formula>
    </cfRule>
  </conditionalFormatting>
  <conditionalFormatting sqref="AJ101:AJ102">
    <cfRule type="cellIs" dxfId="761" priority="834" operator="equal">
      <formula>FALSE</formula>
    </cfRule>
  </conditionalFormatting>
  <conditionalFormatting sqref="AK101:AK102">
    <cfRule type="cellIs" dxfId="760" priority="833" operator="equal">
      <formula>FALSE</formula>
    </cfRule>
  </conditionalFormatting>
  <conditionalFormatting sqref="AL101:AL102">
    <cfRule type="cellIs" dxfId="759" priority="832" operator="equal">
      <formula>FALSE</formula>
    </cfRule>
  </conditionalFormatting>
  <conditionalFormatting sqref="AM101:AM102">
    <cfRule type="cellIs" dxfId="758" priority="831" operator="equal">
      <formula>FALSE</formula>
    </cfRule>
  </conditionalFormatting>
  <conditionalFormatting sqref="AN101:AN102">
    <cfRule type="cellIs" dxfId="757" priority="830" operator="equal">
      <formula>FALSE</formula>
    </cfRule>
  </conditionalFormatting>
  <conditionalFormatting sqref="AP101:AP102">
    <cfRule type="cellIs" dxfId="756" priority="829" operator="equal">
      <formula>"INVALID"</formula>
    </cfRule>
  </conditionalFormatting>
  <conditionalFormatting sqref="AJ101:AJ102">
    <cfRule type="cellIs" dxfId="755" priority="828" operator="equal">
      <formula>"INVALID"</formula>
    </cfRule>
  </conditionalFormatting>
  <conditionalFormatting sqref="AK101:AK102">
    <cfRule type="cellIs" dxfId="754" priority="827" operator="equal">
      <formula>"INVALID"</formula>
    </cfRule>
  </conditionalFormatting>
  <conditionalFormatting sqref="AL101:AM102">
    <cfRule type="cellIs" dxfId="753" priority="826" operator="equal">
      <formula>"INVALID"</formula>
    </cfRule>
  </conditionalFormatting>
  <conditionalFormatting sqref="AK101:AK102">
    <cfRule type="cellIs" dxfId="752" priority="825" operator="equal">
      <formula>"INVALID"</formula>
    </cfRule>
  </conditionalFormatting>
  <conditionalFormatting sqref="AL101:AL102">
    <cfRule type="cellIs" dxfId="751" priority="824" operator="equal">
      <formula>"INVALID"</formula>
    </cfRule>
  </conditionalFormatting>
  <conditionalFormatting sqref="AM101:AM102">
    <cfRule type="cellIs" dxfId="750" priority="823" operator="equal">
      <formula>"INVALID"</formula>
    </cfRule>
  </conditionalFormatting>
  <conditionalFormatting sqref="AN101:AN102">
    <cfRule type="cellIs" dxfId="749" priority="822" operator="equal">
      <formula>"INVALID"</formula>
    </cfRule>
  </conditionalFormatting>
  <conditionalFormatting sqref="AS101:AS102">
    <cfRule type="expression" dxfId="748" priority="821">
      <formula>NOT($AN101)</formula>
    </cfRule>
  </conditionalFormatting>
  <conditionalFormatting sqref="AS101:AS102">
    <cfRule type="expression" dxfId="747" priority="820">
      <formula>NOT($AK101)</formula>
    </cfRule>
  </conditionalFormatting>
  <conditionalFormatting sqref="AO101:AO102">
    <cfRule type="cellIs" dxfId="746" priority="819" operator="equal">
      <formula>FALSE</formula>
    </cfRule>
  </conditionalFormatting>
  <conditionalFormatting sqref="AO101:AO102">
    <cfRule type="cellIs" dxfId="745" priority="818" operator="equal">
      <formula>"INVALID"</formula>
    </cfRule>
  </conditionalFormatting>
  <conditionalFormatting sqref="AO101:AO102">
    <cfRule type="cellIs" dxfId="744" priority="817" operator="equal">
      <formula>"INVALID"</formula>
    </cfRule>
  </conditionalFormatting>
  <conditionalFormatting sqref="AQ101:AQ102">
    <cfRule type="expression" dxfId="743" priority="816" stopIfTrue="1">
      <formula>REPLACE($AQ101,8,LEN($AQ101),"")="unused_"</formula>
    </cfRule>
  </conditionalFormatting>
  <conditionalFormatting sqref="AQ101:AQ102">
    <cfRule type="expression" dxfId="742" priority="814">
      <formula>NOT($AJ101)</formula>
    </cfRule>
    <cfRule type="expression" dxfId="741" priority="815">
      <formula>RIGHT($AQ101, 1)="*"</formula>
    </cfRule>
  </conditionalFormatting>
  <conditionalFormatting sqref="AG101:AG102">
    <cfRule type="cellIs" dxfId="740" priority="813" operator="equal">
      <formula>"INVALID"</formula>
    </cfRule>
  </conditionalFormatting>
  <conditionalFormatting sqref="AG101:AG102">
    <cfRule type="cellIs" dxfId="739" priority="812" operator="equal">
      <formula>"INVALID"</formula>
    </cfRule>
  </conditionalFormatting>
  <conditionalFormatting sqref="AG101:AG102">
    <cfRule type="cellIs" dxfId="738" priority="811" operator="equal">
      <formula>"INVALID"</formula>
    </cfRule>
  </conditionalFormatting>
  <conditionalFormatting sqref="AG101:AG102">
    <cfRule type="cellIs" dxfId="737" priority="810" operator="equal">
      <formula>"INVALID"</formula>
    </cfRule>
  </conditionalFormatting>
  <conditionalFormatting sqref="AG101:AG102">
    <cfRule type="cellIs" dxfId="736" priority="809" operator="equal">
      <formula>"INVALID"</formula>
    </cfRule>
  </conditionalFormatting>
  <conditionalFormatting sqref="AR109:AR110">
    <cfRule type="cellIs" dxfId="735" priority="808" operator="equal">
      <formula>"Not Assigned"</formula>
    </cfRule>
  </conditionalFormatting>
  <conditionalFormatting sqref="AS109:AS110">
    <cfRule type="expression" dxfId="734" priority="806">
      <formula>EXACT(AF109, "INVALID")</formula>
    </cfRule>
  </conditionalFormatting>
  <conditionalFormatting sqref="AZ109:AZ110">
    <cfRule type="expression" dxfId="733" priority="805">
      <formula>AND(NOT(ISBLANK(AZ109)), EXACT(AF109, "INVALID"))</formula>
    </cfRule>
  </conditionalFormatting>
  <conditionalFormatting sqref="BA109:BA110">
    <cfRule type="expression" dxfId="732" priority="804">
      <formula>AND(NOT(ISBLANK(BA109)), EXACT(AF109, "INVALID"))</formula>
    </cfRule>
  </conditionalFormatting>
  <conditionalFormatting sqref="AR109:AR110">
    <cfRule type="expression" dxfId="731" priority="803">
      <formula>NOT($AL109)</formula>
    </cfRule>
  </conditionalFormatting>
  <conditionalFormatting sqref="AQ109:AQ110">
    <cfRule type="expression" dxfId="730" priority="807" stopIfTrue="1">
      <formula>REPLACE($AQ109,8,LEN($AQ109),"")="unused_"</formula>
    </cfRule>
  </conditionalFormatting>
  <conditionalFormatting sqref="AJ109:AJ110">
    <cfRule type="cellIs" dxfId="729" priority="801" operator="equal">
      <formula>FALSE</formula>
    </cfRule>
  </conditionalFormatting>
  <conditionalFormatting sqref="AK109:AK110">
    <cfRule type="cellIs" dxfId="728" priority="800" operator="equal">
      <formula>FALSE</formula>
    </cfRule>
  </conditionalFormatting>
  <conditionalFormatting sqref="AL109:AL110">
    <cfRule type="cellIs" dxfId="727" priority="799" operator="equal">
      <formula>FALSE</formula>
    </cfRule>
  </conditionalFormatting>
  <conditionalFormatting sqref="AM109:AM110">
    <cfRule type="cellIs" dxfId="726" priority="798" operator="equal">
      <formula>FALSE</formula>
    </cfRule>
  </conditionalFormatting>
  <conditionalFormatting sqref="AN109:AN110">
    <cfRule type="cellIs" dxfId="725" priority="797" operator="equal">
      <formula>FALSE</formula>
    </cfRule>
  </conditionalFormatting>
  <conditionalFormatting sqref="AP109:AP110">
    <cfRule type="cellIs" dxfId="724" priority="796" operator="equal">
      <formula>"INVALID"</formula>
    </cfRule>
  </conditionalFormatting>
  <conditionalFormatting sqref="AJ109:AJ110">
    <cfRule type="cellIs" dxfId="723" priority="795" operator="equal">
      <formula>"INVALID"</formula>
    </cfRule>
  </conditionalFormatting>
  <conditionalFormatting sqref="AK109:AK110">
    <cfRule type="cellIs" dxfId="722" priority="794" operator="equal">
      <formula>"INVALID"</formula>
    </cfRule>
  </conditionalFormatting>
  <conditionalFormatting sqref="AL109:AM110">
    <cfRule type="cellIs" dxfId="721" priority="793" operator="equal">
      <formula>"INVALID"</formula>
    </cfRule>
  </conditionalFormatting>
  <conditionalFormatting sqref="AK109:AK110">
    <cfRule type="cellIs" dxfId="720" priority="792" operator="equal">
      <formula>"INVALID"</formula>
    </cfRule>
  </conditionalFormatting>
  <conditionalFormatting sqref="AL109:AL110">
    <cfRule type="cellIs" dxfId="719" priority="791" operator="equal">
      <formula>"INVALID"</formula>
    </cfRule>
  </conditionalFormatting>
  <conditionalFormatting sqref="AM109:AM110">
    <cfRule type="cellIs" dxfId="718" priority="790" operator="equal">
      <formula>"INVALID"</formula>
    </cfRule>
  </conditionalFormatting>
  <conditionalFormatting sqref="AN109:AN110">
    <cfRule type="cellIs" dxfId="717" priority="789" operator="equal">
      <formula>"INVALID"</formula>
    </cfRule>
  </conditionalFormatting>
  <conditionalFormatting sqref="AQ109:AQ110">
    <cfRule type="expression" dxfId="716" priority="788">
      <formula>NOT($AJ109)</formula>
    </cfRule>
    <cfRule type="expression" dxfId="715" priority="802">
      <formula>RIGHT($AQ109, 1)="*"</formula>
    </cfRule>
  </conditionalFormatting>
  <conditionalFormatting sqref="AZ109:BA110">
    <cfRule type="expression" dxfId="714" priority="787">
      <formula>NOT($AN109)</formula>
    </cfRule>
  </conditionalFormatting>
  <conditionalFormatting sqref="AS109:AS110">
    <cfRule type="expression" dxfId="713" priority="786">
      <formula>NOT($AK109)</formula>
    </cfRule>
  </conditionalFormatting>
  <conditionalFormatting sqref="AO109:AO110">
    <cfRule type="cellIs" dxfId="712" priority="785" operator="equal">
      <formula>FALSE</formula>
    </cfRule>
  </conditionalFormatting>
  <conditionalFormatting sqref="AO109:AO110">
    <cfRule type="cellIs" dxfId="711" priority="784" operator="equal">
      <formula>"INVALID"</formula>
    </cfRule>
  </conditionalFormatting>
  <conditionalFormatting sqref="AO109:AO110">
    <cfRule type="cellIs" dxfId="710" priority="783" operator="equal">
      <formula>"INVALID"</formula>
    </cfRule>
  </conditionalFormatting>
  <conditionalFormatting sqref="AG127">
    <cfRule type="cellIs" dxfId="709" priority="748" operator="equal">
      <formula>"INVALID"</formula>
    </cfRule>
  </conditionalFormatting>
  <conditionalFormatting sqref="AD126:AD135">
    <cfRule type="cellIs" dxfId="708" priority="751" operator="equal">
      <formula>"INVALID"</formula>
    </cfRule>
  </conditionalFormatting>
  <conditionalFormatting sqref="AE135">
    <cfRule type="cellIs" dxfId="707" priority="750" operator="equal">
      <formula>"INVALID"</formula>
    </cfRule>
  </conditionalFormatting>
  <conditionalFormatting sqref="AG126:AG135">
    <cfRule type="cellIs" dxfId="706" priority="749" operator="equal">
      <formula>"INVALID"</formula>
    </cfRule>
  </conditionalFormatting>
  <conditionalFormatting sqref="AG126:AG135">
    <cfRule type="cellIs" dxfId="705" priority="744" operator="equal">
      <formula>"INVALID"</formula>
    </cfRule>
  </conditionalFormatting>
  <conditionalFormatting sqref="AG126:AG135">
    <cfRule type="cellIs" dxfId="704" priority="743" operator="equal">
      <formula>"INVALID"</formula>
    </cfRule>
  </conditionalFormatting>
  <conditionalFormatting sqref="AG126:AG135">
    <cfRule type="cellIs" dxfId="703" priority="742" operator="equal">
      <formula>"INVALID"</formula>
    </cfRule>
  </conditionalFormatting>
  <conditionalFormatting sqref="AQ126">
    <cfRule type="expression" dxfId="702" priority="782" stopIfTrue="1">
      <formula>REPLACE($AQ126,8,LEN($AQ126),"")="unused_"</formula>
    </cfRule>
  </conditionalFormatting>
  <conditionalFormatting sqref="AI126:AI135 AD135:AF135 AD126:AD134 AF128:AF134 AF126">
    <cfRule type="cellIs" dxfId="701" priority="781" operator="equal">
      <formula>"INVALID"</formula>
    </cfRule>
  </conditionalFormatting>
  <conditionalFormatting sqref="AS126">
    <cfRule type="expression" dxfId="700" priority="780">
      <formula>EXACT(AF126, "INVALID")</formula>
    </cfRule>
  </conditionalFormatting>
  <conditionalFormatting sqref="AZ126">
    <cfRule type="expression" dxfId="699" priority="779">
      <formula>AND(NOT(ISBLANK(AZ126)), EXACT(AF126, "INVALID"))</formula>
    </cfRule>
  </conditionalFormatting>
  <conditionalFormatting sqref="BA126">
    <cfRule type="expression" dxfId="698" priority="778">
      <formula>AND(NOT(ISBLANK(BA126)), EXACT(AF126, "INVALID"))</formula>
    </cfRule>
  </conditionalFormatting>
  <conditionalFormatting sqref="AR126 AR128:AR135">
    <cfRule type="cellIs" dxfId="697" priority="777" operator="equal">
      <formula>"Not Assigned"</formula>
    </cfRule>
  </conditionalFormatting>
  <conditionalFormatting sqref="AQ127">
    <cfRule type="expression" dxfId="696" priority="775">
      <formula>RIGHT($AQ127, 1)="*"</formula>
    </cfRule>
    <cfRule type="expression" dxfId="695" priority="776" stopIfTrue="1">
      <formula>REPLACE($AQ127,8,LEN($AQ127),"")="unused_"</formula>
    </cfRule>
  </conditionalFormatting>
  <conditionalFormatting sqref="AF127 AI127">
    <cfRule type="cellIs" dxfId="694" priority="774" operator="equal">
      <formula>"INVALID"</formula>
    </cfRule>
  </conditionalFormatting>
  <conditionalFormatting sqref="AS127">
    <cfRule type="expression" dxfId="693" priority="773">
      <formula>EXACT(AF127, "INVALID")</formula>
    </cfRule>
  </conditionalFormatting>
  <conditionalFormatting sqref="AZ127">
    <cfRule type="expression" dxfId="692" priority="772">
      <formula>AND(NOT(ISBLANK(AZ127)), EXACT(AF127, "INVALID"))</formula>
    </cfRule>
  </conditionalFormatting>
  <conditionalFormatting sqref="BA127">
    <cfRule type="expression" dxfId="691" priority="771">
      <formula>AND(NOT(ISBLANK(BA127)), EXACT(AF127, "INVALID"))</formula>
    </cfRule>
  </conditionalFormatting>
  <conditionalFormatting sqref="AR127">
    <cfRule type="cellIs" dxfId="690" priority="770" operator="equal">
      <formula>"Not Assigned"</formula>
    </cfRule>
  </conditionalFormatting>
  <conditionalFormatting sqref="AJ126:AJ135">
    <cfRule type="cellIs" dxfId="689" priority="769" operator="equal">
      <formula>FALSE</formula>
    </cfRule>
  </conditionalFormatting>
  <conditionalFormatting sqref="AK126:AK135">
    <cfRule type="cellIs" dxfId="688" priority="768" operator="equal">
      <formula>FALSE</formula>
    </cfRule>
  </conditionalFormatting>
  <conditionalFormatting sqref="AL126:AL135">
    <cfRule type="cellIs" dxfId="687" priority="767" operator="equal">
      <formula>FALSE</formula>
    </cfRule>
  </conditionalFormatting>
  <conditionalFormatting sqref="AM126:AM135">
    <cfRule type="cellIs" dxfId="686" priority="766" operator="equal">
      <formula>FALSE</formula>
    </cfRule>
  </conditionalFormatting>
  <conditionalFormatting sqref="AN126:AN135">
    <cfRule type="cellIs" dxfId="685" priority="765" operator="equal">
      <formula>FALSE</formula>
    </cfRule>
  </conditionalFormatting>
  <conditionalFormatting sqref="AP126:AP135">
    <cfRule type="cellIs" dxfId="684" priority="764" operator="equal">
      <formula>"INVALID"</formula>
    </cfRule>
  </conditionalFormatting>
  <conditionalFormatting sqref="AJ126:AJ135">
    <cfRule type="cellIs" dxfId="683" priority="763" operator="equal">
      <formula>"INVALID"</formula>
    </cfRule>
  </conditionalFormatting>
  <conditionalFormatting sqref="AK126:AK135">
    <cfRule type="cellIs" dxfId="682" priority="762" operator="equal">
      <formula>"INVALID"</formula>
    </cfRule>
  </conditionalFormatting>
  <conditionalFormatting sqref="AL126:AM135">
    <cfRule type="cellIs" dxfId="681" priority="761" operator="equal">
      <formula>"INVALID"</formula>
    </cfRule>
  </conditionalFormatting>
  <conditionalFormatting sqref="AK126:AK135">
    <cfRule type="cellIs" dxfId="680" priority="760" operator="equal">
      <formula>"INVALID"</formula>
    </cfRule>
  </conditionalFormatting>
  <conditionalFormatting sqref="AL126:AL135">
    <cfRule type="cellIs" dxfId="679" priority="759" operator="equal">
      <formula>"INVALID"</formula>
    </cfRule>
  </conditionalFormatting>
  <conditionalFormatting sqref="AM126:AM135">
    <cfRule type="cellIs" dxfId="678" priority="758" operator="equal">
      <formula>"INVALID"</formula>
    </cfRule>
  </conditionalFormatting>
  <conditionalFormatting sqref="AN126:AN135">
    <cfRule type="cellIs" dxfId="677" priority="757" operator="equal">
      <formula>"INVALID"</formula>
    </cfRule>
  </conditionalFormatting>
  <conditionalFormatting sqref="AO126:AO135">
    <cfRule type="cellIs" dxfId="676" priority="756" operator="equal">
      <formula>FALSE</formula>
    </cfRule>
  </conditionalFormatting>
  <conditionalFormatting sqref="AO126:AO135">
    <cfRule type="cellIs" dxfId="675" priority="755" operator="equal">
      <formula>"INVALID"</formula>
    </cfRule>
  </conditionalFormatting>
  <conditionalFormatting sqref="AO126:AO135">
    <cfRule type="cellIs" dxfId="674" priority="754" operator="equal">
      <formula>"INVALID"</formula>
    </cfRule>
  </conditionalFormatting>
  <conditionalFormatting sqref="AI126:AI135">
    <cfRule type="cellIs" dxfId="673" priority="753" operator="equal">
      <formula>"INVALID"</formula>
    </cfRule>
  </conditionalFormatting>
  <conditionalFormatting sqref="AT129">
    <cfRule type="expression" dxfId="672" priority="752">
      <formula>NOT($AM129)</formula>
    </cfRule>
  </conditionalFormatting>
  <conditionalFormatting sqref="AG126:AG135">
    <cfRule type="cellIs" dxfId="671" priority="747" operator="equal">
      <formula>"INVALID"</formula>
    </cfRule>
  </conditionalFormatting>
  <conditionalFormatting sqref="AG126:AG135">
    <cfRule type="cellIs" dxfId="670" priority="746" operator="equal">
      <formula>"INVALID"</formula>
    </cfRule>
  </conditionalFormatting>
  <conditionalFormatting sqref="AG126:AG135">
    <cfRule type="cellIs" dxfId="669" priority="745" operator="equal">
      <formula>"INVALID"</formula>
    </cfRule>
  </conditionalFormatting>
  <conditionalFormatting sqref="AG143:AG148">
    <cfRule type="cellIs" dxfId="668" priority="698" operator="equal">
      <formula>"INVALID"</formula>
    </cfRule>
  </conditionalFormatting>
  <conditionalFormatting sqref="AG149:AG150">
    <cfRule type="cellIs" dxfId="667" priority="664" operator="equal">
      <formula>"INVALID"</formula>
    </cfRule>
  </conditionalFormatting>
  <conditionalFormatting sqref="AD145:AD146 AI143:AI148 AF143:AF148 AD148">
    <cfRule type="cellIs" dxfId="666" priority="741" operator="equal">
      <formula>"INVALID"</formula>
    </cfRule>
  </conditionalFormatting>
  <conditionalFormatting sqref="AS143:AS148">
    <cfRule type="expression" dxfId="665" priority="739">
      <formula>EXACT(AF143, "INVALID")</formula>
    </cfRule>
  </conditionalFormatting>
  <conditionalFormatting sqref="AZ143:AZ148">
    <cfRule type="expression" dxfId="664" priority="738">
      <formula>AND(NOT(ISBLANK(AZ143)), EXACT(AF143, "INVALID"))</formula>
    </cfRule>
  </conditionalFormatting>
  <conditionalFormatting sqref="BA143:BA148">
    <cfRule type="expression" dxfId="663" priority="737">
      <formula>AND(NOT(ISBLANK(BA143)), EXACT(AF143, "INVALID"))</formula>
    </cfRule>
  </conditionalFormatting>
  <conditionalFormatting sqref="AR143:AR148">
    <cfRule type="expression" dxfId="662" priority="736">
      <formula>NOT($AL143)</formula>
    </cfRule>
  </conditionalFormatting>
  <conditionalFormatting sqref="AR143:AR148">
    <cfRule type="cellIs" dxfId="661" priority="735" operator="equal">
      <formula>"Not Assigned"</formula>
    </cfRule>
  </conditionalFormatting>
  <conditionalFormatting sqref="AQ143:AQ148">
    <cfRule type="expression" dxfId="660" priority="740" stopIfTrue="1">
      <formula>REPLACE($AQ143,8,LEN($AQ143),"")="unused_"</formula>
    </cfRule>
  </conditionalFormatting>
  <conditionalFormatting sqref="AJ143:AJ148">
    <cfRule type="cellIs" dxfId="659" priority="733" operator="equal">
      <formula>FALSE</formula>
    </cfRule>
  </conditionalFormatting>
  <conditionalFormatting sqref="AK143:AK148">
    <cfRule type="cellIs" dxfId="658" priority="732" operator="equal">
      <formula>FALSE</formula>
    </cfRule>
  </conditionalFormatting>
  <conditionalFormatting sqref="AL143:AL148">
    <cfRule type="cellIs" dxfId="657" priority="731" operator="equal">
      <formula>FALSE</formula>
    </cfRule>
  </conditionalFormatting>
  <conditionalFormatting sqref="AM143:AM148">
    <cfRule type="cellIs" dxfId="656" priority="730" operator="equal">
      <formula>FALSE</formula>
    </cfRule>
  </conditionalFormatting>
  <conditionalFormatting sqref="AN143:AN148">
    <cfRule type="cellIs" dxfId="655" priority="729" operator="equal">
      <formula>FALSE</formula>
    </cfRule>
  </conditionalFormatting>
  <conditionalFormatting sqref="AP143:AP148">
    <cfRule type="cellIs" dxfId="654" priority="728" operator="equal">
      <formula>"INVALID"</formula>
    </cfRule>
  </conditionalFormatting>
  <conditionalFormatting sqref="AJ143:AJ148">
    <cfRule type="cellIs" dxfId="653" priority="727" operator="equal">
      <formula>"INVALID"</formula>
    </cfRule>
  </conditionalFormatting>
  <conditionalFormatting sqref="AK143:AK148">
    <cfRule type="cellIs" dxfId="652" priority="726" operator="equal">
      <formula>"INVALID"</formula>
    </cfRule>
  </conditionalFormatting>
  <conditionalFormatting sqref="AL143:AM148">
    <cfRule type="cellIs" dxfId="651" priority="725" operator="equal">
      <formula>"INVALID"</formula>
    </cfRule>
  </conditionalFormatting>
  <conditionalFormatting sqref="AK143:AK148">
    <cfRule type="cellIs" dxfId="650" priority="724" operator="equal">
      <formula>"INVALID"</formula>
    </cfRule>
  </conditionalFormatting>
  <conditionalFormatting sqref="AL143:AL148">
    <cfRule type="cellIs" dxfId="649" priority="723" operator="equal">
      <formula>"INVALID"</formula>
    </cfRule>
  </conditionalFormatting>
  <conditionalFormatting sqref="AM143:AM148">
    <cfRule type="cellIs" dxfId="648" priority="722" operator="equal">
      <formula>"INVALID"</formula>
    </cfRule>
  </conditionalFormatting>
  <conditionalFormatting sqref="AN143:AN148">
    <cfRule type="cellIs" dxfId="647" priority="721" operator="equal">
      <formula>"INVALID"</formula>
    </cfRule>
  </conditionalFormatting>
  <conditionalFormatting sqref="AQ143:AQ148">
    <cfRule type="expression" dxfId="646" priority="720">
      <formula>NOT($AJ143)</formula>
    </cfRule>
    <cfRule type="expression" dxfId="645" priority="734">
      <formula>RIGHT($AQ143, 1)="*"</formula>
    </cfRule>
  </conditionalFormatting>
  <conditionalFormatting sqref="AZ143:BA148">
    <cfRule type="expression" dxfId="644" priority="719">
      <formula>NOT($AN143)</formula>
    </cfRule>
  </conditionalFormatting>
  <conditionalFormatting sqref="AS143:AS148">
    <cfRule type="expression" dxfId="643" priority="718">
      <formula>NOT($AK143)</formula>
    </cfRule>
  </conditionalFormatting>
  <conditionalFormatting sqref="AO143:AO148">
    <cfRule type="cellIs" dxfId="642" priority="717" operator="equal">
      <formula>FALSE</formula>
    </cfRule>
  </conditionalFormatting>
  <conditionalFormatting sqref="AO143:AO148">
    <cfRule type="cellIs" dxfId="641" priority="716" operator="equal">
      <formula>"INVALID"</formula>
    </cfRule>
  </conditionalFormatting>
  <conditionalFormatting sqref="AO143:AO148">
    <cfRule type="cellIs" dxfId="640" priority="715" operator="equal">
      <formula>"INVALID"</formula>
    </cfRule>
  </conditionalFormatting>
  <conditionalFormatting sqref="AI143:AI148">
    <cfRule type="cellIs" dxfId="639" priority="714" operator="equal">
      <formula>"INVALID"</formula>
    </cfRule>
  </conditionalFormatting>
  <conditionalFormatting sqref="AI143:AI148">
    <cfRule type="cellIs" dxfId="638" priority="713" operator="equal">
      <formula>"INVALID"</formula>
    </cfRule>
  </conditionalFormatting>
  <conditionalFormatting sqref="AI143:AI148">
    <cfRule type="cellIs" dxfId="637" priority="712" operator="equal">
      <formula>"INVALID"</formula>
    </cfRule>
  </conditionalFormatting>
  <conditionalFormatting sqref="AT145:AT146">
    <cfRule type="expression" dxfId="636" priority="711">
      <formula>NOT($AM145)</formula>
    </cfRule>
  </conditionalFormatting>
  <conditionalFormatting sqref="AG143:AG148">
    <cfRule type="cellIs" dxfId="635" priority="707" operator="equal">
      <formula>"INVALID"</formula>
    </cfRule>
  </conditionalFormatting>
  <conditionalFormatting sqref="AG143:AG148">
    <cfRule type="cellIs" dxfId="634" priority="710" operator="equal">
      <formula>"INVALID"</formula>
    </cfRule>
  </conditionalFormatting>
  <conditionalFormatting sqref="AG143:AG148">
    <cfRule type="cellIs" dxfId="633" priority="709" operator="equal">
      <formula>"INVALID"</formula>
    </cfRule>
  </conditionalFormatting>
  <conditionalFormatting sqref="AG143:AG148">
    <cfRule type="cellIs" dxfId="632" priority="706" operator="equal">
      <formula>"INVALID"</formula>
    </cfRule>
  </conditionalFormatting>
  <conditionalFormatting sqref="AG143:AG148">
    <cfRule type="cellIs" dxfId="631" priority="705" operator="equal">
      <formula>"INVALID"</formula>
    </cfRule>
  </conditionalFormatting>
  <conditionalFormatting sqref="AG143:AG148">
    <cfRule type="cellIs" dxfId="630" priority="708" operator="equal">
      <formula>"INVALID"</formula>
    </cfRule>
  </conditionalFormatting>
  <conditionalFormatting sqref="AG143:AG148">
    <cfRule type="cellIs" dxfId="629" priority="704" operator="equal">
      <formula>"INVALID"</formula>
    </cfRule>
  </conditionalFormatting>
  <conditionalFormatting sqref="AG143:AG148">
    <cfRule type="cellIs" dxfId="628" priority="703" operator="equal">
      <formula>"INVALID"</formula>
    </cfRule>
  </conditionalFormatting>
  <conditionalFormatting sqref="AG143:AG148">
    <cfRule type="cellIs" dxfId="627" priority="702" operator="equal">
      <formula>"INVALID"</formula>
    </cfRule>
  </conditionalFormatting>
  <conditionalFormatting sqref="AG143:AG148">
    <cfRule type="cellIs" dxfId="626" priority="701" operator="equal">
      <formula>"INVALID"</formula>
    </cfRule>
  </conditionalFormatting>
  <conditionalFormatting sqref="AG143:AG148">
    <cfRule type="cellIs" dxfId="625" priority="700" operator="equal">
      <formula>"INVALID"</formula>
    </cfRule>
  </conditionalFormatting>
  <conditionalFormatting sqref="AG143:AG148">
    <cfRule type="cellIs" dxfId="624" priority="699" operator="equal">
      <formula>"INVALID"</formula>
    </cfRule>
  </conditionalFormatting>
  <conditionalFormatting sqref="AI149:AI150 AF149:AF150">
    <cfRule type="cellIs" dxfId="623" priority="697" operator="equal">
      <formula>"INVALID"</formula>
    </cfRule>
  </conditionalFormatting>
  <conditionalFormatting sqref="AR149:AR150">
    <cfRule type="cellIs" dxfId="622" priority="696" operator="equal">
      <formula>"Not Assigned"</formula>
    </cfRule>
  </conditionalFormatting>
  <conditionalFormatting sqref="AJ149:AJ150">
    <cfRule type="cellIs" dxfId="621" priority="695" operator="equal">
      <formula>FALSE</formula>
    </cfRule>
  </conditionalFormatting>
  <conditionalFormatting sqref="AK149:AK150">
    <cfRule type="cellIs" dxfId="620" priority="694" operator="equal">
      <formula>FALSE</formula>
    </cfRule>
  </conditionalFormatting>
  <conditionalFormatting sqref="AL149:AL150">
    <cfRule type="cellIs" dxfId="619" priority="693" operator="equal">
      <formula>FALSE</formula>
    </cfRule>
  </conditionalFormatting>
  <conditionalFormatting sqref="AM149:AM150">
    <cfRule type="cellIs" dxfId="618" priority="692" operator="equal">
      <formula>FALSE</formula>
    </cfRule>
  </conditionalFormatting>
  <conditionalFormatting sqref="AN149:AN150">
    <cfRule type="cellIs" dxfId="617" priority="691" operator="equal">
      <formula>FALSE</formula>
    </cfRule>
  </conditionalFormatting>
  <conditionalFormatting sqref="AP149:AP150">
    <cfRule type="cellIs" dxfId="616" priority="690" operator="equal">
      <formula>"INVALID"</formula>
    </cfRule>
  </conditionalFormatting>
  <conditionalFormatting sqref="AJ149:AJ150">
    <cfRule type="cellIs" dxfId="615" priority="689" operator="equal">
      <formula>"INVALID"</formula>
    </cfRule>
  </conditionalFormatting>
  <conditionalFormatting sqref="AK149:AK150">
    <cfRule type="cellIs" dxfId="614" priority="688" operator="equal">
      <formula>"INVALID"</formula>
    </cfRule>
  </conditionalFormatting>
  <conditionalFormatting sqref="AL149:AM150">
    <cfRule type="cellIs" dxfId="613" priority="687" operator="equal">
      <formula>"INVALID"</formula>
    </cfRule>
  </conditionalFormatting>
  <conditionalFormatting sqref="AK149:AK150">
    <cfRule type="cellIs" dxfId="612" priority="686" operator="equal">
      <formula>"INVALID"</formula>
    </cfRule>
  </conditionalFormatting>
  <conditionalFormatting sqref="AL149:AL150">
    <cfRule type="cellIs" dxfId="611" priority="685" operator="equal">
      <formula>"INVALID"</formula>
    </cfRule>
  </conditionalFormatting>
  <conditionalFormatting sqref="AM149:AM150">
    <cfRule type="cellIs" dxfId="610" priority="684" operator="equal">
      <formula>"INVALID"</formula>
    </cfRule>
  </conditionalFormatting>
  <conditionalFormatting sqref="AN149:AN150">
    <cfRule type="cellIs" dxfId="609" priority="683" operator="equal">
      <formula>"INVALID"</formula>
    </cfRule>
  </conditionalFormatting>
  <conditionalFormatting sqref="AO149:AO150">
    <cfRule type="cellIs" dxfId="608" priority="682" operator="equal">
      <formula>FALSE</formula>
    </cfRule>
  </conditionalFormatting>
  <conditionalFormatting sqref="AO149:AO150">
    <cfRule type="cellIs" dxfId="607" priority="681" operator="equal">
      <formula>"INVALID"</formula>
    </cfRule>
  </conditionalFormatting>
  <conditionalFormatting sqref="AO149:AO150">
    <cfRule type="cellIs" dxfId="606" priority="680" operator="equal">
      <formula>"INVALID"</formula>
    </cfRule>
  </conditionalFormatting>
  <conditionalFormatting sqref="AI149:AI150">
    <cfRule type="cellIs" dxfId="605" priority="679" operator="equal">
      <formula>"INVALID"</formula>
    </cfRule>
  </conditionalFormatting>
  <conditionalFormatting sqref="AI149:AI150">
    <cfRule type="cellIs" dxfId="604" priority="678" operator="equal">
      <formula>"INVALID"</formula>
    </cfRule>
  </conditionalFormatting>
  <conditionalFormatting sqref="AI149:AI150">
    <cfRule type="cellIs" dxfId="603" priority="677" operator="equal">
      <formula>"INVALID"</formula>
    </cfRule>
  </conditionalFormatting>
  <conditionalFormatting sqref="AG149:AG150">
    <cfRule type="cellIs" dxfId="602" priority="676" operator="equal">
      <formula>"INVALID"</formula>
    </cfRule>
  </conditionalFormatting>
  <conditionalFormatting sqref="AG149:AG150">
    <cfRule type="cellIs" dxfId="601" priority="675" operator="equal">
      <formula>"INVALID"</formula>
    </cfRule>
  </conditionalFormatting>
  <conditionalFormatting sqref="AG149:AG150">
    <cfRule type="cellIs" dxfId="600" priority="674" operator="equal">
      <formula>"INVALID"</formula>
    </cfRule>
  </conditionalFormatting>
  <conditionalFormatting sqref="AG149:AG150">
    <cfRule type="cellIs" dxfId="599" priority="670" operator="equal">
      <formula>"INVALID"</formula>
    </cfRule>
  </conditionalFormatting>
  <conditionalFormatting sqref="AG149:AG150">
    <cfRule type="cellIs" dxfId="598" priority="672" operator="equal">
      <formula>"INVALID"</formula>
    </cfRule>
  </conditionalFormatting>
  <conditionalFormatting sqref="AG149:AG150">
    <cfRule type="cellIs" dxfId="597" priority="673" operator="equal">
      <formula>"INVALID"</formula>
    </cfRule>
  </conditionalFormatting>
  <conditionalFormatting sqref="AG149:AG150">
    <cfRule type="cellIs" dxfId="596" priority="669" operator="equal">
      <formula>"INVALID"</formula>
    </cfRule>
  </conditionalFormatting>
  <conditionalFormatting sqref="AG149:AG150">
    <cfRule type="cellIs" dxfId="595" priority="668" operator="equal">
      <formula>"INVALID"</formula>
    </cfRule>
  </conditionalFormatting>
  <conditionalFormatting sqref="AG149:AG150">
    <cfRule type="cellIs" dxfId="594" priority="671" operator="equal">
      <formula>"INVALID"</formula>
    </cfRule>
  </conditionalFormatting>
  <conditionalFormatting sqref="AG149:AG150">
    <cfRule type="cellIs" dxfId="593" priority="667" operator="equal">
      <formula>"INVALID"</formula>
    </cfRule>
  </conditionalFormatting>
  <conditionalFormatting sqref="AG149:AG150">
    <cfRule type="cellIs" dxfId="592" priority="666" operator="equal">
      <formula>"INVALID"</formula>
    </cfRule>
  </conditionalFormatting>
  <conditionalFormatting sqref="AG149:AG150">
    <cfRule type="cellIs" dxfId="591" priority="665" operator="equal">
      <formula>"INVALID"</formula>
    </cfRule>
  </conditionalFormatting>
  <conditionalFormatting sqref="AF163:AG163 AI163:AP163">
    <cfRule type="cellIs" dxfId="590" priority="663" operator="equal">
      <formula>"INVALID"</formula>
    </cfRule>
  </conditionalFormatting>
  <conditionalFormatting sqref="AR163">
    <cfRule type="cellIs" dxfId="589" priority="662" operator="equal">
      <formula>"Not Assigned"</formula>
    </cfRule>
  </conditionalFormatting>
  <conditionalFormatting sqref="AJ163:AO163">
    <cfRule type="cellIs" dxfId="588" priority="661" operator="equal">
      <formula>FALSE</formula>
    </cfRule>
  </conditionalFormatting>
  <conditionalFormatting sqref="AG163">
    <cfRule type="cellIs" dxfId="587" priority="659" operator="equal">
      <formula>"INVALID"</formula>
    </cfRule>
  </conditionalFormatting>
  <conditionalFormatting sqref="AG163">
    <cfRule type="cellIs" dxfId="586" priority="660" operator="equal">
      <formula>"INVALID"</formula>
    </cfRule>
  </conditionalFormatting>
  <conditionalFormatting sqref="AG163">
    <cfRule type="cellIs" dxfId="585" priority="658" operator="equal">
      <formula>"INVALID"</formula>
    </cfRule>
  </conditionalFormatting>
  <conditionalFormatting sqref="AG163">
    <cfRule type="cellIs" dxfId="584" priority="657" operator="equal">
      <formula>"INVALID"</formula>
    </cfRule>
  </conditionalFormatting>
  <conditionalFormatting sqref="AG163">
    <cfRule type="cellIs" dxfId="583" priority="654" operator="equal">
      <formula>"INVALID"</formula>
    </cfRule>
  </conditionalFormatting>
  <conditionalFormatting sqref="AG163">
    <cfRule type="cellIs" dxfId="582" priority="656" operator="equal">
      <formula>"INVALID"</formula>
    </cfRule>
  </conditionalFormatting>
  <conditionalFormatting sqref="AG163">
    <cfRule type="cellIs" dxfId="581" priority="655" operator="equal">
      <formula>"INVALID"</formula>
    </cfRule>
  </conditionalFormatting>
  <conditionalFormatting sqref="AG163">
    <cfRule type="cellIs" dxfId="580" priority="653" operator="equal">
      <formula>"INVALID"</formula>
    </cfRule>
  </conditionalFormatting>
  <conditionalFormatting sqref="AG163">
    <cfRule type="cellIs" dxfId="579" priority="652" operator="equal">
      <formula>"INVALID"</formula>
    </cfRule>
  </conditionalFormatting>
  <conditionalFormatting sqref="AG163">
    <cfRule type="cellIs" dxfId="578" priority="651" operator="equal">
      <formula>"INVALID"</formula>
    </cfRule>
  </conditionalFormatting>
  <conditionalFormatting sqref="AG163">
    <cfRule type="cellIs" dxfId="577" priority="650" operator="equal">
      <formula>"INVALID"</formula>
    </cfRule>
  </conditionalFormatting>
  <conditionalFormatting sqref="AG163">
    <cfRule type="cellIs" dxfId="576" priority="649" operator="equal">
      <formula>"INVALID"</formula>
    </cfRule>
  </conditionalFormatting>
  <conditionalFormatting sqref="AD163">
    <cfRule type="cellIs" dxfId="575" priority="648" operator="equal">
      <formula>"INVALID"</formula>
    </cfRule>
  </conditionalFormatting>
  <conditionalFormatting sqref="AR197:AR198">
    <cfRule type="cellIs" dxfId="574" priority="647" operator="equal">
      <formula>"Not Assigned"</formula>
    </cfRule>
  </conditionalFormatting>
  <conditionalFormatting sqref="AI197:AJ198 AE197:AF198 AL197:AP198">
    <cfRule type="cellIs" dxfId="573" priority="646" operator="equal">
      <formula>"INVALID"</formula>
    </cfRule>
  </conditionalFormatting>
  <conditionalFormatting sqref="AJ197:AJ198 AL197:AO198">
    <cfRule type="cellIs" dxfId="572" priority="645" operator="equal">
      <formula>FALSE</formula>
    </cfRule>
  </conditionalFormatting>
  <conditionalFormatting sqref="AT198">
    <cfRule type="expression" dxfId="571" priority="644">
      <formula>NOT($AM198)</formula>
    </cfRule>
  </conditionalFormatting>
  <conditionalFormatting sqref="AG197:AG198">
    <cfRule type="cellIs" dxfId="570" priority="643" operator="equal">
      <formula>"INVALID"</formula>
    </cfRule>
  </conditionalFormatting>
  <conditionalFormatting sqref="AG197:AG198">
    <cfRule type="cellIs" dxfId="569" priority="642" operator="equal">
      <formula>"INVALID"</formula>
    </cfRule>
  </conditionalFormatting>
  <conditionalFormatting sqref="AG197:AG198">
    <cfRule type="cellIs" dxfId="568" priority="641" operator="equal">
      <formula>"INVALID"</formula>
    </cfRule>
  </conditionalFormatting>
  <conditionalFormatting sqref="AG197:AG198">
    <cfRule type="cellIs" dxfId="567" priority="639" operator="equal">
      <formula>"INVALID"</formula>
    </cfRule>
  </conditionalFormatting>
  <conditionalFormatting sqref="AG197:AG198">
    <cfRule type="cellIs" dxfId="566" priority="640" operator="equal">
      <formula>"INVALID"</formula>
    </cfRule>
  </conditionalFormatting>
  <conditionalFormatting sqref="AG197:AG198">
    <cfRule type="cellIs" dxfId="565" priority="638" operator="equal">
      <formula>"INVALID"</formula>
    </cfRule>
  </conditionalFormatting>
  <conditionalFormatting sqref="AG197:AG198">
    <cfRule type="cellIs" dxfId="564" priority="637" operator="equal">
      <formula>"INVALID"</formula>
    </cfRule>
  </conditionalFormatting>
  <conditionalFormatting sqref="AG197:AG198">
    <cfRule type="cellIs" dxfId="563" priority="634" operator="equal">
      <formula>"INVALID"</formula>
    </cfRule>
  </conditionalFormatting>
  <conditionalFormatting sqref="AG197:AG198">
    <cfRule type="cellIs" dxfId="562" priority="636" operator="equal">
      <formula>"INVALID"</formula>
    </cfRule>
  </conditionalFormatting>
  <conditionalFormatting sqref="AG197:AG198">
    <cfRule type="cellIs" dxfId="561" priority="635" operator="equal">
      <formula>"INVALID"</formula>
    </cfRule>
  </conditionalFormatting>
  <conditionalFormatting sqref="AG197:AG198">
    <cfRule type="cellIs" dxfId="560" priority="633" operator="equal">
      <formula>"INVALID"</formula>
    </cfRule>
  </conditionalFormatting>
  <conditionalFormatting sqref="AG197:AG198">
    <cfRule type="cellIs" dxfId="559" priority="632" operator="equal">
      <formula>"INVALID"</formula>
    </cfRule>
  </conditionalFormatting>
  <conditionalFormatting sqref="AG197:AG198">
    <cfRule type="cellIs" dxfId="558" priority="631" operator="equal">
      <formula>"INVALID"</formula>
    </cfRule>
  </conditionalFormatting>
  <conditionalFormatting sqref="AG197:AG198">
    <cfRule type="cellIs" dxfId="557" priority="630" operator="equal">
      <formula>"INVALID"</formula>
    </cfRule>
  </conditionalFormatting>
  <conditionalFormatting sqref="AG197:AG198">
    <cfRule type="cellIs" dxfId="556" priority="629" operator="equal">
      <formula>"INVALID"</formula>
    </cfRule>
  </conditionalFormatting>
  <conditionalFormatting sqref="AF208 AH208:AI208">
    <cfRule type="cellIs" dxfId="555" priority="628" operator="equal">
      <formula>"INVALID"</formula>
    </cfRule>
  </conditionalFormatting>
  <conditionalFormatting sqref="AG208">
    <cfRule type="cellIs" dxfId="554" priority="627" operator="equal">
      <formula>"INVALID"</formula>
    </cfRule>
  </conditionalFormatting>
  <conditionalFormatting sqref="AF211 AH211:AI211">
    <cfRule type="cellIs" dxfId="553" priority="626" operator="equal">
      <formula>"INVALID"</formula>
    </cfRule>
  </conditionalFormatting>
  <conditionalFormatting sqref="AG211">
    <cfRule type="cellIs" dxfId="552" priority="625" operator="equal">
      <formula>"INVALID"</formula>
    </cfRule>
  </conditionalFormatting>
  <conditionalFormatting sqref="AF214 AH214:AI214">
    <cfRule type="cellIs" dxfId="551" priority="624" operator="equal">
      <formula>"INVALID"</formula>
    </cfRule>
  </conditionalFormatting>
  <conditionalFormatting sqref="AG214">
    <cfRule type="cellIs" dxfId="550" priority="623" operator="equal">
      <formula>"INVALID"</formula>
    </cfRule>
  </conditionalFormatting>
  <conditionalFormatting sqref="AF227 AH227:AI227">
    <cfRule type="cellIs" dxfId="549" priority="622" operator="equal">
      <formula>"INVALID"</formula>
    </cfRule>
  </conditionalFormatting>
  <conditionalFormatting sqref="AG227">
    <cfRule type="cellIs" dxfId="548" priority="621" operator="equal">
      <formula>"INVALID"</formula>
    </cfRule>
  </conditionalFormatting>
  <conditionalFormatting sqref="AR251 AR259:AR263">
    <cfRule type="cellIs" dxfId="547" priority="620" operator="equal">
      <formula>"Not Assigned"</formula>
    </cfRule>
  </conditionalFormatting>
  <conditionalFormatting sqref="AE259:AF263 AD251:AF251">
    <cfRule type="cellIs" dxfId="546" priority="619" operator="equal">
      <formula>"INVALID"</formula>
    </cfRule>
  </conditionalFormatting>
  <conditionalFormatting sqref="AS251 AS259:AS263">
    <cfRule type="expression" dxfId="545" priority="618">
      <formula>EXACT(AF251, "INVALID")</formula>
    </cfRule>
  </conditionalFormatting>
  <conditionalFormatting sqref="AZ251">
    <cfRule type="expression" dxfId="544" priority="617">
      <formula>AND(NOT(ISBLANK(AZ251)), EXACT(AF251, "INVALID"))</formula>
    </cfRule>
  </conditionalFormatting>
  <conditionalFormatting sqref="BA251">
    <cfRule type="expression" dxfId="543" priority="616">
      <formula>AND(NOT(ISBLANK(BA251)), EXACT(AF251, "INVALID"))</formula>
    </cfRule>
  </conditionalFormatting>
  <conditionalFormatting sqref="AR251">
    <cfRule type="expression" dxfId="542" priority="615">
      <formula>NOT($AL251)</formula>
    </cfRule>
  </conditionalFormatting>
  <conditionalFormatting sqref="R263">
    <cfRule type="cellIs" dxfId="541" priority="614" operator="equal">
      <formula>"INVALID"</formula>
    </cfRule>
  </conditionalFormatting>
  <conditionalFormatting sqref="S263">
    <cfRule type="cellIs" dxfId="540" priority="613" operator="equal">
      <formula>"INVALID"</formula>
    </cfRule>
  </conditionalFormatting>
  <conditionalFormatting sqref="T263">
    <cfRule type="cellIs" dxfId="539" priority="612" operator="equal">
      <formula>"INVALID"</formula>
    </cfRule>
  </conditionalFormatting>
  <conditionalFormatting sqref="V263">
    <cfRule type="cellIs" dxfId="538" priority="611" operator="equal">
      <formula>"INVALID"</formula>
    </cfRule>
  </conditionalFormatting>
  <conditionalFormatting sqref="AJ251 AJ259:AJ263">
    <cfRule type="cellIs" dxfId="537" priority="610" operator="equal">
      <formula>FALSE</formula>
    </cfRule>
  </conditionalFormatting>
  <conditionalFormatting sqref="AK251 AK259:AK263">
    <cfRule type="cellIs" dxfId="536" priority="609" operator="equal">
      <formula>FALSE</formula>
    </cfRule>
  </conditionalFormatting>
  <conditionalFormatting sqref="AL251 AL259:AL263">
    <cfRule type="cellIs" dxfId="535" priority="608" operator="equal">
      <formula>FALSE</formula>
    </cfRule>
  </conditionalFormatting>
  <conditionalFormatting sqref="AM251 AM259:AM263">
    <cfRule type="cellIs" dxfId="534" priority="607" operator="equal">
      <formula>FALSE</formula>
    </cfRule>
  </conditionalFormatting>
  <conditionalFormatting sqref="AN251 AN259:AN263">
    <cfRule type="cellIs" dxfId="533" priority="606" operator="equal">
      <formula>FALSE</formula>
    </cfRule>
  </conditionalFormatting>
  <conditionalFormatting sqref="AP251 AP259:AP263">
    <cfRule type="cellIs" dxfId="532" priority="605" operator="equal">
      <formula>"INVALID"</formula>
    </cfRule>
  </conditionalFormatting>
  <conditionalFormatting sqref="AJ251 AJ259:AJ263">
    <cfRule type="cellIs" dxfId="531" priority="604" operator="equal">
      <formula>"INVALID"</formula>
    </cfRule>
  </conditionalFormatting>
  <conditionalFormatting sqref="AK251 AK259:AK263">
    <cfRule type="cellIs" dxfId="530" priority="603" operator="equal">
      <formula>"INVALID"</formula>
    </cfRule>
  </conditionalFormatting>
  <conditionalFormatting sqref="AL251:AM251 AL259:AM263">
    <cfRule type="cellIs" dxfId="529" priority="602" operator="equal">
      <formula>"INVALID"</formula>
    </cfRule>
  </conditionalFormatting>
  <conditionalFormatting sqref="AK251 AK259:AK263">
    <cfRule type="cellIs" dxfId="528" priority="601" operator="equal">
      <formula>"INVALID"</formula>
    </cfRule>
  </conditionalFormatting>
  <conditionalFormatting sqref="AL251 AL259:AL263">
    <cfRule type="cellIs" dxfId="527" priority="600" operator="equal">
      <formula>"INVALID"</formula>
    </cfRule>
  </conditionalFormatting>
  <conditionalFormatting sqref="AM251 AM259:AM263">
    <cfRule type="cellIs" dxfId="526" priority="599" operator="equal">
      <formula>"INVALID"</formula>
    </cfRule>
  </conditionalFormatting>
  <conditionalFormatting sqref="AN251 AN259:AN263">
    <cfRule type="cellIs" dxfId="525" priority="598" operator="equal">
      <formula>"INVALID"</formula>
    </cfRule>
  </conditionalFormatting>
  <conditionalFormatting sqref="AZ251:BA251">
    <cfRule type="expression" dxfId="524" priority="597">
      <formula>NOT($AN251)</formula>
    </cfRule>
  </conditionalFormatting>
  <conditionalFormatting sqref="AS251">
    <cfRule type="expression" dxfId="523" priority="596">
      <formula>NOT($AK251)</formula>
    </cfRule>
  </conditionalFormatting>
  <conditionalFormatting sqref="AO251 AO259:AO263">
    <cfRule type="cellIs" dxfId="522" priority="595" operator="equal">
      <formula>FALSE</formula>
    </cfRule>
  </conditionalFormatting>
  <conditionalFormatting sqref="AO251 AO259:AO263">
    <cfRule type="cellIs" dxfId="521" priority="594" operator="equal">
      <formula>"INVALID"</formula>
    </cfRule>
  </conditionalFormatting>
  <conditionalFormatting sqref="AO251 AO259:AO263">
    <cfRule type="cellIs" dxfId="520" priority="593" operator="equal">
      <formula>"INVALID"</formula>
    </cfRule>
  </conditionalFormatting>
  <conditionalFormatting sqref="AI251 AI259:AI263">
    <cfRule type="cellIs" dxfId="519" priority="592" operator="equal">
      <formula>"INVALID"</formula>
    </cfRule>
  </conditionalFormatting>
  <conditionalFormatting sqref="AI251 AI259:AI263">
    <cfRule type="cellIs" dxfId="518" priority="591" operator="equal">
      <formula>"INVALID"</formula>
    </cfRule>
  </conditionalFormatting>
  <conditionalFormatting sqref="AI251 AI259:AI263">
    <cfRule type="cellIs" dxfId="517" priority="590" operator="equal">
      <formula>"INVALID"</formula>
    </cfRule>
  </conditionalFormatting>
  <conditionalFormatting sqref="AI251 AI259:AI263">
    <cfRule type="cellIs" dxfId="516" priority="589" operator="equal">
      <formula>"INVALID"</formula>
    </cfRule>
  </conditionalFormatting>
  <conditionalFormatting sqref="AQ251">
    <cfRule type="expression" dxfId="515" priority="588" stopIfTrue="1">
      <formula>REPLACE($AQ251,8,LEN($AQ251),"")="unused_"</formula>
    </cfRule>
  </conditionalFormatting>
  <conditionalFormatting sqref="AQ251">
    <cfRule type="expression" dxfId="514" priority="586">
      <formula>NOT($AJ251)</formula>
    </cfRule>
    <cfRule type="expression" dxfId="513" priority="587">
      <formula>RIGHT($AQ251, 1)="*"</formula>
    </cfRule>
  </conditionalFormatting>
  <conditionalFormatting sqref="AQ259:AQ263">
    <cfRule type="expression" dxfId="512" priority="585" stopIfTrue="1">
      <formula>REPLACE($AQ259,8,LEN($AQ259),"")="unused_"</formula>
    </cfRule>
  </conditionalFormatting>
  <conditionalFormatting sqref="AQ259:AQ263">
    <cfRule type="expression" dxfId="511" priority="583">
      <formula>NOT($AJ259)</formula>
    </cfRule>
    <cfRule type="expression" dxfId="510" priority="584">
      <formula>RIGHT($AQ259, 1)="*"</formula>
    </cfRule>
  </conditionalFormatting>
  <conditionalFormatting sqref="AT260">
    <cfRule type="expression" dxfId="509" priority="582">
      <formula>NOT($AM260)</formula>
    </cfRule>
  </conditionalFormatting>
  <conditionalFormatting sqref="AT262:AT263">
    <cfRule type="expression" dxfId="508" priority="581">
      <formula>NOT($AM262)</formula>
    </cfRule>
  </conditionalFormatting>
  <conditionalFormatting sqref="AX263">
    <cfRule type="expression" dxfId="507" priority="580">
      <formula>NOT($AO263)</formula>
    </cfRule>
  </conditionalFormatting>
  <conditionalFormatting sqref="Q251">
    <cfRule type="cellIs" dxfId="506" priority="579" operator="equal">
      <formula>"INVALID"</formula>
    </cfRule>
  </conditionalFormatting>
  <conditionalFormatting sqref="R251">
    <cfRule type="cellIs" dxfId="505" priority="578" operator="equal">
      <formula>"INVALID"</formula>
    </cfRule>
  </conditionalFormatting>
  <conditionalFormatting sqref="S251">
    <cfRule type="cellIs" dxfId="504" priority="577" operator="equal">
      <formula>"INVALID"</formula>
    </cfRule>
  </conditionalFormatting>
  <conditionalFormatting sqref="T251">
    <cfRule type="cellIs" dxfId="503" priority="576" operator="equal">
      <formula>"INVALID"</formula>
    </cfRule>
  </conditionalFormatting>
  <conditionalFormatting sqref="U251:V251 V259:V263">
    <cfRule type="cellIs" dxfId="502" priority="575" operator="equal">
      <formula>"INVALID"</formula>
    </cfRule>
  </conditionalFormatting>
  <conditionalFormatting sqref="V259">
    <cfRule type="cellIs" dxfId="501" priority="574" operator="equal">
      <formula>"INVALID"</formula>
    </cfRule>
  </conditionalFormatting>
  <conditionalFormatting sqref="V261">
    <cfRule type="cellIs" dxfId="500" priority="573" operator="equal">
      <formula>"INVALID"</formula>
    </cfRule>
  </conditionalFormatting>
  <conditionalFormatting sqref="V262">
    <cfRule type="cellIs" dxfId="499" priority="572" operator="equal">
      <formula>"INVALID"</formula>
    </cfRule>
  </conditionalFormatting>
  <conditionalFormatting sqref="AG251 AG259:AG263">
    <cfRule type="cellIs" dxfId="498" priority="571" operator="equal">
      <formula>"INVALID"</formula>
    </cfRule>
  </conditionalFormatting>
  <conditionalFormatting sqref="AG251 AG259:AG263">
    <cfRule type="cellIs" dxfId="497" priority="570" operator="equal">
      <formula>"INVALID"</formula>
    </cfRule>
  </conditionalFormatting>
  <conditionalFormatting sqref="AG251 AG259:AG263">
    <cfRule type="cellIs" dxfId="496" priority="569" operator="equal">
      <formula>"INVALID"</formula>
    </cfRule>
  </conditionalFormatting>
  <conditionalFormatting sqref="AG251 AG259:AG263">
    <cfRule type="cellIs" dxfId="495" priority="568" operator="equal">
      <formula>"INVALID"</formula>
    </cfRule>
  </conditionalFormatting>
  <conditionalFormatting sqref="AG251 AG259:AG263">
    <cfRule type="cellIs" dxfId="494" priority="567" operator="equal">
      <formula>"INVALID"</formula>
    </cfRule>
  </conditionalFormatting>
  <conditionalFormatting sqref="AG251 AG259:AG263">
    <cfRule type="cellIs" dxfId="493" priority="566" operator="equal">
      <formula>"INVALID"</formula>
    </cfRule>
  </conditionalFormatting>
  <conditionalFormatting sqref="AG251 AG259:AG263">
    <cfRule type="cellIs" dxfId="492" priority="565" operator="equal">
      <formula>"INVALID"</formula>
    </cfRule>
  </conditionalFormatting>
  <conditionalFormatting sqref="AG251 AG259:AG263">
    <cfRule type="cellIs" dxfId="491" priority="564" operator="equal">
      <formula>"INVALID"</formula>
    </cfRule>
  </conditionalFormatting>
  <conditionalFormatting sqref="AG251 AG259:AG263">
    <cfRule type="cellIs" dxfId="490" priority="563" operator="equal">
      <formula>"INVALID"</formula>
    </cfRule>
  </conditionalFormatting>
  <conditionalFormatting sqref="AG251 AG259:AG263">
    <cfRule type="cellIs" dxfId="489" priority="562" operator="equal">
      <formula>"INVALID"</formula>
    </cfRule>
  </conditionalFormatting>
  <conditionalFormatting sqref="AG251 AG259:AG263">
    <cfRule type="cellIs" dxfId="488" priority="561" operator="equal">
      <formula>"INVALID"</formula>
    </cfRule>
  </conditionalFormatting>
  <conditionalFormatting sqref="AG251 AG259:AG263">
    <cfRule type="cellIs" dxfId="487" priority="560" operator="equal">
      <formula>"INVALID"</formula>
    </cfRule>
  </conditionalFormatting>
  <conditionalFormatting sqref="AG251 AG259:AG263">
    <cfRule type="cellIs" dxfId="486" priority="559" operator="equal">
      <formula>"INVALID"</formula>
    </cfRule>
  </conditionalFormatting>
  <conditionalFormatting sqref="AG251 AG259:AG263">
    <cfRule type="cellIs" dxfId="485" priority="558" operator="equal">
      <formula>"INVALID"</formula>
    </cfRule>
  </conditionalFormatting>
  <conditionalFormatting sqref="AG251 AG259:AG263">
    <cfRule type="cellIs" dxfId="484" priority="557" operator="equal">
      <formula>"INVALID"</formula>
    </cfRule>
  </conditionalFormatting>
  <conditionalFormatting sqref="AG251 AG259:AG263">
    <cfRule type="cellIs" dxfId="483" priority="556" operator="equal">
      <formula>"INVALID"</formula>
    </cfRule>
  </conditionalFormatting>
  <conditionalFormatting sqref="AG251 AG259:AG263">
    <cfRule type="cellIs" dxfId="482" priority="555" operator="equal">
      <formula>"INVALID"</formula>
    </cfRule>
  </conditionalFormatting>
  <conditionalFormatting sqref="AG251 AG259:AG263">
    <cfRule type="cellIs" dxfId="481" priority="554" operator="equal">
      <formula>"INVALID"</formula>
    </cfRule>
  </conditionalFormatting>
  <conditionalFormatting sqref="AG251 AG259:AG263">
    <cfRule type="cellIs" dxfId="480" priority="553" operator="equal">
      <formula>"INVALID"</formula>
    </cfRule>
  </conditionalFormatting>
  <conditionalFormatting sqref="AG251 AG259:AG263">
    <cfRule type="cellIs" dxfId="479" priority="552" operator="equal">
      <formula>"INVALID"</formula>
    </cfRule>
  </conditionalFormatting>
  <conditionalFormatting sqref="AG251 AG259:AG263">
    <cfRule type="cellIs" dxfId="478" priority="551" operator="equal">
      <formula>"INVALID"</formula>
    </cfRule>
  </conditionalFormatting>
  <conditionalFormatting sqref="AG251 AG259:AG263">
    <cfRule type="cellIs" dxfId="477" priority="550" operator="equal">
      <formula>"INVALID"</formula>
    </cfRule>
  </conditionalFormatting>
  <conditionalFormatting sqref="AG251 AG259:AG263">
    <cfRule type="cellIs" dxfId="476" priority="549" operator="equal">
      <formula>"INVALID"</formula>
    </cfRule>
  </conditionalFormatting>
  <conditionalFormatting sqref="AG251 AG259:AG263">
    <cfRule type="cellIs" dxfId="475" priority="548" operator="equal">
      <formula>"INVALID"</formula>
    </cfRule>
  </conditionalFormatting>
  <conditionalFormatting sqref="AG251 AG259:AG263">
    <cfRule type="cellIs" dxfId="474" priority="547" operator="equal">
      <formula>"INVALID"</formula>
    </cfRule>
  </conditionalFormatting>
  <conditionalFormatting sqref="AG251 AG259:AG263">
    <cfRule type="cellIs" dxfId="473" priority="546" operator="equal">
      <formula>"INVALID"</formula>
    </cfRule>
  </conditionalFormatting>
  <conditionalFormatting sqref="AG251 AG259:AG263">
    <cfRule type="cellIs" dxfId="472" priority="545" operator="equal">
      <formula>"INVALID"</formula>
    </cfRule>
  </conditionalFormatting>
  <conditionalFormatting sqref="AG251 AG259:AG263">
    <cfRule type="cellIs" dxfId="471" priority="544" operator="equal">
      <formula>"INVALID"</formula>
    </cfRule>
  </conditionalFormatting>
  <conditionalFormatting sqref="AG251 AG259:AG263">
    <cfRule type="cellIs" dxfId="470" priority="543" operator="equal">
      <formula>"INVALID"</formula>
    </cfRule>
  </conditionalFormatting>
  <conditionalFormatting sqref="AG251 AG259:AG263">
    <cfRule type="cellIs" dxfId="469" priority="542" operator="equal">
      <formula>"INVALID"</formula>
    </cfRule>
  </conditionalFormatting>
  <conditionalFormatting sqref="AG251 AG259:AG263">
    <cfRule type="cellIs" dxfId="468" priority="541" operator="equal">
      <formula>"INVALID"</formula>
    </cfRule>
  </conditionalFormatting>
  <conditionalFormatting sqref="AG251 AG259:AG263">
    <cfRule type="cellIs" dxfId="467" priority="540" operator="equal">
      <formula>"INVALID"</formula>
    </cfRule>
  </conditionalFormatting>
  <conditionalFormatting sqref="AG251 AG259:AG263">
    <cfRule type="cellIs" dxfId="466" priority="539" operator="equal">
      <formula>"INVALID"</formula>
    </cfRule>
  </conditionalFormatting>
  <conditionalFormatting sqref="AG251 AG259:AG263">
    <cfRule type="cellIs" dxfId="465" priority="538" operator="equal">
      <formula>"INVALID"</formula>
    </cfRule>
  </conditionalFormatting>
  <conditionalFormatting sqref="AG251 AG259:AG263">
    <cfRule type="cellIs" dxfId="464" priority="537" operator="equal">
      <formula>"INVALID"</formula>
    </cfRule>
  </conditionalFormatting>
  <conditionalFormatting sqref="AG251 AG259:AG263">
    <cfRule type="cellIs" dxfId="463" priority="536" operator="equal">
      <formula>"INVALID"</formula>
    </cfRule>
  </conditionalFormatting>
  <conditionalFormatting sqref="AG251 AG259:AG263">
    <cfRule type="cellIs" dxfId="462" priority="534" operator="equal">
      <formula>"INVALID"</formula>
    </cfRule>
  </conditionalFormatting>
  <conditionalFormatting sqref="AG251 AG259:AG263">
    <cfRule type="cellIs" dxfId="461" priority="535" operator="equal">
      <formula>"INVALID"</formula>
    </cfRule>
  </conditionalFormatting>
  <conditionalFormatting sqref="AG251 AG259:AG263">
    <cfRule type="cellIs" dxfId="460" priority="533" operator="equal">
      <formula>"INVALID"</formula>
    </cfRule>
  </conditionalFormatting>
  <conditionalFormatting sqref="AG251 AG259:AG263">
    <cfRule type="cellIs" dxfId="459" priority="532" operator="equal">
      <formula>"INVALID"</formula>
    </cfRule>
  </conditionalFormatting>
  <conditionalFormatting sqref="AG251 AG259:AG263">
    <cfRule type="cellIs" dxfId="458" priority="529" operator="equal">
      <formula>"INVALID"</formula>
    </cfRule>
  </conditionalFormatting>
  <conditionalFormatting sqref="AG251 AG259:AG263">
    <cfRule type="cellIs" dxfId="457" priority="531" operator="equal">
      <formula>"INVALID"</formula>
    </cfRule>
  </conditionalFormatting>
  <conditionalFormatting sqref="AG251 AG259:AG263">
    <cfRule type="cellIs" dxfId="456" priority="530" operator="equal">
      <formula>"INVALID"</formula>
    </cfRule>
  </conditionalFormatting>
  <conditionalFormatting sqref="AG251 AG259:AG263">
    <cfRule type="cellIs" dxfId="455" priority="528" operator="equal">
      <formula>"INVALID"</formula>
    </cfRule>
  </conditionalFormatting>
  <conditionalFormatting sqref="AG251 AG259:AG263">
    <cfRule type="cellIs" dxfId="454" priority="527" operator="equal">
      <formula>"INVALID"</formula>
    </cfRule>
  </conditionalFormatting>
  <conditionalFormatting sqref="AG251 AG259:AG263">
    <cfRule type="cellIs" dxfId="453" priority="526" operator="equal">
      <formula>"INVALID"</formula>
    </cfRule>
  </conditionalFormatting>
  <conditionalFormatting sqref="AG251 AG259:AG263">
    <cfRule type="cellIs" dxfId="452" priority="525" operator="equal">
      <formula>"INVALID"</formula>
    </cfRule>
  </conditionalFormatting>
  <conditionalFormatting sqref="AG251 AG259:AG263">
    <cfRule type="cellIs" dxfId="451" priority="524" operator="equal">
      <formula>"INVALID"</formula>
    </cfRule>
  </conditionalFormatting>
  <conditionalFormatting sqref="AR252:AR257">
    <cfRule type="cellIs" dxfId="450" priority="523" operator="equal">
      <formula>"Not Assigned"</formula>
    </cfRule>
  </conditionalFormatting>
  <conditionalFormatting sqref="AD252 AE252:AF257 AD254:AD255">
    <cfRule type="cellIs" dxfId="449" priority="522" operator="equal">
      <formula>"INVALID"</formula>
    </cfRule>
  </conditionalFormatting>
  <conditionalFormatting sqref="AS252:AS257">
    <cfRule type="expression" dxfId="448" priority="521">
      <formula>EXACT(AF252, "INVALID")</formula>
    </cfRule>
  </conditionalFormatting>
  <conditionalFormatting sqref="AZ252:AZ257">
    <cfRule type="expression" dxfId="447" priority="520">
      <formula>AND(NOT(ISBLANK(AZ252)), EXACT(AF252, "INVALID"))</formula>
    </cfRule>
  </conditionalFormatting>
  <conditionalFormatting sqref="BA252:BA257">
    <cfRule type="expression" dxfId="446" priority="519">
      <formula>AND(NOT(ISBLANK(BA252)), EXACT(AF252, "INVALID"))</formula>
    </cfRule>
  </conditionalFormatting>
  <conditionalFormatting sqref="AR252:AR257">
    <cfRule type="expression" dxfId="445" priority="518">
      <formula>NOT($AL252)</formula>
    </cfRule>
  </conditionalFormatting>
  <conditionalFormatting sqref="Q257">
    <cfRule type="cellIs" dxfId="444" priority="517" operator="equal">
      <formula>"INVALID"</formula>
    </cfRule>
  </conditionalFormatting>
  <conditionalFormatting sqref="R257">
    <cfRule type="cellIs" dxfId="443" priority="516" operator="equal">
      <formula>"INVALID"</formula>
    </cfRule>
  </conditionalFormatting>
  <conditionalFormatting sqref="S257">
    <cfRule type="cellIs" dxfId="442" priority="515" operator="equal">
      <formula>"INVALID"</formula>
    </cfRule>
  </conditionalFormatting>
  <conditionalFormatting sqref="T257">
    <cfRule type="cellIs" dxfId="441" priority="514" operator="equal">
      <formula>"INVALID"</formula>
    </cfRule>
  </conditionalFormatting>
  <conditionalFormatting sqref="U257:V257">
    <cfRule type="cellIs" dxfId="440" priority="513" operator="equal">
      <formula>"INVALID"</formula>
    </cfRule>
  </conditionalFormatting>
  <conditionalFormatting sqref="AJ252:AJ257">
    <cfRule type="cellIs" dxfId="439" priority="512" operator="equal">
      <formula>FALSE</formula>
    </cfRule>
  </conditionalFormatting>
  <conditionalFormatting sqref="AK252:AK257">
    <cfRule type="cellIs" dxfId="438" priority="511" operator="equal">
      <formula>FALSE</formula>
    </cfRule>
  </conditionalFormatting>
  <conditionalFormatting sqref="AL252:AL257">
    <cfRule type="cellIs" dxfId="437" priority="510" operator="equal">
      <formula>FALSE</formula>
    </cfRule>
  </conditionalFormatting>
  <conditionalFormatting sqref="AM252:AM257">
    <cfRule type="cellIs" dxfId="436" priority="509" operator="equal">
      <formula>FALSE</formula>
    </cfRule>
  </conditionalFormatting>
  <conditionalFormatting sqref="AN252:AN257">
    <cfRule type="cellIs" dxfId="435" priority="508" operator="equal">
      <formula>FALSE</formula>
    </cfRule>
  </conditionalFormatting>
  <conditionalFormatting sqref="AP252:AP257">
    <cfRule type="cellIs" dxfId="434" priority="507" operator="equal">
      <formula>"INVALID"</formula>
    </cfRule>
  </conditionalFormatting>
  <conditionalFormatting sqref="AJ252:AJ257">
    <cfRule type="cellIs" dxfId="433" priority="506" operator="equal">
      <formula>"INVALID"</formula>
    </cfRule>
  </conditionalFormatting>
  <conditionalFormatting sqref="AK252:AK257">
    <cfRule type="cellIs" dxfId="432" priority="505" operator="equal">
      <formula>"INVALID"</formula>
    </cfRule>
  </conditionalFormatting>
  <conditionalFormatting sqref="AL252:AM257">
    <cfRule type="cellIs" dxfId="431" priority="504" operator="equal">
      <formula>"INVALID"</formula>
    </cfRule>
  </conditionalFormatting>
  <conditionalFormatting sqref="AK252:AK257">
    <cfRule type="cellIs" dxfId="430" priority="503" operator="equal">
      <formula>"INVALID"</formula>
    </cfRule>
  </conditionalFormatting>
  <conditionalFormatting sqref="AL252:AL257">
    <cfRule type="cellIs" dxfId="429" priority="502" operator="equal">
      <formula>"INVALID"</formula>
    </cfRule>
  </conditionalFormatting>
  <conditionalFormatting sqref="AM252:AM257">
    <cfRule type="cellIs" dxfId="428" priority="501" operator="equal">
      <formula>"INVALID"</formula>
    </cfRule>
  </conditionalFormatting>
  <conditionalFormatting sqref="AN252:AN257">
    <cfRule type="cellIs" dxfId="427" priority="500" operator="equal">
      <formula>"INVALID"</formula>
    </cfRule>
  </conditionalFormatting>
  <conditionalFormatting sqref="AZ252:BA257">
    <cfRule type="expression" dxfId="426" priority="499">
      <formula>NOT($AN252)</formula>
    </cfRule>
  </conditionalFormatting>
  <conditionalFormatting sqref="AS252:AS257">
    <cfRule type="expression" dxfId="425" priority="498">
      <formula>NOT($AK252)</formula>
    </cfRule>
  </conditionalFormatting>
  <conditionalFormatting sqref="AO252:AO257">
    <cfRule type="cellIs" dxfId="424" priority="497" operator="equal">
      <formula>FALSE</formula>
    </cfRule>
  </conditionalFormatting>
  <conditionalFormatting sqref="AO252:AO257">
    <cfRule type="cellIs" dxfId="423" priority="496" operator="equal">
      <formula>"INVALID"</formula>
    </cfRule>
  </conditionalFormatting>
  <conditionalFormatting sqref="AO252:AO257">
    <cfRule type="cellIs" dxfId="422" priority="495" operator="equal">
      <formula>"INVALID"</formula>
    </cfRule>
  </conditionalFormatting>
  <conditionalFormatting sqref="AI252:AI257">
    <cfRule type="cellIs" dxfId="421" priority="494" operator="equal">
      <formula>"INVALID"</formula>
    </cfRule>
  </conditionalFormatting>
  <conditionalFormatting sqref="AI252:AI257">
    <cfRule type="cellIs" dxfId="420" priority="493" operator="equal">
      <formula>"INVALID"</formula>
    </cfRule>
  </conditionalFormatting>
  <conditionalFormatting sqref="AI252:AI257">
    <cfRule type="cellIs" dxfId="419" priority="492" operator="equal">
      <formula>"INVALID"</formula>
    </cfRule>
  </conditionalFormatting>
  <conditionalFormatting sqref="AI252:AI257">
    <cfRule type="cellIs" dxfId="418" priority="491" operator="equal">
      <formula>"INVALID"</formula>
    </cfRule>
  </conditionalFormatting>
  <conditionalFormatting sqref="AQ252">
    <cfRule type="expression" dxfId="417" priority="490" stopIfTrue="1">
      <formula>REPLACE($AQ252,8,LEN($AQ252),"")="unused_"</formula>
    </cfRule>
  </conditionalFormatting>
  <conditionalFormatting sqref="AQ252">
    <cfRule type="expression" dxfId="416" priority="488">
      <formula>NOT($AJ252)</formula>
    </cfRule>
    <cfRule type="expression" dxfId="415" priority="489">
      <formula>RIGHT($AQ252, 1)="*"</formula>
    </cfRule>
  </conditionalFormatting>
  <conditionalFormatting sqref="AQ253:AQ257">
    <cfRule type="expression" dxfId="414" priority="487" stopIfTrue="1">
      <formula>REPLACE($AQ253,8,LEN($AQ253),"")="unused_"</formula>
    </cfRule>
  </conditionalFormatting>
  <conditionalFormatting sqref="AQ253:AQ257">
    <cfRule type="expression" dxfId="413" priority="485">
      <formula>NOT($AJ253)</formula>
    </cfRule>
    <cfRule type="expression" dxfId="412" priority="486">
      <formula>RIGHT($AQ253, 1)="*"</formula>
    </cfRule>
  </conditionalFormatting>
  <conditionalFormatting sqref="AT253">
    <cfRule type="expression" dxfId="411" priority="484">
      <formula>NOT($AM253)</formula>
    </cfRule>
  </conditionalFormatting>
  <conditionalFormatting sqref="AT256:AT257">
    <cfRule type="expression" dxfId="410" priority="483">
      <formula>NOT($AM256)</formula>
    </cfRule>
  </conditionalFormatting>
  <conditionalFormatting sqref="AX254">
    <cfRule type="expression" dxfId="409" priority="482">
      <formula>NOT($AO254)</formula>
    </cfRule>
  </conditionalFormatting>
  <conditionalFormatting sqref="AX257:AX262">
    <cfRule type="expression" dxfId="408" priority="481">
      <formula>NOT($AO257)</formula>
    </cfRule>
  </conditionalFormatting>
  <conditionalFormatting sqref="Q252">
    <cfRule type="cellIs" dxfId="407" priority="480" operator="equal">
      <formula>"INVALID"</formula>
    </cfRule>
  </conditionalFormatting>
  <conditionalFormatting sqref="R252">
    <cfRule type="cellIs" dxfId="406" priority="479" operator="equal">
      <formula>"INVALID"</formula>
    </cfRule>
  </conditionalFormatting>
  <conditionalFormatting sqref="S252">
    <cfRule type="cellIs" dxfId="405" priority="478" operator="equal">
      <formula>"INVALID"</formula>
    </cfRule>
  </conditionalFormatting>
  <conditionalFormatting sqref="T252">
    <cfRule type="cellIs" dxfId="404" priority="477" operator="equal">
      <formula>"INVALID"</formula>
    </cfRule>
  </conditionalFormatting>
  <conditionalFormatting sqref="U252:V252 V253:V257">
    <cfRule type="cellIs" dxfId="403" priority="476" operator="equal">
      <formula>"INVALID"</formula>
    </cfRule>
  </conditionalFormatting>
  <conditionalFormatting sqref="V253">
    <cfRule type="cellIs" dxfId="402" priority="475" operator="equal">
      <formula>"INVALID"</formula>
    </cfRule>
  </conditionalFormatting>
  <conditionalFormatting sqref="Q254:Q255">
    <cfRule type="cellIs" dxfId="401" priority="474" operator="equal">
      <formula>"INVALID"</formula>
    </cfRule>
  </conditionalFormatting>
  <conditionalFormatting sqref="R254:R255">
    <cfRule type="cellIs" dxfId="400" priority="473" operator="equal">
      <formula>"INVALID"</formula>
    </cfRule>
  </conditionalFormatting>
  <conditionalFormatting sqref="S254:S255">
    <cfRule type="cellIs" dxfId="399" priority="472" operator="equal">
      <formula>"INVALID"</formula>
    </cfRule>
  </conditionalFormatting>
  <conditionalFormatting sqref="T254:T255">
    <cfRule type="cellIs" dxfId="398" priority="471" operator="equal">
      <formula>"INVALID"</formula>
    </cfRule>
  </conditionalFormatting>
  <conditionalFormatting sqref="U255:V255 U254">
    <cfRule type="cellIs" dxfId="397" priority="470" operator="equal">
      <formula>"INVALID"</formula>
    </cfRule>
  </conditionalFormatting>
  <conditionalFormatting sqref="V256">
    <cfRule type="cellIs" dxfId="396" priority="469" operator="equal">
      <formula>"INVALID"</formula>
    </cfRule>
  </conditionalFormatting>
  <conditionalFormatting sqref="AG252:AG257">
    <cfRule type="cellIs" dxfId="395" priority="468" operator="equal">
      <formula>"INVALID"</formula>
    </cfRule>
  </conditionalFormatting>
  <conditionalFormatting sqref="AG252:AG257">
    <cfRule type="cellIs" dxfId="394" priority="467" operator="equal">
      <formula>"INVALID"</formula>
    </cfRule>
  </conditionalFormatting>
  <conditionalFormatting sqref="AG252:AG257">
    <cfRule type="cellIs" dxfId="393" priority="466" operator="equal">
      <formula>"INVALID"</formula>
    </cfRule>
  </conditionalFormatting>
  <conditionalFormatting sqref="AG252:AG257">
    <cfRule type="cellIs" dxfId="392" priority="465" operator="equal">
      <formula>"INVALID"</formula>
    </cfRule>
  </conditionalFormatting>
  <conditionalFormatting sqref="AG252:AG257">
    <cfRule type="cellIs" dxfId="391" priority="464" operator="equal">
      <formula>"INVALID"</formula>
    </cfRule>
  </conditionalFormatting>
  <conditionalFormatting sqref="AG252:AG257">
    <cfRule type="cellIs" dxfId="390" priority="463" operator="equal">
      <formula>"INVALID"</formula>
    </cfRule>
  </conditionalFormatting>
  <conditionalFormatting sqref="AG252:AG257">
    <cfRule type="cellIs" dxfId="389" priority="462" operator="equal">
      <formula>"INVALID"</formula>
    </cfRule>
  </conditionalFormatting>
  <conditionalFormatting sqref="AG252:AG257">
    <cfRule type="cellIs" dxfId="388" priority="461" operator="equal">
      <formula>"INVALID"</formula>
    </cfRule>
  </conditionalFormatting>
  <conditionalFormatting sqref="AG252:AG257">
    <cfRule type="cellIs" dxfId="387" priority="460" operator="equal">
      <formula>"INVALID"</formula>
    </cfRule>
  </conditionalFormatting>
  <conditionalFormatting sqref="AG252:AG257">
    <cfRule type="cellIs" dxfId="386" priority="459" operator="equal">
      <formula>"INVALID"</formula>
    </cfRule>
  </conditionalFormatting>
  <conditionalFormatting sqref="AG252:AG257">
    <cfRule type="cellIs" dxfId="385" priority="458" operator="equal">
      <formula>"INVALID"</formula>
    </cfRule>
  </conditionalFormatting>
  <conditionalFormatting sqref="AG252:AG257">
    <cfRule type="cellIs" dxfId="384" priority="457" operator="equal">
      <formula>"INVALID"</formula>
    </cfRule>
  </conditionalFormatting>
  <conditionalFormatting sqref="AG252:AG257">
    <cfRule type="cellIs" dxfId="383" priority="456" operator="equal">
      <formula>"INVALID"</formula>
    </cfRule>
  </conditionalFormatting>
  <conditionalFormatting sqref="AG252:AG257">
    <cfRule type="cellIs" dxfId="382" priority="455" operator="equal">
      <formula>"INVALID"</formula>
    </cfRule>
  </conditionalFormatting>
  <conditionalFormatting sqref="AG252:AG257">
    <cfRule type="cellIs" dxfId="381" priority="454" operator="equal">
      <formula>"INVALID"</formula>
    </cfRule>
  </conditionalFormatting>
  <conditionalFormatting sqref="AG252:AG257">
    <cfRule type="cellIs" dxfId="380" priority="453" operator="equal">
      <formula>"INVALID"</formula>
    </cfRule>
  </conditionalFormatting>
  <conditionalFormatting sqref="AG252:AG257">
    <cfRule type="cellIs" dxfId="379" priority="452" operator="equal">
      <formula>"INVALID"</formula>
    </cfRule>
  </conditionalFormatting>
  <conditionalFormatting sqref="AG252:AG257">
    <cfRule type="cellIs" dxfId="378" priority="451" operator="equal">
      <formula>"INVALID"</formula>
    </cfRule>
  </conditionalFormatting>
  <conditionalFormatting sqref="AG252:AG257">
    <cfRule type="cellIs" dxfId="377" priority="450" operator="equal">
      <formula>"INVALID"</formula>
    </cfRule>
  </conditionalFormatting>
  <conditionalFormatting sqref="AG252:AG257">
    <cfRule type="cellIs" dxfId="376" priority="449" operator="equal">
      <formula>"INVALID"</formula>
    </cfRule>
  </conditionalFormatting>
  <conditionalFormatting sqref="AG252:AG257">
    <cfRule type="cellIs" dxfId="375" priority="448" operator="equal">
      <formula>"INVALID"</formula>
    </cfRule>
  </conditionalFormatting>
  <conditionalFormatting sqref="AG252:AG257">
    <cfRule type="cellIs" dxfId="374" priority="447" operator="equal">
      <formula>"INVALID"</formula>
    </cfRule>
  </conditionalFormatting>
  <conditionalFormatting sqref="AG252:AG257">
    <cfRule type="cellIs" dxfId="373" priority="446" operator="equal">
      <formula>"INVALID"</formula>
    </cfRule>
  </conditionalFormatting>
  <conditionalFormatting sqref="AG252:AG257">
    <cfRule type="cellIs" dxfId="372" priority="445" operator="equal">
      <formula>"INVALID"</formula>
    </cfRule>
  </conditionalFormatting>
  <conditionalFormatting sqref="AG252:AG257">
    <cfRule type="cellIs" dxfId="371" priority="444" operator="equal">
      <formula>"INVALID"</formula>
    </cfRule>
  </conditionalFormatting>
  <conditionalFormatting sqref="AG252:AG257">
    <cfRule type="cellIs" dxfId="370" priority="443" operator="equal">
      <formula>"INVALID"</formula>
    </cfRule>
  </conditionalFormatting>
  <conditionalFormatting sqref="AG252:AG257">
    <cfRule type="cellIs" dxfId="369" priority="442" operator="equal">
      <formula>"INVALID"</formula>
    </cfRule>
  </conditionalFormatting>
  <conditionalFormatting sqref="AG252:AG257">
    <cfRule type="cellIs" dxfId="368" priority="441" operator="equal">
      <formula>"INVALID"</formula>
    </cfRule>
  </conditionalFormatting>
  <conditionalFormatting sqref="AG252:AG257">
    <cfRule type="cellIs" dxfId="367" priority="440" operator="equal">
      <formula>"INVALID"</formula>
    </cfRule>
  </conditionalFormatting>
  <conditionalFormatting sqref="AG252:AG257">
    <cfRule type="cellIs" dxfId="366" priority="439" operator="equal">
      <formula>"INVALID"</formula>
    </cfRule>
  </conditionalFormatting>
  <conditionalFormatting sqref="AG252:AG257">
    <cfRule type="cellIs" dxfId="365" priority="438" operator="equal">
      <formula>"INVALID"</formula>
    </cfRule>
  </conditionalFormatting>
  <conditionalFormatting sqref="AG252:AG257">
    <cfRule type="cellIs" dxfId="364" priority="437" operator="equal">
      <formula>"INVALID"</formula>
    </cfRule>
  </conditionalFormatting>
  <conditionalFormatting sqref="AG252:AG257">
    <cfRule type="cellIs" dxfId="363" priority="436" operator="equal">
      <formula>"INVALID"</formula>
    </cfRule>
  </conditionalFormatting>
  <conditionalFormatting sqref="AG252:AG257">
    <cfRule type="cellIs" dxfId="362" priority="435" operator="equal">
      <formula>"INVALID"</formula>
    </cfRule>
  </conditionalFormatting>
  <conditionalFormatting sqref="AG252:AG257">
    <cfRule type="cellIs" dxfId="361" priority="434" operator="equal">
      <formula>"INVALID"</formula>
    </cfRule>
  </conditionalFormatting>
  <conditionalFormatting sqref="AG252:AG257">
    <cfRule type="cellIs" dxfId="360" priority="433" operator="equal">
      <formula>"INVALID"</formula>
    </cfRule>
  </conditionalFormatting>
  <conditionalFormatting sqref="AG252:AG257">
    <cfRule type="cellIs" dxfId="359" priority="431" operator="equal">
      <formula>"INVALID"</formula>
    </cfRule>
  </conditionalFormatting>
  <conditionalFormatting sqref="AG252:AG257">
    <cfRule type="cellIs" dxfId="358" priority="432" operator="equal">
      <formula>"INVALID"</formula>
    </cfRule>
  </conditionalFormatting>
  <conditionalFormatting sqref="AG252:AG257">
    <cfRule type="cellIs" dxfId="357" priority="430" operator="equal">
      <formula>"INVALID"</formula>
    </cfRule>
  </conditionalFormatting>
  <conditionalFormatting sqref="AG252:AG257">
    <cfRule type="cellIs" dxfId="356" priority="429" operator="equal">
      <formula>"INVALID"</formula>
    </cfRule>
  </conditionalFormatting>
  <conditionalFormatting sqref="AG252:AG257">
    <cfRule type="cellIs" dxfId="355" priority="426" operator="equal">
      <formula>"INVALID"</formula>
    </cfRule>
  </conditionalFormatting>
  <conditionalFormatting sqref="AG252:AG257">
    <cfRule type="cellIs" dxfId="354" priority="428" operator="equal">
      <formula>"INVALID"</formula>
    </cfRule>
  </conditionalFormatting>
  <conditionalFormatting sqref="AG252:AG257">
    <cfRule type="cellIs" dxfId="353" priority="427" operator="equal">
      <formula>"INVALID"</formula>
    </cfRule>
  </conditionalFormatting>
  <conditionalFormatting sqref="AG252:AG257">
    <cfRule type="cellIs" dxfId="352" priority="425" operator="equal">
      <formula>"INVALID"</formula>
    </cfRule>
  </conditionalFormatting>
  <conditionalFormatting sqref="AG252:AG257">
    <cfRule type="cellIs" dxfId="351" priority="424" operator="equal">
      <formula>"INVALID"</formula>
    </cfRule>
  </conditionalFormatting>
  <conditionalFormatting sqref="AG252:AG257">
    <cfRule type="cellIs" dxfId="350" priority="423" operator="equal">
      <formula>"INVALID"</formula>
    </cfRule>
  </conditionalFormatting>
  <conditionalFormatting sqref="AG252:AG257">
    <cfRule type="cellIs" dxfId="349" priority="422" operator="equal">
      <formula>"INVALID"</formula>
    </cfRule>
  </conditionalFormatting>
  <conditionalFormatting sqref="AG252:AG257">
    <cfRule type="cellIs" dxfId="348" priority="421" operator="equal">
      <formula>"INVALID"</formula>
    </cfRule>
  </conditionalFormatting>
  <conditionalFormatting sqref="AR258">
    <cfRule type="cellIs" dxfId="347" priority="420" operator="equal">
      <formula>"Not Assigned"</formula>
    </cfRule>
  </conditionalFormatting>
  <conditionalFormatting sqref="AE258:AF258">
    <cfRule type="cellIs" dxfId="346" priority="419" operator="equal">
      <formula>"INVALID"</formula>
    </cfRule>
  </conditionalFormatting>
  <conditionalFormatting sqref="AS258">
    <cfRule type="expression" dxfId="345" priority="418">
      <formula>EXACT(AF258, "INVALID")</formula>
    </cfRule>
  </conditionalFormatting>
  <conditionalFormatting sqref="AZ258">
    <cfRule type="expression" dxfId="344" priority="417">
      <formula>AND(NOT(ISBLANK(AZ258)), EXACT(AF258, "INVALID"))</formula>
    </cfRule>
  </conditionalFormatting>
  <conditionalFormatting sqref="BA258">
    <cfRule type="expression" dxfId="343" priority="416">
      <formula>AND(NOT(ISBLANK(BA258)), EXACT(AF258, "INVALID"))</formula>
    </cfRule>
  </conditionalFormatting>
  <conditionalFormatting sqref="AR258">
    <cfRule type="expression" dxfId="342" priority="415">
      <formula>NOT($AL258)</formula>
    </cfRule>
  </conditionalFormatting>
  <conditionalFormatting sqref="AJ258">
    <cfRule type="cellIs" dxfId="341" priority="414" operator="equal">
      <formula>FALSE</formula>
    </cfRule>
  </conditionalFormatting>
  <conditionalFormatting sqref="AK258">
    <cfRule type="cellIs" dxfId="340" priority="413" operator="equal">
      <formula>FALSE</formula>
    </cfRule>
  </conditionalFormatting>
  <conditionalFormatting sqref="AL258">
    <cfRule type="cellIs" dxfId="339" priority="412" operator="equal">
      <formula>FALSE</formula>
    </cfRule>
  </conditionalFormatting>
  <conditionalFormatting sqref="AM258">
    <cfRule type="cellIs" dxfId="338" priority="411" operator="equal">
      <formula>FALSE</formula>
    </cfRule>
  </conditionalFormatting>
  <conditionalFormatting sqref="AN258">
    <cfRule type="cellIs" dxfId="337" priority="410" operator="equal">
      <formula>FALSE</formula>
    </cfRule>
  </conditionalFormatting>
  <conditionalFormatting sqref="AP258">
    <cfRule type="cellIs" dxfId="336" priority="409" operator="equal">
      <formula>"INVALID"</formula>
    </cfRule>
  </conditionalFormatting>
  <conditionalFormatting sqref="AJ258">
    <cfRule type="cellIs" dxfId="335" priority="408" operator="equal">
      <formula>"INVALID"</formula>
    </cfRule>
  </conditionalFormatting>
  <conditionalFormatting sqref="AK258">
    <cfRule type="cellIs" dxfId="334" priority="407" operator="equal">
      <formula>"INVALID"</formula>
    </cfRule>
  </conditionalFormatting>
  <conditionalFormatting sqref="AL258:AM258">
    <cfRule type="cellIs" dxfId="333" priority="406" operator="equal">
      <formula>"INVALID"</formula>
    </cfRule>
  </conditionalFormatting>
  <conditionalFormatting sqref="AK258">
    <cfRule type="cellIs" dxfId="332" priority="405" operator="equal">
      <formula>"INVALID"</formula>
    </cfRule>
  </conditionalFormatting>
  <conditionalFormatting sqref="AL258">
    <cfRule type="cellIs" dxfId="331" priority="404" operator="equal">
      <formula>"INVALID"</formula>
    </cfRule>
  </conditionalFormatting>
  <conditionalFormatting sqref="AM258">
    <cfRule type="cellIs" dxfId="330" priority="403" operator="equal">
      <formula>"INVALID"</formula>
    </cfRule>
  </conditionalFormatting>
  <conditionalFormatting sqref="AN258">
    <cfRule type="cellIs" dxfId="329" priority="402" operator="equal">
      <formula>"INVALID"</formula>
    </cfRule>
  </conditionalFormatting>
  <conditionalFormatting sqref="AZ258:BA258">
    <cfRule type="expression" dxfId="328" priority="401">
      <formula>NOT($AN258)</formula>
    </cfRule>
  </conditionalFormatting>
  <conditionalFormatting sqref="AS258">
    <cfRule type="expression" dxfId="327" priority="400">
      <formula>NOT($AK258)</formula>
    </cfRule>
  </conditionalFormatting>
  <conditionalFormatting sqref="AO258">
    <cfRule type="cellIs" dxfId="326" priority="399" operator="equal">
      <formula>FALSE</formula>
    </cfRule>
  </conditionalFormatting>
  <conditionalFormatting sqref="AO258">
    <cfRule type="cellIs" dxfId="325" priority="398" operator="equal">
      <formula>"INVALID"</formula>
    </cfRule>
  </conditionalFormatting>
  <conditionalFormatting sqref="AO258">
    <cfRule type="cellIs" dxfId="324" priority="397" operator="equal">
      <formula>"INVALID"</formula>
    </cfRule>
  </conditionalFormatting>
  <conditionalFormatting sqref="AI258">
    <cfRule type="cellIs" dxfId="323" priority="396" operator="equal">
      <formula>"INVALID"</formula>
    </cfRule>
  </conditionalFormatting>
  <conditionalFormatting sqref="AI258">
    <cfRule type="cellIs" dxfId="322" priority="395" operator="equal">
      <formula>"INVALID"</formula>
    </cfRule>
  </conditionalFormatting>
  <conditionalFormatting sqref="AI258">
    <cfRule type="cellIs" dxfId="321" priority="394" operator="equal">
      <formula>"INVALID"</formula>
    </cfRule>
  </conditionalFormatting>
  <conditionalFormatting sqref="AI258">
    <cfRule type="cellIs" dxfId="320" priority="393" operator="equal">
      <formula>"INVALID"</formula>
    </cfRule>
  </conditionalFormatting>
  <conditionalFormatting sqref="AQ258">
    <cfRule type="expression" dxfId="319" priority="392" stopIfTrue="1">
      <formula>REPLACE($AQ258,8,LEN($AQ258),"")="unused_"</formula>
    </cfRule>
  </conditionalFormatting>
  <conditionalFormatting sqref="AQ258">
    <cfRule type="expression" dxfId="318" priority="390">
      <formula>NOT($AJ258)</formula>
    </cfRule>
    <cfRule type="expression" dxfId="317" priority="391">
      <formula>RIGHT($AQ258, 1)="*"</formula>
    </cfRule>
  </conditionalFormatting>
  <conditionalFormatting sqref="V258">
    <cfRule type="cellIs" dxfId="316" priority="389" operator="equal">
      <formula>"INVALID"</formula>
    </cfRule>
  </conditionalFormatting>
  <conditionalFormatting sqref="AG258">
    <cfRule type="cellIs" dxfId="315" priority="388" operator="equal">
      <formula>"INVALID"</formula>
    </cfRule>
  </conditionalFormatting>
  <conditionalFormatting sqref="AG258">
    <cfRule type="cellIs" dxfId="314" priority="387" operator="equal">
      <formula>"INVALID"</formula>
    </cfRule>
  </conditionalFormatting>
  <conditionalFormatting sqref="AG258">
    <cfRule type="cellIs" dxfId="313" priority="386" operator="equal">
      <formula>"INVALID"</formula>
    </cfRule>
  </conditionalFormatting>
  <conditionalFormatting sqref="AG258">
    <cfRule type="cellIs" dxfId="312" priority="385" operator="equal">
      <formula>"INVALID"</formula>
    </cfRule>
  </conditionalFormatting>
  <conditionalFormatting sqref="AG258">
    <cfRule type="cellIs" dxfId="311" priority="384" operator="equal">
      <formula>"INVALID"</formula>
    </cfRule>
  </conditionalFormatting>
  <conditionalFormatting sqref="AG258">
    <cfRule type="cellIs" dxfId="310" priority="383" operator="equal">
      <formula>"INVALID"</formula>
    </cfRule>
  </conditionalFormatting>
  <conditionalFormatting sqref="AG258">
    <cfRule type="cellIs" dxfId="309" priority="382" operator="equal">
      <formula>"INVALID"</formula>
    </cfRule>
  </conditionalFormatting>
  <conditionalFormatting sqref="AG258">
    <cfRule type="cellIs" dxfId="308" priority="381" operator="equal">
      <formula>"INVALID"</formula>
    </cfRule>
  </conditionalFormatting>
  <conditionalFormatting sqref="AG258">
    <cfRule type="cellIs" dxfId="307" priority="380" operator="equal">
      <formula>"INVALID"</formula>
    </cfRule>
  </conditionalFormatting>
  <conditionalFormatting sqref="AG258">
    <cfRule type="cellIs" dxfId="306" priority="379" operator="equal">
      <formula>"INVALID"</formula>
    </cfRule>
  </conditionalFormatting>
  <conditionalFormatting sqref="AG258">
    <cfRule type="cellIs" dxfId="305" priority="378" operator="equal">
      <formula>"INVALID"</formula>
    </cfRule>
  </conditionalFormatting>
  <conditionalFormatting sqref="AG258">
    <cfRule type="cellIs" dxfId="304" priority="377" operator="equal">
      <formula>"INVALID"</formula>
    </cfRule>
  </conditionalFormatting>
  <conditionalFormatting sqref="AG258">
    <cfRule type="cellIs" dxfId="303" priority="376" operator="equal">
      <formula>"INVALID"</formula>
    </cfRule>
  </conditionalFormatting>
  <conditionalFormatting sqref="AG258">
    <cfRule type="cellIs" dxfId="302" priority="375" operator="equal">
      <formula>"INVALID"</formula>
    </cfRule>
  </conditionalFormatting>
  <conditionalFormatting sqref="AG258">
    <cfRule type="cellIs" dxfId="301" priority="374" operator="equal">
      <formula>"INVALID"</formula>
    </cfRule>
  </conditionalFormatting>
  <conditionalFormatting sqref="AG258">
    <cfRule type="cellIs" dxfId="300" priority="373" operator="equal">
      <formula>"INVALID"</formula>
    </cfRule>
  </conditionalFormatting>
  <conditionalFormatting sqref="AG258">
    <cfRule type="cellIs" dxfId="299" priority="372" operator="equal">
      <formula>"INVALID"</formula>
    </cfRule>
  </conditionalFormatting>
  <conditionalFormatting sqref="AG258">
    <cfRule type="cellIs" dxfId="298" priority="371" operator="equal">
      <formula>"INVALID"</formula>
    </cfRule>
  </conditionalFormatting>
  <conditionalFormatting sqref="AG258">
    <cfRule type="cellIs" dxfId="297" priority="370" operator="equal">
      <formula>"INVALID"</formula>
    </cfRule>
  </conditionalFormatting>
  <conditionalFormatting sqref="AG258">
    <cfRule type="cellIs" dxfId="296" priority="369" operator="equal">
      <formula>"INVALID"</formula>
    </cfRule>
  </conditionalFormatting>
  <conditionalFormatting sqref="AG258">
    <cfRule type="cellIs" dxfId="295" priority="368" operator="equal">
      <formula>"INVALID"</formula>
    </cfRule>
  </conditionalFormatting>
  <conditionalFormatting sqref="AG258">
    <cfRule type="cellIs" dxfId="294" priority="367" operator="equal">
      <formula>"INVALID"</formula>
    </cfRule>
  </conditionalFormatting>
  <conditionalFormatting sqref="AG258">
    <cfRule type="cellIs" dxfId="293" priority="366" operator="equal">
      <formula>"INVALID"</formula>
    </cfRule>
  </conditionalFormatting>
  <conditionalFormatting sqref="AG258">
    <cfRule type="cellIs" dxfId="292" priority="365" operator="equal">
      <formula>"INVALID"</formula>
    </cfRule>
  </conditionalFormatting>
  <conditionalFormatting sqref="AG258">
    <cfRule type="cellIs" dxfId="291" priority="364" operator="equal">
      <formula>"INVALID"</formula>
    </cfRule>
  </conditionalFormatting>
  <conditionalFormatting sqref="AG258">
    <cfRule type="cellIs" dxfId="290" priority="363" operator="equal">
      <formula>"INVALID"</formula>
    </cfRule>
  </conditionalFormatting>
  <conditionalFormatting sqref="AG258">
    <cfRule type="cellIs" dxfId="289" priority="362" operator="equal">
      <formula>"INVALID"</formula>
    </cfRule>
  </conditionalFormatting>
  <conditionalFormatting sqref="AG258">
    <cfRule type="cellIs" dxfId="288" priority="361" operator="equal">
      <formula>"INVALID"</formula>
    </cfRule>
  </conditionalFormatting>
  <conditionalFormatting sqref="AG258">
    <cfRule type="cellIs" dxfId="287" priority="360" operator="equal">
      <formula>"INVALID"</formula>
    </cfRule>
  </conditionalFormatting>
  <conditionalFormatting sqref="AG258">
    <cfRule type="cellIs" dxfId="286" priority="359" operator="equal">
      <formula>"INVALID"</formula>
    </cfRule>
  </conditionalFormatting>
  <conditionalFormatting sqref="AG258">
    <cfRule type="cellIs" dxfId="285" priority="358" operator="equal">
      <formula>"INVALID"</formula>
    </cfRule>
  </conditionalFormatting>
  <conditionalFormatting sqref="AG258">
    <cfRule type="cellIs" dxfId="284" priority="357" operator="equal">
      <formula>"INVALID"</formula>
    </cfRule>
  </conditionalFormatting>
  <conditionalFormatting sqref="AG258">
    <cfRule type="cellIs" dxfId="283" priority="356" operator="equal">
      <formula>"INVALID"</formula>
    </cfRule>
  </conditionalFormatting>
  <conditionalFormatting sqref="AG258">
    <cfRule type="cellIs" dxfId="282" priority="355" operator="equal">
      <formula>"INVALID"</formula>
    </cfRule>
  </conditionalFormatting>
  <conditionalFormatting sqref="AG258">
    <cfRule type="cellIs" dxfId="281" priority="354" operator="equal">
      <formula>"INVALID"</formula>
    </cfRule>
  </conditionalFormatting>
  <conditionalFormatting sqref="AG258">
    <cfRule type="cellIs" dxfId="280" priority="353" operator="equal">
      <formula>"INVALID"</formula>
    </cfRule>
  </conditionalFormatting>
  <conditionalFormatting sqref="AG258">
    <cfRule type="cellIs" dxfId="279" priority="351" operator="equal">
      <formula>"INVALID"</formula>
    </cfRule>
  </conditionalFormatting>
  <conditionalFormatting sqref="AG258">
    <cfRule type="cellIs" dxfId="278" priority="352" operator="equal">
      <formula>"INVALID"</formula>
    </cfRule>
  </conditionalFormatting>
  <conditionalFormatting sqref="AG258">
    <cfRule type="cellIs" dxfId="277" priority="350" operator="equal">
      <formula>"INVALID"</formula>
    </cfRule>
  </conditionalFormatting>
  <conditionalFormatting sqref="AG258">
    <cfRule type="cellIs" dxfId="276" priority="349" operator="equal">
      <formula>"INVALID"</formula>
    </cfRule>
  </conditionalFormatting>
  <conditionalFormatting sqref="AG258">
    <cfRule type="cellIs" dxfId="275" priority="346" operator="equal">
      <formula>"INVALID"</formula>
    </cfRule>
  </conditionalFormatting>
  <conditionalFormatting sqref="AG258">
    <cfRule type="cellIs" dxfId="274" priority="348" operator="equal">
      <formula>"INVALID"</formula>
    </cfRule>
  </conditionalFormatting>
  <conditionalFormatting sqref="AG258">
    <cfRule type="cellIs" dxfId="273" priority="347" operator="equal">
      <formula>"INVALID"</formula>
    </cfRule>
  </conditionalFormatting>
  <conditionalFormatting sqref="AG258">
    <cfRule type="cellIs" dxfId="272" priority="345" operator="equal">
      <formula>"INVALID"</formula>
    </cfRule>
  </conditionalFormatting>
  <conditionalFormatting sqref="AG258">
    <cfRule type="cellIs" dxfId="271" priority="344" operator="equal">
      <formula>"INVALID"</formula>
    </cfRule>
  </conditionalFormatting>
  <conditionalFormatting sqref="AG258">
    <cfRule type="cellIs" dxfId="270" priority="343" operator="equal">
      <formula>"INVALID"</formula>
    </cfRule>
  </conditionalFormatting>
  <conditionalFormatting sqref="AG258">
    <cfRule type="cellIs" dxfId="269" priority="342" operator="equal">
      <formula>"INVALID"</formula>
    </cfRule>
  </conditionalFormatting>
  <conditionalFormatting sqref="AG258">
    <cfRule type="cellIs" dxfId="268" priority="341" operator="equal">
      <formula>"INVALID"</formula>
    </cfRule>
  </conditionalFormatting>
  <conditionalFormatting sqref="AR341">
    <cfRule type="cellIs" dxfId="267" priority="340" operator="equal">
      <formula>"Not Assigned"</formula>
    </cfRule>
  </conditionalFormatting>
  <conditionalFormatting sqref="AR332">
    <cfRule type="cellIs" dxfId="266" priority="338" operator="equal">
      <formula>"Not Assigned"</formula>
    </cfRule>
  </conditionalFormatting>
  <conditionalFormatting sqref="V333:V340">
    <cfRule type="cellIs" dxfId="265" priority="336" operator="equal">
      <formula>"INVALID"</formula>
    </cfRule>
  </conditionalFormatting>
  <conditionalFormatting sqref="V333:V340">
    <cfRule type="cellIs" dxfId="264" priority="335" operator="equal">
      <formula>"INVALID"</formula>
    </cfRule>
  </conditionalFormatting>
  <conditionalFormatting sqref="V342:V349">
    <cfRule type="cellIs" dxfId="263" priority="334" operator="equal">
      <formula>"INVALID"</formula>
    </cfRule>
  </conditionalFormatting>
  <conditionalFormatting sqref="V342:V349">
    <cfRule type="cellIs" dxfId="262" priority="333" operator="equal">
      <formula>"INVALID"</formula>
    </cfRule>
  </conditionalFormatting>
  <conditionalFormatting sqref="AQ357:AQ358">
    <cfRule type="expression" dxfId="261" priority="331" stopIfTrue="1">
      <formula>REPLACE($AQ357,8,LEN($AQ357),"")="unused_"</formula>
    </cfRule>
  </conditionalFormatting>
  <conditionalFormatting sqref="V357:V358">
    <cfRule type="cellIs" dxfId="260" priority="330" operator="equal">
      <formula>"INVALID"</formula>
    </cfRule>
  </conditionalFormatting>
  <conditionalFormatting sqref="V357:V358">
    <cfRule type="cellIs" dxfId="259" priority="329" operator="equal">
      <formula>"INVALID"</formula>
    </cfRule>
  </conditionalFormatting>
  <conditionalFormatting sqref="AQ389:AQ408">
    <cfRule type="expression" dxfId="258" priority="327" stopIfTrue="1">
      <formula>REPLACE($AQ389,8,LEN($AQ389),"")="unused_"</formula>
    </cfRule>
  </conditionalFormatting>
  <conditionalFormatting sqref="V389:V411">
    <cfRule type="cellIs" dxfId="257" priority="317" operator="equal">
      <formula>"INVALID"</formula>
    </cfRule>
  </conditionalFormatting>
  <conditionalFormatting sqref="V389:V411">
    <cfRule type="cellIs" dxfId="256" priority="316" operator="equal">
      <formula>"INVALID"</formula>
    </cfRule>
  </conditionalFormatting>
  <conditionalFormatting sqref="AR412">
    <cfRule type="cellIs" dxfId="255" priority="313" operator="equal">
      <formula>"Not Assigned"</formula>
    </cfRule>
  </conditionalFormatting>
  <conditionalFormatting sqref="AQ437:AQ440">
    <cfRule type="expression" dxfId="254" priority="314" stopIfTrue="1">
      <formula>REPLACE($AQ437,8,LEN($AQ437),"")="unused_"</formula>
    </cfRule>
  </conditionalFormatting>
  <conditionalFormatting sqref="AQ433:AQ436">
    <cfRule type="expression" dxfId="253" priority="302">
      <formula>RIGHT($AQ433, 1)="*"</formula>
    </cfRule>
    <cfRule type="expression" dxfId="252" priority="303" stopIfTrue="1">
      <formula>REPLACE($AQ433,8,LEN($AQ433),"")="unused_"</formula>
    </cfRule>
  </conditionalFormatting>
  <conditionalFormatting sqref="AQ441">
    <cfRule type="expression" dxfId="251" priority="299" stopIfTrue="1">
      <formula>REPLACE($AQ441,8,LEN($AQ441),"")="unused_"</formula>
    </cfRule>
  </conditionalFormatting>
  <conditionalFormatting sqref="V413:V441">
    <cfRule type="cellIs" dxfId="250" priority="297" operator="equal">
      <formula>"INVALID"</formula>
    </cfRule>
  </conditionalFormatting>
  <conditionalFormatting sqref="V413:V441">
    <cfRule type="cellIs" dxfId="249" priority="296" operator="equal">
      <formula>"INVALID"</formula>
    </cfRule>
  </conditionalFormatting>
  <conditionalFormatting sqref="V442:V446">
    <cfRule type="cellIs" dxfId="248" priority="294" operator="equal">
      <formula>"INVALID"</formula>
    </cfRule>
  </conditionalFormatting>
  <conditionalFormatting sqref="V442:V446">
    <cfRule type="cellIs" dxfId="247" priority="293" operator="equal">
      <formula>"INVALID"</formula>
    </cfRule>
  </conditionalFormatting>
  <conditionalFormatting sqref="BD779:BD781 BD801:BD803 BD790:BD792 BD812:BD814 BD823:BD825 BD845:BD847 BD834:BD836 BD756:BD763 BD740:BD754 BD766:BD770 AR739">
    <cfRule type="cellIs" dxfId="246" priority="292" operator="equal">
      <formula>"Not Assigned"</formula>
    </cfRule>
  </conditionalFormatting>
  <conditionalFormatting sqref="BD771:BD778 BD856:BD860 BD782:BD789 BD793:BD800 BD804:BD811">
    <cfRule type="cellIs" dxfId="245" priority="291" operator="equal">
      <formula>"Not Assigned"</formula>
    </cfRule>
  </conditionalFormatting>
  <conditionalFormatting sqref="BD815:BD822 BD826:BD833 BD837:BD844 BD848:BD855">
    <cfRule type="cellIs" dxfId="244" priority="290" operator="equal">
      <formula>"Not Assigned"</formula>
    </cfRule>
  </conditionalFormatting>
  <conditionalFormatting sqref="BD755">
    <cfRule type="cellIs" dxfId="243" priority="289" operator="equal">
      <formula>"Not Assigned"</formula>
    </cfRule>
  </conditionalFormatting>
  <conditionalFormatting sqref="BD865:BD866">
    <cfRule type="cellIs" dxfId="242" priority="288" operator="equal">
      <formula>"Not Assigned"</formula>
    </cfRule>
  </conditionalFormatting>
  <conditionalFormatting sqref="BD863:BD864">
    <cfRule type="cellIs" dxfId="241" priority="287" operator="equal">
      <formula>"Not Assigned"</formula>
    </cfRule>
  </conditionalFormatting>
  <conditionalFormatting sqref="BD861:BD862">
    <cfRule type="cellIs" dxfId="240" priority="286" operator="equal">
      <formula>"Not Assigned"</formula>
    </cfRule>
  </conditionalFormatting>
  <conditionalFormatting sqref="BD869">
    <cfRule type="cellIs" dxfId="239" priority="285" operator="equal">
      <formula>"Not Assigned"</formula>
    </cfRule>
  </conditionalFormatting>
  <conditionalFormatting sqref="BD867:BD868">
    <cfRule type="cellIs" dxfId="238" priority="284" operator="equal">
      <formula>"Not Assigned"</formula>
    </cfRule>
  </conditionalFormatting>
  <conditionalFormatting sqref="BD764:BD765">
    <cfRule type="cellIs" dxfId="237" priority="283" operator="equal">
      <formula>"Not Assigned"</formula>
    </cfRule>
  </conditionalFormatting>
  <conditionalFormatting sqref="BD876:BD880">
    <cfRule type="cellIs" dxfId="236" priority="282" operator="equal">
      <formula>"Not Assigned"</formula>
    </cfRule>
  </conditionalFormatting>
  <conditionalFormatting sqref="BD870:BD875">
    <cfRule type="cellIs" dxfId="235" priority="281" operator="equal">
      <formula>"Not Assigned"</formula>
    </cfRule>
  </conditionalFormatting>
  <conditionalFormatting sqref="BD881:BD883">
    <cfRule type="cellIs" dxfId="234" priority="280" operator="equal">
      <formula>"Not Assigned"</formula>
    </cfRule>
  </conditionalFormatting>
  <conditionalFormatting sqref="BD924:BD926 BD946:BD948 BD935:BD937 BD957:BD959 BD968:BD970 BD990:BD992 BD979:BD981 BD901:BD908 BD885:BD899 BD911:BD915 AR884">
    <cfRule type="cellIs" dxfId="233" priority="279" operator="equal">
      <formula>"Not Assigned"</formula>
    </cfRule>
  </conditionalFormatting>
  <conditionalFormatting sqref="BD916:BD923 BD1001:BD1005 BD927:BD934 BD938:BD945 BD949:BD956">
    <cfRule type="cellIs" dxfId="232" priority="278" operator="equal">
      <formula>"Not Assigned"</formula>
    </cfRule>
  </conditionalFormatting>
  <conditionalFormatting sqref="BD960:BD967 BD971:BD978 BD982:BD989 BD993:BD1000">
    <cfRule type="cellIs" dxfId="231" priority="277" operator="equal">
      <formula>"Not Assigned"</formula>
    </cfRule>
  </conditionalFormatting>
  <conditionalFormatting sqref="BD900">
    <cfRule type="cellIs" dxfId="230" priority="276" operator="equal">
      <formula>"Not Assigned"</formula>
    </cfRule>
  </conditionalFormatting>
  <conditionalFormatting sqref="BD1010:BD1011">
    <cfRule type="cellIs" dxfId="229" priority="275" operator="equal">
      <formula>"Not Assigned"</formula>
    </cfRule>
  </conditionalFormatting>
  <conditionalFormatting sqref="BD1008:BD1009">
    <cfRule type="cellIs" dxfId="228" priority="274" operator="equal">
      <formula>"Not Assigned"</formula>
    </cfRule>
  </conditionalFormatting>
  <conditionalFormatting sqref="BD1006:BD1007">
    <cfRule type="cellIs" dxfId="227" priority="273" operator="equal">
      <formula>"Not Assigned"</formula>
    </cfRule>
  </conditionalFormatting>
  <conditionalFormatting sqref="BD1014">
    <cfRule type="cellIs" dxfId="226" priority="272" operator="equal">
      <formula>"Not Assigned"</formula>
    </cfRule>
  </conditionalFormatting>
  <conditionalFormatting sqref="BD1012:BD1013">
    <cfRule type="cellIs" dxfId="225" priority="271" operator="equal">
      <formula>"Not Assigned"</formula>
    </cfRule>
  </conditionalFormatting>
  <conditionalFormatting sqref="BD909:BD910">
    <cfRule type="cellIs" dxfId="224" priority="270" operator="equal">
      <formula>"Not Assigned"</formula>
    </cfRule>
  </conditionalFormatting>
  <conditionalFormatting sqref="BD1021:BD1025">
    <cfRule type="cellIs" dxfId="223" priority="269" operator="equal">
      <formula>"Not Assigned"</formula>
    </cfRule>
  </conditionalFormatting>
  <conditionalFormatting sqref="BD1015:BD1020">
    <cfRule type="cellIs" dxfId="222" priority="268" operator="equal">
      <formula>"Not Assigned"</formula>
    </cfRule>
  </conditionalFormatting>
  <conditionalFormatting sqref="BD1026:BD1028">
    <cfRule type="cellIs" dxfId="221" priority="267" operator="equal">
      <formula>"Not Assigned"</formula>
    </cfRule>
  </conditionalFormatting>
  <conditionalFormatting sqref="V740:V883">
    <cfRule type="cellIs" dxfId="220" priority="266" operator="equal">
      <formula>"INVALID"</formula>
    </cfRule>
  </conditionalFormatting>
  <conditionalFormatting sqref="V740:V883">
    <cfRule type="cellIs" dxfId="219" priority="265" operator="equal">
      <formula>"INVALID"</formula>
    </cfRule>
  </conditionalFormatting>
  <conditionalFormatting sqref="V885:V1028">
    <cfRule type="cellIs" dxfId="218" priority="264" operator="equal">
      <formula>"INVALID"</formula>
    </cfRule>
  </conditionalFormatting>
  <conditionalFormatting sqref="V885:V1028">
    <cfRule type="cellIs" dxfId="217" priority="263" operator="equal">
      <formula>"INVALID"</formula>
    </cfRule>
  </conditionalFormatting>
  <conditionalFormatting sqref="AR737">
    <cfRule type="cellIs" dxfId="216" priority="258" operator="equal">
      <formula>"Not Assigned"</formula>
    </cfRule>
  </conditionalFormatting>
  <conditionalFormatting sqref="AQ737">
    <cfRule type="expression" dxfId="215" priority="257" stopIfTrue="1">
      <formula>REPLACE($AQ737,8,LEN($AQ737),"")="unused_"</formula>
    </cfRule>
  </conditionalFormatting>
  <conditionalFormatting sqref="AQ738">
    <cfRule type="expression" dxfId="214" priority="262" stopIfTrue="1">
      <formula>REPLACE($AQ738,8,LEN($AQ738),"")="unused_"</formula>
    </cfRule>
  </conditionalFormatting>
  <conditionalFormatting sqref="BD738">
    <cfRule type="cellIs" dxfId="213" priority="261" operator="equal">
      <formula>"Not Assigned"</formula>
    </cfRule>
  </conditionalFormatting>
  <conditionalFormatting sqref="V738">
    <cfRule type="cellIs" dxfId="212" priority="260" operator="equal">
      <formula>"INVALID"</formula>
    </cfRule>
  </conditionalFormatting>
  <conditionalFormatting sqref="V738">
    <cfRule type="cellIs" dxfId="211" priority="259" operator="equal">
      <formula>"INVALID"</formula>
    </cfRule>
  </conditionalFormatting>
  <conditionalFormatting sqref="AQ1030">
    <cfRule type="expression" dxfId="210" priority="256" stopIfTrue="1">
      <formula>REPLACE($AQ1030,8,LEN($AQ1030),"")="unused_"</formula>
    </cfRule>
  </conditionalFormatting>
  <conditionalFormatting sqref="BD1030">
    <cfRule type="cellIs" dxfId="209" priority="255" operator="equal">
      <formula>"Not Assigned"</formula>
    </cfRule>
  </conditionalFormatting>
  <conditionalFormatting sqref="V1030">
    <cfRule type="cellIs" dxfId="208" priority="254" operator="equal">
      <formula>"INVALID"</formula>
    </cfRule>
  </conditionalFormatting>
  <conditionalFormatting sqref="V1030">
    <cfRule type="cellIs" dxfId="207" priority="253" operator="equal">
      <formula>"INVALID"</formula>
    </cfRule>
  </conditionalFormatting>
  <conditionalFormatting sqref="AR1029">
    <cfRule type="cellIs" dxfId="206" priority="252" operator="equal">
      <formula>"Not Assigned"</formula>
    </cfRule>
  </conditionalFormatting>
  <conditionalFormatting sqref="AQ1029">
    <cfRule type="expression" dxfId="205" priority="251" stopIfTrue="1">
      <formula>REPLACE($AQ1029,8,LEN($AQ1029),"")="unused_"</formula>
    </cfRule>
  </conditionalFormatting>
  <conditionalFormatting sqref="AD82:AD102">
    <cfRule type="cellIs" dxfId="204" priority="250" operator="equal">
      <formula>"INVALID"</formula>
    </cfRule>
  </conditionalFormatting>
  <conditionalFormatting sqref="AT31">
    <cfRule type="expression" dxfId="203" priority="249">
      <formula>NOT($AM31)</formula>
    </cfRule>
  </conditionalFormatting>
  <conditionalFormatting sqref="AT38">
    <cfRule type="expression" dxfId="202" priority="248">
      <formula>NOT($AM39)</formula>
    </cfRule>
  </conditionalFormatting>
  <conditionalFormatting sqref="AT52">
    <cfRule type="expression" dxfId="201" priority="247">
      <formula>NOT($AM52)</formula>
    </cfRule>
  </conditionalFormatting>
  <conditionalFormatting sqref="AT64">
    <cfRule type="expression" dxfId="200" priority="246">
      <formula>NOT($AM64)</formula>
    </cfRule>
  </conditionalFormatting>
  <conditionalFormatting sqref="AT62">
    <cfRule type="expression" dxfId="199" priority="245">
      <formula>NOT($AM62)</formula>
    </cfRule>
  </conditionalFormatting>
  <conditionalFormatting sqref="AT58">
    <cfRule type="expression" dxfId="198" priority="244">
      <formula>NOT($AM58)</formula>
    </cfRule>
  </conditionalFormatting>
  <conditionalFormatting sqref="AT82:AT86">
    <cfRule type="expression" dxfId="197" priority="243">
      <formula>NOT($AM82)</formula>
    </cfRule>
  </conditionalFormatting>
  <conditionalFormatting sqref="AT89">
    <cfRule type="expression" dxfId="196" priority="242">
      <formula>NOT($AM89)</formula>
    </cfRule>
  </conditionalFormatting>
  <conditionalFormatting sqref="AT91">
    <cfRule type="expression" dxfId="195" priority="241">
      <formula>NOT($AM91)</formula>
    </cfRule>
  </conditionalFormatting>
  <conditionalFormatting sqref="AT96">
    <cfRule type="expression" dxfId="194" priority="240">
      <formula>NOT($AM96)</formula>
    </cfRule>
  </conditionalFormatting>
  <conditionalFormatting sqref="AT102">
    <cfRule type="expression" dxfId="193" priority="239">
      <formula>NOT($AM102)</formula>
    </cfRule>
  </conditionalFormatting>
  <conditionalFormatting sqref="AT104">
    <cfRule type="expression" dxfId="192" priority="238">
      <formula>NOT($AM104)</formula>
    </cfRule>
  </conditionalFormatting>
  <conditionalFormatting sqref="AT119:AT120">
    <cfRule type="expression" dxfId="191" priority="237">
      <formula>NOT($AM119)</formula>
    </cfRule>
  </conditionalFormatting>
  <conditionalFormatting sqref="AT123">
    <cfRule type="expression" dxfId="190" priority="236">
      <formula>NOT($AM123)</formula>
    </cfRule>
  </conditionalFormatting>
  <conditionalFormatting sqref="AT128">
    <cfRule type="expression" dxfId="189" priority="235">
      <formula>NOT($AM128)</formula>
    </cfRule>
  </conditionalFormatting>
  <conditionalFormatting sqref="AT130">
    <cfRule type="expression" dxfId="188" priority="234">
      <formula>NOT($AM130)</formula>
    </cfRule>
  </conditionalFormatting>
  <conditionalFormatting sqref="AT134:AT135">
    <cfRule type="expression" dxfId="187" priority="233">
      <formula>NOT($AM134)</formula>
    </cfRule>
  </conditionalFormatting>
  <conditionalFormatting sqref="AT142:AT143">
    <cfRule type="expression" dxfId="186" priority="232">
      <formula>NOT($AM142)</formula>
    </cfRule>
  </conditionalFormatting>
  <conditionalFormatting sqref="AT148">
    <cfRule type="expression" dxfId="185" priority="231">
      <formula>NOT($AM148)</formula>
    </cfRule>
  </conditionalFormatting>
  <conditionalFormatting sqref="AT153">
    <cfRule type="expression" dxfId="184" priority="230">
      <formula>NOT($AM153)</formula>
    </cfRule>
  </conditionalFormatting>
  <conditionalFormatting sqref="AT158:AT159">
    <cfRule type="expression" dxfId="183" priority="229">
      <formula>NOT($AM158)</formula>
    </cfRule>
  </conditionalFormatting>
  <conditionalFormatting sqref="AT162:AT163">
    <cfRule type="expression" dxfId="182" priority="228">
      <formula>NOT($AM162)</formula>
    </cfRule>
  </conditionalFormatting>
  <conditionalFormatting sqref="AT225:AT226">
    <cfRule type="expression" dxfId="181" priority="227">
      <formula>NOT($AM225)</formula>
    </cfRule>
  </conditionalFormatting>
  <conditionalFormatting sqref="AT228">
    <cfRule type="expression" dxfId="180" priority="226">
      <formula>NOT($AM228)</formula>
    </cfRule>
  </conditionalFormatting>
  <conditionalFormatting sqref="AX82:AX102">
    <cfRule type="expression" dxfId="179" priority="225">
      <formula>NOT($AO82)</formula>
    </cfRule>
  </conditionalFormatting>
  <conditionalFormatting sqref="AX138:AX148">
    <cfRule type="expression" dxfId="178" priority="224">
      <formula>NOT(#REF!)</formula>
    </cfRule>
  </conditionalFormatting>
  <conditionalFormatting sqref="AF165:AF174 AD164:AF164 AG164:AG175 AH164:AI166 AI167:AI174 AH167:AH175 AJ165:AP175">
    <cfRule type="cellIs" dxfId="177" priority="223" operator="equal">
      <formula>"INVALID"</formula>
    </cfRule>
  </conditionalFormatting>
  <conditionalFormatting sqref="AS166:AS174">
    <cfRule type="expression" dxfId="176" priority="222">
      <formula>EXACT(AF166, "INVALID")</formula>
    </cfRule>
  </conditionalFormatting>
  <conditionalFormatting sqref="AS165">
    <cfRule type="expression" dxfId="175" priority="221">
      <formula>EXACT(AF165, "INVALID")</formula>
    </cfRule>
  </conditionalFormatting>
  <conditionalFormatting sqref="AZ166:AZ175">
    <cfRule type="expression" dxfId="174" priority="220">
      <formula>AND(NOT(ISBLANK(AZ166)), EXACT(AF166, "INVALID"))</formula>
    </cfRule>
  </conditionalFormatting>
  <conditionalFormatting sqref="BA166:BA174">
    <cfRule type="expression" dxfId="173" priority="219">
      <formula>AND(NOT(ISBLANK(BA166)), EXACT(AF166, "INVALID"))</formula>
    </cfRule>
  </conditionalFormatting>
  <conditionalFormatting sqref="AZ165">
    <cfRule type="expression" dxfId="172" priority="218">
      <formula>AND(NOT(ISBLANK(AZ165)), EXACT(AF165, "INVALID"))</formula>
    </cfRule>
  </conditionalFormatting>
  <conditionalFormatting sqref="BA165">
    <cfRule type="expression" dxfId="171" priority="217">
      <formula>AND(NOT(ISBLANK(BA165)), EXACT(AF165, "INVALID"))</formula>
    </cfRule>
  </conditionalFormatting>
  <conditionalFormatting sqref="AR165:AR174">
    <cfRule type="cellIs" dxfId="170" priority="216" operator="equal">
      <formula>"Not Assigned"</formula>
    </cfRule>
  </conditionalFormatting>
  <conditionalFormatting sqref="AF175 AI175">
    <cfRule type="cellIs" dxfId="169" priority="215" operator="equal">
      <formula>"INVALID"</formula>
    </cfRule>
  </conditionalFormatting>
  <conditionalFormatting sqref="AR175">
    <cfRule type="cellIs" dxfId="168" priority="214" operator="equal">
      <formula>"Not Assigned"</formula>
    </cfRule>
  </conditionalFormatting>
  <conditionalFormatting sqref="AS175">
    <cfRule type="expression" dxfId="167" priority="213">
      <formula>EXACT(AF175, "INVALID")</formula>
    </cfRule>
  </conditionalFormatting>
  <conditionalFormatting sqref="AJ165:AO175">
    <cfRule type="cellIs" dxfId="166" priority="212" operator="equal">
      <formula>FALSE</formula>
    </cfRule>
  </conditionalFormatting>
  <conditionalFormatting sqref="AT168">
    <cfRule type="expression" dxfId="165" priority="211">
      <formula>NOT($AM168)</formula>
    </cfRule>
  </conditionalFormatting>
  <conditionalFormatting sqref="AF175 AI175">
    <cfRule type="cellIs" dxfId="164" priority="210" operator="equal">
      <formula>"INVALID"</formula>
    </cfRule>
  </conditionalFormatting>
  <conditionalFormatting sqref="AG175">
    <cfRule type="cellIs" dxfId="163" priority="209" operator="equal">
      <formula>"INVALID"</formula>
    </cfRule>
  </conditionalFormatting>
  <conditionalFormatting sqref="AG175">
    <cfRule type="cellIs" dxfId="162" priority="208" operator="equal">
      <formula>"INVALID"</formula>
    </cfRule>
  </conditionalFormatting>
  <conditionalFormatting sqref="AG165:AG175">
    <cfRule type="cellIs" dxfId="161" priority="206" operator="equal">
      <formula>"INVALID"</formula>
    </cfRule>
  </conditionalFormatting>
  <conditionalFormatting sqref="AG165:AG175">
    <cfRule type="cellIs" dxfId="160" priority="207" operator="equal">
      <formula>"INVALID"</formula>
    </cfRule>
  </conditionalFormatting>
  <conditionalFormatting sqref="AG165:AG175">
    <cfRule type="cellIs" dxfId="159" priority="205" operator="equal">
      <formula>"INVALID"</formula>
    </cfRule>
  </conditionalFormatting>
  <conditionalFormatting sqref="AG165:AG175">
    <cfRule type="cellIs" dxfId="158" priority="204" operator="equal">
      <formula>"INVALID"</formula>
    </cfRule>
  </conditionalFormatting>
  <conditionalFormatting sqref="AG165:AG175">
    <cfRule type="cellIs" dxfId="157" priority="201" operator="equal">
      <formula>"INVALID"</formula>
    </cfRule>
  </conditionalFormatting>
  <conditionalFormatting sqref="AG165:AG175">
    <cfRule type="cellIs" dxfId="156" priority="203" operator="equal">
      <formula>"INVALID"</formula>
    </cfRule>
  </conditionalFormatting>
  <conditionalFormatting sqref="AG165:AG175">
    <cfRule type="cellIs" dxfId="155" priority="202" operator="equal">
      <formula>"INVALID"</formula>
    </cfRule>
  </conditionalFormatting>
  <conditionalFormatting sqref="AG165:AG175">
    <cfRule type="cellIs" dxfId="154" priority="200" operator="equal">
      <formula>"INVALID"</formula>
    </cfRule>
  </conditionalFormatting>
  <conditionalFormatting sqref="AG165:AG175">
    <cfRule type="cellIs" dxfId="153" priority="199" operator="equal">
      <formula>"INVALID"</formula>
    </cfRule>
  </conditionalFormatting>
  <conditionalFormatting sqref="AG165:AG175">
    <cfRule type="cellIs" dxfId="152" priority="198" operator="equal">
      <formula>"INVALID"</formula>
    </cfRule>
  </conditionalFormatting>
  <conditionalFormatting sqref="AG165:AG175">
    <cfRule type="cellIs" dxfId="151" priority="197" operator="equal">
      <formula>"INVALID"</formula>
    </cfRule>
  </conditionalFormatting>
  <conditionalFormatting sqref="AG165:AG175">
    <cfRule type="cellIs" dxfId="150" priority="196" operator="equal">
      <formula>"INVALID"</formula>
    </cfRule>
  </conditionalFormatting>
  <conditionalFormatting sqref="AT166">
    <cfRule type="expression" dxfId="149" priority="195">
      <formula>NOT($AM166)</formula>
    </cfRule>
  </conditionalFormatting>
  <conditionalFormatting sqref="AT171:AT172">
    <cfRule type="expression" dxfId="148" priority="194">
      <formula>NOT($AM171)</formula>
    </cfRule>
  </conditionalFormatting>
  <conditionalFormatting sqref="AX172:AX175">
    <cfRule type="expression" dxfId="147" priority="193">
      <formula>NOT($AO172)</formula>
    </cfRule>
  </conditionalFormatting>
  <conditionalFormatting sqref="AX179:AX180">
    <cfRule type="expression" dxfId="146" priority="192">
      <formula>NOT($AO179)</formula>
    </cfRule>
  </conditionalFormatting>
  <conditionalFormatting sqref="AD165:AD175">
    <cfRule type="cellIs" dxfId="145" priority="191" operator="equal">
      <formula>"INVALID"</formula>
    </cfRule>
  </conditionalFormatting>
  <conditionalFormatting sqref="AE112:AE134">
    <cfRule type="cellIs" dxfId="144" priority="190" operator="equal">
      <formula>"INVALID"</formula>
    </cfRule>
  </conditionalFormatting>
  <conditionalFormatting sqref="AE137:AE150 AD149:AD150 AD147 AD143:AD144 AD137">
    <cfRule type="cellIs" dxfId="143" priority="189" operator="equal">
      <formula>"INVALID"</formula>
    </cfRule>
  </conditionalFormatting>
  <conditionalFormatting sqref="AE165:AE175">
    <cfRule type="cellIs" dxfId="142" priority="187" operator="equal">
      <formula>"INVALID"</formula>
    </cfRule>
  </conditionalFormatting>
  <conditionalFormatting sqref="AE152:AE163">
    <cfRule type="cellIs" dxfId="141" priority="188" operator="equal">
      <formula>"INVALID"</formula>
    </cfRule>
  </conditionalFormatting>
  <conditionalFormatting sqref="AP1041">
    <cfRule type="cellIs" dxfId="140" priority="186" operator="equal">
      <formula>"Not Assigned"</formula>
    </cfRule>
  </conditionalFormatting>
  <conditionalFormatting sqref="AO1035:AO1044">
    <cfRule type="expression" dxfId="139" priority="185" stopIfTrue="1">
      <formula>REPLACE($AO1035,8,LEN($AO1035),"")="unused_"</formula>
    </cfRule>
  </conditionalFormatting>
  <conditionalFormatting sqref="AY70">
    <cfRule type="expression" dxfId="138" priority="184">
      <formula>NOT($AO70)</formula>
    </cfRule>
  </conditionalFormatting>
  <conditionalFormatting sqref="AY35">
    <cfRule type="expression" dxfId="137" priority="183">
      <formula>NOT($AO35)</formula>
    </cfRule>
  </conditionalFormatting>
  <conditionalFormatting sqref="AY28">
    <cfRule type="expression" dxfId="136" priority="182">
      <formula>NOT($AO28)</formula>
    </cfRule>
  </conditionalFormatting>
  <conditionalFormatting sqref="AH70">
    <cfRule type="cellIs" dxfId="135" priority="179" operator="equal">
      <formula>"INVALID"</formula>
    </cfRule>
  </conditionalFormatting>
  <conditionalFormatting sqref="AH28">
    <cfRule type="cellIs" dxfId="134" priority="181" operator="equal">
      <formula>"INVALID"</formula>
    </cfRule>
  </conditionalFormatting>
  <conditionalFormatting sqref="AH35">
    <cfRule type="cellIs" dxfId="133" priority="180" operator="equal">
      <formula>"INVALID"</formula>
    </cfRule>
  </conditionalFormatting>
  <conditionalFormatting sqref="AH200 AH203:AH204 AH207">
    <cfRule type="cellIs" dxfId="132" priority="175" operator="equal">
      <formula>"INVALID"</formula>
    </cfRule>
  </conditionalFormatting>
  <conditionalFormatting sqref="AH10 AH13">
    <cfRule type="cellIs" dxfId="131" priority="178" operator="equal">
      <formula>"INVALID"</formula>
    </cfRule>
  </conditionalFormatting>
  <conditionalFormatting sqref="AH26 AH22:AH23">
    <cfRule type="cellIs" dxfId="130" priority="177" operator="equal">
      <formula>"INVALID"</formula>
    </cfRule>
  </conditionalFormatting>
  <conditionalFormatting sqref="AH97 AH100">
    <cfRule type="cellIs" dxfId="129" priority="176" operator="equal">
      <formula>"INVALID"</formula>
    </cfRule>
  </conditionalFormatting>
  <conditionalFormatting sqref="AH11:AH12">
    <cfRule type="cellIs" dxfId="128" priority="173" operator="equal">
      <formula>"INVALID"</formula>
    </cfRule>
  </conditionalFormatting>
  <conditionalFormatting sqref="AH205:AH206">
    <cfRule type="cellIs" dxfId="127" priority="169" operator="equal">
      <formula>"INVALID"</formula>
    </cfRule>
  </conditionalFormatting>
  <conditionalFormatting sqref="AH24:AH25">
    <cfRule type="cellIs" dxfId="126" priority="172" operator="equal">
      <formula>"INVALID"</formula>
    </cfRule>
  </conditionalFormatting>
  <conditionalFormatting sqref="AH98:AH99">
    <cfRule type="cellIs" dxfId="125" priority="171" operator="equal">
      <formula>"INVALID"</formula>
    </cfRule>
  </conditionalFormatting>
  <conditionalFormatting sqref="AH201:AH202">
    <cfRule type="cellIs" dxfId="124" priority="170" operator="equal">
      <formula>"INVALID"</formula>
    </cfRule>
  </conditionalFormatting>
  <conditionalFormatting sqref="AW218">
    <cfRule type="expression" dxfId="123" priority="168">
      <formula>NOT($AO218)</formula>
    </cfRule>
  </conditionalFormatting>
  <conditionalFormatting sqref="AW219">
    <cfRule type="expression" dxfId="122" priority="167">
      <formula>NOT($AO219)</formula>
    </cfRule>
  </conditionalFormatting>
  <conditionalFormatting sqref="AW220">
    <cfRule type="expression" dxfId="121" priority="166">
      <formula>NOT($AO220)</formula>
    </cfRule>
  </conditionalFormatting>
  <conditionalFormatting sqref="AW221">
    <cfRule type="expression" dxfId="120" priority="165">
      <formula>NOT($AO221)</formula>
    </cfRule>
  </conditionalFormatting>
  <conditionalFormatting sqref="AW222">
    <cfRule type="expression" dxfId="119" priority="164">
      <formula>NOT($AO222)</formula>
    </cfRule>
  </conditionalFormatting>
  <conditionalFormatting sqref="AW223">
    <cfRule type="expression" dxfId="118" priority="163">
      <formula>NOT($AO223)</formula>
    </cfRule>
  </conditionalFormatting>
  <conditionalFormatting sqref="AW247">
    <cfRule type="expression" dxfId="117" priority="162">
      <formula>NOT($AO247)</formula>
    </cfRule>
  </conditionalFormatting>
  <conditionalFormatting sqref="AW250">
    <cfRule type="expression" dxfId="116" priority="161">
      <formula>NOT($AO250)</formula>
    </cfRule>
  </conditionalFormatting>
  <conditionalFormatting sqref="AW215:AW217">
    <cfRule type="expression" dxfId="115" priority="160">
      <formula>NOT($AO215)</formula>
    </cfRule>
  </conditionalFormatting>
  <conditionalFormatting sqref="AW224:AW226">
    <cfRule type="expression" dxfId="114" priority="159">
      <formula>NOT($AO224)</formula>
    </cfRule>
  </conditionalFormatting>
  <conditionalFormatting sqref="AW253">
    <cfRule type="expression" dxfId="113" priority="158">
      <formula>NOT($AO253)</formula>
    </cfRule>
  </conditionalFormatting>
  <conditionalFormatting sqref="AW256:AW257">
    <cfRule type="expression" dxfId="112" priority="157">
      <formula>NOT($AO256)</formula>
    </cfRule>
  </conditionalFormatting>
  <conditionalFormatting sqref="AW101:AW102">
    <cfRule type="expression" dxfId="111" priority="156">
      <formula>NOT($AO101)</formula>
    </cfRule>
  </conditionalFormatting>
  <conditionalFormatting sqref="AW141:AW142">
    <cfRule type="expression" dxfId="110" priority="154">
      <formula>NOT(#REF!)</formula>
    </cfRule>
  </conditionalFormatting>
  <conditionalFormatting sqref="AW129:AW130">
    <cfRule type="expression" dxfId="109" priority="155">
      <formula>NOT(#REF!)</formula>
    </cfRule>
  </conditionalFormatting>
  <conditionalFormatting sqref="AW170:AW175">
    <cfRule type="expression" dxfId="108" priority="153">
      <formula>NOT($AO170)</formula>
    </cfRule>
  </conditionalFormatting>
  <conditionalFormatting sqref="AW179:AW180">
    <cfRule type="expression" dxfId="107" priority="152">
      <formula>NOT($AO179)</formula>
    </cfRule>
  </conditionalFormatting>
  <conditionalFormatting sqref="AW138:AW139">
    <cfRule type="expression" dxfId="106" priority="151">
      <formula>NOT(#REF!)</formula>
    </cfRule>
  </conditionalFormatting>
  <conditionalFormatting sqref="AW145">
    <cfRule type="expression" dxfId="105" priority="150">
      <formula>NOT(#REF!)</formula>
    </cfRule>
  </conditionalFormatting>
  <conditionalFormatting sqref="AW165:AX168">
    <cfRule type="expression" dxfId="104" priority="149">
      <formula>NOT($AO165)</formula>
    </cfRule>
  </conditionalFormatting>
  <conditionalFormatting sqref="AW116:AW117">
    <cfRule type="expression" dxfId="103" priority="148">
      <formula>NOT(#REF!)</formula>
    </cfRule>
  </conditionalFormatting>
  <conditionalFormatting sqref="AW120:AX124 AX112:AX119 AX125:AX135">
    <cfRule type="expression" dxfId="102" priority="147">
      <formula>NOT(#REF!)</formula>
    </cfRule>
  </conditionalFormatting>
  <conditionalFormatting sqref="AW228:AW229">
    <cfRule type="expression" dxfId="101" priority="146">
      <formula>NOT($AO228)</formula>
    </cfRule>
  </conditionalFormatting>
  <conditionalFormatting sqref="V1032:V1033">
    <cfRule type="cellIs" dxfId="100" priority="145" operator="equal">
      <formula>"INVALID"</formula>
    </cfRule>
  </conditionalFormatting>
  <conditionalFormatting sqref="V1032:V1033">
    <cfRule type="cellIs" dxfId="99" priority="144" operator="equal">
      <formula>"INVALID"</formula>
    </cfRule>
  </conditionalFormatting>
  <conditionalFormatting sqref="AH20:AH21">
    <cfRule type="cellIs" dxfId="98" priority="143" operator="equal">
      <formula>"INVALID"</formula>
    </cfRule>
  </conditionalFormatting>
  <conditionalFormatting sqref="AY57">
    <cfRule type="expression" dxfId="97" priority="141">
      <formula>NOT($AO57)</formula>
    </cfRule>
  </conditionalFormatting>
  <conditionalFormatting sqref="AY63">
    <cfRule type="expression" dxfId="96" priority="140">
      <formula>NOT($AO63)</formula>
    </cfRule>
  </conditionalFormatting>
  <conditionalFormatting sqref="AW184">
    <cfRule type="expression" dxfId="95" priority="139">
      <formula>NOT($AO184)</formula>
    </cfRule>
  </conditionalFormatting>
  <conditionalFormatting sqref="AW189:AW196">
    <cfRule type="expression" dxfId="94" priority="138">
      <formula>NOT($AO189)</formula>
    </cfRule>
  </conditionalFormatting>
  <conditionalFormatting sqref="AX209:AX210">
    <cfRule type="expression" dxfId="93" priority="137">
      <formula>NOT($AO209)</formula>
    </cfRule>
  </conditionalFormatting>
  <conditionalFormatting sqref="AX177:AX178">
    <cfRule type="expression" dxfId="92" priority="136">
      <formula>NOT($AO177)</formula>
    </cfRule>
  </conditionalFormatting>
  <conditionalFormatting sqref="AX181:AX198">
    <cfRule type="expression" dxfId="91" priority="135">
      <formula>NOT($AO181)</formula>
    </cfRule>
  </conditionalFormatting>
  <conditionalFormatting sqref="AX10:AX26">
    <cfRule type="expression" dxfId="90" priority="134">
      <formula>NOT($AO10)</formula>
    </cfRule>
  </conditionalFormatting>
  <conditionalFormatting sqref="AH19">
    <cfRule type="cellIs" dxfId="89" priority="133" operator="equal">
      <formula>"INVALID"</formula>
    </cfRule>
  </conditionalFormatting>
  <conditionalFormatting sqref="AG10">
    <cfRule type="cellIs" dxfId="88" priority="132" operator="equal">
      <formula>"INVALID"</formula>
    </cfRule>
  </conditionalFormatting>
  <conditionalFormatting sqref="AG13">
    <cfRule type="cellIs" dxfId="87" priority="131" operator="equal">
      <formula>"INVALID"</formula>
    </cfRule>
  </conditionalFormatting>
  <conditionalFormatting sqref="AG19">
    <cfRule type="cellIs" dxfId="86" priority="130" operator="equal">
      <formula>"INVALID"</formula>
    </cfRule>
  </conditionalFormatting>
  <conditionalFormatting sqref="AG22:AG23">
    <cfRule type="cellIs" dxfId="85" priority="129" operator="equal">
      <formula>"INVALID"</formula>
    </cfRule>
  </conditionalFormatting>
  <conditionalFormatting sqref="AG26">
    <cfRule type="cellIs" dxfId="84" priority="128" operator="equal">
      <formula>"INVALID"</formula>
    </cfRule>
  </conditionalFormatting>
  <conditionalFormatting sqref="AG97">
    <cfRule type="cellIs" dxfId="83" priority="127" operator="equal">
      <formula>"INVALID"</formula>
    </cfRule>
  </conditionalFormatting>
  <conditionalFormatting sqref="AG100">
    <cfRule type="cellIs" dxfId="82" priority="126" operator="equal">
      <formula>"INVALID"</formula>
    </cfRule>
  </conditionalFormatting>
  <conditionalFormatting sqref="AG200">
    <cfRule type="cellIs" dxfId="81" priority="125" operator="equal">
      <formula>"INVALID"</formula>
    </cfRule>
  </conditionalFormatting>
  <conditionalFormatting sqref="AG203:AG204">
    <cfRule type="cellIs" dxfId="80" priority="124" operator="equal">
      <formula>"INVALID"</formula>
    </cfRule>
  </conditionalFormatting>
  <conditionalFormatting sqref="AG207">
    <cfRule type="cellIs" dxfId="79" priority="123" operator="equal">
      <formula>"INVALID"</formula>
    </cfRule>
  </conditionalFormatting>
  <conditionalFormatting sqref="A425:B430 A413:B422">
    <cfRule type="expression" dxfId="78" priority="120" stopIfTrue="1">
      <formula>AND(LEN($D413),NOT(LEN(#REF!)))</formula>
    </cfRule>
  </conditionalFormatting>
  <conditionalFormatting sqref="A266:B295 A298:B307">
    <cfRule type="expression" dxfId="77" priority="103" stopIfTrue="1">
      <formula>AND(LEN($D266),NOT(LEN(#REF!)))</formula>
    </cfRule>
  </conditionalFormatting>
  <conditionalFormatting sqref="A315:B322">
    <cfRule type="expression" dxfId="76" priority="102" stopIfTrue="1">
      <formula>AND(LEN($D315),NOT(LEN(#REF!)))</formula>
    </cfRule>
  </conditionalFormatting>
  <conditionalFormatting sqref="A324:B331">
    <cfRule type="expression" dxfId="75" priority="101" stopIfTrue="1">
      <formula>AND(LEN($D324),NOT(LEN(#REF!)))</formula>
    </cfRule>
  </conditionalFormatting>
  <conditionalFormatting sqref="A342:B349">
    <cfRule type="expression" dxfId="74" priority="99" stopIfTrue="1">
      <formula>AND(LEN($D342),NOT(LEN(#REF!)))</formula>
    </cfRule>
  </conditionalFormatting>
  <conditionalFormatting sqref="A351:B356">
    <cfRule type="expression" dxfId="73" priority="98" stopIfTrue="1">
      <formula>AND(LEN($D351),NOT(LEN(#REF!)))</formula>
    </cfRule>
  </conditionalFormatting>
  <conditionalFormatting sqref="A360:B363 A368:B371">
    <cfRule type="expression" dxfId="72" priority="97" stopIfTrue="1">
      <formula>AND(LEN($D360),NOT(LEN(#REF!)))</formula>
    </cfRule>
  </conditionalFormatting>
  <conditionalFormatting sqref="A423:B424">
    <cfRule type="expression" dxfId="71" priority="96" stopIfTrue="1">
      <formula>AND(LEN($D423),NOT(LEN(#REF!)))</formula>
    </cfRule>
  </conditionalFormatting>
  <conditionalFormatting sqref="AV10:AV13 AV19:AV26 AV97:AV100 AV200:AV207 AV165:AV168 AV120:AV124 AV131:AV135">
    <cfRule type="expression" dxfId="70" priority="174">
      <formula>NOT(#REF!)</formula>
    </cfRule>
  </conditionalFormatting>
  <conditionalFormatting sqref="BE57">
    <cfRule type="expression" dxfId="69" priority="95" stopIfTrue="1">
      <formula>"($R($C-2))=-2"</formula>
    </cfRule>
  </conditionalFormatting>
  <conditionalFormatting sqref="BE101">
    <cfRule type="expression" dxfId="68" priority="94" stopIfTrue="1">
      <formula>"($R($C-2))=-2"</formula>
    </cfRule>
  </conditionalFormatting>
  <conditionalFormatting sqref="BD266:BD271">
    <cfRule type="cellIs" dxfId="67" priority="93" operator="equal">
      <formula>"Not Assigned"</formula>
    </cfRule>
  </conditionalFormatting>
  <conditionalFormatting sqref="BD272:BD277">
    <cfRule type="cellIs" dxfId="66" priority="92" operator="equal">
      <formula>"Not Assigned"</formula>
    </cfRule>
  </conditionalFormatting>
  <conditionalFormatting sqref="BD278:BD283">
    <cfRule type="cellIs" dxfId="65" priority="91" operator="equal">
      <formula>"Not Assigned"</formula>
    </cfRule>
  </conditionalFormatting>
  <conditionalFormatting sqref="BD284:BD289">
    <cfRule type="cellIs" dxfId="64" priority="90" operator="equal">
      <formula>"Not Assigned"</formula>
    </cfRule>
  </conditionalFormatting>
  <conditionalFormatting sqref="BD290:BD295">
    <cfRule type="cellIs" dxfId="63" priority="89" operator="equal">
      <formula>"Not Assigned"</formula>
    </cfRule>
  </conditionalFormatting>
  <conditionalFormatting sqref="BD298:BD301">
    <cfRule type="cellIs" dxfId="62" priority="88" operator="equal">
      <formula>"Not Assigned"</formula>
    </cfRule>
  </conditionalFormatting>
  <conditionalFormatting sqref="BD302:BD307">
    <cfRule type="cellIs" dxfId="61" priority="87" operator="equal">
      <formula>"Not Assigned"</formula>
    </cfRule>
  </conditionalFormatting>
  <conditionalFormatting sqref="BD315:BD322">
    <cfRule type="cellIs" dxfId="60" priority="86" operator="equal">
      <formula>"Not Assigned"</formula>
    </cfRule>
  </conditionalFormatting>
  <conditionalFormatting sqref="BD324:BD331">
    <cfRule type="cellIs" dxfId="59" priority="85" operator="equal">
      <formula>"Not Assigned"</formula>
    </cfRule>
  </conditionalFormatting>
  <conditionalFormatting sqref="BD351:BD353 BD355:BD356">
    <cfRule type="cellIs" dxfId="58" priority="84" operator="equal">
      <formula>"Not Assigned"</formula>
    </cfRule>
  </conditionalFormatting>
  <conditionalFormatting sqref="BD354">
    <cfRule type="cellIs" dxfId="57" priority="83" operator="equal">
      <formula>"Not Assigned"</formula>
    </cfRule>
  </conditionalFormatting>
  <conditionalFormatting sqref="BD368:BD369">
    <cfRule type="cellIs" dxfId="56" priority="80" operator="equal">
      <formula>"Not Assigned"</formula>
    </cfRule>
  </conditionalFormatting>
  <conditionalFormatting sqref="BD370:BD371">
    <cfRule type="cellIs" dxfId="55" priority="79" operator="equal">
      <formula>"Not Assigned"</formula>
    </cfRule>
  </conditionalFormatting>
  <conditionalFormatting sqref="BD415:BD416">
    <cfRule type="cellIs" dxfId="54" priority="78" operator="equal">
      <formula>"Not Assigned"</formula>
    </cfRule>
  </conditionalFormatting>
  <conditionalFormatting sqref="BD417:BD418">
    <cfRule type="cellIs" dxfId="53" priority="77" operator="equal">
      <formula>"Not Assigned"</formula>
    </cfRule>
  </conditionalFormatting>
  <conditionalFormatting sqref="BD419:BD420">
    <cfRule type="cellIs" dxfId="52" priority="76" operator="equal">
      <formula>"Not Assigned"</formula>
    </cfRule>
  </conditionalFormatting>
  <conditionalFormatting sqref="BD421:BD422">
    <cfRule type="cellIs" dxfId="51" priority="75" operator="equal">
      <formula>"Not Assigned"</formula>
    </cfRule>
  </conditionalFormatting>
  <conditionalFormatting sqref="BD423:BD424">
    <cfRule type="cellIs" dxfId="50" priority="74" operator="equal">
      <formula>"Not Assigned"</formula>
    </cfRule>
  </conditionalFormatting>
  <conditionalFormatting sqref="BD425:BD426">
    <cfRule type="cellIs" dxfId="49" priority="73" operator="equal">
      <formula>"Not Assigned"</formula>
    </cfRule>
  </conditionalFormatting>
  <conditionalFormatting sqref="BD427:BD428">
    <cfRule type="cellIs" dxfId="48" priority="72" operator="equal">
      <formula>"Not Assigned"</formula>
    </cfRule>
  </conditionalFormatting>
  <conditionalFormatting sqref="BD429:BD430">
    <cfRule type="cellIs" dxfId="47" priority="71" operator="equal">
      <formula>"Not Assigned"</formula>
    </cfRule>
  </conditionalFormatting>
  <conditionalFormatting sqref="A296:B297">
    <cfRule type="expression" dxfId="46" priority="53" stopIfTrue="1">
      <formula>AND(LEN($D296),NOT(LEN(#REF!)))</formula>
    </cfRule>
  </conditionalFormatting>
  <conditionalFormatting sqref="A308:B313">
    <cfRule type="expression" dxfId="45" priority="52" stopIfTrue="1">
      <formula>AND(LEN($D308),NOT(LEN(#REF!)))</formula>
    </cfRule>
  </conditionalFormatting>
  <conditionalFormatting sqref="A333:B340">
    <cfRule type="expression" dxfId="44" priority="51" stopIfTrue="1">
      <formula>AND(LEN($D333),NOT(LEN(#REF!)))</formula>
    </cfRule>
  </conditionalFormatting>
  <conditionalFormatting sqref="A357:B358">
    <cfRule type="expression" dxfId="43" priority="50" stopIfTrue="1">
      <formula>AND(LEN($D357),NOT(LEN(#REF!)))</formula>
    </cfRule>
  </conditionalFormatting>
  <conditionalFormatting sqref="A372:B407">
    <cfRule type="expression" dxfId="42" priority="49" stopIfTrue="1">
      <formula>AND(LEN($D372),NOT(LEN(#REF!)))</formula>
    </cfRule>
  </conditionalFormatting>
  <conditionalFormatting sqref="A431:B446">
    <cfRule type="expression" dxfId="41" priority="48" stopIfTrue="1">
      <formula>AND(LEN($D431),NOT(LEN(#REF!)))</formula>
    </cfRule>
  </conditionalFormatting>
  <conditionalFormatting sqref="A209:B210">
    <cfRule type="expression" dxfId="40" priority="43" stopIfTrue="1">
      <formula>AND(LEN($D209),NOT(LEN(#REF!)))</formula>
    </cfRule>
  </conditionalFormatting>
  <conditionalFormatting sqref="A10:B26">
    <cfRule type="expression" dxfId="39" priority="42" stopIfTrue="1">
      <formula>AND(LEN($D10),NOT(LEN(#REF!)))</formula>
    </cfRule>
  </conditionalFormatting>
  <conditionalFormatting sqref="A35:B40 A82:B82 A86:B90">
    <cfRule type="expression" dxfId="38" priority="41" stopIfTrue="1">
      <formula>AND(LEN($D35),NOT(LEN(#REF!)))</formula>
    </cfRule>
  </conditionalFormatting>
  <conditionalFormatting sqref="A57:B68">
    <cfRule type="expression" dxfId="37" priority="40" stopIfTrue="1">
      <formula>AND(LEN($D57),NOT(LEN(#REF!)))</formula>
    </cfRule>
  </conditionalFormatting>
  <conditionalFormatting sqref="A70:B80">
    <cfRule type="expression" dxfId="36" priority="39" stopIfTrue="1">
      <formula>AND(LEN($D70),NOT(LEN(#REF!)))</formula>
    </cfRule>
  </conditionalFormatting>
  <conditionalFormatting sqref="A101:B102 A91:B94">
    <cfRule type="expression" dxfId="35" priority="38" stopIfTrue="1">
      <formula>AND(LEN($D91),NOT(LEN(#REF!)))</formula>
    </cfRule>
  </conditionalFormatting>
  <conditionalFormatting sqref="A112:B135">
    <cfRule type="expression" dxfId="34" priority="37" stopIfTrue="1">
      <formula>AND(LEN($D112),NOT(LEN(#REF!)))</formula>
    </cfRule>
  </conditionalFormatting>
  <conditionalFormatting sqref="A137:B138 A141:B150">
    <cfRule type="expression" dxfId="33" priority="36" stopIfTrue="1">
      <formula>AND(LEN($D137),NOT(LEN(#REF!)))</formula>
    </cfRule>
  </conditionalFormatting>
  <conditionalFormatting sqref="A154:B163">
    <cfRule type="expression" dxfId="32" priority="35" stopIfTrue="1">
      <formula>AND(LEN($D154),NOT(LEN(#REF!)))</formula>
    </cfRule>
  </conditionalFormatting>
  <conditionalFormatting sqref="A165:B173">
    <cfRule type="expression" dxfId="31" priority="34" stopIfTrue="1">
      <formula>AND(LEN($D165),NOT(LEN(#REF!)))</formula>
    </cfRule>
  </conditionalFormatting>
  <conditionalFormatting sqref="A177:B181 A187:B188 A190:B191 A193:B198 A182">
    <cfRule type="expression" dxfId="30" priority="33" stopIfTrue="1">
      <formula>AND(LEN($D177),NOT(LEN(#REF!)))</formula>
    </cfRule>
  </conditionalFormatting>
  <conditionalFormatting sqref="A228:B229">
    <cfRule type="expression" dxfId="29" priority="31" stopIfTrue="1">
      <formula>AND(LEN($D228),NOT(LEN(#REF!)))</formula>
    </cfRule>
  </conditionalFormatting>
  <conditionalFormatting sqref="A242:B243">
    <cfRule type="expression" dxfId="28" priority="29" stopIfTrue="1">
      <formula>AND(LEN($D242),NOT(LEN(#REF!)))</formula>
    </cfRule>
  </conditionalFormatting>
  <conditionalFormatting sqref="A245:B250 A254:B255 A262:B262">
    <cfRule type="expression" dxfId="27" priority="28" stopIfTrue="1">
      <formula>AND(LEN($D245),NOT(LEN(#REF!)))</formula>
    </cfRule>
  </conditionalFormatting>
  <conditionalFormatting sqref="A28:B33">
    <cfRule type="expression" dxfId="26" priority="27" stopIfTrue="1">
      <formula>AND(LEN($D28),NOT(LEN(#REF!)))</formula>
    </cfRule>
  </conditionalFormatting>
  <conditionalFormatting sqref="A42:B55">
    <cfRule type="expression" dxfId="25" priority="26" stopIfTrue="1">
      <formula>AND(LEN($D42),NOT(LEN(#REF!)))</formula>
    </cfRule>
  </conditionalFormatting>
  <conditionalFormatting sqref="A83:B85">
    <cfRule type="expression" dxfId="24" priority="25" stopIfTrue="1">
      <formula>AND(LEN($D83),NOT(LEN(#REF!)))</formula>
    </cfRule>
  </conditionalFormatting>
  <conditionalFormatting sqref="A95:B100">
    <cfRule type="expression" dxfId="23" priority="24" stopIfTrue="1">
      <formula>AND(LEN($D95),NOT(LEN(#REF!)))</formula>
    </cfRule>
  </conditionalFormatting>
  <conditionalFormatting sqref="A104:B110">
    <cfRule type="expression" dxfId="22" priority="23" stopIfTrue="1">
      <formula>AND(LEN($D104),NOT(LEN(#REF!)))</formula>
    </cfRule>
  </conditionalFormatting>
  <conditionalFormatting sqref="A183:B186 B182">
    <cfRule type="expression" dxfId="21" priority="22" stopIfTrue="1">
      <formula>AND(LEN($D182),NOT(LEN(#REF!)))</formula>
    </cfRule>
  </conditionalFormatting>
  <conditionalFormatting sqref="A189:B189">
    <cfRule type="expression" dxfId="20" priority="21" stopIfTrue="1">
      <formula>AND(LEN($D189),NOT(LEN(#REF!)))</formula>
    </cfRule>
  </conditionalFormatting>
  <conditionalFormatting sqref="A192:B192">
    <cfRule type="expression" dxfId="19" priority="20" stopIfTrue="1">
      <formula>AND(LEN($D192),NOT(LEN(#REF!)))</formula>
    </cfRule>
  </conditionalFormatting>
  <conditionalFormatting sqref="A200:B207">
    <cfRule type="expression" dxfId="18" priority="19" stopIfTrue="1">
      <formula>AND(LEN($D200),NOT(LEN(#REF!)))</formula>
    </cfRule>
  </conditionalFormatting>
  <conditionalFormatting sqref="A212:B213">
    <cfRule type="expression" dxfId="17" priority="18" stopIfTrue="1">
      <formula>AND(LEN($D212),NOT(LEN(#REF!)))</formula>
    </cfRule>
  </conditionalFormatting>
  <conditionalFormatting sqref="A215:B218">
    <cfRule type="expression" dxfId="16" priority="17" stopIfTrue="1">
      <formula>AND(LEN($D215),NOT(LEN(#REF!)))</formula>
    </cfRule>
  </conditionalFormatting>
  <conditionalFormatting sqref="A219:B222 A225:B226">
    <cfRule type="expression" dxfId="15" priority="16" stopIfTrue="1">
      <formula>AND(LEN($D219),NOT(LEN(#REF!)))</formula>
    </cfRule>
  </conditionalFormatting>
  <conditionalFormatting sqref="A231:B234">
    <cfRule type="expression" dxfId="14" priority="15" stopIfTrue="1">
      <formula>AND(LEN($D231),NOT(LEN(#REF!)))</formula>
    </cfRule>
  </conditionalFormatting>
  <conditionalFormatting sqref="A235:B238">
    <cfRule type="expression" dxfId="13" priority="14" stopIfTrue="1">
      <formula>AND(LEN($D235),NOT(LEN(#REF!)))</formula>
    </cfRule>
  </conditionalFormatting>
  <conditionalFormatting sqref="A251:B253">
    <cfRule type="expression" dxfId="12" priority="13" stopIfTrue="1">
      <formula>AND(LEN($D251),NOT(LEN(#REF!)))</formula>
    </cfRule>
  </conditionalFormatting>
  <conditionalFormatting sqref="A256:B261">
    <cfRule type="expression" dxfId="11" priority="12" stopIfTrue="1">
      <formula>AND(LEN($D256),NOT(LEN(#REF!)))</formula>
    </cfRule>
  </conditionalFormatting>
  <conditionalFormatting sqref="A263:B263">
    <cfRule type="expression" dxfId="10" priority="11" stopIfTrue="1">
      <formula>AND(LEN($D263),NOT(LEN(#REF!)))</formula>
    </cfRule>
  </conditionalFormatting>
  <conditionalFormatting sqref="A139:B140">
    <cfRule type="expression" dxfId="9" priority="10" stopIfTrue="1">
      <formula>AND(LEN($D139),NOT(LEN(#REF!)))</formula>
    </cfRule>
  </conditionalFormatting>
  <conditionalFormatting sqref="A152:B153">
    <cfRule type="expression" dxfId="8" priority="9" stopIfTrue="1">
      <formula>AND(LEN($D152),NOT(LEN(#REF!)))</formula>
    </cfRule>
  </conditionalFormatting>
  <conditionalFormatting sqref="A174:B174">
    <cfRule type="expression" dxfId="7" priority="8" stopIfTrue="1">
      <formula>AND(LEN($D174),NOT(LEN(#REF!)))</formula>
    </cfRule>
  </conditionalFormatting>
  <conditionalFormatting sqref="A175:B175">
    <cfRule type="expression" dxfId="6" priority="7" stopIfTrue="1">
      <formula>AND(LEN($D175),NOT(LEN(#REF!)))</formula>
    </cfRule>
  </conditionalFormatting>
  <conditionalFormatting sqref="A408:B411">
    <cfRule type="expression" dxfId="5" priority="6" stopIfTrue="1">
      <formula>AND(LEN($D408),NOT(LEN(#REF!)))</formula>
    </cfRule>
  </conditionalFormatting>
  <conditionalFormatting sqref="A364:B367">
    <cfRule type="expression" dxfId="4" priority="5" stopIfTrue="1">
      <formula>AND(LEN($D364),NOT(LEN(#REF!)))</formula>
    </cfRule>
  </conditionalFormatting>
  <conditionalFormatting sqref="BD408:BD409">
    <cfRule type="cellIs" dxfId="3" priority="4" operator="equal">
      <formula>"Not Assigned"</formula>
    </cfRule>
  </conditionalFormatting>
  <conditionalFormatting sqref="BD410:BD411">
    <cfRule type="cellIs" dxfId="2" priority="3" operator="equal">
      <formula>"Not Assigned"</formula>
    </cfRule>
  </conditionalFormatting>
  <conditionalFormatting sqref="A223:B224">
    <cfRule type="expression" dxfId="1" priority="2" stopIfTrue="1">
      <formula>AND(LEN($D223),NOT(LEN(#REF!)))</formula>
    </cfRule>
  </conditionalFormatting>
  <conditionalFormatting sqref="A239:B240">
    <cfRule type="expression" dxfId="0" priority="1" stopIfTrue="1">
      <formula>AND(LEN($D239),NOT(LEN(#REF!)))</formula>
    </cfRule>
  </conditionalFormatting>
  <dataValidations count="15">
    <dataValidation type="list" allowBlank="1" showInputMessage="1" showErrorMessage="1" sqref="BC27 BC34" xr:uid="{C02D38A6-4B14-43FF-9F43-5DFA085778BA}">
      <formula1>"OFF,1.8V, 3.3V, 1.8V/3.3V, 1.8V/3.3V_default_1.8V"</formula1>
    </dataValidation>
    <dataValidation type="list" allowBlank="1" showInputMessage="1" showErrorMessage="1" sqref="BC151 BC199" xr:uid="{F5370780-E82F-4868-A0AE-025FBEDC2C03}">
      <formula1>"OFF, 1.8V, 3.3V"</formula1>
    </dataValidation>
    <dataValidation type="list" allowBlank="1" showInputMessage="1" showErrorMessage="1" sqref="BC350" xr:uid="{D304060D-B278-4587-9936-1134F8FC518D}">
      <formula1>"OFF, 3.3V"</formula1>
    </dataValidation>
    <dataValidation type="list" allowBlank="1" showInputMessage="1" showErrorMessage="1" sqref="BC265" xr:uid="{102730C1-803A-47B1-9133-694819ADBDA0}">
      <formula1>"OFF, 1.2V"</formula1>
    </dataValidation>
    <dataValidation type="list" allowBlank="1" showInputMessage="1" showErrorMessage="1" sqref="BC1029 BC737" xr:uid="{46CC16FD-1881-4873-A91E-B9977966ECCD}">
      <formula1>"OFF, 1.1V"</formula1>
    </dataValidation>
    <dataValidation type="list" allowBlank="1" showInputMessage="1" showErrorMessage="1" sqref="BC164 BC69 BC176 BC9 BC41 BC230 BC136 BC111 BC244 BC241 BC56 BC208 BC103 BC214 BC227 BC81 BC1031" xr:uid="{01F4C6CC-4366-4360-A533-8B5A2756804A}">
      <formula1>"OFF, 1.8V"</formula1>
    </dataValidation>
    <dataValidation type="list" showInputMessage="1" showErrorMessage="1" sqref="BB137:BB150 BB112:BB135 AS112:AS135 AS28:AS33 AS10:AS26 BB28:BB33 BB10:BB26 AS35:AS40 AS57:AS68 BB109:BB110 AS228:AS229 BB231:BB240 AS231:AS240 BB42:BB55 BB35:BB40 BB57:BB68 BB70:BB80 AS70:AS80 BB152:BB163 BB104:BB107 BB245:BB263 AS242:AS243 BB242:BB243 BB228:BB229 BB177:BB198 AS42:AS55 BB82:BB102 AS82:AS102 AS245:AS263 AS177:AS198 BB200:BB207 AS200:AS207 AS209:AS210 BB209:BB210 BB212:BB213 AS212:AS213 AS215:AS226 BB215:BB226 AS152:AS163 BB165:BB175 AS165:AS175 AS104:AS110 AS137:AS150" xr:uid="{2D71D40A-02B7-40B7-9A86-9917A07AB031}">
      <formula1>"Z, Int PU, Int PD, Drive 0, Drive 1, N/A"</formula1>
    </dataValidation>
    <dataValidation type="list" allowBlank="1" showInputMessage="1" showErrorMessage="1" sqref="AR112:AR135 AR177:AR198 AR28:AR33 AR10:AR26 AR35:AR40 AR57:AR68 AR245:AR263 AR231:AR240 AR42:AR55 AR70:AR80 AR104:AR110 AR242:AR243 AR228:AR229 AR82:AR102 AR200:AR207 AR209:AR210 AR212:AR213 AR215:AR226 AR152:AR163 AR165:AR175 AR137:AR150" xr:uid="{BCE996B7-0C24-4651-A57F-58A18898FAD4}">
      <formula1>"Not Assigned, Input, Output, Bidirectional, Open-Drain, N/A"</formula1>
    </dataValidation>
    <dataValidation type="list" showInputMessage="1" showErrorMessage="1" sqref="AQ885:AQ1028 AQ104:AQ110 AQ413:AQ446 AQ112:AQ135 AQ1032:AQ1033 AQ82:AQ102 AQ266:AQ313 AQ740:AQ883 AQ593:AQ736 AQ448:AQ591 AQ165:AQ175 AQ152:AQ163 AQ360:AQ411 AQ351:AQ358 AQ342:AQ349 AQ333:AQ340 AQ324:AQ331 AQ315:AQ322 AQ70:AQ80 AQ57:AQ68 AQ42:AQ55 AQ35:AQ40 AQ28:AQ33 AQ1030 AQ245:AQ263 AQ231:AQ240 AQ228:AQ229 AQ215:AQ226 AQ212:AQ213 AQ209:AQ210 AQ200:AQ207 AQ10:AQ26 AQ242:AQ243 AQ738 AO1035:AP1043 AQ177:AQ198 AQ137:AQ150" xr:uid="{AFDB9C00-55E0-4A2B-99AD-4B8350C0D40E}">
      <formula1>$F10:$K10</formula1>
    </dataValidation>
    <dataValidation type="list" allowBlank="1" showInputMessage="1" showErrorMessage="1" sqref="AX254 AW247:AX247 AY28 AW228:AX229 AX257:AX263 AW250:AX250 AX169:AX171 AY35 AX112:AX119 AW116:AW117 AW189:AW196 AY63 AW215:AX226 AY70 AX125:AX135 AW256:AW257 AW253 AW120:AX124 AW138:AW139 AW145:AX145 AW170:AW171 AY57 AW101:AX102 AW129:AW130 AW172:AX175 AW165:AX168 AW179:AX180 AW184:AX184 AX209:AX210 AX177:AX178 AX181:AX183 AX185:AX198 AW141:AW142 AX82:AX100 AX10:AX26 AX138:AX144 AX146:AX148" xr:uid="{AA217797-3FED-43A7-B183-C5E989E6F20B}">
      <formula1>"Disable, Enable"</formula1>
    </dataValidation>
    <dataValidation type="list" allowBlank="1" showInputMessage="1" showErrorMessage="1" sqref="BC359 BC314 BC323 BC332 BC341 BC412" xr:uid="{DFCA0F7B-B781-4046-996D-6CC3A53D9D3B}">
      <formula1>"OFF, 1.0V, 1.05V"</formula1>
    </dataValidation>
    <dataValidation type="list" showInputMessage="1" showErrorMessage="1" sqref="AT139:AT140 AT155 AT253 AT158:AT159 AT180:AT183 AT185:AT188 AT148 AT198 AT256:AT257 AT18 AT142:AT143 AT15:AT16 AT260 AT31 AT119:AT120 AT102 AT123:AT124 AT219 AT225:AT226 AT228 AT247 AT223 AT38 AT52 AT54 AT64 AT68 AT104 AT128:AT130 AT175 AT153 AT134:AT135 AT250 AT262:AT263 AT58 AT62 AT73 AT82:AT86 AT89 AT91 AT96 AT217 AT221 AT162:AT163 AT168 AT171:AT172 AT166 AT145:AT146" xr:uid="{6CA2BAB6-A944-4373-BAB2-E30B6CD2001E}">
      <formula1>"No, Yes"</formula1>
    </dataValidation>
    <dataValidation type="list" allowBlank="1" showInputMessage="1" showErrorMessage="1" sqref="BC211" xr:uid="{C18FDE98-5D51-4C13-BE88-AB1D8F829D76}">
      <formula1>"OFF, 1.2V, 1.8V"</formula1>
    </dataValidation>
    <dataValidation type="list" allowBlank="1" showInputMessage="1" showErrorMessage="1" sqref="BC447 BC592 BC884 BC739" xr:uid="{671B8095-1498-4628-98A5-513A0E5B6C15}">
      <formula1>"OFF, 0.6V, 1.1V"</formula1>
    </dataValidation>
    <dataValidation type="list" showInputMessage="1" showErrorMessage="1" sqref="AV10:AV13 AV19:AV26 AV97:AV100 AV200:AV207 AV165:AV168 AV120:AV124 AV131:AV135" xr:uid="{FBD23FBD-61A5-4D05-9C92-DE30D695CDE1}">
      <formula1>"N/A, Master, Slave"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61825" r:id="rId4" name="Button 1">
              <controlPr defaultSize="0" print="0" autoFill="0" autoPict="0" macro="[0]!Generate_Device_Tree.Generate_Device_Tree" altText="Generate C Code">
                <anchor moveWithCells="1" sizeWithCells="1">
                  <from>
                    <xdr:col>47</xdr:col>
                    <xdr:colOff>123825</xdr:colOff>
                    <xdr:row>1</xdr:row>
                    <xdr:rowOff>123825</xdr:rowOff>
                  </from>
                  <to>
                    <xdr:col>50</xdr:col>
                    <xdr:colOff>247650</xdr:colOff>
                    <xdr:row>4</xdr:row>
                    <xdr:rowOff>190500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46</vt:i4>
      </vt:variant>
    </vt:vector>
  </HeadingPairs>
  <TitlesOfParts>
    <vt:vector size="48" baseType="lpstr">
      <vt:lpstr>Customer-Readme</vt:lpstr>
      <vt:lpstr>Jetson_Xavier_NX_Module</vt:lpstr>
      <vt:lpstr>Jetson_Xavier_NX_Module!AllowedPinDirection_GPIO</vt:lpstr>
      <vt:lpstr>Jetson_Xavier_NX_Module!AllowedPinDirection_SFIO0</vt:lpstr>
      <vt:lpstr>Jetson_Xavier_NX_Module!AllowedPinDirection_SFIO1</vt:lpstr>
      <vt:lpstr>Jetson_Xavier_NX_Module!AllowedPinDirection_SFIO2</vt:lpstr>
      <vt:lpstr>Jetson_Xavier_NX_Module!AllowedPinDirection_SFIO3</vt:lpstr>
      <vt:lpstr>Jetson_Xavier_NX_Module!ConfigFirstCell</vt:lpstr>
      <vt:lpstr>Jetson_Xavier_NX_Module!ConfigLastCell</vt:lpstr>
      <vt:lpstr>Jetson_Xavier_NX_Module!Customer_Usage</vt:lpstr>
      <vt:lpstr>Jetson_Xavier_NX_Module!Customer_Usage_Checker</vt:lpstr>
      <vt:lpstr>Jetson_Xavier_NX_Module!E_Input</vt:lpstr>
      <vt:lpstr>Jetson_Xavier_NX_Module!EQOS_LPBK_Enable</vt:lpstr>
      <vt:lpstr>Jetson_Xavier_NX_Module!Error_Check</vt:lpstr>
      <vt:lpstr>Jetson_Xavier_NX_Module!Ext_Pull_Down</vt:lpstr>
      <vt:lpstr>Jetson_Xavier_NX_Module!Ext_Pull_Up</vt:lpstr>
      <vt:lpstr>Jetson_Xavier_NX_Module!FirstMPIO</vt:lpstr>
      <vt:lpstr>Jetson_Xavier_NX_Module!FirstPadVoltageConfig</vt:lpstr>
      <vt:lpstr>Jetson_Xavier_NX_Module!FirstPinMuxingOption</vt:lpstr>
      <vt:lpstr>Jetson_Xavier_NX_Module!Function_0</vt:lpstr>
      <vt:lpstr>Jetson_Xavier_NX_Module!Function_Safe</vt:lpstr>
      <vt:lpstr>Jetson_Xavier_NX_Module!GPIO_Init_Value</vt:lpstr>
      <vt:lpstr>Jetson_Xavier_NX_Module!Initial_State</vt:lpstr>
      <vt:lpstr>Jetson_Xavier_NX_Module!Initial_State_Checker</vt:lpstr>
      <vt:lpstr>Jetson_Xavier_NX_Module!LastMPIO</vt:lpstr>
      <vt:lpstr>Jetson_Xavier_NX_Module!LastPadVoltageConfig</vt:lpstr>
      <vt:lpstr>Jetson_Xavier_NX_Module!Lock</vt:lpstr>
      <vt:lpstr>Jetson_Xavier_NX_Module!LPDR_Enable</vt:lpstr>
      <vt:lpstr>Jetson_Xavier_NX_Module!MPIOName</vt:lpstr>
      <vt:lpstr>Jetson_Xavier_NX_Module!PadVoltageConfig</vt:lpstr>
      <vt:lpstr>Jetson_Xavier_NX_Module!Pin_Direction</vt:lpstr>
      <vt:lpstr>Jetson_Xavier_NX_Module!Pin_Direction_Checker</vt:lpstr>
      <vt:lpstr>Jetson_Xavier_NX_Module!Pin_Group</vt:lpstr>
      <vt:lpstr>Jetson_Xavier_NX_Module!Pinmux_GPIO</vt:lpstr>
      <vt:lpstr>Jetson_Xavier_NX_Module!Pinmux_SFIO0</vt:lpstr>
      <vt:lpstr>Jetson_Xavier_NX_Module!Pinmux_SFIO1</vt:lpstr>
      <vt:lpstr>Jetson_Xavier_NX_Module!Pinmux_SFIO2</vt:lpstr>
      <vt:lpstr>Jetson_Xavier_NX_Module!Pinmux_SFIO3</vt:lpstr>
      <vt:lpstr>Jetson_Xavier_NX_Module!Pinmux_Unused</vt:lpstr>
      <vt:lpstr>Jetson_Xavier_NX_Module!PUPD</vt:lpstr>
      <vt:lpstr>Jetson_Xavier_NX_Module!RCV_SEL</vt:lpstr>
      <vt:lpstr>Jetson_Xavier_NX_Module!RCV_SEL_Checker</vt:lpstr>
      <vt:lpstr>Jetson_Xavier_NX_Module!Resistor_Checker</vt:lpstr>
      <vt:lpstr>Jetson_Xavier_NX_Module!REVISION_NO</vt:lpstr>
      <vt:lpstr>Jetson_Xavier_NX_Module!REVISION_NUMBER</vt:lpstr>
      <vt:lpstr>Jetson_Xavier_NX_Module!Tristate</vt:lpstr>
      <vt:lpstr>Jetson_Xavier_NX_Module!Wake_Checker</vt:lpstr>
      <vt:lpstr>Jetson_Xavier_NX_Module!Wake_Pin</vt:lpstr>
    </vt:vector>
  </TitlesOfParts>
  <Company>NVIDIA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mlongnecker</dc:creator>
  <dc:description>Added specific Cardhu configuration information for checking the exit LP0 behavior with GPIOs</dc:description>
  <cp:lastModifiedBy>joezhang</cp:lastModifiedBy>
  <cp:lastPrinted>2012-04-03T22:50:50Z</cp:lastPrinted>
  <dcterms:created xsi:type="dcterms:W3CDTF">2011-01-18T21:59:40Z</dcterms:created>
  <dcterms:modified xsi:type="dcterms:W3CDTF">2022-03-18T07:03:04Z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6b558183-044c-4105-8d9c-cea02a2a3d86_Enabled">
    <vt:lpwstr>True</vt:lpwstr>
  </property>
  <property fmtid="{D5CDD505-2E9C-101B-9397-08002B2CF9AE}" pid="3" name="MSIP_Label_6b558183-044c-4105-8d9c-cea02a2a3d86_SiteId">
    <vt:lpwstr>43083d15-7273-40c1-b7db-39efd9ccc17a</vt:lpwstr>
  </property>
  <property fmtid="{D5CDD505-2E9C-101B-9397-08002B2CF9AE}" pid="4" name="MSIP_Label_6b558183-044c-4105-8d9c-cea02a2a3d86_Ref">
    <vt:lpwstr>https://api.informationprotection.azure.com/api/43083d15-7273-40c1-b7db-39efd9ccc17a</vt:lpwstr>
  </property>
  <property fmtid="{D5CDD505-2E9C-101B-9397-08002B2CF9AE}" pid="5" name="MSIP_Label_6b558183-044c-4105-8d9c-cea02a2a3d86_Owner">
    <vt:lpwstr>richards@nvidia.com</vt:lpwstr>
  </property>
  <property fmtid="{D5CDD505-2E9C-101B-9397-08002B2CF9AE}" pid="6" name="MSIP_Label_6b558183-044c-4105-8d9c-cea02a2a3d86_SetDate">
    <vt:lpwstr>2018-05-31T13:24:57.5235116-07:00</vt:lpwstr>
  </property>
  <property fmtid="{D5CDD505-2E9C-101B-9397-08002B2CF9AE}" pid="7" name="MSIP_Label_6b558183-044c-4105-8d9c-cea02a2a3d86_Name">
    <vt:lpwstr>Unrestricted</vt:lpwstr>
  </property>
  <property fmtid="{D5CDD505-2E9C-101B-9397-08002B2CF9AE}" pid="8" name="MSIP_Label_6b558183-044c-4105-8d9c-cea02a2a3d86_Application">
    <vt:lpwstr>Microsoft Azure Information Protection</vt:lpwstr>
  </property>
  <property fmtid="{D5CDD505-2E9C-101B-9397-08002B2CF9AE}" pid="9" name="MSIP_Label_6b558183-044c-4105-8d9c-cea02a2a3d86_Extended_MSFT_Method">
    <vt:lpwstr>Automatic</vt:lpwstr>
  </property>
  <property fmtid="{D5CDD505-2E9C-101B-9397-08002B2CF9AE}" pid="10" name="Sensitivity">
    <vt:lpwstr>Unrestricted</vt:lpwstr>
  </property>
</Properties>
</file>